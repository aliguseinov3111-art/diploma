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6820A779-6C7D-44EE-975F-AB99301B760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О шаблоне" sheetId="1" r:id="rId1"/>
    <sheet name="Параметры" sheetId="2" r:id="rId2"/>
    <sheet name="Конструктор" sheetId="3" r:id="rId3"/>
    <sheet name="Смета" sheetId="4" r:id="rId4"/>
    <sheet name="Свод+ТЭП" sheetId="5" r:id="rId5"/>
    <sheet name="Контроль" sheetId="6" r:id="rId6"/>
    <sheet name="Работы" sheetId="7" r:id="rId7"/>
    <sheet name="Материалы" sheetId="8" r:id="rId8"/>
    <sheet name="Группы" sheetId="9" r:id="rId9"/>
  </sheets>
  <definedNames>
    <definedName name="_xlnm._FilterDatabase" localSheetId="2" hidden="1">Конструктор!$A$1:$T$1212</definedName>
    <definedName name="_xlnm._FilterDatabase" localSheetId="7" hidden="1">Материалы!$A$1:$O$1219</definedName>
    <definedName name="_xlnm._FilterDatabase" localSheetId="6" hidden="1">Работы!$A$1:$S$912</definedName>
    <definedName name="_xlnm._FilterDatabase" localSheetId="3" hidden="1">Смета!$A$20:$L$1031</definedName>
    <definedName name="S_общая">Параметры!$B$19</definedName>
    <definedName name="S_поверхность">Параметры!$B$23</definedName>
    <definedName name="S_пол">Параметры!$B$20</definedName>
    <definedName name="S_потолок">Параметры!$B$22</definedName>
    <definedName name="S_проёмы">Параметры!$B$24</definedName>
    <definedName name="S_стены">Параметры!$B$21</definedName>
    <definedName name="S_фасад">Параметры!$B$25</definedName>
    <definedName name="Адрес">Параметры!$B$6</definedName>
    <definedName name="ДатаЦен">Параметры!$B$8</definedName>
    <definedName name="ДисконтТендер">Параметры!$B$31</definedName>
    <definedName name="КодыРабот">Работы!$A$2:$A$6000</definedName>
    <definedName name="КонтЛицо">Параметры!$B$14</definedName>
    <definedName name="КонтТел">Параметры!$B$15</definedName>
    <definedName name="КурсEUR">Параметры!$B$36</definedName>
    <definedName name="КурсUSD">Параметры!$B$35</definedName>
    <definedName name="мат_VRF_ВНУТ">OFFSET(Материалы!$A$1,MATCH("VRF.ВНУТ",Материалы!$G:$G,0)-1,0,COUNTIF(Материалы!$G:$G,"VRF.ВНУТ"),1)</definedName>
    <definedName name="мат_VRF_НАР">OFFSET(Материалы!$A$1,MATCH("VRF.НАР",Материалы!$G:$G,0)-1,0,COUNTIF(Материалы!$G:$G,"VRF.НАР"),1)</definedName>
    <definedName name="мат_БРОНЯ">OFFSET(Материалы!$A$1,MATCH("БРОНЯ",Материалы!$G:$G,0)-1,0,COUNTIF(Материалы!$G:$G,"БРОНЯ"),1)</definedName>
    <definedName name="мат_ДВ">OFFSET(Материалы!$A$1,MATCH("ДВ",Материалы!$G:$G,0)-1,0,COUNTIF(Материалы!$G:$G,"ДВ"),1)</definedName>
    <definedName name="мат_ДВ_АЛ">OFFSET(Материалы!$A$1,MATCH("ДВ.АЛ",Материалы!$G:$G,0)-1,0,COUNTIF(Материалы!$G:$G,"ДВ.АЛ"),1)</definedName>
    <definedName name="мат_ДВ_ДЕР">OFFSET(Материалы!$A$1,MATCH("ДВ.ДЕР",Материалы!$G:$G,0)-1,0,COUNTIF(Материалы!$G:$G,"ДВ.ДЕР"),1)</definedName>
    <definedName name="мат_ДВ_СТ">OFFSET(Материалы!$A$1,MATCH("ДВ.СТ",Материалы!$G:$G,0)-1,0,COUNTIF(Материалы!$G:$G,"ДВ.СТ"),1)</definedName>
    <definedName name="мат_ЗАВЕСА">OFFSET(Материалы!$A$1,MATCH("ЗАВЕСА",Материалы!$G:$G,0)-1,0,COUNTIF(Материалы!$G:$G,"ЗАВЕСА"),1)</definedName>
    <definedName name="мат_ЛЮЧОК">OFFSET(Материалы!$A$1,MATCH("ЛЮЧОК",Материалы!$G:$G,0)-1,0,COUNTIF(Материалы!$G:$G,"ЛЮЧОК"),1)</definedName>
    <definedName name="мат_ПВУ">OFFSET(Материалы!$A$1,MATCH("ПВУ",Материалы!$G:$G,0)-1,0,COUNTIF(Материалы!$G:$G,"ПВУ"),1)</definedName>
    <definedName name="мат_ПЕРЕГ_СТ">OFFSET(Материалы!$A$1,MATCH("ПЕРЕГ.СТ",Материалы!$G:$G,0)-1,0,COUNTIF(Материалы!$G:$G,"ПЕРЕГ.СТ"),1)</definedName>
    <definedName name="мат_ПЕРЕГ_ТР">OFFSET(Материалы!$A$1,MATCH("ПЕРЕГ.ТР",Материалы!$G:$G,0)-1,0,COUNTIF(Материалы!$G:$G,"ПЕРЕГ.ТР"),1)</definedName>
    <definedName name="мат_ПОЛ_КГ">OFFSET(Материалы!$A$1,MATCH("ПОЛ.КГ",Материалы!$G:$G,0)-1,0,COUNTIF(Материалы!$G:$G,"ПОЛ.КГ"),1)</definedName>
    <definedName name="мат_ПОЛ_МОД">OFFSET(Материалы!$A$1,MATCH("ПОЛ.МОД",Материалы!$G:$G,0)-1,0,COUNTIF(Материалы!$G:$G,"ПОЛ.МОД"),1)</definedName>
    <definedName name="мат_ПОТОЛОК">OFFSET(Материалы!$A$1,MATCH("ПОТОЛОК",Материалы!$G:$G,0)-1,0,COUNTIF(Материалы!$G:$G,"ПОТОЛОК"),1)</definedName>
    <definedName name="мат_РАД">OFFSET(Материалы!$A$1,MATCH("РАД",Материалы!$G:$G,0)-1,0,COUNTIF(Материалы!$G:$G,"РАД"),1)</definedName>
    <definedName name="мат_РАД_КОМПЛ">OFFSET(Материалы!$A$1,MATCH("РАД.КОМПЛ",Материалы!$G:$G,0)-1,0,COUNTIF(Материалы!$G:$G,"РАД.КОМПЛ"),1)</definedName>
    <definedName name="мат_СВЕТ">OFFSET(Материалы!$A$1,MATCH("СВЕТ",Материалы!$G:$G,0)-1,0,COUNTIF(Материалы!$G:$G,"СВЕТ"),1)</definedName>
    <definedName name="мат_СВЕТ_АВАР">OFFSET(Материалы!$A$1,MATCH("СВЕТ.АВАР",Материалы!$G:$G,0)-1,0,COUNTIF(Материалы!$G:$G,"СВЕТ.АВАР"),1)</definedName>
    <definedName name="мат_СПЛИТ">OFFSET(Материалы!$A$1,MATCH("СПЛИТ",Материалы!$G:$G,0)-1,0,COUNTIF(Материалы!$G:$G,"СПЛИТ"),1)</definedName>
    <definedName name="мат_СТЕН_ПЛ">OFFSET(Материалы!$A$1,MATCH("СТЕН.ПЛ",Материалы!$G:$G,0)-1,0,COUNTIF(Материалы!$G:$G,"СТЕН.ПЛ"),1)</definedName>
    <definedName name="мат_СТП_РАК">OFFSET(Материалы!$A$1,MATCH("СТП.РАК",Материалы!$G:$G,0)-1,0,COUNTIF(Материалы!$G:$G,"СТП.РАК"),1)</definedName>
    <definedName name="мат_СТП_СМЕС">OFFSET(Материалы!$A$1,MATCH("СТП.СМЕС",Материалы!$G:$G,0)-1,0,COUNTIF(Материалы!$G:$G,"СТП.СМЕС"),1)</definedName>
    <definedName name="мат_СТП_УНИТ">OFFSET(Материалы!$A$1,MATCH("СТП.УНИТ",Материалы!$G:$G,0)-1,0,COUNTIF(Материалы!$G:$G,"СТП.УНИТ"),1)</definedName>
    <definedName name="мат_ФАЛЬШПОЛ">OFFSET(Материалы!$A$1,MATCH("ФАЛЬШПОЛ",Материалы!$G:$G,0)-1,0,COUNTIF(Материалы!$G:$G,"ФАЛЬШПОЛ"),1)</definedName>
    <definedName name="мат_ЭУИ_ВЫКЛ">OFFSET(Материалы!$A$1,MATCH("ЭУИ.ВЫКЛ",Материалы!$G:$G,0)-1,0,COUNTIF(Материалы!$G:$G,"ЭУИ.ВЫКЛ"),1)</definedName>
    <definedName name="мат_ЭУИ_РОЗ">OFFSET(Материалы!$A$1,MATCH("ЭУИ.РОЗ",Материалы!$G:$G,0)-1,0,COUNTIF(Материалы!$G:$G,"ЭУИ.РОЗ"),1)</definedName>
    <definedName name="мат_ЭЩ">OFFSET(Материалы!$A$1,MATCH("ЭЩ",Материалы!$G:$G,0)-1,0,COUNTIF(Материалы!$G:$G,"ЭЩ"),1)</definedName>
    <definedName name="Периметр_пола">Параметры!$B$26</definedName>
    <definedName name="Подрядчик">Параметры!$B$11</definedName>
    <definedName name="ПроцРезерв">Параметры!$B$34</definedName>
    <definedName name="ПроцТакелаж">Параметры!$B$33</definedName>
    <definedName name="ПроцТранспорт">Параметры!$B$32</definedName>
    <definedName name="РежимЦены">Параметры!$B$29</definedName>
    <definedName name="Реквизиты">Параметры!$B$16</definedName>
    <definedName name="Срок">Параметры!$B$7</definedName>
    <definedName name="СтавкаНДС">Параметры!$B$30</definedName>
    <definedName name="ФорматОбъекта">Параметры!$B$5</definedName>
    <definedName name="ЭлАдрес">Параметры!$B$13</definedName>
    <definedName name="ЮрАдрес">Параметры!$B$12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3" l="1"/>
  <c r="N8" i="3"/>
  <c r="B13" i="6"/>
  <c r="B12" i="6"/>
  <c r="B11" i="6"/>
  <c r="B9" i="6"/>
  <c r="C8" i="6"/>
  <c r="C7" i="6"/>
  <c r="C6" i="6"/>
  <c r="C5" i="6"/>
  <c r="C4" i="6"/>
  <c r="E31" i="5"/>
  <c r="E30" i="5"/>
  <c r="E29" i="5"/>
  <c r="E28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C17" i="4"/>
  <c r="C16" i="4"/>
  <c r="C15" i="4"/>
  <c r="C13" i="4"/>
  <c r="C11" i="4"/>
  <c r="C10" i="4"/>
  <c r="C9" i="4"/>
  <c r="C8" i="4"/>
  <c r="C7" i="4"/>
  <c r="C6" i="4"/>
  <c r="C5" i="4"/>
  <c r="C4" i="4"/>
  <c r="C3" i="4"/>
  <c r="C2" i="4"/>
  <c r="Q1212" i="3"/>
  <c r="O1212" i="3"/>
  <c r="N1212" i="3"/>
  <c r="P1212" i="3" s="1"/>
  <c r="T1212" i="3" s="1"/>
  <c r="M1212" i="3"/>
  <c r="K1212" i="3"/>
  <c r="J1212" i="3"/>
  <c r="G1212" i="3"/>
  <c r="C1212" i="3"/>
  <c r="B1212" i="3"/>
  <c r="A1212" i="3"/>
  <c r="O1211" i="3"/>
  <c r="N1211" i="3"/>
  <c r="M1211" i="3"/>
  <c r="L1211" i="3"/>
  <c r="K1211" i="3"/>
  <c r="J1211" i="3"/>
  <c r="G1211" i="3"/>
  <c r="F1211" i="3"/>
  <c r="E1211" i="3"/>
  <c r="D1211" i="3"/>
  <c r="C1211" i="3"/>
  <c r="Q1211" i="3" s="1"/>
  <c r="B1211" i="3"/>
  <c r="A1211" i="3"/>
  <c r="O1210" i="3"/>
  <c r="N1210" i="3"/>
  <c r="M1210" i="3"/>
  <c r="K1210" i="3"/>
  <c r="J1210" i="3"/>
  <c r="F1210" i="3"/>
  <c r="E1210" i="3"/>
  <c r="D1210" i="3"/>
  <c r="C1210" i="3"/>
  <c r="Q1210" i="3" s="1"/>
  <c r="B1210" i="3"/>
  <c r="Q1209" i="3"/>
  <c r="O1209" i="3"/>
  <c r="N1209" i="3"/>
  <c r="M1209" i="3"/>
  <c r="K1209" i="3"/>
  <c r="J1209" i="3"/>
  <c r="G1209" i="3"/>
  <c r="C1209" i="3"/>
  <c r="E1209" i="3" s="1"/>
  <c r="B1209" i="3"/>
  <c r="A1209" i="3"/>
  <c r="O1208" i="3"/>
  <c r="N1208" i="3"/>
  <c r="M1208" i="3"/>
  <c r="L1208" i="3"/>
  <c r="K1208" i="3"/>
  <c r="J1208" i="3"/>
  <c r="G1208" i="3"/>
  <c r="F1208" i="3"/>
  <c r="E1208" i="3"/>
  <c r="D1208" i="3"/>
  <c r="C1208" i="3"/>
  <c r="Q1208" i="3" s="1"/>
  <c r="B1208" i="3"/>
  <c r="A1208" i="3"/>
  <c r="Q1207" i="3"/>
  <c r="O1207" i="3"/>
  <c r="N1207" i="3"/>
  <c r="M1207" i="3"/>
  <c r="K1207" i="3"/>
  <c r="J1207" i="3"/>
  <c r="F1207" i="3"/>
  <c r="C1207" i="3"/>
  <c r="B1207" i="3"/>
  <c r="O1206" i="3"/>
  <c r="N1206" i="3"/>
  <c r="M1206" i="3"/>
  <c r="K1206" i="3"/>
  <c r="J1206" i="3"/>
  <c r="C1206" i="3"/>
  <c r="O1205" i="3"/>
  <c r="N1205" i="3"/>
  <c r="M1205" i="3"/>
  <c r="L1205" i="3"/>
  <c r="K1205" i="3"/>
  <c r="J1205" i="3"/>
  <c r="G1205" i="3"/>
  <c r="F1205" i="3"/>
  <c r="E1205" i="3"/>
  <c r="D1205" i="3"/>
  <c r="C1205" i="3"/>
  <c r="Q1205" i="3" s="1"/>
  <c r="B1205" i="3"/>
  <c r="A1205" i="3"/>
  <c r="O1204" i="3"/>
  <c r="N1204" i="3"/>
  <c r="M1204" i="3"/>
  <c r="K1204" i="3"/>
  <c r="J1204" i="3"/>
  <c r="C1204" i="3"/>
  <c r="O1203" i="3"/>
  <c r="N1203" i="3"/>
  <c r="M1203" i="3"/>
  <c r="K1203" i="3"/>
  <c r="J1203" i="3"/>
  <c r="G1203" i="3"/>
  <c r="F1203" i="3"/>
  <c r="D1203" i="3"/>
  <c r="C1203" i="3"/>
  <c r="E1203" i="3" s="1"/>
  <c r="A1203" i="3"/>
  <c r="O1202" i="3"/>
  <c r="P1202" i="3" s="1"/>
  <c r="T1202" i="3" s="1"/>
  <c r="N1202" i="3"/>
  <c r="M1202" i="3"/>
  <c r="L1202" i="3"/>
  <c r="K1202" i="3"/>
  <c r="J1202" i="3"/>
  <c r="G1202" i="3"/>
  <c r="F1202" i="3"/>
  <c r="E1202" i="3"/>
  <c r="D1202" i="3"/>
  <c r="C1202" i="3"/>
  <c r="Q1202" i="3" s="1"/>
  <c r="B1202" i="3"/>
  <c r="A1202" i="3"/>
  <c r="O1201" i="3"/>
  <c r="N1201" i="3"/>
  <c r="P1201" i="3" s="1"/>
  <c r="T1201" i="3" s="1"/>
  <c r="M1201" i="3"/>
  <c r="K1201" i="3"/>
  <c r="J1201" i="3"/>
  <c r="F1201" i="3"/>
  <c r="E1201" i="3"/>
  <c r="D1201" i="3"/>
  <c r="C1201" i="3"/>
  <c r="Q1201" i="3" s="1"/>
  <c r="Q1200" i="3"/>
  <c r="O1200" i="3"/>
  <c r="N1200" i="3"/>
  <c r="M1200" i="3"/>
  <c r="K1200" i="3"/>
  <c r="J1200" i="3"/>
  <c r="G1200" i="3"/>
  <c r="C1200" i="3"/>
  <c r="E1200" i="3" s="1"/>
  <c r="B1200" i="3"/>
  <c r="A1200" i="3"/>
  <c r="O1199" i="3"/>
  <c r="N1199" i="3"/>
  <c r="P1199" i="3" s="1"/>
  <c r="T1199" i="3" s="1"/>
  <c r="M1199" i="3"/>
  <c r="L1199" i="3"/>
  <c r="K1199" i="3"/>
  <c r="J1199" i="3"/>
  <c r="G1199" i="3"/>
  <c r="F1199" i="3"/>
  <c r="E1199" i="3"/>
  <c r="D1199" i="3"/>
  <c r="C1199" i="3"/>
  <c r="Q1199" i="3" s="1"/>
  <c r="B1199" i="3"/>
  <c r="A1199" i="3"/>
  <c r="Q1198" i="3"/>
  <c r="O1198" i="3"/>
  <c r="N1198" i="3"/>
  <c r="M1198" i="3"/>
  <c r="K1198" i="3"/>
  <c r="J1198" i="3"/>
  <c r="F1198" i="3"/>
  <c r="C1198" i="3"/>
  <c r="B1198" i="3"/>
  <c r="Q1197" i="3"/>
  <c r="O1197" i="3"/>
  <c r="N1197" i="3"/>
  <c r="P1197" i="3" s="1"/>
  <c r="T1197" i="3" s="1"/>
  <c r="M1197" i="3"/>
  <c r="K1197" i="3"/>
  <c r="J1197" i="3"/>
  <c r="C1197" i="3"/>
  <c r="B1197" i="3" s="1"/>
  <c r="O1196" i="3"/>
  <c r="N1196" i="3"/>
  <c r="M1196" i="3"/>
  <c r="L1196" i="3"/>
  <c r="K1196" i="3"/>
  <c r="J1196" i="3"/>
  <c r="G1196" i="3"/>
  <c r="F1196" i="3"/>
  <c r="E1196" i="3"/>
  <c r="D1196" i="3"/>
  <c r="C1196" i="3"/>
  <c r="Q1196" i="3" s="1"/>
  <c r="B1196" i="3"/>
  <c r="A1196" i="3"/>
  <c r="Q1195" i="3"/>
  <c r="O1195" i="3"/>
  <c r="N1195" i="3"/>
  <c r="M1195" i="3"/>
  <c r="K1195" i="3"/>
  <c r="J1195" i="3"/>
  <c r="C1195" i="3"/>
  <c r="B1195" i="3" s="1"/>
  <c r="O1194" i="3"/>
  <c r="N1194" i="3"/>
  <c r="M1194" i="3"/>
  <c r="K1194" i="3"/>
  <c r="J1194" i="3"/>
  <c r="G1194" i="3"/>
  <c r="F1194" i="3"/>
  <c r="D1194" i="3"/>
  <c r="C1194" i="3"/>
  <c r="E1194" i="3" s="1"/>
  <c r="A1194" i="3"/>
  <c r="O1193" i="3"/>
  <c r="N1193" i="3"/>
  <c r="M1193" i="3"/>
  <c r="K1193" i="3"/>
  <c r="J1193" i="3"/>
  <c r="C1193" i="3"/>
  <c r="B1193" i="3" s="1"/>
  <c r="A1193" i="3"/>
  <c r="O1192" i="3"/>
  <c r="N1192" i="3"/>
  <c r="M1192" i="3"/>
  <c r="L1192" i="3"/>
  <c r="K1192" i="3"/>
  <c r="J1192" i="3"/>
  <c r="G1192" i="3"/>
  <c r="F1192" i="3"/>
  <c r="E1192" i="3"/>
  <c r="D1192" i="3"/>
  <c r="C1192" i="3"/>
  <c r="Q1192" i="3" s="1"/>
  <c r="B1192" i="3"/>
  <c r="A1192" i="3"/>
  <c r="O1191" i="3"/>
  <c r="N1191" i="3"/>
  <c r="M1191" i="3"/>
  <c r="K1191" i="3"/>
  <c r="J1191" i="3"/>
  <c r="C1191" i="3"/>
  <c r="O1190" i="3"/>
  <c r="N1190" i="3"/>
  <c r="M1190" i="3"/>
  <c r="K1190" i="3"/>
  <c r="J1190" i="3"/>
  <c r="G1190" i="3"/>
  <c r="C1190" i="3"/>
  <c r="B1190" i="3"/>
  <c r="A1190" i="3"/>
  <c r="O1189" i="3"/>
  <c r="N1189" i="3"/>
  <c r="M1189" i="3"/>
  <c r="L1189" i="3"/>
  <c r="K1189" i="3"/>
  <c r="J1189" i="3"/>
  <c r="G1189" i="3"/>
  <c r="F1189" i="3"/>
  <c r="E1189" i="3"/>
  <c r="D1189" i="3"/>
  <c r="C1189" i="3"/>
  <c r="Q1189" i="3" s="1"/>
  <c r="B1189" i="3"/>
  <c r="A1189" i="3"/>
  <c r="Q1188" i="3"/>
  <c r="O1188" i="3"/>
  <c r="N1188" i="3"/>
  <c r="M1188" i="3"/>
  <c r="L1188" i="3"/>
  <c r="K1188" i="3"/>
  <c r="J1188" i="3"/>
  <c r="D1188" i="3"/>
  <c r="C1188" i="3"/>
  <c r="Q1187" i="3"/>
  <c r="O1187" i="3"/>
  <c r="P1187" i="3" s="1"/>
  <c r="T1187" i="3" s="1"/>
  <c r="N1187" i="3"/>
  <c r="M1187" i="3"/>
  <c r="K1187" i="3"/>
  <c r="J1187" i="3"/>
  <c r="C1187" i="3"/>
  <c r="B1187" i="3" s="1"/>
  <c r="O1186" i="3"/>
  <c r="N1186" i="3"/>
  <c r="M1186" i="3"/>
  <c r="L1186" i="3"/>
  <c r="K1186" i="3"/>
  <c r="J1186" i="3"/>
  <c r="G1186" i="3"/>
  <c r="F1186" i="3"/>
  <c r="E1186" i="3"/>
  <c r="D1186" i="3"/>
  <c r="C1186" i="3"/>
  <c r="Q1186" i="3" s="1"/>
  <c r="B1186" i="3"/>
  <c r="A1186" i="3"/>
  <c r="O1185" i="3"/>
  <c r="N1185" i="3"/>
  <c r="M1185" i="3"/>
  <c r="K1185" i="3"/>
  <c r="J1185" i="3"/>
  <c r="F1185" i="3"/>
  <c r="D1185" i="3"/>
  <c r="C1185" i="3"/>
  <c r="O1184" i="3"/>
  <c r="N1184" i="3"/>
  <c r="P1184" i="3" s="1"/>
  <c r="T1184" i="3" s="1"/>
  <c r="M1184" i="3"/>
  <c r="L1184" i="3"/>
  <c r="K1184" i="3"/>
  <c r="J1184" i="3"/>
  <c r="D1184" i="3"/>
  <c r="C1184" i="3"/>
  <c r="B1184" i="3"/>
  <c r="O1183" i="3"/>
  <c r="N1183" i="3"/>
  <c r="M1183" i="3"/>
  <c r="L1183" i="3"/>
  <c r="K1183" i="3"/>
  <c r="J1183" i="3"/>
  <c r="G1183" i="3"/>
  <c r="F1183" i="3"/>
  <c r="E1183" i="3"/>
  <c r="D1183" i="3"/>
  <c r="C1183" i="3"/>
  <c r="Q1183" i="3" s="1"/>
  <c r="B1183" i="3"/>
  <c r="A1183" i="3"/>
  <c r="Q1182" i="3"/>
  <c r="O1182" i="3"/>
  <c r="N1182" i="3"/>
  <c r="M1182" i="3"/>
  <c r="K1182" i="3"/>
  <c r="J1182" i="3"/>
  <c r="F1182" i="3"/>
  <c r="D1182" i="3"/>
  <c r="C1182" i="3"/>
  <c r="Q1181" i="3"/>
  <c r="O1181" i="3"/>
  <c r="N1181" i="3"/>
  <c r="P1181" i="3" s="1"/>
  <c r="T1181" i="3" s="1"/>
  <c r="M1181" i="3"/>
  <c r="L1181" i="3"/>
  <c r="K1181" i="3"/>
  <c r="J1181" i="3"/>
  <c r="D1181" i="3"/>
  <c r="C1181" i="3"/>
  <c r="B1181" i="3"/>
  <c r="A1181" i="3"/>
  <c r="O1180" i="3"/>
  <c r="N1180" i="3"/>
  <c r="M1180" i="3"/>
  <c r="L1180" i="3"/>
  <c r="K1180" i="3"/>
  <c r="J1180" i="3"/>
  <c r="G1180" i="3"/>
  <c r="F1180" i="3"/>
  <c r="E1180" i="3"/>
  <c r="D1180" i="3"/>
  <c r="C1180" i="3"/>
  <c r="Q1180" i="3" s="1"/>
  <c r="B1180" i="3"/>
  <c r="A1180" i="3"/>
  <c r="Q1179" i="3"/>
  <c r="O1179" i="3"/>
  <c r="N1179" i="3"/>
  <c r="M1179" i="3"/>
  <c r="K1179" i="3"/>
  <c r="J1179" i="3"/>
  <c r="F1179" i="3"/>
  <c r="E1179" i="3"/>
  <c r="D1179" i="3"/>
  <c r="C1179" i="3"/>
  <c r="Q1178" i="3"/>
  <c r="O1178" i="3"/>
  <c r="N1178" i="3"/>
  <c r="M1178" i="3"/>
  <c r="L1178" i="3"/>
  <c r="K1178" i="3"/>
  <c r="J1178" i="3"/>
  <c r="G1178" i="3"/>
  <c r="D1178" i="3"/>
  <c r="C1178" i="3"/>
  <c r="B1178" i="3"/>
  <c r="A1178" i="3"/>
  <c r="O1177" i="3"/>
  <c r="N1177" i="3"/>
  <c r="P1177" i="3" s="1"/>
  <c r="T1177" i="3" s="1"/>
  <c r="M1177" i="3"/>
  <c r="L1177" i="3"/>
  <c r="K1177" i="3"/>
  <c r="J1177" i="3"/>
  <c r="G1177" i="3"/>
  <c r="F1177" i="3"/>
  <c r="E1177" i="3"/>
  <c r="D1177" i="3"/>
  <c r="C1177" i="3"/>
  <c r="Q1177" i="3" s="1"/>
  <c r="B1177" i="3"/>
  <c r="A1177" i="3"/>
  <c r="O1176" i="3"/>
  <c r="N1176" i="3"/>
  <c r="M1176" i="3"/>
  <c r="K1176" i="3"/>
  <c r="J1176" i="3"/>
  <c r="F1176" i="3"/>
  <c r="D1176" i="3"/>
  <c r="C1176" i="3"/>
  <c r="O1175" i="3"/>
  <c r="N1175" i="3"/>
  <c r="P1175" i="3" s="1"/>
  <c r="T1175" i="3" s="1"/>
  <c r="M1175" i="3"/>
  <c r="L1175" i="3"/>
  <c r="K1175" i="3"/>
  <c r="J1175" i="3"/>
  <c r="D1175" i="3"/>
  <c r="C1175" i="3"/>
  <c r="B1175" i="3"/>
  <c r="O1174" i="3"/>
  <c r="N1174" i="3"/>
  <c r="P1174" i="3" s="1"/>
  <c r="T1174" i="3" s="1"/>
  <c r="M1174" i="3"/>
  <c r="L1174" i="3"/>
  <c r="K1174" i="3"/>
  <c r="J1174" i="3"/>
  <c r="G1174" i="3"/>
  <c r="F1174" i="3"/>
  <c r="E1174" i="3"/>
  <c r="D1174" i="3"/>
  <c r="C1174" i="3"/>
  <c r="Q1174" i="3" s="1"/>
  <c r="B1174" i="3"/>
  <c r="A1174" i="3"/>
  <c r="Q1173" i="3"/>
  <c r="O1173" i="3"/>
  <c r="N1173" i="3"/>
  <c r="M1173" i="3"/>
  <c r="K1173" i="3"/>
  <c r="J1173" i="3"/>
  <c r="F1173" i="3"/>
  <c r="D1173" i="3"/>
  <c r="C1173" i="3"/>
  <c r="Q1172" i="3"/>
  <c r="O1172" i="3"/>
  <c r="N1172" i="3"/>
  <c r="M1172" i="3"/>
  <c r="L1172" i="3"/>
  <c r="K1172" i="3"/>
  <c r="J1172" i="3"/>
  <c r="D1172" i="3"/>
  <c r="C1172" i="3"/>
  <c r="B1172" i="3"/>
  <c r="A1172" i="3"/>
  <c r="O1171" i="3"/>
  <c r="N1171" i="3"/>
  <c r="P1171" i="3" s="1"/>
  <c r="T1171" i="3" s="1"/>
  <c r="M1171" i="3"/>
  <c r="L1171" i="3"/>
  <c r="K1171" i="3"/>
  <c r="J1171" i="3"/>
  <c r="G1171" i="3"/>
  <c r="F1171" i="3"/>
  <c r="E1171" i="3"/>
  <c r="D1171" i="3"/>
  <c r="C1171" i="3"/>
  <c r="Q1171" i="3" s="1"/>
  <c r="B1171" i="3"/>
  <c r="A1171" i="3"/>
  <c r="Q1170" i="3"/>
  <c r="O1170" i="3"/>
  <c r="N1170" i="3"/>
  <c r="M1170" i="3"/>
  <c r="K1170" i="3"/>
  <c r="J1170" i="3"/>
  <c r="F1170" i="3"/>
  <c r="E1170" i="3"/>
  <c r="D1170" i="3"/>
  <c r="C1170" i="3"/>
  <c r="Q1169" i="3"/>
  <c r="O1169" i="3"/>
  <c r="N1169" i="3"/>
  <c r="P1169" i="3" s="1"/>
  <c r="T1169" i="3" s="1"/>
  <c r="M1169" i="3"/>
  <c r="L1169" i="3"/>
  <c r="K1169" i="3"/>
  <c r="J1169" i="3"/>
  <c r="G1169" i="3"/>
  <c r="D1169" i="3"/>
  <c r="C1169" i="3"/>
  <c r="B1169" i="3"/>
  <c r="A1169" i="3"/>
  <c r="O1168" i="3"/>
  <c r="N1168" i="3"/>
  <c r="M1168" i="3"/>
  <c r="L1168" i="3"/>
  <c r="K1168" i="3"/>
  <c r="J1168" i="3"/>
  <c r="G1168" i="3"/>
  <c r="F1168" i="3"/>
  <c r="E1168" i="3"/>
  <c r="D1168" i="3"/>
  <c r="C1168" i="3"/>
  <c r="Q1168" i="3" s="1"/>
  <c r="B1168" i="3"/>
  <c r="A1168" i="3"/>
  <c r="O1167" i="3"/>
  <c r="N1167" i="3"/>
  <c r="M1167" i="3"/>
  <c r="K1167" i="3"/>
  <c r="J1167" i="3"/>
  <c r="F1167" i="3"/>
  <c r="D1167" i="3"/>
  <c r="C1167" i="3"/>
  <c r="O1166" i="3"/>
  <c r="N1166" i="3"/>
  <c r="M1166" i="3"/>
  <c r="L1166" i="3"/>
  <c r="K1166" i="3"/>
  <c r="J1166" i="3"/>
  <c r="D1166" i="3"/>
  <c r="C1166" i="3"/>
  <c r="B1166" i="3"/>
  <c r="O1165" i="3"/>
  <c r="N1165" i="3"/>
  <c r="M1165" i="3"/>
  <c r="L1165" i="3"/>
  <c r="K1165" i="3"/>
  <c r="J1165" i="3"/>
  <c r="G1165" i="3"/>
  <c r="F1165" i="3"/>
  <c r="E1165" i="3"/>
  <c r="D1165" i="3"/>
  <c r="C1165" i="3"/>
  <c r="Q1165" i="3" s="1"/>
  <c r="B1165" i="3"/>
  <c r="A1165" i="3"/>
  <c r="Q1164" i="3"/>
  <c r="O1164" i="3"/>
  <c r="N1164" i="3"/>
  <c r="M1164" i="3"/>
  <c r="K1164" i="3"/>
  <c r="J1164" i="3"/>
  <c r="F1164" i="3"/>
  <c r="D1164" i="3"/>
  <c r="C1164" i="3"/>
  <c r="B1164" i="3"/>
  <c r="Q1163" i="3"/>
  <c r="O1163" i="3"/>
  <c r="N1163" i="3"/>
  <c r="M1163" i="3"/>
  <c r="K1163" i="3"/>
  <c r="J1163" i="3"/>
  <c r="G1163" i="3"/>
  <c r="D1163" i="3"/>
  <c r="C1163" i="3"/>
  <c r="E1163" i="3" s="1"/>
  <c r="B1163" i="3"/>
  <c r="O1162" i="3"/>
  <c r="N1162" i="3"/>
  <c r="M1162" i="3"/>
  <c r="L1162" i="3"/>
  <c r="K1162" i="3"/>
  <c r="J1162" i="3"/>
  <c r="G1162" i="3"/>
  <c r="F1162" i="3"/>
  <c r="E1162" i="3"/>
  <c r="D1162" i="3"/>
  <c r="C1162" i="3"/>
  <c r="Q1162" i="3" s="1"/>
  <c r="B1162" i="3"/>
  <c r="A1162" i="3"/>
  <c r="Q1161" i="3"/>
  <c r="O1161" i="3"/>
  <c r="N1161" i="3"/>
  <c r="P1161" i="3" s="1"/>
  <c r="T1161" i="3" s="1"/>
  <c r="M1161" i="3"/>
  <c r="K1161" i="3"/>
  <c r="J1161" i="3"/>
  <c r="F1161" i="3"/>
  <c r="D1161" i="3"/>
  <c r="C1161" i="3"/>
  <c r="B1161" i="3"/>
  <c r="Q1160" i="3"/>
  <c r="O1160" i="3"/>
  <c r="N1160" i="3"/>
  <c r="M1160" i="3"/>
  <c r="K1160" i="3"/>
  <c r="J1160" i="3"/>
  <c r="G1160" i="3"/>
  <c r="F1160" i="3"/>
  <c r="D1160" i="3"/>
  <c r="C1160" i="3"/>
  <c r="E1160" i="3" s="1"/>
  <c r="B1160" i="3"/>
  <c r="A1160" i="3"/>
  <c r="O1159" i="3"/>
  <c r="N1159" i="3"/>
  <c r="M1159" i="3"/>
  <c r="L1159" i="3"/>
  <c r="K1159" i="3"/>
  <c r="J1159" i="3"/>
  <c r="G1159" i="3"/>
  <c r="F1159" i="3"/>
  <c r="E1159" i="3"/>
  <c r="D1159" i="3"/>
  <c r="C1159" i="3"/>
  <c r="Q1159" i="3" s="1"/>
  <c r="B1159" i="3"/>
  <c r="A1159" i="3"/>
  <c r="Q1158" i="3"/>
  <c r="O1158" i="3"/>
  <c r="N1158" i="3"/>
  <c r="M1158" i="3"/>
  <c r="K1158" i="3"/>
  <c r="J1158" i="3"/>
  <c r="F1158" i="3"/>
  <c r="E1158" i="3"/>
  <c r="D1158" i="3"/>
  <c r="C1158" i="3"/>
  <c r="B1158" i="3"/>
  <c r="Q1157" i="3"/>
  <c r="O1157" i="3"/>
  <c r="N1157" i="3"/>
  <c r="M1157" i="3"/>
  <c r="K1157" i="3"/>
  <c r="J1157" i="3"/>
  <c r="G1157" i="3"/>
  <c r="D1157" i="3"/>
  <c r="C1157" i="3"/>
  <c r="E1157" i="3" s="1"/>
  <c r="B1157" i="3"/>
  <c r="A1157" i="3"/>
  <c r="O1156" i="3"/>
  <c r="N1156" i="3"/>
  <c r="M1156" i="3"/>
  <c r="L1156" i="3"/>
  <c r="K1156" i="3"/>
  <c r="J1156" i="3"/>
  <c r="G1156" i="3"/>
  <c r="F1156" i="3"/>
  <c r="E1156" i="3"/>
  <c r="D1156" i="3"/>
  <c r="C1156" i="3"/>
  <c r="Q1156" i="3" s="1"/>
  <c r="B1156" i="3"/>
  <c r="A1156" i="3"/>
  <c r="Q1155" i="3"/>
  <c r="O1155" i="3"/>
  <c r="N1155" i="3"/>
  <c r="M1155" i="3"/>
  <c r="K1155" i="3"/>
  <c r="J1155" i="3"/>
  <c r="F1155" i="3"/>
  <c r="D1155" i="3"/>
  <c r="C1155" i="3"/>
  <c r="B1155" i="3"/>
  <c r="Q1154" i="3"/>
  <c r="O1154" i="3"/>
  <c r="N1154" i="3"/>
  <c r="M1154" i="3"/>
  <c r="K1154" i="3"/>
  <c r="J1154" i="3"/>
  <c r="G1154" i="3"/>
  <c r="D1154" i="3"/>
  <c r="C1154" i="3"/>
  <c r="E1154" i="3" s="1"/>
  <c r="B1154" i="3"/>
  <c r="O1153" i="3"/>
  <c r="N1153" i="3"/>
  <c r="M1153" i="3"/>
  <c r="L1153" i="3"/>
  <c r="K1153" i="3"/>
  <c r="J1153" i="3"/>
  <c r="G1153" i="3"/>
  <c r="F1153" i="3"/>
  <c r="E1153" i="3"/>
  <c r="D1153" i="3"/>
  <c r="C1153" i="3"/>
  <c r="Q1153" i="3" s="1"/>
  <c r="B1153" i="3"/>
  <c r="A1153" i="3"/>
  <c r="Q1152" i="3"/>
  <c r="O1152" i="3"/>
  <c r="N1152" i="3"/>
  <c r="M1152" i="3"/>
  <c r="K1152" i="3"/>
  <c r="J1152" i="3"/>
  <c r="F1152" i="3"/>
  <c r="D1152" i="3"/>
  <c r="C1152" i="3"/>
  <c r="B1152" i="3"/>
  <c r="Q1151" i="3"/>
  <c r="O1151" i="3"/>
  <c r="N1151" i="3"/>
  <c r="M1151" i="3"/>
  <c r="K1151" i="3"/>
  <c r="J1151" i="3"/>
  <c r="G1151" i="3"/>
  <c r="F1151" i="3"/>
  <c r="D1151" i="3"/>
  <c r="C1151" i="3"/>
  <c r="E1151" i="3" s="1"/>
  <c r="B1151" i="3"/>
  <c r="A1151" i="3"/>
  <c r="O1150" i="3"/>
  <c r="N1150" i="3"/>
  <c r="M1150" i="3"/>
  <c r="L1150" i="3"/>
  <c r="K1150" i="3"/>
  <c r="J1150" i="3"/>
  <c r="G1150" i="3"/>
  <c r="F1150" i="3"/>
  <c r="E1150" i="3"/>
  <c r="D1150" i="3"/>
  <c r="C1150" i="3"/>
  <c r="Q1150" i="3" s="1"/>
  <c r="B1150" i="3"/>
  <c r="A1150" i="3"/>
  <c r="Q1149" i="3"/>
  <c r="O1149" i="3"/>
  <c r="N1149" i="3"/>
  <c r="P1149" i="3" s="1"/>
  <c r="T1149" i="3" s="1"/>
  <c r="M1149" i="3"/>
  <c r="K1149" i="3"/>
  <c r="J1149" i="3"/>
  <c r="F1149" i="3"/>
  <c r="E1149" i="3"/>
  <c r="D1149" i="3"/>
  <c r="C1149" i="3"/>
  <c r="B1149" i="3"/>
  <c r="Q1148" i="3"/>
  <c r="O1148" i="3"/>
  <c r="N1148" i="3"/>
  <c r="M1148" i="3"/>
  <c r="K1148" i="3"/>
  <c r="J1148" i="3"/>
  <c r="G1148" i="3"/>
  <c r="D1148" i="3"/>
  <c r="C1148" i="3"/>
  <c r="E1148" i="3" s="1"/>
  <c r="B1148" i="3"/>
  <c r="A1148" i="3"/>
  <c r="O1147" i="3"/>
  <c r="N1147" i="3"/>
  <c r="M1147" i="3"/>
  <c r="L1147" i="3"/>
  <c r="K1147" i="3"/>
  <c r="J1147" i="3"/>
  <c r="G1147" i="3"/>
  <c r="F1147" i="3"/>
  <c r="E1147" i="3"/>
  <c r="D1147" i="3"/>
  <c r="C1147" i="3"/>
  <c r="Q1147" i="3" s="1"/>
  <c r="B1147" i="3"/>
  <c r="A1147" i="3"/>
  <c r="Q1146" i="3"/>
  <c r="O1146" i="3"/>
  <c r="N1146" i="3"/>
  <c r="M1146" i="3"/>
  <c r="K1146" i="3"/>
  <c r="J1146" i="3"/>
  <c r="F1146" i="3"/>
  <c r="D1146" i="3"/>
  <c r="C1146" i="3"/>
  <c r="B1146" i="3"/>
  <c r="Q1145" i="3"/>
  <c r="O1145" i="3"/>
  <c r="N1145" i="3"/>
  <c r="M1145" i="3"/>
  <c r="K1145" i="3"/>
  <c r="J1145" i="3"/>
  <c r="G1145" i="3"/>
  <c r="D1145" i="3"/>
  <c r="C1145" i="3"/>
  <c r="E1145" i="3" s="1"/>
  <c r="B1145" i="3"/>
  <c r="O1144" i="3"/>
  <c r="N1144" i="3"/>
  <c r="M1144" i="3"/>
  <c r="L1144" i="3"/>
  <c r="K1144" i="3"/>
  <c r="J1144" i="3"/>
  <c r="G1144" i="3"/>
  <c r="F1144" i="3"/>
  <c r="E1144" i="3"/>
  <c r="D1144" i="3"/>
  <c r="C1144" i="3"/>
  <c r="Q1144" i="3" s="1"/>
  <c r="B1144" i="3"/>
  <c r="A1144" i="3"/>
  <c r="Q1143" i="3"/>
  <c r="O1143" i="3"/>
  <c r="N1143" i="3"/>
  <c r="M1143" i="3"/>
  <c r="K1143" i="3"/>
  <c r="J1143" i="3"/>
  <c r="F1143" i="3"/>
  <c r="E1143" i="3"/>
  <c r="D1143" i="3"/>
  <c r="C1143" i="3"/>
  <c r="B1143" i="3"/>
  <c r="Q1142" i="3"/>
  <c r="O1142" i="3"/>
  <c r="N1142" i="3"/>
  <c r="M1142" i="3"/>
  <c r="K1142" i="3"/>
  <c r="J1142" i="3"/>
  <c r="G1142" i="3"/>
  <c r="F1142" i="3"/>
  <c r="D1142" i="3"/>
  <c r="C1142" i="3"/>
  <c r="E1142" i="3" s="1"/>
  <c r="B1142" i="3"/>
  <c r="A1142" i="3"/>
  <c r="O1141" i="3"/>
  <c r="N1141" i="3"/>
  <c r="M1141" i="3"/>
  <c r="L1141" i="3"/>
  <c r="K1141" i="3"/>
  <c r="J1141" i="3"/>
  <c r="G1141" i="3"/>
  <c r="F1141" i="3"/>
  <c r="E1141" i="3"/>
  <c r="D1141" i="3"/>
  <c r="C1141" i="3"/>
  <c r="Q1141" i="3" s="1"/>
  <c r="B1141" i="3"/>
  <c r="A1141" i="3"/>
  <c r="Q1140" i="3"/>
  <c r="O1140" i="3"/>
  <c r="N1140" i="3"/>
  <c r="M1140" i="3"/>
  <c r="K1140" i="3"/>
  <c r="J1140" i="3"/>
  <c r="F1140" i="3"/>
  <c r="E1140" i="3"/>
  <c r="D1140" i="3"/>
  <c r="C1140" i="3"/>
  <c r="B1140" i="3"/>
  <c r="O1139" i="3"/>
  <c r="N1139" i="3"/>
  <c r="M1139" i="3"/>
  <c r="K1139" i="3"/>
  <c r="J1139" i="3"/>
  <c r="G1139" i="3"/>
  <c r="C1139" i="3"/>
  <c r="E1139" i="3" s="1"/>
  <c r="O1138" i="3"/>
  <c r="N1138" i="3"/>
  <c r="M1138" i="3"/>
  <c r="L1138" i="3"/>
  <c r="K1138" i="3"/>
  <c r="J1138" i="3"/>
  <c r="G1138" i="3"/>
  <c r="F1138" i="3"/>
  <c r="E1138" i="3"/>
  <c r="D1138" i="3"/>
  <c r="C1138" i="3"/>
  <c r="Q1138" i="3" s="1"/>
  <c r="B1138" i="3"/>
  <c r="A1138" i="3"/>
  <c r="O1137" i="3"/>
  <c r="N1137" i="3"/>
  <c r="M1137" i="3"/>
  <c r="K1137" i="3"/>
  <c r="J1137" i="3"/>
  <c r="F1137" i="3"/>
  <c r="C1137" i="3"/>
  <c r="Q1137" i="3" s="1"/>
  <c r="Q1136" i="3"/>
  <c r="O1136" i="3"/>
  <c r="N1136" i="3"/>
  <c r="M1136" i="3"/>
  <c r="K1136" i="3"/>
  <c r="J1136" i="3"/>
  <c r="G1136" i="3"/>
  <c r="F1136" i="3"/>
  <c r="D1136" i="3"/>
  <c r="C1136" i="3"/>
  <c r="E1136" i="3" s="1"/>
  <c r="B1136" i="3"/>
  <c r="O1135" i="3"/>
  <c r="N1135" i="3"/>
  <c r="M1135" i="3"/>
  <c r="L1135" i="3"/>
  <c r="K1135" i="3"/>
  <c r="J1135" i="3"/>
  <c r="G1135" i="3"/>
  <c r="F1135" i="3"/>
  <c r="E1135" i="3"/>
  <c r="D1135" i="3"/>
  <c r="C1135" i="3"/>
  <c r="Q1135" i="3" s="1"/>
  <c r="B1135" i="3"/>
  <c r="A1135" i="3"/>
  <c r="Q1134" i="3"/>
  <c r="O1134" i="3"/>
  <c r="N1134" i="3"/>
  <c r="M1134" i="3"/>
  <c r="K1134" i="3"/>
  <c r="J1134" i="3"/>
  <c r="F1134" i="3"/>
  <c r="E1134" i="3"/>
  <c r="D1134" i="3"/>
  <c r="C1134" i="3"/>
  <c r="B1134" i="3"/>
  <c r="Q1133" i="3"/>
  <c r="O1133" i="3"/>
  <c r="N1133" i="3"/>
  <c r="M1133" i="3"/>
  <c r="K1133" i="3"/>
  <c r="J1133" i="3"/>
  <c r="G1133" i="3"/>
  <c r="F1133" i="3"/>
  <c r="D1133" i="3"/>
  <c r="C1133" i="3"/>
  <c r="E1133" i="3" s="1"/>
  <c r="B1133" i="3"/>
  <c r="A1133" i="3"/>
  <c r="O1132" i="3"/>
  <c r="N1132" i="3"/>
  <c r="M1132" i="3"/>
  <c r="L1132" i="3"/>
  <c r="K1132" i="3"/>
  <c r="J1132" i="3"/>
  <c r="G1132" i="3"/>
  <c r="F1132" i="3"/>
  <c r="E1132" i="3"/>
  <c r="D1132" i="3"/>
  <c r="C1132" i="3"/>
  <c r="Q1132" i="3" s="1"/>
  <c r="B1132" i="3"/>
  <c r="A1132" i="3"/>
  <c r="Q1131" i="3"/>
  <c r="O1131" i="3"/>
  <c r="N1131" i="3"/>
  <c r="M1131" i="3"/>
  <c r="K1131" i="3"/>
  <c r="J1131" i="3"/>
  <c r="F1131" i="3"/>
  <c r="E1131" i="3"/>
  <c r="D1131" i="3"/>
  <c r="C1131" i="3"/>
  <c r="B1131" i="3"/>
  <c r="O1130" i="3"/>
  <c r="N1130" i="3"/>
  <c r="M1130" i="3"/>
  <c r="K1130" i="3"/>
  <c r="J1130" i="3"/>
  <c r="G1130" i="3"/>
  <c r="C1130" i="3"/>
  <c r="E1130" i="3" s="1"/>
  <c r="O1129" i="3"/>
  <c r="N1129" i="3"/>
  <c r="M1129" i="3"/>
  <c r="L1129" i="3"/>
  <c r="K1129" i="3"/>
  <c r="J1129" i="3"/>
  <c r="G1129" i="3"/>
  <c r="F1129" i="3"/>
  <c r="E1129" i="3"/>
  <c r="D1129" i="3"/>
  <c r="C1129" i="3"/>
  <c r="Q1129" i="3" s="1"/>
  <c r="B1129" i="3"/>
  <c r="A1129" i="3"/>
  <c r="O1128" i="3"/>
  <c r="N1128" i="3"/>
  <c r="M1128" i="3"/>
  <c r="K1128" i="3"/>
  <c r="J1128" i="3"/>
  <c r="F1128" i="3"/>
  <c r="C1128" i="3"/>
  <c r="Q1128" i="3" s="1"/>
  <c r="Q1127" i="3"/>
  <c r="O1127" i="3"/>
  <c r="N1127" i="3"/>
  <c r="M1127" i="3"/>
  <c r="K1127" i="3"/>
  <c r="J1127" i="3"/>
  <c r="G1127" i="3"/>
  <c r="F1127" i="3"/>
  <c r="D1127" i="3"/>
  <c r="C1127" i="3"/>
  <c r="E1127" i="3" s="1"/>
  <c r="B1127" i="3"/>
  <c r="O1126" i="3"/>
  <c r="N1126" i="3"/>
  <c r="M1126" i="3"/>
  <c r="L1126" i="3"/>
  <c r="K1126" i="3"/>
  <c r="J1126" i="3"/>
  <c r="G1126" i="3"/>
  <c r="F1126" i="3"/>
  <c r="E1126" i="3"/>
  <c r="D1126" i="3"/>
  <c r="C1126" i="3"/>
  <c r="Q1126" i="3" s="1"/>
  <c r="B1126" i="3"/>
  <c r="A1126" i="3"/>
  <c r="Q1125" i="3"/>
  <c r="O1125" i="3"/>
  <c r="N1125" i="3"/>
  <c r="M1125" i="3"/>
  <c r="K1125" i="3"/>
  <c r="J1125" i="3"/>
  <c r="F1125" i="3"/>
  <c r="E1125" i="3"/>
  <c r="D1125" i="3"/>
  <c r="C1125" i="3"/>
  <c r="B1125" i="3"/>
  <c r="Q1124" i="3"/>
  <c r="O1124" i="3"/>
  <c r="N1124" i="3"/>
  <c r="P1124" i="3" s="1"/>
  <c r="T1124" i="3" s="1"/>
  <c r="M1124" i="3"/>
  <c r="K1124" i="3"/>
  <c r="J1124" i="3"/>
  <c r="G1124" i="3"/>
  <c r="F1124" i="3"/>
  <c r="D1124" i="3"/>
  <c r="C1124" i="3"/>
  <c r="E1124" i="3" s="1"/>
  <c r="B1124" i="3"/>
  <c r="A1124" i="3"/>
  <c r="O1123" i="3"/>
  <c r="N1123" i="3"/>
  <c r="M1123" i="3"/>
  <c r="L1123" i="3"/>
  <c r="K1123" i="3"/>
  <c r="J1123" i="3"/>
  <c r="G1123" i="3"/>
  <c r="F1123" i="3"/>
  <c r="E1123" i="3"/>
  <c r="D1123" i="3"/>
  <c r="C1123" i="3"/>
  <c r="Q1123" i="3" s="1"/>
  <c r="B1123" i="3"/>
  <c r="A1123" i="3"/>
  <c r="Q1122" i="3"/>
  <c r="O1122" i="3"/>
  <c r="N1122" i="3"/>
  <c r="M1122" i="3"/>
  <c r="K1122" i="3"/>
  <c r="J1122" i="3"/>
  <c r="F1122" i="3"/>
  <c r="E1122" i="3"/>
  <c r="D1122" i="3"/>
  <c r="C1122" i="3"/>
  <c r="B1122" i="3"/>
  <c r="O1121" i="3"/>
  <c r="N1121" i="3"/>
  <c r="M1121" i="3"/>
  <c r="K1121" i="3"/>
  <c r="J1121" i="3"/>
  <c r="G1121" i="3"/>
  <c r="C1121" i="3"/>
  <c r="E1121" i="3" s="1"/>
  <c r="A1121" i="3"/>
  <c r="O1120" i="3"/>
  <c r="N1120" i="3"/>
  <c r="M1120" i="3"/>
  <c r="L1120" i="3"/>
  <c r="K1120" i="3"/>
  <c r="J1120" i="3"/>
  <c r="G1120" i="3"/>
  <c r="F1120" i="3"/>
  <c r="E1120" i="3"/>
  <c r="D1120" i="3"/>
  <c r="C1120" i="3"/>
  <c r="Q1120" i="3" s="1"/>
  <c r="B1120" i="3"/>
  <c r="A1120" i="3"/>
  <c r="O1119" i="3"/>
  <c r="N1119" i="3"/>
  <c r="M1119" i="3"/>
  <c r="K1119" i="3"/>
  <c r="J1119" i="3"/>
  <c r="F1119" i="3"/>
  <c r="C1119" i="3"/>
  <c r="Q1119" i="3" s="1"/>
  <c r="O1118" i="3"/>
  <c r="N1118" i="3"/>
  <c r="M1118" i="3"/>
  <c r="K1118" i="3"/>
  <c r="J1118" i="3"/>
  <c r="C1118" i="3"/>
  <c r="O1117" i="3"/>
  <c r="N1117" i="3"/>
  <c r="M1117" i="3"/>
  <c r="L1117" i="3"/>
  <c r="K1117" i="3"/>
  <c r="J1117" i="3"/>
  <c r="G1117" i="3"/>
  <c r="F1117" i="3"/>
  <c r="E1117" i="3"/>
  <c r="D1117" i="3"/>
  <c r="C1117" i="3"/>
  <c r="Q1117" i="3" s="1"/>
  <c r="B1117" i="3"/>
  <c r="A1117" i="3"/>
  <c r="O1116" i="3"/>
  <c r="N1116" i="3"/>
  <c r="M1116" i="3"/>
  <c r="K1116" i="3"/>
  <c r="J1116" i="3"/>
  <c r="C1116" i="3"/>
  <c r="B1116" i="3"/>
  <c r="Q1115" i="3"/>
  <c r="O1115" i="3"/>
  <c r="N1115" i="3"/>
  <c r="M1115" i="3"/>
  <c r="K1115" i="3"/>
  <c r="J1115" i="3"/>
  <c r="G1115" i="3"/>
  <c r="F1115" i="3"/>
  <c r="D1115" i="3"/>
  <c r="C1115" i="3"/>
  <c r="E1115" i="3" s="1"/>
  <c r="B1115" i="3"/>
  <c r="A1115" i="3"/>
  <c r="O1114" i="3"/>
  <c r="N1114" i="3"/>
  <c r="M1114" i="3"/>
  <c r="L1114" i="3"/>
  <c r="K1114" i="3"/>
  <c r="J1114" i="3"/>
  <c r="G1114" i="3"/>
  <c r="F1114" i="3"/>
  <c r="E1114" i="3"/>
  <c r="D1114" i="3"/>
  <c r="C1114" i="3"/>
  <c r="Q1114" i="3" s="1"/>
  <c r="B1114" i="3"/>
  <c r="A1114" i="3"/>
  <c r="Q1113" i="3"/>
  <c r="O1113" i="3"/>
  <c r="N1113" i="3"/>
  <c r="M1113" i="3"/>
  <c r="K1113" i="3"/>
  <c r="J1113" i="3"/>
  <c r="F1113" i="3"/>
  <c r="E1113" i="3"/>
  <c r="D1113" i="3"/>
  <c r="C1113" i="3"/>
  <c r="B1113" i="3"/>
  <c r="O1112" i="3"/>
  <c r="N1112" i="3"/>
  <c r="M1112" i="3"/>
  <c r="K1112" i="3"/>
  <c r="J1112" i="3"/>
  <c r="G1112" i="3"/>
  <c r="C1112" i="3"/>
  <c r="E1112" i="3" s="1"/>
  <c r="A1112" i="3"/>
  <c r="O1111" i="3"/>
  <c r="N1111" i="3"/>
  <c r="M1111" i="3"/>
  <c r="L1111" i="3"/>
  <c r="K1111" i="3"/>
  <c r="J1111" i="3"/>
  <c r="G1111" i="3"/>
  <c r="F1111" i="3"/>
  <c r="E1111" i="3"/>
  <c r="D1111" i="3"/>
  <c r="C1111" i="3"/>
  <c r="Q1111" i="3" s="1"/>
  <c r="B1111" i="3"/>
  <c r="A1111" i="3"/>
  <c r="O1110" i="3"/>
  <c r="N1110" i="3"/>
  <c r="M1110" i="3"/>
  <c r="K1110" i="3"/>
  <c r="J1110" i="3"/>
  <c r="F1110" i="3"/>
  <c r="C1110" i="3"/>
  <c r="Q1110" i="3" s="1"/>
  <c r="O1109" i="3"/>
  <c r="N1109" i="3"/>
  <c r="M1109" i="3"/>
  <c r="K1109" i="3"/>
  <c r="J1109" i="3"/>
  <c r="C1109" i="3"/>
  <c r="B1109" i="3"/>
  <c r="O1108" i="3"/>
  <c r="N1108" i="3"/>
  <c r="M1108" i="3"/>
  <c r="L1108" i="3"/>
  <c r="K1108" i="3"/>
  <c r="J1108" i="3"/>
  <c r="G1108" i="3"/>
  <c r="F1108" i="3"/>
  <c r="E1108" i="3"/>
  <c r="D1108" i="3"/>
  <c r="C1108" i="3"/>
  <c r="Q1108" i="3" s="1"/>
  <c r="B1108" i="3"/>
  <c r="A1108" i="3"/>
  <c r="Q1107" i="3"/>
  <c r="O1107" i="3"/>
  <c r="N1107" i="3"/>
  <c r="P1107" i="3" s="1"/>
  <c r="T1107" i="3" s="1"/>
  <c r="M1107" i="3"/>
  <c r="L1107" i="3"/>
  <c r="K1107" i="3"/>
  <c r="J1107" i="3"/>
  <c r="C1107" i="3"/>
  <c r="B1107" i="3"/>
  <c r="Q1106" i="3"/>
  <c r="O1106" i="3"/>
  <c r="N1106" i="3"/>
  <c r="M1106" i="3"/>
  <c r="K1106" i="3"/>
  <c r="J1106" i="3"/>
  <c r="G1106" i="3"/>
  <c r="F1106" i="3"/>
  <c r="D1106" i="3"/>
  <c r="C1106" i="3"/>
  <c r="E1106" i="3" s="1"/>
  <c r="B1106" i="3"/>
  <c r="A1106" i="3"/>
  <c r="O1105" i="3"/>
  <c r="P1105" i="3" s="1"/>
  <c r="T1105" i="3" s="1"/>
  <c r="N1105" i="3"/>
  <c r="M1105" i="3"/>
  <c r="L1105" i="3"/>
  <c r="K1105" i="3"/>
  <c r="J1105" i="3"/>
  <c r="G1105" i="3"/>
  <c r="F1105" i="3"/>
  <c r="E1105" i="3"/>
  <c r="D1105" i="3"/>
  <c r="C1105" i="3"/>
  <c r="Q1105" i="3" s="1"/>
  <c r="B1105" i="3"/>
  <c r="A1105" i="3"/>
  <c r="Q1104" i="3"/>
  <c r="O1104" i="3"/>
  <c r="N1104" i="3"/>
  <c r="M1104" i="3"/>
  <c r="K1104" i="3"/>
  <c r="J1104" i="3"/>
  <c r="F1104" i="3"/>
  <c r="E1104" i="3"/>
  <c r="D1104" i="3"/>
  <c r="C1104" i="3"/>
  <c r="B1104" i="3"/>
  <c r="O1103" i="3"/>
  <c r="N1103" i="3"/>
  <c r="P1103" i="3" s="1"/>
  <c r="T1103" i="3" s="1"/>
  <c r="M1103" i="3"/>
  <c r="K1103" i="3"/>
  <c r="J1103" i="3"/>
  <c r="G1103" i="3"/>
  <c r="C1103" i="3"/>
  <c r="E1103" i="3" s="1"/>
  <c r="A1103" i="3"/>
  <c r="O1102" i="3"/>
  <c r="N1102" i="3"/>
  <c r="M1102" i="3"/>
  <c r="L1102" i="3"/>
  <c r="K1102" i="3"/>
  <c r="J1102" i="3"/>
  <c r="G1102" i="3"/>
  <c r="F1102" i="3"/>
  <c r="E1102" i="3"/>
  <c r="D1102" i="3"/>
  <c r="C1102" i="3"/>
  <c r="Q1102" i="3" s="1"/>
  <c r="B1102" i="3"/>
  <c r="A1102" i="3"/>
  <c r="O1101" i="3"/>
  <c r="N1101" i="3"/>
  <c r="M1101" i="3"/>
  <c r="K1101" i="3"/>
  <c r="J1101" i="3"/>
  <c r="F1101" i="3"/>
  <c r="C1101" i="3"/>
  <c r="Q1101" i="3" s="1"/>
  <c r="Q1100" i="3"/>
  <c r="O1100" i="3"/>
  <c r="N1100" i="3"/>
  <c r="M1100" i="3"/>
  <c r="L1100" i="3"/>
  <c r="K1100" i="3"/>
  <c r="J1100" i="3"/>
  <c r="C1100" i="3"/>
  <c r="B1100" i="3"/>
  <c r="O1099" i="3"/>
  <c r="N1099" i="3"/>
  <c r="P1099" i="3" s="1"/>
  <c r="T1099" i="3" s="1"/>
  <c r="M1099" i="3"/>
  <c r="L1099" i="3"/>
  <c r="K1099" i="3"/>
  <c r="J1099" i="3"/>
  <c r="G1099" i="3"/>
  <c r="F1099" i="3"/>
  <c r="E1099" i="3"/>
  <c r="D1099" i="3"/>
  <c r="C1099" i="3"/>
  <c r="Q1099" i="3" s="1"/>
  <c r="B1099" i="3"/>
  <c r="A1099" i="3"/>
  <c r="O1098" i="3"/>
  <c r="N1098" i="3"/>
  <c r="M1098" i="3"/>
  <c r="L1098" i="3"/>
  <c r="K1098" i="3"/>
  <c r="J1098" i="3"/>
  <c r="C1098" i="3"/>
  <c r="B1098" i="3" s="1"/>
  <c r="Q1097" i="3"/>
  <c r="O1097" i="3"/>
  <c r="N1097" i="3"/>
  <c r="M1097" i="3"/>
  <c r="K1097" i="3"/>
  <c r="J1097" i="3"/>
  <c r="G1097" i="3"/>
  <c r="F1097" i="3"/>
  <c r="D1097" i="3"/>
  <c r="C1097" i="3"/>
  <c r="E1097" i="3" s="1"/>
  <c r="B1097" i="3"/>
  <c r="A1097" i="3"/>
  <c r="O1096" i="3"/>
  <c r="N1096" i="3"/>
  <c r="M1096" i="3"/>
  <c r="L1096" i="3"/>
  <c r="K1096" i="3"/>
  <c r="J1096" i="3"/>
  <c r="G1096" i="3"/>
  <c r="F1096" i="3"/>
  <c r="E1096" i="3"/>
  <c r="D1096" i="3"/>
  <c r="C1096" i="3"/>
  <c r="Q1096" i="3" s="1"/>
  <c r="B1096" i="3"/>
  <c r="A1096" i="3"/>
  <c r="Q1095" i="3"/>
  <c r="O1095" i="3"/>
  <c r="N1095" i="3"/>
  <c r="M1095" i="3"/>
  <c r="K1095" i="3"/>
  <c r="J1095" i="3"/>
  <c r="F1095" i="3"/>
  <c r="E1095" i="3"/>
  <c r="D1095" i="3"/>
  <c r="C1095" i="3"/>
  <c r="B1095" i="3"/>
  <c r="O1094" i="3"/>
  <c r="N1094" i="3"/>
  <c r="P1094" i="3" s="1"/>
  <c r="T1094" i="3" s="1"/>
  <c r="M1094" i="3"/>
  <c r="K1094" i="3"/>
  <c r="J1094" i="3"/>
  <c r="G1094" i="3"/>
  <c r="C1094" i="3"/>
  <c r="E1094" i="3" s="1"/>
  <c r="A1094" i="3"/>
  <c r="O1093" i="3"/>
  <c r="N1093" i="3"/>
  <c r="M1093" i="3"/>
  <c r="L1093" i="3"/>
  <c r="K1093" i="3"/>
  <c r="J1093" i="3"/>
  <c r="G1093" i="3"/>
  <c r="F1093" i="3"/>
  <c r="E1093" i="3"/>
  <c r="D1093" i="3"/>
  <c r="C1093" i="3"/>
  <c r="Q1093" i="3" s="1"/>
  <c r="B1093" i="3"/>
  <c r="A1093" i="3"/>
  <c r="O1092" i="3"/>
  <c r="N1092" i="3"/>
  <c r="M1092" i="3"/>
  <c r="K1092" i="3"/>
  <c r="J1092" i="3"/>
  <c r="F1092" i="3"/>
  <c r="C1092" i="3"/>
  <c r="Q1092" i="3" s="1"/>
  <c r="O1091" i="3"/>
  <c r="N1091" i="3"/>
  <c r="P1091" i="3" s="1"/>
  <c r="T1091" i="3" s="1"/>
  <c r="M1091" i="3"/>
  <c r="L1091" i="3"/>
  <c r="K1091" i="3"/>
  <c r="J1091" i="3"/>
  <c r="C1091" i="3"/>
  <c r="B1091" i="3" s="1"/>
  <c r="O1090" i="3"/>
  <c r="N1090" i="3"/>
  <c r="M1090" i="3"/>
  <c r="L1090" i="3"/>
  <c r="K1090" i="3"/>
  <c r="J1090" i="3"/>
  <c r="G1090" i="3"/>
  <c r="F1090" i="3"/>
  <c r="E1090" i="3"/>
  <c r="D1090" i="3"/>
  <c r="C1090" i="3"/>
  <c r="Q1090" i="3" s="1"/>
  <c r="B1090" i="3"/>
  <c r="A1090" i="3"/>
  <c r="Q1089" i="3"/>
  <c r="O1089" i="3"/>
  <c r="N1089" i="3"/>
  <c r="M1089" i="3"/>
  <c r="L1089" i="3"/>
  <c r="K1089" i="3"/>
  <c r="J1089" i="3"/>
  <c r="C1089" i="3"/>
  <c r="B1089" i="3"/>
  <c r="Q1088" i="3"/>
  <c r="O1088" i="3"/>
  <c r="N1088" i="3"/>
  <c r="P1088" i="3" s="1"/>
  <c r="T1088" i="3" s="1"/>
  <c r="M1088" i="3"/>
  <c r="K1088" i="3"/>
  <c r="J1088" i="3"/>
  <c r="G1088" i="3"/>
  <c r="F1088" i="3"/>
  <c r="D1088" i="3"/>
  <c r="C1088" i="3"/>
  <c r="E1088" i="3" s="1"/>
  <c r="B1088" i="3"/>
  <c r="A1088" i="3"/>
  <c r="O1087" i="3"/>
  <c r="N1087" i="3"/>
  <c r="M1087" i="3"/>
  <c r="L1087" i="3"/>
  <c r="K1087" i="3"/>
  <c r="J1087" i="3"/>
  <c r="G1087" i="3"/>
  <c r="F1087" i="3"/>
  <c r="E1087" i="3"/>
  <c r="D1087" i="3"/>
  <c r="C1087" i="3"/>
  <c r="Q1087" i="3" s="1"/>
  <c r="B1087" i="3"/>
  <c r="A1087" i="3"/>
  <c r="Q1086" i="3"/>
  <c r="O1086" i="3"/>
  <c r="N1086" i="3"/>
  <c r="M1086" i="3"/>
  <c r="K1086" i="3"/>
  <c r="J1086" i="3"/>
  <c r="F1086" i="3"/>
  <c r="E1086" i="3"/>
  <c r="D1086" i="3"/>
  <c r="C1086" i="3"/>
  <c r="B1086" i="3"/>
  <c r="O1085" i="3"/>
  <c r="N1085" i="3"/>
  <c r="M1085" i="3"/>
  <c r="K1085" i="3"/>
  <c r="J1085" i="3"/>
  <c r="G1085" i="3"/>
  <c r="C1085" i="3"/>
  <c r="E1085" i="3" s="1"/>
  <c r="A1085" i="3"/>
  <c r="O1084" i="3"/>
  <c r="N1084" i="3"/>
  <c r="M1084" i="3"/>
  <c r="L1084" i="3"/>
  <c r="K1084" i="3"/>
  <c r="J1084" i="3"/>
  <c r="G1084" i="3"/>
  <c r="F1084" i="3"/>
  <c r="E1084" i="3"/>
  <c r="D1084" i="3"/>
  <c r="C1084" i="3"/>
  <c r="Q1084" i="3" s="1"/>
  <c r="B1084" i="3"/>
  <c r="A1084" i="3"/>
  <c r="O1083" i="3"/>
  <c r="N1083" i="3"/>
  <c r="M1083" i="3"/>
  <c r="K1083" i="3"/>
  <c r="J1083" i="3"/>
  <c r="F1083" i="3"/>
  <c r="C1083" i="3"/>
  <c r="Q1083" i="3" s="1"/>
  <c r="Q1082" i="3"/>
  <c r="O1082" i="3"/>
  <c r="N1082" i="3"/>
  <c r="M1082" i="3"/>
  <c r="L1082" i="3"/>
  <c r="K1082" i="3"/>
  <c r="J1082" i="3"/>
  <c r="C1082" i="3"/>
  <c r="B1082" i="3"/>
  <c r="O1081" i="3"/>
  <c r="N1081" i="3"/>
  <c r="P1081" i="3" s="1"/>
  <c r="T1081" i="3" s="1"/>
  <c r="M1081" i="3"/>
  <c r="L1081" i="3"/>
  <c r="K1081" i="3"/>
  <c r="J1081" i="3"/>
  <c r="G1081" i="3"/>
  <c r="F1081" i="3"/>
  <c r="E1081" i="3"/>
  <c r="D1081" i="3"/>
  <c r="C1081" i="3"/>
  <c r="Q1081" i="3" s="1"/>
  <c r="B1081" i="3"/>
  <c r="A1081" i="3"/>
  <c r="Q1080" i="3"/>
  <c r="O1080" i="3"/>
  <c r="N1080" i="3"/>
  <c r="M1080" i="3"/>
  <c r="K1080" i="3"/>
  <c r="J1080" i="3"/>
  <c r="C1080" i="3"/>
  <c r="B1080" i="3" s="1"/>
  <c r="Q1079" i="3"/>
  <c r="O1079" i="3"/>
  <c r="N1079" i="3"/>
  <c r="M1079" i="3"/>
  <c r="K1079" i="3"/>
  <c r="J1079" i="3"/>
  <c r="G1079" i="3"/>
  <c r="F1079" i="3"/>
  <c r="D1079" i="3"/>
  <c r="C1079" i="3"/>
  <c r="E1079" i="3" s="1"/>
  <c r="B1079" i="3"/>
  <c r="A1079" i="3"/>
  <c r="O1078" i="3"/>
  <c r="N1078" i="3"/>
  <c r="M1078" i="3"/>
  <c r="L1078" i="3"/>
  <c r="K1078" i="3"/>
  <c r="J1078" i="3"/>
  <c r="G1078" i="3"/>
  <c r="F1078" i="3"/>
  <c r="E1078" i="3"/>
  <c r="D1078" i="3"/>
  <c r="C1078" i="3"/>
  <c r="Q1078" i="3" s="1"/>
  <c r="B1078" i="3"/>
  <c r="A1078" i="3"/>
  <c r="Q1077" i="3"/>
  <c r="O1077" i="3"/>
  <c r="N1077" i="3"/>
  <c r="M1077" i="3"/>
  <c r="K1077" i="3"/>
  <c r="J1077" i="3"/>
  <c r="F1077" i="3"/>
  <c r="E1077" i="3"/>
  <c r="D1077" i="3"/>
  <c r="C1077" i="3"/>
  <c r="B1077" i="3"/>
  <c r="O1076" i="3"/>
  <c r="N1076" i="3"/>
  <c r="M1076" i="3"/>
  <c r="K1076" i="3"/>
  <c r="J1076" i="3"/>
  <c r="G1076" i="3"/>
  <c r="C1076" i="3"/>
  <c r="E1076" i="3" s="1"/>
  <c r="A1076" i="3"/>
  <c r="O1075" i="3"/>
  <c r="N1075" i="3"/>
  <c r="M1075" i="3"/>
  <c r="L1075" i="3"/>
  <c r="K1075" i="3"/>
  <c r="J1075" i="3"/>
  <c r="G1075" i="3"/>
  <c r="F1075" i="3"/>
  <c r="E1075" i="3"/>
  <c r="D1075" i="3"/>
  <c r="C1075" i="3"/>
  <c r="Q1075" i="3" s="1"/>
  <c r="B1075" i="3"/>
  <c r="A1075" i="3"/>
  <c r="O1074" i="3"/>
  <c r="N1074" i="3"/>
  <c r="M1074" i="3"/>
  <c r="K1074" i="3"/>
  <c r="J1074" i="3"/>
  <c r="F1074" i="3"/>
  <c r="C1074" i="3"/>
  <c r="Q1074" i="3" s="1"/>
  <c r="Q1073" i="3"/>
  <c r="O1073" i="3"/>
  <c r="N1073" i="3"/>
  <c r="M1073" i="3"/>
  <c r="K1073" i="3"/>
  <c r="J1073" i="3"/>
  <c r="C1073" i="3"/>
  <c r="B1073" i="3" s="1"/>
  <c r="O1072" i="3"/>
  <c r="N1072" i="3"/>
  <c r="M1072" i="3"/>
  <c r="L1072" i="3"/>
  <c r="K1072" i="3"/>
  <c r="J1072" i="3"/>
  <c r="G1072" i="3"/>
  <c r="F1072" i="3"/>
  <c r="E1072" i="3"/>
  <c r="D1072" i="3"/>
  <c r="C1072" i="3"/>
  <c r="Q1072" i="3" s="1"/>
  <c r="B1072" i="3"/>
  <c r="A1072" i="3"/>
  <c r="O1071" i="3"/>
  <c r="N1071" i="3"/>
  <c r="M1071" i="3"/>
  <c r="K1071" i="3"/>
  <c r="J1071" i="3"/>
  <c r="C1071" i="3"/>
  <c r="Q1070" i="3"/>
  <c r="O1070" i="3"/>
  <c r="N1070" i="3"/>
  <c r="M1070" i="3"/>
  <c r="K1070" i="3"/>
  <c r="J1070" i="3"/>
  <c r="G1070" i="3"/>
  <c r="F1070" i="3"/>
  <c r="D1070" i="3"/>
  <c r="C1070" i="3"/>
  <c r="E1070" i="3" s="1"/>
  <c r="B1070" i="3"/>
  <c r="A1070" i="3"/>
  <c r="O1069" i="3"/>
  <c r="N1069" i="3"/>
  <c r="M1069" i="3"/>
  <c r="L1069" i="3"/>
  <c r="K1069" i="3"/>
  <c r="J1069" i="3"/>
  <c r="G1069" i="3"/>
  <c r="F1069" i="3"/>
  <c r="E1069" i="3"/>
  <c r="D1069" i="3"/>
  <c r="C1069" i="3"/>
  <c r="Q1069" i="3" s="1"/>
  <c r="B1069" i="3"/>
  <c r="A1069" i="3"/>
  <c r="Q1068" i="3"/>
  <c r="O1068" i="3"/>
  <c r="N1068" i="3"/>
  <c r="M1068" i="3"/>
  <c r="K1068" i="3"/>
  <c r="J1068" i="3"/>
  <c r="F1068" i="3"/>
  <c r="E1068" i="3"/>
  <c r="D1068" i="3"/>
  <c r="C1068" i="3"/>
  <c r="B1068" i="3"/>
  <c r="O1067" i="3"/>
  <c r="N1067" i="3"/>
  <c r="P1067" i="3" s="1"/>
  <c r="T1067" i="3" s="1"/>
  <c r="M1067" i="3"/>
  <c r="K1067" i="3"/>
  <c r="J1067" i="3"/>
  <c r="G1067" i="3"/>
  <c r="C1067" i="3"/>
  <c r="E1067" i="3" s="1"/>
  <c r="A1067" i="3"/>
  <c r="O1066" i="3"/>
  <c r="N1066" i="3"/>
  <c r="M1066" i="3"/>
  <c r="L1066" i="3"/>
  <c r="K1066" i="3"/>
  <c r="J1066" i="3"/>
  <c r="G1066" i="3"/>
  <c r="F1066" i="3"/>
  <c r="E1066" i="3"/>
  <c r="D1066" i="3"/>
  <c r="C1066" i="3"/>
  <c r="Q1066" i="3" s="1"/>
  <c r="B1066" i="3"/>
  <c r="A1066" i="3"/>
  <c r="O1065" i="3"/>
  <c r="N1065" i="3"/>
  <c r="M1065" i="3"/>
  <c r="K1065" i="3"/>
  <c r="J1065" i="3"/>
  <c r="F1065" i="3"/>
  <c r="C1065" i="3"/>
  <c r="Q1065" i="3" s="1"/>
  <c r="O1064" i="3"/>
  <c r="N1064" i="3"/>
  <c r="M1064" i="3"/>
  <c r="K1064" i="3"/>
  <c r="J1064" i="3"/>
  <c r="C1064" i="3"/>
  <c r="O1063" i="3"/>
  <c r="N1063" i="3"/>
  <c r="M1063" i="3"/>
  <c r="L1063" i="3"/>
  <c r="K1063" i="3"/>
  <c r="J1063" i="3"/>
  <c r="G1063" i="3"/>
  <c r="F1063" i="3"/>
  <c r="E1063" i="3"/>
  <c r="D1063" i="3"/>
  <c r="C1063" i="3"/>
  <c r="Q1063" i="3" s="1"/>
  <c r="B1063" i="3"/>
  <c r="A1063" i="3"/>
  <c r="O1062" i="3"/>
  <c r="N1062" i="3"/>
  <c r="M1062" i="3"/>
  <c r="K1062" i="3"/>
  <c r="J1062" i="3"/>
  <c r="C1062" i="3"/>
  <c r="B1062" i="3"/>
  <c r="Q1061" i="3"/>
  <c r="O1061" i="3"/>
  <c r="N1061" i="3"/>
  <c r="M1061" i="3"/>
  <c r="K1061" i="3"/>
  <c r="J1061" i="3"/>
  <c r="G1061" i="3"/>
  <c r="F1061" i="3"/>
  <c r="D1061" i="3"/>
  <c r="C1061" i="3"/>
  <c r="E1061" i="3" s="1"/>
  <c r="B1061" i="3"/>
  <c r="A1061" i="3"/>
  <c r="O1060" i="3"/>
  <c r="N1060" i="3"/>
  <c r="M1060" i="3"/>
  <c r="L1060" i="3"/>
  <c r="K1060" i="3"/>
  <c r="J1060" i="3"/>
  <c r="G1060" i="3"/>
  <c r="F1060" i="3"/>
  <c r="E1060" i="3"/>
  <c r="D1060" i="3"/>
  <c r="C1060" i="3"/>
  <c r="Q1060" i="3" s="1"/>
  <c r="B1060" i="3"/>
  <c r="A1060" i="3"/>
  <c r="Q1059" i="3"/>
  <c r="O1059" i="3"/>
  <c r="N1059" i="3"/>
  <c r="M1059" i="3"/>
  <c r="K1059" i="3"/>
  <c r="J1059" i="3"/>
  <c r="F1059" i="3"/>
  <c r="E1059" i="3"/>
  <c r="D1059" i="3"/>
  <c r="C1059" i="3"/>
  <c r="B1059" i="3"/>
  <c r="O1058" i="3"/>
  <c r="N1058" i="3"/>
  <c r="M1058" i="3"/>
  <c r="K1058" i="3"/>
  <c r="J1058" i="3"/>
  <c r="G1058" i="3"/>
  <c r="C1058" i="3"/>
  <c r="E1058" i="3" s="1"/>
  <c r="A1058" i="3"/>
  <c r="O1057" i="3"/>
  <c r="N1057" i="3"/>
  <c r="M1057" i="3"/>
  <c r="L1057" i="3"/>
  <c r="K1057" i="3"/>
  <c r="J1057" i="3"/>
  <c r="G1057" i="3"/>
  <c r="F1057" i="3"/>
  <c r="E1057" i="3"/>
  <c r="D1057" i="3"/>
  <c r="C1057" i="3"/>
  <c r="Q1057" i="3" s="1"/>
  <c r="B1057" i="3"/>
  <c r="A1057" i="3"/>
  <c r="O1056" i="3"/>
  <c r="N1056" i="3"/>
  <c r="M1056" i="3"/>
  <c r="K1056" i="3"/>
  <c r="J1056" i="3"/>
  <c r="F1056" i="3"/>
  <c r="C1056" i="3"/>
  <c r="Q1056" i="3" s="1"/>
  <c r="O1055" i="3"/>
  <c r="N1055" i="3"/>
  <c r="M1055" i="3"/>
  <c r="K1055" i="3"/>
  <c r="J1055" i="3"/>
  <c r="C1055" i="3"/>
  <c r="B1055" i="3"/>
  <c r="O1054" i="3"/>
  <c r="N1054" i="3"/>
  <c r="M1054" i="3"/>
  <c r="L1054" i="3"/>
  <c r="K1054" i="3"/>
  <c r="J1054" i="3"/>
  <c r="G1054" i="3"/>
  <c r="F1054" i="3"/>
  <c r="E1054" i="3"/>
  <c r="D1054" i="3"/>
  <c r="C1054" i="3"/>
  <c r="Q1054" i="3" s="1"/>
  <c r="B1054" i="3"/>
  <c r="A1054" i="3"/>
  <c r="Q1053" i="3"/>
  <c r="O1053" i="3"/>
  <c r="N1053" i="3"/>
  <c r="M1053" i="3"/>
  <c r="L1053" i="3"/>
  <c r="K1053" i="3"/>
  <c r="J1053" i="3"/>
  <c r="C1053" i="3"/>
  <c r="B1053" i="3"/>
  <c r="Q1052" i="3"/>
  <c r="O1052" i="3"/>
  <c r="N1052" i="3"/>
  <c r="M1052" i="3"/>
  <c r="K1052" i="3"/>
  <c r="J1052" i="3"/>
  <c r="G1052" i="3"/>
  <c r="F1052" i="3"/>
  <c r="D1052" i="3"/>
  <c r="C1052" i="3"/>
  <c r="E1052" i="3" s="1"/>
  <c r="B1052" i="3"/>
  <c r="A1052" i="3"/>
  <c r="O1051" i="3"/>
  <c r="N1051" i="3"/>
  <c r="M1051" i="3"/>
  <c r="L1051" i="3"/>
  <c r="K1051" i="3"/>
  <c r="J1051" i="3"/>
  <c r="G1051" i="3"/>
  <c r="F1051" i="3"/>
  <c r="E1051" i="3"/>
  <c r="D1051" i="3"/>
  <c r="C1051" i="3"/>
  <c r="Q1051" i="3" s="1"/>
  <c r="B1051" i="3"/>
  <c r="A1051" i="3"/>
  <c r="Q1050" i="3"/>
  <c r="O1050" i="3"/>
  <c r="N1050" i="3"/>
  <c r="M1050" i="3"/>
  <c r="K1050" i="3"/>
  <c r="J1050" i="3"/>
  <c r="F1050" i="3"/>
  <c r="E1050" i="3"/>
  <c r="D1050" i="3"/>
  <c r="C1050" i="3"/>
  <c r="B1050" i="3"/>
  <c r="O1049" i="3"/>
  <c r="N1049" i="3"/>
  <c r="M1049" i="3"/>
  <c r="K1049" i="3"/>
  <c r="J1049" i="3"/>
  <c r="G1049" i="3"/>
  <c r="C1049" i="3"/>
  <c r="E1049" i="3" s="1"/>
  <c r="A1049" i="3"/>
  <c r="O1048" i="3"/>
  <c r="N1048" i="3"/>
  <c r="M1048" i="3"/>
  <c r="L1048" i="3"/>
  <c r="K1048" i="3"/>
  <c r="J1048" i="3"/>
  <c r="G1048" i="3"/>
  <c r="F1048" i="3"/>
  <c r="E1048" i="3"/>
  <c r="D1048" i="3"/>
  <c r="C1048" i="3"/>
  <c r="Q1048" i="3" s="1"/>
  <c r="B1048" i="3"/>
  <c r="A1048" i="3"/>
  <c r="O1047" i="3"/>
  <c r="N1047" i="3"/>
  <c r="P1047" i="3" s="1"/>
  <c r="T1047" i="3" s="1"/>
  <c r="M1047" i="3"/>
  <c r="K1047" i="3"/>
  <c r="J1047" i="3"/>
  <c r="C1047" i="3"/>
  <c r="L1047" i="3" s="1"/>
  <c r="O1046" i="3"/>
  <c r="N1046" i="3"/>
  <c r="P1046" i="3" s="1"/>
  <c r="T1046" i="3" s="1"/>
  <c r="M1046" i="3"/>
  <c r="L1046" i="3"/>
  <c r="K1046" i="3"/>
  <c r="J1046" i="3"/>
  <c r="F1046" i="3"/>
  <c r="C1046" i="3"/>
  <c r="Q1046" i="3" s="1"/>
  <c r="B1046" i="3"/>
  <c r="O1045" i="3"/>
  <c r="P1045" i="3" s="1"/>
  <c r="T1045" i="3" s="1"/>
  <c r="N1045" i="3"/>
  <c r="M1045" i="3"/>
  <c r="L1045" i="3"/>
  <c r="K1045" i="3"/>
  <c r="J1045" i="3"/>
  <c r="G1045" i="3"/>
  <c r="F1045" i="3"/>
  <c r="E1045" i="3"/>
  <c r="D1045" i="3"/>
  <c r="C1045" i="3"/>
  <c r="Q1045" i="3" s="1"/>
  <c r="B1045" i="3"/>
  <c r="A1045" i="3"/>
  <c r="Q1044" i="3"/>
  <c r="O1044" i="3"/>
  <c r="N1044" i="3"/>
  <c r="M1044" i="3"/>
  <c r="K1044" i="3"/>
  <c r="J1044" i="3"/>
  <c r="C1044" i="3"/>
  <c r="L1044" i="3" s="1"/>
  <c r="B1044" i="3"/>
  <c r="Q1043" i="3"/>
  <c r="O1043" i="3"/>
  <c r="N1043" i="3"/>
  <c r="M1043" i="3"/>
  <c r="K1043" i="3"/>
  <c r="J1043" i="3"/>
  <c r="G1043" i="3"/>
  <c r="F1043" i="3"/>
  <c r="D1043" i="3"/>
  <c r="C1043" i="3"/>
  <c r="E1043" i="3" s="1"/>
  <c r="B1043" i="3"/>
  <c r="A1043" i="3"/>
  <c r="O1042" i="3"/>
  <c r="N1042" i="3"/>
  <c r="M1042" i="3"/>
  <c r="L1042" i="3"/>
  <c r="K1042" i="3"/>
  <c r="J1042" i="3"/>
  <c r="G1042" i="3"/>
  <c r="F1042" i="3"/>
  <c r="E1042" i="3"/>
  <c r="D1042" i="3"/>
  <c r="C1042" i="3"/>
  <c r="Q1042" i="3" s="1"/>
  <c r="B1042" i="3"/>
  <c r="A1042" i="3"/>
  <c r="Q1041" i="3"/>
  <c r="O1041" i="3"/>
  <c r="P1041" i="3" s="1"/>
  <c r="T1041" i="3" s="1"/>
  <c r="N1041" i="3"/>
  <c r="M1041" i="3"/>
  <c r="K1041" i="3"/>
  <c r="J1041" i="3"/>
  <c r="F1041" i="3"/>
  <c r="E1041" i="3"/>
  <c r="D1041" i="3"/>
  <c r="C1041" i="3"/>
  <c r="B1041" i="3"/>
  <c r="O1040" i="3"/>
  <c r="N1040" i="3"/>
  <c r="M1040" i="3"/>
  <c r="L1040" i="3"/>
  <c r="K1040" i="3"/>
  <c r="J1040" i="3"/>
  <c r="G1040" i="3"/>
  <c r="C1040" i="3"/>
  <c r="A1040" i="3" s="1"/>
  <c r="O1039" i="3"/>
  <c r="N1039" i="3"/>
  <c r="M1039" i="3"/>
  <c r="L1039" i="3"/>
  <c r="K1039" i="3"/>
  <c r="J1039" i="3"/>
  <c r="G1039" i="3"/>
  <c r="F1039" i="3"/>
  <c r="E1039" i="3"/>
  <c r="D1039" i="3"/>
  <c r="C1039" i="3"/>
  <c r="Q1039" i="3" s="1"/>
  <c r="B1039" i="3"/>
  <c r="A1039" i="3"/>
  <c r="O1038" i="3"/>
  <c r="N1038" i="3"/>
  <c r="M1038" i="3"/>
  <c r="L1038" i="3"/>
  <c r="K1038" i="3"/>
  <c r="J1038" i="3"/>
  <c r="F1038" i="3"/>
  <c r="C1038" i="3"/>
  <c r="O1037" i="3"/>
  <c r="N1037" i="3"/>
  <c r="M1037" i="3"/>
  <c r="K1037" i="3"/>
  <c r="J1037" i="3"/>
  <c r="C1037" i="3"/>
  <c r="B1037" i="3" s="1"/>
  <c r="O1036" i="3"/>
  <c r="N1036" i="3"/>
  <c r="M1036" i="3"/>
  <c r="L1036" i="3"/>
  <c r="K1036" i="3"/>
  <c r="J1036" i="3"/>
  <c r="G1036" i="3"/>
  <c r="F1036" i="3"/>
  <c r="E1036" i="3"/>
  <c r="D1036" i="3"/>
  <c r="C1036" i="3"/>
  <c r="Q1036" i="3" s="1"/>
  <c r="B1036" i="3"/>
  <c r="A1036" i="3"/>
  <c r="Q1035" i="3"/>
  <c r="O1035" i="3"/>
  <c r="N1035" i="3"/>
  <c r="P1035" i="3" s="1"/>
  <c r="T1035" i="3" s="1"/>
  <c r="M1035" i="3"/>
  <c r="L1035" i="3"/>
  <c r="K1035" i="3"/>
  <c r="J1035" i="3"/>
  <c r="E1035" i="3"/>
  <c r="C1035" i="3"/>
  <c r="B1035" i="3" s="1"/>
  <c r="Q1034" i="3"/>
  <c r="O1034" i="3"/>
  <c r="N1034" i="3"/>
  <c r="P1034" i="3" s="1"/>
  <c r="T1034" i="3" s="1"/>
  <c r="M1034" i="3"/>
  <c r="K1034" i="3"/>
  <c r="J1034" i="3"/>
  <c r="G1034" i="3"/>
  <c r="F1034" i="3"/>
  <c r="D1034" i="3"/>
  <c r="C1034" i="3"/>
  <c r="E1034" i="3" s="1"/>
  <c r="B1034" i="3"/>
  <c r="A1034" i="3"/>
  <c r="O1033" i="3"/>
  <c r="P1033" i="3" s="1"/>
  <c r="T1033" i="3" s="1"/>
  <c r="N1033" i="3"/>
  <c r="M1033" i="3"/>
  <c r="L1033" i="3"/>
  <c r="K1033" i="3"/>
  <c r="J1033" i="3"/>
  <c r="G1033" i="3"/>
  <c r="F1033" i="3"/>
  <c r="E1033" i="3"/>
  <c r="D1033" i="3"/>
  <c r="C1033" i="3"/>
  <c r="Q1033" i="3" s="1"/>
  <c r="B1033" i="3"/>
  <c r="A1033" i="3"/>
  <c r="Q1032" i="3"/>
  <c r="O1032" i="3"/>
  <c r="N1032" i="3"/>
  <c r="M1032" i="3"/>
  <c r="K1032" i="3"/>
  <c r="J1032" i="3"/>
  <c r="F1032" i="3"/>
  <c r="E1032" i="3"/>
  <c r="D1032" i="3"/>
  <c r="C1032" i="3"/>
  <c r="B1032" i="3"/>
  <c r="O1031" i="3"/>
  <c r="N1031" i="3"/>
  <c r="M1031" i="3"/>
  <c r="K1031" i="3"/>
  <c r="J1031" i="3"/>
  <c r="C1031" i="3"/>
  <c r="O1030" i="3"/>
  <c r="N1030" i="3"/>
  <c r="M1030" i="3"/>
  <c r="L1030" i="3"/>
  <c r="K1030" i="3"/>
  <c r="J1030" i="3"/>
  <c r="G1030" i="3"/>
  <c r="F1030" i="3"/>
  <c r="E1030" i="3"/>
  <c r="D1030" i="3"/>
  <c r="C1030" i="3"/>
  <c r="Q1030" i="3" s="1"/>
  <c r="B1030" i="3"/>
  <c r="A1030" i="3"/>
  <c r="O1029" i="3"/>
  <c r="N1029" i="3"/>
  <c r="M1029" i="3"/>
  <c r="L1029" i="3"/>
  <c r="K1029" i="3"/>
  <c r="J1029" i="3"/>
  <c r="F1029" i="3"/>
  <c r="C1029" i="3"/>
  <c r="Q1028" i="3"/>
  <c r="O1028" i="3"/>
  <c r="N1028" i="3"/>
  <c r="P1028" i="3" s="1"/>
  <c r="T1028" i="3" s="1"/>
  <c r="M1028" i="3"/>
  <c r="L1028" i="3"/>
  <c r="K1028" i="3"/>
  <c r="J1028" i="3"/>
  <c r="F1028" i="3"/>
  <c r="C1028" i="3"/>
  <c r="B1028" i="3"/>
  <c r="O1027" i="3"/>
  <c r="N1027" i="3"/>
  <c r="P1027" i="3" s="1"/>
  <c r="T1027" i="3" s="1"/>
  <c r="M1027" i="3"/>
  <c r="L1027" i="3"/>
  <c r="K1027" i="3"/>
  <c r="J1027" i="3"/>
  <c r="G1027" i="3"/>
  <c r="F1027" i="3"/>
  <c r="E1027" i="3"/>
  <c r="D1027" i="3"/>
  <c r="C1027" i="3"/>
  <c r="Q1027" i="3" s="1"/>
  <c r="B1027" i="3"/>
  <c r="A1027" i="3"/>
  <c r="O1026" i="3"/>
  <c r="N1026" i="3"/>
  <c r="M1026" i="3"/>
  <c r="K1026" i="3"/>
  <c r="J1026" i="3"/>
  <c r="C1026" i="3"/>
  <c r="Q1025" i="3"/>
  <c r="O1025" i="3"/>
  <c r="N1025" i="3"/>
  <c r="M1025" i="3"/>
  <c r="K1025" i="3"/>
  <c r="J1025" i="3"/>
  <c r="G1025" i="3"/>
  <c r="F1025" i="3"/>
  <c r="D1025" i="3"/>
  <c r="C1025" i="3"/>
  <c r="E1025" i="3" s="1"/>
  <c r="B1025" i="3"/>
  <c r="A1025" i="3"/>
  <c r="O1024" i="3"/>
  <c r="N1024" i="3"/>
  <c r="M1024" i="3"/>
  <c r="L1024" i="3"/>
  <c r="K1024" i="3"/>
  <c r="J1024" i="3"/>
  <c r="G1024" i="3"/>
  <c r="F1024" i="3"/>
  <c r="E1024" i="3"/>
  <c r="D1024" i="3"/>
  <c r="C1024" i="3"/>
  <c r="Q1024" i="3" s="1"/>
  <c r="B1024" i="3"/>
  <c r="A1024" i="3"/>
  <c r="Q1023" i="3"/>
  <c r="O1023" i="3"/>
  <c r="N1023" i="3"/>
  <c r="M1023" i="3"/>
  <c r="K1023" i="3"/>
  <c r="J1023" i="3"/>
  <c r="F1023" i="3"/>
  <c r="E1023" i="3"/>
  <c r="D1023" i="3"/>
  <c r="C1023" i="3"/>
  <c r="B1023" i="3"/>
  <c r="O1022" i="3"/>
  <c r="N1022" i="3"/>
  <c r="M1022" i="3"/>
  <c r="K1022" i="3"/>
  <c r="J1022" i="3"/>
  <c r="C1022" i="3"/>
  <c r="A1022" i="3" s="1"/>
  <c r="O1021" i="3"/>
  <c r="N1021" i="3"/>
  <c r="M1021" i="3"/>
  <c r="L1021" i="3"/>
  <c r="K1021" i="3"/>
  <c r="J1021" i="3"/>
  <c r="G1021" i="3"/>
  <c r="F1021" i="3"/>
  <c r="E1021" i="3"/>
  <c r="D1021" i="3"/>
  <c r="C1021" i="3"/>
  <c r="Q1021" i="3" s="1"/>
  <c r="B1021" i="3"/>
  <c r="A1021" i="3"/>
  <c r="O1020" i="3"/>
  <c r="N1020" i="3"/>
  <c r="P1020" i="3" s="1"/>
  <c r="T1020" i="3" s="1"/>
  <c r="M1020" i="3"/>
  <c r="K1020" i="3"/>
  <c r="J1020" i="3"/>
  <c r="F1020" i="3"/>
  <c r="C1020" i="3"/>
  <c r="L1020" i="3" s="1"/>
  <c r="O1019" i="3"/>
  <c r="N1019" i="3"/>
  <c r="M1019" i="3"/>
  <c r="L1019" i="3"/>
  <c r="K1019" i="3"/>
  <c r="J1019" i="3"/>
  <c r="F1019" i="3"/>
  <c r="C1019" i="3"/>
  <c r="Q1019" i="3" s="1"/>
  <c r="B1019" i="3"/>
  <c r="O1018" i="3"/>
  <c r="N1018" i="3"/>
  <c r="M1018" i="3"/>
  <c r="L1018" i="3"/>
  <c r="K1018" i="3"/>
  <c r="J1018" i="3"/>
  <c r="G1018" i="3"/>
  <c r="F1018" i="3"/>
  <c r="E1018" i="3"/>
  <c r="D1018" i="3"/>
  <c r="C1018" i="3"/>
  <c r="Q1018" i="3" s="1"/>
  <c r="B1018" i="3"/>
  <c r="A1018" i="3"/>
  <c r="Q1017" i="3"/>
  <c r="O1017" i="3"/>
  <c r="N1017" i="3"/>
  <c r="M1017" i="3"/>
  <c r="K1017" i="3"/>
  <c r="J1017" i="3"/>
  <c r="C1017" i="3"/>
  <c r="B1017" i="3" s="1"/>
  <c r="Q1016" i="3"/>
  <c r="O1016" i="3"/>
  <c r="N1016" i="3"/>
  <c r="M1016" i="3"/>
  <c r="K1016" i="3"/>
  <c r="J1016" i="3"/>
  <c r="G1016" i="3"/>
  <c r="F1016" i="3"/>
  <c r="D1016" i="3"/>
  <c r="C1016" i="3"/>
  <c r="E1016" i="3" s="1"/>
  <c r="B1016" i="3"/>
  <c r="A1016" i="3"/>
  <c r="O1015" i="3"/>
  <c r="N1015" i="3"/>
  <c r="M1015" i="3"/>
  <c r="L1015" i="3"/>
  <c r="K1015" i="3"/>
  <c r="J1015" i="3"/>
  <c r="G1015" i="3"/>
  <c r="F1015" i="3"/>
  <c r="E1015" i="3"/>
  <c r="D1015" i="3"/>
  <c r="C1015" i="3"/>
  <c r="Q1015" i="3" s="1"/>
  <c r="B1015" i="3"/>
  <c r="A1015" i="3"/>
  <c r="Q1014" i="3"/>
  <c r="O1014" i="3"/>
  <c r="N1014" i="3"/>
  <c r="M1014" i="3"/>
  <c r="K1014" i="3"/>
  <c r="J1014" i="3"/>
  <c r="F1014" i="3"/>
  <c r="E1014" i="3"/>
  <c r="D1014" i="3"/>
  <c r="C1014" i="3"/>
  <c r="B1014" i="3"/>
  <c r="O1013" i="3"/>
  <c r="N1013" i="3"/>
  <c r="M1013" i="3"/>
  <c r="L1013" i="3"/>
  <c r="K1013" i="3"/>
  <c r="J1013" i="3"/>
  <c r="G1013" i="3"/>
  <c r="C1013" i="3"/>
  <c r="A1013" i="3" s="1"/>
  <c r="O1012" i="3"/>
  <c r="N1012" i="3"/>
  <c r="M1012" i="3"/>
  <c r="L1012" i="3"/>
  <c r="K1012" i="3"/>
  <c r="J1012" i="3"/>
  <c r="G1012" i="3"/>
  <c r="F1012" i="3"/>
  <c r="E1012" i="3"/>
  <c r="D1012" i="3"/>
  <c r="C1012" i="3"/>
  <c r="Q1012" i="3" s="1"/>
  <c r="B1012" i="3"/>
  <c r="A1012" i="3"/>
  <c r="O1011" i="3"/>
  <c r="N1011" i="3"/>
  <c r="M1011" i="3"/>
  <c r="L1011" i="3"/>
  <c r="K1011" i="3"/>
  <c r="J1011" i="3"/>
  <c r="F1011" i="3"/>
  <c r="C1011" i="3"/>
  <c r="O1010" i="3"/>
  <c r="N1010" i="3"/>
  <c r="M1010" i="3"/>
  <c r="K1010" i="3"/>
  <c r="J1010" i="3"/>
  <c r="F1010" i="3"/>
  <c r="C1010" i="3"/>
  <c r="B1010" i="3" s="1"/>
  <c r="O1009" i="3"/>
  <c r="N1009" i="3"/>
  <c r="M1009" i="3"/>
  <c r="L1009" i="3"/>
  <c r="K1009" i="3"/>
  <c r="J1009" i="3"/>
  <c r="G1009" i="3"/>
  <c r="F1009" i="3"/>
  <c r="E1009" i="3"/>
  <c r="D1009" i="3"/>
  <c r="C1009" i="3"/>
  <c r="Q1009" i="3" s="1"/>
  <c r="B1009" i="3"/>
  <c r="A1009" i="3"/>
  <c r="Q1008" i="3"/>
  <c r="O1008" i="3"/>
  <c r="N1008" i="3"/>
  <c r="M1008" i="3"/>
  <c r="L1008" i="3"/>
  <c r="K1008" i="3"/>
  <c r="J1008" i="3"/>
  <c r="E1008" i="3"/>
  <c r="C1008" i="3"/>
  <c r="B1008" i="3" s="1"/>
  <c r="Q1007" i="3"/>
  <c r="O1007" i="3"/>
  <c r="N1007" i="3"/>
  <c r="M1007" i="3"/>
  <c r="K1007" i="3"/>
  <c r="J1007" i="3"/>
  <c r="G1007" i="3"/>
  <c r="F1007" i="3"/>
  <c r="D1007" i="3"/>
  <c r="C1007" i="3"/>
  <c r="E1007" i="3" s="1"/>
  <c r="B1007" i="3"/>
  <c r="A1007" i="3"/>
  <c r="O1006" i="3"/>
  <c r="N1006" i="3"/>
  <c r="M1006" i="3"/>
  <c r="L1006" i="3"/>
  <c r="K1006" i="3"/>
  <c r="J1006" i="3"/>
  <c r="G1006" i="3"/>
  <c r="F1006" i="3"/>
  <c r="E1006" i="3"/>
  <c r="D1006" i="3"/>
  <c r="C1006" i="3"/>
  <c r="Q1006" i="3" s="1"/>
  <c r="B1006" i="3"/>
  <c r="A1006" i="3"/>
  <c r="Q1005" i="3"/>
  <c r="O1005" i="3"/>
  <c r="N1005" i="3"/>
  <c r="M1005" i="3"/>
  <c r="K1005" i="3"/>
  <c r="J1005" i="3"/>
  <c r="F1005" i="3"/>
  <c r="E1005" i="3"/>
  <c r="D1005" i="3"/>
  <c r="C1005" i="3"/>
  <c r="B1005" i="3"/>
  <c r="O1004" i="3"/>
  <c r="N1004" i="3"/>
  <c r="M1004" i="3"/>
  <c r="K1004" i="3"/>
  <c r="J1004" i="3"/>
  <c r="C1004" i="3"/>
  <c r="O1003" i="3"/>
  <c r="N1003" i="3"/>
  <c r="M1003" i="3"/>
  <c r="L1003" i="3"/>
  <c r="K1003" i="3"/>
  <c r="J1003" i="3"/>
  <c r="G1003" i="3"/>
  <c r="F1003" i="3"/>
  <c r="E1003" i="3"/>
  <c r="D1003" i="3"/>
  <c r="C1003" i="3"/>
  <c r="Q1003" i="3" s="1"/>
  <c r="B1003" i="3"/>
  <c r="A1003" i="3"/>
  <c r="O1002" i="3"/>
  <c r="N1002" i="3"/>
  <c r="P1002" i="3" s="1"/>
  <c r="T1002" i="3" s="1"/>
  <c r="M1002" i="3"/>
  <c r="L1002" i="3"/>
  <c r="K1002" i="3"/>
  <c r="J1002" i="3"/>
  <c r="F1002" i="3"/>
  <c r="C1002" i="3"/>
  <c r="Q1001" i="3"/>
  <c r="O1001" i="3"/>
  <c r="N1001" i="3"/>
  <c r="M1001" i="3"/>
  <c r="L1001" i="3"/>
  <c r="K1001" i="3"/>
  <c r="J1001" i="3"/>
  <c r="F1001" i="3"/>
  <c r="C1001" i="3"/>
  <c r="B1001" i="3"/>
  <c r="O1000" i="3"/>
  <c r="N1000" i="3"/>
  <c r="M1000" i="3"/>
  <c r="L1000" i="3"/>
  <c r="K1000" i="3"/>
  <c r="J1000" i="3"/>
  <c r="G1000" i="3"/>
  <c r="F1000" i="3"/>
  <c r="E1000" i="3"/>
  <c r="D1000" i="3"/>
  <c r="C1000" i="3"/>
  <c r="Q1000" i="3" s="1"/>
  <c r="B1000" i="3"/>
  <c r="A1000" i="3"/>
  <c r="O999" i="3"/>
  <c r="N999" i="3"/>
  <c r="M999" i="3"/>
  <c r="K999" i="3"/>
  <c r="J999" i="3"/>
  <c r="C999" i="3"/>
  <c r="Q998" i="3"/>
  <c r="O998" i="3"/>
  <c r="N998" i="3"/>
  <c r="M998" i="3"/>
  <c r="K998" i="3"/>
  <c r="J998" i="3"/>
  <c r="G998" i="3"/>
  <c r="F998" i="3"/>
  <c r="D998" i="3"/>
  <c r="C998" i="3"/>
  <c r="E998" i="3" s="1"/>
  <c r="B998" i="3"/>
  <c r="A998" i="3"/>
  <c r="O997" i="3"/>
  <c r="N997" i="3"/>
  <c r="M997" i="3"/>
  <c r="L997" i="3"/>
  <c r="K997" i="3"/>
  <c r="J997" i="3"/>
  <c r="G997" i="3"/>
  <c r="F997" i="3"/>
  <c r="E997" i="3"/>
  <c r="D997" i="3"/>
  <c r="C997" i="3"/>
  <c r="Q997" i="3" s="1"/>
  <c r="B997" i="3"/>
  <c r="A997" i="3"/>
  <c r="Q996" i="3"/>
  <c r="O996" i="3"/>
  <c r="N996" i="3"/>
  <c r="M996" i="3"/>
  <c r="K996" i="3"/>
  <c r="J996" i="3"/>
  <c r="F996" i="3"/>
  <c r="E996" i="3"/>
  <c r="D996" i="3"/>
  <c r="C996" i="3"/>
  <c r="B996" i="3"/>
  <c r="O995" i="3"/>
  <c r="N995" i="3"/>
  <c r="M995" i="3"/>
  <c r="K995" i="3"/>
  <c r="J995" i="3"/>
  <c r="C995" i="3"/>
  <c r="A995" i="3" s="1"/>
  <c r="O994" i="3"/>
  <c r="N994" i="3"/>
  <c r="M994" i="3"/>
  <c r="L994" i="3"/>
  <c r="K994" i="3"/>
  <c r="J994" i="3"/>
  <c r="G994" i="3"/>
  <c r="F994" i="3"/>
  <c r="E994" i="3"/>
  <c r="D994" i="3"/>
  <c r="C994" i="3"/>
  <c r="Q994" i="3" s="1"/>
  <c r="B994" i="3"/>
  <c r="A994" i="3"/>
  <c r="O993" i="3"/>
  <c r="N993" i="3"/>
  <c r="M993" i="3"/>
  <c r="K993" i="3"/>
  <c r="J993" i="3"/>
  <c r="F993" i="3"/>
  <c r="C993" i="3"/>
  <c r="L993" i="3" s="1"/>
  <c r="O992" i="3"/>
  <c r="N992" i="3"/>
  <c r="M992" i="3"/>
  <c r="L992" i="3"/>
  <c r="K992" i="3"/>
  <c r="J992" i="3"/>
  <c r="F992" i="3"/>
  <c r="C992" i="3"/>
  <c r="Q992" i="3" s="1"/>
  <c r="B992" i="3"/>
  <c r="O991" i="3"/>
  <c r="N991" i="3"/>
  <c r="M991" i="3"/>
  <c r="L991" i="3"/>
  <c r="K991" i="3"/>
  <c r="J991" i="3"/>
  <c r="G991" i="3"/>
  <c r="F991" i="3"/>
  <c r="E991" i="3"/>
  <c r="D991" i="3"/>
  <c r="C991" i="3"/>
  <c r="Q991" i="3" s="1"/>
  <c r="B991" i="3"/>
  <c r="A991" i="3"/>
  <c r="Q990" i="3"/>
  <c r="O990" i="3"/>
  <c r="N990" i="3"/>
  <c r="M990" i="3"/>
  <c r="K990" i="3"/>
  <c r="J990" i="3"/>
  <c r="C990" i="3"/>
  <c r="B990" i="3" s="1"/>
  <c r="Q989" i="3"/>
  <c r="O989" i="3"/>
  <c r="N989" i="3"/>
  <c r="M989" i="3"/>
  <c r="K989" i="3"/>
  <c r="J989" i="3"/>
  <c r="G989" i="3"/>
  <c r="F989" i="3"/>
  <c r="D989" i="3"/>
  <c r="C989" i="3"/>
  <c r="E989" i="3" s="1"/>
  <c r="B989" i="3"/>
  <c r="A989" i="3"/>
  <c r="O988" i="3"/>
  <c r="P988" i="3" s="1"/>
  <c r="T988" i="3" s="1"/>
  <c r="N988" i="3"/>
  <c r="M988" i="3"/>
  <c r="L988" i="3"/>
  <c r="K988" i="3"/>
  <c r="J988" i="3"/>
  <c r="G988" i="3"/>
  <c r="F988" i="3"/>
  <c r="E988" i="3"/>
  <c r="D988" i="3"/>
  <c r="C988" i="3"/>
  <c r="Q988" i="3" s="1"/>
  <c r="B988" i="3"/>
  <c r="A988" i="3"/>
  <c r="Q987" i="3"/>
  <c r="O987" i="3"/>
  <c r="N987" i="3"/>
  <c r="M987" i="3"/>
  <c r="K987" i="3"/>
  <c r="J987" i="3"/>
  <c r="F987" i="3"/>
  <c r="E987" i="3"/>
  <c r="D987" i="3"/>
  <c r="C987" i="3"/>
  <c r="B987" i="3"/>
  <c r="O986" i="3"/>
  <c r="N986" i="3"/>
  <c r="M986" i="3"/>
  <c r="L986" i="3"/>
  <c r="K986" i="3"/>
  <c r="J986" i="3"/>
  <c r="C986" i="3"/>
  <c r="A986" i="3" s="1"/>
  <c r="O985" i="3"/>
  <c r="N985" i="3"/>
  <c r="M985" i="3"/>
  <c r="L985" i="3"/>
  <c r="K985" i="3"/>
  <c r="J985" i="3"/>
  <c r="G985" i="3"/>
  <c r="F985" i="3"/>
  <c r="E985" i="3"/>
  <c r="D985" i="3"/>
  <c r="C985" i="3"/>
  <c r="Q985" i="3" s="1"/>
  <c r="B985" i="3"/>
  <c r="A985" i="3"/>
  <c r="O984" i="3"/>
  <c r="N984" i="3"/>
  <c r="M984" i="3"/>
  <c r="L984" i="3"/>
  <c r="K984" i="3"/>
  <c r="J984" i="3"/>
  <c r="F984" i="3"/>
  <c r="C984" i="3"/>
  <c r="O983" i="3"/>
  <c r="N983" i="3"/>
  <c r="M983" i="3"/>
  <c r="K983" i="3"/>
  <c r="J983" i="3"/>
  <c r="F983" i="3"/>
  <c r="C983" i="3"/>
  <c r="L983" i="3" s="1"/>
  <c r="B983" i="3"/>
  <c r="O982" i="3"/>
  <c r="N982" i="3"/>
  <c r="M982" i="3"/>
  <c r="L982" i="3"/>
  <c r="K982" i="3"/>
  <c r="J982" i="3"/>
  <c r="G982" i="3"/>
  <c r="F982" i="3"/>
  <c r="E982" i="3"/>
  <c r="D982" i="3"/>
  <c r="C982" i="3"/>
  <c r="Q982" i="3" s="1"/>
  <c r="B982" i="3"/>
  <c r="A982" i="3"/>
  <c r="Q981" i="3"/>
  <c r="O981" i="3"/>
  <c r="N981" i="3"/>
  <c r="M981" i="3"/>
  <c r="L981" i="3"/>
  <c r="K981" i="3"/>
  <c r="J981" i="3"/>
  <c r="C981" i="3"/>
  <c r="B981" i="3" s="1"/>
  <c r="Q980" i="3"/>
  <c r="O980" i="3"/>
  <c r="N980" i="3"/>
  <c r="M980" i="3"/>
  <c r="K980" i="3"/>
  <c r="J980" i="3"/>
  <c r="G980" i="3"/>
  <c r="F980" i="3"/>
  <c r="D980" i="3"/>
  <c r="C980" i="3"/>
  <c r="E980" i="3" s="1"/>
  <c r="B980" i="3"/>
  <c r="A980" i="3"/>
  <c r="O979" i="3"/>
  <c r="N979" i="3"/>
  <c r="M979" i="3"/>
  <c r="L979" i="3"/>
  <c r="K979" i="3"/>
  <c r="J979" i="3"/>
  <c r="G979" i="3"/>
  <c r="F979" i="3"/>
  <c r="E979" i="3"/>
  <c r="D979" i="3"/>
  <c r="C979" i="3"/>
  <c r="Q979" i="3" s="1"/>
  <c r="B979" i="3"/>
  <c r="A979" i="3"/>
  <c r="Q978" i="3"/>
  <c r="O978" i="3"/>
  <c r="N978" i="3"/>
  <c r="M978" i="3"/>
  <c r="K978" i="3"/>
  <c r="J978" i="3"/>
  <c r="F978" i="3"/>
  <c r="E978" i="3"/>
  <c r="D978" i="3"/>
  <c r="C978" i="3"/>
  <c r="B978" i="3"/>
  <c r="O977" i="3"/>
  <c r="N977" i="3"/>
  <c r="M977" i="3"/>
  <c r="L977" i="3"/>
  <c r="K977" i="3"/>
  <c r="J977" i="3"/>
  <c r="C977" i="3"/>
  <c r="O976" i="3"/>
  <c r="N976" i="3"/>
  <c r="M976" i="3"/>
  <c r="L976" i="3"/>
  <c r="K976" i="3"/>
  <c r="J976" i="3"/>
  <c r="G976" i="3"/>
  <c r="F976" i="3"/>
  <c r="E976" i="3"/>
  <c r="D976" i="3"/>
  <c r="C976" i="3"/>
  <c r="Q976" i="3" s="1"/>
  <c r="B976" i="3"/>
  <c r="A976" i="3"/>
  <c r="O975" i="3"/>
  <c r="N975" i="3"/>
  <c r="M975" i="3"/>
  <c r="L975" i="3"/>
  <c r="K975" i="3"/>
  <c r="J975" i="3"/>
  <c r="F975" i="3"/>
  <c r="C975" i="3"/>
  <c r="Q974" i="3"/>
  <c r="O974" i="3"/>
  <c r="N974" i="3"/>
  <c r="M974" i="3"/>
  <c r="L974" i="3"/>
  <c r="K974" i="3"/>
  <c r="J974" i="3"/>
  <c r="F974" i="3"/>
  <c r="C974" i="3"/>
  <c r="B974" i="3"/>
  <c r="O973" i="3"/>
  <c r="N973" i="3"/>
  <c r="M973" i="3"/>
  <c r="L973" i="3"/>
  <c r="K973" i="3"/>
  <c r="J973" i="3"/>
  <c r="G973" i="3"/>
  <c r="F973" i="3"/>
  <c r="E973" i="3"/>
  <c r="D973" i="3"/>
  <c r="C973" i="3"/>
  <c r="Q973" i="3" s="1"/>
  <c r="B973" i="3"/>
  <c r="A973" i="3"/>
  <c r="O972" i="3"/>
  <c r="N972" i="3"/>
  <c r="M972" i="3"/>
  <c r="L972" i="3"/>
  <c r="K972" i="3"/>
  <c r="J972" i="3"/>
  <c r="C972" i="3"/>
  <c r="Q971" i="3"/>
  <c r="P971" i="3"/>
  <c r="T971" i="3" s="1"/>
  <c r="O971" i="3"/>
  <c r="N971" i="3"/>
  <c r="M971" i="3"/>
  <c r="K971" i="3"/>
  <c r="J971" i="3"/>
  <c r="G971" i="3"/>
  <c r="F971" i="3"/>
  <c r="D971" i="3"/>
  <c r="C971" i="3"/>
  <c r="E971" i="3" s="1"/>
  <c r="B971" i="3"/>
  <c r="A971" i="3"/>
  <c r="O970" i="3"/>
  <c r="P970" i="3" s="1"/>
  <c r="T970" i="3" s="1"/>
  <c r="N970" i="3"/>
  <c r="M970" i="3"/>
  <c r="L970" i="3"/>
  <c r="K970" i="3"/>
  <c r="J970" i="3"/>
  <c r="G970" i="3"/>
  <c r="F970" i="3"/>
  <c r="E970" i="3"/>
  <c r="D970" i="3"/>
  <c r="C970" i="3"/>
  <c r="Q970" i="3" s="1"/>
  <c r="B970" i="3"/>
  <c r="A970" i="3"/>
  <c r="Q969" i="3"/>
  <c r="O969" i="3"/>
  <c r="N969" i="3"/>
  <c r="M969" i="3"/>
  <c r="K969" i="3"/>
  <c r="J969" i="3"/>
  <c r="F969" i="3"/>
  <c r="E969" i="3"/>
  <c r="D969" i="3"/>
  <c r="C969" i="3"/>
  <c r="B969" i="3"/>
  <c r="P968" i="3"/>
  <c r="T968" i="3" s="1"/>
  <c r="O968" i="3"/>
  <c r="N968" i="3"/>
  <c r="M968" i="3"/>
  <c r="L968" i="3"/>
  <c r="K968" i="3"/>
  <c r="J968" i="3"/>
  <c r="D968" i="3"/>
  <c r="C968" i="3"/>
  <c r="A968" i="3"/>
  <c r="O967" i="3"/>
  <c r="N967" i="3"/>
  <c r="M967" i="3"/>
  <c r="L967" i="3"/>
  <c r="K967" i="3"/>
  <c r="J967" i="3"/>
  <c r="G967" i="3"/>
  <c r="F967" i="3"/>
  <c r="E967" i="3"/>
  <c r="D967" i="3"/>
  <c r="C967" i="3"/>
  <c r="Q967" i="3" s="1"/>
  <c r="B967" i="3"/>
  <c r="A967" i="3"/>
  <c r="O966" i="3"/>
  <c r="N966" i="3"/>
  <c r="M966" i="3"/>
  <c r="L966" i="3"/>
  <c r="K966" i="3"/>
  <c r="J966" i="3"/>
  <c r="F966" i="3"/>
  <c r="D966" i="3"/>
  <c r="C966" i="3"/>
  <c r="O965" i="3"/>
  <c r="N965" i="3"/>
  <c r="M965" i="3"/>
  <c r="K965" i="3"/>
  <c r="J965" i="3"/>
  <c r="G965" i="3"/>
  <c r="C965" i="3"/>
  <c r="L965" i="3" s="1"/>
  <c r="O964" i="3"/>
  <c r="N964" i="3"/>
  <c r="M964" i="3"/>
  <c r="L964" i="3"/>
  <c r="K964" i="3"/>
  <c r="J964" i="3"/>
  <c r="G964" i="3"/>
  <c r="F964" i="3"/>
  <c r="E964" i="3"/>
  <c r="D964" i="3"/>
  <c r="C964" i="3"/>
  <c r="Q964" i="3" s="1"/>
  <c r="B964" i="3"/>
  <c r="A964" i="3"/>
  <c r="Q963" i="3"/>
  <c r="O963" i="3"/>
  <c r="N963" i="3"/>
  <c r="M963" i="3"/>
  <c r="L963" i="3"/>
  <c r="K963" i="3"/>
  <c r="J963" i="3"/>
  <c r="E963" i="3"/>
  <c r="C963" i="3"/>
  <c r="F963" i="3" s="1"/>
  <c r="B963" i="3"/>
  <c r="Q962" i="3"/>
  <c r="O962" i="3"/>
  <c r="N962" i="3"/>
  <c r="M962" i="3"/>
  <c r="K962" i="3"/>
  <c r="J962" i="3"/>
  <c r="G962" i="3"/>
  <c r="F962" i="3"/>
  <c r="D962" i="3"/>
  <c r="C962" i="3"/>
  <c r="E962" i="3" s="1"/>
  <c r="B962" i="3"/>
  <c r="A962" i="3"/>
  <c r="O961" i="3"/>
  <c r="N961" i="3"/>
  <c r="M961" i="3"/>
  <c r="L961" i="3"/>
  <c r="K961" i="3"/>
  <c r="J961" i="3"/>
  <c r="G961" i="3"/>
  <c r="F961" i="3"/>
  <c r="E961" i="3"/>
  <c r="D961" i="3"/>
  <c r="C961" i="3"/>
  <c r="Q961" i="3" s="1"/>
  <c r="B961" i="3"/>
  <c r="A961" i="3"/>
  <c r="Q960" i="3"/>
  <c r="O960" i="3"/>
  <c r="N960" i="3"/>
  <c r="M960" i="3"/>
  <c r="K960" i="3"/>
  <c r="J960" i="3"/>
  <c r="F960" i="3"/>
  <c r="E960" i="3"/>
  <c r="D960" i="3"/>
  <c r="C960" i="3"/>
  <c r="B960" i="3"/>
  <c r="O959" i="3"/>
  <c r="N959" i="3"/>
  <c r="M959" i="3"/>
  <c r="K959" i="3"/>
  <c r="J959" i="3"/>
  <c r="G959" i="3"/>
  <c r="C959" i="3"/>
  <c r="L959" i="3" s="1"/>
  <c r="O958" i="3"/>
  <c r="N958" i="3"/>
  <c r="M958" i="3"/>
  <c r="L958" i="3"/>
  <c r="K958" i="3"/>
  <c r="J958" i="3"/>
  <c r="G958" i="3"/>
  <c r="F958" i="3"/>
  <c r="E958" i="3"/>
  <c r="D958" i="3"/>
  <c r="C958" i="3"/>
  <c r="Q958" i="3" s="1"/>
  <c r="B958" i="3"/>
  <c r="A958" i="3"/>
  <c r="O957" i="3"/>
  <c r="N957" i="3"/>
  <c r="M957" i="3"/>
  <c r="K957" i="3"/>
  <c r="J957" i="3"/>
  <c r="C957" i="3"/>
  <c r="Q956" i="3"/>
  <c r="O956" i="3"/>
  <c r="N956" i="3"/>
  <c r="M956" i="3"/>
  <c r="L956" i="3"/>
  <c r="K956" i="3"/>
  <c r="J956" i="3"/>
  <c r="G956" i="3"/>
  <c r="F956" i="3"/>
  <c r="C956" i="3"/>
  <c r="B956" i="3"/>
  <c r="O955" i="3"/>
  <c r="N955" i="3"/>
  <c r="M955" i="3"/>
  <c r="L955" i="3"/>
  <c r="K955" i="3"/>
  <c r="J955" i="3"/>
  <c r="G955" i="3"/>
  <c r="F955" i="3"/>
  <c r="E955" i="3"/>
  <c r="D955" i="3"/>
  <c r="C955" i="3"/>
  <c r="Q955" i="3" s="1"/>
  <c r="B955" i="3"/>
  <c r="A955" i="3"/>
  <c r="O954" i="3"/>
  <c r="N954" i="3"/>
  <c r="M954" i="3"/>
  <c r="K954" i="3"/>
  <c r="J954" i="3"/>
  <c r="F954" i="3"/>
  <c r="C954" i="3"/>
  <c r="Q953" i="3"/>
  <c r="O953" i="3"/>
  <c r="N953" i="3"/>
  <c r="M953" i="3"/>
  <c r="K953" i="3"/>
  <c r="J953" i="3"/>
  <c r="G953" i="3"/>
  <c r="F953" i="3"/>
  <c r="D953" i="3"/>
  <c r="C953" i="3"/>
  <c r="E953" i="3" s="1"/>
  <c r="B953" i="3"/>
  <c r="A953" i="3"/>
  <c r="O952" i="3"/>
  <c r="N952" i="3"/>
  <c r="M952" i="3"/>
  <c r="L952" i="3"/>
  <c r="K952" i="3"/>
  <c r="J952" i="3"/>
  <c r="G952" i="3"/>
  <c r="F952" i="3"/>
  <c r="E952" i="3"/>
  <c r="D952" i="3"/>
  <c r="C952" i="3"/>
  <c r="Q952" i="3" s="1"/>
  <c r="B952" i="3"/>
  <c r="A952" i="3"/>
  <c r="Q951" i="3"/>
  <c r="O951" i="3"/>
  <c r="N951" i="3"/>
  <c r="M951" i="3"/>
  <c r="K951" i="3"/>
  <c r="J951" i="3"/>
  <c r="F951" i="3"/>
  <c r="E951" i="3"/>
  <c r="D951" i="3"/>
  <c r="C951" i="3"/>
  <c r="B951" i="3"/>
  <c r="O950" i="3"/>
  <c r="N950" i="3"/>
  <c r="M950" i="3"/>
  <c r="L950" i="3"/>
  <c r="K950" i="3"/>
  <c r="J950" i="3"/>
  <c r="G950" i="3"/>
  <c r="D950" i="3"/>
  <c r="C950" i="3"/>
  <c r="A950" i="3"/>
  <c r="O949" i="3"/>
  <c r="N949" i="3"/>
  <c r="M949" i="3"/>
  <c r="L949" i="3"/>
  <c r="K949" i="3"/>
  <c r="J949" i="3"/>
  <c r="G949" i="3"/>
  <c r="F949" i="3"/>
  <c r="E949" i="3"/>
  <c r="D949" i="3"/>
  <c r="C949" i="3"/>
  <c r="Q949" i="3" s="1"/>
  <c r="B949" i="3"/>
  <c r="A949" i="3"/>
  <c r="O948" i="3"/>
  <c r="N948" i="3"/>
  <c r="M948" i="3"/>
  <c r="L948" i="3"/>
  <c r="K948" i="3"/>
  <c r="J948" i="3"/>
  <c r="D948" i="3"/>
  <c r="C948" i="3"/>
  <c r="F948" i="3" s="1"/>
  <c r="O947" i="3"/>
  <c r="N947" i="3"/>
  <c r="M947" i="3"/>
  <c r="K947" i="3"/>
  <c r="J947" i="3"/>
  <c r="G947" i="3"/>
  <c r="C947" i="3"/>
  <c r="O946" i="3"/>
  <c r="N946" i="3"/>
  <c r="M946" i="3"/>
  <c r="L946" i="3"/>
  <c r="K946" i="3"/>
  <c r="J946" i="3"/>
  <c r="G946" i="3"/>
  <c r="F946" i="3"/>
  <c r="E946" i="3"/>
  <c r="D946" i="3"/>
  <c r="C946" i="3"/>
  <c r="Q946" i="3" s="1"/>
  <c r="B946" i="3"/>
  <c r="A946" i="3"/>
  <c r="Q945" i="3"/>
  <c r="O945" i="3"/>
  <c r="N945" i="3"/>
  <c r="M945" i="3"/>
  <c r="L945" i="3"/>
  <c r="K945" i="3"/>
  <c r="J945" i="3"/>
  <c r="E945" i="3"/>
  <c r="C945" i="3"/>
  <c r="B945" i="3"/>
  <c r="Q944" i="3"/>
  <c r="O944" i="3"/>
  <c r="N944" i="3"/>
  <c r="M944" i="3"/>
  <c r="K944" i="3"/>
  <c r="J944" i="3"/>
  <c r="G944" i="3"/>
  <c r="F944" i="3"/>
  <c r="D944" i="3"/>
  <c r="C944" i="3"/>
  <c r="E944" i="3" s="1"/>
  <c r="B944" i="3"/>
  <c r="A944" i="3"/>
  <c r="O943" i="3"/>
  <c r="N943" i="3"/>
  <c r="M943" i="3"/>
  <c r="L943" i="3"/>
  <c r="K943" i="3"/>
  <c r="J943" i="3"/>
  <c r="G943" i="3"/>
  <c r="F943" i="3"/>
  <c r="E943" i="3"/>
  <c r="D943" i="3"/>
  <c r="C943" i="3"/>
  <c r="Q943" i="3" s="1"/>
  <c r="B943" i="3"/>
  <c r="A943" i="3"/>
  <c r="Q942" i="3"/>
  <c r="O942" i="3"/>
  <c r="N942" i="3"/>
  <c r="M942" i="3"/>
  <c r="K942" i="3"/>
  <c r="J942" i="3"/>
  <c r="F942" i="3"/>
  <c r="E942" i="3"/>
  <c r="D942" i="3"/>
  <c r="C942" i="3"/>
  <c r="B942" i="3"/>
  <c r="O941" i="3"/>
  <c r="N941" i="3"/>
  <c r="M941" i="3"/>
  <c r="K941" i="3"/>
  <c r="J941" i="3"/>
  <c r="G941" i="3"/>
  <c r="C941" i="3"/>
  <c r="O940" i="3"/>
  <c r="N940" i="3"/>
  <c r="M940" i="3"/>
  <c r="L940" i="3"/>
  <c r="K940" i="3"/>
  <c r="J940" i="3"/>
  <c r="G940" i="3"/>
  <c r="F940" i="3"/>
  <c r="E940" i="3"/>
  <c r="D940" i="3"/>
  <c r="C940" i="3"/>
  <c r="Q940" i="3" s="1"/>
  <c r="B940" i="3"/>
  <c r="A940" i="3"/>
  <c r="O939" i="3"/>
  <c r="N939" i="3"/>
  <c r="M939" i="3"/>
  <c r="K939" i="3"/>
  <c r="J939" i="3"/>
  <c r="C939" i="3"/>
  <c r="Q938" i="3"/>
  <c r="O938" i="3"/>
  <c r="N938" i="3"/>
  <c r="M938" i="3"/>
  <c r="L938" i="3"/>
  <c r="K938" i="3"/>
  <c r="J938" i="3"/>
  <c r="F938" i="3"/>
  <c r="C938" i="3"/>
  <c r="G938" i="3" s="1"/>
  <c r="B938" i="3"/>
  <c r="O937" i="3"/>
  <c r="N937" i="3"/>
  <c r="M937" i="3"/>
  <c r="L937" i="3"/>
  <c r="K937" i="3"/>
  <c r="J937" i="3"/>
  <c r="G937" i="3"/>
  <c r="F937" i="3"/>
  <c r="E937" i="3"/>
  <c r="D937" i="3"/>
  <c r="C937" i="3"/>
  <c r="Q937" i="3" s="1"/>
  <c r="B937" i="3"/>
  <c r="A937" i="3"/>
  <c r="O936" i="3"/>
  <c r="N936" i="3"/>
  <c r="M936" i="3"/>
  <c r="K936" i="3"/>
  <c r="J936" i="3"/>
  <c r="F936" i="3"/>
  <c r="C936" i="3"/>
  <c r="Q935" i="3"/>
  <c r="O935" i="3"/>
  <c r="N935" i="3"/>
  <c r="M935" i="3"/>
  <c r="K935" i="3"/>
  <c r="J935" i="3"/>
  <c r="G935" i="3"/>
  <c r="F935" i="3"/>
  <c r="D935" i="3"/>
  <c r="C935" i="3"/>
  <c r="E935" i="3" s="1"/>
  <c r="B935" i="3"/>
  <c r="A935" i="3"/>
  <c r="O934" i="3"/>
  <c r="N934" i="3"/>
  <c r="M934" i="3"/>
  <c r="L934" i="3"/>
  <c r="K934" i="3"/>
  <c r="J934" i="3"/>
  <c r="G934" i="3"/>
  <c r="F934" i="3"/>
  <c r="E934" i="3"/>
  <c r="D934" i="3"/>
  <c r="C934" i="3"/>
  <c r="Q934" i="3" s="1"/>
  <c r="B934" i="3"/>
  <c r="A934" i="3"/>
  <c r="Q933" i="3"/>
  <c r="O933" i="3"/>
  <c r="N933" i="3"/>
  <c r="P933" i="3" s="1"/>
  <c r="T933" i="3" s="1"/>
  <c r="M933" i="3"/>
  <c r="K933" i="3"/>
  <c r="J933" i="3"/>
  <c r="F933" i="3"/>
  <c r="E933" i="3"/>
  <c r="D933" i="3"/>
  <c r="C933" i="3"/>
  <c r="B933" i="3"/>
  <c r="O932" i="3"/>
  <c r="N932" i="3"/>
  <c r="M932" i="3"/>
  <c r="L932" i="3"/>
  <c r="K932" i="3"/>
  <c r="J932" i="3"/>
  <c r="D932" i="3"/>
  <c r="C932" i="3"/>
  <c r="G932" i="3" s="1"/>
  <c r="A932" i="3"/>
  <c r="O931" i="3"/>
  <c r="N931" i="3"/>
  <c r="M931" i="3"/>
  <c r="L931" i="3"/>
  <c r="K931" i="3"/>
  <c r="J931" i="3"/>
  <c r="G931" i="3"/>
  <c r="F931" i="3"/>
  <c r="E931" i="3"/>
  <c r="D931" i="3"/>
  <c r="C931" i="3"/>
  <c r="Q931" i="3" s="1"/>
  <c r="B931" i="3"/>
  <c r="A931" i="3"/>
  <c r="O930" i="3"/>
  <c r="N930" i="3"/>
  <c r="M930" i="3"/>
  <c r="L930" i="3"/>
  <c r="K930" i="3"/>
  <c r="J930" i="3"/>
  <c r="D930" i="3"/>
  <c r="C930" i="3"/>
  <c r="O929" i="3"/>
  <c r="N929" i="3"/>
  <c r="M929" i="3"/>
  <c r="K929" i="3"/>
  <c r="J929" i="3"/>
  <c r="G929" i="3"/>
  <c r="C929" i="3"/>
  <c r="O928" i="3"/>
  <c r="N928" i="3"/>
  <c r="M928" i="3"/>
  <c r="L928" i="3"/>
  <c r="K928" i="3"/>
  <c r="J928" i="3"/>
  <c r="G928" i="3"/>
  <c r="F928" i="3"/>
  <c r="E928" i="3"/>
  <c r="D928" i="3"/>
  <c r="C928" i="3"/>
  <c r="Q928" i="3" s="1"/>
  <c r="B928" i="3"/>
  <c r="A928" i="3"/>
  <c r="Q927" i="3"/>
  <c r="O927" i="3"/>
  <c r="N927" i="3"/>
  <c r="M927" i="3"/>
  <c r="L927" i="3"/>
  <c r="K927" i="3"/>
  <c r="J927" i="3"/>
  <c r="F927" i="3"/>
  <c r="E927" i="3"/>
  <c r="C927" i="3"/>
  <c r="B927" i="3"/>
  <c r="Q926" i="3"/>
  <c r="O926" i="3"/>
  <c r="N926" i="3"/>
  <c r="M926" i="3"/>
  <c r="K926" i="3"/>
  <c r="J926" i="3"/>
  <c r="G926" i="3"/>
  <c r="F926" i="3"/>
  <c r="D926" i="3"/>
  <c r="C926" i="3"/>
  <c r="E926" i="3" s="1"/>
  <c r="B926" i="3"/>
  <c r="A926" i="3"/>
  <c r="O925" i="3"/>
  <c r="P925" i="3" s="1"/>
  <c r="T925" i="3" s="1"/>
  <c r="N925" i="3"/>
  <c r="M925" i="3"/>
  <c r="L925" i="3"/>
  <c r="K925" i="3"/>
  <c r="J925" i="3"/>
  <c r="G925" i="3"/>
  <c r="F925" i="3"/>
  <c r="E925" i="3"/>
  <c r="D925" i="3"/>
  <c r="C925" i="3"/>
  <c r="Q925" i="3" s="1"/>
  <c r="B925" i="3"/>
  <c r="A925" i="3"/>
  <c r="Q924" i="3"/>
  <c r="O924" i="3"/>
  <c r="N924" i="3"/>
  <c r="M924" i="3"/>
  <c r="K924" i="3"/>
  <c r="J924" i="3"/>
  <c r="F924" i="3"/>
  <c r="E924" i="3"/>
  <c r="D924" i="3"/>
  <c r="C924" i="3"/>
  <c r="B924" i="3"/>
  <c r="O923" i="3"/>
  <c r="P923" i="3" s="1"/>
  <c r="T923" i="3" s="1"/>
  <c r="N923" i="3"/>
  <c r="M923" i="3"/>
  <c r="K923" i="3"/>
  <c r="J923" i="3"/>
  <c r="C923" i="3"/>
  <c r="O922" i="3"/>
  <c r="N922" i="3"/>
  <c r="M922" i="3"/>
  <c r="L922" i="3"/>
  <c r="K922" i="3"/>
  <c r="J922" i="3"/>
  <c r="G922" i="3"/>
  <c r="F922" i="3"/>
  <c r="E922" i="3"/>
  <c r="D922" i="3"/>
  <c r="C922" i="3"/>
  <c r="Q922" i="3" s="1"/>
  <c r="B922" i="3"/>
  <c r="A922" i="3"/>
  <c r="O921" i="3"/>
  <c r="N921" i="3"/>
  <c r="M921" i="3"/>
  <c r="K921" i="3"/>
  <c r="J921" i="3"/>
  <c r="C921" i="3"/>
  <c r="Q920" i="3"/>
  <c r="O920" i="3"/>
  <c r="N920" i="3"/>
  <c r="M920" i="3"/>
  <c r="L920" i="3"/>
  <c r="K920" i="3"/>
  <c r="J920" i="3"/>
  <c r="F920" i="3"/>
  <c r="C920" i="3"/>
  <c r="B920" i="3"/>
  <c r="O919" i="3"/>
  <c r="N919" i="3"/>
  <c r="M919" i="3"/>
  <c r="L919" i="3"/>
  <c r="K919" i="3"/>
  <c r="J919" i="3"/>
  <c r="G919" i="3"/>
  <c r="F919" i="3"/>
  <c r="E919" i="3"/>
  <c r="D919" i="3"/>
  <c r="C919" i="3"/>
  <c r="Q919" i="3" s="1"/>
  <c r="B919" i="3"/>
  <c r="A919" i="3"/>
  <c r="O918" i="3"/>
  <c r="N918" i="3"/>
  <c r="M918" i="3"/>
  <c r="K918" i="3"/>
  <c r="J918" i="3"/>
  <c r="F918" i="3"/>
  <c r="C918" i="3"/>
  <c r="Q917" i="3"/>
  <c r="O917" i="3"/>
  <c r="N917" i="3"/>
  <c r="M917" i="3"/>
  <c r="K917" i="3"/>
  <c r="J917" i="3"/>
  <c r="G917" i="3"/>
  <c r="F917" i="3"/>
  <c r="D917" i="3"/>
  <c r="C917" i="3"/>
  <c r="E917" i="3" s="1"/>
  <c r="B917" i="3"/>
  <c r="A917" i="3"/>
  <c r="O916" i="3"/>
  <c r="N916" i="3"/>
  <c r="M916" i="3"/>
  <c r="L916" i="3"/>
  <c r="K916" i="3"/>
  <c r="J916" i="3"/>
  <c r="G916" i="3"/>
  <c r="F916" i="3"/>
  <c r="E916" i="3"/>
  <c r="D916" i="3"/>
  <c r="C916" i="3"/>
  <c r="Q916" i="3" s="1"/>
  <c r="B916" i="3"/>
  <c r="A916" i="3"/>
  <c r="Q915" i="3"/>
  <c r="O915" i="3"/>
  <c r="N915" i="3"/>
  <c r="M915" i="3"/>
  <c r="K915" i="3"/>
  <c r="J915" i="3"/>
  <c r="F915" i="3"/>
  <c r="E915" i="3"/>
  <c r="D915" i="3"/>
  <c r="C915" i="3"/>
  <c r="B915" i="3"/>
  <c r="O914" i="3"/>
  <c r="N914" i="3"/>
  <c r="M914" i="3"/>
  <c r="L914" i="3"/>
  <c r="K914" i="3"/>
  <c r="J914" i="3"/>
  <c r="D914" i="3"/>
  <c r="C914" i="3"/>
  <c r="A914" i="3"/>
  <c r="O913" i="3"/>
  <c r="N913" i="3"/>
  <c r="M913" i="3"/>
  <c r="L913" i="3"/>
  <c r="K913" i="3"/>
  <c r="J913" i="3"/>
  <c r="G913" i="3"/>
  <c r="F913" i="3"/>
  <c r="E913" i="3"/>
  <c r="D913" i="3"/>
  <c r="C913" i="3"/>
  <c r="Q913" i="3" s="1"/>
  <c r="B913" i="3"/>
  <c r="A913" i="3"/>
  <c r="O912" i="3"/>
  <c r="N912" i="3"/>
  <c r="M912" i="3"/>
  <c r="L912" i="3"/>
  <c r="K912" i="3"/>
  <c r="J912" i="3"/>
  <c r="F912" i="3"/>
  <c r="D912" i="3"/>
  <c r="C912" i="3"/>
  <c r="O911" i="3"/>
  <c r="N911" i="3"/>
  <c r="M911" i="3"/>
  <c r="K911" i="3"/>
  <c r="J911" i="3"/>
  <c r="G911" i="3"/>
  <c r="C911" i="3"/>
  <c r="O910" i="3"/>
  <c r="N910" i="3"/>
  <c r="M910" i="3"/>
  <c r="L910" i="3"/>
  <c r="K910" i="3"/>
  <c r="J910" i="3"/>
  <c r="G910" i="3"/>
  <c r="F910" i="3"/>
  <c r="E910" i="3"/>
  <c r="D910" i="3"/>
  <c r="C910" i="3"/>
  <c r="Q910" i="3" s="1"/>
  <c r="B910" i="3"/>
  <c r="A910" i="3"/>
  <c r="Q909" i="3"/>
  <c r="O909" i="3"/>
  <c r="N909" i="3"/>
  <c r="M909" i="3"/>
  <c r="L909" i="3"/>
  <c r="K909" i="3"/>
  <c r="J909" i="3"/>
  <c r="E909" i="3"/>
  <c r="C909" i="3"/>
  <c r="F909" i="3" s="1"/>
  <c r="B909" i="3"/>
  <c r="Q908" i="3"/>
  <c r="O908" i="3"/>
  <c r="N908" i="3"/>
  <c r="M908" i="3"/>
  <c r="K908" i="3"/>
  <c r="J908" i="3"/>
  <c r="G908" i="3"/>
  <c r="F908" i="3"/>
  <c r="D908" i="3"/>
  <c r="C908" i="3"/>
  <c r="E908" i="3" s="1"/>
  <c r="B908" i="3"/>
  <c r="A908" i="3"/>
  <c r="O907" i="3"/>
  <c r="N907" i="3"/>
  <c r="M907" i="3"/>
  <c r="L907" i="3"/>
  <c r="K907" i="3"/>
  <c r="J907" i="3"/>
  <c r="G907" i="3"/>
  <c r="F907" i="3"/>
  <c r="E907" i="3"/>
  <c r="D907" i="3"/>
  <c r="C907" i="3"/>
  <c r="Q907" i="3" s="1"/>
  <c r="B907" i="3"/>
  <c r="A907" i="3"/>
  <c r="Q906" i="3"/>
  <c r="O906" i="3"/>
  <c r="N906" i="3"/>
  <c r="M906" i="3"/>
  <c r="K906" i="3"/>
  <c r="J906" i="3"/>
  <c r="F906" i="3"/>
  <c r="E906" i="3"/>
  <c r="D906" i="3"/>
  <c r="C906" i="3"/>
  <c r="B906" i="3"/>
  <c r="O905" i="3"/>
  <c r="N905" i="3"/>
  <c r="M905" i="3"/>
  <c r="K905" i="3"/>
  <c r="J905" i="3"/>
  <c r="C905" i="3"/>
  <c r="O904" i="3"/>
  <c r="N904" i="3"/>
  <c r="M904" i="3"/>
  <c r="L904" i="3"/>
  <c r="K904" i="3"/>
  <c r="J904" i="3"/>
  <c r="G904" i="3"/>
  <c r="F904" i="3"/>
  <c r="E904" i="3"/>
  <c r="D904" i="3"/>
  <c r="C904" i="3"/>
  <c r="Q904" i="3" s="1"/>
  <c r="B904" i="3"/>
  <c r="A904" i="3"/>
  <c r="O903" i="3"/>
  <c r="N903" i="3"/>
  <c r="M903" i="3"/>
  <c r="K903" i="3"/>
  <c r="J903" i="3"/>
  <c r="C903" i="3"/>
  <c r="Q902" i="3"/>
  <c r="O902" i="3"/>
  <c r="N902" i="3"/>
  <c r="M902" i="3"/>
  <c r="L902" i="3"/>
  <c r="K902" i="3"/>
  <c r="J902" i="3"/>
  <c r="G902" i="3"/>
  <c r="F902" i="3"/>
  <c r="C902" i="3"/>
  <c r="B902" i="3"/>
  <c r="O901" i="3"/>
  <c r="N901" i="3"/>
  <c r="M901" i="3"/>
  <c r="L901" i="3"/>
  <c r="K901" i="3"/>
  <c r="J901" i="3"/>
  <c r="G901" i="3"/>
  <c r="F901" i="3"/>
  <c r="E901" i="3"/>
  <c r="D901" i="3"/>
  <c r="C901" i="3"/>
  <c r="Q901" i="3" s="1"/>
  <c r="B901" i="3"/>
  <c r="A901" i="3"/>
  <c r="O900" i="3"/>
  <c r="N900" i="3"/>
  <c r="M900" i="3"/>
  <c r="K900" i="3"/>
  <c r="J900" i="3"/>
  <c r="C900" i="3"/>
  <c r="Q899" i="3"/>
  <c r="O899" i="3"/>
  <c r="N899" i="3"/>
  <c r="M899" i="3"/>
  <c r="K899" i="3"/>
  <c r="J899" i="3"/>
  <c r="G899" i="3"/>
  <c r="F899" i="3"/>
  <c r="D899" i="3"/>
  <c r="C899" i="3"/>
  <c r="E899" i="3" s="1"/>
  <c r="B899" i="3"/>
  <c r="A899" i="3"/>
  <c r="O898" i="3"/>
  <c r="N898" i="3"/>
  <c r="M898" i="3"/>
  <c r="L898" i="3"/>
  <c r="K898" i="3"/>
  <c r="J898" i="3"/>
  <c r="G898" i="3"/>
  <c r="F898" i="3"/>
  <c r="E898" i="3"/>
  <c r="D898" i="3"/>
  <c r="C898" i="3"/>
  <c r="Q898" i="3" s="1"/>
  <c r="B898" i="3"/>
  <c r="A898" i="3"/>
  <c r="Q897" i="3"/>
  <c r="P897" i="3"/>
  <c r="T897" i="3" s="1"/>
  <c r="O897" i="3"/>
  <c r="N897" i="3"/>
  <c r="M897" i="3"/>
  <c r="K897" i="3"/>
  <c r="J897" i="3"/>
  <c r="F897" i="3"/>
  <c r="E897" i="3"/>
  <c r="D897" i="3"/>
  <c r="C897" i="3"/>
  <c r="B897" i="3"/>
  <c r="O896" i="3"/>
  <c r="N896" i="3"/>
  <c r="M896" i="3"/>
  <c r="L896" i="3"/>
  <c r="K896" i="3"/>
  <c r="J896" i="3"/>
  <c r="G896" i="3"/>
  <c r="D896" i="3"/>
  <c r="C896" i="3"/>
  <c r="A896" i="3"/>
  <c r="O895" i="3"/>
  <c r="N895" i="3"/>
  <c r="M895" i="3"/>
  <c r="L895" i="3"/>
  <c r="K895" i="3"/>
  <c r="J895" i="3"/>
  <c r="G895" i="3"/>
  <c r="F895" i="3"/>
  <c r="E895" i="3"/>
  <c r="D895" i="3"/>
  <c r="C895" i="3"/>
  <c r="Q895" i="3" s="1"/>
  <c r="B895" i="3"/>
  <c r="A895" i="3"/>
  <c r="O894" i="3"/>
  <c r="N894" i="3"/>
  <c r="M894" i="3"/>
  <c r="L894" i="3"/>
  <c r="K894" i="3"/>
  <c r="J894" i="3"/>
  <c r="D894" i="3"/>
  <c r="C894" i="3"/>
  <c r="F894" i="3" s="1"/>
  <c r="O893" i="3"/>
  <c r="N893" i="3"/>
  <c r="M893" i="3"/>
  <c r="K893" i="3"/>
  <c r="J893" i="3"/>
  <c r="C893" i="3"/>
  <c r="O892" i="3"/>
  <c r="N892" i="3"/>
  <c r="M892" i="3"/>
  <c r="L892" i="3"/>
  <c r="K892" i="3"/>
  <c r="J892" i="3"/>
  <c r="G892" i="3"/>
  <c r="F892" i="3"/>
  <c r="E892" i="3"/>
  <c r="D892" i="3"/>
  <c r="C892" i="3"/>
  <c r="Q892" i="3" s="1"/>
  <c r="B892" i="3"/>
  <c r="A892" i="3"/>
  <c r="Q891" i="3"/>
  <c r="O891" i="3"/>
  <c r="N891" i="3"/>
  <c r="M891" i="3"/>
  <c r="L891" i="3"/>
  <c r="K891" i="3"/>
  <c r="J891" i="3"/>
  <c r="E891" i="3"/>
  <c r="C891" i="3"/>
  <c r="B891" i="3"/>
  <c r="Q890" i="3"/>
  <c r="O890" i="3"/>
  <c r="N890" i="3"/>
  <c r="M890" i="3"/>
  <c r="K890" i="3"/>
  <c r="J890" i="3"/>
  <c r="G890" i="3"/>
  <c r="F890" i="3"/>
  <c r="D890" i="3"/>
  <c r="C890" i="3"/>
  <c r="E890" i="3" s="1"/>
  <c r="B890" i="3"/>
  <c r="A890" i="3"/>
  <c r="O889" i="3"/>
  <c r="N889" i="3"/>
  <c r="M889" i="3"/>
  <c r="L889" i="3"/>
  <c r="K889" i="3"/>
  <c r="J889" i="3"/>
  <c r="G889" i="3"/>
  <c r="F889" i="3"/>
  <c r="E889" i="3"/>
  <c r="D889" i="3"/>
  <c r="C889" i="3"/>
  <c r="Q889" i="3" s="1"/>
  <c r="B889" i="3"/>
  <c r="A889" i="3"/>
  <c r="Q888" i="3"/>
  <c r="O888" i="3"/>
  <c r="N888" i="3"/>
  <c r="M888" i="3"/>
  <c r="K888" i="3"/>
  <c r="J888" i="3"/>
  <c r="F888" i="3"/>
  <c r="E888" i="3"/>
  <c r="D888" i="3"/>
  <c r="C888" i="3"/>
  <c r="B888" i="3"/>
  <c r="O887" i="3"/>
  <c r="N887" i="3"/>
  <c r="M887" i="3"/>
  <c r="K887" i="3"/>
  <c r="J887" i="3"/>
  <c r="G887" i="3"/>
  <c r="C887" i="3"/>
  <c r="O886" i="3"/>
  <c r="N886" i="3"/>
  <c r="M886" i="3"/>
  <c r="L886" i="3"/>
  <c r="K886" i="3"/>
  <c r="J886" i="3"/>
  <c r="G886" i="3"/>
  <c r="F886" i="3"/>
  <c r="E886" i="3"/>
  <c r="D886" i="3"/>
  <c r="C886" i="3"/>
  <c r="Q886" i="3" s="1"/>
  <c r="B886" i="3"/>
  <c r="A886" i="3"/>
  <c r="O885" i="3"/>
  <c r="N885" i="3"/>
  <c r="M885" i="3"/>
  <c r="K885" i="3"/>
  <c r="J885" i="3"/>
  <c r="F885" i="3"/>
  <c r="C885" i="3"/>
  <c r="Q884" i="3"/>
  <c r="O884" i="3"/>
  <c r="N884" i="3"/>
  <c r="M884" i="3"/>
  <c r="L884" i="3"/>
  <c r="K884" i="3"/>
  <c r="J884" i="3"/>
  <c r="F884" i="3"/>
  <c r="C884" i="3"/>
  <c r="G884" i="3" s="1"/>
  <c r="B884" i="3"/>
  <c r="O883" i="3"/>
  <c r="N883" i="3"/>
  <c r="M883" i="3"/>
  <c r="L883" i="3"/>
  <c r="K883" i="3"/>
  <c r="J883" i="3"/>
  <c r="G883" i="3"/>
  <c r="F883" i="3"/>
  <c r="E883" i="3"/>
  <c r="D883" i="3"/>
  <c r="C883" i="3"/>
  <c r="Q883" i="3" s="1"/>
  <c r="B883" i="3"/>
  <c r="A883" i="3"/>
  <c r="O882" i="3"/>
  <c r="N882" i="3"/>
  <c r="M882" i="3"/>
  <c r="K882" i="3"/>
  <c r="J882" i="3"/>
  <c r="C882" i="3"/>
  <c r="Q881" i="3"/>
  <c r="O881" i="3"/>
  <c r="N881" i="3"/>
  <c r="M881" i="3"/>
  <c r="K881" i="3"/>
  <c r="J881" i="3"/>
  <c r="G881" i="3"/>
  <c r="F881" i="3"/>
  <c r="D881" i="3"/>
  <c r="C881" i="3"/>
  <c r="E881" i="3" s="1"/>
  <c r="B881" i="3"/>
  <c r="A881" i="3"/>
  <c r="O880" i="3"/>
  <c r="N880" i="3"/>
  <c r="M880" i="3"/>
  <c r="L880" i="3"/>
  <c r="K880" i="3"/>
  <c r="J880" i="3"/>
  <c r="G880" i="3"/>
  <c r="F880" i="3"/>
  <c r="E880" i="3"/>
  <c r="D880" i="3"/>
  <c r="C880" i="3"/>
  <c r="Q880" i="3" s="1"/>
  <c r="B880" i="3"/>
  <c r="A880" i="3"/>
  <c r="Q879" i="3"/>
  <c r="O879" i="3"/>
  <c r="N879" i="3"/>
  <c r="M879" i="3"/>
  <c r="K879" i="3"/>
  <c r="J879" i="3"/>
  <c r="F879" i="3"/>
  <c r="E879" i="3"/>
  <c r="D879" i="3"/>
  <c r="C879" i="3"/>
  <c r="B879" i="3"/>
  <c r="O878" i="3"/>
  <c r="N878" i="3"/>
  <c r="M878" i="3"/>
  <c r="L878" i="3"/>
  <c r="K878" i="3"/>
  <c r="J878" i="3"/>
  <c r="D878" i="3"/>
  <c r="C878" i="3"/>
  <c r="G878" i="3" s="1"/>
  <c r="A878" i="3"/>
  <c r="O877" i="3"/>
  <c r="N877" i="3"/>
  <c r="M877" i="3"/>
  <c r="L877" i="3"/>
  <c r="K877" i="3"/>
  <c r="J877" i="3"/>
  <c r="G877" i="3"/>
  <c r="F877" i="3"/>
  <c r="E877" i="3"/>
  <c r="D877" i="3"/>
  <c r="C877" i="3"/>
  <c r="Q877" i="3" s="1"/>
  <c r="B877" i="3"/>
  <c r="A877" i="3"/>
  <c r="O876" i="3"/>
  <c r="N876" i="3"/>
  <c r="M876" i="3"/>
  <c r="L876" i="3"/>
  <c r="K876" i="3"/>
  <c r="J876" i="3"/>
  <c r="D876" i="3"/>
  <c r="C876" i="3"/>
  <c r="O875" i="3"/>
  <c r="N875" i="3"/>
  <c r="M875" i="3"/>
  <c r="K875" i="3"/>
  <c r="J875" i="3"/>
  <c r="G875" i="3"/>
  <c r="C875" i="3"/>
  <c r="O874" i="3"/>
  <c r="N874" i="3"/>
  <c r="M874" i="3"/>
  <c r="L874" i="3"/>
  <c r="K874" i="3"/>
  <c r="J874" i="3"/>
  <c r="G874" i="3"/>
  <c r="F874" i="3"/>
  <c r="E874" i="3"/>
  <c r="D874" i="3"/>
  <c r="C874" i="3"/>
  <c r="Q874" i="3" s="1"/>
  <c r="B874" i="3"/>
  <c r="A874" i="3"/>
  <c r="Q873" i="3"/>
  <c r="O873" i="3"/>
  <c r="N873" i="3"/>
  <c r="M873" i="3"/>
  <c r="L873" i="3"/>
  <c r="K873" i="3"/>
  <c r="J873" i="3"/>
  <c r="F873" i="3"/>
  <c r="E873" i="3"/>
  <c r="C873" i="3"/>
  <c r="B873" i="3"/>
  <c r="Q872" i="3"/>
  <c r="O872" i="3"/>
  <c r="N872" i="3"/>
  <c r="M872" i="3"/>
  <c r="K872" i="3"/>
  <c r="J872" i="3"/>
  <c r="G872" i="3"/>
  <c r="F872" i="3"/>
  <c r="D872" i="3"/>
  <c r="C872" i="3"/>
  <c r="E872" i="3" s="1"/>
  <c r="B872" i="3"/>
  <c r="A872" i="3"/>
  <c r="O871" i="3"/>
  <c r="N871" i="3"/>
  <c r="M871" i="3"/>
  <c r="L871" i="3"/>
  <c r="K871" i="3"/>
  <c r="J871" i="3"/>
  <c r="G871" i="3"/>
  <c r="F871" i="3"/>
  <c r="E871" i="3"/>
  <c r="D871" i="3"/>
  <c r="C871" i="3"/>
  <c r="Q871" i="3" s="1"/>
  <c r="B871" i="3"/>
  <c r="A871" i="3"/>
  <c r="Q870" i="3"/>
  <c r="O870" i="3"/>
  <c r="N870" i="3"/>
  <c r="M870" i="3"/>
  <c r="K870" i="3"/>
  <c r="J870" i="3"/>
  <c r="F870" i="3"/>
  <c r="E870" i="3"/>
  <c r="D870" i="3"/>
  <c r="C870" i="3"/>
  <c r="B870" i="3"/>
  <c r="O869" i="3"/>
  <c r="N869" i="3"/>
  <c r="M869" i="3"/>
  <c r="K869" i="3"/>
  <c r="J869" i="3"/>
  <c r="G869" i="3"/>
  <c r="C869" i="3"/>
  <c r="O868" i="3"/>
  <c r="N868" i="3"/>
  <c r="M868" i="3"/>
  <c r="L868" i="3"/>
  <c r="K868" i="3"/>
  <c r="J868" i="3"/>
  <c r="G868" i="3"/>
  <c r="F868" i="3"/>
  <c r="E868" i="3"/>
  <c r="D868" i="3"/>
  <c r="C868" i="3"/>
  <c r="Q868" i="3" s="1"/>
  <c r="B868" i="3"/>
  <c r="A868" i="3"/>
  <c r="O867" i="3"/>
  <c r="N867" i="3"/>
  <c r="M867" i="3"/>
  <c r="K867" i="3"/>
  <c r="J867" i="3"/>
  <c r="C867" i="3"/>
  <c r="Q866" i="3"/>
  <c r="O866" i="3"/>
  <c r="N866" i="3"/>
  <c r="M866" i="3"/>
  <c r="L866" i="3"/>
  <c r="K866" i="3"/>
  <c r="J866" i="3"/>
  <c r="F866" i="3"/>
  <c r="C866" i="3"/>
  <c r="B866" i="3"/>
  <c r="O865" i="3"/>
  <c r="N865" i="3"/>
  <c r="M865" i="3"/>
  <c r="L865" i="3"/>
  <c r="K865" i="3"/>
  <c r="J865" i="3"/>
  <c r="G865" i="3"/>
  <c r="F865" i="3"/>
  <c r="E865" i="3"/>
  <c r="D865" i="3"/>
  <c r="C865" i="3"/>
  <c r="Q865" i="3" s="1"/>
  <c r="B865" i="3"/>
  <c r="A865" i="3"/>
  <c r="O864" i="3"/>
  <c r="N864" i="3"/>
  <c r="M864" i="3"/>
  <c r="K864" i="3"/>
  <c r="J864" i="3"/>
  <c r="F864" i="3"/>
  <c r="C864" i="3"/>
  <c r="Q863" i="3"/>
  <c r="O863" i="3"/>
  <c r="N863" i="3"/>
  <c r="M863" i="3"/>
  <c r="K863" i="3"/>
  <c r="J863" i="3"/>
  <c r="G863" i="3"/>
  <c r="F863" i="3"/>
  <c r="D863" i="3"/>
  <c r="C863" i="3"/>
  <c r="E863" i="3" s="1"/>
  <c r="B863" i="3"/>
  <c r="A863" i="3"/>
  <c r="O862" i="3"/>
  <c r="N862" i="3"/>
  <c r="M862" i="3"/>
  <c r="L862" i="3"/>
  <c r="K862" i="3"/>
  <c r="J862" i="3"/>
  <c r="G862" i="3"/>
  <c r="F862" i="3"/>
  <c r="E862" i="3"/>
  <c r="D862" i="3"/>
  <c r="C862" i="3"/>
  <c r="Q862" i="3" s="1"/>
  <c r="B862" i="3"/>
  <c r="A862" i="3"/>
  <c r="Q861" i="3"/>
  <c r="O861" i="3"/>
  <c r="N861" i="3"/>
  <c r="M861" i="3"/>
  <c r="K861" i="3"/>
  <c r="J861" i="3"/>
  <c r="F861" i="3"/>
  <c r="E861" i="3"/>
  <c r="D861" i="3"/>
  <c r="C861" i="3"/>
  <c r="B861" i="3"/>
  <c r="O860" i="3"/>
  <c r="N860" i="3"/>
  <c r="M860" i="3"/>
  <c r="L860" i="3"/>
  <c r="K860" i="3"/>
  <c r="J860" i="3"/>
  <c r="D860" i="3"/>
  <c r="C860" i="3"/>
  <c r="A860" i="3"/>
  <c r="O859" i="3"/>
  <c r="N859" i="3"/>
  <c r="M859" i="3"/>
  <c r="L859" i="3"/>
  <c r="K859" i="3"/>
  <c r="J859" i="3"/>
  <c r="G859" i="3"/>
  <c r="F859" i="3"/>
  <c r="E859" i="3"/>
  <c r="D859" i="3"/>
  <c r="C859" i="3"/>
  <c r="Q859" i="3" s="1"/>
  <c r="B859" i="3"/>
  <c r="A859" i="3"/>
  <c r="O858" i="3"/>
  <c r="N858" i="3"/>
  <c r="M858" i="3"/>
  <c r="L858" i="3"/>
  <c r="K858" i="3"/>
  <c r="J858" i="3"/>
  <c r="F858" i="3"/>
  <c r="D858" i="3"/>
  <c r="C858" i="3"/>
  <c r="O857" i="3"/>
  <c r="N857" i="3"/>
  <c r="M857" i="3"/>
  <c r="K857" i="3"/>
  <c r="J857" i="3"/>
  <c r="C857" i="3"/>
  <c r="O856" i="3"/>
  <c r="N856" i="3"/>
  <c r="M856" i="3"/>
  <c r="L856" i="3"/>
  <c r="K856" i="3"/>
  <c r="J856" i="3"/>
  <c r="G856" i="3"/>
  <c r="F856" i="3"/>
  <c r="E856" i="3"/>
  <c r="D856" i="3"/>
  <c r="C856" i="3"/>
  <c r="Q856" i="3" s="1"/>
  <c r="B856" i="3"/>
  <c r="A856" i="3"/>
  <c r="Q855" i="3"/>
  <c r="O855" i="3"/>
  <c r="N855" i="3"/>
  <c r="M855" i="3"/>
  <c r="L855" i="3"/>
  <c r="K855" i="3"/>
  <c r="J855" i="3"/>
  <c r="E855" i="3"/>
  <c r="C855" i="3"/>
  <c r="F855" i="3" s="1"/>
  <c r="B855" i="3"/>
  <c r="Q854" i="3"/>
  <c r="O854" i="3"/>
  <c r="N854" i="3"/>
  <c r="M854" i="3"/>
  <c r="K854" i="3"/>
  <c r="J854" i="3"/>
  <c r="G854" i="3"/>
  <c r="F854" i="3"/>
  <c r="D854" i="3"/>
  <c r="C854" i="3"/>
  <c r="E854" i="3" s="1"/>
  <c r="B854" i="3"/>
  <c r="A854" i="3"/>
  <c r="O853" i="3"/>
  <c r="N853" i="3"/>
  <c r="M853" i="3"/>
  <c r="L853" i="3"/>
  <c r="K853" i="3"/>
  <c r="J853" i="3"/>
  <c r="G853" i="3"/>
  <c r="F853" i="3"/>
  <c r="E853" i="3"/>
  <c r="D853" i="3"/>
  <c r="C853" i="3"/>
  <c r="Q853" i="3" s="1"/>
  <c r="B853" i="3"/>
  <c r="A853" i="3"/>
  <c r="Q852" i="3"/>
  <c r="O852" i="3"/>
  <c r="N852" i="3"/>
  <c r="M852" i="3"/>
  <c r="K852" i="3"/>
  <c r="J852" i="3"/>
  <c r="F852" i="3"/>
  <c r="E852" i="3"/>
  <c r="D852" i="3"/>
  <c r="C852" i="3"/>
  <c r="B852" i="3"/>
  <c r="Q851" i="3"/>
  <c r="O851" i="3"/>
  <c r="N851" i="3"/>
  <c r="M851" i="3"/>
  <c r="L851" i="3"/>
  <c r="K851" i="3"/>
  <c r="J851" i="3"/>
  <c r="G851" i="3"/>
  <c r="D851" i="3"/>
  <c r="C851" i="3"/>
  <c r="B851" i="3"/>
  <c r="A851" i="3"/>
  <c r="O850" i="3"/>
  <c r="N850" i="3"/>
  <c r="M850" i="3"/>
  <c r="L850" i="3"/>
  <c r="K850" i="3"/>
  <c r="J850" i="3"/>
  <c r="G850" i="3"/>
  <c r="F850" i="3"/>
  <c r="E850" i="3"/>
  <c r="D850" i="3"/>
  <c r="C850" i="3"/>
  <c r="Q850" i="3" s="1"/>
  <c r="B850" i="3"/>
  <c r="A850" i="3"/>
  <c r="O849" i="3"/>
  <c r="N849" i="3"/>
  <c r="P849" i="3" s="1"/>
  <c r="T849" i="3" s="1"/>
  <c r="M849" i="3"/>
  <c r="L849" i="3"/>
  <c r="K849" i="3"/>
  <c r="J849" i="3"/>
  <c r="D849" i="3"/>
  <c r="C849" i="3"/>
  <c r="Q849" i="3" s="1"/>
  <c r="B849" i="3"/>
  <c r="O848" i="3"/>
  <c r="N848" i="3"/>
  <c r="M848" i="3"/>
  <c r="K848" i="3"/>
  <c r="J848" i="3"/>
  <c r="C848" i="3"/>
  <c r="O847" i="3"/>
  <c r="N847" i="3"/>
  <c r="M847" i="3"/>
  <c r="L847" i="3"/>
  <c r="K847" i="3"/>
  <c r="J847" i="3"/>
  <c r="G847" i="3"/>
  <c r="F847" i="3"/>
  <c r="E847" i="3"/>
  <c r="D847" i="3"/>
  <c r="C847" i="3"/>
  <c r="Q847" i="3" s="1"/>
  <c r="B847" i="3"/>
  <c r="A847" i="3"/>
  <c r="O846" i="3"/>
  <c r="N846" i="3"/>
  <c r="M846" i="3"/>
  <c r="L846" i="3"/>
  <c r="K846" i="3"/>
  <c r="J846" i="3"/>
  <c r="C846" i="3"/>
  <c r="Q845" i="3"/>
  <c r="O845" i="3"/>
  <c r="N845" i="3"/>
  <c r="M845" i="3"/>
  <c r="K845" i="3"/>
  <c r="J845" i="3"/>
  <c r="G845" i="3"/>
  <c r="F845" i="3"/>
  <c r="D845" i="3"/>
  <c r="C845" i="3"/>
  <c r="E845" i="3" s="1"/>
  <c r="B845" i="3"/>
  <c r="A845" i="3"/>
  <c r="O844" i="3"/>
  <c r="N844" i="3"/>
  <c r="P844" i="3" s="1"/>
  <c r="T844" i="3" s="1"/>
  <c r="M844" i="3"/>
  <c r="L844" i="3"/>
  <c r="K844" i="3"/>
  <c r="J844" i="3"/>
  <c r="G844" i="3"/>
  <c r="F844" i="3"/>
  <c r="E844" i="3"/>
  <c r="D844" i="3"/>
  <c r="C844" i="3"/>
  <c r="Q844" i="3" s="1"/>
  <c r="B844" i="3"/>
  <c r="A844" i="3"/>
  <c r="Q843" i="3"/>
  <c r="O843" i="3"/>
  <c r="N843" i="3"/>
  <c r="M843" i="3"/>
  <c r="K843" i="3"/>
  <c r="J843" i="3"/>
  <c r="F843" i="3"/>
  <c r="E843" i="3"/>
  <c r="D843" i="3"/>
  <c r="C843" i="3"/>
  <c r="B843" i="3"/>
  <c r="Q842" i="3"/>
  <c r="O842" i="3"/>
  <c r="N842" i="3"/>
  <c r="M842" i="3"/>
  <c r="L842" i="3"/>
  <c r="K842" i="3"/>
  <c r="J842" i="3"/>
  <c r="D842" i="3"/>
  <c r="C842" i="3"/>
  <c r="G842" i="3" s="1"/>
  <c r="B842" i="3"/>
  <c r="A842" i="3"/>
  <c r="O841" i="3"/>
  <c r="N841" i="3"/>
  <c r="M841" i="3"/>
  <c r="L841" i="3"/>
  <c r="K841" i="3"/>
  <c r="J841" i="3"/>
  <c r="G841" i="3"/>
  <c r="F841" i="3"/>
  <c r="E841" i="3"/>
  <c r="D841" i="3"/>
  <c r="C841" i="3"/>
  <c r="Q841" i="3" s="1"/>
  <c r="B841" i="3"/>
  <c r="A841" i="3"/>
  <c r="Q840" i="3"/>
  <c r="O840" i="3"/>
  <c r="N840" i="3"/>
  <c r="M840" i="3"/>
  <c r="L840" i="3"/>
  <c r="K840" i="3"/>
  <c r="J840" i="3"/>
  <c r="F840" i="3"/>
  <c r="D840" i="3"/>
  <c r="C840" i="3"/>
  <c r="B840" i="3"/>
  <c r="Q839" i="3"/>
  <c r="O839" i="3"/>
  <c r="N839" i="3"/>
  <c r="M839" i="3"/>
  <c r="L839" i="3"/>
  <c r="K839" i="3"/>
  <c r="J839" i="3"/>
  <c r="F839" i="3"/>
  <c r="C839" i="3"/>
  <c r="O838" i="3"/>
  <c r="N838" i="3"/>
  <c r="M838" i="3"/>
  <c r="L838" i="3"/>
  <c r="K838" i="3"/>
  <c r="J838" i="3"/>
  <c r="G838" i="3"/>
  <c r="F838" i="3"/>
  <c r="E838" i="3"/>
  <c r="D838" i="3"/>
  <c r="C838" i="3"/>
  <c r="Q838" i="3" s="1"/>
  <c r="B838" i="3"/>
  <c r="A838" i="3"/>
  <c r="O837" i="3"/>
  <c r="N837" i="3"/>
  <c r="M837" i="3"/>
  <c r="K837" i="3"/>
  <c r="J837" i="3"/>
  <c r="C837" i="3"/>
  <c r="Q836" i="3"/>
  <c r="O836" i="3"/>
  <c r="N836" i="3"/>
  <c r="M836" i="3"/>
  <c r="K836" i="3"/>
  <c r="J836" i="3"/>
  <c r="G836" i="3"/>
  <c r="F836" i="3"/>
  <c r="D836" i="3"/>
  <c r="C836" i="3"/>
  <c r="E836" i="3" s="1"/>
  <c r="B836" i="3"/>
  <c r="A836" i="3"/>
  <c r="O835" i="3"/>
  <c r="N835" i="3"/>
  <c r="M835" i="3"/>
  <c r="L835" i="3"/>
  <c r="K835" i="3"/>
  <c r="J835" i="3"/>
  <c r="G835" i="3"/>
  <c r="F835" i="3"/>
  <c r="E835" i="3"/>
  <c r="D835" i="3"/>
  <c r="C835" i="3"/>
  <c r="Q835" i="3" s="1"/>
  <c r="B835" i="3"/>
  <c r="A835" i="3"/>
  <c r="Q834" i="3"/>
  <c r="O834" i="3"/>
  <c r="N834" i="3"/>
  <c r="M834" i="3"/>
  <c r="K834" i="3"/>
  <c r="J834" i="3"/>
  <c r="F834" i="3"/>
  <c r="E834" i="3"/>
  <c r="D834" i="3"/>
  <c r="C834" i="3"/>
  <c r="B834" i="3"/>
  <c r="O833" i="3"/>
  <c r="N833" i="3"/>
  <c r="M833" i="3"/>
  <c r="L833" i="3"/>
  <c r="K833" i="3"/>
  <c r="J833" i="3"/>
  <c r="D833" i="3"/>
  <c r="C833" i="3"/>
  <c r="Q833" i="3" s="1"/>
  <c r="B833" i="3"/>
  <c r="O832" i="3"/>
  <c r="N832" i="3"/>
  <c r="M832" i="3"/>
  <c r="L832" i="3"/>
  <c r="K832" i="3"/>
  <c r="J832" i="3"/>
  <c r="G832" i="3"/>
  <c r="F832" i="3"/>
  <c r="E832" i="3"/>
  <c r="D832" i="3"/>
  <c r="C832" i="3"/>
  <c r="Q832" i="3" s="1"/>
  <c r="B832" i="3"/>
  <c r="A832" i="3"/>
  <c r="Q831" i="3"/>
  <c r="O831" i="3"/>
  <c r="N831" i="3"/>
  <c r="M831" i="3"/>
  <c r="L831" i="3"/>
  <c r="K831" i="3"/>
  <c r="J831" i="3"/>
  <c r="D831" i="3"/>
  <c r="C831" i="3"/>
  <c r="F831" i="3" s="1"/>
  <c r="B831" i="3"/>
  <c r="O830" i="3"/>
  <c r="N830" i="3"/>
  <c r="M830" i="3"/>
  <c r="K830" i="3"/>
  <c r="J830" i="3"/>
  <c r="C830" i="3"/>
  <c r="O829" i="3"/>
  <c r="N829" i="3"/>
  <c r="M829" i="3"/>
  <c r="L829" i="3"/>
  <c r="K829" i="3"/>
  <c r="J829" i="3"/>
  <c r="G829" i="3"/>
  <c r="F829" i="3"/>
  <c r="E829" i="3"/>
  <c r="D829" i="3"/>
  <c r="C829" i="3"/>
  <c r="Q829" i="3" s="1"/>
  <c r="B829" i="3"/>
  <c r="A829" i="3"/>
  <c r="O828" i="3"/>
  <c r="N828" i="3"/>
  <c r="M828" i="3"/>
  <c r="L828" i="3"/>
  <c r="K828" i="3"/>
  <c r="J828" i="3"/>
  <c r="C828" i="3"/>
  <c r="Q827" i="3"/>
  <c r="O827" i="3"/>
  <c r="N827" i="3"/>
  <c r="M827" i="3"/>
  <c r="K827" i="3"/>
  <c r="J827" i="3"/>
  <c r="G827" i="3"/>
  <c r="F827" i="3"/>
  <c r="D827" i="3"/>
  <c r="C827" i="3"/>
  <c r="E827" i="3" s="1"/>
  <c r="B827" i="3"/>
  <c r="A827" i="3"/>
  <c r="O826" i="3"/>
  <c r="N826" i="3"/>
  <c r="M826" i="3"/>
  <c r="L826" i="3"/>
  <c r="K826" i="3"/>
  <c r="J826" i="3"/>
  <c r="G826" i="3"/>
  <c r="F826" i="3"/>
  <c r="E826" i="3"/>
  <c r="D826" i="3"/>
  <c r="C826" i="3"/>
  <c r="Q826" i="3" s="1"/>
  <c r="B826" i="3"/>
  <c r="A826" i="3"/>
  <c r="Q825" i="3"/>
  <c r="O825" i="3"/>
  <c r="N825" i="3"/>
  <c r="M825" i="3"/>
  <c r="K825" i="3"/>
  <c r="J825" i="3"/>
  <c r="F825" i="3"/>
  <c r="E825" i="3"/>
  <c r="D825" i="3"/>
  <c r="C825" i="3"/>
  <c r="B825" i="3"/>
  <c r="Q824" i="3"/>
  <c r="O824" i="3"/>
  <c r="N824" i="3"/>
  <c r="P824" i="3" s="1"/>
  <c r="T824" i="3" s="1"/>
  <c r="M824" i="3"/>
  <c r="L824" i="3"/>
  <c r="K824" i="3"/>
  <c r="J824" i="3"/>
  <c r="G824" i="3"/>
  <c r="D824" i="3"/>
  <c r="C824" i="3"/>
  <c r="B824" i="3"/>
  <c r="A824" i="3"/>
  <c r="O823" i="3"/>
  <c r="N823" i="3"/>
  <c r="M823" i="3"/>
  <c r="L823" i="3"/>
  <c r="K823" i="3"/>
  <c r="J823" i="3"/>
  <c r="G823" i="3"/>
  <c r="F823" i="3"/>
  <c r="E823" i="3"/>
  <c r="D823" i="3"/>
  <c r="C823" i="3"/>
  <c r="Q823" i="3" s="1"/>
  <c r="B823" i="3"/>
  <c r="A823" i="3"/>
  <c r="O822" i="3"/>
  <c r="N822" i="3"/>
  <c r="M822" i="3"/>
  <c r="L822" i="3"/>
  <c r="K822" i="3"/>
  <c r="J822" i="3"/>
  <c r="D822" i="3"/>
  <c r="C822" i="3"/>
  <c r="Q822" i="3" s="1"/>
  <c r="B822" i="3"/>
  <c r="O821" i="3"/>
  <c r="N821" i="3"/>
  <c r="M821" i="3"/>
  <c r="K821" i="3"/>
  <c r="J821" i="3"/>
  <c r="C821" i="3"/>
  <c r="O820" i="3"/>
  <c r="N820" i="3"/>
  <c r="M820" i="3"/>
  <c r="L820" i="3"/>
  <c r="K820" i="3"/>
  <c r="J820" i="3"/>
  <c r="G820" i="3"/>
  <c r="F820" i="3"/>
  <c r="E820" i="3"/>
  <c r="D820" i="3"/>
  <c r="C820" i="3"/>
  <c r="Q820" i="3" s="1"/>
  <c r="B820" i="3"/>
  <c r="A820" i="3"/>
  <c r="O819" i="3"/>
  <c r="N819" i="3"/>
  <c r="M819" i="3"/>
  <c r="L819" i="3"/>
  <c r="K819" i="3"/>
  <c r="J819" i="3"/>
  <c r="C819" i="3"/>
  <c r="Q818" i="3"/>
  <c r="O818" i="3"/>
  <c r="N818" i="3"/>
  <c r="M818" i="3"/>
  <c r="K818" i="3"/>
  <c r="J818" i="3"/>
  <c r="G818" i="3"/>
  <c r="F818" i="3"/>
  <c r="D818" i="3"/>
  <c r="C818" i="3"/>
  <c r="E818" i="3" s="1"/>
  <c r="B818" i="3"/>
  <c r="A818" i="3"/>
  <c r="O817" i="3"/>
  <c r="N817" i="3"/>
  <c r="M817" i="3"/>
  <c r="L817" i="3"/>
  <c r="K817" i="3"/>
  <c r="J817" i="3"/>
  <c r="G817" i="3"/>
  <c r="F817" i="3"/>
  <c r="E817" i="3"/>
  <c r="D817" i="3"/>
  <c r="C817" i="3"/>
  <c r="Q817" i="3" s="1"/>
  <c r="B817" i="3"/>
  <c r="A817" i="3"/>
  <c r="Q816" i="3"/>
  <c r="O816" i="3"/>
  <c r="P816" i="3" s="1"/>
  <c r="T816" i="3" s="1"/>
  <c r="N816" i="3"/>
  <c r="M816" i="3"/>
  <c r="K816" i="3"/>
  <c r="J816" i="3"/>
  <c r="F816" i="3"/>
  <c r="E816" i="3"/>
  <c r="D816" i="3"/>
  <c r="C816" i="3"/>
  <c r="B816" i="3"/>
  <c r="Q815" i="3"/>
  <c r="O815" i="3"/>
  <c r="N815" i="3"/>
  <c r="M815" i="3"/>
  <c r="L815" i="3"/>
  <c r="K815" i="3"/>
  <c r="J815" i="3"/>
  <c r="D815" i="3"/>
  <c r="C815" i="3"/>
  <c r="G815" i="3" s="1"/>
  <c r="B815" i="3"/>
  <c r="A815" i="3"/>
  <c r="O814" i="3"/>
  <c r="N814" i="3"/>
  <c r="M814" i="3"/>
  <c r="L814" i="3"/>
  <c r="K814" i="3"/>
  <c r="J814" i="3"/>
  <c r="G814" i="3"/>
  <c r="F814" i="3"/>
  <c r="E814" i="3"/>
  <c r="D814" i="3"/>
  <c r="C814" i="3"/>
  <c r="Q814" i="3" s="1"/>
  <c r="B814" i="3"/>
  <c r="A814" i="3"/>
  <c r="Q813" i="3"/>
  <c r="O813" i="3"/>
  <c r="N813" i="3"/>
  <c r="M813" i="3"/>
  <c r="L813" i="3"/>
  <c r="K813" i="3"/>
  <c r="J813" i="3"/>
  <c r="F813" i="3"/>
  <c r="D813" i="3"/>
  <c r="C813" i="3"/>
  <c r="B813" i="3"/>
  <c r="Q812" i="3"/>
  <c r="O812" i="3"/>
  <c r="N812" i="3"/>
  <c r="M812" i="3"/>
  <c r="L812" i="3"/>
  <c r="K812" i="3"/>
  <c r="J812" i="3"/>
  <c r="F812" i="3"/>
  <c r="C812" i="3"/>
  <c r="O811" i="3"/>
  <c r="N811" i="3"/>
  <c r="M811" i="3"/>
  <c r="L811" i="3"/>
  <c r="K811" i="3"/>
  <c r="J811" i="3"/>
  <c r="G811" i="3"/>
  <c r="F811" i="3"/>
  <c r="E811" i="3"/>
  <c r="D811" i="3"/>
  <c r="C811" i="3"/>
  <c r="Q811" i="3" s="1"/>
  <c r="B811" i="3"/>
  <c r="A811" i="3"/>
  <c r="O810" i="3"/>
  <c r="N810" i="3"/>
  <c r="M810" i="3"/>
  <c r="K810" i="3"/>
  <c r="J810" i="3"/>
  <c r="C810" i="3"/>
  <c r="Q809" i="3"/>
  <c r="O809" i="3"/>
  <c r="N809" i="3"/>
  <c r="P809" i="3" s="1"/>
  <c r="T809" i="3" s="1"/>
  <c r="M809" i="3"/>
  <c r="K809" i="3"/>
  <c r="J809" i="3"/>
  <c r="G809" i="3"/>
  <c r="F809" i="3"/>
  <c r="D809" i="3"/>
  <c r="C809" i="3"/>
  <c r="E809" i="3" s="1"/>
  <c r="B809" i="3"/>
  <c r="A809" i="3"/>
  <c r="O808" i="3"/>
  <c r="N808" i="3"/>
  <c r="M808" i="3"/>
  <c r="L808" i="3"/>
  <c r="K808" i="3"/>
  <c r="J808" i="3"/>
  <c r="G808" i="3"/>
  <c r="F808" i="3"/>
  <c r="E808" i="3"/>
  <c r="D808" i="3"/>
  <c r="C808" i="3"/>
  <c r="Q808" i="3" s="1"/>
  <c r="B808" i="3"/>
  <c r="A808" i="3"/>
  <c r="Q807" i="3"/>
  <c r="O807" i="3"/>
  <c r="N807" i="3"/>
  <c r="M807" i="3"/>
  <c r="K807" i="3"/>
  <c r="J807" i="3"/>
  <c r="F807" i="3"/>
  <c r="E807" i="3"/>
  <c r="D807" i="3"/>
  <c r="C807" i="3"/>
  <c r="B807" i="3"/>
  <c r="O806" i="3"/>
  <c r="N806" i="3"/>
  <c r="M806" i="3"/>
  <c r="L806" i="3"/>
  <c r="K806" i="3"/>
  <c r="J806" i="3"/>
  <c r="D806" i="3"/>
  <c r="C806" i="3"/>
  <c r="Q806" i="3" s="1"/>
  <c r="B806" i="3"/>
  <c r="O805" i="3"/>
  <c r="N805" i="3"/>
  <c r="M805" i="3"/>
  <c r="L805" i="3"/>
  <c r="K805" i="3"/>
  <c r="J805" i="3"/>
  <c r="G805" i="3"/>
  <c r="F805" i="3"/>
  <c r="E805" i="3"/>
  <c r="D805" i="3"/>
  <c r="C805" i="3"/>
  <c r="Q805" i="3" s="1"/>
  <c r="B805" i="3"/>
  <c r="A805" i="3"/>
  <c r="Q804" i="3"/>
  <c r="O804" i="3"/>
  <c r="N804" i="3"/>
  <c r="M804" i="3"/>
  <c r="L804" i="3"/>
  <c r="K804" i="3"/>
  <c r="J804" i="3"/>
  <c r="D804" i="3"/>
  <c r="C804" i="3"/>
  <c r="F804" i="3" s="1"/>
  <c r="B804" i="3"/>
  <c r="O803" i="3"/>
  <c r="N803" i="3"/>
  <c r="M803" i="3"/>
  <c r="K803" i="3"/>
  <c r="J803" i="3"/>
  <c r="C803" i="3"/>
  <c r="O802" i="3"/>
  <c r="N802" i="3"/>
  <c r="M802" i="3"/>
  <c r="L802" i="3"/>
  <c r="K802" i="3"/>
  <c r="J802" i="3"/>
  <c r="G802" i="3"/>
  <c r="F802" i="3"/>
  <c r="E802" i="3"/>
  <c r="D802" i="3"/>
  <c r="C802" i="3"/>
  <c r="Q802" i="3" s="1"/>
  <c r="B802" i="3"/>
  <c r="A802" i="3"/>
  <c r="O801" i="3"/>
  <c r="N801" i="3"/>
  <c r="M801" i="3"/>
  <c r="L801" i="3"/>
  <c r="K801" i="3"/>
  <c r="J801" i="3"/>
  <c r="C801" i="3"/>
  <c r="Q800" i="3"/>
  <c r="O800" i="3"/>
  <c r="N800" i="3"/>
  <c r="M800" i="3"/>
  <c r="K800" i="3"/>
  <c r="J800" i="3"/>
  <c r="G800" i="3"/>
  <c r="F800" i="3"/>
  <c r="D800" i="3"/>
  <c r="C800" i="3"/>
  <c r="E800" i="3" s="1"/>
  <c r="B800" i="3"/>
  <c r="A800" i="3"/>
  <c r="O799" i="3"/>
  <c r="N799" i="3"/>
  <c r="M799" i="3"/>
  <c r="L799" i="3"/>
  <c r="K799" i="3"/>
  <c r="J799" i="3"/>
  <c r="G799" i="3"/>
  <c r="F799" i="3"/>
  <c r="E799" i="3"/>
  <c r="D799" i="3"/>
  <c r="C799" i="3"/>
  <c r="Q799" i="3" s="1"/>
  <c r="B799" i="3"/>
  <c r="A799" i="3"/>
  <c r="Q798" i="3"/>
  <c r="O798" i="3"/>
  <c r="N798" i="3"/>
  <c r="M798" i="3"/>
  <c r="K798" i="3"/>
  <c r="J798" i="3"/>
  <c r="F798" i="3"/>
  <c r="E798" i="3"/>
  <c r="D798" i="3"/>
  <c r="C798" i="3"/>
  <c r="B798" i="3"/>
  <c r="Q797" i="3"/>
  <c r="O797" i="3"/>
  <c r="N797" i="3"/>
  <c r="M797" i="3"/>
  <c r="L797" i="3"/>
  <c r="K797" i="3"/>
  <c r="J797" i="3"/>
  <c r="G797" i="3"/>
  <c r="D797" i="3"/>
  <c r="C797" i="3"/>
  <c r="B797" i="3"/>
  <c r="A797" i="3"/>
  <c r="O796" i="3"/>
  <c r="N796" i="3"/>
  <c r="M796" i="3"/>
  <c r="L796" i="3"/>
  <c r="K796" i="3"/>
  <c r="J796" i="3"/>
  <c r="G796" i="3"/>
  <c r="F796" i="3"/>
  <c r="E796" i="3"/>
  <c r="D796" i="3"/>
  <c r="C796" i="3"/>
  <c r="Q796" i="3" s="1"/>
  <c r="B796" i="3"/>
  <c r="A796" i="3"/>
  <c r="O795" i="3"/>
  <c r="P795" i="3" s="1"/>
  <c r="T795" i="3" s="1"/>
  <c r="N795" i="3"/>
  <c r="M795" i="3"/>
  <c r="L795" i="3"/>
  <c r="K795" i="3"/>
  <c r="J795" i="3"/>
  <c r="D795" i="3"/>
  <c r="C795" i="3"/>
  <c r="Q795" i="3" s="1"/>
  <c r="B795" i="3"/>
  <c r="O794" i="3"/>
  <c r="N794" i="3"/>
  <c r="M794" i="3"/>
  <c r="K794" i="3"/>
  <c r="J794" i="3"/>
  <c r="C794" i="3"/>
  <c r="O793" i="3"/>
  <c r="N793" i="3"/>
  <c r="M793" i="3"/>
  <c r="L793" i="3"/>
  <c r="K793" i="3"/>
  <c r="J793" i="3"/>
  <c r="G793" i="3"/>
  <c r="F793" i="3"/>
  <c r="E793" i="3"/>
  <c r="D793" i="3"/>
  <c r="C793" i="3"/>
  <c r="Q793" i="3" s="1"/>
  <c r="B793" i="3"/>
  <c r="A793" i="3"/>
  <c r="O792" i="3"/>
  <c r="N792" i="3"/>
  <c r="M792" i="3"/>
  <c r="L792" i="3"/>
  <c r="K792" i="3"/>
  <c r="J792" i="3"/>
  <c r="C792" i="3"/>
  <c r="Q791" i="3"/>
  <c r="O791" i="3"/>
  <c r="N791" i="3"/>
  <c r="M791" i="3"/>
  <c r="K791" i="3"/>
  <c r="J791" i="3"/>
  <c r="G791" i="3"/>
  <c r="F791" i="3"/>
  <c r="D791" i="3"/>
  <c r="C791" i="3"/>
  <c r="E791" i="3" s="1"/>
  <c r="B791" i="3"/>
  <c r="A791" i="3"/>
  <c r="O790" i="3"/>
  <c r="N790" i="3"/>
  <c r="M790" i="3"/>
  <c r="L790" i="3"/>
  <c r="K790" i="3"/>
  <c r="J790" i="3"/>
  <c r="G790" i="3"/>
  <c r="F790" i="3"/>
  <c r="E790" i="3"/>
  <c r="D790" i="3"/>
  <c r="C790" i="3"/>
  <c r="Q790" i="3" s="1"/>
  <c r="B790" i="3"/>
  <c r="A790" i="3"/>
  <c r="Q789" i="3"/>
  <c r="O789" i="3"/>
  <c r="N789" i="3"/>
  <c r="M789" i="3"/>
  <c r="K789" i="3"/>
  <c r="J789" i="3"/>
  <c r="F789" i="3"/>
  <c r="E789" i="3"/>
  <c r="D789" i="3"/>
  <c r="C789" i="3"/>
  <c r="B789" i="3"/>
  <c r="Q788" i="3"/>
  <c r="O788" i="3"/>
  <c r="N788" i="3"/>
  <c r="M788" i="3"/>
  <c r="L788" i="3"/>
  <c r="K788" i="3"/>
  <c r="J788" i="3"/>
  <c r="D788" i="3"/>
  <c r="C788" i="3"/>
  <c r="G788" i="3" s="1"/>
  <c r="B788" i="3"/>
  <c r="A788" i="3"/>
  <c r="O787" i="3"/>
  <c r="N787" i="3"/>
  <c r="M787" i="3"/>
  <c r="L787" i="3"/>
  <c r="K787" i="3"/>
  <c r="J787" i="3"/>
  <c r="G787" i="3"/>
  <c r="F787" i="3"/>
  <c r="E787" i="3"/>
  <c r="D787" i="3"/>
  <c r="C787" i="3"/>
  <c r="Q787" i="3" s="1"/>
  <c r="B787" i="3"/>
  <c r="A787" i="3"/>
  <c r="Q786" i="3"/>
  <c r="O786" i="3"/>
  <c r="N786" i="3"/>
  <c r="M786" i="3"/>
  <c r="L786" i="3"/>
  <c r="K786" i="3"/>
  <c r="J786" i="3"/>
  <c r="F786" i="3"/>
  <c r="D786" i="3"/>
  <c r="C786" i="3"/>
  <c r="B786" i="3"/>
  <c r="Q785" i="3"/>
  <c r="O785" i="3"/>
  <c r="N785" i="3"/>
  <c r="M785" i="3"/>
  <c r="K785" i="3"/>
  <c r="J785" i="3"/>
  <c r="F785" i="3"/>
  <c r="C785" i="3"/>
  <c r="L785" i="3" s="1"/>
  <c r="O784" i="3"/>
  <c r="N784" i="3"/>
  <c r="M784" i="3"/>
  <c r="L784" i="3"/>
  <c r="K784" i="3"/>
  <c r="J784" i="3"/>
  <c r="G784" i="3"/>
  <c r="F784" i="3"/>
  <c r="E784" i="3"/>
  <c r="D784" i="3"/>
  <c r="C784" i="3"/>
  <c r="Q784" i="3" s="1"/>
  <c r="B784" i="3"/>
  <c r="A784" i="3"/>
  <c r="O783" i="3"/>
  <c r="N783" i="3"/>
  <c r="M783" i="3"/>
  <c r="K783" i="3"/>
  <c r="J783" i="3"/>
  <c r="C783" i="3"/>
  <c r="Q782" i="3"/>
  <c r="O782" i="3"/>
  <c r="N782" i="3"/>
  <c r="M782" i="3"/>
  <c r="K782" i="3"/>
  <c r="J782" i="3"/>
  <c r="G782" i="3"/>
  <c r="F782" i="3"/>
  <c r="D782" i="3"/>
  <c r="C782" i="3"/>
  <c r="E782" i="3" s="1"/>
  <c r="B782" i="3"/>
  <c r="A782" i="3"/>
  <c r="O781" i="3"/>
  <c r="N781" i="3"/>
  <c r="M781" i="3"/>
  <c r="L781" i="3"/>
  <c r="K781" i="3"/>
  <c r="J781" i="3"/>
  <c r="G781" i="3"/>
  <c r="F781" i="3"/>
  <c r="E781" i="3"/>
  <c r="D781" i="3"/>
  <c r="C781" i="3"/>
  <c r="Q781" i="3" s="1"/>
  <c r="B781" i="3"/>
  <c r="A781" i="3"/>
  <c r="Q780" i="3"/>
  <c r="O780" i="3"/>
  <c r="N780" i="3"/>
  <c r="M780" i="3"/>
  <c r="K780" i="3"/>
  <c r="J780" i="3"/>
  <c r="F780" i="3"/>
  <c r="E780" i="3"/>
  <c r="D780" i="3"/>
  <c r="C780" i="3"/>
  <c r="B780" i="3"/>
  <c r="O779" i="3"/>
  <c r="N779" i="3"/>
  <c r="M779" i="3"/>
  <c r="L779" i="3"/>
  <c r="K779" i="3"/>
  <c r="J779" i="3"/>
  <c r="D779" i="3"/>
  <c r="C779" i="3"/>
  <c r="Q779" i="3" s="1"/>
  <c r="B779" i="3"/>
  <c r="O778" i="3"/>
  <c r="N778" i="3"/>
  <c r="M778" i="3"/>
  <c r="L778" i="3"/>
  <c r="K778" i="3"/>
  <c r="J778" i="3"/>
  <c r="G778" i="3"/>
  <c r="F778" i="3"/>
  <c r="E778" i="3"/>
  <c r="D778" i="3"/>
  <c r="C778" i="3"/>
  <c r="Q778" i="3" s="1"/>
  <c r="B778" i="3"/>
  <c r="A778" i="3"/>
  <c r="Q777" i="3"/>
  <c r="O777" i="3"/>
  <c r="N777" i="3"/>
  <c r="M777" i="3"/>
  <c r="L777" i="3"/>
  <c r="K777" i="3"/>
  <c r="J777" i="3"/>
  <c r="D777" i="3"/>
  <c r="C777" i="3"/>
  <c r="F777" i="3" s="1"/>
  <c r="B777" i="3"/>
  <c r="O776" i="3"/>
  <c r="N776" i="3"/>
  <c r="M776" i="3"/>
  <c r="K776" i="3"/>
  <c r="J776" i="3"/>
  <c r="C776" i="3"/>
  <c r="O775" i="3"/>
  <c r="N775" i="3"/>
  <c r="M775" i="3"/>
  <c r="L775" i="3"/>
  <c r="K775" i="3"/>
  <c r="J775" i="3"/>
  <c r="G775" i="3"/>
  <c r="F775" i="3"/>
  <c r="E775" i="3"/>
  <c r="D775" i="3"/>
  <c r="C775" i="3"/>
  <c r="Q775" i="3" s="1"/>
  <c r="B775" i="3"/>
  <c r="A775" i="3"/>
  <c r="O774" i="3"/>
  <c r="N774" i="3"/>
  <c r="M774" i="3"/>
  <c r="L774" i="3"/>
  <c r="K774" i="3"/>
  <c r="J774" i="3"/>
  <c r="C774" i="3"/>
  <c r="Q773" i="3"/>
  <c r="O773" i="3"/>
  <c r="N773" i="3"/>
  <c r="M773" i="3"/>
  <c r="K773" i="3"/>
  <c r="J773" i="3"/>
  <c r="G773" i="3"/>
  <c r="F773" i="3"/>
  <c r="D773" i="3"/>
  <c r="C773" i="3"/>
  <c r="E773" i="3" s="1"/>
  <c r="B773" i="3"/>
  <c r="A773" i="3"/>
  <c r="O772" i="3"/>
  <c r="N772" i="3"/>
  <c r="M772" i="3"/>
  <c r="L772" i="3"/>
  <c r="K772" i="3"/>
  <c r="J772" i="3"/>
  <c r="G772" i="3"/>
  <c r="F772" i="3"/>
  <c r="E772" i="3"/>
  <c r="D772" i="3"/>
  <c r="C772" i="3"/>
  <c r="Q772" i="3" s="1"/>
  <c r="B772" i="3"/>
  <c r="A772" i="3"/>
  <c r="Q771" i="3"/>
  <c r="O771" i="3"/>
  <c r="N771" i="3"/>
  <c r="M771" i="3"/>
  <c r="K771" i="3"/>
  <c r="J771" i="3"/>
  <c r="F771" i="3"/>
  <c r="E771" i="3"/>
  <c r="D771" i="3"/>
  <c r="C771" i="3"/>
  <c r="B771" i="3"/>
  <c r="Q770" i="3"/>
  <c r="O770" i="3"/>
  <c r="N770" i="3"/>
  <c r="M770" i="3"/>
  <c r="L770" i="3"/>
  <c r="K770" i="3"/>
  <c r="J770" i="3"/>
  <c r="G770" i="3"/>
  <c r="D770" i="3"/>
  <c r="C770" i="3"/>
  <c r="B770" i="3"/>
  <c r="A770" i="3"/>
  <c r="O769" i="3"/>
  <c r="N769" i="3"/>
  <c r="M769" i="3"/>
  <c r="L769" i="3"/>
  <c r="K769" i="3"/>
  <c r="J769" i="3"/>
  <c r="G769" i="3"/>
  <c r="F769" i="3"/>
  <c r="E769" i="3"/>
  <c r="D769" i="3"/>
  <c r="C769" i="3"/>
  <c r="Q769" i="3" s="1"/>
  <c r="B769" i="3"/>
  <c r="A769" i="3"/>
  <c r="O768" i="3"/>
  <c r="N768" i="3"/>
  <c r="M768" i="3"/>
  <c r="L768" i="3"/>
  <c r="K768" i="3"/>
  <c r="J768" i="3"/>
  <c r="D768" i="3"/>
  <c r="C768" i="3"/>
  <c r="Q768" i="3" s="1"/>
  <c r="B768" i="3"/>
  <c r="O767" i="3"/>
  <c r="N767" i="3"/>
  <c r="M767" i="3"/>
  <c r="K767" i="3"/>
  <c r="J767" i="3"/>
  <c r="C767" i="3"/>
  <c r="O766" i="3"/>
  <c r="N766" i="3"/>
  <c r="M766" i="3"/>
  <c r="L766" i="3"/>
  <c r="K766" i="3"/>
  <c r="J766" i="3"/>
  <c r="G766" i="3"/>
  <c r="F766" i="3"/>
  <c r="E766" i="3"/>
  <c r="D766" i="3"/>
  <c r="C766" i="3"/>
  <c r="Q766" i="3" s="1"/>
  <c r="B766" i="3"/>
  <c r="A766" i="3"/>
  <c r="O765" i="3"/>
  <c r="N765" i="3"/>
  <c r="M765" i="3"/>
  <c r="L765" i="3"/>
  <c r="K765" i="3"/>
  <c r="J765" i="3"/>
  <c r="C765" i="3"/>
  <c r="Q764" i="3"/>
  <c r="O764" i="3"/>
  <c r="N764" i="3"/>
  <c r="M764" i="3"/>
  <c r="K764" i="3"/>
  <c r="J764" i="3"/>
  <c r="G764" i="3"/>
  <c r="F764" i="3"/>
  <c r="D764" i="3"/>
  <c r="C764" i="3"/>
  <c r="E764" i="3" s="1"/>
  <c r="B764" i="3"/>
  <c r="A764" i="3"/>
  <c r="O763" i="3"/>
  <c r="N763" i="3"/>
  <c r="M763" i="3"/>
  <c r="L763" i="3"/>
  <c r="K763" i="3"/>
  <c r="J763" i="3"/>
  <c r="G763" i="3"/>
  <c r="F763" i="3"/>
  <c r="E763" i="3"/>
  <c r="D763" i="3"/>
  <c r="C763" i="3"/>
  <c r="Q763" i="3" s="1"/>
  <c r="B763" i="3"/>
  <c r="A763" i="3"/>
  <c r="Q762" i="3"/>
  <c r="O762" i="3"/>
  <c r="N762" i="3"/>
  <c r="M762" i="3"/>
  <c r="K762" i="3"/>
  <c r="J762" i="3"/>
  <c r="F762" i="3"/>
  <c r="E762" i="3"/>
  <c r="D762" i="3"/>
  <c r="C762" i="3"/>
  <c r="B762" i="3"/>
  <c r="Q761" i="3"/>
  <c r="O761" i="3"/>
  <c r="N761" i="3"/>
  <c r="M761" i="3"/>
  <c r="L761" i="3"/>
  <c r="K761" i="3"/>
  <c r="J761" i="3"/>
  <c r="D761" i="3"/>
  <c r="C761" i="3"/>
  <c r="G761" i="3" s="1"/>
  <c r="B761" i="3"/>
  <c r="A761" i="3"/>
  <c r="O760" i="3"/>
  <c r="N760" i="3"/>
  <c r="M760" i="3"/>
  <c r="L760" i="3"/>
  <c r="K760" i="3"/>
  <c r="J760" i="3"/>
  <c r="G760" i="3"/>
  <c r="F760" i="3"/>
  <c r="E760" i="3"/>
  <c r="D760" i="3"/>
  <c r="C760" i="3"/>
  <c r="Q760" i="3" s="1"/>
  <c r="B760" i="3"/>
  <c r="A760" i="3"/>
  <c r="Q759" i="3"/>
  <c r="O759" i="3"/>
  <c r="N759" i="3"/>
  <c r="M759" i="3"/>
  <c r="L759" i="3"/>
  <c r="K759" i="3"/>
  <c r="J759" i="3"/>
  <c r="F759" i="3"/>
  <c r="D759" i="3"/>
  <c r="C759" i="3"/>
  <c r="B759" i="3"/>
  <c r="Q758" i="3"/>
  <c r="O758" i="3"/>
  <c r="N758" i="3"/>
  <c r="M758" i="3"/>
  <c r="K758" i="3"/>
  <c r="J758" i="3"/>
  <c r="F758" i="3"/>
  <c r="C758" i="3"/>
  <c r="L758" i="3" s="1"/>
  <c r="O757" i="3"/>
  <c r="N757" i="3"/>
  <c r="M757" i="3"/>
  <c r="L757" i="3"/>
  <c r="K757" i="3"/>
  <c r="J757" i="3"/>
  <c r="G757" i="3"/>
  <c r="F757" i="3"/>
  <c r="E757" i="3"/>
  <c r="D757" i="3"/>
  <c r="C757" i="3"/>
  <c r="Q757" i="3" s="1"/>
  <c r="B757" i="3"/>
  <c r="A757" i="3"/>
  <c r="O756" i="3"/>
  <c r="N756" i="3"/>
  <c r="M756" i="3"/>
  <c r="K756" i="3"/>
  <c r="J756" i="3"/>
  <c r="C756" i="3"/>
  <c r="Q755" i="3"/>
  <c r="O755" i="3"/>
  <c r="N755" i="3"/>
  <c r="M755" i="3"/>
  <c r="K755" i="3"/>
  <c r="J755" i="3"/>
  <c r="G755" i="3"/>
  <c r="F755" i="3"/>
  <c r="D755" i="3"/>
  <c r="C755" i="3"/>
  <c r="E755" i="3" s="1"/>
  <c r="B755" i="3"/>
  <c r="A755" i="3"/>
  <c r="O754" i="3"/>
  <c r="N754" i="3"/>
  <c r="M754" i="3"/>
  <c r="L754" i="3"/>
  <c r="K754" i="3"/>
  <c r="J754" i="3"/>
  <c r="G754" i="3"/>
  <c r="F754" i="3"/>
  <c r="E754" i="3"/>
  <c r="D754" i="3"/>
  <c r="C754" i="3"/>
  <c r="Q754" i="3" s="1"/>
  <c r="B754" i="3"/>
  <c r="A754" i="3"/>
  <c r="Q753" i="3"/>
  <c r="O753" i="3"/>
  <c r="N753" i="3"/>
  <c r="M753" i="3"/>
  <c r="K753" i="3"/>
  <c r="J753" i="3"/>
  <c r="F753" i="3"/>
  <c r="E753" i="3"/>
  <c r="D753" i="3"/>
  <c r="C753" i="3"/>
  <c r="B753" i="3"/>
  <c r="O752" i="3"/>
  <c r="N752" i="3"/>
  <c r="M752" i="3"/>
  <c r="L752" i="3"/>
  <c r="K752" i="3"/>
  <c r="J752" i="3"/>
  <c r="D752" i="3"/>
  <c r="C752" i="3"/>
  <c r="Q752" i="3" s="1"/>
  <c r="B752" i="3"/>
  <c r="O751" i="3"/>
  <c r="N751" i="3"/>
  <c r="M751" i="3"/>
  <c r="L751" i="3"/>
  <c r="K751" i="3"/>
  <c r="J751" i="3"/>
  <c r="G751" i="3"/>
  <c r="F751" i="3"/>
  <c r="E751" i="3"/>
  <c r="D751" i="3"/>
  <c r="C751" i="3"/>
  <c r="Q751" i="3" s="1"/>
  <c r="B751" i="3"/>
  <c r="A751" i="3"/>
  <c r="Q750" i="3"/>
  <c r="O750" i="3"/>
  <c r="N750" i="3"/>
  <c r="M750" i="3"/>
  <c r="L750" i="3"/>
  <c r="K750" i="3"/>
  <c r="J750" i="3"/>
  <c r="D750" i="3"/>
  <c r="C750" i="3"/>
  <c r="F750" i="3" s="1"/>
  <c r="B750" i="3"/>
  <c r="O749" i="3"/>
  <c r="N749" i="3"/>
  <c r="M749" i="3"/>
  <c r="K749" i="3"/>
  <c r="J749" i="3"/>
  <c r="C749" i="3"/>
  <c r="O748" i="3"/>
  <c r="N748" i="3"/>
  <c r="M748" i="3"/>
  <c r="L748" i="3"/>
  <c r="K748" i="3"/>
  <c r="J748" i="3"/>
  <c r="G748" i="3"/>
  <c r="F748" i="3"/>
  <c r="E748" i="3"/>
  <c r="D748" i="3"/>
  <c r="C748" i="3"/>
  <c r="Q748" i="3" s="1"/>
  <c r="B748" i="3"/>
  <c r="A748" i="3"/>
  <c r="O747" i="3"/>
  <c r="N747" i="3"/>
  <c r="M747" i="3"/>
  <c r="L747" i="3"/>
  <c r="K747" i="3"/>
  <c r="J747" i="3"/>
  <c r="C747" i="3"/>
  <c r="Q746" i="3"/>
  <c r="O746" i="3"/>
  <c r="N746" i="3"/>
  <c r="M746" i="3"/>
  <c r="K746" i="3"/>
  <c r="J746" i="3"/>
  <c r="G746" i="3"/>
  <c r="F746" i="3"/>
  <c r="D746" i="3"/>
  <c r="C746" i="3"/>
  <c r="E746" i="3" s="1"/>
  <c r="B746" i="3"/>
  <c r="A746" i="3"/>
  <c r="O745" i="3"/>
  <c r="N745" i="3"/>
  <c r="M745" i="3"/>
  <c r="L745" i="3"/>
  <c r="K745" i="3"/>
  <c r="J745" i="3"/>
  <c r="G745" i="3"/>
  <c r="F745" i="3"/>
  <c r="E745" i="3"/>
  <c r="D745" i="3"/>
  <c r="C745" i="3"/>
  <c r="Q745" i="3" s="1"/>
  <c r="B745" i="3"/>
  <c r="A745" i="3"/>
  <c r="Q744" i="3"/>
  <c r="O744" i="3"/>
  <c r="N744" i="3"/>
  <c r="M744" i="3"/>
  <c r="K744" i="3"/>
  <c r="J744" i="3"/>
  <c r="F744" i="3"/>
  <c r="E744" i="3"/>
  <c r="D744" i="3"/>
  <c r="C744" i="3"/>
  <c r="B744" i="3"/>
  <c r="Q743" i="3"/>
  <c r="O743" i="3"/>
  <c r="N743" i="3"/>
  <c r="M743" i="3"/>
  <c r="L743" i="3"/>
  <c r="K743" i="3"/>
  <c r="J743" i="3"/>
  <c r="G743" i="3"/>
  <c r="D743" i="3"/>
  <c r="C743" i="3"/>
  <c r="B743" i="3"/>
  <c r="A743" i="3"/>
  <c r="O742" i="3"/>
  <c r="N742" i="3"/>
  <c r="M742" i="3"/>
  <c r="L742" i="3"/>
  <c r="K742" i="3"/>
  <c r="J742" i="3"/>
  <c r="G742" i="3"/>
  <c r="F742" i="3"/>
  <c r="E742" i="3"/>
  <c r="D742" i="3"/>
  <c r="C742" i="3"/>
  <c r="Q742" i="3" s="1"/>
  <c r="B742" i="3"/>
  <c r="A742" i="3"/>
  <c r="O741" i="3"/>
  <c r="P741" i="3" s="1"/>
  <c r="T741" i="3" s="1"/>
  <c r="N741" i="3"/>
  <c r="M741" i="3"/>
  <c r="L741" i="3"/>
  <c r="K741" i="3"/>
  <c r="J741" i="3"/>
  <c r="D741" i="3"/>
  <c r="C741" i="3"/>
  <c r="Q741" i="3" s="1"/>
  <c r="B741" i="3"/>
  <c r="O740" i="3"/>
  <c r="N740" i="3"/>
  <c r="M740" i="3"/>
  <c r="K740" i="3"/>
  <c r="J740" i="3"/>
  <c r="C740" i="3"/>
  <c r="O739" i="3"/>
  <c r="N739" i="3"/>
  <c r="M739" i="3"/>
  <c r="L739" i="3"/>
  <c r="K739" i="3"/>
  <c r="J739" i="3"/>
  <c r="G739" i="3"/>
  <c r="F739" i="3"/>
  <c r="E739" i="3"/>
  <c r="D739" i="3"/>
  <c r="C739" i="3"/>
  <c r="Q739" i="3" s="1"/>
  <c r="B739" i="3"/>
  <c r="A739" i="3"/>
  <c r="O738" i="3"/>
  <c r="N738" i="3"/>
  <c r="M738" i="3"/>
  <c r="L738" i="3"/>
  <c r="K738" i="3"/>
  <c r="J738" i="3"/>
  <c r="C738" i="3"/>
  <c r="Q737" i="3"/>
  <c r="O737" i="3"/>
  <c r="N737" i="3"/>
  <c r="M737" i="3"/>
  <c r="K737" i="3"/>
  <c r="J737" i="3"/>
  <c r="G737" i="3"/>
  <c r="F737" i="3"/>
  <c r="D737" i="3"/>
  <c r="C737" i="3"/>
  <c r="E737" i="3" s="1"/>
  <c r="B737" i="3"/>
  <c r="A737" i="3"/>
  <c r="O736" i="3"/>
  <c r="N736" i="3"/>
  <c r="M736" i="3"/>
  <c r="L736" i="3"/>
  <c r="K736" i="3"/>
  <c r="J736" i="3"/>
  <c r="G736" i="3"/>
  <c r="F736" i="3"/>
  <c r="E736" i="3"/>
  <c r="D736" i="3"/>
  <c r="C736" i="3"/>
  <c r="Q736" i="3" s="1"/>
  <c r="B736" i="3"/>
  <c r="A736" i="3"/>
  <c r="Q735" i="3"/>
  <c r="O735" i="3"/>
  <c r="N735" i="3"/>
  <c r="M735" i="3"/>
  <c r="K735" i="3"/>
  <c r="J735" i="3"/>
  <c r="F735" i="3"/>
  <c r="E735" i="3"/>
  <c r="D735" i="3"/>
  <c r="C735" i="3"/>
  <c r="B735" i="3"/>
  <c r="Q734" i="3"/>
  <c r="O734" i="3"/>
  <c r="N734" i="3"/>
  <c r="M734" i="3"/>
  <c r="L734" i="3"/>
  <c r="K734" i="3"/>
  <c r="J734" i="3"/>
  <c r="D734" i="3"/>
  <c r="C734" i="3"/>
  <c r="G734" i="3" s="1"/>
  <c r="B734" i="3"/>
  <c r="A734" i="3"/>
  <c r="O733" i="3"/>
  <c r="N733" i="3"/>
  <c r="M733" i="3"/>
  <c r="L733" i="3"/>
  <c r="K733" i="3"/>
  <c r="J733" i="3"/>
  <c r="G733" i="3"/>
  <c r="F733" i="3"/>
  <c r="E733" i="3"/>
  <c r="D733" i="3"/>
  <c r="C733" i="3"/>
  <c r="Q733" i="3" s="1"/>
  <c r="B733" i="3"/>
  <c r="A733" i="3"/>
  <c r="Q732" i="3"/>
  <c r="O732" i="3"/>
  <c r="N732" i="3"/>
  <c r="M732" i="3"/>
  <c r="L732" i="3"/>
  <c r="K732" i="3"/>
  <c r="J732" i="3"/>
  <c r="F732" i="3"/>
  <c r="D732" i="3"/>
  <c r="C732" i="3"/>
  <c r="B732" i="3"/>
  <c r="Q731" i="3"/>
  <c r="O731" i="3"/>
  <c r="N731" i="3"/>
  <c r="M731" i="3"/>
  <c r="K731" i="3"/>
  <c r="J731" i="3"/>
  <c r="F731" i="3"/>
  <c r="C731" i="3"/>
  <c r="L731" i="3" s="1"/>
  <c r="O730" i="3"/>
  <c r="N730" i="3"/>
  <c r="M730" i="3"/>
  <c r="L730" i="3"/>
  <c r="K730" i="3"/>
  <c r="J730" i="3"/>
  <c r="G730" i="3"/>
  <c r="F730" i="3"/>
  <c r="E730" i="3"/>
  <c r="D730" i="3"/>
  <c r="C730" i="3"/>
  <c r="Q730" i="3" s="1"/>
  <c r="B730" i="3"/>
  <c r="A730" i="3"/>
  <c r="O729" i="3"/>
  <c r="N729" i="3"/>
  <c r="M729" i="3"/>
  <c r="K729" i="3"/>
  <c r="J729" i="3"/>
  <c r="C729" i="3"/>
  <c r="Q728" i="3"/>
  <c r="O728" i="3"/>
  <c r="N728" i="3"/>
  <c r="M728" i="3"/>
  <c r="K728" i="3"/>
  <c r="J728" i="3"/>
  <c r="G728" i="3"/>
  <c r="F728" i="3"/>
  <c r="D728" i="3"/>
  <c r="C728" i="3"/>
  <c r="E728" i="3" s="1"/>
  <c r="B728" i="3"/>
  <c r="A728" i="3"/>
  <c r="O727" i="3"/>
  <c r="N727" i="3"/>
  <c r="M727" i="3"/>
  <c r="L727" i="3"/>
  <c r="K727" i="3"/>
  <c r="J727" i="3"/>
  <c r="G727" i="3"/>
  <c r="F727" i="3"/>
  <c r="E727" i="3"/>
  <c r="D727" i="3"/>
  <c r="C727" i="3"/>
  <c r="Q727" i="3" s="1"/>
  <c r="B727" i="3"/>
  <c r="A727" i="3"/>
  <c r="Q726" i="3"/>
  <c r="O726" i="3"/>
  <c r="N726" i="3"/>
  <c r="M726" i="3"/>
  <c r="K726" i="3"/>
  <c r="J726" i="3"/>
  <c r="F726" i="3"/>
  <c r="E726" i="3"/>
  <c r="D726" i="3"/>
  <c r="C726" i="3"/>
  <c r="B726" i="3"/>
  <c r="O725" i="3"/>
  <c r="N725" i="3"/>
  <c r="M725" i="3"/>
  <c r="L725" i="3"/>
  <c r="K725" i="3"/>
  <c r="J725" i="3"/>
  <c r="D725" i="3"/>
  <c r="C725" i="3"/>
  <c r="Q725" i="3" s="1"/>
  <c r="B725" i="3"/>
  <c r="O724" i="3"/>
  <c r="N724" i="3"/>
  <c r="M724" i="3"/>
  <c r="L724" i="3"/>
  <c r="K724" i="3"/>
  <c r="J724" i="3"/>
  <c r="G724" i="3"/>
  <c r="F724" i="3"/>
  <c r="E724" i="3"/>
  <c r="D724" i="3"/>
  <c r="C724" i="3"/>
  <c r="Q724" i="3" s="1"/>
  <c r="B724" i="3"/>
  <c r="A724" i="3"/>
  <c r="Q723" i="3"/>
  <c r="O723" i="3"/>
  <c r="P723" i="3" s="1"/>
  <c r="T723" i="3" s="1"/>
  <c r="N723" i="3"/>
  <c r="M723" i="3"/>
  <c r="L723" i="3"/>
  <c r="K723" i="3"/>
  <c r="J723" i="3"/>
  <c r="D723" i="3"/>
  <c r="C723" i="3"/>
  <c r="F723" i="3" s="1"/>
  <c r="B723" i="3"/>
  <c r="O722" i="3"/>
  <c r="N722" i="3"/>
  <c r="M722" i="3"/>
  <c r="K722" i="3"/>
  <c r="J722" i="3"/>
  <c r="C722" i="3"/>
  <c r="O721" i="3"/>
  <c r="N721" i="3"/>
  <c r="M721" i="3"/>
  <c r="L721" i="3"/>
  <c r="K721" i="3"/>
  <c r="J721" i="3"/>
  <c r="G721" i="3"/>
  <c r="F721" i="3"/>
  <c r="E721" i="3"/>
  <c r="D721" i="3"/>
  <c r="C721" i="3"/>
  <c r="Q721" i="3" s="1"/>
  <c r="B721" i="3"/>
  <c r="A721" i="3"/>
  <c r="O720" i="3"/>
  <c r="N720" i="3"/>
  <c r="M720" i="3"/>
  <c r="L720" i="3"/>
  <c r="K720" i="3"/>
  <c r="J720" i="3"/>
  <c r="C720" i="3"/>
  <c r="Q719" i="3"/>
  <c r="O719" i="3"/>
  <c r="N719" i="3"/>
  <c r="M719" i="3"/>
  <c r="K719" i="3"/>
  <c r="J719" i="3"/>
  <c r="G719" i="3"/>
  <c r="F719" i="3"/>
  <c r="D719" i="3"/>
  <c r="C719" i="3"/>
  <c r="E719" i="3" s="1"/>
  <c r="B719" i="3"/>
  <c r="A719" i="3"/>
  <c r="O718" i="3"/>
  <c r="N718" i="3"/>
  <c r="M718" i="3"/>
  <c r="L718" i="3"/>
  <c r="K718" i="3"/>
  <c r="J718" i="3"/>
  <c r="G718" i="3"/>
  <c r="F718" i="3"/>
  <c r="E718" i="3"/>
  <c r="D718" i="3"/>
  <c r="C718" i="3"/>
  <c r="Q718" i="3" s="1"/>
  <c r="B718" i="3"/>
  <c r="A718" i="3"/>
  <c r="Q717" i="3"/>
  <c r="O717" i="3"/>
  <c r="N717" i="3"/>
  <c r="M717" i="3"/>
  <c r="K717" i="3"/>
  <c r="J717" i="3"/>
  <c r="F717" i="3"/>
  <c r="E717" i="3"/>
  <c r="D717" i="3"/>
  <c r="C717" i="3"/>
  <c r="B717" i="3"/>
  <c r="Q716" i="3"/>
  <c r="O716" i="3"/>
  <c r="P716" i="3" s="1"/>
  <c r="T716" i="3" s="1"/>
  <c r="N716" i="3"/>
  <c r="M716" i="3"/>
  <c r="L716" i="3"/>
  <c r="K716" i="3"/>
  <c r="J716" i="3"/>
  <c r="G716" i="3"/>
  <c r="D716" i="3"/>
  <c r="C716" i="3"/>
  <c r="B716" i="3"/>
  <c r="A716" i="3"/>
  <c r="O715" i="3"/>
  <c r="N715" i="3"/>
  <c r="M715" i="3"/>
  <c r="L715" i="3"/>
  <c r="K715" i="3"/>
  <c r="J715" i="3"/>
  <c r="G715" i="3"/>
  <c r="F715" i="3"/>
  <c r="E715" i="3"/>
  <c r="D715" i="3"/>
  <c r="C715" i="3"/>
  <c r="Q715" i="3" s="1"/>
  <c r="B715" i="3"/>
  <c r="A715" i="3"/>
  <c r="O714" i="3"/>
  <c r="N714" i="3"/>
  <c r="M714" i="3"/>
  <c r="L714" i="3"/>
  <c r="K714" i="3"/>
  <c r="J714" i="3"/>
  <c r="D714" i="3"/>
  <c r="C714" i="3"/>
  <c r="Q714" i="3" s="1"/>
  <c r="B714" i="3"/>
  <c r="O713" i="3"/>
  <c r="N713" i="3"/>
  <c r="M713" i="3"/>
  <c r="K713" i="3"/>
  <c r="J713" i="3"/>
  <c r="C713" i="3"/>
  <c r="O712" i="3"/>
  <c r="N712" i="3"/>
  <c r="M712" i="3"/>
  <c r="L712" i="3"/>
  <c r="K712" i="3"/>
  <c r="J712" i="3"/>
  <c r="G712" i="3"/>
  <c r="F712" i="3"/>
  <c r="E712" i="3"/>
  <c r="D712" i="3"/>
  <c r="C712" i="3"/>
  <c r="Q712" i="3" s="1"/>
  <c r="B712" i="3"/>
  <c r="A712" i="3"/>
  <c r="O711" i="3"/>
  <c r="N711" i="3"/>
  <c r="M711" i="3"/>
  <c r="L711" i="3"/>
  <c r="K711" i="3"/>
  <c r="J711" i="3"/>
  <c r="C711" i="3"/>
  <c r="Q710" i="3"/>
  <c r="O710" i="3"/>
  <c r="N710" i="3"/>
  <c r="M710" i="3"/>
  <c r="K710" i="3"/>
  <c r="J710" i="3"/>
  <c r="G710" i="3"/>
  <c r="F710" i="3"/>
  <c r="D710" i="3"/>
  <c r="C710" i="3"/>
  <c r="E710" i="3" s="1"/>
  <c r="B710" i="3"/>
  <c r="A710" i="3"/>
  <c r="O709" i="3"/>
  <c r="N709" i="3"/>
  <c r="M709" i="3"/>
  <c r="L709" i="3"/>
  <c r="K709" i="3"/>
  <c r="J709" i="3"/>
  <c r="G709" i="3"/>
  <c r="F709" i="3"/>
  <c r="E709" i="3"/>
  <c r="D709" i="3"/>
  <c r="C709" i="3"/>
  <c r="Q709" i="3" s="1"/>
  <c r="B709" i="3"/>
  <c r="A709" i="3"/>
  <c r="Q708" i="3"/>
  <c r="O708" i="3"/>
  <c r="N708" i="3"/>
  <c r="M708" i="3"/>
  <c r="K708" i="3"/>
  <c r="J708" i="3"/>
  <c r="F708" i="3"/>
  <c r="E708" i="3"/>
  <c r="D708" i="3"/>
  <c r="C708" i="3"/>
  <c r="B708" i="3"/>
  <c r="Q707" i="3"/>
  <c r="O707" i="3"/>
  <c r="P707" i="3" s="1"/>
  <c r="T707" i="3" s="1"/>
  <c r="N707" i="3"/>
  <c r="M707" i="3"/>
  <c r="L707" i="3"/>
  <c r="K707" i="3"/>
  <c r="J707" i="3"/>
  <c r="D707" i="3"/>
  <c r="C707" i="3"/>
  <c r="G707" i="3" s="1"/>
  <c r="B707" i="3"/>
  <c r="A707" i="3"/>
  <c r="O706" i="3"/>
  <c r="N706" i="3"/>
  <c r="M706" i="3"/>
  <c r="L706" i="3"/>
  <c r="K706" i="3"/>
  <c r="J706" i="3"/>
  <c r="G706" i="3"/>
  <c r="F706" i="3"/>
  <c r="E706" i="3"/>
  <c r="D706" i="3"/>
  <c r="C706" i="3"/>
  <c r="Q706" i="3" s="1"/>
  <c r="B706" i="3"/>
  <c r="A706" i="3"/>
  <c r="Q705" i="3"/>
  <c r="P705" i="3"/>
  <c r="T705" i="3" s="1"/>
  <c r="O705" i="3"/>
  <c r="N705" i="3"/>
  <c r="M705" i="3"/>
  <c r="L705" i="3"/>
  <c r="K705" i="3"/>
  <c r="J705" i="3"/>
  <c r="F705" i="3"/>
  <c r="D705" i="3"/>
  <c r="C705" i="3"/>
  <c r="B705" i="3"/>
  <c r="Q704" i="3"/>
  <c r="O704" i="3"/>
  <c r="N704" i="3"/>
  <c r="M704" i="3"/>
  <c r="K704" i="3"/>
  <c r="J704" i="3"/>
  <c r="F704" i="3"/>
  <c r="C704" i="3"/>
  <c r="L704" i="3" s="1"/>
  <c r="O703" i="3"/>
  <c r="N703" i="3"/>
  <c r="M703" i="3"/>
  <c r="L703" i="3"/>
  <c r="K703" i="3"/>
  <c r="J703" i="3"/>
  <c r="G703" i="3"/>
  <c r="F703" i="3"/>
  <c r="E703" i="3"/>
  <c r="D703" i="3"/>
  <c r="C703" i="3"/>
  <c r="Q703" i="3" s="1"/>
  <c r="B703" i="3"/>
  <c r="A703" i="3"/>
  <c r="O702" i="3"/>
  <c r="N702" i="3"/>
  <c r="M702" i="3"/>
  <c r="K702" i="3"/>
  <c r="J702" i="3"/>
  <c r="C702" i="3"/>
  <c r="Q701" i="3"/>
  <c r="O701" i="3"/>
  <c r="N701" i="3"/>
  <c r="M701" i="3"/>
  <c r="K701" i="3"/>
  <c r="J701" i="3"/>
  <c r="G701" i="3"/>
  <c r="F701" i="3"/>
  <c r="D701" i="3"/>
  <c r="C701" i="3"/>
  <c r="E701" i="3" s="1"/>
  <c r="B701" i="3"/>
  <c r="A701" i="3"/>
  <c r="O700" i="3"/>
  <c r="N700" i="3"/>
  <c r="P700" i="3" s="1"/>
  <c r="T700" i="3" s="1"/>
  <c r="M700" i="3"/>
  <c r="L700" i="3"/>
  <c r="K700" i="3"/>
  <c r="J700" i="3"/>
  <c r="G700" i="3"/>
  <c r="F700" i="3"/>
  <c r="E700" i="3"/>
  <c r="D700" i="3"/>
  <c r="C700" i="3"/>
  <c r="Q700" i="3" s="1"/>
  <c r="B700" i="3"/>
  <c r="A700" i="3"/>
  <c r="Q699" i="3"/>
  <c r="O699" i="3"/>
  <c r="N699" i="3"/>
  <c r="M699" i="3"/>
  <c r="K699" i="3"/>
  <c r="J699" i="3"/>
  <c r="F699" i="3"/>
  <c r="E699" i="3"/>
  <c r="D699" i="3"/>
  <c r="C699" i="3"/>
  <c r="B699" i="3"/>
  <c r="O698" i="3"/>
  <c r="N698" i="3"/>
  <c r="M698" i="3"/>
  <c r="L698" i="3"/>
  <c r="K698" i="3"/>
  <c r="J698" i="3"/>
  <c r="D698" i="3"/>
  <c r="C698" i="3"/>
  <c r="Q698" i="3" s="1"/>
  <c r="B698" i="3"/>
  <c r="O697" i="3"/>
  <c r="N697" i="3"/>
  <c r="M697" i="3"/>
  <c r="L697" i="3"/>
  <c r="K697" i="3"/>
  <c r="J697" i="3"/>
  <c r="G697" i="3"/>
  <c r="F697" i="3"/>
  <c r="E697" i="3"/>
  <c r="D697" i="3"/>
  <c r="C697" i="3"/>
  <c r="Q697" i="3" s="1"/>
  <c r="B697" i="3"/>
  <c r="A697" i="3"/>
  <c r="Q696" i="3"/>
  <c r="O696" i="3"/>
  <c r="N696" i="3"/>
  <c r="M696" i="3"/>
  <c r="L696" i="3"/>
  <c r="K696" i="3"/>
  <c r="J696" i="3"/>
  <c r="D696" i="3"/>
  <c r="C696" i="3"/>
  <c r="F696" i="3" s="1"/>
  <c r="B696" i="3"/>
  <c r="O695" i="3"/>
  <c r="N695" i="3"/>
  <c r="M695" i="3"/>
  <c r="K695" i="3"/>
  <c r="J695" i="3"/>
  <c r="C695" i="3"/>
  <c r="O694" i="3"/>
  <c r="N694" i="3"/>
  <c r="M694" i="3"/>
  <c r="L694" i="3"/>
  <c r="K694" i="3"/>
  <c r="J694" i="3"/>
  <c r="G694" i="3"/>
  <c r="F694" i="3"/>
  <c r="E694" i="3"/>
  <c r="D694" i="3"/>
  <c r="C694" i="3"/>
  <c r="Q694" i="3" s="1"/>
  <c r="B694" i="3"/>
  <c r="A694" i="3"/>
  <c r="O693" i="3"/>
  <c r="N693" i="3"/>
  <c r="M693" i="3"/>
  <c r="L693" i="3"/>
  <c r="K693" i="3"/>
  <c r="J693" i="3"/>
  <c r="C693" i="3"/>
  <c r="Q692" i="3"/>
  <c r="O692" i="3"/>
  <c r="N692" i="3"/>
  <c r="M692" i="3"/>
  <c r="K692" i="3"/>
  <c r="J692" i="3"/>
  <c r="G692" i="3"/>
  <c r="F692" i="3"/>
  <c r="D692" i="3"/>
  <c r="C692" i="3"/>
  <c r="E692" i="3" s="1"/>
  <c r="B692" i="3"/>
  <c r="A692" i="3"/>
  <c r="O691" i="3"/>
  <c r="N691" i="3"/>
  <c r="M691" i="3"/>
  <c r="L691" i="3"/>
  <c r="K691" i="3"/>
  <c r="J691" i="3"/>
  <c r="G691" i="3"/>
  <c r="F691" i="3"/>
  <c r="E691" i="3"/>
  <c r="D691" i="3"/>
  <c r="C691" i="3"/>
  <c r="Q691" i="3" s="1"/>
  <c r="B691" i="3"/>
  <c r="A691" i="3"/>
  <c r="Q690" i="3"/>
  <c r="O690" i="3"/>
  <c r="N690" i="3"/>
  <c r="P690" i="3" s="1"/>
  <c r="T690" i="3" s="1"/>
  <c r="M690" i="3"/>
  <c r="K690" i="3"/>
  <c r="J690" i="3"/>
  <c r="F690" i="3"/>
  <c r="E690" i="3"/>
  <c r="D690" i="3"/>
  <c r="C690" i="3"/>
  <c r="B690" i="3"/>
  <c r="Q689" i="3"/>
  <c r="O689" i="3"/>
  <c r="N689" i="3"/>
  <c r="M689" i="3"/>
  <c r="L689" i="3"/>
  <c r="K689" i="3"/>
  <c r="J689" i="3"/>
  <c r="G689" i="3"/>
  <c r="D689" i="3"/>
  <c r="C689" i="3"/>
  <c r="B689" i="3"/>
  <c r="A689" i="3"/>
  <c r="O688" i="3"/>
  <c r="N688" i="3"/>
  <c r="M688" i="3"/>
  <c r="L688" i="3"/>
  <c r="K688" i="3"/>
  <c r="J688" i="3"/>
  <c r="G688" i="3"/>
  <c r="F688" i="3"/>
  <c r="E688" i="3"/>
  <c r="D688" i="3"/>
  <c r="C688" i="3"/>
  <c r="Q688" i="3" s="1"/>
  <c r="B688" i="3"/>
  <c r="A688" i="3"/>
  <c r="O687" i="3"/>
  <c r="N687" i="3"/>
  <c r="M687" i="3"/>
  <c r="L687" i="3"/>
  <c r="K687" i="3"/>
  <c r="J687" i="3"/>
  <c r="D687" i="3"/>
  <c r="C687" i="3"/>
  <c r="Q687" i="3" s="1"/>
  <c r="B687" i="3"/>
  <c r="O686" i="3"/>
  <c r="N686" i="3"/>
  <c r="M686" i="3"/>
  <c r="K686" i="3"/>
  <c r="J686" i="3"/>
  <c r="C686" i="3"/>
  <c r="O685" i="3"/>
  <c r="N685" i="3"/>
  <c r="M685" i="3"/>
  <c r="L685" i="3"/>
  <c r="K685" i="3"/>
  <c r="J685" i="3"/>
  <c r="G685" i="3"/>
  <c r="F685" i="3"/>
  <c r="E685" i="3"/>
  <c r="D685" i="3"/>
  <c r="C685" i="3"/>
  <c r="Q685" i="3" s="1"/>
  <c r="B685" i="3"/>
  <c r="A685" i="3"/>
  <c r="O684" i="3"/>
  <c r="N684" i="3"/>
  <c r="P684" i="3" s="1"/>
  <c r="T684" i="3" s="1"/>
  <c r="M684" i="3"/>
  <c r="L684" i="3"/>
  <c r="K684" i="3"/>
  <c r="J684" i="3"/>
  <c r="C684" i="3"/>
  <c r="Q683" i="3"/>
  <c r="O683" i="3"/>
  <c r="N683" i="3"/>
  <c r="M683" i="3"/>
  <c r="K683" i="3"/>
  <c r="J683" i="3"/>
  <c r="G683" i="3"/>
  <c r="F683" i="3"/>
  <c r="D683" i="3"/>
  <c r="C683" i="3"/>
  <c r="E683" i="3" s="1"/>
  <c r="B683" i="3"/>
  <c r="A683" i="3"/>
  <c r="O682" i="3"/>
  <c r="N682" i="3"/>
  <c r="M682" i="3"/>
  <c r="L682" i="3"/>
  <c r="K682" i="3"/>
  <c r="J682" i="3"/>
  <c r="G682" i="3"/>
  <c r="F682" i="3"/>
  <c r="E682" i="3"/>
  <c r="D682" i="3"/>
  <c r="C682" i="3"/>
  <c r="Q682" i="3" s="1"/>
  <c r="B682" i="3"/>
  <c r="A682" i="3"/>
  <c r="Q681" i="3"/>
  <c r="O681" i="3"/>
  <c r="N681" i="3"/>
  <c r="M681" i="3"/>
  <c r="K681" i="3"/>
  <c r="J681" i="3"/>
  <c r="F681" i="3"/>
  <c r="E681" i="3"/>
  <c r="D681" i="3"/>
  <c r="C681" i="3"/>
  <c r="B681" i="3"/>
  <c r="Q680" i="3"/>
  <c r="O680" i="3"/>
  <c r="N680" i="3"/>
  <c r="M680" i="3"/>
  <c r="L680" i="3"/>
  <c r="K680" i="3"/>
  <c r="J680" i="3"/>
  <c r="D680" i="3"/>
  <c r="C680" i="3"/>
  <c r="G680" i="3" s="1"/>
  <c r="B680" i="3"/>
  <c r="A680" i="3"/>
  <c r="O679" i="3"/>
  <c r="N679" i="3"/>
  <c r="P679" i="3" s="1"/>
  <c r="T679" i="3" s="1"/>
  <c r="M679" i="3"/>
  <c r="L679" i="3"/>
  <c r="K679" i="3"/>
  <c r="J679" i="3"/>
  <c r="G679" i="3"/>
  <c r="F679" i="3"/>
  <c r="E679" i="3"/>
  <c r="D679" i="3"/>
  <c r="C679" i="3"/>
  <c r="Q679" i="3" s="1"/>
  <c r="B679" i="3"/>
  <c r="A679" i="3"/>
  <c r="Q678" i="3"/>
  <c r="O678" i="3"/>
  <c r="N678" i="3"/>
  <c r="M678" i="3"/>
  <c r="L678" i="3"/>
  <c r="K678" i="3"/>
  <c r="J678" i="3"/>
  <c r="F678" i="3"/>
  <c r="D678" i="3"/>
  <c r="C678" i="3"/>
  <c r="B678" i="3"/>
  <c r="Q677" i="3"/>
  <c r="O677" i="3"/>
  <c r="N677" i="3"/>
  <c r="M677" i="3"/>
  <c r="K677" i="3"/>
  <c r="J677" i="3"/>
  <c r="F677" i="3"/>
  <c r="C677" i="3"/>
  <c r="L677" i="3" s="1"/>
  <c r="O676" i="3"/>
  <c r="P676" i="3" s="1"/>
  <c r="T676" i="3" s="1"/>
  <c r="N676" i="3"/>
  <c r="M676" i="3"/>
  <c r="L676" i="3"/>
  <c r="K676" i="3"/>
  <c r="J676" i="3"/>
  <c r="G676" i="3"/>
  <c r="F676" i="3"/>
  <c r="E676" i="3"/>
  <c r="D676" i="3"/>
  <c r="C676" i="3"/>
  <c r="Q676" i="3" s="1"/>
  <c r="B676" i="3"/>
  <c r="A676" i="3"/>
  <c r="O675" i="3"/>
  <c r="N675" i="3"/>
  <c r="M675" i="3"/>
  <c r="K675" i="3"/>
  <c r="J675" i="3"/>
  <c r="C675" i="3"/>
  <c r="Q674" i="3"/>
  <c r="O674" i="3"/>
  <c r="N674" i="3"/>
  <c r="M674" i="3"/>
  <c r="K674" i="3"/>
  <c r="J674" i="3"/>
  <c r="G674" i="3"/>
  <c r="F674" i="3"/>
  <c r="D674" i="3"/>
  <c r="C674" i="3"/>
  <c r="E674" i="3" s="1"/>
  <c r="B674" i="3"/>
  <c r="A674" i="3"/>
  <c r="O673" i="3"/>
  <c r="N673" i="3"/>
  <c r="M673" i="3"/>
  <c r="L673" i="3"/>
  <c r="K673" i="3"/>
  <c r="J673" i="3"/>
  <c r="G673" i="3"/>
  <c r="F673" i="3"/>
  <c r="E673" i="3"/>
  <c r="D673" i="3"/>
  <c r="C673" i="3"/>
  <c r="Q673" i="3" s="1"/>
  <c r="B673" i="3"/>
  <c r="A673" i="3"/>
  <c r="Q672" i="3"/>
  <c r="O672" i="3"/>
  <c r="N672" i="3"/>
  <c r="M672" i="3"/>
  <c r="K672" i="3"/>
  <c r="J672" i="3"/>
  <c r="F672" i="3"/>
  <c r="E672" i="3"/>
  <c r="D672" i="3"/>
  <c r="C672" i="3"/>
  <c r="B672" i="3"/>
  <c r="O671" i="3"/>
  <c r="N671" i="3"/>
  <c r="M671" i="3"/>
  <c r="L671" i="3"/>
  <c r="K671" i="3"/>
  <c r="J671" i="3"/>
  <c r="D671" i="3"/>
  <c r="C671" i="3"/>
  <c r="Q671" i="3" s="1"/>
  <c r="B671" i="3"/>
  <c r="O670" i="3"/>
  <c r="N670" i="3"/>
  <c r="P670" i="3" s="1"/>
  <c r="T670" i="3" s="1"/>
  <c r="M670" i="3"/>
  <c r="L670" i="3"/>
  <c r="K670" i="3"/>
  <c r="J670" i="3"/>
  <c r="G670" i="3"/>
  <c r="F670" i="3"/>
  <c r="E670" i="3"/>
  <c r="D670" i="3"/>
  <c r="C670" i="3"/>
  <c r="Q670" i="3" s="1"/>
  <c r="B670" i="3"/>
  <c r="A670" i="3"/>
  <c r="Q669" i="3"/>
  <c r="O669" i="3"/>
  <c r="P669" i="3" s="1"/>
  <c r="T669" i="3" s="1"/>
  <c r="N669" i="3"/>
  <c r="M669" i="3"/>
  <c r="L669" i="3"/>
  <c r="K669" i="3"/>
  <c r="J669" i="3"/>
  <c r="D669" i="3"/>
  <c r="C669" i="3"/>
  <c r="F669" i="3" s="1"/>
  <c r="B669" i="3"/>
  <c r="O668" i="3"/>
  <c r="N668" i="3"/>
  <c r="M668" i="3"/>
  <c r="K668" i="3"/>
  <c r="J668" i="3"/>
  <c r="C668" i="3"/>
  <c r="O667" i="3"/>
  <c r="N667" i="3"/>
  <c r="M667" i="3"/>
  <c r="L667" i="3"/>
  <c r="K667" i="3"/>
  <c r="J667" i="3"/>
  <c r="G667" i="3"/>
  <c r="F667" i="3"/>
  <c r="E667" i="3"/>
  <c r="D667" i="3"/>
  <c r="C667" i="3"/>
  <c r="Q667" i="3" s="1"/>
  <c r="B667" i="3"/>
  <c r="A667" i="3"/>
  <c r="O666" i="3"/>
  <c r="N666" i="3"/>
  <c r="M666" i="3"/>
  <c r="L666" i="3"/>
  <c r="K666" i="3"/>
  <c r="J666" i="3"/>
  <c r="C666" i="3"/>
  <c r="Q665" i="3"/>
  <c r="O665" i="3"/>
  <c r="P665" i="3" s="1"/>
  <c r="T665" i="3" s="1"/>
  <c r="N665" i="3"/>
  <c r="M665" i="3"/>
  <c r="K665" i="3"/>
  <c r="J665" i="3"/>
  <c r="G665" i="3"/>
  <c r="F665" i="3"/>
  <c r="D665" i="3"/>
  <c r="C665" i="3"/>
  <c r="E665" i="3" s="1"/>
  <c r="B665" i="3"/>
  <c r="A665" i="3"/>
  <c r="O664" i="3"/>
  <c r="N664" i="3"/>
  <c r="M664" i="3"/>
  <c r="L664" i="3"/>
  <c r="K664" i="3"/>
  <c r="J664" i="3"/>
  <c r="G664" i="3"/>
  <c r="F664" i="3"/>
  <c r="E664" i="3"/>
  <c r="D664" i="3"/>
  <c r="C664" i="3"/>
  <c r="Q664" i="3" s="1"/>
  <c r="B664" i="3"/>
  <c r="A664" i="3"/>
  <c r="Q663" i="3"/>
  <c r="O663" i="3"/>
  <c r="N663" i="3"/>
  <c r="M663" i="3"/>
  <c r="K663" i="3"/>
  <c r="J663" i="3"/>
  <c r="F663" i="3"/>
  <c r="E663" i="3"/>
  <c r="D663" i="3"/>
  <c r="C663" i="3"/>
  <c r="B663" i="3"/>
  <c r="Q662" i="3"/>
  <c r="O662" i="3"/>
  <c r="P662" i="3" s="1"/>
  <c r="T662" i="3" s="1"/>
  <c r="N662" i="3"/>
  <c r="M662" i="3"/>
  <c r="L662" i="3"/>
  <c r="K662" i="3"/>
  <c r="J662" i="3"/>
  <c r="G662" i="3"/>
  <c r="D662" i="3"/>
  <c r="C662" i="3"/>
  <c r="B662" i="3"/>
  <c r="A662" i="3"/>
  <c r="O661" i="3"/>
  <c r="N661" i="3"/>
  <c r="M661" i="3"/>
  <c r="L661" i="3"/>
  <c r="K661" i="3"/>
  <c r="J661" i="3"/>
  <c r="G661" i="3"/>
  <c r="F661" i="3"/>
  <c r="E661" i="3"/>
  <c r="D661" i="3"/>
  <c r="C661" i="3"/>
  <c r="Q661" i="3" s="1"/>
  <c r="B661" i="3"/>
  <c r="A661" i="3"/>
  <c r="O660" i="3"/>
  <c r="N660" i="3"/>
  <c r="M660" i="3"/>
  <c r="L660" i="3"/>
  <c r="K660" i="3"/>
  <c r="J660" i="3"/>
  <c r="D660" i="3"/>
  <c r="C660" i="3"/>
  <c r="Q660" i="3" s="1"/>
  <c r="B660" i="3"/>
  <c r="O659" i="3"/>
  <c r="N659" i="3"/>
  <c r="M659" i="3"/>
  <c r="K659" i="3"/>
  <c r="J659" i="3"/>
  <c r="C659" i="3"/>
  <c r="O658" i="3"/>
  <c r="N658" i="3"/>
  <c r="M658" i="3"/>
  <c r="L658" i="3"/>
  <c r="K658" i="3"/>
  <c r="J658" i="3"/>
  <c r="G658" i="3"/>
  <c r="F658" i="3"/>
  <c r="E658" i="3"/>
  <c r="D658" i="3"/>
  <c r="C658" i="3"/>
  <c r="Q658" i="3" s="1"/>
  <c r="B658" i="3"/>
  <c r="A658" i="3"/>
  <c r="O657" i="3"/>
  <c r="N657" i="3"/>
  <c r="M657" i="3"/>
  <c r="L657" i="3"/>
  <c r="K657" i="3"/>
  <c r="J657" i="3"/>
  <c r="C657" i="3"/>
  <c r="Q656" i="3"/>
  <c r="O656" i="3"/>
  <c r="N656" i="3"/>
  <c r="M656" i="3"/>
  <c r="K656" i="3"/>
  <c r="J656" i="3"/>
  <c r="G656" i="3"/>
  <c r="F656" i="3"/>
  <c r="D656" i="3"/>
  <c r="C656" i="3"/>
  <c r="E656" i="3" s="1"/>
  <c r="B656" i="3"/>
  <c r="A656" i="3"/>
  <c r="O655" i="3"/>
  <c r="N655" i="3"/>
  <c r="M655" i="3"/>
  <c r="L655" i="3"/>
  <c r="K655" i="3"/>
  <c r="J655" i="3"/>
  <c r="G655" i="3"/>
  <c r="F655" i="3"/>
  <c r="E655" i="3"/>
  <c r="D655" i="3"/>
  <c r="C655" i="3"/>
  <c r="Q655" i="3" s="1"/>
  <c r="B655" i="3"/>
  <c r="A655" i="3"/>
  <c r="Q654" i="3"/>
  <c r="O654" i="3"/>
  <c r="N654" i="3"/>
  <c r="M654" i="3"/>
  <c r="K654" i="3"/>
  <c r="J654" i="3"/>
  <c r="F654" i="3"/>
  <c r="E654" i="3"/>
  <c r="D654" i="3"/>
  <c r="C654" i="3"/>
  <c r="B654" i="3"/>
  <c r="Q653" i="3"/>
  <c r="O653" i="3"/>
  <c r="N653" i="3"/>
  <c r="M653" i="3"/>
  <c r="L653" i="3"/>
  <c r="K653" i="3"/>
  <c r="J653" i="3"/>
  <c r="D653" i="3"/>
  <c r="C653" i="3"/>
  <c r="G653" i="3" s="1"/>
  <c r="B653" i="3"/>
  <c r="A653" i="3"/>
  <c r="O652" i="3"/>
  <c r="N652" i="3"/>
  <c r="M652" i="3"/>
  <c r="L652" i="3"/>
  <c r="K652" i="3"/>
  <c r="J652" i="3"/>
  <c r="G652" i="3"/>
  <c r="F652" i="3"/>
  <c r="E652" i="3"/>
  <c r="D652" i="3"/>
  <c r="C652" i="3"/>
  <c r="Q652" i="3" s="1"/>
  <c r="B652" i="3"/>
  <c r="A652" i="3"/>
  <c r="Q651" i="3"/>
  <c r="O651" i="3"/>
  <c r="N651" i="3"/>
  <c r="M651" i="3"/>
  <c r="L651" i="3"/>
  <c r="K651" i="3"/>
  <c r="J651" i="3"/>
  <c r="F651" i="3"/>
  <c r="D651" i="3"/>
  <c r="C651" i="3"/>
  <c r="B651" i="3"/>
  <c r="Q650" i="3"/>
  <c r="O650" i="3"/>
  <c r="N650" i="3"/>
  <c r="M650" i="3"/>
  <c r="K650" i="3"/>
  <c r="J650" i="3"/>
  <c r="F650" i="3"/>
  <c r="C650" i="3"/>
  <c r="L650" i="3" s="1"/>
  <c r="O649" i="3"/>
  <c r="N649" i="3"/>
  <c r="M649" i="3"/>
  <c r="L649" i="3"/>
  <c r="K649" i="3"/>
  <c r="J649" i="3"/>
  <c r="G649" i="3"/>
  <c r="F649" i="3"/>
  <c r="E649" i="3"/>
  <c r="D649" i="3"/>
  <c r="C649" i="3"/>
  <c r="Q649" i="3" s="1"/>
  <c r="B649" i="3"/>
  <c r="A649" i="3"/>
  <c r="O648" i="3"/>
  <c r="N648" i="3"/>
  <c r="M648" i="3"/>
  <c r="K648" i="3"/>
  <c r="J648" i="3"/>
  <c r="C648" i="3"/>
  <c r="Q647" i="3"/>
  <c r="O647" i="3"/>
  <c r="N647" i="3"/>
  <c r="M647" i="3"/>
  <c r="K647" i="3"/>
  <c r="J647" i="3"/>
  <c r="G647" i="3"/>
  <c r="F647" i="3"/>
  <c r="D647" i="3"/>
  <c r="C647" i="3"/>
  <c r="E647" i="3" s="1"/>
  <c r="B647" i="3"/>
  <c r="A647" i="3"/>
  <c r="O646" i="3"/>
  <c r="N646" i="3"/>
  <c r="M646" i="3"/>
  <c r="L646" i="3"/>
  <c r="K646" i="3"/>
  <c r="J646" i="3"/>
  <c r="G646" i="3"/>
  <c r="F646" i="3"/>
  <c r="E646" i="3"/>
  <c r="D646" i="3"/>
  <c r="C646" i="3"/>
  <c r="Q646" i="3" s="1"/>
  <c r="B646" i="3"/>
  <c r="A646" i="3"/>
  <c r="Q645" i="3"/>
  <c r="O645" i="3"/>
  <c r="N645" i="3"/>
  <c r="M645" i="3"/>
  <c r="K645" i="3"/>
  <c r="J645" i="3"/>
  <c r="F645" i="3"/>
  <c r="E645" i="3"/>
  <c r="D645" i="3"/>
  <c r="C645" i="3"/>
  <c r="B645" i="3"/>
  <c r="O644" i="3"/>
  <c r="N644" i="3"/>
  <c r="M644" i="3"/>
  <c r="L644" i="3"/>
  <c r="K644" i="3"/>
  <c r="J644" i="3"/>
  <c r="D644" i="3"/>
  <c r="C644" i="3"/>
  <c r="Q644" i="3" s="1"/>
  <c r="B644" i="3"/>
  <c r="O643" i="3"/>
  <c r="N643" i="3"/>
  <c r="M643" i="3"/>
  <c r="L643" i="3"/>
  <c r="K643" i="3"/>
  <c r="J643" i="3"/>
  <c r="G643" i="3"/>
  <c r="F643" i="3"/>
  <c r="E643" i="3"/>
  <c r="D643" i="3"/>
  <c r="C643" i="3"/>
  <c r="Q643" i="3" s="1"/>
  <c r="B643" i="3"/>
  <c r="A643" i="3"/>
  <c r="Q642" i="3"/>
  <c r="O642" i="3"/>
  <c r="N642" i="3"/>
  <c r="M642" i="3"/>
  <c r="L642" i="3"/>
  <c r="K642" i="3"/>
  <c r="J642" i="3"/>
  <c r="D642" i="3"/>
  <c r="C642" i="3"/>
  <c r="F642" i="3" s="1"/>
  <c r="B642" i="3"/>
  <c r="O641" i="3"/>
  <c r="N641" i="3"/>
  <c r="M641" i="3"/>
  <c r="K641" i="3"/>
  <c r="J641" i="3"/>
  <c r="C641" i="3"/>
  <c r="O640" i="3"/>
  <c r="N640" i="3"/>
  <c r="M640" i="3"/>
  <c r="L640" i="3"/>
  <c r="K640" i="3"/>
  <c r="J640" i="3"/>
  <c r="G640" i="3"/>
  <c r="F640" i="3"/>
  <c r="E640" i="3"/>
  <c r="D640" i="3"/>
  <c r="C640" i="3"/>
  <c r="Q640" i="3" s="1"/>
  <c r="B640" i="3"/>
  <c r="A640" i="3"/>
  <c r="O639" i="3"/>
  <c r="N639" i="3"/>
  <c r="P639" i="3" s="1"/>
  <c r="T639" i="3" s="1"/>
  <c r="M639" i="3"/>
  <c r="L639" i="3"/>
  <c r="K639" i="3"/>
  <c r="J639" i="3"/>
  <c r="C639" i="3"/>
  <c r="Q638" i="3"/>
  <c r="O638" i="3"/>
  <c r="N638" i="3"/>
  <c r="M638" i="3"/>
  <c r="K638" i="3"/>
  <c r="J638" i="3"/>
  <c r="G638" i="3"/>
  <c r="F638" i="3"/>
  <c r="D638" i="3"/>
  <c r="C638" i="3"/>
  <c r="E638" i="3" s="1"/>
  <c r="B638" i="3"/>
  <c r="A638" i="3"/>
  <c r="O637" i="3"/>
  <c r="N637" i="3"/>
  <c r="M637" i="3"/>
  <c r="L637" i="3"/>
  <c r="K637" i="3"/>
  <c r="J637" i="3"/>
  <c r="G637" i="3"/>
  <c r="F637" i="3"/>
  <c r="E637" i="3"/>
  <c r="D637" i="3"/>
  <c r="C637" i="3"/>
  <c r="Q637" i="3" s="1"/>
  <c r="B637" i="3"/>
  <c r="A637" i="3"/>
  <c r="Q636" i="3"/>
  <c r="O636" i="3"/>
  <c r="N636" i="3"/>
  <c r="M636" i="3"/>
  <c r="K636" i="3"/>
  <c r="J636" i="3"/>
  <c r="F636" i="3"/>
  <c r="E636" i="3"/>
  <c r="D636" i="3"/>
  <c r="C636" i="3"/>
  <c r="B636" i="3"/>
  <c r="Q635" i="3"/>
  <c r="O635" i="3"/>
  <c r="N635" i="3"/>
  <c r="M635" i="3"/>
  <c r="L635" i="3"/>
  <c r="K635" i="3"/>
  <c r="J635" i="3"/>
  <c r="G635" i="3"/>
  <c r="D635" i="3"/>
  <c r="C635" i="3"/>
  <c r="B635" i="3"/>
  <c r="A635" i="3"/>
  <c r="O634" i="3"/>
  <c r="N634" i="3"/>
  <c r="M634" i="3"/>
  <c r="L634" i="3"/>
  <c r="K634" i="3"/>
  <c r="J634" i="3"/>
  <c r="G634" i="3"/>
  <c r="F634" i="3"/>
  <c r="E634" i="3"/>
  <c r="D634" i="3"/>
  <c r="C634" i="3"/>
  <c r="Q634" i="3" s="1"/>
  <c r="B634" i="3"/>
  <c r="A634" i="3"/>
  <c r="O633" i="3"/>
  <c r="N633" i="3"/>
  <c r="M633" i="3"/>
  <c r="L633" i="3"/>
  <c r="K633" i="3"/>
  <c r="J633" i="3"/>
  <c r="D633" i="3"/>
  <c r="C633" i="3"/>
  <c r="Q633" i="3" s="1"/>
  <c r="B633" i="3"/>
  <c r="O632" i="3"/>
  <c r="N632" i="3"/>
  <c r="M632" i="3"/>
  <c r="K632" i="3"/>
  <c r="J632" i="3"/>
  <c r="C632" i="3"/>
  <c r="O631" i="3"/>
  <c r="N631" i="3"/>
  <c r="M631" i="3"/>
  <c r="L631" i="3"/>
  <c r="K631" i="3"/>
  <c r="J631" i="3"/>
  <c r="G631" i="3"/>
  <c r="F631" i="3"/>
  <c r="E631" i="3"/>
  <c r="D631" i="3"/>
  <c r="C631" i="3"/>
  <c r="Q631" i="3" s="1"/>
  <c r="B631" i="3"/>
  <c r="A631" i="3"/>
  <c r="O630" i="3"/>
  <c r="N630" i="3"/>
  <c r="P630" i="3" s="1"/>
  <c r="T630" i="3" s="1"/>
  <c r="M630" i="3"/>
  <c r="L630" i="3"/>
  <c r="K630" i="3"/>
  <c r="J630" i="3"/>
  <c r="C630" i="3"/>
  <c r="Q629" i="3"/>
  <c r="O629" i="3"/>
  <c r="N629" i="3"/>
  <c r="M629" i="3"/>
  <c r="K629" i="3"/>
  <c r="J629" i="3"/>
  <c r="G629" i="3"/>
  <c r="F629" i="3"/>
  <c r="D629" i="3"/>
  <c r="C629" i="3"/>
  <c r="E629" i="3" s="1"/>
  <c r="B629" i="3"/>
  <c r="A629" i="3"/>
  <c r="O628" i="3"/>
  <c r="N628" i="3"/>
  <c r="M628" i="3"/>
  <c r="L628" i="3"/>
  <c r="K628" i="3"/>
  <c r="J628" i="3"/>
  <c r="G628" i="3"/>
  <c r="F628" i="3"/>
  <c r="E628" i="3"/>
  <c r="D628" i="3"/>
  <c r="C628" i="3"/>
  <c r="Q628" i="3" s="1"/>
  <c r="B628" i="3"/>
  <c r="A628" i="3"/>
  <c r="Q627" i="3"/>
  <c r="O627" i="3"/>
  <c r="N627" i="3"/>
  <c r="M627" i="3"/>
  <c r="K627" i="3"/>
  <c r="J627" i="3"/>
  <c r="F627" i="3"/>
  <c r="E627" i="3"/>
  <c r="D627" i="3"/>
  <c r="C627" i="3"/>
  <c r="B627" i="3"/>
  <c r="Q626" i="3"/>
  <c r="O626" i="3"/>
  <c r="P626" i="3" s="1"/>
  <c r="T626" i="3" s="1"/>
  <c r="N626" i="3"/>
  <c r="M626" i="3"/>
  <c r="L626" i="3"/>
  <c r="K626" i="3"/>
  <c r="J626" i="3"/>
  <c r="D626" i="3"/>
  <c r="C626" i="3"/>
  <c r="G626" i="3" s="1"/>
  <c r="B626" i="3"/>
  <c r="A626" i="3"/>
  <c r="O625" i="3"/>
  <c r="N625" i="3"/>
  <c r="M625" i="3"/>
  <c r="L625" i="3"/>
  <c r="K625" i="3"/>
  <c r="J625" i="3"/>
  <c r="G625" i="3"/>
  <c r="F625" i="3"/>
  <c r="E625" i="3"/>
  <c r="D625" i="3"/>
  <c r="C625" i="3"/>
  <c r="Q625" i="3" s="1"/>
  <c r="B625" i="3"/>
  <c r="A625" i="3"/>
  <c r="Q624" i="3"/>
  <c r="O624" i="3"/>
  <c r="N624" i="3"/>
  <c r="M624" i="3"/>
  <c r="L624" i="3"/>
  <c r="K624" i="3"/>
  <c r="J624" i="3"/>
  <c r="F624" i="3"/>
  <c r="D624" i="3"/>
  <c r="C624" i="3"/>
  <c r="B624" i="3"/>
  <c r="Q623" i="3"/>
  <c r="O623" i="3"/>
  <c r="N623" i="3"/>
  <c r="M623" i="3"/>
  <c r="K623" i="3"/>
  <c r="J623" i="3"/>
  <c r="F623" i="3"/>
  <c r="C623" i="3"/>
  <c r="L623" i="3" s="1"/>
  <c r="O622" i="3"/>
  <c r="P622" i="3" s="1"/>
  <c r="T622" i="3" s="1"/>
  <c r="N622" i="3"/>
  <c r="M622" i="3"/>
  <c r="L622" i="3"/>
  <c r="K622" i="3"/>
  <c r="J622" i="3"/>
  <c r="G622" i="3"/>
  <c r="F622" i="3"/>
  <c r="E622" i="3"/>
  <c r="D622" i="3"/>
  <c r="C622" i="3"/>
  <c r="Q622" i="3" s="1"/>
  <c r="B622" i="3"/>
  <c r="A622" i="3"/>
  <c r="O621" i="3"/>
  <c r="N621" i="3"/>
  <c r="M621" i="3"/>
  <c r="K621" i="3"/>
  <c r="J621" i="3"/>
  <c r="C621" i="3"/>
  <c r="Q620" i="3"/>
  <c r="O620" i="3"/>
  <c r="N620" i="3"/>
  <c r="M620" i="3"/>
  <c r="K620" i="3"/>
  <c r="J620" i="3"/>
  <c r="G620" i="3"/>
  <c r="F620" i="3"/>
  <c r="D620" i="3"/>
  <c r="C620" i="3"/>
  <c r="E620" i="3" s="1"/>
  <c r="B620" i="3"/>
  <c r="A620" i="3"/>
  <c r="O619" i="3"/>
  <c r="N619" i="3"/>
  <c r="M619" i="3"/>
  <c r="L619" i="3"/>
  <c r="K619" i="3"/>
  <c r="J619" i="3"/>
  <c r="G619" i="3"/>
  <c r="F619" i="3"/>
  <c r="E619" i="3"/>
  <c r="D619" i="3"/>
  <c r="C619" i="3"/>
  <c r="Q619" i="3" s="1"/>
  <c r="B619" i="3"/>
  <c r="A619" i="3"/>
  <c r="Q618" i="3"/>
  <c r="O618" i="3"/>
  <c r="N618" i="3"/>
  <c r="M618" i="3"/>
  <c r="K618" i="3"/>
  <c r="J618" i="3"/>
  <c r="F618" i="3"/>
  <c r="E618" i="3"/>
  <c r="D618" i="3"/>
  <c r="C618" i="3"/>
  <c r="B618" i="3"/>
  <c r="O617" i="3"/>
  <c r="N617" i="3"/>
  <c r="M617" i="3"/>
  <c r="L617" i="3"/>
  <c r="K617" i="3"/>
  <c r="J617" i="3"/>
  <c r="D617" i="3"/>
  <c r="C617" i="3"/>
  <c r="Q617" i="3" s="1"/>
  <c r="B617" i="3"/>
  <c r="O616" i="3"/>
  <c r="N616" i="3"/>
  <c r="M616" i="3"/>
  <c r="L616" i="3"/>
  <c r="K616" i="3"/>
  <c r="J616" i="3"/>
  <c r="G616" i="3"/>
  <c r="F616" i="3"/>
  <c r="E616" i="3"/>
  <c r="D616" i="3"/>
  <c r="C616" i="3"/>
  <c r="Q616" i="3" s="1"/>
  <c r="B616" i="3"/>
  <c r="A616" i="3"/>
  <c r="Q615" i="3"/>
  <c r="O615" i="3"/>
  <c r="N615" i="3"/>
  <c r="M615" i="3"/>
  <c r="L615" i="3"/>
  <c r="K615" i="3"/>
  <c r="J615" i="3"/>
  <c r="D615" i="3"/>
  <c r="C615" i="3"/>
  <c r="F615" i="3" s="1"/>
  <c r="B615" i="3"/>
  <c r="O614" i="3"/>
  <c r="N614" i="3"/>
  <c r="M614" i="3"/>
  <c r="K614" i="3"/>
  <c r="J614" i="3"/>
  <c r="C614" i="3"/>
  <c r="O613" i="3"/>
  <c r="N613" i="3"/>
  <c r="M613" i="3"/>
  <c r="L613" i="3"/>
  <c r="K613" i="3"/>
  <c r="J613" i="3"/>
  <c r="G613" i="3"/>
  <c r="F613" i="3"/>
  <c r="E613" i="3"/>
  <c r="D613" i="3"/>
  <c r="C613" i="3"/>
  <c r="Q613" i="3" s="1"/>
  <c r="B613" i="3"/>
  <c r="A613" i="3"/>
  <c r="O612" i="3"/>
  <c r="N612" i="3"/>
  <c r="M612" i="3"/>
  <c r="L612" i="3"/>
  <c r="K612" i="3"/>
  <c r="J612" i="3"/>
  <c r="C612" i="3"/>
  <c r="Q611" i="3"/>
  <c r="O611" i="3"/>
  <c r="N611" i="3"/>
  <c r="M611" i="3"/>
  <c r="K611" i="3"/>
  <c r="J611" i="3"/>
  <c r="G611" i="3"/>
  <c r="F611" i="3"/>
  <c r="D611" i="3"/>
  <c r="C611" i="3"/>
  <c r="E611" i="3" s="1"/>
  <c r="B611" i="3"/>
  <c r="A611" i="3"/>
  <c r="O610" i="3"/>
  <c r="N610" i="3"/>
  <c r="M610" i="3"/>
  <c r="L610" i="3"/>
  <c r="K610" i="3"/>
  <c r="J610" i="3"/>
  <c r="G610" i="3"/>
  <c r="F610" i="3"/>
  <c r="E610" i="3"/>
  <c r="D610" i="3"/>
  <c r="C610" i="3"/>
  <c r="Q610" i="3" s="1"/>
  <c r="B610" i="3"/>
  <c r="A610" i="3"/>
  <c r="Q609" i="3"/>
  <c r="O609" i="3"/>
  <c r="N609" i="3"/>
  <c r="M609" i="3"/>
  <c r="K609" i="3"/>
  <c r="J609" i="3"/>
  <c r="F609" i="3"/>
  <c r="E609" i="3"/>
  <c r="D609" i="3"/>
  <c r="C609" i="3"/>
  <c r="B609" i="3"/>
  <c r="Q608" i="3"/>
  <c r="O608" i="3"/>
  <c r="N608" i="3"/>
  <c r="M608" i="3"/>
  <c r="L608" i="3"/>
  <c r="K608" i="3"/>
  <c r="J608" i="3"/>
  <c r="G608" i="3"/>
  <c r="D608" i="3"/>
  <c r="C608" i="3"/>
  <c r="B608" i="3"/>
  <c r="A608" i="3"/>
  <c r="O607" i="3"/>
  <c r="N607" i="3"/>
  <c r="M607" i="3"/>
  <c r="L607" i="3"/>
  <c r="K607" i="3"/>
  <c r="J607" i="3"/>
  <c r="G607" i="3"/>
  <c r="F607" i="3"/>
  <c r="E607" i="3"/>
  <c r="D607" i="3"/>
  <c r="C607" i="3"/>
  <c r="Q607" i="3" s="1"/>
  <c r="B607" i="3"/>
  <c r="A607" i="3"/>
  <c r="O606" i="3"/>
  <c r="N606" i="3"/>
  <c r="M606" i="3"/>
  <c r="L606" i="3"/>
  <c r="K606" i="3"/>
  <c r="J606" i="3"/>
  <c r="D606" i="3"/>
  <c r="C606" i="3"/>
  <c r="Q606" i="3" s="1"/>
  <c r="B606" i="3"/>
  <c r="O605" i="3"/>
  <c r="N605" i="3"/>
  <c r="M605" i="3"/>
  <c r="K605" i="3"/>
  <c r="J605" i="3"/>
  <c r="C605" i="3"/>
  <c r="O604" i="3"/>
  <c r="N604" i="3"/>
  <c r="M604" i="3"/>
  <c r="L604" i="3"/>
  <c r="K604" i="3"/>
  <c r="J604" i="3"/>
  <c r="G604" i="3"/>
  <c r="F604" i="3"/>
  <c r="E604" i="3"/>
  <c r="D604" i="3"/>
  <c r="C604" i="3"/>
  <c r="Q604" i="3" s="1"/>
  <c r="B604" i="3"/>
  <c r="A604" i="3"/>
  <c r="O603" i="3"/>
  <c r="N603" i="3"/>
  <c r="M603" i="3"/>
  <c r="L603" i="3"/>
  <c r="K603" i="3"/>
  <c r="J603" i="3"/>
  <c r="C603" i="3"/>
  <c r="Q602" i="3"/>
  <c r="O602" i="3"/>
  <c r="N602" i="3"/>
  <c r="M602" i="3"/>
  <c r="K602" i="3"/>
  <c r="J602" i="3"/>
  <c r="G602" i="3"/>
  <c r="F602" i="3"/>
  <c r="D602" i="3"/>
  <c r="C602" i="3"/>
  <c r="E602" i="3" s="1"/>
  <c r="B602" i="3"/>
  <c r="A602" i="3"/>
  <c r="O601" i="3"/>
  <c r="N601" i="3"/>
  <c r="M601" i="3"/>
  <c r="L601" i="3"/>
  <c r="K601" i="3"/>
  <c r="J601" i="3"/>
  <c r="G601" i="3"/>
  <c r="F601" i="3"/>
  <c r="E601" i="3"/>
  <c r="D601" i="3"/>
  <c r="C601" i="3"/>
  <c r="Q601" i="3" s="1"/>
  <c r="B601" i="3"/>
  <c r="A601" i="3"/>
  <c r="Q600" i="3"/>
  <c r="O600" i="3"/>
  <c r="N600" i="3"/>
  <c r="M600" i="3"/>
  <c r="K600" i="3"/>
  <c r="J600" i="3"/>
  <c r="F600" i="3"/>
  <c r="E600" i="3"/>
  <c r="D600" i="3"/>
  <c r="C600" i="3"/>
  <c r="B600" i="3"/>
  <c r="Q599" i="3"/>
  <c r="O599" i="3"/>
  <c r="N599" i="3"/>
  <c r="M599" i="3"/>
  <c r="L599" i="3"/>
  <c r="K599" i="3"/>
  <c r="J599" i="3"/>
  <c r="D599" i="3"/>
  <c r="C599" i="3"/>
  <c r="G599" i="3" s="1"/>
  <c r="B599" i="3"/>
  <c r="A599" i="3"/>
  <c r="O598" i="3"/>
  <c r="N598" i="3"/>
  <c r="M598" i="3"/>
  <c r="L598" i="3"/>
  <c r="K598" i="3"/>
  <c r="J598" i="3"/>
  <c r="G598" i="3"/>
  <c r="F598" i="3"/>
  <c r="E598" i="3"/>
  <c r="D598" i="3"/>
  <c r="C598" i="3"/>
  <c r="Q598" i="3" s="1"/>
  <c r="B598" i="3"/>
  <c r="A598" i="3"/>
  <c r="Q597" i="3"/>
  <c r="O597" i="3"/>
  <c r="N597" i="3"/>
  <c r="M597" i="3"/>
  <c r="L597" i="3"/>
  <c r="K597" i="3"/>
  <c r="J597" i="3"/>
  <c r="F597" i="3"/>
  <c r="D597" i="3"/>
  <c r="C597" i="3"/>
  <c r="B597" i="3"/>
  <c r="Q596" i="3"/>
  <c r="O596" i="3"/>
  <c r="N596" i="3"/>
  <c r="M596" i="3"/>
  <c r="K596" i="3"/>
  <c r="J596" i="3"/>
  <c r="F596" i="3"/>
  <c r="C596" i="3"/>
  <c r="L596" i="3" s="1"/>
  <c r="O595" i="3"/>
  <c r="N595" i="3"/>
  <c r="M595" i="3"/>
  <c r="L595" i="3"/>
  <c r="K595" i="3"/>
  <c r="J595" i="3"/>
  <c r="G595" i="3"/>
  <c r="F595" i="3"/>
  <c r="E595" i="3"/>
  <c r="D595" i="3"/>
  <c r="C595" i="3"/>
  <c r="Q595" i="3" s="1"/>
  <c r="B595" i="3"/>
  <c r="A595" i="3"/>
  <c r="O594" i="3"/>
  <c r="N594" i="3"/>
  <c r="M594" i="3"/>
  <c r="K594" i="3"/>
  <c r="J594" i="3"/>
  <c r="C594" i="3"/>
  <c r="Q593" i="3"/>
  <c r="O593" i="3"/>
  <c r="N593" i="3"/>
  <c r="M593" i="3"/>
  <c r="K593" i="3"/>
  <c r="J593" i="3"/>
  <c r="G593" i="3"/>
  <c r="F593" i="3"/>
  <c r="D593" i="3"/>
  <c r="C593" i="3"/>
  <c r="E593" i="3" s="1"/>
  <c r="B593" i="3"/>
  <c r="A593" i="3"/>
  <c r="O592" i="3"/>
  <c r="N592" i="3"/>
  <c r="M592" i="3"/>
  <c r="L592" i="3"/>
  <c r="K592" i="3"/>
  <c r="J592" i="3"/>
  <c r="G592" i="3"/>
  <c r="F592" i="3"/>
  <c r="E592" i="3"/>
  <c r="D592" i="3"/>
  <c r="C592" i="3"/>
  <c r="Q592" i="3" s="1"/>
  <c r="B592" i="3"/>
  <c r="A592" i="3"/>
  <c r="Q591" i="3"/>
  <c r="O591" i="3"/>
  <c r="N591" i="3"/>
  <c r="M591" i="3"/>
  <c r="K591" i="3"/>
  <c r="J591" i="3"/>
  <c r="F591" i="3"/>
  <c r="E591" i="3"/>
  <c r="D591" i="3"/>
  <c r="C591" i="3"/>
  <c r="B591" i="3"/>
  <c r="O590" i="3"/>
  <c r="N590" i="3"/>
  <c r="M590" i="3"/>
  <c r="L590" i="3"/>
  <c r="K590" i="3"/>
  <c r="J590" i="3"/>
  <c r="D590" i="3"/>
  <c r="C590" i="3"/>
  <c r="Q590" i="3" s="1"/>
  <c r="B590" i="3"/>
  <c r="O589" i="3"/>
  <c r="N589" i="3"/>
  <c r="M589" i="3"/>
  <c r="L589" i="3"/>
  <c r="K589" i="3"/>
  <c r="J589" i="3"/>
  <c r="G589" i="3"/>
  <c r="F589" i="3"/>
  <c r="E589" i="3"/>
  <c r="D589" i="3"/>
  <c r="C589" i="3"/>
  <c r="Q589" i="3" s="1"/>
  <c r="B589" i="3"/>
  <c r="A589" i="3"/>
  <c r="Q588" i="3"/>
  <c r="O588" i="3"/>
  <c r="N588" i="3"/>
  <c r="M588" i="3"/>
  <c r="L588" i="3"/>
  <c r="K588" i="3"/>
  <c r="J588" i="3"/>
  <c r="D588" i="3"/>
  <c r="C588" i="3"/>
  <c r="F588" i="3" s="1"/>
  <c r="B588" i="3"/>
  <c r="O587" i="3"/>
  <c r="N587" i="3"/>
  <c r="M587" i="3"/>
  <c r="K587" i="3"/>
  <c r="J587" i="3"/>
  <c r="C587" i="3"/>
  <c r="F587" i="3" s="1"/>
  <c r="O586" i="3"/>
  <c r="N586" i="3"/>
  <c r="M586" i="3"/>
  <c r="L586" i="3"/>
  <c r="K586" i="3"/>
  <c r="J586" i="3"/>
  <c r="G586" i="3"/>
  <c r="F586" i="3"/>
  <c r="E586" i="3"/>
  <c r="D586" i="3"/>
  <c r="C586" i="3"/>
  <c r="Q586" i="3" s="1"/>
  <c r="B586" i="3"/>
  <c r="A586" i="3"/>
  <c r="O585" i="3"/>
  <c r="N585" i="3"/>
  <c r="P585" i="3" s="1"/>
  <c r="T585" i="3" s="1"/>
  <c r="M585" i="3"/>
  <c r="L585" i="3"/>
  <c r="K585" i="3"/>
  <c r="J585" i="3"/>
  <c r="C585" i="3"/>
  <c r="Q584" i="3"/>
  <c r="O584" i="3"/>
  <c r="N584" i="3"/>
  <c r="M584" i="3"/>
  <c r="K584" i="3"/>
  <c r="J584" i="3"/>
  <c r="G584" i="3"/>
  <c r="F584" i="3"/>
  <c r="D584" i="3"/>
  <c r="C584" i="3"/>
  <c r="E584" i="3" s="1"/>
  <c r="B584" i="3"/>
  <c r="A584" i="3"/>
  <c r="O583" i="3"/>
  <c r="N583" i="3"/>
  <c r="M583" i="3"/>
  <c r="L583" i="3"/>
  <c r="K583" i="3"/>
  <c r="J583" i="3"/>
  <c r="G583" i="3"/>
  <c r="F583" i="3"/>
  <c r="E583" i="3"/>
  <c r="D583" i="3"/>
  <c r="C583" i="3"/>
  <c r="Q583" i="3" s="1"/>
  <c r="B583" i="3"/>
  <c r="A583" i="3"/>
  <c r="Q582" i="3"/>
  <c r="O582" i="3"/>
  <c r="N582" i="3"/>
  <c r="M582" i="3"/>
  <c r="K582" i="3"/>
  <c r="J582" i="3"/>
  <c r="F582" i="3"/>
  <c r="E582" i="3"/>
  <c r="D582" i="3"/>
  <c r="C582" i="3"/>
  <c r="B582" i="3"/>
  <c r="Q581" i="3"/>
  <c r="O581" i="3"/>
  <c r="N581" i="3"/>
  <c r="M581" i="3"/>
  <c r="L581" i="3"/>
  <c r="K581" i="3"/>
  <c r="J581" i="3"/>
  <c r="G581" i="3"/>
  <c r="D581" i="3"/>
  <c r="C581" i="3"/>
  <c r="B581" i="3"/>
  <c r="A581" i="3"/>
  <c r="O580" i="3"/>
  <c r="N580" i="3"/>
  <c r="M580" i="3"/>
  <c r="L580" i="3"/>
  <c r="K580" i="3"/>
  <c r="J580" i="3"/>
  <c r="G580" i="3"/>
  <c r="F580" i="3"/>
  <c r="E580" i="3"/>
  <c r="D580" i="3"/>
  <c r="C580" i="3"/>
  <c r="Q580" i="3" s="1"/>
  <c r="B580" i="3"/>
  <c r="A580" i="3"/>
  <c r="O579" i="3"/>
  <c r="N579" i="3"/>
  <c r="M579" i="3"/>
  <c r="K579" i="3"/>
  <c r="J579" i="3"/>
  <c r="D579" i="3"/>
  <c r="C579" i="3"/>
  <c r="B579" i="3" s="1"/>
  <c r="O578" i="3"/>
  <c r="N578" i="3"/>
  <c r="M578" i="3"/>
  <c r="K578" i="3"/>
  <c r="J578" i="3"/>
  <c r="C578" i="3"/>
  <c r="O577" i="3"/>
  <c r="N577" i="3"/>
  <c r="M577" i="3"/>
  <c r="L577" i="3"/>
  <c r="K577" i="3"/>
  <c r="J577" i="3"/>
  <c r="G577" i="3"/>
  <c r="F577" i="3"/>
  <c r="E577" i="3"/>
  <c r="D577" i="3"/>
  <c r="C577" i="3"/>
  <c r="Q577" i="3" s="1"/>
  <c r="B577" i="3"/>
  <c r="A577" i="3"/>
  <c r="O576" i="3"/>
  <c r="N576" i="3"/>
  <c r="M576" i="3"/>
  <c r="K576" i="3"/>
  <c r="J576" i="3"/>
  <c r="C576" i="3"/>
  <c r="Q575" i="3"/>
  <c r="O575" i="3"/>
  <c r="N575" i="3"/>
  <c r="M575" i="3"/>
  <c r="K575" i="3"/>
  <c r="J575" i="3"/>
  <c r="G575" i="3"/>
  <c r="F575" i="3"/>
  <c r="D575" i="3"/>
  <c r="C575" i="3"/>
  <c r="E575" i="3" s="1"/>
  <c r="B575" i="3"/>
  <c r="A575" i="3"/>
  <c r="O574" i="3"/>
  <c r="N574" i="3"/>
  <c r="M574" i="3"/>
  <c r="L574" i="3"/>
  <c r="K574" i="3"/>
  <c r="J574" i="3"/>
  <c r="G574" i="3"/>
  <c r="F574" i="3"/>
  <c r="E574" i="3"/>
  <c r="D574" i="3"/>
  <c r="C574" i="3"/>
  <c r="Q574" i="3" s="1"/>
  <c r="B574" i="3"/>
  <c r="A574" i="3"/>
  <c r="Q573" i="3"/>
  <c r="O573" i="3"/>
  <c r="N573" i="3"/>
  <c r="M573" i="3"/>
  <c r="K573" i="3"/>
  <c r="J573" i="3"/>
  <c r="F573" i="3"/>
  <c r="E573" i="3"/>
  <c r="D573" i="3"/>
  <c r="C573" i="3"/>
  <c r="B573" i="3"/>
  <c r="Q572" i="3"/>
  <c r="O572" i="3"/>
  <c r="N572" i="3"/>
  <c r="M572" i="3"/>
  <c r="L572" i="3"/>
  <c r="K572" i="3"/>
  <c r="J572" i="3"/>
  <c r="D572" i="3"/>
  <c r="C572" i="3"/>
  <c r="G572" i="3" s="1"/>
  <c r="B572" i="3"/>
  <c r="A572" i="3"/>
  <c r="O571" i="3"/>
  <c r="N571" i="3"/>
  <c r="M571" i="3"/>
  <c r="L571" i="3"/>
  <c r="K571" i="3"/>
  <c r="J571" i="3"/>
  <c r="G571" i="3"/>
  <c r="F571" i="3"/>
  <c r="E571" i="3"/>
  <c r="D571" i="3"/>
  <c r="C571" i="3"/>
  <c r="Q571" i="3" s="1"/>
  <c r="B571" i="3"/>
  <c r="A571" i="3"/>
  <c r="Q570" i="3"/>
  <c r="O570" i="3"/>
  <c r="N570" i="3"/>
  <c r="M570" i="3"/>
  <c r="L570" i="3"/>
  <c r="K570" i="3"/>
  <c r="J570" i="3"/>
  <c r="F570" i="3"/>
  <c r="D570" i="3"/>
  <c r="C570" i="3"/>
  <c r="B570" i="3"/>
  <c r="O569" i="3"/>
  <c r="N569" i="3"/>
  <c r="M569" i="3"/>
  <c r="L569" i="3"/>
  <c r="K569" i="3"/>
  <c r="J569" i="3"/>
  <c r="C569" i="3"/>
  <c r="G569" i="3" s="1"/>
  <c r="O568" i="3"/>
  <c r="P568" i="3" s="1"/>
  <c r="T568" i="3" s="1"/>
  <c r="N568" i="3"/>
  <c r="M568" i="3"/>
  <c r="L568" i="3"/>
  <c r="K568" i="3"/>
  <c r="J568" i="3"/>
  <c r="G568" i="3"/>
  <c r="F568" i="3"/>
  <c r="E568" i="3"/>
  <c r="D568" i="3"/>
  <c r="C568" i="3"/>
  <c r="Q568" i="3" s="1"/>
  <c r="B568" i="3"/>
  <c r="A568" i="3"/>
  <c r="O567" i="3"/>
  <c r="N567" i="3"/>
  <c r="M567" i="3"/>
  <c r="K567" i="3"/>
  <c r="J567" i="3"/>
  <c r="C567" i="3"/>
  <c r="Q566" i="3"/>
  <c r="O566" i="3"/>
  <c r="N566" i="3"/>
  <c r="M566" i="3"/>
  <c r="K566" i="3"/>
  <c r="J566" i="3"/>
  <c r="G566" i="3"/>
  <c r="F566" i="3"/>
  <c r="D566" i="3"/>
  <c r="C566" i="3"/>
  <c r="E566" i="3" s="1"/>
  <c r="B566" i="3"/>
  <c r="A566" i="3"/>
  <c r="O565" i="3"/>
  <c r="N565" i="3"/>
  <c r="M565" i="3"/>
  <c r="L565" i="3"/>
  <c r="K565" i="3"/>
  <c r="J565" i="3"/>
  <c r="G565" i="3"/>
  <c r="F565" i="3"/>
  <c r="E565" i="3"/>
  <c r="D565" i="3"/>
  <c r="C565" i="3"/>
  <c r="Q565" i="3" s="1"/>
  <c r="B565" i="3"/>
  <c r="A565" i="3"/>
  <c r="Q564" i="3"/>
  <c r="O564" i="3"/>
  <c r="N564" i="3"/>
  <c r="M564" i="3"/>
  <c r="K564" i="3"/>
  <c r="J564" i="3"/>
  <c r="F564" i="3"/>
  <c r="E564" i="3"/>
  <c r="D564" i="3"/>
  <c r="C564" i="3"/>
  <c r="B564" i="3"/>
  <c r="O563" i="3"/>
  <c r="N563" i="3"/>
  <c r="M563" i="3"/>
  <c r="K563" i="3"/>
  <c r="J563" i="3"/>
  <c r="C563" i="3"/>
  <c r="D563" i="3" s="1"/>
  <c r="B563" i="3"/>
  <c r="O562" i="3"/>
  <c r="N562" i="3"/>
  <c r="P562" i="3" s="1"/>
  <c r="T562" i="3" s="1"/>
  <c r="M562" i="3"/>
  <c r="L562" i="3"/>
  <c r="K562" i="3"/>
  <c r="J562" i="3"/>
  <c r="G562" i="3"/>
  <c r="F562" i="3"/>
  <c r="E562" i="3"/>
  <c r="D562" i="3"/>
  <c r="C562" i="3"/>
  <c r="Q562" i="3" s="1"/>
  <c r="B562" i="3"/>
  <c r="A562" i="3"/>
  <c r="Q561" i="3"/>
  <c r="O561" i="3"/>
  <c r="N561" i="3"/>
  <c r="M561" i="3"/>
  <c r="L561" i="3"/>
  <c r="K561" i="3"/>
  <c r="J561" i="3"/>
  <c r="D561" i="3"/>
  <c r="C561" i="3"/>
  <c r="F561" i="3" s="1"/>
  <c r="B561" i="3"/>
  <c r="O560" i="3"/>
  <c r="N560" i="3"/>
  <c r="M560" i="3"/>
  <c r="K560" i="3"/>
  <c r="J560" i="3"/>
  <c r="C560" i="3"/>
  <c r="O559" i="3"/>
  <c r="N559" i="3"/>
  <c r="M559" i="3"/>
  <c r="L559" i="3"/>
  <c r="K559" i="3"/>
  <c r="J559" i="3"/>
  <c r="G559" i="3"/>
  <c r="F559" i="3"/>
  <c r="E559" i="3"/>
  <c r="D559" i="3"/>
  <c r="C559" i="3"/>
  <c r="Q559" i="3" s="1"/>
  <c r="B559" i="3"/>
  <c r="A559" i="3"/>
  <c r="O558" i="3"/>
  <c r="N558" i="3"/>
  <c r="M558" i="3"/>
  <c r="K558" i="3"/>
  <c r="J558" i="3"/>
  <c r="F558" i="3"/>
  <c r="E558" i="3"/>
  <c r="C558" i="3"/>
  <c r="L558" i="3" s="1"/>
  <c r="Q557" i="3"/>
  <c r="O557" i="3"/>
  <c r="N557" i="3"/>
  <c r="M557" i="3"/>
  <c r="K557" i="3"/>
  <c r="J557" i="3"/>
  <c r="G557" i="3"/>
  <c r="F557" i="3"/>
  <c r="D557" i="3"/>
  <c r="C557" i="3"/>
  <c r="E557" i="3" s="1"/>
  <c r="B557" i="3"/>
  <c r="A557" i="3"/>
  <c r="O556" i="3"/>
  <c r="N556" i="3"/>
  <c r="M556" i="3"/>
  <c r="L556" i="3"/>
  <c r="K556" i="3"/>
  <c r="J556" i="3"/>
  <c r="G556" i="3"/>
  <c r="F556" i="3"/>
  <c r="E556" i="3"/>
  <c r="D556" i="3"/>
  <c r="C556" i="3"/>
  <c r="Q556" i="3" s="1"/>
  <c r="B556" i="3"/>
  <c r="A556" i="3"/>
  <c r="Q555" i="3"/>
  <c r="O555" i="3"/>
  <c r="N555" i="3"/>
  <c r="M555" i="3"/>
  <c r="K555" i="3"/>
  <c r="J555" i="3"/>
  <c r="F555" i="3"/>
  <c r="E555" i="3"/>
  <c r="D555" i="3"/>
  <c r="C555" i="3"/>
  <c r="B555" i="3"/>
  <c r="Q554" i="3"/>
  <c r="O554" i="3"/>
  <c r="N554" i="3"/>
  <c r="M554" i="3"/>
  <c r="L554" i="3"/>
  <c r="K554" i="3"/>
  <c r="J554" i="3"/>
  <c r="G554" i="3"/>
  <c r="D554" i="3"/>
  <c r="C554" i="3"/>
  <c r="B554" i="3"/>
  <c r="A554" i="3"/>
  <c r="O553" i="3"/>
  <c r="N553" i="3"/>
  <c r="M553" i="3"/>
  <c r="L553" i="3"/>
  <c r="K553" i="3"/>
  <c r="J553" i="3"/>
  <c r="G553" i="3"/>
  <c r="F553" i="3"/>
  <c r="E553" i="3"/>
  <c r="D553" i="3"/>
  <c r="C553" i="3"/>
  <c r="Q553" i="3" s="1"/>
  <c r="B553" i="3"/>
  <c r="A553" i="3"/>
  <c r="O552" i="3"/>
  <c r="N552" i="3"/>
  <c r="M552" i="3"/>
  <c r="K552" i="3"/>
  <c r="J552" i="3"/>
  <c r="C552" i="3"/>
  <c r="O551" i="3"/>
  <c r="N551" i="3"/>
  <c r="M551" i="3"/>
  <c r="L551" i="3"/>
  <c r="K551" i="3"/>
  <c r="J551" i="3"/>
  <c r="C551" i="3"/>
  <c r="D551" i="3" s="1"/>
  <c r="O550" i="3"/>
  <c r="N550" i="3"/>
  <c r="M550" i="3"/>
  <c r="L550" i="3"/>
  <c r="K550" i="3"/>
  <c r="J550" i="3"/>
  <c r="G550" i="3"/>
  <c r="F550" i="3"/>
  <c r="E550" i="3"/>
  <c r="D550" i="3"/>
  <c r="C550" i="3"/>
  <c r="Q550" i="3" s="1"/>
  <c r="B550" i="3"/>
  <c r="A550" i="3"/>
  <c r="O549" i="3"/>
  <c r="N549" i="3"/>
  <c r="M549" i="3"/>
  <c r="K549" i="3"/>
  <c r="J549" i="3"/>
  <c r="C549" i="3"/>
  <c r="B549" i="3"/>
  <c r="Q548" i="3"/>
  <c r="O548" i="3"/>
  <c r="N548" i="3"/>
  <c r="M548" i="3"/>
  <c r="K548" i="3"/>
  <c r="J548" i="3"/>
  <c r="G548" i="3"/>
  <c r="F548" i="3"/>
  <c r="D548" i="3"/>
  <c r="C548" i="3"/>
  <c r="E548" i="3" s="1"/>
  <c r="B548" i="3"/>
  <c r="A548" i="3"/>
  <c r="O547" i="3"/>
  <c r="N547" i="3"/>
  <c r="M547" i="3"/>
  <c r="L547" i="3"/>
  <c r="K547" i="3"/>
  <c r="J547" i="3"/>
  <c r="G547" i="3"/>
  <c r="F547" i="3"/>
  <c r="E547" i="3"/>
  <c r="D547" i="3"/>
  <c r="C547" i="3"/>
  <c r="Q547" i="3" s="1"/>
  <c r="B547" i="3"/>
  <c r="A547" i="3"/>
  <c r="Q546" i="3"/>
  <c r="O546" i="3"/>
  <c r="N546" i="3"/>
  <c r="M546" i="3"/>
  <c r="K546" i="3"/>
  <c r="J546" i="3"/>
  <c r="F546" i="3"/>
  <c r="E546" i="3"/>
  <c r="D546" i="3"/>
  <c r="C546" i="3"/>
  <c r="B546" i="3"/>
  <c r="Q545" i="3"/>
  <c r="O545" i="3"/>
  <c r="N545" i="3"/>
  <c r="M545" i="3"/>
  <c r="L545" i="3"/>
  <c r="K545" i="3"/>
  <c r="J545" i="3"/>
  <c r="D545" i="3"/>
  <c r="C545" i="3"/>
  <c r="G545" i="3" s="1"/>
  <c r="B545" i="3"/>
  <c r="A545" i="3"/>
  <c r="O544" i="3"/>
  <c r="N544" i="3"/>
  <c r="M544" i="3"/>
  <c r="L544" i="3"/>
  <c r="K544" i="3"/>
  <c r="J544" i="3"/>
  <c r="G544" i="3"/>
  <c r="F544" i="3"/>
  <c r="E544" i="3"/>
  <c r="D544" i="3"/>
  <c r="C544" i="3"/>
  <c r="Q544" i="3" s="1"/>
  <c r="B544" i="3"/>
  <c r="A544" i="3"/>
  <c r="Q543" i="3"/>
  <c r="O543" i="3"/>
  <c r="N543" i="3"/>
  <c r="M543" i="3"/>
  <c r="L543" i="3"/>
  <c r="K543" i="3"/>
  <c r="J543" i="3"/>
  <c r="F543" i="3"/>
  <c r="D543" i="3"/>
  <c r="C543" i="3"/>
  <c r="B543" i="3"/>
  <c r="Q542" i="3"/>
  <c r="O542" i="3"/>
  <c r="N542" i="3"/>
  <c r="M542" i="3"/>
  <c r="L542" i="3"/>
  <c r="K542" i="3"/>
  <c r="J542" i="3"/>
  <c r="C542" i="3"/>
  <c r="O541" i="3"/>
  <c r="N541" i="3"/>
  <c r="M541" i="3"/>
  <c r="L541" i="3"/>
  <c r="K541" i="3"/>
  <c r="J541" i="3"/>
  <c r="G541" i="3"/>
  <c r="F541" i="3"/>
  <c r="E541" i="3"/>
  <c r="D541" i="3"/>
  <c r="C541" i="3"/>
  <c r="Q541" i="3" s="1"/>
  <c r="B541" i="3"/>
  <c r="A541" i="3"/>
  <c r="O540" i="3"/>
  <c r="N540" i="3"/>
  <c r="M540" i="3"/>
  <c r="L540" i="3"/>
  <c r="K540" i="3"/>
  <c r="J540" i="3"/>
  <c r="C540" i="3"/>
  <c r="E540" i="3" s="1"/>
  <c r="Q539" i="3"/>
  <c r="O539" i="3"/>
  <c r="N539" i="3"/>
  <c r="M539" i="3"/>
  <c r="K539" i="3"/>
  <c r="J539" i="3"/>
  <c r="G539" i="3"/>
  <c r="F539" i="3"/>
  <c r="D539" i="3"/>
  <c r="C539" i="3"/>
  <c r="E539" i="3" s="1"/>
  <c r="B539" i="3"/>
  <c r="A539" i="3"/>
  <c r="O538" i="3"/>
  <c r="N538" i="3"/>
  <c r="M538" i="3"/>
  <c r="L538" i="3"/>
  <c r="K538" i="3"/>
  <c r="J538" i="3"/>
  <c r="G538" i="3"/>
  <c r="F538" i="3"/>
  <c r="E538" i="3"/>
  <c r="D538" i="3"/>
  <c r="C538" i="3"/>
  <c r="Q538" i="3" s="1"/>
  <c r="B538" i="3"/>
  <c r="A538" i="3"/>
  <c r="Q537" i="3"/>
  <c r="O537" i="3"/>
  <c r="N537" i="3"/>
  <c r="M537" i="3"/>
  <c r="K537" i="3"/>
  <c r="J537" i="3"/>
  <c r="F537" i="3"/>
  <c r="E537" i="3"/>
  <c r="D537" i="3"/>
  <c r="C537" i="3"/>
  <c r="B537" i="3"/>
  <c r="O536" i="3"/>
  <c r="N536" i="3"/>
  <c r="M536" i="3"/>
  <c r="K536" i="3"/>
  <c r="J536" i="3"/>
  <c r="C536" i="3"/>
  <c r="O535" i="3"/>
  <c r="N535" i="3"/>
  <c r="M535" i="3"/>
  <c r="L535" i="3"/>
  <c r="K535" i="3"/>
  <c r="J535" i="3"/>
  <c r="G535" i="3"/>
  <c r="F535" i="3"/>
  <c r="E535" i="3"/>
  <c r="D535" i="3"/>
  <c r="C535" i="3"/>
  <c r="Q535" i="3" s="1"/>
  <c r="B535" i="3"/>
  <c r="A535" i="3"/>
  <c r="Q534" i="3"/>
  <c r="O534" i="3"/>
  <c r="N534" i="3"/>
  <c r="M534" i="3"/>
  <c r="L534" i="3"/>
  <c r="K534" i="3"/>
  <c r="J534" i="3"/>
  <c r="D534" i="3"/>
  <c r="C534" i="3"/>
  <c r="B534" i="3"/>
  <c r="Q533" i="3"/>
  <c r="O533" i="3"/>
  <c r="N533" i="3"/>
  <c r="P533" i="3" s="1"/>
  <c r="T533" i="3" s="1"/>
  <c r="M533" i="3"/>
  <c r="L533" i="3"/>
  <c r="K533" i="3"/>
  <c r="J533" i="3"/>
  <c r="F533" i="3"/>
  <c r="D533" i="3"/>
  <c r="C533" i="3"/>
  <c r="B533" i="3"/>
  <c r="O532" i="3"/>
  <c r="N532" i="3"/>
  <c r="M532" i="3"/>
  <c r="L532" i="3"/>
  <c r="K532" i="3"/>
  <c r="J532" i="3"/>
  <c r="G532" i="3"/>
  <c r="F532" i="3"/>
  <c r="E532" i="3"/>
  <c r="D532" i="3"/>
  <c r="C532" i="3"/>
  <c r="Q532" i="3" s="1"/>
  <c r="B532" i="3"/>
  <c r="A532" i="3"/>
  <c r="Q531" i="3"/>
  <c r="O531" i="3"/>
  <c r="N531" i="3"/>
  <c r="M531" i="3"/>
  <c r="L531" i="3"/>
  <c r="K531" i="3"/>
  <c r="J531" i="3"/>
  <c r="C531" i="3"/>
  <c r="B531" i="3"/>
  <c r="Q530" i="3"/>
  <c r="O530" i="3"/>
  <c r="N530" i="3"/>
  <c r="M530" i="3"/>
  <c r="K530" i="3"/>
  <c r="J530" i="3"/>
  <c r="G530" i="3"/>
  <c r="F530" i="3"/>
  <c r="D530" i="3"/>
  <c r="C530" i="3"/>
  <c r="E530" i="3" s="1"/>
  <c r="B530" i="3"/>
  <c r="A530" i="3"/>
  <c r="O529" i="3"/>
  <c r="N529" i="3"/>
  <c r="M529" i="3"/>
  <c r="L529" i="3"/>
  <c r="K529" i="3"/>
  <c r="J529" i="3"/>
  <c r="G529" i="3"/>
  <c r="F529" i="3"/>
  <c r="E529" i="3"/>
  <c r="D529" i="3"/>
  <c r="C529" i="3"/>
  <c r="Q529" i="3" s="1"/>
  <c r="B529" i="3"/>
  <c r="A529" i="3"/>
  <c r="Q528" i="3"/>
  <c r="O528" i="3"/>
  <c r="N528" i="3"/>
  <c r="M528" i="3"/>
  <c r="K528" i="3"/>
  <c r="J528" i="3"/>
  <c r="F528" i="3"/>
  <c r="E528" i="3"/>
  <c r="D528" i="3"/>
  <c r="C528" i="3"/>
  <c r="B528" i="3"/>
  <c r="Q527" i="3"/>
  <c r="O527" i="3"/>
  <c r="N527" i="3"/>
  <c r="M527" i="3"/>
  <c r="L527" i="3"/>
  <c r="K527" i="3"/>
  <c r="J527" i="3"/>
  <c r="G527" i="3"/>
  <c r="D527" i="3"/>
  <c r="C527" i="3"/>
  <c r="B527" i="3"/>
  <c r="A527" i="3"/>
  <c r="O526" i="3"/>
  <c r="N526" i="3"/>
  <c r="M526" i="3"/>
  <c r="L526" i="3"/>
  <c r="K526" i="3"/>
  <c r="J526" i="3"/>
  <c r="G526" i="3"/>
  <c r="F526" i="3"/>
  <c r="E526" i="3"/>
  <c r="D526" i="3"/>
  <c r="C526" i="3"/>
  <c r="Q526" i="3" s="1"/>
  <c r="B526" i="3"/>
  <c r="A526" i="3"/>
  <c r="O525" i="3"/>
  <c r="N525" i="3"/>
  <c r="M525" i="3"/>
  <c r="K525" i="3"/>
  <c r="J525" i="3"/>
  <c r="C525" i="3"/>
  <c r="O524" i="3"/>
  <c r="N524" i="3"/>
  <c r="M524" i="3"/>
  <c r="L524" i="3"/>
  <c r="K524" i="3"/>
  <c r="J524" i="3"/>
  <c r="C524" i="3"/>
  <c r="O523" i="3"/>
  <c r="N523" i="3"/>
  <c r="M523" i="3"/>
  <c r="L523" i="3"/>
  <c r="K523" i="3"/>
  <c r="J523" i="3"/>
  <c r="G523" i="3"/>
  <c r="F523" i="3"/>
  <c r="E523" i="3"/>
  <c r="D523" i="3"/>
  <c r="C523" i="3"/>
  <c r="Q523" i="3" s="1"/>
  <c r="B523" i="3"/>
  <c r="A523" i="3"/>
  <c r="Q522" i="3"/>
  <c r="O522" i="3"/>
  <c r="N522" i="3"/>
  <c r="M522" i="3"/>
  <c r="L522" i="3"/>
  <c r="K522" i="3"/>
  <c r="J522" i="3"/>
  <c r="E522" i="3"/>
  <c r="D522" i="3"/>
  <c r="C522" i="3"/>
  <c r="B522" i="3"/>
  <c r="Q521" i="3"/>
  <c r="O521" i="3"/>
  <c r="N521" i="3"/>
  <c r="M521" i="3"/>
  <c r="K521" i="3"/>
  <c r="J521" i="3"/>
  <c r="G521" i="3"/>
  <c r="F521" i="3"/>
  <c r="D521" i="3"/>
  <c r="C521" i="3"/>
  <c r="E521" i="3" s="1"/>
  <c r="B521" i="3"/>
  <c r="A521" i="3"/>
  <c r="O520" i="3"/>
  <c r="P520" i="3" s="1"/>
  <c r="T520" i="3" s="1"/>
  <c r="N520" i="3"/>
  <c r="M520" i="3"/>
  <c r="L520" i="3"/>
  <c r="K520" i="3"/>
  <c r="J520" i="3"/>
  <c r="G520" i="3"/>
  <c r="F520" i="3"/>
  <c r="E520" i="3"/>
  <c r="D520" i="3"/>
  <c r="C520" i="3"/>
  <c r="Q520" i="3" s="1"/>
  <c r="B520" i="3"/>
  <c r="A520" i="3"/>
  <c r="Q519" i="3"/>
  <c r="O519" i="3"/>
  <c r="N519" i="3"/>
  <c r="P519" i="3" s="1"/>
  <c r="T519" i="3" s="1"/>
  <c r="M519" i="3"/>
  <c r="K519" i="3"/>
  <c r="J519" i="3"/>
  <c r="F519" i="3"/>
  <c r="E519" i="3"/>
  <c r="D519" i="3"/>
  <c r="C519" i="3"/>
  <c r="B519" i="3"/>
  <c r="Q518" i="3"/>
  <c r="O518" i="3"/>
  <c r="N518" i="3"/>
  <c r="M518" i="3"/>
  <c r="L518" i="3"/>
  <c r="K518" i="3"/>
  <c r="J518" i="3"/>
  <c r="C518" i="3"/>
  <c r="B518" i="3"/>
  <c r="A518" i="3"/>
  <c r="O517" i="3"/>
  <c r="N517" i="3"/>
  <c r="M517" i="3"/>
  <c r="L517" i="3"/>
  <c r="K517" i="3"/>
  <c r="J517" i="3"/>
  <c r="G517" i="3"/>
  <c r="F517" i="3"/>
  <c r="E517" i="3"/>
  <c r="D517" i="3"/>
  <c r="C517" i="3"/>
  <c r="Q517" i="3" s="1"/>
  <c r="B517" i="3"/>
  <c r="A517" i="3"/>
  <c r="Q516" i="3"/>
  <c r="O516" i="3"/>
  <c r="N516" i="3"/>
  <c r="M516" i="3"/>
  <c r="L516" i="3"/>
  <c r="K516" i="3"/>
  <c r="J516" i="3"/>
  <c r="F516" i="3"/>
  <c r="D516" i="3"/>
  <c r="C516" i="3"/>
  <c r="B516" i="3"/>
  <c r="Q515" i="3"/>
  <c r="O515" i="3"/>
  <c r="N515" i="3"/>
  <c r="M515" i="3"/>
  <c r="L515" i="3"/>
  <c r="K515" i="3"/>
  <c r="J515" i="3"/>
  <c r="G515" i="3"/>
  <c r="F515" i="3"/>
  <c r="C515" i="3"/>
  <c r="B515" i="3"/>
  <c r="O514" i="3"/>
  <c r="N514" i="3"/>
  <c r="M514" i="3"/>
  <c r="L514" i="3"/>
  <c r="K514" i="3"/>
  <c r="J514" i="3"/>
  <c r="G514" i="3"/>
  <c r="F514" i="3"/>
  <c r="E514" i="3"/>
  <c r="D514" i="3"/>
  <c r="C514" i="3"/>
  <c r="Q514" i="3" s="1"/>
  <c r="B514" i="3"/>
  <c r="A514" i="3"/>
  <c r="O513" i="3"/>
  <c r="N513" i="3"/>
  <c r="M513" i="3"/>
  <c r="K513" i="3"/>
  <c r="J513" i="3"/>
  <c r="C513" i="3"/>
  <c r="Q512" i="3"/>
  <c r="O512" i="3"/>
  <c r="N512" i="3"/>
  <c r="M512" i="3"/>
  <c r="K512" i="3"/>
  <c r="J512" i="3"/>
  <c r="G512" i="3"/>
  <c r="F512" i="3"/>
  <c r="D512" i="3"/>
  <c r="C512" i="3"/>
  <c r="E512" i="3" s="1"/>
  <c r="B512" i="3"/>
  <c r="A512" i="3"/>
  <c r="O511" i="3"/>
  <c r="N511" i="3"/>
  <c r="M511" i="3"/>
  <c r="L511" i="3"/>
  <c r="K511" i="3"/>
  <c r="J511" i="3"/>
  <c r="G511" i="3"/>
  <c r="F511" i="3"/>
  <c r="E511" i="3"/>
  <c r="D511" i="3"/>
  <c r="C511" i="3"/>
  <c r="Q511" i="3" s="1"/>
  <c r="B511" i="3"/>
  <c r="A511" i="3"/>
  <c r="Q510" i="3"/>
  <c r="O510" i="3"/>
  <c r="N510" i="3"/>
  <c r="M510" i="3"/>
  <c r="K510" i="3"/>
  <c r="J510" i="3"/>
  <c r="F510" i="3"/>
  <c r="E510" i="3"/>
  <c r="D510" i="3"/>
  <c r="C510" i="3"/>
  <c r="B510" i="3"/>
  <c r="O509" i="3"/>
  <c r="N509" i="3"/>
  <c r="M509" i="3"/>
  <c r="K509" i="3"/>
  <c r="J509" i="3"/>
  <c r="G509" i="3"/>
  <c r="D509" i="3"/>
  <c r="C509" i="3"/>
  <c r="L509" i="3" s="1"/>
  <c r="O508" i="3"/>
  <c r="N508" i="3"/>
  <c r="M508" i="3"/>
  <c r="L508" i="3"/>
  <c r="K508" i="3"/>
  <c r="J508" i="3"/>
  <c r="G508" i="3"/>
  <c r="F508" i="3"/>
  <c r="E508" i="3"/>
  <c r="D508" i="3"/>
  <c r="C508" i="3"/>
  <c r="Q508" i="3" s="1"/>
  <c r="B508" i="3"/>
  <c r="A508" i="3"/>
  <c r="Q507" i="3"/>
  <c r="O507" i="3"/>
  <c r="N507" i="3"/>
  <c r="M507" i="3"/>
  <c r="L507" i="3"/>
  <c r="K507" i="3"/>
  <c r="J507" i="3"/>
  <c r="C507" i="3"/>
  <c r="B507" i="3"/>
  <c r="Q506" i="3"/>
  <c r="O506" i="3"/>
  <c r="N506" i="3"/>
  <c r="M506" i="3"/>
  <c r="L506" i="3"/>
  <c r="K506" i="3"/>
  <c r="J506" i="3"/>
  <c r="F506" i="3"/>
  <c r="C506" i="3"/>
  <c r="B506" i="3"/>
  <c r="O505" i="3"/>
  <c r="N505" i="3"/>
  <c r="M505" i="3"/>
  <c r="L505" i="3"/>
  <c r="K505" i="3"/>
  <c r="J505" i="3"/>
  <c r="G505" i="3"/>
  <c r="F505" i="3"/>
  <c r="E505" i="3"/>
  <c r="D505" i="3"/>
  <c r="C505" i="3"/>
  <c r="Q505" i="3" s="1"/>
  <c r="B505" i="3"/>
  <c r="A505" i="3"/>
  <c r="O504" i="3"/>
  <c r="N504" i="3"/>
  <c r="M504" i="3"/>
  <c r="L504" i="3"/>
  <c r="K504" i="3"/>
  <c r="J504" i="3"/>
  <c r="C504" i="3"/>
  <c r="B504" i="3"/>
  <c r="Q503" i="3"/>
  <c r="O503" i="3"/>
  <c r="N503" i="3"/>
  <c r="M503" i="3"/>
  <c r="K503" i="3"/>
  <c r="J503" i="3"/>
  <c r="G503" i="3"/>
  <c r="F503" i="3"/>
  <c r="D503" i="3"/>
  <c r="C503" i="3"/>
  <c r="E503" i="3" s="1"/>
  <c r="B503" i="3"/>
  <c r="A503" i="3"/>
  <c r="O502" i="3"/>
  <c r="N502" i="3"/>
  <c r="M502" i="3"/>
  <c r="L502" i="3"/>
  <c r="K502" i="3"/>
  <c r="J502" i="3"/>
  <c r="G502" i="3"/>
  <c r="F502" i="3"/>
  <c r="E502" i="3"/>
  <c r="D502" i="3"/>
  <c r="C502" i="3"/>
  <c r="Q502" i="3" s="1"/>
  <c r="B502" i="3"/>
  <c r="A502" i="3"/>
  <c r="Q501" i="3"/>
  <c r="O501" i="3"/>
  <c r="N501" i="3"/>
  <c r="M501" i="3"/>
  <c r="K501" i="3"/>
  <c r="J501" i="3"/>
  <c r="F501" i="3"/>
  <c r="E501" i="3"/>
  <c r="D501" i="3"/>
  <c r="C501" i="3"/>
  <c r="B501" i="3"/>
  <c r="Q500" i="3"/>
  <c r="O500" i="3"/>
  <c r="N500" i="3"/>
  <c r="M500" i="3"/>
  <c r="L500" i="3"/>
  <c r="K500" i="3"/>
  <c r="J500" i="3"/>
  <c r="C500" i="3"/>
  <c r="B500" i="3"/>
  <c r="A500" i="3"/>
  <c r="O499" i="3"/>
  <c r="N499" i="3"/>
  <c r="M499" i="3"/>
  <c r="L499" i="3"/>
  <c r="K499" i="3"/>
  <c r="J499" i="3"/>
  <c r="G499" i="3"/>
  <c r="F499" i="3"/>
  <c r="E499" i="3"/>
  <c r="D499" i="3"/>
  <c r="C499" i="3"/>
  <c r="Q499" i="3" s="1"/>
  <c r="B499" i="3"/>
  <c r="A499" i="3"/>
  <c r="Q498" i="3"/>
  <c r="O498" i="3"/>
  <c r="N498" i="3"/>
  <c r="M498" i="3"/>
  <c r="L498" i="3"/>
  <c r="K498" i="3"/>
  <c r="J498" i="3"/>
  <c r="F498" i="3"/>
  <c r="D498" i="3"/>
  <c r="C498" i="3"/>
  <c r="B498" i="3"/>
  <c r="Q497" i="3"/>
  <c r="O497" i="3"/>
  <c r="N497" i="3"/>
  <c r="M497" i="3"/>
  <c r="K497" i="3"/>
  <c r="J497" i="3"/>
  <c r="G497" i="3"/>
  <c r="F497" i="3"/>
  <c r="C497" i="3"/>
  <c r="B497" i="3"/>
  <c r="O496" i="3"/>
  <c r="N496" i="3"/>
  <c r="M496" i="3"/>
  <c r="L496" i="3"/>
  <c r="K496" i="3"/>
  <c r="J496" i="3"/>
  <c r="G496" i="3"/>
  <c r="F496" i="3"/>
  <c r="E496" i="3"/>
  <c r="D496" i="3"/>
  <c r="C496" i="3"/>
  <c r="Q496" i="3" s="1"/>
  <c r="B496" i="3"/>
  <c r="A496" i="3"/>
  <c r="O495" i="3"/>
  <c r="N495" i="3"/>
  <c r="P495" i="3" s="1"/>
  <c r="T495" i="3" s="1"/>
  <c r="M495" i="3"/>
  <c r="K495" i="3"/>
  <c r="J495" i="3"/>
  <c r="E495" i="3"/>
  <c r="D495" i="3"/>
  <c r="C495" i="3"/>
  <c r="B495" i="3" s="1"/>
  <c r="Q494" i="3"/>
  <c r="O494" i="3"/>
  <c r="N494" i="3"/>
  <c r="M494" i="3"/>
  <c r="K494" i="3"/>
  <c r="J494" i="3"/>
  <c r="G494" i="3"/>
  <c r="F494" i="3"/>
  <c r="D494" i="3"/>
  <c r="C494" i="3"/>
  <c r="E494" i="3" s="1"/>
  <c r="B494" i="3"/>
  <c r="A494" i="3"/>
  <c r="O493" i="3"/>
  <c r="N493" i="3"/>
  <c r="M493" i="3"/>
  <c r="L493" i="3"/>
  <c r="K493" i="3"/>
  <c r="J493" i="3"/>
  <c r="G493" i="3"/>
  <c r="F493" i="3"/>
  <c r="E493" i="3"/>
  <c r="D493" i="3"/>
  <c r="C493" i="3"/>
  <c r="Q493" i="3" s="1"/>
  <c r="B493" i="3"/>
  <c r="A493" i="3"/>
  <c r="Q492" i="3"/>
  <c r="O492" i="3"/>
  <c r="N492" i="3"/>
  <c r="M492" i="3"/>
  <c r="K492" i="3"/>
  <c r="J492" i="3"/>
  <c r="F492" i="3"/>
  <c r="E492" i="3"/>
  <c r="D492" i="3"/>
  <c r="C492" i="3"/>
  <c r="B492" i="3"/>
  <c r="O491" i="3"/>
  <c r="N491" i="3"/>
  <c r="M491" i="3"/>
  <c r="K491" i="3"/>
  <c r="J491" i="3"/>
  <c r="C491" i="3"/>
  <c r="O490" i="3"/>
  <c r="N490" i="3"/>
  <c r="M490" i="3"/>
  <c r="L490" i="3"/>
  <c r="K490" i="3"/>
  <c r="J490" i="3"/>
  <c r="G490" i="3"/>
  <c r="F490" i="3"/>
  <c r="E490" i="3"/>
  <c r="D490" i="3"/>
  <c r="C490" i="3"/>
  <c r="Q490" i="3" s="1"/>
  <c r="B490" i="3"/>
  <c r="A490" i="3"/>
  <c r="Q489" i="3"/>
  <c r="O489" i="3"/>
  <c r="N489" i="3"/>
  <c r="M489" i="3"/>
  <c r="L489" i="3"/>
  <c r="K489" i="3"/>
  <c r="J489" i="3"/>
  <c r="C489" i="3"/>
  <c r="B489" i="3"/>
  <c r="O488" i="3"/>
  <c r="N488" i="3"/>
  <c r="M488" i="3"/>
  <c r="K488" i="3"/>
  <c r="J488" i="3"/>
  <c r="C488" i="3"/>
  <c r="F488" i="3" s="1"/>
  <c r="B488" i="3"/>
  <c r="O487" i="3"/>
  <c r="N487" i="3"/>
  <c r="M487" i="3"/>
  <c r="L487" i="3"/>
  <c r="K487" i="3"/>
  <c r="J487" i="3"/>
  <c r="G487" i="3"/>
  <c r="F487" i="3"/>
  <c r="E487" i="3"/>
  <c r="D487" i="3"/>
  <c r="C487" i="3"/>
  <c r="Q487" i="3" s="1"/>
  <c r="B487" i="3"/>
  <c r="A487" i="3"/>
  <c r="Q486" i="3"/>
  <c r="O486" i="3"/>
  <c r="N486" i="3"/>
  <c r="M486" i="3"/>
  <c r="K486" i="3"/>
  <c r="J486" i="3"/>
  <c r="F486" i="3"/>
  <c r="E486" i="3"/>
  <c r="C486" i="3"/>
  <c r="B486" i="3"/>
  <c r="Q485" i="3"/>
  <c r="O485" i="3"/>
  <c r="N485" i="3"/>
  <c r="M485" i="3"/>
  <c r="K485" i="3"/>
  <c r="J485" i="3"/>
  <c r="G485" i="3"/>
  <c r="F485" i="3"/>
  <c r="D485" i="3"/>
  <c r="C485" i="3"/>
  <c r="E485" i="3" s="1"/>
  <c r="B485" i="3"/>
  <c r="A485" i="3"/>
  <c r="O484" i="3"/>
  <c r="N484" i="3"/>
  <c r="M484" i="3"/>
  <c r="L484" i="3"/>
  <c r="K484" i="3"/>
  <c r="J484" i="3"/>
  <c r="G484" i="3"/>
  <c r="F484" i="3"/>
  <c r="E484" i="3"/>
  <c r="D484" i="3"/>
  <c r="C484" i="3"/>
  <c r="Q484" i="3" s="1"/>
  <c r="B484" i="3"/>
  <c r="A484" i="3"/>
  <c r="Q483" i="3"/>
  <c r="O483" i="3"/>
  <c r="N483" i="3"/>
  <c r="M483" i="3"/>
  <c r="K483" i="3"/>
  <c r="J483" i="3"/>
  <c r="F483" i="3"/>
  <c r="E483" i="3"/>
  <c r="D483" i="3"/>
  <c r="C483" i="3"/>
  <c r="B483" i="3"/>
  <c r="Q482" i="3"/>
  <c r="O482" i="3"/>
  <c r="N482" i="3"/>
  <c r="M482" i="3"/>
  <c r="L482" i="3"/>
  <c r="K482" i="3"/>
  <c r="J482" i="3"/>
  <c r="G482" i="3"/>
  <c r="D482" i="3"/>
  <c r="C482" i="3"/>
  <c r="B482" i="3"/>
  <c r="A482" i="3"/>
  <c r="O481" i="3"/>
  <c r="N481" i="3"/>
  <c r="M481" i="3"/>
  <c r="L481" i="3"/>
  <c r="K481" i="3"/>
  <c r="J481" i="3"/>
  <c r="G481" i="3"/>
  <c r="F481" i="3"/>
  <c r="E481" i="3"/>
  <c r="D481" i="3"/>
  <c r="C481" i="3"/>
  <c r="Q481" i="3" s="1"/>
  <c r="B481" i="3"/>
  <c r="A481" i="3"/>
  <c r="O480" i="3"/>
  <c r="N480" i="3"/>
  <c r="M480" i="3"/>
  <c r="K480" i="3"/>
  <c r="J480" i="3"/>
  <c r="C480" i="3"/>
  <c r="O479" i="3"/>
  <c r="N479" i="3"/>
  <c r="M479" i="3"/>
  <c r="K479" i="3"/>
  <c r="J479" i="3"/>
  <c r="F479" i="3"/>
  <c r="D479" i="3"/>
  <c r="C479" i="3"/>
  <c r="B479" i="3" s="1"/>
  <c r="O478" i="3"/>
  <c r="N478" i="3"/>
  <c r="M478" i="3"/>
  <c r="L478" i="3"/>
  <c r="K478" i="3"/>
  <c r="J478" i="3"/>
  <c r="G478" i="3"/>
  <c r="F478" i="3"/>
  <c r="E478" i="3"/>
  <c r="D478" i="3"/>
  <c r="C478" i="3"/>
  <c r="Q478" i="3" s="1"/>
  <c r="B478" i="3"/>
  <c r="A478" i="3"/>
  <c r="O477" i="3"/>
  <c r="N477" i="3"/>
  <c r="M477" i="3"/>
  <c r="K477" i="3"/>
  <c r="J477" i="3"/>
  <c r="C477" i="3"/>
  <c r="B477" i="3"/>
  <c r="Q476" i="3"/>
  <c r="O476" i="3"/>
  <c r="N476" i="3"/>
  <c r="M476" i="3"/>
  <c r="K476" i="3"/>
  <c r="J476" i="3"/>
  <c r="G476" i="3"/>
  <c r="F476" i="3"/>
  <c r="D476" i="3"/>
  <c r="C476" i="3"/>
  <c r="E476" i="3" s="1"/>
  <c r="B476" i="3"/>
  <c r="A476" i="3"/>
  <c r="O475" i="3"/>
  <c r="N475" i="3"/>
  <c r="M475" i="3"/>
  <c r="L475" i="3"/>
  <c r="K475" i="3"/>
  <c r="J475" i="3"/>
  <c r="G475" i="3"/>
  <c r="F475" i="3"/>
  <c r="E475" i="3"/>
  <c r="D475" i="3"/>
  <c r="C475" i="3"/>
  <c r="Q475" i="3" s="1"/>
  <c r="B475" i="3"/>
  <c r="A475" i="3"/>
  <c r="Q474" i="3"/>
  <c r="O474" i="3"/>
  <c r="N474" i="3"/>
  <c r="M474" i="3"/>
  <c r="K474" i="3"/>
  <c r="J474" i="3"/>
  <c r="F474" i="3"/>
  <c r="E474" i="3"/>
  <c r="D474" i="3"/>
  <c r="C474" i="3"/>
  <c r="B474" i="3"/>
  <c r="Q473" i="3"/>
  <c r="O473" i="3"/>
  <c r="N473" i="3"/>
  <c r="M473" i="3"/>
  <c r="L473" i="3"/>
  <c r="K473" i="3"/>
  <c r="J473" i="3"/>
  <c r="C473" i="3"/>
  <c r="B473" i="3"/>
  <c r="A473" i="3"/>
  <c r="O472" i="3"/>
  <c r="N472" i="3"/>
  <c r="M472" i="3"/>
  <c r="L472" i="3"/>
  <c r="K472" i="3"/>
  <c r="J472" i="3"/>
  <c r="G472" i="3"/>
  <c r="F472" i="3"/>
  <c r="E472" i="3"/>
  <c r="D472" i="3"/>
  <c r="C472" i="3"/>
  <c r="Q472" i="3" s="1"/>
  <c r="B472" i="3"/>
  <c r="A472" i="3"/>
  <c r="Q471" i="3"/>
  <c r="O471" i="3"/>
  <c r="N471" i="3"/>
  <c r="M471" i="3"/>
  <c r="L471" i="3"/>
  <c r="K471" i="3"/>
  <c r="J471" i="3"/>
  <c r="F471" i="3"/>
  <c r="D471" i="3"/>
  <c r="C471" i="3"/>
  <c r="B471" i="3"/>
  <c r="Q470" i="3"/>
  <c r="O470" i="3"/>
  <c r="N470" i="3"/>
  <c r="M470" i="3"/>
  <c r="K470" i="3"/>
  <c r="J470" i="3"/>
  <c r="G470" i="3"/>
  <c r="F470" i="3"/>
  <c r="C470" i="3"/>
  <c r="B470" i="3"/>
  <c r="O469" i="3"/>
  <c r="P469" i="3" s="1"/>
  <c r="T469" i="3" s="1"/>
  <c r="N469" i="3"/>
  <c r="M469" i="3"/>
  <c r="L469" i="3"/>
  <c r="K469" i="3"/>
  <c r="J469" i="3"/>
  <c r="G469" i="3"/>
  <c r="F469" i="3"/>
  <c r="E469" i="3"/>
  <c r="D469" i="3"/>
  <c r="C469" i="3"/>
  <c r="Q469" i="3" s="1"/>
  <c r="B469" i="3"/>
  <c r="A469" i="3"/>
  <c r="O468" i="3"/>
  <c r="N468" i="3"/>
  <c r="M468" i="3"/>
  <c r="K468" i="3"/>
  <c r="J468" i="3"/>
  <c r="E468" i="3"/>
  <c r="D468" i="3"/>
  <c r="C468" i="3"/>
  <c r="B468" i="3" s="1"/>
  <c r="Q467" i="3"/>
  <c r="O467" i="3"/>
  <c r="N467" i="3"/>
  <c r="M467" i="3"/>
  <c r="K467" i="3"/>
  <c r="J467" i="3"/>
  <c r="G467" i="3"/>
  <c r="F467" i="3"/>
  <c r="D467" i="3"/>
  <c r="C467" i="3"/>
  <c r="E467" i="3" s="1"/>
  <c r="B467" i="3"/>
  <c r="A467" i="3"/>
  <c r="O466" i="3"/>
  <c r="N466" i="3"/>
  <c r="M466" i="3"/>
  <c r="L466" i="3"/>
  <c r="K466" i="3"/>
  <c r="J466" i="3"/>
  <c r="G466" i="3"/>
  <c r="F466" i="3"/>
  <c r="E466" i="3"/>
  <c r="D466" i="3"/>
  <c r="C466" i="3"/>
  <c r="Q466" i="3" s="1"/>
  <c r="B466" i="3"/>
  <c r="A466" i="3"/>
  <c r="Q465" i="3"/>
  <c r="O465" i="3"/>
  <c r="N465" i="3"/>
  <c r="M465" i="3"/>
  <c r="K465" i="3"/>
  <c r="J465" i="3"/>
  <c r="F465" i="3"/>
  <c r="E465" i="3"/>
  <c r="D465" i="3"/>
  <c r="C465" i="3"/>
  <c r="B465" i="3"/>
  <c r="O464" i="3"/>
  <c r="N464" i="3"/>
  <c r="M464" i="3"/>
  <c r="K464" i="3"/>
  <c r="J464" i="3"/>
  <c r="C464" i="3"/>
  <c r="O463" i="3"/>
  <c r="N463" i="3"/>
  <c r="M463" i="3"/>
  <c r="L463" i="3"/>
  <c r="K463" i="3"/>
  <c r="J463" i="3"/>
  <c r="G463" i="3"/>
  <c r="F463" i="3"/>
  <c r="E463" i="3"/>
  <c r="D463" i="3"/>
  <c r="C463" i="3"/>
  <c r="Q463" i="3" s="1"/>
  <c r="B463" i="3"/>
  <c r="A463" i="3"/>
  <c r="Q462" i="3"/>
  <c r="O462" i="3"/>
  <c r="N462" i="3"/>
  <c r="M462" i="3"/>
  <c r="L462" i="3"/>
  <c r="K462" i="3"/>
  <c r="J462" i="3"/>
  <c r="C462" i="3"/>
  <c r="B462" i="3"/>
  <c r="O461" i="3"/>
  <c r="N461" i="3"/>
  <c r="M461" i="3"/>
  <c r="K461" i="3"/>
  <c r="J461" i="3"/>
  <c r="C461" i="3"/>
  <c r="D461" i="3" s="1"/>
  <c r="B461" i="3"/>
  <c r="O460" i="3"/>
  <c r="N460" i="3"/>
  <c r="M460" i="3"/>
  <c r="L460" i="3"/>
  <c r="K460" i="3"/>
  <c r="J460" i="3"/>
  <c r="G460" i="3"/>
  <c r="F460" i="3"/>
  <c r="E460" i="3"/>
  <c r="D460" i="3"/>
  <c r="C460" i="3"/>
  <c r="Q460" i="3" s="1"/>
  <c r="B460" i="3"/>
  <c r="A460" i="3"/>
  <c r="Q459" i="3"/>
  <c r="O459" i="3"/>
  <c r="N459" i="3"/>
  <c r="M459" i="3"/>
  <c r="K459" i="3"/>
  <c r="J459" i="3"/>
  <c r="F459" i="3"/>
  <c r="E459" i="3"/>
  <c r="C459" i="3"/>
  <c r="B459" i="3"/>
  <c r="Q458" i="3"/>
  <c r="O458" i="3"/>
  <c r="N458" i="3"/>
  <c r="M458" i="3"/>
  <c r="K458" i="3"/>
  <c r="J458" i="3"/>
  <c r="G458" i="3"/>
  <c r="F458" i="3"/>
  <c r="D458" i="3"/>
  <c r="C458" i="3"/>
  <c r="E458" i="3" s="1"/>
  <c r="B458" i="3"/>
  <c r="A458" i="3"/>
  <c r="O457" i="3"/>
  <c r="N457" i="3"/>
  <c r="M457" i="3"/>
  <c r="L457" i="3"/>
  <c r="K457" i="3"/>
  <c r="J457" i="3"/>
  <c r="G457" i="3"/>
  <c r="F457" i="3"/>
  <c r="E457" i="3"/>
  <c r="D457" i="3"/>
  <c r="C457" i="3"/>
  <c r="Q457" i="3" s="1"/>
  <c r="B457" i="3"/>
  <c r="A457" i="3"/>
  <c r="Q456" i="3"/>
  <c r="O456" i="3"/>
  <c r="N456" i="3"/>
  <c r="M456" i="3"/>
  <c r="K456" i="3"/>
  <c r="J456" i="3"/>
  <c r="F456" i="3"/>
  <c r="E456" i="3"/>
  <c r="D456" i="3"/>
  <c r="C456" i="3"/>
  <c r="B456" i="3"/>
  <c r="Q455" i="3"/>
  <c r="O455" i="3"/>
  <c r="N455" i="3"/>
  <c r="M455" i="3"/>
  <c r="L455" i="3"/>
  <c r="K455" i="3"/>
  <c r="J455" i="3"/>
  <c r="G455" i="3"/>
  <c r="D455" i="3"/>
  <c r="C455" i="3"/>
  <c r="B455" i="3"/>
  <c r="A455" i="3"/>
  <c r="O454" i="3"/>
  <c r="N454" i="3"/>
  <c r="M454" i="3"/>
  <c r="L454" i="3"/>
  <c r="K454" i="3"/>
  <c r="J454" i="3"/>
  <c r="G454" i="3"/>
  <c r="F454" i="3"/>
  <c r="E454" i="3"/>
  <c r="D454" i="3"/>
  <c r="C454" i="3"/>
  <c r="Q454" i="3" s="1"/>
  <c r="B454" i="3"/>
  <c r="A454" i="3"/>
  <c r="O453" i="3"/>
  <c r="N453" i="3"/>
  <c r="M453" i="3"/>
  <c r="K453" i="3"/>
  <c r="J453" i="3"/>
  <c r="C453" i="3"/>
  <c r="O452" i="3"/>
  <c r="N452" i="3"/>
  <c r="M452" i="3"/>
  <c r="K452" i="3"/>
  <c r="J452" i="3"/>
  <c r="F452" i="3"/>
  <c r="D452" i="3"/>
  <c r="C452" i="3"/>
  <c r="B452" i="3" s="1"/>
  <c r="O451" i="3"/>
  <c r="N451" i="3"/>
  <c r="M451" i="3"/>
  <c r="L451" i="3"/>
  <c r="K451" i="3"/>
  <c r="J451" i="3"/>
  <c r="G451" i="3"/>
  <c r="F451" i="3"/>
  <c r="E451" i="3"/>
  <c r="D451" i="3"/>
  <c r="C451" i="3"/>
  <c r="Q451" i="3" s="1"/>
  <c r="B451" i="3"/>
  <c r="A451" i="3"/>
  <c r="O450" i="3"/>
  <c r="N450" i="3"/>
  <c r="M450" i="3"/>
  <c r="K450" i="3"/>
  <c r="J450" i="3"/>
  <c r="C450" i="3"/>
  <c r="D450" i="3" s="1"/>
  <c r="B450" i="3"/>
  <c r="Q449" i="3"/>
  <c r="O449" i="3"/>
  <c r="N449" i="3"/>
  <c r="M449" i="3"/>
  <c r="K449" i="3"/>
  <c r="J449" i="3"/>
  <c r="G449" i="3"/>
  <c r="F449" i="3"/>
  <c r="D449" i="3"/>
  <c r="C449" i="3"/>
  <c r="E449" i="3" s="1"/>
  <c r="B449" i="3"/>
  <c r="A449" i="3"/>
  <c r="O448" i="3"/>
  <c r="N448" i="3"/>
  <c r="M448" i="3"/>
  <c r="L448" i="3"/>
  <c r="K448" i="3"/>
  <c r="J448" i="3"/>
  <c r="G448" i="3"/>
  <c r="F448" i="3"/>
  <c r="E448" i="3"/>
  <c r="D448" i="3"/>
  <c r="C448" i="3"/>
  <c r="Q448" i="3" s="1"/>
  <c r="B448" i="3"/>
  <c r="A448" i="3"/>
  <c r="Q447" i="3"/>
  <c r="O447" i="3"/>
  <c r="N447" i="3"/>
  <c r="M447" i="3"/>
  <c r="K447" i="3"/>
  <c r="J447" i="3"/>
  <c r="F447" i="3"/>
  <c r="E447" i="3"/>
  <c r="D447" i="3"/>
  <c r="C447" i="3"/>
  <c r="B447" i="3"/>
  <c r="Q446" i="3"/>
  <c r="O446" i="3"/>
  <c r="N446" i="3"/>
  <c r="M446" i="3"/>
  <c r="L446" i="3"/>
  <c r="K446" i="3"/>
  <c r="J446" i="3"/>
  <c r="C446" i="3"/>
  <c r="B446" i="3"/>
  <c r="A446" i="3"/>
  <c r="O445" i="3"/>
  <c r="N445" i="3"/>
  <c r="M445" i="3"/>
  <c r="L445" i="3"/>
  <c r="K445" i="3"/>
  <c r="J445" i="3"/>
  <c r="G445" i="3"/>
  <c r="F445" i="3"/>
  <c r="E445" i="3"/>
  <c r="D445" i="3"/>
  <c r="C445" i="3"/>
  <c r="Q445" i="3" s="1"/>
  <c r="B445" i="3"/>
  <c r="A445" i="3"/>
  <c r="Q444" i="3"/>
  <c r="P444" i="3"/>
  <c r="T444" i="3" s="1"/>
  <c r="O444" i="3"/>
  <c r="N444" i="3"/>
  <c r="M444" i="3"/>
  <c r="L444" i="3"/>
  <c r="K444" i="3"/>
  <c r="J444" i="3"/>
  <c r="F444" i="3"/>
  <c r="D444" i="3"/>
  <c r="C444" i="3"/>
  <c r="B444" i="3"/>
  <c r="Q443" i="3"/>
  <c r="O443" i="3"/>
  <c r="N443" i="3"/>
  <c r="M443" i="3"/>
  <c r="K443" i="3"/>
  <c r="J443" i="3"/>
  <c r="G443" i="3"/>
  <c r="F443" i="3"/>
  <c r="C443" i="3"/>
  <c r="B443" i="3"/>
  <c r="O442" i="3"/>
  <c r="N442" i="3"/>
  <c r="M442" i="3"/>
  <c r="L442" i="3"/>
  <c r="K442" i="3"/>
  <c r="J442" i="3"/>
  <c r="G442" i="3"/>
  <c r="F442" i="3"/>
  <c r="E442" i="3"/>
  <c r="D442" i="3"/>
  <c r="C442" i="3"/>
  <c r="Q442" i="3" s="1"/>
  <c r="B442" i="3"/>
  <c r="A442" i="3"/>
  <c r="O441" i="3"/>
  <c r="N441" i="3"/>
  <c r="M441" i="3"/>
  <c r="K441" i="3"/>
  <c r="J441" i="3"/>
  <c r="E441" i="3"/>
  <c r="D441" i="3"/>
  <c r="C441" i="3"/>
  <c r="B441" i="3" s="1"/>
  <c r="Q440" i="3"/>
  <c r="O440" i="3"/>
  <c r="N440" i="3"/>
  <c r="M440" i="3"/>
  <c r="K440" i="3"/>
  <c r="J440" i="3"/>
  <c r="G440" i="3"/>
  <c r="F440" i="3"/>
  <c r="D440" i="3"/>
  <c r="C440" i="3"/>
  <c r="E440" i="3" s="1"/>
  <c r="B440" i="3"/>
  <c r="A440" i="3"/>
  <c r="O439" i="3"/>
  <c r="N439" i="3"/>
  <c r="M439" i="3"/>
  <c r="L439" i="3"/>
  <c r="K439" i="3"/>
  <c r="J439" i="3"/>
  <c r="G439" i="3"/>
  <c r="F439" i="3"/>
  <c r="E439" i="3"/>
  <c r="D439" i="3"/>
  <c r="C439" i="3"/>
  <c r="Q439" i="3" s="1"/>
  <c r="B439" i="3"/>
  <c r="A439" i="3"/>
  <c r="Q438" i="3"/>
  <c r="O438" i="3"/>
  <c r="N438" i="3"/>
  <c r="M438" i="3"/>
  <c r="K438" i="3"/>
  <c r="J438" i="3"/>
  <c r="F438" i="3"/>
  <c r="E438" i="3"/>
  <c r="D438" i="3"/>
  <c r="C438" i="3"/>
  <c r="B438" i="3"/>
  <c r="O437" i="3"/>
  <c r="N437" i="3"/>
  <c r="M437" i="3"/>
  <c r="K437" i="3"/>
  <c r="J437" i="3"/>
  <c r="C437" i="3"/>
  <c r="O436" i="3"/>
  <c r="N436" i="3"/>
  <c r="M436" i="3"/>
  <c r="L436" i="3"/>
  <c r="K436" i="3"/>
  <c r="J436" i="3"/>
  <c r="G436" i="3"/>
  <c r="F436" i="3"/>
  <c r="E436" i="3"/>
  <c r="D436" i="3"/>
  <c r="C436" i="3"/>
  <c r="Q436" i="3" s="1"/>
  <c r="B436" i="3"/>
  <c r="A436" i="3"/>
  <c r="Q435" i="3"/>
  <c r="O435" i="3"/>
  <c r="N435" i="3"/>
  <c r="M435" i="3"/>
  <c r="L435" i="3"/>
  <c r="K435" i="3"/>
  <c r="J435" i="3"/>
  <c r="C435" i="3"/>
  <c r="B435" i="3"/>
  <c r="O434" i="3"/>
  <c r="N434" i="3"/>
  <c r="M434" i="3"/>
  <c r="K434" i="3"/>
  <c r="J434" i="3"/>
  <c r="C434" i="3"/>
  <c r="F434" i="3" s="1"/>
  <c r="B434" i="3"/>
  <c r="O433" i="3"/>
  <c r="N433" i="3"/>
  <c r="M433" i="3"/>
  <c r="L433" i="3"/>
  <c r="K433" i="3"/>
  <c r="J433" i="3"/>
  <c r="G433" i="3"/>
  <c r="F433" i="3"/>
  <c r="E433" i="3"/>
  <c r="D433" i="3"/>
  <c r="C433" i="3"/>
  <c r="Q433" i="3" s="1"/>
  <c r="B433" i="3"/>
  <c r="A433" i="3"/>
  <c r="Q432" i="3"/>
  <c r="O432" i="3"/>
  <c r="N432" i="3"/>
  <c r="M432" i="3"/>
  <c r="K432" i="3"/>
  <c r="J432" i="3"/>
  <c r="F432" i="3"/>
  <c r="E432" i="3"/>
  <c r="C432" i="3"/>
  <c r="B432" i="3"/>
  <c r="Q431" i="3"/>
  <c r="O431" i="3"/>
  <c r="N431" i="3"/>
  <c r="M431" i="3"/>
  <c r="K431" i="3"/>
  <c r="J431" i="3"/>
  <c r="G431" i="3"/>
  <c r="F431" i="3"/>
  <c r="D431" i="3"/>
  <c r="C431" i="3"/>
  <c r="E431" i="3" s="1"/>
  <c r="B431" i="3"/>
  <c r="A431" i="3"/>
  <c r="O430" i="3"/>
  <c r="N430" i="3"/>
  <c r="M430" i="3"/>
  <c r="L430" i="3"/>
  <c r="K430" i="3"/>
  <c r="J430" i="3"/>
  <c r="G430" i="3"/>
  <c r="F430" i="3"/>
  <c r="E430" i="3"/>
  <c r="D430" i="3"/>
  <c r="C430" i="3"/>
  <c r="Q430" i="3" s="1"/>
  <c r="B430" i="3"/>
  <c r="A430" i="3"/>
  <c r="Q429" i="3"/>
  <c r="O429" i="3"/>
  <c r="N429" i="3"/>
  <c r="M429" i="3"/>
  <c r="K429" i="3"/>
  <c r="J429" i="3"/>
  <c r="F429" i="3"/>
  <c r="E429" i="3"/>
  <c r="D429" i="3"/>
  <c r="C429" i="3"/>
  <c r="B429" i="3"/>
  <c r="Q428" i="3"/>
  <c r="O428" i="3"/>
  <c r="N428" i="3"/>
  <c r="M428" i="3"/>
  <c r="L428" i="3"/>
  <c r="K428" i="3"/>
  <c r="J428" i="3"/>
  <c r="G428" i="3"/>
  <c r="D428" i="3"/>
  <c r="C428" i="3"/>
  <c r="B428" i="3"/>
  <c r="A428" i="3"/>
  <c r="O427" i="3"/>
  <c r="N427" i="3"/>
  <c r="M427" i="3"/>
  <c r="L427" i="3"/>
  <c r="K427" i="3"/>
  <c r="J427" i="3"/>
  <c r="G427" i="3"/>
  <c r="F427" i="3"/>
  <c r="E427" i="3"/>
  <c r="D427" i="3"/>
  <c r="C427" i="3"/>
  <c r="Q427" i="3" s="1"/>
  <c r="B427" i="3"/>
  <c r="A427" i="3"/>
  <c r="O426" i="3"/>
  <c r="N426" i="3"/>
  <c r="M426" i="3"/>
  <c r="K426" i="3"/>
  <c r="J426" i="3"/>
  <c r="C426" i="3"/>
  <c r="O425" i="3"/>
  <c r="N425" i="3"/>
  <c r="M425" i="3"/>
  <c r="K425" i="3"/>
  <c r="J425" i="3"/>
  <c r="F425" i="3"/>
  <c r="D425" i="3"/>
  <c r="C425" i="3"/>
  <c r="B425" i="3" s="1"/>
  <c r="O424" i="3"/>
  <c r="N424" i="3"/>
  <c r="M424" i="3"/>
  <c r="L424" i="3"/>
  <c r="K424" i="3"/>
  <c r="J424" i="3"/>
  <c r="G424" i="3"/>
  <c r="F424" i="3"/>
  <c r="E424" i="3"/>
  <c r="D424" i="3"/>
  <c r="C424" i="3"/>
  <c r="Q424" i="3" s="1"/>
  <c r="B424" i="3"/>
  <c r="A424" i="3"/>
  <c r="O423" i="3"/>
  <c r="N423" i="3"/>
  <c r="M423" i="3"/>
  <c r="K423" i="3"/>
  <c r="J423" i="3"/>
  <c r="C423" i="3"/>
  <c r="D423" i="3" s="1"/>
  <c r="B423" i="3"/>
  <c r="Q422" i="3"/>
  <c r="O422" i="3"/>
  <c r="N422" i="3"/>
  <c r="M422" i="3"/>
  <c r="K422" i="3"/>
  <c r="J422" i="3"/>
  <c r="G422" i="3"/>
  <c r="F422" i="3"/>
  <c r="D422" i="3"/>
  <c r="C422" i="3"/>
  <c r="E422" i="3" s="1"/>
  <c r="B422" i="3"/>
  <c r="A422" i="3"/>
  <c r="O421" i="3"/>
  <c r="N421" i="3"/>
  <c r="M421" i="3"/>
  <c r="L421" i="3"/>
  <c r="K421" i="3"/>
  <c r="J421" i="3"/>
  <c r="G421" i="3"/>
  <c r="F421" i="3"/>
  <c r="E421" i="3"/>
  <c r="D421" i="3"/>
  <c r="C421" i="3"/>
  <c r="Q421" i="3" s="1"/>
  <c r="B421" i="3"/>
  <c r="A421" i="3"/>
  <c r="Q420" i="3"/>
  <c r="O420" i="3"/>
  <c r="N420" i="3"/>
  <c r="M420" i="3"/>
  <c r="K420" i="3"/>
  <c r="J420" i="3"/>
  <c r="F420" i="3"/>
  <c r="E420" i="3"/>
  <c r="D420" i="3"/>
  <c r="C420" i="3"/>
  <c r="B420" i="3"/>
  <c r="Q419" i="3"/>
  <c r="O419" i="3"/>
  <c r="N419" i="3"/>
  <c r="M419" i="3"/>
  <c r="L419" i="3"/>
  <c r="K419" i="3"/>
  <c r="J419" i="3"/>
  <c r="C419" i="3"/>
  <c r="B419" i="3"/>
  <c r="A419" i="3"/>
  <c r="O418" i="3"/>
  <c r="N418" i="3"/>
  <c r="M418" i="3"/>
  <c r="L418" i="3"/>
  <c r="K418" i="3"/>
  <c r="J418" i="3"/>
  <c r="G418" i="3"/>
  <c r="F418" i="3"/>
  <c r="E418" i="3"/>
  <c r="D418" i="3"/>
  <c r="C418" i="3"/>
  <c r="Q418" i="3" s="1"/>
  <c r="B418" i="3"/>
  <c r="A418" i="3"/>
  <c r="Q417" i="3"/>
  <c r="O417" i="3"/>
  <c r="N417" i="3"/>
  <c r="M417" i="3"/>
  <c r="L417" i="3"/>
  <c r="K417" i="3"/>
  <c r="J417" i="3"/>
  <c r="F417" i="3"/>
  <c r="D417" i="3"/>
  <c r="C417" i="3"/>
  <c r="B417" i="3"/>
  <c r="Q416" i="3"/>
  <c r="O416" i="3"/>
  <c r="N416" i="3"/>
  <c r="M416" i="3"/>
  <c r="K416" i="3"/>
  <c r="J416" i="3"/>
  <c r="G416" i="3"/>
  <c r="F416" i="3"/>
  <c r="C416" i="3"/>
  <c r="B416" i="3"/>
  <c r="O415" i="3"/>
  <c r="N415" i="3"/>
  <c r="M415" i="3"/>
  <c r="L415" i="3"/>
  <c r="K415" i="3"/>
  <c r="J415" i="3"/>
  <c r="G415" i="3"/>
  <c r="F415" i="3"/>
  <c r="E415" i="3"/>
  <c r="D415" i="3"/>
  <c r="C415" i="3"/>
  <c r="Q415" i="3" s="1"/>
  <c r="B415" i="3"/>
  <c r="A415" i="3"/>
  <c r="O414" i="3"/>
  <c r="N414" i="3"/>
  <c r="M414" i="3"/>
  <c r="K414" i="3"/>
  <c r="J414" i="3"/>
  <c r="E414" i="3"/>
  <c r="D414" i="3"/>
  <c r="C414" i="3"/>
  <c r="B414" i="3" s="1"/>
  <c r="Q413" i="3"/>
  <c r="O413" i="3"/>
  <c r="N413" i="3"/>
  <c r="M413" i="3"/>
  <c r="K413" i="3"/>
  <c r="J413" i="3"/>
  <c r="G413" i="3"/>
  <c r="F413" i="3"/>
  <c r="D413" i="3"/>
  <c r="C413" i="3"/>
  <c r="E413" i="3" s="1"/>
  <c r="B413" i="3"/>
  <c r="A413" i="3"/>
  <c r="O412" i="3"/>
  <c r="N412" i="3"/>
  <c r="M412" i="3"/>
  <c r="L412" i="3"/>
  <c r="K412" i="3"/>
  <c r="J412" i="3"/>
  <c r="G412" i="3"/>
  <c r="F412" i="3"/>
  <c r="E412" i="3"/>
  <c r="D412" i="3"/>
  <c r="C412" i="3"/>
  <c r="Q412" i="3" s="1"/>
  <c r="B412" i="3"/>
  <c r="A412" i="3"/>
  <c r="Q411" i="3"/>
  <c r="O411" i="3"/>
  <c r="N411" i="3"/>
  <c r="M411" i="3"/>
  <c r="K411" i="3"/>
  <c r="J411" i="3"/>
  <c r="F411" i="3"/>
  <c r="E411" i="3"/>
  <c r="D411" i="3"/>
  <c r="C411" i="3"/>
  <c r="B411" i="3"/>
  <c r="O410" i="3"/>
  <c r="N410" i="3"/>
  <c r="M410" i="3"/>
  <c r="K410" i="3"/>
  <c r="J410" i="3"/>
  <c r="C410" i="3"/>
  <c r="O409" i="3"/>
  <c r="N409" i="3"/>
  <c r="M409" i="3"/>
  <c r="L409" i="3"/>
  <c r="K409" i="3"/>
  <c r="J409" i="3"/>
  <c r="G409" i="3"/>
  <c r="F409" i="3"/>
  <c r="E409" i="3"/>
  <c r="D409" i="3"/>
  <c r="C409" i="3"/>
  <c r="Q409" i="3" s="1"/>
  <c r="B409" i="3"/>
  <c r="A409" i="3"/>
  <c r="Q408" i="3"/>
  <c r="O408" i="3"/>
  <c r="N408" i="3"/>
  <c r="M408" i="3"/>
  <c r="L408" i="3"/>
  <c r="K408" i="3"/>
  <c r="J408" i="3"/>
  <c r="C408" i="3"/>
  <c r="B408" i="3"/>
  <c r="O407" i="3"/>
  <c r="N407" i="3"/>
  <c r="M407" i="3"/>
  <c r="K407" i="3"/>
  <c r="J407" i="3"/>
  <c r="C407" i="3"/>
  <c r="B407" i="3"/>
  <c r="O406" i="3"/>
  <c r="N406" i="3"/>
  <c r="M406" i="3"/>
  <c r="L406" i="3"/>
  <c r="K406" i="3"/>
  <c r="J406" i="3"/>
  <c r="G406" i="3"/>
  <c r="F406" i="3"/>
  <c r="E406" i="3"/>
  <c r="D406" i="3"/>
  <c r="C406" i="3"/>
  <c r="Q406" i="3" s="1"/>
  <c r="B406" i="3"/>
  <c r="A406" i="3"/>
  <c r="Q405" i="3"/>
  <c r="O405" i="3"/>
  <c r="N405" i="3"/>
  <c r="M405" i="3"/>
  <c r="K405" i="3"/>
  <c r="J405" i="3"/>
  <c r="F405" i="3"/>
  <c r="E405" i="3"/>
  <c r="C405" i="3"/>
  <c r="B405" i="3"/>
  <c r="Q404" i="3"/>
  <c r="O404" i="3"/>
  <c r="N404" i="3"/>
  <c r="M404" i="3"/>
  <c r="K404" i="3"/>
  <c r="J404" i="3"/>
  <c r="G404" i="3"/>
  <c r="F404" i="3"/>
  <c r="D404" i="3"/>
  <c r="C404" i="3"/>
  <c r="E404" i="3" s="1"/>
  <c r="B404" i="3"/>
  <c r="A404" i="3"/>
  <c r="O403" i="3"/>
  <c r="N403" i="3"/>
  <c r="M403" i="3"/>
  <c r="L403" i="3"/>
  <c r="K403" i="3"/>
  <c r="J403" i="3"/>
  <c r="G403" i="3"/>
  <c r="F403" i="3"/>
  <c r="E403" i="3"/>
  <c r="D403" i="3"/>
  <c r="C403" i="3"/>
  <c r="Q403" i="3" s="1"/>
  <c r="B403" i="3"/>
  <c r="A403" i="3"/>
  <c r="Q402" i="3"/>
  <c r="O402" i="3"/>
  <c r="N402" i="3"/>
  <c r="M402" i="3"/>
  <c r="K402" i="3"/>
  <c r="J402" i="3"/>
  <c r="F402" i="3"/>
  <c r="E402" i="3"/>
  <c r="D402" i="3"/>
  <c r="C402" i="3"/>
  <c r="B402" i="3"/>
  <c r="Q401" i="3"/>
  <c r="O401" i="3"/>
  <c r="N401" i="3"/>
  <c r="M401" i="3"/>
  <c r="L401" i="3"/>
  <c r="K401" i="3"/>
  <c r="J401" i="3"/>
  <c r="G401" i="3"/>
  <c r="D401" i="3"/>
  <c r="C401" i="3"/>
  <c r="B401" i="3"/>
  <c r="A401" i="3"/>
  <c r="O400" i="3"/>
  <c r="N400" i="3"/>
  <c r="M400" i="3"/>
  <c r="L400" i="3"/>
  <c r="K400" i="3"/>
  <c r="J400" i="3"/>
  <c r="G400" i="3"/>
  <c r="F400" i="3"/>
  <c r="E400" i="3"/>
  <c r="D400" i="3"/>
  <c r="C400" i="3"/>
  <c r="Q400" i="3" s="1"/>
  <c r="B400" i="3"/>
  <c r="A400" i="3"/>
  <c r="O399" i="3"/>
  <c r="N399" i="3"/>
  <c r="M399" i="3"/>
  <c r="K399" i="3"/>
  <c r="J399" i="3"/>
  <c r="C399" i="3"/>
  <c r="O398" i="3"/>
  <c r="N398" i="3"/>
  <c r="M398" i="3"/>
  <c r="K398" i="3"/>
  <c r="J398" i="3"/>
  <c r="F398" i="3"/>
  <c r="D398" i="3"/>
  <c r="C398" i="3"/>
  <c r="B398" i="3" s="1"/>
  <c r="O397" i="3"/>
  <c r="N397" i="3"/>
  <c r="M397" i="3"/>
  <c r="L397" i="3"/>
  <c r="K397" i="3"/>
  <c r="J397" i="3"/>
  <c r="G397" i="3"/>
  <c r="F397" i="3"/>
  <c r="E397" i="3"/>
  <c r="D397" i="3"/>
  <c r="C397" i="3"/>
  <c r="Q397" i="3" s="1"/>
  <c r="B397" i="3"/>
  <c r="A397" i="3"/>
  <c r="O396" i="3"/>
  <c r="N396" i="3"/>
  <c r="M396" i="3"/>
  <c r="K396" i="3"/>
  <c r="J396" i="3"/>
  <c r="C396" i="3"/>
  <c r="E396" i="3" s="1"/>
  <c r="B396" i="3"/>
  <c r="Q395" i="3"/>
  <c r="O395" i="3"/>
  <c r="N395" i="3"/>
  <c r="M395" i="3"/>
  <c r="K395" i="3"/>
  <c r="J395" i="3"/>
  <c r="G395" i="3"/>
  <c r="F395" i="3"/>
  <c r="D395" i="3"/>
  <c r="C395" i="3"/>
  <c r="E395" i="3" s="1"/>
  <c r="B395" i="3"/>
  <c r="A395" i="3"/>
  <c r="O394" i="3"/>
  <c r="N394" i="3"/>
  <c r="M394" i="3"/>
  <c r="L394" i="3"/>
  <c r="K394" i="3"/>
  <c r="J394" i="3"/>
  <c r="G394" i="3"/>
  <c r="F394" i="3"/>
  <c r="E394" i="3"/>
  <c r="D394" i="3"/>
  <c r="C394" i="3"/>
  <c r="Q394" i="3" s="1"/>
  <c r="B394" i="3"/>
  <c r="A394" i="3"/>
  <c r="Q393" i="3"/>
  <c r="O393" i="3"/>
  <c r="N393" i="3"/>
  <c r="M393" i="3"/>
  <c r="K393" i="3"/>
  <c r="J393" i="3"/>
  <c r="F393" i="3"/>
  <c r="E393" i="3"/>
  <c r="D393" i="3"/>
  <c r="C393" i="3"/>
  <c r="B393" i="3"/>
  <c r="Q392" i="3"/>
  <c r="O392" i="3"/>
  <c r="N392" i="3"/>
  <c r="M392" i="3"/>
  <c r="L392" i="3"/>
  <c r="K392" i="3"/>
  <c r="J392" i="3"/>
  <c r="C392" i="3"/>
  <c r="B392" i="3"/>
  <c r="A392" i="3"/>
  <c r="O391" i="3"/>
  <c r="N391" i="3"/>
  <c r="M391" i="3"/>
  <c r="L391" i="3"/>
  <c r="K391" i="3"/>
  <c r="J391" i="3"/>
  <c r="G391" i="3"/>
  <c r="F391" i="3"/>
  <c r="E391" i="3"/>
  <c r="D391" i="3"/>
  <c r="C391" i="3"/>
  <c r="Q391" i="3" s="1"/>
  <c r="B391" i="3"/>
  <c r="A391" i="3"/>
  <c r="Q390" i="3"/>
  <c r="O390" i="3"/>
  <c r="N390" i="3"/>
  <c r="P390" i="3" s="1"/>
  <c r="T390" i="3" s="1"/>
  <c r="M390" i="3"/>
  <c r="L390" i="3"/>
  <c r="K390" i="3"/>
  <c r="J390" i="3"/>
  <c r="F390" i="3"/>
  <c r="D390" i="3"/>
  <c r="C390" i="3"/>
  <c r="B390" i="3"/>
  <c r="Q389" i="3"/>
  <c r="O389" i="3"/>
  <c r="N389" i="3"/>
  <c r="M389" i="3"/>
  <c r="K389" i="3"/>
  <c r="J389" i="3"/>
  <c r="G389" i="3"/>
  <c r="F389" i="3"/>
  <c r="C389" i="3"/>
  <c r="B389" i="3"/>
  <c r="O388" i="3"/>
  <c r="N388" i="3"/>
  <c r="M388" i="3"/>
  <c r="L388" i="3"/>
  <c r="K388" i="3"/>
  <c r="J388" i="3"/>
  <c r="G388" i="3"/>
  <c r="F388" i="3"/>
  <c r="E388" i="3"/>
  <c r="D388" i="3"/>
  <c r="C388" i="3"/>
  <c r="Q388" i="3" s="1"/>
  <c r="B388" i="3"/>
  <c r="A388" i="3"/>
  <c r="O387" i="3"/>
  <c r="N387" i="3"/>
  <c r="M387" i="3"/>
  <c r="K387" i="3"/>
  <c r="J387" i="3"/>
  <c r="E387" i="3"/>
  <c r="D387" i="3"/>
  <c r="C387" i="3"/>
  <c r="B387" i="3" s="1"/>
  <c r="Q386" i="3"/>
  <c r="O386" i="3"/>
  <c r="N386" i="3"/>
  <c r="M386" i="3"/>
  <c r="K386" i="3"/>
  <c r="J386" i="3"/>
  <c r="G386" i="3"/>
  <c r="F386" i="3"/>
  <c r="D386" i="3"/>
  <c r="C386" i="3"/>
  <c r="E386" i="3" s="1"/>
  <c r="B386" i="3"/>
  <c r="A386" i="3"/>
  <c r="O385" i="3"/>
  <c r="N385" i="3"/>
  <c r="M385" i="3"/>
  <c r="L385" i="3"/>
  <c r="K385" i="3"/>
  <c r="J385" i="3"/>
  <c r="G385" i="3"/>
  <c r="F385" i="3"/>
  <c r="E385" i="3"/>
  <c r="D385" i="3"/>
  <c r="C385" i="3"/>
  <c r="Q385" i="3" s="1"/>
  <c r="B385" i="3"/>
  <c r="A385" i="3"/>
  <c r="Q384" i="3"/>
  <c r="O384" i="3"/>
  <c r="N384" i="3"/>
  <c r="M384" i="3"/>
  <c r="K384" i="3"/>
  <c r="J384" i="3"/>
  <c r="F384" i="3"/>
  <c r="E384" i="3"/>
  <c r="D384" i="3"/>
  <c r="C384" i="3"/>
  <c r="B384" i="3"/>
  <c r="O383" i="3"/>
  <c r="N383" i="3"/>
  <c r="M383" i="3"/>
  <c r="K383" i="3"/>
  <c r="J383" i="3"/>
  <c r="C383" i="3"/>
  <c r="O382" i="3"/>
  <c r="N382" i="3"/>
  <c r="M382" i="3"/>
  <c r="L382" i="3"/>
  <c r="K382" i="3"/>
  <c r="J382" i="3"/>
  <c r="G382" i="3"/>
  <c r="F382" i="3"/>
  <c r="E382" i="3"/>
  <c r="D382" i="3"/>
  <c r="C382" i="3"/>
  <c r="Q382" i="3" s="1"/>
  <c r="B382" i="3"/>
  <c r="A382" i="3"/>
  <c r="Q381" i="3"/>
  <c r="O381" i="3"/>
  <c r="N381" i="3"/>
  <c r="M381" i="3"/>
  <c r="L381" i="3"/>
  <c r="K381" i="3"/>
  <c r="J381" i="3"/>
  <c r="C381" i="3"/>
  <c r="B381" i="3"/>
  <c r="O380" i="3"/>
  <c r="N380" i="3"/>
  <c r="M380" i="3"/>
  <c r="K380" i="3"/>
  <c r="J380" i="3"/>
  <c r="C380" i="3"/>
  <c r="B380" i="3"/>
  <c r="O379" i="3"/>
  <c r="N379" i="3"/>
  <c r="M379" i="3"/>
  <c r="L379" i="3"/>
  <c r="K379" i="3"/>
  <c r="J379" i="3"/>
  <c r="G379" i="3"/>
  <c r="F379" i="3"/>
  <c r="E379" i="3"/>
  <c r="D379" i="3"/>
  <c r="C379" i="3"/>
  <c r="Q379" i="3" s="1"/>
  <c r="B379" i="3"/>
  <c r="A379" i="3"/>
  <c r="Q378" i="3"/>
  <c r="O378" i="3"/>
  <c r="N378" i="3"/>
  <c r="P378" i="3" s="1"/>
  <c r="T378" i="3" s="1"/>
  <c r="M378" i="3"/>
  <c r="K378" i="3"/>
  <c r="J378" i="3"/>
  <c r="F378" i="3"/>
  <c r="E378" i="3"/>
  <c r="C378" i="3"/>
  <c r="B378" i="3"/>
  <c r="Q377" i="3"/>
  <c r="O377" i="3"/>
  <c r="N377" i="3"/>
  <c r="M377" i="3"/>
  <c r="K377" i="3"/>
  <c r="J377" i="3"/>
  <c r="G377" i="3"/>
  <c r="F377" i="3"/>
  <c r="D377" i="3"/>
  <c r="C377" i="3"/>
  <c r="E377" i="3" s="1"/>
  <c r="B377" i="3"/>
  <c r="A377" i="3"/>
  <c r="O376" i="3"/>
  <c r="N376" i="3"/>
  <c r="M376" i="3"/>
  <c r="L376" i="3"/>
  <c r="K376" i="3"/>
  <c r="J376" i="3"/>
  <c r="G376" i="3"/>
  <c r="F376" i="3"/>
  <c r="E376" i="3"/>
  <c r="D376" i="3"/>
  <c r="C376" i="3"/>
  <c r="Q376" i="3" s="1"/>
  <c r="B376" i="3"/>
  <c r="A376" i="3"/>
  <c r="Q375" i="3"/>
  <c r="O375" i="3"/>
  <c r="N375" i="3"/>
  <c r="M375" i="3"/>
  <c r="K375" i="3"/>
  <c r="J375" i="3"/>
  <c r="F375" i="3"/>
  <c r="E375" i="3"/>
  <c r="D375" i="3"/>
  <c r="C375" i="3"/>
  <c r="B375" i="3"/>
  <c r="Q374" i="3"/>
  <c r="O374" i="3"/>
  <c r="N374" i="3"/>
  <c r="M374" i="3"/>
  <c r="L374" i="3"/>
  <c r="K374" i="3"/>
  <c r="J374" i="3"/>
  <c r="G374" i="3"/>
  <c r="D374" i="3"/>
  <c r="C374" i="3"/>
  <c r="B374" i="3"/>
  <c r="A374" i="3"/>
  <c r="O373" i="3"/>
  <c r="N373" i="3"/>
  <c r="M373" i="3"/>
  <c r="L373" i="3"/>
  <c r="K373" i="3"/>
  <c r="J373" i="3"/>
  <c r="G373" i="3"/>
  <c r="F373" i="3"/>
  <c r="E373" i="3"/>
  <c r="D373" i="3"/>
  <c r="C373" i="3"/>
  <c r="Q373" i="3" s="1"/>
  <c r="B373" i="3"/>
  <c r="A373" i="3"/>
  <c r="O372" i="3"/>
  <c r="N372" i="3"/>
  <c r="M372" i="3"/>
  <c r="K372" i="3"/>
  <c r="J372" i="3"/>
  <c r="C372" i="3"/>
  <c r="O371" i="3"/>
  <c r="N371" i="3"/>
  <c r="M371" i="3"/>
  <c r="K371" i="3"/>
  <c r="J371" i="3"/>
  <c r="F371" i="3"/>
  <c r="D371" i="3"/>
  <c r="C371" i="3"/>
  <c r="B371" i="3" s="1"/>
  <c r="O370" i="3"/>
  <c r="N370" i="3"/>
  <c r="M370" i="3"/>
  <c r="L370" i="3"/>
  <c r="K370" i="3"/>
  <c r="J370" i="3"/>
  <c r="G370" i="3"/>
  <c r="F370" i="3"/>
  <c r="E370" i="3"/>
  <c r="D370" i="3"/>
  <c r="C370" i="3"/>
  <c r="Q370" i="3" s="1"/>
  <c r="B370" i="3"/>
  <c r="A370" i="3"/>
  <c r="O369" i="3"/>
  <c r="N369" i="3"/>
  <c r="M369" i="3"/>
  <c r="K369" i="3"/>
  <c r="J369" i="3"/>
  <c r="C369" i="3"/>
  <c r="B369" i="3"/>
  <c r="Q368" i="3"/>
  <c r="O368" i="3"/>
  <c r="N368" i="3"/>
  <c r="M368" i="3"/>
  <c r="K368" i="3"/>
  <c r="J368" i="3"/>
  <c r="G368" i="3"/>
  <c r="F368" i="3"/>
  <c r="D368" i="3"/>
  <c r="C368" i="3"/>
  <c r="E368" i="3" s="1"/>
  <c r="B368" i="3"/>
  <c r="A368" i="3"/>
  <c r="O367" i="3"/>
  <c r="N367" i="3"/>
  <c r="M367" i="3"/>
  <c r="L367" i="3"/>
  <c r="K367" i="3"/>
  <c r="J367" i="3"/>
  <c r="G367" i="3"/>
  <c r="F367" i="3"/>
  <c r="E367" i="3"/>
  <c r="D367" i="3"/>
  <c r="C367" i="3"/>
  <c r="Q367" i="3" s="1"/>
  <c r="B367" i="3"/>
  <c r="A367" i="3"/>
  <c r="Q366" i="3"/>
  <c r="O366" i="3"/>
  <c r="N366" i="3"/>
  <c r="M366" i="3"/>
  <c r="K366" i="3"/>
  <c r="J366" i="3"/>
  <c r="F366" i="3"/>
  <c r="E366" i="3"/>
  <c r="D366" i="3"/>
  <c r="C366" i="3"/>
  <c r="B366" i="3"/>
  <c r="Q365" i="3"/>
  <c r="O365" i="3"/>
  <c r="N365" i="3"/>
  <c r="M365" i="3"/>
  <c r="L365" i="3"/>
  <c r="K365" i="3"/>
  <c r="J365" i="3"/>
  <c r="C365" i="3"/>
  <c r="B365" i="3"/>
  <c r="A365" i="3"/>
  <c r="O364" i="3"/>
  <c r="N364" i="3"/>
  <c r="M364" i="3"/>
  <c r="L364" i="3"/>
  <c r="K364" i="3"/>
  <c r="J364" i="3"/>
  <c r="G364" i="3"/>
  <c r="F364" i="3"/>
  <c r="E364" i="3"/>
  <c r="D364" i="3"/>
  <c r="C364" i="3"/>
  <c r="Q364" i="3" s="1"/>
  <c r="B364" i="3"/>
  <c r="A364" i="3"/>
  <c r="Q363" i="3"/>
  <c r="O363" i="3"/>
  <c r="N363" i="3"/>
  <c r="M363" i="3"/>
  <c r="L363" i="3"/>
  <c r="K363" i="3"/>
  <c r="J363" i="3"/>
  <c r="F363" i="3"/>
  <c r="D363" i="3"/>
  <c r="C363" i="3"/>
  <c r="B363" i="3"/>
  <c r="A363" i="3"/>
  <c r="O362" i="3"/>
  <c r="N362" i="3"/>
  <c r="M362" i="3"/>
  <c r="L362" i="3"/>
  <c r="K362" i="3"/>
  <c r="J362" i="3"/>
  <c r="G362" i="3"/>
  <c r="F362" i="3"/>
  <c r="E362" i="3"/>
  <c r="D362" i="3"/>
  <c r="C362" i="3"/>
  <c r="Q362" i="3" s="1"/>
  <c r="B362" i="3"/>
  <c r="A362" i="3"/>
  <c r="Q361" i="3"/>
  <c r="O361" i="3"/>
  <c r="N361" i="3"/>
  <c r="M361" i="3"/>
  <c r="K361" i="3"/>
  <c r="J361" i="3"/>
  <c r="F361" i="3"/>
  <c r="E361" i="3"/>
  <c r="D361" i="3"/>
  <c r="C361" i="3"/>
  <c r="B361" i="3"/>
  <c r="Q360" i="3"/>
  <c r="O360" i="3"/>
  <c r="N360" i="3"/>
  <c r="M360" i="3"/>
  <c r="K360" i="3"/>
  <c r="J360" i="3"/>
  <c r="G360" i="3"/>
  <c r="C360" i="3"/>
  <c r="E360" i="3" s="1"/>
  <c r="B360" i="3"/>
  <c r="A360" i="3"/>
  <c r="O359" i="3"/>
  <c r="N359" i="3"/>
  <c r="M359" i="3"/>
  <c r="L359" i="3"/>
  <c r="K359" i="3"/>
  <c r="J359" i="3"/>
  <c r="G359" i="3"/>
  <c r="F359" i="3"/>
  <c r="E359" i="3"/>
  <c r="D359" i="3"/>
  <c r="C359" i="3"/>
  <c r="Q359" i="3" s="1"/>
  <c r="B359" i="3"/>
  <c r="A359" i="3"/>
  <c r="Q358" i="3"/>
  <c r="O358" i="3"/>
  <c r="N358" i="3"/>
  <c r="M358" i="3"/>
  <c r="K358" i="3"/>
  <c r="J358" i="3"/>
  <c r="F358" i="3"/>
  <c r="C358" i="3"/>
  <c r="B358" i="3"/>
  <c r="O357" i="3"/>
  <c r="N357" i="3"/>
  <c r="M357" i="3"/>
  <c r="K357" i="3"/>
  <c r="J357" i="3"/>
  <c r="C357" i="3"/>
  <c r="L357" i="3" s="1"/>
  <c r="O356" i="3"/>
  <c r="N356" i="3"/>
  <c r="M356" i="3"/>
  <c r="L356" i="3"/>
  <c r="K356" i="3"/>
  <c r="J356" i="3"/>
  <c r="G356" i="3"/>
  <c r="F356" i="3"/>
  <c r="E356" i="3"/>
  <c r="D356" i="3"/>
  <c r="C356" i="3"/>
  <c r="Q356" i="3" s="1"/>
  <c r="B356" i="3"/>
  <c r="A356" i="3"/>
  <c r="O355" i="3"/>
  <c r="N355" i="3"/>
  <c r="M355" i="3"/>
  <c r="L355" i="3"/>
  <c r="K355" i="3"/>
  <c r="J355" i="3"/>
  <c r="C355" i="3"/>
  <c r="Q354" i="3"/>
  <c r="O354" i="3"/>
  <c r="N354" i="3"/>
  <c r="P354" i="3" s="1"/>
  <c r="T354" i="3" s="1"/>
  <c r="M354" i="3"/>
  <c r="K354" i="3"/>
  <c r="J354" i="3"/>
  <c r="G354" i="3"/>
  <c r="F354" i="3"/>
  <c r="D354" i="3"/>
  <c r="C354" i="3"/>
  <c r="E354" i="3" s="1"/>
  <c r="B354" i="3"/>
  <c r="A354" i="3"/>
  <c r="O353" i="3"/>
  <c r="N353" i="3"/>
  <c r="M353" i="3"/>
  <c r="L353" i="3"/>
  <c r="K353" i="3"/>
  <c r="J353" i="3"/>
  <c r="G353" i="3"/>
  <c r="F353" i="3"/>
  <c r="E353" i="3"/>
  <c r="D353" i="3"/>
  <c r="C353" i="3"/>
  <c r="Q353" i="3" s="1"/>
  <c r="B353" i="3"/>
  <c r="A353" i="3"/>
  <c r="Q352" i="3"/>
  <c r="O352" i="3"/>
  <c r="N352" i="3"/>
  <c r="M352" i="3"/>
  <c r="K352" i="3"/>
  <c r="J352" i="3"/>
  <c r="F352" i="3"/>
  <c r="E352" i="3"/>
  <c r="D352" i="3"/>
  <c r="C352" i="3"/>
  <c r="B352" i="3"/>
  <c r="Q351" i="3"/>
  <c r="O351" i="3"/>
  <c r="N351" i="3"/>
  <c r="M351" i="3"/>
  <c r="K351" i="3"/>
  <c r="J351" i="3"/>
  <c r="G351" i="3"/>
  <c r="C351" i="3"/>
  <c r="E351" i="3" s="1"/>
  <c r="B351" i="3"/>
  <c r="A351" i="3"/>
  <c r="O350" i="3"/>
  <c r="N350" i="3"/>
  <c r="M350" i="3"/>
  <c r="L350" i="3"/>
  <c r="K350" i="3"/>
  <c r="J350" i="3"/>
  <c r="G350" i="3"/>
  <c r="F350" i="3"/>
  <c r="E350" i="3"/>
  <c r="D350" i="3"/>
  <c r="C350" i="3"/>
  <c r="Q350" i="3" s="1"/>
  <c r="B350" i="3"/>
  <c r="A350" i="3"/>
  <c r="Q349" i="3"/>
  <c r="O349" i="3"/>
  <c r="N349" i="3"/>
  <c r="M349" i="3"/>
  <c r="K349" i="3"/>
  <c r="J349" i="3"/>
  <c r="F349" i="3"/>
  <c r="C349" i="3"/>
  <c r="B349" i="3"/>
  <c r="O348" i="3"/>
  <c r="N348" i="3"/>
  <c r="M348" i="3"/>
  <c r="L348" i="3"/>
  <c r="K348" i="3"/>
  <c r="J348" i="3"/>
  <c r="C348" i="3"/>
  <c r="O347" i="3"/>
  <c r="N347" i="3"/>
  <c r="M347" i="3"/>
  <c r="L347" i="3"/>
  <c r="K347" i="3"/>
  <c r="J347" i="3"/>
  <c r="G347" i="3"/>
  <c r="F347" i="3"/>
  <c r="E347" i="3"/>
  <c r="D347" i="3"/>
  <c r="C347" i="3"/>
  <c r="Q347" i="3" s="1"/>
  <c r="B347" i="3"/>
  <c r="A347" i="3"/>
  <c r="O346" i="3"/>
  <c r="N346" i="3"/>
  <c r="M346" i="3"/>
  <c r="K346" i="3"/>
  <c r="J346" i="3"/>
  <c r="C346" i="3"/>
  <c r="L346" i="3" s="1"/>
  <c r="Q345" i="3"/>
  <c r="O345" i="3"/>
  <c r="N345" i="3"/>
  <c r="M345" i="3"/>
  <c r="K345" i="3"/>
  <c r="J345" i="3"/>
  <c r="G345" i="3"/>
  <c r="F345" i="3"/>
  <c r="D345" i="3"/>
  <c r="C345" i="3"/>
  <c r="E345" i="3" s="1"/>
  <c r="B345" i="3"/>
  <c r="A345" i="3"/>
  <c r="O344" i="3"/>
  <c r="N344" i="3"/>
  <c r="M344" i="3"/>
  <c r="L344" i="3"/>
  <c r="K344" i="3"/>
  <c r="J344" i="3"/>
  <c r="G344" i="3"/>
  <c r="F344" i="3"/>
  <c r="E344" i="3"/>
  <c r="D344" i="3"/>
  <c r="C344" i="3"/>
  <c r="Q344" i="3" s="1"/>
  <c r="B344" i="3"/>
  <c r="A344" i="3"/>
  <c r="Q343" i="3"/>
  <c r="O343" i="3"/>
  <c r="N343" i="3"/>
  <c r="M343" i="3"/>
  <c r="K343" i="3"/>
  <c r="J343" i="3"/>
  <c r="F343" i="3"/>
  <c r="E343" i="3"/>
  <c r="D343" i="3"/>
  <c r="C343" i="3"/>
  <c r="B343" i="3"/>
  <c r="Q342" i="3"/>
  <c r="O342" i="3"/>
  <c r="N342" i="3"/>
  <c r="M342" i="3"/>
  <c r="K342" i="3"/>
  <c r="J342" i="3"/>
  <c r="G342" i="3"/>
  <c r="C342" i="3"/>
  <c r="E342" i="3" s="1"/>
  <c r="B342" i="3"/>
  <c r="A342" i="3"/>
  <c r="O341" i="3"/>
  <c r="N341" i="3"/>
  <c r="M341" i="3"/>
  <c r="L341" i="3"/>
  <c r="K341" i="3"/>
  <c r="J341" i="3"/>
  <c r="G341" i="3"/>
  <c r="F341" i="3"/>
  <c r="E341" i="3"/>
  <c r="D341" i="3"/>
  <c r="C341" i="3"/>
  <c r="Q341" i="3" s="1"/>
  <c r="B341" i="3"/>
  <c r="A341" i="3"/>
  <c r="Q340" i="3"/>
  <c r="O340" i="3"/>
  <c r="N340" i="3"/>
  <c r="M340" i="3"/>
  <c r="K340" i="3"/>
  <c r="J340" i="3"/>
  <c r="F340" i="3"/>
  <c r="C340" i="3"/>
  <c r="B340" i="3"/>
  <c r="O339" i="3"/>
  <c r="N339" i="3"/>
  <c r="M339" i="3"/>
  <c r="L339" i="3"/>
  <c r="K339" i="3"/>
  <c r="J339" i="3"/>
  <c r="C339" i="3"/>
  <c r="O338" i="3"/>
  <c r="N338" i="3"/>
  <c r="M338" i="3"/>
  <c r="L338" i="3"/>
  <c r="K338" i="3"/>
  <c r="J338" i="3"/>
  <c r="G338" i="3"/>
  <c r="F338" i="3"/>
  <c r="E338" i="3"/>
  <c r="D338" i="3"/>
  <c r="C338" i="3"/>
  <c r="Q338" i="3" s="1"/>
  <c r="B338" i="3"/>
  <c r="A338" i="3"/>
  <c r="O337" i="3"/>
  <c r="N337" i="3"/>
  <c r="M337" i="3"/>
  <c r="K337" i="3"/>
  <c r="J337" i="3"/>
  <c r="C337" i="3"/>
  <c r="Q336" i="3"/>
  <c r="O336" i="3"/>
  <c r="N336" i="3"/>
  <c r="M336" i="3"/>
  <c r="K336" i="3"/>
  <c r="J336" i="3"/>
  <c r="G336" i="3"/>
  <c r="F336" i="3"/>
  <c r="D336" i="3"/>
  <c r="C336" i="3"/>
  <c r="E336" i="3" s="1"/>
  <c r="B336" i="3"/>
  <c r="A336" i="3"/>
  <c r="O335" i="3"/>
  <c r="N335" i="3"/>
  <c r="M335" i="3"/>
  <c r="L335" i="3"/>
  <c r="K335" i="3"/>
  <c r="J335" i="3"/>
  <c r="G335" i="3"/>
  <c r="F335" i="3"/>
  <c r="E335" i="3"/>
  <c r="D335" i="3"/>
  <c r="C335" i="3"/>
  <c r="Q335" i="3" s="1"/>
  <c r="B335" i="3"/>
  <c r="A335" i="3"/>
  <c r="Q334" i="3"/>
  <c r="O334" i="3"/>
  <c r="N334" i="3"/>
  <c r="M334" i="3"/>
  <c r="K334" i="3"/>
  <c r="J334" i="3"/>
  <c r="F334" i="3"/>
  <c r="E334" i="3"/>
  <c r="D334" i="3"/>
  <c r="C334" i="3"/>
  <c r="B334" i="3"/>
  <c r="Q333" i="3"/>
  <c r="O333" i="3"/>
  <c r="N333" i="3"/>
  <c r="M333" i="3"/>
  <c r="K333" i="3"/>
  <c r="J333" i="3"/>
  <c r="G333" i="3"/>
  <c r="C333" i="3"/>
  <c r="E333" i="3" s="1"/>
  <c r="B333" i="3"/>
  <c r="A333" i="3"/>
  <c r="O332" i="3"/>
  <c r="N332" i="3"/>
  <c r="M332" i="3"/>
  <c r="L332" i="3"/>
  <c r="K332" i="3"/>
  <c r="J332" i="3"/>
  <c r="G332" i="3"/>
  <c r="F332" i="3"/>
  <c r="E332" i="3"/>
  <c r="D332" i="3"/>
  <c r="C332" i="3"/>
  <c r="Q332" i="3" s="1"/>
  <c r="B332" i="3"/>
  <c r="A332" i="3"/>
  <c r="Q331" i="3"/>
  <c r="O331" i="3"/>
  <c r="N331" i="3"/>
  <c r="M331" i="3"/>
  <c r="K331" i="3"/>
  <c r="J331" i="3"/>
  <c r="F331" i="3"/>
  <c r="C331" i="3"/>
  <c r="B331" i="3"/>
  <c r="O330" i="3"/>
  <c r="N330" i="3"/>
  <c r="M330" i="3"/>
  <c r="K330" i="3"/>
  <c r="J330" i="3"/>
  <c r="C330" i="3"/>
  <c r="L330" i="3" s="1"/>
  <c r="O329" i="3"/>
  <c r="N329" i="3"/>
  <c r="M329" i="3"/>
  <c r="L329" i="3"/>
  <c r="K329" i="3"/>
  <c r="J329" i="3"/>
  <c r="G329" i="3"/>
  <c r="F329" i="3"/>
  <c r="E329" i="3"/>
  <c r="D329" i="3"/>
  <c r="C329" i="3"/>
  <c r="Q329" i="3" s="1"/>
  <c r="B329" i="3"/>
  <c r="A329" i="3"/>
  <c r="O328" i="3"/>
  <c r="N328" i="3"/>
  <c r="M328" i="3"/>
  <c r="L328" i="3"/>
  <c r="K328" i="3"/>
  <c r="J328" i="3"/>
  <c r="C328" i="3"/>
  <c r="Q327" i="3"/>
  <c r="O327" i="3"/>
  <c r="N327" i="3"/>
  <c r="M327" i="3"/>
  <c r="K327" i="3"/>
  <c r="J327" i="3"/>
  <c r="G327" i="3"/>
  <c r="F327" i="3"/>
  <c r="D327" i="3"/>
  <c r="C327" i="3"/>
  <c r="E327" i="3" s="1"/>
  <c r="B327" i="3"/>
  <c r="A327" i="3"/>
  <c r="O326" i="3"/>
  <c r="N326" i="3"/>
  <c r="M326" i="3"/>
  <c r="L326" i="3"/>
  <c r="K326" i="3"/>
  <c r="J326" i="3"/>
  <c r="G326" i="3"/>
  <c r="F326" i="3"/>
  <c r="E326" i="3"/>
  <c r="D326" i="3"/>
  <c r="C326" i="3"/>
  <c r="Q326" i="3" s="1"/>
  <c r="B326" i="3"/>
  <c r="A326" i="3"/>
  <c r="Q325" i="3"/>
  <c r="O325" i="3"/>
  <c r="N325" i="3"/>
  <c r="M325" i="3"/>
  <c r="K325" i="3"/>
  <c r="J325" i="3"/>
  <c r="F325" i="3"/>
  <c r="E325" i="3"/>
  <c r="D325" i="3"/>
  <c r="C325" i="3"/>
  <c r="B325" i="3"/>
  <c r="Q324" i="3"/>
  <c r="O324" i="3"/>
  <c r="N324" i="3"/>
  <c r="M324" i="3"/>
  <c r="K324" i="3"/>
  <c r="J324" i="3"/>
  <c r="G324" i="3"/>
  <c r="C324" i="3"/>
  <c r="E324" i="3" s="1"/>
  <c r="B324" i="3"/>
  <c r="A324" i="3"/>
  <c r="O323" i="3"/>
  <c r="N323" i="3"/>
  <c r="M323" i="3"/>
  <c r="L323" i="3"/>
  <c r="K323" i="3"/>
  <c r="J323" i="3"/>
  <c r="G323" i="3"/>
  <c r="F323" i="3"/>
  <c r="E323" i="3"/>
  <c r="D323" i="3"/>
  <c r="C323" i="3"/>
  <c r="Q323" i="3" s="1"/>
  <c r="B323" i="3"/>
  <c r="A323" i="3"/>
  <c r="Q322" i="3"/>
  <c r="O322" i="3"/>
  <c r="N322" i="3"/>
  <c r="M322" i="3"/>
  <c r="K322" i="3"/>
  <c r="J322" i="3"/>
  <c r="F322" i="3"/>
  <c r="C322" i="3"/>
  <c r="B322" i="3"/>
  <c r="O321" i="3"/>
  <c r="N321" i="3"/>
  <c r="M321" i="3"/>
  <c r="L321" i="3"/>
  <c r="K321" i="3"/>
  <c r="J321" i="3"/>
  <c r="C321" i="3"/>
  <c r="O320" i="3"/>
  <c r="N320" i="3"/>
  <c r="M320" i="3"/>
  <c r="L320" i="3"/>
  <c r="K320" i="3"/>
  <c r="J320" i="3"/>
  <c r="G320" i="3"/>
  <c r="F320" i="3"/>
  <c r="E320" i="3"/>
  <c r="D320" i="3"/>
  <c r="C320" i="3"/>
  <c r="Q320" i="3" s="1"/>
  <c r="B320" i="3"/>
  <c r="A320" i="3"/>
  <c r="O319" i="3"/>
  <c r="N319" i="3"/>
  <c r="M319" i="3"/>
  <c r="K319" i="3"/>
  <c r="J319" i="3"/>
  <c r="C319" i="3"/>
  <c r="L319" i="3" s="1"/>
  <c r="Q318" i="3"/>
  <c r="O318" i="3"/>
  <c r="N318" i="3"/>
  <c r="M318" i="3"/>
  <c r="K318" i="3"/>
  <c r="J318" i="3"/>
  <c r="G318" i="3"/>
  <c r="F318" i="3"/>
  <c r="D318" i="3"/>
  <c r="C318" i="3"/>
  <c r="E318" i="3" s="1"/>
  <c r="B318" i="3"/>
  <c r="A318" i="3"/>
  <c r="O317" i="3"/>
  <c r="N317" i="3"/>
  <c r="M317" i="3"/>
  <c r="L317" i="3"/>
  <c r="K317" i="3"/>
  <c r="J317" i="3"/>
  <c r="G317" i="3"/>
  <c r="F317" i="3"/>
  <c r="E317" i="3"/>
  <c r="D317" i="3"/>
  <c r="C317" i="3"/>
  <c r="Q317" i="3" s="1"/>
  <c r="B317" i="3"/>
  <c r="A317" i="3"/>
  <c r="Q316" i="3"/>
  <c r="O316" i="3"/>
  <c r="N316" i="3"/>
  <c r="M316" i="3"/>
  <c r="K316" i="3"/>
  <c r="J316" i="3"/>
  <c r="F316" i="3"/>
  <c r="E316" i="3"/>
  <c r="D316" i="3"/>
  <c r="C316" i="3"/>
  <c r="B316" i="3"/>
  <c r="Q315" i="3"/>
  <c r="O315" i="3"/>
  <c r="N315" i="3"/>
  <c r="M315" i="3"/>
  <c r="K315" i="3"/>
  <c r="J315" i="3"/>
  <c r="G315" i="3"/>
  <c r="C315" i="3"/>
  <c r="E315" i="3" s="1"/>
  <c r="B315" i="3"/>
  <c r="A315" i="3"/>
  <c r="O314" i="3"/>
  <c r="N314" i="3"/>
  <c r="M314" i="3"/>
  <c r="L314" i="3"/>
  <c r="K314" i="3"/>
  <c r="J314" i="3"/>
  <c r="G314" i="3"/>
  <c r="F314" i="3"/>
  <c r="E314" i="3"/>
  <c r="D314" i="3"/>
  <c r="C314" i="3"/>
  <c r="Q314" i="3" s="1"/>
  <c r="B314" i="3"/>
  <c r="A314" i="3"/>
  <c r="Q313" i="3"/>
  <c r="O313" i="3"/>
  <c r="N313" i="3"/>
  <c r="M313" i="3"/>
  <c r="K313" i="3"/>
  <c r="J313" i="3"/>
  <c r="F313" i="3"/>
  <c r="C313" i="3"/>
  <c r="B313" i="3"/>
  <c r="O312" i="3"/>
  <c r="N312" i="3"/>
  <c r="M312" i="3"/>
  <c r="L312" i="3"/>
  <c r="K312" i="3"/>
  <c r="J312" i="3"/>
  <c r="C312" i="3"/>
  <c r="O311" i="3"/>
  <c r="N311" i="3"/>
  <c r="M311" i="3"/>
  <c r="L311" i="3"/>
  <c r="K311" i="3"/>
  <c r="J311" i="3"/>
  <c r="G311" i="3"/>
  <c r="F311" i="3"/>
  <c r="E311" i="3"/>
  <c r="D311" i="3"/>
  <c r="C311" i="3"/>
  <c r="Q311" i="3" s="1"/>
  <c r="B311" i="3"/>
  <c r="A311" i="3"/>
  <c r="O310" i="3"/>
  <c r="N310" i="3"/>
  <c r="M310" i="3"/>
  <c r="K310" i="3"/>
  <c r="J310" i="3"/>
  <c r="D310" i="3"/>
  <c r="C310" i="3"/>
  <c r="L310" i="3" s="1"/>
  <c r="Q309" i="3"/>
  <c r="O309" i="3"/>
  <c r="N309" i="3"/>
  <c r="M309" i="3"/>
  <c r="K309" i="3"/>
  <c r="J309" i="3"/>
  <c r="G309" i="3"/>
  <c r="F309" i="3"/>
  <c r="D309" i="3"/>
  <c r="C309" i="3"/>
  <c r="E309" i="3" s="1"/>
  <c r="B309" i="3"/>
  <c r="A309" i="3"/>
  <c r="O308" i="3"/>
  <c r="N308" i="3"/>
  <c r="M308" i="3"/>
  <c r="L308" i="3"/>
  <c r="K308" i="3"/>
  <c r="J308" i="3"/>
  <c r="G308" i="3"/>
  <c r="F308" i="3"/>
  <c r="E308" i="3"/>
  <c r="D308" i="3"/>
  <c r="C308" i="3"/>
  <c r="Q308" i="3" s="1"/>
  <c r="B308" i="3"/>
  <c r="A308" i="3"/>
  <c r="Q307" i="3"/>
  <c r="O307" i="3"/>
  <c r="N307" i="3"/>
  <c r="M307" i="3"/>
  <c r="K307" i="3"/>
  <c r="J307" i="3"/>
  <c r="F307" i="3"/>
  <c r="E307" i="3"/>
  <c r="D307" i="3"/>
  <c r="C307" i="3"/>
  <c r="B307" i="3"/>
  <c r="Q306" i="3"/>
  <c r="O306" i="3"/>
  <c r="N306" i="3"/>
  <c r="P306" i="3" s="1"/>
  <c r="T306" i="3" s="1"/>
  <c r="M306" i="3"/>
  <c r="K306" i="3"/>
  <c r="J306" i="3"/>
  <c r="G306" i="3"/>
  <c r="C306" i="3"/>
  <c r="E306" i="3" s="1"/>
  <c r="B306" i="3"/>
  <c r="A306" i="3"/>
  <c r="O305" i="3"/>
  <c r="N305" i="3"/>
  <c r="M305" i="3"/>
  <c r="L305" i="3"/>
  <c r="K305" i="3"/>
  <c r="J305" i="3"/>
  <c r="G305" i="3"/>
  <c r="F305" i="3"/>
  <c r="E305" i="3"/>
  <c r="D305" i="3"/>
  <c r="C305" i="3"/>
  <c r="Q305" i="3" s="1"/>
  <c r="B305" i="3"/>
  <c r="A305" i="3"/>
  <c r="Q304" i="3"/>
  <c r="O304" i="3"/>
  <c r="N304" i="3"/>
  <c r="P304" i="3" s="1"/>
  <c r="T304" i="3" s="1"/>
  <c r="M304" i="3"/>
  <c r="K304" i="3"/>
  <c r="J304" i="3"/>
  <c r="F304" i="3"/>
  <c r="C304" i="3"/>
  <c r="B304" i="3"/>
  <c r="O303" i="3"/>
  <c r="N303" i="3"/>
  <c r="P303" i="3" s="1"/>
  <c r="T303" i="3" s="1"/>
  <c r="M303" i="3"/>
  <c r="K303" i="3"/>
  <c r="J303" i="3"/>
  <c r="C303" i="3"/>
  <c r="D303" i="3" s="1"/>
  <c r="O302" i="3"/>
  <c r="N302" i="3"/>
  <c r="M302" i="3"/>
  <c r="L302" i="3"/>
  <c r="K302" i="3"/>
  <c r="J302" i="3"/>
  <c r="G302" i="3"/>
  <c r="F302" i="3"/>
  <c r="E302" i="3"/>
  <c r="D302" i="3"/>
  <c r="C302" i="3"/>
  <c r="Q302" i="3" s="1"/>
  <c r="B302" i="3"/>
  <c r="A302" i="3"/>
  <c r="O301" i="3"/>
  <c r="N301" i="3"/>
  <c r="M301" i="3"/>
  <c r="L301" i="3"/>
  <c r="K301" i="3"/>
  <c r="J301" i="3"/>
  <c r="D301" i="3"/>
  <c r="C301" i="3"/>
  <c r="Q300" i="3"/>
  <c r="O300" i="3"/>
  <c r="N300" i="3"/>
  <c r="M300" i="3"/>
  <c r="K300" i="3"/>
  <c r="J300" i="3"/>
  <c r="G300" i="3"/>
  <c r="F300" i="3"/>
  <c r="D300" i="3"/>
  <c r="C300" i="3"/>
  <c r="E300" i="3" s="1"/>
  <c r="B300" i="3"/>
  <c r="A300" i="3"/>
  <c r="O299" i="3"/>
  <c r="N299" i="3"/>
  <c r="M299" i="3"/>
  <c r="L299" i="3"/>
  <c r="K299" i="3"/>
  <c r="J299" i="3"/>
  <c r="G299" i="3"/>
  <c r="F299" i="3"/>
  <c r="E299" i="3"/>
  <c r="D299" i="3"/>
  <c r="C299" i="3"/>
  <c r="Q299" i="3" s="1"/>
  <c r="B299" i="3"/>
  <c r="A299" i="3"/>
  <c r="Q298" i="3"/>
  <c r="O298" i="3"/>
  <c r="N298" i="3"/>
  <c r="M298" i="3"/>
  <c r="K298" i="3"/>
  <c r="J298" i="3"/>
  <c r="F298" i="3"/>
  <c r="E298" i="3"/>
  <c r="D298" i="3"/>
  <c r="C298" i="3"/>
  <c r="B298" i="3"/>
  <c r="Q297" i="3"/>
  <c r="O297" i="3"/>
  <c r="N297" i="3"/>
  <c r="M297" i="3"/>
  <c r="K297" i="3"/>
  <c r="J297" i="3"/>
  <c r="G297" i="3"/>
  <c r="C297" i="3"/>
  <c r="E297" i="3" s="1"/>
  <c r="B297" i="3"/>
  <c r="A297" i="3"/>
  <c r="O296" i="3"/>
  <c r="N296" i="3"/>
  <c r="M296" i="3"/>
  <c r="L296" i="3"/>
  <c r="K296" i="3"/>
  <c r="J296" i="3"/>
  <c r="G296" i="3"/>
  <c r="F296" i="3"/>
  <c r="E296" i="3"/>
  <c r="D296" i="3"/>
  <c r="C296" i="3"/>
  <c r="Q296" i="3" s="1"/>
  <c r="B296" i="3"/>
  <c r="A296" i="3"/>
  <c r="Q295" i="3"/>
  <c r="O295" i="3"/>
  <c r="N295" i="3"/>
  <c r="M295" i="3"/>
  <c r="K295" i="3"/>
  <c r="J295" i="3"/>
  <c r="F295" i="3"/>
  <c r="C295" i="3"/>
  <c r="B295" i="3"/>
  <c r="O294" i="3"/>
  <c r="N294" i="3"/>
  <c r="M294" i="3"/>
  <c r="K294" i="3"/>
  <c r="J294" i="3"/>
  <c r="D294" i="3"/>
  <c r="C294" i="3"/>
  <c r="L294" i="3" s="1"/>
  <c r="O293" i="3"/>
  <c r="N293" i="3"/>
  <c r="M293" i="3"/>
  <c r="L293" i="3"/>
  <c r="K293" i="3"/>
  <c r="J293" i="3"/>
  <c r="G293" i="3"/>
  <c r="F293" i="3"/>
  <c r="E293" i="3"/>
  <c r="D293" i="3"/>
  <c r="C293" i="3"/>
  <c r="Q293" i="3" s="1"/>
  <c r="B293" i="3"/>
  <c r="A293" i="3"/>
  <c r="O292" i="3"/>
  <c r="N292" i="3"/>
  <c r="M292" i="3"/>
  <c r="L292" i="3"/>
  <c r="K292" i="3"/>
  <c r="J292" i="3"/>
  <c r="C292" i="3"/>
  <c r="Q291" i="3"/>
  <c r="O291" i="3"/>
  <c r="N291" i="3"/>
  <c r="M291" i="3"/>
  <c r="K291" i="3"/>
  <c r="J291" i="3"/>
  <c r="G291" i="3"/>
  <c r="F291" i="3"/>
  <c r="D291" i="3"/>
  <c r="C291" i="3"/>
  <c r="E291" i="3" s="1"/>
  <c r="B291" i="3"/>
  <c r="A291" i="3"/>
  <c r="O290" i="3"/>
  <c r="P290" i="3" s="1"/>
  <c r="T290" i="3" s="1"/>
  <c r="N290" i="3"/>
  <c r="M290" i="3"/>
  <c r="L290" i="3"/>
  <c r="K290" i="3"/>
  <c r="J290" i="3"/>
  <c r="G290" i="3"/>
  <c r="F290" i="3"/>
  <c r="E290" i="3"/>
  <c r="D290" i="3"/>
  <c r="C290" i="3"/>
  <c r="Q290" i="3" s="1"/>
  <c r="B290" i="3"/>
  <c r="A290" i="3"/>
  <c r="Q289" i="3"/>
  <c r="O289" i="3"/>
  <c r="N289" i="3"/>
  <c r="M289" i="3"/>
  <c r="K289" i="3"/>
  <c r="J289" i="3"/>
  <c r="F289" i="3"/>
  <c r="E289" i="3"/>
  <c r="D289" i="3"/>
  <c r="C289" i="3"/>
  <c r="B289" i="3"/>
  <c r="Q288" i="3"/>
  <c r="O288" i="3"/>
  <c r="N288" i="3"/>
  <c r="M288" i="3"/>
  <c r="K288" i="3"/>
  <c r="J288" i="3"/>
  <c r="G288" i="3"/>
  <c r="C288" i="3"/>
  <c r="E288" i="3" s="1"/>
  <c r="B288" i="3"/>
  <c r="A288" i="3"/>
  <c r="O287" i="3"/>
  <c r="N287" i="3"/>
  <c r="M287" i="3"/>
  <c r="L287" i="3"/>
  <c r="K287" i="3"/>
  <c r="J287" i="3"/>
  <c r="G287" i="3"/>
  <c r="F287" i="3"/>
  <c r="E287" i="3"/>
  <c r="D287" i="3"/>
  <c r="C287" i="3"/>
  <c r="Q287" i="3" s="1"/>
  <c r="B287" i="3"/>
  <c r="A287" i="3"/>
  <c r="Q286" i="3"/>
  <c r="O286" i="3"/>
  <c r="N286" i="3"/>
  <c r="M286" i="3"/>
  <c r="K286" i="3"/>
  <c r="J286" i="3"/>
  <c r="F286" i="3"/>
  <c r="C286" i="3"/>
  <c r="B286" i="3"/>
  <c r="O285" i="3"/>
  <c r="N285" i="3"/>
  <c r="M285" i="3"/>
  <c r="K285" i="3"/>
  <c r="J285" i="3"/>
  <c r="D285" i="3"/>
  <c r="C285" i="3"/>
  <c r="L285" i="3" s="1"/>
  <c r="O284" i="3"/>
  <c r="N284" i="3"/>
  <c r="M284" i="3"/>
  <c r="L284" i="3"/>
  <c r="K284" i="3"/>
  <c r="J284" i="3"/>
  <c r="G284" i="3"/>
  <c r="F284" i="3"/>
  <c r="E284" i="3"/>
  <c r="D284" i="3"/>
  <c r="C284" i="3"/>
  <c r="Q284" i="3" s="1"/>
  <c r="B284" i="3"/>
  <c r="A284" i="3"/>
  <c r="O283" i="3"/>
  <c r="N283" i="3"/>
  <c r="M283" i="3"/>
  <c r="K283" i="3"/>
  <c r="J283" i="3"/>
  <c r="C283" i="3"/>
  <c r="D283" i="3" s="1"/>
  <c r="Q282" i="3"/>
  <c r="O282" i="3"/>
  <c r="N282" i="3"/>
  <c r="M282" i="3"/>
  <c r="K282" i="3"/>
  <c r="J282" i="3"/>
  <c r="G282" i="3"/>
  <c r="F282" i="3"/>
  <c r="D282" i="3"/>
  <c r="C282" i="3"/>
  <c r="E282" i="3" s="1"/>
  <c r="B282" i="3"/>
  <c r="A282" i="3"/>
  <c r="O281" i="3"/>
  <c r="N281" i="3"/>
  <c r="P281" i="3" s="1"/>
  <c r="T281" i="3" s="1"/>
  <c r="M281" i="3"/>
  <c r="L281" i="3"/>
  <c r="K281" i="3"/>
  <c r="J281" i="3"/>
  <c r="G281" i="3"/>
  <c r="F281" i="3"/>
  <c r="E281" i="3"/>
  <c r="D281" i="3"/>
  <c r="C281" i="3"/>
  <c r="Q281" i="3" s="1"/>
  <c r="B281" i="3"/>
  <c r="A281" i="3"/>
  <c r="Q280" i="3"/>
  <c r="O280" i="3"/>
  <c r="N280" i="3"/>
  <c r="M280" i="3"/>
  <c r="K280" i="3"/>
  <c r="J280" i="3"/>
  <c r="F280" i="3"/>
  <c r="E280" i="3"/>
  <c r="D280" i="3"/>
  <c r="C280" i="3"/>
  <c r="B280" i="3"/>
  <c r="Q279" i="3"/>
  <c r="O279" i="3"/>
  <c r="N279" i="3"/>
  <c r="M279" i="3"/>
  <c r="K279" i="3"/>
  <c r="J279" i="3"/>
  <c r="G279" i="3"/>
  <c r="C279" i="3"/>
  <c r="E279" i="3" s="1"/>
  <c r="B279" i="3"/>
  <c r="A279" i="3"/>
  <c r="O278" i="3"/>
  <c r="N278" i="3"/>
  <c r="M278" i="3"/>
  <c r="L278" i="3"/>
  <c r="K278" i="3"/>
  <c r="J278" i="3"/>
  <c r="G278" i="3"/>
  <c r="F278" i="3"/>
  <c r="E278" i="3"/>
  <c r="D278" i="3"/>
  <c r="C278" i="3"/>
  <c r="Q278" i="3" s="1"/>
  <c r="B278" i="3"/>
  <c r="A278" i="3"/>
  <c r="Q277" i="3"/>
  <c r="O277" i="3"/>
  <c r="N277" i="3"/>
  <c r="P277" i="3" s="1"/>
  <c r="T277" i="3" s="1"/>
  <c r="M277" i="3"/>
  <c r="K277" i="3"/>
  <c r="J277" i="3"/>
  <c r="F277" i="3"/>
  <c r="C277" i="3"/>
  <c r="B277" i="3"/>
  <c r="O276" i="3"/>
  <c r="N276" i="3"/>
  <c r="M276" i="3"/>
  <c r="K276" i="3"/>
  <c r="J276" i="3"/>
  <c r="D276" i="3"/>
  <c r="C276" i="3"/>
  <c r="L276" i="3" s="1"/>
  <c r="O275" i="3"/>
  <c r="N275" i="3"/>
  <c r="M275" i="3"/>
  <c r="L275" i="3"/>
  <c r="K275" i="3"/>
  <c r="J275" i="3"/>
  <c r="G275" i="3"/>
  <c r="F275" i="3"/>
  <c r="E275" i="3"/>
  <c r="D275" i="3"/>
  <c r="C275" i="3"/>
  <c r="Q275" i="3" s="1"/>
  <c r="B275" i="3"/>
  <c r="A275" i="3"/>
  <c r="O274" i="3"/>
  <c r="N274" i="3"/>
  <c r="M274" i="3"/>
  <c r="K274" i="3"/>
  <c r="J274" i="3"/>
  <c r="D274" i="3"/>
  <c r="C274" i="3"/>
  <c r="L274" i="3" s="1"/>
  <c r="Q273" i="3"/>
  <c r="O273" i="3"/>
  <c r="N273" i="3"/>
  <c r="M273" i="3"/>
  <c r="K273" i="3"/>
  <c r="J273" i="3"/>
  <c r="G273" i="3"/>
  <c r="F273" i="3"/>
  <c r="D273" i="3"/>
  <c r="C273" i="3"/>
  <c r="E273" i="3" s="1"/>
  <c r="B273" i="3"/>
  <c r="A273" i="3"/>
  <c r="O272" i="3"/>
  <c r="N272" i="3"/>
  <c r="M272" i="3"/>
  <c r="L272" i="3"/>
  <c r="K272" i="3"/>
  <c r="J272" i="3"/>
  <c r="G272" i="3"/>
  <c r="F272" i="3"/>
  <c r="E272" i="3"/>
  <c r="D272" i="3"/>
  <c r="C272" i="3"/>
  <c r="Q272" i="3" s="1"/>
  <c r="B272" i="3"/>
  <c r="A272" i="3"/>
  <c r="Q271" i="3"/>
  <c r="O271" i="3"/>
  <c r="N271" i="3"/>
  <c r="M271" i="3"/>
  <c r="K271" i="3"/>
  <c r="J271" i="3"/>
  <c r="F271" i="3"/>
  <c r="E271" i="3"/>
  <c r="D271" i="3"/>
  <c r="C271" i="3"/>
  <c r="B271" i="3"/>
  <c r="Q270" i="3"/>
  <c r="O270" i="3"/>
  <c r="N270" i="3"/>
  <c r="P270" i="3" s="1"/>
  <c r="T270" i="3" s="1"/>
  <c r="M270" i="3"/>
  <c r="K270" i="3"/>
  <c r="J270" i="3"/>
  <c r="G270" i="3"/>
  <c r="C270" i="3"/>
  <c r="E270" i="3" s="1"/>
  <c r="B270" i="3"/>
  <c r="A270" i="3"/>
  <c r="O269" i="3"/>
  <c r="N269" i="3"/>
  <c r="M269" i="3"/>
  <c r="L269" i="3"/>
  <c r="K269" i="3"/>
  <c r="J269" i="3"/>
  <c r="E269" i="3"/>
  <c r="D269" i="3"/>
  <c r="C269" i="3"/>
  <c r="Q269" i="3" s="1"/>
  <c r="Q268" i="3"/>
  <c r="O268" i="3"/>
  <c r="N268" i="3"/>
  <c r="M268" i="3"/>
  <c r="K268" i="3"/>
  <c r="J268" i="3"/>
  <c r="C268" i="3"/>
  <c r="B268" i="3" s="1"/>
  <c r="O267" i="3"/>
  <c r="N267" i="3"/>
  <c r="M267" i="3"/>
  <c r="K267" i="3"/>
  <c r="J267" i="3"/>
  <c r="G267" i="3"/>
  <c r="F267" i="3"/>
  <c r="E267" i="3"/>
  <c r="C267" i="3"/>
  <c r="L267" i="3" s="1"/>
  <c r="B267" i="3"/>
  <c r="A267" i="3"/>
  <c r="O266" i="3"/>
  <c r="N266" i="3"/>
  <c r="M266" i="3"/>
  <c r="L266" i="3"/>
  <c r="K266" i="3"/>
  <c r="J266" i="3"/>
  <c r="E266" i="3"/>
  <c r="D266" i="3"/>
  <c r="C266" i="3"/>
  <c r="Q266" i="3" s="1"/>
  <c r="Q265" i="3"/>
  <c r="O265" i="3"/>
  <c r="P265" i="3" s="1"/>
  <c r="T265" i="3" s="1"/>
  <c r="N265" i="3"/>
  <c r="M265" i="3"/>
  <c r="K265" i="3"/>
  <c r="J265" i="3"/>
  <c r="C265" i="3"/>
  <c r="B265" i="3" s="1"/>
  <c r="O264" i="3"/>
  <c r="N264" i="3"/>
  <c r="M264" i="3"/>
  <c r="K264" i="3"/>
  <c r="J264" i="3"/>
  <c r="G264" i="3"/>
  <c r="F264" i="3"/>
  <c r="E264" i="3"/>
  <c r="C264" i="3"/>
  <c r="L264" i="3" s="1"/>
  <c r="B264" i="3"/>
  <c r="A264" i="3"/>
  <c r="O263" i="3"/>
  <c r="N263" i="3"/>
  <c r="M263" i="3"/>
  <c r="L263" i="3"/>
  <c r="K263" i="3"/>
  <c r="J263" i="3"/>
  <c r="E263" i="3"/>
  <c r="D263" i="3"/>
  <c r="C263" i="3"/>
  <c r="Q263" i="3" s="1"/>
  <c r="Q262" i="3"/>
  <c r="O262" i="3"/>
  <c r="N262" i="3"/>
  <c r="M262" i="3"/>
  <c r="K262" i="3"/>
  <c r="J262" i="3"/>
  <c r="C262" i="3"/>
  <c r="B262" i="3" s="1"/>
  <c r="O261" i="3"/>
  <c r="N261" i="3"/>
  <c r="M261" i="3"/>
  <c r="K261" i="3"/>
  <c r="J261" i="3"/>
  <c r="G261" i="3"/>
  <c r="F261" i="3"/>
  <c r="E261" i="3"/>
  <c r="C261" i="3"/>
  <c r="L261" i="3" s="1"/>
  <c r="B261" i="3"/>
  <c r="A261" i="3"/>
  <c r="O260" i="3"/>
  <c r="N260" i="3"/>
  <c r="M260" i="3"/>
  <c r="L260" i="3"/>
  <c r="K260" i="3"/>
  <c r="J260" i="3"/>
  <c r="E260" i="3"/>
  <c r="D260" i="3"/>
  <c r="C260" i="3"/>
  <c r="Q260" i="3" s="1"/>
  <c r="Q259" i="3"/>
  <c r="O259" i="3"/>
  <c r="N259" i="3"/>
  <c r="M259" i="3"/>
  <c r="K259" i="3"/>
  <c r="J259" i="3"/>
  <c r="C259" i="3"/>
  <c r="B259" i="3" s="1"/>
  <c r="O258" i="3"/>
  <c r="N258" i="3"/>
  <c r="M258" i="3"/>
  <c r="K258" i="3"/>
  <c r="J258" i="3"/>
  <c r="G258" i="3"/>
  <c r="F258" i="3"/>
  <c r="E258" i="3"/>
  <c r="C258" i="3"/>
  <c r="L258" i="3" s="1"/>
  <c r="B258" i="3"/>
  <c r="A258" i="3"/>
  <c r="O257" i="3"/>
  <c r="N257" i="3"/>
  <c r="M257" i="3"/>
  <c r="L257" i="3"/>
  <c r="K257" i="3"/>
  <c r="J257" i="3"/>
  <c r="E257" i="3"/>
  <c r="D257" i="3"/>
  <c r="C257" i="3"/>
  <c r="Q257" i="3" s="1"/>
  <c r="Q256" i="3"/>
  <c r="O256" i="3"/>
  <c r="N256" i="3"/>
  <c r="M256" i="3"/>
  <c r="K256" i="3"/>
  <c r="J256" i="3"/>
  <c r="C256" i="3"/>
  <c r="B256" i="3" s="1"/>
  <c r="O255" i="3"/>
  <c r="N255" i="3"/>
  <c r="M255" i="3"/>
  <c r="K255" i="3"/>
  <c r="J255" i="3"/>
  <c r="G255" i="3"/>
  <c r="F255" i="3"/>
  <c r="E255" i="3"/>
  <c r="C255" i="3"/>
  <c r="L255" i="3" s="1"/>
  <c r="B255" i="3"/>
  <c r="A255" i="3"/>
  <c r="O254" i="3"/>
  <c r="N254" i="3"/>
  <c r="M254" i="3"/>
  <c r="L254" i="3"/>
  <c r="K254" i="3"/>
  <c r="J254" i="3"/>
  <c r="E254" i="3"/>
  <c r="D254" i="3"/>
  <c r="C254" i="3"/>
  <c r="Q254" i="3" s="1"/>
  <c r="Q253" i="3"/>
  <c r="O253" i="3"/>
  <c r="P253" i="3" s="1"/>
  <c r="T253" i="3" s="1"/>
  <c r="N253" i="3"/>
  <c r="M253" i="3"/>
  <c r="K253" i="3"/>
  <c r="J253" i="3"/>
  <c r="C253" i="3"/>
  <c r="B253" i="3" s="1"/>
  <c r="O252" i="3"/>
  <c r="N252" i="3"/>
  <c r="M252" i="3"/>
  <c r="K252" i="3"/>
  <c r="J252" i="3"/>
  <c r="G252" i="3"/>
  <c r="F252" i="3"/>
  <c r="E252" i="3"/>
  <c r="C252" i="3"/>
  <c r="L252" i="3" s="1"/>
  <c r="B252" i="3"/>
  <c r="A252" i="3"/>
  <c r="O251" i="3"/>
  <c r="N251" i="3"/>
  <c r="M251" i="3"/>
  <c r="L251" i="3"/>
  <c r="K251" i="3"/>
  <c r="J251" i="3"/>
  <c r="E251" i="3"/>
  <c r="D251" i="3"/>
  <c r="C251" i="3"/>
  <c r="Q251" i="3" s="1"/>
  <c r="Q250" i="3"/>
  <c r="O250" i="3"/>
  <c r="N250" i="3"/>
  <c r="M250" i="3"/>
  <c r="K250" i="3"/>
  <c r="J250" i="3"/>
  <c r="C250" i="3"/>
  <c r="B250" i="3" s="1"/>
  <c r="O249" i="3"/>
  <c r="N249" i="3"/>
  <c r="M249" i="3"/>
  <c r="K249" i="3"/>
  <c r="J249" i="3"/>
  <c r="G249" i="3"/>
  <c r="F249" i="3"/>
  <c r="E249" i="3"/>
  <c r="C249" i="3"/>
  <c r="L249" i="3" s="1"/>
  <c r="B249" i="3"/>
  <c r="A249" i="3"/>
  <c r="O248" i="3"/>
  <c r="N248" i="3"/>
  <c r="M248" i="3"/>
  <c r="L248" i="3"/>
  <c r="K248" i="3"/>
  <c r="J248" i="3"/>
  <c r="E248" i="3"/>
  <c r="D248" i="3"/>
  <c r="C248" i="3"/>
  <c r="Q248" i="3" s="1"/>
  <c r="Q247" i="3"/>
  <c r="O247" i="3"/>
  <c r="P247" i="3" s="1"/>
  <c r="T247" i="3" s="1"/>
  <c r="N247" i="3"/>
  <c r="M247" i="3"/>
  <c r="K247" i="3"/>
  <c r="J247" i="3"/>
  <c r="C247" i="3"/>
  <c r="B247" i="3" s="1"/>
  <c r="O246" i="3"/>
  <c r="N246" i="3"/>
  <c r="M246" i="3"/>
  <c r="K246" i="3"/>
  <c r="J246" i="3"/>
  <c r="G246" i="3"/>
  <c r="F246" i="3"/>
  <c r="E246" i="3"/>
  <c r="C246" i="3"/>
  <c r="L246" i="3" s="1"/>
  <c r="B246" i="3"/>
  <c r="A246" i="3"/>
  <c r="O245" i="3"/>
  <c r="N245" i="3"/>
  <c r="M245" i="3"/>
  <c r="L245" i="3"/>
  <c r="K245" i="3"/>
  <c r="J245" i="3"/>
  <c r="E245" i="3"/>
  <c r="D245" i="3"/>
  <c r="C245" i="3"/>
  <c r="Q245" i="3" s="1"/>
  <c r="Q244" i="3"/>
  <c r="O244" i="3"/>
  <c r="N244" i="3"/>
  <c r="M244" i="3"/>
  <c r="K244" i="3"/>
  <c r="J244" i="3"/>
  <c r="C244" i="3"/>
  <c r="B244" i="3" s="1"/>
  <c r="O243" i="3"/>
  <c r="N243" i="3"/>
  <c r="M243" i="3"/>
  <c r="K243" i="3"/>
  <c r="J243" i="3"/>
  <c r="G243" i="3"/>
  <c r="F243" i="3"/>
  <c r="E243" i="3"/>
  <c r="C243" i="3"/>
  <c r="L243" i="3" s="1"/>
  <c r="B243" i="3"/>
  <c r="A243" i="3"/>
  <c r="O242" i="3"/>
  <c r="N242" i="3"/>
  <c r="M242" i="3"/>
  <c r="L242" i="3"/>
  <c r="K242" i="3"/>
  <c r="J242" i="3"/>
  <c r="E242" i="3"/>
  <c r="D242" i="3"/>
  <c r="C242" i="3"/>
  <c r="Q242" i="3" s="1"/>
  <c r="Q241" i="3"/>
  <c r="O241" i="3"/>
  <c r="P241" i="3" s="1"/>
  <c r="T241" i="3" s="1"/>
  <c r="N241" i="3"/>
  <c r="M241" i="3"/>
  <c r="K241" i="3"/>
  <c r="J241" i="3"/>
  <c r="C241" i="3"/>
  <c r="B241" i="3" s="1"/>
  <c r="O240" i="3"/>
  <c r="N240" i="3"/>
  <c r="M240" i="3"/>
  <c r="K240" i="3"/>
  <c r="J240" i="3"/>
  <c r="G240" i="3"/>
  <c r="F240" i="3"/>
  <c r="E240" i="3"/>
  <c r="C240" i="3"/>
  <c r="L240" i="3" s="1"/>
  <c r="B240" i="3"/>
  <c r="A240" i="3"/>
  <c r="O239" i="3"/>
  <c r="N239" i="3"/>
  <c r="M239" i="3"/>
  <c r="L239" i="3"/>
  <c r="K239" i="3"/>
  <c r="J239" i="3"/>
  <c r="E239" i="3"/>
  <c r="D239" i="3"/>
  <c r="C239" i="3"/>
  <c r="Q239" i="3" s="1"/>
  <c r="Q238" i="3"/>
  <c r="O238" i="3"/>
  <c r="N238" i="3"/>
  <c r="M238" i="3"/>
  <c r="K238" i="3"/>
  <c r="J238" i="3"/>
  <c r="C238" i="3"/>
  <c r="B238" i="3" s="1"/>
  <c r="O237" i="3"/>
  <c r="N237" i="3"/>
  <c r="M237" i="3"/>
  <c r="K237" i="3"/>
  <c r="J237" i="3"/>
  <c r="G237" i="3"/>
  <c r="F237" i="3"/>
  <c r="E237" i="3"/>
  <c r="C237" i="3"/>
  <c r="L237" i="3" s="1"/>
  <c r="B237" i="3"/>
  <c r="A237" i="3"/>
  <c r="O236" i="3"/>
  <c r="N236" i="3"/>
  <c r="M236" i="3"/>
  <c r="L236" i="3"/>
  <c r="K236" i="3"/>
  <c r="J236" i="3"/>
  <c r="E236" i="3"/>
  <c r="D236" i="3"/>
  <c r="C236" i="3"/>
  <c r="Q236" i="3" s="1"/>
  <c r="Q235" i="3"/>
  <c r="O235" i="3"/>
  <c r="P235" i="3" s="1"/>
  <c r="T235" i="3" s="1"/>
  <c r="N235" i="3"/>
  <c r="M235" i="3"/>
  <c r="K235" i="3"/>
  <c r="J235" i="3"/>
  <c r="C235" i="3"/>
  <c r="B235" i="3" s="1"/>
  <c r="O234" i="3"/>
  <c r="N234" i="3"/>
  <c r="M234" i="3"/>
  <c r="K234" i="3"/>
  <c r="J234" i="3"/>
  <c r="G234" i="3"/>
  <c r="F234" i="3"/>
  <c r="E234" i="3"/>
  <c r="C234" i="3"/>
  <c r="L234" i="3" s="1"/>
  <c r="B234" i="3"/>
  <c r="A234" i="3"/>
  <c r="O233" i="3"/>
  <c r="N233" i="3"/>
  <c r="M233" i="3"/>
  <c r="L233" i="3"/>
  <c r="K233" i="3"/>
  <c r="J233" i="3"/>
  <c r="E233" i="3"/>
  <c r="D233" i="3"/>
  <c r="C233" i="3"/>
  <c r="Q233" i="3" s="1"/>
  <c r="Q232" i="3"/>
  <c r="O232" i="3"/>
  <c r="N232" i="3"/>
  <c r="M232" i="3"/>
  <c r="K232" i="3"/>
  <c r="J232" i="3"/>
  <c r="C232" i="3"/>
  <c r="B232" i="3" s="1"/>
  <c r="O231" i="3"/>
  <c r="N231" i="3"/>
  <c r="M231" i="3"/>
  <c r="K231" i="3"/>
  <c r="J231" i="3"/>
  <c r="G231" i="3"/>
  <c r="F231" i="3"/>
  <c r="E231" i="3"/>
  <c r="C231" i="3"/>
  <c r="L231" i="3" s="1"/>
  <c r="B231" i="3"/>
  <c r="A231" i="3"/>
  <c r="O230" i="3"/>
  <c r="N230" i="3"/>
  <c r="M230" i="3"/>
  <c r="L230" i="3"/>
  <c r="K230" i="3"/>
  <c r="J230" i="3"/>
  <c r="E230" i="3"/>
  <c r="D230" i="3"/>
  <c r="C230" i="3"/>
  <c r="Q230" i="3" s="1"/>
  <c r="Q229" i="3"/>
  <c r="O229" i="3"/>
  <c r="P229" i="3" s="1"/>
  <c r="T229" i="3" s="1"/>
  <c r="N229" i="3"/>
  <c r="M229" i="3"/>
  <c r="K229" i="3"/>
  <c r="J229" i="3"/>
  <c r="C229" i="3"/>
  <c r="B229" i="3" s="1"/>
  <c r="O228" i="3"/>
  <c r="N228" i="3"/>
  <c r="M228" i="3"/>
  <c r="K228" i="3"/>
  <c r="J228" i="3"/>
  <c r="G228" i="3"/>
  <c r="F228" i="3"/>
  <c r="E228" i="3"/>
  <c r="C228" i="3"/>
  <c r="L228" i="3" s="1"/>
  <c r="B228" i="3"/>
  <c r="A228" i="3"/>
  <c r="O227" i="3"/>
  <c r="N227" i="3"/>
  <c r="M227" i="3"/>
  <c r="L227" i="3"/>
  <c r="K227" i="3"/>
  <c r="J227" i="3"/>
  <c r="E227" i="3"/>
  <c r="D227" i="3"/>
  <c r="C227" i="3"/>
  <c r="Q227" i="3" s="1"/>
  <c r="Q226" i="3"/>
  <c r="O226" i="3"/>
  <c r="N226" i="3"/>
  <c r="M226" i="3"/>
  <c r="K226" i="3"/>
  <c r="J226" i="3"/>
  <c r="C226" i="3"/>
  <c r="B226" i="3" s="1"/>
  <c r="O225" i="3"/>
  <c r="N225" i="3"/>
  <c r="M225" i="3"/>
  <c r="K225" i="3"/>
  <c r="J225" i="3"/>
  <c r="G225" i="3"/>
  <c r="F225" i="3"/>
  <c r="E225" i="3"/>
  <c r="C225" i="3"/>
  <c r="L225" i="3" s="1"/>
  <c r="B225" i="3"/>
  <c r="A225" i="3"/>
  <c r="O224" i="3"/>
  <c r="N224" i="3"/>
  <c r="M224" i="3"/>
  <c r="L224" i="3"/>
  <c r="K224" i="3"/>
  <c r="J224" i="3"/>
  <c r="E224" i="3"/>
  <c r="D224" i="3"/>
  <c r="C224" i="3"/>
  <c r="Q224" i="3" s="1"/>
  <c r="Q223" i="3"/>
  <c r="O223" i="3"/>
  <c r="P223" i="3" s="1"/>
  <c r="T223" i="3" s="1"/>
  <c r="N223" i="3"/>
  <c r="M223" i="3"/>
  <c r="K223" i="3"/>
  <c r="J223" i="3"/>
  <c r="C223" i="3"/>
  <c r="B223" i="3" s="1"/>
  <c r="O222" i="3"/>
  <c r="N222" i="3"/>
  <c r="M222" i="3"/>
  <c r="K222" i="3"/>
  <c r="J222" i="3"/>
  <c r="G222" i="3"/>
  <c r="F222" i="3"/>
  <c r="E222" i="3"/>
  <c r="C222" i="3"/>
  <c r="L222" i="3" s="1"/>
  <c r="B222" i="3"/>
  <c r="A222" i="3"/>
  <c r="O221" i="3"/>
  <c r="N221" i="3"/>
  <c r="M221" i="3"/>
  <c r="L221" i="3"/>
  <c r="K221" i="3"/>
  <c r="J221" i="3"/>
  <c r="E221" i="3"/>
  <c r="D221" i="3"/>
  <c r="C221" i="3"/>
  <c r="Q221" i="3" s="1"/>
  <c r="Q220" i="3"/>
  <c r="O220" i="3"/>
  <c r="N220" i="3"/>
  <c r="M220" i="3"/>
  <c r="K220" i="3"/>
  <c r="J220" i="3"/>
  <c r="C220" i="3"/>
  <c r="B220" i="3" s="1"/>
  <c r="O219" i="3"/>
  <c r="N219" i="3"/>
  <c r="M219" i="3"/>
  <c r="K219" i="3"/>
  <c r="J219" i="3"/>
  <c r="G219" i="3"/>
  <c r="F219" i="3"/>
  <c r="E219" i="3"/>
  <c r="C219" i="3"/>
  <c r="L219" i="3" s="1"/>
  <c r="B219" i="3"/>
  <c r="A219" i="3"/>
  <c r="O218" i="3"/>
  <c r="N218" i="3"/>
  <c r="M218" i="3"/>
  <c r="L218" i="3"/>
  <c r="K218" i="3"/>
  <c r="J218" i="3"/>
  <c r="E218" i="3"/>
  <c r="D218" i="3"/>
  <c r="C218" i="3"/>
  <c r="Q218" i="3" s="1"/>
  <c r="Q217" i="3"/>
  <c r="O217" i="3"/>
  <c r="P217" i="3" s="1"/>
  <c r="T217" i="3" s="1"/>
  <c r="N217" i="3"/>
  <c r="M217" i="3"/>
  <c r="K217" i="3"/>
  <c r="J217" i="3"/>
  <c r="C217" i="3"/>
  <c r="B217" i="3" s="1"/>
  <c r="O216" i="3"/>
  <c r="N216" i="3"/>
  <c r="M216" i="3"/>
  <c r="K216" i="3"/>
  <c r="J216" i="3"/>
  <c r="G216" i="3"/>
  <c r="F216" i="3"/>
  <c r="E216" i="3"/>
  <c r="C216" i="3"/>
  <c r="L216" i="3" s="1"/>
  <c r="B216" i="3"/>
  <c r="A216" i="3"/>
  <c r="O215" i="3"/>
  <c r="N215" i="3"/>
  <c r="M215" i="3"/>
  <c r="L215" i="3"/>
  <c r="K215" i="3"/>
  <c r="J215" i="3"/>
  <c r="E215" i="3"/>
  <c r="D215" i="3"/>
  <c r="C215" i="3"/>
  <c r="Q215" i="3" s="1"/>
  <c r="Q214" i="3"/>
  <c r="O214" i="3"/>
  <c r="N214" i="3"/>
  <c r="M214" i="3"/>
  <c r="K214" i="3"/>
  <c r="J214" i="3"/>
  <c r="C214" i="3"/>
  <c r="B214" i="3" s="1"/>
  <c r="O213" i="3"/>
  <c r="N213" i="3"/>
  <c r="M213" i="3"/>
  <c r="K213" i="3"/>
  <c r="J213" i="3"/>
  <c r="G213" i="3"/>
  <c r="F213" i="3"/>
  <c r="E213" i="3"/>
  <c r="C213" i="3"/>
  <c r="L213" i="3" s="1"/>
  <c r="B213" i="3"/>
  <c r="A213" i="3"/>
  <c r="O212" i="3"/>
  <c r="N212" i="3"/>
  <c r="P212" i="3" s="1"/>
  <c r="T212" i="3" s="1"/>
  <c r="M212" i="3"/>
  <c r="L212" i="3"/>
  <c r="K212" i="3"/>
  <c r="J212" i="3"/>
  <c r="E212" i="3"/>
  <c r="D212" i="3"/>
  <c r="C212" i="3"/>
  <c r="Q212" i="3" s="1"/>
  <c r="Q211" i="3"/>
  <c r="O211" i="3"/>
  <c r="P211" i="3" s="1"/>
  <c r="T211" i="3" s="1"/>
  <c r="N211" i="3"/>
  <c r="M211" i="3"/>
  <c r="K211" i="3"/>
  <c r="J211" i="3"/>
  <c r="C211" i="3"/>
  <c r="B211" i="3" s="1"/>
  <c r="O210" i="3"/>
  <c r="N210" i="3"/>
  <c r="M210" i="3"/>
  <c r="K210" i="3"/>
  <c r="J210" i="3"/>
  <c r="G210" i="3"/>
  <c r="F210" i="3"/>
  <c r="E210" i="3"/>
  <c r="C210" i="3"/>
  <c r="L210" i="3" s="1"/>
  <c r="B210" i="3"/>
  <c r="A210" i="3"/>
  <c r="O209" i="3"/>
  <c r="N209" i="3"/>
  <c r="M209" i="3"/>
  <c r="L209" i="3"/>
  <c r="K209" i="3"/>
  <c r="J209" i="3"/>
  <c r="E209" i="3"/>
  <c r="D209" i="3"/>
  <c r="C209" i="3"/>
  <c r="Q209" i="3" s="1"/>
  <c r="Q208" i="3"/>
  <c r="O208" i="3"/>
  <c r="N208" i="3"/>
  <c r="M208" i="3"/>
  <c r="K208" i="3"/>
  <c r="J208" i="3"/>
  <c r="C208" i="3"/>
  <c r="B208" i="3" s="1"/>
  <c r="O207" i="3"/>
  <c r="N207" i="3"/>
  <c r="M207" i="3"/>
  <c r="K207" i="3"/>
  <c r="J207" i="3"/>
  <c r="G207" i="3"/>
  <c r="F207" i="3"/>
  <c r="E207" i="3"/>
  <c r="C207" i="3"/>
  <c r="L207" i="3" s="1"/>
  <c r="B207" i="3"/>
  <c r="A207" i="3"/>
  <c r="O206" i="3"/>
  <c r="N206" i="3"/>
  <c r="P206" i="3" s="1"/>
  <c r="T206" i="3" s="1"/>
  <c r="M206" i="3"/>
  <c r="L206" i="3"/>
  <c r="K206" i="3"/>
  <c r="J206" i="3"/>
  <c r="E206" i="3"/>
  <c r="D206" i="3"/>
  <c r="C206" i="3"/>
  <c r="Q206" i="3" s="1"/>
  <c r="Q205" i="3"/>
  <c r="O205" i="3"/>
  <c r="P205" i="3" s="1"/>
  <c r="T205" i="3" s="1"/>
  <c r="N205" i="3"/>
  <c r="M205" i="3"/>
  <c r="K205" i="3"/>
  <c r="J205" i="3"/>
  <c r="C205" i="3"/>
  <c r="B205" i="3" s="1"/>
  <c r="O204" i="3"/>
  <c r="N204" i="3"/>
  <c r="M204" i="3"/>
  <c r="K204" i="3"/>
  <c r="J204" i="3"/>
  <c r="G204" i="3"/>
  <c r="F204" i="3"/>
  <c r="E204" i="3"/>
  <c r="C204" i="3"/>
  <c r="L204" i="3" s="1"/>
  <c r="B204" i="3"/>
  <c r="A204" i="3"/>
  <c r="O203" i="3"/>
  <c r="N203" i="3"/>
  <c r="M203" i="3"/>
  <c r="L203" i="3"/>
  <c r="K203" i="3"/>
  <c r="J203" i="3"/>
  <c r="E203" i="3"/>
  <c r="D203" i="3"/>
  <c r="C203" i="3"/>
  <c r="Q203" i="3" s="1"/>
  <c r="Q202" i="3"/>
  <c r="O202" i="3"/>
  <c r="N202" i="3"/>
  <c r="M202" i="3"/>
  <c r="K202" i="3"/>
  <c r="J202" i="3"/>
  <c r="C202" i="3"/>
  <c r="B202" i="3" s="1"/>
  <c r="O201" i="3"/>
  <c r="N201" i="3"/>
  <c r="M201" i="3"/>
  <c r="K201" i="3"/>
  <c r="J201" i="3"/>
  <c r="G201" i="3"/>
  <c r="F201" i="3"/>
  <c r="E201" i="3"/>
  <c r="C201" i="3"/>
  <c r="L201" i="3" s="1"/>
  <c r="B201" i="3"/>
  <c r="A201" i="3"/>
  <c r="O200" i="3"/>
  <c r="N200" i="3"/>
  <c r="P200" i="3" s="1"/>
  <c r="T200" i="3" s="1"/>
  <c r="M200" i="3"/>
  <c r="L200" i="3"/>
  <c r="K200" i="3"/>
  <c r="J200" i="3"/>
  <c r="E200" i="3"/>
  <c r="D200" i="3"/>
  <c r="C200" i="3"/>
  <c r="Q200" i="3" s="1"/>
  <c r="Q199" i="3"/>
  <c r="O199" i="3"/>
  <c r="P199" i="3" s="1"/>
  <c r="T199" i="3" s="1"/>
  <c r="N199" i="3"/>
  <c r="M199" i="3"/>
  <c r="K199" i="3"/>
  <c r="J199" i="3"/>
  <c r="C199" i="3"/>
  <c r="B199" i="3" s="1"/>
  <c r="O198" i="3"/>
  <c r="N198" i="3"/>
  <c r="M198" i="3"/>
  <c r="K198" i="3"/>
  <c r="J198" i="3"/>
  <c r="G198" i="3"/>
  <c r="F198" i="3"/>
  <c r="E198" i="3"/>
  <c r="C198" i="3"/>
  <c r="L198" i="3" s="1"/>
  <c r="B198" i="3"/>
  <c r="A198" i="3"/>
  <c r="O197" i="3"/>
  <c r="N197" i="3"/>
  <c r="M197" i="3"/>
  <c r="L197" i="3"/>
  <c r="K197" i="3"/>
  <c r="J197" i="3"/>
  <c r="E197" i="3"/>
  <c r="D197" i="3"/>
  <c r="C197" i="3"/>
  <c r="Q197" i="3" s="1"/>
  <c r="Q196" i="3"/>
  <c r="O196" i="3"/>
  <c r="P196" i="3" s="1"/>
  <c r="T196" i="3" s="1"/>
  <c r="N196" i="3"/>
  <c r="M196" i="3"/>
  <c r="K196" i="3"/>
  <c r="J196" i="3"/>
  <c r="C196" i="3"/>
  <c r="B196" i="3" s="1"/>
  <c r="O195" i="3"/>
  <c r="N195" i="3"/>
  <c r="M195" i="3"/>
  <c r="K195" i="3"/>
  <c r="J195" i="3"/>
  <c r="G195" i="3"/>
  <c r="F195" i="3"/>
  <c r="E195" i="3"/>
  <c r="C195" i="3"/>
  <c r="L195" i="3" s="1"/>
  <c r="B195" i="3"/>
  <c r="A195" i="3"/>
  <c r="O194" i="3"/>
  <c r="N194" i="3"/>
  <c r="M194" i="3"/>
  <c r="L194" i="3"/>
  <c r="K194" i="3"/>
  <c r="J194" i="3"/>
  <c r="E194" i="3"/>
  <c r="D194" i="3"/>
  <c r="C194" i="3"/>
  <c r="Q194" i="3" s="1"/>
  <c r="Q193" i="3"/>
  <c r="O193" i="3"/>
  <c r="N193" i="3"/>
  <c r="M193" i="3"/>
  <c r="K193" i="3"/>
  <c r="J193" i="3"/>
  <c r="C193" i="3"/>
  <c r="B193" i="3" s="1"/>
  <c r="O192" i="3"/>
  <c r="N192" i="3"/>
  <c r="M192" i="3"/>
  <c r="K192" i="3"/>
  <c r="J192" i="3"/>
  <c r="G192" i="3"/>
  <c r="F192" i="3"/>
  <c r="E192" i="3"/>
  <c r="C192" i="3"/>
  <c r="L192" i="3" s="1"/>
  <c r="B192" i="3"/>
  <c r="A192" i="3"/>
  <c r="O191" i="3"/>
  <c r="N191" i="3"/>
  <c r="M191" i="3"/>
  <c r="L191" i="3"/>
  <c r="K191" i="3"/>
  <c r="J191" i="3"/>
  <c r="E191" i="3"/>
  <c r="D191" i="3"/>
  <c r="C191" i="3"/>
  <c r="Q191" i="3" s="1"/>
  <c r="Q190" i="3"/>
  <c r="O190" i="3"/>
  <c r="N190" i="3"/>
  <c r="M190" i="3"/>
  <c r="K190" i="3"/>
  <c r="J190" i="3"/>
  <c r="C190" i="3"/>
  <c r="B190" i="3" s="1"/>
  <c r="O189" i="3"/>
  <c r="N189" i="3"/>
  <c r="M189" i="3"/>
  <c r="K189" i="3"/>
  <c r="J189" i="3"/>
  <c r="G189" i="3"/>
  <c r="F189" i="3"/>
  <c r="E189" i="3"/>
  <c r="C189" i="3"/>
  <c r="L189" i="3" s="1"/>
  <c r="B189" i="3"/>
  <c r="A189" i="3"/>
  <c r="O188" i="3"/>
  <c r="N188" i="3"/>
  <c r="M188" i="3"/>
  <c r="L188" i="3"/>
  <c r="K188" i="3"/>
  <c r="J188" i="3"/>
  <c r="E188" i="3"/>
  <c r="D188" i="3"/>
  <c r="C188" i="3"/>
  <c r="Q188" i="3" s="1"/>
  <c r="Q187" i="3"/>
  <c r="O187" i="3"/>
  <c r="N187" i="3"/>
  <c r="M187" i="3"/>
  <c r="K187" i="3"/>
  <c r="J187" i="3"/>
  <c r="C187" i="3"/>
  <c r="B187" i="3" s="1"/>
  <c r="O186" i="3"/>
  <c r="N186" i="3"/>
  <c r="M186" i="3"/>
  <c r="K186" i="3"/>
  <c r="J186" i="3"/>
  <c r="G186" i="3"/>
  <c r="F186" i="3"/>
  <c r="E186" i="3"/>
  <c r="C186" i="3"/>
  <c r="L186" i="3" s="1"/>
  <c r="B186" i="3"/>
  <c r="A186" i="3"/>
  <c r="O185" i="3"/>
  <c r="N185" i="3"/>
  <c r="M185" i="3"/>
  <c r="L185" i="3"/>
  <c r="K185" i="3"/>
  <c r="J185" i="3"/>
  <c r="E185" i="3"/>
  <c r="D185" i="3"/>
  <c r="C185" i="3"/>
  <c r="Q185" i="3" s="1"/>
  <c r="Q184" i="3"/>
  <c r="O184" i="3"/>
  <c r="N184" i="3"/>
  <c r="M184" i="3"/>
  <c r="K184" i="3"/>
  <c r="J184" i="3"/>
  <c r="C184" i="3"/>
  <c r="B184" i="3" s="1"/>
  <c r="O183" i="3"/>
  <c r="N183" i="3"/>
  <c r="M183" i="3"/>
  <c r="K183" i="3"/>
  <c r="J183" i="3"/>
  <c r="G183" i="3"/>
  <c r="F183" i="3"/>
  <c r="E183" i="3"/>
  <c r="C183" i="3"/>
  <c r="L183" i="3" s="1"/>
  <c r="B183" i="3"/>
  <c r="A183" i="3"/>
  <c r="O182" i="3"/>
  <c r="N182" i="3"/>
  <c r="M182" i="3"/>
  <c r="L182" i="3"/>
  <c r="K182" i="3"/>
  <c r="J182" i="3"/>
  <c r="E182" i="3"/>
  <c r="D182" i="3"/>
  <c r="C182" i="3"/>
  <c r="Q182" i="3" s="1"/>
  <c r="Q181" i="3"/>
  <c r="O181" i="3"/>
  <c r="N181" i="3"/>
  <c r="M181" i="3"/>
  <c r="K181" i="3"/>
  <c r="J181" i="3"/>
  <c r="C181" i="3"/>
  <c r="B181" i="3" s="1"/>
  <c r="O180" i="3"/>
  <c r="N180" i="3"/>
  <c r="M180" i="3"/>
  <c r="K180" i="3"/>
  <c r="J180" i="3"/>
  <c r="G180" i="3"/>
  <c r="F180" i="3"/>
  <c r="E180" i="3"/>
  <c r="C180" i="3"/>
  <c r="L180" i="3" s="1"/>
  <c r="B180" i="3"/>
  <c r="A180" i="3"/>
  <c r="O179" i="3"/>
  <c r="N179" i="3"/>
  <c r="M179" i="3"/>
  <c r="L179" i="3"/>
  <c r="K179" i="3"/>
  <c r="J179" i="3"/>
  <c r="E179" i="3"/>
  <c r="D179" i="3"/>
  <c r="C179" i="3"/>
  <c r="Q179" i="3" s="1"/>
  <c r="Q178" i="3"/>
  <c r="O178" i="3"/>
  <c r="N178" i="3"/>
  <c r="M178" i="3"/>
  <c r="K178" i="3"/>
  <c r="J178" i="3"/>
  <c r="C178" i="3"/>
  <c r="B178" i="3"/>
  <c r="O177" i="3"/>
  <c r="N177" i="3"/>
  <c r="M177" i="3"/>
  <c r="K177" i="3"/>
  <c r="J177" i="3"/>
  <c r="G177" i="3"/>
  <c r="F177" i="3"/>
  <c r="E177" i="3"/>
  <c r="C177" i="3"/>
  <c r="L177" i="3" s="1"/>
  <c r="B177" i="3"/>
  <c r="A177" i="3"/>
  <c r="O176" i="3"/>
  <c r="N176" i="3"/>
  <c r="M176" i="3"/>
  <c r="L176" i="3"/>
  <c r="K176" i="3"/>
  <c r="J176" i="3"/>
  <c r="E176" i="3"/>
  <c r="D176" i="3"/>
  <c r="C176" i="3"/>
  <c r="Q176" i="3" s="1"/>
  <c r="Q175" i="3"/>
  <c r="O175" i="3"/>
  <c r="N175" i="3"/>
  <c r="M175" i="3"/>
  <c r="K175" i="3"/>
  <c r="J175" i="3"/>
  <c r="C175" i="3"/>
  <c r="B175" i="3"/>
  <c r="O174" i="3"/>
  <c r="N174" i="3"/>
  <c r="M174" i="3"/>
  <c r="K174" i="3"/>
  <c r="J174" i="3"/>
  <c r="G174" i="3"/>
  <c r="F174" i="3"/>
  <c r="E174" i="3"/>
  <c r="C174" i="3"/>
  <c r="L174" i="3" s="1"/>
  <c r="B174" i="3"/>
  <c r="A174" i="3"/>
  <c r="O173" i="3"/>
  <c r="N173" i="3"/>
  <c r="M173" i="3"/>
  <c r="L173" i="3"/>
  <c r="K173" i="3"/>
  <c r="J173" i="3"/>
  <c r="E173" i="3"/>
  <c r="D173" i="3"/>
  <c r="C173" i="3"/>
  <c r="Q173" i="3" s="1"/>
  <c r="Q172" i="3"/>
  <c r="O172" i="3"/>
  <c r="N172" i="3"/>
  <c r="M172" i="3"/>
  <c r="K172" i="3"/>
  <c r="J172" i="3"/>
  <c r="C172" i="3"/>
  <c r="B172" i="3"/>
  <c r="O171" i="3"/>
  <c r="N171" i="3"/>
  <c r="M171" i="3"/>
  <c r="K171" i="3"/>
  <c r="J171" i="3"/>
  <c r="G171" i="3"/>
  <c r="F171" i="3"/>
  <c r="E171" i="3"/>
  <c r="C171" i="3"/>
  <c r="L171" i="3" s="1"/>
  <c r="B171" i="3"/>
  <c r="A171" i="3"/>
  <c r="O170" i="3"/>
  <c r="N170" i="3"/>
  <c r="M170" i="3"/>
  <c r="L170" i="3"/>
  <c r="K170" i="3"/>
  <c r="J170" i="3"/>
  <c r="E170" i="3"/>
  <c r="D170" i="3"/>
  <c r="C170" i="3"/>
  <c r="Q170" i="3" s="1"/>
  <c r="Q169" i="3"/>
  <c r="P169" i="3"/>
  <c r="T169" i="3" s="1"/>
  <c r="O169" i="3"/>
  <c r="N169" i="3"/>
  <c r="M169" i="3"/>
  <c r="K169" i="3"/>
  <c r="J169" i="3"/>
  <c r="C169" i="3"/>
  <c r="B169" i="3"/>
  <c r="O168" i="3"/>
  <c r="N168" i="3"/>
  <c r="M168" i="3"/>
  <c r="K168" i="3"/>
  <c r="J168" i="3"/>
  <c r="G168" i="3"/>
  <c r="F168" i="3"/>
  <c r="E168" i="3"/>
  <c r="C168" i="3"/>
  <c r="L168" i="3" s="1"/>
  <c r="B168" i="3"/>
  <c r="A168" i="3"/>
  <c r="O167" i="3"/>
  <c r="N167" i="3"/>
  <c r="M167" i="3"/>
  <c r="L167" i="3"/>
  <c r="K167" i="3"/>
  <c r="J167" i="3"/>
  <c r="E167" i="3"/>
  <c r="D167" i="3"/>
  <c r="C167" i="3"/>
  <c r="Q167" i="3" s="1"/>
  <c r="Q166" i="3"/>
  <c r="O166" i="3"/>
  <c r="N166" i="3"/>
  <c r="P166" i="3" s="1"/>
  <c r="T166" i="3" s="1"/>
  <c r="M166" i="3"/>
  <c r="K166" i="3"/>
  <c r="J166" i="3"/>
  <c r="C166" i="3"/>
  <c r="B166" i="3"/>
  <c r="O165" i="3"/>
  <c r="N165" i="3"/>
  <c r="M165" i="3"/>
  <c r="K165" i="3"/>
  <c r="J165" i="3"/>
  <c r="G165" i="3"/>
  <c r="F165" i="3"/>
  <c r="E165" i="3"/>
  <c r="C165" i="3"/>
  <c r="L165" i="3" s="1"/>
  <c r="B165" i="3"/>
  <c r="A165" i="3"/>
  <c r="O164" i="3"/>
  <c r="N164" i="3"/>
  <c r="M164" i="3"/>
  <c r="L164" i="3"/>
  <c r="K164" i="3"/>
  <c r="J164" i="3"/>
  <c r="E164" i="3"/>
  <c r="D164" i="3"/>
  <c r="C164" i="3"/>
  <c r="Q164" i="3" s="1"/>
  <c r="Q163" i="3"/>
  <c r="O163" i="3"/>
  <c r="N163" i="3"/>
  <c r="M163" i="3"/>
  <c r="K163" i="3"/>
  <c r="J163" i="3"/>
  <c r="C163" i="3"/>
  <c r="B163" i="3"/>
  <c r="O162" i="3"/>
  <c r="N162" i="3"/>
  <c r="M162" i="3"/>
  <c r="K162" i="3"/>
  <c r="J162" i="3"/>
  <c r="G162" i="3"/>
  <c r="F162" i="3"/>
  <c r="E162" i="3"/>
  <c r="C162" i="3"/>
  <c r="L162" i="3" s="1"/>
  <c r="B162" i="3"/>
  <c r="A162" i="3"/>
  <c r="O161" i="3"/>
  <c r="N161" i="3"/>
  <c r="M161" i="3"/>
  <c r="L161" i="3"/>
  <c r="K161" i="3"/>
  <c r="J161" i="3"/>
  <c r="E161" i="3"/>
  <c r="D161" i="3"/>
  <c r="C161" i="3"/>
  <c r="Q161" i="3" s="1"/>
  <c r="Q160" i="3"/>
  <c r="O160" i="3"/>
  <c r="P160" i="3" s="1"/>
  <c r="T160" i="3" s="1"/>
  <c r="N160" i="3"/>
  <c r="M160" i="3"/>
  <c r="K160" i="3"/>
  <c r="J160" i="3"/>
  <c r="C160" i="3"/>
  <c r="B160" i="3"/>
  <c r="O159" i="3"/>
  <c r="N159" i="3"/>
  <c r="M159" i="3"/>
  <c r="K159" i="3"/>
  <c r="J159" i="3"/>
  <c r="G159" i="3"/>
  <c r="F159" i="3"/>
  <c r="E159" i="3"/>
  <c r="C159" i="3"/>
  <c r="L159" i="3" s="1"/>
  <c r="B159" i="3"/>
  <c r="A159" i="3"/>
  <c r="O158" i="3"/>
  <c r="N158" i="3"/>
  <c r="M158" i="3"/>
  <c r="L158" i="3"/>
  <c r="K158" i="3"/>
  <c r="J158" i="3"/>
  <c r="E158" i="3"/>
  <c r="D158" i="3"/>
  <c r="C158" i="3"/>
  <c r="Q158" i="3" s="1"/>
  <c r="Q157" i="3"/>
  <c r="O157" i="3"/>
  <c r="N157" i="3"/>
  <c r="M157" i="3"/>
  <c r="K157" i="3"/>
  <c r="J157" i="3"/>
  <c r="C157" i="3"/>
  <c r="B157" i="3"/>
  <c r="O156" i="3"/>
  <c r="N156" i="3"/>
  <c r="M156" i="3"/>
  <c r="K156" i="3"/>
  <c r="J156" i="3"/>
  <c r="G156" i="3"/>
  <c r="F156" i="3"/>
  <c r="E156" i="3"/>
  <c r="C156" i="3"/>
  <c r="L156" i="3" s="1"/>
  <c r="B156" i="3"/>
  <c r="A156" i="3"/>
  <c r="O155" i="3"/>
  <c r="N155" i="3"/>
  <c r="M155" i="3"/>
  <c r="L155" i="3"/>
  <c r="K155" i="3"/>
  <c r="J155" i="3"/>
  <c r="E155" i="3"/>
  <c r="D155" i="3"/>
  <c r="C155" i="3"/>
  <c r="Q155" i="3" s="1"/>
  <c r="Q154" i="3"/>
  <c r="O154" i="3"/>
  <c r="N154" i="3"/>
  <c r="M154" i="3"/>
  <c r="K154" i="3"/>
  <c r="J154" i="3"/>
  <c r="C154" i="3"/>
  <c r="B154" i="3"/>
  <c r="O153" i="3"/>
  <c r="N153" i="3"/>
  <c r="M153" i="3"/>
  <c r="K153" i="3"/>
  <c r="J153" i="3"/>
  <c r="G153" i="3"/>
  <c r="F153" i="3"/>
  <c r="E153" i="3"/>
  <c r="C153" i="3"/>
  <c r="L153" i="3" s="1"/>
  <c r="B153" i="3"/>
  <c r="A153" i="3"/>
  <c r="O152" i="3"/>
  <c r="N152" i="3"/>
  <c r="M152" i="3"/>
  <c r="L152" i="3"/>
  <c r="K152" i="3"/>
  <c r="J152" i="3"/>
  <c r="E152" i="3"/>
  <c r="D152" i="3"/>
  <c r="C152" i="3"/>
  <c r="Q152" i="3" s="1"/>
  <c r="Q151" i="3"/>
  <c r="O151" i="3"/>
  <c r="N151" i="3"/>
  <c r="P151" i="3" s="1"/>
  <c r="T151" i="3" s="1"/>
  <c r="M151" i="3"/>
  <c r="K151" i="3"/>
  <c r="J151" i="3"/>
  <c r="C151" i="3"/>
  <c r="B151" i="3"/>
  <c r="O150" i="3"/>
  <c r="N150" i="3"/>
  <c r="M150" i="3"/>
  <c r="K150" i="3"/>
  <c r="J150" i="3"/>
  <c r="G150" i="3"/>
  <c r="F150" i="3"/>
  <c r="E150" i="3"/>
  <c r="C150" i="3"/>
  <c r="L150" i="3" s="1"/>
  <c r="B150" i="3"/>
  <c r="A150" i="3"/>
  <c r="O149" i="3"/>
  <c r="N149" i="3"/>
  <c r="M149" i="3"/>
  <c r="L149" i="3"/>
  <c r="K149" i="3"/>
  <c r="J149" i="3"/>
  <c r="E149" i="3"/>
  <c r="D149" i="3"/>
  <c r="C149" i="3"/>
  <c r="Q149" i="3" s="1"/>
  <c r="Q148" i="3"/>
  <c r="O148" i="3"/>
  <c r="N148" i="3"/>
  <c r="M148" i="3"/>
  <c r="K148" i="3"/>
  <c r="J148" i="3"/>
  <c r="C148" i="3"/>
  <c r="B148" i="3"/>
  <c r="O147" i="3"/>
  <c r="N147" i="3"/>
  <c r="M147" i="3"/>
  <c r="K147" i="3"/>
  <c r="J147" i="3"/>
  <c r="G147" i="3"/>
  <c r="F147" i="3"/>
  <c r="E147" i="3"/>
  <c r="C147" i="3"/>
  <c r="L147" i="3" s="1"/>
  <c r="B147" i="3"/>
  <c r="A147" i="3"/>
  <c r="O146" i="3"/>
  <c r="N146" i="3"/>
  <c r="M146" i="3"/>
  <c r="L146" i="3"/>
  <c r="K146" i="3"/>
  <c r="J146" i="3"/>
  <c r="E146" i="3"/>
  <c r="D146" i="3"/>
  <c r="C146" i="3"/>
  <c r="Q146" i="3" s="1"/>
  <c r="Q145" i="3"/>
  <c r="O145" i="3"/>
  <c r="P145" i="3" s="1"/>
  <c r="T145" i="3" s="1"/>
  <c r="N145" i="3"/>
  <c r="M145" i="3"/>
  <c r="K145" i="3"/>
  <c r="J145" i="3"/>
  <c r="C145" i="3"/>
  <c r="B145" i="3"/>
  <c r="O144" i="3"/>
  <c r="N144" i="3"/>
  <c r="M144" i="3"/>
  <c r="K144" i="3"/>
  <c r="J144" i="3"/>
  <c r="G144" i="3"/>
  <c r="F144" i="3"/>
  <c r="E144" i="3"/>
  <c r="C144" i="3"/>
  <c r="L144" i="3" s="1"/>
  <c r="B144" i="3"/>
  <c r="A144" i="3"/>
  <c r="O143" i="3"/>
  <c r="N143" i="3"/>
  <c r="M143" i="3"/>
  <c r="L143" i="3"/>
  <c r="K143" i="3"/>
  <c r="J143" i="3"/>
  <c r="E143" i="3"/>
  <c r="D143" i="3"/>
  <c r="C143" i="3"/>
  <c r="Q143" i="3" s="1"/>
  <c r="Q142" i="3"/>
  <c r="O142" i="3"/>
  <c r="N142" i="3"/>
  <c r="P142" i="3" s="1"/>
  <c r="T142" i="3" s="1"/>
  <c r="M142" i="3"/>
  <c r="K142" i="3"/>
  <c r="J142" i="3"/>
  <c r="C142" i="3"/>
  <c r="B142" i="3"/>
  <c r="O141" i="3"/>
  <c r="N141" i="3"/>
  <c r="M141" i="3"/>
  <c r="K141" i="3"/>
  <c r="J141" i="3"/>
  <c r="G141" i="3"/>
  <c r="F141" i="3"/>
  <c r="E141" i="3"/>
  <c r="C141" i="3"/>
  <c r="L141" i="3" s="1"/>
  <c r="B141" i="3"/>
  <c r="A141" i="3"/>
  <c r="O140" i="3"/>
  <c r="N140" i="3"/>
  <c r="M140" i="3"/>
  <c r="L140" i="3"/>
  <c r="K140" i="3"/>
  <c r="J140" i="3"/>
  <c r="E140" i="3"/>
  <c r="D140" i="3"/>
  <c r="C140" i="3"/>
  <c r="Q140" i="3" s="1"/>
  <c r="Q139" i="3"/>
  <c r="O139" i="3"/>
  <c r="N139" i="3"/>
  <c r="M139" i="3"/>
  <c r="K139" i="3"/>
  <c r="J139" i="3"/>
  <c r="C139" i="3"/>
  <c r="B139" i="3"/>
  <c r="O138" i="3"/>
  <c r="N138" i="3"/>
  <c r="M138" i="3"/>
  <c r="K138" i="3"/>
  <c r="J138" i="3"/>
  <c r="G138" i="3"/>
  <c r="F138" i="3"/>
  <c r="E138" i="3"/>
  <c r="C138" i="3"/>
  <c r="L138" i="3" s="1"/>
  <c r="B138" i="3"/>
  <c r="A138" i="3"/>
  <c r="O137" i="3"/>
  <c r="N137" i="3"/>
  <c r="M137" i="3"/>
  <c r="L137" i="3"/>
  <c r="K137" i="3"/>
  <c r="J137" i="3"/>
  <c r="E137" i="3"/>
  <c r="D137" i="3"/>
  <c r="C137" i="3"/>
  <c r="Q137" i="3" s="1"/>
  <c r="Q136" i="3"/>
  <c r="O136" i="3"/>
  <c r="N136" i="3"/>
  <c r="M136" i="3"/>
  <c r="K136" i="3"/>
  <c r="J136" i="3"/>
  <c r="C136" i="3"/>
  <c r="B136" i="3"/>
  <c r="O135" i="3"/>
  <c r="N135" i="3"/>
  <c r="M135" i="3"/>
  <c r="K135" i="3"/>
  <c r="J135" i="3"/>
  <c r="G135" i="3"/>
  <c r="F135" i="3"/>
  <c r="E135" i="3"/>
  <c r="C135" i="3"/>
  <c r="L135" i="3" s="1"/>
  <c r="B135" i="3"/>
  <c r="A135" i="3"/>
  <c r="O134" i="3"/>
  <c r="N134" i="3"/>
  <c r="M134" i="3"/>
  <c r="L134" i="3"/>
  <c r="K134" i="3"/>
  <c r="J134" i="3"/>
  <c r="E134" i="3"/>
  <c r="D134" i="3"/>
  <c r="C134" i="3"/>
  <c r="Q134" i="3" s="1"/>
  <c r="Q133" i="3"/>
  <c r="O133" i="3"/>
  <c r="N133" i="3"/>
  <c r="P133" i="3" s="1"/>
  <c r="T133" i="3" s="1"/>
  <c r="M133" i="3"/>
  <c r="K133" i="3"/>
  <c r="J133" i="3"/>
  <c r="C133" i="3"/>
  <c r="B133" i="3"/>
  <c r="O132" i="3"/>
  <c r="N132" i="3"/>
  <c r="M132" i="3"/>
  <c r="K132" i="3"/>
  <c r="J132" i="3"/>
  <c r="G132" i="3"/>
  <c r="F132" i="3"/>
  <c r="E132" i="3"/>
  <c r="C132" i="3"/>
  <c r="L132" i="3" s="1"/>
  <c r="B132" i="3"/>
  <c r="A132" i="3"/>
  <c r="O131" i="3"/>
  <c r="N131" i="3"/>
  <c r="M131" i="3"/>
  <c r="L131" i="3"/>
  <c r="K131" i="3"/>
  <c r="J131" i="3"/>
  <c r="E131" i="3"/>
  <c r="D131" i="3"/>
  <c r="C131" i="3"/>
  <c r="Q131" i="3" s="1"/>
  <c r="Q130" i="3"/>
  <c r="O130" i="3"/>
  <c r="N130" i="3"/>
  <c r="M130" i="3"/>
  <c r="K130" i="3"/>
  <c r="J130" i="3"/>
  <c r="C130" i="3"/>
  <c r="B130" i="3"/>
  <c r="O129" i="3"/>
  <c r="N129" i="3"/>
  <c r="M129" i="3"/>
  <c r="K129" i="3"/>
  <c r="J129" i="3"/>
  <c r="G129" i="3"/>
  <c r="F129" i="3"/>
  <c r="E129" i="3"/>
  <c r="C129" i="3"/>
  <c r="L129" i="3" s="1"/>
  <c r="B129" i="3"/>
  <c r="A129" i="3"/>
  <c r="O128" i="3"/>
  <c r="N128" i="3"/>
  <c r="M128" i="3"/>
  <c r="L128" i="3"/>
  <c r="K128" i="3"/>
  <c r="J128" i="3"/>
  <c r="E128" i="3"/>
  <c r="D128" i="3"/>
  <c r="C128" i="3"/>
  <c r="Q128" i="3" s="1"/>
  <c r="Q127" i="3"/>
  <c r="P127" i="3"/>
  <c r="T127" i="3" s="1"/>
  <c r="O127" i="3"/>
  <c r="N127" i="3"/>
  <c r="M127" i="3"/>
  <c r="K127" i="3"/>
  <c r="J127" i="3"/>
  <c r="C127" i="3"/>
  <c r="B127" i="3"/>
  <c r="O126" i="3"/>
  <c r="N126" i="3"/>
  <c r="M126" i="3"/>
  <c r="K126" i="3"/>
  <c r="J126" i="3"/>
  <c r="G126" i="3"/>
  <c r="F126" i="3"/>
  <c r="E126" i="3"/>
  <c r="C126" i="3"/>
  <c r="L126" i="3" s="1"/>
  <c r="B126" i="3"/>
  <c r="A126" i="3"/>
  <c r="O125" i="3"/>
  <c r="N125" i="3"/>
  <c r="M125" i="3"/>
  <c r="K125" i="3"/>
  <c r="J125" i="3"/>
  <c r="C125" i="3"/>
  <c r="E125" i="3" s="1"/>
  <c r="O124" i="3"/>
  <c r="N124" i="3"/>
  <c r="M124" i="3"/>
  <c r="K124" i="3"/>
  <c r="J124" i="3"/>
  <c r="C124" i="3"/>
  <c r="B124" i="3" s="1"/>
  <c r="O123" i="3"/>
  <c r="N123" i="3"/>
  <c r="M123" i="3"/>
  <c r="K123" i="3"/>
  <c r="J123" i="3"/>
  <c r="G123" i="3"/>
  <c r="F123" i="3"/>
  <c r="E123" i="3"/>
  <c r="C123" i="3"/>
  <c r="L123" i="3" s="1"/>
  <c r="B123" i="3"/>
  <c r="A123" i="3"/>
  <c r="Q122" i="3"/>
  <c r="O122" i="3"/>
  <c r="N122" i="3"/>
  <c r="M122" i="3"/>
  <c r="K122" i="3"/>
  <c r="J122" i="3"/>
  <c r="C122" i="3"/>
  <c r="L122" i="3" s="1"/>
  <c r="O121" i="3"/>
  <c r="N121" i="3"/>
  <c r="M121" i="3"/>
  <c r="K121" i="3"/>
  <c r="J121" i="3"/>
  <c r="C121" i="3"/>
  <c r="A121" i="3" s="1"/>
  <c r="O120" i="3"/>
  <c r="N120" i="3"/>
  <c r="M120" i="3"/>
  <c r="K120" i="3"/>
  <c r="J120" i="3"/>
  <c r="G120" i="3"/>
  <c r="F120" i="3"/>
  <c r="E120" i="3"/>
  <c r="C120" i="3"/>
  <c r="L120" i="3" s="1"/>
  <c r="B120" i="3"/>
  <c r="A120" i="3"/>
  <c r="O119" i="3"/>
  <c r="N119" i="3"/>
  <c r="M119" i="3"/>
  <c r="K119" i="3"/>
  <c r="J119" i="3"/>
  <c r="C119" i="3"/>
  <c r="Q119" i="3" s="1"/>
  <c r="O118" i="3"/>
  <c r="N118" i="3"/>
  <c r="M118" i="3"/>
  <c r="K118" i="3"/>
  <c r="J118" i="3"/>
  <c r="C118" i="3"/>
  <c r="B118" i="3" s="1"/>
  <c r="O117" i="3"/>
  <c r="N117" i="3"/>
  <c r="M117" i="3"/>
  <c r="K117" i="3"/>
  <c r="J117" i="3"/>
  <c r="G117" i="3"/>
  <c r="F117" i="3"/>
  <c r="E117" i="3"/>
  <c r="C117" i="3"/>
  <c r="L117" i="3" s="1"/>
  <c r="B117" i="3"/>
  <c r="A117" i="3"/>
  <c r="Q116" i="3"/>
  <c r="O116" i="3"/>
  <c r="N116" i="3"/>
  <c r="M116" i="3"/>
  <c r="K116" i="3"/>
  <c r="J116" i="3"/>
  <c r="C116" i="3"/>
  <c r="L116" i="3" s="1"/>
  <c r="O115" i="3"/>
  <c r="N115" i="3"/>
  <c r="M115" i="3"/>
  <c r="K115" i="3"/>
  <c r="J115" i="3"/>
  <c r="C115" i="3"/>
  <c r="G115" i="3" s="1"/>
  <c r="O114" i="3"/>
  <c r="N114" i="3"/>
  <c r="M114" i="3"/>
  <c r="K114" i="3"/>
  <c r="J114" i="3"/>
  <c r="G114" i="3"/>
  <c r="F114" i="3"/>
  <c r="E114" i="3"/>
  <c r="C114" i="3"/>
  <c r="L114" i="3" s="1"/>
  <c r="B114" i="3"/>
  <c r="A114" i="3"/>
  <c r="O113" i="3"/>
  <c r="N113" i="3"/>
  <c r="M113" i="3"/>
  <c r="K113" i="3"/>
  <c r="J113" i="3"/>
  <c r="C113" i="3"/>
  <c r="Q113" i="3" s="1"/>
  <c r="O112" i="3"/>
  <c r="N112" i="3"/>
  <c r="M112" i="3"/>
  <c r="K112" i="3"/>
  <c r="J112" i="3"/>
  <c r="C112" i="3"/>
  <c r="B112" i="3" s="1"/>
  <c r="O111" i="3"/>
  <c r="N111" i="3"/>
  <c r="M111" i="3"/>
  <c r="K111" i="3"/>
  <c r="J111" i="3"/>
  <c r="G111" i="3"/>
  <c r="F111" i="3"/>
  <c r="E111" i="3"/>
  <c r="C111" i="3"/>
  <c r="L111" i="3" s="1"/>
  <c r="B111" i="3"/>
  <c r="A111" i="3"/>
  <c r="Q110" i="3"/>
  <c r="O110" i="3"/>
  <c r="N110" i="3"/>
  <c r="M110" i="3"/>
  <c r="K110" i="3"/>
  <c r="J110" i="3"/>
  <c r="C110" i="3"/>
  <c r="L110" i="3" s="1"/>
  <c r="O109" i="3"/>
  <c r="N109" i="3"/>
  <c r="M109" i="3"/>
  <c r="K109" i="3"/>
  <c r="J109" i="3"/>
  <c r="C109" i="3"/>
  <c r="O108" i="3"/>
  <c r="N108" i="3"/>
  <c r="M108" i="3"/>
  <c r="K108" i="3"/>
  <c r="J108" i="3"/>
  <c r="G108" i="3"/>
  <c r="F108" i="3"/>
  <c r="E108" i="3"/>
  <c r="C108" i="3"/>
  <c r="L108" i="3" s="1"/>
  <c r="B108" i="3"/>
  <c r="A108" i="3"/>
  <c r="O107" i="3"/>
  <c r="N107" i="3"/>
  <c r="M107" i="3"/>
  <c r="K107" i="3"/>
  <c r="J107" i="3"/>
  <c r="C107" i="3"/>
  <c r="D107" i="3" s="1"/>
  <c r="O106" i="3"/>
  <c r="N106" i="3"/>
  <c r="M106" i="3"/>
  <c r="K106" i="3"/>
  <c r="J106" i="3"/>
  <c r="C106" i="3"/>
  <c r="B106" i="3" s="1"/>
  <c r="O105" i="3"/>
  <c r="N105" i="3"/>
  <c r="M105" i="3"/>
  <c r="K105" i="3"/>
  <c r="J105" i="3"/>
  <c r="G105" i="3"/>
  <c r="F105" i="3"/>
  <c r="E105" i="3"/>
  <c r="C105" i="3"/>
  <c r="L105" i="3" s="1"/>
  <c r="B105" i="3"/>
  <c r="A105" i="3"/>
  <c r="Q104" i="3"/>
  <c r="O104" i="3"/>
  <c r="N104" i="3"/>
  <c r="M104" i="3"/>
  <c r="K104" i="3"/>
  <c r="J104" i="3"/>
  <c r="D104" i="3"/>
  <c r="C104" i="3"/>
  <c r="L104" i="3" s="1"/>
  <c r="O103" i="3"/>
  <c r="N103" i="3"/>
  <c r="M103" i="3"/>
  <c r="K103" i="3"/>
  <c r="J103" i="3"/>
  <c r="C103" i="3"/>
  <c r="O102" i="3"/>
  <c r="N102" i="3"/>
  <c r="M102" i="3"/>
  <c r="K102" i="3"/>
  <c r="J102" i="3"/>
  <c r="G102" i="3"/>
  <c r="F102" i="3"/>
  <c r="E102" i="3"/>
  <c r="C102" i="3"/>
  <c r="L102" i="3" s="1"/>
  <c r="B102" i="3"/>
  <c r="A102" i="3"/>
  <c r="O101" i="3"/>
  <c r="N101" i="3"/>
  <c r="M101" i="3"/>
  <c r="K101" i="3"/>
  <c r="J101" i="3"/>
  <c r="C101" i="3"/>
  <c r="O100" i="3"/>
  <c r="N100" i="3"/>
  <c r="M100" i="3"/>
  <c r="K100" i="3"/>
  <c r="J100" i="3"/>
  <c r="G100" i="3"/>
  <c r="C100" i="3"/>
  <c r="B100" i="3" s="1"/>
  <c r="O99" i="3"/>
  <c r="N99" i="3"/>
  <c r="M99" i="3"/>
  <c r="K99" i="3"/>
  <c r="J99" i="3"/>
  <c r="G99" i="3"/>
  <c r="F99" i="3"/>
  <c r="E99" i="3"/>
  <c r="C99" i="3"/>
  <c r="L99" i="3" s="1"/>
  <c r="B99" i="3"/>
  <c r="A99" i="3"/>
  <c r="Q98" i="3"/>
  <c r="O98" i="3"/>
  <c r="N98" i="3"/>
  <c r="M98" i="3"/>
  <c r="K98" i="3"/>
  <c r="J98" i="3"/>
  <c r="D98" i="3"/>
  <c r="C98" i="3"/>
  <c r="L98" i="3" s="1"/>
  <c r="O97" i="3"/>
  <c r="N97" i="3"/>
  <c r="M97" i="3"/>
  <c r="K97" i="3"/>
  <c r="J97" i="3"/>
  <c r="C97" i="3"/>
  <c r="A97" i="3" s="1"/>
  <c r="O96" i="3"/>
  <c r="N96" i="3"/>
  <c r="M96" i="3"/>
  <c r="K96" i="3"/>
  <c r="J96" i="3"/>
  <c r="G96" i="3"/>
  <c r="F96" i="3"/>
  <c r="E96" i="3"/>
  <c r="C96" i="3"/>
  <c r="L96" i="3" s="1"/>
  <c r="B96" i="3"/>
  <c r="A96" i="3"/>
  <c r="O95" i="3"/>
  <c r="N95" i="3"/>
  <c r="M95" i="3"/>
  <c r="K95" i="3"/>
  <c r="J95" i="3"/>
  <c r="C95" i="3"/>
  <c r="Q95" i="3" s="1"/>
  <c r="O94" i="3"/>
  <c r="N94" i="3"/>
  <c r="M94" i="3"/>
  <c r="K94" i="3"/>
  <c r="J94" i="3"/>
  <c r="G94" i="3"/>
  <c r="C94" i="3"/>
  <c r="B94" i="3" s="1"/>
  <c r="O93" i="3"/>
  <c r="N93" i="3"/>
  <c r="M93" i="3"/>
  <c r="K93" i="3"/>
  <c r="J93" i="3"/>
  <c r="G93" i="3"/>
  <c r="F93" i="3"/>
  <c r="E93" i="3"/>
  <c r="C93" i="3"/>
  <c r="L93" i="3" s="1"/>
  <c r="B93" i="3"/>
  <c r="A93" i="3"/>
  <c r="Q92" i="3"/>
  <c r="O92" i="3"/>
  <c r="N92" i="3"/>
  <c r="M92" i="3"/>
  <c r="K92" i="3"/>
  <c r="J92" i="3"/>
  <c r="D92" i="3"/>
  <c r="C92" i="3"/>
  <c r="L92" i="3" s="1"/>
  <c r="O91" i="3"/>
  <c r="N91" i="3"/>
  <c r="M91" i="3"/>
  <c r="K91" i="3"/>
  <c r="J91" i="3"/>
  <c r="C91" i="3"/>
  <c r="A91" i="3" s="1"/>
  <c r="O90" i="3"/>
  <c r="N90" i="3"/>
  <c r="M90" i="3"/>
  <c r="K90" i="3"/>
  <c r="J90" i="3"/>
  <c r="G90" i="3"/>
  <c r="F90" i="3"/>
  <c r="E90" i="3"/>
  <c r="C90" i="3"/>
  <c r="L90" i="3" s="1"/>
  <c r="B90" i="3"/>
  <c r="A90" i="3"/>
  <c r="O89" i="3"/>
  <c r="N89" i="3"/>
  <c r="M89" i="3"/>
  <c r="K89" i="3"/>
  <c r="J89" i="3"/>
  <c r="C89" i="3"/>
  <c r="P88" i="3"/>
  <c r="T88" i="3" s="1"/>
  <c r="O88" i="3"/>
  <c r="N88" i="3"/>
  <c r="M88" i="3"/>
  <c r="K88" i="3"/>
  <c r="J88" i="3"/>
  <c r="G88" i="3"/>
  <c r="C88" i="3"/>
  <c r="B88" i="3" s="1"/>
  <c r="O87" i="3"/>
  <c r="N87" i="3"/>
  <c r="M87" i="3"/>
  <c r="K87" i="3"/>
  <c r="J87" i="3"/>
  <c r="G87" i="3"/>
  <c r="F87" i="3"/>
  <c r="E87" i="3"/>
  <c r="C87" i="3"/>
  <c r="L87" i="3" s="1"/>
  <c r="B87" i="3"/>
  <c r="A87" i="3"/>
  <c r="Q86" i="3"/>
  <c r="O86" i="3"/>
  <c r="N86" i="3"/>
  <c r="M86" i="3"/>
  <c r="K86" i="3"/>
  <c r="J86" i="3"/>
  <c r="D86" i="3"/>
  <c r="C86" i="3"/>
  <c r="L86" i="3" s="1"/>
  <c r="O85" i="3"/>
  <c r="N85" i="3"/>
  <c r="M85" i="3"/>
  <c r="K85" i="3"/>
  <c r="J85" i="3"/>
  <c r="C85" i="3"/>
  <c r="G85" i="3" s="1"/>
  <c r="O84" i="3"/>
  <c r="N84" i="3"/>
  <c r="M84" i="3"/>
  <c r="K84" i="3"/>
  <c r="J84" i="3"/>
  <c r="G84" i="3"/>
  <c r="F84" i="3"/>
  <c r="E84" i="3"/>
  <c r="C84" i="3"/>
  <c r="L84" i="3" s="1"/>
  <c r="B84" i="3"/>
  <c r="A84" i="3"/>
  <c r="O83" i="3"/>
  <c r="N83" i="3"/>
  <c r="M83" i="3"/>
  <c r="K83" i="3"/>
  <c r="J83" i="3"/>
  <c r="C83" i="3"/>
  <c r="D83" i="3" s="1"/>
  <c r="O82" i="3"/>
  <c r="N82" i="3"/>
  <c r="M82" i="3"/>
  <c r="K82" i="3"/>
  <c r="J82" i="3"/>
  <c r="G82" i="3"/>
  <c r="C82" i="3"/>
  <c r="B82" i="3" s="1"/>
  <c r="O81" i="3"/>
  <c r="N81" i="3"/>
  <c r="M81" i="3"/>
  <c r="K81" i="3"/>
  <c r="J81" i="3"/>
  <c r="G81" i="3"/>
  <c r="F81" i="3"/>
  <c r="E81" i="3"/>
  <c r="C81" i="3"/>
  <c r="L81" i="3" s="1"/>
  <c r="B81" i="3"/>
  <c r="A81" i="3"/>
  <c r="Q80" i="3"/>
  <c r="O80" i="3"/>
  <c r="N80" i="3"/>
  <c r="M80" i="3"/>
  <c r="K80" i="3"/>
  <c r="J80" i="3"/>
  <c r="D80" i="3"/>
  <c r="C80" i="3"/>
  <c r="L80" i="3" s="1"/>
  <c r="O79" i="3"/>
  <c r="N79" i="3"/>
  <c r="M79" i="3"/>
  <c r="K79" i="3"/>
  <c r="J79" i="3"/>
  <c r="C79" i="3"/>
  <c r="Q79" i="3" s="1"/>
  <c r="O78" i="3"/>
  <c r="N78" i="3"/>
  <c r="M78" i="3"/>
  <c r="K78" i="3"/>
  <c r="J78" i="3"/>
  <c r="G78" i="3"/>
  <c r="F78" i="3"/>
  <c r="E78" i="3"/>
  <c r="C78" i="3"/>
  <c r="L78" i="3" s="1"/>
  <c r="B78" i="3"/>
  <c r="A78" i="3"/>
  <c r="O77" i="3"/>
  <c r="N77" i="3"/>
  <c r="M77" i="3"/>
  <c r="K77" i="3"/>
  <c r="J77" i="3"/>
  <c r="C77" i="3"/>
  <c r="Q77" i="3" s="1"/>
  <c r="O76" i="3"/>
  <c r="N76" i="3"/>
  <c r="M76" i="3"/>
  <c r="K76" i="3"/>
  <c r="J76" i="3"/>
  <c r="G76" i="3"/>
  <c r="C76" i="3"/>
  <c r="B76" i="3" s="1"/>
  <c r="O75" i="3"/>
  <c r="N75" i="3"/>
  <c r="M75" i="3"/>
  <c r="K75" i="3"/>
  <c r="J75" i="3"/>
  <c r="G75" i="3"/>
  <c r="F75" i="3"/>
  <c r="E75" i="3"/>
  <c r="C75" i="3"/>
  <c r="L75" i="3" s="1"/>
  <c r="B75" i="3"/>
  <c r="A75" i="3"/>
  <c r="Q74" i="3"/>
  <c r="O74" i="3"/>
  <c r="N74" i="3"/>
  <c r="M74" i="3"/>
  <c r="K74" i="3"/>
  <c r="J74" i="3"/>
  <c r="D74" i="3"/>
  <c r="C74" i="3"/>
  <c r="L74" i="3" s="1"/>
  <c r="O73" i="3"/>
  <c r="P73" i="3" s="1"/>
  <c r="T73" i="3" s="1"/>
  <c r="N73" i="3"/>
  <c r="M73" i="3"/>
  <c r="K73" i="3"/>
  <c r="J73" i="3"/>
  <c r="C73" i="3"/>
  <c r="G73" i="3" s="1"/>
  <c r="O72" i="3"/>
  <c r="N72" i="3"/>
  <c r="M72" i="3"/>
  <c r="K72" i="3"/>
  <c r="J72" i="3"/>
  <c r="G72" i="3"/>
  <c r="F72" i="3"/>
  <c r="E72" i="3"/>
  <c r="C72" i="3"/>
  <c r="L72" i="3" s="1"/>
  <c r="B72" i="3"/>
  <c r="A72" i="3"/>
  <c r="O71" i="3"/>
  <c r="N71" i="3"/>
  <c r="M71" i="3"/>
  <c r="K71" i="3"/>
  <c r="J71" i="3"/>
  <c r="C71" i="3"/>
  <c r="E71" i="3" s="1"/>
  <c r="O70" i="3"/>
  <c r="N70" i="3"/>
  <c r="M70" i="3"/>
  <c r="K70" i="3"/>
  <c r="J70" i="3"/>
  <c r="G70" i="3"/>
  <c r="C70" i="3"/>
  <c r="B70" i="3" s="1"/>
  <c r="O69" i="3"/>
  <c r="N69" i="3"/>
  <c r="M69" i="3"/>
  <c r="K69" i="3"/>
  <c r="J69" i="3"/>
  <c r="G69" i="3"/>
  <c r="F69" i="3"/>
  <c r="E69" i="3"/>
  <c r="C69" i="3"/>
  <c r="L69" i="3" s="1"/>
  <c r="B69" i="3"/>
  <c r="A69" i="3"/>
  <c r="Q68" i="3"/>
  <c r="O68" i="3"/>
  <c r="N68" i="3"/>
  <c r="M68" i="3"/>
  <c r="K68" i="3"/>
  <c r="J68" i="3"/>
  <c r="D68" i="3"/>
  <c r="C68" i="3"/>
  <c r="L68" i="3" s="1"/>
  <c r="O67" i="3"/>
  <c r="N67" i="3"/>
  <c r="M67" i="3"/>
  <c r="K67" i="3"/>
  <c r="J67" i="3"/>
  <c r="C67" i="3"/>
  <c r="Q67" i="3" s="1"/>
  <c r="O66" i="3"/>
  <c r="N66" i="3"/>
  <c r="M66" i="3"/>
  <c r="K66" i="3"/>
  <c r="J66" i="3"/>
  <c r="G66" i="3"/>
  <c r="F66" i="3"/>
  <c r="E66" i="3"/>
  <c r="C66" i="3"/>
  <c r="L66" i="3" s="1"/>
  <c r="B66" i="3"/>
  <c r="A66" i="3"/>
  <c r="O65" i="3"/>
  <c r="N65" i="3"/>
  <c r="M65" i="3"/>
  <c r="K65" i="3"/>
  <c r="J65" i="3"/>
  <c r="C65" i="3"/>
  <c r="Q65" i="3" s="1"/>
  <c r="P64" i="3"/>
  <c r="T64" i="3" s="1"/>
  <c r="O64" i="3"/>
  <c r="N64" i="3"/>
  <c r="M64" i="3"/>
  <c r="K64" i="3"/>
  <c r="J64" i="3"/>
  <c r="G64" i="3"/>
  <c r="C64" i="3"/>
  <c r="B64" i="3" s="1"/>
  <c r="O63" i="3"/>
  <c r="N63" i="3"/>
  <c r="M63" i="3"/>
  <c r="K63" i="3"/>
  <c r="J63" i="3"/>
  <c r="G63" i="3"/>
  <c r="F63" i="3"/>
  <c r="E63" i="3"/>
  <c r="C63" i="3"/>
  <c r="L63" i="3" s="1"/>
  <c r="B63" i="3"/>
  <c r="A63" i="3"/>
  <c r="Q62" i="3"/>
  <c r="O62" i="3"/>
  <c r="N62" i="3"/>
  <c r="M62" i="3"/>
  <c r="K62" i="3"/>
  <c r="J62" i="3"/>
  <c r="D62" i="3"/>
  <c r="C62" i="3"/>
  <c r="L62" i="3" s="1"/>
  <c r="O61" i="3"/>
  <c r="N61" i="3"/>
  <c r="M61" i="3"/>
  <c r="K61" i="3"/>
  <c r="J61" i="3"/>
  <c r="C61" i="3"/>
  <c r="G61" i="3" s="1"/>
  <c r="O60" i="3"/>
  <c r="N60" i="3"/>
  <c r="M60" i="3"/>
  <c r="K60" i="3"/>
  <c r="J60" i="3"/>
  <c r="G60" i="3"/>
  <c r="F60" i="3"/>
  <c r="E60" i="3"/>
  <c r="C60" i="3"/>
  <c r="L60" i="3" s="1"/>
  <c r="B60" i="3"/>
  <c r="A60" i="3"/>
  <c r="O59" i="3"/>
  <c r="N59" i="3"/>
  <c r="M59" i="3"/>
  <c r="K59" i="3"/>
  <c r="J59" i="3"/>
  <c r="C59" i="3"/>
  <c r="D59" i="3" s="1"/>
  <c r="O58" i="3"/>
  <c r="N58" i="3"/>
  <c r="P58" i="3" s="1"/>
  <c r="T58" i="3" s="1"/>
  <c r="M58" i="3"/>
  <c r="K58" i="3"/>
  <c r="J58" i="3"/>
  <c r="G58" i="3"/>
  <c r="C58" i="3"/>
  <c r="B58" i="3" s="1"/>
  <c r="O57" i="3"/>
  <c r="N57" i="3"/>
  <c r="M57" i="3"/>
  <c r="K57" i="3"/>
  <c r="J57" i="3"/>
  <c r="G57" i="3"/>
  <c r="F57" i="3"/>
  <c r="E57" i="3"/>
  <c r="C57" i="3"/>
  <c r="L57" i="3" s="1"/>
  <c r="B57" i="3"/>
  <c r="A57" i="3"/>
  <c r="Q56" i="3"/>
  <c r="O56" i="3"/>
  <c r="N56" i="3"/>
  <c r="M56" i="3"/>
  <c r="K56" i="3"/>
  <c r="J56" i="3"/>
  <c r="D56" i="3"/>
  <c r="C56" i="3"/>
  <c r="L56" i="3" s="1"/>
  <c r="O55" i="3"/>
  <c r="N55" i="3"/>
  <c r="M55" i="3"/>
  <c r="K55" i="3"/>
  <c r="J55" i="3"/>
  <c r="C55" i="3"/>
  <c r="O54" i="3"/>
  <c r="N54" i="3"/>
  <c r="M54" i="3"/>
  <c r="K54" i="3"/>
  <c r="J54" i="3"/>
  <c r="G54" i="3"/>
  <c r="F54" i="3"/>
  <c r="E54" i="3"/>
  <c r="C54" i="3"/>
  <c r="L54" i="3" s="1"/>
  <c r="B54" i="3"/>
  <c r="A54" i="3"/>
  <c r="O53" i="3"/>
  <c r="N53" i="3"/>
  <c r="M53" i="3"/>
  <c r="K53" i="3"/>
  <c r="J53" i="3"/>
  <c r="C53" i="3"/>
  <c r="Q53" i="3" s="1"/>
  <c r="O52" i="3"/>
  <c r="N52" i="3"/>
  <c r="P52" i="3" s="1"/>
  <c r="T52" i="3" s="1"/>
  <c r="M52" i="3"/>
  <c r="K52" i="3"/>
  <c r="J52" i="3"/>
  <c r="G52" i="3"/>
  <c r="C52" i="3"/>
  <c r="B52" i="3" s="1"/>
  <c r="O51" i="3"/>
  <c r="N51" i="3"/>
  <c r="M51" i="3"/>
  <c r="K51" i="3"/>
  <c r="J51" i="3"/>
  <c r="G51" i="3"/>
  <c r="F51" i="3"/>
  <c r="E51" i="3"/>
  <c r="C51" i="3"/>
  <c r="L51" i="3" s="1"/>
  <c r="B51" i="3"/>
  <c r="A51" i="3"/>
  <c r="Q50" i="3"/>
  <c r="O50" i="3"/>
  <c r="N50" i="3"/>
  <c r="M50" i="3"/>
  <c r="K50" i="3"/>
  <c r="J50" i="3"/>
  <c r="D50" i="3"/>
  <c r="C50" i="3"/>
  <c r="L50" i="3" s="1"/>
  <c r="O49" i="3"/>
  <c r="N49" i="3"/>
  <c r="M49" i="3"/>
  <c r="K49" i="3"/>
  <c r="J49" i="3"/>
  <c r="C49" i="3"/>
  <c r="O48" i="3"/>
  <c r="N48" i="3"/>
  <c r="M48" i="3"/>
  <c r="K48" i="3"/>
  <c r="J48" i="3"/>
  <c r="G48" i="3"/>
  <c r="F48" i="3"/>
  <c r="E48" i="3"/>
  <c r="C48" i="3"/>
  <c r="L48" i="3" s="1"/>
  <c r="B48" i="3"/>
  <c r="A48" i="3"/>
  <c r="O47" i="3"/>
  <c r="N47" i="3"/>
  <c r="M47" i="3"/>
  <c r="K47" i="3"/>
  <c r="J47" i="3"/>
  <c r="C47" i="3"/>
  <c r="O46" i="3"/>
  <c r="N46" i="3"/>
  <c r="M46" i="3"/>
  <c r="K46" i="3"/>
  <c r="J46" i="3"/>
  <c r="G46" i="3"/>
  <c r="C46" i="3"/>
  <c r="B46" i="3" s="1"/>
  <c r="O45" i="3"/>
  <c r="N45" i="3"/>
  <c r="M45" i="3"/>
  <c r="K45" i="3"/>
  <c r="J45" i="3"/>
  <c r="G45" i="3"/>
  <c r="F45" i="3"/>
  <c r="E45" i="3"/>
  <c r="C45" i="3"/>
  <c r="L45" i="3" s="1"/>
  <c r="B45" i="3"/>
  <c r="A45" i="3"/>
  <c r="Q44" i="3"/>
  <c r="O44" i="3"/>
  <c r="N44" i="3"/>
  <c r="M44" i="3"/>
  <c r="K44" i="3"/>
  <c r="J44" i="3"/>
  <c r="D44" i="3"/>
  <c r="C44" i="3"/>
  <c r="L44" i="3" s="1"/>
  <c r="O43" i="3"/>
  <c r="N43" i="3"/>
  <c r="M43" i="3"/>
  <c r="K43" i="3"/>
  <c r="J43" i="3"/>
  <c r="C43" i="3"/>
  <c r="O42" i="3"/>
  <c r="N42" i="3"/>
  <c r="M42" i="3"/>
  <c r="K42" i="3"/>
  <c r="J42" i="3"/>
  <c r="G42" i="3"/>
  <c r="F42" i="3"/>
  <c r="E42" i="3"/>
  <c r="C42" i="3"/>
  <c r="L42" i="3" s="1"/>
  <c r="B42" i="3"/>
  <c r="A42" i="3"/>
  <c r="O41" i="3"/>
  <c r="N41" i="3"/>
  <c r="M41" i="3"/>
  <c r="K41" i="3"/>
  <c r="J41" i="3"/>
  <c r="C41" i="3"/>
  <c r="O40" i="3"/>
  <c r="N40" i="3"/>
  <c r="M40" i="3"/>
  <c r="K40" i="3"/>
  <c r="J40" i="3"/>
  <c r="G40" i="3"/>
  <c r="C40" i="3"/>
  <c r="B40" i="3" s="1"/>
  <c r="O39" i="3"/>
  <c r="N39" i="3"/>
  <c r="M39" i="3"/>
  <c r="K39" i="3"/>
  <c r="J39" i="3"/>
  <c r="G39" i="3"/>
  <c r="F39" i="3"/>
  <c r="E39" i="3"/>
  <c r="C39" i="3"/>
  <c r="L39" i="3" s="1"/>
  <c r="B39" i="3"/>
  <c r="A39" i="3"/>
  <c r="Q38" i="3"/>
  <c r="O38" i="3"/>
  <c r="N38" i="3"/>
  <c r="M38" i="3"/>
  <c r="K38" i="3"/>
  <c r="J38" i="3"/>
  <c r="D38" i="3"/>
  <c r="C38" i="3"/>
  <c r="L38" i="3" s="1"/>
  <c r="O37" i="3"/>
  <c r="N37" i="3"/>
  <c r="M37" i="3"/>
  <c r="K37" i="3"/>
  <c r="J37" i="3"/>
  <c r="C37" i="3"/>
  <c r="A37" i="3" s="1"/>
  <c r="O36" i="3"/>
  <c r="N36" i="3"/>
  <c r="M36" i="3"/>
  <c r="K36" i="3"/>
  <c r="J36" i="3"/>
  <c r="G36" i="3"/>
  <c r="F36" i="3"/>
  <c r="E36" i="3"/>
  <c r="C36" i="3"/>
  <c r="L36" i="3" s="1"/>
  <c r="B36" i="3"/>
  <c r="A36" i="3"/>
  <c r="O35" i="3"/>
  <c r="N35" i="3"/>
  <c r="M35" i="3"/>
  <c r="K35" i="3"/>
  <c r="J35" i="3"/>
  <c r="C35" i="3"/>
  <c r="E35" i="3" s="1"/>
  <c r="O34" i="3"/>
  <c r="N34" i="3"/>
  <c r="M34" i="3"/>
  <c r="K34" i="3"/>
  <c r="J34" i="3"/>
  <c r="G34" i="3"/>
  <c r="C34" i="3"/>
  <c r="B34" i="3" s="1"/>
  <c r="O33" i="3"/>
  <c r="N33" i="3"/>
  <c r="M33" i="3"/>
  <c r="K33" i="3"/>
  <c r="J33" i="3"/>
  <c r="G33" i="3"/>
  <c r="F33" i="3"/>
  <c r="E33" i="3"/>
  <c r="C33" i="3"/>
  <c r="L33" i="3" s="1"/>
  <c r="B33" i="3"/>
  <c r="A33" i="3"/>
  <c r="Q32" i="3"/>
  <c r="O32" i="3"/>
  <c r="N32" i="3"/>
  <c r="M32" i="3"/>
  <c r="K32" i="3"/>
  <c r="J32" i="3"/>
  <c r="D32" i="3"/>
  <c r="C32" i="3"/>
  <c r="L32" i="3" s="1"/>
  <c r="O31" i="3"/>
  <c r="N31" i="3"/>
  <c r="M31" i="3"/>
  <c r="K31" i="3"/>
  <c r="J31" i="3"/>
  <c r="C31" i="3"/>
  <c r="Q31" i="3" s="1"/>
  <c r="O30" i="3"/>
  <c r="N30" i="3"/>
  <c r="M30" i="3"/>
  <c r="K30" i="3"/>
  <c r="J30" i="3"/>
  <c r="G30" i="3"/>
  <c r="F30" i="3"/>
  <c r="E30" i="3"/>
  <c r="C30" i="3"/>
  <c r="L30" i="3" s="1"/>
  <c r="B30" i="3"/>
  <c r="A30" i="3"/>
  <c r="O29" i="3"/>
  <c r="N29" i="3"/>
  <c r="M29" i="3"/>
  <c r="K29" i="3"/>
  <c r="J29" i="3"/>
  <c r="C29" i="3"/>
  <c r="O28" i="3"/>
  <c r="N28" i="3"/>
  <c r="M28" i="3"/>
  <c r="K28" i="3"/>
  <c r="J28" i="3"/>
  <c r="G28" i="3"/>
  <c r="C28" i="3"/>
  <c r="B28" i="3" s="1"/>
  <c r="O27" i="3"/>
  <c r="N27" i="3"/>
  <c r="M27" i="3"/>
  <c r="K27" i="3"/>
  <c r="J27" i="3"/>
  <c r="G27" i="3"/>
  <c r="F27" i="3"/>
  <c r="E27" i="3"/>
  <c r="C27" i="3"/>
  <c r="L27" i="3" s="1"/>
  <c r="B27" i="3"/>
  <c r="A27" i="3"/>
  <c r="Q26" i="3"/>
  <c r="O26" i="3"/>
  <c r="N26" i="3"/>
  <c r="M26" i="3"/>
  <c r="K26" i="3"/>
  <c r="J26" i="3"/>
  <c r="D26" i="3"/>
  <c r="C26" i="3"/>
  <c r="L26" i="3" s="1"/>
  <c r="O25" i="3"/>
  <c r="N25" i="3"/>
  <c r="M25" i="3"/>
  <c r="K25" i="3"/>
  <c r="J25" i="3"/>
  <c r="C25" i="3"/>
  <c r="Q25" i="3" s="1"/>
  <c r="O24" i="3"/>
  <c r="N24" i="3"/>
  <c r="M24" i="3"/>
  <c r="K24" i="3"/>
  <c r="J24" i="3"/>
  <c r="G24" i="3"/>
  <c r="F24" i="3"/>
  <c r="E24" i="3"/>
  <c r="C24" i="3"/>
  <c r="L24" i="3" s="1"/>
  <c r="B24" i="3"/>
  <c r="A24" i="3"/>
  <c r="O23" i="3"/>
  <c r="N23" i="3"/>
  <c r="P23" i="3" s="1"/>
  <c r="T23" i="3" s="1"/>
  <c r="M23" i="3"/>
  <c r="K23" i="3"/>
  <c r="J23" i="3"/>
  <c r="C23" i="3"/>
  <c r="O22" i="3"/>
  <c r="N22" i="3"/>
  <c r="P22" i="3" s="1"/>
  <c r="T22" i="3" s="1"/>
  <c r="M22" i="3"/>
  <c r="K22" i="3"/>
  <c r="J22" i="3"/>
  <c r="G22" i="3"/>
  <c r="C22" i="3"/>
  <c r="B22" i="3" s="1"/>
  <c r="O21" i="3"/>
  <c r="N21" i="3"/>
  <c r="M21" i="3"/>
  <c r="K21" i="3"/>
  <c r="J21" i="3"/>
  <c r="G21" i="3"/>
  <c r="F21" i="3"/>
  <c r="E21" i="3"/>
  <c r="C21" i="3"/>
  <c r="L21" i="3" s="1"/>
  <c r="B21" i="3"/>
  <c r="A21" i="3"/>
  <c r="Q20" i="3"/>
  <c r="O20" i="3"/>
  <c r="N20" i="3"/>
  <c r="M20" i="3"/>
  <c r="K20" i="3"/>
  <c r="J20" i="3"/>
  <c r="D20" i="3"/>
  <c r="C20" i="3"/>
  <c r="L20" i="3" s="1"/>
  <c r="O19" i="3"/>
  <c r="N19" i="3"/>
  <c r="M19" i="3"/>
  <c r="K19" i="3"/>
  <c r="J19" i="3"/>
  <c r="C19" i="3"/>
  <c r="Q19" i="3" s="1"/>
  <c r="O18" i="3"/>
  <c r="N18" i="3"/>
  <c r="M18" i="3"/>
  <c r="K18" i="3"/>
  <c r="J18" i="3"/>
  <c r="G18" i="3"/>
  <c r="F18" i="3"/>
  <c r="E18" i="3"/>
  <c r="C18" i="3"/>
  <c r="L18" i="3" s="1"/>
  <c r="B18" i="3"/>
  <c r="A18" i="3"/>
  <c r="O17" i="3"/>
  <c r="N17" i="3"/>
  <c r="M17" i="3"/>
  <c r="K17" i="3"/>
  <c r="J17" i="3"/>
  <c r="C17" i="3"/>
  <c r="E17" i="3" s="1"/>
  <c r="O16" i="3"/>
  <c r="N16" i="3"/>
  <c r="P16" i="3" s="1"/>
  <c r="T16" i="3" s="1"/>
  <c r="M16" i="3"/>
  <c r="K16" i="3"/>
  <c r="J16" i="3"/>
  <c r="G16" i="3"/>
  <c r="C16" i="3"/>
  <c r="B16" i="3" s="1"/>
  <c r="O15" i="3"/>
  <c r="N15" i="3"/>
  <c r="M15" i="3"/>
  <c r="K15" i="3"/>
  <c r="J15" i="3"/>
  <c r="G15" i="3"/>
  <c r="F15" i="3"/>
  <c r="E15" i="3"/>
  <c r="C15" i="3"/>
  <c r="L15" i="3" s="1"/>
  <c r="B15" i="3"/>
  <c r="A15" i="3"/>
  <c r="Q14" i="3"/>
  <c r="O14" i="3"/>
  <c r="N14" i="3"/>
  <c r="M14" i="3"/>
  <c r="K14" i="3"/>
  <c r="J14" i="3"/>
  <c r="D14" i="3"/>
  <c r="C14" i="3"/>
  <c r="L14" i="3" s="1"/>
  <c r="O13" i="3"/>
  <c r="N13" i="3"/>
  <c r="M13" i="3"/>
  <c r="K13" i="3"/>
  <c r="J13" i="3"/>
  <c r="C13" i="3"/>
  <c r="O12" i="3"/>
  <c r="N12" i="3"/>
  <c r="M12" i="3"/>
  <c r="K12" i="3"/>
  <c r="J12" i="3"/>
  <c r="G12" i="3"/>
  <c r="F12" i="3"/>
  <c r="E12" i="3"/>
  <c r="C12" i="3"/>
  <c r="L12" i="3" s="1"/>
  <c r="B12" i="3"/>
  <c r="A12" i="3"/>
  <c r="O11" i="3"/>
  <c r="N11" i="3"/>
  <c r="M11" i="3"/>
  <c r="K11" i="3"/>
  <c r="J11" i="3"/>
  <c r="C11" i="3"/>
  <c r="Q11" i="3" s="1"/>
  <c r="O10" i="3"/>
  <c r="N10" i="3"/>
  <c r="M10" i="3"/>
  <c r="K10" i="3"/>
  <c r="J10" i="3"/>
  <c r="G10" i="3"/>
  <c r="C10" i="3"/>
  <c r="B10" i="3" s="1"/>
  <c r="O9" i="3"/>
  <c r="N9" i="3"/>
  <c r="M9" i="3"/>
  <c r="K9" i="3"/>
  <c r="J9" i="3"/>
  <c r="G9" i="3"/>
  <c r="F9" i="3"/>
  <c r="E9" i="3"/>
  <c r="C9" i="3"/>
  <c r="L9" i="3" s="1"/>
  <c r="B9" i="3"/>
  <c r="A9" i="3"/>
  <c r="Q8" i="3"/>
  <c r="O8" i="3"/>
  <c r="M8" i="3"/>
  <c r="K8" i="3"/>
  <c r="J8" i="3"/>
  <c r="D8" i="3"/>
  <c r="C8" i="3"/>
  <c r="L8" i="3" s="1"/>
  <c r="O7" i="3"/>
  <c r="N7" i="3"/>
  <c r="M7" i="3"/>
  <c r="K7" i="3"/>
  <c r="J7" i="3"/>
  <c r="C7" i="3"/>
  <c r="Q7" i="3" s="1"/>
  <c r="O6" i="3"/>
  <c r="N6" i="3"/>
  <c r="M6" i="3"/>
  <c r="K6" i="3"/>
  <c r="J6" i="3"/>
  <c r="G6" i="3"/>
  <c r="F6" i="3"/>
  <c r="E6" i="3"/>
  <c r="C6" i="3"/>
  <c r="L6" i="3" s="1"/>
  <c r="B6" i="3"/>
  <c r="A6" i="3"/>
  <c r="O5" i="3"/>
  <c r="N5" i="3"/>
  <c r="M5" i="3"/>
  <c r="K5" i="3"/>
  <c r="J5" i="3"/>
  <c r="C5" i="3"/>
  <c r="E5" i="3" s="1"/>
  <c r="N4" i="3"/>
  <c r="M4" i="3"/>
  <c r="K4" i="3"/>
  <c r="J4" i="3"/>
  <c r="G4" i="3"/>
  <c r="C4" i="3"/>
  <c r="B4" i="3" s="1"/>
  <c r="O3" i="3"/>
  <c r="N3" i="3"/>
  <c r="M3" i="3"/>
  <c r="K3" i="3"/>
  <c r="J3" i="3"/>
  <c r="G3" i="3"/>
  <c r="F3" i="3"/>
  <c r="E3" i="3"/>
  <c r="C3" i="3"/>
  <c r="L3" i="3" s="1"/>
  <c r="B3" i="3"/>
  <c r="A3" i="3"/>
  <c r="Q2" i="3"/>
  <c r="O2" i="3"/>
  <c r="N2" i="3"/>
  <c r="M2" i="3"/>
  <c r="K2" i="3"/>
  <c r="J2" i="3"/>
  <c r="D2" i="3"/>
  <c r="C2" i="3"/>
  <c r="L2" i="3" s="1"/>
  <c r="P76" i="3" l="1"/>
  <c r="T76" i="3" s="1"/>
  <c r="P295" i="3"/>
  <c r="T295" i="3" s="1"/>
  <c r="P398" i="3"/>
  <c r="T398" i="3" s="1"/>
  <c r="P399" i="3"/>
  <c r="T399" i="3" s="1"/>
  <c r="P410" i="3"/>
  <c r="T410" i="3" s="1"/>
  <c r="P412" i="3"/>
  <c r="T412" i="3" s="1"/>
  <c r="P458" i="3"/>
  <c r="T458" i="3" s="1"/>
  <c r="P530" i="3"/>
  <c r="T530" i="3" s="1"/>
  <c r="P534" i="3"/>
  <c r="T534" i="3" s="1"/>
  <c r="P544" i="3"/>
  <c r="T544" i="3" s="1"/>
  <c r="P668" i="3"/>
  <c r="T668" i="3" s="1"/>
  <c r="P733" i="3"/>
  <c r="T733" i="3" s="1"/>
  <c r="P736" i="3"/>
  <c r="T736" i="3" s="1"/>
  <c r="P738" i="3"/>
  <c r="T738" i="3" s="1"/>
  <c r="P790" i="3"/>
  <c r="T790" i="3" s="1"/>
  <c r="P792" i="3"/>
  <c r="T792" i="3" s="1"/>
  <c r="P815" i="3"/>
  <c r="T815" i="3" s="1"/>
  <c r="P858" i="3"/>
  <c r="T858" i="3" s="1"/>
  <c r="P950" i="3"/>
  <c r="T950" i="3" s="1"/>
  <c r="P1061" i="3"/>
  <c r="T1061" i="3" s="1"/>
  <c r="P1079" i="3"/>
  <c r="T1079" i="3" s="1"/>
  <c r="P1125" i="3"/>
  <c r="T1125" i="3" s="1"/>
  <c r="P1127" i="3"/>
  <c r="T1127" i="3" s="1"/>
  <c r="P82" i="3"/>
  <c r="T82" i="3" s="1"/>
  <c r="P130" i="3"/>
  <c r="T130" i="3" s="1"/>
  <c r="P214" i="3"/>
  <c r="T214" i="3" s="1"/>
  <c r="P220" i="3"/>
  <c r="T220" i="3" s="1"/>
  <c r="P226" i="3"/>
  <c r="T226" i="3" s="1"/>
  <c r="P232" i="3"/>
  <c r="T232" i="3" s="1"/>
  <c r="P238" i="3"/>
  <c r="T238" i="3" s="1"/>
  <c r="P244" i="3"/>
  <c r="T244" i="3" s="1"/>
  <c r="P250" i="3"/>
  <c r="T250" i="3" s="1"/>
  <c r="P256" i="3"/>
  <c r="T256" i="3" s="1"/>
  <c r="P262" i="3"/>
  <c r="T262" i="3" s="1"/>
  <c r="P292" i="3"/>
  <c r="T292" i="3" s="1"/>
  <c r="P331" i="3"/>
  <c r="T331" i="3" s="1"/>
  <c r="P335" i="3"/>
  <c r="T335" i="3" s="1"/>
  <c r="P348" i="3"/>
  <c r="T348" i="3" s="1"/>
  <c r="P352" i="3"/>
  <c r="T352" i="3" s="1"/>
  <c r="P358" i="3"/>
  <c r="T358" i="3" s="1"/>
  <c r="P395" i="3"/>
  <c r="T395" i="3" s="1"/>
  <c r="P480" i="3"/>
  <c r="T480" i="3" s="1"/>
  <c r="P701" i="3"/>
  <c r="T701" i="3" s="1"/>
  <c r="P713" i="3"/>
  <c r="T713" i="3" s="1"/>
  <c r="P753" i="3"/>
  <c r="T753" i="3" s="1"/>
  <c r="P803" i="3"/>
  <c r="T803" i="3" s="1"/>
  <c r="P807" i="3"/>
  <c r="T807" i="3" s="1"/>
  <c r="P814" i="3"/>
  <c r="T814" i="3" s="1"/>
  <c r="P995" i="3"/>
  <c r="T995" i="3" s="1"/>
  <c r="P1024" i="3"/>
  <c r="T1024" i="3" s="1"/>
  <c r="P1026" i="3"/>
  <c r="T1026" i="3" s="1"/>
  <c r="P1098" i="3"/>
  <c r="T1098" i="3" s="1"/>
  <c r="P1102" i="3"/>
  <c r="T1102" i="3" s="1"/>
  <c r="P1114" i="3"/>
  <c r="T1114" i="3" s="1"/>
  <c r="P1126" i="3"/>
  <c r="T1126" i="3" s="1"/>
  <c r="P1131" i="3"/>
  <c r="T1131" i="3" s="1"/>
  <c r="P32" i="3"/>
  <c r="T32" i="3" s="1"/>
  <c r="P316" i="3"/>
  <c r="T316" i="3" s="1"/>
  <c r="P343" i="3"/>
  <c r="T343" i="3" s="1"/>
  <c r="P349" i="3"/>
  <c r="T349" i="3" s="1"/>
  <c r="P353" i="3"/>
  <c r="T353" i="3" s="1"/>
  <c r="P359" i="3"/>
  <c r="T359" i="3" s="1"/>
  <c r="P394" i="3"/>
  <c r="T394" i="3" s="1"/>
  <c r="P428" i="3"/>
  <c r="T428" i="3" s="1"/>
  <c r="P430" i="3"/>
  <c r="T430" i="3" s="1"/>
  <c r="P441" i="3"/>
  <c r="T441" i="3" s="1"/>
  <c r="P467" i="3"/>
  <c r="T467" i="3" s="1"/>
  <c r="P536" i="3"/>
  <c r="T536" i="3" s="1"/>
  <c r="P538" i="3"/>
  <c r="T538" i="3" s="1"/>
  <c r="P687" i="3"/>
  <c r="T687" i="3" s="1"/>
  <c r="P836" i="3"/>
  <c r="T836" i="3" s="1"/>
  <c r="P846" i="3"/>
  <c r="T846" i="3" s="1"/>
  <c r="P850" i="3"/>
  <c r="T850" i="3" s="1"/>
  <c r="P851" i="3"/>
  <c r="T851" i="3" s="1"/>
  <c r="P853" i="3"/>
  <c r="T853" i="3" s="1"/>
  <c r="P860" i="3"/>
  <c r="T860" i="3" s="1"/>
  <c r="P863" i="3"/>
  <c r="T863" i="3" s="1"/>
  <c r="P867" i="3"/>
  <c r="T867" i="3" s="1"/>
  <c r="P903" i="3"/>
  <c r="T903" i="3" s="1"/>
  <c r="P940" i="3"/>
  <c r="T940" i="3" s="1"/>
  <c r="P944" i="3"/>
  <c r="T944" i="3" s="1"/>
  <c r="P946" i="3"/>
  <c r="T946" i="3" s="1"/>
  <c r="P951" i="3"/>
  <c r="T951" i="3" s="1"/>
  <c r="P1004" i="3"/>
  <c r="T1004" i="3" s="1"/>
  <c r="P154" i="3"/>
  <c r="T154" i="3" s="1"/>
  <c r="P163" i="3"/>
  <c r="T163" i="3" s="1"/>
  <c r="P413" i="3"/>
  <c r="T413" i="3" s="1"/>
  <c r="P417" i="3"/>
  <c r="T417" i="3" s="1"/>
  <c r="P580" i="3"/>
  <c r="T580" i="3" s="1"/>
  <c r="P583" i="3"/>
  <c r="T583" i="3" s="1"/>
  <c r="P623" i="3"/>
  <c r="T623" i="3" s="1"/>
  <c r="P628" i="3"/>
  <c r="T628" i="3" s="1"/>
  <c r="P634" i="3"/>
  <c r="T634" i="3" s="1"/>
  <c r="P637" i="3"/>
  <c r="T637" i="3" s="1"/>
  <c r="P655" i="3"/>
  <c r="T655" i="3" s="1"/>
  <c r="P664" i="3"/>
  <c r="T664" i="3" s="1"/>
  <c r="P677" i="3"/>
  <c r="T677" i="3" s="1"/>
  <c r="P682" i="3"/>
  <c r="T682" i="3" s="1"/>
  <c r="P688" i="3"/>
  <c r="T688" i="3" s="1"/>
  <c r="P691" i="3"/>
  <c r="T691" i="3" s="1"/>
  <c r="P835" i="3"/>
  <c r="T835" i="3" s="1"/>
  <c r="P864" i="3"/>
  <c r="T864" i="3" s="1"/>
  <c r="P872" i="3"/>
  <c r="T872" i="3" s="1"/>
  <c r="P987" i="3"/>
  <c r="T987" i="3" s="1"/>
  <c r="P1138" i="3"/>
  <c r="T1138" i="3" s="1"/>
  <c r="P1142" i="3"/>
  <c r="T1142" i="3" s="1"/>
  <c r="P1163" i="3"/>
  <c r="T1163" i="3" s="1"/>
  <c r="P1165" i="3"/>
  <c r="T1165" i="3" s="1"/>
  <c r="P1168" i="3"/>
  <c r="T1168" i="3" s="1"/>
  <c r="P1190" i="3"/>
  <c r="T1190" i="3" s="1"/>
  <c r="P19" i="3"/>
  <c r="T19" i="3" s="1"/>
  <c r="P31" i="3"/>
  <c r="T31" i="3" s="1"/>
  <c r="P61" i="3"/>
  <c r="T61" i="3" s="1"/>
  <c r="P85" i="3"/>
  <c r="T85" i="3" s="1"/>
  <c r="P473" i="3"/>
  <c r="T473" i="3" s="1"/>
  <c r="P484" i="3"/>
  <c r="T484" i="3" s="1"/>
  <c r="P507" i="3"/>
  <c r="T507" i="3" s="1"/>
  <c r="P563" i="3"/>
  <c r="T563" i="3" s="1"/>
  <c r="P567" i="3"/>
  <c r="T567" i="3" s="1"/>
  <c r="P570" i="3"/>
  <c r="T570" i="3" s="1"/>
  <c r="P575" i="3"/>
  <c r="T575" i="3" s="1"/>
  <c r="P605" i="3"/>
  <c r="T605" i="3" s="1"/>
  <c r="P614" i="3"/>
  <c r="T614" i="3" s="1"/>
  <c r="P645" i="3"/>
  <c r="T645" i="3" s="1"/>
  <c r="P659" i="3"/>
  <c r="T659" i="3" s="1"/>
  <c r="P879" i="3"/>
  <c r="T879" i="3" s="1"/>
  <c r="P939" i="3"/>
  <c r="T939" i="3" s="1"/>
  <c r="P1032" i="3"/>
  <c r="T1032" i="3" s="1"/>
  <c r="P1036" i="3"/>
  <c r="T1036" i="3" s="1"/>
  <c r="P1037" i="3"/>
  <c r="T1037" i="3" s="1"/>
  <c r="P1044" i="3"/>
  <c r="T1044" i="3" s="1"/>
  <c r="P1069" i="3"/>
  <c r="T1069" i="3" s="1"/>
  <c r="P1083" i="3"/>
  <c r="T1083" i="3" s="1"/>
  <c r="P1096" i="3"/>
  <c r="T1096" i="3" s="1"/>
  <c r="P1139" i="3"/>
  <c r="T1139" i="3" s="1"/>
  <c r="P1141" i="3"/>
  <c r="T1141" i="3" s="1"/>
  <c r="P55" i="3"/>
  <c r="T55" i="3" s="1"/>
  <c r="P79" i="3"/>
  <c r="T79" i="3" s="1"/>
  <c r="P4" i="3"/>
  <c r="T4" i="3" s="1"/>
  <c r="P8" i="3"/>
  <c r="T8" i="3" s="1"/>
  <c r="P28" i="3"/>
  <c r="T28" i="3" s="1"/>
  <c r="P172" i="3"/>
  <c r="T172" i="3" s="1"/>
  <c r="P307" i="3"/>
  <c r="T307" i="3" s="1"/>
  <c r="P315" i="3"/>
  <c r="T315" i="3" s="1"/>
  <c r="P342" i="3"/>
  <c r="T342" i="3" s="1"/>
  <c r="P355" i="3"/>
  <c r="T355" i="3" s="1"/>
  <c r="P372" i="3"/>
  <c r="T372" i="3" s="1"/>
  <c r="P379" i="3"/>
  <c r="T379" i="3" s="1"/>
  <c r="P396" i="3"/>
  <c r="T396" i="3" s="1"/>
  <c r="P407" i="3"/>
  <c r="T407" i="3" s="1"/>
  <c r="P418" i="3"/>
  <c r="T418" i="3" s="1"/>
  <c r="P435" i="3"/>
  <c r="T435" i="3" s="1"/>
  <c r="P438" i="3"/>
  <c r="T438" i="3" s="1"/>
  <c r="P447" i="3"/>
  <c r="T447" i="3" s="1"/>
  <c r="P464" i="3"/>
  <c r="T464" i="3" s="1"/>
  <c r="P466" i="3"/>
  <c r="T466" i="3" s="1"/>
  <c r="P489" i="3"/>
  <c r="T489" i="3" s="1"/>
  <c r="P492" i="3"/>
  <c r="T492" i="3" s="1"/>
  <c r="P496" i="3"/>
  <c r="T496" i="3" s="1"/>
  <c r="P501" i="3"/>
  <c r="T501" i="3" s="1"/>
  <c r="P516" i="3"/>
  <c r="T516" i="3" s="1"/>
  <c r="P518" i="3"/>
  <c r="T518" i="3" s="1"/>
  <c r="P521" i="3"/>
  <c r="T521" i="3" s="1"/>
  <c r="P552" i="3"/>
  <c r="T552" i="3" s="1"/>
  <c r="P574" i="3"/>
  <c r="T574" i="3" s="1"/>
  <c r="P647" i="3"/>
  <c r="T647" i="3" s="1"/>
  <c r="P725" i="3"/>
  <c r="T725" i="3" s="1"/>
  <c r="P727" i="3"/>
  <c r="T727" i="3" s="1"/>
  <c r="P729" i="3"/>
  <c r="T729" i="3" s="1"/>
  <c r="P752" i="3"/>
  <c r="T752" i="3" s="1"/>
  <c r="P754" i="3"/>
  <c r="T754" i="3" s="1"/>
  <c r="P762" i="3"/>
  <c r="T762" i="3" s="1"/>
  <c r="P781" i="3"/>
  <c r="T781" i="3" s="1"/>
  <c r="P838" i="3"/>
  <c r="T838" i="3" s="1"/>
  <c r="P840" i="3"/>
  <c r="T840" i="3" s="1"/>
  <c r="P843" i="3"/>
  <c r="T843" i="3" s="1"/>
  <c r="P865" i="3"/>
  <c r="T865" i="3" s="1"/>
  <c r="P871" i="3"/>
  <c r="T871" i="3" s="1"/>
  <c r="P874" i="3"/>
  <c r="T874" i="3" s="1"/>
  <c r="P904" i="3"/>
  <c r="T904" i="3" s="1"/>
  <c r="P917" i="3"/>
  <c r="T917" i="3" s="1"/>
  <c r="P920" i="3"/>
  <c r="T920" i="3" s="1"/>
  <c r="P927" i="3"/>
  <c r="T927" i="3" s="1"/>
  <c r="P937" i="3"/>
  <c r="T937" i="3" s="1"/>
  <c r="P943" i="3"/>
  <c r="T943" i="3" s="1"/>
  <c r="P1104" i="3"/>
  <c r="T1104" i="3" s="1"/>
  <c r="P1134" i="3"/>
  <c r="T1134" i="3" s="1"/>
  <c r="P1146" i="3"/>
  <c r="T1146" i="3" s="1"/>
  <c r="P1151" i="3"/>
  <c r="T1151" i="3" s="1"/>
  <c r="P1153" i="3"/>
  <c r="T1153" i="3" s="1"/>
  <c r="P40" i="3"/>
  <c r="T40" i="3" s="1"/>
  <c r="P44" i="3"/>
  <c r="T44" i="3" s="1"/>
  <c r="P148" i="3"/>
  <c r="T148" i="3" s="1"/>
  <c r="P288" i="3"/>
  <c r="T288" i="3" s="1"/>
  <c r="P313" i="3"/>
  <c r="T313" i="3" s="1"/>
  <c r="P317" i="3"/>
  <c r="T317" i="3" s="1"/>
  <c r="P340" i="3"/>
  <c r="T340" i="3" s="1"/>
  <c r="P344" i="3"/>
  <c r="T344" i="3" s="1"/>
  <c r="P356" i="3"/>
  <c r="T356" i="3" s="1"/>
  <c r="P357" i="3"/>
  <c r="T357" i="3" s="1"/>
  <c r="P429" i="3"/>
  <c r="T429" i="3" s="1"/>
  <c r="P432" i="3"/>
  <c r="T432" i="3" s="1"/>
  <c r="P506" i="3"/>
  <c r="T506" i="3" s="1"/>
  <c r="P532" i="3"/>
  <c r="T532" i="3" s="1"/>
  <c r="P540" i="3"/>
  <c r="T540" i="3" s="1"/>
  <c r="P556" i="3"/>
  <c r="T556" i="3" s="1"/>
  <c r="P561" i="3"/>
  <c r="T561" i="3" s="1"/>
  <c r="P569" i="3"/>
  <c r="T569" i="3" s="1"/>
  <c r="P582" i="3"/>
  <c r="T582" i="3" s="1"/>
  <c r="P592" i="3"/>
  <c r="T592" i="3" s="1"/>
  <c r="P600" i="3"/>
  <c r="T600" i="3" s="1"/>
  <c r="P617" i="3"/>
  <c r="T617" i="3" s="1"/>
  <c r="P621" i="3"/>
  <c r="T621" i="3" s="1"/>
  <c r="P646" i="3"/>
  <c r="T646" i="3" s="1"/>
  <c r="P654" i="3"/>
  <c r="T654" i="3" s="1"/>
  <c r="P671" i="3"/>
  <c r="T671" i="3" s="1"/>
  <c r="P673" i="3"/>
  <c r="T673" i="3" s="1"/>
  <c r="P675" i="3"/>
  <c r="T675" i="3" s="1"/>
  <c r="P699" i="3"/>
  <c r="T699" i="3" s="1"/>
  <c r="P709" i="3"/>
  <c r="T709" i="3" s="1"/>
  <c r="P718" i="3"/>
  <c r="T718" i="3" s="1"/>
  <c r="P734" i="3"/>
  <c r="T734" i="3" s="1"/>
  <c r="P750" i="3"/>
  <c r="T750" i="3" s="1"/>
  <c r="P770" i="3"/>
  <c r="T770" i="3" s="1"/>
  <c r="P777" i="3"/>
  <c r="T777" i="3" s="1"/>
  <c r="P786" i="3"/>
  <c r="T786" i="3" s="1"/>
  <c r="P821" i="3"/>
  <c r="T821" i="3" s="1"/>
  <c r="P832" i="3"/>
  <c r="T832" i="3" s="1"/>
  <c r="P852" i="3"/>
  <c r="T852" i="3" s="1"/>
  <c r="P882" i="3"/>
  <c r="T882" i="3" s="1"/>
  <c r="P885" i="3"/>
  <c r="T885" i="3" s="1"/>
  <c r="P888" i="3"/>
  <c r="T888" i="3" s="1"/>
  <c r="P914" i="3"/>
  <c r="T914" i="3" s="1"/>
  <c r="P984" i="3"/>
  <c r="T984" i="3" s="1"/>
  <c r="P985" i="3"/>
  <c r="T985" i="3" s="1"/>
  <c r="P1051" i="3"/>
  <c r="T1051" i="3" s="1"/>
  <c r="P1056" i="3"/>
  <c r="T1056" i="3" s="1"/>
  <c r="P1117" i="3"/>
  <c r="T1117" i="3" s="1"/>
  <c r="P1118" i="3"/>
  <c r="T1118" i="3" s="1"/>
  <c r="P1128" i="3"/>
  <c r="T1128" i="3" s="1"/>
  <c r="P1129" i="3"/>
  <c r="T1129" i="3" s="1"/>
  <c r="P1133" i="3"/>
  <c r="T1133" i="3" s="1"/>
  <c r="P1155" i="3"/>
  <c r="T1155" i="3" s="1"/>
  <c r="P1166" i="3"/>
  <c r="T1166" i="3" s="1"/>
  <c r="P1172" i="3"/>
  <c r="T1172" i="3" s="1"/>
  <c r="P70" i="3"/>
  <c r="T70" i="3" s="1"/>
  <c r="P95" i="3"/>
  <c r="T95" i="3" s="1"/>
  <c r="P136" i="3"/>
  <c r="T136" i="3" s="1"/>
  <c r="P157" i="3"/>
  <c r="T157" i="3" s="1"/>
  <c r="P178" i="3"/>
  <c r="T178" i="3" s="1"/>
  <c r="P184" i="3"/>
  <c r="T184" i="3" s="1"/>
  <c r="P190" i="3"/>
  <c r="T190" i="3" s="1"/>
  <c r="P280" i="3"/>
  <c r="T280" i="3" s="1"/>
  <c r="P308" i="3"/>
  <c r="T308" i="3" s="1"/>
  <c r="P320" i="3"/>
  <c r="T320" i="3" s="1"/>
  <c r="P333" i="3"/>
  <c r="T333" i="3" s="1"/>
  <c r="P397" i="3"/>
  <c r="T397" i="3" s="1"/>
  <c r="P415" i="3"/>
  <c r="T415" i="3" s="1"/>
  <c r="P490" i="3"/>
  <c r="T490" i="3" s="1"/>
  <c r="P524" i="3"/>
  <c r="T524" i="3" s="1"/>
  <c r="P525" i="3"/>
  <c r="T525" i="3" s="1"/>
  <c r="P543" i="3"/>
  <c r="T543" i="3" s="1"/>
  <c r="P545" i="3"/>
  <c r="T545" i="3" s="1"/>
  <c r="P579" i="3"/>
  <c r="T579" i="3" s="1"/>
  <c r="P606" i="3"/>
  <c r="T606" i="3" s="1"/>
  <c r="P608" i="3"/>
  <c r="T608" i="3" s="1"/>
  <c r="P651" i="3"/>
  <c r="T651" i="3" s="1"/>
  <c r="P724" i="3"/>
  <c r="T724" i="3" s="1"/>
  <c r="P742" i="3"/>
  <c r="T742" i="3" s="1"/>
  <c r="P745" i="3"/>
  <c r="T745" i="3" s="1"/>
  <c r="P772" i="3"/>
  <c r="T772" i="3" s="1"/>
  <c r="P796" i="3"/>
  <c r="T796" i="3" s="1"/>
  <c r="P799" i="3"/>
  <c r="T799" i="3" s="1"/>
  <c r="P813" i="3"/>
  <c r="T813" i="3" s="1"/>
  <c r="P957" i="3"/>
  <c r="T957" i="3" s="1"/>
  <c r="P982" i="3"/>
  <c r="T982" i="3" s="1"/>
  <c r="P993" i="3"/>
  <c r="T993" i="3" s="1"/>
  <c r="P996" i="3"/>
  <c r="T996" i="3" s="1"/>
  <c r="P1014" i="3"/>
  <c r="T1014" i="3" s="1"/>
  <c r="P1068" i="3"/>
  <c r="T1068" i="3" s="1"/>
  <c r="P1077" i="3"/>
  <c r="T1077" i="3" s="1"/>
  <c r="P1082" i="3"/>
  <c r="T1082" i="3" s="1"/>
  <c r="P1110" i="3"/>
  <c r="T1110" i="3" s="1"/>
  <c r="P1135" i="3"/>
  <c r="T1135" i="3" s="1"/>
  <c r="P1140" i="3"/>
  <c r="T1140" i="3" s="1"/>
  <c r="P1145" i="3"/>
  <c r="T1145" i="3" s="1"/>
  <c r="P889" i="3"/>
  <c r="T889" i="3" s="1"/>
  <c r="P899" i="3"/>
  <c r="T899" i="3" s="1"/>
  <c r="P945" i="3"/>
  <c r="T945" i="3" s="1"/>
  <c r="P1198" i="3"/>
  <c r="T1198" i="3" s="1"/>
  <c r="P268" i="3"/>
  <c r="T268" i="3" s="1"/>
  <c r="P408" i="3"/>
  <c r="T408" i="3" s="1"/>
  <c r="P419" i="3"/>
  <c r="T419" i="3" s="1"/>
  <c r="P462" i="3"/>
  <c r="T462" i="3" s="1"/>
  <c r="P485" i="3"/>
  <c r="T485" i="3" s="1"/>
  <c r="P514" i="3"/>
  <c r="T514" i="3" s="1"/>
  <c r="P529" i="3"/>
  <c r="T529" i="3" s="1"/>
  <c r="P547" i="3"/>
  <c r="T547" i="3" s="1"/>
  <c r="P862" i="3"/>
  <c r="T862" i="3" s="1"/>
  <c r="P1023" i="3"/>
  <c r="T1023" i="3" s="1"/>
  <c r="P34" i="3"/>
  <c r="T34" i="3" s="1"/>
  <c r="P35" i="3"/>
  <c r="T35" i="3" s="1"/>
  <c r="P94" i="3"/>
  <c r="T94" i="3" s="1"/>
  <c r="P100" i="3"/>
  <c r="T100" i="3" s="1"/>
  <c r="P103" i="3"/>
  <c r="T103" i="3" s="1"/>
  <c r="P104" i="3"/>
  <c r="T104" i="3" s="1"/>
  <c r="P107" i="3"/>
  <c r="T107" i="3" s="1"/>
  <c r="P110" i="3"/>
  <c r="T110" i="3" s="1"/>
  <c r="P113" i="3"/>
  <c r="T113" i="3" s="1"/>
  <c r="P116" i="3"/>
  <c r="T116" i="3" s="1"/>
  <c r="P119" i="3"/>
  <c r="T119" i="3" s="1"/>
  <c r="P122" i="3"/>
  <c r="T122" i="3" s="1"/>
  <c r="P125" i="3"/>
  <c r="T125" i="3" s="1"/>
  <c r="P139" i="3"/>
  <c r="T139" i="3" s="1"/>
  <c r="P175" i="3"/>
  <c r="T175" i="3" s="1"/>
  <c r="P182" i="3"/>
  <c r="T182" i="3" s="1"/>
  <c r="P188" i="3"/>
  <c r="T188" i="3" s="1"/>
  <c r="P194" i="3"/>
  <c r="T194" i="3" s="1"/>
  <c r="P236" i="3"/>
  <c r="T236" i="3" s="1"/>
  <c r="P242" i="3"/>
  <c r="T242" i="3" s="1"/>
  <c r="P248" i="3"/>
  <c r="T248" i="3" s="1"/>
  <c r="P272" i="3"/>
  <c r="T272" i="3" s="1"/>
  <c r="P283" i="3"/>
  <c r="T283" i="3" s="1"/>
  <c r="P287" i="3"/>
  <c r="T287" i="3" s="1"/>
  <c r="P296" i="3"/>
  <c r="T296" i="3" s="1"/>
  <c r="P301" i="3"/>
  <c r="T301" i="3" s="1"/>
  <c r="P310" i="3"/>
  <c r="T310" i="3" s="1"/>
  <c r="P322" i="3"/>
  <c r="T322" i="3" s="1"/>
  <c r="P326" i="3"/>
  <c r="T326" i="3" s="1"/>
  <c r="P336" i="3"/>
  <c r="T336" i="3" s="1"/>
  <c r="P345" i="3"/>
  <c r="T345" i="3" s="1"/>
  <c r="P364" i="3"/>
  <c r="T364" i="3" s="1"/>
  <c r="P381" i="3"/>
  <c r="T381" i="3" s="1"/>
  <c r="P384" i="3"/>
  <c r="T384" i="3" s="1"/>
  <c r="P388" i="3"/>
  <c r="T388" i="3" s="1"/>
  <c r="P393" i="3"/>
  <c r="T393" i="3" s="1"/>
  <c r="P426" i="3"/>
  <c r="T426" i="3" s="1"/>
  <c r="P541" i="3"/>
  <c r="T541" i="3" s="1"/>
  <c r="P546" i="3"/>
  <c r="T546" i="3" s="1"/>
  <c r="P554" i="3"/>
  <c r="T554" i="3" s="1"/>
  <c r="P573" i="3"/>
  <c r="T573" i="3" s="1"/>
  <c r="P588" i="3"/>
  <c r="T588" i="3" s="1"/>
  <c r="P590" i="3"/>
  <c r="T590" i="3" s="1"/>
  <c r="P597" i="3"/>
  <c r="T597" i="3" s="1"/>
  <c r="P1018" i="3"/>
  <c r="T1018" i="3" s="1"/>
  <c r="P20" i="3"/>
  <c r="T20" i="3" s="1"/>
  <c r="P56" i="3"/>
  <c r="T56" i="3" s="1"/>
  <c r="P80" i="3"/>
  <c r="T80" i="3" s="1"/>
  <c r="P202" i="3"/>
  <c r="T202" i="3" s="1"/>
  <c r="P208" i="3"/>
  <c r="T208" i="3" s="1"/>
  <c r="P636" i="3"/>
  <c r="T636" i="3" s="1"/>
  <c r="P708" i="3"/>
  <c r="T708" i="3" s="1"/>
  <c r="P743" i="3"/>
  <c r="T743" i="3" s="1"/>
  <c r="P866" i="3"/>
  <c r="T866" i="3" s="1"/>
  <c r="P966" i="3"/>
  <c r="T966" i="3" s="1"/>
  <c r="P254" i="3"/>
  <c r="T254" i="3" s="1"/>
  <c r="P260" i="3"/>
  <c r="T260" i="3" s="1"/>
  <c r="P266" i="3"/>
  <c r="T266" i="3" s="1"/>
  <c r="P275" i="3"/>
  <c r="T275" i="3" s="1"/>
  <c r="P285" i="3"/>
  <c r="T285" i="3" s="1"/>
  <c r="P319" i="3"/>
  <c r="T319" i="3" s="1"/>
  <c r="P323" i="3"/>
  <c r="T323" i="3" s="1"/>
  <c r="P338" i="3"/>
  <c r="T338" i="3" s="1"/>
  <c r="P375" i="3"/>
  <c r="T375" i="3" s="1"/>
  <c r="P382" i="3"/>
  <c r="T382" i="3" s="1"/>
  <c r="P392" i="3"/>
  <c r="T392" i="3" s="1"/>
  <c r="P404" i="3"/>
  <c r="T404" i="3" s="1"/>
  <c r="P448" i="3"/>
  <c r="T448" i="3" s="1"/>
  <c r="P450" i="3"/>
  <c r="T450" i="3" s="1"/>
  <c r="P457" i="3"/>
  <c r="T457" i="3" s="1"/>
  <c r="P461" i="3"/>
  <c r="T461" i="3" s="1"/>
  <c r="P472" i="3"/>
  <c r="T472" i="3" s="1"/>
  <c r="P474" i="3"/>
  <c r="T474" i="3" s="1"/>
  <c r="P482" i="3"/>
  <c r="T482" i="3" s="1"/>
  <c r="P487" i="3"/>
  <c r="T487" i="3" s="1"/>
  <c r="P498" i="3"/>
  <c r="T498" i="3" s="1"/>
  <c r="P500" i="3"/>
  <c r="T500" i="3" s="1"/>
  <c r="P503" i="3"/>
  <c r="T503" i="3" s="1"/>
  <c r="P616" i="3"/>
  <c r="T616" i="3" s="1"/>
  <c r="P625" i="3"/>
  <c r="T625" i="3" s="1"/>
  <c r="P627" i="3"/>
  <c r="T627" i="3" s="1"/>
  <c r="P633" i="3"/>
  <c r="T633" i="3" s="1"/>
  <c r="P635" i="3"/>
  <c r="T635" i="3" s="1"/>
  <c r="P642" i="3"/>
  <c r="T642" i="3" s="1"/>
  <c r="P644" i="3"/>
  <c r="T644" i="3" s="1"/>
  <c r="P693" i="3"/>
  <c r="T693" i="3" s="1"/>
  <c r="P714" i="3"/>
  <c r="T714" i="3" s="1"/>
  <c r="P919" i="3"/>
  <c r="T919" i="3" s="1"/>
  <c r="P932" i="3"/>
  <c r="T932" i="3" s="1"/>
  <c r="P935" i="3"/>
  <c r="T935" i="3" s="1"/>
  <c r="P948" i="3"/>
  <c r="T948" i="3" s="1"/>
  <c r="P7" i="3"/>
  <c r="T7" i="3" s="1"/>
  <c r="P842" i="3"/>
  <c r="T842" i="3" s="1"/>
  <c r="P43" i="3"/>
  <c r="T43" i="3" s="1"/>
  <c r="P181" i="3"/>
  <c r="T181" i="3" s="1"/>
  <c r="P187" i="3"/>
  <c r="T187" i="3" s="1"/>
  <c r="P193" i="3"/>
  <c r="T193" i="3" s="1"/>
  <c r="P10" i="3"/>
  <c r="T10" i="3" s="1"/>
  <c r="P11" i="3"/>
  <c r="T11" i="3" s="1"/>
  <c r="P46" i="3"/>
  <c r="T46" i="3" s="1"/>
  <c r="P47" i="3"/>
  <c r="T47" i="3" s="1"/>
  <c r="P67" i="3"/>
  <c r="T67" i="3" s="1"/>
  <c r="P68" i="3"/>
  <c r="T68" i="3" s="1"/>
  <c r="P91" i="3"/>
  <c r="T91" i="3" s="1"/>
  <c r="P92" i="3"/>
  <c r="T92" i="3" s="1"/>
  <c r="P218" i="3"/>
  <c r="T218" i="3" s="1"/>
  <c r="P224" i="3"/>
  <c r="T224" i="3" s="1"/>
  <c r="P230" i="3"/>
  <c r="T230" i="3" s="1"/>
  <c r="P271" i="3"/>
  <c r="T271" i="3" s="1"/>
  <c r="P279" i="3"/>
  <c r="T279" i="3" s="1"/>
  <c r="P286" i="3"/>
  <c r="T286" i="3" s="1"/>
  <c r="P297" i="3"/>
  <c r="T297" i="3" s="1"/>
  <c r="P299" i="3"/>
  <c r="T299" i="3" s="1"/>
  <c r="P309" i="3"/>
  <c r="T309" i="3" s="1"/>
  <c r="P334" i="3"/>
  <c r="T334" i="3" s="1"/>
  <c r="P351" i="3"/>
  <c r="T351" i="3" s="1"/>
  <c r="P360" i="3"/>
  <c r="T360" i="3" s="1"/>
  <c r="P363" i="3"/>
  <c r="T363" i="3" s="1"/>
  <c r="P365" i="3"/>
  <c r="T365" i="3" s="1"/>
  <c r="P366" i="3"/>
  <c r="T366" i="3" s="1"/>
  <c r="P374" i="3"/>
  <c r="T374" i="3" s="1"/>
  <c r="P376" i="3"/>
  <c r="T376" i="3" s="1"/>
  <c r="P377" i="3"/>
  <c r="T377" i="3" s="1"/>
  <c r="P387" i="3"/>
  <c r="T387" i="3" s="1"/>
  <c r="P403" i="3"/>
  <c r="T403" i="3" s="1"/>
  <c r="P451" i="3"/>
  <c r="T451" i="3" s="1"/>
  <c r="P502" i="3"/>
  <c r="T502" i="3" s="1"/>
  <c r="P512" i="3"/>
  <c r="T512" i="3" s="1"/>
  <c r="P593" i="3"/>
  <c r="T593" i="3" s="1"/>
  <c r="P678" i="3"/>
  <c r="T678" i="3" s="1"/>
  <c r="P680" i="3"/>
  <c r="T680" i="3" s="1"/>
  <c r="P681" i="3"/>
  <c r="T681" i="3" s="1"/>
  <c r="P719" i="3"/>
  <c r="T719" i="3" s="1"/>
  <c r="P755" i="3"/>
  <c r="T755" i="3" s="1"/>
  <c r="P767" i="3"/>
  <c r="T767" i="3" s="1"/>
  <c r="P776" i="3"/>
  <c r="T776" i="3" s="1"/>
  <c r="P780" i="3"/>
  <c r="T780" i="3" s="1"/>
  <c r="P797" i="3"/>
  <c r="T797" i="3" s="1"/>
  <c r="P800" i="3"/>
  <c r="T800" i="3" s="1"/>
  <c r="P861" i="3"/>
  <c r="T861" i="3" s="1"/>
  <c r="P599" i="3"/>
  <c r="T599" i="3" s="1"/>
  <c r="P735" i="3"/>
  <c r="T735" i="3" s="1"/>
  <c r="P768" i="3"/>
  <c r="T768" i="3" s="1"/>
  <c r="P773" i="3"/>
  <c r="T773" i="3" s="1"/>
  <c r="P789" i="3"/>
  <c r="T789" i="3" s="1"/>
  <c r="P822" i="3"/>
  <c r="T822" i="3" s="1"/>
  <c r="P896" i="3"/>
  <c r="T896" i="3" s="1"/>
  <c r="P916" i="3"/>
  <c r="T916" i="3" s="1"/>
  <c r="P959" i="3"/>
  <c r="T959" i="3" s="1"/>
  <c r="P961" i="3"/>
  <c r="T961" i="3" s="1"/>
  <c r="P1042" i="3"/>
  <c r="T1042" i="3" s="1"/>
  <c r="P1122" i="3"/>
  <c r="T1122" i="3" s="1"/>
  <c r="P1132" i="3"/>
  <c r="T1132" i="3" s="1"/>
  <c r="P1150" i="3"/>
  <c r="T1150" i="3" s="1"/>
  <c r="P431" i="3"/>
  <c r="T431" i="3" s="1"/>
  <c r="P433" i="3"/>
  <c r="T433" i="3" s="1"/>
  <c r="P436" i="3"/>
  <c r="T436" i="3" s="1"/>
  <c r="P446" i="3"/>
  <c r="T446" i="3" s="1"/>
  <c r="P449" i="3"/>
  <c r="T449" i="3" s="1"/>
  <c r="P452" i="3"/>
  <c r="T452" i="3" s="1"/>
  <c r="P453" i="3"/>
  <c r="T453" i="3" s="1"/>
  <c r="P471" i="3"/>
  <c r="T471" i="3" s="1"/>
  <c r="P483" i="3"/>
  <c r="T483" i="3" s="1"/>
  <c r="P486" i="3"/>
  <c r="T486" i="3" s="1"/>
  <c r="P509" i="3"/>
  <c r="T509" i="3" s="1"/>
  <c r="P511" i="3"/>
  <c r="T511" i="3" s="1"/>
  <c r="P513" i="3"/>
  <c r="T513" i="3" s="1"/>
  <c r="P528" i="3"/>
  <c r="T528" i="3" s="1"/>
  <c r="P555" i="3"/>
  <c r="T555" i="3" s="1"/>
  <c r="P559" i="3"/>
  <c r="T559" i="3" s="1"/>
  <c r="P560" i="3"/>
  <c r="T560" i="3" s="1"/>
  <c r="P571" i="3"/>
  <c r="T571" i="3" s="1"/>
  <c r="P577" i="3"/>
  <c r="T577" i="3" s="1"/>
  <c r="P591" i="3"/>
  <c r="T591" i="3" s="1"/>
  <c r="P610" i="3"/>
  <c r="T610" i="3" s="1"/>
  <c r="P611" i="3"/>
  <c r="T611" i="3" s="1"/>
  <c r="P615" i="3"/>
  <c r="T615" i="3" s="1"/>
  <c r="P624" i="3"/>
  <c r="T624" i="3" s="1"/>
  <c r="P653" i="3"/>
  <c r="T653" i="3" s="1"/>
  <c r="P660" i="3"/>
  <c r="T660" i="3" s="1"/>
  <c r="P689" i="3"/>
  <c r="T689" i="3" s="1"/>
  <c r="P696" i="3"/>
  <c r="T696" i="3" s="1"/>
  <c r="P698" i="3"/>
  <c r="T698" i="3" s="1"/>
  <c r="P722" i="3"/>
  <c r="T722" i="3" s="1"/>
  <c r="P730" i="3"/>
  <c r="T730" i="3" s="1"/>
  <c r="P731" i="3"/>
  <c r="T731" i="3" s="1"/>
  <c r="P732" i="3"/>
  <c r="T732" i="3" s="1"/>
  <c r="P744" i="3"/>
  <c r="T744" i="3" s="1"/>
  <c r="P763" i="3"/>
  <c r="T763" i="3" s="1"/>
  <c r="P788" i="3"/>
  <c r="T788" i="3" s="1"/>
  <c r="P798" i="3"/>
  <c r="T798" i="3" s="1"/>
  <c r="P806" i="3"/>
  <c r="T806" i="3" s="1"/>
  <c r="P808" i="3"/>
  <c r="T808" i="3" s="1"/>
  <c r="P817" i="3"/>
  <c r="T817" i="3" s="1"/>
  <c r="P831" i="3"/>
  <c r="T831" i="3" s="1"/>
  <c r="P878" i="3"/>
  <c r="T878" i="3" s="1"/>
  <c r="P881" i="3"/>
  <c r="T881" i="3" s="1"/>
  <c r="P884" i="3"/>
  <c r="T884" i="3" s="1"/>
  <c r="P894" i="3"/>
  <c r="T894" i="3" s="1"/>
  <c r="P898" i="3"/>
  <c r="T898" i="3" s="1"/>
  <c r="P912" i="3"/>
  <c r="T912" i="3" s="1"/>
  <c r="P921" i="3"/>
  <c r="T921" i="3" s="1"/>
  <c r="P928" i="3"/>
  <c r="T928" i="3" s="1"/>
  <c r="P977" i="3"/>
  <c r="T977" i="3" s="1"/>
  <c r="P981" i="3"/>
  <c r="T981" i="3" s="1"/>
  <c r="P991" i="3"/>
  <c r="T991" i="3" s="1"/>
  <c r="P998" i="3"/>
  <c r="T998" i="3" s="1"/>
  <c r="P999" i="3"/>
  <c r="T999" i="3" s="1"/>
  <c r="P1005" i="3"/>
  <c r="T1005" i="3" s="1"/>
  <c r="P1009" i="3"/>
  <c r="T1009" i="3" s="1"/>
  <c r="P1016" i="3"/>
  <c r="T1016" i="3" s="1"/>
  <c r="P1029" i="3"/>
  <c r="T1029" i="3" s="1"/>
  <c r="P1030" i="3"/>
  <c r="T1030" i="3" s="1"/>
  <c r="P1031" i="3"/>
  <c r="T1031" i="3" s="1"/>
  <c r="P1038" i="3"/>
  <c r="T1038" i="3" s="1"/>
  <c r="P1054" i="3"/>
  <c r="T1054" i="3" s="1"/>
  <c r="P1062" i="3"/>
  <c r="T1062" i="3" s="1"/>
  <c r="P1078" i="3"/>
  <c r="T1078" i="3" s="1"/>
  <c r="P1080" i="3"/>
  <c r="T1080" i="3" s="1"/>
  <c r="P1092" i="3"/>
  <c r="T1092" i="3" s="1"/>
  <c r="P1093" i="3"/>
  <c r="T1093" i="3" s="1"/>
  <c r="P1112" i="3"/>
  <c r="T1112" i="3" s="1"/>
  <c r="P1137" i="3"/>
  <c r="T1137" i="3" s="1"/>
  <c r="P1157" i="3"/>
  <c r="T1157" i="3" s="1"/>
  <c r="P1206" i="3"/>
  <c r="T1206" i="3" s="1"/>
  <c r="P1017" i="3"/>
  <c r="T1017" i="3" s="1"/>
  <c r="P1019" i="3"/>
  <c r="T1019" i="3" s="1"/>
  <c r="P1039" i="3"/>
  <c r="T1039" i="3" s="1"/>
  <c r="P1052" i="3"/>
  <c r="T1052" i="3" s="1"/>
  <c r="P1055" i="3"/>
  <c r="T1055" i="3" s="1"/>
  <c r="P1072" i="3"/>
  <c r="T1072" i="3" s="1"/>
  <c r="P1073" i="3"/>
  <c r="T1073" i="3" s="1"/>
  <c r="P1095" i="3"/>
  <c r="T1095" i="3" s="1"/>
  <c r="P1116" i="3"/>
  <c r="T1116" i="3" s="1"/>
  <c r="P1152" i="3"/>
  <c r="T1152" i="3" s="1"/>
  <c r="P1156" i="3"/>
  <c r="T1156" i="3" s="1"/>
  <c r="P1159" i="3"/>
  <c r="T1159" i="3" s="1"/>
  <c r="P1183" i="3"/>
  <c r="T1183" i="3" s="1"/>
  <c r="P1209" i="3"/>
  <c r="T1209" i="3" s="1"/>
  <c r="P747" i="3"/>
  <c r="T747" i="3" s="1"/>
  <c r="P759" i="3"/>
  <c r="T759" i="3" s="1"/>
  <c r="P761" i="3"/>
  <c r="T761" i="3" s="1"/>
  <c r="P779" i="3"/>
  <c r="T779" i="3" s="1"/>
  <c r="P782" i="3"/>
  <c r="T782" i="3" s="1"/>
  <c r="P812" i="3"/>
  <c r="T812" i="3" s="1"/>
  <c r="P841" i="3"/>
  <c r="T841" i="3" s="1"/>
  <c r="P856" i="3"/>
  <c r="T856" i="3" s="1"/>
  <c r="P870" i="3"/>
  <c r="T870" i="3" s="1"/>
  <c r="P873" i="3"/>
  <c r="T873" i="3" s="1"/>
  <c r="P883" i="3"/>
  <c r="T883" i="3" s="1"/>
  <c r="P886" i="3"/>
  <c r="T886" i="3" s="1"/>
  <c r="P890" i="3"/>
  <c r="T890" i="3" s="1"/>
  <c r="P892" i="3"/>
  <c r="T892" i="3" s="1"/>
  <c r="P905" i="3"/>
  <c r="T905" i="3" s="1"/>
  <c r="P907" i="3"/>
  <c r="T907" i="3" s="1"/>
  <c r="P942" i="3"/>
  <c r="T942" i="3" s="1"/>
  <c r="P958" i="3"/>
  <c r="T958" i="3" s="1"/>
  <c r="P973" i="3"/>
  <c r="T973" i="3" s="1"/>
  <c r="P978" i="3"/>
  <c r="T978" i="3" s="1"/>
  <c r="P986" i="3"/>
  <c r="T986" i="3" s="1"/>
  <c r="P1011" i="3"/>
  <c r="T1011" i="3" s="1"/>
  <c r="P1022" i="3"/>
  <c r="T1022" i="3" s="1"/>
  <c r="P1025" i="3"/>
  <c r="T1025" i="3" s="1"/>
  <c r="P1043" i="3"/>
  <c r="T1043" i="3" s="1"/>
  <c r="P1059" i="3"/>
  <c r="T1059" i="3" s="1"/>
  <c r="P1065" i="3"/>
  <c r="T1065" i="3" s="1"/>
  <c r="P1066" i="3"/>
  <c r="T1066" i="3" s="1"/>
  <c r="P1074" i="3"/>
  <c r="T1074" i="3" s="1"/>
  <c r="P1084" i="3"/>
  <c r="T1084" i="3" s="1"/>
  <c r="P1086" i="3"/>
  <c r="T1086" i="3" s="1"/>
  <c r="P1090" i="3"/>
  <c r="T1090" i="3" s="1"/>
  <c r="P1101" i="3"/>
  <c r="T1101" i="3" s="1"/>
  <c r="P1111" i="3"/>
  <c r="T1111" i="3" s="1"/>
  <c r="P1113" i="3"/>
  <c r="T1113" i="3" s="1"/>
  <c r="P1119" i="3"/>
  <c r="T1119" i="3" s="1"/>
  <c r="P1200" i="3"/>
  <c r="T1200" i="3" s="1"/>
  <c r="P1207" i="3"/>
  <c r="T1207" i="3" s="1"/>
  <c r="P1178" i="3"/>
  <c r="T1178" i="3" s="1"/>
  <c r="P1180" i="3"/>
  <c r="T1180" i="3" s="1"/>
  <c r="P59" i="3"/>
  <c r="T59" i="3" s="1"/>
  <c r="P71" i="3"/>
  <c r="T71" i="3" s="1"/>
  <c r="P83" i="3"/>
  <c r="T83" i="3" s="1"/>
  <c r="P2" i="3"/>
  <c r="T2" i="3" s="1"/>
  <c r="P13" i="3"/>
  <c r="T13" i="3" s="1"/>
  <c r="P14" i="3"/>
  <c r="T14" i="3" s="1"/>
  <c r="P25" i="3"/>
  <c r="T25" i="3" s="1"/>
  <c r="P26" i="3"/>
  <c r="T26" i="3" s="1"/>
  <c r="P37" i="3"/>
  <c r="T37" i="3" s="1"/>
  <c r="P38" i="3"/>
  <c r="T38" i="3" s="1"/>
  <c r="P49" i="3"/>
  <c r="T49" i="3" s="1"/>
  <c r="P50" i="3"/>
  <c r="T50" i="3" s="1"/>
  <c r="P62" i="3"/>
  <c r="T62" i="3" s="1"/>
  <c r="P74" i="3"/>
  <c r="T74" i="3" s="1"/>
  <c r="P86" i="3"/>
  <c r="T86" i="3" s="1"/>
  <c r="P324" i="3"/>
  <c r="T324" i="3" s="1"/>
  <c r="P362" i="3"/>
  <c r="T362" i="3" s="1"/>
  <c r="P442" i="3"/>
  <c r="T442" i="3" s="1"/>
  <c r="P5" i="3"/>
  <c r="T5" i="3" s="1"/>
  <c r="P17" i="3"/>
  <c r="T17" i="3" s="1"/>
  <c r="P29" i="3"/>
  <c r="T29" i="3" s="1"/>
  <c r="P41" i="3"/>
  <c r="T41" i="3" s="1"/>
  <c r="P53" i="3"/>
  <c r="T53" i="3" s="1"/>
  <c r="P65" i="3"/>
  <c r="T65" i="3" s="1"/>
  <c r="P77" i="3"/>
  <c r="T77" i="3" s="1"/>
  <c r="P259" i="3"/>
  <c r="T259" i="3" s="1"/>
  <c r="P420" i="3"/>
  <c r="T420" i="3" s="1"/>
  <c r="P106" i="3"/>
  <c r="T106" i="3" s="1"/>
  <c r="P109" i="3"/>
  <c r="T109" i="3" s="1"/>
  <c r="P112" i="3"/>
  <c r="T112" i="3" s="1"/>
  <c r="P115" i="3"/>
  <c r="T115" i="3" s="1"/>
  <c r="P118" i="3"/>
  <c r="T118" i="3" s="1"/>
  <c r="P121" i="3"/>
  <c r="T121" i="3" s="1"/>
  <c r="P124" i="3"/>
  <c r="T124" i="3" s="1"/>
  <c r="P191" i="3"/>
  <c r="T191" i="3" s="1"/>
  <c r="P209" i="3"/>
  <c r="T209" i="3" s="1"/>
  <c r="P227" i="3"/>
  <c r="T227" i="3" s="1"/>
  <c r="P245" i="3"/>
  <c r="T245" i="3" s="1"/>
  <c r="P263" i="3"/>
  <c r="T263" i="3" s="1"/>
  <c r="P274" i="3"/>
  <c r="T274" i="3" s="1"/>
  <c r="P298" i="3"/>
  <c r="T298" i="3" s="1"/>
  <c r="P305" i="3"/>
  <c r="T305" i="3" s="1"/>
  <c r="P327" i="3"/>
  <c r="T327" i="3" s="1"/>
  <c r="P339" i="3"/>
  <c r="T339" i="3" s="1"/>
  <c r="P341" i="3"/>
  <c r="T341" i="3" s="1"/>
  <c r="P346" i="3"/>
  <c r="T346" i="3" s="1"/>
  <c r="P370" i="3"/>
  <c r="T370" i="3" s="1"/>
  <c r="P391" i="3"/>
  <c r="T391" i="3" s="1"/>
  <c r="P406" i="3"/>
  <c r="T406" i="3" s="1"/>
  <c r="P411" i="3"/>
  <c r="T411" i="3" s="1"/>
  <c r="P422" i="3"/>
  <c r="T422" i="3" s="1"/>
  <c r="P425" i="3"/>
  <c r="T425" i="3" s="1"/>
  <c r="P434" i="3"/>
  <c r="T434" i="3" s="1"/>
  <c r="P440" i="3"/>
  <c r="T440" i="3" s="1"/>
  <c r="P456" i="3"/>
  <c r="T456" i="3" s="1"/>
  <c r="P463" i="3"/>
  <c r="T463" i="3" s="1"/>
  <c r="P475" i="3"/>
  <c r="T475" i="3" s="1"/>
  <c r="P477" i="3"/>
  <c r="T477" i="3" s="1"/>
  <c r="P491" i="3"/>
  <c r="T491" i="3" s="1"/>
  <c r="P493" i="3"/>
  <c r="T493" i="3" s="1"/>
  <c r="P504" i="3"/>
  <c r="T504" i="3" s="1"/>
  <c r="P527" i="3"/>
  <c r="T527" i="3" s="1"/>
  <c r="P565" i="3"/>
  <c r="T565" i="3" s="1"/>
  <c r="P97" i="3"/>
  <c r="T97" i="3" s="1"/>
  <c r="P98" i="3"/>
  <c r="T98" i="3" s="1"/>
  <c r="P185" i="3"/>
  <c r="T185" i="3" s="1"/>
  <c r="P203" i="3"/>
  <c r="T203" i="3" s="1"/>
  <c r="P221" i="3"/>
  <c r="T221" i="3" s="1"/>
  <c r="P239" i="3"/>
  <c r="T239" i="3" s="1"/>
  <c r="P257" i="3"/>
  <c r="T257" i="3" s="1"/>
  <c r="P276" i="3"/>
  <c r="T276" i="3" s="1"/>
  <c r="P278" i="3"/>
  <c r="T278" i="3" s="1"/>
  <c r="P289" i="3"/>
  <c r="T289" i="3" s="1"/>
  <c r="P321" i="3"/>
  <c r="T321" i="3" s="1"/>
  <c r="P328" i="3"/>
  <c r="T328" i="3" s="1"/>
  <c r="P347" i="3"/>
  <c r="T347" i="3" s="1"/>
  <c r="P350" i="3"/>
  <c r="T350" i="3" s="1"/>
  <c r="P361" i="3"/>
  <c r="T361" i="3" s="1"/>
  <c r="P368" i="3"/>
  <c r="T368" i="3" s="1"/>
  <c r="P371" i="3"/>
  <c r="T371" i="3" s="1"/>
  <c r="P380" i="3"/>
  <c r="T380" i="3" s="1"/>
  <c r="P386" i="3"/>
  <c r="T386" i="3" s="1"/>
  <c r="P402" i="3"/>
  <c r="T402" i="3" s="1"/>
  <c r="P409" i="3"/>
  <c r="T409" i="3" s="1"/>
  <c r="P421" i="3"/>
  <c r="T421" i="3" s="1"/>
  <c r="P423" i="3"/>
  <c r="T423" i="3" s="1"/>
  <c r="P437" i="3"/>
  <c r="T437" i="3" s="1"/>
  <c r="P439" i="3"/>
  <c r="T439" i="3" s="1"/>
  <c r="P455" i="3"/>
  <c r="T455" i="3" s="1"/>
  <c r="P459" i="3"/>
  <c r="T459" i="3" s="1"/>
  <c r="P468" i="3"/>
  <c r="T468" i="3" s="1"/>
  <c r="P478" i="3"/>
  <c r="T478" i="3" s="1"/>
  <c r="P499" i="3"/>
  <c r="T499" i="3" s="1"/>
  <c r="P89" i="3"/>
  <c r="T89" i="3" s="1"/>
  <c r="P101" i="3"/>
  <c r="T101" i="3" s="1"/>
  <c r="P128" i="3"/>
  <c r="T128" i="3" s="1"/>
  <c r="P131" i="3"/>
  <c r="T131" i="3" s="1"/>
  <c r="P134" i="3"/>
  <c r="T134" i="3" s="1"/>
  <c r="P137" i="3"/>
  <c r="T137" i="3" s="1"/>
  <c r="P140" i="3"/>
  <c r="T140" i="3" s="1"/>
  <c r="P143" i="3"/>
  <c r="T143" i="3" s="1"/>
  <c r="P146" i="3"/>
  <c r="T146" i="3" s="1"/>
  <c r="P149" i="3"/>
  <c r="T149" i="3" s="1"/>
  <c r="P152" i="3"/>
  <c r="T152" i="3" s="1"/>
  <c r="P155" i="3"/>
  <c r="T155" i="3" s="1"/>
  <c r="P158" i="3"/>
  <c r="T158" i="3" s="1"/>
  <c r="P161" i="3"/>
  <c r="T161" i="3" s="1"/>
  <c r="P164" i="3"/>
  <c r="T164" i="3" s="1"/>
  <c r="P167" i="3"/>
  <c r="T167" i="3" s="1"/>
  <c r="P170" i="3"/>
  <c r="T170" i="3" s="1"/>
  <c r="P173" i="3"/>
  <c r="T173" i="3" s="1"/>
  <c r="P176" i="3"/>
  <c r="T176" i="3" s="1"/>
  <c r="P179" i="3"/>
  <c r="T179" i="3" s="1"/>
  <c r="P197" i="3"/>
  <c r="T197" i="3" s="1"/>
  <c r="P215" i="3"/>
  <c r="T215" i="3" s="1"/>
  <c r="P233" i="3"/>
  <c r="T233" i="3" s="1"/>
  <c r="P251" i="3"/>
  <c r="T251" i="3" s="1"/>
  <c r="P269" i="3"/>
  <c r="T269" i="3" s="1"/>
  <c r="P294" i="3"/>
  <c r="T294" i="3" s="1"/>
  <c r="P312" i="3"/>
  <c r="T312" i="3" s="1"/>
  <c r="P314" i="3"/>
  <c r="T314" i="3" s="1"/>
  <c r="P318" i="3"/>
  <c r="T318" i="3" s="1"/>
  <c r="P325" i="3"/>
  <c r="T325" i="3" s="1"/>
  <c r="P329" i="3"/>
  <c r="T329" i="3" s="1"/>
  <c r="P330" i="3"/>
  <c r="T330" i="3" s="1"/>
  <c r="P332" i="3"/>
  <c r="T332" i="3" s="1"/>
  <c r="P337" i="3"/>
  <c r="T337" i="3" s="1"/>
  <c r="P367" i="3"/>
  <c r="T367" i="3" s="1"/>
  <c r="P369" i="3"/>
  <c r="T369" i="3" s="1"/>
  <c r="P383" i="3"/>
  <c r="T383" i="3" s="1"/>
  <c r="P385" i="3"/>
  <c r="T385" i="3" s="1"/>
  <c r="P401" i="3"/>
  <c r="T401" i="3" s="1"/>
  <c r="P405" i="3"/>
  <c r="T405" i="3" s="1"/>
  <c r="P414" i="3"/>
  <c r="T414" i="3" s="1"/>
  <c r="P424" i="3"/>
  <c r="T424" i="3" s="1"/>
  <c r="P445" i="3"/>
  <c r="T445" i="3" s="1"/>
  <c r="P460" i="3"/>
  <c r="T460" i="3" s="1"/>
  <c r="P465" i="3"/>
  <c r="T465" i="3" s="1"/>
  <c r="P476" i="3"/>
  <c r="T476" i="3" s="1"/>
  <c r="P479" i="3"/>
  <c r="T479" i="3" s="1"/>
  <c r="P488" i="3"/>
  <c r="T488" i="3" s="1"/>
  <c r="P494" i="3"/>
  <c r="T494" i="3" s="1"/>
  <c r="P572" i="3"/>
  <c r="T572" i="3" s="1"/>
  <c r="P581" i="3"/>
  <c r="T581" i="3" s="1"/>
  <c r="P601" i="3"/>
  <c r="T601" i="3" s="1"/>
  <c r="P619" i="3"/>
  <c r="T619" i="3" s="1"/>
  <c r="P508" i="3"/>
  <c r="T508" i="3" s="1"/>
  <c r="P510" i="3"/>
  <c r="T510" i="3" s="1"/>
  <c r="P523" i="3"/>
  <c r="T523" i="3" s="1"/>
  <c r="P535" i="3"/>
  <c r="T535" i="3" s="1"/>
  <c r="P542" i="3"/>
  <c r="T542" i="3" s="1"/>
  <c r="P549" i="3"/>
  <c r="T549" i="3" s="1"/>
  <c r="P564" i="3"/>
  <c r="T564" i="3" s="1"/>
  <c r="P576" i="3"/>
  <c r="T576" i="3" s="1"/>
  <c r="P595" i="3"/>
  <c r="T595" i="3" s="1"/>
  <c r="P596" i="3"/>
  <c r="T596" i="3" s="1"/>
  <c r="P603" i="3"/>
  <c r="T603" i="3" s="1"/>
  <c r="P607" i="3"/>
  <c r="T607" i="3" s="1"/>
  <c r="P609" i="3"/>
  <c r="T609" i="3" s="1"/>
  <c r="P641" i="3"/>
  <c r="T641" i="3" s="1"/>
  <c r="P643" i="3"/>
  <c r="T643" i="3" s="1"/>
  <c r="P648" i="3"/>
  <c r="T648" i="3" s="1"/>
  <c r="P666" i="3"/>
  <c r="T666" i="3" s="1"/>
  <c r="P674" i="3"/>
  <c r="T674" i="3" s="1"/>
  <c r="P692" i="3"/>
  <c r="T692" i="3" s="1"/>
  <c r="P706" i="3"/>
  <c r="T706" i="3" s="1"/>
  <c r="P726" i="3"/>
  <c r="T726" i="3" s="1"/>
  <c r="P740" i="3"/>
  <c r="T740" i="3" s="1"/>
  <c r="P757" i="3"/>
  <c r="T757" i="3" s="1"/>
  <c r="P758" i="3"/>
  <c r="T758" i="3" s="1"/>
  <c r="P765" i="3"/>
  <c r="T765" i="3" s="1"/>
  <c r="P769" i="3"/>
  <c r="T769" i="3" s="1"/>
  <c r="P771" i="3"/>
  <c r="T771" i="3" s="1"/>
  <c r="P784" i="3"/>
  <c r="T784" i="3" s="1"/>
  <c r="P785" i="3"/>
  <c r="T785" i="3" s="1"/>
  <c r="P794" i="3"/>
  <c r="T794" i="3" s="1"/>
  <c r="P804" i="3"/>
  <c r="T804" i="3" s="1"/>
  <c r="P830" i="3"/>
  <c r="T830" i="3" s="1"/>
  <c r="P834" i="3"/>
  <c r="T834" i="3" s="1"/>
  <c r="P839" i="3"/>
  <c r="T839" i="3" s="1"/>
  <c r="P848" i="3"/>
  <c r="T848" i="3" s="1"/>
  <c r="P854" i="3"/>
  <c r="T854" i="3" s="1"/>
  <c r="P869" i="3"/>
  <c r="T869" i="3" s="1"/>
  <c r="P900" i="3"/>
  <c r="T900" i="3" s="1"/>
  <c r="P902" i="3"/>
  <c r="T902" i="3" s="1"/>
  <c r="P915" i="3"/>
  <c r="T915" i="3" s="1"/>
  <c r="P952" i="3"/>
  <c r="T952" i="3" s="1"/>
  <c r="P954" i="3"/>
  <c r="T954" i="3" s="1"/>
  <c r="P956" i="3"/>
  <c r="T956" i="3" s="1"/>
  <c r="P969" i="3"/>
  <c r="T969" i="3" s="1"/>
  <c r="P975" i="3"/>
  <c r="T975" i="3" s="1"/>
  <c r="P979" i="3"/>
  <c r="T979" i="3" s="1"/>
  <c r="P1013" i="3"/>
  <c r="T1013" i="3" s="1"/>
  <c r="P1003" i="3"/>
  <c r="T1003" i="3" s="1"/>
  <c r="P551" i="3"/>
  <c r="T551" i="3" s="1"/>
  <c r="P557" i="3"/>
  <c r="T557" i="3" s="1"/>
  <c r="P566" i="3"/>
  <c r="T566" i="3" s="1"/>
  <c r="P578" i="3"/>
  <c r="T578" i="3" s="1"/>
  <c r="P584" i="3"/>
  <c r="T584" i="3" s="1"/>
  <c r="P598" i="3"/>
  <c r="T598" i="3" s="1"/>
  <c r="P618" i="3"/>
  <c r="T618" i="3" s="1"/>
  <c r="P632" i="3"/>
  <c r="T632" i="3" s="1"/>
  <c r="P649" i="3"/>
  <c r="T649" i="3" s="1"/>
  <c r="P650" i="3"/>
  <c r="T650" i="3" s="1"/>
  <c r="P657" i="3"/>
  <c r="T657" i="3" s="1"/>
  <c r="P661" i="3"/>
  <c r="T661" i="3" s="1"/>
  <c r="P663" i="3"/>
  <c r="T663" i="3" s="1"/>
  <c r="P695" i="3"/>
  <c r="T695" i="3" s="1"/>
  <c r="P697" i="3"/>
  <c r="T697" i="3" s="1"/>
  <c r="P702" i="3"/>
  <c r="T702" i="3" s="1"/>
  <c r="P720" i="3"/>
  <c r="T720" i="3" s="1"/>
  <c r="P728" i="3"/>
  <c r="T728" i="3" s="1"/>
  <c r="P746" i="3"/>
  <c r="T746" i="3" s="1"/>
  <c r="P760" i="3"/>
  <c r="T760" i="3" s="1"/>
  <c r="P787" i="3"/>
  <c r="T787" i="3" s="1"/>
  <c r="P805" i="3"/>
  <c r="T805" i="3" s="1"/>
  <c r="P811" i="3"/>
  <c r="T811" i="3" s="1"/>
  <c r="P819" i="3"/>
  <c r="T819" i="3" s="1"/>
  <c r="P823" i="3"/>
  <c r="T823" i="3" s="1"/>
  <c r="P825" i="3"/>
  <c r="T825" i="3" s="1"/>
  <c r="P833" i="3"/>
  <c r="T833" i="3" s="1"/>
  <c r="P901" i="3"/>
  <c r="T901" i="3" s="1"/>
  <c r="P955" i="3"/>
  <c r="T955" i="3" s="1"/>
  <c r="P976" i="3"/>
  <c r="T976" i="3" s="1"/>
  <c r="P517" i="3"/>
  <c r="T517" i="3" s="1"/>
  <c r="P522" i="3"/>
  <c r="T522" i="3" s="1"/>
  <c r="P531" i="3"/>
  <c r="T531" i="3" s="1"/>
  <c r="P537" i="3"/>
  <c r="T537" i="3" s="1"/>
  <c r="P548" i="3"/>
  <c r="T548" i="3" s="1"/>
  <c r="P553" i="3"/>
  <c r="T553" i="3" s="1"/>
  <c r="P558" i="3"/>
  <c r="T558" i="3" s="1"/>
  <c r="P587" i="3"/>
  <c r="T587" i="3" s="1"/>
  <c r="P589" i="3"/>
  <c r="T589" i="3" s="1"/>
  <c r="P594" i="3"/>
  <c r="T594" i="3" s="1"/>
  <c r="P612" i="3"/>
  <c r="T612" i="3" s="1"/>
  <c r="P620" i="3"/>
  <c r="T620" i="3" s="1"/>
  <c r="P638" i="3"/>
  <c r="T638" i="3" s="1"/>
  <c r="P652" i="3"/>
  <c r="T652" i="3" s="1"/>
  <c r="P672" i="3"/>
  <c r="T672" i="3" s="1"/>
  <c r="P686" i="3"/>
  <c r="T686" i="3" s="1"/>
  <c r="P703" i="3"/>
  <c r="T703" i="3" s="1"/>
  <c r="P704" i="3"/>
  <c r="T704" i="3" s="1"/>
  <c r="P711" i="3"/>
  <c r="T711" i="3" s="1"/>
  <c r="P715" i="3"/>
  <c r="T715" i="3" s="1"/>
  <c r="P717" i="3"/>
  <c r="T717" i="3" s="1"/>
  <c r="P749" i="3"/>
  <c r="T749" i="3" s="1"/>
  <c r="P751" i="3"/>
  <c r="T751" i="3" s="1"/>
  <c r="P756" i="3"/>
  <c r="T756" i="3" s="1"/>
  <c r="P774" i="3"/>
  <c r="T774" i="3" s="1"/>
  <c r="P826" i="3"/>
  <c r="T826" i="3" s="1"/>
  <c r="P827" i="3"/>
  <c r="T827" i="3" s="1"/>
  <c r="P855" i="3"/>
  <c r="T855" i="3" s="1"/>
  <c r="P868" i="3"/>
  <c r="T868" i="3" s="1"/>
  <c r="P876" i="3"/>
  <c r="T876" i="3" s="1"/>
  <c r="P908" i="3"/>
  <c r="T908" i="3" s="1"/>
  <c r="P910" i="3"/>
  <c r="T910" i="3" s="1"/>
  <c r="P918" i="3"/>
  <c r="T918" i="3" s="1"/>
  <c r="P924" i="3"/>
  <c r="T924" i="3" s="1"/>
  <c r="P930" i="3"/>
  <c r="T930" i="3" s="1"/>
  <c r="P962" i="3"/>
  <c r="T962" i="3" s="1"/>
  <c r="P964" i="3"/>
  <c r="T964" i="3" s="1"/>
  <c r="P972" i="3"/>
  <c r="T972" i="3" s="1"/>
  <c r="P980" i="3"/>
  <c r="T980" i="3" s="1"/>
  <c r="P983" i="3"/>
  <c r="T983" i="3" s="1"/>
  <c r="P997" i="3"/>
  <c r="T997" i="3" s="1"/>
  <c r="P778" i="3"/>
  <c r="T778" i="3" s="1"/>
  <c r="P783" i="3"/>
  <c r="T783" i="3" s="1"/>
  <c r="P801" i="3"/>
  <c r="T801" i="3" s="1"/>
  <c r="P810" i="3"/>
  <c r="T810" i="3" s="1"/>
  <c r="P828" i="3"/>
  <c r="T828" i="3" s="1"/>
  <c r="P837" i="3"/>
  <c r="T837" i="3" s="1"/>
  <c r="P880" i="3"/>
  <c r="T880" i="3" s="1"/>
  <c r="P887" i="3"/>
  <c r="T887" i="3" s="1"/>
  <c r="P891" i="3"/>
  <c r="T891" i="3" s="1"/>
  <c r="P906" i="3"/>
  <c r="T906" i="3" s="1"/>
  <c r="P909" i="3"/>
  <c r="T909" i="3" s="1"/>
  <c r="P922" i="3"/>
  <c r="T922" i="3" s="1"/>
  <c r="P926" i="3"/>
  <c r="T926" i="3" s="1"/>
  <c r="P934" i="3"/>
  <c r="T934" i="3" s="1"/>
  <c r="P936" i="3"/>
  <c r="T936" i="3" s="1"/>
  <c r="P938" i="3"/>
  <c r="T938" i="3" s="1"/>
  <c r="P941" i="3"/>
  <c r="T941" i="3" s="1"/>
  <c r="P953" i="3"/>
  <c r="T953" i="3" s="1"/>
  <c r="P960" i="3"/>
  <c r="T960" i="3" s="1"/>
  <c r="P963" i="3"/>
  <c r="T963" i="3" s="1"/>
  <c r="P974" i="3"/>
  <c r="T974" i="3" s="1"/>
  <c r="P990" i="3"/>
  <c r="T990" i="3" s="1"/>
  <c r="P992" i="3"/>
  <c r="T992" i="3" s="1"/>
  <c r="P1001" i="3"/>
  <c r="T1001" i="3" s="1"/>
  <c r="P1008" i="3"/>
  <c r="T1008" i="3" s="1"/>
  <c r="P1021" i="3"/>
  <c r="T1021" i="3" s="1"/>
  <c r="P1053" i="3"/>
  <c r="T1053" i="3" s="1"/>
  <c r="P1063" i="3"/>
  <c r="T1063" i="3" s="1"/>
  <c r="P1064" i="3"/>
  <c r="T1064" i="3" s="1"/>
  <c r="P1070" i="3"/>
  <c r="T1070" i="3" s="1"/>
  <c r="P1085" i="3"/>
  <c r="T1085" i="3" s="1"/>
  <c r="P1087" i="3"/>
  <c r="T1087" i="3" s="1"/>
  <c r="P1097" i="3"/>
  <c r="T1097" i="3" s="1"/>
  <c r="P1100" i="3"/>
  <c r="T1100" i="3" s="1"/>
  <c r="P1108" i="3"/>
  <c r="T1108" i="3" s="1"/>
  <c r="P1123" i="3"/>
  <c r="T1123" i="3" s="1"/>
  <c r="P1130" i="3"/>
  <c r="T1130" i="3" s="1"/>
  <c r="P1136" i="3"/>
  <c r="T1136" i="3" s="1"/>
  <c r="P1143" i="3"/>
  <c r="T1143" i="3" s="1"/>
  <c r="P1147" i="3"/>
  <c r="T1147" i="3" s="1"/>
  <c r="P1148" i="3"/>
  <c r="T1148" i="3" s="1"/>
  <c r="P1158" i="3"/>
  <c r="T1158" i="3" s="1"/>
  <c r="P1188" i="3"/>
  <c r="T1188" i="3" s="1"/>
  <c r="P1191" i="3"/>
  <c r="T1191" i="3" s="1"/>
  <c r="P1210" i="3"/>
  <c r="T1210" i="3" s="1"/>
  <c r="P1048" i="3"/>
  <c r="T1048" i="3" s="1"/>
  <c r="P1050" i="3"/>
  <c r="T1050" i="3" s="1"/>
  <c r="P1057" i="3"/>
  <c r="T1057" i="3" s="1"/>
  <c r="P1071" i="3"/>
  <c r="T1071" i="3" s="1"/>
  <c r="P1075" i="3"/>
  <c r="T1075" i="3" s="1"/>
  <c r="P1089" i="3"/>
  <c r="T1089" i="3" s="1"/>
  <c r="P1106" i="3"/>
  <c r="T1106" i="3" s="1"/>
  <c r="P1109" i="3"/>
  <c r="T1109" i="3" s="1"/>
  <c r="P1115" i="3"/>
  <c r="T1115" i="3" s="1"/>
  <c r="P1120" i="3"/>
  <c r="T1120" i="3" s="1"/>
  <c r="P1160" i="3"/>
  <c r="T1160" i="3" s="1"/>
  <c r="P1162" i="3"/>
  <c r="T1162" i="3" s="1"/>
  <c r="P1167" i="3"/>
  <c r="T1167" i="3" s="1"/>
  <c r="P1176" i="3"/>
  <c r="T1176" i="3" s="1"/>
  <c r="P1185" i="3"/>
  <c r="T1185" i="3" s="1"/>
  <c r="P1195" i="3"/>
  <c r="T1195" i="3" s="1"/>
  <c r="P1144" i="3"/>
  <c r="T1144" i="3" s="1"/>
  <c r="P1154" i="3"/>
  <c r="T1154" i="3" s="1"/>
  <c r="P1164" i="3"/>
  <c r="T1164" i="3" s="1"/>
  <c r="P1170" i="3"/>
  <c r="T1170" i="3" s="1"/>
  <c r="P1173" i="3"/>
  <c r="T1173" i="3" s="1"/>
  <c r="P1179" i="3"/>
  <c r="T1179" i="3" s="1"/>
  <c r="P1182" i="3"/>
  <c r="T1182" i="3" s="1"/>
  <c r="P1192" i="3"/>
  <c r="T1192" i="3" s="1"/>
  <c r="P1000" i="3"/>
  <c r="T1000" i="3" s="1"/>
  <c r="P1007" i="3"/>
  <c r="T1007" i="3" s="1"/>
  <c r="P1010" i="3"/>
  <c r="T1010" i="3" s="1"/>
  <c r="P1012" i="3"/>
  <c r="T1012" i="3" s="1"/>
  <c r="P1015" i="3"/>
  <c r="T1015" i="3" s="1"/>
  <c r="P1040" i="3"/>
  <c r="T1040" i="3" s="1"/>
  <c r="P1186" i="3"/>
  <c r="T1186" i="3" s="1"/>
  <c r="P1049" i="3"/>
  <c r="T1049" i="3" s="1"/>
  <c r="P1193" i="3"/>
  <c r="T1193" i="3" s="1"/>
  <c r="P1204" i="3"/>
  <c r="T1204" i="3" s="1"/>
  <c r="P1208" i="3"/>
  <c r="T1208" i="3" s="1"/>
  <c r="P989" i="3"/>
  <c r="T989" i="3" s="1"/>
  <c r="P994" i="3"/>
  <c r="T994" i="3" s="1"/>
  <c r="P1006" i="3"/>
  <c r="T1006" i="3" s="1"/>
  <c r="P1058" i="3"/>
  <c r="T1058" i="3" s="1"/>
  <c r="P1060" i="3"/>
  <c r="T1060" i="3" s="1"/>
  <c r="P1076" i="3"/>
  <c r="T1076" i="3" s="1"/>
  <c r="P1121" i="3"/>
  <c r="T1121" i="3" s="1"/>
  <c r="F13" i="3"/>
  <c r="E13" i="3"/>
  <c r="L13" i="3"/>
  <c r="D13" i="3"/>
  <c r="B23" i="3"/>
  <c r="A23" i="3"/>
  <c r="G23" i="3"/>
  <c r="F23" i="3"/>
  <c r="B29" i="3"/>
  <c r="G29" i="3"/>
  <c r="A29" i="3"/>
  <c r="F29" i="3"/>
  <c r="B41" i="3"/>
  <c r="G41" i="3"/>
  <c r="A41" i="3"/>
  <c r="F41" i="3"/>
  <c r="F43" i="3"/>
  <c r="E43" i="3"/>
  <c r="D43" i="3"/>
  <c r="L43" i="3"/>
  <c r="F49" i="3"/>
  <c r="E49" i="3"/>
  <c r="L49" i="3"/>
  <c r="D49" i="3"/>
  <c r="F55" i="3"/>
  <c r="L55" i="3"/>
  <c r="E55" i="3"/>
  <c r="D55" i="3"/>
  <c r="B89" i="3"/>
  <c r="G89" i="3"/>
  <c r="A89" i="3"/>
  <c r="F89" i="3"/>
  <c r="B101" i="3"/>
  <c r="G101" i="3"/>
  <c r="A101" i="3"/>
  <c r="F101" i="3"/>
  <c r="F103" i="3"/>
  <c r="L103" i="3"/>
  <c r="E103" i="3"/>
  <c r="D103" i="3"/>
  <c r="F109" i="3"/>
  <c r="E109" i="3"/>
  <c r="L109" i="3"/>
  <c r="D109" i="3"/>
  <c r="A10" i="3"/>
  <c r="D11" i="3"/>
  <c r="A16" i="3"/>
  <c r="D17" i="3"/>
  <c r="A22" i="3"/>
  <c r="D23" i="3"/>
  <c r="G25" i="3"/>
  <c r="G31" i="3"/>
  <c r="G37" i="3"/>
  <c r="G43" i="3"/>
  <c r="G49" i="3"/>
  <c r="A52" i="3"/>
  <c r="G55" i="3"/>
  <c r="A58" i="3"/>
  <c r="A64" i="3"/>
  <c r="D65" i="3"/>
  <c r="G67" i="3"/>
  <c r="A70" i="3"/>
  <c r="D71" i="3"/>
  <c r="A76" i="3"/>
  <c r="D77" i="3"/>
  <c r="G79" i="3"/>
  <c r="A82" i="3"/>
  <c r="A88" i="3"/>
  <c r="D89" i="3"/>
  <c r="G91" i="3"/>
  <c r="A94" i="3"/>
  <c r="D95" i="3"/>
  <c r="G97" i="3"/>
  <c r="A100" i="3"/>
  <c r="D101" i="3"/>
  <c r="G103" i="3"/>
  <c r="A106" i="3"/>
  <c r="G109" i="3"/>
  <c r="A112" i="3"/>
  <c r="D113" i="3"/>
  <c r="A118" i="3"/>
  <c r="D119" i="3"/>
  <c r="G121" i="3"/>
  <c r="A124" i="3"/>
  <c r="D125" i="3"/>
  <c r="G292" i="3"/>
  <c r="A292" i="3"/>
  <c r="Q292" i="3"/>
  <c r="B292" i="3"/>
  <c r="F292" i="3"/>
  <c r="E292" i="3"/>
  <c r="E312" i="3"/>
  <c r="Q312" i="3"/>
  <c r="B312" i="3"/>
  <c r="A312" i="3"/>
  <c r="G312" i="3"/>
  <c r="F312" i="3"/>
  <c r="E321" i="3"/>
  <c r="Q321" i="3"/>
  <c r="B321" i="3"/>
  <c r="A321" i="3"/>
  <c r="D321" i="3"/>
  <c r="G321" i="3"/>
  <c r="F321" i="3"/>
  <c r="E348" i="3"/>
  <c r="Q348" i="3"/>
  <c r="B348" i="3"/>
  <c r="A348" i="3"/>
  <c r="G348" i="3"/>
  <c r="F348" i="3"/>
  <c r="D348" i="3"/>
  <c r="G426" i="3"/>
  <c r="A426" i="3"/>
  <c r="E426" i="3"/>
  <c r="L426" i="3"/>
  <c r="B426" i="3"/>
  <c r="Q426" i="3"/>
  <c r="F426" i="3"/>
  <c r="D426" i="3"/>
  <c r="E464" i="3"/>
  <c r="F464" i="3"/>
  <c r="L464" i="3"/>
  <c r="B464" i="3"/>
  <c r="Q464" i="3"/>
  <c r="A464" i="3"/>
  <c r="G464" i="3"/>
  <c r="D464" i="3"/>
  <c r="B47" i="3"/>
  <c r="G47" i="3"/>
  <c r="A47" i="3"/>
  <c r="F47" i="3"/>
  <c r="B59" i="3"/>
  <c r="G59" i="3"/>
  <c r="F59" i="3"/>
  <c r="A59" i="3"/>
  <c r="F61" i="3"/>
  <c r="E61" i="3"/>
  <c r="L61" i="3"/>
  <c r="D61" i="3"/>
  <c r="F73" i="3"/>
  <c r="L73" i="3"/>
  <c r="D73" i="3"/>
  <c r="E73" i="3"/>
  <c r="B83" i="3"/>
  <c r="G83" i="3"/>
  <c r="A83" i="3"/>
  <c r="F83" i="3"/>
  <c r="F85" i="3"/>
  <c r="L85" i="3"/>
  <c r="E85" i="3"/>
  <c r="D85" i="3"/>
  <c r="B107" i="3"/>
  <c r="F107" i="3"/>
  <c r="G107" i="3"/>
  <c r="A107" i="3"/>
  <c r="F115" i="3"/>
  <c r="L115" i="3"/>
  <c r="E115" i="3"/>
  <c r="D115" i="3"/>
  <c r="G283" i="3"/>
  <c r="A283" i="3"/>
  <c r="Q283" i="3"/>
  <c r="B283" i="3"/>
  <c r="F283" i="3"/>
  <c r="E283" i="3"/>
  <c r="G337" i="3"/>
  <c r="A337" i="3"/>
  <c r="Q337" i="3"/>
  <c r="B337" i="3"/>
  <c r="F337" i="3"/>
  <c r="E337" i="3"/>
  <c r="D337" i="3"/>
  <c r="B4" i="6"/>
  <c r="A4" i="3"/>
  <c r="D5" i="3"/>
  <c r="G7" i="3"/>
  <c r="G13" i="3"/>
  <c r="G19" i="3"/>
  <c r="A28" i="3"/>
  <c r="D29" i="3"/>
  <c r="A34" i="3"/>
  <c r="D35" i="3"/>
  <c r="A40" i="3"/>
  <c r="D41" i="3"/>
  <c r="A46" i="3"/>
  <c r="D47" i="3"/>
  <c r="D53" i="3"/>
  <c r="P6" i="3"/>
  <c r="T6" i="3" s="1"/>
  <c r="E11" i="3"/>
  <c r="P12" i="3"/>
  <c r="T12" i="3" s="1"/>
  <c r="Q13" i="3"/>
  <c r="P18" i="3"/>
  <c r="T18" i="3" s="1"/>
  <c r="E23" i="3"/>
  <c r="P24" i="3"/>
  <c r="T24" i="3" s="1"/>
  <c r="E29" i="3"/>
  <c r="P30" i="3"/>
  <c r="T30" i="3" s="1"/>
  <c r="P36" i="3"/>
  <c r="T36" i="3" s="1"/>
  <c r="Q37" i="3"/>
  <c r="E41" i="3"/>
  <c r="P42" i="3"/>
  <c r="T42" i="3" s="1"/>
  <c r="Q43" i="3"/>
  <c r="E47" i="3"/>
  <c r="P48" i="3"/>
  <c r="T48" i="3" s="1"/>
  <c r="Q49" i="3"/>
  <c r="E53" i="3"/>
  <c r="P54" i="3"/>
  <c r="T54" i="3" s="1"/>
  <c r="Q55" i="3"/>
  <c r="E59" i="3"/>
  <c r="P60" i="3"/>
  <c r="T60" i="3" s="1"/>
  <c r="Q61" i="3"/>
  <c r="E65" i="3"/>
  <c r="P66" i="3"/>
  <c r="T66" i="3" s="1"/>
  <c r="P72" i="3"/>
  <c r="T72" i="3" s="1"/>
  <c r="Q73" i="3"/>
  <c r="E77" i="3"/>
  <c r="P78" i="3"/>
  <c r="T78" i="3" s="1"/>
  <c r="E83" i="3"/>
  <c r="P84" i="3"/>
  <c r="T84" i="3" s="1"/>
  <c r="Q85" i="3"/>
  <c r="E89" i="3"/>
  <c r="P90" i="3"/>
  <c r="T90" i="3" s="1"/>
  <c r="Q91" i="3"/>
  <c r="E95" i="3"/>
  <c r="P96" i="3"/>
  <c r="T96" i="3" s="1"/>
  <c r="Q97" i="3"/>
  <c r="E101" i="3"/>
  <c r="P102" i="3"/>
  <c r="T102" i="3" s="1"/>
  <c r="Q103" i="3"/>
  <c r="E107" i="3"/>
  <c r="P108" i="3"/>
  <c r="T108" i="3" s="1"/>
  <c r="Q109" i="3"/>
  <c r="E113" i="3"/>
  <c r="P114" i="3"/>
  <c r="T114" i="3" s="1"/>
  <c r="Q115" i="3"/>
  <c r="E119" i="3"/>
  <c r="P120" i="3"/>
  <c r="T120" i="3" s="1"/>
  <c r="Q121" i="3"/>
  <c r="P126" i="3"/>
  <c r="T126" i="3" s="1"/>
  <c r="P129" i="3"/>
  <c r="T129" i="3" s="1"/>
  <c r="P132" i="3"/>
  <c r="T132" i="3" s="1"/>
  <c r="P135" i="3"/>
  <c r="T135" i="3" s="1"/>
  <c r="P138" i="3"/>
  <c r="T138" i="3" s="1"/>
  <c r="P141" i="3"/>
  <c r="T141" i="3" s="1"/>
  <c r="P144" i="3"/>
  <c r="T144" i="3" s="1"/>
  <c r="P147" i="3"/>
  <c r="T147" i="3" s="1"/>
  <c r="P150" i="3"/>
  <c r="T150" i="3" s="1"/>
  <c r="P153" i="3"/>
  <c r="T153" i="3" s="1"/>
  <c r="P156" i="3"/>
  <c r="T156" i="3" s="1"/>
  <c r="P159" i="3"/>
  <c r="T159" i="3" s="1"/>
  <c r="P162" i="3"/>
  <c r="T162" i="3" s="1"/>
  <c r="P165" i="3"/>
  <c r="T165" i="3" s="1"/>
  <c r="P168" i="3"/>
  <c r="T168" i="3" s="1"/>
  <c r="P171" i="3"/>
  <c r="T171" i="3" s="1"/>
  <c r="P174" i="3"/>
  <c r="T174" i="3" s="1"/>
  <c r="P177" i="3"/>
  <c r="T177" i="3" s="1"/>
  <c r="P180" i="3"/>
  <c r="T180" i="3" s="1"/>
  <c r="P183" i="3"/>
  <c r="T183" i="3" s="1"/>
  <c r="P186" i="3"/>
  <c r="T186" i="3" s="1"/>
  <c r="P189" i="3"/>
  <c r="T189" i="3" s="1"/>
  <c r="P192" i="3"/>
  <c r="T192" i="3" s="1"/>
  <c r="P195" i="3"/>
  <c r="T195" i="3" s="1"/>
  <c r="P198" i="3"/>
  <c r="T198" i="3" s="1"/>
  <c r="P201" i="3"/>
  <c r="T201" i="3" s="1"/>
  <c r="P204" i="3"/>
  <c r="T204" i="3" s="1"/>
  <c r="P207" i="3"/>
  <c r="T207" i="3" s="1"/>
  <c r="P210" i="3"/>
  <c r="T210" i="3" s="1"/>
  <c r="P213" i="3"/>
  <c r="T213" i="3" s="1"/>
  <c r="P216" i="3"/>
  <c r="T216" i="3" s="1"/>
  <c r="P219" i="3"/>
  <c r="T219" i="3" s="1"/>
  <c r="P222" i="3"/>
  <c r="T222" i="3" s="1"/>
  <c r="P225" i="3"/>
  <c r="T225" i="3" s="1"/>
  <c r="P228" i="3"/>
  <c r="T228" i="3" s="1"/>
  <c r="P231" i="3"/>
  <c r="T231" i="3" s="1"/>
  <c r="P234" i="3"/>
  <c r="T234" i="3" s="1"/>
  <c r="P237" i="3"/>
  <c r="T237" i="3" s="1"/>
  <c r="P240" i="3"/>
  <c r="T240" i="3" s="1"/>
  <c r="P243" i="3"/>
  <c r="T243" i="3" s="1"/>
  <c r="P246" i="3"/>
  <c r="T246" i="3" s="1"/>
  <c r="P249" i="3"/>
  <c r="T249" i="3" s="1"/>
  <c r="P252" i="3"/>
  <c r="T252" i="3" s="1"/>
  <c r="P255" i="3"/>
  <c r="T255" i="3" s="1"/>
  <c r="P258" i="3"/>
  <c r="T258" i="3" s="1"/>
  <c r="P261" i="3"/>
  <c r="T261" i="3" s="1"/>
  <c r="P264" i="3"/>
  <c r="T264" i="3" s="1"/>
  <c r="P267" i="3"/>
  <c r="T267" i="3" s="1"/>
  <c r="P273" i="3"/>
  <c r="T273" i="3" s="1"/>
  <c r="P284" i="3"/>
  <c r="T284" i="3" s="1"/>
  <c r="D292" i="3"/>
  <c r="G301" i="3"/>
  <c r="A301" i="3"/>
  <c r="Q301" i="3"/>
  <c r="B301" i="3"/>
  <c r="F301" i="3"/>
  <c r="E301" i="3"/>
  <c r="D312" i="3"/>
  <c r="G328" i="3"/>
  <c r="A328" i="3"/>
  <c r="Q328" i="3"/>
  <c r="B328" i="3"/>
  <c r="F328" i="3"/>
  <c r="D328" i="3"/>
  <c r="E328" i="3"/>
  <c r="G355" i="3"/>
  <c r="A355" i="3"/>
  <c r="Q355" i="3"/>
  <c r="B355" i="3"/>
  <c r="F355" i="3"/>
  <c r="E355" i="3"/>
  <c r="D355" i="3"/>
  <c r="G399" i="3"/>
  <c r="A399" i="3"/>
  <c r="E399" i="3"/>
  <c r="L399" i="3"/>
  <c r="B399" i="3"/>
  <c r="Q399" i="3"/>
  <c r="D399" i="3"/>
  <c r="F399" i="3"/>
  <c r="E437" i="3"/>
  <c r="F437" i="3"/>
  <c r="L437" i="3"/>
  <c r="B437" i="3"/>
  <c r="Q437" i="3"/>
  <c r="A437" i="3"/>
  <c r="G437" i="3"/>
  <c r="D437" i="3"/>
  <c r="E524" i="3"/>
  <c r="A524" i="3"/>
  <c r="B524" i="3"/>
  <c r="Q524" i="3"/>
  <c r="G524" i="3"/>
  <c r="F524" i="3"/>
  <c r="D524" i="3"/>
  <c r="B5" i="3"/>
  <c r="G5" i="3"/>
  <c r="A5" i="3"/>
  <c r="F5" i="3"/>
  <c r="B17" i="3"/>
  <c r="G17" i="3"/>
  <c r="A17" i="3"/>
  <c r="F17" i="3"/>
  <c r="F31" i="3"/>
  <c r="E31" i="3"/>
  <c r="L31" i="3"/>
  <c r="D31" i="3"/>
  <c r="B35" i="3"/>
  <c r="G35" i="3"/>
  <c r="A35" i="3"/>
  <c r="F35" i="3"/>
  <c r="B71" i="3"/>
  <c r="G71" i="3"/>
  <c r="F71" i="3"/>
  <c r="A71" i="3"/>
  <c r="B125" i="3"/>
  <c r="F125" i="3"/>
  <c r="G125" i="3"/>
  <c r="A125" i="3"/>
  <c r="B5" i="6"/>
  <c r="B2" i="3"/>
  <c r="G2" i="3"/>
  <c r="A2" i="3"/>
  <c r="F2" i="3"/>
  <c r="F4" i="3"/>
  <c r="L4" i="3"/>
  <c r="E4" i="3"/>
  <c r="D4" i="3"/>
  <c r="Q5" i="3"/>
  <c r="B8" i="3"/>
  <c r="G8" i="3"/>
  <c r="A8" i="3"/>
  <c r="F8" i="3"/>
  <c r="F10" i="3"/>
  <c r="E10" i="3"/>
  <c r="L10" i="3"/>
  <c r="D10" i="3"/>
  <c r="B14" i="3"/>
  <c r="G14" i="3"/>
  <c r="A14" i="3"/>
  <c r="F14" i="3"/>
  <c r="F16" i="3"/>
  <c r="D16" i="3"/>
  <c r="E16" i="3"/>
  <c r="L16" i="3"/>
  <c r="Q17" i="3"/>
  <c r="B20" i="3"/>
  <c r="G20" i="3"/>
  <c r="A20" i="3"/>
  <c r="F20" i="3"/>
  <c r="F22" i="3"/>
  <c r="E22" i="3"/>
  <c r="D22" i="3"/>
  <c r="L22" i="3"/>
  <c r="Q23" i="3"/>
  <c r="B26" i="3"/>
  <c r="A26" i="3"/>
  <c r="F26" i="3"/>
  <c r="G26" i="3"/>
  <c r="F28" i="3"/>
  <c r="E28" i="3"/>
  <c r="L28" i="3"/>
  <c r="D28" i="3"/>
  <c r="Q29" i="3"/>
  <c r="B32" i="3"/>
  <c r="G32" i="3"/>
  <c r="A32" i="3"/>
  <c r="F32" i="3"/>
  <c r="F34" i="3"/>
  <c r="D34" i="3"/>
  <c r="E34" i="3"/>
  <c r="L34" i="3"/>
  <c r="Q35" i="3"/>
  <c r="B38" i="3"/>
  <c r="G38" i="3"/>
  <c r="A38" i="3"/>
  <c r="F38" i="3"/>
  <c r="F40" i="3"/>
  <c r="L40" i="3"/>
  <c r="E40" i="3"/>
  <c r="D40" i="3"/>
  <c r="Q41" i="3"/>
  <c r="B44" i="3"/>
  <c r="G44" i="3"/>
  <c r="F44" i="3"/>
  <c r="A44" i="3"/>
  <c r="F46" i="3"/>
  <c r="E46" i="3"/>
  <c r="L46" i="3"/>
  <c r="D46" i="3"/>
  <c r="Q47" i="3"/>
  <c r="B50" i="3"/>
  <c r="G50" i="3"/>
  <c r="A50" i="3"/>
  <c r="F50" i="3"/>
  <c r="F52" i="3"/>
  <c r="E52" i="3"/>
  <c r="L52" i="3"/>
  <c r="D52" i="3"/>
  <c r="B56" i="3"/>
  <c r="G56" i="3"/>
  <c r="A56" i="3"/>
  <c r="F56" i="3"/>
  <c r="F58" i="3"/>
  <c r="D58" i="3"/>
  <c r="E58" i="3"/>
  <c r="L58" i="3"/>
  <c r="Q59" i="3"/>
  <c r="B62" i="3"/>
  <c r="A62" i="3"/>
  <c r="G62" i="3"/>
  <c r="F62" i="3"/>
  <c r="F64" i="3"/>
  <c r="D64" i="3"/>
  <c r="E64" i="3"/>
  <c r="L64" i="3"/>
  <c r="B68" i="3"/>
  <c r="F68" i="3"/>
  <c r="G68" i="3"/>
  <c r="A68" i="3"/>
  <c r="F70" i="3"/>
  <c r="L70" i="3"/>
  <c r="D70" i="3"/>
  <c r="E70" i="3"/>
  <c r="Q71" i="3"/>
  <c r="B74" i="3"/>
  <c r="F74" i="3"/>
  <c r="G74" i="3"/>
  <c r="A74" i="3"/>
  <c r="F76" i="3"/>
  <c r="D76" i="3"/>
  <c r="E76" i="3"/>
  <c r="L76" i="3"/>
  <c r="B80" i="3"/>
  <c r="G80" i="3"/>
  <c r="A80" i="3"/>
  <c r="F80" i="3"/>
  <c r="F82" i="3"/>
  <c r="D82" i="3"/>
  <c r="E82" i="3"/>
  <c r="L82" i="3"/>
  <c r="Q83" i="3"/>
  <c r="B86" i="3"/>
  <c r="F86" i="3"/>
  <c r="G86" i="3"/>
  <c r="A86" i="3"/>
  <c r="F88" i="3"/>
  <c r="D88" i="3"/>
  <c r="E88" i="3"/>
  <c r="L88" i="3"/>
  <c r="Q89" i="3"/>
  <c r="B92" i="3"/>
  <c r="G92" i="3"/>
  <c r="A92" i="3"/>
  <c r="F92" i="3"/>
  <c r="F94" i="3"/>
  <c r="L94" i="3"/>
  <c r="E94" i="3"/>
  <c r="D94" i="3"/>
  <c r="B98" i="3"/>
  <c r="G98" i="3"/>
  <c r="A98" i="3"/>
  <c r="F98" i="3"/>
  <c r="F100" i="3"/>
  <c r="E100" i="3"/>
  <c r="L100" i="3"/>
  <c r="D100" i="3"/>
  <c r="Q101" i="3"/>
  <c r="B104" i="3"/>
  <c r="F104" i="3"/>
  <c r="G104" i="3"/>
  <c r="A104" i="3"/>
  <c r="F106" i="3"/>
  <c r="D106" i="3"/>
  <c r="E106" i="3"/>
  <c r="L106" i="3"/>
  <c r="Q107" i="3"/>
  <c r="B110" i="3"/>
  <c r="G110" i="3"/>
  <c r="A110" i="3"/>
  <c r="F110" i="3"/>
  <c r="F112" i="3"/>
  <c r="D112" i="3"/>
  <c r="E112" i="3"/>
  <c r="L112" i="3"/>
  <c r="B116" i="3"/>
  <c r="F116" i="3"/>
  <c r="G116" i="3"/>
  <c r="A116" i="3"/>
  <c r="F118" i="3"/>
  <c r="E118" i="3"/>
  <c r="L118" i="3"/>
  <c r="D118" i="3"/>
  <c r="B122" i="3"/>
  <c r="G122" i="3"/>
  <c r="A122" i="3"/>
  <c r="F122" i="3"/>
  <c r="F124" i="3"/>
  <c r="D124" i="3"/>
  <c r="E124" i="3"/>
  <c r="L124" i="3"/>
  <c r="Q125" i="3"/>
  <c r="E276" i="3"/>
  <c r="Q276" i="3"/>
  <c r="B276" i="3"/>
  <c r="A276" i="3"/>
  <c r="G276" i="3"/>
  <c r="F276" i="3"/>
  <c r="P282" i="3"/>
  <c r="T282" i="3" s="1"/>
  <c r="P293" i="3"/>
  <c r="T293" i="3" s="1"/>
  <c r="G310" i="3"/>
  <c r="A310" i="3"/>
  <c r="Q310" i="3"/>
  <c r="B310" i="3"/>
  <c r="F310" i="3"/>
  <c r="E310" i="3"/>
  <c r="L337" i="3"/>
  <c r="E339" i="3"/>
  <c r="Q339" i="3"/>
  <c r="B339" i="3"/>
  <c r="A339" i="3"/>
  <c r="D339" i="3"/>
  <c r="G339" i="3"/>
  <c r="F339" i="3"/>
  <c r="G372" i="3"/>
  <c r="A372" i="3"/>
  <c r="E372" i="3"/>
  <c r="L372" i="3"/>
  <c r="B372" i="3"/>
  <c r="Q372" i="3"/>
  <c r="D372" i="3"/>
  <c r="F372" i="3"/>
  <c r="E410" i="3"/>
  <c r="F410" i="3"/>
  <c r="L410" i="3"/>
  <c r="B410" i="3"/>
  <c r="Q410" i="3"/>
  <c r="A410" i="3"/>
  <c r="D410" i="3"/>
  <c r="G410" i="3"/>
  <c r="G525" i="3"/>
  <c r="A525" i="3"/>
  <c r="E525" i="3"/>
  <c r="Q525" i="3"/>
  <c r="L525" i="3"/>
  <c r="B525" i="3"/>
  <c r="F525" i="3"/>
  <c r="D525" i="3"/>
  <c r="E536" i="3"/>
  <c r="F536" i="3"/>
  <c r="Q536" i="3"/>
  <c r="A536" i="3"/>
  <c r="L536" i="3"/>
  <c r="B536" i="3"/>
  <c r="G536" i="3"/>
  <c r="D536" i="3"/>
  <c r="F19" i="3"/>
  <c r="E19" i="3"/>
  <c r="D19" i="3"/>
  <c r="L19" i="3"/>
  <c r="B53" i="3"/>
  <c r="G53" i="3"/>
  <c r="A53" i="3"/>
  <c r="F53" i="3"/>
  <c r="F67" i="3"/>
  <c r="L67" i="3"/>
  <c r="D67" i="3"/>
  <c r="E67" i="3"/>
  <c r="B77" i="3"/>
  <c r="G77" i="3"/>
  <c r="A77" i="3"/>
  <c r="F77" i="3"/>
  <c r="F79" i="3"/>
  <c r="E79" i="3"/>
  <c r="L79" i="3"/>
  <c r="D79" i="3"/>
  <c r="B95" i="3"/>
  <c r="F95" i="3"/>
  <c r="G95" i="3"/>
  <c r="A95" i="3"/>
  <c r="B113" i="3"/>
  <c r="G113" i="3"/>
  <c r="A113" i="3"/>
  <c r="F113" i="3"/>
  <c r="E303" i="3"/>
  <c r="Q303" i="3"/>
  <c r="B303" i="3"/>
  <c r="A303" i="3"/>
  <c r="G303" i="3"/>
  <c r="F303" i="3"/>
  <c r="E491" i="3"/>
  <c r="F491" i="3"/>
  <c r="L491" i="3"/>
  <c r="B491" i="3"/>
  <c r="Q491" i="3"/>
  <c r="A491" i="3"/>
  <c r="D491" i="3"/>
  <c r="G491" i="3"/>
  <c r="A13" i="3"/>
  <c r="A31" i="3"/>
  <c r="A49" i="3"/>
  <c r="A73" i="3"/>
  <c r="A79" i="3"/>
  <c r="A85" i="3"/>
  <c r="A103" i="3"/>
  <c r="G106" i="3"/>
  <c r="A109" i="3"/>
  <c r="D110" i="3"/>
  <c r="G112" i="3"/>
  <c r="A115" i="3"/>
  <c r="D116" i="3"/>
  <c r="G118" i="3"/>
  <c r="D122" i="3"/>
  <c r="G124" i="3"/>
  <c r="L283" i="3"/>
  <c r="E285" i="3"/>
  <c r="Q285" i="3"/>
  <c r="B285" i="3"/>
  <c r="A285" i="3"/>
  <c r="G285" i="3"/>
  <c r="F285" i="3"/>
  <c r="P291" i="3"/>
  <c r="T291" i="3" s="1"/>
  <c r="P302" i="3"/>
  <c r="T302" i="3" s="1"/>
  <c r="L303" i="3"/>
  <c r="G319" i="3"/>
  <c r="A319" i="3"/>
  <c r="Q319" i="3"/>
  <c r="B319" i="3"/>
  <c r="F319" i="3"/>
  <c r="D319" i="3"/>
  <c r="E319" i="3"/>
  <c r="G346" i="3"/>
  <c r="A346" i="3"/>
  <c r="Q346" i="3"/>
  <c r="B346" i="3"/>
  <c r="D346" i="3"/>
  <c r="F346" i="3"/>
  <c r="E346" i="3"/>
  <c r="E383" i="3"/>
  <c r="F383" i="3"/>
  <c r="L383" i="3"/>
  <c r="B383" i="3"/>
  <c r="Q383" i="3"/>
  <c r="A383" i="3"/>
  <c r="G383" i="3"/>
  <c r="D383" i="3"/>
  <c r="F7" i="3"/>
  <c r="E7" i="3"/>
  <c r="L7" i="3"/>
  <c r="D7" i="3"/>
  <c r="B11" i="3"/>
  <c r="A11" i="3"/>
  <c r="F11" i="3"/>
  <c r="G11" i="3"/>
  <c r="F25" i="3"/>
  <c r="E25" i="3"/>
  <c r="L25" i="3"/>
  <c r="D25" i="3"/>
  <c r="F37" i="3"/>
  <c r="E37" i="3"/>
  <c r="L37" i="3"/>
  <c r="D37" i="3"/>
  <c r="B65" i="3"/>
  <c r="G65" i="3"/>
  <c r="A65" i="3"/>
  <c r="F65" i="3"/>
  <c r="F91" i="3"/>
  <c r="E91" i="3"/>
  <c r="D91" i="3"/>
  <c r="L91" i="3"/>
  <c r="F97" i="3"/>
  <c r="E97" i="3"/>
  <c r="L97" i="3"/>
  <c r="D97" i="3"/>
  <c r="B119" i="3"/>
  <c r="G119" i="3"/>
  <c r="A119" i="3"/>
  <c r="F119" i="3"/>
  <c r="F121" i="3"/>
  <c r="D121" i="3"/>
  <c r="E121" i="3"/>
  <c r="L121" i="3"/>
  <c r="G453" i="3"/>
  <c r="A453" i="3"/>
  <c r="E453" i="3"/>
  <c r="L453" i="3"/>
  <c r="B453" i="3"/>
  <c r="Q453" i="3"/>
  <c r="F453" i="3"/>
  <c r="D453" i="3"/>
  <c r="A7" i="3"/>
  <c r="A19" i="3"/>
  <c r="A25" i="3"/>
  <c r="A43" i="3"/>
  <c r="A55" i="3"/>
  <c r="A61" i="3"/>
  <c r="A67" i="3"/>
  <c r="E2" i="3"/>
  <c r="P3" i="3"/>
  <c r="T3" i="3" s="1"/>
  <c r="Q4" i="3"/>
  <c r="L5" i="3"/>
  <c r="B7" i="3"/>
  <c r="E8" i="3"/>
  <c r="P9" i="3"/>
  <c r="T9" i="3" s="1"/>
  <c r="Q10" i="3"/>
  <c r="L11" i="3"/>
  <c r="B13" i="3"/>
  <c r="E14" i="3"/>
  <c r="P15" i="3"/>
  <c r="T15" i="3" s="1"/>
  <c r="Q16" i="3"/>
  <c r="L17" i="3"/>
  <c r="B19" i="3"/>
  <c r="E20" i="3"/>
  <c r="P21" i="3"/>
  <c r="T21" i="3" s="1"/>
  <c r="Q22" i="3"/>
  <c r="L23" i="3"/>
  <c r="B25" i="3"/>
  <c r="E26" i="3"/>
  <c r="P27" i="3"/>
  <c r="T27" i="3" s="1"/>
  <c r="Q28" i="3"/>
  <c r="L29" i="3"/>
  <c r="B31" i="3"/>
  <c r="E32" i="3"/>
  <c r="P33" i="3"/>
  <c r="T33" i="3" s="1"/>
  <c r="Q34" i="3"/>
  <c r="L35" i="3"/>
  <c r="B37" i="3"/>
  <c r="E38" i="3"/>
  <c r="P39" i="3"/>
  <c r="T39" i="3" s="1"/>
  <c r="Q40" i="3"/>
  <c r="L41" i="3"/>
  <c r="B43" i="3"/>
  <c r="E44" i="3"/>
  <c r="P45" i="3"/>
  <c r="T45" i="3" s="1"/>
  <c r="Q46" i="3"/>
  <c r="L47" i="3"/>
  <c r="B49" i="3"/>
  <c r="E50" i="3"/>
  <c r="P51" i="3"/>
  <c r="T51" i="3" s="1"/>
  <c r="Q52" i="3"/>
  <c r="L53" i="3"/>
  <c r="B55" i="3"/>
  <c r="E56" i="3"/>
  <c r="P57" i="3"/>
  <c r="T57" i="3" s="1"/>
  <c r="Q58" i="3"/>
  <c r="L59" i="3"/>
  <c r="B61" i="3"/>
  <c r="E62" i="3"/>
  <c r="P63" i="3"/>
  <c r="T63" i="3" s="1"/>
  <c r="Q64" i="3"/>
  <c r="L65" i="3"/>
  <c r="B67" i="3"/>
  <c r="E68" i="3"/>
  <c r="P69" i="3"/>
  <c r="T69" i="3" s="1"/>
  <c r="Q70" i="3"/>
  <c r="L71" i="3"/>
  <c r="B73" i="3"/>
  <c r="E74" i="3"/>
  <c r="P75" i="3"/>
  <c r="T75" i="3" s="1"/>
  <c r="Q76" i="3"/>
  <c r="L77" i="3"/>
  <c r="B79" i="3"/>
  <c r="E80" i="3"/>
  <c r="P81" i="3"/>
  <c r="T81" i="3" s="1"/>
  <c r="Q82" i="3"/>
  <c r="L83" i="3"/>
  <c r="B85" i="3"/>
  <c r="E86" i="3"/>
  <c r="P87" i="3"/>
  <c r="T87" i="3" s="1"/>
  <c r="Q88" i="3"/>
  <c r="L89" i="3"/>
  <c r="B91" i="3"/>
  <c r="E92" i="3"/>
  <c r="P93" i="3"/>
  <c r="T93" i="3" s="1"/>
  <c r="Q94" i="3"/>
  <c r="L95" i="3"/>
  <c r="B97" i="3"/>
  <c r="E98" i="3"/>
  <c r="P99" i="3"/>
  <c r="T99" i="3" s="1"/>
  <c r="Q100" i="3"/>
  <c r="L101" i="3"/>
  <c r="B103" i="3"/>
  <c r="E104" i="3"/>
  <c r="P105" i="3"/>
  <c r="T105" i="3" s="1"/>
  <c r="Q106" i="3"/>
  <c r="L107" i="3"/>
  <c r="B109" i="3"/>
  <c r="E110" i="3"/>
  <c r="P111" i="3"/>
  <c r="T111" i="3" s="1"/>
  <c r="Q112" i="3"/>
  <c r="L113" i="3"/>
  <c r="B115" i="3"/>
  <c r="E116" i="3"/>
  <c r="P117" i="3"/>
  <c r="T117" i="3" s="1"/>
  <c r="Q118" i="3"/>
  <c r="L119" i="3"/>
  <c r="B121" i="3"/>
  <c r="E122" i="3"/>
  <c r="P123" i="3"/>
  <c r="T123" i="3" s="1"/>
  <c r="Q124" i="3"/>
  <c r="L125" i="3"/>
  <c r="G127" i="3"/>
  <c r="A127" i="3"/>
  <c r="F127" i="3"/>
  <c r="E127" i="3"/>
  <c r="D127" i="3"/>
  <c r="L127" i="3"/>
  <c r="G130" i="3"/>
  <c r="A130" i="3"/>
  <c r="F130" i="3"/>
  <c r="L130" i="3"/>
  <c r="E130" i="3"/>
  <c r="D130" i="3"/>
  <c r="G133" i="3"/>
  <c r="A133" i="3"/>
  <c r="F133" i="3"/>
  <c r="E133" i="3"/>
  <c r="L133" i="3"/>
  <c r="D133" i="3"/>
  <c r="G136" i="3"/>
  <c r="A136" i="3"/>
  <c r="F136" i="3"/>
  <c r="L136" i="3"/>
  <c r="D136" i="3"/>
  <c r="E136" i="3"/>
  <c r="G139" i="3"/>
  <c r="A139" i="3"/>
  <c r="F139" i="3"/>
  <c r="E139" i="3"/>
  <c r="L139" i="3"/>
  <c r="D139" i="3"/>
  <c r="G142" i="3"/>
  <c r="A142" i="3"/>
  <c r="F142" i="3"/>
  <c r="L142" i="3"/>
  <c r="E142" i="3"/>
  <c r="D142" i="3"/>
  <c r="G145" i="3"/>
  <c r="A145" i="3"/>
  <c r="F145" i="3"/>
  <c r="D145" i="3"/>
  <c r="E145" i="3"/>
  <c r="L145" i="3"/>
  <c r="G148" i="3"/>
  <c r="A148" i="3"/>
  <c r="F148" i="3"/>
  <c r="E148" i="3"/>
  <c r="L148" i="3"/>
  <c r="D148" i="3"/>
  <c r="G151" i="3"/>
  <c r="A151" i="3"/>
  <c r="F151" i="3"/>
  <c r="L151" i="3"/>
  <c r="E151" i="3"/>
  <c r="D151" i="3"/>
  <c r="G154" i="3"/>
  <c r="A154" i="3"/>
  <c r="F154" i="3"/>
  <c r="E154" i="3"/>
  <c r="L154" i="3"/>
  <c r="D154" i="3"/>
  <c r="G157" i="3"/>
  <c r="A157" i="3"/>
  <c r="F157" i="3"/>
  <c r="E157" i="3"/>
  <c r="L157" i="3"/>
  <c r="D157" i="3"/>
  <c r="G160" i="3"/>
  <c r="A160" i="3"/>
  <c r="F160" i="3"/>
  <c r="E160" i="3"/>
  <c r="L160" i="3"/>
  <c r="D160" i="3"/>
  <c r="G163" i="3"/>
  <c r="A163" i="3"/>
  <c r="F163" i="3"/>
  <c r="D163" i="3"/>
  <c r="E163" i="3"/>
  <c r="L163" i="3"/>
  <c r="G166" i="3"/>
  <c r="A166" i="3"/>
  <c r="F166" i="3"/>
  <c r="L166" i="3"/>
  <c r="D166" i="3"/>
  <c r="E166" i="3"/>
  <c r="G169" i="3"/>
  <c r="A169" i="3"/>
  <c r="F169" i="3"/>
  <c r="D169" i="3"/>
  <c r="E169" i="3"/>
  <c r="L169" i="3"/>
  <c r="G172" i="3"/>
  <c r="A172" i="3"/>
  <c r="F172" i="3"/>
  <c r="E172" i="3"/>
  <c r="L172" i="3"/>
  <c r="D172" i="3"/>
  <c r="G175" i="3"/>
  <c r="A175" i="3"/>
  <c r="F175" i="3"/>
  <c r="L175" i="3"/>
  <c r="E175" i="3"/>
  <c r="D175" i="3"/>
  <c r="G178" i="3"/>
  <c r="A178" i="3"/>
  <c r="F178" i="3"/>
  <c r="L178" i="3"/>
  <c r="D178" i="3"/>
  <c r="E178" i="3"/>
  <c r="G181" i="3"/>
  <c r="A181" i="3"/>
  <c r="F181" i="3"/>
  <c r="L181" i="3"/>
  <c r="E181" i="3"/>
  <c r="D181" i="3"/>
  <c r="G184" i="3"/>
  <c r="A184" i="3"/>
  <c r="F184" i="3"/>
  <c r="L184" i="3"/>
  <c r="D184" i="3"/>
  <c r="E184" i="3"/>
  <c r="G187" i="3"/>
  <c r="A187" i="3"/>
  <c r="F187" i="3"/>
  <c r="E187" i="3"/>
  <c r="L187" i="3"/>
  <c r="D187" i="3"/>
  <c r="G190" i="3"/>
  <c r="A190" i="3"/>
  <c r="F190" i="3"/>
  <c r="E190" i="3"/>
  <c r="L190" i="3"/>
  <c r="D190" i="3"/>
  <c r="G193" i="3"/>
  <c r="A193" i="3"/>
  <c r="F193" i="3"/>
  <c r="D193" i="3"/>
  <c r="E193" i="3"/>
  <c r="L193" i="3"/>
  <c r="G196" i="3"/>
  <c r="A196" i="3"/>
  <c r="F196" i="3"/>
  <c r="E196" i="3"/>
  <c r="D196" i="3"/>
  <c r="L196" i="3"/>
  <c r="G199" i="3"/>
  <c r="A199" i="3"/>
  <c r="F199" i="3"/>
  <c r="L199" i="3"/>
  <c r="E199" i="3"/>
  <c r="D199" i="3"/>
  <c r="G202" i="3"/>
  <c r="A202" i="3"/>
  <c r="F202" i="3"/>
  <c r="E202" i="3"/>
  <c r="L202" i="3"/>
  <c r="D202" i="3"/>
  <c r="G205" i="3"/>
  <c r="A205" i="3"/>
  <c r="F205" i="3"/>
  <c r="L205" i="3"/>
  <c r="E205" i="3"/>
  <c r="D205" i="3"/>
  <c r="G208" i="3"/>
  <c r="A208" i="3"/>
  <c r="F208" i="3"/>
  <c r="L208" i="3"/>
  <c r="E208" i="3"/>
  <c r="D208" i="3"/>
  <c r="G211" i="3"/>
  <c r="A211" i="3"/>
  <c r="F211" i="3"/>
  <c r="E211" i="3"/>
  <c r="D211" i="3"/>
  <c r="L211" i="3"/>
  <c r="G214" i="3"/>
  <c r="A214" i="3"/>
  <c r="F214" i="3"/>
  <c r="L214" i="3"/>
  <c r="E214" i="3"/>
  <c r="D214" i="3"/>
  <c r="G217" i="3"/>
  <c r="A217" i="3"/>
  <c r="F217" i="3"/>
  <c r="E217" i="3"/>
  <c r="L217" i="3"/>
  <c r="D217" i="3"/>
  <c r="G220" i="3"/>
  <c r="A220" i="3"/>
  <c r="F220" i="3"/>
  <c r="L220" i="3"/>
  <c r="E220" i="3"/>
  <c r="D220" i="3"/>
  <c r="G223" i="3"/>
  <c r="A223" i="3"/>
  <c r="F223" i="3"/>
  <c r="E223" i="3"/>
  <c r="L223" i="3"/>
  <c r="D223" i="3"/>
  <c r="G226" i="3"/>
  <c r="A226" i="3"/>
  <c r="F226" i="3"/>
  <c r="L226" i="3"/>
  <c r="D226" i="3"/>
  <c r="E226" i="3"/>
  <c r="G229" i="3"/>
  <c r="A229" i="3"/>
  <c r="F229" i="3"/>
  <c r="L229" i="3"/>
  <c r="D229" i="3"/>
  <c r="E229" i="3"/>
  <c r="G232" i="3"/>
  <c r="A232" i="3"/>
  <c r="F232" i="3"/>
  <c r="L232" i="3"/>
  <c r="D232" i="3"/>
  <c r="E232" i="3"/>
  <c r="G235" i="3"/>
  <c r="A235" i="3"/>
  <c r="F235" i="3"/>
  <c r="L235" i="3"/>
  <c r="D235" i="3"/>
  <c r="E235" i="3"/>
  <c r="G238" i="3"/>
  <c r="A238" i="3"/>
  <c r="F238" i="3"/>
  <c r="E238" i="3"/>
  <c r="L238" i="3"/>
  <c r="D238" i="3"/>
  <c r="G241" i="3"/>
  <c r="A241" i="3"/>
  <c r="F241" i="3"/>
  <c r="E241" i="3"/>
  <c r="L241" i="3"/>
  <c r="D241" i="3"/>
  <c r="G244" i="3"/>
  <c r="A244" i="3"/>
  <c r="F244" i="3"/>
  <c r="E244" i="3"/>
  <c r="L244" i="3"/>
  <c r="D244" i="3"/>
  <c r="G247" i="3"/>
  <c r="A247" i="3"/>
  <c r="F247" i="3"/>
  <c r="E247" i="3"/>
  <c r="L247" i="3"/>
  <c r="D247" i="3"/>
  <c r="G250" i="3"/>
  <c r="A250" i="3"/>
  <c r="F250" i="3"/>
  <c r="E250" i="3"/>
  <c r="L250" i="3"/>
  <c r="D250" i="3"/>
  <c r="G253" i="3"/>
  <c r="A253" i="3"/>
  <c r="F253" i="3"/>
  <c r="E253" i="3"/>
  <c r="L253" i="3"/>
  <c r="D253" i="3"/>
  <c r="G256" i="3"/>
  <c r="A256" i="3"/>
  <c r="F256" i="3"/>
  <c r="E256" i="3"/>
  <c r="L256" i="3"/>
  <c r="D256" i="3"/>
  <c r="G259" i="3"/>
  <c r="A259" i="3"/>
  <c r="F259" i="3"/>
  <c r="E259" i="3"/>
  <c r="L259" i="3"/>
  <c r="D259" i="3"/>
  <c r="G262" i="3"/>
  <c r="A262" i="3"/>
  <c r="F262" i="3"/>
  <c r="E262" i="3"/>
  <c r="L262" i="3"/>
  <c r="D262" i="3"/>
  <c r="G265" i="3"/>
  <c r="A265" i="3"/>
  <c r="F265" i="3"/>
  <c r="E265" i="3"/>
  <c r="L265" i="3"/>
  <c r="D265" i="3"/>
  <c r="G268" i="3"/>
  <c r="A268" i="3"/>
  <c r="F268" i="3"/>
  <c r="E268" i="3"/>
  <c r="L268" i="3"/>
  <c r="D268" i="3"/>
  <c r="G274" i="3"/>
  <c r="A274" i="3"/>
  <c r="Q274" i="3"/>
  <c r="B274" i="3"/>
  <c r="F274" i="3"/>
  <c r="E274" i="3"/>
  <c r="E294" i="3"/>
  <c r="Q294" i="3"/>
  <c r="B294" i="3"/>
  <c r="A294" i="3"/>
  <c r="G294" i="3"/>
  <c r="F294" i="3"/>
  <c r="P300" i="3"/>
  <c r="T300" i="3" s="1"/>
  <c r="P311" i="3"/>
  <c r="T311" i="3" s="1"/>
  <c r="E330" i="3"/>
  <c r="Q330" i="3"/>
  <c r="B330" i="3"/>
  <c r="A330" i="3"/>
  <c r="D330" i="3"/>
  <c r="G330" i="3"/>
  <c r="F330" i="3"/>
  <c r="E357" i="3"/>
  <c r="Q357" i="3"/>
  <c r="B357" i="3"/>
  <c r="A357" i="3"/>
  <c r="D357" i="3"/>
  <c r="G357" i="3"/>
  <c r="F357" i="3"/>
  <c r="G480" i="3"/>
  <c r="A480" i="3"/>
  <c r="E480" i="3"/>
  <c r="L480" i="3"/>
  <c r="B480" i="3"/>
  <c r="Q480" i="3"/>
  <c r="D480" i="3"/>
  <c r="F480" i="3"/>
  <c r="G552" i="3"/>
  <c r="A552" i="3"/>
  <c r="E552" i="3"/>
  <c r="F552" i="3"/>
  <c r="Q552" i="3"/>
  <c r="E560" i="3"/>
  <c r="A560" i="3"/>
  <c r="D560" i="3"/>
  <c r="G560" i="3"/>
  <c r="G567" i="3"/>
  <c r="A567" i="3"/>
  <c r="F567" i="3"/>
  <c r="B567" i="3"/>
  <c r="G576" i="3"/>
  <c r="A576" i="3"/>
  <c r="D576" i="3"/>
  <c r="F576" i="3"/>
  <c r="E578" i="3"/>
  <c r="A578" i="3"/>
  <c r="G578" i="3"/>
  <c r="B578" i="3"/>
  <c r="G594" i="3"/>
  <c r="A594" i="3"/>
  <c r="F594" i="3"/>
  <c r="D594" i="3"/>
  <c r="B594" i="3"/>
  <c r="G621" i="3"/>
  <c r="A621" i="3"/>
  <c r="F621" i="3"/>
  <c r="D621" i="3"/>
  <c r="B621" i="3"/>
  <c r="G648" i="3"/>
  <c r="A648" i="3"/>
  <c r="F648" i="3"/>
  <c r="D648" i="3"/>
  <c r="B648" i="3"/>
  <c r="G675" i="3"/>
  <c r="A675" i="3"/>
  <c r="F675" i="3"/>
  <c r="D675" i="3"/>
  <c r="B675" i="3"/>
  <c r="G702" i="3"/>
  <c r="A702" i="3"/>
  <c r="F702" i="3"/>
  <c r="D702" i="3"/>
  <c r="B702" i="3"/>
  <c r="G729" i="3"/>
  <c r="A729" i="3"/>
  <c r="F729" i="3"/>
  <c r="D729" i="3"/>
  <c r="B729" i="3"/>
  <c r="G756" i="3"/>
  <c r="A756" i="3"/>
  <c r="F756" i="3"/>
  <c r="D756" i="3"/>
  <c r="B756" i="3"/>
  <c r="G783" i="3"/>
  <c r="A783" i="3"/>
  <c r="F783" i="3"/>
  <c r="D783" i="3"/>
  <c r="B783" i="3"/>
  <c r="G810" i="3"/>
  <c r="A810" i="3"/>
  <c r="F810" i="3"/>
  <c r="D810" i="3"/>
  <c r="B810" i="3"/>
  <c r="G837" i="3"/>
  <c r="A837" i="3"/>
  <c r="F837" i="3"/>
  <c r="D837" i="3"/>
  <c r="B837" i="3"/>
  <c r="G867" i="3"/>
  <c r="A867" i="3"/>
  <c r="E867" i="3"/>
  <c r="Q867" i="3"/>
  <c r="B867" i="3"/>
  <c r="D867" i="3"/>
  <c r="L867" i="3"/>
  <c r="E905" i="3"/>
  <c r="F905" i="3"/>
  <c r="Q905" i="3"/>
  <c r="B905" i="3"/>
  <c r="D905" i="3"/>
  <c r="L905" i="3"/>
  <c r="A905" i="3"/>
  <c r="E923" i="3"/>
  <c r="F923" i="3"/>
  <c r="Q923" i="3"/>
  <c r="B923" i="3"/>
  <c r="D923" i="3"/>
  <c r="L923" i="3"/>
  <c r="A923" i="3"/>
  <c r="G939" i="3"/>
  <c r="A939" i="3"/>
  <c r="E939" i="3"/>
  <c r="Q939" i="3"/>
  <c r="B939" i="3"/>
  <c r="D939" i="3"/>
  <c r="L939" i="3"/>
  <c r="G369" i="3"/>
  <c r="A369" i="3"/>
  <c r="L369" i="3"/>
  <c r="E407" i="3"/>
  <c r="A407" i="3"/>
  <c r="L407" i="3"/>
  <c r="G477" i="3"/>
  <c r="A477" i="3"/>
  <c r="L477" i="3"/>
  <c r="D578" i="3"/>
  <c r="E594" i="3"/>
  <c r="E605" i="3"/>
  <c r="A605" i="3"/>
  <c r="G605" i="3"/>
  <c r="D605" i="3"/>
  <c r="B605" i="3"/>
  <c r="E614" i="3"/>
  <c r="A614" i="3"/>
  <c r="D614" i="3"/>
  <c r="B614" i="3"/>
  <c r="G614" i="3"/>
  <c r="E621" i="3"/>
  <c r="E632" i="3"/>
  <c r="A632" i="3"/>
  <c r="G632" i="3"/>
  <c r="D632" i="3"/>
  <c r="B632" i="3"/>
  <c r="E641" i="3"/>
  <c r="A641" i="3"/>
  <c r="D641" i="3"/>
  <c r="B641" i="3"/>
  <c r="G641" i="3"/>
  <c r="E648" i="3"/>
  <c r="E659" i="3"/>
  <c r="A659" i="3"/>
  <c r="G659" i="3"/>
  <c r="D659" i="3"/>
  <c r="B659" i="3"/>
  <c r="E668" i="3"/>
  <c r="A668" i="3"/>
  <c r="D668" i="3"/>
  <c r="B668" i="3"/>
  <c r="G668" i="3"/>
  <c r="E675" i="3"/>
  <c r="E686" i="3"/>
  <c r="A686" i="3"/>
  <c r="G686" i="3"/>
  <c r="D686" i="3"/>
  <c r="B686" i="3"/>
  <c r="E695" i="3"/>
  <c r="A695" i="3"/>
  <c r="D695" i="3"/>
  <c r="B695" i="3"/>
  <c r="G695" i="3"/>
  <c r="E702" i="3"/>
  <c r="E713" i="3"/>
  <c r="A713" i="3"/>
  <c r="G713" i="3"/>
  <c r="D713" i="3"/>
  <c r="B713" i="3"/>
  <c r="E722" i="3"/>
  <c r="A722" i="3"/>
  <c r="D722" i="3"/>
  <c r="B722" i="3"/>
  <c r="G722" i="3"/>
  <c r="E729" i="3"/>
  <c r="E740" i="3"/>
  <c r="A740" i="3"/>
  <c r="G740" i="3"/>
  <c r="D740" i="3"/>
  <c r="B740" i="3"/>
  <c r="E749" i="3"/>
  <c r="A749" i="3"/>
  <c r="D749" i="3"/>
  <c r="B749" i="3"/>
  <c r="G749" i="3"/>
  <c r="E756" i="3"/>
  <c r="E767" i="3"/>
  <c r="A767" i="3"/>
  <c r="G767" i="3"/>
  <c r="D767" i="3"/>
  <c r="B767" i="3"/>
  <c r="E776" i="3"/>
  <c r="A776" i="3"/>
  <c r="D776" i="3"/>
  <c r="B776" i="3"/>
  <c r="G776" i="3"/>
  <c r="E783" i="3"/>
  <c r="E794" i="3"/>
  <c r="A794" i="3"/>
  <c r="G794" i="3"/>
  <c r="D794" i="3"/>
  <c r="B794" i="3"/>
  <c r="E803" i="3"/>
  <c r="A803" i="3"/>
  <c r="D803" i="3"/>
  <c r="B803" i="3"/>
  <c r="G803" i="3"/>
  <c r="E810" i="3"/>
  <c r="E821" i="3"/>
  <c r="A821" i="3"/>
  <c r="G821" i="3"/>
  <c r="D821" i="3"/>
  <c r="B821" i="3"/>
  <c r="E830" i="3"/>
  <c r="A830" i="3"/>
  <c r="D830" i="3"/>
  <c r="B830" i="3"/>
  <c r="G830" i="3"/>
  <c r="E837" i="3"/>
  <c r="E848" i="3"/>
  <c r="A848" i="3"/>
  <c r="G848" i="3"/>
  <c r="D848" i="3"/>
  <c r="B848" i="3"/>
  <c r="F867" i="3"/>
  <c r="G903" i="3"/>
  <c r="A903" i="3"/>
  <c r="E903" i="3"/>
  <c r="Q903" i="3"/>
  <c r="B903" i="3"/>
  <c r="L903" i="3"/>
  <c r="D903" i="3"/>
  <c r="G905" i="3"/>
  <c r="G921" i="3"/>
  <c r="A921" i="3"/>
  <c r="E921" i="3"/>
  <c r="Q921" i="3"/>
  <c r="B921" i="3"/>
  <c r="D921" i="3"/>
  <c r="L921" i="3"/>
  <c r="G923" i="3"/>
  <c r="F939" i="3"/>
  <c r="E380" i="3"/>
  <c r="A380" i="3"/>
  <c r="L380" i="3"/>
  <c r="G504" i="3"/>
  <c r="A504" i="3"/>
  <c r="D504" i="3"/>
  <c r="G513" i="3"/>
  <c r="A513" i="3"/>
  <c r="B513" i="3"/>
  <c r="L513" i="3"/>
  <c r="G549" i="3"/>
  <c r="A549" i="3"/>
  <c r="D549" i="3"/>
  <c r="F549" i="3"/>
  <c r="D567" i="3"/>
  <c r="E576" i="3"/>
  <c r="F152" i="3"/>
  <c r="F158" i="3"/>
  <c r="F173" i="3"/>
  <c r="F188" i="3"/>
  <c r="F191" i="3"/>
  <c r="F197" i="3"/>
  <c r="F206" i="3"/>
  <c r="F212" i="3"/>
  <c r="F245" i="3"/>
  <c r="F248" i="3"/>
  <c r="F251" i="3"/>
  <c r="F254" i="3"/>
  <c r="F257" i="3"/>
  <c r="F260" i="3"/>
  <c r="F263" i="3"/>
  <c r="F266" i="3"/>
  <c r="F269" i="3"/>
  <c r="L270" i="3"/>
  <c r="G277" i="3"/>
  <c r="A277" i="3"/>
  <c r="L277" i="3"/>
  <c r="L279" i="3"/>
  <c r="G286" i="3"/>
  <c r="A286" i="3"/>
  <c r="L286" i="3"/>
  <c r="L288" i="3"/>
  <c r="G295" i="3"/>
  <c r="A295" i="3"/>
  <c r="L295" i="3"/>
  <c r="L297" i="3"/>
  <c r="G304" i="3"/>
  <c r="A304" i="3"/>
  <c r="L304" i="3"/>
  <c r="L306" i="3"/>
  <c r="G313" i="3"/>
  <c r="A313" i="3"/>
  <c r="L313" i="3"/>
  <c r="L315" i="3"/>
  <c r="G322" i="3"/>
  <c r="A322" i="3"/>
  <c r="L322" i="3"/>
  <c r="L324" i="3"/>
  <c r="G331" i="3"/>
  <c r="A331" i="3"/>
  <c r="L331" i="3"/>
  <c r="L333" i="3"/>
  <c r="G340" i="3"/>
  <c r="A340" i="3"/>
  <c r="L340" i="3"/>
  <c r="L342" i="3"/>
  <c r="G349" i="3"/>
  <c r="A349" i="3"/>
  <c r="L349" i="3"/>
  <c r="L351" i="3"/>
  <c r="G358" i="3"/>
  <c r="A358" i="3"/>
  <c r="L358" i="3"/>
  <c r="L360" i="3"/>
  <c r="E365" i="3"/>
  <c r="F365" i="3"/>
  <c r="D369" i="3"/>
  <c r="G371" i="3"/>
  <c r="D380" i="3"/>
  <c r="G381" i="3"/>
  <c r="A381" i="3"/>
  <c r="E381" i="3"/>
  <c r="F387" i="3"/>
  <c r="E392" i="3"/>
  <c r="F392" i="3"/>
  <c r="D396" i="3"/>
  <c r="G398" i="3"/>
  <c r="D407" i="3"/>
  <c r="G408" i="3"/>
  <c r="A408" i="3"/>
  <c r="E408" i="3"/>
  <c r="F414" i="3"/>
  <c r="E419" i="3"/>
  <c r="F419" i="3"/>
  <c r="G425" i="3"/>
  <c r="D434" i="3"/>
  <c r="G435" i="3"/>
  <c r="A435" i="3"/>
  <c r="E435" i="3"/>
  <c r="F441" i="3"/>
  <c r="E446" i="3"/>
  <c r="F446" i="3"/>
  <c r="G452" i="3"/>
  <c r="G462" i="3"/>
  <c r="A462" i="3"/>
  <c r="E462" i="3"/>
  <c r="F468" i="3"/>
  <c r="E473" i="3"/>
  <c r="F473" i="3"/>
  <c r="D477" i="3"/>
  <c r="G479" i="3"/>
  <c r="D488" i="3"/>
  <c r="G489" i="3"/>
  <c r="A489" i="3"/>
  <c r="E489" i="3"/>
  <c r="F495" i="3"/>
  <c r="E500" i="3"/>
  <c r="F500" i="3"/>
  <c r="E504" i="3"/>
  <c r="D513" i="3"/>
  <c r="E518" i="3"/>
  <c r="F518" i="3"/>
  <c r="G518" i="3"/>
  <c r="G531" i="3"/>
  <c r="A531" i="3"/>
  <c r="D531" i="3"/>
  <c r="D540" i="3"/>
  <c r="E542" i="3"/>
  <c r="A542" i="3"/>
  <c r="B542" i="3"/>
  <c r="D542" i="3"/>
  <c r="E549" i="3"/>
  <c r="Q558" i="3"/>
  <c r="Q560" i="3"/>
  <c r="E567" i="3"/>
  <c r="F569" i="3"/>
  <c r="Q576" i="3"/>
  <c r="F578" i="3"/>
  <c r="G585" i="3"/>
  <c r="A585" i="3"/>
  <c r="B585" i="3"/>
  <c r="F585" i="3"/>
  <c r="D585" i="3"/>
  <c r="Q594" i="3"/>
  <c r="G603" i="3"/>
  <c r="A603" i="3"/>
  <c r="D603" i="3"/>
  <c r="B603" i="3"/>
  <c r="F603" i="3"/>
  <c r="F605" i="3"/>
  <c r="G612" i="3"/>
  <c r="A612" i="3"/>
  <c r="B612" i="3"/>
  <c r="F612" i="3"/>
  <c r="D612" i="3"/>
  <c r="F614" i="3"/>
  <c r="Q621" i="3"/>
  <c r="G630" i="3"/>
  <c r="A630" i="3"/>
  <c r="D630" i="3"/>
  <c r="B630" i="3"/>
  <c r="F630" i="3"/>
  <c r="F632" i="3"/>
  <c r="G639" i="3"/>
  <c r="A639" i="3"/>
  <c r="B639" i="3"/>
  <c r="F639" i="3"/>
  <c r="D639" i="3"/>
  <c r="F641" i="3"/>
  <c r="Q648" i="3"/>
  <c r="G657" i="3"/>
  <c r="A657" i="3"/>
  <c r="D657" i="3"/>
  <c r="B657" i="3"/>
  <c r="F657" i="3"/>
  <c r="F659" i="3"/>
  <c r="G666" i="3"/>
  <c r="A666" i="3"/>
  <c r="B666" i="3"/>
  <c r="F666" i="3"/>
  <c r="D666" i="3"/>
  <c r="F668" i="3"/>
  <c r="Q675" i="3"/>
  <c r="G684" i="3"/>
  <c r="A684" i="3"/>
  <c r="D684" i="3"/>
  <c r="B684" i="3"/>
  <c r="F684" i="3"/>
  <c r="F686" i="3"/>
  <c r="G693" i="3"/>
  <c r="A693" i="3"/>
  <c r="B693" i="3"/>
  <c r="F693" i="3"/>
  <c r="D693" i="3"/>
  <c r="F695" i="3"/>
  <c r="Q702" i="3"/>
  <c r="G711" i="3"/>
  <c r="A711" i="3"/>
  <c r="D711" i="3"/>
  <c r="B711" i="3"/>
  <c r="F711" i="3"/>
  <c r="F713" i="3"/>
  <c r="G720" i="3"/>
  <c r="A720" i="3"/>
  <c r="B720" i="3"/>
  <c r="F720" i="3"/>
  <c r="D720" i="3"/>
  <c r="F722" i="3"/>
  <c r="Q729" i="3"/>
  <c r="G738" i="3"/>
  <c r="A738" i="3"/>
  <c r="D738" i="3"/>
  <c r="B738" i="3"/>
  <c r="F738" i="3"/>
  <c r="F740" i="3"/>
  <c r="G747" i="3"/>
  <c r="A747" i="3"/>
  <c r="B747" i="3"/>
  <c r="F747" i="3"/>
  <c r="D747" i="3"/>
  <c r="F749" i="3"/>
  <c r="Q756" i="3"/>
  <c r="G765" i="3"/>
  <c r="A765" i="3"/>
  <c r="D765" i="3"/>
  <c r="B765" i="3"/>
  <c r="F765" i="3"/>
  <c r="F767" i="3"/>
  <c r="G774" i="3"/>
  <c r="A774" i="3"/>
  <c r="B774" i="3"/>
  <c r="F774" i="3"/>
  <c r="D774" i="3"/>
  <c r="F776" i="3"/>
  <c r="Q783" i="3"/>
  <c r="G792" i="3"/>
  <c r="A792" i="3"/>
  <c r="D792" i="3"/>
  <c r="B792" i="3"/>
  <c r="F792" i="3"/>
  <c r="F794" i="3"/>
  <c r="G801" i="3"/>
  <c r="A801" i="3"/>
  <c r="B801" i="3"/>
  <c r="F801" i="3"/>
  <c r="D801" i="3"/>
  <c r="F803" i="3"/>
  <c r="Q810" i="3"/>
  <c r="G819" i="3"/>
  <c r="A819" i="3"/>
  <c r="D819" i="3"/>
  <c r="B819" i="3"/>
  <c r="F819" i="3"/>
  <c r="F821" i="3"/>
  <c r="G828" i="3"/>
  <c r="A828" i="3"/>
  <c r="B828" i="3"/>
  <c r="F828" i="3"/>
  <c r="D828" i="3"/>
  <c r="F830" i="3"/>
  <c r="Q837" i="3"/>
  <c r="G846" i="3"/>
  <c r="A846" i="3"/>
  <c r="D846" i="3"/>
  <c r="B846" i="3"/>
  <c r="F846" i="3"/>
  <c r="F848" i="3"/>
  <c r="F903" i="3"/>
  <c r="F921" i="3"/>
  <c r="G957" i="3"/>
  <c r="A957" i="3"/>
  <c r="E957" i="3"/>
  <c r="Q957" i="3"/>
  <c r="B957" i="3"/>
  <c r="L957" i="3"/>
  <c r="F957" i="3"/>
  <c r="D957" i="3"/>
  <c r="G423" i="3"/>
  <c r="A423" i="3"/>
  <c r="L423" i="3"/>
  <c r="G450" i="3"/>
  <c r="A450" i="3"/>
  <c r="L450" i="3"/>
  <c r="E461" i="3"/>
  <c r="A461" i="3"/>
  <c r="L461" i="3"/>
  <c r="E551" i="3"/>
  <c r="A551" i="3"/>
  <c r="G551" i="3"/>
  <c r="B551" i="3"/>
  <c r="D552" i="3"/>
  <c r="E563" i="3"/>
  <c r="F563" i="3"/>
  <c r="G563" i="3"/>
  <c r="Q563" i="3"/>
  <c r="A563" i="3"/>
  <c r="E587" i="3"/>
  <c r="A587" i="3"/>
  <c r="D587" i="3"/>
  <c r="B587" i="3"/>
  <c r="G587" i="3"/>
  <c r="F128" i="3"/>
  <c r="F134" i="3"/>
  <c r="F140" i="3"/>
  <c r="F143" i="3"/>
  <c r="F149" i="3"/>
  <c r="F155" i="3"/>
  <c r="F161" i="3"/>
  <c r="F176" i="3"/>
  <c r="F203" i="3"/>
  <c r="F218" i="3"/>
  <c r="F221" i="3"/>
  <c r="F224" i="3"/>
  <c r="F239" i="3"/>
  <c r="F242" i="3"/>
  <c r="Q12" i="3"/>
  <c r="Q27" i="3"/>
  <c r="Q33" i="3"/>
  <c r="Q39" i="3"/>
  <c r="Q45" i="3"/>
  <c r="Q48" i="3"/>
  <c r="Q51" i="3"/>
  <c r="Q57" i="3"/>
  <c r="Q63" i="3"/>
  <c r="Q66" i="3"/>
  <c r="Q69" i="3"/>
  <c r="Q72" i="3"/>
  <c r="Q75" i="3"/>
  <c r="Q78" i="3"/>
  <c r="Q81" i="3"/>
  <c r="Q84" i="3"/>
  <c r="Q87" i="3"/>
  <c r="Q90" i="3"/>
  <c r="Q93" i="3"/>
  <c r="Q96" i="3"/>
  <c r="Q99" i="3"/>
  <c r="Q102" i="3"/>
  <c r="Q105" i="3"/>
  <c r="Q108" i="3"/>
  <c r="Q111" i="3"/>
  <c r="Q114" i="3"/>
  <c r="Q117" i="3"/>
  <c r="Q120" i="3"/>
  <c r="Q123" i="3"/>
  <c r="Q126" i="3"/>
  <c r="A128" i="3"/>
  <c r="G128" i="3"/>
  <c r="Q129" i="3"/>
  <c r="A131" i="3"/>
  <c r="G131" i="3"/>
  <c r="Q132" i="3"/>
  <c r="A134" i="3"/>
  <c r="G134" i="3"/>
  <c r="Q135" i="3"/>
  <c r="A137" i="3"/>
  <c r="G137" i="3"/>
  <c r="Q138" i="3"/>
  <c r="A140" i="3"/>
  <c r="G140" i="3"/>
  <c r="Q141" i="3"/>
  <c r="A143" i="3"/>
  <c r="G143" i="3"/>
  <c r="Q144" i="3"/>
  <c r="A146" i="3"/>
  <c r="G146" i="3"/>
  <c r="Q147" i="3"/>
  <c r="A149" i="3"/>
  <c r="G149" i="3"/>
  <c r="Q150" i="3"/>
  <c r="A152" i="3"/>
  <c r="G152" i="3"/>
  <c r="Q153" i="3"/>
  <c r="A155" i="3"/>
  <c r="G155" i="3"/>
  <c r="Q156" i="3"/>
  <c r="A158" i="3"/>
  <c r="G158" i="3"/>
  <c r="Q159" i="3"/>
  <c r="A161" i="3"/>
  <c r="G161" i="3"/>
  <c r="Q162" i="3"/>
  <c r="A164" i="3"/>
  <c r="G164" i="3"/>
  <c r="Q165" i="3"/>
  <c r="A167" i="3"/>
  <c r="G167" i="3"/>
  <c r="Q168" i="3"/>
  <c r="A170" i="3"/>
  <c r="G170" i="3"/>
  <c r="Q171" i="3"/>
  <c r="A173" i="3"/>
  <c r="G173" i="3"/>
  <c r="Q174" i="3"/>
  <c r="A176" i="3"/>
  <c r="G176" i="3"/>
  <c r="Q177" i="3"/>
  <c r="A179" i="3"/>
  <c r="G179" i="3"/>
  <c r="Q180" i="3"/>
  <c r="A182" i="3"/>
  <c r="G182" i="3"/>
  <c r="Q183" i="3"/>
  <c r="A185" i="3"/>
  <c r="G185" i="3"/>
  <c r="Q186" i="3"/>
  <c r="A188" i="3"/>
  <c r="G188" i="3"/>
  <c r="Q189" i="3"/>
  <c r="A191" i="3"/>
  <c r="G191" i="3"/>
  <c r="Q192" i="3"/>
  <c r="A194" i="3"/>
  <c r="G194" i="3"/>
  <c r="Q195" i="3"/>
  <c r="A197" i="3"/>
  <c r="G197" i="3"/>
  <c r="Q198" i="3"/>
  <c r="A200" i="3"/>
  <c r="G200" i="3"/>
  <c r="Q201" i="3"/>
  <c r="A203" i="3"/>
  <c r="G203" i="3"/>
  <c r="Q204" i="3"/>
  <c r="A206" i="3"/>
  <c r="G206" i="3"/>
  <c r="Q207" i="3"/>
  <c r="A209" i="3"/>
  <c r="G209" i="3"/>
  <c r="Q210" i="3"/>
  <c r="A212" i="3"/>
  <c r="G212" i="3"/>
  <c r="Q213" i="3"/>
  <c r="A215" i="3"/>
  <c r="G215" i="3"/>
  <c r="Q216" i="3"/>
  <c r="A218" i="3"/>
  <c r="G218" i="3"/>
  <c r="Q219" i="3"/>
  <c r="A221" i="3"/>
  <c r="G221" i="3"/>
  <c r="Q222" i="3"/>
  <c r="A224" i="3"/>
  <c r="G224" i="3"/>
  <c r="Q225" i="3"/>
  <c r="A227" i="3"/>
  <c r="G227" i="3"/>
  <c r="Q228" i="3"/>
  <c r="A230" i="3"/>
  <c r="G230" i="3"/>
  <c r="Q231" i="3"/>
  <c r="A233" i="3"/>
  <c r="G233" i="3"/>
  <c r="Q234" i="3"/>
  <c r="A236" i="3"/>
  <c r="G236" i="3"/>
  <c r="Q237" i="3"/>
  <c r="A239" i="3"/>
  <c r="G239" i="3"/>
  <c r="Q240" i="3"/>
  <c r="A242" i="3"/>
  <c r="G242" i="3"/>
  <c r="Q243" i="3"/>
  <c r="A245" i="3"/>
  <c r="G245" i="3"/>
  <c r="Q246" i="3"/>
  <c r="A248" i="3"/>
  <c r="G248" i="3"/>
  <c r="Q249" i="3"/>
  <c r="A251" i="3"/>
  <c r="G251" i="3"/>
  <c r="Q252" i="3"/>
  <c r="A254" i="3"/>
  <c r="G254" i="3"/>
  <c r="Q255" i="3"/>
  <c r="A257" i="3"/>
  <c r="G257" i="3"/>
  <c r="Q258" i="3"/>
  <c r="A260" i="3"/>
  <c r="G260" i="3"/>
  <c r="Q261" i="3"/>
  <c r="A263" i="3"/>
  <c r="G263" i="3"/>
  <c r="Q264" i="3"/>
  <c r="A266" i="3"/>
  <c r="G266" i="3"/>
  <c r="Q267" i="3"/>
  <c r="A269" i="3"/>
  <c r="G269" i="3"/>
  <c r="D270" i="3"/>
  <c r="D277" i="3"/>
  <c r="D279" i="3"/>
  <c r="D286" i="3"/>
  <c r="D288" i="3"/>
  <c r="D295" i="3"/>
  <c r="D297" i="3"/>
  <c r="D304" i="3"/>
  <c r="D306" i="3"/>
  <c r="D313" i="3"/>
  <c r="D315" i="3"/>
  <c r="D322" i="3"/>
  <c r="D324" i="3"/>
  <c r="D331" i="3"/>
  <c r="D333" i="3"/>
  <c r="D340" i="3"/>
  <c r="D342" i="3"/>
  <c r="D349" i="3"/>
  <c r="D351" i="3"/>
  <c r="D358" i="3"/>
  <c r="D360" i="3"/>
  <c r="D365" i="3"/>
  <c r="E369" i="3"/>
  <c r="Q371" i="3"/>
  <c r="G378" i="3"/>
  <c r="A378" i="3"/>
  <c r="L378" i="3"/>
  <c r="F380" i="3"/>
  <c r="D381" i="3"/>
  <c r="Q387" i="3"/>
  <c r="E389" i="3"/>
  <c r="A389" i="3"/>
  <c r="L389" i="3"/>
  <c r="D392" i="3"/>
  <c r="Q398" i="3"/>
  <c r="G405" i="3"/>
  <c r="A405" i="3"/>
  <c r="L405" i="3"/>
  <c r="F407" i="3"/>
  <c r="D408" i="3"/>
  <c r="Q414" i="3"/>
  <c r="E416" i="3"/>
  <c r="A416" i="3"/>
  <c r="L416" i="3"/>
  <c r="D419" i="3"/>
  <c r="E423" i="3"/>
  <c r="Q425" i="3"/>
  <c r="G432" i="3"/>
  <c r="A432" i="3"/>
  <c r="L432" i="3"/>
  <c r="D435" i="3"/>
  <c r="Q441" i="3"/>
  <c r="E443" i="3"/>
  <c r="A443" i="3"/>
  <c r="L443" i="3"/>
  <c r="D446" i="3"/>
  <c r="E450" i="3"/>
  <c r="Q452" i="3"/>
  <c r="G459" i="3"/>
  <c r="A459" i="3"/>
  <c r="L459" i="3"/>
  <c r="F461" i="3"/>
  <c r="D462" i="3"/>
  <c r="Q468" i="3"/>
  <c r="E470" i="3"/>
  <c r="A470" i="3"/>
  <c r="L470" i="3"/>
  <c r="D473" i="3"/>
  <c r="E477" i="3"/>
  <c r="Q479" i="3"/>
  <c r="G486" i="3"/>
  <c r="A486" i="3"/>
  <c r="L486" i="3"/>
  <c r="D489" i="3"/>
  <c r="Q495" i="3"/>
  <c r="E497" i="3"/>
  <c r="A497" i="3"/>
  <c r="L497" i="3"/>
  <c r="D500" i="3"/>
  <c r="F504" i="3"/>
  <c r="E506" i="3"/>
  <c r="A506" i="3"/>
  <c r="G506" i="3"/>
  <c r="G507" i="3"/>
  <c r="A507" i="3"/>
  <c r="E507" i="3"/>
  <c r="F507" i="3"/>
  <c r="E513" i="3"/>
  <c r="D518" i="3"/>
  <c r="E531" i="3"/>
  <c r="F542" i="3"/>
  <c r="Q549" i="3"/>
  <c r="F551" i="3"/>
  <c r="Q567" i="3"/>
  <c r="Q578" i="3"/>
  <c r="L579" i="3"/>
  <c r="E585" i="3"/>
  <c r="Q587" i="3"/>
  <c r="E603" i="3"/>
  <c r="Q605" i="3"/>
  <c r="E612" i="3"/>
  <c r="Q614" i="3"/>
  <c r="E630" i="3"/>
  <c r="Q632" i="3"/>
  <c r="E639" i="3"/>
  <c r="Q641" i="3"/>
  <c r="E657" i="3"/>
  <c r="Q659" i="3"/>
  <c r="E666" i="3"/>
  <c r="Q668" i="3"/>
  <c r="E684" i="3"/>
  <c r="Q686" i="3"/>
  <c r="E693" i="3"/>
  <c r="Q695" i="3"/>
  <c r="E711" i="3"/>
  <c r="Q713" i="3"/>
  <c r="E720" i="3"/>
  <c r="Q722" i="3"/>
  <c r="E738" i="3"/>
  <c r="Q740" i="3"/>
  <c r="E747" i="3"/>
  <c r="Q749" i="3"/>
  <c r="E765" i="3"/>
  <c r="Q767" i="3"/>
  <c r="E774" i="3"/>
  <c r="Q776" i="3"/>
  <c r="E792" i="3"/>
  <c r="Q794" i="3"/>
  <c r="E801" i="3"/>
  <c r="Q803" i="3"/>
  <c r="E819" i="3"/>
  <c r="Q821" i="3"/>
  <c r="E828" i="3"/>
  <c r="Q830" i="3"/>
  <c r="E846" i="3"/>
  <c r="Q848" i="3"/>
  <c r="E857" i="3"/>
  <c r="A857" i="3"/>
  <c r="D857" i="3"/>
  <c r="Q857" i="3"/>
  <c r="F857" i="3"/>
  <c r="L857" i="3"/>
  <c r="B857" i="3"/>
  <c r="G882" i="3"/>
  <c r="A882" i="3"/>
  <c r="D882" i="3"/>
  <c r="Q882" i="3"/>
  <c r="E882" i="3"/>
  <c r="L882" i="3"/>
  <c r="B882" i="3"/>
  <c r="G396" i="3"/>
  <c r="A396" i="3"/>
  <c r="L396" i="3"/>
  <c r="E434" i="3"/>
  <c r="A434" i="3"/>
  <c r="L434" i="3"/>
  <c r="E488" i="3"/>
  <c r="A488" i="3"/>
  <c r="L488" i="3"/>
  <c r="G540" i="3"/>
  <c r="A540" i="3"/>
  <c r="F540" i="3"/>
  <c r="B540" i="3"/>
  <c r="F560" i="3"/>
  <c r="E569" i="3"/>
  <c r="A569" i="3"/>
  <c r="B569" i="3"/>
  <c r="D569" i="3"/>
  <c r="F131" i="3"/>
  <c r="F137" i="3"/>
  <c r="F146" i="3"/>
  <c r="F164" i="3"/>
  <c r="F167" i="3"/>
  <c r="F170" i="3"/>
  <c r="F179" i="3"/>
  <c r="F182" i="3"/>
  <c r="F185" i="3"/>
  <c r="F194" i="3"/>
  <c r="F200" i="3"/>
  <c r="F209" i="3"/>
  <c r="F215" i="3"/>
  <c r="F227" i="3"/>
  <c r="F230" i="3"/>
  <c r="F233" i="3"/>
  <c r="F236" i="3"/>
  <c r="Q3" i="3"/>
  <c r="Q6" i="3"/>
  <c r="Q9" i="3"/>
  <c r="Q15" i="3"/>
  <c r="Q18" i="3"/>
  <c r="Q21" i="3"/>
  <c r="Q24" i="3"/>
  <c r="Q30" i="3"/>
  <c r="Q36" i="3"/>
  <c r="Q42" i="3"/>
  <c r="Q54" i="3"/>
  <c r="Q60" i="3"/>
  <c r="D3" i="3"/>
  <c r="D6" i="3"/>
  <c r="D9" i="3"/>
  <c r="D12" i="3"/>
  <c r="D15" i="3"/>
  <c r="D18" i="3"/>
  <c r="D21" i="3"/>
  <c r="D24" i="3"/>
  <c r="D27" i="3"/>
  <c r="D30" i="3"/>
  <c r="D33" i="3"/>
  <c r="D36" i="3"/>
  <c r="D39" i="3"/>
  <c r="D42" i="3"/>
  <c r="D45" i="3"/>
  <c r="D48" i="3"/>
  <c r="D51" i="3"/>
  <c r="D54" i="3"/>
  <c r="D57" i="3"/>
  <c r="D60" i="3"/>
  <c r="D63" i="3"/>
  <c r="D66" i="3"/>
  <c r="D69" i="3"/>
  <c r="D72" i="3"/>
  <c r="D75" i="3"/>
  <c r="D78" i="3"/>
  <c r="D81" i="3"/>
  <c r="D84" i="3"/>
  <c r="D87" i="3"/>
  <c r="D90" i="3"/>
  <c r="D93" i="3"/>
  <c r="D96" i="3"/>
  <c r="D99" i="3"/>
  <c r="D102" i="3"/>
  <c r="D105" i="3"/>
  <c r="D108" i="3"/>
  <c r="D111" i="3"/>
  <c r="D114" i="3"/>
  <c r="D117" i="3"/>
  <c r="D120" i="3"/>
  <c r="D123" i="3"/>
  <c r="D126" i="3"/>
  <c r="B128" i="3"/>
  <c r="D129" i="3"/>
  <c r="B131" i="3"/>
  <c r="D132" i="3"/>
  <c r="B134" i="3"/>
  <c r="D135" i="3"/>
  <c r="B137" i="3"/>
  <c r="D138" i="3"/>
  <c r="B140" i="3"/>
  <c r="D141" i="3"/>
  <c r="B143" i="3"/>
  <c r="D144" i="3"/>
  <c r="B146" i="3"/>
  <c r="D147" i="3"/>
  <c r="B149" i="3"/>
  <c r="D150" i="3"/>
  <c r="B152" i="3"/>
  <c r="D153" i="3"/>
  <c r="B155" i="3"/>
  <c r="D156" i="3"/>
  <c r="B158" i="3"/>
  <c r="D159" i="3"/>
  <c r="B161" i="3"/>
  <c r="D162" i="3"/>
  <c r="B164" i="3"/>
  <c r="D165" i="3"/>
  <c r="B167" i="3"/>
  <c r="D168" i="3"/>
  <c r="B170" i="3"/>
  <c r="D171" i="3"/>
  <c r="B173" i="3"/>
  <c r="D174" i="3"/>
  <c r="B176" i="3"/>
  <c r="D177" i="3"/>
  <c r="B179" i="3"/>
  <c r="D180" i="3"/>
  <c r="B182" i="3"/>
  <c r="D183" i="3"/>
  <c r="B185" i="3"/>
  <c r="D186" i="3"/>
  <c r="B188" i="3"/>
  <c r="D189" i="3"/>
  <c r="B191" i="3"/>
  <c r="D192" i="3"/>
  <c r="B194" i="3"/>
  <c r="D195" i="3"/>
  <c r="B197" i="3"/>
  <c r="D198" i="3"/>
  <c r="B200" i="3"/>
  <c r="D201" i="3"/>
  <c r="B203" i="3"/>
  <c r="D204" i="3"/>
  <c r="B206" i="3"/>
  <c r="D207" i="3"/>
  <c r="B209" i="3"/>
  <c r="D210" i="3"/>
  <c r="B212" i="3"/>
  <c r="D213" i="3"/>
  <c r="B215" i="3"/>
  <c r="D216" i="3"/>
  <c r="B218" i="3"/>
  <c r="D219" i="3"/>
  <c r="B221" i="3"/>
  <c r="D222" i="3"/>
  <c r="B224" i="3"/>
  <c r="D225" i="3"/>
  <c r="B227" i="3"/>
  <c r="D228" i="3"/>
  <c r="B230" i="3"/>
  <c r="D231" i="3"/>
  <c r="B233" i="3"/>
  <c r="D234" i="3"/>
  <c r="B236" i="3"/>
  <c r="D237" i="3"/>
  <c r="B239" i="3"/>
  <c r="D240" i="3"/>
  <c r="B242" i="3"/>
  <c r="D243" i="3"/>
  <c r="B245" i="3"/>
  <c r="D246" i="3"/>
  <c r="B248" i="3"/>
  <c r="D249" i="3"/>
  <c r="B251" i="3"/>
  <c r="D252" i="3"/>
  <c r="B254" i="3"/>
  <c r="D255" i="3"/>
  <c r="B257" i="3"/>
  <c r="D258" i="3"/>
  <c r="B260" i="3"/>
  <c r="D261" i="3"/>
  <c r="B263" i="3"/>
  <c r="D264" i="3"/>
  <c r="B266" i="3"/>
  <c r="D267" i="3"/>
  <c r="B269" i="3"/>
  <c r="F270" i="3"/>
  <c r="G271" i="3"/>
  <c r="A271" i="3"/>
  <c r="L271" i="3"/>
  <c r="L273" i="3"/>
  <c r="E277" i="3"/>
  <c r="F279" i="3"/>
  <c r="G280" i="3"/>
  <c r="A280" i="3"/>
  <c r="L280" i="3"/>
  <c r="L282" i="3"/>
  <c r="E286" i="3"/>
  <c r="F288" i="3"/>
  <c r="G289" i="3"/>
  <c r="A289" i="3"/>
  <c r="L289" i="3"/>
  <c r="L291" i="3"/>
  <c r="E295" i="3"/>
  <c r="F297" i="3"/>
  <c r="G298" i="3"/>
  <c r="A298" i="3"/>
  <c r="L298" i="3"/>
  <c r="L300" i="3"/>
  <c r="E304" i="3"/>
  <c r="F306" i="3"/>
  <c r="G307" i="3"/>
  <c r="A307" i="3"/>
  <c r="L307" i="3"/>
  <c r="L309" i="3"/>
  <c r="E313" i="3"/>
  <c r="F315" i="3"/>
  <c r="G316" i="3"/>
  <c r="A316" i="3"/>
  <c r="L316" i="3"/>
  <c r="L318" i="3"/>
  <c r="E322" i="3"/>
  <c r="F324" i="3"/>
  <c r="G325" i="3"/>
  <c r="A325" i="3"/>
  <c r="L325" i="3"/>
  <c r="L327" i="3"/>
  <c r="E331" i="3"/>
  <c r="F333" i="3"/>
  <c r="G334" i="3"/>
  <c r="A334" i="3"/>
  <c r="L334" i="3"/>
  <c r="L336" i="3"/>
  <c r="E340" i="3"/>
  <c r="F342" i="3"/>
  <c r="G343" i="3"/>
  <c r="A343" i="3"/>
  <c r="L343" i="3"/>
  <c r="L345" i="3"/>
  <c r="E349" i="3"/>
  <c r="F351" i="3"/>
  <c r="G352" i="3"/>
  <c r="A352" i="3"/>
  <c r="L352" i="3"/>
  <c r="L354" i="3"/>
  <c r="E358" i="3"/>
  <c r="F360" i="3"/>
  <c r="G361" i="3"/>
  <c r="A361" i="3"/>
  <c r="L361" i="3"/>
  <c r="G363" i="3"/>
  <c r="E363" i="3"/>
  <c r="G365" i="3"/>
  <c r="F369" i="3"/>
  <c r="E374" i="3"/>
  <c r="F374" i="3"/>
  <c r="D378" i="3"/>
  <c r="G380" i="3"/>
  <c r="F381" i="3"/>
  <c r="D389" i="3"/>
  <c r="G390" i="3"/>
  <c r="A390" i="3"/>
  <c r="E390" i="3"/>
  <c r="G392" i="3"/>
  <c r="F396" i="3"/>
  <c r="E401" i="3"/>
  <c r="F401" i="3"/>
  <c r="D405" i="3"/>
  <c r="G407" i="3"/>
  <c r="F408" i="3"/>
  <c r="D416" i="3"/>
  <c r="G417" i="3"/>
  <c r="A417" i="3"/>
  <c r="E417" i="3"/>
  <c r="G419" i="3"/>
  <c r="F423" i="3"/>
  <c r="E428" i="3"/>
  <c r="F428" i="3"/>
  <c r="D432" i="3"/>
  <c r="G434" i="3"/>
  <c r="F435" i="3"/>
  <c r="D443" i="3"/>
  <c r="G444" i="3"/>
  <c r="A444" i="3"/>
  <c r="E444" i="3"/>
  <c r="G446" i="3"/>
  <c r="F450" i="3"/>
  <c r="E455" i="3"/>
  <c r="F455" i="3"/>
  <c r="D459" i="3"/>
  <c r="G461" i="3"/>
  <c r="F462" i="3"/>
  <c r="D470" i="3"/>
  <c r="G471" i="3"/>
  <c r="A471" i="3"/>
  <c r="E471" i="3"/>
  <c r="G473" i="3"/>
  <c r="F477" i="3"/>
  <c r="E482" i="3"/>
  <c r="F482" i="3"/>
  <c r="D486" i="3"/>
  <c r="G488" i="3"/>
  <c r="F489" i="3"/>
  <c r="D497" i="3"/>
  <c r="G498" i="3"/>
  <c r="A498" i="3"/>
  <c r="E498" i="3"/>
  <c r="G500" i="3"/>
  <c r="Q504" i="3"/>
  <c r="D506" i="3"/>
  <c r="D507" i="3"/>
  <c r="B509" i="3"/>
  <c r="F513" i="3"/>
  <c r="E515" i="3"/>
  <c r="A515" i="3"/>
  <c r="D515" i="3"/>
  <c r="G522" i="3"/>
  <c r="A522" i="3"/>
  <c r="F522" i="3"/>
  <c r="P526" i="3"/>
  <c r="T526" i="3" s="1"/>
  <c r="F531" i="3"/>
  <c r="E533" i="3"/>
  <c r="A533" i="3"/>
  <c r="G533" i="3"/>
  <c r="G534" i="3"/>
  <c r="A534" i="3"/>
  <c r="E534" i="3"/>
  <c r="F534" i="3"/>
  <c r="P539" i="3"/>
  <c r="T539" i="3" s="1"/>
  <c r="Q540" i="3"/>
  <c r="G542" i="3"/>
  <c r="P550" i="3"/>
  <c r="T550" i="3" s="1"/>
  <c r="Q551" i="3"/>
  <c r="L552" i="3"/>
  <c r="L560" i="3"/>
  <c r="Q569" i="3"/>
  <c r="L576" i="3"/>
  <c r="Q585" i="3"/>
  <c r="P586" i="3"/>
  <c r="T586" i="3" s="1"/>
  <c r="L594" i="3"/>
  <c r="Q603" i="3"/>
  <c r="P604" i="3"/>
  <c r="T604" i="3" s="1"/>
  <c r="Q612" i="3"/>
  <c r="P613" i="3"/>
  <c r="T613" i="3" s="1"/>
  <c r="L621" i="3"/>
  <c r="Q630" i="3"/>
  <c r="P631" i="3"/>
  <c r="T631" i="3" s="1"/>
  <c r="Q639" i="3"/>
  <c r="P640" i="3"/>
  <c r="T640" i="3" s="1"/>
  <c r="L648" i="3"/>
  <c r="Q657" i="3"/>
  <c r="P658" i="3"/>
  <c r="T658" i="3" s="1"/>
  <c r="Q666" i="3"/>
  <c r="P667" i="3"/>
  <c r="T667" i="3" s="1"/>
  <c r="L675" i="3"/>
  <c r="Q684" i="3"/>
  <c r="P685" i="3"/>
  <c r="T685" i="3" s="1"/>
  <c r="Q693" i="3"/>
  <c r="P694" i="3"/>
  <c r="T694" i="3" s="1"/>
  <c r="L702" i="3"/>
  <c r="Q711" i="3"/>
  <c r="P712" i="3"/>
  <c r="T712" i="3" s="1"/>
  <c r="Q720" i="3"/>
  <c r="P721" i="3"/>
  <c r="T721" i="3" s="1"/>
  <c r="L729" i="3"/>
  <c r="Q738" i="3"/>
  <c r="P739" i="3"/>
  <c r="T739" i="3" s="1"/>
  <c r="Q747" i="3"/>
  <c r="P748" i="3"/>
  <c r="T748" i="3" s="1"/>
  <c r="L756" i="3"/>
  <c r="Q765" i="3"/>
  <c r="P766" i="3"/>
  <c r="T766" i="3" s="1"/>
  <c r="Q774" i="3"/>
  <c r="P775" i="3"/>
  <c r="T775" i="3" s="1"/>
  <c r="L783" i="3"/>
  <c r="Q792" i="3"/>
  <c r="P793" i="3"/>
  <c r="T793" i="3" s="1"/>
  <c r="Q801" i="3"/>
  <c r="P802" i="3"/>
  <c r="T802" i="3" s="1"/>
  <c r="L810" i="3"/>
  <c r="Q819" i="3"/>
  <c r="P820" i="3"/>
  <c r="T820" i="3" s="1"/>
  <c r="Q828" i="3"/>
  <c r="P829" i="3"/>
  <c r="T829" i="3" s="1"/>
  <c r="L837" i="3"/>
  <c r="Q846" i="3"/>
  <c r="P847" i="3"/>
  <c r="T847" i="3" s="1"/>
  <c r="G857" i="3"/>
  <c r="G864" i="3"/>
  <c r="A864" i="3"/>
  <c r="D864" i="3"/>
  <c r="L864" i="3"/>
  <c r="B864" i="3"/>
  <c r="Q864" i="3"/>
  <c r="E864" i="3"/>
  <c r="E875" i="3"/>
  <c r="A875" i="3"/>
  <c r="D875" i="3"/>
  <c r="F875" i="3"/>
  <c r="L875" i="3"/>
  <c r="B875" i="3"/>
  <c r="Q875" i="3"/>
  <c r="F882" i="3"/>
  <c r="E887" i="3"/>
  <c r="F887" i="3"/>
  <c r="Q887" i="3"/>
  <c r="B887" i="3"/>
  <c r="L887" i="3"/>
  <c r="A887" i="3"/>
  <c r="D887" i="3"/>
  <c r="E893" i="3"/>
  <c r="A893" i="3"/>
  <c r="D893" i="3"/>
  <c r="L893" i="3"/>
  <c r="B893" i="3"/>
  <c r="Q893" i="3"/>
  <c r="F893" i="3"/>
  <c r="G900" i="3"/>
  <c r="A900" i="3"/>
  <c r="D900" i="3"/>
  <c r="E900" i="3"/>
  <c r="L900" i="3"/>
  <c r="B900" i="3"/>
  <c r="Q900" i="3"/>
  <c r="E911" i="3"/>
  <c r="A911" i="3"/>
  <c r="D911" i="3"/>
  <c r="Q911" i="3"/>
  <c r="F911" i="3"/>
  <c r="L911" i="3"/>
  <c r="B911" i="3"/>
  <c r="G936" i="3"/>
  <c r="A936" i="3"/>
  <c r="D936" i="3"/>
  <c r="Q936" i="3"/>
  <c r="E936" i="3"/>
  <c r="L936" i="3"/>
  <c r="B936" i="3"/>
  <c r="Q369" i="3"/>
  <c r="E371" i="3"/>
  <c r="A371" i="3"/>
  <c r="L371" i="3"/>
  <c r="P373" i="3"/>
  <c r="T373" i="3" s="1"/>
  <c r="Q380" i="3"/>
  <c r="G387" i="3"/>
  <c r="A387" i="3"/>
  <c r="L387" i="3"/>
  <c r="P389" i="3"/>
  <c r="T389" i="3" s="1"/>
  <c r="Q396" i="3"/>
  <c r="E398" i="3"/>
  <c r="A398" i="3"/>
  <c r="L398" i="3"/>
  <c r="P400" i="3"/>
  <c r="T400" i="3" s="1"/>
  <c r="Q407" i="3"/>
  <c r="G414" i="3"/>
  <c r="A414" i="3"/>
  <c r="L414" i="3"/>
  <c r="P416" i="3"/>
  <c r="T416" i="3" s="1"/>
  <c r="Q423" i="3"/>
  <c r="E425" i="3"/>
  <c r="A425" i="3"/>
  <c r="L425" i="3"/>
  <c r="P427" i="3"/>
  <c r="T427" i="3" s="1"/>
  <c r="Q434" i="3"/>
  <c r="G441" i="3"/>
  <c r="A441" i="3"/>
  <c r="L441" i="3"/>
  <c r="P443" i="3"/>
  <c r="T443" i="3" s="1"/>
  <c r="Q450" i="3"/>
  <c r="E452" i="3"/>
  <c r="A452" i="3"/>
  <c r="L452" i="3"/>
  <c r="P454" i="3"/>
  <c r="T454" i="3" s="1"/>
  <c r="Q461" i="3"/>
  <c r="G468" i="3"/>
  <c r="A468" i="3"/>
  <c r="L468" i="3"/>
  <c r="P470" i="3"/>
  <c r="T470" i="3" s="1"/>
  <c r="Q477" i="3"/>
  <c r="E479" i="3"/>
  <c r="A479" i="3"/>
  <c r="L479" i="3"/>
  <c r="P481" i="3"/>
  <c r="T481" i="3" s="1"/>
  <c r="Q488" i="3"/>
  <c r="G495" i="3"/>
  <c r="A495" i="3"/>
  <c r="L495" i="3"/>
  <c r="P497" i="3"/>
  <c r="T497" i="3" s="1"/>
  <c r="P505" i="3"/>
  <c r="T505" i="3" s="1"/>
  <c r="E509" i="3"/>
  <c r="F509" i="3"/>
  <c r="Q509" i="3"/>
  <c r="A509" i="3"/>
  <c r="Q513" i="3"/>
  <c r="P515" i="3"/>
  <c r="T515" i="3" s="1"/>
  <c r="L549" i="3"/>
  <c r="B552" i="3"/>
  <c r="G558" i="3"/>
  <c r="A558" i="3"/>
  <c r="B558" i="3"/>
  <c r="D558" i="3"/>
  <c r="B560" i="3"/>
  <c r="L563" i="3"/>
  <c r="L567" i="3"/>
  <c r="B576" i="3"/>
  <c r="L578" i="3"/>
  <c r="G579" i="3"/>
  <c r="A579" i="3"/>
  <c r="E579" i="3"/>
  <c r="F579" i="3"/>
  <c r="Q579" i="3"/>
  <c r="L587" i="3"/>
  <c r="E596" i="3"/>
  <c r="A596" i="3"/>
  <c r="B596" i="3"/>
  <c r="G596" i="3"/>
  <c r="D596" i="3"/>
  <c r="P602" i="3"/>
  <c r="T602" i="3" s="1"/>
  <c r="L605" i="3"/>
  <c r="L614" i="3"/>
  <c r="E623" i="3"/>
  <c r="A623" i="3"/>
  <c r="B623" i="3"/>
  <c r="G623" i="3"/>
  <c r="D623" i="3"/>
  <c r="P629" i="3"/>
  <c r="T629" i="3" s="1"/>
  <c r="L632" i="3"/>
  <c r="L641" i="3"/>
  <c r="E650" i="3"/>
  <c r="A650" i="3"/>
  <c r="B650" i="3"/>
  <c r="G650" i="3"/>
  <c r="D650" i="3"/>
  <c r="P656" i="3"/>
  <c r="T656" i="3" s="1"/>
  <c r="L659" i="3"/>
  <c r="L668" i="3"/>
  <c r="E677" i="3"/>
  <c r="A677" i="3"/>
  <c r="B677" i="3"/>
  <c r="G677" i="3"/>
  <c r="D677" i="3"/>
  <c r="P683" i="3"/>
  <c r="T683" i="3" s="1"/>
  <c r="L686" i="3"/>
  <c r="L695" i="3"/>
  <c r="E704" i="3"/>
  <c r="A704" i="3"/>
  <c r="B704" i="3"/>
  <c r="G704" i="3"/>
  <c r="D704" i="3"/>
  <c r="P710" i="3"/>
  <c r="T710" i="3" s="1"/>
  <c r="L713" i="3"/>
  <c r="L722" i="3"/>
  <c r="E731" i="3"/>
  <c r="A731" i="3"/>
  <c r="B731" i="3"/>
  <c r="G731" i="3"/>
  <c r="D731" i="3"/>
  <c r="P737" i="3"/>
  <c r="T737" i="3" s="1"/>
  <c r="L740" i="3"/>
  <c r="L749" i="3"/>
  <c r="E758" i="3"/>
  <c r="A758" i="3"/>
  <c r="B758" i="3"/>
  <c r="G758" i="3"/>
  <c r="D758" i="3"/>
  <c r="P764" i="3"/>
  <c r="T764" i="3" s="1"/>
  <c r="L767" i="3"/>
  <c r="L776" i="3"/>
  <c r="E785" i="3"/>
  <c r="A785" i="3"/>
  <c r="B785" i="3"/>
  <c r="G785" i="3"/>
  <c r="D785" i="3"/>
  <c r="P791" i="3"/>
  <c r="T791" i="3" s="1"/>
  <c r="L794" i="3"/>
  <c r="L803" i="3"/>
  <c r="E812" i="3"/>
  <c r="A812" i="3"/>
  <c r="B812" i="3"/>
  <c r="G812" i="3"/>
  <c r="D812" i="3"/>
  <c r="P818" i="3"/>
  <c r="T818" i="3" s="1"/>
  <c r="L821" i="3"/>
  <c r="L830" i="3"/>
  <c r="E839" i="3"/>
  <c r="A839" i="3"/>
  <c r="B839" i="3"/>
  <c r="G839" i="3"/>
  <c r="D839" i="3"/>
  <c r="P845" i="3"/>
  <c r="T845" i="3" s="1"/>
  <c r="L848" i="3"/>
  <c r="E869" i="3"/>
  <c r="F869" i="3"/>
  <c r="Q869" i="3"/>
  <c r="B869" i="3"/>
  <c r="D869" i="3"/>
  <c r="L869" i="3"/>
  <c r="A869" i="3"/>
  <c r="G885" i="3"/>
  <c r="A885" i="3"/>
  <c r="E885" i="3"/>
  <c r="Q885" i="3"/>
  <c r="B885" i="3"/>
  <c r="D885" i="3"/>
  <c r="L885" i="3"/>
  <c r="G893" i="3"/>
  <c r="F900" i="3"/>
  <c r="G918" i="3"/>
  <c r="A918" i="3"/>
  <c r="D918" i="3"/>
  <c r="L918" i="3"/>
  <c r="B918" i="3"/>
  <c r="Q918" i="3"/>
  <c r="E918" i="3"/>
  <c r="E929" i="3"/>
  <c r="A929" i="3"/>
  <c r="D929" i="3"/>
  <c r="F929" i="3"/>
  <c r="L929" i="3"/>
  <c r="B929" i="3"/>
  <c r="Q929" i="3"/>
  <c r="E941" i="3"/>
  <c r="F941" i="3"/>
  <c r="Q941" i="3"/>
  <c r="B941" i="3"/>
  <c r="L941" i="3"/>
  <c r="A941" i="3"/>
  <c r="D941" i="3"/>
  <c r="E947" i="3"/>
  <c r="A947" i="3"/>
  <c r="D947" i="3"/>
  <c r="L947" i="3"/>
  <c r="B947" i="3"/>
  <c r="Q947" i="3"/>
  <c r="F947" i="3"/>
  <c r="G954" i="3"/>
  <c r="A954" i="3"/>
  <c r="D954" i="3"/>
  <c r="E954" i="3"/>
  <c r="L954" i="3"/>
  <c r="B954" i="3"/>
  <c r="Q954" i="3"/>
  <c r="G972" i="3"/>
  <c r="A972" i="3"/>
  <c r="F972" i="3"/>
  <c r="D972" i="3"/>
  <c r="E977" i="3"/>
  <c r="F977" i="3"/>
  <c r="D977" i="3"/>
  <c r="Q977" i="3"/>
  <c r="B977" i="3"/>
  <c r="G999" i="3"/>
  <c r="A999" i="3"/>
  <c r="F999" i="3"/>
  <c r="D999" i="3"/>
  <c r="E1004" i="3"/>
  <c r="F1004" i="3"/>
  <c r="D1004" i="3"/>
  <c r="Q1004" i="3"/>
  <c r="B1004" i="3"/>
  <c r="G1026" i="3"/>
  <c r="A1026" i="3"/>
  <c r="F1026" i="3"/>
  <c r="D1026" i="3"/>
  <c r="E1031" i="3"/>
  <c r="F1031" i="3"/>
  <c r="D1031" i="3"/>
  <c r="Q1031" i="3"/>
  <c r="B1031" i="3"/>
  <c r="E1064" i="3"/>
  <c r="A1064" i="3"/>
  <c r="G1064" i="3"/>
  <c r="F1064" i="3"/>
  <c r="D1064" i="3"/>
  <c r="G1071" i="3"/>
  <c r="A1071" i="3"/>
  <c r="F1071" i="3"/>
  <c r="E1071" i="3"/>
  <c r="D1071" i="3"/>
  <c r="E1118" i="3"/>
  <c r="A1118" i="3"/>
  <c r="G1118" i="3"/>
  <c r="F1118" i="3"/>
  <c r="D1118" i="3"/>
  <c r="G516" i="3"/>
  <c r="A516" i="3"/>
  <c r="E516" i="3"/>
  <c r="E527" i="3"/>
  <c r="F527" i="3"/>
  <c r="G543" i="3"/>
  <c r="A543" i="3"/>
  <c r="E543" i="3"/>
  <c r="E554" i="3"/>
  <c r="F554" i="3"/>
  <c r="G570" i="3"/>
  <c r="A570" i="3"/>
  <c r="E570" i="3"/>
  <c r="E581" i="3"/>
  <c r="F581" i="3"/>
  <c r="A590" i="3"/>
  <c r="G597" i="3"/>
  <c r="A597" i="3"/>
  <c r="E597" i="3"/>
  <c r="E608" i="3"/>
  <c r="F608" i="3"/>
  <c r="A617" i="3"/>
  <c r="G624" i="3"/>
  <c r="A624" i="3"/>
  <c r="E624" i="3"/>
  <c r="E635" i="3"/>
  <c r="F635" i="3"/>
  <c r="A644" i="3"/>
  <c r="G651" i="3"/>
  <c r="A651" i="3"/>
  <c r="E651" i="3"/>
  <c r="E662" i="3"/>
  <c r="F662" i="3"/>
  <c r="A671" i="3"/>
  <c r="G678" i="3"/>
  <c r="A678" i="3"/>
  <c r="E678" i="3"/>
  <c r="E689" i="3"/>
  <c r="F689" i="3"/>
  <c r="A698" i="3"/>
  <c r="G705" i="3"/>
  <c r="A705" i="3"/>
  <c r="E705" i="3"/>
  <c r="E716" i="3"/>
  <c r="F716" i="3"/>
  <c r="A725" i="3"/>
  <c r="G732" i="3"/>
  <c r="A732" i="3"/>
  <c r="E732" i="3"/>
  <c r="E743" i="3"/>
  <c r="F743" i="3"/>
  <c r="A752" i="3"/>
  <c r="G759" i="3"/>
  <c r="A759" i="3"/>
  <c r="E759" i="3"/>
  <c r="E770" i="3"/>
  <c r="F770" i="3"/>
  <c r="A779" i="3"/>
  <c r="G786" i="3"/>
  <c r="A786" i="3"/>
  <c r="E786" i="3"/>
  <c r="E797" i="3"/>
  <c r="F797" i="3"/>
  <c r="A806" i="3"/>
  <c r="G813" i="3"/>
  <c r="A813" i="3"/>
  <c r="E813" i="3"/>
  <c r="E824" i="3"/>
  <c r="F824" i="3"/>
  <c r="A833" i="3"/>
  <c r="G840" i="3"/>
  <c r="A840" i="3"/>
  <c r="E840" i="3"/>
  <c r="E851" i="3"/>
  <c r="F851" i="3"/>
  <c r="G858" i="3"/>
  <c r="A858" i="3"/>
  <c r="E858" i="3"/>
  <c r="Q858" i="3"/>
  <c r="B858" i="3"/>
  <c r="G873" i="3"/>
  <c r="A873" i="3"/>
  <c r="D873" i="3"/>
  <c r="P877" i="3"/>
  <c r="T877" i="3" s="1"/>
  <c r="P893" i="3"/>
  <c r="T893" i="3" s="1"/>
  <c r="E896" i="3"/>
  <c r="F896" i="3"/>
  <c r="Q896" i="3"/>
  <c r="B896" i="3"/>
  <c r="E902" i="3"/>
  <c r="A902" i="3"/>
  <c r="D902" i="3"/>
  <c r="G912" i="3"/>
  <c r="A912" i="3"/>
  <c r="E912" i="3"/>
  <c r="Q912" i="3"/>
  <c r="B912" i="3"/>
  <c r="G927" i="3"/>
  <c r="A927" i="3"/>
  <c r="D927" i="3"/>
  <c r="P931" i="3"/>
  <c r="T931" i="3" s="1"/>
  <c r="P947" i="3"/>
  <c r="T947" i="3" s="1"/>
  <c r="E950" i="3"/>
  <c r="F950" i="3"/>
  <c r="Q950" i="3"/>
  <c r="B950" i="3"/>
  <c r="E956" i="3"/>
  <c r="A956" i="3"/>
  <c r="D956" i="3"/>
  <c r="A959" i="3"/>
  <c r="B965" i="3"/>
  <c r="G966" i="3"/>
  <c r="A966" i="3"/>
  <c r="E966" i="3"/>
  <c r="Q966" i="3"/>
  <c r="B966" i="3"/>
  <c r="E972" i="3"/>
  <c r="E974" i="3"/>
  <c r="A974" i="3"/>
  <c r="G974" i="3"/>
  <c r="D974" i="3"/>
  <c r="G977" i="3"/>
  <c r="G984" i="3"/>
  <c r="A984" i="3"/>
  <c r="E984" i="3"/>
  <c r="D984" i="3"/>
  <c r="Q984" i="3"/>
  <c r="B984" i="3"/>
  <c r="E999" i="3"/>
  <c r="E1001" i="3"/>
  <c r="A1001" i="3"/>
  <c r="G1001" i="3"/>
  <c r="D1001" i="3"/>
  <c r="G1004" i="3"/>
  <c r="L1010" i="3"/>
  <c r="G1011" i="3"/>
  <c r="A1011" i="3"/>
  <c r="E1011" i="3"/>
  <c r="D1011" i="3"/>
  <c r="Q1011" i="3"/>
  <c r="B1011" i="3"/>
  <c r="E1026" i="3"/>
  <c r="E1028" i="3"/>
  <c r="A1028" i="3"/>
  <c r="G1028" i="3"/>
  <c r="D1028" i="3"/>
  <c r="G1031" i="3"/>
  <c r="L1037" i="3"/>
  <c r="G1038" i="3"/>
  <c r="A1038" i="3"/>
  <c r="E1038" i="3"/>
  <c r="D1038" i="3"/>
  <c r="Q1038" i="3"/>
  <c r="B1038" i="3"/>
  <c r="E1055" i="3"/>
  <c r="A1055" i="3"/>
  <c r="G1055" i="3"/>
  <c r="F1055" i="3"/>
  <c r="D1055" i="3"/>
  <c r="G1062" i="3"/>
  <c r="A1062" i="3"/>
  <c r="F1062" i="3"/>
  <c r="E1062" i="3"/>
  <c r="D1062" i="3"/>
  <c r="Q1064" i="3"/>
  <c r="Q1071" i="3"/>
  <c r="E1109" i="3"/>
  <c r="A1109" i="3"/>
  <c r="G1109" i="3"/>
  <c r="F1109" i="3"/>
  <c r="D1109" i="3"/>
  <c r="G1116" i="3"/>
  <c r="A1116" i="3"/>
  <c r="F1116" i="3"/>
  <c r="E1116" i="3"/>
  <c r="D1116" i="3"/>
  <c r="Q1118" i="3"/>
  <c r="E959" i="3"/>
  <c r="F959" i="3"/>
  <c r="Q959" i="3"/>
  <c r="B959" i="3"/>
  <c r="E965" i="3"/>
  <c r="A965" i="3"/>
  <c r="D965" i="3"/>
  <c r="Q972" i="3"/>
  <c r="G981" i="3"/>
  <c r="A981" i="3"/>
  <c r="F981" i="3"/>
  <c r="D981" i="3"/>
  <c r="E986" i="3"/>
  <c r="F986" i="3"/>
  <c r="D986" i="3"/>
  <c r="Q986" i="3"/>
  <c r="B986" i="3"/>
  <c r="L990" i="3"/>
  <c r="L995" i="3"/>
  <c r="Q999" i="3"/>
  <c r="G1008" i="3"/>
  <c r="A1008" i="3"/>
  <c r="F1008" i="3"/>
  <c r="D1008" i="3"/>
  <c r="E1013" i="3"/>
  <c r="F1013" i="3"/>
  <c r="D1013" i="3"/>
  <c r="Q1013" i="3"/>
  <c r="B1013" i="3"/>
  <c r="L1017" i="3"/>
  <c r="L1022" i="3"/>
  <c r="Q1026" i="3"/>
  <c r="G1035" i="3"/>
  <c r="A1035" i="3"/>
  <c r="F1035" i="3"/>
  <c r="D1035" i="3"/>
  <c r="E1040" i="3"/>
  <c r="F1040" i="3"/>
  <c r="D1040" i="3"/>
  <c r="Q1040" i="3"/>
  <c r="B1040" i="3"/>
  <c r="G1053" i="3"/>
  <c r="A1053" i="3"/>
  <c r="F1053" i="3"/>
  <c r="E1053" i="3"/>
  <c r="D1053" i="3"/>
  <c r="Q1055" i="3"/>
  <c r="Q1062" i="3"/>
  <c r="L1073" i="3"/>
  <c r="L1080" i="3"/>
  <c r="E1100" i="3"/>
  <c r="A1100" i="3"/>
  <c r="G1100" i="3"/>
  <c r="F1100" i="3"/>
  <c r="D1100" i="3"/>
  <c r="G1107" i="3"/>
  <c r="A1107" i="3"/>
  <c r="F1107" i="3"/>
  <c r="E1107" i="3"/>
  <c r="D1107" i="3"/>
  <c r="Q1109" i="3"/>
  <c r="Q1116" i="3"/>
  <c r="E590" i="3"/>
  <c r="F590" i="3"/>
  <c r="G606" i="3"/>
  <c r="A606" i="3"/>
  <c r="E606" i="3"/>
  <c r="E617" i="3"/>
  <c r="F617" i="3"/>
  <c r="G633" i="3"/>
  <c r="A633" i="3"/>
  <c r="E633" i="3"/>
  <c r="E644" i="3"/>
  <c r="F644" i="3"/>
  <c r="G660" i="3"/>
  <c r="A660" i="3"/>
  <c r="E660" i="3"/>
  <c r="E671" i="3"/>
  <c r="F671" i="3"/>
  <c r="G687" i="3"/>
  <c r="A687" i="3"/>
  <c r="E687" i="3"/>
  <c r="E698" i="3"/>
  <c r="F698" i="3"/>
  <c r="G714" i="3"/>
  <c r="A714" i="3"/>
  <c r="E714" i="3"/>
  <c r="E725" i="3"/>
  <c r="F725" i="3"/>
  <c r="G741" i="3"/>
  <c r="A741" i="3"/>
  <c r="E741" i="3"/>
  <c r="E752" i="3"/>
  <c r="F752" i="3"/>
  <c r="G768" i="3"/>
  <c r="A768" i="3"/>
  <c r="E768" i="3"/>
  <c r="E779" i="3"/>
  <c r="F779" i="3"/>
  <c r="G795" i="3"/>
  <c r="A795" i="3"/>
  <c r="E795" i="3"/>
  <c r="E806" i="3"/>
  <c r="F806" i="3"/>
  <c r="G822" i="3"/>
  <c r="A822" i="3"/>
  <c r="E822" i="3"/>
  <c r="E833" i="3"/>
  <c r="F833" i="3"/>
  <c r="G849" i="3"/>
  <c r="A849" i="3"/>
  <c r="E849" i="3"/>
  <c r="P857" i="3"/>
  <c r="T857" i="3" s="1"/>
  <c r="E860" i="3"/>
  <c r="F860" i="3"/>
  <c r="Q860" i="3"/>
  <c r="B860" i="3"/>
  <c r="E866" i="3"/>
  <c r="A866" i="3"/>
  <c r="D866" i="3"/>
  <c r="G876" i="3"/>
  <c r="A876" i="3"/>
  <c r="E876" i="3"/>
  <c r="Q876" i="3"/>
  <c r="B876" i="3"/>
  <c r="G891" i="3"/>
  <c r="A891" i="3"/>
  <c r="D891" i="3"/>
  <c r="P895" i="3"/>
  <c r="T895" i="3" s="1"/>
  <c r="P911" i="3"/>
  <c r="T911" i="3" s="1"/>
  <c r="E914" i="3"/>
  <c r="F914" i="3"/>
  <c r="Q914" i="3"/>
  <c r="B914" i="3"/>
  <c r="E920" i="3"/>
  <c r="A920" i="3"/>
  <c r="D920" i="3"/>
  <c r="G930" i="3"/>
  <c r="A930" i="3"/>
  <c r="E930" i="3"/>
  <c r="Q930" i="3"/>
  <c r="B930" i="3"/>
  <c r="G945" i="3"/>
  <c r="A945" i="3"/>
  <c r="D945" i="3"/>
  <c r="P949" i="3"/>
  <c r="T949" i="3" s="1"/>
  <c r="D959" i="3"/>
  <c r="F965" i="3"/>
  <c r="P965" i="3"/>
  <c r="T965" i="3" s="1"/>
  <c r="E968" i="3"/>
  <c r="F968" i="3"/>
  <c r="Q968" i="3"/>
  <c r="B968" i="3"/>
  <c r="E981" i="3"/>
  <c r="E983" i="3"/>
  <c r="A983" i="3"/>
  <c r="G983" i="3"/>
  <c r="D983" i="3"/>
  <c r="G986" i="3"/>
  <c r="G993" i="3"/>
  <c r="A993" i="3"/>
  <c r="E993" i="3"/>
  <c r="D993" i="3"/>
  <c r="Q993" i="3"/>
  <c r="B993" i="3"/>
  <c r="E1010" i="3"/>
  <c r="A1010" i="3"/>
  <c r="G1010" i="3"/>
  <c r="D1010" i="3"/>
  <c r="G1020" i="3"/>
  <c r="A1020" i="3"/>
  <c r="E1020" i="3"/>
  <c r="D1020" i="3"/>
  <c r="Q1020" i="3"/>
  <c r="B1020" i="3"/>
  <c r="E1037" i="3"/>
  <c r="A1037" i="3"/>
  <c r="G1037" i="3"/>
  <c r="D1037" i="3"/>
  <c r="G1047" i="3"/>
  <c r="A1047" i="3"/>
  <c r="E1047" i="3"/>
  <c r="D1047" i="3"/>
  <c r="Q1047" i="3"/>
  <c r="B1047" i="3"/>
  <c r="L1064" i="3"/>
  <c r="L1071" i="3"/>
  <c r="E1091" i="3"/>
  <c r="A1091" i="3"/>
  <c r="G1091" i="3"/>
  <c r="F1091" i="3"/>
  <c r="D1091" i="3"/>
  <c r="G1098" i="3"/>
  <c r="A1098" i="3"/>
  <c r="F1098" i="3"/>
  <c r="E1098" i="3"/>
  <c r="D1098" i="3"/>
  <c r="L1118" i="3"/>
  <c r="G990" i="3"/>
  <c r="A990" i="3"/>
  <c r="F990" i="3"/>
  <c r="D990" i="3"/>
  <c r="E995" i="3"/>
  <c r="F995" i="3"/>
  <c r="D995" i="3"/>
  <c r="Q995" i="3"/>
  <c r="B995" i="3"/>
  <c r="L999" i="3"/>
  <c r="L1004" i="3"/>
  <c r="G1017" i="3"/>
  <c r="A1017" i="3"/>
  <c r="F1017" i="3"/>
  <c r="D1017" i="3"/>
  <c r="E1022" i="3"/>
  <c r="F1022" i="3"/>
  <c r="D1022" i="3"/>
  <c r="Q1022" i="3"/>
  <c r="B1022" i="3"/>
  <c r="L1026" i="3"/>
  <c r="L1031" i="3"/>
  <c r="F1037" i="3"/>
  <c r="G1044" i="3"/>
  <c r="A1044" i="3"/>
  <c r="F1044" i="3"/>
  <c r="D1044" i="3"/>
  <c r="F1047" i="3"/>
  <c r="L1055" i="3"/>
  <c r="L1062" i="3"/>
  <c r="E1082" i="3"/>
  <c r="A1082" i="3"/>
  <c r="G1082" i="3"/>
  <c r="F1082" i="3"/>
  <c r="D1082" i="3"/>
  <c r="G1089" i="3"/>
  <c r="A1089" i="3"/>
  <c r="F1089" i="3"/>
  <c r="E1089" i="3"/>
  <c r="D1089" i="3"/>
  <c r="Q1091" i="3"/>
  <c r="Q1098" i="3"/>
  <c r="L1109" i="3"/>
  <c r="L1116" i="3"/>
  <c r="E545" i="3"/>
  <c r="F545" i="3"/>
  <c r="G561" i="3"/>
  <c r="A561" i="3"/>
  <c r="E561" i="3"/>
  <c r="E572" i="3"/>
  <c r="F572" i="3"/>
  <c r="G588" i="3"/>
  <c r="A588" i="3"/>
  <c r="E588" i="3"/>
  <c r="G590" i="3"/>
  <c r="E599" i="3"/>
  <c r="F599" i="3"/>
  <c r="F606" i="3"/>
  <c r="G615" i="3"/>
  <c r="A615" i="3"/>
  <c r="E615" i="3"/>
  <c r="G617" i="3"/>
  <c r="E626" i="3"/>
  <c r="F626" i="3"/>
  <c r="F633" i="3"/>
  <c r="G642" i="3"/>
  <c r="A642" i="3"/>
  <c r="E642" i="3"/>
  <c r="G644" i="3"/>
  <c r="E653" i="3"/>
  <c r="F653" i="3"/>
  <c r="F660" i="3"/>
  <c r="G669" i="3"/>
  <c r="A669" i="3"/>
  <c r="E669" i="3"/>
  <c r="G671" i="3"/>
  <c r="E680" i="3"/>
  <c r="F680" i="3"/>
  <c r="F687" i="3"/>
  <c r="G696" i="3"/>
  <c r="A696" i="3"/>
  <c r="E696" i="3"/>
  <c r="G698" i="3"/>
  <c r="E707" i="3"/>
  <c r="F707" i="3"/>
  <c r="F714" i="3"/>
  <c r="G723" i="3"/>
  <c r="A723" i="3"/>
  <c r="E723" i="3"/>
  <c r="G725" i="3"/>
  <c r="E734" i="3"/>
  <c r="F734" i="3"/>
  <c r="F741" i="3"/>
  <c r="G750" i="3"/>
  <c r="A750" i="3"/>
  <c r="E750" i="3"/>
  <c r="G752" i="3"/>
  <c r="E761" i="3"/>
  <c r="F761" i="3"/>
  <c r="F768" i="3"/>
  <c r="G777" i="3"/>
  <c r="A777" i="3"/>
  <c r="E777" i="3"/>
  <c r="G779" i="3"/>
  <c r="E788" i="3"/>
  <c r="F788" i="3"/>
  <c r="F795" i="3"/>
  <c r="G804" i="3"/>
  <c r="A804" i="3"/>
  <c r="E804" i="3"/>
  <c r="G806" i="3"/>
  <c r="E815" i="3"/>
  <c r="F815" i="3"/>
  <c r="F822" i="3"/>
  <c r="G831" i="3"/>
  <c r="A831" i="3"/>
  <c r="E831" i="3"/>
  <c r="G833" i="3"/>
  <c r="E842" i="3"/>
  <c r="F842" i="3"/>
  <c r="F849" i="3"/>
  <c r="G855" i="3"/>
  <c r="A855" i="3"/>
  <c r="D855" i="3"/>
  <c r="P859" i="3"/>
  <c r="T859" i="3" s="1"/>
  <c r="G860" i="3"/>
  <c r="G866" i="3"/>
  <c r="P875" i="3"/>
  <c r="T875" i="3" s="1"/>
  <c r="F876" i="3"/>
  <c r="E878" i="3"/>
  <c r="F878" i="3"/>
  <c r="Q878" i="3"/>
  <c r="B878" i="3"/>
  <c r="E884" i="3"/>
  <c r="A884" i="3"/>
  <c r="D884" i="3"/>
  <c r="F891" i="3"/>
  <c r="G894" i="3"/>
  <c r="A894" i="3"/>
  <c r="E894" i="3"/>
  <c r="Q894" i="3"/>
  <c r="B894" i="3"/>
  <c r="G909" i="3"/>
  <c r="A909" i="3"/>
  <c r="D909" i="3"/>
  <c r="P913" i="3"/>
  <c r="T913" i="3" s="1"/>
  <c r="G914" i="3"/>
  <c r="G920" i="3"/>
  <c r="P929" i="3"/>
  <c r="T929" i="3" s="1"/>
  <c r="F930" i="3"/>
  <c r="E932" i="3"/>
  <c r="F932" i="3"/>
  <c r="Q932" i="3"/>
  <c r="B932" i="3"/>
  <c r="E938" i="3"/>
  <c r="A938" i="3"/>
  <c r="D938" i="3"/>
  <c r="F945" i="3"/>
  <c r="G948" i="3"/>
  <c r="A948" i="3"/>
  <c r="E948" i="3"/>
  <c r="Q948" i="3"/>
  <c r="B948" i="3"/>
  <c r="G963" i="3"/>
  <c r="A963" i="3"/>
  <c r="D963" i="3"/>
  <c r="Q965" i="3"/>
  <c r="P967" i="3"/>
  <c r="T967" i="3" s="1"/>
  <c r="G968" i="3"/>
  <c r="B972" i="3"/>
  <c r="G975" i="3"/>
  <c r="A975" i="3"/>
  <c r="E975" i="3"/>
  <c r="D975" i="3"/>
  <c r="Q975" i="3"/>
  <c r="B975" i="3"/>
  <c r="A977" i="3"/>
  <c r="Q983" i="3"/>
  <c r="E990" i="3"/>
  <c r="E992" i="3"/>
  <c r="A992" i="3"/>
  <c r="G992" i="3"/>
  <c r="D992" i="3"/>
  <c r="G995" i="3"/>
  <c r="B999" i="3"/>
  <c r="G1002" i="3"/>
  <c r="A1002" i="3"/>
  <c r="E1002" i="3"/>
  <c r="D1002" i="3"/>
  <c r="Q1002" i="3"/>
  <c r="B1002" i="3"/>
  <c r="A1004" i="3"/>
  <c r="Q1010" i="3"/>
  <c r="E1017" i="3"/>
  <c r="E1019" i="3"/>
  <c r="A1019" i="3"/>
  <c r="G1019" i="3"/>
  <c r="D1019" i="3"/>
  <c r="G1022" i="3"/>
  <c r="B1026" i="3"/>
  <c r="G1029" i="3"/>
  <c r="A1029" i="3"/>
  <c r="E1029" i="3"/>
  <c r="D1029" i="3"/>
  <c r="Q1029" i="3"/>
  <c r="B1029" i="3"/>
  <c r="A1031" i="3"/>
  <c r="Q1037" i="3"/>
  <c r="E1044" i="3"/>
  <c r="E1046" i="3"/>
  <c r="A1046" i="3"/>
  <c r="G1046" i="3"/>
  <c r="D1046" i="3"/>
  <c r="B1064" i="3"/>
  <c r="B1071" i="3"/>
  <c r="E1073" i="3"/>
  <c r="A1073" i="3"/>
  <c r="G1073" i="3"/>
  <c r="F1073" i="3"/>
  <c r="D1073" i="3"/>
  <c r="G1080" i="3"/>
  <c r="A1080" i="3"/>
  <c r="F1080" i="3"/>
  <c r="E1080" i="3"/>
  <c r="D1080" i="3"/>
  <c r="B1118" i="3"/>
  <c r="B1191" i="3"/>
  <c r="G1191" i="3"/>
  <c r="A1191" i="3"/>
  <c r="F1191" i="3"/>
  <c r="G1204" i="3"/>
  <c r="A1204" i="3"/>
  <c r="F1204" i="3"/>
  <c r="E1204" i="3"/>
  <c r="E1206" i="3"/>
  <c r="A1206" i="3"/>
  <c r="G1206" i="3"/>
  <c r="F1206" i="3"/>
  <c r="G1125" i="3"/>
  <c r="A1125" i="3"/>
  <c r="L1125" i="3"/>
  <c r="L1127" i="3"/>
  <c r="A1130" i="3"/>
  <c r="G1134" i="3"/>
  <c r="A1134" i="3"/>
  <c r="L1134" i="3"/>
  <c r="L1136" i="3"/>
  <c r="A1139" i="3"/>
  <c r="G1143" i="3"/>
  <c r="A1143" i="3"/>
  <c r="L1143" i="3"/>
  <c r="L1145" i="3"/>
  <c r="G1152" i="3"/>
  <c r="A1152" i="3"/>
  <c r="L1152" i="3"/>
  <c r="L1154" i="3"/>
  <c r="G1161" i="3"/>
  <c r="A1161" i="3"/>
  <c r="L1161" i="3"/>
  <c r="L1163" i="3"/>
  <c r="F1166" i="3"/>
  <c r="E1166" i="3"/>
  <c r="B1167" i="3"/>
  <c r="G1167" i="3"/>
  <c r="A1167" i="3"/>
  <c r="L1167" i="3"/>
  <c r="F1175" i="3"/>
  <c r="E1175" i="3"/>
  <c r="B1176" i="3"/>
  <c r="G1176" i="3"/>
  <c r="A1176" i="3"/>
  <c r="L1176" i="3"/>
  <c r="F1184" i="3"/>
  <c r="E1184" i="3"/>
  <c r="B1185" i="3"/>
  <c r="G1185" i="3"/>
  <c r="A1185" i="3"/>
  <c r="L1185" i="3"/>
  <c r="B1188" i="3"/>
  <c r="G1188" i="3"/>
  <c r="A1188" i="3"/>
  <c r="F1188" i="3"/>
  <c r="D1191" i="3"/>
  <c r="P1194" i="3"/>
  <c r="T1194" i="3" s="1"/>
  <c r="P1196" i="3"/>
  <c r="T1196" i="3" s="1"/>
  <c r="D1204" i="3"/>
  <c r="D1206" i="3"/>
  <c r="B1049" i="3"/>
  <c r="Q1049" i="3"/>
  <c r="B1056" i="3"/>
  <c r="B1058" i="3"/>
  <c r="Q1058" i="3"/>
  <c r="B1065" i="3"/>
  <c r="B1067" i="3"/>
  <c r="Q1067" i="3"/>
  <c r="B1074" i="3"/>
  <c r="B1076" i="3"/>
  <c r="Q1076" i="3"/>
  <c r="B1083" i="3"/>
  <c r="B1085" i="3"/>
  <c r="Q1085" i="3"/>
  <c r="B1092" i="3"/>
  <c r="B1094" i="3"/>
  <c r="Q1094" i="3"/>
  <c r="B1101" i="3"/>
  <c r="B1103" i="3"/>
  <c r="Q1103" i="3"/>
  <c r="B1110" i="3"/>
  <c r="B1112" i="3"/>
  <c r="Q1112" i="3"/>
  <c r="B1119" i="3"/>
  <c r="B1121" i="3"/>
  <c r="Q1121" i="3"/>
  <c r="B1128" i="3"/>
  <c r="B1130" i="3"/>
  <c r="Q1130" i="3"/>
  <c r="B1137" i="3"/>
  <c r="B1139" i="3"/>
  <c r="Q1139" i="3"/>
  <c r="A1187" i="3"/>
  <c r="E1191" i="3"/>
  <c r="Q1193" i="3"/>
  <c r="F1193" i="3"/>
  <c r="E1193" i="3"/>
  <c r="L1193" i="3"/>
  <c r="D1193" i="3"/>
  <c r="L1195" i="3"/>
  <c r="L1197" i="3"/>
  <c r="Q1204" i="3"/>
  <c r="Q1206" i="3"/>
  <c r="L1049" i="3"/>
  <c r="G1056" i="3"/>
  <c r="A1056" i="3"/>
  <c r="L1056" i="3"/>
  <c r="L1058" i="3"/>
  <c r="G1065" i="3"/>
  <c r="A1065" i="3"/>
  <c r="L1065" i="3"/>
  <c r="L1067" i="3"/>
  <c r="G1074" i="3"/>
  <c r="A1074" i="3"/>
  <c r="L1074" i="3"/>
  <c r="L1076" i="3"/>
  <c r="G1083" i="3"/>
  <c r="A1083" i="3"/>
  <c r="L1083" i="3"/>
  <c r="L1085" i="3"/>
  <c r="G1092" i="3"/>
  <c r="A1092" i="3"/>
  <c r="L1092" i="3"/>
  <c r="L1094" i="3"/>
  <c r="G1101" i="3"/>
  <c r="A1101" i="3"/>
  <c r="L1101" i="3"/>
  <c r="L1103" i="3"/>
  <c r="G1110" i="3"/>
  <c r="A1110" i="3"/>
  <c r="L1110" i="3"/>
  <c r="L1112" i="3"/>
  <c r="G1119" i="3"/>
  <c r="A1119" i="3"/>
  <c r="L1119" i="3"/>
  <c r="L1121" i="3"/>
  <c r="G1128" i="3"/>
  <c r="A1128" i="3"/>
  <c r="L1128" i="3"/>
  <c r="L1130" i="3"/>
  <c r="G1137" i="3"/>
  <c r="A1137" i="3"/>
  <c r="L1137" i="3"/>
  <c r="L1139" i="3"/>
  <c r="F1145" i="3"/>
  <c r="G1146" i="3"/>
  <c r="A1146" i="3"/>
  <c r="L1146" i="3"/>
  <c r="L1148" i="3"/>
  <c r="E1152" i="3"/>
  <c r="F1154" i="3"/>
  <c r="G1155" i="3"/>
  <c r="A1155" i="3"/>
  <c r="L1155" i="3"/>
  <c r="L1157" i="3"/>
  <c r="E1161" i="3"/>
  <c r="F1163" i="3"/>
  <c r="G1164" i="3"/>
  <c r="A1164" i="3"/>
  <c r="L1164" i="3"/>
  <c r="G1166" i="3"/>
  <c r="E1167" i="3"/>
  <c r="F1172" i="3"/>
  <c r="E1172" i="3"/>
  <c r="B1173" i="3"/>
  <c r="G1173" i="3"/>
  <c r="A1173" i="3"/>
  <c r="L1173" i="3"/>
  <c r="G1175" i="3"/>
  <c r="E1176" i="3"/>
  <c r="F1181" i="3"/>
  <c r="E1181" i="3"/>
  <c r="B1182" i="3"/>
  <c r="G1182" i="3"/>
  <c r="A1182" i="3"/>
  <c r="L1182" i="3"/>
  <c r="G1184" i="3"/>
  <c r="E1185" i="3"/>
  <c r="E1188" i="3"/>
  <c r="F1190" i="3"/>
  <c r="E1190" i="3"/>
  <c r="L1190" i="3"/>
  <c r="D1190" i="3"/>
  <c r="Q1191" i="3"/>
  <c r="G1193" i="3"/>
  <c r="P1203" i="3"/>
  <c r="T1203" i="3" s="1"/>
  <c r="P1205" i="3"/>
  <c r="T1205" i="3" s="1"/>
  <c r="D1049" i="3"/>
  <c r="D1056" i="3"/>
  <c r="D1058" i="3"/>
  <c r="D1065" i="3"/>
  <c r="D1067" i="3"/>
  <c r="D1074" i="3"/>
  <c r="D1076" i="3"/>
  <c r="D1083" i="3"/>
  <c r="D1085" i="3"/>
  <c r="D1092" i="3"/>
  <c r="D1094" i="3"/>
  <c r="D1101" i="3"/>
  <c r="D1103" i="3"/>
  <c r="D1110" i="3"/>
  <c r="D1112" i="3"/>
  <c r="D1119" i="3"/>
  <c r="D1121" i="3"/>
  <c r="D1128" i="3"/>
  <c r="D1130" i="3"/>
  <c r="D1137" i="3"/>
  <c r="D1139" i="3"/>
  <c r="F1187" i="3"/>
  <c r="E1187" i="3"/>
  <c r="L1187" i="3"/>
  <c r="D1187" i="3"/>
  <c r="G1195" i="3"/>
  <c r="A1195" i="3"/>
  <c r="F1195" i="3"/>
  <c r="E1195" i="3"/>
  <c r="E1197" i="3"/>
  <c r="A1197" i="3"/>
  <c r="G1197" i="3"/>
  <c r="F1197" i="3"/>
  <c r="L1204" i="3"/>
  <c r="L1206" i="3"/>
  <c r="G366" i="3"/>
  <c r="A366" i="3"/>
  <c r="L366" i="3"/>
  <c r="L368" i="3"/>
  <c r="G375" i="3"/>
  <c r="A375" i="3"/>
  <c r="L375" i="3"/>
  <c r="L377" i="3"/>
  <c r="G384" i="3"/>
  <c r="A384" i="3"/>
  <c r="L384" i="3"/>
  <c r="L386" i="3"/>
  <c r="G393" i="3"/>
  <c r="A393" i="3"/>
  <c r="L393" i="3"/>
  <c r="L395" i="3"/>
  <c r="G402" i="3"/>
  <c r="A402" i="3"/>
  <c r="L402" i="3"/>
  <c r="L404" i="3"/>
  <c r="G411" i="3"/>
  <c r="A411" i="3"/>
  <c r="L411" i="3"/>
  <c r="L413" i="3"/>
  <c r="G420" i="3"/>
  <c r="A420" i="3"/>
  <c r="L420" i="3"/>
  <c r="L422" i="3"/>
  <c r="G429" i="3"/>
  <c r="A429" i="3"/>
  <c r="L429" i="3"/>
  <c r="L431" i="3"/>
  <c r="G438" i="3"/>
  <c r="A438" i="3"/>
  <c r="L438" i="3"/>
  <c r="L440" i="3"/>
  <c r="G447" i="3"/>
  <c r="A447" i="3"/>
  <c r="L447" i="3"/>
  <c r="L449" i="3"/>
  <c r="G456" i="3"/>
  <c r="A456" i="3"/>
  <c r="L456" i="3"/>
  <c r="L458" i="3"/>
  <c r="G465" i="3"/>
  <c r="A465" i="3"/>
  <c r="L465" i="3"/>
  <c r="L467" i="3"/>
  <c r="G474" i="3"/>
  <c r="A474" i="3"/>
  <c r="L474" i="3"/>
  <c r="L476" i="3"/>
  <c r="G483" i="3"/>
  <c r="A483" i="3"/>
  <c r="L483" i="3"/>
  <c r="L485" i="3"/>
  <c r="G492" i="3"/>
  <c r="A492" i="3"/>
  <c r="L492" i="3"/>
  <c r="L494" i="3"/>
  <c r="G501" i="3"/>
  <c r="A501" i="3"/>
  <c r="L501" i="3"/>
  <c r="L503" i="3"/>
  <c r="G510" i="3"/>
  <c r="A510" i="3"/>
  <c r="L510" i="3"/>
  <c r="L512" i="3"/>
  <c r="G519" i="3"/>
  <c r="A519" i="3"/>
  <c r="L519" i="3"/>
  <c r="L521" i="3"/>
  <c r="G528" i="3"/>
  <c r="A528" i="3"/>
  <c r="L528" i="3"/>
  <c r="L530" i="3"/>
  <c r="G537" i="3"/>
  <c r="A537" i="3"/>
  <c r="L537" i="3"/>
  <c r="L539" i="3"/>
  <c r="G546" i="3"/>
  <c r="A546" i="3"/>
  <c r="L546" i="3"/>
  <c r="L548" i="3"/>
  <c r="G555" i="3"/>
  <c r="A555" i="3"/>
  <c r="L555" i="3"/>
  <c r="L557" i="3"/>
  <c r="G564" i="3"/>
  <c r="A564" i="3"/>
  <c r="L564" i="3"/>
  <c r="L566" i="3"/>
  <c r="G573" i="3"/>
  <c r="A573" i="3"/>
  <c r="L573" i="3"/>
  <c r="L575" i="3"/>
  <c r="G582" i="3"/>
  <c r="A582" i="3"/>
  <c r="L582" i="3"/>
  <c r="L584" i="3"/>
  <c r="G591" i="3"/>
  <c r="A591" i="3"/>
  <c r="L591" i="3"/>
  <c r="L593" i="3"/>
  <c r="G600" i="3"/>
  <c r="A600" i="3"/>
  <c r="L600" i="3"/>
  <c r="L602" i="3"/>
  <c r="G609" i="3"/>
  <c r="A609" i="3"/>
  <c r="L609" i="3"/>
  <c r="L611" i="3"/>
  <c r="G618" i="3"/>
  <c r="A618" i="3"/>
  <c r="L618" i="3"/>
  <c r="L620" i="3"/>
  <c r="G627" i="3"/>
  <c r="A627" i="3"/>
  <c r="L627" i="3"/>
  <c r="L629" i="3"/>
  <c r="G636" i="3"/>
  <c r="A636" i="3"/>
  <c r="L636" i="3"/>
  <c r="L638" i="3"/>
  <c r="G645" i="3"/>
  <c r="A645" i="3"/>
  <c r="L645" i="3"/>
  <c r="L647" i="3"/>
  <c r="G654" i="3"/>
  <c r="A654" i="3"/>
  <c r="L654" i="3"/>
  <c r="L656" i="3"/>
  <c r="G663" i="3"/>
  <c r="A663" i="3"/>
  <c r="L663" i="3"/>
  <c r="L665" i="3"/>
  <c r="G672" i="3"/>
  <c r="A672" i="3"/>
  <c r="L672" i="3"/>
  <c r="L674" i="3"/>
  <c r="G681" i="3"/>
  <c r="A681" i="3"/>
  <c r="L681" i="3"/>
  <c r="L683" i="3"/>
  <c r="G690" i="3"/>
  <c r="A690" i="3"/>
  <c r="L690" i="3"/>
  <c r="L692" i="3"/>
  <c r="G699" i="3"/>
  <c r="A699" i="3"/>
  <c r="L699" i="3"/>
  <c r="L701" i="3"/>
  <c r="G708" i="3"/>
  <c r="A708" i="3"/>
  <c r="L708" i="3"/>
  <c r="L710" i="3"/>
  <c r="G717" i="3"/>
  <c r="A717" i="3"/>
  <c r="L717" i="3"/>
  <c r="L719" i="3"/>
  <c r="G726" i="3"/>
  <c r="A726" i="3"/>
  <c r="L726" i="3"/>
  <c r="L728" i="3"/>
  <c r="G735" i="3"/>
  <c r="A735" i="3"/>
  <c r="L735" i="3"/>
  <c r="L737" i="3"/>
  <c r="G744" i="3"/>
  <c r="A744" i="3"/>
  <c r="L744" i="3"/>
  <c r="L746" i="3"/>
  <c r="G753" i="3"/>
  <c r="A753" i="3"/>
  <c r="L753" i="3"/>
  <c r="L755" i="3"/>
  <c r="G762" i="3"/>
  <c r="A762" i="3"/>
  <c r="L762" i="3"/>
  <c r="L764" i="3"/>
  <c r="G771" i="3"/>
  <c r="A771" i="3"/>
  <c r="L771" i="3"/>
  <c r="L773" i="3"/>
  <c r="G780" i="3"/>
  <c r="A780" i="3"/>
  <c r="L780" i="3"/>
  <c r="L782" i="3"/>
  <c r="G789" i="3"/>
  <c r="A789" i="3"/>
  <c r="L789" i="3"/>
  <c r="L791" i="3"/>
  <c r="G798" i="3"/>
  <c r="A798" i="3"/>
  <c r="L798" i="3"/>
  <c r="L800" i="3"/>
  <c r="G807" i="3"/>
  <c r="A807" i="3"/>
  <c r="L807" i="3"/>
  <c r="L809" i="3"/>
  <c r="G816" i="3"/>
  <c r="A816" i="3"/>
  <c r="L816" i="3"/>
  <c r="L818" i="3"/>
  <c r="G825" i="3"/>
  <c r="A825" i="3"/>
  <c r="L825" i="3"/>
  <c r="L827" i="3"/>
  <c r="G834" i="3"/>
  <c r="A834" i="3"/>
  <c r="L834" i="3"/>
  <c r="L836" i="3"/>
  <c r="G843" i="3"/>
  <c r="A843" i="3"/>
  <c r="L843" i="3"/>
  <c r="L845" i="3"/>
  <c r="G852" i="3"/>
  <c r="A852" i="3"/>
  <c r="L852" i="3"/>
  <c r="L854" i="3"/>
  <c r="G861" i="3"/>
  <c r="A861" i="3"/>
  <c r="L861" i="3"/>
  <c r="L863" i="3"/>
  <c r="G870" i="3"/>
  <c r="A870" i="3"/>
  <c r="L870" i="3"/>
  <c r="L872" i="3"/>
  <c r="G879" i="3"/>
  <c r="A879" i="3"/>
  <c r="L879" i="3"/>
  <c r="L881" i="3"/>
  <c r="G888" i="3"/>
  <c r="A888" i="3"/>
  <c r="L888" i="3"/>
  <c r="L890" i="3"/>
  <c r="G897" i="3"/>
  <c r="A897" i="3"/>
  <c r="L897" i="3"/>
  <c r="L899" i="3"/>
  <c r="G906" i="3"/>
  <c r="A906" i="3"/>
  <c r="L906" i="3"/>
  <c r="L908" i="3"/>
  <c r="G915" i="3"/>
  <c r="A915" i="3"/>
  <c r="L915" i="3"/>
  <c r="L917" i="3"/>
  <c r="G924" i="3"/>
  <c r="A924" i="3"/>
  <c r="L924" i="3"/>
  <c r="L926" i="3"/>
  <c r="G933" i="3"/>
  <c r="A933" i="3"/>
  <c r="L933" i="3"/>
  <c r="L935" i="3"/>
  <c r="G942" i="3"/>
  <c r="A942" i="3"/>
  <c r="L942" i="3"/>
  <c r="L944" i="3"/>
  <c r="G951" i="3"/>
  <c r="A951" i="3"/>
  <c r="L951" i="3"/>
  <c r="L953" i="3"/>
  <c r="G960" i="3"/>
  <c r="A960" i="3"/>
  <c r="L960" i="3"/>
  <c r="L962" i="3"/>
  <c r="G969" i="3"/>
  <c r="A969" i="3"/>
  <c r="L969" i="3"/>
  <c r="L971" i="3"/>
  <c r="G978" i="3"/>
  <c r="A978" i="3"/>
  <c r="L978" i="3"/>
  <c r="L980" i="3"/>
  <c r="G987" i="3"/>
  <c r="A987" i="3"/>
  <c r="L987" i="3"/>
  <c r="L989" i="3"/>
  <c r="G996" i="3"/>
  <c r="A996" i="3"/>
  <c r="L996" i="3"/>
  <c r="L998" i="3"/>
  <c r="G1005" i="3"/>
  <c r="A1005" i="3"/>
  <c r="L1005" i="3"/>
  <c r="L1007" i="3"/>
  <c r="G1014" i="3"/>
  <c r="A1014" i="3"/>
  <c r="L1014" i="3"/>
  <c r="L1016" i="3"/>
  <c r="G1023" i="3"/>
  <c r="A1023" i="3"/>
  <c r="L1023" i="3"/>
  <c r="L1025" i="3"/>
  <c r="G1032" i="3"/>
  <c r="A1032" i="3"/>
  <c r="L1032" i="3"/>
  <c r="L1034" i="3"/>
  <c r="G1041" i="3"/>
  <c r="A1041" i="3"/>
  <c r="L1041" i="3"/>
  <c r="L1043" i="3"/>
  <c r="F1049" i="3"/>
  <c r="G1050" i="3"/>
  <c r="A1050" i="3"/>
  <c r="L1050" i="3"/>
  <c r="L1052" i="3"/>
  <c r="E1056" i="3"/>
  <c r="F1058" i="3"/>
  <c r="G1059" i="3"/>
  <c r="A1059" i="3"/>
  <c r="L1059" i="3"/>
  <c r="L1061" i="3"/>
  <c r="E1065" i="3"/>
  <c r="F1067" i="3"/>
  <c r="G1068" i="3"/>
  <c r="A1068" i="3"/>
  <c r="L1068" i="3"/>
  <c r="L1070" i="3"/>
  <c r="E1074" i="3"/>
  <c r="F1076" i="3"/>
  <c r="G1077" i="3"/>
  <c r="A1077" i="3"/>
  <c r="L1077" i="3"/>
  <c r="L1079" i="3"/>
  <c r="E1083" i="3"/>
  <c r="F1085" i="3"/>
  <c r="G1086" i="3"/>
  <c r="A1086" i="3"/>
  <c r="L1086" i="3"/>
  <c r="L1088" i="3"/>
  <c r="E1092" i="3"/>
  <c r="F1094" i="3"/>
  <c r="G1095" i="3"/>
  <c r="A1095" i="3"/>
  <c r="L1095" i="3"/>
  <c r="L1097" i="3"/>
  <c r="E1101" i="3"/>
  <c r="F1103" i="3"/>
  <c r="G1104" i="3"/>
  <c r="A1104" i="3"/>
  <c r="L1104" i="3"/>
  <c r="L1106" i="3"/>
  <c r="E1110" i="3"/>
  <c r="F1112" i="3"/>
  <c r="G1113" i="3"/>
  <c r="A1113" i="3"/>
  <c r="L1113" i="3"/>
  <c r="L1115" i="3"/>
  <c r="E1119" i="3"/>
  <c r="F1121" i="3"/>
  <c r="G1122" i="3"/>
  <c r="A1122" i="3"/>
  <c r="L1122" i="3"/>
  <c r="L1124" i="3"/>
  <c r="A1127" i="3"/>
  <c r="E1128" i="3"/>
  <c r="F1130" i="3"/>
  <c r="G1131" i="3"/>
  <c r="A1131" i="3"/>
  <c r="L1131" i="3"/>
  <c r="L1133" i="3"/>
  <c r="A1136" i="3"/>
  <c r="E1137" i="3"/>
  <c r="F1139" i="3"/>
  <c r="G1140" i="3"/>
  <c r="A1140" i="3"/>
  <c r="L1140" i="3"/>
  <c r="L1142" i="3"/>
  <c r="A1145" i="3"/>
  <c r="E1146" i="3"/>
  <c r="F1148" i="3"/>
  <c r="G1149" i="3"/>
  <c r="A1149" i="3"/>
  <c r="L1149" i="3"/>
  <c r="L1151" i="3"/>
  <c r="A1154" i="3"/>
  <c r="E1155" i="3"/>
  <c r="F1157" i="3"/>
  <c r="G1158" i="3"/>
  <c r="A1158" i="3"/>
  <c r="L1158" i="3"/>
  <c r="L1160" i="3"/>
  <c r="A1163" i="3"/>
  <c r="E1164" i="3"/>
  <c r="A1166" i="3"/>
  <c r="Q1166" i="3"/>
  <c r="Q1167" i="3"/>
  <c r="F1169" i="3"/>
  <c r="E1169" i="3"/>
  <c r="B1170" i="3"/>
  <c r="G1170" i="3"/>
  <c r="A1170" i="3"/>
  <c r="L1170" i="3"/>
  <c r="G1172" i="3"/>
  <c r="E1173" i="3"/>
  <c r="A1175" i="3"/>
  <c r="Q1175" i="3"/>
  <c r="Q1176" i="3"/>
  <c r="F1178" i="3"/>
  <c r="E1178" i="3"/>
  <c r="B1179" i="3"/>
  <c r="G1179" i="3"/>
  <c r="A1179" i="3"/>
  <c r="L1179" i="3"/>
  <c r="G1181" i="3"/>
  <c r="E1182" i="3"/>
  <c r="A1184" i="3"/>
  <c r="Q1184" i="3"/>
  <c r="Q1185" i="3"/>
  <c r="G1187" i="3"/>
  <c r="P1189" i="3"/>
  <c r="T1189" i="3" s="1"/>
  <c r="Q1190" i="3"/>
  <c r="L1191" i="3"/>
  <c r="D1195" i="3"/>
  <c r="D1197" i="3"/>
  <c r="B1204" i="3"/>
  <c r="B1206" i="3"/>
  <c r="G1198" i="3"/>
  <c r="A1198" i="3"/>
  <c r="L1198" i="3"/>
  <c r="L1200" i="3"/>
  <c r="G1207" i="3"/>
  <c r="A1207" i="3"/>
  <c r="L1207" i="3"/>
  <c r="L1209" i="3"/>
  <c r="B1194" i="3"/>
  <c r="Q1194" i="3"/>
  <c r="D1198" i="3"/>
  <c r="D1200" i="3"/>
  <c r="B1201" i="3"/>
  <c r="B1203" i="3"/>
  <c r="Q1203" i="3"/>
  <c r="D1207" i="3"/>
  <c r="D1209" i="3"/>
  <c r="E1212" i="3"/>
  <c r="L1212" i="3"/>
  <c r="D1212" i="3"/>
  <c r="L1194" i="3"/>
  <c r="E1198" i="3"/>
  <c r="F1200" i="3"/>
  <c r="G1201" i="3"/>
  <c r="A1201" i="3"/>
  <c r="L1201" i="3"/>
  <c r="L1203" i="3"/>
  <c r="E1207" i="3"/>
  <c r="F1209" i="3"/>
  <c r="G1210" i="3"/>
  <c r="A1210" i="3"/>
  <c r="L1210" i="3"/>
  <c r="P1211" i="3"/>
  <c r="T1211" i="3" s="1"/>
  <c r="F1212" i="3"/>
  <c r="K1020" i="4" l="1"/>
  <c r="E1020" i="4" s="1"/>
  <c r="B14" i="6"/>
  <c r="K34" i="4"/>
  <c r="K75" i="4"/>
  <c r="K129" i="4"/>
  <c r="K302" i="4"/>
  <c r="K76" i="4"/>
  <c r="K130" i="4"/>
  <c r="K321" i="4"/>
  <c r="K531" i="4"/>
  <c r="K45" i="4"/>
  <c r="K72" i="4"/>
  <c r="K99" i="4"/>
  <c r="K126" i="4"/>
  <c r="K246" i="4"/>
  <c r="K701" i="4"/>
  <c r="K166" i="4"/>
  <c r="K184" i="4"/>
  <c r="K202" i="4"/>
  <c r="K220" i="4"/>
  <c r="K238" i="4"/>
  <c r="K24" i="4"/>
  <c r="K43" i="4"/>
  <c r="K70" i="4"/>
  <c r="K97" i="4"/>
  <c r="K124" i="4"/>
  <c r="K153" i="4"/>
  <c r="K171" i="4"/>
  <c r="K189" i="4"/>
  <c r="K207" i="4"/>
  <c r="K225" i="4"/>
  <c r="K243" i="4"/>
  <c r="K250" i="4"/>
  <c r="K268" i="4"/>
  <c r="K305" i="4"/>
  <c r="K434" i="4"/>
  <c r="K400" i="4"/>
  <c r="K44" i="4"/>
  <c r="K62" i="4"/>
  <c r="K80" i="4"/>
  <c r="K98" i="4"/>
  <c r="K116" i="4"/>
  <c r="K134" i="4"/>
  <c r="K152" i="4"/>
  <c r="K170" i="4"/>
  <c r="K188" i="4"/>
  <c r="K206" i="4"/>
  <c r="K224" i="4"/>
  <c r="K242" i="4"/>
  <c r="K260" i="4"/>
  <c r="K292" i="4"/>
  <c r="K392" i="4"/>
  <c r="K543" i="4"/>
  <c r="K597" i="4"/>
  <c r="K318" i="4"/>
  <c r="K689" i="4"/>
  <c r="K324" i="4"/>
  <c r="K472" i="4"/>
  <c r="K290" i="4"/>
  <c r="K317" i="4"/>
  <c r="K433" i="4"/>
  <c r="K417" i="4"/>
  <c r="K459" i="4"/>
  <c r="K498" i="4"/>
  <c r="K635" i="4"/>
  <c r="K772" i="4"/>
  <c r="K398" i="4"/>
  <c r="K553" i="4"/>
  <c r="K607" i="4"/>
  <c r="K279" i="4"/>
  <c r="K404" i="4"/>
  <c r="K443" i="4"/>
  <c r="K480" i="4"/>
  <c r="K522" i="4"/>
  <c r="K541" i="4"/>
  <c r="K568" i="4"/>
  <c r="K595" i="4"/>
  <c r="K622" i="4"/>
  <c r="K327" i="4"/>
  <c r="K333" i="4"/>
  <c r="K339" i="4"/>
  <c r="K345" i="4"/>
  <c r="K351" i="4"/>
  <c r="K357" i="4"/>
  <c r="K363" i="4"/>
  <c r="K369" i="4"/>
  <c r="K375" i="4"/>
  <c r="K387" i="4"/>
  <c r="K409" i="4"/>
  <c r="K662" i="4"/>
  <c r="K762" i="4"/>
  <c r="K420" i="4"/>
  <c r="K447" i="4"/>
  <c r="K475" i="4"/>
  <c r="K502" i="4"/>
  <c r="K529" i="4"/>
  <c r="K556" i="4"/>
  <c r="K583" i="4"/>
  <c r="K610" i="4"/>
  <c r="K787" i="4"/>
  <c r="K738" i="4"/>
  <c r="K880" i="4"/>
  <c r="K467" i="4"/>
  <c r="K485" i="4"/>
  <c r="K503" i="4"/>
  <c r="K521" i="4"/>
  <c r="K539" i="4"/>
  <c r="K557" i="4"/>
  <c r="K575" i="4"/>
  <c r="K593" i="4"/>
  <c r="K611" i="4"/>
  <c r="K724" i="4"/>
  <c r="K814" i="4"/>
  <c r="K673" i="4"/>
  <c r="K715" i="4"/>
  <c r="K816" i="4"/>
  <c r="K761" i="4"/>
  <c r="K800" i="4"/>
  <c r="K630" i="4"/>
  <c r="K676" i="4"/>
  <c r="K703" i="4"/>
  <c r="K765" i="4"/>
  <c r="K894" i="4"/>
  <c r="K766" i="4"/>
  <c r="K793" i="4"/>
  <c r="K825" i="4"/>
  <c r="K638" i="4"/>
  <c r="K644" i="4"/>
  <c r="K650" i="4"/>
  <c r="K656" i="4"/>
  <c r="K672" i="4"/>
  <c r="K690" i="4"/>
  <c r="K708" i="4"/>
  <c r="K739" i="4"/>
  <c r="K795" i="4"/>
  <c r="K719" i="4"/>
  <c r="K737" i="4"/>
  <c r="K818" i="4"/>
  <c r="K959" i="4"/>
  <c r="K896" i="4"/>
  <c r="K826" i="4"/>
  <c r="K891" i="4"/>
  <c r="K839" i="4"/>
  <c r="K845" i="4"/>
  <c r="K851" i="4"/>
  <c r="K857" i="4"/>
  <c r="K863" i="4"/>
  <c r="K869" i="4"/>
  <c r="K875" i="4"/>
  <c r="K889" i="4"/>
  <c r="K964" i="4"/>
  <c r="K905" i="4"/>
  <c r="K957" i="4"/>
  <c r="K981" i="4"/>
  <c r="K913" i="4"/>
  <c r="K919" i="4"/>
  <c r="K925" i="4"/>
  <c r="K931" i="4"/>
  <c r="K937" i="4"/>
  <c r="K943" i="4"/>
  <c r="K949" i="4"/>
  <c r="K961" i="4"/>
  <c r="K985" i="4"/>
  <c r="K991" i="4"/>
  <c r="K997" i="4"/>
  <c r="K1003" i="4"/>
  <c r="K1009" i="4"/>
  <c r="K1015" i="4"/>
  <c r="B7" i="6"/>
  <c r="B6" i="6"/>
  <c r="K37" i="4"/>
  <c r="K84" i="4"/>
  <c r="K138" i="4"/>
  <c r="K314" i="4"/>
  <c r="K85" i="4"/>
  <c r="K139" i="4"/>
  <c r="K504" i="4"/>
  <c r="K23" i="4"/>
  <c r="K46" i="4"/>
  <c r="K73" i="4"/>
  <c r="K100" i="4"/>
  <c r="K127" i="4"/>
  <c r="K255" i="4"/>
  <c r="K151" i="4"/>
  <c r="K169" i="4"/>
  <c r="K187" i="4"/>
  <c r="K205" i="4"/>
  <c r="K223" i="4"/>
  <c r="K241" i="4"/>
  <c r="K27" i="4"/>
  <c r="K51" i="4"/>
  <c r="K78" i="4"/>
  <c r="K105" i="4"/>
  <c r="K132" i="4"/>
  <c r="K156" i="4"/>
  <c r="K174" i="4"/>
  <c r="K192" i="4"/>
  <c r="K210" i="4"/>
  <c r="K228" i="4"/>
  <c r="K249" i="4"/>
  <c r="K253" i="4"/>
  <c r="K271" i="4"/>
  <c r="K313" i="4"/>
  <c r="K809" i="4"/>
  <c r="K415" i="4"/>
  <c r="K47" i="4"/>
  <c r="K65" i="4"/>
  <c r="K83" i="4"/>
  <c r="K101" i="4"/>
  <c r="K119" i="4"/>
  <c r="K137" i="4"/>
  <c r="K155" i="4"/>
  <c r="K173" i="4"/>
  <c r="K191" i="4"/>
  <c r="K209" i="4"/>
  <c r="K227" i="4"/>
  <c r="K245" i="4"/>
  <c r="K263" i="4"/>
  <c r="K296" i="4"/>
  <c r="K403" i="4"/>
  <c r="K552" i="4"/>
  <c r="K606" i="4"/>
  <c r="K382" i="4"/>
  <c r="K697" i="4"/>
  <c r="K414" i="4"/>
  <c r="K489" i="4"/>
  <c r="K298" i="4"/>
  <c r="K325" i="4"/>
  <c r="K698" i="4"/>
  <c r="K425" i="4"/>
  <c r="K469" i="4"/>
  <c r="K508" i="4"/>
  <c r="K671" i="4"/>
  <c r="K379" i="4"/>
  <c r="K412" i="4"/>
  <c r="K562" i="4"/>
  <c r="K616" i="4"/>
  <c r="K280" i="4"/>
  <c r="K408" i="4"/>
  <c r="K450" i="4"/>
  <c r="K490" i="4"/>
  <c r="K532" i="4"/>
  <c r="K549" i="4"/>
  <c r="K576" i="4"/>
  <c r="K603" i="4"/>
  <c r="K747" i="4"/>
  <c r="K328" i="4"/>
  <c r="K334" i="4"/>
  <c r="K340" i="4"/>
  <c r="K346" i="4"/>
  <c r="K352" i="4"/>
  <c r="K358" i="4"/>
  <c r="K364" i="4"/>
  <c r="K370" i="4"/>
  <c r="K376" i="4"/>
  <c r="K390" i="4"/>
  <c r="K418" i="4"/>
  <c r="K664" i="4"/>
  <c r="K774" i="4"/>
  <c r="K428" i="4"/>
  <c r="K456" i="4"/>
  <c r="K483" i="4"/>
  <c r="K510" i="4"/>
  <c r="K537" i="4"/>
  <c r="K564" i="4"/>
  <c r="K591" i="4"/>
  <c r="K618" i="4"/>
  <c r="K791" i="4"/>
  <c r="K751" i="4"/>
  <c r="K452" i="4"/>
  <c r="K470" i="4"/>
  <c r="K488" i="4"/>
  <c r="K506" i="4"/>
  <c r="K524" i="4"/>
  <c r="K542" i="4"/>
  <c r="K560" i="4"/>
  <c r="K578" i="4"/>
  <c r="K596" i="4"/>
  <c r="K614" i="4"/>
  <c r="K735" i="4"/>
  <c r="K830" i="4"/>
  <c r="K680" i="4"/>
  <c r="K732" i="4"/>
  <c r="K902" i="4"/>
  <c r="K769" i="4"/>
  <c r="K808" i="4"/>
  <c r="K633" i="4"/>
  <c r="K677" i="4"/>
  <c r="K704" i="4"/>
  <c r="K780" i="4"/>
  <c r="K723" i="4"/>
  <c r="K767" i="4"/>
  <c r="K794" i="4"/>
  <c r="K833" i="4"/>
  <c r="K639" i="4"/>
  <c r="K645" i="4"/>
  <c r="K651" i="4"/>
  <c r="K657" i="4"/>
  <c r="K675" i="4"/>
  <c r="K693" i="4"/>
  <c r="K711" i="4"/>
  <c r="K744" i="4"/>
  <c r="K804" i="4"/>
  <c r="K722" i="4"/>
  <c r="K740" i="4"/>
  <c r="K819" i="4"/>
  <c r="K966" i="4"/>
  <c r="K899" i="4"/>
  <c r="K829" i="4"/>
  <c r="K834" i="4"/>
  <c r="K840" i="4"/>
  <c r="K846" i="4"/>
  <c r="K852" i="4"/>
  <c r="K858" i="4"/>
  <c r="K864" i="4"/>
  <c r="K870" i="4"/>
  <c r="K876" i="4"/>
  <c r="K892" i="4"/>
  <c r="K975" i="4"/>
  <c r="K969" i="4"/>
  <c r="K965" i="4"/>
  <c r="K908" i="4"/>
  <c r="K914" i="4"/>
  <c r="K920" i="4"/>
  <c r="K926" i="4"/>
  <c r="K932" i="4"/>
  <c r="K938" i="4"/>
  <c r="K944" i="4"/>
  <c r="K950" i="4"/>
  <c r="K973" i="4"/>
  <c r="K986" i="4"/>
  <c r="K992" i="4"/>
  <c r="K998" i="4"/>
  <c r="K1004" i="4"/>
  <c r="K1010" i="4"/>
  <c r="K1016" i="4"/>
  <c r="D13" i="5"/>
  <c r="D14" i="5"/>
  <c r="C13" i="5"/>
  <c r="D8" i="5"/>
  <c r="C7" i="5"/>
  <c r="D15" i="5"/>
  <c r="C14" i="5"/>
  <c r="D9" i="5"/>
  <c r="C8" i="5"/>
  <c r="E8" i="5" s="1"/>
  <c r="D11" i="5"/>
  <c r="D12" i="5"/>
  <c r="D6" i="5"/>
  <c r="C11" i="5"/>
  <c r="E11" i="5" s="1"/>
  <c r="D7" i="5"/>
  <c r="D10" i="5"/>
  <c r="C9" i="5"/>
  <c r="C12" i="5"/>
  <c r="D4" i="5"/>
  <c r="C6" i="5"/>
  <c r="C4" i="5"/>
  <c r="C5" i="5"/>
  <c r="C15" i="5"/>
  <c r="C10" i="5"/>
  <c r="D5" i="5"/>
  <c r="K22" i="4"/>
  <c r="K39" i="4"/>
  <c r="K93" i="4"/>
  <c r="K147" i="4"/>
  <c r="K40" i="4"/>
  <c r="K94" i="4"/>
  <c r="K148" i="4"/>
  <c r="K270" i="4"/>
  <c r="K26" i="4"/>
  <c r="K54" i="4"/>
  <c r="K81" i="4"/>
  <c r="K108" i="4"/>
  <c r="K135" i="4"/>
  <c r="K264" i="4"/>
  <c r="K154" i="4"/>
  <c r="K172" i="4"/>
  <c r="K190" i="4"/>
  <c r="K208" i="4"/>
  <c r="K226" i="4"/>
  <c r="K244" i="4"/>
  <c r="K30" i="4"/>
  <c r="K52" i="4"/>
  <c r="K79" i="4"/>
  <c r="K106" i="4"/>
  <c r="K133" i="4"/>
  <c r="K159" i="4"/>
  <c r="K177" i="4"/>
  <c r="K195" i="4"/>
  <c r="K213" i="4"/>
  <c r="K231" i="4"/>
  <c r="K258" i="4"/>
  <c r="K256" i="4"/>
  <c r="K274" i="4"/>
  <c r="K320" i="4"/>
  <c r="K285" i="4"/>
  <c r="K709" i="4"/>
  <c r="K50" i="4"/>
  <c r="K68" i="4"/>
  <c r="K86" i="4"/>
  <c r="K104" i="4"/>
  <c r="K122" i="4"/>
  <c r="K140" i="4"/>
  <c r="K158" i="4"/>
  <c r="K176" i="4"/>
  <c r="K194" i="4"/>
  <c r="K212" i="4"/>
  <c r="K230" i="4"/>
  <c r="K248" i="4"/>
  <c r="K266" i="4"/>
  <c r="K304" i="4"/>
  <c r="K407" i="4"/>
  <c r="K561" i="4"/>
  <c r="K615" i="4"/>
  <c r="K395" i="4"/>
  <c r="K288" i="4"/>
  <c r="K422" i="4"/>
  <c r="K499" i="4"/>
  <c r="K299" i="4"/>
  <c r="K326" i="4"/>
  <c r="K706" i="4"/>
  <c r="K432" i="4"/>
  <c r="K471" i="4"/>
  <c r="K513" i="4"/>
  <c r="K679" i="4"/>
  <c r="K380" i="4"/>
  <c r="K424" i="4"/>
  <c r="K571" i="4"/>
  <c r="K625" i="4"/>
  <c r="K281" i="4"/>
  <c r="K416" i="4"/>
  <c r="K453" i="4"/>
  <c r="K495" i="4"/>
  <c r="K534" i="4"/>
  <c r="K550" i="4"/>
  <c r="K577" i="4"/>
  <c r="K604" i="4"/>
  <c r="K770" i="4"/>
  <c r="K329" i="4"/>
  <c r="K335" i="4"/>
  <c r="K341" i="4"/>
  <c r="K347" i="4"/>
  <c r="K353" i="4"/>
  <c r="K359" i="4"/>
  <c r="K365" i="4"/>
  <c r="K371" i="4"/>
  <c r="K377" i="4"/>
  <c r="K393" i="4"/>
  <c r="K427" i="4"/>
  <c r="K670" i="4"/>
  <c r="K897" i="4"/>
  <c r="K429" i="4"/>
  <c r="K457" i="4"/>
  <c r="K484" i="4"/>
  <c r="K511" i="4"/>
  <c r="K538" i="4"/>
  <c r="K565" i="4"/>
  <c r="K592" i="4"/>
  <c r="K619" i="4"/>
  <c r="K799" i="4"/>
  <c r="K771" i="4"/>
  <c r="K455" i="4"/>
  <c r="K473" i="4"/>
  <c r="K491" i="4"/>
  <c r="K509" i="4"/>
  <c r="K527" i="4"/>
  <c r="K545" i="4"/>
  <c r="K563" i="4"/>
  <c r="K581" i="4"/>
  <c r="K599" i="4"/>
  <c r="K617" i="4"/>
  <c r="K748" i="4"/>
  <c r="K631" i="4"/>
  <c r="K688" i="4"/>
  <c r="K745" i="4"/>
  <c r="K729" i="4"/>
  <c r="K773" i="4"/>
  <c r="K815" i="4"/>
  <c r="K658" i="4"/>
  <c r="K685" i="4"/>
  <c r="K712" i="4"/>
  <c r="K792" i="4"/>
  <c r="K736" i="4"/>
  <c r="K775" i="4"/>
  <c r="K802" i="4"/>
  <c r="K903" i="4"/>
  <c r="K640" i="4"/>
  <c r="K646" i="4"/>
  <c r="K652" i="4"/>
  <c r="K660" i="4"/>
  <c r="K678" i="4"/>
  <c r="K696" i="4"/>
  <c r="K714" i="4"/>
  <c r="K759" i="4"/>
  <c r="K813" i="4"/>
  <c r="K725" i="4"/>
  <c r="K743" i="4"/>
  <c r="K827" i="4"/>
  <c r="K883" i="4"/>
  <c r="K963" i="4"/>
  <c r="K832" i="4"/>
  <c r="K835" i="4"/>
  <c r="K841" i="4"/>
  <c r="K847" i="4"/>
  <c r="K853" i="4"/>
  <c r="K859" i="4"/>
  <c r="K865" i="4"/>
  <c r="K871" i="4"/>
  <c r="K879" i="4"/>
  <c r="K895" i="4"/>
  <c r="K898" i="4"/>
  <c r="K970" i="4"/>
  <c r="K968" i="4"/>
  <c r="K909" i="4"/>
  <c r="K915" i="4"/>
  <c r="K921" i="4"/>
  <c r="K927" i="4"/>
  <c r="K933" i="4"/>
  <c r="K939" i="4"/>
  <c r="K945" i="4"/>
  <c r="K951" i="4"/>
  <c r="K976" i="4"/>
  <c r="K987" i="4"/>
  <c r="K993" i="4"/>
  <c r="K999" i="4"/>
  <c r="K1005" i="4"/>
  <c r="K1011" i="4"/>
  <c r="K1017" i="4"/>
  <c r="K25" i="4"/>
  <c r="K48" i="4"/>
  <c r="K102" i="4"/>
  <c r="K391" i="4"/>
  <c r="K49" i="4"/>
  <c r="K103" i="4"/>
  <c r="K261" i="4"/>
  <c r="K310" i="4"/>
  <c r="K29" i="4"/>
  <c r="K55" i="4"/>
  <c r="K82" i="4"/>
  <c r="K109" i="4"/>
  <c r="K136" i="4"/>
  <c r="K273" i="4"/>
  <c r="K157" i="4"/>
  <c r="K175" i="4"/>
  <c r="K193" i="4"/>
  <c r="K211" i="4"/>
  <c r="K229" i="4"/>
  <c r="K442" i="4"/>
  <c r="K33" i="4"/>
  <c r="K60" i="4"/>
  <c r="K87" i="4"/>
  <c r="K114" i="4"/>
  <c r="K141" i="4"/>
  <c r="K162" i="4"/>
  <c r="K180" i="4"/>
  <c r="K198" i="4"/>
  <c r="K216" i="4"/>
  <c r="K234" i="4"/>
  <c r="K267" i="4"/>
  <c r="K259" i="4"/>
  <c r="K286" i="4"/>
  <c r="K383" i="4"/>
  <c r="K300" i="4"/>
  <c r="K760" i="4"/>
  <c r="K53" i="4"/>
  <c r="K71" i="4"/>
  <c r="K89" i="4"/>
  <c r="K107" i="4"/>
  <c r="K125" i="4"/>
  <c r="K143" i="4"/>
  <c r="K161" i="4"/>
  <c r="K179" i="4"/>
  <c r="K197" i="4"/>
  <c r="K215" i="4"/>
  <c r="K233" i="4"/>
  <c r="K251" i="4"/>
  <c r="K269" i="4"/>
  <c r="K311" i="4"/>
  <c r="K460" i="4"/>
  <c r="K570" i="4"/>
  <c r="K624" i="4"/>
  <c r="K448" i="4"/>
  <c r="K297" i="4"/>
  <c r="K441" i="4"/>
  <c r="K516" i="4"/>
  <c r="K307" i="4"/>
  <c r="K385" i="4"/>
  <c r="K817" i="4"/>
  <c r="K440" i="4"/>
  <c r="K481" i="4"/>
  <c r="K523" i="4"/>
  <c r="K683" i="4"/>
  <c r="K388" i="4"/>
  <c r="K439" i="4"/>
  <c r="K580" i="4"/>
  <c r="K756" i="4"/>
  <c r="K282" i="4"/>
  <c r="K423" i="4"/>
  <c r="K463" i="4"/>
  <c r="K505" i="4"/>
  <c r="K797" i="4"/>
  <c r="K558" i="4"/>
  <c r="K585" i="4"/>
  <c r="K612" i="4"/>
  <c r="K778" i="4"/>
  <c r="K330" i="4"/>
  <c r="K336" i="4"/>
  <c r="K342" i="4"/>
  <c r="K348" i="4"/>
  <c r="K354" i="4"/>
  <c r="K360" i="4"/>
  <c r="K366" i="4"/>
  <c r="K372" i="4"/>
  <c r="K378" i="4"/>
  <c r="K396" i="4"/>
  <c r="K436" i="4"/>
  <c r="K674" i="4"/>
  <c r="K410" i="4"/>
  <c r="K437" i="4"/>
  <c r="K465" i="4"/>
  <c r="K492" i="4"/>
  <c r="K519" i="4"/>
  <c r="K546" i="4"/>
  <c r="K573" i="4"/>
  <c r="K600" i="4"/>
  <c r="K627" i="4"/>
  <c r="K716" i="4"/>
  <c r="K783" i="4"/>
  <c r="K458" i="4"/>
  <c r="K476" i="4"/>
  <c r="K494" i="4"/>
  <c r="K512" i="4"/>
  <c r="K530" i="4"/>
  <c r="K548" i="4"/>
  <c r="K566" i="4"/>
  <c r="K584" i="4"/>
  <c r="K602" i="4"/>
  <c r="K620" i="4"/>
  <c r="K755" i="4"/>
  <c r="K632" i="4"/>
  <c r="K692" i="4"/>
  <c r="K750" i="4"/>
  <c r="K730" i="4"/>
  <c r="K781" i="4"/>
  <c r="K821" i="4"/>
  <c r="K659" i="4"/>
  <c r="K686" i="4"/>
  <c r="K713" i="4"/>
  <c r="K807" i="4"/>
  <c r="K741" i="4"/>
  <c r="K776" i="4"/>
  <c r="K803" i="4"/>
  <c r="K907" i="4"/>
  <c r="K641" i="4"/>
  <c r="K647" i="4"/>
  <c r="K653" i="4"/>
  <c r="K663" i="4"/>
  <c r="K681" i="4"/>
  <c r="K699" i="4"/>
  <c r="K717" i="4"/>
  <c r="K768" i="4"/>
  <c r="K822" i="4"/>
  <c r="K728" i="4"/>
  <c r="K746" i="4"/>
  <c r="K828" i="4"/>
  <c r="K906" i="4"/>
  <c r="K977" i="4"/>
  <c r="K960" i="4"/>
  <c r="K836" i="4"/>
  <c r="K842" i="4"/>
  <c r="K848" i="4"/>
  <c r="K854" i="4"/>
  <c r="K860" i="4"/>
  <c r="K866" i="4"/>
  <c r="K872" i="4"/>
  <c r="K882" i="4"/>
  <c r="K900" i="4"/>
  <c r="K901" i="4"/>
  <c r="K974" i="4"/>
  <c r="K971" i="4"/>
  <c r="K910" i="4"/>
  <c r="K916" i="4"/>
  <c r="K922" i="4"/>
  <c r="K928" i="4"/>
  <c r="K934" i="4"/>
  <c r="K940" i="4"/>
  <c r="K946" i="4"/>
  <c r="K952" i="4"/>
  <c r="K979" i="4"/>
  <c r="K988" i="4"/>
  <c r="K994" i="4"/>
  <c r="K1000" i="4"/>
  <c r="K1006" i="4"/>
  <c r="K1012" i="4"/>
  <c r="K1018" i="4"/>
  <c r="E34" i="5"/>
  <c r="K28" i="4"/>
  <c r="K57" i="4"/>
  <c r="K111" i="4"/>
  <c r="K421" i="4"/>
  <c r="K58" i="4"/>
  <c r="K112" i="4"/>
  <c r="K401" i="4"/>
  <c r="K322" i="4"/>
  <c r="K32" i="4"/>
  <c r="K63" i="4"/>
  <c r="K90" i="4"/>
  <c r="K117" i="4"/>
  <c r="K144" i="4"/>
  <c r="K287" i="4"/>
  <c r="K160" i="4"/>
  <c r="K178" i="4"/>
  <c r="K196" i="4"/>
  <c r="K214" i="4"/>
  <c r="K232" i="4"/>
  <c r="K477" i="4"/>
  <c r="K36" i="4"/>
  <c r="K61" i="4"/>
  <c r="K88" i="4"/>
  <c r="K115" i="4"/>
  <c r="K142" i="4"/>
  <c r="K165" i="4"/>
  <c r="K183" i="4"/>
  <c r="K201" i="4"/>
  <c r="K219" i="4"/>
  <c r="K237" i="4"/>
  <c r="K276" i="4"/>
  <c r="K262" i="4"/>
  <c r="K293" i="4"/>
  <c r="K426" i="4"/>
  <c r="K312" i="4"/>
  <c r="K38" i="4"/>
  <c r="K56" i="4"/>
  <c r="K74" i="4"/>
  <c r="K92" i="4"/>
  <c r="K110" i="4"/>
  <c r="K128" i="4"/>
  <c r="K146" i="4"/>
  <c r="K164" i="4"/>
  <c r="K182" i="4"/>
  <c r="K200" i="4"/>
  <c r="K218" i="4"/>
  <c r="K236" i="4"/>
  <c r="K254" i="4"/>
  <c r="K272" i="4"/>
  <c r="K319" i="4"/>
  <c r="K487" i="4"/>
  <c r="K579" i="4"/>
  <c r="K291" i="4"/>
  <c r="K634" i="4"/>
  <c r="K306" i="4"/>
  <c r="K449" i="4"/>
  <c r="K526" i="4"/>
  <c r="K308" i="4"/>
  <c r="K394" i="4"/>
  <c r="K405" i="4"/>
  <c r="K444" i="4"/>
  <c r="K486" i="4"/>
  <c r="K525" i="4"/>
  <c r="K691" i="4"/>
  <c r="K389" i="4"/>
  <c r="K451" i="4"/>
  <c r="K589" i="4"/>
  <c r="K277" i="4"/>
  <c r="K283" i="4"/>
  <c r="K431" i="4"/>
  <c r="K468" i="4"/>
  <c r="K507" i="4"/>
  <c r="K805" i="4"/>
  <c r="K559" i="4"/>
  <c r="K586" i="4"/>
  <c r="K613" i="4"/>
  <c r="K782" i="4"/>
  <c r="K331" i="4"/>
  <c r="K337" i="4"/>
  <c r="K343" i="4"/>
  <c r="K349" i="4"/>
  <c r="K355" i="4"/>
  <c r="K361" i="4"/>
  <c r="K367" i="4"/>
  <c r="K373" i="4"/>
  <c r="K381" i="4"/>
  <c r="K399" i="4"/>
  <c r="K445" i="4"/>
  <c r="K682" i="4"/>
  <c r="K411" i="4"/>
  <c r="K438" i="4"/>
  <c r="K466" i="4"/>
  <c r="K493" i="4"/>
  <c r="K520" i="4"/>
  <c r="K547" i="4"/>
  <c r="K574" i="4"/>
  <c r="K601" i="4"/>
  <c r="K628" i="4"/>
  <c r="K720" i="4"/>
  <c r="K789" i="4"/>
  <c r="K461" i="4"/>
  <c r="K479" i="4"/>
  <c r="K497" i="4"/>
  <c r="K515" i="4"/>
  <c r="K533" i="4"/>
  <c r="K551" i="4"/>
  <c r="K569" i="4"/>
  <c r="K587" i="4"/>
  <c r="K605" i="4"/>
  <c r="K623" i="4"/>
  <c r="K763" i="4"/>
  <c r="K661" i="4"/>
  <c r="K700" i="4"/>
  <c r="K798" i="4"/>
  <c r="K742" i="4"/>
  <c r="K788" i="4"/>
  <c r="K877" i="4"/>
  <c r="K667" i="4"/>
  <c r="K694" i="4"/>
  <c r="K727" i="4"/>
  <c r="K831" i="4"/>
  <c r="K757" i="4"/>
  <c r="K784" i="4"/>
  <c r="K811" i="4"/>
  <c r="K636" i="4"/>
  <c r="K642" i="4"/>
  <c r="K648" i="4"/>
  <c r="K654" i="4"/>
  <c r="K666" i="4"/>
  <c r="K684" i="4"/>
  <c r="K702" i="4"/>
  <c r="K721" i="4"/>
  <c r="K777" i="4"/>
  <c r="K824" i="4"/>
  <c r="K731" i="4"/>
  <c r="K749" i="4"/>
  <c r="K878" i="4"/>
  <c r="K886" i="4"/>
  <c r="K820" i="4"/>
  <c r="K983" i="4"/>
  <c r="K837" i="4"/>
  <c r="K843" i="4"/>
  <c r="K849" i="4"/>
  <c r="K855" i="4"/>
  <c r="K861" i="4"/>
  <c r="K867" i="4"/>
  <c r="K873" i="4"/>
  <c r="K885" i="4"/>
  <c r="K954" i="4"/>
  <c r="K904" i="4"/>
  <c r="K978" i="4"/>
  <c r="K972" i="4"/>
  <c r="K911" i="4"/>
  <c r="K917" i="4"/>
  <c r="K923" i="4"/>
  <c r="K929" i="4"/>
  <c r="K935" i="4"/>
  <c r="K941" i="4"/>
  <c r="K947" i="4"/>
  <c r="K955" i="4"/>
  <c r="K982" i="4"/>
  <c r="K989" i="4"/>
  <c r="K995" i="4"/>
  <c r="K1001" i="4"/>
  <c r="K1007" i="4"/>
  <c r="K1013" i="4"/>
  <c r="K1019" i="4"/>
  <c r="B10" i="6"/>
  <c r="K31" i="4"/>
  <c r="K66" i="4"/>
  <c r="K120" i="4"/>
  <c r="K252" i="4"/>
  <c r="K67" i="4"/>
  <c r="K121" i="4"/>
  <c r="K309" i="4"/>
  <c r="K294" i="4"/>
  <c r="K35" i="4"/>
  <c r="K64" i="4"/>
  <c r="K91" i="4"/>
  <c r="K118" i="4"/>
  <c r="K145" i="4"/>
  <c r="K295" i="4"/>
  <c r="K163" i="4"/>
  <c r="K181" i="4"/>
  <c r="K199" i="4"/>
  <c r="K217" i="4"/>
  <c r="K235" i="4"/>
  <c r="K21" i="4"/>
  <c r="K42" i="4"/>
  <c r="K69" i="4"/>
  <c r="K96" i="4"/>
  <c r="K123" i="4"/>
  <c r="K150" i="4"/>
  <c r="K168" i="4"/>
  <c r="K186" i="4"/>
  <c r="K204" i="4"/>
  <c r="K222" i="4"/>
  <c r="K240" i="4"/>
  <c r="K247" i="4"/>
  <c r="K265" i="4"/>
  <c r="K301" i="4"/>
  <c r="K430" i="4"/>
  <c r="K386" i="4"/>
  <c r="K41" i="4"/>
  <c r="K59" i="4"/>
  <c r="K77" i="4"/>
  <c r="K95" i="4"/>
  <c r="K113" i="4"/>
  <c r="K131" i="4"/>
  <c r="K149" i="4"/>
  <c r="K167" i="4"/>
  <c r="K185" i="4"/>
  <c r="K203" i="4"/>
  <c r="K221" i="4"/>
  <c r="K239" i="4"/>
  <c r="K257" i="4"/>
  <c r="K275" i="4"/>
  <c r="K323" i="4"/>
  <c r="K514" i="4"/>
  <c r="K588" i="4"/>
  <c r="K303" i="4"/>
  <c r="K710" i="4"/>
  <c r="K315" i="4"/>
  <c r="K462" i="4"/>
  <c r="K289" i="4"/>
  <c r="K316" i="4"/>
  <c r="K406" i="4"/>
  <c r="K413" i="4"/>
  <c r="K454" i="4"/>
  <c r="K496" i="4"/>
  <c r="K535" i="4"/>
  <c r="K764" i="4"/>
  <c r="K397" i="4"/>
  <c r="K544" i="4"/>
  <c r="K598" i="4"/>
  <c r="K278" i="4"/>
  <c r="K284" i="4"/>
  <c r="K435" i="4"/>
  <c r="K478" i="4"/>
  <c r="K517" i="4"/>
  <c r="K540" i="4"/>
  <c r="K567" i="4"/>
  <c r="K594" i="4"/>
  <c r="K621" i="4"/>
  <c r="K790" i="4"/>
  <c r="K332" i="4"/>
  <c r="K338" i="4"/>
  <c r="K344" i="4"/>
  <c r="K350" i="4"/>
  <c r="K356" i="4"/>
  <c r="K362" i="4"/>
  <c r="K368" i="4"/>
  <c r="K374" i="4"/>
  <c r="K384" i="4"/>
  <c r="K402" i="4"/>
  <c r="K629" i="4"/>
  <c r="K718" i="4"/>
  <c r="K419" i="4"/>
  <c r="K446" i="4"/>
  <c r="K474" i="4"/>
  <c r="K501" i="4"/>
  <c r="K528" i="4"/>
  <c r="K555" i="4"/>
  <c r="K582" i="4"/>
  <c r="K609" i="4"/>
  <c r="K779" i="4"/>
  <c r="K733" i="4"/>
  <c r="K801" i="4"/>
  <c r="K464" i="4"/>
  <c r="K482" i="4"/>
  <c r="K500" i="4"/>
  <c r="K518" i="4"/>
  <c r="K536" i="4"/>
  <c r="K554" i="4"/>
  <c r="K572" i="4"/>
  <c r="K590" i="4"/>
  <c r="K608" i="4"/>
  <c r="K626" i="4"/>
  <c r="K806" i="4"/>
  <c r="K665" i="4"/>
  <c r="K707" i="4"/>
  <c r="K810" i="4"/>
  <c r="K754" i="4"/>
  <c r="K796" i="4"/>
  <c r="K888" i="4"/>
  <c r="K668" i="4"/>
  <c r="K695" i="4"/>
  <c r="K753" i="4"/>
  <c r="K881" i="4"/>
  <c r="K758" i="4"/>
  <c r="K785" i="4"/>
  <c r="K812" i="4"/>
  <c r="K637" i="4"/>
  <c r="K643" i="4"/>
  <c r="K649" i="4"/>
  <c r="K655" i="4"/>
  <c r="K669" i="4"/>
  <c r="K687" i="4"/>
  <c r="K705" i="4"/>
  <c r="K726" i="4"/>
  <c r="K786" i="4"/>
  <c r="K893" i="4"/>
  <c r="K734" i="4"/>
  <c r="K752" i="4"/>
  <c r="K953" i="4"/>
  <c r="K887" i="4"/>
  <c r="K823" i="4"/>
  <c r="K884" i="4"/>
  <c r="K838" i="4"/>
  <c r="K844" i="4"/>
  <c r="K850" i="4"/>
  <c r="K856" i="4"/>
  <c r="K862" i="4"/>
  <c r="K868" i="4"/>
  <c r="K874" i="4"/>
  <c r="K890" i="4"/>
  <c r="K962" i="4"/>
  <c r="K967" i="4"/>
  <c r="K956" i="4"/>
  <c r="K980" i="4"/>
  <c r="K912" i="4"/>
  <c r="K918" i="4"/>
  <c r="K924" i="4"/>
  <c r="K930" i="4"/>
  <c r="K936" i="4"/>
  <c r="K942" i="4"/>
  <c r="K948" i="4"/>
  <c r="K958" i="4"/>
  <c r="K984" i="4"/>
  <c r="K990" i="4"/>
  <c r="K996" i="4"/>
  <c r="K1002" i="4"/>
  <c r="K1008" i="4"/>
  <c r="K1014" i="4"/>
  <c r="E15" i="5" l="1"/>
  <c r="E12" i="5"/>
  <c r="E5" i="5"/>
  <c r="E6" i="5"/>
  <c r="C1020" i="4"/>
  <c r="B1020" i="4"/>
  <c r="A1020" i="4"/>
  <c r="H1020" i="4"/>
  <c r="I1020" i="4"/>
  <c r="F1020" i="4"/>
  <c r="D1020" i="4"/>
  <c r="G1020" i="4"/>
  <c r="J1020" i="4"/>
  <c r="E13" i="5"/>
  <c r="L1020" i="4"/>
  <c r="E1014" i="4"/>
  <c r="J1014" i="4"/>
  <c r="D1014" i="4"/>
  <c r="I1014" i="4"/>
  <c r="A1014" i="4"/>
  <c r="H1014" i="4"/>
  <c r="G1014" i="4"/>
  <c r="L1014" i="4"/>
  <c r="F1014" i="4"/>
  <c r="B1014" i="4"/>
  <c r="C1014" i="4"/>
  <c r="L812" i="4"/>
  <c r="F812" i="4"/>
  <c r="G812" i="4"/>
  <c r="A812" i="4"/>
  <c r="J812" i="4"/>
  <c r="B812" i="4"/>
  <c r="C812" i="4"/>
  <c r="I812" i="4"/>
  <c r="H812" i="4"/>
  <c r="E812" i="4"/>
  <c r="D812" i="4"/>
  <c r="H528" i="4"/>
  <c r="B528" i="4"/>
  <c r="G528" i="4"/>
  <c r="A528" i="4"/>
  <c r="J528" i="4"/>
  <c r="I528" i="4"/>
  <c r="F528" i="4"/>
  <c r="C528" i="4"/>
  <c r="L528" i="4"/>
  <c r="E528" i="4"/>
  <c r="D528" i="4"/>
  <c r="L764" i="4"/>
  <c r="F764" i="4"/>
  <c r="G764" i="4"/>
  <c r="A764" i="4"/>
  <c r="J764" i="4"/>
  <c r="B764" i="4"/>
  <c r="E764" i="4"/>
  <c r="D764" i="4"/>
  <c r="I764" i="4"/>
  <c r="H764" i="4"/>
  <c r="C764" i="4"/>
  <c r="H430" i="4"/>
  <c r="B430" i="4"/>
  <c r="G430" i="4"/>
  <c r="A430" i="4"/>
  <c r="F430" i="4"/>
  <c r="J430" i="4"/>
  <c r="I430" i="4"/>
  <c r="E430" i="4"/>
  <c r="D430" i="4"/>
  <c r="C430" i="4"/>
  <c r="L430" i="4"/>
  <c r="I64" i="4"/>
  <c r="C64" i="4"/>
  <c r="H64" i="4"/>
  <c r="B64" i="4"/>
  <c r="F64" i="4"/>
  <c r="E64" i="4"/>
  <c r="A64" i="4"/>
  <c r="L64" i="4"/>
  <c r="D64" i="4"/>
  <c r="J64" i="4"/>
  <c r="G64" i="4"/>
  <c r="E843" i="4"/>
  <c r="J843" i="4"/>
  <c r="C843" i="4"/>
  <c r="D843" i="4"/>
  <c r="L843" i="4"/>
  <c r="B843" i="4"/>
  <c r="F843" i="4"/>
  <c r="H843" i="4"/>
  <c r="I843" i="4"/>
  <c r="G843" i="4"/>
  <c r="A843" i="4"/>
  <c r="J661" i="4"/>
  <c r="D661" i="4"/>
  <c r="F661" i="4"/>
  <c r="L661" i="4"/>
  <c r="E661" i="4"/>
  <c r="H661" i="4"/>
  <c r="G661" i="4"/>
  <c r="I661" i="4"/>
  <c r="B661" i="4"/>
  <c r="A661" i="4"/>
  <c r="C661" i="4"/>
  <c r="H445" i="4"/>
  <c r="B445" i="4"/>
  <c r="G445" i="4"/>
  <c r="A445" i="4"/>
  <c r="F445" i="4"/>
  <c r="L445" i="4"/>
  <c r="C445" i="4"/>
  <c r="E445" i="4"/>
  <c r="D445" i="4"/>
  <c r="I445" i="4"/>
  <c r="J445" i="4"/>
  <c r="L308" i="4"/>
  <c r="F308" i="4"/>
  <c r="J308" i="4"/>
  <c r="C308" i="4"/>
  <c r="H308" i="4"/>
  <c r="A308" i="4"/>
  <c r="I308" i="4"/>
  <c r="B308" i="4"/>
  <c r="G308" i="4"/>
  <c r="E308" i="4"/>
  <c r="D308" i="4"/>
  <c r="I61" i="4"/>
  <c r="C61" i="4"/>
  <c r="H61" i="4"/>
  <c r="B61" i="4"/>
  <c r="F61" i="4"/>
  <c r="E61" i="4"/>
  <c r="J61" i="4"/>
  <c r="G61" i="4"/>
  <c r="L61" i="4"/>
  <c r="D61" i="4"/>
  <c r="A61" i="4"/>
  <c r="E1012" i="4"/>
  <c r="J1012" i="4"/>
  <c r="D1012" i="4"/>
  <c r="G1012" i="4"/>
  <c r="L1012" i="4"/>
  <c r="A1012" i="4"/>
  <c r="I1012" i="4"/>
  <c r="F1012" i="4"/>
  <c r="C1012" i="4"/>
  <c r="H1012" i="4"/>
  <c r="B1012" i="4"/>
  <c r="L803" i="4"/>
  <c r="F803" i="4"/>
  <c r="G803" i="4"/>
  <c r="A803" i="4"/>
  <c r="J803" i="4"/>
  <c r="B803" i="4"/>
  <c r="C803" i="4"/>
  <c r="I803" i="4"/>
  <c r="H803" i="4"/>
  <c r="E803" i="4"/>
  <c r="D803" i="4"/>
  <c r="H519" i="4"/>
  <c r="B519" i="4"/>
  <c r="G519" i="4"/>
  <c r="A519" i="4"/>
  <c r="J519" i="4"/>
  <c r="I519" i="4"/>
  <c r="F519" i="4"/>
  <c r="E519" i="4"/>
  <c r="D519" i="4"/>
  <c r="C519" i="4"/>
  <c r="L519" i="4"/>
  <c r="J683" i="4"/>
  <c r="D683" i="4"/>
  <c r="H683" i="4"/>
  <c r="A683" i="4"/>
  <c r="G683" i="4"/>
  <c r="C683" i="4"/>
  <c r="L683" i="4"/>
  <c r="B683" i="4"/>
  <c r="F683" i="4"/>
  <c r="E683" i="4"/>
  <c r="I683" i="4"/>
  <c r="I107" i="4"/>
  <c r="C107" i="4"/>
  <c r="H107" i="4"/>
  <c r="B107" i="4"/>
  <c r="L107" i="4"/>
  <c r="D107" i="4"/>
  <c r="A107" i="4"/>
  <c r="J107" i="4"/>
  <c r="G107" i="4"/>
  <c r="F107" i="4"/>
  <c r="E107" i="4"/>
  <c r="I55" i="4"/>
  <c r="C55" i="4"/>
  <c r="H55" i="4"/>
  <c r="B55" i="4"/>
  <c r="F55" i="4"/>
  <c r="E55" i="4"/>
  <c r="A55" i="4"/>
  <c r="L55" i="4"/>
  <c r="D55" i="4"/>
  <c r="J55" i="4"/>
  <c r="G55" i="4"/>
  <c r="G725" i="4"/>
  <c r="A725" i="4"/>
  <c r="D725" i="4"/>
  <c r="F725" i="4"/>
  <c r="E725" i="4"/>
  <c r="I725" i="4"/>
  <c r="H725" i="4"/>
  <c r="L725" i="4"/>
  <c r="J725" i="4"/>
  <c r="C725" i="4"/>
  <c r="B725" i="4"/>
  <c r="H513" i="4"/>
  <c r="B513" i="4"/>
  <c r="G513" i="4"/>
  <c r="A513" i="4"/>
  <c r="J513" i="4"/>
  <c r="I513" i="4"/>
  <c r="C513" i="4"/>
  <c r="L513" i="4"/>
  <c r="F513" i="4"/>
  <c r="E513" i="4"/>
  <c r="D513" i="4"/>
  <c r="E948" i="4"/>
  <c r="J948" i="4"/>
  <c r="D948" i="4"/>
  <c r="I948" i="4"/>
  <c r="A948" i="4"/>
  <c r="H948" i="4"/>
  <c r="L948" i="4"/>
  <c r="G948" i="4"/>
  <c r="F948" i="4"/>
  <c r="B948" i="4"/>
  <c r="C948" i="4"/>
  <c r="L785" i="4"/>
  <c r="F785" i="4"/>
  <c r="G785" i="4"/>
  <c r="A785" i="4"/>
  <c r="J785" i="4"/>
  <c r="B785" i="4"/>
  <c r="C785" i="4"/>
  <c r="I785" i="4"/>
  <c r="H785" i="4"/>
  <c r="E785" i="4"/>
  <c r="D785" i="4"/>
  <c r="H501" i="4"/>
  <c r="B501" i="4"/>
  <c r="G501" i="4"/>
  <c r="A501" i="4"/>
  <c r="J501" i="4"/>
  <c r="I501" i="4"/>
  <c r="F501" i="4"/>
  <c r="C501" i="4"/>
  <c r="L501" i="4"/>
  <c r="E501" i="4"/>
  <c r="D501" i="4"/>
  <c r="H535" i="4"/>
  <c r="B535" i="4"/>
  <c r="G535" i="4"/>
  <c r="A535" i="4"/>
  <c r="F535" i="4"/>
  <c r="E535" i="4"/>
  <c r="I535" i="4"/>
  <c r="D535" i="4"/>
  <c r="L535" i="4"/>
  <c r="J535" i="4"/>
  <c r="C535" i="4"/>
  <c r="I186" i="4"/>
  <c r="C186" i="4"/>
  <c r="H186" i="4"/>
  <c r="B186" i="4"/>
  <c r="J186" i="4"/>
  <c r="G186" i="4"/>
  <c r="F186" i="4"/>
  <c r="E186" i="4"/>
  <c r="D186" i="4"/>
  <c r="L186" i="4"/>
  <c r="A186" i="4"/>
  <c r="E1007" i="4"/>
  <c r="J1007" i="4"/>
  <c r="D1007" i="4"/>
  <c r="C1007" i="4"/>
  <c r="G1007" i="4"/>
  <c r="F1007" i="4"/>
  <c r="A1007" i="4"/>
  <c r="H1007" i="4"/>
  <c r="B1007" i="4"/>
  <c r="L1007" i="4"/>
  <c r="I1007" i="4"/>
  <c r="G731" i="4"/>
  <c r="A731" i="4"/>
  <c r="D731" i="4"/>
  <c r="L731" i="4"/>
  <c r="C731" i="4"/>
  <c r="J731" i="4"/>
  <c r="B731" i="4"/>
  <c r="F731" i="4"/>
  <c r="E731" i="4"/>
  <c r="I731" i="4"/>
  <c r="H731" i="4"/>
  <c r="H533" i="4"/>
  <c r="B533" i="4"/>
  <c r="G533" i="4"/>
  <c r="A533" i="4"/>
  <c r="L533" i="4"/>
  <c r="D533" i="4"/>
  <c r="C533" i="4"/>
  <c r="E533" i="4"/>
  <c r="J533" i="4"/>
  <c r="I533" i="4"/>
  <c r="F533" i="4"/>
  <c r="E283" i="4"/>
  <c r="I283" i="4"/>
  <c r="L283" i="4"/>
  <c r="C283" i="4"/>
  <c r="J283" i="4"/>
  <c r="B283" i="4"/>
  <c r="H283" i="4"/>
  <c r="G283" i="4"/>
  <c r="F283" i="4"/>
  <c r="D283" i="4"/>
  <c r="A283" i="4"/>
  <c r="I92" i="4"/>
  <c r="C92" i="4"/>
  <c r="H92" i="4"/>
  <c r="B92" i="4"/>
  <c r="L92" i="4"/>
  <c r="D92" i="4"/>
  <c r="A92" i="4"/>
  <c r="E92" i="4"/>
  <c r="J92" i="4"/>
  <c r="G92" i="4"/>
  <c r="F92" i="4"/>
  <c r="I111" i="4"/>
  <c r="C111" i="4"/>
  <c r="H111" i="4"/>
  <c r="B111" i="4"/>
  <c r="J111" i="4"/>
  <c r="G111" i="4"/>
  <c r="E111" i="4"/>
  <c r="D111" i="4"/>
  <c r="A111" i="4"/>
  <c r="F111" i="4"/>
  <c r="L111" i="4"/>
  <c r="G728" i="4"/>
  <c r="A728" i="4"/>
  <c r="D728" i="4"/>
  <c r="E728" i="4"/>
  <c r="L728" i="4"/>
  <c r="C728" i="4"/>
  <c r="J728" i="4"/>
  <c r="I728" i="4"/>
  <c r="B728" i="4"/>
  <c r="H728" i="4"/>
  <c r="F728" i="4"/>
  <c r="J716" i="4"/>
  <c r="D716" i="4"/>
  <c r="H716" i="4"/>
  <c r="A716" i="4"/>
  <c r="G716" i="4"/>
  <c r="F716" i="4"/>
  <c r="E716" i="4"/>
  <c r="L716" i="4"/>
  <c r="I716" i="4"/>
  <c r="C716" i="4"/>
  <c r="B716" i="4"/>
  <c r="E282" i="4"/>
  <c r="H282" i="4"/>
  <c r="A282" i="4"/>
  <c r="G282" i="4"/>
  <c r="L282" i="4"/>
  <c r="B282" i="4"/>
  <c r="J282" i="4"/>
  <c r="I282" i="4"/>
  <c r="F282" i="4"/>
  <c r="C282" i="4"/>
  <c r="D282" i="4"/>
  <c r="I89" i="4"/>
  <c r="C89" i="4"/>
  <c r="H89" i="4"/>
  <c r="B89" i="4"/>
  <c r="L89" i="4"/>
  <c r="D89" i="4"/>
  <c r="A89" i="4"/>
  <c r="J89" i="4"/>
  <c r="G89" i="4"/>
  <c r="F89" i="4"/>
  <c r="E89" i="4"/>
  <c r="I102" i="4"/>
  <c r="C102" i="4"/>
  <c r="H102" i="4"/>
  <c r="B102" i="4"/>
  <c r="J102" i="4"/>
  <c r="G102" i="4"/>
  <c r="E102" i="4"/>
  <c r="D102" i="4"/>
  <c r="A102" i="4"/>
  <c r="F102" i="4"/>
  <c r="L102" i="4"/>
  <c r="E865" i="4"/>
  <c r="F865" i="4"/>
  <c r="H865" i="4"/>
  <c r="G865" i="4"/>
  <c r="I865" i="4"/>
  <c r="A865" i="4"/>
  <c r="C865" i="4"/>
  <c r="B865" i="4"/>
  <c r="J865" i="4"/>
  <c r="D865" i="4"/>
  <c r="L865" i="4"/>
  <c r="H617" i="4"/>
  <c r="B617" i="4"/>
  <c r="G617" i="4"/>
  <c r="A617" i="4"/>
  <c r="L617" i="4"/>
  <c r="D617" i="4"/>
  <c r="C617" i="4"/>
  <c r="I617" i="4"/>
  <c r="F617" i="4"/>
  <c r="E617" i="4"/>
  <c r="J617" i="4"/>
  <c r="H550" i="4"/>
  <c r="B550" i="4"/>
  <c r="G550" i="4"/>
  <c r="A550" i="4"/>
  <c r="F550" i="4"/>
  <c r="E550" i="4"/>
  <c r="C550" i="4"/>
  <c r="L550" i="4"/>
  <c r="J550" i="4"/>
  <c r="I550" i="4"/>
  <c r="D550" i="4"/>
  <c r="I256" i="4"/>
  <c r="C256" i="4"/>
  <c r="H256" i="4"/>
  <c r="B256" i="4"/>
  <c r="F256" i="4"/>
  <c r="E256" i="4"/>
  <c r="L256" i="4"/>
  <c r="D256" i="4"/>
  <c r="A256" i="4"/>
  <c r="G256" i="4"/>
  <c r="J256" i="4"/>
  <c r="E932" i="4"/>
  <c r="J932" i="4"/>
  <c r="D932" i="4"/>
  <c r="C932" i="4"/>
  <c r="L932" i="4"/>
  <c r="B932" i="4"/>
  <c r="I932" i="4"/>
  <c r="G932" i="4"/>
  <c r="A932" i="4"/>
  <c r="H932" i="4"/>
  <c r="F932" i="4"/>
  <c r="J899" i="4"/>
  <c r="D899" i="4"/>
  <c r="I899" i="4"/>
  <c r="C899" i="4"/>
  <c r="G899" i="4"/>
  <c r="L899" i="4"/>
  <c r="A899" i="4"/>
  <c r="B899" i="4"/>
  <c r="H899" i="4"/>
  <c r="F899" i="4"/>
  <c r="E899" i="4"/>
  <c r="E645" i="4"/>
  <c r="J645" i="4"/>
  <c r="D645" i="4"/>
  <c r="C645" i="4"/>
  <c r="L645" i="4"/>
  <c r="B645" i="4"/>
  <c r="G645" i="4"/>
  <c r="F645" i="4"/>
  <c r="H645" i="4"/>
  <c r="A645" i="4"/>
  <c r="I645" i="4"/>
  <c r="J902" i="4"/>
  <c r="D902" i="4"/>
  <c r="I902" i="4"/>
  <c r="C902" i="4"/>
  <c r="G902" i="4"/>
  <c r="H902" i="4"/>
  <c r="E902" i="4"/>
  <c r="B902" i="4"/>
  <c r="L902" i="4"/>
  <c r="F902" i="4"/>
  <c r="A902" i="4"/>
  <c r="H488" i="4"/>
  <c r="B488" i="4"/>
  <c r="G488" i="4"/>
  <c r="A488" i="4"/>
  <c r="L488" i="4"/>
  <c r="D488" i="4"/>
  <c r="C488" i="4"/>
  <c r="E488" i="4"/>
  <c r="J488" i="4"/>
  <c r="I488" i="4"/>
  <c r="F488" i="4"/>
  <c r="H428" i="4"/>
  <c r="B428" i="4"/>
  <c r="G428" i="4"/>
  <c r="A428" i="4"/>
  <c r="L428" i="4"/>
  <c r="D428" i="4"/>
  <c r="J428" i="4"/>
  <c r="I428" i="4"/>
  <c r="F428" i="4"/>
  <c r="E428" i="4"/>
  <c r="C428" i="4"/>
  <c r="L334" i="4"/>
  <c r="F334" i="4"/>
  <c r="E334" i="4"/>
  <c r="J334" i="4"/>
  <c r="B334" i="4"/>
  <c r="H334" i="4"/>
  <c r="G334" i="4"/>
  <c r="D334" i="4"/>
  <c r="I334" i="4"/>
  <c r="C334" i="4"/>
  <c r="A334" i="4"/>
  <c r="H562" i="4"/>
  <c r="B562" i="4"/>
  <c r="G562" i="4"/>
  <c r="A562" i="4"/>
  <c r="F562" i="4"/>
  <c r="E562" i="4"/>
  <c r="I562" i="4"/>
  <c r="D562" i="4"/>
  <c r="C562" i="4"/>
  <c r="L562" i="4"/>
  <c r="J562" i="4"/>
  <c r="J697" i="4"/>
  <c r="D697" i="4"/>
  <c r="F697" i="4"/>
  <c r="L697" i="4"/>
  <c r="E697" i="4"/>
  <c r="H697" i="4"/>
  <c r="G697" i="4"/>
  <c r="A697" i="4"/>
  <c r="I697" i="4"/>
  <c r="C697" i="4"/>
  <c r="B697" i="4"/>
  <c r="I263" i="4"/>
  <c r="C263" i="4"/>
  <c r="H263" i="4"/>
  <c r="B263" i="4"/>
  <c r="L263" i="4"/>
  <c r="D263" i="4"/>
  <c r="A263" i="4"/>
  <c r="J263" i="4"/>
  <c r="G263" i="4"/>
  <c r="E263" i="4"/>
  <c r="F263" i="4"/>
  <c r="I155" i="4"/>
  <c r="C155" i="4"/>
  <c r="H155" i="4"/>
  <c r="B155" i="4"/>
  <c r="L155" i="4"/>
  <c r="D155" i="4"/>
  <c r="A155" i="4"/>
  <c r="J155" i="4"/>
  <c r="E155" i="4"/>
  <c r="F155" i="4"/>
  <c r="G155" i="4"/>
  <c r="I249" i="4"/>
  <c r="C249" i="4"/>
  <c r="H249" i="4"/>
  <c r="B249" i="4"/>
  <c r="J249" i="4"/>
  <c r="G249" i="4"/>
  <c r="F249" i="4"/>
  <c r="E249" i="4"/>
  <c r="D249" i="4"/>
  <c r="A249" i="4"/>
  <c r="L249" i="4"/>
  <c r="I132" i="4"/>
  <c r="C132" i="4"/>
  <c r="H132" i="4"/>
  <c r="B132" i="4"/>
  <c r="J132" i="4"/>
  <c r="G132" i="4"/>
  <c r="F132" i="4"/>
  <c r="E132" i="4"/>
  <c r="L132" i="4"/>
  <c r="D132" i="4"/>
  <c r="A132" i="4"/>
  <c r="I223" i="4"/>
  <c r="C223" i="4"/>
  <c r="H223" i="4"/>
  <c r="B223" i="4"/>
  <c r="F223" i="4"/>
  <c r="E223" i="4"/>
  <c r="L223" i="4"/>
  <c r="D223" i="4"/>
  <c r="J223" i="4"/>
  <c r="G223" i="4"/>
  <c r="A223" i="4"/>
  <c r="I139" i="4"/>
  <c r="C139" i="4"/>
  <c r="H139" i="4"/>
  <c r="B139" i="4"/>
  <c r="F139" i="4"/>
  <c r="E139" i="4"/>
  <c r="G139" i="4"/>
  <c r="D139" i="4"/>
  <c r="A139" i="4"/>
  <c r="L139" i="4"/>
  <c r="J139" i="4"/>
  <c r="E991" i="4"/>
  <c r="H991" i="4"/>
  <c r="A991" i="4"/>
  <c r="L991" i="4"/>
  <c r="C991" i="4"/>
  <c r="J991" i="4"/>
  <c r="B991" i="4"/>
  <c r="D991" i="4"/>
  <c r="G991" i="4"/>
  <c r="I991" i="4"/>
  <c r="F991" i="4"/>
  <c r="E931" i="4"/>
  <c r="J931" i="4"/>
  <c r="D931" i="4"/>
  <c r="G931" i="4"/>
  <c r="F931" i="4"/>
  <c r="L931" i="4"/>
  <c r="H931" i="4"/>
  <c r="A931" i="4"/>
  <c r="B931" i="4"/>
  <c r="I931" i="4"/>
  <c r="C931" i="4"/>
  <c r="J905" i="4"/>
  <c r="D905" i="4"/>
  <c r="L905" i="4"/>
  <c r="E905" i="4"/>
  <c r="C905" i="4"/>
  <c r="H905" i="4"/>
  <c r="F905" i="4"/>
  <c r="I905" i="4"/>
  <c r="A905" i="4"/>
  <c r="G905" i="4"/>
  <c r="B905" i="4"/>
  <c r="E857" i="4"/>
  <c r="H857" i="4"/>
  <c r="A857" i="4"/>
  <c r="I857" i="4"/>
  <c r="G857" i="4"/>
  <c r="J857" i="4"/>
  <c r="B857" i="4"/>
  <c r="L857" i="4"/>
  <c r="C857" i="4"/>
  <c r="F857" i="4"/>
  <c r="D857" i="4"/>
  <c r="J896" i="4"/>
  <c r="D896" i="4"/>
  <c r="I896" i="4"/>
  <c r="C896" i="4"/>
  <c r="G896" i="4"/>
  <c r="B896" i="4"/>
  <c r="A896" i="4"/>
  <c r="L896" i="4"/>
  <c r="H896" i="4"/>
  <c r="F896" i="4"/>
  <c r="E896" i="4"/>
  <c r="G739" i="4"/>
  <c r="A739" i="4"/>
  <c r="I739" i="4"/>
  <c r="B739" i="4"/>
  <c r="C739" i="4"/>
  <c r="J739" i="4"/>
  <c r="H739" i="4"/>
  <c r="F739" i="4"/>
  <c r="E739" i="4"/>
  <c r="D739" i="4"/>
  <c r="L739" i="4"/>
  <c r="E644" i="4"/>
  <c r="J644" i="4"/>
  <c r="D644" i="4"/>
  <c r="G644" i="4"/>
  <c r="F644" i="4"/>
  <c r="C644" i="4"/>
  <c r="B644" i="4"/>
  <c r="L644" i="4"/>
  <c r="I644" i="4"/>
  <c r="H644" i="4"/>
  <c r="A644" i="4"/>
  <c r="L765" i="4"/>
  <c r="F765" i="4"/>
  <c r="G765" i="4"/>
  <c r="A765" i="4"/>
  <c r="H765" i="4"/>
  <c r="D765" i="4"/>
  <c r="C765" i="4"/>
  <c r="J765" i="4"/>
  <c r="I765" i="4"/>
  <c r="E765" i="4"/>
  <c r="B765" i="4"/>
  <c r="L816" i="4"/>
  <c r="F816" i="4"/>
  <c r="G816" i="4"/>
  <c r="A816" i="4"/>
  <c r="H816" i="4"/>
  <c r="I816" i="4"/>
  <c r="E816" i="4"/>
  <c r="B816" i="4"/>
  <c r="J816" i="4"/>
  <c r="D816" i="4"/>
  <c r="C816" i="4"/>
  <c r="H593" i="4"/>
  <c r="B593" i="4"/>
  <c r="G593" i="4"/>
  <c r="A593" i="4"/>
  <c r="L593" i="4"/>
  <c r="D593" i="4"/>
  <c r="C593" i="4"/>
  <c r="J593" i="4"/>
  <c r="I593" i="4"/>
  <c r="F593" i="4"/>
  <c r="E593" i="4"/>
  <c r="H485" i="4"/>
  <c r="B485" i="4"/>
  <c r="G485" i="4"/>
  <c r="A485" i="4"/>
  <c r="L485" i="4"/>
  <c r="D485" i="4"/>
  <c r="C485" i="4"/>
  <c r="J485" i="4"/>
  <c r="I485" i="4"/>
  <c r="F485" i="4"/>
  <c r="E485" i="4"/>
  <c r="H583" i="4"/>
  <c r="B583" i="4"/>
  <c r="G583" i="4"/>
  <c r="A583" i="4"/>
  <c r="F583" i="4"/>
  <c r="E583" i="4"/>
  <c r="J583" i="4"/>
  <c r="I583" i="4"/>
  <c r="D583" i="4"/>
  <c r="C583" i="4"/>
  <c r="L583" i="4"/>
  <c r="H420" i="4"/>
  <c r="B420" i="4"/>
  <c r="G420" i="4"/>
  <c r="A420" i="4"/>
  <c r="J420" i="4"/>
  <c r="I420" i="4"/>
  <c r="L420" i="4"/>
  <c r="F420" i="4"/>
  <c r="E420" i="4"/>
  <c r="D420" i="4"/>
  <c r="C420" i="4"/>
  <c r="L369" i="4"/>
  <c r="F369" i="4"/>
  <c r="E369" i="4"/>
  <c r="D369" i="4"/>
  <c r="J369" i="4"/>
  <c r="B369" i="4"/>
  <c r="G369" i="4"/>
  <c r="C369" i="4"/>
  <c r="I369" i="4"/>
  <c r="H369" i="4"/>
  <c r="A369" i="4"/>
  <c r="L333" i="4"/>
  <c r="F333" i="4"/>
  <c r="E333" i="4"/>
  <c r="D333" i="4"/>
  <c r="J333" i="4"/>
  <c r="B333" i="4"/>
  <c r="G333" i="4"/>
  <c r="C333" i="4"/>
  <c r="H333" i="4"/>
  <c r="A333" i="4"/>
  <c r="I333" i="4"/>
  <c r="H522" i="4"/>
  <c r="B522" i="4"/>
  <c r="G522" i="4"/>
  <c r="A522" i="4"/>
  <c r="J522" i="4"/>
  <c r="I522" i="4"/>
  <c r="C522" i="4"/>
  <c r="L522" i="4"/>
  <c r="F522" i="4"/>
  <c r="E522" i="4"/>
  <c r="D522" i="4"/>
  <c r="H553" i="4"/>
  <c r="B553" i="4"/>
  <c r="G553" i="4"/>
  <c r="A553" i="4"/>
  <c r="F553" i="4"/>
  <c r="E553" i="4"/>
  <c r="I553" i="4"/>
  <c r="D553" i="4"/>
  <c r="C553" i="4"/>
  <c r="L553" i="4"/>
  <c r="J553" i="4"/>
  <c r="H417" i="4"/>
  <c r="B417" i="4"/>
  <c r="G417" i="4"/>
  <c r="A417" i="4"/>
  <c r="J417" i="4"/>
  <c r="D417" i="4"/>
  <c r="L417" i="4"/>
  <c r="C417" i="4"/>
  <c r="I417" i="4"/>
  <c r="F417" i="4"/>
  <c r="E417" i="4"/>
  <c r="J689" i="4"/>
  <c r="D689" i="4"/>
  <c r="H689" i="4"/>
  <c r="A689" i="4"/>
  <c r="G689" i="4"/>
  <c r="F689" i="4"/>
  <c r="E689" i="4"/>
  <c r="L689" i="4"/>
  <c r="I689" i="4"/>
  <c r="C689" i="4"/>
  <c r="B689" i="4"/>
  <c r="I260" i="4"/>
  <c r="C260" i="4"/>
  <c r="H260" i="4"/>
  <c r="B260" i="4"/>
  <c r="L260" i="4"/>
  <c r="D260" i="4"/>
  <c r="A260" i="4"/>
  <c r="J260" i="4"/>
  <c r="G260" i="4"/>
  <c r="F260" i="4"/>
  <c r="E260" i="4"/>
  <c r="I152" i="4"/>
  <c r="C152" i="4"/>
  <c r="H152" i="4"/>
  <c r="B152" i="4"/>
  <c r="L152" i="4"/>
  <c r="D152" i="4"/>
  <c r="A152" i="4"/>
  <c r="J152" i="4"/>
  <c r="E152" i="4"/>
  <c r="F152" i="4"/>
  <c r="G152" i="4"/>
  <c r="I44" i="4"/>
  <c r="C44" i="4"/>
  <c r="H44" i="4"/>
  <c r="B44" i="4"/>
  <c r="L44" i="4"/>
  <c r="D44" i="4"/>
  <c r="A44" i="4"/>
  <c r="J44" i="4"/>
  <c r="G44" i="4"/>
  <c r="F44" i="4"/>
  <c r="E44" i="4"/>
  <c r="I243" i="4"/>
  <c r="C243" i="4"/>
  <c r="H243" i="4"/>
  <c r="B243" i="4"/>
  <c r="J243" i="4"/>
  <c r="G243" i="4"/>
  <c r="F243" i="4"/>
  <c r="E243" i="4"/>
  <c r="D243" i="4"/>
  <c r="A243" i="4"/>
  <c r="L243" i="4"/>
  <c r="I124" i="4"/>
  <c r="C124" i="4"/>
  <c r="H124" i="4"/>
  <c r="B124" i="4"/>
  <c r="F124" i="4"/>
  <c r="E124" i="4"/>
  <c r="J124" i="4"/>
  <c r="G124" i="4"/>
  <c r="L124" i="4"/>
  <c r="D124" i="4"/>
  <c r="A124" i="4"/>
  <c r="I220" i="4"/>
  <c r="C220" i="4"/>
  <c r="H220" i="4"/>
  <c r="B220" i="4"/>
  <c r="F220" i="4"/>
  <c r="E220" i="4"/>
  <c r="L220" i="4"/>
  <c r="D220" i="4"/>
  <c r="J220" i="4"/>
  <c r="G220" i="4"/>
  <c r="A220" i="4"/>
  <c r="I126" i="4"/>
  <c r="C126" i="4"/>
  <c r="H126" i="4"/>
  <c r="B126" i="4"/>
  <c r="J126" i="4"/>
  <c r="G126" i="4"/>
  <c r="A126" i="4"/>
  <c r="L126" i="4"/>
  <c r="F126" i="4"/>
  <c r="E126" i="4"/>
  <c r="D126" i="4"/>
  <c r="I130" i="4"/>
  <c r="C130" i="4"/>
  <c r="H130" i="4"/>
  <c r="B130" i="4"/>
  <c r="F130" i="4"/>
  <c r="E130" i="4"/>
  <c r="G130" i="4"/>
  <c r="D130" i="4"/>
  <c r="A130" i="4"/>
  <c r="L130" i="4"/>
  <c r="J130" i="4"/>
  <c r="J890" i="4"/>
  <c r="D890" i="4"/>
  <c r="I890" i="4"/>
  <c r="C890" i="4"/>
  <c r="G890" i="4"/>
  <c r="H890" i="4"/>
  <c r="F890" i="4"/>
  <c r="E890" i="4"/>
  <c r="L890" i="4"/>
  <c r="A890" i="4"/>
  <c r="B890" i="4"/>
  <c r="J665" i="4"/>
  <c r="D665" i="4"/>
  <c r="H665" i="4"/>
  <c r="A665" i="4"/>
  <c r="G665" i="4"/>
  <c r="C665" i="4"/>
  <c r="L665" i="4"/>
  <c r="B665" i="4"/>
  <c r="I665" i="4"/>
  <c r="E665" i="4"/>
  <c r="F665" i="4"/>
  <c r="L356" i="4"/>
  <c r="F356" i="4"/>
  <c r="E356" i="4"/>
  <c r="H356" i="4"/>
  <c r="D356" i="4"/>
  <c r="A356" i="4"/>
  <c r="J356" i="4"/>
  <c r="I356" i="4"/>
  <c r="G356" i="4"/>
  <c r="C356" i="4"/>
  <c r="B356" i="4"/>
  <c r="L316" i="4"/>
  <c r="F316" i="4"/>
  <c r="H316" i="4"/>
  <c r="A316" i="4"/>
  <c r="E316" i="4"/>
  <c r="B316" i="4"/>
  <c r="J316" i="4"/>
  <c r="C316" i="4"/>
  <c r="I316" i="4"/>
  <c r="G316" i="4"/>
  <c r="D316" i="4"/>
  <c r="I204" i="4"/>
  <c r="C204" i="4"/>
  <c r="H204" i="4"/>
  <c r="B204" i="4"/>
  <c r="J204" i="4"/>
  <c r="G204" i="4"/>
  <c r="F204" i="4"/>
  <c r="E204" i="4"/>
  <c r="D204" i="4"/>
  <c r="A204" i="4"/>
  <c r="L204" i="4"/>
  <c r="I252" i="4"/>
  <c r="C252" i="4"/>
  <c r="H252" i="4"/>
  <c r="B252" i="4"/>
  <c r="J252" i="4"/>
  <c r="G252" i="4"/>
  <c r="F252" i="4"/>
  <c r="E252" i="4"/>
  <c r="A252" i="4"/>
  <c r="L252" i="4"/>
  <c r="D252" i="4"/>
  <c r="J885" i="4"/>
  <c r="D885" i="4"/>
  <c r="I885" i="4"/>
  <c r="C885" i="4"/>
  <c r="A885" i="4"/>
  <c r="H885" i="4"/>
  <c r="L885" i="4"/>
  <c r="G885" i="4"/>
  <c r="E885" i="4"/>
  <c r="B885" i="4"/>
  <c r="F885" i="4"/>
  <c r="J667" i="4"/>
  <c r="D667" i="4"/>
  <c r="F667" i="4"/>
  <c r="L667" i="4"/>
  <c r="E667" i="4"/>
  <c r="A667" i="4"/>
  <c r="I667" i="4"/>
  <c r="C667" i="4"/>
  <c r="B667" i="4"/>
  <c r="G667" i="4"/>
  <c r="H667" i="4"/>
  <c r="H520" i="4"/>
  <c r="B520" i="4"/>
  <c r="G520" i="4"/>
  <c r="A520" i="4"/>
  <c r="F520" i="4"/>
  <c r="E520" i="4"/>
  <c r="J520" i="4"/>
  <c r="L520" i="4"/>
  <c r="I520" i="4"/>
  <c r="D520" i="4"/>
  <c r="C520" i="4"/>
  <c r="H431" i="4"/>
  <c r="B431" i="4"/>
  <c r="G431" i="4"/>
  <c r="A431" i="4"/>
  <c r="L431" i="4"/>
  <c r="D431" i="4"/>
  <c r="I431" i="4"/>
  <c r="F431" i="4"/>
  <c r="J431" i="4"/>
  <c r="E431" i="4"/>
  <c r="C431" i="4"/>
  <c r="I218" i="4"/>
  <c r="C218" i="4"/>
  <c r="H218" i="4"/>
  <c r="B218" i="4"/>
  <c r="L218" i="4"/>
  <c r="D218" i="4"/>
  <c r="A218" i="4"/>
  <c r="J218" i="4"/>
  <c r="E218" i="4"/>
  <c r="G218" i="4"/>
  <c r="F218" i="4"/>
  <c r="I201" i="4"/>
  <c r="C201" i="4"/>
  <c r="H201" i="4"/>
  <c r="B201" i="4"/>
  <c r="J201" i="4"/>
  <c r="G201" i="4"/>
  <c r="F201" i="4"/>
  <c r="E201" i="4"/>
  <c r="D201" i="4"/>
  <c r="L201" i="4"/>
  <c r="A201" i="4"/>
  <c r="H421" i="4"/>
  <c r="B421" i="4"/>
  <c r="G421" i="4"/>
  <c r="A421" i="4"/>
  <c r="F421" i="4"/>
  <c r="J421" i="4"/>
  <c r="I421" i="4"/>
  <c r="C421" i="4"/>
  <c r="L421" i="4"/>
  <c r="D421" i="4"/>
  <c r="E421" i="4"/>
  <c r="E842" i="4"/>
  <c r="H842" i="4"/>
  <c r="A842" i="4"/>
  <c r="G842" i="4"/>
  <c r="F842" i="4"/>
  <c r="I842" i="4"/>
  <c r="C842" i="4"/>
  <c r="J842" i="4"/>
  <c r="D842" i="4"/>
  <c r="B842" i="4"/>
  <c r="L842" i="4"/>
  <c r="G746" i="4"/>
  <c r="A746" i="4"/>
  <c r="D746" i="4"/>
  <c r="E746" i="4"/>
  <c r="L746" i="4"/>
  <c r="C746" i="4"/>
  <c r="B746" i="4"/>
  <c r="J746" i="4"/>
  <c r="I746" i="4"/>
  <c r="H746" i="4"/>
  <c r="F746" i="4"/>
  <c r="J632" i="4"/>
  <c r="D632" i="4"/>
  <c r="H632" i="4"/>
  <c r="A632" i="4"/>
  <c r="G632" i="4"/>
  <c r="I632" i="4"/>
  <c r="L632" i="4"/>
  <c r="F632" i="4"/>
  <c r="E632" i="4"/>
  <c r="C632" i="4"/>
  <c r="B632" i="4"/>
  <c r="H436" i="4"/>
  <c r="B436" i="4"/>
  <c r="G436" i="4"/>
  <c r="A436" i="4"/>
  <c r="F436" i="4"/>
  <c r="L436" i="4"/>
  <c r="C436" i="4"/>
  <c r="J436" i="4"/>
  <c r="I436" i="4"/>
  <c r="E436" i="4"/>
  <c r="D436" i="4"/>
  <c r="H612" i="4"/>
  <c r="B612" i="4"/>
  <c r="G612" i="4"/>
  <c r="A612" i="4"/>
  <c r="J612" i="4"/>
  <c r="I612" i="4"/>
  <c r="C612" i="4"/>
  <c r="L612" i="4"/>
  <c r="F612" i="4"/>
  <c r="E612" i="4"/>
  <c r="D612" i="4"/>
  <c r="H570" i="4"/>
  <c r="B570" i="4"/>
  <c r="G570" i="4"/>
  <c r="A570" i="4"/>
  <c r="J570" i="4"/>
  <c r="I570" i="4"/>
  <c r="E570" i="4"/>
  <c r="D570" i="4"/>
  <c r="C570" i="4"/>
  <c r="L570" i="4"/>
  <c r="F570" i="4"/>
  <c r="I198" i="4"/>
  <c r="C198" i="4"/>
  <c r="H198" i="4"/>
  <c r="B198" i="4"/>
  <c r="J198" i="4"/>
  <c r="G198" i="4"/>
  <c r="F198" i="4"/>
  <c r="E198" i="4"/>
  <c r="D198" i="4"/>
  <c r="L198" i="4"/>
  <c r="A198" i="4"/>
  <c r="L391" i="4"/>
  <c r="F391" i="4"/>
  <c r="H391" i="4"/>
  <c r="A391" i="4"/>
  <c r="G391" i="4"/>
  <c r="J391" i="4"/>
  <c r="I391" i="4"/>
  <c r="E391" i="4"/>
  <c r="D391" i="4"/>
  <c r="C391" i="4"/>
  <c r="B391" i="4"/>
  <c r="E871" i="4"/>
  <c r="F871" i="4"/>
  <c r="D871" i="4"/>
  <c r="L871" i="4"/>
  <c r="C871" i="4"/>
  <c r="G871" i="4"/>
  <c r="A871" i="4"/>
  <c r="J871" i="4"/>
  <c r="I871" i="4"/>
  <c r="H871" i="4"/>
  <c r="B871" i="4"/>
  <c r="J660" i="4"/>
  <c r="D660" i="4"/>
  <c r="C660" i="4"/>
  <c r="I660" i="4"/>
  <c r="B660" i="4"/>
  <c r="H660" i="4"/>
  <c r="G660" i="4"/>
  <c r="F660" i="4"/>
  <c r="E660" i="4"/>
  <c r="L660" i="4"/>
  <c r="A660" i="4"/>
  <c r="H527" i="4"/>
  <c r="B527" i="4"/>
  <c r="G527" i="4"/>
  <c r="A527" i="4"/>
  <c r="L527" i="4"/>
  <c r="D527" i="4"/>
  <c r="C527" i="4"/>
  <c r="I527" i="4"/>
  <c r="F527" i="4"/>
  <c r="J527" i="4"/>
  <c r="E527" i="4"/>
  <c r="I194" i="4"/>
  <c r="C194" i="4"/>
  <c r="H194" i="4"/>
  <c r="B194" i="4"/>
  <c r="L194" i="4"/>
  <c r="D194" i="4"/>
  <c r="A194" i="4"/>
  <c r="J194" i="4"/>
  <c r="E194" i="4"/>
  <c r="F194" i="4"/>
  <c r="G194" i="4"/>
  <c r="E1008" i="4"/>
  <c r="J1008" i="4"/>
  <c r="D1008" i="4"/>
  <c r="I1008" i="4"/>
  <c r="A1008" i="4"/>
  <c r="F1008" i="4"/>
  <c r="C1008" i="4"/>
  <c r="G1008" i="4"/>
  <c r="B1008" i="4"/>
  <c r="H1008" i="4"/>
  <c r="L1008" i="4"/>
  <c r="E874" i="4"/>
  <c r="F874" i="4"/>
  <c r="L874" i="4"/>
  <c r="C874" i="4"/>
  <c r="J874" i="4"/>
  <c r="B874" i="4"/>
  <c r="D874" i="4"/>
  <c r="I874" i="4"/>
  <c r="H874" i="4"/>
  <c r="G874" i="4"/>
  <c r="A874" i="4"/>
  <c r="G734" i="4"/>
  <c r="A734" i="4"/>
  <c r="D734" i="4"/>
  <c r="J734" i="4"/>
  <c r="B734" i="4"/>
  <c r="I734" i="4"/>
  <c r="E734" i="4"/>
  <c r="C734" i="4"/>
  <c r="H734" i="4"/>
  <c r="F734" i="4"/>
  <c r="L734" i="4"/>
  <c r="L806" i="4"/>
  <c r="F806" i="4"/>
  <c r="G806" i="4"/>
  <c r="A806" i="4"/>
  <c r="J806" i="4"/>
  <c r="B806" i="4"/>
  <c r="I806" i="4"/>
  <c r="H806" i="4"/>
  <c r="E806" i="4"/>
  <c r="D806" i="4"/>
  <c r="C806" i="4"/>
  <c r="L402" i="4"/>
  <c r="F402" i="4"/>
  <c r="E402" i="4"/>
  <c r="D402" i="4"/>
  <c r="H402" i="4"/>
  <c r="G402" i="4"/>
  <c r="C402" i="4"/>
  <c r="B402" i="4"/>
  <c r="A402" i="4"/>
  <c r="J402" i="4"/>
  <c r="I402" i="4"/>
  <c r="E284" i="4"/>
  <c r="I284" i="4"/>
  <c r="C284" i="4"/>
  <c r="H284" i="4"/>
  <c r="G284" i="4"/>
  <c r="A284" i="4"/>
  <c r="L284" i="4"/>
  <c r="J284" i="4"/>
  <c r="F284" i="4"/>
  <c r="D284" i="4"/>
  <c r="B284" i="4"/>
  <c r="H514" i="4"/>
  <c r="B514" i="4"/>
  <c r="G514" i="4"/>
  <c r="A514" i="4"/>
  <c r="F514" i="4"/>
  <c r="E514" i="4"/>
  <c r="C514" i="4"/>
  <c r="L514" i="4"/>
  <c r="I514" i="4"/>
  <c r="D514" i="4"/>
  <c r="J514" i="4"/>
  <c r="L301" i="4"/>
  <c r="F301" i="4"/>
  <c r="H301" i="4"/>
  <c r="A301" i="4"/>
  <c r="E301" i="4"/>
  <c r="I301" i="4"/>
  <c r="G301" i="4"/>
  <c r="C301" i="4"/>
  <c r="B301" i="4"/>
  <c r="D301" i="4"/>
  <c r="J301" i="4"/>
  <c r="I163" i="4"/>
  <c r="C163" i="4"/>
  <c r="H163" i="4"/>
  <c r="B163" i="4"/>
  <c r="F163" i="4"/>
  <c r="E163" i="4"/>
  <c r="L163" i="4"/>
  <c r="D163" i="4"/>
  <c r="J163" i="4"/>
  <c r="G163" i="4"/>
  <c r="A163" i="4"/>
  <c r="E947" i="4"/>
  <c r="J947" i="4"/>
  <c r="D947" i="4"/>
  <c r="C947" i="4"/>
  <c r="L947" i="4"/>
  <c r="B947" i="4"/>
  <c r="H947" i="4"/>
  <c r="I947" i="4"/>
  <c r="A947" i="4"/>
  <c r="G947" i="4"/>
  <c r="F947" i="4"/>
  <c r="E837" i="4"/>
  <c r="J837" i="4"/>
  <c r="C837" i="4"/>
  <c r="G837" i="4"/>
  <c r="F837" i="4"/>
  <c r="H837" i="4"/>
  <c r="L837" i="4"/>
  <c r="D837" i="4"/>
  <c r="B837" i="4"/>
  <c r="I837" i="4"/>
  <c r="A837" i="4"/>
  <c r="J877" i="4"/>
  <c r="D877" i="4"/>
  <c r="I877" i="4"/>
  <c r="C877" i="4"/>
  <c r="G877" i="4"/>
  <c r="H877" i="4"/>
  <c r="B877" i="4"/>
  <c r="A877" i="4"/>
  <c r="E877" i="4"/>
  <c r="F877" i="4"/>
  <c r="L877" i="4"/>
  <c r="H493" i="4"/>
  <c r="B493" i="4"/>
  <c r="G493" i="4"/>
  <c r="A493" i="4"/>
  <c r="F493" i="4"/>
  <c r="E493" i="4"/>
  <c r="J493" i="4"/>
  <c r="L493" i="4"/>
  <c r="I493" i="4"/>
  <c r="D493" i="4"/>
  <c r="C493" i="4"/>
  <c r="L349" i="4"/>
  <c r="F349" i="4"/>
  <c r="E349" i="4"/>
  <c r="J349" i="4"/>
  <c r="B349" i="4"/>
  <c r="H349" i="4"/>
  <c r="C349" i="4"/>
  <c r="A349" i="4"/>
  <c r="I349" i="4"/>
  <c r="G349" i="4"/>
  <c r="D349" i="4"/>
  <c r="H525" i="4"/>
  <c r="B525" i="4"/>
  <c r="G525" i="4"/>
  <c r="A525" i="4"/>
  <c r="J525" i="4"/>
  <c r="I525" i="4"/>
  <c r="E525" i="4"/>
  <c r="D525" i="4"/>
  <c r="L525" i="4"/>
  <c r="F525" i="4"/>
  <c r="C525" i="4"/>
  <c r="I200" i="4"/>
  <c r="C200" i="4"/>
  <c r="H200" i="4"/>
  <c r="B200" i="4"/>
  <c r="L200" i="4"/>
  <c r="D200" i="4"/>
  <c r="A200" i="4"/>
  <c r="J200" i="4"/>
  <c r="E200" i="4"/>
  <c r="F200" i="4"/>
  <c r="G200" i="4"/>
  <c r="I183" i="4"/>
  <c r="C183" i="4"/>
  <c r="H183" i="4"/>
  <c r="B183" i="4"/>
  <c r="J183" i="4"/>
  <c r="G183" i="4"/>
  <c r="F183" i="4"/>
  <c r="E183" i="4"/>
  <c r="D183" i="4"/>
  <c r="L183" i="4"/>
  <c r="A183" i="4"/>
  <c r="J32" i="4"/>
  <c r="D32" i="4"/>
  <c r="I32" i="4"/>
  <c r="C32" i="4"/>
  <c r="E32" i="4"/>
  <c r="L32" i="4"/>
  <c r="B32" i="4"/>
  <c r="A32" i="4"/>
  <c r="H32" i="4"/>
  <c r="G32" i="4"/>
  <c r="F32" i="4"/>
  <c r="E910" i="4"/>
  <c r="J910" i="4"/>
  <c r="D910" i="4"/>
  <c r="G910" i="4"/>
  <c r="F910" i="4"/>
  <c r="H910" i="4"/>
  <c r="A910" i="4"/>
  <c r="I910" i="4"/>
  <c r="C910" i="4"/>
  <c r="L910" i="4"/>
  <c r="B910" i="4"/>
  <c r="E836" i="4"/>
  <c r="H836" i="4"/>
  <c r="A836" i="4"/>
  <c r="J836" i="4"/>
  <c r="B836" i="4"/>
  <c r="I836" i="4"/>
  <c r="L836" i="4"/>
  <c r="C836" i="4"/>
  <c r="F836" i="4"/>
  <c r="D836" i="4"/>
  <c r="G836" i="4"/>
  <c r="J821" i="4"/>
  <c r="D821" i="4"/>
  <c r="F821" i="4"/>
  <c r="G821" i="4"/>
  <c r="H821" i="4"/>
  <c r="I821" i="4"/>
  <c r="E821" i="4"/>
  <c r="L821" i="4"/>
  <c r="C821" i="4"/>
  <c r="B821" i="4"/>
  <c r="A821" i="4"/>
  <c r="H492" i="4"/>
  <c r="B492" i="4"/>
  <c r="G492" i="4"/>
  <c r="A492" i="4"/>
  <c r="J492" i="4"/>
  <c r="I492" i="4"/>
  <c r="F492" i="4"/>
  <c r="E492" i="4"/>
  <c r="D492" i="4"/>
  <c r="C492" i="4"/>
  <c r="L492" i="4"/>
  <c r="H516" i="4"/>
  <c r="B516" i="4"/>
  <c r="G516" i="4"/>
  <c r="A516" i="4"/>
  <c r="J516" i="4"/>
  <c r="I516" i="4"/>
  <c r="E516" i="4"/>
  <c r="D516" i="4"/>
  <c r="C516" i="4"/>
  <c r="L516" i="4"/>
  <c r="F516" i="4"/>
  <c r="L286" i="4"/>
  <c r="F286" i="4"/>
  <c r="H286" i="4"/>
  <c r="A286" i="4"/>
  <c r="E286" i="4"/>
  <c r="D286" i="4"/>
  <c r="C286" i="4"/>
  <c r="G286" i="4"/>
  <c r="B286" i="4"/>
  <c r="J286" i="4"/>
  <c r="I286" i="4"/>
  <c r="I157" i="4"/>
  <c r="C157" i="4"/>
  <c r="H157" i="4"/>
  <c r="B157" i="4"/>
  <c r="F157" i="4"/>
  <c r="E157" i="4"/>
  <c r="L157" i="4"/>
  <c r="D157" i="4"/>
  <c r="J157" i="4"/>
  <c r="G157" i="4"/>
  <c r="A157" i="4"/>
  <c r="E939" i="4"/>
  <c r="J939" i="4"/>
  <c r="D939" i="4"/>
  <c r="I939" i="4"/>
  <c r="A939" i="4"/>
  <c r="H939" i="4"/>
  <c r="L939" i="4"/>
  <c r="G939" i="4"/>
  <c r="B939" i="4"/>
  <c r="C939" i="4"/>
  <c r="F939" i="4"/>
  <c r="J832" i="4"/>
  <c r="D832" i="4"/>
  <c r="C832" i="4"/>
  <c r="I832" i="4"/>
  <c r="B832" i="4"/>
  <c r="L832" i="4"/>
  <c r="E832" i="4"/>
  <c r="G832" i="4"/>
  <c r="H832" i="4"/>
  <c r="F832" i="4"/>
  <c r="A832" i="4"/>
  <c r="G736" i="4"/>
  <c r="A736" i="4"/>
  <c r="I736" i="4"/>
  <c r="B736" i="4"/>
  <c r="L736" i="4"/>
  <c r="D736" i="4"/>
  <c r="C736" i="4"/>
  <c r="F736" i="4"/>
  <c r="E736" i="4"/>
  <c r="J736" i="4"/>
  <c r="H736" i="4"/>
  <c r="H619" i="4"/>
  <c r="B619" i="4"/>
  <c r="G619" i="4"/>
  <c r="A619" i="4"/>
  <c r="F619" i="4"/>
  <c r="E619" i="4"/>
  <c r="J619" i="4"/>
  <c r="I619" i="4"/>
  <c r="D619" i="4"/>
  <c r="C619" i="4"/>
  <c r="L619" i="4"/>
  <c r="L341" i="4"/>
  <c r="F341" i="4"/>
  <c r="E341" i="4"/>
  <c r="H341" i="4"/>
  <c r="D341" i="4"/>
  <c r="C341" i="4"/>
  <c r="B341" i="4"/>
  <c r="J341" i="4"/>
  <c r="I341" i="4"/>
  <c r="G341" i="4"/>
  <c r="A341" i="4"/>
  <c r="H422" i="4"/>
  <c r="B422" i="4"/>
  <c r="G422" i="4"/>
  <c r="A422" i="4"/>
  <c r="L422" i="4"/>
  <c r="D422" i="4"/>
  <c r="I422" i="4"/>
  <c r="F422" i="4"/>
  <c r="E422" i="4"/>
  <c r="C422" i="4"/>
  <c r="J422" i="4"/>
  <c r="I244" i="4"/>
  <c r="C244" i="4"/>
  <c r="H244" i="4"/>
  <c r="B244" i="4"/>
  <c r="F244" i="4"/>
  <c r="E244" i="4"/>
  <c r="L244" i="4"/>
  <c r="D244" i="4"/>
  <c r="J244" i="4"/>
  <c r="G244" i="4"/>
  <c r="A244" i="4"/>
  <c r="E14" i="5"/>
  <c r="E986" i="4"/>
  <c r="J986" i="4"/>
  <c r="C986" i="4"/>
  <c r="L986" i="4"/>
  <c r="B986" i="4"/>
  <c r="I986" i="4"/>
  <c r="A986" i="4"/>
  <c r="H986" i="4"/>
  <c r="D986" i="4"/>
  <c r="F986" i="4"/>
  <c r="G986" i="4"/>
  <c r="E926" i="4"/>
  <c r="J926" i="4"/>
  <c r="D926" i="4"/>
  <c r="C926" i="4"/>
  <c r="L926" i="4"/>
  <c r="B926" i="4"/>
  <c r="F926" i="4"/>
  <c r="A926" i="4"/>
  <c r="I926" i="4"/>
  <c r="H926" i="4"/>
  <c r="G926" i="4"/>
  <c r="L975" i="4"/>
  <c r="F975" i="4"/>
  <c r="I975" i="4"/>
  <c r="B975" i="4"/>
  <c r="H975" i="4"/>
  <c r="A975" i="4"/>
  <c r="J975" i="4"/>
  <c r="G975" i="4"/>
  <c r="C975" i="4"/>
  <c r="D975" i="4"/>
  <c r="E975" i="4"/>
  <c r="E852" i="4"/>
  <c r="J852" i="4"/>
  <c r="C852" i="4"/>
  <c r="H852" i="4"/>
  <c r="G852" i="4"/>
  <c r="I852" i="4"/>
  <c r="A852" i="4"/>
  <c r="D852" i="4"/>
  <c r="L852" i="4"/>
  <c r="F852" i="4"/>
  <c r="B852" i="4"/>
  <c r="G966" i="4"/>
  <c r="A966" i="4"/>
  <c r="L966" i="4"/>
  <c r="F966" i="4"/>
  <c r="J966" i="4"/>
  <c r="B966" i="4"/>
  <c r="I966" i="4"/>
  <c r="H966" i="4"/>
  <c r="E966" i="4"/>
  <c r="C966" i="4"/>
  <c r="D966" i="4"/>
  <c r="J711" i="4"/>
  <c r="D711" i="4"/>
  <c r="C711" i="4"/>
  <c r="I711" i="4"/>
  <c r="B711" i="4"/>
  <c r="A711" i="4"/>
  <c r="L711" i="4"/>
  <c r="H711" i="4"/>
  <c r="G711" i="4"/>
  <c r="F711" i="4"/>
  <c r="E711" i="4"/>
  <c r="E639" i="4"/>
  <c r="J639" i="4"/>
  <c r="D639" i="4"/>
  <c r="C639" i="4"/>
  <c r="L639" i="4"/>
  <c r="B639" i="4"/>
  <c r="I639" i="4"/>
  <c r="H639" i="4"/>
  <c r="G639" i="4"/>
  <c r="F639" i="4"/>
  <c r="A639" i="4"/>
  <c r="J704" i="4"/>
  <c r="D704" i="4"/>
  <c r="H704" i="4"/>
  <c r="A704" i="4"/>
  <c r="G704" i="4"/>
  <c r="I704" i="4"/>
  <c r="L704" i="4"/>
  <c r="B704" i="4"/>
  <c r="F704" i="4"/>
  <c r="E704" i="4"/>
  <c r="C704" i="4"/>
  <c r="G732" i="4"/>
  <c r="A732" i="4"/>
  <c r="F732" i="4"/>
  <c r="I732" i="4"/>
  <c r="H732" i="4"/>
  <c r="C732" i="4"/>
  <c r="L732" i="4"/>
  <c r="B732" i="4"/>
  <c r="J732" i="4"/>
  <c r="E732" i="4"/>
  <c r="D732" i="4"/>
  <c r="H578" i="4"/>
  <c r="B578" i="4"/>
  <c r="G578" i="4"/>
  <c r="A578" i="4"/>
  <c r="L578" i="4"/>
  <c r="D578" i="4"/>
  <c r="C578" i="4"/>
  <c r="E578" i="4"/>
  <c r="J578" i="4"/>
  <c r="I578" i="4"/>
  <c r="F578" i="4"/>
  <c r="H470" i="4"/>
  <c r="B470" i="4"/>
  <c r="G470" i="4"/>
  <c r="A470" i="4"/>
  <c r="L470" i="4"/>
  <c r="D470" i="4"/>
  <c r="C470" i="4"/>
  <c r="E470" i="4"/>
  <c r="I470" i="4"/>
  <c r="F470" i="4"/>
  <c r="J470" i="4"/>
  <c r="H564" i="4"/>
  <c r="B564" i="4"/>
  <c r="G564" i="4"/>
  <c r="A564" i="4"/>
  <c r="J564" i="4"/>
  <c r="I564" i="4"/>
  <c r="F564" i="4"/>
  <c r="E564" i="4"/>
  <c r="L564" i="4"/>
  <c r="D564" i="4"/>
  <c r="C564" i="4"/>
  <c r="L774" i="4"/>
  <c r="F774" i="4"/>
  <c r="G774" i="4"/>
  <c r="A774" i="4"/>
  <c r="H774" i="4"/>
  <c r="D774" i="4"/>
  <c r="C774" i="4"/>
  <c r="B774" i="4"/>
  <c r="I774" i="4"/>
  <c r="E774" i="4"/>
  <c r="J774" i="4"/>
  <c r="L364" i="4"/>
  <c r="F364" i="4"/>
  <c r="E364" i="4"/>
  <c r="J364" i="4"/>
  <c r="B364" i="4"/>
  <c r="H364" i="4"/>
  <c r="I364" i="4"/>
  <c r="A364" i="4"/>
  <c r="G364" i="4"/>
  <c r="D364" i="4"/>
  <c r="C364" i="4"/>
  <c r="L328" i="4"/>
  <c r="F328" i="4"/>
  <c r="E328" i="4"/>
  <c r="J328" i="4"/>
  <c r="B328" i="4"/>
  <c r="H328" i="4"/>
  <c r="I328" i="4"/>
  <c r="D328" i="4"/>
  <c r="C328" i="4"/>
  <c r="A328" i="4"/>
  <c r="G328" i="4"/>
  <c r="H490" i="4"/>
  <c r="B490" i="4"/>
  <c r="G490" i="4"/>
  <c r="A490" i="4"/>
  <c r="F490" i="4"/>
  <c r="E490" i="4"/>
  <c r="I490" i="4"/>
  <c r="D490" i="4"/>
  <c r="J490" i="4"/>
  <c r="C490" i="4"/>
  <c r="L490" i="4"/>
  <c r="H412" i="4"/>
  <c r="B412" i="4"/>
  <c r="G412" i="4"/>
  <c r="A412" i="4"/>
  <c r="F412" i="4"/>
  <c r="J412" i="4"/>
  <c r="I412" i="4"/>
  <c r="L412" i="4"/>
  <c r="E412" i="4"/>
  <c r="D412" i="4"/>
  <c r="C412" i="4"/>
  <c r="J698" i="4"/>
  <c r="D698" i="4"/>
  <c r="H698" i="4"/>
  <c r="A698" i="4"/>
  <c r="G698" i="4"/>
  <c r="F698" i="4"/>
  <c r="E698" i="4"/>
  <c r="C698" i="4"/>
  <c r="B698" i="4"/>
  <c r="L698" i="4"/>
  <c r="I698" i="4"/>
  <c r="L382" i="4"/>
  <c r="F382" i="4"/>
  <c r="H382" i="4"/>
  <c r="A382" i="4"/>
  <c r="G382" i="4"/>
  <c r="J382" i="4"/>
  <c r="I382" i="4"/>
  <c r="E382" i="4"/>
  <c r="D382" i="4"/>
  <c r="C382" i="4"/>
  <c r="B382" i="4"/>
  <c r="I245" i="4"/>
  <c r="C245" i="4"/>
  <c r="H245" i="4"/>
  <c r="B245" i="4"/>
  <c r="L245" i="4"/>
  <c r="D245" i="4"/>
  <c r="A245" i="4"/>
  <c r="J245" i="4"/>
  <c r="G245" i="4"/>
  <c r="E245" i="4"/>
  <c r="F245" i="4"/>
  <c r="I137" i="4"/>
  <c r="C137" i="4"/>
  <c r="H137" i="4"/>
  <c r="B137" i="4"/>
  <c r="L137" i="4"/>
  <c r="D137" i="4"/>
  <c r="A137" i="4"/>
  <c r="E137" i="4"/>
  <c r="J137" i="4"/>
  <c r="G137" i="4"/>
  <c r="F137" i="4"/>
  <c r="H415" i="4"/>
  <c r="B415" i="4"/>
  <c r="G415" i="4"/>
  <c r="A415" i="4"/>
  <c r="F415" i="4"/>
  <c r="E415" i="4"/>
  <c r="D415" i="4"/>
  <c r="J415" i="4"/>
  <c r="I415" i="4"/>
  <c r="C415" i="4"/>
  <c r="L415" i="4"/>
  <c r="I228" i="4"/>
  <c r="C228" i="4"/>
  <c r="H228" i="4"/>
  <c r="B228" i="4"/>
  <c r="J228" i="4"/>
  <c r="G228" i="4"/>
  <c r="F228" i="4"/>
  <c r="E228" i="4"/>
  <c r="D228" i="4"/>
  <c r="A228" i="4"/>
  <c r="L228" i="4"/>
  <c r="I105" i="4"/>
  <c r="C105" i="4"/>
  <c r="H105" i="4"/>
  <c r="B105" i="4"/>
  <c r="J105" i="4"/>
  <c r="G105" i="4"/>
  <c r="F105" i="4"/>
  <c r="E105" i="4"/>
  <c r="L105" i="4"/>
  <c r="D105" i="4"/>
  <c r="A105" i="4"/>
  <c r="I205" i="4"/>
  <c r="C205" i="4"/>
  <c r="H205" i="4"/>
  <c r="B205" i="4"/>
  <c r="F205" i="4"/>
  <c r="E205" i="4"/>
  <c r="L205" i="4"/>
  <c r="D205" i="4"/>
  <c r="J205" i="4"/>
  <c r="G205" i="4"/>
  <c r="A205" i="4"/>
  <c r="I100" i="4"/>
  <c r="C100" i="4"/>
  <c r="H100" i="4"/>
  <c r="B100" i="4"/>
  <c r="F100" i="4"/>
  <c r="E100" i="4"/>
  <c r="A100" i="4"/>
  <c r="L100" i="4"/>
  <c r="D100" i="4"/>
  <c r="J100" i="4"/>
  <c r="G100" i="4"/>
  <c r="I85" i="4"/>
  <c r="C85" i="4"/>
  <c r="H85" i="4"/>
  <c r="B85" i="4"/>
  <c r="F85" i="4"/>
  <c r="E85" i="4"/>
  <c r="G85" i="4"/>
  <c r="D85" i="4"/>
  <c r="A85" i="4"/>
  <c r="L85" i="4"/>
  <c r="J85" i="4"/>
  <c r="E985" i="4"/>
  <c r="H985" i="4"/>
  <c r="A985" i="4"/>
  <c r="F985" i="4"/>
  <c r="D985" i="4"/>
  <c r="J985" i="4"/>
  <c r="I985" i="4"/>
  <c r="L985" i="4"/>
  <c r="C985" i="4"/>
  <c r="G985" i="4"/>
  <c r="B985" i="4"/>
  <c r="E925" i="4"/>
  <c r="J925" i="4"/>
  <c r="D925" i="4"/>
  <c r="G925" i="4"/>
  <c r="F925" i="4"/>
  <c r="B925" i="4"/>
  <c r="L925" i="4"/>
  <c r="C925" i="4"/>
  <c r="A925" i="4"/>
  <c r="I925" i="4"/>
  <c r="H925" i="4"/>
  <c r="G964" i="4"/>
  <c r="A964" i="4"/>
  <c r="L964" i="4"/>
  <c r="F964" i="4"/>
  <c r="H964" i="4"/>
  <c r="E964" i="4"/>
  <c r="D964" i="4"/>
  <c r="C964" i="4"/>
  <c r="I964" i="4"/>
  <c r="J964" i="4"/>
  <c r="B964" i="4"/>
  <c r="E851" i="4"/>
  <c r="H851" i="4"/>
  <c r="A851" i="4"/>
  <c r="L851" i="4"/>
  <c r="C851" i="4"/>
  <c r="J851" i="4"/>
  <c r="B851" i="4"/>
  <c r="D851" i="4"/>
  <c r="F851" i="4"/>
  <c r="I851" i="4"/>
  <c r="G851" i="4"/>
  <c r="L959" i="4"/>
  <c r="F959" i="4"/>
  <c r="G959" i="4"/>
  <c r="E959" i="4"/>
  <c r="I959" i="4"/>
  <c r="H959" i="4"/>
  <c r="A959" i="4"/>
  <c r="J959" i="4"/>
  <c r="D959" i="4"/>
  <c r="C959" i="4"/>
  <c r="B959" i="4"/>
  <c r="J708" i="4"/>
  <c r="D708" i="4"/>
  <c r="C708" i="4"/>
  <c r="I708" i="4"/>
  <c r="B708" i="4"/>
  <c r="F708" i="4"/>
  <c r="E708" i="4"/>
  <c r="L708" i="4"/>
  <c r="H708" i="4"/>
  <c r="G708" i="4"/>
  <c r="A708" i="4"/>
  <c r="E638" i="4"/>
  <c r="J638" i="4"/>
  <c r="D638" i="4"/>
  <c r="G638" i="4"/>
  <c r="F638" i="4"/>
  <c r="I638" i="4"/>
  <c r="H638" i="4"/>
  <c r="L638" i="4"/>
  <c r="C638" i="4"/>
  <c r="B638" i="4"/>
  <c r="A638" i="4"/>
  <c r="J703" i="4"/>
  <c r="D703" i="4"/>
  <c r="F703" i="4"/>
  <c r="L703" i="4"/>
  <c r="E703" i="4"/>
  <c r="A703" i="4"/>
  <c r="I703" i="4"/>
  <c r="H703" i="4"/>
  <c r="G703" i="4"/>
  <c r="C703" i="4"/>
  <c r="B703" i="4"/>
  <c r="J715" i="4"/>
  <c r="D715" i="4"/>
  <c r="F715" i="4"/>
  <c r="L715" i="4"/>
  <c r="E715" i="4"/>
  <c r="H715" i="4"/>
  <c r="G715" i="4"/>
  <c r="I715" i="4"/>
  <c r="C715" i="4"/>
  <c r="B715" i="4"/>
  <c r="A715" i="4"/>
  <c r="H575" i="4"/>
  <c r="B575" i="4"/>
  <c r="G575" i="4"/>
  <c r="A575" i="4"/>
  <c r="L575" i="4"/>
  <c r="D575" i="4"/>
  <c r="C575" i="4"/>
  <c r="J575" i="4"/>
  <c r="I575" i="4"/>
  <c r="F575" i="4"/>
  <c r="E575" i="4"/>
  <c r="H467" i="4"/>
  <c r="B467" i="4"/>
  <c r="G467" i="4"/>
  <c r="A467" i="4"/>
  <c r="L467" i="4"/>
  <c r="D467" i="4"/>
  <c r="C467" i="4"/>
  <c r="J467" i="4"/>
  <c r="E467" i="4"/>
  <c r="I467" i="4"/>
  <c r="F467" i="4"/>
  <c r="H556" i="4"/>
  <c r="B556" i="4"/>
  <c r="G556" i="4"/>
  <c r="A556" i="4"/>
  <c r="F556" i="4"/>
  <c r="E556" i="4"/>
  <c r="J556" i="4"/>
  <c r="I556" i="4"/>
  <c r="D556" i="4"/>
  <c r="C556" i="4"/>
  <c r="L556" i="4"/>
  <c r="L762" i="4"/>
  <c r="F762" i="4"/>
  <c r="G762" i="4"/>
  <c r="A762" i="4"/>
  <c r="H762" i="4"/>
  <c r="I762" i="4"/>
  <c r="E762" i="4"/>
  <c r="B762" i="4"/>
  <c r="D762" i="4"/>
  <c r="C762" i="4"/>
  <c r="J762" i="4"/>
  <c r="L363" i="4"/>
  <c r="F363" i="4"/>
  <c r="E363" i="4"/>
  <c r="D363" i="4"/>
  <c r="J363" i="4"/>
  <c r="B363" i="4"/>
  <c r="I363" i="4"/>
  <c r="H363" i="4"/>
  <c r="G363" i="4"/>
  <c r="C363" i="4"/>
  <c r="A363" i="4"/>
  <c r="L327" i="4"/>
  <c r="F327" i="4"/>
  <c r="E327" i="4"/>
  <c r="J327" i="4"/>
  <c r="C327" i="4"/>
  <c r="I327" i="4"/>
  <c r="H327" i="4"/>
  <c r="A327" i="4"/>
  <c r="G327" i="4"/>
  <c r="D327" i="4"/>
  <c r="B327" i="4"/>
  <c r="H480" i="4"/>
  <c r="B480" i="4"/>
  <c r="G480" i="4"/>
  <c r="A480" i="4"/>
  <c r="J480" i="4"/>
  <c r="I480" i="4"/>
  <c r="E480" i="4"/>
  <c r="D480" i="4"/>
  <c r="F480" i="4"/>
  <c r="C480" i="4"/>
  <c r="L480" i="4"/>
  <c r="L398" i="4"/>
  <c r="F398" i="4"/>
  <c r="J398" i="4"/>
  <c r="C398" i="4"/>
  <c r="I398" i="4"/>
  <c r="B398" i="4"/>
  <c r="A398" i="4"/>
  <c r="H398" i="4"/>
  <c r="G398" i="4"/>
  <c r="E398" i="4"/>
  <c r="D398" i="4"/>
  <c r="H433" i="4"/>
  <c r="B433" i="4"/>
  <c r="G433" i="4"/>
  <c r="A433" i="4"/>
  <c r="F433" i="4"/>
  <c r="E433" i="4"/>
  <c r="D433" i="4"/>
  <c r="C433" i="4"/>
  <c r="L433" i="4"/>
  <c r="J433" i="4"/>
  <c r="I433" i="4"/>
  <c r="L318" i="4"/>
  <c r="F318" i="4"/>
  <c r="E318" i="4"/>
  <c r="J318" i="4"/>
  <c r="C318" i="4"/>
  <c r="I318" i="4"/>
  <c r="H318" i="4"/>
  <c r="G318" i="4"/>
  <c r="D318" i="4"/>
  <c r="B318" i="4"/>
  <c r="A318" i="4"/>
  <c r="I242" i="4"/>
  <c r="C242" i="4"/>
  <c r="H242" i="4"/>
  <c r="B242" i="4"/>
  <c r="L242" i="4"/>
  <c r="D242" i="4"/>
  <c r="A242" i="4"/>
  <c r="J242" i="4"/>
  <c r="E242" i="4"/>
  <c r="G242" i="4"/>
  <c r="F242" i="4"/>
  <c r="I134" i="4"/>
  <c r="C134" i="4"/>
  <c r="H134" i="4"/>
  <c r="B134" i="4"/>
  <c r="L134" i="4"/>
  <c r="D134" i="4"/>
  <c r="A134" i="4"/>
  <c r="J134" i="4"/>
  <c r="G134" i="4"/>
  <c r="F134" i="4"/>
  <c r="E134" i="4"/>
  <c r="L400" i="4"/>
  <c r="F400" i="4"/>
  <c r="H400" i="4"/>
  <c r="A400" i="4"/>
  <c r="G400" i="4"/>
  <c r="J400" i="4"/>
  <c r="I400" i="4"/>
  <c r="E400" i="4"/>
  <c r="D400" i="4"/>
  <c r="C400" i="4"/>
  <c r="B400" i="4"/>
  <c r="I225" i="4"/>
  <c r="C225" i="4"/>
  <c r="H225" i="4"/>
  <c r="B225" i="4"/>
  <c r="J225" i="4"/>
  <c r="G225" i="4"/>
  <c r="F225" i="4"/>
  <c r="E225" i="4"/>
  <c r="D225" i="4"/>
  <c r="A225" i="4"/>
  <c r="L225" i="4"/>
  <c r="I97" i="4"/>
  <c r="C97" i="4"/>
  <c r="H97" i="4"/>
  <c r="B97" i="4"/>
  <c r="F97" i="4"/>
  <c r="E97" i="4"/>
  <c r="J97" i="4"/>
  <c r="G97" i="4"/>
  <c r="L97" i="4"/>
  <c r="D97" i="4"/>
  <c r="A97" i="4"/>
  <c r="I202" i="4"/>
  <c r="C202" i="4"/>
  <c r="H202" i="4"/>
  <c r="B202" i="4"/>
  <c r="F202" i="4"/>
  <c r="E202" i="4"/>
  <c r="L202" i="4"/>
  <c r="D202" i="4"/>
  <c r="J202" i="4"/>
  <c r="G202" i="4"/>
  <c r="A202" i="4"/>
  <c r="I99" i="4"/>
  <c r="C99" i="4"/>
  <c r="H99" i="4"/>
  <c r="B99" i="4"/>
  <c r="J99" i="4"/>
  <c r="G99" i="4"/>
  <c r="A99" i="4"/>
  <c r="L99" i="4"/>
  <c r="F99" i="4"/>
  <c r="E99" i="4"/>
  <c r="D99" i="4"/>
  <c r="I76" i="4"/>
  <c r="C76" i="4"/>
  <c r="H76" i="4"/>
  <c r="B76" i="4"/>
  <c r="F76" i="4"/>
  <c r="E76" i="4"/>
  <c r="G76" i="4"/>
  <c r="D76" i="4"/>
  <c r="A76" i="4"/>
  <c r="L76" i="4"/>
  <c r="J76" i="4"/>
  <c r="L958" i="4"/>
  <c r="F958" i="4"/>
  <c r="D958" i="4"/>
  <c r="J958" i="4"/>
  <c r="C958" i="4"/>
  <c r="I958" i="4"/>
  <c r="H958" i="4"/>
  <c r="B958" i="4"/>
  <c r="E958" i="4"/>
  <c r="A958" i="4"/>
  <c r="G958" i="4"/>
  <c r="J687" i="4"/>
  <c r="D687" i="4"/>
  <c r="C687" i="4"/>
  <c r="I687" i="4"/>
  <c r="B687" i="4"/>
  <c r="H687" i="4"/>
  <c r="G687" i="4"/>
  <c r="F687" i="4"/>
  <c r="E687" i="4"/>
  <c r="L687" i="4"/>
  <c r="A687" i="4"/>
  <c r="L801" i="4"/>
  <c r="F801" i="4"/>
  <c r="G801" i="4"/>
  <c r="A801" i="4"/>
  <c r="H801" i="4"/>
  <c r="D801" i="4"/>
  <c r="C801" i="4"/>
  <c r="B801" i="4"/>
  <c r="J801" i="4"/>
  <c r="I801" i="4"/>
  <c r="E801" i="4"/>
  <c r="H621" i="4"/>
  <c r="B621" i="4"/>
  <c r="G621" i="4"/>
  <c r="A621" i="4"/>
  <c r="J621" i="4"/>
  <c r="I621" i="4"/>
  <c r="C621" i="4"/>
  <c r="L621" i="4"/>
  <c r="F621" i="4"/>
  <c r="E621" i="4"/>
  <c r="D621" i="4"/>
  <c r="I221" i="4"/>
  <c r="C221" i="4"/>
  <c r="H221" i="4"/>
  <c r="B221" i="4"/>
  <c r="L221" i="4"/>
  <c r="D221" i="4"/>
  <c r="A221" i="4"/>
  <c r="J221" i="4"/>
  <c r="E221" i="4"/>
  <c r="G221" i="4"/>
  <c r="F221" i="4"/>
  <c r="I69" i="4"/>
  <c r="C69" i="4"/>
  <c r="H69" i="4"/>
  <c r="B69" i="4"/>
  <c r="J69" i="4"/>
  <c r="G69" i="4"/>
  <c r="F69" i="4"/>
  <c r="E69" i="4"/>
  <c r="L69" i="4"/>
  <c r="D69" i="4"/>
  <c r="A69" i="4"/>
  <c r="L955" i="4"/>
  <c r="F955" i="4"/>
  <c r="D955" i="4"/>
  <c r="J955" i="4"/>
  <c r="C955" i="4"/>
  <c r="B955" i="4"/>
  <c r="A955" i="4"/>
  <c r="H955" i="4"/>
  <c r="G955" i="4"/>
  <c r="E955" i="4"/>
  <c r="I955" i="4"/>
  <c r="G749" i="4"/>
  <c r="A749" i="4"/>
  <c r="D749" i="4"/>
  <c r="L749" i="4"/>
  <c r="C749" i="4"/>
  <c r="J749" i="4"/>
  <c r="B749" i="4"/>
  <c r="F749" i="4"/>
  <c r="E749" i="4"/>
  <c r="I749" i="4"/>
  <c r="H749" i="4"/>
  <c r="H551" i="4"/>
  <c r="B551" i="4"/>
  <c r="G551" i="4"/>
  <c r="A551" i="4"/>
  <c r="L551" i="4"/>
  <c r="D551" i="4"/>
  <c r="C551" i="4"/>
  <c r="E551" i="4"/>
  <c r="J551" i="4"/>
  <c r="I551" i="4"/>
  <c r="F551" i="4"/>
  <c r="H613" i="4"/>
  <c r="B613" i="4"/>
  <c r="G613" i="4"/>
  <c r="A613" i="4"/>
  <c r="F613" i="4"/>
  <c r="E613" i="4"/>
  <c r="C613" i="4"/>
  <c r="L613" i="4"/>
  <c r="J613" i="4"/>
  <c r="I613" i="4"/>
  <c r="D613" i="4"/>
  <c r="H579" i="4"/>
  <c r="B579" i="4"/>
  <c r="G579" i="4"/>
  <c r="A579" i="4"/>
  <c r="J579" i="4"/>
  <c r="I579" i="4"/>
  <c r="E579" i="4"/>
  <c r="D579" i="4"/>
  <c r="C579" i="4"/>
  <c r="L579" i="4"/>
  <c r="F579" i="4"/>
  <c r="I178" i="4"/>
  <c r="C178" i="4"/>
  <c r="H178" i="4"/>
  <c r="B178" i="4"/>
  <c r="F178" i="4"/>
  <c r="E178" i="4"/>
  <c r="L178" i="4"/>
  <c r="D178" i="4"/>
  <c r="J178" i="4"/>
  <c r="G178" i="4"/>
  <c r="A178" i="4"/>
  <c r="L952" i="4"/>
  <c r="E952" i="4"/>
  <c r="J952" i="4"/>
  <c r="D952" i="4"/>
  <c r="G952" i="4"/>
  <c r="F952" i="4"/>
  <c r="B952" i="4"/>
  <c r="A952" i="4"/>
  <c r="H952" i="4"/>
  <c r="I952" i="4"/>
  <c r="C952" i="4"/>
  <c r="J659" i="4"/>
  <c r="D659" i="4"/>
  <c r="H659" i="4"/>
  <c r="A659" i="4"/>
  <c r="G659" i="4"/>
  <c r="I659" i="4"/>
  <c r="C659" i="4"/>
  <c r="B659" i="4"/>
  <c r="E659" i="4"/>
  <c r="L659" i="4"/>
  <c r="F659" i="4"/>
  <c r="L307" i="4"/>
  <c r="F307" i="4"/>
  <c r="H307" i="4"/>
  <c r="A307" i="4"/>
  <c r="E307" i="4"/>
  <c r="B307" i="4"/>
  <c r="J307" i="4"/>
  <c r="I307" i="4"/>
  <c r="G307" i="4"/>
  <c r="D307" i="4"/>
  <c r="C307" i="4"/>
  <c r="L383" i="4"/>
  <c r="F383" i="4"/>
  <c r="J383" i="4"/>
  <c r="C383" i="4"/>
  <c r="I383" i="4"/>
  <c r="B383" i="4"/>
  <c r="H383" i="4"/>
  <c r="G383" i="4"/>
  <c r="E383" i="4"/>
  <c r="A383" i="4"/>
  <c r="D383" i="4"/>
  <c r="E1005" i="4"/>
  <c r="J1005" i="4"/>
  <c r="D1005" i="4"/>
  <c r="I1005" i="4"/>
  <c r="A1005" i="4"/>
  <c r="H1005" i="4"/>
  <c r="G1005" i="4"/>
  <c r="L1005" i="4"/>
  <c r="F1005" i="4"/>
  <c r="C1005" i="4"/>
  <c r="B1005" i="4"/>
  <c r="L775" i="4"/>
  <c r="F775" i="4"/>
  <c r="G775" i="4"/>
  <c r="A775" i="4"/>
  <c r="D775" i="4"/>
  <c r="C775" i="4"/>
  <c r="B775" i="4"/>
  <c r="H775" i="4"/>
  <c r="E775" i="4"/>
  <c r="J775" i="4"/>
  <c r="I775" i="4"/>
  <c r="H499" i="4"/>
  <c r="B499" i="4"/>
  <c r="G499" i="4"/>
  <c r="A499" i="4"/>
  <c r="F499" i="4"/>
  <c r="E499" i="4"/>
  <c r="I499" i="4"/>
  <c r="D499" i="4"/>
  <c r="C499" i="4"/>
  <c r="L499" i="4"/>
  <c r="J499" i="4"/>
  <c r="E912" i="4"/>
  <c r="J912" i="4"/>
  <c r="D912" i="4"/>
  <c r="I912" i="4"/>
  <c r="A912" i="4"/>
  <c r="H912" i="4"/>
  <c r="L912" i="4"/>
  <c r="G912" i="4"/>
  <c r="F912" i="4"/>
  <c r="B912" i="4"/>
  <c r="C912" i="4"/>
  <c r="J669" i="4"/>
  <c r="D669" i="4"/>
  <c r="C669" i="4"/>
  <c r="I669" i="4"/>
  <c r="B669" i="4"/>
  <c r="H669" i="4"/>
  <c r="G669" i="4"/>
  <c r="L669" i="4"/>
  <c r="E669" i="4"/>
  <c r="A669" i="4"/>
  <c r="F669" i="4"/>
  <c r="G733" i="4"/>
  <c r="A733" i="4"/>
  <c r="I733" i="4"/>
  <c r="B733" i="4"/>
  <c r="E733" i="4"/>
  <c r="L733" i="4"/>
  <c r="D733" i="4"/>
  <c r="C733" i="4"/>
  <c r="J733" i="4"/>
  <c r="H733" i="4"/>
  <c r="F733" i="4"/>
  <c r="L350" i="4"/>
  <c r="F350" i="4"/>
  <c r="E350" i="4"/>
  <c r="H350" i="4"/>
  <c r="D350" i="4"/>
  <c r="C350" i="4"/>
  <c r="B350" i="4"/>
  <c r="G350" i="4"/>
  <c r="A350" i="4"/>
  <c r="I350" i="4"/>
  <c r="J350" i="4"/>
  <c r="L289" i="4"/>
  <c r="F289" i="4"/>
  <c r="H289" i="4"/>
  <c r="A289" i="4"/>
  <c r="E289" i="4"/>
  <c r="B289" i="4"/>
  <c r="J289" i="4"/>
  <c r="C289" i="4"/>
  <c r="I289" i="4"/>
  <c r="D289" i="4"/>
  <c r="G289" i="4"/>
  <c r="I95" i="4"/>
  <c r="C95" i="4"/>
  <c r="H95" i="4"/>
  <c r="B95" i="4"/>
  <c r="L95" i="4"/>
  <c r="D95" i="4"/>
  <c r="A95" i="4"/>
  <c r="G95" i="4"/>
  <c r="F95" i="4"/>
  <c r="E95" i="4"/>
  <c r="J95" i="4"/>
  <c r="J35" i="4"/>
  <c r="D35" i="4"/>
  <c r="I35" i="4"/>
  <c r="C35" i="4"/>
  <c r="E35" i="4"/>
  <c r="L35" i="4"/>
  <c r="B35" i="4"/>
  <c r="A35" i="4"/>
  <c r="H35" i="4"/>
  <c r="G35" i="4"/>
  <c r="F35" i="4"/>
  <c r="E911" i="4"/>
  <c r="J911" i="4"/>
  <c r="D911" i="4"/>
  <c r="C911" i="4"/>
  <c r="L911" i="4"/>
  <c r="B911" i="4"/>
  <c r="H911" i="4"/>
  <c r="F911" i="4"/>
  <c r="G911" i="4"/>
  <c r="I911" i="4"/>
  <c r="A911" i="4"/>
  <c r="J666" i="4"/>
  <c r="D666" i="4"/>
  <c r="C666" i="4"/>
  <c r="I666" i="4"/>
  <c r="B666" i="4"/>
  <c r="A666" i="4"/>
  <c r="L666" i="4"/>
  <c r="H666" i="4"/>
  <c r="G666" i="4"/>
  <c r="F666" i="4"/>
  <c r="E666" i="4"/>
  <c r="G720" i="4"/>
  <c r="A720" i="4"/>
  <c r="F720" i="4"/>
  <c r="E720" i="4"/>
  <c r="L720" i="4"/>
  <c r="D720" i="4"/>
  <c r="C720" i="4"/>
  <c r="B720" i="4"/>
  <c r="J720" i="4"/>
  <c r="H720" i="4"/>
  <c r="I720" i="4"/>
  <c r="H586" i="4"/>
  <c r="B586" i="4"/>
  <c r="G586" i="4"/>
  <c r="A586" i="4"/>
  <c r="F586" i="4"/>
  <c r="E586" i="4"/>
  <c r="C586" i="4"/>
  <c r="L586" i="4"/>
  <c r="J586" i="4"/>
  <c r="I586" i="4"/>
  <c r="D586" i="4"/>
  <c r="H487" i="4"/>
  <c r="B487" i="4"/>
  <c r="G487" i="4"/>
  <c r="A487" i="4"/>
  <c r="F487" i="4"/>
  <c r="E487" i="4"/>
  <c r="C487" i="4"/>
  <c r="L487" i="4"/>
  <c r="I487" i="4"/>
  <c r="D487" i="4"/>
  <c r="J487" i="4"/>
  <c r="J36" i="4"/>
  <c r="D36" i="4"/>
  <c r="I36" i="4"/>
  <c r="C36" i="4"/>
  <c r="A36" i="4"/>
  <c r="H36" i="4"/>
  <c r="G36" i="4"/>
  <c r="B36" i="4"/>
  <c r="L36" i="4"/>
  <c r="F36" i="4"/>
  <c r="E36" i="4"/>
  <c r="E1006" i="4"/>
  <c r="J1006" i="4"/>
  <c r="D1006" i="4"/>
  <c r="G1006" i="4"/>
  <c r="H1006" i="4"/>
  <c r="F1006" i="4"/>
  <c r="L1006" i="4"/>
  <c r="C1006" i="4"/>
  <c r="A1006" i="4"/>
  <c r="I1006" i="4"/>
  <c r="B1006" i="4"/>
  <c r="J663" i="4"/>
  <c r="D663" i="4"/>
  <c r="C663" i="4"/>
  <c r="I663" i="4"/>
  <c r="B663" i="4"/>
  <c r="F663" i="4"/>
  <c r="E663" i="4"/>
  <c r="A663" i="4"/>
  <c r="G663" i="4"/>
  <c r="L663" i="4"/>
  <c r="H663" i="4"/>
  <c r="H530" i="4"/>
  <c r="B530" i="4"/>
  <c r="G530" i="4"/>
  <c r="A530" i="4"/>
  <c r="L530" i="4"/>
  <c r="D530" i="4"/>
  <c r="C530" i="4"/>
  <c r="J530" i="4"/>
  <c r="I530" i="4"/>
  <c r="F530" i="4"/>
  <c r="E530" i="4"/>
  <c r="H585" i="4"/>
  <c r="B585" i="4"/>
  <c r="G585" i="4"/>
  <c r="A585" i="4"/>
  <c r="J585" i="4"/>
  <c r="I585" i="4"/>
  <c r="C585" i="4"/>
  <c r="L585" i="4"/>
  <c r="F585" i="4"/>
  <c r="E585" i="4"/>
  <c r="D585" i="4"/>
  <c r="I197" i="4"/>
  <c r="C197" i="4"/>
  <c r="H197" i="4"/>
  <c r="B197" i="4"/>
  <c r="L197" i="4"/>
  <c r="D197" i="4"/>
  <c r="A197" i="4"/>
  <c r="J197" i="4"/>
  <c r="E197" i="4"/>
  <c r="F197" i="4"/>
  <c r="G197" i="4"/>
  <c r="J33" i="4"/>
  <c r="D33" i="4"/>
  <c r="I33" i="4"/>
  <c r="C33" i="4"/>
  <c r="A33" i="4"/>
  <c r="H33" i="4"/>
  <c r="G33" i="4"/>
  <c r="B33" i="4"/>
  <c r="L33" i="4"/>
  <c r="F33" i="4"/>
  <c r="E33" i="4"/>
  <c r="G968" i="4"/>
  <c r="A968" i="4"/>
  <c r="L968" i="4"/>
  <c r="F968" i="4"/>
  <c r="D968" i="4"/>
  <c r="C968" i="4"/>
  <c r="J968" i="4"/>
  <c r="I968" i="4"/>
  <c r="B968" i="4"/>
  <c r="E968" i="4"/>
  <c r="H968" i="4"/>
  <c r="E652" i="4"/>
  <c r="J652" i="4"/>
  <c r="D652" i="4"/>
  <c r="I652" i="4"/>
  <c r="A652" i="4"/>
  <c r="H652" i="4"/>
  <c r="C652" i="4"/>
  <c r="B652" i="4"/>
  <c r="F652" i="4"/>
  <c r="L652" i="4"/>
  <c r="G652" i="4"/>
  <c r="H509" i="4"/>
  <c r="B509" i="4"/>
  <c r="G509" i="4"/>
  <c r="A509" i="4"/>
  <c r="L509" i="4"/>
  <c r="D509" i="4"/>
  <c r="C509" i="4"/>
  <c r="I509" i="4"/>
  <c r="F509" i="4"/>
  <c r="E509" i="4"/>
  <c r="J509" i="4"/>
  <c r="L377" i="4"/>
  <c r="F377" i="4"/>
  <c r="E377" i="4"/>
  <c r="H377" i="4"/>
  <c r="G377" i="4"/>
  <c r="D377" i="4"/>
  <c r="C377" i="4"/>
  <c r="B377" i="4"/>
  <c r="I377" i="4"/>
  <c r="A377" i="4"/>
  <c r="J377" i="4"/>
  <c r="H471" i="4"/>
  <c r="B471" i="4"/>
  <c r="G471" i="4"/>
  <c r="A471" i="4"/>
  <c r="J471" i="4"/>
  <c r="I471" i="4"/>
  <c r="E471" i="4"/>
  <c r="D471" i="4"/>
  <c r="L471" i="4"/>
  <c r="F471" i="4"/>
  <c r="C471" i="4"/>
  <c r="L304" i="4"/>
  <c r="F304" i="4"/>
  <c r="H304" i="4"/>
  <c r="A304" i="4"/>
  <c r="E304" i="4"/>
  <c r="D304" i="4"/>
  <c r="C304" i="4"/>
  <c r="J304" i="4"/>
  <c r="I304" i="4"/>
  <c r="G304" i="4"/>
  <c r="B304" i="4"/>
  <c r="I68" i="4"/>
  <c r="C68" i="4"/>
  <c r="H68" i="4"/>
  <c r="B68" i="4"/>
  <c r="L68" i="4"/>
  <c r="D68" i="4"/>
  <c r="A68" i="4"/>
  <c r="G68" i="4"/>
  <c r="F68" i="4"/>
  <c r="E68" i="4"/>
  <c r="J68" i="4"/>
  <c r="I159" i="4"/>
  <c r="C159" i="4"/>
  <c r="H159" i="4"/>
  <c r="B159" i="4"/>
  <c r="J159" i="4"/>
  <c r="G159" i="4"/>
  <c r="F159" i="4"/>
  <c r="E159" i="4"/>
  <c r="D159" i="4"/>
  <c r="L159" i="4"/>
  <c r="A159" i="4"/>
  <c r="I264" i="4"/>
  <c r="C264" i="4"/>
  <c r="H264" i="4"/>
  <c r="B264" i="4"/>
  <c r="J264" i="4"/>
  <c r="G264" i="4"/>
  <c r="F264" i="4"/>
  <c r="E264" i="4"/>
  <c r="L264" i="4"/>
  <c r="D264" i="4"/>
  <c r="A264" i="4"/>
  <c r="I270" i="4"/>
  <c r="C270" i="4"/>
  <c r="H270" i="4"/>
  <c r="B270" i="4"/>
  <c r="J270" i="4"/>
  <c r="G270" i="4"/>
  <c r="F270" i="4"/>
  <c r="E270" i="4"/>
  <c r="A270" i="4"/>
  <c r="L270" i="4"/>
  <c r="D270" i="4"/>
  <c r="I39" i="4"/>
  <c r="C39" i="4"/>
  <c r="H39" i="4"/>
  <c r="B39" i="4"/>
  <c r="J39" i="4"/>
  <c r="G39" i="4"/>
  <c r="E39" i="4"/>
  <c r="D39" i="4"/>
  <c r="A39" i="4"/>
  <c r="F39" i="4"/>
  <c r="L39" i="4"/>
  <c r="E992" i="4"/>
  <c r="J992" i="4"/>
  <c r="C992" i="4"/>
  <c r="H992" i="4"/>
  <c r="G992" i="4"/>
  <c r="D992" i="4"/>
  <c r="B992" i="4"/>
  <c r="I992" i="4"/>
  <c r="F992" i="4"/>
  <c r="L992" i="4"/>
  <c r="A992" i="4"/>
  <c r="G969" i="4"/>
  <c r="A969" i="4"/>
  <c r="L969" i="4"/>
  <c r="F969" i="4"/>
  <c r="J969" i="4"/>
  <c r="B969" i="4"/>
  <c r="I969" i="4"/>
  <c r="E969" i="4"/>
  <c r="C969" i="4"/>
  <c r="D969" i="4"/>
  <c r="H969" i="4"/>
  <c r="E858" i="4"/>
  <c r="J858" i="4"/>
  <c r="C858" i="4"/>
  <c r="F858" i="4"/>
  <c r="D858" i="4"/>
  <c r="G858" i="4"/>
  <c r="A858" i="4"/>
  <c r="B858" i="4"/>
  <c r="L858" i="4"/>
  <c r="I858" i="4"/>
  <c r="H858" i="4"/>
  <c r="G744" i="4"/>
  <c r="A744" i="4"/>
  <c r="F744" i="4"/>
  <c r="C744" i="4"/>
  <c r="J744" i="4"/>
  <c r="B744" i="4"/>
  <c r="L744" i="4"/>
  <c r="E744" i="4"/>
  <c r="D744" i="4"/>
  <c r="I744" i="4"/>
  <c r="H744" i="4"/>
  <c r="L780" i="4"/>
  <c r="F780" i="4"/>
  <c r="G780" i="4"/>
  <c r="A780" i="4"/>
  <c r="H780" i="4"/>
  <c r="I780" i="4"/>
  <c r="E780" i="4"/>
  <c r="J780" i="4"/>
  <c r="D780" i="4"/>
  <c r="C780" i="4"/>
  <c r="B780" i="4"/>
  <c r="H596" i="4"/>
  <c r="B596" i="4"/>
  <c r="G596" i="4"/>
  <c r="A596" i="4"/>
  <c r="L596" i="4"/>
  <c r="D596" i="4"/>
  <c r="C596" i="4"/>
  <c r="E596" i="4"/>
  <c r="J596" i="4"/>
  <c r="I596" i="4"/>
  <c r="F596" i="4"/>
  <c r="H591" i="4"/>
  <c r="B591" i="4"/>
  <c r="G591" i="4"/>
  <c r="A591" i="4"/>
  <c r="J591" i="4"/>
  <c r="I591" i="4"/>
  <c r="F591" i="4"/>
  <c r="E591" i="4"/>
  <c r="L591" i="4"/>
  <c r="D591" i="4"/>
  <c r="C591" i="4"/>
  <c r="L370" i="4"/>
  <c r="F370" i="4"/>
  <c r="E370" i="4"/>
  <c r="J370" i="4"/>
  <c r="B370" i="4"/>
  <c r="H370" i="4"/>
  <c r="G370" i="4"/>
  <c r="D370" i="4"/>
  <c r="I370" i="4"/>
  <c r="C370" i="4"/>
  <c r="A370" i="4"/>
  <c r="H532" i="4"/>
  <c r="B532" i="4"/>
  <c r="G532" i="4"/>
  <c r="A532" i="4"/>
  <c r="F532" i="4"/>
  <c r="E532" i="4"/>
  <c r="C532" i="4"/>
  <c r="L532" i="4"/>
  <c r="J532" i="4"/>
  <c r="I532" i="4"/>
  <c r="D532" i="4"/>
  <c r="H425" i="4"/>
  <c r="B425" i="4"/>
  <c r="G425" i="4"/>
  <c r="A425" i="4"/>
  <c r="L425" i="4"/>
  <c r="D425" i="4"/>
  <c r="E425" i="4"/>
  <c r="C425" i="4"/>
  <c r="J425" i="4"/>
  <c r="I425" i="4"/>
  <c r="F425" i="4"/>
  <c r="I127" i="4"/>
  <c r="C127" i="4"/>
  <c r="H127" i="4"/>
  <c r="B127" i="4"/>
  <c r="F127" i="4"/>
  <c r="E127" i="4"/>
  <c r="A127" i="4"/>
  <c r="L127" i="4"/>
  <c r="D127" i="4"/>
  <c r="J127" i="4"/>
  <c r="G127" i="4"/>
  <c r="E1002" i="4"/>
  <c r="J1002" i="4"/>
  <c r="D1002" i="4"/>
  <c r="I1002" i="4"/>
  <c r="A1002" i="4"/>
  <c r="B1002" i="4"/>
  <c r="L1002" i="4"/>
  <c r="H1002" i="4"/>
  <c r="G1002" i="4"/>
  <c r="C1002" i="4"/>
  <c r="F1002" i="4"/>
  <c r="E942" i="4"/>
  <c r="J942" i="4"/>
  <c r="D942" i="4"/>
  <c r="I942" i="4"/>
  <c r="A942" i="4"/>
  <c r="H942" i="4"/>
  <c r="B942" i="4"/>
  <c r="F942" i="4"/>
  <c r="C942" i="4"/>
  <c r="L942" i="4"/>
  <c r="G942" i="4"/>
  <c r="L980" i="4"/>
  <c r="F980" i="4"/>
  <c r="G980" i="4"/>
  <c r="E980" i="4"/>
  <c r="C980" i="4"/>
  <c r="B980" i="4"/>
  <c r="H980" i="4"/>
  <c r="D980" i="4"/>
  <c r="I980" i="4"/>
  <c r="J980" i="4"/>
  <c r="A980" i="4"/>
  <c r="E868" i="4"/>
  <c r="F868" i="4"/>
  <c r="G868" i="4"/>
  <c r="D868" i="4"/>
  <c r="H868" i="4"/>
  <c r="B868" i="4"/>
  <c r="I868" i="4"/>
  <c r="C868" i="4"/>
  <c r="L868" i="4"/>
  <c r="J868" i="4"/>
  <c r="A868" i="4"/>
  <c r="J884" i="4"/>
  <c r="D884" i="4"/>
  <c r="I884" i="4"/>
  <c r="C884" i="4"/>
  <c r="E884" i="4"/>
  <c r="H884" i="4"/>
  <c r="G884" i="4"/>
  <c r="L884" i="4"/>
  <c r="F884" i="4"/>
  <c r="B884" i="4"/>
  <c r="A884" i="4"/>
  <c r="J893" i="4"/>
  <c r="D893" i="4"/>
  <c r="I893" i="4"/>
  <c r="C893" i="4"/>
  <c r="G893" i="4"/>
  <c r="F893" i="4"/>
  <c r="L893" i="4"/>
  <c r="B893" i="4"/>
  <c r="A893" i="4"/>
  <c r="E893" i="4"/>
  <c r="H893" i="4"/>
  <c r="E655" i="4"/>
  <c r="J655" i="4"/>
  <c r="D655" i="4"/>
  <c r="I655" i="4"/>
  <c r="A655" i="4"/>
  <c r="H655" i="4"/>
  <c r="G655" i="4"/>
  <c r="F655" i="4"/>
  <c r="L655" i="4"/>
  <c r="C655" i="4"/>
  <c r="B655" i="4"/>
  <c r="L758" i="4"/>
  <c r="F758" i="4"/>
  <c r="G758" i="4"/>
  <c r="A758" i="4"/>
  <c r="J758" i="4"/>
  <c r="B758" i="4"/>
  <c r="C758" i="4"/>
  <c r="E758" i="4"/>
  <c r="D758" i="4"/>
  <c r="I758" i="4"/>
  <c r="H758" i="4"/>
  <c r="L796" i="4"/>
  <c r="F796" i="4"/>
  <c r="G796" i="4"/>
  <c r="A796" i="4"/>
  <c r="D796" i="4"/>
  <c r="J796" i="4"/>
  <c r="I796" i="4"/>
  <c r="H796" i="4"/>
  <c r="E796" i="4"/>
  <c r="C796" i="4"/>
  <c r="B796" i="4"/>
  <c r="H626" i="4"/>
  <c r="B626" i="4"/>
  <c r="G626" i="4"/>
  <c r="A626" i="4"/>
  <c r="L626" i="4"/>
  <c r="D626" i="4"/>
  <c r="C626" i="4"/>
  <c r="I626" i="4"/>
  <c r="F626" i="4"/>
  <c r="E626" i="4"/>
  <c r="J626" i="4"/>
  <c r="H518" i="4"/>
  <c r="B518" i="4"/>
  <c r="G518" i="4"/>
  <c r="A518" i="4"/>
  <c r="L518" i="4"/>
  <c r="D518" i="4"/>
  <c r="C518" i="4"/>
  <c r="I518" i="4"/>
  <c r="F518" i="4"/>
  <c r="J518" i="4"/>
  <c r="E518" i="4"/>
  <c r="L779" i="4"/>
  <c r="F779" i="4"/>
  <c r="G779" i="4"/>
  <c r="A779" i="4"/>
  <c r="J779" i="4"/>
  <c r="B779" i="4"/>
  <c r="I779" i="4"/>
  <c r="H779" i="4"/>
  <c r="E779" i="4"/>
  <c r="D779" i="4"/>
  <c r="C779" i="4"/>
  <c r="H474" i="4"/>
  <c r="B474" i="4"/>
  <c r="G474" i="4"/>
  <c r="A474" i="4"/>
  <c r="J474" i="4"/>
  <c r="I474" i="4"/>
  <c r="F474" i="4"/>
  <c r="C474" i="4"/>
  <c r="L474" i="4"/>
  <c r="E474" i="4"/>
  <c r="D474" i="4"/>
  <c r="L384" i="4"/>
  <c r="F384" i="4"/>
  <c r="E384" i="4"/>
  <c r="D384" i="4"/>
  <c r="H384" i="4"/>
  <c r="G384" i="4"/>
  <c r="C384" i="4"/>
  <c r="B384" i="4"/>
  <c r="A384" i="4"/>
  <c r="J384" i="4"/>
  <c r="I384" i="4"/>
  <c r="L344" i="4"/>
  <c r="F344" i="4"/>
  <c r="E344" i="4"/>
  <c r="H344" i="4"/>
  <c r="D344" i="4"/>
  <c r="I344" i="4"/>
  <c r="G344" i="4"/>
  <c r="J344" i="4"/>
  <c r="C344" i="4"/>
  <c r="B344" i="4"/>
  <c r="A344" i="4"/>
  <c r="H567" i="4"/>
  <c r="B567" i="4"/>
  <c r="G567" i="4"/>
  <c r="A567" i="4"/>
  <c r="J567" i="4"/>
  <c r="I567" i="4"/>
  <c r="C567" i="4"/>
  <c r="L567" i="4"/>
  <c r="F567" i="4"/>
  <c r="E567" i="4"/>
  <c r="D567" i="4"/>
  <c r="E278" i="4"/>
  <c r="F278" i="4"/>
  <c r="L278" i="4"/>
  <c r="D278" i="4"/>
  <c r="G278" i="4"/>
  <c r="C278" i="4"/>
  <c r="B278" i="4"/>
  <c r="J278" i="4"/>
  <c r="A278" i="4"/>
  <c r="I278" i="4"/>
  <c r="H278" i="4"/>
  <c r="H496" i="4"/>
  <c r="B496" i="4"/>
  <c r="G496" i="4"/>
  <c r="A496" i="4"/>
  <c r="F496" i="4"/>
  <c r="E496" i="4"/>
  <c r="C496" i="4"/>
  <c r="L496" i="4"/>
  <c r="J496" i="4"/>
  <c r="I496" i="4"/>
  <c r="D496" i="4"/>
  <c r="H462" i="4"/>
  <c r="B462" i="4"/>
  <c r="G462" i="4"/>
  <c r="A462" i="4"/>
  <c r="J462" i="4"/>
  <c r="I462" i="4"/>
  <c r="E462" i="4"/>
  <c r="D462" i="4"/>
  <c r="C462" i="4"/>
  <c r="L462" i="4"/>
  <c r="F462" i="4"/>
  <c r="L323" i="4"/>
  <c r="F323" i="4"/>
  <c r="J323" i="4"/>
  <c r="C323" i="4"/>
  <c r="H323" i="4"/>
  <c r="A323" i="4"/>
  <c r="D323" i="4"/>
  <c r="B323" i="4"/>
  <c r="I323" i="4"/>
  <c r="G323" i="4"/>
  <c r="E323" i="4"/>
  <c r="I185" i="4"/>
  <c r="C185" i="4"/>
  <c r="H185" i="4"/>
  <c r="B185" i="4"/>
  <c r="L185" i="4"/>
  <c r="D185" i="4"/>
  <c r="A185" i="4"/>
  <c r="J185" i="4"/>
  <c r="E185" i="4"/>
  <c r="F185" i="4"/>
  <c r="G185" i="4"/>
  <c r="I77" i="4"/>
  <c r="C77" i="4"/>
  <c r="H77" i="4"/>
  <c r="B77" i="4"/>
  <c r="L77" i="4"/>
  <c r="D77" i="4"/>
  <c r="A77" i="4"/>
  <c r="G77" i="4"/>
  <c r="F77" i="4"/>
  <c r="E77" i="4"/>
  <c r="J77" i="4"/>
  <c r="I265" i="4"/>
  <c r="C265" i="4"/>
  <c r="H265" i="4"/>
  <c r="B265" i="4"/>
  <c r="F265" i="4"/>
  <c r="E265" i="4"/>
  <c r="L265" i="4"/>
  <c r="D265" i="4"/>
  <c r="A265" i="4"/>
  <c r="G265" i="4"/>
  <c r="J265" i="4"/>
  <c r="I168" i="4"/>
  <c r="C168" i="4"/>
  <c r="H168" i="4"/>
  <c r="B168" i="4"/>
  <c r="J168" i="4"/>
  <c r="G168" i="4"/>
  <c r="F168" i="4"/>
  <c r="E168" i="4"/>
  <c r="D168" i="4"/>
  <c r="L168" i="4"/>
  <c r="A168" i="4"/>
  <c r="J21" i="4"/>
  <c r="D21" i="4"/>
  <c r="I21" i="4"/>
  <c r="C21" i="4"/>
  <c r="A21" i="4"/>
  <c r="H21" i="4"/>
  <c r="G21" i="4"/>
  <c r="B21" i="4"/>
  <c r="L21" i="4"/>
  <c r="F21" i="4"/>
  <c r="E21" i="4"/>
  <c r="L295" i="4"/>
  <c r="F295" i="4"/>
  <c r="H295" i="4"/>
  <c r="A295" i="4"/>
  <c r="E295" i="4"/>
  <c r="D295" i="4"/>
  <c r="C295" i="4"/>
  <c r="J295" i="4"/>
  <c r="I295" i="4"/>
  <c r="G295" i="4"/>
  <c r="B295" i="4"/>
  <c r="L294" i="4"/>
  <c r="F294" i="4"/>
  <c r="E294" i="4"/>
  <c r="J294" i="4"/>
  <c r="C294" i="4"/>
  <c r="G294" i="4"/>
  <c r="D294" i="4"/>
  <c r="H294" i="4"/>
  <c r="B294" i="4"/>
  <c r="A294" i="4"/>
  <c r="I294" i="4"/>
  <c r="I66" i="4"/>
  <c r="C66" i="4"/>
  <c r="H66" i="4"/>
  <c r="B66" i="4"/>
  <c r="J66" i="4"/>
  <c r="G66" i="4"/>
  <c r="E66" i="4"/>
  <c r="D66" i="4"/>
  <c r="A66" i="4"/>
  <c r="F66" i="4"/>
  <c r="L66" i="4"/>
  <c r="E1001" i="4"/>
  <c r="J1001" i="4"/>
  <c r="D1001" i="4"/>
  <c r="C1001" i="4"/>
  <c r="B1001" i="4"/>
  <c r="L1001" i="4"/>
  <c r="A1001" i="4"/>
  <c r="H1001" i="4"/>
  <c r="G1001" i="4"/>
  <c r="F1001" i="4"/>
  <c r="I1001" i="4"/>
  <c r="E941" i="4"/>
  <c r="J941" i="4"/>
  <c r="D941" i="4"/>
  <c r="C941" i="4"/>
  <c r="L941" i="4"/>
  <c r="B941" i="4"/>
  <c r="A941" i="4"/>
  <c r="F941" i="4"/>
  <c r="G941" i="4"/>
  <c r="I941" i="4"/>
  <c r="H941" i="4"/>
  <c r="L972" i="4"/>
  <c r="F972" i="4"/>
  <c r="I972" i="4"/>
  <c r="B972" i="4"/>
  <c r="H972" i="4"/>
  <c r="A972" i="4"/>
  <c r="C972" i="4"/>
  <c r="E972" i="4"/>
  <c r="D972" i="4"/>
  <c r="J972" i="4"/>
  <c r="G972" i="4"/>
  <c r="E867" i="4"/>
  <c r="J867" i="4"/>
  <c r="C867" i="4"/>
  <c r="I867" i="4"/>
  <c r="A867" i="4"/>
  <c r="H867" i="4"/>
  <c r="L867" i="4"/>
  <c r="B867" i="4"/>
  <c r="F867" i="4"/>
  <c r="D867" i="4"/>
  <c r="G867" i="4"/>
  <c r="L983" i="4"/>
  <c r="F983" i="4"/>
  <c r="G983" i="4"/>
  <c r="E983" i="4"/>
  <c r="J983" i="4"/>
  <c r="A983" i="4"/>
  <c r="I983" i="4"/>
  <c r="C983" i="4"/>
  <c r="B983" i="4"/>
  <c r="D983" i="4"/>
  <c r="H983" i="4"/>
  <c r="J824" i="4"/>
  <c r="D824" i="4"/>
  <c r="F824" i="4"/>
  <c r="G824" i="4"/>
  <c r="C824" i="4"/>
  <c r="I824" i="4"/>
  <c r="L824" i="4"/>
  <c r="B824" i="4"/>
  <c r="A824" i="4"/>
  <c r="H824" i="4"/>
  <c r="E824" i="4"/>
  <c r="E654" i="4"/>
  <c r="J654" i="4"/>
  <c r="D654" i="4"/>
  <c r="C654" i="4"/>
  <c r="L654" i="4"/>
  <c r="B654" i="4"/>
  <c r="G654" i="4"/>
  <c r="F654" i="4"/>
  <c r="I654" i="4"/>
  <c r="H654" i="4"/>
  <c r="A654" i="4"/>
  <c r="L757" i="4"/>
  <c r="F757" i="4"/>
  <c r="G757" i="4"/>
  <c r="A757" i="4"/>
  <c r="D757" i="4"/>
  <c r="C757" i="4"/>
  <c r="B757" i="4"/>
  <c r="J757" i="4"/>
  <c r="I757" i="4"/>
  <c r="H757" i="4"/>
  <c r="E757" i="4"/>
  <c r="L788" i="4"/>
  <c r="F788" i="4"/>
  <c r="G788" i="4"/>
  <c r="A788" i="4"/>
  <c r="J788" i="4"/>
  <c r="B788" i="4"/>
  <c r="I788" i="4"/>
  <c r="H788" i="4"/>
  <c r="E788" i="4"/>
  <c r="D788" i="4"/>
  <c r="C788" i="4"/>
  <c r="H623" i="4"/>
  <c r="B623" i="4"/>
  <c r="G623" i="4"/>
  <c r="A623" i="4"/>
  <c r="L623" i="4"/>
  <c r="D623" i="4"/>
  <c r="C623" i="4"/>
  <c r="E623" i="4"/>
  <c r="J623" i="4"/>
  <c r="I623" i="4"/>
  <c r="F623" i="4"/>
  <c r="H515" i="4"/>
  <c r="B515" i="4"/>
  <c r="G515" i="4"/>
  <c r="A515" i="4"/>
  <c r="L515" i="4"/>
  <c r="D515" i="4"/>
  <c r="C515" i="4"/>
  <c r="E515" i="4"/>
  <c r="J515" i="4"/>
  <c r="I515" i="4"/>
  <c r="F515" i="4"/>
  <c r="H628" i="4"/>
  <c r="B628" i="4"/>
  <c r="G628" i="4"/>
  <c r="A628" i="4"/>
  <c r="F628" i="4"/>
  <c r="E628" i="4"/>
  <c r="J628" i="4"/>
  <c r="I628" i="4"/>
  <c r="D628" i="4"/>
  <c r="C628" i="4"/>
  <c r="L628" i="4"/>
  <c r="H466" i="4"/>
  <c r="B466" i="4"/>
  <c r="G466" i="4"/>
  <c r="A466" i="4"/>
  <c r="F466" i="4"/>
  <c r="E466" i="4"/>
  <c r="J466" i="4"/>
  <c r="L466" i="4"/>
  <c r="I466" i="4"/>
  <c r="D466" i="4"/>
  <c r="C466" i="4"/>
  <c r="L381" i="4"/>
  <c r="F381" i="4"/>
  <c r="E381" i="4"/>
  <c r="D381" i="4"/>
  <c r="J381" i="4"/>
  <c r="A381" i="4"/>
  <c r="I381" i="4"/>
  <c r="H381" i="4"/>
  <c r="G381" i="4"/>
  <c r="C381" i="4"/>
  <c r="B381" i="4"/>
  <c r="L343" i="4"/>
  <c r="F343" i="4"/>
  <c r="E343" i="4"/>
  <c r="J343" i="4"/>
  <c r="B343" i="4"/>
  <c r="H343" i="4"/>
  <c r="G343" i="4"/>
  <c r="D343" i="4"/>
  <c r="I343" i="4"/>
  <c r="C343" i="4"/>
  <c r="A343" i="4"/>
  <c r="H559" i="4"/>
  <c r="B559" i="4"/>
  <c r="G559" i="4"/>
  <c r="A559" i="4"/>
  <c r="F559" i="4"/>
  <c r="E559" i="4"/>
  <c r="C559" i="4"/>
  <c r="L559" i="4"/>
  <c r="J559" i="4"/>
  <c r="I559" i="4"/>
  <c r="D559" i="4"/>
  <c r="E277" i="4"/>
  <c r="J277" i="4"/>
  <c r="C277" i="4"/>
  <c r="I277" i="4"/>
  <c r="B277" i="4"/>
  <c r="G277" i="4"/>
  <c r="F277" i="4"/>
  <c r="D277" i="4"/>
  <c r="A277" i="4"/>
  <c r="L277" i="4"/>
  <c r="H277" i="4"/>
  <c r="H486" i="4"/>
  <c r="B486" i="4"/>
  <c r="G486" i="4"/>
  <c r="A486" i="4"/>
  <c r="J486" i="4"/>
  <c r="I486" i="4"/>
  <c r="C486" i="4"/>
  <c r="L486" i="4"/>
  <c r="F486" i="4"/>
  <c r="E486" i="4"/>
  <c r="D486" i="4"/>
  <c r="H449" i="4"/>
  <c r="B449" i="4"/>
  <c r="G449" i="4"/>
  <c r="A449" i="4"/>
  <c r="L449" i="4"/>
  <c r="D449" i="4"/>
  <c r="I449" i="4"/>
  <c r="F449" i="4"/>
  <c r="E449" i="4"/>
  <c r="C449" i="4"/>
  <c r="J449" i="4"/>
  <c r="L319" i="4"/>
  <c r="F319" i="4"/>
  <c r="H319" i="4"/>
  <c r="A319" i="4"/>
  <c r="E319" i="4"/>
  <c r="I319" i="4"/>
  <c r="G319" i="4"/>
  <c r="J319" i="4"/>
  <c r="D319" i="4"/>
  <c r="C319" i="4"/>
  <c r="B319" i="4"/>
  <c r="I182" i="4"/>
  <c r="C182" i="4"/>
  <c r="H182" i="4"/>
  <c r="B182" i="4"/>
  <c r="L182" i="4"/>
  <c r="D182" i="4"/>
  <c r="A182" i="4"/>
  <c r="J182" i="4"/>
  <c r="E182" i="4"/>
  <c r="F182" i="4"/>
  <c r="G182" i="4"/>
  <c r="I74" i="4"/>
  <c r="C74" i="4"/>
  <c r="H74" i="4"/>
  <c r="B74" i="4"/>
  <c r="L74" i="4"/>
  <c r="D74" i="4"/>
  <c r="A74" i="4"/>
  <c r="E74" i="4"/>
  <c r="J74" i="4"/>
  <c r="G74" i="4"/>
  <c r="F74" i="4"/>
  <c r="I262" i="4"/>
  <c r="C262" i="4"/>
  <c r="H262" i="4"/>
  <c r="B262" i="4"/>
  <c r="F262" i="4"/>
  <c r="E262" i="4"/>
  <c r="L262" i="4"/>
  <c r="D262" i="4"/>
  <c r="A262" i="4"/>
  <c r="J262" i="4"/>
  <c r="G262" i="4"/>
  <c r="I165" i="4"/>
  <c r="C165" i="4"/>
  <c r="H165" i="4"/>
  <c r="B165" i="4"/>
  <c r="J165" i="4"/>
  <c r="G165" i="4"/>
  <c r="F165" i="4"/>
  <c r="E165" i="4"/>
  <c r="D165" i="4"/>
  <c r="L165" i="4"/>
  <c r="A165" i="4"/>
  <c r="H477" i="4"/>
  <c r="B477" i="4"/>
  <c r="G477" i="4"/>
  <c r="A477" i="4"/>
  <c r="J477" i="4"/>
  <c r="I477" i="4"/>
  <c r="C477" i="4"/>
  <c r="L477" i="4"/>
  <c r="E477" i="4"/>
  <c r="D477" i="4"/>
  <c r="F477" i="4"/>
  <c r="L287" i="4"/>
  <c r="F287" i="4"/>
  <c r="J287" i="4"/>
  <c r="C287" i="4"/>
  <c r="H287" i="4"/>
  <c r="A287" i="4"/>
  <c r="D287" i="4"/>
  <c r="B287" i="4"/>
  <c r="I287" i="4"/>
  <c r="G287" i="4"/>
  <c r="E287" i="4"/>
  <c r="L322" i="4"/>
  <c r="F322" i="4"/>
  <c r="H322" i="4"/>
  <c r="A322" i="4"/>
  <c r="E322" i="4"/>
  <c r="D322" i="4"/>
  <c r="C322" i="4"/>
  <c r="J322" i="4"/>
  <c r="I322" i="4"/>
  <c r="G322" i="4"/>
  <c r="B322" i="4"/>
  <c r="I57" i="4"/>
  <c r="C57" i="4"/>
  <c r="H57" i="4"/>
  <c r="B57" i="4"/>
  <c r="J57" i="4"/>
  <c r="G57" i="4"/>
  <c r="E57" i="4"/>
  <c r="D57" i="4"/>
  <c r="A57" i="4"/>
  <c r="F57" i="4"/>
  <c r="L57" i="4"/>
  <c r="E1000" i="4"/>
  <c r="J1000" i="4"/>
  <c r="D1000" i="4"/>
  <c r="G1000" i="4"/>
  <c r="C1000" i="4"/>
  <c r="B1000" i="4"/>
  <c r="F1000" i="4"/>
  <c r="A1000" i="4"/>
  <c r="L1000" i="4"/>
  <c r="H1000" i="4"/>
  <c r="I1000" i="4"/>
  <c r="E940" i="4"/>
  <c r="J940" i="4"/>
  <c r="D940" i="4"/>
  <c r="G940" i="4"/>
  <c r="F940" i="4"/>
  <c r="L940" i="4"/>
  <c r="H940" i="4"/>
  <c r="I940" i="4"/>
  <c r="C940" i="4"/>
  <c r="A940" i="4"/>
  <c r="B940" i="4"/>
  <c r="L971" i="4"/>
  <c r="G971" i="4"/>
  <c r="A971" i="4"/>
  <c r="F971" i="4"/>
  <c r="D971" i="4"/>
  <c r="C971" i="4"/>
  <c r="B971" i="4"/>
  <c r="E971" i="4"/>
  <c r="J971" i="4"/>
  <c r="I971" i="4"/>
  <c r="H971" i="4"/>
  <c r="E866" i="4"/>
  <c r="H866" i="4"/>
  <c r="A866" i="4"/>
  <c r="D866" i="4"/>
  <c r="L866" i="4"/>
  <c r="C866" i="4"/>
  <c r="F866" i="4"/>
  <c r="I866" i="4"/>
  <c r="J866" i="4"/>
  <c r="G866" i="4"/>
  <c r="B866" i="4"/>
  <c r="L960" i="4"/>
  <c r="F960" i="4"/>
  <c r="I960" i="4"/>
  <c r="B960" i="4"/>
  <c r="H960" i="4"/>
  <c r="A960" i="4"/>
  <c r="G960" i="4"/>
  <c r="E960" i="4"/>
  <c r="C960" i="4"/>
  <c r="J960" i="4"/>
  <c r="D960" i="4"/>
  <c r="J822" i="4"/>
  <c r="D822" i="4"/>
  <c r="H822" i="4"/>
  <c r="A822" i="4"/>
  <c r="I822" i="4"/>
  <c r="B822" i="4"/>
  <c r="F822" i="4"/>
  <c r="G822" i="4"/>
  <c r="L822" i="4"/>
  <c r="E822" i="4"/>
  <c r="C822" i="4"/>
  <c r="E653" i="4"/>
  <c r="J653" i="4"/>
  <c r="D653" i="4"/>
  <c r="G653" i="4"/>
  <c r="F653" i="4"/>
  <c r="C653" i="4"/>
  <c r="B653" i="4"/>
  <c r="L653" i="4"/>
  <c r="I653" i="4"/>
  <c r="H653" i="4"/>
  <c r="A653" i="4"/>
  <c r="G741" i="4"/>
  <c r="A741" i="4"/>
  <c r="F741" i="4"/>
  <c r="L741" i="4"/>
  <c r="D741" i="4"/>
  <c r="C741" i="4"/>
  <c r="J741" i="4"/>
  <c r="I741" i="4"/>
  <c r="B741" i="4"/>
  <c r="H741" i="4"/>
  <c r="E741" i="4"/>
  <c r="L781" i="4"/>
  <c r="F781" i="4"/>
  <c r="G781" i="4"/>
  <c r="A781" i="4"/>
  <c r="D781" i="4"/>
  <c r="H781" i="4"/>
  <c r="E781" i="4"/>
  <c r="J781" i="4"/>
  <c r="I781" i="4"/>
  <c r="C781" i="4"/>
  <c r="B781" i="4"/>
  <c r="H620" i="4"/>
  <c r="B620" i="4"/>
  <c r="G620" i="4"/>
  <c r="A620" i="4"/>
  <c r="L620" i="4"/>
  <c r="D620" i="4"/>
  <c r="C620" i="4"/>
  <c r="J620" i="4"/>
  <c r="I620" i="4"/>
  <c r="F620" i="4"/>
  <c r="E620" i="4"/>
  <c r="H512" i="4"/>
  <c r="B512" i="4"/>
  <c r="G512" i="4"/>
  <c r="A512" i="4"/>
  <c r="L512" i="4"/>
  <c r="D512" i="4"/>
  <c r="C512" i="4"/>
  <c r="J512" i="4"/>
  <c r="I512" i="4"/>
  <c r="F512" i="4"/>
  <c r="E512" i="4"/>
  <c r="H627" i="4"/>
  <c r="B627" i="4"/>
  <c r="G627" i="4"/>
  <c r="A627" i="4"/>
  <c r="J627" i="4"/>
  <c r="I627" i="4"/>
  <c r="F627" i="4"/>
  <c r="E627" i="4"/>
  <c r="L627" i="4"/>
  <c r="D627" i="4"/>
  <c r="C627" i="4"/>
  <c r="H465" i="4"/>
  <c r="B465" i="4"/>
  <c r="G465" i="4"/>
  <c r="A465" i="4"/>
  <c r="J465" i="4"/>
  <c r="I465" i="4"/>
  <c r="F465" i="4"/>
  <c r="E465" i="4"/>
  <c r="D465" i="4"/>
  <c r="C465" i="4"/>
  <c r="L465" i="4"/>
  <c r="L378" i="4"/>
  <c r="F378" i="4"/>
  <c r="E378" i="4"/>
  <c r="D378" i="4"/>
  <c r="C378" i="4"/>
  <c r="J378" i="4"/>
  <c r="B378" i="4"/>
  <c r="I378" i="4"/>
  <c r="H378" i="4"/>
  <c r="G378" i="4"/>
  <c r="A378" i="4"/>
  <c r="L342" i="4"/>
  <c r="F342" i="4"/>
  <c r="E342" i="4"/>
  <c r="D342" i="4"/>
  <c r="J342" i="4"/>
  <c r="B342" i="4"/>
  <c r="G342" i="4"/>
  <c r="C342" i="4"/>
  <c r="I342" i="4"/>
  <c r="H342" i="4"/>
  <c r="A342" i="4"/>
  <c r="H558" i="4"/>
  <c r="B558" i="4"/>
  <c r="G558" i="4"/>
  <c r="A558" i="4"/>
  <c r="J558" i="4"/>
  <c r="I558" i="4"/>
  <c r="C558" i="4"/>
  <c r="L558" i="4"/>
  <c r="F558" i="4"/>
  <c r="E558" i="4"/>
  <c r="D558" i="4"/>
  <c r="L756" i="4"/>
  <c r="F756" i="4"/>
  <c r="G756" i="4"/>
  <c r="A756" i="4"/>
  <c r="H756" i="4"/>
  <c r="D756" i="4"/>
  <c r="C756" i="4"/>
  <c r="I756" i="4"/>
  <c r="E756" i="4"/>
  <c r="B756" i="4"/>
  <c r="J756" i="4"/>
  <c r="H481" i="4"/>
  <c r="B481" i="4"/>
  <c r="G481" i="4"/>
  <c r="A481" i="4"/>
  <c r="F481" i="4"/>
  <c r="E481" i="4"/>
  <c r="I481" i="4"/>
  <c r="D481" i="4"/>
  <c r="L481" i="4"/>
  <c r="J481" i="4"/>
  <c r="C481" i="4"/>
  <c r="H441" i="4"/>
  <c r="B441" i="4"/>
  <c r="G441" i="4"/>
  <c r="A441" i="4"/>
  <c r="J441" i="4"/>
  <c r="F441" i="4"/>
  <c r="E441" i="4"/>
  <c r="D441" i="4"/>
  <c r="C441" i="4"/>
  <c r="L441" i="4"/>
  <c r="I441" i="4"/>
  <c r="L311" i="4"/>
  <c r="F311" i="4"/>
  <c r="J311" i="4"/>
  <c r="C311" i="4"/>
  <c r="H311" i="4"/>
  <c r="A311" i="4"/>
  <c r="G311" i="4"/>
  <c r="E311" i="4"/>
  <c r="I311" i="4"/>
  <c r="D311" i="4"/>
  <c r="B311" i="4"/>
  <c r="I179" i="4"/>
  <c r="C179" i="4"/>
  <c r="H179" i="4"/>
  <c r="B179" i="4"/>
  <c r="L179" i="4"/>
  <c r="D179" i="4"/>
  <c r="A179" i="4"/>
  <c r="J179" i="4"/>
  <c r="E179" i="4"/>
  <c r="F179" i="4"/>
  <c r="G179" i="4"/>
  <c r="I71" i="4"/>
  <c r="C71" i="4"/>
  <c r="H71" i="4"/>
  <c r="B71" i="4"/>
  <c r="L71" i="4"/>
  <c r="D71" i="4"/>
  <c r="A71" i="4"/>
  <c r="J71" i="4"/>
  <c r="G71" i="4"/>
  <c r="F71" i="4"/>
  <c r="E71" i="4"/>
  <c r="I259" i="4"/>
  <c r="C259" i="4"/>
  <c r="H259" i="4"/>
  <c r="B259" i="4"/>
  <c r="F259" i="4"/>
  <c r="E259" i="4"/>
  <c r="L259" i="4"/>
  <c r="D259" i="4"/>
  <c r="A259" i="4"/>
  <c r="J259" i="4"/>
  <c r="G259" i="4"/>
  <c r="I162" i="4"/>
  <c r="C162" i="4"/>
  <c r="H162" i="4"/>
  <c r="B162" i="4"/>
  <c r="J162" i="4"/>
  <c r="G162" i="4"/>
  <c r="F162" i="4"/>
  <c r="E162" i="4"/>
  <c r="D162" i="4"/>
  <c r="L162" i="4"/>
  <c r="A162" i="4"/>
  <c r="H442" i="4"/>
  <c r="B442" i="4"/>
  <c r="G442" i="4"/>
  <c r="A442" i="4"/>
  <c r="F442" i="4"/>
  <c r="E442" i="4"/>
  <c r="D442" i="4"/>
  <c r="J442" i="4"/>
  <c r="I442" i="4"/>
  <c r="C442" i="4"/>
  <c r="L442" i="4"/>
  <c r="I273" i="4"/>
  <c r="C273" i="4"/>
  <c r="H273" i="4"/>
  <c r="B273" i="4"/>
  <c r="J273" i="4"/>
  <c r="G273" i="4"/>
  <c r="F273" i="4"/>
  <c r="E273" i="4"/>
  <c r="L273" i="4"/>
  <c r="D273" i="4"/>
  <c r="A273" i="4"/>
  <c r="L310" i="4"/>
  <c r="F310" i="4"/>
  <c r="H310" i="4"/>
  <c r="A310" i="4"/>
  <c r="E310" i="4"/>
  <c r="I310" i="4"/>
  <c r="G310" i="4"/>
  <c r="J310" i="4"/>
  <c r="D310" i="4"/>
  <c r="C310" i="4"/>
  <c r="B310" i="4"/>
  <c r="I48" i="4"/>
  <c r="C48" i="4"/>
  <c r="H48" i="4"/>
  <c r="B48" i="4"/>
  <c r="J48" i="4"/>
  <c r="G48" i="4"/>
  <c r="E48" i="4"/>
  <c r="D48" i="4"/>
  <c r="A48" i="4"/>
  <c r="F48" i="4"/>
  <c r="L48" i="4"/>
  <c r="E993" i="4"/>
  <c r="F993" i="4"/>
  <c r="D993" i="4"/>
  <c r="L993" i="4"/>
  <c r="C993" i="4"/>
  <c r="G993" i="4"/>
  <c r="B993" i="4"/>
  <c r="J993" i="4"/>
  <c r="I993" i="4"/>
  <c r="H993" i="4"/>
  <c r="A993" i="4"/>
  <c r="E933" i="4"/>
  <c r="J933" i="4"/>
  <c r="D933" i="4"/>
  <c r="I933" i="4"/>
  <c r="A933" i="4"/>
  <c r="H933" i="4"/>
  <c r="B933" i="4"/>
  <c r="C933" i="4"/>
  <c r="L933" i="4"/>
  <c r="G933" i="4"/>
  <c r="F933" i="4"/>
  <c r="G970" i="4"/>
  <c r="A970" i="4"/>
  <c r="L970" i="4"/>
  <c r="F970" i="4"/>
  <c r="H970" i="4"/>
  <c r="E970" i="4"/>
  <c r="B970" i="4"/>
  <c r="J970" i="4"/>
  <c r="D970" i="4"/>
  <c r="I970" i="4"/>
  <c r="C970" i="4"/>
  <c r="E859" i="4"/>
  <c r="F859" i="4"/>
  <c r="J859" i="4"/>
  <c r="B859" i="4"/>
  <c r="I859" i="4"/>
  <c r="A859" i="4"/>
  <c r="L859" i="4"/>
  <c r="C859" i="4"/>
  <c r="G859" i="4"/>
  <c r="H859" i="4"/>
  <c r="D859" i="4"/>
  <c r="G963" i="4"/>
  <c r="L963" i="4"/>
  <c r="F963" i="4"/>
  <c r="J963" i="4"/>
  <c r="B963" i="4"/>
  <c r="I963" i="4"/>
  <c r="A963" i="4"/>
  <c r="D963" i="4"/>
  <c r="C963" i="4"/>
  <c r="E963" i="4"/>
  <c r="H963" i="4"/>
  <c r="L759" i="4"/>
  <c r="F759" i="4"/>
  <c r="G759" i="4"/>
  <c r="A759" i="4"/>
  <c r="H759" i="4"/>
  <c r="B759" i="4"/>
  <c r="J759" i="4"/>
  <c r="D759" i="4"/>
  <c r="C759" i="4"/>
  <c r="I759" i="4"/>
  <c r="E759" i="4"/>
  <c r="E646" i="4"/>
  <c r="J646" i="4"/>
  <c r="D646" i="4"/>
  <c r="I646" i="4"/>
  <c r="A646" i="4"/>
  <c r="H646" i="4"/>
  <c r="G646" i="4"/>
  <c r="F646" i="4"/>
  <c r="L646" i="4"/>
  <c r="C646" i="4"/>
  <c r="B646" i="4"/>
  <c r="L792" i="4"/>
  <c r="F792" i="4"/>
  <c r="G792" i="4"/>
  <c r="A792" i="4"/>
  <c r="H792" i="4"/>
  <c r="D792" i="4"/>
  <c r="C792" i="4"/>
  <c r="J792" i="4"/>
  <c r="I792" i="4"/>
  <c r="E792" i="4"/>
  <c r="B792" i="4"/>
  <c r="G729" i="4"/>
  <c r="A729" i="4"/>
  <c r="F729" i="4"/>
  <c r="J729" i="4"/>
  <c r="B729" i="4"/>
  <c r="I729" i="4"/>
  <c r="L729" i="4"/>
  <c r="H729" i="4"/>
  <c r="E729" i="4"/>
  <c r="D729" i="4"/>
  <c r="C729" i="4"/>
  <c r="H599" i="4"/>
  <c r="B599" i="4"/>
  <c r="G599" i="4"/>
  <c r="A599" i="4"/>
  <c r="L599" i="4"/>
  <c r="D599" i="4"/>
  <c r="C599" i="4"/>
  <c r="I599" i="4"/>
  <c r="F599" i="4"/>
  <c r="E599" i="4"/>
  <c r="J599" i="4"/>
  <c r="H491" i="4"/>
  <c r="B491" i="4"/>
  <c r="G491" i="4"/>
  <c r="A491" i="4"/>
  <c r="L491" i="4"/>
  <c r="D491" i="4"/>
  <c r="C491" i="4"/>
  <c r="I491" i="4"/>
  <c r="F491" i="4"/>
  <c r="J491" i="4"/>
  <c r="E491" i="4"/>
  <c r="H592" i="4"/>
  <c r="B592" i="4"/>
  <c r="G592" i="4"/>
  <c r="A592" i="4"/>
  <c r="F592" i="4"/>
  <c r="E592" i="4"/>
  <c r="J592" i="4"/>
  <c r="I592" i="4"/>
  <c r="D592" i="4"/>
  <c r="C592" i="4"/>
  <c r="L592" i="4"/>
  <c r="H429" i="4"/>
  <c r="B429" i="4"/>
  <c r="G429" i="4"/>
  <c r="A429" i="4"/>
  <c r="J429" i="4"/>
  <c r="I429" i="4"/>
  <c r="D429" i="4"/>
  <c r="C429" i="4"/>
  <c r="E429" i="4"/>
  <c r="L429" i="4"/>
  <c r="F429" i="4"/>
  <c r="L371" i="4"/>
  <c r="F371" i="4"/>
  <c r="E371" i="4"/>
  <c r="H371" i="4"/>
  <c r="D371" i="4"/>
  <c r="I371" i="4"/>
  <c r="G371" i="4"/>
  <c r="J371" i="4"/>
  <c r="C371" i="4"/>
  <c r="A371" i="4"/>
  <c r="B371" i="4"/>
  <c r="L335" i="4"/>
  <c r="F335" i="4"/>
  <c r="E335" i="4"/>
  <c r="H335" i="4"/>
  <c r="D335" i="4"/>
  <c r="I335" i="4"/>
  <c r="G335" i="4"/>
  <c r="B335" i="4"/>
  <c r="A335" i="4"/>
  <c r="C335" i="4"/>
  <c r="J335" i="4"/>
  <c r="H534" i="4"/>
  <c r="B534" i="4"/>
  <c r="G534" i="4"/>
  <c r="A534" i="4"/>
  <c r="J534" i="4"/>
  <c r="I534" i="4"/>
  <c r="E534" i="4"/>
  <c r="D534" i="4"/>
  <c r="F534" i="4"/>
  <c r="C534" i="4"/>
  <c r="L534" i="4"/>
  <c r="H571" i="4"/>
  <c r="B571" i="4"/>
  <c r="G571" i="4"/>
  <c r="A571" i="4"/>
  <c r="F571" i="4"/>
  <c r="E571" i="4"/>
  <c r="I571" i="4"/>
  <c r="D571" i="4"/>
  <c r="C571" i="4"/>
  <c r="L571" i="4"/>
  <c r="J571" i="4"/>
  <c r="H432" i="4"/>
  <c r="B432" i="4"/>
  <c r="G432" i="4"/>
  <c r="A432" i="4"/>
  <c r="J432" i="4"/>
  <c r="F432" i="4"/>
  <c r="E432" i="4"/>
  <c r="L432" i="4"/>
  <c r="I432" i="4"/>
  <c r="D432" i="4"/>
  <c r="C432" i="4"/>
  <c r="L288" i="4"/>
  <c r="F288" i="4"/>
  <c r="E288" i="4"/>
  <c r="J288" i="4"/>
  <c r="C288" i="4"/>
  <c r="B288" i="4"/>
  <c r="A288" i="4"/>
  <c r="I288" i="4"/>
  <c r="H288" i="4"/>
  <c r="G288" i="4"/>
  <c r="D288" i="4"/>
  <c r="I266" i="4"/>
  <c r="C266" i="4"/>
  <c r="H266" i="4"/>
  <c r="B266" i="4"/>
  <c r="L266" i="4"/>
  <c r="D266" i="4"/>
  <c r="A266" i="4"/>
  <c r="J266" i="4"/>
  <c r="G266" i="4"/>
  <c r="F266" i="4"/>
  <c r="E266" i="4"/>
  <c r="I158" i="4"/>
  <c r="C158" i="4"/>
  <c r="H158" i="4"/>
  <c r="B158" i="4"/>
  <c r="L158" i="4"/>
  <c r="D158" i="4"/>
  <c r="A158" i="4"/>
  <c r="J158" i="4"/>
  <c r="E158" i="4"/>
  <c r="F158" i="4"/>
  <c r="G158" i="4"/>
  <c r="I50" i="4"/>
  <c r="C50" i="4"/>
  <c r="H50" i="4"/>
  <c r="B50" i="4"/>
  <c r="L50" i="4"/>
  <c r="D50" i="4"/>
  <c r="A50" i="4"/>
  <c r="G50" i="4"/>
  <c r="F50" i="4"/>
  <c r="E50" i="4"/>
  <c r="J50" i="4"/>
  <c r="I258" i="4"/>
  <c r="C258" i="4"/>
  <c r="H258" i="4"/>
  <c r="B258" i="4"/>
  <c r="J258" i="4"/>
  <c r="G258" i="4"/>
  <c r="F258" i="4"/>
  <c r="E258" i="4"/>
  <c r="D258" i="4"/>
  <c r="A258" i="4"/>
  <c r="L258" i="4"/>
  <c r="I133" i="4"/>
  <c r="C133" i="4"/>
  <c r="H133" i="4"/>
  <c r="B133" i="4"/>
  <c r="F133" i="4"/>
  <c r="E133" i="4"/>
  <c r="J133" i="4"/>
  <c r="G133" i="4"/>
  <c r="L133" i="4"/>
  <c r="D133" i="4"/>
  <c r="A133" i="4"/>
  <c r="I226" i="4"/>
  <c r="C226" i="4"/>
  <c r="H226" i="4"/>
  <c r="B226" i="4"/>
  <c r="F226" i="4"/>
  <c r="E226" i="4"/>
  <c r="L226" i="4"/>
  <c r="D226" i="4"/>
  <c r="J226" i="4"/>
  <c r="G226" i="4"/>
  <c r="A226" i="4"/>
  <c r="I135" i="4"/>
  <c r="C135" i="4"/>
  <c r="H135" i="4"/>
  <c r="B135" i="4"/>
  <c r="J135" i="4"/>
  <c r="G135" i="4"/>
  <c r="A135" i="4"/>
  <c r="L135" i="4"/>
  <c r="F135" i="4"/>
  <c r="E135" i="4"/>
  <c r="D135" i="4"/>
  <c r="I148" i="4"/>
  <c r="C148" i="4"/>
  <c r="H148" i="4"/>
  <c r="B148" i="4"/>
  <c r="F148" i="4"/>
  <c r="E148" i="4"/>
  <c r="G148" i="4"/>
  <c r="D148" i="4"/>
  <c r="A148" i="4"/>
  <c r="L148" i="4"/>
  <c r="J148" i="4"/>
  <c r="J22" i="4"/>
  <c r="D22" i="4"/>
  <c r="I22" i="4"/>
  <c r="C22" i="4"/>
  <c r="G22" i="4"/>
  <c r="F22" i="4"/>
  <c r="E22" i="4"/>
  <c r="H22" i="4"/>
  <c r="B22" i="4"/>
  <c r="A22" i="4"/>
  <c r="L22" i="4"/>
  <c r="E996" i="4"/>
  <c r="F996" i="4"/>
  <c r="L996" i="4"/>
  <c r="C996" i="4"/>
  <c r="J996" i="4"/>
  <c r="B996" i="4"/>
  <c r="H996" i="4"/>
  <c r="G996" i="4"/>
  <c r="A996" i="4"/>
  <c r="D996" i="4"/>
  <c r="I996" i="4"/>
  <c r="E936" i="4"/>
  <c r="J936" i="4"/>
  <c r="D936" i="4"/>
  <c r="I936" i="4"/>
  <c r="A936" i="4"/>
  <c r="H936" i="4"/>
  <c r="F936" i="4"/>
  <c r="L936" i="4"/>
  <c r="C936" i="4"/>
  <c r="B936" i="4"/>
  <c r="G936" i="4"/>
  <c r="L956" i="4"/>
  <c r="F956" i="4"/>
  <c r="G956" i="4"/>
  <c r="E956" i="4"/>
  <c r="B956" i="4"/>
  <c r="J956" i="4"/>
  <c r="A956" i="4"/>
  <c r="C956" i="4"/>
  <c r="H956" i="4"/>
  <c r="D956" i="4"/>
  <c r="I956" i="4"/>
  <c r="E862" i="4"/>
  <c r="F862" i="4"/>
  <c r="I862" i="4"/>
  <c r="A862" i="4"/>
  <c r="H862" i="4"/>
  <c r="J862" i="4"/>
  <c r="B862" i="4"/>
  <c r="D862" i="4"/>
  <c r="C862" i="4"/>
  <c r="L862" i="4"/>
  <c r="G862" i="4"/>
  <c r="J823" i="4"/>
  <c r="D823" i="4"/>
  <c r="C823" i="4"/>
  <c r="L823" i="4"/>
  <c r="E823" i="4"/>
  <c r="F823" i="4"/>
  <c r="I823" i="4"/>
  <c r="H823" i="4"/>
  <c r="G823" i="4"/>
  <c r="B823" i="4"/>
  <c r="A823" i="4"/>
  <c r="L786" i="4"/>
  <c r="F786" i="4"/>
  <c r="G786" i="4"/>
  <c r="A786" i="4"/>
  <c r="H786" i="4"/>
  <c r="B786" i="4"/>
  <c r="J786" i="4"/>
  <c r="D786" i="4"/>
  <c r="C786" i="4"/>
  <c r="I786" i="4"/>
  <c r="E786" i="4"/>
  <c r="E649" i="4"/>
  <c r="J649" i="4"/>
  <c r="D649" i="4"/>
  <c r="I649" i="4"/>
  <c r="A649" i="4"/>
  <c r="H649" i="4"/>
  <c r="L649" i="4"/>
  <c r="B649" i="4"/>
  <c r="G649" i="4"/>
  <c r="F649" i="4"/>
  <c r="C649" i="4"/>
  <c r="J881" i="4"/>
  <c r="D881" i="4"/>
  <c r="I881" i="4"/>
  <c r="C881" i="4"/>
  <c r="E881" i="4"/>
  <c r="B881" i="4"/>
  <c r="G881" i="4"/>
  <c r="F881" i="4"/>
  <c r="H881" i="4"/>
  <c r="L881" i="4"/>
  <c r="A881" i="4"/>
  <c r="L754" i="4"/>
  <c r="F754" i="4"/>
  <c r="G754" i="4"/>
  <c r="A754" i="4"/>
  <c r="D754" i="4"/>
  <c r="H754" i="4"/>
  <c r="E754" i="4"/>
  <c r="C754" i="4"/>
  <c r="B754" i="4"/>
  <c r="J754" i="4"/>
  <c r="I754" i="4"/>
  <c r="H608" i="4"/>
  <c r="B608" i="4"/>
  <c r="G608" i="4"/>
  <c r="A608" i="4"/>
  <c r="L608" i="4"/>
  <c r="D608" i="4"/>
  <c r="C608" i="4"/>
  <c r="I608" i="4"/>
  <c r="F608" i="4"/>
  <c r="E608" i="4"/>
  <c r="J608" i="4"/>
  <c r="H500" i="4"/>
  <c r="B500" i="4"/>
  <c r="G500" i="4"/>
  <c r="A500" i="4"/>
  <c r="L500" i="4"/>
  <c r="D500" i="4"/>
  <c r="C500" i="4"/>
  <c r="I500" i="4"/>
  <c r="F500" i="4"/>
  <c r="J500" i="4"/>
  <c r="E500" i="4"/>
  <c r="H609" i="4"/>
  <c r="B609" i="4"/>
  <c r="G609" i="4"/>
  <c r="A609" i="4"/>
  <c r="J609" i="4"/>
  <c r="I609" i="4"/>
  <c r="F609" i="4"/>
  <c r="E609" i="4"/>
  <c r="L609" i="4"/>
  <c r="D609" i="4"/>
  <c r="C609" i="4"/>
  <c r="H446" i="4"/>
  <c r="B446" i="4"/>
  <c r="G446" i="4"/>
  <c r="A446" i="4"/>
  <c r="L446" i="4"/>
  <c r="D446" i="4"/>
  <c r="J446" i="4"/>
  <c r="I446" i="4"/>
  <c r="F446" i="4"/>
  <c r="E446" i="4"/>
  <c r="C446" i="4"/>
  <c r="L374" i="4"/>
  <c r="F374" i="4"/>
  <c r="E374" i="4"/>
  <c r="H374" i="4"/>
  <c r="D374" i="4"/>
  <c r="A374" i="4"/>
  <c r="J374" i="4"/>
  <c r="B374" i="4"/>
  <c r="I374" i="4"/>
  <c r="G374" i="4"/>
  <c r="C374" i="4"/>
  <c r="L338" i="4"/>
  <c r="F338" i="4"/>
  <c r="E338" i="4"/>
  <c r="H338" i="4"/>
  <c r="D338" i="4"/>
  <c r="A338" i="4"/>
  <c r="J338" i="4"/>
  <c r="G338" i="4"/>
  <c r="C338" i="4"/>
  <c r="B338" i="4"/>
  <c r="I338" i="4"/>
  <c r="H540" i="4"/>
  <c r="B540" i="4"/>
  <c r="G540" i="4"/>
  <c r="A540" i="4"/>
  <c r="J540" i="4"/>
  <c r="I540" i="4"/>
  <c r="C540" i="4"/>
  <c r="L540" i="4"/>
  <c r="F540" i="4"/>
  <c r="E540" i="4"/>
  <c r="D540" i="4"/>
  <c r="H598" i="4"/>
  <c r="B598" i="4"/>
  <c r="G598" i="4"/>
  <c r="A598" i="4"/>
  <c r="F598" i="4"/>
  <c r="E598" i="4"/>
  <c r="I598" i="4"/>
  <c r="D598" i="4"/>
  <c r="C598" i="4"/>
  <c r="L598" i="4"/>
  <c r="J598" i="4"/>
  <c r="H454" i="4"/>
  <c r="B454" i="4"/>
  <c r="G454" i="4"/>
  <c r="A454" i="4"/>
  <c r="F454" i="4"/>
  <c r="E454" i="4"/>
  <c r="I454" i="4"/>
  <c r="D454" i="4"/>
  <c r="L454" i="4"/>
  <c r="J454" i="4"/>
  <c r="C454" i="4"/>
  <c r="L315" i="4"/>
  <c r="F315" i="4"/>
  <c r="E315" i="4"/>
  <c r="J315" i="4"/>
  <c r="C315" i="4"/>
  <c r="B315" i="4"/>
  <c r="A315" i="4"/>
  <c r="I315" i="4"/>
  <c r="H315" i="4"/>
  <c r="G315" i="4"/>
  <c r="D315" i="4"/>
  <c r="I275" i="4"/>
  <c r="C275" i="4"/>
  <c r="H275" i="4"/>
  <c r="B275" i="4"/>
  <c r="L275" i="4"/>
  <c r="D275" i="4"/>
  <c r="A275" i="4"/>
  <c r="J275" i="4"/>
  <c r="G275" i="4"/>
  <c r="F275" i="4"/>
  <c r="E275" i="4"/>
  <c r="I167" i="4"/>
  <c r="C167" i="4"/>
  <c r="H167" i="4"/>
  <c r="B167" i="4"/>
  <c r="L167" i="4"/>
  <c r="D167" i="4"/>
  <c r="A167" i="4"/>
  <c r="J167" i="4"/>
  <c r="E167" i="4"/>
  <c r="F167" i="4"/>
  <c r="G167" i="4"/>
  <c r="I59" i="4"/>
  <c r="C59" i="4"/>
  <c r="H59" i="4"/>
  <c r="B59" i="4"/>
  <c r="L59" i="4"/>
  <c r="D59" i="4"/>
  <c r="A59" i="4"/>
  <c r="G59" i="4"/>
  <c r="F59" i="4"/>
  <c r="E59" i="4"/>
  <c r="J59" i="4"/>
  <c r="I247" i="4"/>
  <c r="C247" i="4"/>
  <c r="H247" i="4"/>
  <c r="B247" i="4"/>
  <c r="F247" i="4"/>
  <c r="E247" i="4"/>
  <c r="L247" i="4"/>
  <c r="D247" i="4"/>
  <c r="A247" i="4"/>
  <c r="G247" i="4"/>
  <c r="J247" i="4"/>
  <c r="I150" i="4"/>
  <c r="C150" i="4"/>
  <c r="H150" i="4"/>
  <c r="B150" i="4"/>
  <c r="J150" i="4"/>
  <c r="G150" i="4"/>
  <c r="F150" i="4"/>
  <c r="E150" i="4"/>
  <c r="L150" i="4"/>
  <c r="D150" i="4"/>
  <c r="A150" i="4"/>
  <c r="I235" i="4"/>
  <c r="C235" i="4"/>
  <c r="H235" i="4"/>
  <c r="B235" i="4"/>
  <c r="F235" i="4"/>
  <c r="E235" i="4"/>
  <c r="L235" i="4"/>
  <c r="D235" i="4"/>
  <c r="J235" i="4"/>
  <c r="G235" i="4"/>
  <c r="A235" i="4"/>
  <c r="I145" i="4"/>
  <c r="C145" i="4"/>
  <c r="H145" i="4"/>
  <c r="B145" i="4"/>
  <c r="F145" i="4"/>
  <c r="E145" i="4"/>
  <c r="A145" i="4"/>
  <c r="L145" i="4"/>
  <c r="D145" i="4"/>
  <c r="J145" i="4"/>
  <c r="G145" i="4"/>
  <c r="L309" i="4"/>
  <c r="F309" i="4"/>
  <c r="E309" i="4"/>
  <c r="J309" i="4"/>
  <c r="C309" i="4"/>
  <c r="I309" i="4"/>
  <c r="H309" i="4"/>
  <c r="D309" i="4"/>
  <c r="B309" i="4"/>
  <c r="A309" i="4"/>
  <c r="G309" i="4"/>
  <c r="J31" i="4"/>
  <c r="D31" i="4"/>
  <c r="I31" i="4"/>
  <c r="C31" i="4"/>
  <c r="G31" i="4"/>
  <c r="F31" i="4"/>
  <c r="E31" i="4"/>
  <c r="H31" i="4"/>
  <c r="B31" i="4"/>
  <c r="A31" i="4"/>
  <c r="L31" i="4"/>
  <c r="E995" i="4"/>
  <c r="J995" i="4"/>
  <c r="C995" i="4"/>
  <c r="G995" i="4"/>
  <c r="F995" i="4"/>
  <c r="H995" i="4"/>
  <c r="D995" i="4"/>
  <c r="L995" i="4"/>
  <c r="I995" i="4"/>
  <c r="A995" i="4"/>
  <c r="B995" i="4"/>
  <c r="E935" i="4"/>
  <c r="J935" i="4"/>
  <c r="D935" i="4"/>
  <c r="C935" i="4"/>
  <c r="L935" i="4"/>
  <c r="B935" i="4"/>
  <c r="F935" i="4"/>
  <c r="H935" i="4"/>
  <c r="I935" i="4"/>
  <c r="A935" i="4"/>
  <c r="G935" i="4"/>
  <c r="L978" i="4"/>
  <c r="F978" i="4"/>
  <c r="I978" i="4"/>
  <c r="B978" i="4"/>
  <c r="H978" i="4"/>
  <c r="A978" i="4"/>
  <c r="E978" i="4"/>
  <c r="D978" i="4"/>
  <c r="C978" i="4"/>
  <c r="J978" i="4"/>
  <c r="G978" i="4"/>
  <c r="E861" i="4"/>
  <c r="J861" i="4"/>
  <c r="C861" i="4"/>
  <c r="D861" i="4"/>
  <c r="L861" i="4"/>
  <c r="B861" i="4"/>
  <c r="F861" i="4"/>
  <c r="H861" i="4"/>
  <c r="G861" i="4"/>
  <c r="I861" i="4"/>
  <c r="A861" i="4"/>
  <c r="J820" i="4"/>
  <c r="D820" i="4"/>
  <c r="C820" i="4"/>
  <c r="L820" i="4"/>
  <c r="E820" i="4"/>
  <c r="H820" i="4"/>
  <c r="G820" i="4"/>
  <c r="F820" i="4"/>
  <c r="B820" i="4"/>
  <c r="A820" i="4"/>
  <c r="I820" i="4"/>
  <c r="L777" i="4"/>
  <c r="F777" i="4"/>
  <c r="G777" i="4"/>
  <c r="A777" i="4"/>
  <c r="H777" i="4"/>
  <c r="B777" i="4"/>
  <c r="J777" i="4"/>
  <c r="I777" i="4"/>
  <c r="E777" i="4"/>
  <c r="D777" i="4"/>
  <c r="C777" i="4"/>
  <c r="E648" i="4"/>
  <c r="J648" i="4"/>
  <c r="D648" i="4"/>
  <c r="C648" i="4"/>
  <c r="L648" i="4"/>
  <c r="B648" i="4"/>
  <c r="I648" i="4"/>
  <c r="H648" i="4"/>
  <c r="G648" i="4"/>
  <c r="F648" i="4"/>
  <c r="A648" i="4"/>
  <c r="J831" i="4"/>
  <c r="D831" i="4"/>
  <c r="H831" i="4"/>
  <c r="A831" i="4"/>
  <c r="I831" i="4"/>
  <c r="B831" i="4"/>
  <c r="F831" i="4"/>
  <c r="E831" i="4"/>
  <c r="C831" i="4"/>
  <c r="G831" i="4"/>
  <c r="L831" i="4"/>
  <c r="G742" i="4"/>
  <c r="A742" i="4"/>
  <c r="I742" i="4"/>
  <c r="B742" i="4"/>
  <c r="J742" i="4"/>
  <c r="H742" i="4"/>
  <c r="L742" i="4"/>
  <c r="F742" i="4"/>
  <c r="E742" i="4"/>
  <c r="D742" i="4"/>
  <c r="C742" i="4"/>
  <c r="H605" i="4"/>
  <c r="B605" i="4"/>
  <c r="G605" i="4"/>
  <c r="A605" i="4"/>
  <c r="L605" i="4"/>
  <c r="D605" i="4"/>
  <c r="C605" i="4"/>
  <c r="E605" i="4"/>
  <c r="J605" i="4"/>
  <c r="I605" i="4"/>
  <c r="F605" i="4"/>
  <c r="H497" i="4"/>
  <c r="B497" i="4"/>
  <c r="G497" i="4"/>
  <c r="A497" i="4"/>
  <c r="L497" i="4"/>
  <c r="D497" i="4"/>
  <c r="C497" i="4"/>
  <c r="E497" i="4"/>
  <c r="I497" i="4"/>
  <c r="F497" i="4"/>
  <c r="J497" i="4"/>
  <c r="H601" i="4"/>
  <c r="B601" i="4"/>
  <c r="G601" i="4"/>
  <c r="A601" i="4"/>
  <c r="F601" i="4"/>
  <c r="E601" i="4"/>
  <c r="J601" i="4"/>
  <c r="I601" i="4"/>
  <c r="D601" i="4"/>
  <c r="C601" i="4"/>
  <c r="L601" i="4"/>
  <c r="H438" i="4"/>
  <c r="B438" i="4"/>
  <c r="G438" i="4"/>
  <c r="A438" i="4"/>
  <c r="J438" i="4"/>
  <c r="I438" i="4"/>
  <c r="F438" i="4"/>
  <c r="E438" i="4"/>
  <c r="D438" i="4"/>
  <c r="L438" i="4"/>
  <c r="C438" i="4"/>
  <c r="L373" i="4"/>
  <c r="F373" i="4"/>
  <c r="E373" i="4"/>
  <c r="J373" i="4"/>
  <c r="B373" i="4"/>
  <c r="H373" i="4"/>
  <c r="I373" i="4"/>
  <c r="G373" i="4"/>
  <c r="D373" i="4"/>
  <c r="C373" i="4"/>
  <c r="A373" i="4"/>
  <c r="L337" i="4"/>
  <c r="F337" i="4"/>
  <c r="E337" i="4"/>
  <c r="J337" i="4"/>
  <c r="B337" i="4"/>
  <c r="H337" i="4"/>
  <c r="I337" i="4"/>
  <c r="A337" i="4"/>
  <c r="G337" i="4"/>
  <c r="D337" i="4"/>
  <c r="C337" i="4"/>
  <c r="L805" i="4"/>
  <c r="F805" i="4"/>
  <c r="G805" i="4"/>
  <c r="A805" i="4"/>
  <c r="D805" i="4"/>
  <c r="J805" i="4"/>
  <c r="I805" i="4"/>
  <c r="C805" i="4"/>
  <c r="B805" i="4"/>
  <c r="H805" i="4"/>
  <c r="E805" i="4"/>
  <c r="H589" i="4"/>
  <c r="B589" i="4"/>
  <c r="G589" i="4"/>
  <c r="A589" i="4"/>
  <c r="F589" i="4"/>
  <c r="E589" i="4"/>
  <c r="I589" i="4"/>
  <c r="D589" i="4"/>
  <c r="C589" i="4"/>
  <c r="L589" i="4"/>
  <c r="J589" i="4"/>
  <c r="H444" i="4"/>
  <c r="B444" i="4"/>
  <c r="G444" i="4"/>
  <c r="A444" i="4"/>
  <c r="J444" i="4"/>
  <c r="D444" i="4"/>
  <c r="L444" i="4"/>
  <c r="C444" i="4"/>
  <c r="I444" i="4"/>
  <c r="F444" i="4"/>
  <c r="E444" i="4"/>
  <c r="L306" i="4"/>
  <c r="F306" i="4"/>
  <c r="E306" i="4"/>
  <c r="J306" i="4"/>
  <c r="C306" i="4"/>
  <c r="B306" i="4"/>
  <c r="A306" i="4"/>
  <c r="H306" i="4"/>
  <c r="G306" i="4"/>
  <c r="D306" i="4"/>
  <c r="I306" i="4"/>
  <c r="I272" i="4"/>
  <c r="C272" i="4"/>
  <c r="H272" i="4"/>
  <c r="B272" i="4"/>
  <c r="L272" i="4"/>
  <c r="D272" i="4"/>
  <c r="A272" i="4"/>
  <c r="J272" i="4"/>
  <c r="G272" i="4"/>
  <c r="E272" i="4"/>
  <c r="F272" i="4"/>
  <c r="I164" i="4"/>
  <c r="C164" i="4"/>
  <c r="H164" i="4"/>
  <c r="B164" i="4"/>
  <c r="L164" i="4"/>
  <c r="D164" i="4"/>
  <c r="A164" i="4"/>
  <c r="J164" i="4"/>
  <c r="E164" i="4"/>
  <c r="F164" i="4"/>
  <c r="G164" i="4"/>
  <c r="I56" i="4"/>
  <c r="C56" i="4"/>
  <c r="H56" i="4"/>
  <c r="B56" i="4"/>
  <c r="L56" i="4"/>
  <c r="D56" i="4"/>
  <c r="A56" i="4"/>
  <c r="E56" i="4"/>
  <c r="J56" i="4"/>
  <c r="G56" i="4"/>
  <c r="F56" i="4"/>
  <c r="I276" i="4"/>
  <c r="C276" i="4"/>
  <c r="H276" i="4"/>
  <c r="B276" i="4"/>
  <c r="J276" i="4"/>
  <c r="G276" i="4"/>
  <c r="F276" i="4"/>
  <c r="E276" i="4"/>
  <c r="D276" i="4"/>
  <c r="A276" i="4"/>
  <c r="L276" i="4"/>
  <c r="I142" i="4"/>
  <c r="C142" i="4"/>
  <c r="H142" i="4"/>
  <c r="B142" i="4"/>
  <c r="F142" i="4"/>
  <c r="E142" i="4"/>
  <c r="J142" i="4"/>
  <c r="G142" i="4"/>
  <c r="L142" i="4"/>
  <c r="D142" i="4"/>
  <c r="A142" i="4"/>
  <c r="I232" i="4"/>
  <c r="C232" i="4"/>
  <c r="H232" i="4"/>
  <c r="B232" i="4"/>
  <c r="F232" i="4"/>
  <c r="E232" i="4"/>
  <c r="L232" i="4"/>
  <c r="D232" i="4"/>
  <c r="J232" i="4"/>
  <c r="G232" i="4"/>
  <c r="A232" i="4"/>
  <c r="I144" i="4"/>
  <c r="C144" i="4"/>
  <c r="H144" i="4"/>
  <c r="B144" i="4"/>
  <c r="J144" i="4"/>
  <c r="G144" i="4"/>
  <c r="A144" i="4"/>
  <c r="L144" i="4"/>
  <c r="F144" i="4"/>
  <c r="E144" i="4"/>
  <c r="D144" i="4"/>
  <c r="L401" i="4"/>
  <c r="F401" i="4"/>
  <c r="J401" i="4"/>
  <c r="C401" i="4"/>
  <c r="I401" i="4"/>
  <c r="B401" i="4"/>
  <c r="H401" i="4"/>
  <c r="G401" i="4"/>
  <c r="E401" i="4"/>
  <c r="D401" i="4"/>
  <c r="A401" i="4"/>
  <c r="J28" i="4"/>
  <c r="D28" i="4"/>
  <c r="I28" i="4"/>
  <c r="C28" i="4"/>
  <c r="G28" i="4"/>
  <c r="F28" i="4"/>
  <c r="E28" i="4"/>
  <c r="H28" i="4"/>
  <c r="B28" i="4"/>
  <c r="A28" i="4"/>
  <c r="L28" i="4"/>
  <c r="E994" i="4"/>
  <c r="H994" i="4"/>
  <c r="A994" i="4"/>
  <c r="J994" i="4"/>
  <c r="B994" i="4"/>
  <c r="I994" i="4"/>
  <c r="F994" i="4"/>
  <c r="D994" i="4"/>
  <c r="C994" i="4"/>
  <c r="G994" i="4"/>
  <c r="L994" i="4"/>
  <c r="E934" i="4"/>
  <c r="J934" i="4"/>
  <c r="D934" i="4"/>
  <c r="G934" i="4"/>
  <c r="F934" i="4"/>
  <c r="B934" i="4"/>
  <c r="C934" i="4"/>
  <c r="A934" i="4"/>
  <c r="L934" i="4"/>
  <c r="H934" i="4"/>
  <c r="I934" i="4"/>
  <c r="L974" i="4"/>
  <c r="F974" i="4"/>
  <c r="G974" i="4"/>
  <c r="E974" i="4"/>
  <c r="J974" i="4"/>
  <c r="A974" i="4"/>
  <c r="I974" i="4"/>
  <c r="B974" i="4"/>
  <c r="C974" i="4"/>
  <c r="D974" i="4"/>
  <c r="H974" i="4"/>
  <c r="E860" i="4"/>
  <c r="H860" i="4"/>
  <c r="A860" i="4"/>
  <c r="G860" i="4"/>
  <c r="F860" i="4"/>
  <c r="I860" i="4"/>
  <c r="L860" i="4"/>
  <c r="B860" i="4"/>
  <c r="J860" i="4"/>
  <c r="D860" i="4"/>
  <c r="C860" i="4"/>
  <c r="L977" i="4"/>
  <c r="F977" i="4"/>
  <c r="G977" i="4"/>
  <c r="E977" i="4"/>
  <c r="H977" i="4"/>
  <c r="D977" i="4"/>
  <c r="J977" i="4"/>
  <c r="I977" i="4"/>
  <c r="B977" i="4"/>
  <c r="A977" i="4"/>
  <c r="C977" i="4"/>
  <c r="L768" i="4"/>
  <c r="F768" i="4"/>
  <c r="G768" i="4"/>
  <c r="A768" i="4"/>
  <c r="H768" i="4"/>
  <c r="B768" i="4"/>
  <c r="J768" i="4"/>
  <c r="I768" i="4"/>
  <c r="E768" i="4"/>
  <c r="D768" i="4"/>
  <c r="C768" i="4"/>
  <c r="E647" i="4"/>
  <c r="J647" i="4"/>
  <c r="D647" i="4"/>
  <c r="G647" i="4"/>
  <c r="F647" i="4"/>
  <c r="I647" i="4"/>
  <c r="H647" i="4"/>
  <c r="B647" i="4"/>
  <c r="A647" i="4"/>
  <c r="L647" i="4"/>
  <c r="C647" i="4"/>
  <c r="L807" i="4"/>
  <c r="F807" i="4"/>
  <c r="G807" i="4"/>
  <c r="A807" i="4"/>
  <c r="H807" i="4"/>
  <c r="I807" i="4"/>
  <c r="E807" i="4"/>
  <c r="J807" i="4"/>
  <c r="B807" i="4"/>
  <c r="D807" i="4"/>
  <c r="C807" i="4"/>
  <c r="G730" i="4"/>
  <c r="A730" i="4"/>
  <c r="I730" i="4"/>
  <c r="B730" i="4"/>
  <c r="F730" i="4"/>
  <c r="E730" i="4"/>
  <c r="L730" i="4"/>
  <c r="J730" i="4"/>
  <c r="H730" i="4"/>
  <c r="D730" i="4"/>
  <c r="C730" i="4"/>
  <c r="H602" i="4"/>
  <c r="B602" i="4"/>
  <c r="G602" i="4"/>
  <c r="A602" i="4"/>
  <c r="L602" i="4"/>
  <c r="D602" i="4"/>
  <c r="C602" i="4"/>
  <c r="J602" i="4"/>
  <c r="I602" i="4"/>
  <c r="F602" i="4"/>
  <c r="E602" i="4"/>
  <c r="H494" i="4"/>
  <c r="B494" i="4"/>
  <c r="G494" i="4"/>
  <c r="A494" i="4"/>
  <c r="L494" i="4"/>
  <c r="D494" i="4"/>
  <c r="C494" i="4"/>
  <c r="J494" i="4"/>
  <c r="E494" i="4"/>
  <c r="I494" i="4"/>
  <c r="F494" i="4"/>
  <c r="H600" i="4"/>
  <c r="B600" i="4"/>
  <c r="G600" i="4"/>
  <c r="A600" i="4"/>
  <c r="J600" i="4"/>
  <c r="I600" i="4"/>
  <c r="F600" i="4"/>
  <c r="E600" i="4"/>
  <c r="L600" i="4"/>
  <c r="D600" i="4"/>
  <c r="C600" i="4"/>
  <c r="H437" i="4"/>
  <c r="B437" i="4"/>
  <c r="G437" i="4"/>
  <c r="A437" i="4"/>
  <c r="L437" i="4"/>
  <c r="D437" i="4"/>
  <c r="J437" i="4"/>
  <c r="E437" i="4"/>
  <c r="C437" i="4"/>
  <c r="F437" i="4"/>
  <c r="I437" i="4"/>
  <c r="L372" i="4"/>
  <c r="F372" i="4"/>
  <c r="E372" i="4"/>
  <c r="D372" i="4"/>
  <c r="J372" i="4"/>
  <c r="B372" i="4"/>
  <c r="I372" i="4"/>
  <c r="H372" i="4"/>
  <c r="C372" i="4"/>
  <c r="A372" i="4"/>
  <c r="G372" i="4"/>
  <c r="L336" i="4"/>
  <c r="F336" i="4"/>
  <c r="E336" i="4"/>
  <c r="D336" i="4"/>
  <c r="J336" i="4"/>
  <c r="B336" i="4"/>
  <c r="I336" i="4"/>
  <c r="H336" i="4"/>
  <c r="G336" i="4"/>
  <c r="C336" i="4"/>
  <c r="A336" i="4"/>
  <c r="L797" i="4"/>
  <c r="F797" i="4"/>
  <c r="G797" i="4"/>
  <c r="A797" i="4"/>
  <c r="J797" i="4"/>
  <c r="B797" i="4"/>
  <c r="I797" i="4"/>
  <c r="H797" i="4"/>
  <c r="C797" i="4"/>
  <c r="E797" i="4"/>
  <c r="D797" i="4"/>
  <c r="H580" i="4"/>
  <c r="B580" i="4"/>
  <c r="G580" i="4"/>
  <c r="A580" i="4"/>
  <c r="F580" i="4"/>
  <c r="E580" i="4"/>
  <c r="I580" i="4"/>
  <c r="D580" i="4"/>
  <c r="C580" i="4"/>
  <c r="L580" i="4"/>
  <c r="J580" i="4"/>
  <c r="H440" i="4"/>
  <c r="B440" i="4"/>
  <c r="G440" i="4"/>
  <c r="A440" i="4"/>
  <c r="L440" i="4"/>
  <c r="D440" i="4"/>
  <c r="I440" i="4"/>
  <c r="F440" i="4"/>
  <c r="J440" i="4"/>
  <c r="E440" i="4"/>
  <c r="C440" i="4"/>
  <c r="L297" i="4"/>
  <c r="F297" i="4"/>
  <c r="E297" i="4"/>
  <c r="J297" i="4"/>
  <c r="C297" i="4"/>
  <c r="B297" i="4"/>
  <c r="A297" i="4"/>
  <c r="D297" i="4"/>
  <c r="I297" i="4"/>
  <c r="G297" i="4"/>
  <c r="H297" i="4"/>
  <c r="I269" i="4"/>
  <c r="C269" i="4"/>
  <c r="H269" i="4"/>
  <c r="B269" i="4"/>
  <c r="L269" i="4"/>
  <c r="D269" i="4"/>
  <c r="A269" i="4"/>
  <c r="J269" i="4"/>
  <c r="G269" i="4"/>
  <c r="F269" i="4"/>
  <c r="E269" i="4"/>
  <c r="I161" i="4"/>
  <c r="C161" i="4"/>
  <c r="H161" i="4"/>
  <c r="B161" i="4"/>
  <c r="L161" i="4"/>
  <c r="D161" i="4"/>
  <c r="A161" i="4"/>
  <c r="J161" i="4"/>
  <c r="E161" i="4"/>
  <c r="F161" i="4"/>
  <c r="G161" i="4"/>
  <c r="I53" i="4"/>
  <c r="C53" i="4"/>
  <c r="H53" i="4"/>
  <c r="B53" i="4"/>
  <c r="L53" i="4"/>
  <c r="D53" i="4"/>
  <c r="A53" i="4"/>
  <c r="J53" i="4"/>
  <c r="G53" i="4"/>
  <c r="F53" i="4"/>
  <c r="E53" i="4"/>
  <c r="I267" i="4"/>
  <c r="C267" i="4"/>
  <c r="H267" i="4"/>
  <c r="B267" i="4"/>
  <c r="J267" i="4"/>
  <c r="G267" i="4"/>
  <c r="F267" i="4"/>
  <c r="E267" i="4"/>
  <c r="D267" i="4"/>
  <c r="A267" i="4"/>
  <c r="L267" i="4"/>
  <c r="I141" i="4"/>
  <c r="C141" i="4"/>
  <c r="H141" i="4"/>
  <c r="B141" i="4"/>
  <c r="J141" i="4"/>
  <c r="G141" i="4"/>
  <c r="F141" i="4"/>
  <c r="E141" i="4"/>
  <c r="L141" i="4"/>
  <c r="D141" i="4"/>
  <c r="A141" i="4"/>
  <c r="I229" i="4"/>
  <c r="C229" i="4"/>
  <c r="H229" i="4"/>
  <c r="B229" i="4"/>
  <c r="F229" i="4"/>
  <c r="E229" i="4"/>
  <c r="L229" i="4"/>
  <c r="D229" i="4"/>
  <c r="J229" i="4"/>
  <c r="G229" i="4"/>
  <c r="A229" i="4"/>
  <c r="I136" i="4"/>
  <c r="C136" i="4"/>
  <c r="H136" i="4"/>
  <c r="B136" i="4"/>
  <c r="F136" i="4"/>
  <c r="E136" i="4"/>
  <c r="A136" i="4"/>
  <c r="L136" i="4"/>
  <c r="D136" i="4"/>
  <c r="J136" i="4"/>
  <c r="G136" i="4"/>
  <c r="I261" i="4"/>
  <c r="C261" i="4"/>
  <c r="H261" i="4"/>
  <c r="B261" i="4"/>
  <c r="J261" i="4"/>
  <c r="G261" i="4"/>
  <c r="F261" i="4"/>
  <c r="E261" i="4"/>
  <c r="A261" i="4"/>
  <c r="L261" i="4"/>
  <c r="D261" i="4"/>
  <c r="J25" i="4"/>
  <c r="D25" i="4"/>
  <c r="I25" i="4"/>
  <c r="C25" i="4"/>
  <c r="G25" i="4"/>
  <c r="F25" i="4"/>
  <c r="E25" i="4"/>
  <c r="H25" i="4"/>
  <c r="B25" i="4"/>
  <c r="A25" i="4"/>
  <c r="L25" i="4"/>
  <c r="E987" i="4"/>
  <c r="F987" i="4"/>
  <c r="H987" i="4"/>
  <c r="G987" i="4"/>
  <c r="L987" i="4"/>
  <c r="A987" i="4"/>
  <c r="J987" i="4"/>
  <c r="I987" i="4"/>
  <c r="D987" i="4"/>
  <c r="B987" i="4"/>
  <c r="C987" i="4"/>
  <c r="E927" i="4"/>
  <c r="J927" i="4"/>
  <c r="D927" i="4"/>
  <c r="I927" i="4"/>
  <c r="A927" i="4"/>
  <c r="H927" i="4"/>
  <c r="F927" i="4"/>
  <c r="G927" i="4"/>
  <c r="L927" i="4"/>
  <c r="B927" i="4"/>
  <c r="C927" i="4"/>
  <c r="J898" i="4"/>
  <c r="D898" i="4"/>
  <c r="I898" i="4"/>
  <c r="C898" i="4"/>
  <c r="A898" i="4"/>
  <c r="B898" i="4"/>
  <c r="F898" i="4"/>
  <c r="G898" i="4"/>
  <c r="E898" i="4"/>
  <c r="H898" i="4"/>
  <c r="L898" i="4"/>
  <c r="E853" i="4"/>
  <c r="F853" i="4"/>
  <c r="D853" i="4"/>
  <c r="L853" i="4"/>
  <c r="C853" i="4"/>
  <c r="G853" i="4"/>
  <c r="I853" i="4"/>
  <c r="A853" i="4"/>
  <c r="J853" i="4"/>
  <c r="H853" i="4"/>
  <c r="B853" i="4"/>
  <c r="J883" i="4"/>
  <c r="D883" i="4"/>
  <c r="I883" i="4"/>
  <c r="C883" i="4"/>
  <c r="G883" i="4"/>
  <c r="L883" i="4"/>
  <c r="A883" i="4"/>
  <c r="H883" i="4"/>
  <c r="F883" i="4"/>
  <c r="B883" i="4"/>
  <c r="E883" i="4"/>
  <c r="J714" i="4"/>
  <c r="D714" i="4"/>
  <c r="C714" i="4"/>
  <c r="I714" i="4"/>
  <c r="B714" i="4"/>
  <c r="H714" i="4"/>
  <c r="G714" i="4"/>
  <c r="F714" i="4"/>
  <c r="E714" i="4"/>
  <c r="A714" i="4"/>
  <c r="L714" i="4"/>
  <c r="E640" i="4"/>
  <c r="J640" i="4"/>
  <c r="D640" i="4"/>
  <c r="I640" i="4"/>
  <c r="A640" i="4"/>
  <c r="H640" i="4"/>
  <c r="L640" i="4"/>
  <c r="F640" i="4"/>
  <c r="C640" i="4"/>
  <c r="B640" i="4"/>
  <c r="G640" i="4"/>
  <c r="J712" i="4"/>
  <c r="D712" i="4"/>
  <c r="F712" i="4"/>
  <c r="L712" i="4"/>
  <c r="E712" i="4"/>
  <c r="A712" i="4"/>
  <c r="I712" i="4"/>
  <c r="B712" i="4"/>
  <c r="H712" i="4"/>
  <c r="G712" i="4"/>
  <c r="C712" i="4"/>
  <c r="G745" i="4"/>
  <c r="A745" i="4"/>
  <c r="I745" i="4"/>
  <c r="B745" i="4"/>
  <c r="H745" i="4"/>
  <c r="F745" i="4"/>
  <c r="C745" i="4"/>
  <c r="L745" i="4"/>
  <c r="J745" i="4"/>
  <c r="E745" i="4"/>
  <c r="D745" i="4"/>
  <c r="H581" i="4"/>
  <c r="B581" i="4"/>
  <c r="G581" i="4"/>
  <c r="A581" i="4"/>
  <c r="L581" i="4"/>
  <c r="D581" i="4"/>
  <c r="C581" i="4"/>
  <c r="I581" i="4"/>
  <c r="F581" i="4"/>
  <c r="E581" i="4"/>
  <c r="J581" i="4"/>
  <c r="H473" i="4"/>
  <c r="B473" i="4"/>
  <c r="G473" i="4"/>
  <c r="A473" i="4"/>
  <c r="L473" i="4"/>
  <c r="D473" i="4"/>
  <c r="C473" i="4"/>
  <c r="I473" i="4"/>
  <c r="F473" i="4"/>
  <c r="J473" i="4"/>
  <c r="E473" i="4"/>
  <c r="H565" i="4"/>
  <c r="B565" i="4"/>
  <c r="G565" i="4"/>
  <c r="A565" i="4"/>
  <c r="F565" i="4"/>
  <c r="E565" i="4"/>
  <c r="J565" i="4"/>
  <c r="I565" i="4"/>
  <c r="D565" i="4"/>
  <c r="C565" i="4"/>
  <c r="L565" i="4"/>
  <c r="J897" i="4"/>
  <c r="D897" i="4"/>
  <c r="I897" i="4"/>
  <c r="C897" i="4"/>
  <c r="E897" i="4"/>
  <c r="L897" i="4"/>
  <c r="A897" i="4"/>
  <c r="B897" i="4"/>
  <c r="F897" i="4"/>
  <c r="H897" i="4"/>
  <c r="G897" i="4"/>
  <c r="L365" i="4"/>
  <c r="F365" i="4"/>
  <c r="E365" i="4"/>
  <c r="H365" i="4"/>
  <c r="D365" i="4"/>
  <c r="A365" i="4"/>
  <c r="J365" i="4"/>
  <c r="G365" i="4"/>
  <c r="C365" i="4"/>
  <c r="B365" i="4"/>
  <c r="I365" i="4"/>
  <c r="L329" i="4"/>
  <c r="F329" i="4"/>
  <c r="E329" i="4"/>
  <c r="H329" i="4"/>
  <c r="D329" i="4"/>
  <c r="A329" i="4"/>
  <c r="J329" i="4"/>
  <c r="I329" i="4"/>
  <c r="G329" i="4"/>
  <c r="C329" i="4"/>
  <c r="B329" i="4"/>
  <c r="H495" i="4"/>
  <c r="B495" i="4"/>
  <c r="G495" i="4"/>
  <c r="A495" i="4"/>
  <c r="J495" i="4"/>
  <c r="I495" i="4"/>
  <c r="C495" i="4"/>
  <c r="L495" i="4"/>
  <c r="F495" i="4"/>
  <c r="E495" i="4"/>
  <c r="D495" i="4"/>
  <c r="H424" i="4"/>
  <c r="B424" i="4"/>
  <c r="G424" i="4"/>
  <c r="A424" i="4"/>
  <c r="F424" i="4"/>
  <c r="E424" i="4"/>
  <c r="D424" i="4"/>
  <c r="L424" i="4"/>
  <c r="J424" i="4"/>
  <c r="I424" i="4"/>
  <c r="C424" i="4"/>
  <c r="J706" i="4"/>
  <c r="D706" i="4"/>
  <c r="F706" i="4"/>
  <c r="L706" i="4"/>
  <c r="E706" i="4"/>
  <c r="H706" i="4"/>
  <c r="G706" i="4"/>
  <c r="C706" i="4"/>
  <c r="B706" i="4"/>
  <c r="I706" i="4"/>
  <c r="A706" i="4"/>
  <c r="L395" i="4"/>
  <c r="F395" i="4"/>
  <c r="J395" i="4"/>
  <c r="C395" i="4"/>
  <c r="I395" i="4"/>
  <c r="B395" i="4"/>
  <c r="E395" i="4"/>
  <c r="D395" i="4"/>
  <c r="A395" i="4"/>
  <c r="H395" i="4"/>
  <c r="G395" i="4"/>
  <c r="I248" i="4"/>
  <c r="C248" i="4"/>
  <c r="H248" i="4"/>
  <c r="B248" i="4"/>
  <c r="L248" i="4"/>
  <c r="D248" i="4"/>
  <c r="A248" i="4"/>
  <c r="J248" i="4"/>
  <c r="G248" i="4"/>
  <c r="F248" i="4"/>
  <c r="E248" i="4"/>
  <c r="I140" i="4"/>
  <c r="C140" i="4"/>
  <c r="H140" i="4"/>
  <c r="B140" i="4"/>
  <c r="L140" i="4"/>
  <c r="D140" i="4"/>
  <c r="A140" i="4"/>
  <c r="G140" i="4"/>
  <c r="F140" i="4"/>
  <c r="E140" i="4"/>
  <c r="J140" i="4"/>
  <c r="J709" i="4"/>
  <c r="D709" i="4"/>
  <c r="F709" i="4"/>
  <c r="L709" i="4"/>
  <c r="E709" i="4"/>
  <c r="C709" i="4"/>
  <c r="B709" i="4"/>
  <c r="A709" i="4"/>
  <c r="I709" i="4"/>
  <c r="H709" i="4"/>
  <c r="G709" i="4"/>
  <c r="I231" i="4"/>
  <c r="C231" i="4"/>
  <c r="H231" i="4"/>
  <c r="B231" i="4"/>
  <c r="J231" i="4"/>
  <c r="G231" i="4"/>
  <c r="F231" i="4"/>
  <c r="E231" i="4"/>
  <c r="D231" i="4"/>
  <c r="A231" i="4"/>
  <c r="L231" i="4"/>
  <c r="I106" i="4"/>
  <c r="C106" i="4"/>
  <c r="H106" i="4"/>
  <c r="B106" i="4"/>
  <c r="F106" i="4"/>
  <c r="E106" i="4"/>
  <c r="J106" i="4"/>
  <c r="G106" i="4"/>
  <c r="L106" i="4"/>
  <c r="D106" i="4"/>
  <c r="A106" i="4"/>
  <c r="I208" i="4"/>
  <c r="C208" i="4"/>
  <c r="H208" i="4"/>
  <c r="B208" i="4"/>
  <c r="F208" i="4"/>
  <c r="E208" i="4"/>
  <c r="L208" i="4"/>
  <c r="D208" i="4"/>
  <c r="J208" i="4"/>
  <c r="G208" i="4"/>
  <c r="A208" i="4"/>
  <c r="I108" i="4"/>
  <c r="C108" i="4"/>
  <c r="H108" i="4"/>
  <c r="B108" i="4"/>
  <c r="J108" i="4"/>
  <c r="G108" i="4"/>
  <c r="A108" i="4"/>
  <c r="L108" i="4"/>
  <c r="F108" i="4"/>
  <c r="E108" i="4"/>
  <c r="D108" i="4"/>
  <c r="I94" i="4"/>
  <c r="C94" i="4"/>
  <c r="H94" i="4"/>
  <c r="B94" i="4"/>
  <c r="F94" i="4"/>
  <c r="E94" i="4"/>
  <c r="G94" i="4"/>
  <c r="D94" i="4"/>
  <c r="A94" i="4"/>
  <c r="L94" i="4"/>
  <c r="J94" i="4"/>
  <c r="E19" i="5"/>
  <c r="D16" i="5"/>
  <c r="E1016" i="4"/>
  <c r="J1016" i="4"/>
  <c r="D1016" i="4"/>
  <c r="C1016" i="4"/>
  <c r="G1016" i="4"/>
  <c r="F1016" i="4"/>
  <c r="H1016" i="4"/>
  <c r="B1016" i="4"/>
  <c r="I1016" i="4"/>
  <c r="L1016" i="4"/>
  <c r="A1016" i="4"/>
  <c r="L973" i="4"/>
  <c r="F973" i="4"/>
  <c r="D973" i="4"/>
  <c r="J973" i="4"/>
  <c r="C973" i="4"/>
  <c r="A973" i="4"/>
  <c r="I973" i="4"/>
  <c r="H973" i="4"/>
  <c r="G973" i="4"/>
  <c r="B973" i="4"/>
  <c r="E973" i="4"/>
  <c r="E920" i="4"/>
  <c r="J920" i="4"/>
  <c r="D920" i="4"/>
  <c r="C920" i="4"/>
  <c r="L920" i="4"/>
  <c r="B920" i="4"/>
  <c r="H920" i="4"/>
  <c r="I920" i="4"/>
  <c r="A920" i="4"/>
  <c r="F920" i="4"/>
  <c r="G920" i="4"/>
  <c r="J892" i="4"/>
  <c r="D892" i="4"/>
  <c r="I892" i="4"/>
  <c r="C892" i="4"/>
  <c r="A892" i="4"/>
  <c r="G892" i="4"/>
  <c r="L892" i="4"/>
  <c r="B892" i="4"/>
  <c r="F892" i="4"/>
  <c r="H892" i="4"/>
  <c r="E892" i="4"/>
  <c r="E846" i="4"/>
  <c r="J846" i="4"/>
  <c r="C846" i="4"/>
  <c r="L846" i="4"/>
  <c r="B846" i="4"/>
  <c r="I846" i="4"/>
  <c r="A846" i="4"/>
  <c r="D846" i="4"/>
  <c r="G846" i="4"/>
  <c r="H846" i="4"/>
  <c r="F846" i="4"/>
  <c r="J819" i="4"/>
  <c r="D819" i="4"/>
  <c r="H819" i="4"/>
  <c r="A819" i="4"/>
  <c r="I819" i="4"/>
  <c r="B819" i="4"/>
  <c r="F819" i="4"/>
  <c r="E819" i="4"/>
  <c r="C819" i="4"/>
  <c r="L819" i="4"/>
  <c r="G819" i="4"/>
  <c r="J693" i="4"/>
  <c r="D693" i="4"/>
  <c r="C693" i="4"/>
  <c r="I693" i="4"/>
  <c r="B693" i="4"/>
  <c r="A693" i="4"/>
  <c r="L693" i="4"/>
  <c r="G693" i="4"/>
  <c r="F693" i="4"/>
  <c r="E693" i="4"/>
  <c r="H693" i="4"/>
  <c r="J833" i="4"/>
  <c r="D833" i="4"/>
  <c r="F833" i="4"/>
  <c r="L833" i="4"/>
  <c r="E833" i="4"/>
  <c r="G833" i="4"/>
  <c r="I833" i="4"/>
  <c r="H833" i="4"/>
  <c r="C833" i="4"/>
  <c r="B833" i="4"/>
  <c r="A833" i="4"/>
  <c r="J677" i="4"/>
  <c r="D677" i="4"/>
  <c r="H677" i="4"/>
  <c r="A677" i="4"/>
  <c r="G677" i="4"/>
  <c r="I677" i="4"/>
  <c r="L677" i="4"/>
  <c r="E677" i="4"/>
  <c r="C677" i="4"/>
  <c r="B677" i="4"/>
  <c r="F677" i="4"/>
  <c r="J680" i="4"/>
  <c r="D680" i="4"/>
  <c r="H680" i="4"/>
  <c r="A680" i="4"/>
  <c r="G680" i="4"/>
  <c r="F680" i="4"/>
  <c r="E680" i="4"/>
  <c r="I680" i="4"/>
  <c r="L680" i="4"/>
  <c r="C680" i="4"/>
  <c r="B680" i="4"/>
  <c r="H560" i="4"/>
  <c r="B560" i="4"/>
  <c r="G560" i="4"/>
  <c r="A560" i="4"/>
  <c r="L560" i="4"/>
  <c r="D560" i="4"/>
  <c r="C560" i="4"/>
  <c r="E560" i="4"/>
  <c r="J560" i="4"/>
  <c r="I560" i="4"/>
  <c r="F560" i="4"/>
  <c r="H452" i="4"/>
  <c r="B452" i="4"/>
  <c r="G452" i="4"/>
  <c r="A452" i="4"/>
  <c r="L452" i="4"/>
  <c r="D452" i="4"/>
  <c r="E452" i="4"/>
  <c r="C452" i="4"/>
  <c r="J452" i="4"/>
  <c r="I452" i="4"/>
  <c r="F452" i="4"/>
  <c r="H537" i="4"/>
  <c r="B537" i="4"/>
  <c r="G537" i="4"/>
  <c r="A537" i="4"/>
  <c r="J537" i="4"/>
  <c r="I537" i="4"/>
  <c r="F537" i="4"/>
  <c r="E537" i="4"/>
  <c r="L537" i="4"/>
  <c r="D537" i="4"/>
  <c r="C537" i="4"/>
  <c r="J664" i="4"/>
  <c r="D664" i="4"/>
  <c r="F664" i="4"/>
  <c r="L664" i="4"/>
  <c r="E664" i="4"/>
  <c r="C664" i="4"/>
  <c r="B664" i="4"/>
  <c r="H664" i="4"/>
  <c r="G664" i="4"/>
  <c r="I664" i="4"/>
  <c r="A664" i="4"/>
  <c r="L358" i="4"/>
  <c r="F358" i="4"/>
  <c r="E358" i="4"/>
  <c r="J358" i="4"/>
  <c r="B358" i="4"/>
  <c r="H358" i="4"/>
  <c r="C358" i="4"/>
  <c r="A358" i="4"/>
  <c r="I358" i="4"/>
  <c r="G358" i="4"/>
  <c r="D358" i="4"/>
  <c r="G747" i="4"/>
  <c r="A747" i="4"/>
  <c r="F747" i="4"/>
  <c r="J747" i="4"/>
  <c r="B747" i="4"/>
  <c r="I747" i="4"/>
  <c r="D747" i="4"/>
  <c r="C747" i="4"/>
  <c r="H747" i="4"/>
  <c r="E747" i="4"/>
  <c r="L747" i="4"/>
  <c r="H450" i="4"/>
  <c r="B450" i="4"/>
  <c r="G450" i="4"/>
  <c r="A450" i="4"/>
  <c r="J450" i="4"/>
  <c r="F450" i="4"/>
  <c r="E450" i="4"/>
  <c r="I450" i="4"/>
  <c r="D450" i="4"/>
  <c r="C450" i="4"/>
  <c r="L450" i="4"/>
  <c r="L379" i="4"/>
  <c r="F379" i="4"/>
  <c r="H379" i="4"/>
  <c r="A379" i="4"/>
  <c r="G379" i="4"/>
  <c r="C379" i="4"/>
  <c r="B379" i="4"/>
  <c r="J379" i="4"/>
  <c r="I379" i="4"/>
  <c r="E379" i="4"/>
  <c r="D379" i="4"/>
  <c r="L325" i="4"/>
  <c r="F325" i="4"/>
  <c r="H325" i="4"/>
  <c r="A325" i="4"/>
  <c r="E325" i="4"/>
  <c r="B325" i="4"/>
  <c r="J325" i="4"/>
  <c r="G325" i="4"/>
  <c r="D325" i="4"/>
  <c r="C325" i="4"/>
  <c r="I325" i="4"/>
  <c r="H606" i="4"/>
  <c r="B606" i="4"/>
  <c r="G606" i="4"/>
  <c r="A606" i="4"/>
  <c r="J606" i="4"/>
  <c r="I606" i="4"/>
  <c r="E606" i="4"/>
  <c r="D606" i="4"/>
  <c r="C606" i="4"/>
  <c r="L606" i="4"/>
  <c r="F606" i="4"/>
  <c r="I227" i="4"/>
  <c r="C227" i="4"/>
  <c r="H227" i="4"/>
  <c r="B227" i="4"/>
  <c r="L227" i="4"/>
  <c r="D227" i="4"/>
  <c r="A227" i="4"/>
  <c r="J227" i="4"/>
  <c r="E227" i="4"/>
  <c r="G227" i="4"/>
  <c r="F227" i="4"/>
  <c r="I119" i="4"/>
  <c r="C119" i="4"/>
  <c r="H119" i="4"/>
  <c r="B119" i="4"/>
  <c r="L119" i="4"/>
  <c r="D119" i="4"/>
  <c r="A119" i="4"/>
  <c r="E119" i="4"/>
  <c r="J119" i="4"/>
  <c r="G119" i="4"/>
  <c r="F119" i="4"/>
  <c r="L809" i="4"/>
  <c r="F809" i="4"/>
  <c r="G809" i="4"/>
  <c r="A809" i="4"/>
  <c r="J809" i="4"/>
  <c r="B809" i="4"/>
  <c r="E809" i="4"/>
  <c r="D809" i="4"/>
  <c r="C809" i="4"/>
  <c r="H809" i="4"/>
  <c r="I809" i="4"/>
  <c r="I210" i="4"/>
  <c r="C210" i="4"/>
  <c r="H210" i="4"/>
  <c r="B210" i="4"/>
  <c r="J210" i="4"/>
  <c r="G210" i="4"/>
  <c r="F210" i="4"/>
  <c r="E210" i="4"/>
  <c r="D210" i="4"/>
  <c r="A210" i="4"/>
  <c r="L210" i="4"/>
  <c r="I78" i="4"/>
  <c r="C78" i="4"/>
  <c r="H78" i="4"/>
  <c r="B78" i="4"/>
  <c r="J78" i="4"/>
  <c r="G78" i="4"/>
  <c r="F78" i="4"/>
  <c r="E78" i="4"/>
  <c r="L78" i="4"/>
  <c r="D78" i="4"/>
  <c r="A78" i="4"/>
  <c r="I187" i="4"/>
  <c r="C187" i="4"/>
  <c r="H187" i="4"/>
  <c r="B187" i="4"/>
  <c r="F187" i="4"/>
  <c r="E187" i="4"/>
  <c r="L187" i="4"/>
  <c r="D187" i="4"/>
  <c r="J187" i="4"/>
  <c r="G187" i="4"/>
  <c r="A187" i="4"/>
  <c r="I73" i="4"/>
  <c r="C73" i="4"/>
  <c r="H73" i="4"/>
  <c r="B73" i="4"/>
  <c r="F73" i="4"/>
  <c r="E73" i="4"/>
  <c r="A73" i="4"/>
  <c r="L73" i="4"/>
  <c r="D73" i="4"/>
  <c r="J73" i="4"/>
  <c r="G73" i="4"/>
  <c r="L314" i="4"/>
  <c r="F314" i="4"/>
  <c r="J314" i="4"/>
  <c r="C314" i="4"/>
  <c r="H314" i="4"/>
  <c r="A314" i="4"/>
  <c r="D314" i="4"/>
  <c r="B314" i="4"/>
  <c r="I314" i="4"/>
  <c r="G314" i="4"/>
  <c r="E314" i="4"/>
  <c r="E1015" i="4"/>
  <c r="J1015" i="4"/>
  <c r="D1015" i="4"/>
  <c r="G1015" i="4"/>
  <c r="H1015" i="4"/>
  <c r="F1015" i="4"/>
  <c r="B1015" i="4"/>
  <c r="A1015" i="4"/>
  <c r="I1015" i="4"/>
  <c r="C1015" i="4"/>
  <c r="L1015" i="4"/>
  <c r="L961" i="4"/>
  <c r="F961" i="4"/>
  <c r="D961" i="4"/>
  <c r="J961" i="4"/>
  <c r="C961" i="4"/>
  <c r="G961" i="4"/>
  <c r="E961" i="4"/>
  <c r="H961" i="4"/>
  <c r="B961" i="4"/>
  <c r="I961" i="4"/>
  <c r="A961" i="4"/>
  <c r="E919" i="4"/>
  <c r="J919" i="4"/>
  <c r="D919" i="4"/>
  <c r="G919" i="4"/>
  <c r="F919" i="4"/>
  <c r="H919" i="4"/>
  <c r="C919" i="4"/>
  <c r="I919" i="4"/>
  <c r="B919" i="4"/>
  <c r="L919" i="4"/>
  <c r="A919" i="4"/>
  <c r="J889" i="4"/>
  <c r="D889" i="4"/>
  <c r="I889" i="4"/>
  <c r="C889" i="4"/>
  <c r="A889" i="4"/>
  <c r="L889" i="4"/>
  <c r="G889" i="4"/>
  <c r="E889" i="4"/>
  <c r="B889" i="4"/>
  <c r="F889" i="4"/>
  <c r="H889" i="4"/>
  <c r="E845" i="4"/>
  <c r="H845" i="4"/>
  <c r="A845" i="4"/>
  <c r="F845" i="4"/>
  <c r="D845" i="4"/>
  <c r="G845" i="4"/>
  <c r="B845" i="4"/>
  <c r="L845" i="4"/>
  <c r="J845" i="4"/>
  <c r="I845" i="4"/>
  <c r="C845" i="4"/>
  <c r="J818" i="4"/>
  <c r="F818" i="4"/>
  <c r="G818" i="4"/>
  <c r="A818" i="4"/>
  <c r="B818" i="4"/>
  <c r="E818" i="4"/>
  <c r="D818" i="4"/>
  <c r="I818" i="4"/>
  <c r="H818" i="4"/>
  <c r="L818" i="4"/>
  <c r="C818" i="4"/>
  <c r="J690" i="4"/>
  <c r="D690" i="4"/>
  <c r="C690" i="4"/>
  <c r="I690" i="4"/>
  <c r="B690" i="4"/>
  <c r="F690" i="4"/>
  <c r="E690" i="4"/>
  <c r="A690" i="4"/>
  <c r="L690" i="4"/>
  <c r="H690" i="4"/>
  <c r="G690" i="4"/>
  <c r="J825" i="4"/>
  <c r="D825" i="4"/>
  <c r="H825" i="4"/>
  <c r="A825" i="4"/>
  <c r="I825" i="4"/>
  <c r="B825" i="4"/>
  <c r="C825" i="4"/>
  <c r="L825" i="4"/>
  <c r="E825" i="4"/>
  <c r="G825" i="4"/>
  <c r="F825" i="4"/>
  <c r="J676" i="4"/>
  <c r="D676" i="4"/>
  <c r="F676" i="4"/>
  <c r="L676" i="4"/>
  <c r="E676" i="4"/>
  <c r="A676" i="4"/>
  <c r="I676" i="4"/>
  <c r="H676" i="4"/>
  <c r="G676" i="4"/>
  <c r="C676" i="4"/>
  <c r="B676" i="4"/>
  <c r="J673" i="4"/>
  <c r="D673" i="4"/>
  <c r="F673" i="4"/>
  <c r="L673" i="4"/>
  <c r="E673" i="4"/>
  <c r="C673" i="4"/>
  <c r="B673" i="4"/>
  <c r="I673" i="4"/>
  <c r="G673" i="4"/>
  <c r="A673" i="4"/>
  <c r="H673" i="4"/>
  <c r="H557" i="4"/>
  <c r="B557" i="4"/>
  <c r="G557" i="4"/>
  <c r="A557" i="4"/>
  <c r="L557" i="4"/>
  <c r="D557" i="4"/>
  <c r="C557" i="4"/>
  <c r="J557" i="4"/>
  <c r="I557" i="4"/>
  <c r="F557" i="4"/>
  <c r="E557" i="4"/>
  <c r="J880" i="4"/>
  <c r="D880" i="4"/>
  <c r="I880" i="4"/>
  <c r="C880" i="4"/>
  <c r="G880" i="4"/>
  <c r="E880" i="4"/>
  <c r="F880" i="4"/>
  <c r="B880" i="4"/>
  <c r="H880" i="4"/>
  <c r="L880" i="4"/>
  <c r="A880" i="4"/>
  <c r="H529" i="4"/>
  <c r="B529" i="4"/>
  <c r="G529" i="4"/>
  <c r="A529" i="4"/>
  <c r="F529" i="4"/>
  <c r="E529" i="4"/>
  <c r="J529" i="4"/>
  <c r="I529" i="4"/>
  <c r="D529" i="4"/>
  <c r="C529" i="4"/>
  <c r="L529" i="4"/>
  <c r="J662" i="4"/>
  <c r="D662" i="4"/>
  <c r="H662" i="4"/>
  <c r="A662" i="4"/>
  <c r="G662" i="4"/>
  <c r="F662" i="4"/>
  <c r="E662" i="4"/>
  <c r="L662" i="4"/>
  <c r="I662" i="4"/>
  <c r="C662" i="4"/>
  <c r="B662" i="4"/>
  <c r="L357" i="4"/>
  <c r="F357" i="4"/>
  <c r="E357" i="4"/>
  <c r="D357" i="4"/>
  <c r="J357" i="4"/>
  <c r="B357" i="4"/>
  <c r="A357" i="4"/>
  <c r="C357" i="4"/>
  <c r="I357" i="4"/>
  <c r="H357" i="4"/>
  <c r="G357" i="4"/>
  <c r="H622" i="4"/>
  <c r="B622" i="4"/>
  <c r="G622" i="4"/>
  <c r="A622" i="4"/>
  <c r="F622" i="4"/>
  <c r="E622" i="4"/>
  <c r="C622" i="4"/>
  <c r="L622" i="4"/>
  <c r="J622" i="4"/>
  <c r="I622" i="4"/>
  <c r="D622" i="4"/>
  <c r="H443" i="4"/>
  <c r="B443" i="4"/>
  <c r="G443" i="4"/>
  <c r="A443" i="4"/>
  <c r="L443" i="4"/>
  <c r="D443" i="4"/>
  <c r="E443" i="4"/>
  <c r="C443" i="4"/>
  <c r="J443" i="4"/>
  <c r="I443" i="4"/>
  <c r="F443" i="4"/>
  <c r="L772" i="4"/>
  <c r="F772" i="4"/>
  <c r="G772" i="4"/>
  <c r="A772" i="4"/>
  <c r="D772" i="4"/>
  <c r="H772" i="4"/>
  <c r="E772" i="4"/>
  <c r="J772" i="4"/>
  <c r="I772" i="4"/>
  <c r="C772" i="4"/>
  <c r="B772" i="4"/>
  <c r="L317" i="4"/>
  <c r="F317" i="4"/>
  <c r="J317" i="4"/>
  <c r="C317" i="4"/>
  <c r="H317" i="4"/>
  <c r="A317" i="4"/>
  <c r="I317" i="4"/>
  <c r="E317" i="4"/>
  <c r="D317" i="4"/>
  <c r="B317" i="4"/>
  <c r="G317" i="4"/>
  <c r="H597" i="4"/>
  <c r="B597" i="4"/>
  <c r="G597" i="4"/>
  <c r="A597" i="4"/>
  <c r="J597" i="4"/>
  <c r="I597" i="4"/>
  <c r="E597" i="4"/>
  <c r="D597" i="4"/>
  <c r="C597" i="4"/>
  <c r="L597" i="4"/>
  <c r="F597" i="4"/>
  <c r="I224" i="4"/>
  <c r="C224" i="4"/>
  <c r="H224" i="4"/>
  <c r="B224" i="4"/>
  <c r="L224" i="4"/>
  <c r="D224" i="4"/>
  <c r="A224" i="4"/>
  <c r="J224" i="4"/>
  <c r="E224" i="4"/>
  <c r="G224" i="4"/>
  <c r="F224" i="4"/>
  <c r="I116" i="4"/>
  <c r="C116" i="4"/>
  <c r="H116" i="4"/>
  <c r="B116" i="4"/>
  <c r="L116" i="4"/>
  <c r="D116" i="4"/>
  <c r="A116" i="4"/>
  <c r="J116" i="4"/>
  <c r="G116" i="4"/>
  <c r="F116" i="4"/>
  <c r="E116" i="4"/>
  <c r="H434" i="4"/>
  <c r="B434" i="4"/>
  <c r="G434" i="4"/>
  <c r="A434" i="4"/>
  <c r="L434" i="4"/>
  <c r="D434" i="4"/>
  <c r="E434" i="4"/>
  <c r="C434" i="4"/>
  <c r="I434" i="4"/>
  <c r="F434" i="4"/>
  <c r="J434" i="4"/>
  <c r="I207" i="4"/>
  <c r="C207" i="4"/>
  <c r="H207" i="4"/>
  <c r="B207" i="4"/>
  <c r="J207" i="4"/>
  <c r="G207" i="4"/>
  <c r="F207" i="4"/>
  <c r="E207" i="4"/>
  <c r="D207" i="4"/>
  <c r="A207" i="4"/>
  <c r="L207" i="4"/>
  <c r="I70" i="4"/>
  <c r="C70" i="4"/>
  <c r="H70" i="4"/>
  <c r="B70" i="4"/>
  <c r="F70" i="4"/>
  <c r="E70" i="4"/>
  <c r="J70" i="4"/>
  <c r="G70" i="4"/>
  <c r="L70" i="4"/>
  <c r="D70" i="4"/>
  <c r="A70" i="4"/>
  <c r="I184" i="4"/>
  <c r="C184" i="4"/>
  <c r="H184" i="4"/>
  <c r="B184" i="4"/>
  <c r="F184" i="4"/>
  <c r="E184" i="4"/>
  <c r="L184" i="4"/>
  <c r="D184" i="4"/>
  <c r="J184" i="4"/>
  <c r="G184" i="4"/>
  <c r="A184" i="4"/>
  <c r="I72" i="4"/>
  <c r="C72" i="4"/>
  <c r="H72" i="4"/>
  <c r="B72" i="4"/>
  <c r="J72" i="4"/>
  <c r="G72" i="4"/>
  <c r="A72" i="4"/>
  <c r="L72" i="4"/>
  <c r="F72" i="4"/>
  <c r="E72" i="4"/>
  <c r="D72" i="4"/>
  <c r="L302" i="4"/>
  <c r="F302" i="4"/>
  <c r="J302" i="4"/>
  <c r="C302" i="4"/>
  <c r="H302" i="4"/>
  <c r="A302" i="4"/>
  <c r="G302" i="4"/>
  <c r="E302" i="4"/>
  <c r="I302" i="4"/>
  <c r="D302" i="4"/>
  <c r="B302" i="4"/>
  <c r="E844" i="4"/>
  <c r="F844" i="4"/>
  <c r="I844" i="4"/>
  <c r="A844" i="4"/>
  <c r="H844" i="4"/>
  <c r="J844" i="4"/>
  <c r="B844" i="4"/>
  <c r="D844" i="4"/>
  <c r="C844" i="4"/>
  <c r="L844" i="4"/>
  <c r="G844" i="4"/>
  <c r="H554" i="4"/>
  <c r="B554" i="4"/>
  <c r="G554" i="4"/>
  <c r="A554" i="4"/>
  <c r="L554" i="4"/>
  <c r="D554" i="4"/>
  <c r="C554" i="4"/>
  <c r="I554" i="4"/>
  <c r="F554" i="4"/>
  <c r="E554" i="4"/>
  <c r="J554" i="4"/>
  <c r="H435" i="4"/>
  <c r="B435" i="4"/>
  <c r="G435" i="4"/>
  <c r="A435" i="4"/>
  <c r="J435" i="4"/>
  <c r="D435" i="4"/>
  <c r="L435" i="4"/>
  <c r="C435" i="4"/>
  <c r="I435" i="4"/>
  <c r="F435" i="4"/>
  <c r="E435" i="4"/>
  <c r="I113" i="4"/>
  <c r="C113" i="4"/>
  <c r="H113" i="4"/>
  <c r="B113" i="4"/>
  <c r="L113" i="4"/>
  <c r="D113" i="4"/>
  <c r="A113" i="4"/>
  <c r="G113" i="4"/>
  <c r="F113" i="4"/>
  <c r="E113" i="4"/>
  <c r="J113" i="4"/>
  <c r="I181" i="4"/>
  <c r="C181" i="4"/>
  <c r="H181" i="4"/>
  <c r="B181" i="4"/>
  <c r="F181" i="4"/>
  <c r="E181" i="4"/>
  <c r="L181" i="4"/>
  <c r="D181" i="4"/>
  <c r="J181" i="4"/>
  <c r="G181" i="4"/>
  <c r="A181" i="4"/>
  <c r="E917" i="4"/>
  <c r="J917" i="4"/>
  <c r="D917" i="4"/>
  <c r="C917" i="4"/>
  <c r="L917" i="4"/>
  <c r="B917" i="4"/>
  <c r="F917" i="4"/>
  <c r="I917" i="4"/>
  <c r="G917" i="4"/>
  <c r="H917" i="4"/>
  <c r="A917" i="4"/>
  <c r="L811" i="4"/>
  <c r="F811" i="4"/>
  <c r="G811" i="4"/>
  <c r="A811" i="4"/>
  <c r="D811" i="4"/>
  <c r="C811" i="4"/>
  <c r="B811" i="4"/>
  <c r="J811" i="4"/>
  <c r="I811" i="4"/>
  <c r="H811" i="4"/>
  <c r="E811" i="4"/>
  <c r="L789" i="4"/>
  <c r="F789" i="4"/>
  <c r="G789" i="4"/>
  <c r="A789" i="4"/>
  <c r="H789" i="4"/>
  <c r="I789" i="4"/>
  <c r="E789" i="4"/>
  <c r="B789" i="4"/>
  <c r="J789" i="4"/>
  <c r="D789" i="4"/>
  <c r="C789" i="4"/>
  <c r="J691" i="4"/>
  <c r="D691" i="4"/>
  <c r="F691" i="4"/>
  <c r="L691" i="4"/>
  <c r="E691" i="4"/>
  <c r="C691" i="4"/>
  <c r="B691" i="4"/>
  <c r="H691" i="4"/>
  <c r="G691" i="4"/>
  <c r="I691" i="4"/>
  <c r="A691" i="4"/>
  <c r="I110" i="4"/>
  <c r="C110" i="4"/>
  <c r="H110" i="4"/>
  <c r="B110" i="4"/>
  <c r="L110" i="4"/>
  <c r="D110" i="4"/>
  <c r="A110" i="4"/>
  <c r="E110" i="4"/>
  <c r="J110" i="4"/>
  <c r="G110" i="4"/>
  <c r="F110" i="4"/>
  <c r="I63" i="4"/>
  <c r="C63" i="4"/>
  <c r="H63" i="4"/>
  <c r="B63" i="4"/>
  <c r="J63" i="4"/>
  <c r="G63" i="4"/>
  <c r="A63" i="4"/>
  <c r="L63" i="4"/>
  <c r="F63" i="4"/>
  <c r="E63" i="4"/>
  <c r="D63" i="4"/>
  <c r="E916" i="4"/>
  <c r="J916" i="4"/>
  <c r="D916" i="4"/>
  <c r="G916" i="4"/>
  <c r="F916" i="4"/>
  <c r="B916" i="4"/>
  <c r="I916" i="4"/>
  <c r="C916" i="4"/>
  <c r="H916" i="4"/>
  <c r="A916" i="4"/>
  <c r="L916" i="4"/>
  <c r="J681" i="4"/>
  <c r="D681" i="4"/>
  <c r="C681" i="4"/>
  <c r="I681" i="4"/>
  <c r="B681" i="4"/>
  <c r="F681" i="4"/>
  <c r="E681" i="4"/>
  <c r="L681" i="4"/>
  <c r="G681" i="4"/>
  <c r="A681" i="4"/>
  <c r="H681" i="4"/>
  <c r="L783" i="4"/>
  <c r="F783" i="4"/>
  <c r="G783" i="4"/>
  <c r="A783" i="4"/>
  <c r="H783" i="4"/>
  <c r="D783" i="4"/>
  <c r="C783" i="4"/>
  <c r="I783" i="4"/>
  <c r="E783" i="4"/>
  <c r="J783" i="4"/>
  <c r="B783" i="4"/>
  <c r="L354" i="4"/>
  <c r="F354" i="4"/>
  <c r="E354" i="4"/>
  <c r="D354" i="4"/>
  <c r="J354" i="4"/>
  <c r="B354" i="4"/>
  <c r="I354" i="4"/>
  <c r="H354" i="4"/>
  <c r="G354" i="4"/>
  <c r="C354" i="4"/>
  <c r="A354" i="4"/>
  <c r="I215" i="4"/>
  <c r="C215" i="4"/>
  <c r="H215" i="4"/>
  <c r="B215" i="4"/>
  <c r="L215" i="4"/>
  <c r="D215" i="4"/>
  <c r="A215" i="4"/>
  <c r="J215" i="4"/>
  <c r="E215" i="4"/>
  <c r="G215" i="4"/>
  <c r="F215" i="4"/>
  <c r="I175" i="4"/>
  <c r="C175" i="4"/>
  <c r="H175" i="4"/>
  <c r="B175" i="4"/>
  <c r="F175" i="4"/>
  <c r="E175" i="4"/>
  <c r="L175" i="4"/>
  <c r="D175" i="4"/>
  <c r="J175" i="4"/>
  <c r="G175" i="4"/>
  <c r="A175" i="4"/>
  <c r="E945" i="4"/>
  <c r="J945" i="4"/>
  <c r="D945" i="4"/>
  <c r="I945" i="4"/>
  <c r="A945" i="4"/>
  <c r="H945" i="4"/>
  <c r="F945" i="4"/>
  <c r="B945" i="4"/>
  <c r="G945" i="4"/>
  <c r="L945" i="4"/>
  <c r="C945" i="4"/>
  <c r="E835" i="4"/>
  <c r="F835" i="4"/>
  <c r="D835" i="4"/>
  <c r="L835" i="4"/>
  <c r="C835" i="4"/>
  <c r="G835" i="4"/>
  <c r="A835" i="4"/>
  <c r="I835" i="4"/>
  <c r="H835" i="4"/>
  <c r="J835" i="4"/>
  <c r="B835" i="4"/>
  <c r="G748" i="4"/>
  <c r="A748" i="4"/>
  <c r="I748" i="4"/>
  <c r="B748" i="4"/>
  <c r="F748" i="4"/>
  <c r="E748" i="4"/>
  <c r="D748" i="4"/>
  <c r="C748" i="4"/>
  <c r="L748" i="4"/>
  <c r="J748" i="4"/>
  <c r="H748" i="4"/>
  <c r="I274" i="4"/>
  <c r="C274" i="4"/>
  <c r="H274" i="4"/>
  <c r="B274" i="4"/>
  <c r="F274" i="4"/>
  <c r="E274" i="4"/>
  <c r="L274" i="4"/>
  <c r="D274" i="4"/>
  <c r="A274" i="4"/>
  <c r="G274" i="4"/>
  <c r="J274" i="4"/>
  <c r="E838" i="4"/>
  <c r="F838" i="4"/>
  <c r="L838" i="4"/>
  <c r="C838" i="4"/>
  <c r="J838" i="4"/>
  <c r="B838" i="4"/>
  <c r="D838" i="4"/>
  <c r="I838" i="4"/>
  <c r="H838" i="4"/>
  <c r="G838" i="4"/>
  <c r="A838" i="4"/>
  <c r="J888" i="4"/>
  <c r="D888" i="4"/>
  <c r="I888" i="4"/>
  <c r="C888" i="4"/>
  <c r="E888" i="4"/>
  <c r="L888" i="4"/>
  <c r="A888" i="4"/>
  <c r="G888" i="4"/>
  <c r="B888" i="4"/>
  <c r="H888" i="4"/>
  <c r="F888" i="4"/>
  <c r="H536" i="4"/>
  <c r="B536" i="4"/>
  <c r="G536" i="4"/>
  <c r="A536" i="4"/>
  <c r="L536" i="4"/>
  <c r="D536" i="4"/>
  <c r="C536" i="4"/>
  <c r="I536" i="4"/>
  <c r="F536" i="4"/>
  <c r="E536" i="4"/>
  <c r="J536" i="4"/>
  <c r="H594" i="4"/>
  <c r="B594" i="4"/>
  <c r="G594" i="4"/>
  <c r="A594" i="4"/>
  <c r="J594" i="4"/>
  <c r="I594" i="4"/>
  <c r="C594" i="4"/>
  <c r="L594" i="4"/>
  <c r="F594" i="4"/>
  <c r="E594" i="4"/>
  <c r="D594" i="4"/>
  <c r="I203" i="4"/>
  <c r="C203" i="4"/>
  <c r="H203" i="4"/>
  <c r="B203" i="4"/>
  <c r="L203" i="4"/>
  <c r="D203" i="4"/>
  <c r="A203" i="4"/>
  <c r="J203" i="4"/>
  <c r="E203" i="4"/>
  <c r="G203" i="4"/>
  <c r="F203" i="4"/>
  <c r="I42" i="4"/>
  <c r="C42" i="4"/>
  <c r="H42" i="4"/>
  <c r="B42" i="4"/>
  <c r="J42" i="4"/>
  <c r="G42" i="4"/>
  <c r="F42" i="4"/>
  <c r="E42" i="4"/>
  <c r="L42" i="4"/>
  <c r="D42" i="4"/>
  <c r="A42" i="4"/>
  <c r="I120" i="4"/>
  <c r="C120" i="4"/>
  <c r="H120" i="4"/>
  <c r="B120" i="4"/>
  <c r="J120" i="4"/>
  <c r="G120" i="4"/>
  <c r="E120" i="4"/>
  <c r="D120" i="4"/>
  <c r="A120" i="4"/>
  <c r="F120" i="4"/>
  <c r="L120" i="4"/>
  <c r="E873" i="4"/>
  <c r="J873" i="4"/>
  <c r="C873" i="4"/>
  <c r="G873" i="4"/>
  <c r="F873" i="4"/>
  <c r="H873" i="4"/>
  <c r="L873" i="4"/>
  <c r="I873" i="4"/>
  <c r="D873" i="4"/>
  <c r="B873" i="4"/>
  <c r="A873" i="4"/>
  <c r="L784" i="4"/>
  <c r="F784" i="4"/>
  <c r="G784" i="4"/>
  <c r="A784" i="4"/>
  <c r="D784" i="4"/>
  <c r="C784" i="4"/>
  <c r="B784" i="4"/>
  <c r="J784" i="4"/>
  <c r="I784" i="4"/>
  <c r="H784" i="4"/>
  <c r="E784" i="4"/>
  <c r="L763" i="4"/>
  <c r="F763" i="4"/>
  <c r="G763" i="4"/>
  <c r="A763" i="4"/>
  <c r="D763" i="4"/>
  <c r="H763" i="4"/>
  <c r="E763" i="4"/>
  <c r="C763" i="4"/>
  <c r="B763" i="4"/>
  <c r="J763" i="4"/>
  <c r="I763" i="4"/>
  <c r="L399" i="4"/>
  <c r="F399" i="4"/>
  <c r="E399" i="4"/>
  <c r="D399" i="4"/>
  <c r="J399" i="4"/>
  <c r="A399" i="4"/>
  <c r="I399" i="4"/>
  <c r="H399" i="4"/>
  <c r="B399" i="4"/>
  <c r="C399" i="4"/>
  <c r="G399" i="4"/>
  <c r="H526" i="4"/>
  <c r="B526" i="4"/>
  <c r="G526" i="4"/>
  <c r="A526" i="4"/>
  <c r="F526" i="4"/>
  <c r="E526" i="4"/>
  <c r="I526" i="4"/>
  <c r="D526" i="4"/>
  <c r="C526" i="4"/>
  <c r="L526" i="4"/>
  <c r="J526" i="4"/>
  <c r="L293" i="4"/>
  <c r="F293" i="4"/>
  <c r="J293" i="4"/>
  <c r="C293" i="4"/>
  <c r="H293" i="4"/>
  <c r="A293" i="4"/>
  <c r="G293" i="4"/>
  <c r="E293" i="4"/>
  <c r="B293" i="4"/>
  <c r="D293" i="4"/>
  <c r="I293" i="4"/>
  <c r="I160" i="4"/>
  <c r="C160" i="4"/>
  <c r="H160" i="4"/>
  <c r="B160" i="4"/>
  <c r="F160" i="4"/>
  <c r="E160" i="4"/>
  <c r="L160" i="4"/>
  <c r="D160" i="4"/>
  <c r="J160" i="4"/>
  <c r="G160" i="4"/>
  <c r="A160" i="4"/>
  <c r="E946" i="4"/>
  <c r="J946" i="4"/>
  <c r="D946" i="4"/>
  <c r="G946" i="4"/>
  <c r="F946" i="4"/>
  <c r="H946" i="4"/>
  <c r="C946" i="4"/>
  <c r="I946" i="4"/>
  <c r="A946" i="4"/>
  <c r="L946" i="4"/>
  <c r="B946" i="4"/>
  <c r="E872" i="4"/>
  <c r="H872" i="4"/>
  <c r="A872" i="4"/>
  <c r="J872" i="4"/>
  <c r="B872" i="4"/>
  <c r="I872" i="4"/>
  <c r="L872" i="4"/>
  <c r="C872" i="4"/>
  <c r="F872" i="4"/>
  <c r="G872" i="4"/>
  <c r="D872" i="4"/>
  <c r="L776" i="4"/>
  <c r="F776" i="4"/>
  <c r="G776" i="4"/>
  <c r="A776" i="4"/>
  <c r="J776" i="4"/>
  <c r="B776" i="4"/>
  <c r="C776" i="4"/>
  <c r="I776" i="4"/>
  <c r="H776" i="4"/>
  <c r="E776" i="4"/>
  <c r="D776" i="4"/>
  <c r="L755" i="4"/>
  <c r="F755" i="4"/>
  <c r="G755" i="4"/>
  <c r="A755" i="4"/>
  <c r="J755" i="4"/>
  <c r="B755" i="4"/>
  <c r="E755" i="4"/>
  <c r="D755" i="4"/>
  <c r="C755" i="4"/>
  <c r="I755" i="4"/>
  <c r="H755" i="4"/>
  <c r="L396" i="4"/>
  <c r="F396" i="4"/>
  <c r="E396" i="4"/>
  <c r="D396" i="4"/>
  <c r="C396" i="4"/>
  <c r="B396" i="4"/>
  <c r="J396" i="4"/>
  <c r="A396" i="4"/>
  <c r="I396" i="4"/>
  <c r="H396" i="4"/>
  <c r="G396" i="4"/>
  <c r="L348" i="4"/>
  <c r="F348" i="4"/>
  <c r="E348" i="4"/>
  <c r="D348" i="4"/>
  <c r="J348" i="4"/>
  <c r="B348" i="4"/>
  <c r="A348" i="4"/>
  <c r="H348" i="4"/>
  <c r="G348" i="4"/>
  <c r="C348" i="4"/>
  <c r="I348" i="4"/>
  <c r="H523" i="4"/>
  <c r="B523" i="4"/>
  <c r="G523" i="4"/>
  <c r="A523" i="4"/>
  <c r="F523" i="4"/>
  <c r="E523" i="4"/>
  <c r="C523" i="4"/>
  <c r="L523" i="4"/>
  <c r="J523" i="4"/>
  <c r="I523" i="4"/>
  <c r="D523" i="4"/>
  <c r="H460" i="4"/>
  <c r="B460" i="4"/>
  <c r="G460" i="4"/>
  <c r="A460" i="4"/>
  <c r="F460" i="4"/>
  <c r="E460" i="4"/>
  <c r="C460" i="4"/>
  <c r="L460" i="4"/>
  <c r="I460" i="4"/>
  <c r="D460" i="4"/>
  <c r="J460" i="4"/>
  <c r="I180" i="4"/>
  <c r="C180" i="4"/>
  <c r="H180" i="4"/>
  <c r="B180" i="4"/>
  <c r="J180" i="4"/>
  <c r="G180" i="4"/>
  <c r="F180" i="4"/>
  <c r="E180" i="4"/>
  <c r="D180" i="4"/>
  <c r="L180" i="4"/>
  <c r="A180" i="4"/>
  <c r="J29" i="4"/>
  <c r="D29" i="4"/>
  <c r="I29" i="4"/>
  <c r="C29" i="4"/>
  <c r="E29" i="4"/>
  <c r="L29" i="4"/>
  <c r="B29" i="4"/>
  <c r="A29" i="4"/>
  <c r="H29" i="4"/>
  <c r="G29" i="4"/>
  <c r="F29" i="4"/>
  <c r="E999" i="4"/>
  <c r="J999" i="4"/>
  <c r="D999" i="4"/>
  <c r="I999" i="4"/>
  <c r="A999" i="4"/>
  <c r="F999" i="4"/>
  <c r="C999" i="4"/>
  <c r="G999" i="4"/>
  <c r="B999" i="4"/>
  <c r="H999" i="4"/>
  <c r="L999" i="4"/>
  <c r="L813" i="4"/>
  <c r="F813" i="4"/>
  <c r="G813" i="4"/>
  <c r="A813" i="4"/>
  <c r="H813" i="4"/>
  <c r="B813" i="4"/>
  <c r="J813" i="4"/>
  <c r="D813" i="4"/>
  <c r="C813" i="4"/>
  <c r="I813" i="4"/>
  <c r="E813" i="4"/>
  <c r="L773" i="4"/>
  <c r="F773" i="4"/>
  <c r="G773" i="4"/>
  <c r="A773" i="4"/>
  <c r="J773" i="4"/>
  <c r="B773" i="4"/>
  <c r="E773" i="4"/>
  <c r="D773" i="4"/>
  <c r="I773" i="4"/>
  <c r="H773" i="4"/>
  <c r="C773" i="4"/>
  <c r="H457" i="4"/>
  <c r="B457" i="4"/>
  <c r="G457" i="4"/>
  <c r="A457" i="4"/>
  <c r="F457" i="4"/>
  <c r="E457" i="4"/>
  <c r="J457" i="4"/>
  <c r="C457" i="4"/>
  <c r="L457" i="4"/>
  <c r="I457" i="4"/>
  <c r="D457" i="4"/>
  <c r="H625" i="4"/>
  <c r="B625" i="4"/>
  <c r="G625" i="4"/>
  <c r="A625" i="4"/>
  <c r="F625" i="4"/>
  <c r="E625" i="4"/>
  <c r="I625" i="4"/>
  <c r="D625" i="4"/>
  <c r="C625" i="4"/>
  <c r="L625" i="4"/>
  <c r="J625" i="4"/>
  <c r="I176" i="4"/>
  <c r="C176" i="4"/>
  <c r="H176" i="4"/>
  <c r="B176" i="4"/>
  <c r="L176" i="4"/>
  <c r="D176" i="4"/>
  <c r="A176" i="4"/>
  <c r="J176" i="4"/>
  <c r="E176" i="4"/>
  <c r="F176" i="4"/>
  <c r="G176" i="4"/>
  <c r="E18" i="5"/>
  <c r="E4" i="5"/>
  <c r="C16" i="5"/>
  <c r="I47" i="4"/>
  <c r="C47" i="4"/>
  <c r="H47" i="4"/>
  <c r="B47" i="4"/>
  <c r="L47" i="4"/>
  <c r="D47" i="4"/>
  <c r="A47" i="4"/>
  <c r="E47" i="4"/>
  <c r="J47" i="4"/>
  <c r="G47" i="4"/>
  <c r="F47" i="4"/>
  <c r="E990" i="4"/>
  <c r="F990" i="4"/>
  <c r="G990" i="4"/>
  <c r="D990" i="4"/>
  <c r="B990" i="4"/>
  <c r="L990" i="4"/>
  <c r="A990" i="4"/>
  <c r="J990" i="4"/>
  <c r="I990" i="4"/>
  <c r="C990" i="4"/>
  <c r="H990" i="4"/>
  <c r="E930" i="4"/>
  <c r="J930" i="4"/>
  <c r="D930" i="4"/>
  <c r="I930" i="4"/>
  <c r="A930" i="4"/>
  <c r="H930" i="4"/>
  <c r="L930" i="4"/>
  <c r="C930" i="4"/>
  <c r="F930" i="4"/>
  <c r="G930" i="4"/>
  <c r="B930" i="4"/>
  <c r="G967" i="4"/>
  <c r="A967" i="4"/>
  <c r="L967" i="4"/>
  <c r="F967" i="4"/>
  <c r="H967" i="4"/>
  <c r="E967" i="4"/>
  <c r="J967" i="4"/>
  <c r="I967" i="4"/>
  <c r="B967" i="4"/>
  <c r="D967" i="4"/>
  <c r="C967" i="4"/>
  <c r="E856" i="4"/>
  <c r="F856" i="4"/>
  <c r="L856" i="4"/>
  <c r="C856" i="4"/>
  <c r="J856" i="4"/>
  <c r="B856" i="4"/>
  <c r="D856" i="4"/>
  <c r="H856" i="4"/>
  <c r="G856" i="4"/>
  <c r="A856" i="4"/>
  <c r="I856" i="4"/>
  <c r="J887" i="4"/>
  <c r="D887" i="4"/>
  <c r="I887" i="4"/>
  <c r="C887" i="4"/>
  <c r="E887" i="4"/>
  <c r="G887" i="4"/>
  <c r="L887" i="4"/>
  <c r="A887" i="4"/>
  <c r="F887" i="4"/>
  <c r="H887" i="4"/>
  <c r="B887" i="4"/>
  <c r="G726" i="4"/>
  <c r="A726" i="4"/>
  <c r="F726" i="4"/>
  <c r="C726" i="4"/>
  <c r="J726" i="4"/>
  <c r="B726" i="4"/>
  <c r="I726" i="4"/>
  <c r="H726" i="4"/>
  <c r="E726" i="4"/>
  <c r="D726" i="4"/>
  <c r="L726" i="4"/>
  <c r="E643" i="4"/>
  <c r="J643" i="4"/>
  <c r="D643" i="4"/>
  <c r="I643" i="4"/>
  <c r="A643" i="4"/>
  <c r="H643" i="4"/>
  <c r="C643" i="4"/>
  <c r="B643" i="4"/>
  <c r="L643" i="4"/>
  <c r="G643" i="4"/>
  <c r="F643" i="4"/>
  <c r="L753" i="4"/>
  <c r="F753" i="4"/>
  <c r="G753" i="4"/>
  <c r="A753" i="4"/>
  <c r="H753" i="4"/>
  <c r="I753" i="4"/>
  <c r="E753" i="4"/>
  <c r="J753" i="4"/>
  <c r="D753" i="4"/>
  <c r="C753" i="4"/>
  <c r="B753" i="4"/>
  <c r="L810" i="4"/>
  <c r="F810" i="4"/>
  <c r="G810" i="4"/>
  <c r="A810" i="4"/>
  <c r="H810" i="4"/>
  <c r="D810" i="4"/>
  <c r="C810" i="4"/>
  <c r="I810" i="4"/>
  <c r="E810" i="4"/>
  <c r="J810" i="4"/>
  <c r="B810" i="4"/>
  <c r="H590" i="4"/>
  <c r="B590" i="4"/>
  <c r="G590" i="4"/>
  <c r="A590" i="4"/>
  <c r="L590" i="4"/>
  <c r="D590" i="4"/>
  <c r="C590" i="4"/>
  <c r="I590" i="4"/>
  <c r="F590" i="4"/>
  <c r="E590" i="4"/>
  <c r="J590" i="4"/>
  <c r="H482" i="4"/>
  <c r="B482" i="4"/>
  <c r="G482" i="4"/>
  <c r="A482" i="4"/>
  <c r="L482" i="4"/>
  <c r="D482" i="4"/>
  <c r="C482" i="4"/>
  <c r="I482" i="4"/>
  <c r="F482" i="4"/>
  <c r="E482" i="4"/>
  <c r="J482" i="4"/>
  <c r="H582" i="4"/>
  <c r="B582" i="4"/>
  <c r="G582" i="4"/>
  <c r="A582" i="4"/>
  <c r="J582" i="4"/>
  <c r="I582" i="4"/>
  <c r="F582" i="4"/>
  <c r="E582" i="4"/>
  <c r="L582" i="4"/>
  <c r="D582" i="4"/>
  <c r="C582" i="4"/>
  <c r="H419" i="4"/>
  <c r="B419" i="4"/>
  <c r="G419" i="4"/>
  <c r="A419" i="4"/>
  <c r="L419" i="4"/>
  <c r="D419" i="4"/>
  <c r="J419" i="4"/>
  <c r="I419" i="4"/>
  <c r="F419" i="4"/>
  <c r="E419" i="4"/>
  <c r="C419" i="4"/>
  <c r="L368" i="4"/>
  <c r="F368" i="4"/>
  <c r="E368" i="4"/>
  <c r="H368" i="4"/>
  <c r="D368" i="4"/>
  <c r="C368" i="4"/>
  <c r="B368" i="4"/>
  <c r="J368" i="4"/>
  <c r="I368" i="4"/>
  <c r="G368" i="4"/>
  <c r="A368" i="4"/>
  <c r="L332" i="4"/>
  <c r="F332" i="4"/>
  <c r="E332" i="4"/>
  <c r="H332" i="4"/>
  <c r="D332" i="4"/>
  <c r="C332" i="4"/>
  <c r="B332" i="4"/>
  <c r="J332" i="4"/>
  <c r="I332" i="4"/>
  <c r="G332" i="4"/>
  <c r="A332" i="4"/>
  <c r="H517" i="4"/>
  <c r="B517" i="4"/>
  <c r="G517" i="4"/>
  <c r="A517" i="4"/>
  <c r="F517" i="4"/>
  <c r="E517" i="4"/>
  <c r="I517" i="4"/>
  <c r="D517" i="4"/>
  <c r="J517" i="4"/>
  <c r="C517" i="4"/>
  <c r="L517" i="4"/>
  <c r="H544" i="4"/>
  <c r="B544" i="4"/>
  <c r="G544" i="4"/>
  <c r="A544" i="4"/>
  <c r="F544" i="4"/>
  <c r="E544" i="4"/>
  <c r="I544" i="4"/>
  <c r="D544" i="4"/>
  <c r="C544" i="4"/>
  <c r="L544" i="4"/>
  <c r="J544" i="4"/>
  <c r="H413" i="4"/>
  <c r="B413" i="4"/>
  <c r="G413" i="4"/>
  <c r="A413" i="4"/>
  <c r="L413" i="4"/>
  <c r="D413" i="4"/>
  <c r="I413" i="4"/>
  <c r="F413" i="4"/>
  <c r="C413" i="4"/>
  <c r="J413" i="4"/>
  <c r="E413" i="4"/>
  <c r="J710" i="4"/>
  <c r="D710" i="4"/>
  <c r="H710" i="4"/>
  <c r="A710" i="4"/>
  <c r="G710" i="4"/>
  <c r="C710" i="4"/>
  <c r="L710" i="4"/>
  <c r="B710" i="4"/>
  <c r="F710" i="4"/>
  <c r="E710" i="4"/>
  <c r="I710" i="4"/>
  <c r="I257" i="4"/>
  <c r="C257" i="4"/>
  <c r="H257" i="4"/>
  <c r="B257" i="4"/>
  <c r="L257" i="4"/>
  <c r="D257" i="4"/>
  <c r="A257" i="4"/>
  <c r="J257" i="4"/>
  <c r="G257" i="4"/>
  <c r="F257" i="4"/>
  <c r="E257" i="4"/>
  <c r="I149" i="4"/>
  <c r="C149" i="4"/>
  <c r="H149" i="4"/>
  <c r="B149" i="4"/>
  <c r="L149" i="4"/>
  <c r="D149" i="4"/>
  <c r="A149" i="4"/>
  <c r="G149" i="4"/>
  <c r="F149" i="4"/>
  <c r="E149" i="4"/>
  <c r="J149" i="4"/>
  <c r="I41" i="4"/>
  <c r="C41" i="4"/>
  <c r="H41" i="4"/>
  <c r="B41" i="4"/>
  <c r="L41" i="4"/>
  <c r="D41" i="4"/>
  <c r="A41" i="4"/>
  <c r="G41" i="4"/>
  <c r="F41" i="4"/>
  <c r="E41" i="4"/>
  <c r="J41" i="4"/>
  <c r="I240" i="4"/>
  <c r="C240" i="4"/>
  <c r="H240" i="4"/>
  <c r="B240" i="4"/>
  <c r="J240" i="4"/>
  <c r="G240" i="4"/>
  <c r="F240" i="4"/>
  <c r="E240" i="4"/>
  <c r="D240" i="4"/>
  <c r="A240" i="4"/>
  <c r="L240" i="4"/>
  <c r="I123" i="4"/>
  <c r="C123" i="4"/>
  <c r="H123" i="4"/>
  <c r="B123" i="4"/>
  <c r="J123" i="4"/>
  <c r="G123" i="4"/>
  <c r="F123" i="4"/>
  <c r="E123" i="4"/>
  <c r="L123" i="4"/>
  <c r="D123" i="4"/>
  <c r="A123" i="4"/>
  <c r="I217" i="4"/>
  <c r="C217" i="4"/>
  <c r="H217" i="4"/>
  <c r="B217" i="4"/>
  <c r="F217" i="4"/>
  <c r="E217" i="4"/>
  <c r="L217" i="4"/>
  <c r="D217" i="4"/>
  <c r="J217" i="4"/>
  <c r="G217" i="4"/>
  <c r="A217" i="4"/>
  <c r="I118" i="4"/>
  <c r="C118" i="4"/>
  <c r="H118" i="4"/>
  <c r="B118" i="4"/>
  <c r="F118" i="4"/>
  <c r="E118" i="4"/>
  <c r="A118" i="4"/>
  <c r="L118" i="4"/>
  <c r="D118" i="4"/>
  <c r="J118" i="4"/>
  <c r="G118" i="4"/>
  <c r="I121" i="4"/>
  <c r="C121" i="4"/>
  <c r="H121" i="4"/>
  <c r="B121" i="4"/>
  <c r="F121" i="4"/>
  <c r="E121" i="4"/>
  <c r="G121" i="4"/>
  <c r="D121" i="4"/>
  <c r="A121" i="4"/>
  <c r="L121" i="4"/>
  <c r="J121" i="4"/>
  <c r="E988" i="4"/>
  <c r="H988" i="4"/>
  <c r="A988" i="4"/>
  <c r="D988" i="4"/>
  <c r="L988" i="4"/>
  <c r="C988" i="4"/>
  <c r="J988" i="4"/>
  <c r="B988" i="4"/>
  <c r="G988" i="4"/>
  <c r="F988" i="4"/>
  <c r="I988" i="4"/>
  <c r="E928" i="4"/>
  <c r="J928" i="4"/>
  <c r="D928" i="4"/>
  <c r="G928" i="4"/>
  <c r="F928" i="4"/>
  <c r="H928" i="4"/>
  <c r="L928" i="4"/>
  <c r="I928" i="4"/>
  <c r="C928" i="4"/>
  <c r="B928" i="4"/>
  <c r="A928" i="4"/>
  <c r="J901" i="4"/>
  <c r="D901" i="4"/>
  <c r="I901" i="4"/>
  <c r="C901" i="4"/>
  <c r="A901" i="4"/>
  <c r="H901" i="4"/>
  <c r="E901" i="4"/>
  <c r="G901" i="4"/>
  <c r="F901" i="4"/>
  <c r="L901" i="4"/>
  <c r="B901" i="4"/>
  <c r="E854" i="4"/>
  <c r="H854" i="4"/>
  <c r="A854" i="4"/>
  <c r="J854" i="4"/>
  <c r="B854" i="4"/>
  <c r="I854" i="4"/>
  <c r="L854" i="4"/>
  <c r="C854" i="4"/>
  <c r="G854" i="4"/>
  <c r="F854" i="4"/>
  <c r="D854" i="4"/>
  <c r="J906" i="4"/>
  <c r="D906" i="4"/>
  <c r="G906" i="4"/>
  <c r="F906" i="4"/>
  <c r="H906" i="4"/>
  <c r="E906" i="4"/>
  <c r="L906" i="4"/>
  <c r="C906" i="4"/>
  <c r="I906" i="4"/>
  <c r="B906" i="4"/>
  <c r="A906" i="4"/>
  <c r="J717" i="4"/>
  <c r="D717" i="4"/>
  <c r="C717" i="4"/>
  <c r="I717" i="4"/>
  <c r="B717" i="4"/>
  <c r="F717" i="4"/>
  <c r="E717" i="4"/>
  <c r="A717" i="4"/>
  <c r="L717" i="4"/>
  <c r="H717" i="4"/>
  <c r="G717" i="4"/>
  <c r="E641" i="4"/>
  <c r="J641" i="4"/>
  <c r="D641" i="4"/>
  <c r="G641" i="4"/>
  <c r="F641" i="4"/>
  <c r="A641" i="4"/>
  <c r="L641" i="4"/>
  <c r="I641" i="4"/>
  <c r="H641" i="4"/>
  <c r="C641" i="4"/>
  <c r="B641" i="4"/>
  <c r="J713" i="4"/>
  <c r="D713" i="4"/>
  <c r="H713" i="4"/>
  <c r="A713" i="4"/>
  <c r="G713" i="4"/>
  <c r="I713" i="4"/>
  <c r="C713" i="4"/>
  <c r="B713" i="4"/>
  <c r="L713" i="4"/>
  <c r="F713" i="4"/>
  <c r="E713" i="4"/>
  <c r="G750" i="4"/>
  <c r="A750" i="4"/>
  <c r="F750" i="4"/>
  <c r="I750" i="4"/>
  <c r="H750" i="4"/>
  <c r="E750" i="4"/>
  <c r="D750" i="4"/>
  <c r="J750" i="4"/>
  <c r="C750" i="4"/>
  <c r="L750" i="4"/>
  <c r="B750" i="4"/>
  <c r="H584" i="4"/>
  <c r="B584" i="4"/>
  <c r="G584" i="4"/>
  <c r="A584" i="4"/>
  <c r="L584" i="4"/>
  <c r="D584" i="4"/>
  <c r="C584" i="4"/>
  <c r="J584" i="4"/>
  <c r="I584" i="4"/>
  <c r="F584" i="4"/>
  <c r="E584" i="4"/>
  <c r="H476" i="4"/>
  <c r="B476" i="4"/>
  <c r="G476" i="4"/>
  <c r="A476" i="4"/>
  <c r="L476" i="4"/>
  <c r="D476" i="4"/>
  <c r="C476" i="4"/>
  <c r="J476" i="4"/>
  <c r="I476" i="4"/>
  <c r="F476" i="4"/>
  <c r="E476" i="4"/>
  <c r="H573" i="4"/>
  <c r="B573" i="4"/>
  <c r="G573" i="4"/>
  <c r="A573" i="4"/>
  <c r="J573" i="4"/>
  <c r="I573" i="4"/>
  <c r="F573" i="4"/>
  <c r="E573" i="4"/>
  <c r="L573" i="4"/>
  <c r="D573" i="4"/>
  <c r="C573" i="4"/>
  <c r="H410" i="4"/>
  <c r="B410" i="4"/>
  <c r="G410" i="4"/>
  <c r="A410" i="4"/>
  <c r="L410" i="4"/>
  <c r="D410" i="4"/>
  <c r="J410" i="4"/>
  <c r="E410" i="4"/>
  <c r="C410" i="4"/>
  <c r="I410" i="4"/>
  <c r="F410" i="4"/>
  <c r="L366" i="4"/>
  <c r="F366" i="4"/>
  <c r="E366" i="4"/>
  <c r="D366" i="4"/>
  <c r="J366" i="4"/>
  <c r="B366" i="4"/>
  <c r="A366" i="4"/>
  <c r="I366" i="4"/>
  <c r="H366" i="4"/>
  <c r="G366" i="4"/>
  <c r="C366" i="4"/>
  <c r="L330" i="4"/>
  <c r="F330" i="4"/>
  <c r="E330" i="4"/>
  <c r="D330" i="4"/>
  <c r="J330" i="4"/>
  <c r="B330" i="4"/>
  <c r="A330" i="4"/>
  <c r="C330" i="4"/>
  <c r="I330" i="4"/>
  <c r="G330" i="4"/>
  <c r="H330" i="4"/>
  <c r="H505" i="4"/>
  <c r="B505" i="4"/>
  <c r="G505" i="4"/>
  <c r="A505" i="4"/>
  <c r="F505" i="4"/>
  <c r="E505" i="4"/>
  <c r="C505" i="4"/>
  <c r="L505" i="4"/>
  <c r="J505" i="4"/>
  <c r="I505" i="4"/>
  <c r="D505" i="4"/>
  <c r="H439" i="4"/>
  <c r="B439" i="4"/>
  <c r="G439" i="4"/>
  <c r="A439" i="4"/>
  <c r="F439" i="4"/>
  <c r="J439" i="4"/>
  <c r="I439" i="4"/>
  <c r="L439" i="4"/>
  <c r="E439" i="4"/>
  <c r="D439" i="4"/>
  <c r="C439" i="4"/>
  <c r="L817" i="4"/>
  <c r="F817" i="4"/>
  <c r="G817" i="4"/>
  <c r="A817" i="4"/>
  <c r="D817" i="4"/>
  <c r="H817" i="4"/>
  <c r="E817" i="4"/>
  <c r="C817" i="4"/>
  <c r="B817" i="4"/>
  <c r="J817" i="4"/>
  <c r="I817" i="4"/>
  <c r="H448" i="4"/>
  <c r="B448" i="4"/>
  <c r="G448" i="4"/>
  <c r="A448" i="4"/>
  <c r="F448" i="4"/>
  <c r="J448" i="4"/>
  <c r="I448" i="4"/>
  <c r="C448" i="4"/>
  <c r="L448" i="4"/>
  <c r="E448" i="4"/>
  <c r="D448" i="4"/>
  <c r="I251" i="4"/>
  <c r="C251" i="4"/>
  <c r="H251" i="4"/>
  <c r="B251" i="4"/>
  <c r="L251" i="4"/>
  <c r="D251" i="4"/>
  <c r="A251" i="4"/>
  <c r="J251" i="4"/>
  <c r="G251" i="4"/>
  <c r="F251" i="4"/>
  <c r="E251" i="4"/>
  <c r="I143" i="4"/>
  <c r="C143" i="4"/>
  <c r="H143" i="4"/>
  <c r="B143" i="4"/>
  <c r="L143" i="4"/>
  <c r="D143" i="4"/>
  <c r="A143" i="4"/>
  <c r="J143" i="4"/>
  <c r="G143" i="4"/>
  <c r="F143" i="4"/>
  <c r="E143" i="4"/>
  <c r="L760" i="4"/>
  <c r="F760" i="4"/>
  <c r="G760" i="4"/>
  <c r="A760" i="4"/>
  <c r="D760" i="4"/>
  <c r="J760" i="4"/>
  <c r="I760" i="4"/>
  <c r="H760" i="4"/>
  <c r="E760" i="4"/>
  <c r="C760" i="4"/>
  <c r="B760" i="4"/>
  <c r="I234" i="4"/>
  <c r="C234" i="4"/>
  <c r="H234" i="4"/>
  <c r="B234" i="4"/>
  <c r="J234" i="4"/>
  <c r="G234" i="4"/>
  <c r="F234" i="4"/>
  <c r="E234" i="4"/>
  <c r="D234" i="4"/>
  <c r="A234" i="4"/>
  <c r="L234" i="4"/>
  <c r="I114" i="4"/>
  <c r="C114" i="4"/>
  <c r="H114" i="4"/>
  <c r="B114" i="4"/>
  <c r="J114" i="4"/>
  <c r="G114" i="4"/>
  <c r="F114" i="4"/>
  <c r="E114" i="4"/>
  <c r="L114" i="4"/>
  <c r="D114" i="4"/>
  <c r="A114" i="4"/>
  <c r="I211" i="4"/>
  <c r="C211" i="4"/>
  <c r="H211" i="4"/>
  <c r="B211" i="4"/>
  <c r="F211" i="4"/>
  <c r="E211" i="4"/>
  <c r="L211" i="4"/>
  <c r="D211" i="4"/>
  <c r="J211" i="4"/>
  <c r="G211" i="4"/>
  <c r="A211" i="4"/>
  <c r="I109" i="4"/>
  <c r="C109" i="4"/>
  <c r="H109" i="4"/>
  <c r="B109" i="4"/>
  <c r="F109" i="4"/>
  <c r="E109" i="4"/>
  <c r="A109" i="4"/>
  <c r="L109" i="4"/>
  <c r="D109" i="4"/>
  <c r="J109" i="4"/>
  <c r="G109" i="4"/>
  <c r="I103" i="4"/>
  <c r="C103" i="4"/>
  <c r="H103" i="4"/>
  <c r="B103" i="4"/>
  <c r="F103" i="4"/>
  <c r="E103" i="4"/>
  <c r="G103" i="4"/>
  <c r="D103" i="4"/>
  <c r="A103" i="4"/>
  <c r="L103" i="4"/>
  <c r="J103" i="4"/>
  <c r="E1017" i="4"/>
  <c r="J1017" i="4"/>
  <c r="D1017" i="4"/>
  <c r="I1017" i="4"/>
  <c r="A1017" i="4"/>
  <c r="F1017" i="4"/>
  <c r="C1017" i="4"/>
  <c r="L1017" i="4"/>
  <c r="H1017" i="4"/>
  <c r="G1017" i="4"/>
  <c r="B1017" i="4"/>
  <c r="L976" i="4"/>
  <c r="F976" i="4"/>
  <c r="D976" i="4"/>
  <c r="J976" i="4"/>
  <c r="C976" i="4"/>
  <c r="H976" i="4"/>
  <c r="G976" i="4"/>
  <c r="E976" i="4"/>
  <c r="B976" i="4"/>
  <c r="A976" i="4"/>
  <c r="I976" i="4"/>
  <c r="E921" i="4"/>
  <c r="J921" i="4"/>
  <c r="D921" i="4"/>
  <c r="I921" i="4"/>
  <c r="A921" i="4"/>
  <c r="H921" i="4"/>
  <c r="L921" i="4"/>
  <c r="C921" i="4"/>
  <c r="F921" i="4"/>
  <c r="B921" i="4"/>
  <c r="G921" i="4"/>
  <c r="J895" i="4"/>
  <c r="D895" i="4"/>
  <c r="I895" i="4"/>
  <c r="C895" i="4"/>
  <c r="A895" i="4"/>
  <c r="E895" i="4"/>
  <c r="H895" i="4"/>
  <c r="G895" i="4"/>
  <c r="L895" i="4"/>
  <c r="B895" i="4"/>
  <c r="F895" i="4"/>
  <c r="E847" i="4"/>
  <c r="F847" i="4"/>
  <c r="H847" i="4"/>
  <c r="G847" i="4"/>
  <c r="I847" i="4"/>
  <c r="A847" i="4"/>
  <c r="L847" i="4"/>
  <c r="J847" i="4"/>
  <c r="D847" i="4"/>
  <c r="C847" i="4"/>
  <c r="B847" i="4"/>
  <c r="J827" i="4"/>
  <c r="D827" i="4"/>
  <c r="F827" i="4"/>
  <c r="G827" i="4"/>
  <c r="A827" i="4"/>
  <c r="B827" i="4"/>
  <c r="L827" i="4"/>
  <c r="I827" i="4"/>
  <c r="H827" i="4"/>
  <c r="E827" i="4"/>
  <c r="C827" i="4"/>
  <c r="J696" i="4"/>
  <c r="D696" i="4"/>
  <c r="C696" i="4"/>
  <c r="I696" i="4"/>
  <c r="B696" i="4"/>
  <c r="H696" i="4"/>
  <c r="G696" i="4"/>
  <c r="L696" i="4"/>
  <c r="F696" i="4"/>
  <c r="E696" i="4"/>
  <c r="A696" i="4"/>
  <c r="J903" i="4"/>
  <c r="D903" i="4"/>
  <c r="I903" i="4"/>
  <c r="C903" i="4"/>
  <c r="E903" i="4"/>
  <c r="G903" i="4"/>
  <c r="F903" i="4"/>
  <c r="H903" i="4"/>
  <c r="A903" i="4"/>
  <c r="B903" i="4"/>
  <c r="L903" i="4"/>
  <c r="J685" i="4"/>
  <c r="D685" i="4"/>
  <c r="F685" i="4"/>
  <c r="L685" i="4"/>
  <c r="E685" i="4"/>
  <c r="A685" i="4"/>
  <c r="I685" i="4"/>
  <c r="G685" i="4"/>
  <c r="C685" i="4"/>
  <c r="B685" i="4"/>
  <c r="H685" i="4"/>
  <c r="J688" i="4"/>
  <c r="D688" i="4"/>
  <c r="F688" i="4"/>
  <c r="L688" i="4"/>
  <c r="E688" i="4"/>
  <c r="H688" i="4"/>
  <c r="G688" i="4"/>
  <c r="I688" i="4"/>
  <c r="C688" i="4"/>
  <c r="B688" i="4"/>
  <c r="A688" i="4"/>
  <c r="H563" i="4"/>
  <c r="B563" i="4"/>
  <c r="G563" i="4"/>
  <c r="A563" i="4"/>
  <c r="L563" i="4"/>
  <c r="D563" i="4"/>
  <c r="C563" i="4"/>
  <c r="I563" i="4"/>
  <c r="F563" i="4"/>
  <c r="E563" i="4"/>
  <c r="J563" i="4"/>
  <c r="H455" i="4"/>
  <c r="B455" i="4"/>
  <c r="G455" i="4"/>
  <c r="A455" i="4"/>
  <c r="L455" i="4"/>
  <c r="D455" i="4"/>
  <c r="C455" i="4"/>
  <c r="I455" i="4"/>
  <c r="F455" i="4"/>
  <c r="E455" i="4"/>
  <c r="J455" i="4"/>
  <c r="H538" i="4"/>
  <c r="B538" i="4"/>
  <c r="G538" i="4"/>
  <c r="A538" i="4"/>
  <c r="F538" i="4"/>
  <c r="E538" i="4"/>
  <c r="J538" i="4"/>
  <c r="I538" i="4"/>
  <c r="D538" i="4"/>
  <c r="C538" i="4"/>
  <c r="L538" i="4"/>
  <c r="J670" i="4"/>
  <c r="D670" i="4"/>
  <c r="F670" i="4"/>
  <c r="L670" i="4"/>
  <c r="E670" i="4"/>
  <c r="H670" i="4"/>
  <c r="G670" i="4"/>
  <c r="A670" i="4"/>
  <c r="I670" i="4"/>
  <c r="C670" i="4"/>
  <c r="B670" i="4"/>
  <c r="L359" i="4"/>
  <c r="F359" i="4"/>
  <c r="E359" i="4"/>
  <c r="H359" i="4"/>
  <c r="D359" i="4"/>
  <c r="C359" i="4"/>
  <c r="B359" i="4"/>
  <c r="J359" i="4"/>
  <c r="I359" i="4"/>
  <c r="G359" i="4"/>
  <c r="A359" i="4"/>
  <c r="L770" i="4"/>
  <c r="F770" i="4"/>
  <c r="G770" i="4"/>
  <c r="A770" i="4"/>
  <c r="J770" i="4"/>
  <c r="B770" i="4"/>
  <c r="I770" i="4"/>
  <c r="H770" i="4"/>
  <c r="C770" i="4"/>
  <c r="E770" i="4"/>
  <c r="D770" i="4"/>
  <c r="H453" i="4"/>
  <c r="B453" i="4"/>
  <c r="G453" i="4"/>
  <c r="A453" i="4"/>
  <c r="J453" i="4"/>
  <c r="I453" i="4"/>
  <c r="E453" i="4"/>
  <c r="D453" i="4"/>
  <c r="F453" i="4"/>
  <c r="C453" i="4"/>
  <c r="L453" i="4"/>
  <c r="L380" i="4"/>
  <c r="F380" i="4"/>
  <c r="J380" i="4"/>
  <c r="C380" i="4"/>
  <c r="I380" i="4"/>
  <c r="B380" i="4"/>
  <c r="A380" i="4"/>
  <c r="H380" i="4"/>
  <c r="G380" i="4"/>
  <c r="E380" i="4"/>
  <c r="D380" i="4"/>
  <c r="L326" i="4"/>
  <c r="F326" i="4"/>
  <c r="J326" i="4"/>
  <c r="C326" i="4"/>
  <c r="H326" i="4"/>
  <c r="A326" i="4"/>
  <c r="I326" i="4"/>
  <c r="G326" i="4"/>
  <c r="E326" i="4"/>
  <c r="D326" i="4"/>
  <c r="B326" i="4"/>
  <c r="H615" i="4"/>
  <c r="B615" i="4"/>
  <c r="G615" i="4"/>
  <c r="A615" i="4"/>
  <c r="J615" i="4"/>
  <c r="I615" i="4"/>
  <c r="E615" i="4"/>
  <c r="D615" i="4"/>
  <c r="C615" i="4"/>
  <c r="L615" i="4"/>
  <c r="F615" i="4"/>
  <c r="I230" i="4"/>
  <c r="C230" i="4"/>
  <c r="H230" i="4"/>
  <c r="B230" i="4"/>
  <c r="L230" i="4"/>
  <c r="D230" i="4"/>
  <c r="A230" i="4"/>
  <c r="J230" i="4"/>
  <c r="E230" i="4"/>
  <c r="G230" i="4"/>
  <c r="F230" i="4"/>
  <c r="I122" i="4"/>
  <c r="C122" i="4"/>
  <c r="H122" i="4"/>
  <c r="B122" i="4"/>
  <c r="L122" i="4"/>
  <c r="D122" i="4"/>
  <c r="A122" i="4"/>
  <c r="G122" i="4"/>
  <c r="F122" i="4"/>
  <c r="E122" i="4"/>
  <c r="J122" i="4"/>
  <c r="L285" i="4"/>
  <c r="F285" i="4"/>
  <c r="E285" i="4"/>
  <c r="J285" i="4"/>
  <c r="C285" i="4"/>
  <c r="G285" i="4"/>
  <c r="D285" i="4"/>
  <c r="A285" i="4"/>
  <c r="I285" i="4"/>
  <c r="B285" i="4"/>
  <c r="H285" i="4"/>
  <c r="I213" i="4"/>
  <c r="C213" i="4"/>
  <c r="H213" i="4"/>
  <c r="B213" i="4"/>
  <c r="J213" i="4"/>
  <c r="G213" i="4"/>
  <c r="F213" i="4"/>
  <c r="E213" i="4"/>
  <c r="D213" i="4"/>
  <c r="A213" i="4"/>
  <c r="L213" i="4"/>
  <c r="I79" i="4"/>
  <c r="C79" i="4"/>
  <c r="H79" i="4"/>
  <c r="B79" i="4"/>
  <c r="F79" i="4"/>
  <c r="E79" i="4"/>
  <c r="J79" i="4"/>
  <c r="G79" i="4"/>
  <c r="L79" i="4"/>
  <c r="D79" i="4"/>
  <c r="A79" i="4"/>
  <c r="I190" i="4"/>
  <c r="C190" i="4"/>
  <c r="H190" i="4"/>
  <c r="B190" i="4"/>
  <c r="F190" i="4"/>
  <c r="E190" i="4"/>
  <c r="L190" i="4"/>
  <c r="D190" i="4"/>
  <c r="J190" i="4"/>
  <c r="G190" i="4"/>
  <c r="A190" i="4"/>
  <c r="I81" i="4"/>
  <c r="C81" i="4"/>
  <c r="H81" i="4"/>
  <c r="B81" i="4"/>
  <c r="J81" i="4"/>
  <c r="G81" i="4"/>
  <c r="A81" i="4"/>
  <c r="L81" i="4"/>
  <c r="F81" i="4"/>
  <c r="E81" i="4"/>
  <c r="D81" i="4"/>
  <c r="I40" i="4"/>
  <c r="C40" i="4"/>
  <c r="H40" i="4"/>
  <c r="B40" i="4"/>
  <c r="F40" i="4"/>
  <c r="E40" i="4"/>
  <c r="G40" i="4"/>
  <c r="D40" i="4"/>
  <c r="A40" i="4"/>
  <c r="L40" i="4"/>
  <c r="J40" i="4"/>
  <c r="E10" i="5"/>
  <c r="E7" i="5"/>
  <c r="E1010" i="4"/>
  <c r="J1010" i="4"/>
  <c r="D1010" i="4"/>
  <c r="C1010" i="4"/>
  <c r="B1010" i="4"/>
  <c r="L1010" i="4"/>
  <c r="A1010" i="4"/>
  <c r="I1010" i="4"/>
  <c r="H1010" i="4"/>
  <c r="G1010" i="4"/>
  <c r="F1010" i="4"/>
  <c r="E950" i="4"/>
  <c r="J950" i="4"/>
  <c r="D950" i="4"/>
  <c r="C950" i="4"/>
  <c r="L950" i="4"/>
  <c r="B950" i="4"/>
  <c r="G950" i="4"/>
  <c r="F950" i="4"/>
  <c r="H950" i="4"/>
  <c r="A950" i="4"/>
  <c r="I950" i="4"/>
  <c r="E914" i="4"/>
  <c r="J914" i="4"/>
  <c r="D914" i="4"/>
  <c r="C914" i="4"/>
  <c r="L914" i="4"/>
  <c r="B914" i="4"/>
  <c r="A914" i="4"/>
  <c r="H914" i="4"/>
  <c r="I914" i="4"/>
  <c r="F914" i="4"/>
  <c r="G914" i="4"/>
  <c r="E876" i="4"/>
  <c r="J876" i="4"/>
  <c r="C876" i="4"/>
  <c r="F876" i="4"/>
  <c r="D876" i="4"/>
  <c r="G876" i="4"/>
  <c r="I876" i="4"/>
  <c r="L876" i="4"/>
  <c r="H876" i="4"/>
  <c r="B876" i="4"/>
  <c r="A876" i="4"/>
  <c r="E840" i="4"/>
  <c r="J840" i="4"/>
  <c r="C840" i="4"/>
  <c r="F840" i="4"/>
  <c r="D840" i="4"/>
  <c r="G840" i="4"/>
  <c r="I840" i="4"/>
  <c r="L840" i="4"/>
  <c r="H840" i="4"/>
  <c r="B840" i="4"/>
  <c r="A840" i="4"/>
  <c r="G740" i="4"/>
  <c r="A740" i="4"/>
  <c r="D740" i="4"/>
  <c r="H740" i="4"/>
  <c r="F740" i="4"/>
  <c r="J740" i="4"/>
  <c r="I740" i="4"/>
  <c r="L740" i="4"/>
  <c r="E740" i="4"/>
  <c r="C740" i="4"/>
  <c r="B740" i="4"/>
  <c r="J675" i="4"/>
  <c r="D675" i="4"/>
  <c r="C675" i="4"/>
  <c r="I675" i="4"/>
  <c r="B675" i="4"/>
  <c r="A675" i="4"/>
  <c r="L675" i="4"/>
  <c r="F675" i="4"/>
  <c r="E675" i="4"/>
  <c r="G675" i="4"/>
  <c r="H675" i="4"/>
  <c r="L794" i="4"/>
  <c r="F794" i="4"/>
  <c r="G794" i="4"/>
  <c r="A794" i="4"/>
  <c r="J794" i="4"/>
  <c r="B794" i="4"/>
  <c r="C794" i="4"/>
  <c r="E794" i="4"/>
  <c r="D794" i="4"/>
  <c r="I794" i="4"/>
  <c r="H794" i="4"/>
  <c r="J633" i="4"/>
  <c r="D633" i="4"/>
  <c r="C633" i="4"/>
  <c r="I633" i="4"/>
  <c r="B633" i="4"/>
  <c r="H633" i="4"/>
  <c r="G633" i="4"/>
  <c r="L633" i="4"/>
  <c r="F633" i="4"/>
  <c r="E633" i="4"/>
  <c r="A633" i="4"/>
  <c r="J830" i="4"/>
  <c r="D830" i="4"/>
  <c r="F830" i="4"/>
  <c r="G830" i="4"/>
  <c r="H830" i="4"/>
  <c r="C830" i="4"/>
  <c r="B830" i="4"/>
  <c r="A830" i="4"/>
  <c r="L830" i="4"/>
  <c r="I830" i="4"/>
  <c r="E830" i="4"/>
  <c r="H542" i="4"/>
  <c r="B542" i="4"/>
  <c r="G542" i="4"/>
  <c r="A542" i="4"/>
  <c r="L542" i="4"/>
  <c r="D542" i="4"/>
  <c r="C542" i="4"/>
  <c r="E542" i="4"/>
  <c r="J542" i="4"/>
  <c r="I542" i="4"/>
  <c r="F542" i="4"/>
  <c r="G751" i="4"/>
  <c r="A751" i="4"/>
  <c r="I751" i="4"/>
  <c r="B751" i="4"/>
  <c r="E751" i="4"/>
  <c r="L751" i="4"/>
  <c r="D751" i="4"/>
  <c r="H751" i="4"/>
  <c r="F751" i="4"/>
  <c r="J751" i="4"/>
  <c r="C751" i="4"/>
  <c r="H510" i="4"/>
  <c r="B510" i="4"/>
  <c r="G510" i="4"/>
  <c r="A510" i="4"/>
  <c r="J510" i="4"/>
  <c r="I510" i="4"/>
  <c r="F510" i="4"/>
  <c r="L510" i="4"/>
  <c r="E510" i="4"/>
  <c r="D510" i="4"/>
  <c r="C510" i="4"/>
  <c r="H418" i="4"/>
  <c r="B418" i="4"/>
  <c r="G418" i="4"/>
  <c r="A418" i="4"/>
  <c r="F418" i="4"/>
  <c r="L418" i="4"/>
  <c r="C418" i="4"/>
  <c r="E418" i="4"/>
  <c r="D418" i="4"/>
  <c r="J418" i="4"/>
  <c r="I418" i="4"/>
  <c r="L352" i="4"/>
  <c r="F352" i="4"/>
  <c r="E352" i="4"/>
  <c r="J352" i="4"/>
  <c r="B352" i="4"/>
  <c r="H352" i="4"/>
  <c r="G352" i="4"/>
  <c r="D352" i="4"/>
  <c r="A352" i="4"/>
  <c r="I352" i="4"/>
  <c r="C352" i="4"/>
  <c r="H603" i="4"/>
  <c r="B603" i="4"/>
  <c r="G603" i="4"/>
  <c r="A603" i="4"/>
  <c r="J603" i="4"/>
  <c r="I603" i="4"/>
  <c r="C603" i="4"/>
  <c r="L603" i="4"/>
  <c r="F603" i="4"/>
  <c r="E603" i="4"/>
  <c r="D603" i="4"/>
  <c r="H408" i="4"/>
  <c r="B408" i="4"/>
  <c r="G408" i="4"/>
  <c r="A408" i="4"/>
  <c r="J408" i="4"/>
  <c r="D408" i="4"/>
  <c r="L408" i="4"/>
  <c r="C408" i="4"/>
  <c r="I408" i="4"/>
  <c r="F408" i="4"/>
  <c r="E408" i="4"/>
  <c r="J671" i="4"/>
  <c r="D671" i="4"/>
  <c r="H671" i="4"/>
  <c r="A671" i="4"/>
  <c r="G671" i="4"/>
  <c r="F671" i="4"/>
  <c r="E671" i="4"/>
  <c r="C671" i="4"/>
  <c r="B671" i="4"/>
  <c r="I671" i="4"/>
  <c r="L671" i="4"/>
  <c r="L298" i="4"/>
  <c r="F298" i="4"/>
  <c r="H298" i="4"/>
  <c r="A298" i="4"/>
  <c r="E298" i="4"/>
  <c r="B298" i="4"/>
  <c r="J298" i="4"/>
  <c r="G298" i="4"/>
  <c r="D298" i="4"/>
  <c r="C298" i="4"/>
  <c r="I298" i="4"/>
  <c r="H552" i="4"/>
  <c r="B552" i="4"/>
  <c r="G552" i="4"/>
  <c r="A552" i="4"/>
  <c r="J552" i="4"/>
  <c r="I552" i="4"/>
  <c r="E552" i="4"/>
  <c r="D552" i="4"/>
  <c r="C552" i="4"/>
  <c r="L552" i="4"/>
  <c r="F552" i="4"/>
  <c r="I209" i="4"/>
  <c r="C209" i="4"/>
  <c r="H209" i="4"/>
  <c r="B209" i="4"/>
  <c r="L209" i="4"/>
  <c r="D209" i="4"/>
  <c r="A209" i="4"/>
  <c r="J209" i="4"/>
  <c r="E209" i="4"/>
  <c r="G209" i="4"/>
  <c r="F209" i="4"/>
  <c r="I101" i="4"/>
  <c r="C101" i="4"/>
  <c r="H101" i="4"/>
  <c r="B101" i="4"/>
  <c r="L101" i="4"/>
  <c r="D101" i="4"/>
  <c r="A101" i="4"/>
  <c r="E101" i="4"/>
  <c r="J101" i="4"/>
  <c r="G101" i="4"/>
  <c r="F101" i="4"/>
  <c r="L313" i="4"/>
  <c r="F313" i="4"/>
  <c r="H313" i="4"/>
  <c r="A313" i="4"/>
  <c r="E313" i="4"/>
  <c r="D313" i="4"/>
  <c r="C313" i="4"/>
  <c r="G313" i="4"/>
  <c r="B313" i="4"/>
  <c r="I313" i="4"/>
  <c r="J313" i="4"/>
  <c r="I192" i="4"/>
  <c r="C192" i="4"/>
  <c r="H192" i="4"/>
  <c r="B192" i="4"/>
  <c r="J192" i="4"/>
  <c r="G192" i="4"/>
  <c r="F192" i="4"/>
  <c r="E192" i="4"/>
  <c r="D192" i="4"/>
  <c r="L192" i="4"/>
  <c r="A192" i="4"/>
  <c r="I51" i="4"/>
  <c r="C51" i="4"/>
  <c r="H51" i="4"/>
  <c r="B51" i="4"/>
  <c r="J51" i="4"/>
  <c r="G51" i="4"/>
  <c r="F51" i="4"/>
  <c r="E51" i="4"/>
  <c r="L51" i="4"/>
  <c r="D51" i="4"/>
  <c r="A51" i="4"/>
  <c r="I169" i="4"/>
  <c r="C169" i="4"/>
  <c r="H169" i="4"/>
  <c r="B169" i="4"/>
  <c r="F169" i="4"/>
  <c r="E169" i="4"/>
  <c r="L169" i="4"/>
  <c r="D169" i="4"/>
  <c r="J169" i="4"/>
  <c r="G169" i="4"/>
  <c r="A169" i="4"/>
  <c r="I46" i="4"/>
  <c r="C46" i="4"/>
  <c r="H46" i="4"/>
  <c r="B46" i="4"/>
  <c r="F46" i="4"/>
  <c r="E46" i="4"/>
  <c r="A46" i="4"/>
  <c r="L46" i="4"/>
  <c r="D46" i="4"/>
  <c r="J46" i="4"/>
  <c r="G46" i="4"/>
  <c r="I138" i="4"/>
  <c r="C138" i="4"/>
  <c r="H138" i="4"/>
  <c r="B138" i="4"/>
  <c r="J138" i="4"/>
  <c r="G138" i="4"/>
  <c r="E138" i="4"/>
  <c r="D138" i="4"/>
  <c r="A138" i="4"/>
  <c r="F138" i="4"/>
  <c r="L138" i="4"/>
  <c r="E1009" i="4"/>
  <c r="J1009" i="4"/>
  <c r="D1009" i="4"/>
  <c r="G1009" i="4"/>
  <c r="C1009" i="4"/>
  <c r="B1009" i="4"/>
  <c r="I1009" i="4"/>
  <c r="H1009" i="4"/>
  <c r="F1009" i="4"/>
  <c r="A1009" i="4"/>
  <c r="L1009" i="4"/>
  <c r="E949" i="4"/>
  <c r="J949" i="4"/>
  <c r="D949" i="4"/>
  <c r="G949" i="4"/>
  <c r="F949" i="4"/>
  <c r="L949" i="4"/>
  <c r="B949" i="4"/>
  <c r="I949" i="4"/>
  <c r="C949" i="4"/>
  <c r="H949" i="4"/>
  <c r="A949" i="4"/>
  <c r="E913" i="4"/>
  <c r="J913" i="4"/>
  <c r="D913" i="4"/>
  <c r="G913" i="4"/>
  <c r="F913" i="4"/>
  <c r="L913" i="4"/>
  <c r="B913" i="4"/>
  <c r="H913" i="4"/>
  <c r="A913" i="4"/>
  <c r="C913" i="4"/>
  <c r="I913" i="4"/>
  <c r="E875" i="4"/>
  <c r="H875" i="4"/>
  <c r="A875" i="4"/>
  <c r="I875" i="4"/>
  <c r="G875" i="4"/>
  <c r="J875" i="4"/>
  <c r="B875" i="4"/>
  <c r="D875" i="4"/>
  <c r="F875" i="4"/>
  <c r="C875" i="4"/>
  <c r="L875" i="4"/>
  <c r="E839" i="4"/>
  <c r="H839" i="4"/>
  <c r="A839" i="4"/>
  <c r="I839" i="4"/>
  <c r="G839" i="4"/>
  <c r="J839" i="4"/>
  <c r="B839" i="4"/>
  <c r="D839" i="4"/>
  <c r="C839" i="4"/>
  <c r="L839" i="4"/>
  <c r="F839" i="4"/>
  <c r="G737" i="4"/>
  <c r="A737" i="4"/>
  <c r="D737" i="4"/>
  <c r="I737" i="4"/>
  <c r="H737" i="4"/>
  <c r="F737" i="4"/>
  <c r="E737" i="4"/>
  <c r="L737" i="4"/>
  <c r="J737" i="4"/>
  <c r="C737" i="4"/>
  <c r="B737" i="4"/>
  <c r="J672" i="4"/>
  <c r="D672" i="4"/>
  <c r="C672" i="4"/>
  <c r="I672" i="4"/>
  <c r="B672" i="4"/>
  <c r="F672" i="4"/>
  <c r="E672" i="4"/>
  <c r="H672" i="4"/>
  <c r="G672" i="4"/>
  <c r="L672" i="4"/>
  <c r="A672" i="4"/>
  <c r="L793" i="4"/>
  <c r="F793" i="4"/>
  <c r="G793" i="4"/>
  <c r="A793" i="4"/>
  <c r="D793" i="4"/>
  <c r="C793" i="4"/>
  <c r="B793" i="4"/>
  <c r="J793" i="4"/>
  <c r="I793" i="4"/>
  <c r="H793" i="4"/>
  <c r="E793" i="4"/>
  <c r="J630" i="4"/>
  <c r="D630" i="4"/>
  <c r="C630" i="4"/>
  <c r="I630" i="4"/>
  <c r="B630" i="4"/>
  <c r="A630" i="4"/>
  <c r="L630" i="4"/>
  <c r="E630" i="4"/>
  <c r="H630" i="4"/>
  <c r="G630" i="4"/>
  <c r="F630" i="4"/>
  <c r="L814" i="4"/>
  <c r="F814" i="4"/>
  <c r="G814" i="4"/>
  <c r="A814" i="4"/>
  <c r="D814" i="4"/>
  <c r="J814" i="4"/>
  <c r="I814" i="4"/>
  <c r="H814" i="4"/>
  <c r="E814" i="4"/>
  <c r="C814" i="4"/>
  <c r="B814" i="4"/>
  <c r="H539" i="4"/>
  <c r="B539" i="4"/>
  <c r="G539" i="4"/>
  <c r="A539" i="4"/>
  <c r="L539" i="4"/>
  <c r="D539" i="4"/>
  <c r="C539" i="4"/>
  <c r="J539" i="4"/>
  <c r="I539" i="4"/>
  <c r="F539" i="4"/>
  <c r="E539" i="4"/>
  <c r="G738" i="4"/>
  <c r="A738" i="4"/>
  <c r="F738" i="4"/>
  <c r="E738" i="4"/>
  <c r="L738" i="4"/>
  <c r="D738" i="4"/>
  <c r="I738" i="4"/>
  <c r="H738" i="4"/>
  <c r="J738" i="4"/>
  <c r="C738" i="4"/>
  <c r="B738" i="4"/>
  <c r="H502" i="4"/>
  <c r="B502" i="4"/>
  <c r="G502" i="4"/>
  <c r="A502" i="4"/>
  <c r="F502" i="4"/>
  <c r="E502" i="4"/>
  <c r="J502" i="4"/>
  <c r="I502" i="4"/>
  <c r="D502" i="4"/>
  <c r="C502" i="4"/>
  <c r="L502" i="4"/>
  <c r="H409" i="4"/>
  <c r="B409" i="4"/>
  <c r="G409" i="4"/>
  <c r="A409" i="4"/>
  <c r="F409" i="4"/>
  <c r="L409" i="4"/>
  <c r="C409" i="4"/>
  <c r="J409" i="4"/>
  <c r="I409" i="4"/>
  <c r="E409" i="4"/>
  <c r="D409" i="4"/>
  <c r="L351" i="4"/>
  <c r="F351" i="4"/>
  <c r="E351" i="4"/>
  <c r="D351" i="4"/>
  <c r="J351" i="4"/>
  <c r="B351" i="4"/>
  <c r="G351" i="4"/>
  <c r="C351" i="4"/>
  <c r="I351" i="4"/>
  <c r="H351" i="4"/>
  <c r="A351" i="4"/>
  <c r="H595" i="4"/>
  <c r="B595" i="4"/>
  <c r="G595" i="4"/>
  <c r="A595" i="4"/>
  <c r="F595" i="4"/>
  <c r="E595" i="4"/>
  <c r="C595" i="4"/>
  <c r="L595" i="4"/>
  <c r="J595" i="4"/>
  <c r="I595" i="4"/>
  <c r="D595" i="4"/>
  <c r="H404" i="4"/>
  <c r="B404" i="4"/>
  <c r="G404" i="4"/>
  <c r="A404" i="4"/>
  <c r="L404" i="4"/>
  <c r="D404" i="4"/>
  <c r="I404" i="4"/>
  <c r="F404" i="4"/>
  <c r="J404" i="4"/>
  <c r="E404" i="4"/>
  <c r="C404" i="4"/>
  <c r="J635" i="4"/>
  <c r="D635" i="4"/>
  <c r="H635" i="4"/>
  <c r="A635" i="4"/>
  <c r="G635" i="4"/>
  <c r="F635" i="4"/>
  <c r="E635" i="4"/>
  <c r="I635" i="4"/>
  <c r="C635" i="4"/>
  <c r="B635" i="4"/>
  <c r="L635" i="4"/>
  <c r="L290" i="4"/>
  <c r="F290" i="4"/>
  <c r="J290" i="4"/>
  <c r="C290" i="4"/>
  <c r="H290" i="4"/>
  <c r="A290" i="4"/>
  <c r="I290" i="4"/>
  <c r="E290" i="4"/>
  <c r="D290" i="4"/>
  <c r="B290" i="4"/>
  <c r="G290" i="4"/>
  <c r="H543" i="4"/>
  <c r="B543" i="4"/>
  <c r="G543" i="4"/>
  <c r="A543" i="4"/>
  <c r="J543" i="4"/>
  <c r="I543" i="4"/>
  <c r="E543" i="4"/>
  <c r="D543" i="4"/>
  <c r="C543" i="4"/>
  <c r="L543" i="4"/>
  <c r="F543" i="4"/>
  <c r="I206" i="4"/>
  <c r="C206" i="4"/>
  <c r="H206" i="4"/>
  <c r="B206" i="4"/>
  <c r="L206" i="4"/>
  <c r="D206" i="4"/>
  <c r="A206" i="4"/>
  <c r="J206" i="4"/>
  <c r="E206" i="4"/>
  <c r="G206" i="4"/>
  <c r="F206" i="4"/>
  <c r="I98" i="4"/>
  <c r="C98" i="4"/>
  <c r="H98" i="4"/>
  <c r="B98" i="4"/>
  <c r="L98" i="4"/>
  <c r="D98" i="4"/>
  <c r="A98" i="4"/>
  <c r="J98" i="4"/>
  <c r="G98" i="4"/>
  <c r="F98" i="4"/>
  <c r="E98" i="4"/>
  <c r="L305" i="4"/>
  <c r="F305" i="4"/>
  <c r="J305" i="4"/>
  <c r="C305" i="4"/>
  <c r="H305" i="4"/>
  <c r="A305" i="4"/>
  <c r="D305" i="4"/>
  <c r="B305" i="4"/>
  <c r="E305" i="4"/>
  <c r="G305" i="4"/>
  <c r="I305" i="4"/>
  <c r="I189" i="4"/>
  <c r="C189" i="4"/>
  <c r="H189" i="4"/>
  <c r="B189" i="4"/>
  <c r="J189" i="4"/>
  <c r="G189" i="4"/>
  <c r="F189" i="4"/>
  <c r="E189" i="4"/>
  <c r="D189" i="4"/>
  <c r="L189" i="4"/>
  <c r="A189" i="4"/>
  <c r="I43" i="4"/>
  <c r="C43" i="4"/>
  <c r="H43" i="4"/>
  <c r="B43" i="4"/>
  <c r="F43" i="4"/>
  <c r="E43" i="4"/>
  <c r="J43" i="4"/>
  <c r="G43" i="4"/>
  <c r="L43" i="4"/>
  <c r="D43" i="4"/>
  <c r="A43" i="4"/>
  <c r="I166" i="4"/>
  <c r="C166" i="4"/>
  <c r="H166" i="4"/>
  <c r="B166" i="4"/>
  <c r="F166" i="4"/>
  <c r="E166" i="4"/>
  <c r="L166" i="4"/>
  <c r="D166" i="4"/>
  <c r="J166" i="4"/>
  <c r="G166" i="4"/>
  <c r="A166" i="4"/>
  <c r="I45" i="4"/>
  <c r="C45" i="4"/>
  <c r="H45" i="4"/>
  <c r="B45" i="4"/>
  <c r="J45" i="4"/>
  <c r="G45" i="4"/>
  <c r="A45" i="4"/>
  <c r="L45" i="4"/>
  <c r="F45" i="4"/>
  <c r="E45" i="4"/>
  <c r="D45" i="4"/>
  <c r="I129" i="4"/>
  <c r="C129" i="4"/>
  <c r="H129" i="4"/>
  <c r="B129" i="4"/>
  <c r="J129" i="4"/>
  <c r="G129" i="4"/>
  <c r="E129" i="4"/>
  <c r="D129" i="4"/>
  <c r="A129" i="4"/>
  <c r="F129" i="4"/>
  <c r="L129" i="4"/>
  <c r="E918" i="4"/>
  <c r="J918" i="4"/>
  <c r="D918" i="4"/>
  <c r="I918" i="4"/>
  <c r="A918" i="4"/>
  <c r="H918" i="4"/>
  <c r="F918" i="4"/>
  <c r="B918" i="4"/>
  <c r="C918" i="4"/>
  <c r="L918" i="4"/>
  <c r="G918" i="4"/>
  <c r="J668" i="4"/>
  <c r="D668" i="4"/>
  <c r="H668" i="4"/>
  <c r="A668" i="4"/>
  <c r="G668" i="4"/>
  <c r="I668" i="4"/>
  <c r="F668" i="4"/>
  <c r="E668" i="4"/>
  <c r="L668" i="4"/>
  <c r="C668" i="4"/>
  <c r="B668" i="4"/>
  <c r="J629" i="4"/>
  <c r="H629" i="4"/>
  <c r="B629" i="4"/>
  <c r="G629" i="4"/>
  <c r="A629" i="4"/>
  <c r="D629" i="4"/>
  <c r="L629" i="4"/>
  <c r="C629" i="4"/>
  <c r="I629" i="4"/>
  <c r="F629" i="4"/>
  <c r="E629" i="4"/>
  <c r="H588" i="4"/>
  <c r="B588" i="4"/>
  <c r="G588" i="4"/>
  <c r="A588" i="4"/>
  <c r="J588" i="4"/>
  <c r="I588" i="4"/>
  <c r="E588" i="4"/>
  <c r="D588" i="4"/>
  <c r="C588" i="4"/>
  <c r="L588" i="4"/>
  <c r="F588" i="4"/>
  <c r="E989" i="4"/>
  <c r="J989" i="4"/>
  <c r="C989" i="4"/>
  <c r="I989" i="4"/>
  <c r="A989" i="4"/>
  <c r="H989" i="4"/>
  <c r="B989" i="4"/>
  <c r="F989" i="4"/>
  <c r="D989" i="4"/>
  <c r="L989" i="4"/>
  <c r="G989" i="4"/>
  <c r="E929" i="4"/>
  <c r="J929" i="4"/>
  <c r="D929" i="4"/>
  <c r="C929" i="4"/>
  <c r="L929" i="4"/>
  <c r="B929" i="4"/>
  <c r="H929" i="4"/>
  <c r="F929" i="4"/>
  <c r="A929" i="4"/>
  <c r="G929" i="4"/>
  <c r="I929" i="4"/>
  <c r="J904" i="4"/>
  <c r="D904" i="4"/>
  <c r="I904" i="4"/>
  <c r="C904" i="4"/>
  <c r="A904" i="4"/>
  <c r="F904" i="4"/>
  <c r="G904" i="4"/>
  <c r="L904" i="4"/>
  <c r="H904" i="4"/>
  <c r="E904" i="4"/>
  <c r="B904" i="4"/>
  <c r="E855" i="4"/>
  <c r="J855" i="4"/>
  <c r="C855" i="4"/>
  <c r="G855" i="4"/>
  <c r="F855" i="4"/>
  <c r="H855" i="4"/>
  <c r="B855" i="4"/>
  <c r="L855" i="4"/>
  <c r="I855" i="4"/>
  <c r="D855" i="4"/>
  <c r="A855" i="4"/>
  <c r="J886" i="4"/>
  <c r="D886" i="4"/>
  <c r="I886" i="4"/>
  <c r="C886" i="4"/>
  <c r="G886" i="4"/>
  <c r="H886" i="4"/>
  <c r="L886" i="4"/>
  <c r="A886" i="4"/>
  <c r="B886" i="4"/>
  <c r="F886" i="4"/>
  <c r="E886" i="4"/>
  <c r="G721" i="4"/>
  <c r="A721" i="4"/>
  <c r="I721" i="4"/>
  <c r="B721" i="4"/>
  <c r="C721" i="4"/>
  <c r="J721" i="4"/>
  <c r="E721" i="4"/>
  <c r="D721" i="4"/>
  <c r="H721" i="4"/>
  <c r="F721" i="4"/>
  <c r="L721" i="4"/>
  <c r="E642" i="4"/>
  <c r="J642" i="4"/>
  <c r="D642" i="4"/>
  <c r="C642" i="4"/>
  <c r="L642" i="4"/>
  <c r="B642" i="4"/>
  <c r="A642" i="4"/>
  <c r="F642" i="4"/>
  <c r="I642" i="4"/>
  <c r="H642" i="4"/>
  <c r="G642" i="4"/>
  <c r="G727" i="4"/>
  <c r="A727" i="4"/>
  <c r="I727" i="4"/>
  <c r="B727" i="4"/>
  <c r="H727" i="4"/>
  <c r="F727" i="4"/>
  <c r="J727" i="4"/>
  <c r="L727" i="4"/>
  <c r="E727" i="4"/>
  <c r="D727" i="4"/>
  <c r="C727" i="4"/>
  <c r="L798" i="4"/>
  <c r="F798" i="4"/>
  <c r="G798" i="4"/>
  <c r="A798" i="4"/>
  <c r="H798" i="4"/>
  <c r="I798" i="4"/>
  <c r="E798" i="4"/>
  <c r="D798" i="4"/>
  <c r="C798" i="4"/>
  <c r="J798" i="4"/>
  <c r="B798" i="4"/>
  <c r="H587" i="4"/>
  <c r="B587" i="4"/>
  <c r="G587" i="4"/>
  <c r="A587" i="4"/>
  <c r="L587" i="4"/>
  <c r="D587" i="4"/>
  <c r="C587" i="4"/>
  <c r="E587" i="4"/>
  <c r="J587" i="4"/>
  <c r="I587" i="4"/>
  <c r="F587" i="4"/>
  <c r="H479" i="4"/>
  <c r="B479" i="4"/>
  <c r="G479" i="4"/>
  <c r="A479" i="4"/>
  <c r="L479" i="4"/>
  <c r="D479" i="4"/>
  <c r="C479" i="4"/>
  <c r="E479" i="4"/>
  <c r="J479" i="4"/>
  <c r="I479" i="4"/>
  <c r="F479" i="4"/>
  <c r="H574" i="4"/>
  <c r="B574" i="4"/>
  <c r="G574" i="4"/>
  <c r="A574" i="4"/>
  <c r="F574" i="4"/>
  <c r="E574" i="4"/>
  <c r="J574" i="4"/>
  <c r="I574" i="4"/>
  <c r="D574" i="4"/>
  <c r="C574" i="4"/>
  <c r="L574" i="4"/>
  <c r="H411" i="4"/>
  <c r="B411" i="4"/>
  <c r="G411" i="4"/>
  <c r="A411" i="4"/>
  <c r="J411" i="4"/>
  <c r="I411" i="4"/>
  <c r="F411" i="4"/>
  <c r="E411" i="4"/>
  <c r="D411" i="4"/>
  <c r="L411" i="4"/>
  <c r="C411" i="4"/>
  <c r="L367" i="4"/>
  <c r="F367" i="4"/>
  <c r="E367" i="4"/>
  <c r="J367" i="4"/>
  <c r="B367" i="4"/>
  <c r="H367" i="4"/>
  <c r="C367" i="4"/>
  <c r="A367" i="4"/>
  <c r="D367" i="4"/>
  <c r="I367" i="4"/>
  <c r="G367" i="4"/>
  <c r="L331" i="4"/>
  <c r="F331" i="4"/>
  <c r="E331" i="4"/>
  <c r="J331" i="4"/>
  <c r="B331" i="4"/>
  <c r="H331" i="4"/>
  <c r="C331" i="4"/>
  <c r="A331" i="4"/>
  <c r="I331" i="4"/>
  <c r="G331" i="4"/>
  <c r="D331" i="4"/>
  <c r="H507" i="4"/>
  <c r="B507" i="4"/>
  <c r="G507" i="4"/>
  <c r="A507" i="4"/>
  <c r="J507" i="4"/>
  <c r="I507" i="4"/>
  <c r="E507" i="4"/>
  <c r="D507" i="4"/>
  <c r="F507" i="4"/>
  <c r="C507" i="4"/>
  <c r="L507" i="4"/>
  <c r="H451" i="4"/>
  <c r="B451" i="4"/>
  <c r="G451" i="4"/>
  <c r="A451" i="4"/>
  <c r="F451" i="4"/>
  <c r="E451" i="4"/>
  <c r="D451" i="4"/>
  <c r="L451" i="4"/>
  <c r="J451" i="4"/>
  <c r="I451" i="4"/>
  <c r="C451" i="4"/>
  <c r="H405" i="4"/>
  <c r="B405" i="4"/>
  <c r="G405" i="4"/>
  <c r="A405" i="4"/>
  <c r="J405" i="4"/>
  <c r="F405" i="4"/>
  <c r="E405" i="4"/>
  <c r="L405" i="4"/>
  <c r="C405" i="4"/>
  <c r="I405" i="4"/>
  <c r="D405" i="4"/>
  <c r="J634" i="4"/>
  <c r="D634" i="4"/>
  <c r="F634" i="4"/>
  <c r="L634" i="4"/>
  <c r="E634" i="4"/>
  <c r="H634" i="4"/>
  <c r="G634" i="4"/>
  <c r="B634" i="4"/>
  <c r="A634" i="4"/>
  <c r="I634" i="4"/>
  <c r="C634" i="4"/>
  <c r="I254" i="4"/>
  <c r="C254" i="4"/>
  <c r="H254" i="4"/>
  <c r="B254" i="4"/>
  <c r="L254" i="4"/>
  <c r="D254" i="4"/>
  <c r="A254" i="4"/>
  <c r="J254" i="4"/>
  <c r="G254" i="4"/>
  <c r="E254" i="4"/>
  <c r="F254" i="4"/>
  <c r="I146" i="4"/>
  <c r="C146" i="4"/>
  <c r="H146" i="4"/>
  <c r="B146" i="4"/>
  <c r="L146" i="4"/>
  <c r="D146" i="4"/>
  <c r="A146" i="4"/>
  <c r="E146" i="4"/>
  <c r="J146" i="4"/>
  <c r="G146" i="4"/>
  <c r="F146" i="4"/>
  <c r="I38" i="4"/>
  <c r="H38" i="4"/>
  <c r="L38" i="4"/>
  <c r="D38" i="4"/>
  <c r="C38" i="4"/>
  <c r="E38" i="4"/>
  <c r="B38" i="4"/>
  <c r="A38" i="4"/>
  <c r="J38" i="4"/>
  <c r="G38" i="4"/>
  <c r="F38" i="4"/>
  <c r="I237" i="4"/>
  <c r="C237" i="4"/>
  <c r="H237" i="4"/>
  <c r="B237" i="4"/>
  <c r="J237" i="4"/>
  <c r="G237" i="4"/>
  <c r="F237" i="4"/>
  <c r="E237" i="4"/>
  <c r="D237" i="4"/>
  <c r="A237" i="4"/>
  <c r="L237" i="4"/>
  <c r="I115" i="4"/>
  <c r="C115" i="4"/>
  <c r="H115" i="4"/>
  <c r="B115" i="4"/>
  <c r="F115" i="4"/>
  <c r="E115" i="4"/>
  <c r="J115" i="4"/>
  <c r="G115" i="4"/>
  <c r="L115" i="4"/>
  <c r="D115" i="4"/>
  <c r="A115" i="4"/>
  <c r="I214" i="4"/>
  <c r="C214" i="4"/>
  <c r="H214" i="4"/>
  <c r="B214" i="4"/>
  <c r="F214" i="4"/>
  <c r="E214" i="4"/>
  <c r="L214" i="4"/>
  <c r="D214" i="4"/>
  <c r="J214" i="4"/>
  <c r="G214" i="4"/>
  <c r="A214" i="4"/>
  <c r="I117" i="4"/>
  <c r="C117" i="4"/>
  <c r="H117" i="4"/>
  <c r="B117" i="4"/>
  <c r="J117" i="4"/>
  <c r="G117" i="4"/>
  <c r="A117" i="4"/>
  <c r="L117" i="4"/>
  <c r="F117" i="4"/>
  <c r="E117" i="4"/>
  <c r="D117" i="4"/>
  <c r="I112" i="4"/>
  <c r="C112" i="4"/>
  <c r="H112" i="4"/>
  <c r="B112" i="4"/>
  <c r="F112" i="4"/>
  <c r="E112" i="4"/>
  <c r="G112" i="4"/>
  <c r="D112" i="4"/>
  <c r="A112" i="4"/>
  <c r="L112" i="4"/>
  <c r="J112" i="4"/>
  <c r="F984" i="4"/>
  <c r="I984" i="4"/>
  <c r="B984" i="4"/>
  <c r="H984" i="4"/>
  <c r="A984" i="4"/>
  <c r="J984" i="4"/>
  <c r="G984" i="4"/>
  <c r="E984" i="4"/>
  <c r="D984" i="4"/>
  <c r="L984" i="4"/>
  <c r="C984" i="4"/>
  <c r="E924" i="4"/>
  <c r="J924" i="4"/>
  <c r="D924" i="4"/>
  <c r="I924" i="4"/>
  <c r="A924" i="4"/>
  <c r="H924" i="4"/>
  <c r="B924" i="4"/>
  <c r="L924" i="4"/>
  <c r="F924" i="4"/>
  <c r="G924" i="4"/>
  <c r="C924" i="4"/>
  <c r="L962" i="4"/>
  <c r="F962" i="4"/>
  <c r="G962" i="4"/>
  <c r="E962" i="4"/>
  <c r="D962" i="4"/>
  <c r="C962" i="4"/>
  <c r="J962" i="4"/>
  <c r="A962" i="4"/>
  <c r="I962" i="4"/>
  <c r="H962" i="4"/>
  <c r="B962" i="4"/>
  <c r="E850" i="4"/>
  <c r="F850" i="4"/>
  <c r="G850" i="4"/>
  <c r="D850" i="4"/>
  <c r="H850" i="4"/>
  <c r="J850" i="4"/>
  <c r="L850" i="4"/>
  <c r="B850" i="4"/>
  <c r="A850" i="4"/>
  <c r="I850" i="4"/>
  <c r="C850" i="4"/>
  <c r="L953" i="4"/>
  <c r="F953" i="4"/>
  <c r="G953" i="4"/>
  <c r="E953" i="4"/>
  <c r="D953" i="4"/>
  <c r="C953" i="4"/>
  <c r="H953" i="4"/>
  <c r="B953" i="4"/>
  <c r="J953" i="4"/>
  <c r="A953" i="4"/>
  <c r="I953" i="4"/>
  <c r="J705" i="4"/>
  <c r="D705" i="4"/>
  <c r="C705" i="4"/>
  <c r="I705" i="4"/>
  <c r="B705" i="4"/>
  <c r="H705" i="4"/>
  <c r="G705" i="4"/>
  <c r="A705" i="4"/>
  <c r="L705" i="4"/>
  <c r="F705" i="4"/>
  <c r="E705" i="4"/>
  <c r="E637" i="4"/>
  <c r="J637" i="4"/>
  <c r="D637" i="4"/>
  <c r="I637" i="4"/>
  <c r="A637" i="4"/>
  <c r="H637" i="4"/>
  <c r="G637" i="4"/>
  <c r="F637" i="4"/>
  <c r="B637" i="4"/>
  <c r="L637" i="4"/>
  <c r="C637" i="4"/>
  <c r="J695" i="4"/>
  <c r="D695" i="4"/>
  <c r="H695" i="4"/>
  <c r="A695" i="4"/>
  <c r="G695" i="4"/>
  <c r="I695" i="4"/>
  <c r="F695" i="4"/>
  <c r="E695" i="4"/>
  <c r="L695" i="4"/>
  <c r="C695" i="4"/>
  <c r="B695" i="4"/>
  <c r="J707" i="4"/>
  <c r="D707" i="4"/>
  <c r="H707" i="4"/>
  <c r="A707" i="4"/>
  <c r="G707" i="4"/>
  <c r="F707" i="4"/>
  <c r="E707" i="4"/>
  <c r="I707" i="4"/>
  <c r="L707" i="4"/>
  <c r="C707" i="4"/>
  <c r="B707" i="4"/>
  <c r="H572" i="4"/>
  <c r="B572" i="4"/>
  <c r="G572" i="4"/>
  <c r="A572" i="4"/>
  <c r="L572" i="4"/>
  <c r="D572" i="4"/>
  <c r="C572" i="4"/>
  <c r="I572" i="4"/>
  <c r="F572" i="4"/>
  <c r="E572" i="4"/>
  <c r="J572" i="4"/>
  <c r="H464" i="4"/>
  <c r="B464" i="4"/>
  <c r="G464" i="4"/>
  <c r="A464" i="4"/>
  <c r="L464" i="4"/>
  <c r="D464" i="4"/>
  <c r="C464" i="4"/>
  <c r="I464" i="4"/>
  <c r="F464" i="4"/>
  <c r="J464" i="4"/>
  <c r="E464" i="4"/>
  <c r="H555" i="4"/>
  <c r="B555" i="4"/>
  <c r="G555" i="4"/>
  <c r="A555" i="4"/>
  <c r="J555" i="4"/>
  <c r="I555" i="4"/>
  <c r="F555" i="4"/>
  <c r="E555" i="4"/>
  <c r="L555" i="4"/>
  <c r="D555" i="4"/>
  <c r="C555" i="4"/>
  <c r="J718" i="4"/>
  <c r="D718" i="4"/>
  <c r="F718" i="4"/>
  <c r="L718" i="4"/>
  <c r="E718" i="4"/>
  <c r="C718" i="4"/>
  <c r="B718" i="4"/>
  <c r="H718" i="4"/>
  <c r="G718" i="4"/>
  <c r="A718" i="4"/>
  <c r="I718" i="4"/>
  <c r="L362" i="4"/>
  <c r="F362" i="4"/>
  <c r="E362" i="4"/>
  <c r="H362" i="4"/>
  <c r="D362" i="4"/>
  <c r="I362" i="4"/>
  <c r="G362" i="4"/>
  <c r="B362" i="4"/>
  <c r="A362" i="4"/>
  <c r="J362" i="4"/>
  <c r="C362" i="4"/>
  <c r="L790" i="4"/>
  <c r="F790" i="4"/>
  <c r="G790" i="4"/>
  <c r="A790" i="4"/>
  <c r="D790" i="4"/>
  <c r="H790" i="4"/>
  <c r="E790" i="4"/>
  <c r="C790" i="4"/>
  <c r="B790" i="4"/>
  <c r="J790" i="4"/>
  <c r="I790" i="4"/>
  <c r="H478" i="4"/>
  <c r="B478" i="4"/>
  <c r="G478" i="4"/>
  <c r="A478" i="4"/>
  <c r="F478" i="4"/>
  <c r="E478" i="4"/>
  <c r="C478" i="4"/>
  <c r="L478" i="4"/>
  <c r="J478" i="4"/>
  <c r="I478" i="4"/>
  <c r="D478" i="4"/>
  <c r="L397" i="4"/>
  <c r="F397" i="4"/>
  <c r="H397" i="4"/>
  <c r="A397" i="4"/>
  <c r="G397" i="4"/>
  <c r="C397" i="4"/>
  <c r="B397" i="4"/>
  <c r="J397" i="4"/>
  <c r="I397" i="4"/>
  <c r="E397" i="4"/>
  <c r="D397" i="4"/>
  <c r="H406" i="4"/>
  <c r="B406" i="4"/>
  <c r="G406" i="4"/>
  <c r="A406" i="4"/>
  <c r="F406" i="4"/>
  <c r="E406" i="4"/>
  <c r="D406" i="4"/>
  <c r="C406" i="4"/>
  <c r="L406" i="4"/>
  <c r="J406" i="4"/>
  <c r="I406" i="4"/>
  <c r="L303" i="4"/>
  <c r="F303" i="4"/>
  <c r="E303" i="4"/>
  <c r="J303" i="4"/>
  <c r="C303" i="4"/>
  <c r="G303" i="4"/>
  <c r="D303" i="4"/>
  <c r="I303" i="4"/>
  <c r="H303" i="4"/>
  <c r="B303" i="4"/>
  <c r="A303" i="4"/>
  <c r="I239" i="4"/>
  <c r="C239" i="4"/>
  <c r="H239" i="4"/>
  <c r="B239" i="4"/>
  <c r="L239" i="4"/>
  <c r="D239" i="4"/>
  <c r="A239" i="4"/>
  <c r="J239" i="4"/>
  <c r="E239" i="4"/>
  <c r="G239" i="4"/>
  <c r="F239" i="4"/>
  <c r="I131" i="4"/>
  <c r="C131" i="4"/>
  <c r="H131" i="4"/>
  <c r="B131" i="4"/>
  <c r="L131" i="4"/>
  <c r="D131" i="4"/>
  <c r="A131" i="4"/>
  <c r="G131" i="4"/>
  <c r="F131" i="4"/>
  <c r="E131" i="4"/>
  <c r="J131" i="4"/>
  <c r="L386" i="4"/>
  <c r="F386" i="4"/>
  <c r="J386" i="4"/>
  <c r="C386" i="4"/>
  <c r="I386" i="4"/>
  <c r="B386" i="4"/>
  <c r="E386" i="4"/>
  <c r="D386" i="4"/>
  <c r="A386" i="4"/>
  <c r="H386" i="4"/>
  <c r="G386" i="4"/>
  <c r="I222" i="4"/>
  <c r="C222" i="4"/>
  <c r="H222" i="4"/>
  <c r="B222" i="4"/>
  <c r="J222" i="4"/>
  <c r="G222" i="4"/>
  <c r="F222" i="4"/>
  <c r="E222" i="4"/>
  <c r="D222" i="4"/>
  <c r="A222" i="4"/>
  <c r="L222" i="4"/>
  <c r="I96" i="4"/>
  <c r="C96" i="4"/>
  <c r="H96" i="4"/>
  <c r="B96" i="4"/>
  <c r="J96" i="4"/>
  <c r="G96" i="4"/>
  <c r="F96" i="4"/>
  <c r="E96" i="4"/>
  <c r="L96" i="4"/>
  <c r="D96" i="4"/>
  <c r="A96" i="4"/>
  <c r="I199" i="4"/>
  <c r="C199" i="4"/>
  <c r="H199" i="4"/>
  <c r="B199" i="4"/>
  <c r="F199" i="4"/>
  <c r="E199" i="4"/>
  <c r="L199" i="4"/>
  <c r="D199" i="4"/>
  <c r="J199" i="4"/>
  <c r="G199" i="4"/>
  <c r="A199" i="4"/>
  <c r="I91" i="4"/>
  <c r="C91" i="4"/>
  <c r="H91" i="4"/>
  <c r="B91" i="4"/>
  <c r="F91" i="4"/>
  <c r="E91" i="4"/>
  <c r="A91" i="4"/>
  <c r="L91" i="4"/>
  <c r="D91" i="4"/>
  <c r="J91" i="4"/>
  <c r="G91" i="4"/>
  <c r="I67" i="4"/>
  <c r="C67" i="4"/>
  <c r="H67" i="4"/>
  <c r="B67" i="4"/>
  <c r="F67" i="4"/>
  <c r="E67" i="4"/>
  <c r="G67" i="4"/>
  <c r="D67" i="4"/>
  <c r="A67" i="4"/>
  <c r="L67" i="4"/>
  <c r="J67" i="4"/>
  <c r="E1019" i="4"/>
  <c r="J1019" i="4"/>
  <c r="D1019" i="4"/>
  <c r="C1019" i="4"/>
  <c r="B1019" i="4"/>
  <c r="L1019" i="4"/>
  <c r="A1019" i="4"/>
  <c r="F1019" i="4"/>
  <c r="H1019" i="4"/>
  <c r="G1019" i="4"/>
  <c r="I1019" i="4"/>
  <c r="L982" i="4"/>
  <c r="F982" i="4"/>
  <c r="D982" i="4"/>
  <c r="J982" i="4"/>
  <c r="C982" i="4"/>
  <c r="A982" i="4"/>
  <c r="I982" i="4"/>
  <c r="H982" i="4"/>
  <c r="B982" i="4"/>
  <c r="E982" i="4"/>
  <c r="G982" i="4"/>
  <c r="E923" i="4"/>
  <c r="J923" i="4"/>
  <c r="D923" i="4"/>
  <c r="C923" i="4"/>
  <c r="L923" i="4"/>
  <c r="B923" i="4"/>
  <c r="G923" i="4"/>
  <c r="F923" i="4"/>
  <c r="I923" i="4"/>
  <c r="H923" i="4"/>
  <c r="A923" i="4"/>
  <c r="L954" i="4"/>
  <c r="F954" i="4"/>
  <c r="I954" i="4"/>
  <c r="B954" i="4"/>
  <c r="H954" i="4"/>
  <c r="A954" i="4"/>
  <c r="D954" i="4"/>
  <c r="C954" i="4"/>
  <c r="J954" i="4"/>
  <c r="G954" i="4"/>
  <c r="E954" i="4"/>
  <c r="E849" i="4"/>
  <c r="J849" i="4"/>
  <c r="C849" i="4"/>
  <c r="I849" i="4"/>
  <c r="A849" i="4"/>
  <c r="H849" i="4"/>
  <c r="L849" i="4"/>
  <c r="B849" i="4"/>
  <c r="F849" i="4"/>
  <c r="G849" i="4"/>
  <c r="D849" i="4"/>
  <c r="J878" i="4"/>
  <c r="D878" i="4"/>
  <c r="I878" i="4"/>
  <c r="C878" i="4"/>
  <c r="E878" i="4"/>
  <c r="G878" i="4"/>
  <c r="B878" i="4"/>
  <c r="A878" i="4"/>
  <c r="F878" i="4"/>
  <c r="L878" i="4"/>
  <c r="H878" i="4"/>
  <c r="J702" i="4"/>
  <c r="D702" i="4"/>
  <c r="C702" i="4"/>
  <c r="I702" i="4"/>
  <c r="B702" i="4"/>
  <c r="A702" i="4"/>
  <c r="L702" i="4"/>
  <c r="F702" i="4"/>
  <c r="E702" i="4"/>
  <c r="H702" i="4"/>
  <c r="G702" i="4"/>
  <c r="E636" i="4"/>
  <c r="J636" i="4"/>
  <c r="D636" i="4"/>
  <c r="C636" i="4"/>
  <c r="L636" i="4"/>
  <c r="B636" i="4"/>
  <c r="G636" i="4"/>
  <c r="F636" i="4"/>
  <c r="I636" i="4"/>
  <c r="H636" i="4"/>
  <c r="A636" i="4"/>
  <c r="J694" i="4"/>
  <c r="D694" i="4"/>
  <c r="F694" i="4"/>
  <c r="L694" i="4"/>
  <c r="E694" i="4"/>
  <c r="A694" i="4"/>
  <c r="I694" i="4"/>
  <c r="C694" i="4"/>
  <c r="B694" i="4"/>
  <c r="H694" i="4"/>
  <c r="G694" i="4"/>
  <c r="J700" i="4"/>
  <c r="D700" i="4"/>
  <c r="F700" i="4"/>
  <c r="L700" i="4"/>
  <c r="E700" i="4"/>
  <c r="C700" i="4"/>
  <c r="B700" i="4"/>
  <c r="I700" i="4"/>
  <c r="H700" i="4"/>
  <c r="G700" i="4"/>
  <c r="A700" i="4"/>
  <c r="H569" i="4"/>
  <c r="B569" i="4"/>
  <c r="G569" i="4"/>
  <c r="A569" i="4"/>
  <c r="L569" i="4"/>
  <c r="D569" i="4"/>
  <c r="C569" i="4"/>
  <c r="E569" i="4"/>
  <c r="J569" i="4"/>
  <c r="I569" i="4"/>
  <c r="F569" i="4"/>
  <c r="H461" i="4"/>
  <c r="B461" i="4"/>
  <c r="G461" i="4"/>
  <c r="A461" i="4"/>
  <c r="L461" i="4"/>
  <c r="D461" i="4"/>
  <c r="C461" i="4"/>
  <c r="E461" i="4"/>
  <c r="J461" i="4"/>
  <c r="I461" i="4"/>
  <c r="F461" i="4"/>
  <c r="H547" i="4"/>
  <c r="B547" i="4"/>
  <c r="G547" i="4"/>
  <c r="A547" i="4"/>
  <c r="F547" i="4"/>
  <c r="E547" i="4"/>
  <c r="J547" i="4"/>
  <c r="I547" i="4"/>
  <c r="D547" i="4"/>
  <c r="C547" i="4"/>
  <c r="L547" i="4"/>
  <c r="J682" i="4"/>
  <c r="D682" i="4"/>
  <c r="F682" i="4"/>
  <c r="L682" i="4"/>
  <c r="E682" i="4"/>
  <c r="C682" i="4"/>
  <c r="B682" i="4"/>
  <c r="A682" i="4"/>
  <c r="I682" i="4"/>
  <c r="H682" i="4"/>
  <c r="G682" i="4"/>
  <c r="L361" i="4"/>
  <c r="F361" i="4"/>
  <c r="E361" i="4"/>
  <c r="J361" i="4"/>
  <c r="B361" i="4"/>
  <c r="H361" i="4"/>
  <c r="G361" i="4"/>
  <c r="D361" i="4"/>
  <c r="I361" i="4"/>
  <c r="C361" i="4"/>
  <c r="A361" i="4"/>
  <c r="L782" i="4"/>
  <c r="F782" i="4"/>
  <c r="G782" i="4"/>
  <c r="A782" i="4"/>
  <c r="J782" i="4"/>
  <c r="B782" i="4"/>
  <c r="E782" i="4"/>
  <c r="D782" i="4"/>
  <c r="C782" i="4"/>
  <c r="I782" i="4"/>
  <c r="H782" i="4"/>
  <c r="H468" i="4"/>
  <c r="B468" i="4"/>
  <c r="G468" i="4"/>
  <c r="A468" i="4"/>
  <c r="J468" i="4"/>
  <c r="I468" i="4"/>
  <c r="C468" i="4"/>
  <c r="L468" i="4"/>
  <c r="F468" i="4"/>
  <c r="E468" i="4"/>
  <c r="D468" i="4"/>
  <c r="L389" i="4"/>
  <c r="F389" i="4"/>
  <c r="J389" i="4"/>
  <c r="C389" i="4"/>
  <c r="I389" i="4"/>
  <c r="B389" i="4"/>
  <c r="A389" i="4"/>
  <c r="H389" i="4"/>
  <c r="G389" i="4"/>
  <c r="E389" i="4"/>
  <c r="D389" i="4"/>
  <c r="L394" i="4"/>
  <c r="F394" i="4"/>
  <c r="H394" i="4"/>
  <c r="A394" i="4"/>
  <c r="G394" i="4"/>
  <c r="E394" i="4"/>
  <c r="D394" i="4"/>
  <c r="C394" i="4"/>
  <c r="J394" i="4"/>
  <c r="I394" i="4"/>
  <c r="B394" i="4"/>
  <c r="L291" i="4"/>
  <c r="F291" i="4"/>
  <c r="E291" i="4"/>
  <c r="J291" i="4"/>
  <c r="C291" i="4"/>
  <c r="I291" i="4"/>
  <c r="H291" i="4"/>
  <c r="G291" i="4"/>
  <c r="D291" i="4"/>
  <c r="B291" i="4"/>
  <c r="A291" i="4"/>
  <c r="I236" i="4"/>
  <c r="C236" i="4"/>
  <c r="H236" i="4"/>
  <c r="B236" i="4"/>
  <c r="L236" i="4"/>
  <c r="D236" i="4"/>
  <c r="A236" i="4"/>
  <c r="J236" i="4"/>
  <c r="E236" i="4"/>
  <c r="G236" i="4"/>
  <c r="F236" i="4"/>
  <c r="I128" i="4"/>
  <c r="C128" i="4"/>
  <c r="H128" i="4"/>
  <c r="B128" i="4"/>
  <c r="L128" i="4"/>
  <c r="D128" i="4"/>
  <c r="A128" i="4"/>
  <c r="E128" i="4"/>
  <c r="J128" i="4"/>
  <c r="G128" i="4"/>
  <c r="F128" i="4"/>
  <c r="L312" i="4"/>
  <c r="F312" i="4"/>
  <c r="E312" i="4"/>
  <c r="J312" i="4"/>
  <c r="C312" i="4"/>
  <c r="G312" i="4"/>
  <c r="D312" i="4"/>
  <c r="A312" i="4"/>
  <c r="I312" i="4"/>
  <c r="H312" i="4"/>
  <c r="B312" i="4"/>
  <c r="I219" i="4"/>
  <c r="C219" i="4"/>
  <c r="H219" i="4"/>
  <c r="B219" i="4"/>
  <c r="J219" i="4"/>
  <c r="G219" i="4"/>
  <c r="F219" i="4"/>
  <c r="E219" i="4"/>
  <c r="D219" i="4"/>
  <c r="A219" i="4"/>
  <c r="L219" i="4"/>
  <c r="I88" i="4"/>
  <c r="C88" i="4"/>
  <c r="H88" i="4"/>
  <c r="B88" i="4"/>
  <c r="F88" i="4"/>
  <c r="E88" i="4"/>
  <c r="J88" i="4"/>
  <c r="G88" i="4"/>
  <c r="L88" i="4"/>
  <c r="D88" i="4"/>
  <c r="A88" i="4"/>
  <c r="I196" i="4"/>
  <c r="C196" i="4"/>
  <c r="H196" i="4"/>
  <c r="B196" i="4"/>
  <c r="F196" i="4"/>
  <c r="E196" i="4"/>
  <c r="L196" i="4"/>
  <c r="D196" i="4"/>
  <c r="J196" i="4"/>
  <c r="G196" i="4"/>
  <c r="A196" i="4"/>
  <c r="I90" i="4"/>
  <c r="C90" i="4"/>
  <c r="H90" i="4"/>
  <c r="B90" i="4"/>
  <c r="J90" i="4"/>
  <c r="G90" i="4"/>
  <c r="A90" i="4"/>
  <c r="L90" i="4"/>
  <c r="F90" i="4"/>
  <c r="E90" i="4"/>
  <c r="D90" i="4"/>
  <c r="I58" i="4"/>
  <c r="C58" i="4"/>
  <c r="H58" i="4"/>
  <c r="B58" i="4"/>
  <c r="F58" i="4"/>
  <c r="E58" i="4"/>
  <c r="G58" i="4"/>
  <c r="D58" i="4"/>
  <c r="A58" i="4"/>
  <c r="L58" i="4"/>
  <c r="J58" i="4"/>
  <c r="E1018" i="4"/>
  <c r="J1018" i="4"/>
  <c r="D1018" i="4"/>
  <c r="G1018" i="4"/>
  <c r="C1018" i="4"/>
  <c r="B1018" i="4"/>
  <c r="L1018" i="4"/>
  <c r="H1018" i="4"/>
  <c r="I1018" i="4"/>
  <c r="F1018" i="4"/>
  <c r="A1018" i="4"/>
  <c r="L979" i="4"/>
  <c r="F979" i="4"/>
  <c r="D979" i="4"/>
  <c r="J979" i="4"/>
  <c r="C979" i="4"/>
  <c r="E979" i="4"/>
  <c r="B979" i="4"/>
  <c r="A979" i="4"/>
  <c r="G979" i="4"/>
  <c r="H979" i="4"/>
  <c r="I979" i="4"/>
  <c r="E922" i="4"/>
  <c r="J922" i="4"/>
  <c r="D922" i="4"/>
  <c r="G922" i="4"/>
  <c r="F922" i="4"/>
  <c r="L922" i="4"/>
  <c r="B922" i="4"/>
  <c r="I922" i="4"/>
  <c r="C922" i="4"/>
  <c r="A922" i="4"/>
  <c r="H922" i="4"/>
  <c r="J900" i="4"/>
  <c r="D900" i="4"/>
  <c r="I900" i="4"/>
  <c r="C900" i="4"/>
  <c r="E900" i="4"/>
  <c r="B900" i="4"/>
  <c r="L900" i="4"/>
  <c r="A900" i="4"/>
  <c r="F900" i="4"/>
  <c r="H900" i="4"/>
  <c r="G900" i="4"/>
  <c r="E848" i="4"/>
  <c r="H848" i="4"/>
  <c r="A848" i="4"/>
  <c r="D848" i="4"/>
  <c r="L848" i="4"/>
  <c r="C848" i="4"/>
  <c r="F848" i="4"/>
  <c r="J848" i="4"/>
  <c r="I848" i="4"/>
  <c r="G848" i="4"/>
  <c r="B848" i="4"/>
  <c r="J828" i="4"/>
  <c r="D828" i="4"/>
  <c r="H828" i="4"/>
  <c r="A828" i="4"/>
  <c r="I828" i="4"/>
  <c r="B828" i="4"/>
  <c r="C828" i="4"/>
  <c r="F828" i="4"/>
  <c r="E828" i="4"/>
  <c r="L828" i="4"/>
  <c r="G828" i="4"/>
  <c r="J699" i="4"/>
  <c r="D699" i="4"/>
  <c r="C699" i="4"/>
  <c r="I699" i="4"/>
  <c r="B699" i="4"/>
  <c r="F699" i="4"/>
  <c r="E699" i="4"/>
  <c r="H699" i="4"/>
  <c r="G699" i="4"/>
  <c r="L699" i="4"/>
  <c r="A699" i="4"/>
  <c r="J907" i="4"/>
  <c r="D907" i="4"/>
  <c r="I907" i="4"/>
  <c r="B907" i="4"/>
  <c r="H907" i="4"/>
  <c r="A907" i="4"/>
  <c r="F907" i="4"/>
  <c r="G907" i="4"/>
  <c r="L907" i="4"/>
  <c r="E907" i="4"/>
  <c r="C907" i="4"/>
  <c r="J686" i="4"/>
  <c r="D686" i="4"/>
  <c r="H686" i="4"/>
  <c r="A686" i="4"/>
  <c r="G686" i="4"/>
  <c r="I686" i="4"/>
  <c r="C686" i="4"/>
  <c r="B686" i="4"/>
  <c r="L686" i="4"/>
  <c r="F686" i="4"/>
  <c r="E686" i="4"/>
  <c r="J692" i="4"/>
  <c r="D692" i="4"/>
  <c r="H692" i="4"/>
  <c r="A692" i="4"/>
  <c r="G692" i="4"/>
  <c r="C692" i="4"/>
  <c r="L692" i="4"/>
  <c r="B692" i="4"/>
  <c r="I692" i="4"/>
  <c r="F692" i="4"/>
  <c r="E692" i="4"/>
  <c r="H566" i="4"/>
  <c r="B566" i="4"/>
  <c r="G566" i="4"/>
  <c r="A566" i="4"/>
  <c r="L566" i="4"/>
  <c r="D566" i="4"/>
  <c r="C566" i="4"/>
  <c r="J566" i="4"/>
  <c r="I566" i="4"/>
  <c r="F566" i="4"/>
  <c r="E566" i="4"/>
  <c r="H458" i="4"/>
  <c r="B458" i="4"/>
  <c r="G458" i="4"/>
  <c r="A458" i="4"/>
  <c r="L458" i="4"/>
  <c r="D458" i="4"/>
  <c r="C458" i="4"/>
  <c r="J458" i="4"/>
  <c r="I458" i="4"/>
  <c r="F458" i="4"/>
  <c r="E458" i="4"/>
  <c r="H546" i="4"/>
  <c r="B546" i="4"/>
  <c r="G546" i="4"/>
  <c r="A546" i="4"/>
  <c r="J546" i="4"/>
  <c r="I546" i="4"/>
  <c r="F546" i="4"/>
  <c r="E546" i="4"/>
  <c r="L546" i="4"/>
  <c r="D546" i="4"/>
  <c r="C546" i="4"/>
  <c r="J674" i="4"/>
  <c r="D674" i="4"/>
  <c r="H674" i="4"/>
  <c r="A674" i="4"/>
  <c r="G674" i="4"/>
  <c r="C674" i="4"/>
  <c r="L674" i="4"/>
  <c r="B674" i="4"/>
  <c r="I674" i="4"/>
  <c r="F674" i="4"/>
  <c r="E674" i="4"/>
  <c r="L360" i="4"/>
  <c r="F360" i="4"/>
  <c r="E360" i="4"/>
  <c r="D360" i="4"/>
  <c r="J360" i="4"/>
  <c r="B360" i="4"/>
  <c r="G360" i="4"/>
  <c r="C360" i="4"/>
  <c r="H360" i="4"/>
  <c r="A360" i="4"/>
  <c r="I360" i="4"/>
  <c r="L778" i="4"/>
  <c r="F778" i="4"/>
  <c r="G778" i="4"/>
  <c r="A778" i="4"/>
  <c r="D778" i="4"/>
  <c r="J778" i="4"/>
  <c r="I778" i="4"/>
  <c r="C778" i="4"/>
  <c r="B778" i="4"/>
  <c r="H778" i="4"/>
  <c r="E778" i="4"/>
  <c r="H463" i="4"/>
  <c r="B463" i="4"/>
  <c r="G463" i="4"/>
  <c r="A463" i="4"/>
  <c r="F463" i="4"/>
  <c r="E463" i="4"/>
  <c r="I463" i="4"/>
  <c r="D463" i="4"/>
  <c r="J463" i="4"/>
  <c r="C463" i="4"/>
  <c r="L463" i="4"/>
  <c r="L388" i="4"/>
  <c r="F388" i="4"/>
  <c r="H388" i="4"/>
  <c r="A388" i="4"/>
  <c r="G388" i="4"/>
  <c r="C388" i="4"/>
  <c r="B388" i="4"/>
  <c r="J388" i="4"/>
  <c r="D388" i="4"/>
  <c r="I388" i="4"/>
  <c r="E388" i="4"/>
  <c r="L385" i="4"/>
  <c r="F385" i="4"/>
  <c r="H385" i="4"/>
  <c r="A385" i="4"/>
  <c r="G385" i="4"/>
  <c r="E385" i="4"/>
  <c r="D385" i="4"/>
  <c r="C385" i="4"/>
  <c r="J385" i="4"/>
  <c r="B385" i="4"/>
  <c r="I385" i="4"/>
  <c r="H624" i="4"/>
  <c r="B624" i="4"/>
  <c r="G624" i="4"/>
  <c r="A624" i="4"/>
  <c r="J624" i="4"/>
  <c r="I624" i="4"/>
  <c r="E624" i="4"/>
  <c r="D624" i="4"/>
  <c r="C624" i="4"/>
  <c r="L624" i="4"/>
  <c r="F624" i="4"/>
  <c r="I233" i="4"/>
  <c r="C233" i="4"/>
  <c r="H233" i="4"/>
  <c r="B233" i="4"/>
  <c r="L233" i="4"/>
  <c r="D233" i="4"/>
  <c r="A233" i="4"/>
  <c r="J233" i="4"/>
  <c r="E233" i="4"/>
  <c r="G233" i="4"/>
  <c r="F233" i="4"/>
  <c r="I125" i="4"/>
  <c r="C125" i="4"/>
  <c r="H125" i="4"/>
  <c r="B125" i="4"/>
  <c r="L125" i="4"/>
  <c r="D125" i="4"/>
  <c r="A125" i="4"/>
  <c r="J125" i="4"/>
  <c r="G125" i="4"/>
  <c r="F125" i="4"/>
  <c r="E125" i="4"/>
  <c r="L300" i="4"/>
  <c r="F300" i="4"/>
  <c r="E300" i="4"/>
  <c r="J300" i="4"/>
  <c r="C300" i="4"/>
  <c r="I300" i="4"/>
  <c r="H300" i="4"/>
  <c r="A300" i="4"/>
  <c r="G300" i="4"/>
  <c r="D300" i="4"/>
  <c r="B300" i="4"/>
  <c r="I216" i="4"/>
  <c r="C216" i="4"/>
  <c r="H216" i="4"/>
  <c r="B216" i="4"/>
  <c r="J216" i="4"/>
  <c r="G216" i="4"/>
  <c r="F216" i="4"/>
  <c r="E216" i="4"/>
  <c r="D216" i="4"/>
  <c r="A216" i="4"/>
  <c r="L216" i="4"/>
  <c r="I87" i="4"/>
  <c r="C87" i="4"/>
  <c r="H87" i="4"/>
  <c r="B87" i="4"/>
  <c r="J87" i="4"/>
  <c r="G87" i="4"/>
  <c r="F87" i="4"/>
  <c r="E87" i="4"/>
  <c r="L87" i="4"/>
  <c r="D87" i="4"/>
  <c r="A87" i="4"/>
  <c r="I193" i="4"/>
  <c r="C193" i="4"/>
  <c r="H193" i="4"/>
  <c r="B193" i="4"/>
  <c r="F193" i="4"/>
  <c r="E193" i="4"/>
  <c r="L193" i="4"/>
  <c r="D193" i="4"/>
  <c r="J193" i="4"/>
  <c r="G193" i="4"/>
  <c r="A193" i="4"/>
  <c r="I82" i="4"/>
  <c r="C82" i="4"/>
  <c r="H82" i="4"/>
  <c r="B82" i="4"/>
  <c r="F82" i="4"/>
  <c r="E82" i="4"/>
  <c r="A82" i="4"/>
  <c r="L82" i="4"/>
  <c r="D82" i="4"/>
  <c r="J82" i="4"/>
  <c r="G82" i="4"/>
  <c r="I49" i="4"/>
  <c r="C49" i="4"/>
  <c r="H49" i="4"/>
  <c r="B49" i="4"/>
  <c r="F49" i="4"/>
  <c r="E49" i="4"/>
  <c r="G49" i="4"/>
  <c r="D49" i="4"/>
  <c r="A49" i="4"/>
  <c r="L49" i="4"/>
  <c r="J49" i="4"/>
  <c r="E1011" i="4"/>
  <c r="J1011" i="4"/>
  <c r="D1011" i="4"/>
  <c r="I1011" i="4"/>
  <c r="A1011" i="4"/>
  <c r="B1011" i="4"/>
  <c r="L1011" i="4"/>
  <c r="C1011" i="4"/>
  <c r="G1011" i="4"/>
  <c r="F1011" i="4"/>
  <c r="H1011" i="4"/>
  <c r="E951" i="4"/>
  <c r="J951" i="4"/>
  <c r="D951" i="4"/>
  <c r="I951" i="4"/>
  <c r="A951" i="4"/>
  <c r="H951" i="4"/>
  <c r="B951" i="4"/>
  <c r="L951" i="4"/>
  <c r="G951" i="4"/>
  <c r="F951" i="4"/>
  <c r="C951" i="4"/>
  <c r="E915" i="4"/>
  <c r="J915" i="4"/>
  <c r="D915" i="4"/>
  <c r="I915" i="4"/>
  <c r="A915" i="4"/>
  <c r="H915" i="4"/>
  <c r="B915" i="4"/>
  <c r="F915" i="4"/>
  <c r="G915" i="4"/>
  <c r="C915" i="4"/>
  <c r="L915" i="4"/>
  <c r="J879" i="4"/>
  <c r="D879" i="4"/>
  <c r="I879" i="4"/>
  <c r="C879" i="4"/>
  <c r="A879" i="4"/>
  <c r="F879" i="4"/>
  <c r="E879" i="4"/>
  <c r="B879" i="4"/>
  <c r="G879" i="4"/>
  <c r="L879" i="4"/>
  <c r="H879" i="4"/>
  <c r="E841" i="4"/>
  <c r="F841" i="4"/>
  <c r="J841" i="4"/>
  <c r="B841" i="4"/>
  <c r="I841" i="4"/>
  <c r="A841" i="4"/>
  <c r="L841" i="4"/>
  <c r="C841" i="4"/>
  <c r="G841" i="4"/>
  <c r="D841" i="4"/>
  <c r="H841" i="4"/>
  <c r="G743" i="4"/>
  <c r="A743" i="4"/>
  <c r="D743" i="4"/>
  <c r="F743" i="4"/>
  <c r="E743" i="4"/>
  <c r="L743" i="4"/>
  <c r="J743" i="4"/>
  <c r="I743" i="4"/>
  <c r="H743" i="4"/>
  <c r="C743" i="4"/>
  <c r="B743" i="4"/>
  <c r="J678" i="4"/>
  <c r="D678" i="4"/>
  <c r="C678" i="4"/>
  <c r="I678" i="4"/>
  <c r="B678" i="4"/>
  <c r="H678" i="4"/>
  <c r="G678" i="4"/>
  <c r="A678" i="4"/>
  <c r="L678" i="4"/>
  <c r="F678" i="4"/>
  <c r="E678" i="4"/>
  <c r="L802" i="4"/>
  <c r="F802" i="4"/>
  <c r="G802" i="4"/>
  <c r="A802" i="4"/>
  <c r="D802" i="4"/>
  <c r="C802" i="4"/>
  <c r="B802" i="4"/>
  <c r="H802" i="4"/>
  <c r="E802" i="4"/>
  <c r="J802" i="4"/>
  <c r="I802" i="4"/>
  <c r="J658" i="4"/>
  <c r="D658" i="4"/>
  <c r="F658" i="4"/>
  <c r="L658" i="4"/>
  <c r="E658" i="4"/>
  <c r="A658" i="4"/>
  <c r="I658" i="4"/>
  <c r="H658" i="4"/>
  <c r="G658" i="4"/>
  <c r="C658" i="4"/>
  <c r="B658" i="4"/>
  <c r="J631" i="4"/>
  <c r="D631" i="4"/>
  <c r="F631" i="4"/>
  <c r="L631" i="4"/>
  <c r="E631" i="4"/>
  <c r="A631" i="4"/>
  <c r="I631" i="4"/>
  <c r="G631" i="4"/>
  <c r="C631" i="4"/>
  <c r="B631" i="4"/>
  <c r="H631" i="4"/>
  <c r="H545" i="4"/>
  <c r="B545" i="4"/>
  <c r="G545" i="4"/>
  <c r="A545" i="4"/>
  <c r="L545" i="4"/>
  <c r="D545" i="4"/>
  <c r="C545" i="4"/>
  <c r="I545" i="4"/>
  <c r="F545" i="4"/>
  <c r="E545" i="4"/>
  <c r="J545" i="4"/>
  <c r="L771" i="4"/>
  <c r="F771" i="4"/>
  <c r="G771" i="4"/>
  <c r="A771" i="4"/>
  <c r="H771" i="4"/>
  <c r="I771" i="4"/>
  <c r="E771" i="4"/>
  <c r="D771" i="4"/>
  <c r="C771" i="4"/>
  <c r="J771" i="4"/>
  <c r="B771" i="4"/>
  <c r="H511" i="4"/>
  <c r="B511" i="4"/>
  <c r="G511" i="4"/>
  <c r="A511" i="4"/>
  <c r="F511" i="4"/>
  <c r="E511" i="4"/>
  <c r="J511" i="4"/>
  <c r="C511" i="4"/>
  <c r="L511" i="4"/>
  <c r="I511" i="4"/>
  <c r="D511" i="4"/>
  <c r="H427" i="4"/>
  <c r="B427" i="4"/>
  <c r="G427" i="4"/>
  <c r="A427" i="4"/>
  <c r="F427" i="4"/>
  <c r="L427" i="4"/>
  <c r="C427" i="4"/>
  <c r="J427" i="4"/>
  <c r="I427" i="4"/>
  <c r="E427" i="4"/>
  <c r="D427" i="4"/>
  <c r="L353" i="4"/>
  <c r="F353" i="4"/>
  <c r="E353" i="4"/>
  <c r="H353" i="4"/>
  <c r="D353" i="4"/>
  <c r="I353" i="4"/>
  <c r="G353" i="4"/>
  <c r="J353" i="4"/>
  <c r="C353" i="4"/>
  <c r="B353" i="4"/>
  <c r="A353" i="4"/>
  <c r="H604" i="4"/>
  <c r="B604" i="4"/>
  <c r="G604" i="4"/>
  <c r="A604" i="4"/>
  <c r="F604" i="4"/>
  <c r="E604" i="4"/>
  <c r="C604" i="4"/>
  <c r="L604" i="4"/>
  <c r="J604" i="4"/>
  <c r="I604" i="4"/>
  <c r="D604" i="4"/>
  <c r="H416" i="4"/>
  <c r="B416" i="4"/>
  <c r="G416" i="4"/>
  <c r="A416" i="4"/>
  <c r="L416" i="4"/>
  <c r="D416" i="4"/>
  <c r="E416" i="4"/>
  <c r="C416" i="4"/>
  <c r="J416" i="4"/>
  <c r="I416" i="4"/>
  <c r="F416" i="4"/>
  <c r="J679" i="4"/>
  <c r="D679" i="4"/>
  <c r="F679" i="4"/>
  <c r="L679" i="4"/>
  <c r="E679" i="4"/>
  <c r="H679" i="4"/>
  <c r="G679" i="4"/>
  <c r="C679" i="4"/>
  <c r="B679" i="4"/>
  <c r="I679" i="4"/>
  <c r="A679" i="4"/>
  <c r="L299" i="4"/>
  <c r="F299" i="4"/>
  <c r="J299" i="4"/>
  <c r="C299" i="4"/>
  <c r="H299" i="4"/>
  <c r="A299" i="4"/>
  <c r="I299" i="4"/>
  <c r="G299" i="4"/>
  <c r="E299" i="4"/>
  <c r="D299" i="4"/>
  <c r="B299" i="4"/>
  <c r="H561" i="4"/>
  <c r="B561" i="4"/>
  <c r="G561" i="4"/>
  <c r="A561" i="4"/>
  <c r="J561" i="4"/>
  <c r="I561" i="4"/>
  <c r="E561" i="4"/>
  <c r="D561" i="4"/>
  <c r="C561" i="4"/>
  <c r="L561" i="4"/>
  <c r="F561" i="4"/>
  <c r="I212" i="4"/>
  <c r="C212" i="4"/>
  <c r="H212" i="4"/>
  <c r="B212" i="4"/>
  <c r="L212" i="4"/>
  <c r="D212" i="4"/>
  <c r="A212" i="4"/>
  <c r="J212" i="4"/>
  <c r="E212" i="4"/>
  <c r="G212" i="4"/>
  <c r="F212" i="4"/>
  <c r="I104" i="4"/>
  <c r="C104" i="4"/>
  <c r="H104" i="4"/>
  <c r="B104" i="4"/>
  <c r="L104" i="4"/>
  <c r="D104" i="4"/>
  <c r="A104" i="4"/>
  <c r="G104" i="4"/>
  <c r="F104" i="4"/>
  <c r="E104" i="4"/>
  <c r="J104" i="4"/>
  <c r="L320" i="4"/>
  <c r="F320" i="4"/>
  <c r="J320" i="4"/>
  <c r="C320" i="4"/>
  <c r="H320" i="4"/>
  <c r="A320" i="4"/>
  <c r="G320" i="4"/>
  <c r="E320" i="4"/>
  <c r="B320" i="4"/>
  <c r="I320" i="4"/>
  <c r="D320" i="4"/>
  <c r="I195" i="4"/>
  <c r="C195" i="4"/>
  <c r="H195" i="4"/>
  <c r="B195" i="4"/>
  <c r="J195" i="4"/>
  <c r="G195" i="4"/>
  <c r="F195" i="4"/>
  <c r="E195" i="4"/>
  <c r="D195" i="4"/>
  <c r="L195" i="4"/>
  <c r="A195" i="4"/>
  <c r="I52" i="4"/>
  <c r="C52" i="4"/>
  <c r="H52" i="4"/>
  <c r="B52" i="4"/>
  <c r="F52" i="4"/>
  <c r="E52" i="4"/>
  <c r="J52" i="4"/>
  <c r="G52" i="4"/>
  <c r="L52" i="4"/>
  <c r="D52" i="4"/>
  <c r="A52" i="4"/>
  <c r="I172" i="4"/>
  <c r="C172" i="4"/>
  <c r="H172" i="4"/>
  <c r="B172" i="4"/>
  <c r="F172" i="4"/>
  <c r="E172" i="4"/>
  <c r="L172" i="4"/>
  <c r="D172" i="4"/>
  <c r="J172" i="4"/>
  <c r="G172" i="4"/>
  <c r="A172" i="4"/>
  <c r="I54" i="4"/>
  <c r="C54" i="4"/>
  <c r="H54" i="4"/>
  <c r="B54" i="4"/>
  <c r="J54" i="4"/>
  <c r="G54" i="4"/>
  <c r="A54" i="4"/>
  <c r="L54" i="4"/>
  <c r="F54" i="4"/>
  <c r="E54" i="4"/>
  <c r="D54" i="4"/>
  <c r="I147" i="4"/>
  <c r="C147" i="4"/>
  <c r="H147" i="4"/>
  <c r="B147" i="4"/>
  <c r="J147" i="4"/>
  <c r="G147" i="4"/>
  <c r="E147" i="4"/>
  <c r="D147" i="4"/>
  <c r="A147" i="4"/>
  <c r="F147" i="4"/>
  <c r="L147" i="4"/>
  <c r="E9" i="5"/>
  <c r="E1004" i="4"/>
  <c r="J1004" i="4"/>
  <c r="D1004" i="4"/>
  <c r="C1004" i="4"/>
  <c r="I1004" i="4"/>
  <c r="H1004" i="4"/>
  <c r="F1004" i="4"/>
  <c r="B1004" i="4"/>
  <c r="G1004" i="4"/>
  <c r="A1004" i="4"/>
  <c r="L1004" i="4"/>
  <c r="E944" i="4"/>
  <c r="J944" i="4"/>
  <c r="D944" i="4"/>
  <c r="C944" i="4"/>
  <c r="L944" i="4"/>
  <c r="B944" i="4"/>
  <c r="F944" i="4"/>
  <c r="H944" i="4"/>
  <c r="G944" i="4"/>
  <c r="I944" i="4"/>
  <c r="A944" i="4"/>
  <c r="J908" i="4"/>
  <c r="D908" i="4"/>
  <c r="E908" i="4"/>
  <c r="L908" i="4"/>
  <c r="C908" i="4"/>
  <c r="F908" i="4"/>
  <c r="H908" i="4"/>
  <c r="B908" i="4"/>
  <c r="G908" i="4"/>
  <c r="A908" i="4"/>
  <c r="I908" i="4"/>
  <c r="E870" i="4"/>
  <c r="J870" i="4"/>
  <c r="C870" i="4"/>
  <c r="H870" i="4"/>
  <c r="G870" i="4"/>
  <c r="I870" i="4"/>
  <c r="A870" i="4"/>
  <c r="D870" i="4"/>
  <c r="B870" i="4"/>
  <c r="L870" i="4"/>
  <c r="F870" i="4"/>
  <c r="J834" i="4"/>
  <c r="D834" i="4"/>
  <c r="H834" i="4"/>
  <c r="A834" i="4"/>
  <c r="G834" i="4"/>
  <c r="I834" i="4"/>
  <c r="B834" i="4"/>
  <c r="C834" i="4"/>
  <c r="F834" i="4"/>
  <c r="E834" i="4"/>
  <c r="L834" i="4"/>
  <c r="G722" i="4"/>
  <c r="A722" i="4"/>
  <c r="D722" i="4"/>
  <c r="H722" i="4"/>
  <c r="F722" i="4"/>
  <c r="E722" i="4"/>
  <c r="C722" i="4"/>
  <c r="L722" i="4"/>
  <c r="J722" i="4"/>
  <c r="I722" i="4"/>
  <c r="B722" i="4"/>
  <c r="E657" i="4"/>
  <c r="J657" i="4"/>
  <c r="D657" i="4"/>
  <c r="C657" i="4"/>
  <c r="L657" i="4"/>
  <c r="B657" i="4"/>
  <c r="I657" i="4"/>
  <c r="H657" i="4"/>
  <c r="F657" i="4"/>
  <c r="A657" i="4"/>
  <c r="G657" i="4"/>
  <c r="L767" i="4"/>
  <c r="F767" i="4"/>
  <c r="G767" i="4"/>
  <c r="A767" i="4"/>
  <c r="J767" i="4"/>
  <c r="B767" i="4"/>
  <c r="C767" i="4"/>
  <c r="E767" i="4"/>
  <c r="D767" i="4"/>
  <c r="I767" i="4"/>
  <c r="H767" i="4"/>
  <c r="L808" i="4"/>
  <c r="F808" i="4"/>
  <c r="G808" i="4"/>
  <c r="A808" i="4"/>
  <c r="D808" i="4"/>
  <c r="H808" i="4"/>
  <c r="E808" i="4"/>
  <c r="J808" i="4"/>
  <c r="I808" i="4"/>
  <c r="C808" i="4"/>
  <c r="B808" i="4"/>
  <c r="G735" i="4"/>
  <c r="A735" i="4"/>
  <c r="F735" i="4"/>
  <c r="H735" i="4"/>
  <c r="E735" i="4"/>
  <c r="D735" i="4"/>
  <c r="C735" i="4"/>
  <c r="L735" i="4"/>
  <c r="J735" i="4"/>
  <c r="I735" i="4"/>
  <c r="B735" i="4"/>
  <c r="H524" i="4"/>
  <c r="B524" i="4"/>
  <c r="G524" i="4"/>
  <c r="A524" i="4"/>
  <c r="L524" i="4"/>
  <c r="D524" i="4"/>
  <c r="C524" i="4"/>
  <c r="E524" i="4"/>
  <c r="I524" i="4"/>
  <c r="F524" i="4"/>
  <c r="J524" i="4"/>
  <c r="L791" i="4"/>
  <c r="F791" i="4"/>
  <c r="G791" i="4"/>
  <c r="A791" i="4"/>
  <c r="J791" i="4"/>
  <c r="B791" i="4"/>
  <c r="E791" i="4"/>
  <c r="D791" i="4"/>
  <c r="I791" i="4"/>
  <c r="H791" i="4"/>
  <c r="C791" i="4"/>
  <c r="H483" i="4"/>
  <c r="B483" i="4"/>
  <c r="G483" i="4"/>
  <c r="A483" i="4"/>
  <c r="J483" i="4"/>
  <c r="I483" i="4"/>
  <c r="F483" i="4"/>
  <c r="L483" i="4"/>
  <c r="E483" i="4"/>
  <c r="D483" i="4"/>
  <c r="C483" i="4"/>
  <c r="L390" i="4"/>
  <c r="F390" i="4"/>
  <c r="E390" i="4"/>
  <c r="D390" i="4"/>
  <c r="J390" i="4"/>
  <c r="A390" i="4"/>
  <c r="I390" i="4"/>
  <c r="H390" i="4"/>
  <c r="G390" i="4"/>
  <c r="C390" i="4"/>
  <c r="B390" i="4"/>
  <c r="L346" i="4"/>
  <c r="F346" i="4"/>
  <c r="E346" i="4"/>
  <c r="J346" i="4"/>
  <c r="B346" i="4"/>
  <c r="H346" i="4"/>
  <c r="I346" i="4"/>
  <c r="G346" i="4"/>
  <c r="D346" i="4"/>
  <c r="C346" i="4"/>
  <c r="A346" i="4"/>
  <c r="H576" i="4"/>
  <c r="B576" i="4"/>
  <c r="G576" i="4"/>
  <c r="A576" i="4"/>
  <c r="J576" i="4"/>
  <c r="I576" i="4"/>
  <c r="C576" i="4"/>
  <c r="L576" i="4"/>
  <c r="F576" i="4"/>
  <c r="E576" i="4"/>
  <c r="D576" i="4"/>
  <c r="E280" i="4"/>
  <c r="J280" i="4"/>
  <c r="C280" i="4"/>
  <c r="I280" i="4"/>
  <c r="B280" i="4"/>
  <c r="D280" i="4"/>
  <c r="A280" i="4"/>
  <c r="L280" i="4"/>
  <c r="H280" i="4"/>
  <c r="G280" i="4"/>
  <c r="F280" i="4"/>
  <c r="H508" i="4"/>
  <c r="B508" i="4"/>
  <c r="G508" i="4"/>
  <c r="A508" i="4"/>
  <c r="F508" i="4"/>
  <c r="E508" i="4"/>
  <c r="I508" i="4"/>
  <c r="D508" i="4"/>
  <c r="L508" i="4"/>
  <c r="J508" i="4"/>
  <c r="C508" i="4"/>
  <c r="H489" i="4"/>
  <c r="B489" i="4"/>
  <c r="G489" i="4"/>
  <c r="A489" i="4"/>
  <c r="J489" i="4"/>
  <c r="I489" i="4"/>
  <c r="E489" i="4"/>
  <c r="D489" i="4"/>
  <c r="C489" i="4"/>
  <c r="L489" i="4"/>
  <c r="F489" i="4"/>
  <c r="H403" i="4"/>
  <c r="G403" i="4"/>
  <c r="F403" i="4"/>
  <c r="J403" i="4"/>
  <c r="A403" i="4"/>
  <c r="I403" i="4"/>
  <c r="E403" i="4"/>
  <c r="D403" i="4"/>
  <c r="C403" i="4"/>
  <c r="L403" i="4"/>
  <c r="B403" i="4"/>
  <c r="I191" i="4"/>
  <c r="C191" i="4"/>
  <c r="H191" i="4"/>
  <c r="B191" i="4"/>
  <c r="L191" i="4"/>
  <c r="D191" i="4"/>
  <c r="A191" i="4"/>
  <c r="J191" i="4"/>
  <c r="E191" i="4"/>
  <c r="F191" i="4"/>
  <c r="G191" i="4"/>
  <c r="I83" i="4"/>
  <c r="C83" i="4"/>
  <c r="H83" i="4"/>
  <c r="B83" i="4"/>
  <c r="L83" i="4"/>
  <c r="D83" i="4"/>
  <c r="A83" i="4"/>
  <c r="E83" i="4"/>
  <c r="J83" i="4"/>
  <c r="G83" i="4"/>
  <c r="F83" i="4"/>
  <c r="I271" i="4"/>
  <c r="C271" i="4"/>
  <c r="H271" i="4"/>
  <c r="B271" i="4"/>
  <c r="F271" i="4"/>
  <c r="E271" i="4"/>
  <c r="L271" i="4"/>
  <c r="D271" i="4"/>
  <c r="A271" i="4"/>
  <c r="J271" i="4"/>
  <c r="G271" i="4"/>
  <c r="I174" i="4"/>
  <c r="C174" i="4"/>
  <c r="H174" i="4"/>
  <c r="B174" i="4"/>
  <c r="J174" i="4"/>
  <c r="G174" i="4"/>
  <c r="F174" i="4"/>
  <c r="E174" i="4"/>
  <c r="D174" i="4"/>
  <c r="L174" i="4"/>
  <c r="A174" i="4"/>
  <c r="J27" i="4"/>
  <c r="D27" i="4"/>
  <c r="I27" i="4"/>
  <c r="C27" i="4"/>
  <c r="A27" i="4"/>
  <c r="H27" i="4"/>
  <c r="G27" i="4"/>
  <c r="B27" i="4"/>
  <c r="L27" i="4"/>
  <c r="F27" i="4"/>
  <c r="E27" i="4"/>
  <c r="I151" i="4"/>
  <c r="C151" i="4"/>
  <c r="H151" i="4"/>
  <c r="B151" i="4"/>
  <c r="F151" i="4"/>
  <c r="E151" i="4"/>
  <c r="L151" i="4"/>
  <c r="D151" i="4"/>
  <c r="J151" i="4"/>
  <c r="G151" i="4"/>
  <c r="A151" i="4"/>
  <c r="J23" i="4"/>
  <c r="D23" i="4"/>
  <c r="I23" i="4"/>
  <c r="C23" i="4"/>
  <c r="E23" i="4"/>
  <c r="L23" i="4"/>
  <c r="B23" i="4"/>
  <c r="A23" i="4"/>
  <c r="H23" i="4"/>
  <c r="G23" i="4"/>
  <c r="F23" i="4"/>
  <c r="I84" i="4"/>
  <c r="C84" i="4"/>
  <c r="H84" i="4"/>
  <c r="B84" i="4"/>
  <c r="J84" i="4"/>
  <c r="G84" i="4"/>
  <c r="E84" i="4"/>
  <c r="D84" i="4"/>
  <c r="A84" i="4"/>
  <c r="F84" i="4"/>
  <c r="L84" i="4"/>
  <c r="E1003" i="4"/>
  <c r="J1003" i="4"/>
  <c r="D1003" i="4"/>
  <c r="G1003" i="4"/>
  <c r="L1003" i="4"/>
  <c r="A1003" i="4"/>
  <c r="I1003" i="4"/>
  <c r="B1003" i="4"/>
  <c r="F1003" i="4"/>
  <c r="C1003" i="4"/>
  <c r="H1003" i="4"/>
  <c r="E943" i="4"/>
  <c r="J943" i="4"/>
  <c r="D943" i="4"/>
  <c r="G943" i="4"/>
  <c r="F943" i="4"/>
  <c r="B943" i="4"/>
  <c r="I943" i="4"/>
  <c r="L943" i="4"/>
  <c r="C943" i="4"/>
  <c r="A943" i="4"/>
  <c r="H943" i="4"/>
  <c r="L981" i="4"/>
  <c r="F981" i="4"/>
  <c r="I981" i="4"/>
  <c r="B981" i="4"/>
  <c r="H981" i="4"/>
  <c r="A981" i="4"/>
  <c r="C981" i="4"/>
  <c r="J981" i="4"/>
  <c r="G981" i="4"/>
  <c r="D981" i="4"/>
  <c r="E981" i="4"/>
  <c r="E869" i="4"/>
  <c r="H869" i="4"/>
  <c r="A869" i="4"/>
  <c r="L869" i="4"/>
  <c r="C869" i="4"/>
  <c r="J869" i="4"/>
  <c r="B869" i="4"/>
  <c r="D869" i="4"/>
  <c r="G869" i="4"/>
  <c r="I869" i="4"/>
  <c r="F869" i="4"/>
  <c r="J891" i="4"/>
  <c r="D891" i="4"/>
  <c r="I891" i="4"/>
  <c r="C891" i="4"/>
  <c r="E891" i="4"/>
  <c r="H891" i="4"/>
  <c r="L891" i="4"/>
  <c r="G891" i="4"/>
  <c r="A891" i="4"/>
  <c r="F891" i="4"/>
  <c r="B891" i="4"/>
  <c r="G719" i="4"/>
  <c r="D719" i="4"/>
  <c r="I719" i="4"/>
  <c r="A719" i="4"/>
  <c r="H719" i="4"/>
  <c r="C719" i="4"/>
  <c r="B719" i="4"/>
  <c r="L719" i="4"/>
  <c r="J719" i="4"/>
  <c r="F719" i="4"/>
  <c r="E719" i="4"/>
  <c r="E656" i="4"/>
  <c r="J656" i="4"/>
  <c r="D656" i="4"/>
  <c r="G656" i="4"/>
  <c r="F656" i="4"/>
  <c r="I656" i="4"/>
  <c r="H656" i="4"/>
  <c r="L656" i="4"/>
  <c r="C656" i="4"/>
  <c r="B656" i="4"/>
  <c r="A656" i="4"/>
  <c r="L766" i="4"/>
  <c r="F766" i="4"/>
  <c r="G766" i="4"/>
  <c r="A766" i="4"/>
  <c r="D766" i="4"/>
  <c r="C766" i="4"/>
  <c r="B766" i="4"/>
  <c r="H766" i="4"/>
  <c r="E766" i="4"/>
  <c r="J766" i="4"/>
  <c r="I766" i="4"/>
  <c r="L800" i="4"/>
  <c r="F800" i="4"/>
  <c r="G800" i="4"/>
  <c r="A800" i="4"/>
  <c r="J800" i="4"/>
  <c r="B800" i="4"/>
  <c r="E800" i="4"/>
  <c r="D800" i="4"/>
  <c r="I800" i="4"/>
  <c r="H800" i="4"/>
  <c r="C800" i="4"/>
  <c r="G724" i="4"/>
  <c r="A724" i="4"/>
  <c r="I724" i="4"/>
  <c r="B724" i="4"/>
  <c r="J724" i="4"/>
  <c r="H724" i="4"/>
  <c r="F724" i="4"/>
  <c r="E724" i="4"/>
  <c r="L724" i="4"/>
  <c r="D724" i="4"/>
  <c r="C724" i="4"/>
  <c r="H521" i="4"/>
  <c r="B521" i="4"/>
  <c r="G521" i="4"/>
  <c r="A521" i="4"/>
  <c r="L521" i="4"/>
  <c r="D521" i="4"/>
  <c r="C521" i="4"/>
  <c r="J521" i="4"/>
  <c r="E521" i="4"/>
  <c r="I521" i="4"/>
  <c r="F521" i="4"/>
  <c r="L787" i="4"/>
  <c r="F787" i="4"/>
  <c r="G787" i="4"/>
  <c r="A787" i="4"/>
  <c r="D787" i="4"/>
  <c r="J787" i="4"/>
  <c r="I787" i="4"/>
  <c r="H787" i="4"/>
  <c r="E787" i="4"/>
  <c r="C787" i="4"/>
  <c r="B787" i="4"/>
  <c r="H475" i="4"/>
  <c r="B475" i="4"/>
  <c r="G475" i="4"/>
  <c r="A475" i="4"/>
  <c r="F475" i="4"/>
  <c r="E475" i="4"/>
  <c r="J475" i="4"/>
  <c r="I475" i="4"/>
  <c r="D475" i="4"/>
  <c r="C475" i="4"/>
  <c r="L475" i="4"/>
  <c r="L387" i="4"/>
  <c r="F387" i="4"/>
  <c r="E387" i="4"/>
  <c r="D387" i="4"/>
  <c r="C387" i="4"/>
  <c r="B387" i="4"/>
  <c r="J387" i="4"/>
  <c r="A387" i="4"/>
  <c r="I387" i="4"/>
  <c r="H387" i="4"/>
  <c r="G387" i="4"/>
  <c r="L345" i="4"/>
  <c r="F345" i="4"/>
  <c r="E345" i="4"/>
  <c r="D345" i="4"/>
  <c r="J345" i="4"/>
  <c r="B345" i="4"/>
  <c r="I345" i="4"/>
  <c r="H345" i="4"/>
  <c r="C345" i="4"/>
  <c r="A345" i="4"/>
  <c r="G345" i="4"/>
  <c r="H568" i="4"/>
  <c r="B568" i="4"/>
  <c r="G568" i="4"/>
  <c r="A568" i="4"/>
  <c r="F568" i="4"/>
  <c r="E568" i="4"/>
  <c r="C568" i="4"/>
  <c r="L568" i="4"/>
  <c r="J568" i="4"/>
  <c r="I568" i="4"/>
  <c r="D568" i="4"/>
  <c r="E279" i="4"/>
  <c r="H279" i="4"/>
  <c r="A279" i="4"/>
  <c r="G279" i="4"/>
  <c r="D279" i="4"/>
  <c r="C279" i="4"/>
  <c r="L279" i="4"/>
  <c r="B279" i="4"/>
  <c r="J279" i="4"/>
  <c r="F279" i="4"/>
  <c r="I279" i="4"/>
  <c r="H498" i="4"/>
  <c r="B498" i="4"/>
  <c r="G498" i="4"/>
  <c r="A498" i="4"/>
  <c r="J498" i="4"/>
  <c r="I498" i="4"/>
  <c r="E498" i="4"/>
  <c r="D498" i="4"/>
  <c r="L498" i="4"/>
  <c r="F498" i="4"/>
  <c r="C498" i="4"/>
  <c r="H472" i="4"/>
  <c r="B472" i="4"/>
  <c r="G472" i="4"/>
  <c r="A472" i="4"/>
  <c r="F472" i="4"/>
  <c r="E472" i="4"/>
  <c r="I472" i="4"/>
  <c r="D472" i="4"/>
  <c r="C472" i="4"/>
  <c r="L472" i="4"/>
  <c r="J472" i="4"/>
  <c r="L392" i="4"/>
  <c r="F392" i="4"/>
  <c r="J392" i="4"/>
  <c r="C392" i="4"/>
  <c r="I392" i="4"/>
  <c r="B392" i="4"/>
  <c r="H392" i="4"/>
  <c r="G392" i="4"/>
  <c r="E392" i="4"/>
  <c r="D392" i="4"/>
  <c r="A392" i="4"/>
  <c r="I188" i="4"/>
  <c r="C188" i="4"/>
  <c r="H188" i="4"/>
  <c r="B188" i="4"/>
  <c r="L188" i="4"/>
  <c r="D188" i="4"/>
  <c r="A188" i="4"/>
  <c r="J188" i="4"/>
  <c r="E188" i="4"/>
  <c r="F188" i="4"/>
  <c r="G188" i="4"/>
  <c r="I80" i="4"/>
  <c r="C80" i="4"/>
  <c r="H80" i="4"/>
  <c r="B80" i="4"/>
  <c r="L80" i="4"/>
  <c r="D80" i="4"/>
  <c r="A80" i="4"/>
  <c r="J80" i="4"/>
  <c r="G80" i="4"/>
  <c r="F80" i="4"/>
  <c r="E80" i="4"/>
  <c r="I268" i="4"/>
  <c r="C268" i="4"/>
  <c r="H268" i="4"/>
  <c r="B268" i="4"/>
  <c r="F268" i="4"/>
  <c r="E268" i="4"/>
  <c r="L268" i="4"/>
  <c r="D268" i="4"/>
  <c r="A268" i="4"/>
  <c r="J268" i="4"/>
  <c r="G268" i="4"/>
  <c r="I171" i="4"/>
  <c r="C171" i="4"/>
  <c r="H171" i="4"/>
  <c r="B171" i="4"/>
  <c r="J171" i="4"/>
  <c r="G171" i="4"/>
  <c r="F171" i="4"/>
  <c r="E171" i="4"/>
  <c r="D171" i="4"/>
  <c r="L171" i="4"/>
  <c r="A171" i="4"/>
  <c r="J24" i="4"/>
  <c r="D24" i="4"/>
  <c r="I24" i="4"/>
  <c r="C24" i="4"/>
  <c r="A24" i="4"/>
  <c r="H24" i="4"/>
  <c r="G24" i="4"/>
  <c r="B24" i="4"/>
  <c r="L24" i="4"/>
  <c r="F24" i="4"/>
  <c r="E24" i="4"/>
  <c r="J701" i="4"/>
  <c r="D701" i="4"/>
  <c r="H701" i="4"/>
  <c r="A701" i="4"/>
  <c r="G701" i="4"/>
  <c r="C701" i="4"/>
  <c r="L701" i="4"/>
  <c r="B701" i="4"/>
  <c r="I701" i="4"/>
  <c r="F701" i="4"/>
  <c r="E701" i="4"/>
  <c r="H531" i="4"/>
  <c r="B531" i="4"/>
  <c r="G531" i="4"/>
  <c r="A531" i="4"/>
  <c r="J531" i="4"/>
  <c r="I531" i="4"/>
  <c r="C531" i="4"/>
  <c r="L531" i="4"/>
  <c r="E531" i="4"/>
  <c r="D531" i="4"/>
  <c r="F531" i="4"/>
  <c r="I75" i="4"/>
  <c r="C75" i="4"/>
  <c r="H75" i="4"/>
  <c r="B75" i="4"/>
  <c r="J75" i="4"/>
  <c r="G75" i="4"/>
  <c r="E75" i="4"/>
  <c r="D75" i="4"/>
  <c r="A75" i="4"/>
  <c r="F75" i="4"/>
  <c r="L75" i="4"/>
  <c r="G752" i="4"/>
  <c r="A752" i="4"/>
  <c r="D752" i="4"/>
  <c r="J752" i="4"/>
  <c r="B752" i="4"/>
  <c r="I752" i="4"/>
  <c r="H752" i="4"/>
  <c r="F752" i="4"/>
  <c r="E752" i="4"/>
  <c r="C752" i="4"/>
  <c r="L752" i="4"/>
  <c r="E1013" i="4"/>
  <c r="J1013" i="4"/>
  <c r="D1013" i="4"/>
  <c r="C1013" i="4"/>
  <c r="I1013" i="4"/>
  <c r="H1013" i="4"/>
  <c r="L1013" i="4"/>
  <c r="G1013" i="4"/>
  <c r="F1013" i="4"/>
  <c r="B1013" i="4"/>
  <c r="A1013" i="4"/>
  <c r="J684" i="4"/>
  <c r="D684" i="4"/>
  <c r="C684" i="4"/>
  <c r="I684" i="4"/>
  <c r="B684" i="4"/>
  <c r="A684" i="4"/>
  <c r="L684" i="4"/>
  <c r="H684" i="4"/>
  <c r="G684" i="4"/>
  <c r="F684" i="4"/>
  <c r="E684" i="4"/>
  <c r="L355" i="4"/>
  <c r="F355" i="4"/>
  <c r="E355" i="4"/>
  <c r="J355" i="4"/>
  <c r="B355" i="4"/>
  <c r="H355" i="4"/>
  <c r="I355" i="4"/>
  <c r="D355" i="4"/>
  <c r="C355" i="4"/>
  <c r="A355" i="4"/>
  <c r="G355" i="4"/>
  <c r="H426" i="4"/>
  <c r="B426" i="4"/>
  <c r="G426" i="4"/>
  <c r="A426" i="4"/>
  <c r="J426" i="4"/>
  <c r="D426" i="4"/>
  <c r="L426" i="4"/>
  <c r="C426" i="4"/>
  <c r="F426" i="4"/>
  <c r="E426" i="4"/>
  <c r="I426" i="4"/>
  <c r="J882" i="4"/>
  <c r="D882" i="4"/>
  <c r="I882" i="4"/>
  <c r="C882" i="4"/>
  <c r="A882" i="4"/>
  <c r="B882" i="4"/>
  <c r="G882" i="4"/>
  <c r="F882" i="4"/>
  <c r="H882" i="4"/>
  <c r="E882" i="4"/>
  <c r="L882" i="4"/>
  <c r="H548" i="4"/>
  <c r="B548" i="4"/>
  <c r="G548" i="4"/>
  <c r="A548" i="4"/>
  <c r="L548" i="4"/>
  <c r="D548" i="4"/>
  <c r="C548" i="4"/>
  <c r="J548" i="4"/>
  <c r="I548" i="4"/>
  <c r="F548" i="4"/>
  <c r="E548" i="4"/>
  <c r="H423" i="4"/>
  <c r="B423" i="4"/>
  <c r="G423" i="4"/>
  <c r="A423" i="4"/>
  <c r="J423" i="4"/>
  <c r="F423" i="4"/>
  <c r="E423" i="4"/>
  <c r="I423" i="4"/>
  <c r="D423" i="4"/>
  <c r="C423" i="4"/>
  <c r="L423" i="4"/>
  <c r="I60" i="4"/>
  <c r="C60" i="4"/>
  <c r="H60" i="4"/>
  <c r="B60" i="4"/>
  <c r="J60" i="4"/>
  <c r="G60" i="4"/>
  <c r="F60" i="4"/>
  <c r="E60" i="4"/>
  <c r="L60" i="4"/>
  <c r="D60" i="4"/>
  <c r="A60" i="4"/>
  <c r="E909" i="4"/>
  <c r="J909" i="4"/>
  <c r="D909" i="4"/>
  <c r="I909" i="4"/>
  <c r="A909" i="4"/>
  <c r="H909" i="4"/>
  <c r="F909" i="4"/>
  <c r="L909" i="4"/>
  <c r="G909" i="4"/>
  <c r="B909" i="4"/>
  <c r="C909" i="4"/>
  <c r="L815" i="4"/>
  <c r="F815" i="4"/>
  <c r="G815" i="4"/>
  <c r="A815" i="4"/>
  <c r="J815" i="4"/>
  <c r="B815" i="4"/>
  <c r="I815" i="4"/>
  <c r="H815" i="4"/>
  <c r="C815" i="4"/>
  <c r="E815" i="4"/>
  <c r="D815" i="4"/>
  <c r="L799" i="4"/>
  <c r="F799" i="4"/>
  <c r="G799" i="4"/>
  <c r="A799" i="4"/>
  <c r="D799" i="4"/>
  <c r="H799" i="4"/>
  <c r="E799" i="4"/>
  <c r="J799" i="4"/>
  <c r="I799" i="4"/>
  <c r="C799" i="4"/>
  <c r="B799" i="4"/>
  <c r="H484" i="4"/>
  <c r="B484" i="4"/>
  <c r="G484" i="4"/>
  <c r="A484" i="4"/>
  <c r="F484" i="4"/>
  <c r="E484" i="4"/>
  <c r="J484" i="4"/>
  <c r="C484" i="4"/>
  <c r="L484" i="4"/>
  <c r="D484" i="4"/>
  <c r="I484" i="4"/>
  <c r="L393" i="4"/>
  <c r="F393" i="4"/>
  <c r="E393" i="4"/>
  <c r="D393" i="4"/>
  <c r="H393" i="4"/>
  <c r="G393" i="4"/>
  <c r="C393" i="4"/>
  <c r="B393" i="4"/>
  <c r="A393" i="4"/>
  <c r="I393" i="4"/>
  <c r="J393" i="4"/>
  <c r="L347" i="4"/>
  <c r="F347" i="4"/>
  <c r="E347" i="4"/>
  <c r="H347" i="4"/>
  <c r="D347" i="4"/>
  <c r="A347" i="4"/>
  <c r="J347" i="4"/>
  <c r="B347" i="4"/>
  <c r="I347" i="4"/>
  <c r="G347" i="4"/>
  <c r="C347" i="4"/>
  <c r="H577" i="4"/>
  <c r="B577" i="4"/>
  <c r="G577" i="4"/>
  <c r="A577" i="4"/>
  <c r="F577" i="4"/>
  <c r="E577" i="4"/>
  <c r="C577" i="4"/>
  <c r="L577" i="4"/>
  <c r="J577" i="4"/>
  <c r="I577" i="4"/>
  <c r="D577" i="4"/>
  <c r="E281" i="4"/>
  <c r="F281" i="4"/>
  <c r="L281" i="4"/>
  <c r="D281" i="4"/>
  <c r="B281" i="4"/>
  <c r="J281" i="4"/>
  <c r="A281" i="4"/>
  <c r="I281" i="4"/>
  <c r="H281" i="4"/>
  <c r="G281" i="4"/>
  <c r="C281" i="4"/>
  <c r="H407" i="4"/>
  <c r="B407" i="4"/>
  <c r="G407" i="4"/>
  <c r="A407" i="4"/>
  <c r="L407" i="4"/>
  <c r="D407" i="4"/>
  <c r="E407" i="4"/>
  <c r="C407" i="4"/>
  <c r="I407" i="4"/>
  <c r="F407" i="4"/>
  <c r="J407" i="4"/>
  <c r="I86" i="4"/>
  <c r="C86" i="4"/>
  <c r="H86" i="4"/>
  <c r="B86" i="4"/>
  <c r="L86" i="4"/>
  <c r="D86" i="4"/>
  <c r="A86" i="4"/>
  <c r="G86" i="4"/>
  <c r="F86" i="4"/>
  <c r="E86" i="4"/>
  <c r="J86" i="4"/>
  <c r="I177" i="4"/>
  <c r="C177" i="4"/>
  <c r="H177" i="4"/>
  <c r="B177" i="4"/>
  <c r="J177" i="4"/>
  <c r="G177" i="4"/>
  <c r="F177" i="4"/>
  <c r="E177" i="4"/>
  <c r="D177" i="4"/>
  <c r="L177" i="4"/>
  <c r="A177" i="4"/>
  <c r="J30" i="4"/>
  <c r="D30" i="4"/>
  <c r="I30" i="4"/>
  <c r="C30" i="4"/>
  <c r="A30" i="4"/>
  <c r="H30" i="4"/>
  <c r="G30" i="4"/>
  <c r="B30" i="4"/>
  <c r="L30" i="4"/>
  <c r="F30" i="4"/>
  <c r="E30" i="4"/>
  <c r="I154" i="4"/>
  <c r="C154" i="4"/>
  <c r="H154" i="4"/>
  <c r="B154" i="4"/>
  <c r="F154" i="4"/>
  <c r="E154" i="4"/>
  <c r="L154" i="4"/>
  <c r="D154" i="4"/>
  <c r="J154" i="4"/>
  <c r="G154" i="4"/>
  <c r="A154" i="4"/>
  <c r="J26" i="4"/>
  <c r="D26" i="4"/>
  <c r="I26" i="4"/>
  <c r="C26" i="4"/>
  <c r="E26" i="4"/>
  <c r="L26" i="4"/>
  <c r="B26" i="4"/>
  <c r="A26" i="4"/>
  <c r="H26" i="4"/>
  <c r="G26" i="4"/>
  <c r="F26" i="4"/>
  <c r="I93" i="4"/>
  <c r="C93" i="4"/>
  <c r="H93" i="4"/>
  <c r="B93" i="4"/>
  <c r="J93" i="4"/>
  <c r="G93" i="4"/>
  <c r="E93" i="4"/>
  <c r="D93" i="4"/>
  <c r="A93" i="4"/>
  <c r="F93" i="4"/>
  <c r="L93" i="4"/>
  <c r="E998" i="4"/>
  <c r="J998" i="4"/>
  <c r="D998" i="4"/>
  <c r="C998" i="4"/>
  <c r="G998" i="4"/>
  <c r="F998" i="4"/>
  <c r="L998" i="4"/>
  <c r="I998" i="4"/>
  <c r="H998" i="4"/>
  <c r="A998" i="4"/>
  <c r="B998" i="4"/>
  <c r="E938" i="4"/>
  <c r="J938" i="4"/>
  <c r="D938" i="4"/>
  <c r="C938" i="4"/>
  <c r="L938" i="4"/>
  <c r="B938" i="4"/>
  <c r="H938" i="4"/>
  <c r="F938" i="4"/>
  <c r="I938" i="4"/>
  <c r="G938" i="4"/>
  <c r="A938" i="4"/>
  <c r="G965" i="4"/>
  <c r="A965" i="4"/>
  <c r="L965" i="4"/>
  <c r="F965" i="4"/>
  <c r="D965" i="4"/>
  <c r="C965" i="4"/>
  <c r="H965" i="4"/>
  <c r="E965" i="4"/>
  <c r="I965" i="4"/>
  <c r="J965" i="4"/>
  <c r="B965" i="4"/>
  <c r="E864" i="4"/>
  <c r="J864" i="4"/>
  <c r="C864" i="4"/>
  <c r="L864" i="4"/>
  <c r="B864" i="4"/>
  <c r="I864" i="4"/>
  <c r="A864" i="4"/>
  <c r="D864" i="4"/>
  <c r="H864" i="4"/>
  <c r="G864" i="4"/>
  <c r="F864" i="4"/>
  <c r="J829" i="4"/>
  <c r="D829" i="4"/>
  <c r="C829" i="4"/>
  <c r="L829" i="4"/>
  <c r="E829" i="4"/>
  <c r="H829" i="4"/>
  <c r="B829" i="4"/>
  <c r="A829" i="4"/>
  <c r="I829" i="4"/>
  <c r="G829" i="4"/>
  <c r="F829" i="4"/>
  <c r="L804" i="4"/>
  <c r="F804" i="4"/>
  <c r="G804" i="4"/>
  <c r="A804" i="4"/>
  <c r="H804" i="4"/>
  <c r="B804" i="4"/>
  <c r="J804" i="4"/>
  <c r="I804" i="4"/>
  <c r="E804" i="4"/>
  <c r="D804" i="4"/>
  <c r="C804" i="4"/>
  <c r="E651" i="4"/>
  <c r="J651" i="4"/>
  <c r="D651" i="4"/>
  <c r="C651" i="4"/>
  <c r="L651" i="4"/>
  <c r="B651" i="4"/>
  <c r="A651" i="4"/>
  <c r="I651" i="4"/>
  <c r="H651" i="4"/>
  <c r="G651" i="4"/>
  <c r="F651" i="4"/>
  <c r="G723" i="4"/>
  <c r="A723" i="4"/>
  <c r="F723" i="4"/>
  <c r="L723" i="4"/>
  <c r="D723" i="4"/>
  <c r="C723" i="4"/>
  <c r="H723" i="4"/>
  <c r="E723" i="4"/>
  <c r="B723" i="4"/>
  <c r="J723" i="4"/>
  <c r="I723" i="4"/>
  <c r="L769" i="4"/>
  <c r="F769" i="4"/>
  <c r="G769" i="4"/>
  <c r="A769" i="4"/>
  <c r="D769" i="4"/>
  <c r="J769" i="4"/>
  <c r="I769" i="4"/>
  <c r="H769" i="4"/>
  <c r="E769" i="4"/>
  <c r="C769" i="4"/>
  <c r="B769" i="4"/>
  <c r="H614" i="4"/>
  <c r="B614" i="4"/>
  <c r="G614" i="4"/>
  <c r="A614" i="4"/>
  <c r="L614" i="4"/>
  <c r="D614" i="4"/>
  <c r="C614" i="4"/>
  <c r="E614" i="4"/>
  <c r="J614" i="4"/>
  <c r="I614" i="4"/>
  <c r="F614" i="4"/>
  <c r="H506" i="4"/>
  <c r="B506" i="4"/>
  <c r="G506" i="4"/>
  <c r="A506" i="4"/>
  <c r="L506" i="4"/>
  <c r="D506" i="4"/>
  <c r="C506" i="4"/>
  <c r="E506" i="4"/>
  <c r="J506" i="4"/>
  <c r="I506" i="4"/>
  <c r="F506" i="4"/>
  <c r="H618" i="4"/>
  <c r="B618" i="4"/>
  <c r="G618" i="4"/>
  <c r="A618" i="4"/>
  <c r="J618" i="4"/>
  <c r="I618" i="4"/>
  <c r="F618" i="4"/>
  <c r="E618" i="4"/>
  <c r="L618" i="4"/>
  <c r="D618" i="4"/>
  <c r="C618" i="4"/>
  <c r="H456" i="4"/>
  <c r="B456" i="4"/>
  <c r="G456" i="4"/>
  <c r="A456" i="4"/>
  <c r="J456" i="4"/>
  <c r="I456" i="4"/>
  <c r="F456" i="4"/>
  <c r="L456" i="4"/>
  <c r="E456" i="4"/>
  <c r="D456" i="4"/>
  <c r="C456" i="4"/>
  <c r="L376" i="4"/>
  <c r="F376" i="4"/>
  <c r="E376" i="4"/>
  <c r="J376" i="4"/>
  <c r="B376" i="4"/>
  <c r="H376" i="4"/>
  <c r="C376" i="4"/>
  <c r="A376" i="4"/>
  <c r="I376" i="4"/>
  <c r="G376" i="4"/>
  <c r="D376" i="4"/>
  <c r="L340" i="4"/>
  <c r="F340" i="4"/>
  <c r="E340" i="4"/>
  <c r="J340" i="4"/>
  <c r="B340" i="4"/>
  <c r="H340" i="4"/>
  <c r="C340" i="4"/>
  <c r="A340" i="4"/>
  <c r="D340" i="4"/>
  <c r="G340" i="4"/>
  <c r="I340" i="4"/>
  <c r="H549" i="4"/>
  <c r="B549" i="4"/>
  <c r="G549" i="4"/>
  <c r="A549" i="4"/>
  <c r="J549" i="4"/>
  <c r="I549" i="4"/>
  <c r="C549" i="4"/>
  <c r="L549" i="4"/>
  <c r="F549" i="4"/>
  <c r="E549" i="4"/>
  <c r="D549" i="4"/>
  <c r="H616" i="4"/>
  <c r="B616" i="4"/>
  <c r="G616" i="4"/>
  <c r="A616" i="4"/>
  <c r="F616" i="4"/>
  <c r="E616" i="4"/>
  <c r="I616" i="4"/>
  <c r="D616" i="4"/>
  <c r="C616" i="4"/>
  <c r="L616" i="4"/>
  <c r="J616" i="4"/>
  <c r="H469" i="4"/>
  <c r="B469" i="4"/>
  <c r="G469" i="4"/>
  <c r="A469" i="4"/>
  <c r="F469" i="4"/>
  <c r="E469" i="4"/>
  <c r="C469" i="4"/>
  <c r="L469" i="4"/>
  <c r="J469" i="4"/>
  <c r="I469" i="4"/>
  <c r="D469" i="4"/>
  <c r="H414" i="4"/>
  <c r="B414" i="4"/>
  <c r="G414" i="4"/>
  <c r="A414" i="4"/>
  <c r="J414" i="4"/>
  <c r="F414" i="4"/>
  <c r="E414" i="4"/>
  <c r="D414" i="4"/>
  <c r="C414" i="4"/>
  <c r="L414" i="4"/>
  <c r="I414" i="4"/>
  <c r="L296" i="4"/>
  <c r="F296" i="4"/>
  <c r="J296" i="4"/>
  <c r="C296" i="4"/>
  <c r="H296" i="4"/>
  <c r="A296" i="4"/>
  <c r="D296" i="4"/>
  <c r="B296" i="4"/>
  <c r="I296" i="4"/>
  <c r="G296" i="4"/>
  <c r="E296" i="4"/>
  <c r="I173" i="4"/>
  <c r="C173" i="4"/>
  <c r="H173" i="4"/>
  <c r="B173" i="4"/>
  <c r="L173" i="4"/>
  <c r="D173" i="4"/>
  <c r="A173" i="4"/>
  <c r="J173" i="4"/>
  <c r="E173" i="4"/>
  <c r="F173" i="4"/>
  <c r="G173" i="4"/>
  <c r="I65" i="4"/>
  <c r="C65" i="4"/>
  <c r="H65" i="4"/>
  <c r="B65" i="4"/>
  <c r="L65" i="4"/>
  <c r="D65" i="4"/>
  <c r="A65" i="4"/>
  <c r="E65" i="4"/>
  <c r="J65" i="4"/>
  <c r="G65" i="4"/>
  <c r="F65" i="4"/>
  <c r="I253" i="4"/>
  <c r="C253" i="4"/>
  <c r="H253" i="4"/>
  <c r="B253" i="4"/>
  <c r="F253" i="4"/>
  <c r="E253" i="4"/>
  <c r="L253" i="4"/>
  <c r="D253" i="4"/>
  <c r="A253" i="4"/>
  <c r="J253" i="4"/>
  <c r="G253" i="4"/>
  <c r="I156" i="4"/>
  <c r="C156" i="4"/>
  <c r="H156" i="4"/>
  <c r="B156" i="4"/>
  <c r="J156" i="4"/>
  <c r="G156" i="4"/>
  <c r="F156" i="4"/>
  <c r="E156" i="4"/>
  <c r="D156" i="4"/>
  <c r="L156" i="4"/>
  <c r="A156" i="4"/>
  <c r="I241" i="4"/>
  <c r="C241" i="4"/>
  <c r="H241" i="4"/>
  <c r="B241" i="4"/>
  <c r="F241" i="4"/>
  <c r="E241" i="4"/>
  <c r="L241" i="4"/>
  <c r="D241" i="4"/>
  <c r="J241" i="4"/>
  <c r="G241" i="4"/>
  <c r="A241" i="4"/>
  <c r="I255" i="4"/>
  <c r="C255" i="4"/>
  <c r="H255" i="4"/>
  <c r="B255" i="4"/>
  <c r="J255" i="4"/>
  <c r="G255" i="4"/>
  <c r="F255" i="4"/>
  <c r="E255" i="4"/>
  <c r="L255" i="4"/>
  <c r="D255" i="4"/>
  <c r="A255" i="4"/>
  <c r="H504" i="4"/>
  <c r="B504" i="4"/>
  <c r="G504" i="4"/>
  <c r="A504" i="4"/>
  <c r="J504" i="4"/>
  <c r="I504" i="4"/>
  <c r="C504" i="4"/>
  <c r="L504" i="4"/>
  <c r="E504" i="4"/>
  <c r="D504" i="4"/>
  <c r="F504" i="4"/>
  <c r="J37" i="4"/>
  <c r="D37" i="4"/>
  <c r="I37" i="4"/>
  <c r="C37" i="4"/>
  <c r="G37" i="4"/>
  <c r="F37" i="4"/>
  <c r="E37" i="4"/>
  <c r="H37" i="4"/>
  <c r="B37" i="4"/>
  <c r="A37" i="4"/>
  <c r="L37" i="4"/>
  <c r="E997" i="4"/>
  <c r="H997" i="4"/>
  <c r="A997" i="4"/>
  <c r="I997" i="4"/>
  <c r="G997" i="4"/>
  <c r="J997" i="4"/>
  <c r="F997" i="4"/>
  <c r="D997" i="4"/>
  <c r="C997" i="4"/>
  <c r="L997" i="4"/>
  <c r="B997" i="4"/>
  <c r="E937" i="4"/>
  <c r="J937" i="4"/>
  <c r="D937" i="4"/>
  <c r="G937" i="4"/>
  <c r="F937" i="4"/>
  <c r="H937" i="4"/>
  <c r="A937" i="4"/>
  <c r="C937" i="4"/>
  <c r="B937" i="4"/>
  <c r="L937" i="4"/>
  <c r="I937" i="4"/>
  <c r="L957" i="4"/>
  <c r="F957" i="4"/>
  <c r="I957" i="4"/>
  <c r="B957" i="4"/>
  <c r="H957" i="4"/>
  <c r="A957" i="4"/>
  <c r="J957" i="4"/>
  <c r="E957" i="4"/>
  <c r="G957" i="4"/>
  <c r="C957" i="4"/>
  <c r="D957" i="4"/>
  <c r="E863" i="4"/>
  <c r="H863" i="4"/>
  <c r="A863" i="4"/>
  <c r="F863" i="4"/>
  <c r="D863" i="4"/>
  <c r="G863" i="4"/>
  <c r="J863" i="4"/>
  <c r="C863" i="4"/>
  <c r="B863" i="4"/>
  <c r="L863" i="4"/>
  <c r="I863" i="4"/>
  <c r="J826" i="4"/>
  <c r="D826" i="4"/>
  <c r="C826" i="4"/>
  <c r="L826" i="4"/>
  <c r="E826" i="4"/>
  <c r="A826" i="4"/>
  <c r="I826" i="4"/>
  <c r="H826" i="4"/>
  <c r="G826" i="4"/>
  <c r="F826" i="4"/>
  <c r="B826" i="4"/>
  <c r="L795" i="4"/>
  <c r="F795" i="4"/>
  <c r="G795" i="4"/>
  <c r="A795" i="4"/>
  <c r="H795" i="4"/>
  <c r="B795" i="4"/>
  <c r="J795" i="4"/>
  <c r="I795" i="4"/>
  <c r="E795" i="4"/>
  <c r="D795" i="4"/>
  <c r="C795" i="4"/>
  <c r="E650" i="4"/>
  <c r="J650" i="4"/>
  <c r="D650" i="4"/>
  <c r="G650" i="4"/>
  <c r="F650" i="4"/>
  <c r="A650" i="4"/>
  <c r="L650" i="4"/>
  <c r="H650" i="4"/>
  <c r="C650" i="4"/>
  <c r="B650" i="4"/>
  <c r="I650" i="4"/>
  <c r="J894" i="4"/>
  <c r="D894" i="4"/>
  <c r="I894" i="4"/>
  <c r="C894" i="4"/>
  <c r="E894" i="4"/>
  <c r="F894" i="4"/>
  <c r="L894" i="4"/>
  <c r="G894" i="4"/>
  <c r="B894" i="4"/>
  <c r="H894" i="4"/>
  <c r="A894" i="4"/>
  <c r="L761" i="4"/>
  <c r="F761" i="4"/>
  <c r="G761" i="4"/>
  <c r="A761" i="4"/>
  <c r="J761" i="4"/>
  <c r="B761" i="4"/>
  <c r="I761" i="4"/>
  <c r="H761" i="4"/>
  <c r="E761" i="4"/>
  <c r="D761" i="4"/>
  <c r="C761" i="4"/>
  <c r="H611" i="4"/>
  <c r="B611" i="4"/>
  <c r="G611" i="4"/>
  <c r="A611" i="4"/>
  <c r="L611" i="4"/>
  <c r="D611" i="4"/>
  <c r="C611" i="4"/>
  <c r="J611" i="4"/>
  <c r="I611" i="4"/>
  <c r="F611" i="4"/>
  <c r="E611" i="4"/>
  <c r="H503" i="4"/>
  <c r="B503" i="4"/>
  <c r="G503" i="4"/>
  <c r="A503" i="4"/>
  <c r="L503" i="4"/>
  <c r="D503" i="4"/>
  <c r="C503" i="4"/>
  <c r="J503" i="4"/>
  <c r="I503" i="4"/>
  <c r="F503" i="4"/>
  <c r="E503" i="4"/>
  <c r="H610" i="4"/>
  <c r="B610" i="4"/>
  <c r="G610" i="4"/>
  <c r="A610" i="4"/>
  <c r="F610" i="4"/>
  <c r="E610" i="4"/>
  <c r="J610" i="4"/>
  <c r="I610" i="4"/>
  <c r="D610" i="4"/>
  <c r="C610" i="4"/>
  <c r="L610" i="4"/>
  <c r="H447" i="4"/>
  <c r="B447" i="4"/>
  <c r="G447" i="4"/>
  <c r="A447" i="4"/>
  <c r="J447" i="4"/>
  <c r="I447" i="4"/>
  <c r="L447" i="4"/>
  <c r="F447" i="4"/>
  <c r="E447" i="4"/>
  <c r="D447" i="4"/>
  <c r="C447" i="4"/>
  <c r="L375" i="4"/>
  <c r="F375" i="4"/>
  <c r="E375" i="4"/>
  <c r="D375" i="4"/>
  <c r="J375" i="4"/>
  <c r="B375" i="4"/>
  <c r="A375" i="4"/>
  <c r="H375" i="4"/>
  <c r="G375" i="4"/>
  <c r="C375" i="4"/>
  <c r="I375" i="4"/>
  <c r="L339" i="4"/>
  <c r="F339" i="4"/>
  <c r="E339" i="4"/>
  <c r="D339" i="4"/>
  <c r="J339" i="4"/>
  <c r="B339" i="4"/>
  <c r="A339" i="4"/>
  <c r="I339" i="4"/>
  <c r="H339" i="4"/>
  <c r="G339" i="4"/>
  <c r="C339" i="4"/>
  <c r="H541" i="4"/>
  <c r="B541" i="4"/>
  <c r="G541" i="4"/>
  <c r="A541" i="4"/>
  <c r="F541" i="4"/>
  <c r="E541" i="4"/>
  <c r="C541" i="4"/>
  <c r="L541" i="4"/>
  <c r="J541" i="4"/>
  <c r="I541" i="4"/>
  <c r="D541" i="4"/>
  <c r="H607" i="4"/>
  <c r="B607" i="4"/>
  <c r="G607" i="4"/>
  <c r="A607" i="4"/>
  <c r="F607" i="4"/>
  <c r="E607" i="4"/>
  <c r="I607" i="4"/>
  <c r="D607" i="4"/>
  <c r="C607" i="4"/>
  <c r="L607" i="4"/>
  <c r="J607" i="4"/>
  <c r="H459" i="4"/>
  <c r="B459" i="4"/>
  <c r="G459" i="4"/>
  <c r="A459" i="4"/>
  <c r="J459" i="4"/>
  <c r="I459" i="4"/>
  <c r="C459" i="4"/>
  <c r="L459" i="4"/>
  <c r="F459" i="4"/>
  <c r="E459" i="4"/>
  <c r="D459" i="4"/>
  <c r="L324" i="4"/>
  <c r="F324" i="4"/>
  <c r="E324" i="4"/>
  <c r="J324" i="4"/>
  <c r="C324" i="4"/>
  <c r="B324" i="4"/>
  <c r="A324" i="4"/>
  <c r="D324" i="4"/>
  <c r="I324" i="4"/>
  <c r="H324" i="4"/>
  <c r="G324" i="4"/>
  <c r="L292" i="4"/>
  <c r="F292" i="4"/>
  <c r="H292" i="4"/>
  <c r="A292" i="4"/>
  <c r="E292" i="4"/>
  <c r="I292" i="4"/>
  <c r="G292" i="4"/>
  <c r="J292" i="4"/>
  <c r="D292" i="4"/>
  <c r="C292" i="4"/>
  <c r="B292" i="4"/>
  <c r="I170" i="4"/>
  <c r="C170" i="4"/>
  <c r="H170" i="4"/>
  <c r="B170" i="4"/>
  <c r="L170" i="4"/>
  <c r="D170" i="4"/>
  <c r="A170" i="4"/>
  <c r="J170" i="4"/>
  <c r="E170" i="4"/>
  <c r="F170" i="4"/>
  <c r="G170" i="4"/>
  <c r="I62" i="4"/>
  <c r="C62" i="4"/>
  <c r="H62" i="4"/>
  <c r="B62" i="4"/>
  <c r="L62" i="4"/>
  <c r="D62" i="4"/>
  <c r="A62" i="4"/>
  <c r="J62" i="4"/>
  <c r="G62" i="4"/>
  <c r="F62" i="4"/>
  <c r="E62" i="4"/>
  <c r="I250" i="4"/>
  <c r="C250" i="4"/>
  <c r="H250" i="4"/>
  <c r="B250" i="4"/>
  <c r="F250" i="4"/>
  <c r="E250" i="4"/>
  <c r="L250" i="4"/>
  <c r="D250" i="4"/>
  <c r="A250" i="4"/>
  <c r="J250" i="4"/>
  <c r="G250" i="4"/>
  <c r="I153" i="4"/>
  <c r="C153" i="4"/>
  <c r="H153" i="4"/>
  <c r="B153" i="4"/>
  <c r="J153" i="4"/>
  <c r="G153" i="4"/>
  <c r="F153" i="4"/>
  <c r="E153" i="4"/>
  <c r="D153" i="4"/>
  <c r="L153" i="4"/>
  <c r="A153" i="4"/>
  <c r="I238" i="4"/>
  <c r="C238" i="4"/>
  <c r="H238" i="4"/>
  <c r="B238" i="4"/>
  <c r="F238" i="4"/>
  <c r="E238" i="4"/>
  <c r="L238" i="4"/>
  <c r="D238" i="4"/>
  <c r="J238" i="4"/>
  <c r="G238" i="4"/>
  <c r="A238" i="4"/>
  <c r="I246" i="4"/>
  <c r="C246" i="4"/>
  <c r="H246" i="4"/>
  <c r="B246" i="4"/>
  <c r="J246" i="4"/>
  <c r="G246" i="4"/>
  <c r="F246" i="4"/>
  <c r="E246" i="4"/>
  <c r="L246" i="4"/>
  <c r="D246" i="4"/>
  <c r="A246" i="4"/>
  <c r="L321" i="4"/>
  <c r="F321" i="4"/>
  <c r="E321" i="4"/>
  <c r="J321" i="4"/>
  <c r="C321" i="4"/>
  <c r="G321" i="4"/>
  <c r="D321" i="4"/>
  <c r="H321" i="4"/>
  <c r="B321" i="4"/>
  <c r="A321" i="4"/>
  <c r="I321" i="4"/>
  <c r="J34" i="4"/>
  <c r="D34" i="4"/>
  <c r="I34" i="4"/>
  <c r="C34" i="4"/>
  <c r="G34" i="4"/>
  <c r="F34" i="4"/>
  <c r="E34" i="4"/>
  <c r="H34" i="4"/>
  <c r="B34" i="4"/>
  <c r="A34" i="4"/>
  <c r="L34" i="4"/>
  <c r="E16" i="5" l="1"/>
  <c r="E32" i="5"/>
  <c r="E22" i="5"/>
  <c r="J1025" i="4" s="1"/>
  <c r="E33" i="5"/>
  <c r="E21" i="5"/>
  <c r="J1024" i="4" s="1"/>
  <c r="H1021" i="4"/>
  <c r="E20" i="5"/>
  <c r="J1023" i="4" s="1"/>
  <c r="I1022" i="4"/>
  <c r="E23" i="5" l="1"/>
  <c r="F15" i="5"/>
  <c r="B8" i="6"/>
  <c r="F10" i="5"/>
  <c r="F4" i="5"/>
  <c r="F11" i="5"/>
  <c r="F5" i="5"/>
  <c r="F13" i="5"/>
  <c r="F14" i="5"/>
  <c r="F9" i="5"/>
  <c r="F7" i="5"/>
  <c r="F12" i="5"/>
  <c r="F8" i="5"/>
  <c r="F6" i="5"/>
  <c r="E24" i="5" l="1"/>
  <c r="J1027" i="4" s="1"/>
  <c r="E25" i="5"/>
  <c r="J1026" i="4"/>
  <c r="C12" i="4"/>
</calcChain>
</file>

<file path=xl/sharedStrings.xml><?xml version="1.0" encoding="utf-8"?>
<sst xmlns="http://schemas.openxmlformats.org/spreadsheetml/2006/main" count="25378" uniqueCount="6367">
  <si>
    <t>Смета объекта — единый файл (Excel 2019+)</t>
  </si>
  <si>
    <t>ТРИ ПРАВИЛА</t>
  </si>
  <si>
    <t xml:space="preserve">  1. «Конструктор» — вводишь по нужным строкам: Объём · Код_материала · Вкл. (да/нет).</t>
  </si>
  <si>
    <t xml:space="preserve">     Подсказка «Драйвер» говорит, откуда объём (S_пол, S_стены, спецификация, замер…).</t>
  </si>
  <si>
    <t xml:space="preserve">     Список материала — только по группе этой работы. «Гр_ОK» краснеет, если выбран не тот.</t>
  </si>
  <si>
    <t xml:space="preserve">  2. «Смета» — готовый документ. После ввода объёмов: встать на таблицу расшифровки →</t>
  </si>
  <si>
    <t xml:space="preserve">     Данные → «Применить повторно» (Ctrl+Alt+L). Позиции появятся, итоги встанут под ними.</t>
  </si>
  <si>
    <t xml:space="preserve">  3. Цены и работы менять — на жёлтых листах «Работы» / «Материалы» в этом же файле.</t>
  </si>
  <si>
    <t xml:space="preserve">     После ДОБАВЛЕНИЯ материалов — отсортировать лист «Материалы» по колонке «Группа_материалов»</t>
  </si>
  <si>
    <t xml:space="preserve">     (выделить таблицу → Данные → Сортировка). Иначе список материала по группе будет неполным.</t>
  </si>
  <si>
    <t>ЛИСТЫ:</t>
  </si>
  <si>
    <t xml:space="preserve">  Параметры — объект, подрядчик, площади, НДС, %% транспорта/такелажа/резерва, курсы (жёлтые ячейки).</t>
  </si>
  <si>
    <t xml:space="preserve">  Конструктор — все работы справочника; ввод объёмов/материалов.</t>
  </si>
  <si>
    <t xml:space="preserve">  Смета — чистовой документ (формируется сам).</t>
  </si>
  <si>
    <t xml:space="preserve">  Свод+ТЭП — итоги по разделам, доли работ/материалов, ₽/м².</t>
  </si>
  <si>
    <t xml:space="preserve">  Контроль — красное = ошибка, проверить перед выдачей.</t>
  </si>
  <si>
    <t xml:space="preserve">  Работы / Материалы / Группы (жёлтые ярлыки) — справочник. «Группы» — расшифровка кодов групп.</t>
  </si>
  <si>
    <t>НОВАЯ РАБОТА: строка на лист «Работы» в конец (код РАБ.РX.Y.NNN, цена труда, группа материала, тип, драйвер).</t>
  </si>
  <si>
    <t>Появится в «Конструкторе» автоматически (в пределах буфера — см. «Контроль»).</t>
  </si>
  <si>
    <t>Сформировано: 2026-08-31.  Работ: 911.  Материалов: 1218.  Буфер Конструктора: 1211.  Версия: 1.0 (единый файл).</t>
  </si>
  <si>
    <t>ПАРАМЕТРЫ ОБЪЕКТА</t>
  </si>
  <si>
    <t>Параметр</t>
  </si>
  <si>
    <t>Значение</t>
  </si>
  <si>
    <t>Пояснение</t>
  </si>
  <si>
    <t>Объект</t>
  </si>
  <si>
    <t>Формат объекта</t>
  </si>
  <si>
    <t>ККО</t>
  </si>
  <si>
    <t>ККО / Инфраструктура</t>
  </si>
  <si>
    <t>Адрес объекта</t>
  </si>
  <si>
    <t>Срок проведения работ</t>
  </si>
  <si>
    <t>Согласно план-графику производства работ</t>
  </si>
  <si>
    <t>Дата цен</t>
  </si>
  <si>
    <t>Подрядчик</t>
  </si>
  <si>
    <t>ПОДРЯДЧИК (наименование)</t>
  </si>
  <si>
    <t>Юридический адрес</t>
  </si>
  <si>
    <t>Электронный адрес</t>
  </si>
  <si>
    <t>Контактное лицо (Ф.И.О.)</t>
  </si>
  <si>
    <t>Контактный телефон</t>
  </si>
  <si>
    <t>Реквизиты</t>
  </si>
  <si>
    <t>Площади, м²</t>
  </si>
  <si>
    <t>S_общая (площадь объекта)</t>
  </si>
  <si>
    <t>для ТЭП и проектных расценок</t>
  </si>
  <si>
    <t>S_пол</t>
  </si>
  <si>
    <t>драйвер S_пол</t>
  </si>
  <si>
    <t>S_стены</t>
  </si>
  <si>
    <t>драйвер S_стены (развёртка)</t>
  </si>
  <si>
    <t>S_потолок</t>
  </si>
  <si>
    <t>драйвер S_потолок</t>
  </si>
  <si>
    <t>S_поверхность</t>
  </si>
  <si>
    <t>драйвер S_поверхность</t>
  </si>
  <si>
    <t>S_проёмы</t>
  </si>
  <si>
    <t>драйвер S_проёмы</t>
  </si>
  <si>
    <t>S_фасад</t>
  </si>
  <si>
    <t>драйвер S_фасад</t>
  </si>
  <si>
    <t>Периметр_пола, м.п.</t>
  </si>
  <si>
    <t>драйвер Периметр_пола</t>
  </si>
  <si>
    <t>Финансы</t>
  </si>
  <si>
    <t>Режим цены</t>
  </si>
  <si>
    <t>с НДС в цене</t>
  </si>
  <si>
    <t>«с НДС в цене» — НДС извлекается; «без НДС» — начисляется сверху</t>
  </si>
  <si>
    <t>Ставка НДС, %</t>
  </si>
  <si>
    <t>5 / 7 / 20</t>
  </si>
  <si>
    <t>Дисконт по тендеру, доля</t>
  </si>
  <si>
    <t>0,05 = минус 5% к ЕР</t>
  </si>
  <si>
    <t>Транспортные, % от стоимости материалов</t>
  </si>
  <si>
    <t>Такелаж / верт. транспорт, % от (работы+материалы)</t>
  </si>
  <si>
    <t>режим ТЦ/БЦ, ночные работы</t>
  </si>
  <si>
    <t>Резерв на непредвиденные, % от (работы+материалы)</t>
  </si>
  <si>
    <t>0 = не применять</t>
  </si>
  <si>
    <t>Курс USD</t>
  </si>
  <si>
    <t>для валютных материалов</t>
  </si>
  <si>
    <t>Курс EUR</t>
  </si>
  <si>
    <t>Раздел</t>
  </si>
  <si>
    <t>Подраздел</t>
  </si>
  <si>
    <t>Код_работы</t>
  </si>
  <si>
    <t>Наименование работы</t>
  </si>
  <si>
    <t>Ед</t>
  </si>
  <si>
    <t>Группа_мат</t>
  </si>
  <si>
    <t>Драйвер</t>
  </si>
  <si>
    <t>Объём</t>
  </si>
  <si>
    <t>Код_материала</t>
  </si>
  <si>
    <t>Наименование материала</t>
  </si>
  <si>
    <t>Гр_ОK</t>
  </si>
  <si>
    <t>Цена работ, ₽</t>
  </si>
  <si>
    <t>Цена мат, ₽</t>
  </si>
  <si>
    <t>Стоим. работ, ₽</t>
  </si>
  <si>
    <t>Стоим. мат, ₽</t>
  </si>
  <si>
    <t>Всего, ₽</t>
  </si>
  <si>
    <t>Тип</t>
  </si>
  <si>
    <t>Вкл.</t>
  </si>
  <si>
    <t>Примечание</t>
  </si>
  <si>
    <t>_ранг</t>
  </si>
  <si>
    <t>да</t>
  </si>
  <si>
    <t>СМЕТА</t>
  </si>
  <si>
    <t>Формат объекта:</t>
  </si>
  <si>
    <t>Адрес объекта:</t>
  </si>
  <si>
    <t>Площадь объекта (м.кв.):</t>
  </si>
  <si>
    <t>Срок проведения работ:</t>
  </si>
  <si>
    <t>ПОДРЯДЧИК:</t>
  </si>
  <si>
    <t>Юридический адрес:</t>
  </si>
  <si>
    <t>Электронный адрес:</t>
  </si>
  <si>
    <t>Контактное лицо (Ф.И.О.):</t>
  </si>
  <si>
    <t>Контактный телефон:</t>
  </si>
  <si>
    <t>Реквизиты:</t>
  </si>
  <si>
    <t>Сумма по смете, ₽:</t>
  </si>
  <si>
    <t>Цены на дату:</t>
  </si>
  <si>
    <t>Курс USD:</t>
  </si>
  <si>
    <t>Курс EUR:</t>
  </si>
  <si>
    <t>Дисконт по тендеру, доля:</t>
  </si>
  <si>
    <t>Примечание: цены с НР и СП; НДС по режиму из «Параметров».</t>
  </si>
  <si>
    <t>РАСШИФРОВКА РАБОТ И ЗАТРАТ  (пустые строки скрыты; после ввода объёмов — Данные → Применить повторно / Ctrl+Alt+L)</t>
  </si>
  <si>
    <t>№</t>
  </si>
  <si>
    <t>Номенкл. №</t>
  </si>
  <si>
    <t>Наименование работ и затрат</t>
  </si>
  <si>
    <t>Ед. изм.</t>
  </si>
  <si>
    <t>Кол-во</t>
  </si>
  <si>
    <t>Цена ед. работ, ₽</t>
  </si>
  <si>
    <t>Цена ед. материалов/оборуд., ₽</t>
  </si>
  <si>
    <t>Стоимость работ, ₽</t>
  </si>
  <si>
    <t>Стоимость материалов/оборуд., ₽</t>
  </si>
  <si>
    <t>_кр</t>
  </si>
  <si>
    <t>_показать</t>
  </si>
  <si>
    <t>Итого работы:</t>
  </si>
  <si>
    <t>показать</t>
  </si>
  <si>
    <t>Итого материалы и оборудование:</t>
  </si>
  <si>
    <t>Транспортные расходы (% от стоимости материалов):</t>
  </si>
  <si>
    <t>Такелаж / вертикальный транспорт:</t>
  </si>
  <si>
    <t>Резерв на непредвиденные:</t>
  </si>
  <si>
    <t>ВСЕГО*:</t>
  </si>
  <si>
    <t>в том числе НДС:</t>
  </si>
  <si>
    <t>* с учётом всех налогов, сборов и пошлин, предусмотренных действующим законодательством РФ</t>
  </si>
  <si>
    <t>От Заказчика: _______________________</t>
  </si>
  <si>
    <t>От Подрядчика: _______________________</t>
  </si>
  <si>
    <t>СВОД ПО РАЗДЕЛАМ</t>
  </si>
  <si>
    <t>Наименование</t>
  </si>
  <si>
    <t>Работы, ₽</t>
  </si>
  <si>
    <t>Материалы, ₽</t>
  </si>
  <si>
    <t>Доля</t>
  </si>
  <si>
    <t>₽/м²</t>
  </si>
  <si>
    <t>Р1</t>
  </si>
  <si>
    <t>Проектные работы и согласования</t>
  </si>
  <si>
    <t>Р2</t>
  </si>
  <si>
    <t>Демонтажные работы</t>
  </si>
  <si>
    <t>Р3</t>
  </si>
  <si>
    <t>Внутренние строительные работы</t>
  </si>
  <si>
    <t>Р4</t>
  </si>
  <si>
    <t>Наружные строительные работы</t>
  </si>
  <si>
    <t>Р5</t>
  </si>
  <si>
    <t>Водоснабжение и канализация</t>
  </si>
  <si>
    <t>Р6</t>
  </si>
  <si>
    <t>Отопление</t>
  </si>
  <si>
    <t>Р7</t>
  </si>
  <si>
    <t>Вентиляция</t>
  </si>
  <si>
    <t>Р8</t>
  </si>
  <si>
    <t>Кондиционирование</t>
  </si>
  <si>
    <t>Р9</t>
  </si>
  <si>
    <t>Электротехнические работы</t>
  </si>
  <si>
    <t>Р10</t>
  </si>
  <si>
    <t>Адаптация для МГН</t>
  </si>
  <si>
    <t>Р11</t>
  </si>
  <si>
    <t>Слаботочные системы и безопасность</t>
  </si>
  <si>
    <t>Р12</t>
  </si>
  <si>
    <t>Лимитированные и прочие затраты</t>
  </si>
  <si>
    <t>ИТОГО по разделам</t>
  </si>
  <si>
    <t>Итого работы, ₽</t>
  </si>
  <si>
    <t>Итого материалы и оборудование, ₽</t>
  </si>
  <si>
    <t>Транспортные расходы (% от стоимости материалов), ₽</t>
  </si>
  <si>
    <t>Такелаж / вертикальный транспорт, ₽</t>
  </si>
  <si>
    <t>Резерв на непредвиденные, ₽</t>
  </si>
  <si>
    <t>ВСЕГО*, ₽</t>
  </si>
  <si>
    <t>в том числе НДС, ₽</t>
  </si>
  <si>
    <t>ВСЕГО с НДС сверху, ₽ (режим «без НДС»)</t>
  </si>
  <si>
    <t>ТЭП</t>
  </si>
  <si>
    <t>Площадь объекта S_общая, м²</t>
  </si>
  <si>
    <t>Стоимость 1 м² всего, ₽</t>
  </si>
  <si>
    <t>Стоимость 1 м² — работы, ₽</t>
  </si>
  <si>
    <t>Стоимость 1 м² — материалы и оборуд., ₽</t>
  </si>
  <si>
    <t>Доля работ</t>
  </si>
  <si>
    <t>Доля материалов и оборудования</t>
  </si>
  <si>
    <t>Позиций в смете (объём &gt; 0)</t>
  </si>
  <si>
    <t>КОНТРОЛЬ ЦЕЛОСТНОСТИ</t>
  </si>
  <si>
    <t>Проверка</t>
  </si>
  <si>
    <t>Результат</t>
  </si>
  <si>
    <t>Норма</t>
  </si>
  <si>
    <t>Строк с несоответствием группы материала</t>
  </si>
  <si>
    <t>Объём введён в строке без кода работы (переполнен буфер / рассинхрон)</t>
  </si>
  <si>
    <t>Работа требует материал, объём есть, материал не выбран</t>
  </si>
  <si>
    <t>Драйвер S_пол, а объём больше S_пол</t>
  </si>
  <si>
    <t>Свод по разделам = сумме по Конструктору</t>
  </si>
  <si>
    <t>Хватает ли буфера Конструктора для справочника</t>
  </si>
  <si>
    <t>ок</t>
  </si>
  <si>
    <t>Смета помещается в лист расшифровки</t>
  </si>
  <si>
    <t>Дата цен не старше 180 дней</t>
  </si>
  <si>
    <t>Ставка НДС из 5/7/20</t>
  </si>
  <si>
    <t>Курс USD задан</t>
  </si>
  <si>
    <t>Позиций с объёмом &gt; 0</t>
  </si>
  <si>
    <t>&gt; 0</t>
  </si>
  <si>
    <t>Наименование_работы</t>
  </si>
  <si>
    <t>Ед_изм</t>
  </si>
  <si>
    <t>Раздел_наимен</t>
  </si>
  <si>
    <t>Группа_материалов</t>
  </si>
  <si>
    <t>Цена_работ_ЕР</t>
  </si>
  <si>
    <t>Вспом_материалы_%</t>
  </si>
  <si>
    <t>Драйвер_объёма</t>
  </si>
  <si>
    <t>Требует_материал</t>
  </si>
  <si>
    <t>Источник_цены</t>
  </si>
  <si>
    <t>Дата_цены</t>
  </si>
  <si>
    <t>Версия</t>
  </si>
  <si>
    <t>Строк_в_ТС_ЕР</t>
  </si>
  <si>
    <t>Строки_источники</t>
  </si>
  <si>
    <t>Проверить_наименование</t>
  </si>
  <si>
    <t>Комментарий</t>
  </si>
  <si>
    <t>РАБ.Р1.1.001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</si>
  <si>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</si>
  <si>
    <t>м2</t>
  </si>
  <si>
    <t>1</t>
  </si>
  <si>
    <t>нетиповая</t>
  </si>
  <si>
    <t>S_общая</t>
  </si>
  <si>
    <t>нет</t>
  </si>
  <si>
    <t>ТС ЕР 2025</t>
  </si>
  <si>
    <t>0.2</t>
  </si>
  <si>
    <t>17</t>
  </si>
  <si>
    <t>РАБ.Р1.1.002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</si>
  <si>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</si>
  <si>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18</t>
  </si>
  <si>
    <t>РАБ.Р1.1.003</t>
  </si>
  <si>
    <t>Рабочая документация по усилению/устройству несущих конструкций ("КР"), включая пояснительную записку (для помещений от 100 до 450 м.кв)</t>
  </si>
  <si>
    <t>19</t>
  </si>
  <si>
    <t>РАБ.Р1.1.004</t>
  </si>
  <si>
    <t>Рабочая документация "Архитектурные решения" ("АР"), включая пояснительную записку (для помещений от 100 до 450 м.кв)</t>
  </si>
  <si>
    <t>типовая</t>
  </si>
  <si>
    <t>20</t>
  </si>
  <si>
    <t>РАБ.Р1.1.005</t>
  </si>
  <si>
    <t>Рабочая документация по электроснабжению и электроосвещению ("ЭОМ"), включая пояснительную записку (для помещений от 100 до 450 м.кв)</t>
  </si>
  <si>
    <t>21</t>
  </si>
  <si>
    <t>РАБ.Р1.1.006</t>
  </si>
  <si>
    <t>Рабочая документация Системы вентиляции ("ОВиК-В"), включая пояснительную записку (для помещений от 100 до 450 м.кв)</t>
  </si>
  <si>
    <t>22</t>
  </si>
  <si>
    <t>РАБ.Р1.1.007</t>
  </si>
  <si>
    <t>Рабочая документация Системы кондиционирования ("ОВиК-К"), включая пояснительную записку (для помещений от 100 до 450 м.кв)</t>
  </si>
  <si>
    <t>23</t>
  </si>
  <si>
    <t>РАБ.Р1.1.008</t>
  </si>
  <si>
    <t>Рабочая документация Системы отопления ("ОВиК-О"), включая Пояснительную записку и Теплотехнический расчет (для помещений от 100 до 450 м.кв)</t>
  </si>
  <si>
    <t>24</t>
  </si>
  <si>
    <t>РАБ.Р1.1.009</t>
  </si>
  <si>
    <t>Рабочая документация Системы водоснабжения и канализации ("ВК"), включая пояснительную записку (для помещений от 100 до 450 м.кв)</t>
  </si>
  <si>
    <t>25</t>
  </si>
  <si>
    <t>РАБ.Р1.1.010</t>
  </si>
  <si>
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t>
  </si>
  <si>
    <t>26</t>
  </si>
  <si>
    <t>РАБ.Р1.1.011</t>
  </si>
  <si>
    <t>Рабочая документация Системы Внутреннего противопожарного водопровода ("ВПВ"), включая пояснительную записку (для помещений от 100 до 450 м.кв)</t>
  </si>
  <si>
    <t>27</t>
  </si>
  <si>
    <t>РАБ.Р1.1.012</t>
  </si>
  <si>
    <t>Рабочая документация Системы дымоудаления ("ДУ"), включая пояснительную записку (для помещений от 100 до 450 м.кв)</t>
  </si>
  <si>
    <t>28</t>
  </si>
  <si>
    <t>РАБ.Р1.1.013</t>
  </si>
  <si>
    <t>Рабочая документация "Автоматическая пожарная сигнализация" (АПС)</t>
  </si>
  <si>
    <t>29</t>
  </si>
  <si>
    <t>РАБ.Р1.1.014</t>
  </si>
  <si>
    <t>Рабочая документация "Система оповещения и управления эвакуацией людей при пожаре" (СОУЭ)</t>
  </si>
  <si>
    <t>30</t>
  </si>
  <si>
    <t>РАБ.Р1.1.015</t>
  </si>
  <si>
    <t>Рабочая документация "Автоматизация системы внутреннего противопожарного водопровода (ВПВ)</t>
  </si>
  <si>
    <t>31</t>
  </si>
  <si>
    <t>РАБ.Р1.1.016</t>
  </si>
  <si>
    <t>Рабочая документация "Автоматизация системы противодымной вентиляции (ПДВ")"</t>
  </si>
  <si>
    <t>32</t>
  </si>
  <si>
    <t>РАБ.Р1.1.017</t>
  </si>
  <si>
    <t>Рабочая документация "Автоматизация Системы отопления, вентиляции и кондиционирования (ОВиК)"</t>
  </si>
  <si>
    <t>33</t>
  </si>
  <si>
    <t>РАБ.Р1.1.018</t>
  </si>
  <si>
    <t>Рабочая документация "Автоматизация Системы аварийного освещения (АО)"</t>
  </si>
  <si>
    <t>34</t>
  </si>
  <si>
    <t>РАБ.Р1.1.019</t>
  </si>
  <si>
    <t>Рабочая документация "Автоматизации лифтовового хозяйства"</t>
  </si>
  <si>
    <t>35</t>
  </si>
  <si>
    <t>РАБ.Р1.1.020</t>
  </si>
  <si>
    <t>Рабочая документация "Автоматизации Системы контроля управления доступом (СКУД)"</t>
  </si>
  <si>
    <t>36</t>
  </si>
  <si>
    <t>РАБ.Р1.1.021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</si>
  <si>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</si>
  <si>
    <t>37</t>
  </si>
  <si>
    <t>РАБ.Р1.1.022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</si>
  <si>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</si>
  <si>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кв.м.площади фасада</t>
  </si>
  <si>
    <t>38</t>
  </si>
  <si>
    <t>РАБ.Р1.1.023</t>
  </si>
  <si>
    <t>Рабочая документация по усилению/устройству несущих конструкций ("КР"), включая пояснительную записку (для помещений менее 100 м.кв)</t>
  </si>
  <si>
    <t>компл.</t>
  </si>
  <si>
    <t>39</t>
  </si>
  <si>
    <t>РАБ.Р1.1.024</t>
  </si>
  <si>
    <t>Рабочая документация "Архитектурные решения" ("АР"), включая пояснительную записку (для помещений менее 100 м.кв)</t>
  </si>
  <si>
    <t>40</t>
  </si>
  <si>
    <t>РАБ.Р1.1.025</t>
  </si>
  <si>
    <t>Рабочая документация по электроснабжению и электроосвещению ("ЭОМ"), включая пояснительную записку (для помещений менее 100 м.кв)</t>
  </si>
  <si>
    <t>41</t>
  </si>
  <si>
    <t>РАБ.Р1.1.026</t>
  </si>
  <si>
    <t>Рабочая документация Системы вентиляции ("ОВиК-В"), включая пояснительную записку (для помещений менее 100 м.кв)</t>
  </si>
  <si>
    <t>42</t>
  </si>
  <si>
    <t>РАБ.Р1.1.027</t>
  </si>
  <si>
    <t>Рабочая документация Системы кондиционирования ("ОВиК-К"), включая пояснительную записку (для помещений менее 100 м.кв)</t>
  </si>
  <si>
    <t>43</t>
  </si>
  <si>
    <t>РАБ.Р1.1.028</t>
  </si>
  <si>
    <t>Рабочая документация Системы отопления ("ОВиК-О"), включая Пояснительную записку и Теплотехнический расчет (для помещений менее 100 м.кв)</t>
  </si>
  <si>
    <t>44</t>
  </si>
  <si>
    <t>РАБ.Р1.1.029</t>
  </si>
  <si>
    <t>Рабочая документация Системы водоснабжения и канализации ("ВК"), включая пояснительную записку (для помещений менее 100 м.кв)</t>
  </si>
  <si>
    <t>45</t>
  </si>
  <si>
    <t>РАБ.Р1.1.030</t>
  </si>
  <si>
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t>
  </si>
  <si>
    <t>46</t>
  </si>
  <si>
    <t>РАБ.Р1.1.031</t>
  </si>
  <si>
    <t>Рабочая документация Системы Внутреннего противопожарного водопровода ("ВПВ"), включая пояснительную записку (для помещений менее 100 м.кв)</t>
  </si>
  <si>
    <t>47</t>
  </si>
  <si>
    <t>РАБ.Р1.1.032</t>
  </si>
  <si>
    <t>Рабочая документация Системы дымоудаления ("ДУ"), включая пояснительную записку (для помещений менее 100 м.кв)</t>
  </si>
  <si>
    <t>48</t>
  </si>
  <si>
    <t>РАБ.Р1.1.033</t>
  </si>
  <si>
    <t>Исполнительная документация по усилению/устройству несущих конструкций ("КР"), включая пояснительную записку (для объектов более 100 кв.м.)</t>
  </si>
  <si>
    <t>49</t>
  </si>
  <si>
    <t>РАБ.Р1.1.034</t>
  </si>
  <si>
    <t>Исполнительная документация "Архитектурные решения" ("АР"), включая пояснительную записку (для объектов более 100 кв.м.)</t>
  </si>
  <si>
    <t>50</t>
  </si>
  <si>
    <t>РАБ.Р1.1.035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</si>
  <si>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</si>
  <si>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51</t>
  </si>
  <si>
    <t>РАБ.Р1.1.036</t>
  </si>
  <si>
    <t>Исполнительная документация Системы вентиляции ("ОВиК-В"), включая пояснительную записку (для объектов более 100 кв.м.)</t>
  </si>
  <si>
    <t>52</t>
  </si>
  <si>
    <t>РАБ.Р1.1.037</t>
  </si>
  <si>
    <t>Исполнительная документация Системы кондиционирования ("ОВиК-К"), включая пояснительную записку (для объектов более 100 кв.м.)</t>
  </si>
  <si>
    <t>53</t>
  </si>
  <si>
    <t>РАБ.Р1.1.038</t>
  </si>
  <si>
    <t>Исполнительная документация Системы отопления ("ОВиК-О"), включая Пояснительную записку и Теплотехнический расчет (для объектов более 100 кв.м.)</t>
  </si>
  <si>
    <t>54</t>
  </si>
  <si>
    <t>РАБ.Р1.1.039</t>
  </si>
  <si>
    <t>Исполнительная документация Системы водоснабжения и канализации ("ВК"), включая пояснительную записку (для объектов более 100 кв.м.)</t>
  </si>
  <si>
    <t>55</t>
  </si>
  <si>
    <t>РАБ.Р1.1.040</t>
  </si>
  <si>
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</si>
  <si>
    <t>56</t>
  </si>
  <si>
    <t>РАБ.Р1.1.041</t>
  </si>
  <si>
    <t>Исполнительная документация Системы Внутреннего противопожарного водопровода ("ВПВ"), включая пояснительную записку (для объектов более 100 кв.м.)</t>
  </si>
  <si>
    <t>57</t>
  </si>
  <si>
    <t>РАБ.Р1.1.042</t>
  </si>
  <si>
    <t>Исполнительная документация Системы дымоудаления ("ДУ"), включая пояснительную записку (для объектов более 100 кв.м.)</t>
  </si>
  <si>
    <t>58</t>
  </si>
  <si>
    <t>РАБ.Р1.1.043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</si>
  <si>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</si>
  <si>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59</t>
  </si>
  <si>
    <t>РАБ.Р1.1.044</t>
  </si>
  <si>
    <t>Исполнительная документация "Архитектурные решения" ("АР"), включая пояснительную записку (для объектов менее 100 кв.м.)</t>
  </si>
  <si>
    <t>60</t>
  </si>
  <si>
    <t>РАБ.Р1.1.045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</si>
  <si>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</si>
  <si>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61</t>
  </si>
  <si>
    <t>РАБ.Р1.1.046</t>
  </si>
  <si>
    <t>Исполнительная документация Системы вентиляции ("ОВиК-В"), включая пояснительную записку (для объектов менее 100 кв.м.)</t>
  </si>
  <si>
    <t>62</t>
  </si>
  <si>
    <t>РАБ.Р1.1.047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</si>
  <si>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</si>
  <si>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63</t>
  </si>
  <si>
    <t>РАБ.Р1.1.048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</si>
  <si>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</si>
  <si>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64</t>
  </si>
  <si>
    <t>РАБ.Р1.1.049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</si>
  <si>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</si>
  <si>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65</t>
  </si>
  <si>
    <t>РАБ.Р1.1.050</t>
  </si>
  <si>
    <t>66</t>
  </si>
  <si>
    <t>РАБ.Р1.1.051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</si>
  <si>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</si>
  <si>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67</t>
  </si>
  <si>
    <t>РАБ.Р1.1.052</t>
  </si>
  <si>
    <t>Исполнительная документация Системы дымоудаления ("ДУ"), включая пояснительную записку (для объектов менее 100 кв.м.)</t>
  </si>
  <si>
    <t>68</t>
  </si>
  <si>
    <t>РАБ.Р1.1.053</t>
  </si>
  <si>
    <t>69</t>
  </si>
  <si>
    <t>РАБ.Р1.1.054</t>
  </si>
  <si>
    <t>70</t>
  </si>
  <si>
    <t>РАБ.Р1.1.055</t>
  </si>
  <si>
    <t>71</t>
  </si>
  <si>
    <t>РАБ.Р1.1.056</t>
  </si>
  <si>
    <t>72</t>
  </si>
  <si>
    <t>РАБ.Р1.1.057</t>
  </si>
  <si>
    <t>73</t>
  </si>
  <si>
    <t>РАБ.Р1.1.058</t>
  </si>
  <si>
    <t>74</t>
  </si>
  <si>
    <t>РАБ.Р1.1.059</t>
  </si>
  <si>
    <t>75</t>
  </si>
  <si>
    <t>РАБ.Р1.1.060</t>
  </si>
  <si>
    <t>76</t>
  </si>
  <si>
    <t>РАБ.Р1.1.061</t>
  </si>
  <si>
    <t>Стоимость согласования проекта перепланировки/реставрации объекта культурного наследия в соответствии с нормативными актами г.______________.</t>
  </si>
  <si>
    <t>77</t>
  </si>
  <si>
    <t>РАБ.Р1.1.062</t>
  </si>
  <si>
    <t>Стоимость согласования проекта перепланировки/реконструкции объекта в соответствии с нормативными актами г.______________.</t>
  </si>
  <si>
    <t>78</t>
  </si>
  <si>
    <t>РАБ.Р1.1.063</t>
  </si>
  <si>
    <t>Получение паспорта БТИ (в черных линиях)</t>
  </si>
  <si>
    <t>79</t>
  </si>
  <si>
    <t>РАБ.Р1.1.064</t>
  </si>
  <si>
    <t>Сертификация помещения для совершения операций с ценностями, хранение ценностей по (2) классу вломостойкости и (3) классу пулестойкости</t>
  </si>
  <si>
    <t>80</t>
  </si>
  <si>
    <t>РАБ.Р1.1.065</t>
  </si>
  <si>
    <t>Сертификация помещения для совершения операций с ценностями, хранение ценностей по 3 классу вломостойкости и 3 классу пулестойкости</t>
  </si>
  <si>
    <t>81</t>
  </si>
  <si>
    <t>РАБ.Р1.1.066</t>
  </si>
  <si>
    <t>Сертификация помещения для совершения операций с ценностями, хранение ценностей по (5) классу вломостойкости</t>
  </si>
  <si>
    <t>82</t>
  </si>
  <si>
    <t>РАБ.Р1.1.067</t>
  </si>
  <si>
    <t>Технический отчет электролаборатории для помещений более 100 м.кв.</t>
  </si>
  <si>
    <t>83</t>
  </si>
  <si>
    <t>РАБ.Р1.1.068</t>
  </si>
  <si>
    <t>Технический отчет электролаборатории для помещений менее 100 м.кв.</t>
  </si>
  <si>
    <t>84</t>
  </si>
  <si>
    <t>РАБ.Р1.1.069</t>
  </si>
  <si>
    <t>Стоимость согласования проекта изменения фасада согласно нормативных и законодательных актов г. ___________ и РФ.</t>
  </si>
  <si>
    <t>85</t>
  </si>
  <si>
    <t>РАБ.Р1.1.070</t>
  </si>
  <si>
    <t>Разработка дизайн-проекта интерьера</t>
  </si>
  <si>
    <t>86</t>
  </si>
  <si>
    <t>РАБ.Р1.1.071</t>
  </si>
  <si>
    <t>Экспертиза и согласование проекта ЭОМ в Ростехнадзоре</t>
  </si>
  <si>
    <t>87</t>
  </si>
  <si>
    <t>РАБ.Р1.1.072</t>
  </si>
  <si>
    <t>Проект системы водоотведения</t>
  </si>
  <si>
    <t>88</t>
  </si>
  <si>
    <t>РАБ.Р1.1.073</t>
  </si>
  <si>
    <t>Рабочая документация Системы ливневой канализации</t>
  </si>
  <si>
    <t>89</t>
  </si>
  <si>
    <t>РАБ.Р1.1.074</t>
  </si>
  <si>
    <t>Получение Технических условий (при необходимости)</t>
  </si>
  <si>
    <t>90</t>
  </si>
  <si>
    <t>РАБ.Р1.1.075</t>
  </si>
  <si>
    <t>Расчет категории пожарной опасности помещений</t>
  </si>
  <si>
    <t>91</t>
  </si>
  <si>
    <t>РАБ.Р1.1.076</t>
  </si>
  <si>
    <t>Рабочая документация Системы оповещения и управления эвакуацией в части световых указателей ("СОУЭ")</t>
  </si>
  <si>
    <t>92</t>
  </si>
  <si>
    <t>РАБ.Р1.1.077</t>
  </si>
  <si>
    <t>Согласование проекта Системы водоотведения и получения тех условий (при необходимости)</t>
  </si>
  <si>
    <t>93</t>
  </si>
  <si>
    <t>РАБ.Р1.1.078</t>
  </si>
  <si>
    <t>Испытание лестниц 3 типа с предоставлением актов</t>
  </si>
  <si>
    <t>94</t>
  </si>
  <si>
    <t>РАБ.Р1.1.079</t>
  </si>
  <si>
    <t>Испытания системы внутреннего противопожарного водопровода аккредитованной организацией (ВПВ и АУПТ).</t>
  </si>
  <si>
    <t>95</t>
  </si>
  <si>
    <t>РАБ.Р1.1.080</t>
  </si>
  <si>
    <t>Мероприятия по обеспечению доступа инвалидов</t>
  </si>
  <si>
    <t>96</t>
  </si>
  <si>
    <t>РАБ.Р1.1.081</t>
  </si>
  <si>
    <t>Расчет пожарного риска</t>
  </si>
  <si>
    <t>97</t>
  </si>
  <si>
    <t>РАБ.Р1.1.082</t>
  </si>
  <si>
    <t>Подготовка и постановка на учет Независимой оценки пожарного риска (пожарный аудит), включая Расчет пожарного риска</t>
  </si>
  <si>
    <t>98</t>
  </si>
  <si>
    <t>РАБ.Р1.1.083</t>
  </si>
  <si>
    <t>Разработка проекта огнезащиты</t>
  </si>
  <si>
    <t>шт.</t>
  </si>
  <si>
    <t>99</t>
  </si>
  <si>
    <t>РАБ.Р1.1.084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</si>
  <si>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</si>
  <si>
    <t>100</t>
  </si>
  <si>
    <t>РАБ.Р1.1.085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</si>
  <si>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</si>
  <si>
    <t>101</t>
  </si>
  <si>
    <t>РАБ.Р1.1.086</t>
  </si>
  <si>
    <t>Акустический расчет инженерных систем ОВиК (предоставление в Роспотребнадзор) электронный и бумажный вариант</t>
  </si>
  <si>
    <t>102</t>
  </si>
  <si>
    <t>РАБ.Р1.1.087</t>
  </si>
  <si>
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</si>
  <si>
    <t>103</t>
  </si>
  <si>
    <t>РАБ.Р1.1.088</t>
  </si>
  <si>
    <t>Стоимость согласования проекта перепланировки/реконструкции объекта в соответствии с нормативными актами г. ______________</t>
  </si>
  <si>
    <t>кв.м.площади офиса</t>
  </si>
  <si>
    <t>104</t>
  </si>
  <si>
    <t>РАБ.Р1.1.089</t>
  </si>
  <si>
    <t>105</t>
  </si>
  <si>
    <t>РАБ.Р1.1.090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</si>
  <si>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</si>
  <si>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106</t>
  </si>
  <si>
    <t>РАБ.Р1.1.091</t>
  </si>
  <si>
    <t>Подготовка и сдача в _______научного отчета</t>
  </si>
  <si>
    <t>107</t>
  </si>
  <si>
    <t>РАБ.Р1.1.092</t>
  </si>
  <si>
    <t>Сопровождение проектной документации в МВК, ОГПН МЧС, ФГУЗ «ЦГиЭ», КГИОП и прочих при необходимости. Ввод объекта в эксплуатацию в КГИОП И МВК</t>
  </si>
  <si>
    <t>108</t>
  </si>
  <si>
    <t>РАБ.Р2.1.001</t>
  </si>
  <si>
    <t>Демонтаж подвесных потолков типа "Армстронг"</t>
  </si>
  <si>
    <t>Замер_демонтажа</t>
  </si>
  <si>
    <t>113,127</t>
  </si>
  <si>
    <t>РАБ.Р2.1.002</t>
  </si>
  <si>
    <t>Демонтаж подвесных потолков "Армстронг" с сохранением</t>
  </si>
  <si>
    <t>114</t>
  </si>
  <si>
    <t>РАБ.Р2.1.003</t>
  </si>
  <si>
    <t>Демонтаж одноуровневых потолков из ГКЛ</t>
  </si>
  <si>
    <t>115</t>
  </si>
  <si>
    <t>РАБ.Р2.1.004</t>
  </si>
  <si>
    <t>Демонтаж двухуровневых потолков из ГКЛ</t>
  </si>
  <si>
    <t>116</t>
  </si>
  <si>
    <t>РАБ.Р2.1.005</t>
  </si>
  <si>
    <t>Демонтаж реечного потолка</t>
  </si>
  <si>
    <t>117</t>
  </si>
  <si>
    <t>РАБ.Р2.1.006</t>
  </si>
  <si>
    <t>Демонтаж плитки потолочной из экструдированного полистирола.</t>
  </si>
  <si>
    <t>118</t>
  </si>
  <si>
    <t>РАБ.Р2.1.007</t>
  </si>
  <si>
    <t>Демонтаж потолков из ПВХ вагонки</t>
  </si>
  <si>
    <t>119,120</t>
  </si>
  <si>
    <t>РАБ.Р2.1.008</t>
  </si>
  <si>
    <t>Демонтаж утеплителя потолков из минераловатных плит</t>
  </si>
  <si>
    <t>м3</t>
  </si>
  <si>
    <t>121,122</t>
  </si>
  <si>
    <t>РАБ.Р2.1.009</t>
  </si>
  <si>
    <t>Демонтаж потолочного плинтуса, карниза, элементов декора.</t>
  </si>
  <si>
    <t>м.п.</t>
  </si>
  <si>
    <t>123</t>
  </si>
  <si>
    <t>РАБ.Р2.1.010</t>
  </si>
  <si>
    <t>Демонтаж потолочного плинтуса, карниза, элементов декора с сохранением.</t>
  </si>
  <si>
    <t>124</t>
  </si>
  <si>
    <t>РАБ.Р2.1.011</t>
  </si>
  <si>
    <t>Демонтаж натяжных потолков</t>
  </si>
  <si>
    <t>125</t>
  </si>
  <si>
    <t>РАБ.Р2.1.012</t>
  </si>
  <si>
    <t>Демонтаж щтукатурки потолка толщиной до 50 мм.</t>
  </si>
  <si>
    <t>126</t>
  </si>
  <si>
    <t>РАБ.Р2.2.001</t>
  </si>
  <si>
    <t>Демонтаж цементно-песчаной стяжки толщиной до 50 мм</t>
  </si>
  <si>
    <t>2</t>
  </si>
  <si>
    <t>129</t>
  </si>
  <si>
    <t>РАБ.Р2.2.002</t>
  </si>
  <si>
    <t>Демонтаж цементно-песчаной стяжки толщиной до 100 мм</t>
  </si>
  <si>
    <t>130</t>
  </si>
  <si>
    <t>РАБ.Р2.2.003</t>
  </si>
  <si>
    <t>Демонтаж цементно-песчаной стяжки армированной толщиной до 50 мм</t>
  </si>
  <si>
    <t>131</t>
  </si>
  <si>
    <t>РАБ.Р2.2.004</t>
  </si>
  <si>
    <t>Демонтаж цементно-песчаной стяжки армированной толщиной до 100 мм</t>
  </si>
  <si>
    <t>132</t>
  </si>
  <si>
    <t>РАБ.Р2.2.005</t>
  </si>
  <si>
    <t>Демонтаж полов из гранитных и мраморных плит толщиной 30 мм</t>
  </si>
  <si>
    <t>133</t>
  </si>
  <si>
    <t>РАБ.Р2.2.006</t>
  </si>
  <si>
    <t>Демонтаж покрытия полов из керамогранита и кераимческих плиток</t>
  </si>
  <si>
    <t>134,135</t>
  </si>
  <si>
    <t>РАБ.Р2.2.007</t>
  </si>
  <si>
    <t>Расшивка швов поверхности пола из плитки керамической</t>
  </si>
  <si>
    <t>136</t>
  </si>
  <si>
    <t>РАБ.Р2.2.008</t>
  </si>
  <si>
    <t>Демонтаж покрытия полов: из линолеума, ковролина</t>
  </si>
  <si>
    <t>137</t>
  </si>
  <si>
    <t>РАБ.Р2.2.009</t>
  </si>
  <si>
    <t>Демонтаж покрытия полов: из паркетной доски (ламината)</t>
  </si>
  <si>
    <t>138</t>
  </si>
  <si>
    <t>РАБ.Р2.2.010</t>
  </si>
  <si>
    <t>Демонтаж фальшпола</t>
  </si>
  <si>
    <t>139</t>
  </si>
  <si>
    <t>РАБ.Р2.2.011</t>
  </si>
  <si>
    <t>Демонтаж деревянных полов на деревянных лагах</t>
  </si>
  <si>
    <t>140</t>
  </si>
  <si>
    <t>РАБ.Р2.2.012</t>
  </si>
  <si>
    <t>Демонтаж плинтусов: из керамической плитки</t>
  </si>
  <si>
    <t>141</t>
  </si>
  <si>
    <t>РАБ.Р2.2.013</t>
  </si>
  <si>
    <t>Демонтаж плинтусов: деревянных, пвх</t>
  </si>
  <si>
    <t>142</t>
  </si>
  <si>
    <t>РАБ.Р2.2.014</t>
  </si>
  <si>
    <t>Демонтаж ЖБ плит перекрытия.</t>
  </si>
  <si>
    <t>143</t>
  </si>
  <si>
    <t>РАБ.Р2.2.015</t>
  </si>
  <si>
    <t>Демонтаж деревянных балок перекрытия</t>
  </si>
  <si>
    <t>144</t>
  </si>
  <si>
    <t>РАБ.Р2.2.016</t>
  </si>
  <si>
    <t>Демонтаж плиточного клея</t>
  </si>
  <si>
    <t>145</t>
  </si>
  <si>
    <t>РАБ.Р2.3.001</t>
  </si>
  <si>
    <t>Демонтаж кирпичных перегородок (в 1/2 кирпича)</t>
  </si>
  <si>
    <t>3</t>
  </si>
  <si>
    <t>147</t>
  </si>
  <si>
    <t>РАБ.Р2.3.002</t>
  </si>
  <si>
    <t>Демонтаж кирпичных перегородок (в 1/2 кирпича) с армированием ( d16 яч. 150Х150)</t>
  </si>
  <si>
    <t>148</t>
  </si>
  <si>
    <t>РАБ.Р2.3.003</t>
  </si>
  <si>
    <t>Демонтаж кирпичных стен</t>
  </si>
  <si>
    <t>149</t>
  </si>
  <si>
    <t>РАБ.Р2.3.004</t>
  </si>
  <si>
    <t>Демонтаж стен из пенобетонных блоков</t>
  </si>
  <si>
    <t>150</t>
  </si>
  <si>
    <t>РАБ.Р2.3.005</t>
  </si>
  <si>
    <t>Демонтаж утеплителя стен из минераловатных плит</t>
  </si>
  <si>
    <t>151</t>
  </si>
  <si>
    <t>РАБ.Р2.3.006</t>
  </si>
  <si>
    <t>Демонтаж утеплителя стен из пенополистирола</t>
  </si>
  <si>
    <t>152</t>
  </si>
  <si>
    <t>РАБ.Р2.3.007</t>
  </si>
  <si>
    <t>Демонтаж облицовки стен листами ГКЛ по металлическому каркасу</t>
  </si>
  <si>
    <t>153</t>
  </si>
  <si>
    <t>РАБ.Р2.3.008</t>
  </si>
  <si>
    <t>Демонтаж облицовки стен из МДФ панелей</t>
  </si>
  <si>
    <t>154</t>
  </si>
  <si>
    <t>РАБ.Р2.3.009</t>
  </si>
  <si>
    <t>Демонтаж каркасных деревянных перегородок с облицовкой панелями МДФ</t>
  </si>
  <si>
    <t>155</t>
  </si>
  <si>
    <t>РАБ.Р2.3.010</t>
  </si>
  <si>
    <t>Демонтаж перегородок по металлическому каркасу с облицовкой панелями МДФ</t>
  </si>
  <si>
    <t>156</t>
  </si>
  <si>
    <t>РАБ.Р2.3.011</t>
  </si>
  <si>
    <t>Отбивка штукатурки стен толщиной до 30 мм</t>
  </si>
  <si>
    <t>157</t>
  </si>
  <si>
    <t>РАБ.Р2.3.012</t>
  </si>
  <si>
    <t>Снятие обоев</t>
  </si>
  <si>
    <t>158</t>
  </si>
  <si>
    <t>РАБ.Р2.3.013</t>
  </si>
  <si>
    <t>Демонтаж облицовки стен из плитки керамической, мрамора.</t>
  </si>
  <si>
    <t>159</t>
  </si>
  <si>
    <t>РАБ.Р2.3.014</t>
  </si>
  <si>
    <t>Демонтаж стеклянных перегородок</t>
  </si>
  <si>
    <t>160</t>
  </si>
  <si>
    <t>РАБ.Р2.3.015</t>
  </si>
  <si>
    <t>Демонтаж бронепанелей</t>
  </si>
  <si>
    <t>161</t>
  </si>
  <si>
    <t>РАБ.Р2.3.016</t>
  </si>
  <si>
    <t>Демонтаж обшивки стен мебельными панелями</t>
  </si>
  <si>
    <t>162</t>
  </si>
  <si>
    <t>РАБ.Р2.3.017</t>
  </si>
  <si>
    <t>Разборка перегородок из ГКЛ по металлическому каркасу</t>
  </si>
  <si>
    <t>163</t>
  </si>
  <si>
    <t>РАБ.Р2.4.001</t>
  </si>
  <si>
    <t>Демонтаж дверных блоков деревянных (межкомнатные)</t>
  </si>
  <si>
    <t>4</t>
  </si>
  <si>
    <t>165</t>
  </si>
  <si>
    <t>РАБ.Р2.4.002</t>
  </si>
  <si>
    <t>Демонтаж дверных блоков из ПВХ профиля</t>
  </si>
  <si>
    <t>166</t>
  </si>
  <si>
    <t>РАБ.Р2.4.003</t>
  </si>
  <si>
    <t>Демонтаж дверных блоков металлических</t>
  </si>
  <si>
    <t>167</t>
  </si>
  <si>
    <t>РАБ.Р2.4.004</t>
  </si>
  <si>
    <t>Демонтаж дверных блоков (стеклопакет в алюминиевой обвязке)</t>
  </si>
  <si>
    <t>168,173</t>
  </si>
  <si>
    <t>РАБ.Р2.4.005</t>
  </si>
  <si>
    <t>Демонтаж дверных блоков бронированных</t>
  </si>
  <si>
    <t>169</t>
  </si>
  <si>
    <t>РАБ.Р2.4.006</t>
  </si>
  <si>
    <t>Демонтаж решетчатой двери (распашные, гармошка).</t>
  </si>
  <si>
    <t>170</t>
  </si>
  <si>
    <t>РАБ.Р2.4.007</t>
  </si>
  <si>
    <t>Демонтаж дверей гаражных</t>
  </si>
  <si>
    <t>171</t>
  </si>
  <si>
    <t>РАБ.Р2.4.008</t>
  </si>
  <si>
    <t>Демонтаж рольставни</t>
  </si>
  <si>
    <t>172</t>
  </si>
  <si>
    <t>РАБ.Р2.5.001</t>
  </si>
  <si>
    <t>Демонтаж деревянных оконных блоков</t>
  </si>
  <si>
    <t>5</t>
  </si>
  <si>
    <t>175,176,177</t>
  </si>
  <si>
    <t>РАБ.Р2.5.002</t>
  </si>
  <si>
    <t>Демонтаж бронеокон</t>
  </si>
  <si>
    <t>178</t>
  </si>
  <si>
    <t>РАБ.Р2.5.003</t>
  </si>
  <si>
    <t>Демонтаж подоконных досок деревянных</t>
  </si>
  <si>
    <t>179,180</t>
  </si>
  <si>
    <t>РАБ.Р2.5.004</t>
  </si>
  <si>
    <t>Демонтаж подоконных досок бетонных</t>
  </si>
  <si>
    <t>181</t>
  </si>
  <si>
    <t>РАБ.Р2.5.005</t>
  </si>
  <si>
    <t>Демонтаж отливов из оцинкованной стали</t>
  </si>
  <si>
    <t>182</t>
  </si>
  <si>
    <t>РАБ.Р2.5.006</t>
  </si>
  <si>
    <t>Демонтаж откосов ПВХ</t>
  </si>
  <si>
    <t>183</t>
  </si>
  <si>
    <t>РАБ.Р2.6.001</t>
  </si>
  <si>
    <t>Демонтаж рулонной кровли из оклеечных изоляционных материалов в два слоя</t>
  </si>
  <si>
    <t>6</t>
  </si>
  <si>
    <t>185</t>
  </si>
  <si>
    <t>РАБ.Р2.6.002</t>
  </si>
  <si>
    <t>Демонтаж покрытия кровли из профлиста, металлочерепицы, андулина, металла.</t>
  </si>
  <si>
    <t>186</t>
  </si>
  <si>
    <t>РАБ.Р2.6.003</t>
  </si>
  <si>
    <t>Демонтаж стропильной части кровли включая обрешетку</t>
  </si>
  <si>
    <t>187</t>
  </si>
  <si>
    <t>РАБ.Р2.6.004</t>
  </si>
  <si>
    <t>Демонтаж утеплителя кровли</t>
  </si>
  <si>
    <t>188</t>
  </si>
  <si>
    <t>РАБ.Р2.6.005</t>
  </si>
  <si>
    <t>Демонтаж отливов, водостоков.</t>
  </si>
  <si>
    <t>189</t>
  </si>
  <si>
    <t>РАБ.Р2.7.001</t>
  </si>
  <si>
    <t>Разборка тротуарной плитки</t>
  </si>
  <si>
    <t>7</t>
  </si>
  <si>
    <t>191</t>
  </si>
  <si>
    <t>РАБ.Р2.7.002</t>
  </si>
  <si>
    <t>Разборка асфальтового покрытия</t>
  </si>
  <si>
    <t>192</t>
  </si>
  <si>
    <t>РАБ.Р2.7.003</t>
  </si>
  <si>
    <t>Разборка бетонированного покрытия</t>
  </si>
  <si>
    <t>193</t>
  </si>
  <si>
    <t>РАБ.Р2.7.004</t>
  </si>
  <si>
    <t>Выемка грунта</t>
  </si>
  <si>
    <t>194</t>
  </si>
  <si>
    <t>РАБ.Р2.7.005</t>
  </si>
  <si>
    <t>Демонтаж бордюрного, тротуарного,дорожного камня.</t>
  </si>
  <si>
    <t>195</t>
  </si>
  <si>
    <t>РАБ.Р2.7.006</t>
  </si>
  <si>
    <t>Демонтаж перил ограждения</t>
  </si>
  <si>
    <t>196</t>
  </si>
  <si>
    <t>РАБ.Р2.7.007</t>
  </si>
  <si>
    <t>Демонтаж козырьков</t>
  </si>
  <si>
    <t>197</t>
  </si>
  <si>
    <t>РАБ.Р2.7.008</t>
  </si>
  <si>
    <t>Демонтаж облицовки цоколя, фасада (плитка керамическая, камень натуральный)</t>
  </si>
  <si>
    <t>198</t>
  </si>
  <si>
    <t>РАБ.Р2.7.009</t>
  </si>
  <si>
    <t>Демонтаж штукатурки фасада</t>
  </si>
  <si>
    <t>199</t>
  </si>
  <si>
    <t>РАБ.Р2.7.010</t>
  </si>
  <si>
    <t>Расшивка швов поверхности фасада</t>
  </si>
  <si>
    <t>200</t>
  </si>
  <si>
    <t>РАБ.Р2.7.011</t>
  </si>
  <si>
    <t>Демонтаж фасада из композитных панелей "Алюкобонд" с подсистемой, навесных фасадов (металл, керамогранит)</t>
  </si>
  <si>
    <t>201</t>
  </si>
  <si>
    <t>РАБ.Р2.7.012</t>
  </si>
  <si>
    <t>Демонтаж информационной, рекламной конструкции на фасаде здания</t>
  </si>
  <si>
    <t>202</t>
  </si>
  <si>
    <t>РАБ.Р2.7.013</t>
  </si>
  <si>
    <t>Демонтаж ограждающих конструкций из профлиста</t>
  </si>
  <si>
    <t>203</t>
  </si>
  <si>
    <t>РАБ.Р2.7.014</t>
  </si>
  <si>
    <t>Демонтаж сварных металлических конструкций</t>
  </si>
  <si>
    <t>тн.</t>
  </si>
  <si>
    <t>204</t>
  </si>
  <si>
    <t>РАБ.Р2.8.001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</si>
  <si>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</si>
  <si>
    <t>8</t>
  </si>
  <si>
    <t>206</t>
  </si>
  <si>
    <t>РАБ.Р2.8.002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</si>
  <si>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</si>
  <si>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207</t>
  </si>
  <si>
    <t>РАБ.Р2.8.003</t>
  </si>
  <si>
    <t>Демонтаж выключателей, розеток</t>
  </si>
  <si>
    <t>208</t>
  </si>
  <si>
    <t>РАБ.Р2.8.004</t>
  </si>
  <si>
    <t>Демонтаж светильников</t>
  </si>
  <si>
    <t>209</t>
  </si>
  <si>
    <t>РАБ.Р2.8.005</t>
  </si>
  <si>
    <t>Демонтаж электрощитов распределительных</t>
  </si>
  <si>
    <t>210</t>
  </si>
  <si>
    <t>РАБ.Р2.8.006</t>
  </si>
  <si>
    <t>Демонтаж щитов ВРУ</t>
  </si>
  <si>
    <t>211</t>
  </si>
  <si>
    <t>РАБ.Р2.8.007</t>
  </si>
  <si>
    <t>Демонтаж вводных кабелей высоковольтных</t>
  </si>
  <si>
    <t>212</t>
  </si>
  <si>
    <t>РАБ.Р2.8.008</t>
  </si>
  <si>
    <t>Демонтаж светильников с сохранением</t>
  </si>
  <si>
    <t>213</t>
  </si>
  <si>
    <t>РАБ.Р2.8.009</t>
  </si>
  <si>
    <t>Демонтаж кабель канала</t>
  </si>
  <si>
    <t>214</t>
  </si>
  <si>
    <t>РАБ.Р2.9.001</t>
  </si>
  <si>
    <t>Демонтаж воздуховодов системы вентиляциии и охлаждения воздуха</t>
  </si>
  <si>
    <t>9</t>
  </si>
  <si>
    <t>216</t>
  </si>
  <si>
    <t>РАБ.Р2.9.002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</si>
  <si>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</si>
  <si>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217</t>
  </si>
  <si>
    <t>РАБ.Р2.9.003</t>
  </si>
  <si>
    <t>Демонтаж кондиционера (сплит система, внешний и внутренний блоки) с сохранением</t>
  </si>
  <si>
    <t>218</t>
  </si>
  <si>
    <t>РАБ.Р2.9.004</t>
  </si>
  <si>
    <t>Демонтаж вент машин</t>
  </si>
  <si>
    <t>219</t>
  </si>
  <si>
    <t>РАБ.Р2.9.005</t>
  </si>
  <si>
    <t>Демонтаж вент машин с сохранением</t>
  </si>
  <si>
    <t>220</t>
  </si>
  <si>
    <t>РАБ.Р2.10.001</t>
  </si>
  <si>
    <t>Демонтаж унитаза</t>
  </si>
  <si>
    <t>10</t>
  </si>
  <si>
    <t>222</t>
  </si>
  <si>
    <t>РАБ.Р2.10.002</t>
  </si>
  <si>
    <t>Демонтаж раковины</t>
  </si>
  <si>
    <t>223</t>
  </si>
  <si>
    <t>РАБ.Р2.10.003</t>
  </si>
  <si>
    <t>Демонтаж смесителя</t>
  </si>
  <si>
    <t>224</t>
  </si>
  <si>
    <t>РАБ.Р2.10.004</t>
  </si>
  <si>
    <t>Демонтаж ванн, душевых кабин.</t>
  </si>
  <si>
    <t>225</t>
  </si>
  <si>
    <t>РАБ.Р2.10.005</t>
  </si>
  <si>
    <t>Демонтаж радиаторов отопления с запорной арматурой</t>
  </si>
  <si>
    <t>226</t>
  </si>
  <si>
    <t>РАБ.Р2.10.006</t>
  </si>
  <si>
    <t>Демонтаж труб системы отопления</t>
  </si>
  <si>
    <t>227</t>
  </si>
  <si>
    <t>РАБ.Р2.10.007</t>
  </si>
  <si>
    <t>Демонтаж труб водоснабжения и канализации диаметром до 50 мм</t>
  </si>
  <si>
    <t>228</t>
  </si>
  <si>
    <t>РАБ.Р2.10.008</t>
  </si>
  <si>
    <t>Демонтаж труб канализации и водоснабжения диаметром до 110 мм</t>
  </si>
  <si>
    <t>229</t>
  </si>
  <si>
    <t>РАБ.Р2.10.009</t>
  </si>
  <si>
    <t>Демонтаж запорной арматуры белее 50 мм</t>
  </si>
  <si>
    <t>230</t>
  </si>
  <si>
    <t>РАБ.Р2.10.010</t>
  </si>
  <si>
    <t>Демонтаж запорной арматуры диаметром до 50 мм</t>
  </si>
  <si>
    <t>231</t>
  </si>
  <si>
    <t>РАБ.Р2.10.011</t>
  </si>
  <si>
    <t>Демонтаж циркуляционных насосов</t>
  </si>
  <si>
    <t>232</t>
  </si>
  <si>
    <t>РАБ.Р2.10.012</t>
  </si>
  <si>
    <t>Демонтаж регистров отопления</t>
  </si>
  <si>
    <t>233</t>
  </si>
  <si>
    <t>РАБ.Р2.10.013</t>
  </si>
  <si>
    <t>Демонтаж панельного радиатора</t>
  </si>
  <si>
    <t>234</t>
  </si>
  <si>
    <t>РАБ.Р2.11.001</t>
  </si>
  <si>
    <t>Вывоз мусора (бункер 5т - 8м3)</t>
  </si>
  <si>
    <t>11</t>
  </si>
  <si>
    <t>236</t>
  </si>
  <si>
    <t>РАБ.Р2.11.002</t>
  </si>
  <si>
    <t>Вывоз мусора (бункер 27 м3)</t>
  </si>
  <si>
    <t>237</t>
  </si>
  <si>
    <t>РАБ.Р2.11.003</t>
  </si>
  <si>
    <t>Вывоз мусора (бункер 24 м3)</t>
  </si>
  <si>
    <t>238</t>
  </si>
  <si>
    <t>РАБ.Р2.11.004</t>
  </si>
  <si>
    <t>Вывоз мусора (бункер 20 м3)</t>
  </si>
  <si>
    <t>239</t>
  </si>
  <si>
    <t>РАБ.Р2.11.005</t>
  </si>
  <si>
    <t>Перемещение вручную строительных материалов, мусора на расстоянии свыше 50 м от объекта</t>
  </si>
  <si>
    <t>240</t>
  </si>
  <si>
    <t>РАБ.Р2.11.006</t>
  </si>
  <si>
    <t>Уборка послестроительная</t>
  </si>
  <si>
    <t>241</t>
  </si>
  <si>
    <t>РАБ.Р2.11.007</t>
  </si>
  <si>
    <t>Поддерживающая уборка в течении недели перед открытием</t>
  </si>
  <si>
    <t>242</t>
  </si>
  <si>
    <t>РАБ.Р2.11.008</t>
  </si>
  <si>
    <t>Клининговая уборка перед открытием (включая ночные работы).</t>
  </si>
  <si>
    <t>243</t>
  </si>
  <si>
    <t>РАБ.Р2.12.001</t>
  </si>
  <si>
    <t>Демонтаж мебельных конструкций</t>
  </si>
  <si>
    <t>12</t>
  </si>
  <si>
    <t>245</t>
  </si>
  <si>
    <t>РАБ.Р2.12.002</t>
  </si>
  <si>
    <t>Демонтаж шлюза инкосаторского</t>
  </si>
  <si>
    <t>246</t>
  </si>
  <si>
    <t>РАБ.Р2.12.003</t>
  </si>
  <si>
    <t>Удаление старого огнезащитного покрытия</t>
  </si>
  <si>
    <t>247</t>
  </si>
  <si>
    <t>РАБ.Р2.12.004</t>
  </si>
  <si>
    <t>Демонтаж жалюзей</t>
  </si>
  <si>
    <t>248</t>
  </si>
  <si>
    <t>РАБ.Р2.12.005</t>
  </si>
  <si>
    <t>Демонтаж металлоконструкций</t>
  </si>
  <si>
    <t>249</t>
  </si>
  <si>
    <t>РАБ.Р2.12.006</t>
  </si>
  <si>
    <t>Демонтаж наборных ступеней ЛС 90 с выломкой четвертей</t>
  </si>
  <si>
    <t>250</t>
  </si>
  <si>
    <t>РАБ.Р2.12.007</t>
  </si>
  <si>
    <t>Демонтаж лифта включая Двери, двигатели, тросы, уловители,ограничители.</t>
  </si>
  <si>
    <t>251</t>
  </si>
  <si>
    <t>РАБ.Р2.12.008</t>
  </si>
  <si>
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</si>
  <si>
    <t>252</t>
  </si>
  <si>
    <t>РАБ.Р2.13.001</t>
  </si>
  <si>
    <t>Демонтажные работы до состояния shell-and-core</t>
  </si>
  <si>
    <t>13</t>
  </si>
  <si>
    <t>111</t>
  </si>
  <si>
    <t>РАБ.Р3.1.001</t>
  </si>
  <si>
    <t>Кладка перегородок толщиной в 1/2 кирпича</t>
  </si>
  <si>
    <t>КЛАДКА</t>
  </si>
  <si>
    <t>255</t>
  </si>
  <si>
    <t>РАБ.Р3.1.002</t>
  </si>
  <si>
    <t>Кладка перегородок армированных толщиной в 1 кирпич</t>
  </si>
  <si>
    <t>256</t>
  </si>
  <si>
    <t>РАБ.Р3.1.003</t>
  </si>
  <si>
    <t>Кладка перегородок из пеноблоков (600*300*200)</t>
  </si>
  <si>
    <t>257</t>
  </si>
  <si>
    <t>РАБ.Р3.1.004</t>
  </si>
  <si>
    <t>Заделка проемов в кирпичных стенах</t>
  </si>
  <si>
    <t>258</t>
  </si>
  <si>
    <t>РАБ.Р3.1.005</t>
  </si>
  <si>
    <t>Усиление проемов металлическим профилем из уголка 50*3</t>
  </si>
  <si>
    <t>Погонаж</t>
  </si>
  <si>
    <t>259,260</t>
  </si>
  <si>
    <t>РАБ.Р3.1.006</t>
  </si>
  <si>
    <t>Усиление проемов металлическим профилем из уголка 100*100*10</t>
  </si>
  <si>
    <t>261,273</t>
  </si>
  <si>
    <t>РАБ.Р3.1.007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</si>
  <si>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</si>
  <si>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ГКЛ</t>
  </si>
  <si>
    <t>262</t>
  </si>
  <si>
    <t>РАБ.Р3.1.008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</si>
  <si>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</si>
  <si>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263</t>
  </si>
  <si>
    <t>РАБ.Р3.1.009</t>
  </si>
  <si>
    <t>Устройство перегородки / облицовки из ГКЛ</t>
  </si>
  <si>
    <t>264,266,268</t>
  </si>
  <si>
    <t>РАБ.Р3.1.010</t>
  </si>
  <si>
    <t>265,267</t>
  </si>
  <si>
    <t>РАБ.Р3.1.011</t>
  </si>
  <si>
    <t>Облицовка стен гипсокартонными листами (ГКЛ) "Кнауф" в один слой на клее (включая перфорированные уголки на внешние углы)</t>
  </si>
  <si>
    <t>269</t>
  </si>
  <si>
    <t>РАБ.Р3.1.012</t>
  </si>
  <si>
    <t>Устройство оконных откосов из ГКЛВ толщ. 12 мм.</t>
  </si>
  <si>
    <t>270</t>
  </si>
  <si>
    <t>РАБ.Р3.1.013</t>
  </si>
  <si>
    <t>Тепло- и звукоизоляция стен из минеральных материалов</t>
  </si>
  <si>
    <t>ИЗОЛ</t>
  </si>
  <si>
    <t>271</t>
  </si>
  <si>
    <t>РАБ.Р3.1.014</t>
  </si>
  <si>
    <t>Штукатурка стен</t>
  </si>
  <si>
    <t>272</t>
  </si>
  <si>
    <t>РАБ.Р3.1.015</t>
  </si>
  <si>
    <t>Устройство штроб в кирпичных стенах</t>
  </si>
  <si>
    <t>274</t>
  </si>
  <si>
    <t>РАБ.Р3.1.016</t>
  </si>
  <si>
    <t>Устройство штроб в конструкциях газосиликатных, керамзитобетонных, шлакобетонных, пенобетонных.</t>
  </si>
  <si>
    <t>275</t>
  </si>
  <si>
    <t>РАБ.Р3.1.017</t>
  </si>
  <si>
    <t>Пробивка отверстий в кирпичных стенах фасада, внутренних перегородках под прокладку труб ОВиК, электролотков,</t>
  </si>
  <si>
    <t>276</t>
  </si>
  <si>
    <t>РАБ.Р3.1.018</t>
  </si>
  <si>
    <t>Пробивка отверстий в бетоных стенах фасада, внутренних перегородках под прокладку труб ОВиК, электролотков.</t>
  </si>
  <si>
    <t>277</t>
  </si>
  <si>
    <t>РАБ.Р3.1.019</t>
  </si>
  <si>
    <t>Запенивание противопожарной пеной тех. отверстий прохода транзитных коммуникаций</t>
  </si>
  <si>
    <t>278</t>
  </si>
  <si>
    <t>РАБ.Р3.1.020</t>
  </si>
  <si>
    <t>Пробивка проемов в стенах из пенобетонных блоков</t>
  </si>
  <si>
    <t>279</t>
  </si>
  <si>
    <t>РАБ.Р3.1.021</t>
  </si>
  <si>
    <t>Пробивка проемов в стенах из кирпича</t>
  </si>
  <si>
    <t>280</t>
  </si>
  <si>
    <t>РАБ.Р3.1.022</t>
  </si>
  <si>
    <t>Алмазное сверление отверстий в стенах Ø50-100 мм</t>
  </si>
  <si>
    <t>см.</t>
  </si>
  <si>
    <t>281</t>
  </si>
  <si>
    <t>РАБ.Р3.1.023</t>
  </si>
  <si>
    <t>Алмазное сверление отверстий в стенах Ø101-200 мм</t>
  </si>
  <si>
    <t>282</t>
  </si>
  <si>
    <t>РАБ.Р3.1.024</t>
  </si>
  <si>
    <t>Алмазное сверление отверстий в стенах Ø201-300 мм</t>
  </si>
  <si>
    <t>283</t>
  </si>
  <si>
    <t>РАБ.Р3.1.025</t>
  </si>
  <si>
    <t>Алмазное сверление отверстий в стенах Ø301-400 мм</t>
  </si>
  <si>
    <t>284</t>
  </si>
  <si>
    <t>РАБ.Р3.1.026</t>
  </si>
  <si>
    <t>Монтаж закладных из фанеры 12мм под шкафы обработанная составом "NEOMID 450-1".</t>
  </si>
  <si>
    <t>285,286</t>
  </si>
  <si>
    <t>РАБ.Р3.1.027</t>
  </si>
  <si>
    <t>Устройство ниши ГКЛ по м/к под монтаж приборов отопления</t>
  </si>
  <si>
    <t>287</t>
  </si>
  <si>
    <t>РАБ.Р3.1.028</t>
  </si>
  <si>
    <t>Устройство пароизоляции из полиэтиленовой пленки до 100 мкр.</t>
  </si>
  <si>
    <t>288</t>
  </si>
  <si>
    <t>РАБ.Р3.1.029</t>
  </si>
  <si>
    <t>Усиление проемов деревянным антисептированным бруском 50*50</t>
  </si>
  <si>
    <t>289</t>
  </si>
  <si>
    <t>РАБ.Р3.1.030</t>
  </si>
  <si>
    <t>Люк скрытый нажимной 300*300</t>
  </si>
  <si>
    <t>Спецификация</t>
  </si>
  <si>
    <t>290</t>
  </si>
  <si>
    <t>РАБ.Р3.1.031</t>
  </si>
  <si>
    <t>Люк скрытый нажимной 400*600</t>
  </si>
  <si>
    <t>291</t>
  </si>
  <si>
    <t>РАБ.Р3.1.032</t>
  </si>
  <si>
    <t>Люк скрытый нажимной 500*600</t>
  </si>
  <si>
    <t>292</t>
  </si>
  <si>
    <t>РАБ.Р3.1.033</t>
  </si>
  <si>
    <t>Люк скрытый нажимной 600*600</t>
  </si>
  <si>
    <t>293</t>
  </si>
  <si>
    <t>РАБ.Р3.1.034</t>
  </si>
  <si>
    <t>Устройство коробов из ГКЛ до 600 мм шириной (для обшивки ригелей, балок колонн и т.д.)</t>
  </si>
  <si>
    <t>294</t>
  </si>
  <si>
    <t>РАБ.Р3.2.001</t>
  </si>
  <si>
    <t>Монтаж стеклянных бескаркасных перегородок , стекло 10 мм, закаленное с фурнитурой цвета матовая нержавеющая сталь</t>
  </si>
  <si>
    <t>296</t>
  </si>
  <si>
    <t>РАБ.Р3.2.002</t>
  </si>
  <si>
    <t>Устройство стеклянной перегородки в алюминиевом профиле по RAL. Стекло закаленное 6 мм.</t>
  </si>
  <si>
    <t>ПЕРЕГ.СТ</t>
  </si>
  <si>
    <t>297</t>
  </si>
  <si>
    <t>РАБ.Р3.2.003</t>
  </si>
  <si>
    <t>Устройство стеклянной перегородки в пластиковом профиле. Стекло закаленное 6 мм.</t>
  </si>
  <si>
    <t>298</t>
  </si>
  <si>
    <t>РАБ.Р3.2.004</t>
  </si>
  <si>
    <t>Оклейка стеклянных перегородок декоративной пленкой (перфорированной) с фоторисунком</t>
  </si>
  <si>
    <t>299</t>
  </si>
  <si>
    <t>РАБ.Р3.2.005</t>
  </si>
  <si>
    <t>Монтаж стеклянной перегородки</t>
  </si>
  <si>
    <t>300,301</t>
  </si>
  <si>
    <t>РАБ.Р3.2.006</t>
  </si>
  <si>
    <t>Устройство фальшпола</t>
  </si>
  <si>
    <t>ФАЛЬШПОЛ</t>
  </si>
  <si>
    <t>302,304,305,306,307</t>
  </si>
  <si>
    <t>РАБ.Р3.2.007</t>
  </si>
  <si>
    <t>Замок для трансформируемой перегородки типа «Т-009 PSS»</t>
  </si>
  <si>
    <t>ПЕРЕГ.ТР</t>
  </si>
  <si>
    <t>303</t>
  </si>
  <si>
    <t>РАБ.Р3.2.008</t>
  </si>
  <si>
    <t>Цилиндр с заверткой для нижнего замка</t>
  </si>
  <si>
    <t>308,309</t>
  </si>
  <si>
    <t>РАБ.Р3.3.001</t>
  </si>
  <si>
    <t>Обработка стен, поврежденных грибком антисептическим раствором за 2 раза</t>
  </si>
  <si>
    <t>311</t>
  </si>
  <si>
    <t>РАБ.Р3.3.002</t>
  </si>
  <si>
    <t>Шпатлевка швов, саморезов и примыканий стен и перегородок из ГКЛ</t>
  </si>
  <si>
    <t>312</t>
  </si>
  <si>
    <t>РАБ.Р3.3.003</t>
  </si>
  <si>
    <t>Шпатлевка стен</t>
  </si>
  <si>
    <t>313</t>
  </si>
  <si>
    <t>РАБ.Р3.3.004</t>
  </si>
  <si>
    <t>Шпатлевка стен по стеклохолсту</t>
  </si>
  <si>
    <t>314</t>
  </si>
  <si>
    <t>РАБ.Р3.3.005</t>
  </si>
  <si>
    <t>Сплошное выравние стен составами "Ветонит" толщиной до 10 мм</t>
  </si>
  <si>
    <t>315</t>
  </si>
  <si>
    <t>РАБ.Р3.3.006</t>
  </si>
  <si>
    <t>Грунтовка поверхности стен и перегородок за 2 раза</t>
  </si>
  <si>
    <t>316</t>
  </si>
  <si>
    <t>РАБ.Р3.3.007</t>
  </si>
  <si>
    <t>Окраска стен за 2 раза краской Tikkurila EURO 7 (колерованная)</t>
  </si>
  <si>
    <t>КРАСКА</t>
  </si>
  <si>
    <t>317</t>
  </si>
  <si>
    <t>РАБ.Р3.3.008</t>
  </si>
  <si>
    <t>Оклейка стен стеклообоями типа "Паутинка" (нефактурными)</t>
  </si>
  <si>
    <t>ОБОИ</t>
  </si>
  <si>
    <t>318</t>
  </si>
  <si>
    <t>РАБ.Р3.3.009</t>
  </si>
  <si>
    <t>Ремонт штукатурки стен с расшивкой швов, отдельными местами до 1 м.кв.</t>
  </si>
  <si>
    <t>319</t>
  </si>
  <si>
    <t>РАБ.Р3.3.010</t>
  </si>
  <si>
    <t>Облицовка стен керамической плиткой с затиркой швов.</t>
  </si>
  <si>
    <t>СТЕН.ПЛ</t>
  </si>
  <si>
    <t>320</t>
  </si>
  <si>
    <t>РАБ.Р3.3.011</t>
  </si>
  <si>
    <t>Облицовка стен керамической плиткой</t>
  </si>
  <si>
    <t>321,322,323,324,325,326,327,328,329,330,331,343</t>
  </si>
  <si>
    <t>РАБ.Р3.3.012</t>
  </si>
  <si>
    <t>Бордюр 500*15 "Szklana T40" коллекциии "Oxford" " Ctramica Konskie" с затиркой швов.</t>
  </si>
  <si>
    <t>332</t>
  </si>
  <si>
    <t>РАБ.Р3.3.013</t>
  </si>
  <si>
    <t>Установка пластиковых уголков на наружные углы колонн и стен</t>
  </si>
  <si>
    <t>333,334</t>
  </si>
  <si>
    <t>РАБ.Р3.3.014</t>
  </si>
  <si>
    <t>Штукатурка поверхности</t>
  </si>
  <si>
    <t>335,336</t>
  </si>
  <si>
    <t>РАБ.Р3.3.015</t>
  </si>
  <si>
    <t>Оклейка стен стеклообоями типа "Рогожка"</t>
  </si>
  <si>
    <t>337</t>
  </si>
  <si>
    <t>РАБ.Р3.3.016</t>
  </si>
  <si>
    <t>Декоративные крашенные МДФ ПАНЕЛИ 20ММ, ЦВЕТ RAL 7040, Швы - черный, П-образный профиль 10мм</t>
  </si>
  <si>
    <t>338,342</t>
  </si>
  <si>
    <t>РАБ.Р3.3.017</t>
  </si>
  <si>
    <t>Аккустическая панель из Войлока, максимальные размери 1200X2400см, клеиться на стену</t>
  </si>
  <si>
    <t>339</t>
  </si>
  <si>
    <t>РАБ.Р3.3.018</t>
  </si>
  <si>
    <t>Оклейка обоями / стеклохолстом</t>
  </si>
  <si>
    <t>340,341</t>
  </si>
  <si>
    <t>РАБ.Р3.3.019</t>
  </si>
  <si>
    <t>Оклейка поверхностей стен и перегородок Обои Голландские обои Eijffinger, коллекция Ibiza, артикул 330203</t>
  </si>
  <si>
    <t>344</t>
  </si>
  <si>
    <t>РАБ.Р3.3.020</t>
  </si>
  <si>
    <t>Оклейка поверхностей стен и перегородок бумажными обоями (рисунок обоев выполняется "на заказ")</t>
  </si>
  <si>
    <t>345</t>
  </si>
  <si>
    <t>РАБ.Р3.4.001</t>
  </si>
  <si>
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</si>
  <si>
    <t>ДВ.АЛ</t>
  </si>
  <si>
    <t>348</t>
  </si>
  <si>
    <t>РАБ.Р3.4.002</t>
  </si>
  <si>
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</si>
  <si>
    <t>349</t>
  </si>
  <si>
    <t>РАБ.Р3.4.003</t>
  </si>
  <si>
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</si>
  <si>
    <t>350</t>
  </si>
  <si>
    <t>РАБ.Р3.4.004</t>
  </si>
  <si>
    <t>Монтаж дверного блока / дверных приборов</t>
  </si>
  <si>
    <t>ДВ</t>
  </si>
  <si>
    <t>351,373,388,389</t>
  </si>
  <si>
    <t>РАБ.Р3.4.005</t>
  </si>
  <si>
    <t>353,377,378</t>
  </si>
  <si>
    <t>РАБ.Р3.4.006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</si>
  <si>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</si>
  <si>
    <t>354</t>
  </si>
  <si>
    <t>РАБ.Р3.4.007</t>
  </si>
  <si>
    <t>Доводчик на рабочую створку NOTEDO DC-025-095 (со скользящим каналом). Доводчик на паразитную створку NOTEDO DC-070 (паук)</t>
  </si>
  <si>
    <t>355</t>
  </si>
  <si>
    <t>РАБ.Р3.4.008</t>
  </si>
  <si>
    <t>Установка металлической двери-решетчатой гармошки с замком 900х2100 мм (запасной выход)</t>
  </si>
  <si>
    <t>ДВ.БР</t>
  </si>
  <si>
    <t>356</t>
  </si>
  <si>
    <t>РАБ.Р3.4.009</t>
  </si>
  <si>
    <t>Монтаж дверного блока стеклянного</t>
  </si>
  <si>
    <t>ДВ.СТ</t>
  </si>
  <si>
    <t>358,359,362,363,365,366</t>
  </si>
  <si>
    <t>РАБ.Р3.4.010</t>
  </si>
  <si>
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</si>
  <si>
    <t>360</t>
  </si>
  <si>
    <t>РАБ.Р3.4.011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</si>
  <si>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</si>
  <si>
    <t>364</t>
  </si>
  <si>
    <t>РАБ.Р3.4.012</t>
  </si>
  <si>
    <t>Монтаж дверного блока противопожарного</t>
  </si>
  <si>
    <t>ДВ.ПП</t>
  </si>
  <si>
    <t>368,369,370</t>
  </si>
  <si>
    <t>РАБ.Р3.4.013</t>
  </si>
  <si>
    <t>371,372</t>
  </si>
  <si>
    <t>РАБ.Р3.4.014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</si>
  <si>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</si>
  <si>
    <t>374</t>
  </si>
  <si>
    <t>РАБ.Р3.4.015</t>
  </si>
  <si>
    <t>Комплект антипаника Doorlock на активную створку DL PD800FR-BAR (или аналог по согласованию заказчика)</t>
  </si>
  <si>
    <t>375</t>
  </si>
  <si>
    <t>РАБ.Р3.4.016</t>
  </si>
  <si>
    <t>Монтаж дверного блока деревянного</t>
  </si>
  <si>
    <t>ДВ.ДЕР</t>
  </si>
  <si>
    <t>380,381,382,383,384,385,386,387</t>
  </si>
  <si>
    <t>РАБ.Р3.4.017</t>
  </si>
  <si>
    <t>Установка стопора дверного Standers, 3.5х3.2 см, нержавеющая сталь</t>
  </si>
  <si>
    <t>390,391</t>
  </si>
  <si>
    <t>РАБ.Р3.4.018</t>
  </si>
  <si>
    <t>Монтаж оконного блока / светопрозрачной конструкции</t>
  </si>
  <si>
    <t>ОКНО</t>
  </si>
  <si>
    <t>393,394</t>
  </si>
  <si>
    <t>РАБ.Р3.4.019</t>
  </si>
  <si>
    <t>Окраска поверхности</t>
  </si>
  <si>
    <t>395,404,405,406,407,408</t>
  </si>
  <si>
    <t>РАБ.Р3.4.020</t>
  </si>
  <si>
    <t>Установка рулонных штор</t>
  </si>
  <si>
    <t>ЖАЛЮЗИ</t>
  </si>
  <si>
    <t>396</t>
  </si>
  <si>
    <t>РАБ.Р3.4.021</t>
  </si>
  <si>
    <t>Установка жалюзи вертикальных серии Line</t>
  </si>
  <si>
    <t>397</t>
  </si>
  <si>
    <t>РАБ.Р3.4.022</t>
  </si>
  <si>
    <t>Установка подоконной доски</t>
  </si>
  <si>
    <t>ПОДОК</t>
  </si>
  <si>
    <t>398,399,400</t>
  </si>
  <si>
    <t>РАБ.Р3.4.023</t>
  </si>
  <si>
    <t>Установка оконных отливов с окраской по RAL</t>
  </si>
  <si>
    <t>401</t>
  </si>
  <si>
    <t>РАБ.Р3.4.024</t>
  </si>
  <si>
    <t>Оклейка окон, стеклянных поверхностей дверных полотен пленкой класса защиты А3</t>
  </si>
  <si>
    <t>ПЛЁНКА</t>
  </si>
  <si>
    <t>402</t>
  </si>
  <si>
    <t>РАБ.Р3.4.025</t>
  </si>
  <si>
    <t>Оклейка окон, стеклянных поверхностей дверных полотен пленкой класса защиты А1</t>
  </si>
  <si>
    <t>403</t>
  </si>
  <si>
    <t>РАБ.Р3.4.026</t>
  </si>
  <si>
    <t>409,410</t>
  </si>
  <si>
    <t>РАБ.Р3.4.027</t>
  </si>
  <si>
    <t>Механизм открывания фрамуги естественного проветривания (дистанционный, ручной)</t>
  </si>
  <si>
    <t>411</t>
  </si>
  <si>
    <t>РАБ.Р3.5.001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</si>
  <si>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</si>
  <si>
    <t>ПОТОЛОК</t>
  </si>
  <si>
    <t>413</t>
  </si>
  <si>
    <t>РАБ.Р3.5.002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</si>
  <si>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</si>
  <si>
    <t>414</t>
  </si>
  <si>
    <t>РАБ.Р3.5.003</t>
  </si>
  <si>
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</si>
  <si>
    <t>415</t>
  </si>
  <si>
    <t>РАБ.Р3.5.004</t>
  </si>
  <si>
    <t>Замена потолочных плит OWA «Sinfonia»</t>
  </si>
  <si>
    <t>416</t>
  </si>
  <si>
    <t>РАБ.Р3.5.005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</si>
  <si>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</si>
  <si>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417</t>
  </si>
  <si>
    <t>РАБ.Р3.5.006</t>
  </si>
  <si>
    <t>Устройство подвесного потолка</t>
  </si>
  <si>
    <t>418,419,425,428</t>
  </si>
  <si>
    <t>РАБ.Р3.5.007</t>
  </si>
  <si>
    <t>420,421,422,423</t>
  </si>
  <si>
    <t>РАБ.Р3.5.008</t>
  </si>
  <si>
    <t>Реечный потолок, кубообразная рейка 30х70мм</t>
  </si>
  <si>
    <t>424</t>
  </si>
  <si>
    <t>РАБ.Р3.5.009</t>
  </si>
  <si>
    <t>Маркерное белое стекло цвет: RAL 9010</t>
  </si>
  <si>
    <t>426</t>
  </si>
  <si>
    <t>РАБ.Р3.5.010</t>
  </si>
  <si>
    <t>Облицовка деревяных потолков ГКЛО</t>
  </si>
  <si>
    <t>427</t>
  </si>
  <si>
    <t>РАБ.Р3.5.011</t>
  </si>
  <si>
    <t>Штукатурка потолка цемено-песчаным раствором толщ. до 20 мм.</t>
  </si>
  <si>
    <t>429</t>
  </si>
  <si>
    <t>РАБ.Р3.5.012</t>
  </si>
  <si>
    <t>Устройство тепло- и звукоизоляции перекрытия минеральной ватой с устройством пароизоляции</t>
  </si>
  <si>
    <t>430</t>
  </si>
  <si>
    <t>РАБ.Р3.5.013</t>
  </si>
  <si>
    <t>Шпатлевка потолка</t>
  </si>
  <si>
    <t>431</t>
  </si>
  <si>
    <t>РАБ.Р3.5.014</t>
  </si>
  <si>
    <t>Грунтовка потолка за два раза</t>
  </si>
  <si>
    <t>432</t>
  </si>
  <si>
    <t>РАБ.Р3.5.015</t>
  </si>
  <si>
    <t>Оклейка потолков стеклообоями типа "Паутинка" (не фактурные)</t>
  </si>
  <si>
    <t>433</t>
  </si>
  <si>
    <t>РАБ.Р3.5.016</t>
  </si>
  <si>
    <t>434,435</t>
  </si>
  <si>
    <t>РАБ.Р3.5.017</t>
  </si>
  <si>
    <t>Потолочный акустический остров 1195*1530*40мм цвет: белый, форма под заказ (форма яйцо)в комплекте с подвесами</t>
  </si>
  <si>
    <t>436,437,438</t>
  </si>
  <si>
    <t>РАБ.Р3.5.018</t>
  </si>
  <si>
    <t>Потолочный акустический остров цвет: белый, форма круг D=750мм, толщ. 40мм, в комплекте с подвесами</t>
  </si>
  <si>
    <t>439,440</t>
  </si>
  <si>
    <t>РАБ.Р3.5.019</t>
  </si>
  <si>
    <t>Подготовка и обеспылевание потолка поверхности и коммуникаций под покраску . (воздуховоды, лотки эл. и т.д.)</t>
  </si>
  <si>
    <t>441</t>
  </si>
  <si>
    <t>РАБ.Р3.5.020</t>
  </si>
  <si>
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</si>
  <si>
    <t>442</t>
  </si>
  <si>
    <t>РАБ.Р3.5.021</t>
  </si>
  <si>
    <t>Устройство потолков реечных алюминиевых, крепление подвесов металлическим крепежным элементом.</t>
  </si>
  <si>
    <t>443</t>
  </si>
  <si>
    <t>РАБ.Р3.5.022</t>
  </si>
  <si>
    <t>Замена потолочных плит Армстронг</t>
  </si>
  <si>
    <t>444</t>
  </si>
  <si>
    <t>РАБ.Р3.5.023</t>
  </si>
  <si>
    <t>Запенивание швов между плитами</t>
  </si>
  <si>
    <t>445</t>
  </si>
  <si>
    <t>РАБ.Р3.6.001</t>
  </si>
  <si>
    <t>Р3.6.1.0 Основание пола</t>
  </si>
  <si>
    <t>шт</t>
  </si>
  <si>
    <t>447</t>
  </si>
  <si>
    <t>РАБ.Р3.6.002</t>
  </si>
  <si>
    <t>Устройство подсыпки пола из керамзита</t>
  </si>
  <si>
    <t>448</t>
  </si>
  <si>
    <t>РАБ.Р3.6.003</t>
  </si>
  <si>
    <t>Устройство стяжек цементно-песчаных толщиной 20 мм (добавляется на каждые 20 мм стяжки)</t>
  </si>
  <si>
    <t>449</t>
  </si>
  <si>
    <t>РАБ.Р3.6.004</t>
  </si>
  <si>
    <t>Устройство стяжек цементно-песчаных толщиной более 50 мм (добавляется на каждые 50 мм стяжки)</t>
  </si>
  <si>
    <t>450</t>
  </si>
  <si>
    <t>РАБ.Р3.6.005</t>
  </si>
  <si>
    <t>Устройство самовыравнивающейся стяжки типа Vetonit (толщина 5 мм)</t>
  </si>
  <si>
    <t>451</t>
  </si>
  <si>
    <t>РАБ.Р3.6.006</t>
  </si>
  <si>
    <t>Укладка дорожной металлической сетки 100х100 диаметром 4мм</t>
  </si>
  <si>
    <t>452</t>
  </si>
  <si>
    <t>РАБ.Р3.6.007</t>
  </si>
  <si>
    <t>Грунтовка пола за два раза</t>
  </si>
  <si>
    <t>453</t>
  </si>
  <si>
    <t>РАБ.Р3.6.008</t>
  </si>
  <si>
    <t>Обработка поверхности составом "Бетоноконтакт"</t>
  </si>
  <si>
    <t>454</t>
  </si>
  <si>
    <t>РАБ.Р3.6.009</t>
  </si>
  <si>
    <t>Устройство горизонтальной обмазочной гидроизоляции с захлестом на стены на 15см</t>
  </si>
  <si>
    <t>455</t>
  </si>
  <si>
    <t>РАБ.Р3.6.010</t>
  </si>
  <si>
    <t>Подготовка под устройство гидроизоляции (просушка, шлифовка адгезионная, локальный ремонт)</t>
  </si>
  <si>
    <t>456</t>
  </si>
  <si>
    <t>РАБ.Р3.6.011</t>
  </si>
  <si>
    <t>Нанесение обмазочной гидроизоляции на пол в 2 слоя</t>
  </si>
  <si>
    <t>457</t>
  </si>
  <si>
    <t>РАБ.Р3.6.012</t>
  </si>
  <si>
    <t>Нанесение обмазочной гидроизоляции на стены 3 слоя на высоту до 0,5 метров</t>
  </si>
  <si>
    <t>458</t>
  </si>
  <si>
    <t>РАБ.Р3.6.013</t>
  </si>
  <si>
    <t>Укладка ПВХ плёнки 400 мкм</t>
  </si>
  <si>
    <t>459</t>
  </si>
  <si>
    <t>РАБ.Р3.6.014</t>
  </si>
  <si>
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</si>
  <si>
    <t>Расчёт</t>
  </si>
  <si>
    <t>460</t>
  </si>
  <si>
    <t>РАБ.Р3.6.015</t>
  </si>
  <si>
    <t>Затирка бетоноотделочными машинами с внесением сухого упрочнителя 4 кг/м2</t>
  </si>
  <si>
    <t>ПОЛ.НАЛ</t>
  </si>
  <si>
    <t>461</t>
  </si>
  <si>
    <t>РАБ.Р3.6.016</t>
  </si>
  <si>
    <t>Шлифовка поверхности пола, нанесение жидкого упрочнителя и полировка до степени от 50 до 1500 грит</t>
  </si>
  <si>
    <t>462</t>
  </si>
  <si>
    <t>РАБ.Р3.6.017</t>
  </si>
  <si>
    <t>Нарезка швов и гермитизация шаг швов 3х3м</t>
  </si>
  <si>
    <t>463</t>
  </si>
  <si>
    <t>РАБ.Р3.6.018</t>
  </si>
  <si>
    <t>Разметка стоянок под автомобили ( нанесение пластиковой разметки по праковочным местам с утройством колесоотбойников)</t>
  </si>
  <si>
    <t>464</t>
  </si>
  <si>
    <t>РАБ.Р3.6.019</t>
  </si>
  <si>
    <t>Монтаж иньекционного пакера</t>
  </si>
  <si>
    <t>465</t>
  </si>
  <si>
    <t>РАБ.Р3.6.020</t>
  </si>
  <si>
    <t>Монтаж гидропломбы</t>
  </si>
  <si>
    <t>466</t>
  </si>
  <si>
    <t>РАБ.Р3.6.021</t>
  </si>
  <si>
    <t>Устройство каркаса из бруса 100*200</t>
  </si>
  <si>
    <t>468</t>
  </si>
  <si>
    <t>РАБ.Р3.6.022</t>
  </si>
  <si>
    <t>Устройство лаг 75*75</t>
  </si>
  <si>
    <t>469</t>
  </si>
  <si>
    <t>РАБ.Р3.6.023</t>
  </si>
  <si>
    <t>Устройство пола в кассу из фанеры 1500*1500*12</t>
  </si>
  <si>
    <t>470</t>
  </si>
  <si>
    <t>РАБ.Р3.6.024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</si>
  <si>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</si>
  <si>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АРМ.УКР</t>
  </si>
  <si>
    <t>471</t>
  </si>
  <si>
    <t>РАБ.Р3.6.025</t>
  </si>
  <si>
    <t>Р3.6.1.0 Покрытие пола</t>
  </si>
  <si>
    <t>472</t>
  </si>
  <si>
    <t>РАБ.Р3.6.026</t>
  </si>
  <si>
    <t>Облицовка пола керамогранитом / плиткой</t>
  </si>
  <si>
    <t>ПОЛ.КГ</t>
  </si>
  <si>
    <t>473,474,475,476,477,478,479,480,481,482,483,484,485,486,487,488</t>
  </si>
  <si>
    <t>РАБ.Р3.6.027</t>
  </si>
  <si>
    <t>Установка плинтуса</t>
  </si>
  <si>
    <t>ПЛИНТ</t>
  </si>
  <si>
    <t>Периметр_пола</t>
  </si>
  <si>
    <t>489,513,516</t>
  </si>
  <si>
    <t>РАБ.Р3.6.028</t>
  </si>
  <si>
    <t>Устройство плинтусов из керамогранита h=40 мм с установкой раскладки из пластика на торец в цвет плинтуса с затиркой швовов</t>
  </si>
  <si>
    <t>490</t>
  </si>
  <si>
    <t>РАБ.Р3.6.029</t>
  </si>
  <si>
    <t>Устройство покрытия пола из модульной плитки (ковролин / ПВХ / линолеум)</t>
  </si>
  <si>
    <t>ПОЛ.МОД</t>
  </si>
  <si>
    <t>491,492,493,494,495,498,499,500,501,502,503,504,507,508,509</t>
  </si>
  <si>
    <t>РАБ.Р3.6.030</t>
  </si>
  <si>
    <t>Устройство плинтусов из керамогранита h=100 мм с установкой раскладки из пластика на торец в цвет плинтуса с затиркой швовов</t>
  </si>
  <si>
    <t>496</t>
  </si>
  <si>
    <t>РАБ.Р3.6.031</t>
  </si>
  <si>
    <t>Затирка швов поверхности пола, плитка керамическая</t>
  </si>
  <si>
    <t>497</t>
  </si>
  <si>
    <t>РАБ.Р3.6.032</t>
  </si>
  <si>
    <t>Устройство полов из ПВХ-плитки Gerflor Creation 70 CLIFTON 0556</t>
  </si>
  <si>
    <t>505,506</t>
  </si>
  <si>
    <t>РАБ.Р3.6.033</t>
  </si>
  <si>
    <t>Устройство плинтусов пластиковых</t>
  </si>
  <si>
    <t>510</t>
  </si>
  <si>
    <t>РАБ.Р3.6.034</t>
  </si>
  <si>
    <t>Устройство плинтусов пластиковых с ковровым заполнением высотой 55 мм</t>
  </si>
  <si>
    <t>511</t>
  </si>
  <si>
    <t>РАБ.Р3.6.035</t>
  </si>
  <si>
    <t>Устройство покрытия пола из полу коммерческого линолеума типа "Таркет" цвет согласовать с Заказчиком</t>
  </si>
  <si>
    <t>512</t>
  </si>
  <si>
    <t>РАБ.Р3.6.036</t>
  </si>
  <si>
    <t>Установка плинтуса алюминиевого Metal Line 90 h=40мм, покраска, черный матовый, гнущийся по радиусу</t>
  </si>
  <si>
    <t>514</t>
  </si>
  <si>
    <t>РАБ.Р3.6.037</t>
  </si>
  <si>
    <t>Установка плинтуса алюминиевого h80 мм, Fezard 2500*80*10 c соединителями и углами или аналог.</t>
  </si>
  <si>
    <t>515</t>
  </si>
  <si>
    <t>РАБ.Р3.6.038</t>
  </si>
  <si>
    <t>Устройство ниши в покрытии из керамогранита для укладки грязезащитного коврика</t>
  </si>
  <si>
    <t>517</t>
  </si>
  <si>
    <t>РАБ.Р3.6.039</t>
  </si>
  <si>
    <t>Монтаж грязезащитного коврика СИТИТОП Сити резина + текстиль + скребок)</t>
  </si>
  <si>
    <t>518</t>
  </si>
  <si>
    <t>РАБ.Р3.6.040</t>
  </si>
  <si>
    <t>Устройство штроб в цементно-песчаной стяжке пола</t>
  </si>
  <si>
    <t>519</t>
  </si>
  <si>
    <t>РАБ.Р3.6.041</t>
  </si>
  <si>
    <t>Заделка штроб в полу цементно-песчаным р-ром</t>
  </si>
  <si>
    <t>520</t>
  </si>
  <si>
    <t>РАБ.Р3.6.042</t>
  </si>
  <si>
    <t>Укрытие полов листами ДВП на время производства работ</t>
  </si>
  <si>
    <t>521</t>
  </si>
  <si>
    <t>РАБ.Р3.6.043</t>
  </si>
  <si>
    <t>Укрытие полов пленкой полиэтиленовой 200 мкм на время производства работ</t>
  </si>
  <si>
    <t>522</t>
  </si>
  <si>
    <t>РАБ.Р3.6.044</t>
  </si>
  <si>
    <t>523,524</t>
  </si>
  <si>
    <t>РАБ.Р3.6.045</t>
  </si>
  <si>
    <t>антистатическим покрытием) ANKER тип BRIKK N28ST/PVC Emerald Plus 5092, с учетом подрезки 10%</t>
  </si>
  <si>
    <t>525</t>
  </si>
  <si>
    <t>РАБ.Р3.6.046</t>
  </si>
  <si>
    <t>Устройство противоскользящих уголков на ступени</t>
  </si>
  <si>
    <t>526</t>
  </si>
  <si>
    <t>РАБ.Р3.6.047</t>
  </si>
  <si>
    <t>Укладка паркетной доски 200*2000 Solid Floor Piraness</t>
  </si>
  <si>
    <t>ПОЛ.ДОСК</t>
  </si>
  <si>
    <t>527</t>
  </si>
  <si>
    <t>РАБ.Р3.6.048</t>
  </si>
  <si>
    <t>Шлифовка бетонного основания мозаично-шлифовальными машинами с алмазными сегментами</t>
  </si>
  <si>
    <t>528</t>
  </si>
  <si>
    <t>РАБ.Р3.6.049</t>
  </si>
  <si>
    <t>Выравнивание бетонного основания полимерными компаундами с кварцевым песком, толщиной до 4 мм</t>
  </si>
  <si>
    <t>529</t>
  </si>
  <si>
    <t>РАБ.Р3.6.050</t>
  </si>
  <si>
    <t>Устройство полимерного наливного пола FEIDAL</t>
  </si>
  <si>
    <t>530</t>
  </si>
  <si>
    <t>РАБ.Р3.6.051</t>
  </si>
  <si>
    <t>Устройство антистатического контура</t>
  </si>
  <si>
    <t>531</t>
  </si>
  <si>
    <t>РАБ.Р3.7.001</t>
  </si>
  <si>
    <t>Монтаж дверного блока бронированного</t>
  </si>
  <si>
    <t>533,534</t>
  </si>
  <si>
    <t>РАБ.Р3.7.002</t>
  </si>
  <si>
    <t>535,537</t>
  </si>
  <si>
    <t>РАБ.Р3.7.003</t>
  </si>
  <si>
    <t>Дверной блок 5-го класса устойчивости к взлому с решетчатой дверью . 2 замка СИ600 900х2100 мм по раме.</t>
  </si>
  <si>
    <t>536</t>
  </si>
  <si>
    <t>РАБ.Р3.7.004</t>
  </si>
  <si>
    <t>Установка доводчиков на бронированных металлических дверях</t>
  </si>
  <si>
    <t>538</t>
  </si>
  <si>
    <t>РАБ.Р3.7.005</t>
  </si>
  <si>
    <t>Укрепление стен, перегородок и потолка арматурой или прутом диаметром 10 мм, ячейкой 150х150 мм с анкерным креплением из арматуры</t>
  </si>
  <si>
    <t>539</t>
  </si>
  <si>
    <t>РАБ.Р3.7.006</t>
  </si>
  <si>
    <t>Укрепление стен, перегородок и потолка арматурой или прутом диаметром 10 мм, ячейкой 100х100 мм с анкерным креплением из арматуры</t>
  </si>
  <si>
    <t>540</t>
  </si>
  <si>
    <t>РАБ.Р3.7.007</t>
  </si>
  <si>
    <t>Укрепление стен, перегородок и потолка арматурой или прутом диаметром 12 мм, ячейкой 150х150 мм с анкерным креплением из арматуры</t>
  </si>
  <si>
    <t>541</t>
  </si>
  <si>
    <t>РАБ.Р3.7.008</t>
  </si>
  <si>
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</si>
  <si>
    <t>542</t>
  </si>
  <si>
    <t>РАБ.Р3.7.009</t>
  </si>
  <si>
    <t>Бронестекло ПУз-Бр3 (1000*1000 мм. Видимая часть). По раме 1090х1090 мм без учета лотка.</t>
  </si>
  <si>
    <t>БРОНЯ</t>
  </si>
  <si>
    <t>543</t>
  </si>
  <si>
    <t>РАБ.Р3.7.010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</si>
  <si>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</si>
  <si>
    <t>544</t>
  </si>
  <si>
    <t>РАБ.Р3.7.011</t>
  </si>
  <si>
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</si>
  <si>
    <t>545</t>
  </si>
  <si>
    <t>РАБ.Р3.7.012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</si>
  <si>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</si>
  <si>
    <t>546</t>
  </si>
  <si>
    <t>РАБ.Р3.7.013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</si>
  <si>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</si>
  <si>
    <t>547</t>
  </si>
  <si>
    <t>РАБ.Р3.7.014</t>
  </si>
  <si>
    <t>Монтаж переговорного устройство DD-205T</t>
  </si>
  <si>
    <t>548</t>
  </si>
  <si>
    <t>РАБ.Р3.7.015</t>
  </si>
  <si>
    <t>549,550</t>
  </si>
  <si>
    <t>РАБ.Р3.7.016</t>
  </si>
  <si>
    <t>Панели защитные, стеновые V класс взломостойкости, сварное соединение, бетонно-заливная. Покраска грунт</t>
  </si>
  <si>
    <t>551</t>
  </si>
  <si>
    <t>РАБ.Р3.8.001</t>
  </si>
  <si>
    <t>Мобилизация обьекта (более 300 кв.м.)</t>
  </si>
  <si>
    <t>обьект</t>
  </si>
  <si>
    <t>553</t>
  </si>
  <si>
    <t>РАБ.Р3.8.002</t>
  </si>
  <si>
    <t>Мобилизация обьекта (менее 300 кв.м.)</t>
  </si>
  <si>
    <t>554</t>
  </si>
  <si>
    <t>РАБ.Р3.8.003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</si>
  <si>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</si>
  <si>
    <t>555</t>
  </si>
  <si>
    <t>РАБ.Р3.8.004</t>
  </si>
  <si>
    <t>Грунтовка поверхности</t>
  </si>
  <si>
    <t>556,557</t>
  </si>
  <si>
    <t>РАБ.Р3.8.005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</si>
  <si>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</si>
  <si>
    <t>558</t>
  </si>
  <si>
    <t>РАБ.Р3.8.006</t>
  </si>
  <si>
    <t>Масляная окраска стальных труб с учетом подготовки</t>
  </si>
  <si>
    <t>559</t>
  </si>
  <si>
    <t>РАБ.Р3.8.007</t>
  </si>
  <si>
    <t>Устройство ограждения из нержавеющей стали (стойка и поручень)</t>
  </si>
  <si>
    <t>560</t>
  </si>
  <si>
    <t>РАБ.Р3.8.008</t>
  </si>
  <si>
    <t>Установка отбойной доски из ламинированного ДСП, шириной до 600мм</t>
  </si>
  <si>
    <t>561</t>
  </si>
  <si>
    <t>РАБ.Р3.8.009</t>
  </si>
  <si>
    <t>Установка рольставни с электроприводом</t>
  </si>
  <si>
    <t>562</t>
  </si>
  <si>
    <t>РАБ.Р3.8.010</t>
  </si>
  <si>
    <t>Установка алюминиевой рольставни</t>
  </si>
  <si>
    <t>563</t>
  </si>
  <si>
    <t>РАБ.Р3.8.011</t>
  </si>
  <si>
    <t>Заливка бетона М150</t>
  </si>
  <si>
    <t>564</t>
  </si>
  <si>
    <t>РАБ.Р3.8.012</t>
  </si>
  <si>
    <t>Монтаж металлического листа толщ. 4 мм</t>
  </si>
  <si>
    <t>565</t>
  </si>
  <si>
    <t>РАБ.Р3.8.013</t>
  </si>
  <si>
    <t>Изготовление и монтаж металлоконструкций</t>
  </si>
  <si>
    <t>566,581</t>
  </si>
  <si>
    <t>РАБ.Р3.8.014</t>
  </si>
  <si>
    <t>Устройство технологических проходов над помещениями из профильной трубы и просечной сетки.</t>
  </si>
  <si>
    <t>567</t>
  </si>
  <si>
    <t>РАБ.Р3.8.015</t>
  </si>
  <si>
    <t>Монтаж мобильных лесов или тура</t>
  </si>
  <si>
    <t>568</t>
  </si>
  <si>
    <t>РАБ.Р3.8.016</t>
  </si>
  <si>
    <t>Укрытие мебели и перегородок пленкой полиэтиленовой на время производства работ</t>
  </si>
  <si>
    <t>569</t>
  </si>
  <si>
    <t>РАБ.Р3.8.017</t>
  </si>
  <si>
    <t>Монтаж экрана из поликарбоната.</t>
  </si>
  <si>
    <t>570</t>
  </si>
  <si>
    <t>РАБ.Р3.8.018</t>
  </si>
  <si>
    <t>Лючки ревизии потайные</t>
  </si>
  <si>
    <t>571</t>
  </si>
  <si>
    <t>РАБ.Р3.8.019</t>
  </si>
  <si>
    <t>Окраска по металлу с учетом подготовки</t>
  </si>
  <si>
    <t>572</t>
  </si>
  <si>
    <t>РАБ.Р3.8.020</t>
  </si>
  <si>
    <t>Пробивка отверстий в ЖБ плитах перекрытия толщиной до 250 мм.</t>
  </si>
  <si>
    <t>573</t>
  </si>
  <si>
    <t>РАБ.Р3.8.021</t>
  </si>
  <si>
    <t>Обшивка стен листовой нержавеющей сталью толщиной 1 мм.</t>
  </si>
  <si>
    <t>574</t>
  </si>
  <si>
    <t>РАБ.Р3.8.022</t>
  </si>
  <si>
    <t>Обшивка каркаса лестничного марша ГКЛВ</t>
  </si>
  <si>
    <t>575</t>
  </si>
  <si>
    <t>РАБ.Р3.8.023</t>
  </si>
  <si>
    <t>Устройство каркаса лестничного марша под крепление сэндвич- панелей из металоконструкций</t>
  </si>
  <si>
    <t>576</t>
  </si>
  <si>
    <t>РАБ.Р3.8.024</t>
  </si>
  <si>
    <t>Обшивка каркаса лестничного марша сэндвич - панелями Ruukki ( RE 90)</t>
  </si>
  <si>
    <t>577</t>
  </si>
  <si>
    <t>РАБ.Р3.8.025</t>
  </si>
  <si>
    <t>Заделка рустов в фундаментных блоках примыканий стена-пол смесью типа "Gidro S2"</t>
  </si>
  <si>
    <t>578</t>
  </si>
  <si>
    <t>РАБ.Р3.8.026</t>
  </si>
  <si>
    <t>Обработка поверхности стен составом "Gidro +" 2 раза</t>
  </si>
  <si>
    <t>579</t>
  </si>
  <si>
    <t>РАБ.Р3.8.027</t>
  </si>
  <si>
    <t>Установка конвекционных решеток из ПВХ 600*900 мм</t>
  </si>
  <si>
    <t>580</t>
  </si>
  <si>
    <t>РАБ.Р3.8.028</t>
  </si>
  <si>
    <t>Армирование площадки арматурой АIII</t>
  </si>
  <si>
    <t>582</t>
  </si>
  <si>
    <t>РАБ.Р3.8.029</t>
  </si>
  <si>
    <t>Монтаж наборных ступеней ЛС 13-14</t>
  </si>
  <si>
    <t>583</t>
  </si>
  <si>
    <t>РАБ.Р3.8.030</t>
  </si>
  <si>
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</si>
  <si>
    <t>584</t>
  </si>
  <si>
    <t>РАБ.Р3.8.031</t>
  </si>
  <si>
    <t>Установка подъемно трансформируемого устройства (ПТУ - 001) с радиоуправляемым пультом и доплнительным ограждением</t>
  </si>
  <si>
    <t>585</t>
  </si>
  <si>
    <t>РАБ.Р4.1.001</t>
  </si>
  <si>
    <t>Частичный ремонт цементно-песчаной стяжки под устройсво рулонной кровли толщиной 50 мм</t>
  </si>
  <si>
    <t>588</t>
  </si>
  <si>
    <t>РАБ.Р4.1.002</t>
  </si>
  <si>
    <t>Устройство рулонной мягкой кровли в 2 слоя с нахлестом на поребрик (мастика, стеклогидроизол, газовая горелка)</t>
  </si>
  <si>
    <t>589</t>
  </si>
  <si>
    <t>РАБ.Р4.1.003</t>
  </si>
  <si>
    <t>Устройство примыкания (шва) между кровлей и стеной</t>
  </si>
  <si>
    <t>590</t>
  </si>
  <si>
    <t>РАБ.Р4.1.004</t>
  </si>
  <si>
    <t>Устройство кровли из профлиста, металлочерепицы по деревянной обрешетке</t>
  </si>
  <si>
    <t>591</t>
  </si>
  <si>
    <t>РАБ.Р4.1.005</t>
  </si>
  <si>
    <t>Грунтовка битумной мастикой примыканий и поверхности ремонтируемой кровли</t>
  </si>
  <si>
    <t>592</t>
  </si>
  <si>
    <t>РАБ.Р4.1.006</t>
  </si>
  <si>
    <t>Монтаж водоотводных воронок с грязеуловителями</t>
  </si>
  <si>
    <t>593</t>
  </si>
  <si>
    <t>РАБ.Р4.1.007</t>
  </si>
  <si>
    <t>Заделка стыков морозоустойчивым герметиком</t>
  </si>
  <si>
    <t>594</t>
  </si>
  <si>
    <t>РАБ.Р4.1.008</t>
  </si>
  <si>
    <t>Ревизия кровли и водосточных систем с подготовкой акта</t>
  </si>
  <si>
    <t>595</t>
  </si>
  <si>
    <t>РАБ.Р4.1.009</t>
  </si>
  <si>
    <t>Устройство мелких покрытий (брандмауэры, парапеты, свесы и т.р.) из листовой оцинкованной стали</t>
  </si>
  <si>
    <t>596</t>
  </si>
  <si>
    <t>РАБ.Р4.1.010</t>
  </si>
  <si>
    <t>Подъем материалов на крышу здания</t>
  </si>
  <si>
    <t>597</t>
  </si>
  <si>
    <t>РАБ.Р4.1.011</t>
  </si>
  <si>
    <t>Устройство фартука из оцинкованной стали</t>
  </si>
  <si>
    <t>598</t>
  </si>
  <si>
    <t>РАБ.Р4.1.012</t>
  </si>
  <si>
    <t>Устройство эл подогрева воронок и кровли вокруг низ не менее 1 п.м от воронки</t>
  </si>
  <si>
    <t>599</t>
  </si>
  <si>
    <t>РАБ.Р4.2.001</t>
  </si>
  <si>
    <t>Устройство основания под штукатурку из металлической сетки по кирпичным и бетонным поверхностям</t>
  </si>
  <si>
    <t>601</t>
  </si>
  <si>
    <t>РАБ.Р4.2.002</t>
  </si>
  <si>
    <t>Штукатурка фасада по сетке морозоустройчивыми смесями с устройством "рисунка" согласно архитектуры фасада здания</t>
  </si>
  <si>
    <t>602</t>
  </si>
  <si>
    <t>РАБ.Р4.2.003</t>
  </si>
  <si>
    <t>Ремонт штукатурки гладких фасадов по камню и бетону цементно-известковым раствором толщиной слоя до 20 мм</t>
  </si>
  <si>
    <t>603</t>
  </si>
  <si>
    <t>РАБ.Р4.2.004</t>
  </si>
  <si>
    <t>Частичный ремонт фасада (расшивка и заделка трещин на штукарке, шпатлевка выбоин, сколов)</t>
  </si>
  <si>
    <t>604</t>
  </si>
  <si>
    <t>РАБ.Р4.2.005</t>
  </si>
  <si>
    <t>Грунтовка фасада глубопроникающей грунтовкой за два раза</t>
  </si>
  <si>
    <t>605</t>
  </si>
  <si>
    <t>РАБ.Р4.2.006</t>
  </si>
  <si>
    <t>Шпатлевка фасада смесями Vetonit VH</t>
  </si>
  <si>
    <t>606</t>
  </si>
  <si>
    <t>РАБ.Р4.2.007</t>
  </si>
  <si>
    <t>607,621</t>
  </si>
  <si>
    <t>РАБ.Р4.2.008</t>
  </si>
  <si>
    <t>Установка и разборка лесов</t>
  </si>
  <si>
    <t>608</t>
  </si>
  <si>
    <t>РАБ.Р4.2.009</t>
  </si>
  <si>
    <t>Монтаж фасада из композитных панелей "Алюкобонд" с подсистемой без утеплителя</t>
  </si>
  <si>
    <t>609</t>
  </si>
  <si>
    <t>РАБ.Р4.2.010</t>
  </si>
  <si>
    <t>Монтаж фасада из композитных панелей "Алюкобонд" с подсистемой с утеплителем 100 мм. и ветровлагозащиткая мембраной (негорючая).</t>
  </si>
  <si>
    <t>610</t>
  </si>
  <si>
    <t>РАБ.Р4.2.011</t>
  </si>
  <si>
    <t>Монтаж фасада из кассетного профиля (оцинкованный лист окрашенный) без утеплителя</t>
  </si>
  <si>
    <t>611</t>
  </si>
  <si>
    <t>РАБ.Р4.2.012</t>
  </si>
  <si>
    <t>Монтаж фасада из кассетного профиля (оцинкованный лист окрашенный) с утеплением</t>
  </si>
  <si>
    <t>612</t>
  </si>
  <si>
    <t>РАБ.Р4.2.013</t>
  </si>
  <si>
    <t>Изоляция покрытий теплоизоляционными матами URSA</t>
  </si>
  <si>
    <t>613</t>
  </si>
  <si>
    <t>РАБ.Р4.2.014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</si>
  <si>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</si>
  <si>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614</t>
  </si>
  <si>
    <t>РАБ.Р4.2.015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</si>
  <si>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</si>
  <si>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615</t>
  </si>
  <si>
    <t>РАБ.Р4.2.016</t>
  </si>
  <si>
    <t>Устройство пароизоляции</t>
  </si>
  <si>
    <t>616</t>
  </si>
  <si>
    <t>РАБ.Р4.2.017</t>
  </si>
  <si>
    <t>Очистка фасада от пыли грязи, навесных и монтажных элементов</t>
  </si>
  <si>
    <t>617</t>
  </si>
  <si>
    <t>РАБ.Р4.2.018</t>
  </si>
  <si>
    <t>Облицовка ступеней крыльца керамогранитом 300х300 мм.</t>
  </si>
  <si>
    <t>618</t>
  </si>
  <si>
    <t>РАБ.Р4.2.019</t>
  </si>
  <si>
    <t>Облицовка крыльца клинкерной плиткой</t>
  </si>
  <si>
    <t>619</t>
  </si>
  <si>
    <t>РАБ.Р4.2.020</t>
  </si>
  <si>
    <t>Крепление Г-образных алюминиевых с резиновой вставкой противоскользящик порогов на ступени-25*45</t>
  </si>
  <si>
    <t>620</t>
  </si>
  <si>
    <t>РАБ.Р4.2.021</t>
  </si>
  <si>
    <t>Устройство козырьков на основе профтрубы (с грунтовкой и покраской) из поликарбоната</t>
  </si>
  <si>
    <t>622</t>
  </si>
  <si>
    <t>РАБ.Р4.2.022</t>
  </si>
  <si>
    <t>Монтаж ветрозащиты (пароизоляции) негорючей</t>
  </si>
  <si>
    <t>623</t>
  </si>
  <si>
    <t>РАБ.Р4.2.023</t>
  </si>
  <si>
    <t>Козырёк из триплекса на подвесах, габариты 1000*1500</t>
  </si>
  <si>
    <t>624</t>
  </si>
  <si>
    <t>РАБ.Р4.2.024</t>
  </si>
  <si>
    <t>Козырёк из триплекса на подвесах, габариты 1000*2000</t>
  </si>
  <si>
    <t>625</t>
  </si>
  <si>
    <t>РАБ.Р4.2.025</t>
  </si>
  <si>
    <t>Козырёк из триплекса на подвесах, габариты 1000*1000</t>
  </si>
  <si>
    <t>626</t>
  </si>
  <si>
    <t>РАБ.Р4.3.001</t>
  </si>
  <si>
    <t>Устройство каркаса из бруса (брус 100х50, 50х50, доска 150х15, саморезы, скобы, гвозди) с последующим демантажом</t>
  </si>
  <si>
    <t>628</t>
  </si>
  <si>
    <t>РАБ.Р4.3.002</t>
  </si>
  <si>
    <t>Устройство защитного шатра из полиэтиленовой пленкой до 100 мкр., с последующим демонтажом</t>
  </si>
  <si>
    <t>629</t>
  </si>
  <si>
    <t>РАБ.Р4.3.003</t>
  </si>
  <si>
    <t>Устройство защитного полотна из сетки строительной фасадной (зеленая мелкоячеистая) с последующим демантажом</t>
  </si>
  <si>
    <t>630</t>
  </si>
  <si>
    <t>РАБ.Р4.3.004</t>
  </si>
  <si>
    <t>Отопление временных конструкций в зимний период (электрическая пушка)</t>
  </si>
  <si>
    <t>м/час</t>
  </si>
  <si>
    <t>631</t>
  </si>
  <si>
    <t>РАБ.Р4.3.005</t>
  </si>
  <si>
    <t>Отопление временных конструкций в зимний период (дизельная пушка)</t>
  </si>
  <si>
    <t>632</t>
  </si>
  <si>
    <t>РАБ.Р4.3.006</t>
  </si>
  <si>
    <t>Отопление временных конструкций в зимний период (газовая пушка)</t>
  </si>
  <si>
    <t>633</t>
  </si>
  <si>
    <t>РАБ.Р4.5.001</t>
  </si>
  <si>
    <t>Разработка грунта вручную</t>
  </si>
  <si>
    <t>635,644,650</t>
  </si>
  <si>
    <t>РАБ.Р4.5.002</t>
  </si>
  <si>
    <t>Обратная засыпка грунта вручную</t>
  </si>
  <si>
    <t>636</t>
  </si>
  <si>
    <t>РАБ.Р4.5.003</t>
  </si>
  <si>
    <t>Подготовка подстилающих слоев вручную с уплотнением</t>
  </si>
  <si>
    <t>637</t>
  </si>
  <si>
    <t>РАБ.Р4.5.004</t>
  </si>
  <si>
    <t>Установка подъемно секционных ворот автоматических 3000Х3000 мм</t>
  </si>
  <si>
    <t>638</t>
  </si>
  <si>
    <t>РАБ.Р4.5.005</t>
  </si>
  <si>
    <t>Установка подъемно секционных ворот автоматических 4500Х3000 мм</t>
  </si>
  <si>
    <t>639</t>
  </si>
  <si>
    <t>РАБ.Р4.5.006</t>
  </si>
  <si>
    <t>Установка автоматического шлагбаума GARD 4000-кр</t>
  </si>
  <si>
    <t>640</t>
  </si>
  <si>
    <t>РАБ.Р4.5.007</t>
  </si>
  <si>
    <t>Устройство ограждения прилегающей территории ( Н - 2м. Проф-труба 60Х40 мм. с шагом 100 мм. Порошковая окраска - цвет черный).</t>
  </si>
  <si>
    <t>641</t>
  </si>
  <si>
    <t>РАБ.Р4.5.008</t>
  </si>
  <si>
    <t>Разметка стоянок под автомобили</t>
  </si>
  <si>
    <t>642</t>
  </si>
  <si>
    <t>РАБ.Р4.5.009</t>
  </si>
  <si>
    <t>Облицовка фасада профлистом крашенным по RAL</t>
  </si>
  <si>
    <t>643</t>
  </si>
  <si>
    <t>РАБ.Р4.5.010</t>
  </si>
  <si>
    <t>Устройство приямков</t>
  </si>
  <si>
    <t>645</t>
  </si>
  <si>
    <t>РАБ.Р4.5.011</t>
  </si>
  <si>
    <t>Укладка геотекстиля</t>
  </si>
  <si>
    <t>646</t>
  </si>
  <si>
    <t>РАБ.Р4.5.012</t>
  </si>
  <si>
    <t>Укладка тротуарной плитки (толщину и цвет согласовать с заказчиком)</t>
  </si>
  <si>
    <t>647</t>
  </si>
  <si>
    <t>РАБ.Р4.5.013</t>
  </si>
  <si>
    <t>Устройство бордюра тротуарного</t>
  </si>
  <si>
    <t>648</t>
  </si>
  <si>
    <t>РАБ.Р4.5.014</t>
  </si>
  <si>
    <t>Устройство асфальтового покрытия</t>
  </si>
  <si>
    <t>649</t>
  </si>
  <si>
    <t>РАБ.Р4.5.015</t>
  </si>
  <si>
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</si>
  <si>
    <t>651</t>
  </si>
  <si>
    <t>РАБ.Р5.1.001</t>
  </si>
  <si>
    <t>Установка пожарного шкафа в комлекте с пожарным рукавом 20 м и огнетушителем</t>
  </si>
  <si>
    <t>747</t>
  </si>
  <si>
    <t>РАБ.Р5.1.002</t>
  </si>
  <si>
    <t>Установка пожарного шкафа двойного в комлекте с пожарными рукавами 20м- 2шт. и огнетушителями-2шт. ШПК-03-12</t>
  </si>
  <si>
    <t>748</t>
  </si>
  <si>
    <t>РАБ.Р5.1.003</t>
  </si>
  <si>
    <t>Врезка в существующий пожарный водопрвод</t>
  </si>
  <si>
    <t>749</t>
  </si>
  <si>
    <t>РАБ.Р5.1.004</t>
  </si>
  <si>
    <t>Установка пожарных кранов</t>
  </si>
  <si>
    <t>АРМ.ОВ</t>
  </si>
  <si>
    <t>750</t>
  </si>
  <si>
    <t>РАБ.Р5.1.005</t>
  </si>
  <si>
    <t>Монтаж трубы электросварной д 50 мм</t>
  </si>
  <si>
    <t>ТРУБА.ОВ</t>
  </si>
  <si>
    <t>751</t>
  </si>
  <si>
    <t>РАБ.Р5.2.001</t>
  </si>
  <si>
    <t>Установка Крючка для вещей и одежды. Merida MHW31 матовый</t>
  </si>
  <si>
    <t>753,755,756,759</t>
  </si>
  <si>
    <t>РАБ.Р5.2.002</t>
  </si>
  <si>
    <t>Установка корзины для использованных бумажных полотенец на 27 литров. Merida KSM 101. Матовый.</t>
  </si>
  <si>
    <t>754,758</t>
  </si>
  <si>
    <t>РАБ.Р5.2.003</t>
  </si>
  <si>
    <t>Установка щетки санитарной. Merida TAS02 (364747). Матовый.</t>
  </si>
  <si>
    <t>757</t>
  </si>
  <si>
    <t>РАБ.Р5.2.004</t>
  </si>
  <si>
    <t>Ревизия и установка Люстр заказчика (без стоимости люстры) с заменой ламп</t>
  </si>
  <si>
    <t>760</t>
  </si>
  <si>
    <t>РАБ.Р5.3.001</t>
  </si>
  <si>
    <t>Установка унитаза / писсуара / инсталляции</t>
  </si>
  <si>
    <t>СТП.УНИТ</t>
  </si>
  <si>
    <t>654,656,670,673,723,724,730</t>
  </si>
  <si>
    <t>РАБ.Р5.3.002</t>
  </si>
  <si>
    <t>Установка умывальника / раковины / мойки</t>
  </si>
  <si>
    <t>СТП.РАК</t>
  </si>
  <si>
    <t>655,714</t>
  </si>
  <si>
    <t>РАБ.Р5.3.003</t>
  </si>
  <si>
    <t>657,660,662,665,667,674,682,725,726,731</t>
  </si>
  <si>
    <t>РАБ.Р5.3.004</t>
  </si>
  <si>
    <t>Установка системы инсталяции Geberit Duofix UP320 111.300.00.5</t>
  </si>
  <si>
    <t>658,671,672,676,680</t>
  </si>
  <si>
    <t>РАБ.Р5.3.005</t>
  </si>
  <si>
    <t>659,661,663</t>
  </si>
  <si>
    <t>РАБ.Р5.3.006</t>
  </si>
  <si>
    <t>Установка смесителя / водоразборной арматуры</t>
  </si>
  <si>
    <t>СТП.СМЕС</t>
  </si>
  <si>
    <t>664,666,675,677,679,681,685,686,687,727</t>
  </si>
  <si>
    <t>РАБ.Р5.3.007</t>
  </si>
  <si>
    <t>668,669</t>
  </si>
  <si>
    <t>РАБ.Р5.3.008</t>
  </si>
  <si>
    <t>Установка смесителя для раковины Damixa Jupiter 770230001 с гигиеническим душем, хром</t>
  </si>
  <si>
    <t>678</t>
  </si>
  <si>
    <t>РАБ.Р5.3.009</t>
  </si>
  <si>
    <t>683,684,728</t>
  </si>
  <si>
    <t>РАБ.Р5.3.010</t>
  </si>
  <si>
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</si>
  <si>
    <t>688</t>
  </si>
  <si>
    <t>РАБ.Р5.3.011</t>
  </si>
  <si>
    <t>Монтаж трубопровода (отопление / водоснабжение)</t>
  </si>
  <si>
    <t>689,690,691,702,704</t>
  </si>
  <si>
    <t>РАБ.Р5.3.012</t>
  </si>
  <si>
    <t>Монтаж арматуры и фасонных частей (ВК / отопление)</t>
  </si>
  <si>
    <t>692,693,694,695,696,697,736,737,738,739,745</t>
  </si>
  <si>
    <t>РАБ.Р5.3.013</t>
  </si>
  <si>
    <t>Монтаж трубопроводов канализации из полипропиленовых труб диаметром 50 мм</t>
  </si>
  <si>
    <t>698</t>
  </si>
  <si>
    <t>РАБ.Р5.3.014</t>
  </si>
  <si>
    <t>Прокладка канализации Ду50 (Труба канализационная чугунная безраструбная Duker SML Ду50)</t>
  </si>
  <si>
    <t>699</t>
  </si>
  <si>
    <t>РАБ.Р5.3.015</t>
  </si>
  <si>
    <t>Прокладка канализации Ду50 скрыто в штробах и коробах (Труба канализационная раструбная ПНД Ду50)</t>
  </si>
  <si>
    <t>700</t>
  </si>
  <si>
    <t>РАБ.Р5.3.016</t>
  </si>
  <si>
    <t>Монтаж трубопроводов канализации из полипропиленовых труб диаметром 110 мм</t>
  </si>
  <si>
    <t>701</t>
  </si>
  <si>
    <t>РАБ.Р5.3.017</t>
  </si>
  <si>
    <t>Подводка гибкая сантехническая</t>
  </si>
  <si>
    <t>703</t>
  </si>
  <si>
    <t>РАБ.Р5.3.018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</si>
  <si>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</si>
  <si>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705</t>
  </si>
  <si>
    <t>РАБ.Р5.3.019</t>
  </si>
  <si>
    <t>Изоляция Thermoflex Ду 32</t>
  </si>
  <si>
    <t>706,707,708,709</t>
  </si>
  <si>
    <t>РАБ.Р5.3.020</t>
  </si>
  <si>
    <t>Проход стояков 2хДу15 через перекрытие в гильзах</t>
  </si>
  <si>
    <t>710</t>
  </si>
  <si>
    <t>РАБ.Р5.3.021</t>
  </si>
  <si>
    <t>Установка счетчиков на горячее и холодное водоснабжение</t>
  </si>
  <si>
    <t>711</t>
  </si>
  <si>
    <t>РАБ.Р5.3.022</t>
  </si>
  <si>
    <t>Врезка в существующие сети ГВС/ХВС</t>
  </si>
  <si>
    <t>712</t>
  </si>
  <si>
    <t>РАБ.Р5.3.023</t>
  </si>
  <si>
    <t>Врезка в существующие сети канализации</t>
  </si>
  <si>
    <t>713,715</t>
  </si>
  <si>
    <t>РАБ.Р5.3.024</t>
  </si>
  <si>
    <t>Установка водонагревателя</t>
  </si>
  <si>
    <t>СТП.ВН</t>
  </si>
  <si>
    <t>716,717,718</t>
  </si>
  <si>
    <t>РАБ.Р5.3.025</t>
  </si>
  <si>
    <t>Капельная воронка HL 21</t>
  </si>
  <si>
    <t>719</t>
  </si>
  <si>
    <t>РАБ.Р5.3.026</t>
  </si>
  <si>
    <t>Ревизия системы водоснабжения и канализации</t>
  </si>
  <si>
    <t>720</t>
  </si>
  <si>
    <t>РАБ.Р5.3.027</t>
  </si>
  <si>
    <t>Установка душевой кабины River Neva 90/18 (сидение, зеркало, полки, душевая лейка, смеситель)</t>
  </si>
  <si>
    <t>721</t>
  </si>
  <si>
    <t>РАБ.Р5.3.028</t>
  </si>
  <si>
    <t>Сололифт Grundfos Sololift</t>
  </si>
  <si>
    <t>722</t>
  </si>
  <si>
    <t>РАБ.Р5.3.029</t>
  </si>
  <si>
    <t>Монтаж гигиенического ручного душа Hansgrohe, шланг 1,6м, настенный держатель ( арт.3212800)</t>
  </si>
  <si>
    <t>729</t>
  </si>
  <si>
    <t>РАБ.Р5.3.030</t>
  </si>
  <si>
    <t>Монтаж металлического трубопровода D 110 мм (водоснабжение и канализация)</t>
  </si>
  <si>
    <t>732</t>
  </si>
  <si>
    <t>РАБ.Р5.3.031</t>
  </si>
  <si>
    <t>733,743</t>
  </si>
  <si>
    <t>РАБ.Р5.3.032</t>
  </si>
  <si>
    <t>Монтаж задвижек 30с64нж Ду100 (водоснабжение и канализация)</t>
  </si>
  <si>
    <t>734,741,744</t>
  </si>
  <si>
    <t>РАБ.Р5.3.033</t>
  </si>
  <si>
    <t>Монтаж задвижек 30с64нж Ду50</t>
  </si>
  <si>
    <t>735</t>
  </si>
  <si>
    <t>РАБ.Р5.3.034</t>
  </si>
  <si>
    <t>Клапан обратный 50 мм</t>
  </si>
  <si>
    <t>740</t>
  </si>
  <si>
    <t>РАБ.Р5.3.035</t>
  </si>
  <si>
    <t>Монтаж Трубы ПВХ для систем наружной канализации ТУ 2248-057-72311668-2007 из ПВХ оранжевого цвета диаметром от 150 мм классом жесткости SN 4</t>
  </si>
  <si>
    <t>742</t>
  </si>
  <si>
    <t>РАБ.Р5.4.001</t>
  </si>
  <si>
    <t>Перенос оросителя спринклера</t>
  </si>
  <si>
    <t>762</t>
  </si>
  <si>
    <t>РАБ.Р5.4.002</t>
  </si>
  <si>
    <t>Устройство спринкерной системы пожаротушения ( в том числе гибкие подводки, оросители и т.д)</t>
  </si>
  <si>
    <t>763</t>
  </si>
  <si>
    <t>РАБ.Р6.1.001</t>
  </si>
  <si>
    <t>Отключение стояков отопления</t>
  </si>
  <si>
    <t>766</t>
  </si>
  <si>
    <t>РАБ.Р6.1.002</t>
  </si>
  <si>
    <t>Работы на существующих инженерных сетях (отключение / промывка / врезка)</t>
  </si>
  <si>
    <t>767,799,810,821</t>
  </si>
  <si>
    <t>РАБ.Р6.1.003</t>
  </si>
  <si>
    <t>Монтаж радиатора отопления</t>
  </si>
  <si>
    <t>секц.</t>
  </si>
  <si>
    <t>РАД</t>
  </si>
  <si>
    <t>768,769,770,842</t>
  </si>
  <si>
    <t>РАБ.Р6.1.004</t>
  </si>
  <si>
    <t>771,844,845</t>
  </si>
  <si>
    <t>РАБ.Р6.1.005</t>
  </si>
  <si>
    <t>Монтаж комплектующих радиатора (кронштейны, узлы подключения)</t>
  </si>
  <si>
    <t>РАД.КОМПЛ</t>
  </si>
  <si>
    <t>772,773,774,775,776,777,778,779,781,782,783,784,785,786,787,788,790,791,792</t>
  </si>
  <si>
    <t>РАБ.Р6.1.006</t>
  </si>
  <si>
    <t>780,856</t>
  </si>
  <si>
    <t>РАБ.Р6.1.007</t>
  </si>
  <si>
    <t>Наценка на радиатор с нп Комплектация для радиатора с НП ( клапан термостатический с комплектующими , монтажный комплект</t>
  </si>
  <si>
    <t>789</t>
  </si>
  <si>
    <t>РАБ.Р6.1.008</t>
  </si>
  <si>
    <t>793,804,815</t>
  </si>
  <si>
    <t>РАБ.Р6.1.009</t>
  </si>
  <si>
    <t>794,805,816</t>
  </si>
  <si>
    <t>РАБ.Р6.1.010</t>
  </si>
  <si>
    <t>795,806,817</t>
  </si>
  <si>
    <t>РАБ.Р6.1.011</t>
  </si>
  <si>
    <t>796,807,818</t>
  </si>
  <si>
    <t>РАБ.Р6.1.012</t>
  </si>
  <si>
    <t>797,808,819</t>
  </si>
  <si>
    <t>РАБ.Р6.1.013</t>
  </si>
  <si>
    <t>798,809,820</t>
  </si>
  <si>
    <t>РАБ.Р6.1.014</t>
  </si>
  <si>
    <t>800,811,822</t>
  </si>
  <si>
    <t>РАБ.Р6.1.015</t>
  </si>
  <si>
    <t>801,812,823</t>
  </si>
  <si>
    <t>РАБ.Р6.1.016</t>
  </si>
  <si>
    <t>802,813,824</t>
  </si>
  <si>
    <t>РАБ.Р6.1.017</t>
  </si>
  <si>
    <t>803,814,825</t>
  </si>
  <si>
    <t>РАБ.Р6.1.018</t>
  </si>
  <si>
    <t>Циркуляционный насос VALTEC 25-60 (VRS.256.13.0) DN25</t>
  </si>
  <si>
    <t>826,827</t>
  </si>
  <si>
    <t>РАБ.Р6.1.019</t>
  </si>
  <si>
    <t>828,832</t>
  </si>
  <si>
    <t>РАБ.Р6.1.020</t>
  </si>
  <si>
    <t>829,830,833,834</t>
  </si>
  <si>
    <t>РАБ.Р6.1.021</t>
  </si>
  <si>
    <t>831,835</t>
  </si>
  <si>
    <t>РАБ.Р6.1.022</t>
  </si>
  <si>
    <t>Конвектор электрический Ballu с электронным термостатом 500 Вт</t>
  </si>
  <si>
    <t>836,837,838</t>
  </si>
  <si>
    <t>РАБ.Р6.1.023</t>
  </si>
  <si>
    <t>Электрический Обогреватель ТеплЭко. (указать типоразмер)</t>
  </si>
  <si>
    <t>839,840,841</t>
  </si>
  <si>
    <t>РАБ.Р6.1.024</t>
  </si>
  <si>
    <t>Монтаж радиатора чугунного Радиаторы МС-140</t>
  </si>
  <si>
    <t>843</t>
  </si>
  <si>
    <t>РАБ.Р6.1.025</t>
  </si>
  <si>
    <t>846,847,848,849,850,851,852,853,869,870,875,876</t>
  </si>
  <si>
    <t>РАБ.Р6.1.026</t>
  </si>
  <si>
    <t>Клапан VALTEC ручной, прямой 3/4 VT.008.LN.05</t>
  </si>
  <si>
    <t>854,855,862,874,878,879,886</t>
  </si>
  <si>
    <t>РАБ.Р6.1.027</t>
  </si>
  <si>
    <t>Опрессовка системы отопления до 450 м.кв</t>
  </si>
  <si>
    <t>857</t>
  </si>
  <si>
    <t>РАБ.Р6.1.028</t>
  </si>
  <si>
    <t>Опрессовка системы отопления от 450 м.кв</t>
  </si>
  <si>
    <t>858</t>
  </si>
  <si>
    <t>РАБ.Р6.1.029</t>
  </si>
  <si>
    <t>Вырезка участка стояковых труб</t>
  </si>
  <si>
    <t>859</t>
  </si>
  <si>
    <t>РАБ.Р6.1.030</t>
  </si>
  <si>
    <t>Врезка в существующую систему отопления</t>
  </si>
  <si>
    <t>860</t>
  </si>
  <si>
    <t>РАБ.Р6.1.031</t>
  </si>
  <si>
    <t>Установка крестовин стояковых труб (труба 32, отвод 16)</t>
  </si>
  <si>
    <t>861</t>
  </si>
  <si>
    <t>РАБ.Р6.1.032</t>
  </si>
  <si>
    <t>Монтаж конвекторов электрических NOBO C2F 10 XSC 0,75 кВт с встроенным термостатом R80 XSC</t>
  </si>
  <si>
    <t>863,864,865</t>
  </si>
  <si>
    <t>РАБ.Р6.1.033</t>
  </si>
  <si>
    <t>Монтаж труб отопления из стальных водогазопроводных труб, диаметр до 16мм</t>
  </si>
  <si>
    <t>866</t>
  </si>
  <si>
    <t>РАБ.Р6.1.034</t>
  </si>
  <si>
    <t>Монтаж труб отопления из стальных водогазопроводных труб, диаметр до 25мм</t>
  </si>
  <si>
    <t>867</t>
  </si>
  <si>
    <t>РАБ.Р6.1.035</t>
  </si>
  <si>
    <t>Монтаж труб отопления из стальных водогазопроводных труб, диаметр до 32мм</t>
  </si>
  <si>
    <t>868,871,877</t>
  </si>
  <si>
    <t>РАБ.Р6.1.036</t>
  </si>
  <si>
    <t>Ревизия отопительных приборов</t>
  </si>
  <si>
    <t>872</t>
  </si>
  <si>
    <t>РАБ.Р6.1.037</t>
  </si>
  <si>
    <t>Ревизия системы трубопроводов и запорно-регулирующей арматуры</t>
  </si>
  <si>
    <t>873</t>
  </si>
  <si>
    <t>РАБ.Р6.1.038</t>
  </si>
  <si>
    <t>Коллектор в сборе универсальный 1" ВР-3/4" НР, 12 выходов</t>
  </si>
  <si>
    <t>880</t>
  </si>
  <si>
    <t>РАБ.Р6.1.039</t>
  </si>
  <si>
    <t>Коллектор в сборе универсальный 1" ВР-3/4" НР, 10 выходов</t>
  </si>
  <si>
    <t>881</t>
  </si>
  <si>
    <t>РАБ.Р6.1.040</t>
  </si>
  <si>
    <t>Коллектор в сборе универсальный 1" ВР-3/4" НР, 8 выходов</t>
  </si>
  <si>
    <t>882</t>
  </si>
  <si>
    <t>РАБ.Р6.1.041</t>
  </si>
  <si>
    <t>Соединение прямое с внутренней резьбой 16 (накидная гайка, евроконус)</t>
  </si>
  <si>
    <t>883,884</t>
  </si>
  <si>
    <t>РАБ.Р6.1.042</t>
  </si>
  <si>
    <t>Монтаж задвижек 30с64нж Ду100 (отопление)</t>
  </si>
  <si>
    <t>885</t>
  </si>
  <si>
    <t>РАБ.Р6.1.043</t>
  </si>
  <si>
    <t>Монтаж отводов D 110 мм (отопление)</t>
  </si>
  <si>
    <t>887</t>
  </si>
  <si>
    <t>РАБ.Р6.1.044</t>
  </si>
  <si>
    <t>Монтаж металлического трубопровода D 110 мм (отопление)</t>
  </si>
  <si>
    <t>888</t>
  </si>
  <si>
    <t>РАБ.Р6.1.045</t>
  </si>
  <si>
    <t>Расходные и крепежные материалы</t>
  </si>
  <si>
    <t>889</t>
  </si>
  <si>
    <t>РАБ.Р6.1.046</t>
  </si>
  <si>
    <t>Ревизия газовых котлов отопления</t>
  </si>
  <si>
    <t>890</t>
  </si>
  <si>
    <t>РАБ.Р6.1.047</t>
  </si>
  <si>
    <t>Установка сантехнического люка доступа</t>
  </si>
  <si>
    <t>891</t>
  </si>
  <si>
    <t>РАБ.Р7.1.001</t>
  </si>
  <si>
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</si>
  <si>
    <t>ПВУ</t>
  </si>
  <si>
    <t>894</t>
  </si>
  <si>
    <t>РАБ.Р7.1.002</t>
  </si>
  <si>
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</si>
  <si>
    <t>895</t>
  </si>
  <si>
    <t>РАБ.Р7.1.003</t>
  </si>
  <si>
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</si>
  <si>
    <t>896</t>
  </si>
  <si>
    <t>РАБ.Р7.1.004</t>
  </si>
  <si>
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</si>
  <si>
    <t>897</t>
  </si>
  <si>
    <t>РАБ.Р7.1.005</t>
  </si>
  <si>
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</si>
  <si>
    <t>898</t>
  </si>
  <si>
    <t>РАБ.Р7.1.006</t>
  </si>
  <si>
    <t>Компактная воздушно-тепловая завеса КЭВ-3П1154Е с пультом</t>
  </si>
  <si>
    <t>ЗАВЕСА</t>
  </si>
  <si>
    <t>899</t>
  </si>
  <si>
    <t>РАБ.Р7.1.007</t>
  </si>
  <si>
    <t>Монтаж тепловой завесы</t>
  </si>
  <si>
    <t>900,901,902</t>
  </si>
  <si>
    <t>РАБ.Р7.1.008</t>
  </si>
  <si>
    <t>Приточный очиститель воздуха Тион Бризер 4S Magic</t>
  </si>
  <si>
    <t>903</t>
  </si>
  <si>
    <t>РАБ.Р7.1.009</t>
  </si>
  <si>
    <t>Подставка под ПВУ сборная , усиленная - (уголок металлический, окрашеный)</t>
  </si>
  <si>
    <t>904</t>
  </si>
  <si>
    <t>РАБ.Р7.1.010</t>
  </si>
  <si>
    <t>Привод для клапана вентмашины</t>
  </si>
  <si>
    <t>905</t>
  </si>
  <si>
    <t>РАБ.Р7.1.011</t>
  </si>
  <si>
    <t>Клапан 600х300 вентмашины</t>
  </si>
  <si>
    <t>906</t>
  </si>
  <si>
    <t>РАБ.Р7.1.012</t>
  </si>
  <si>
    <t>Клапан 700х400 вентмашины</t>
  </si>
  <si>
    <t>907</t>
  </si>
  <si>
    <t>РАБ.Р7.1.013</t>
  </si>
  <si>
    <t>Гибкая вставка 600х300 вентмашины</t>
  </si>
  <si>
    <t>908</t>
  </si>
  <si>
    <t>РАБ.Р7.1.014</t>
  </si>
  <si>
    <t>Гибкая вставка 700х400 вентмашины</t>
  </si>
  <si>
    <t>909</t>
  </si>
  <si>
    <t>РАБ.Р7.1.015</t>
  </si>
  <si>
    <t>Монтаж вентилятора</t>
  </si>
  <si>
    <t>ВЕНТ</t>
  </si>
  <si>
    <t>910,911</t>
  </si>
  <si>
    <t>РАБ.Р7.1.016</t>
  </si>
  <si>
    <t>Тепловая завеса Frico с термостатом и пультом</t>
  </si>
  <si>
    <t>912</t>
  </si>
  <si>
    <t>РАБ.Р7.1.017</t>
  </si>
  <si>
    <t>Пусконаладочные работы системы вентиляции</t>
  </si>
  <si>
    <t>913</t>
  </si>
  <si>
    <t>РАБ.Р7.1.018</t>
  </si>
  <si>
    <t>Противопожарный клапан (с электромеханическим приводом Belimo с возвратной пружиной) НО 500*300</t>
  </si>
  <si>
    <t>914</t>
  </si>
  <si>
    <t>РАБ.Р7.1.019</t>
  </si>
  <si>
    <t>Монтаж тепло-шумоизоляции K-FLEX K-Flex Air 25мм самоклеющаяся (или Энергофлекс) воздуховодов согласно ТЗ</t>
  </si>
  <si>
    <t>ВОЗД</t>
  </si>
  <si>
    <t>915</t>
  </si>
  <si>
    <t>РАБ.Р7.1.020</t>
  </si>
  <si>
    <t>Монтаж тепло-шумоизоляции K-FLEX K-Flex Air 6мм самоклеющаяся (или Энергофлекс) воздуховодов согласно ТЗ</t>
  </si>
  <si>
    <t>916</t>
  </si>
  <si>
    <t>РАБ.Р7.1.021</t>
  </si>
  <si>
    <t>Монтаж ленты K-FLEX ST Н50х3х15 самоклеющаяся для изоляции стыков.</t>
  </si>
  <si>
    <t>917</t>
  </si>
  <si>
    <t>РАБ.Р7.1.022</t>
  </si>
  <si>
    <t>Монтаж теплоизоляции K-FLEX (или Энергофлекс) воздуховодов согласно ТЗ</t>
  </si>
  <si>
    <t>м2 (по площади помещения)</t>
  </si>
  <si>
    <t>918</t>
  </si>
  <si>
    <t>РАБ.Р7.1.023</t>
  </si>
  <si>
    <t>Монтаж воздухораспределителя (решётка / диффузор)</t>
  </si>
  <si>
    <t>ВР</t>
  </si>
  <si>
    <t>919,920</t>
  </si>
  <si>
    <t>РАБ.Р7.1.024</t>
  </si>
  <si>
    <t>921,922,923,924,925,926,927,928</t>
  </si>
  <si>
    <t>РАБ.Р7.1.025</t>
  </si>
  <si>
    <t>Монтаж шумоглушителя</t>
  </si>
  <si>
    <t>ШГ</t>
  </si>
  <si>
    <t>929,930,931,932,933,934,935,936,937,938,939,940,941,942,943,944,945,946,947,948,949,950,951,952,953 …</t>
  </si>
  <si>
    <t>РАБ.Р7.1.026</t>
  </si>
  <si>
    <t>RSK 100, обратный клапан для круглых каналов</t>
  </si>
  <si>
    <t>968,969,970,971,972</t>
  </si>
  <si>
    <t>РАБ.Р7.1.027</t>
  </si>
  <si>
    <t>973,974,975,976,977,978,979,980,981,982,983,984,985,986,987,988,989,990,991</t>
  </si>
  <si>
    <t>РАБ.Р7.1.028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</si>
  <si>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</si>
  <si>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992</t>
  </si>
  <si>
    <t>РАБ.Р7.1.029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</si>
  <si>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</si>
  <si>
    <t>993</t>
  </si>
  <si>
    <t>РАБ.Р7.2.001</t>
  </si>
  <si>
    <t>Вентилятор дымоудаления Systemair DVV 400D4-6/F400 в комплекте со щитом автоматики.</t>
  </si>
  <si>
    <t>995</t>
  </si>
  <si>
    <t>РАБ.Р7.2.002</t>
  </si>
  <si>
    <t>Монтаж матов теплоизоляционных из минеральной ваты, фольгированные S=50мм ISOVER KIM-Light-Al 50 мм</t>
  </si>
  <si>
    <t>996</t>
  </si>
  <si>
    <t>РАБ.Р7.2.003</t>
  </si>
  <si>
    <t>Нанесение конструктивной огнезащиты</t>
  </si>
  <si>
    <t>997,998</t>
  </si>
  <si>
    <t>РАБ.Р7.2.004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</si>
  <si>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</si>
  <si>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КЛ.ОЗК</t>
  </si>
  <si>
    <t>999</t>
  </si>
  <si>
    <t>РАБ.Р7.2.005</t>
  </si>
  <si>
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</si>
  <si>
    <t>1000</t>
  </si>
  <si>
    <t>РАБ.Р8.1.001</t>
  </si>
  <si>
    <t>Монтаж сплит-системы</t>
  </si>
  <si>
    <t>СПЛИТ</t>
  </si>
  <si>
    <t>1003,1004,1005,1006,1007</t>
  </si>
  <si>
    <t>РАБ.Р8.1.002</t>
  </si>
  <si>
    <t>СБР02 Проводной контроллер для серверных помещений (Включая Модуль управления кондиционером СБР02-М - 2 шт)</t>
  </si>
  <si>
    <t>1008,1009</t>
  </si>
  <si>
    <t>РАБ.Р8.2.001</t>
  </si>
  <si>
    <t>1011,1012,1013,1014,1015,1016,1017,1018,1019,1020</t>
  </si>
  <si>
    <t>РАБ.Р8.2.002</t>
  </si>
  <si>
    <t>Монтаж приточной / приточно-вытяжной установки</t>
  </si>
  <si>
    <t>1021,1027</t>
  </si>
  <si>
    <t>РАБ.Р8.2.003</t>
  </si>
  <si>
    <t>1022,1028,1029,1030</t>
  </si>
  <si>
    <t>РАБ.Р8.2.004</t>
  </si>
  <si>
    <t>Канальный кондиционер MDV 48 MDTJ2-48HWN1 / MDOU3-48HN1-L+пульт (либо аналог согласно ТЗ. Замену согласовать с заказчиком)</t>
  </si>
  <si>
    <t>1023</t>
  </si>
  <si>
    <t>РАБ.Р8.2.005</t>
  </si>
  <si>
    <t>Канальный кондиционер MDV 60 MDTJ2-60HWN1 / MDOU3-60HN1-L+пульт (либо аналог согласно ТЗ. Замену согласовать с заказчиком)</t>
  </si>
  <si>
    <t>1024</t>
  </si>
  <si>
    <t>РАБ.Р8.2.006</t>
  </si>
  <si>
    <t>Кассетный кондиционер MDV 12 MDCA6-12HRN1 / T-MBQ4-03B / MDOU3-12HN1-L+пульт (либо аналог согласно ТЗ. Замену согласовать с заказчиком)</t>
  </si>
  <si>
    <t>1025,1026</t>
  </si>
  <si>
    <t>РАБ.Р8.2.007</t>
  </si>
  <si>
    <t>Монтаж внутреннего блока VRF / мультисплит</t>
  </si>
  <si>
    <t>VRF.ВНУТ</t>
  </si>
  <si>
    <t>1031,1032,1033,1038,1039,1040,1045,1046,1047,1053</t>
  </si>
  <si>
    <t>РАБ.Р8.2.008</t>
  </si>
  <si>
    <t>1034,1035,1036,1037,1041,1042,1043,1044,1048,1049,1050,1051,1052,1054,1055,1056,1057,1058,1059,1060</t>
  </si>
  <si>
    <t>РАБ.Р8.2.009</t>
  </si>
  <si>
    <t>1061,1062,1063,1064,1065,1066</t>
  </si>
  <si>
    <t>РАБ.Р8.2.010</t>
  </si>
  <si>
    <t>Разветвитель FQG-B335A</t>
  </si>
  <si>
    <t>1067,1069</t>
  </si>
  <si>
    <t>РАБ.Р8.2.011</t>
  </si>
  <si>
    <t>Разветвитель FQG-B506A</t>
  </si>
  <si>
    <t>1068,1070,1071,1072,1073</t>
  </si>
  <si>
    <t>РАБ.Р8.2.012</t>
  </si>
  <si>
    <t>Экран для потолочного (кассетного) кондиционера из ударопрочного стекла</t>
  </si>
  <si>
    <t>1074,1077</t>
  </si>
  <si>
    <t>РАБ.Р8.2.013</t>
  </si>
  <si>
    <t>Экран для настенного кондиционера из ударопрочного стекла</t>
  </si>
  <si>
    <t>1075</t>
  </si>
  <si>
    <t>РАБ.Р8.2.014</t>
  </si>
  <si>
    <t>Вентиль шаровый под пайку для внутреннего блока</t>
  </si>
  <si>
    <t>1076</t>
  </si>
  <si>
    <t>РАБ.Р8.2.015</t>
  </si>
  <si>
    <t>Регенерация, заправка хладагентом, Фреон R407C, R410A R 32</t>
  </si>
  <si>
    <t>кг</t>
  </si>
  <si>
    <t>1078</t>
  </si>
  <si>
    <t>РАБ.Р8.2.016</t>
  </si>
  <si>
    <t>Дренажный насос Aqua mini blue, ASPEN</t>
  </si>
  <si>
    <t>1079,1080</t>
  </si>
  <si>
    <t>РАБ.Р8.2.017</t>
  </si>
  <si>
    <t>Антивандальные решетки с козырьком для внешних блоков</t>
  </si>
  <si>
    <t>1081</t>
  </si>
  <si>
    <t>РАБ.Р8.2.018</t>
  </si>
  <si>
    <t>Пусконаладочные работы систем кондиционирования</t>
  </si>
  <si>
    <t>1082</t>
  </si>
  <si>
    <t>РАБ.Р8.2.019</t>
  </si>
  <si>
    <t>Зимний комплект к кондиционерам</t>
  </si>
  <si>
    <t>1083</t>
  </si>
  <si>
    <t>РАБ.Р8.2.020</t>
  </si>
  <si>
    <t>Помпа дренажная Si 1805</t>
  </si>
  <si>
    <t>1084,1085,1086</t>
  </si>
  <si>
    <t>РАБ.Р8.2.021</t>
  </si>
  <si>
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</si>
  <si>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1087</t>
  </si>
  <si>
    <t>РАБ.Р8.2.022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</si>
  <si>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</si>
  <si>
    <t>VRF.НАР</t>
  </si>
  <si>
    <t>1088</t>
  </si>
  <si>
    <t>РАБ.Р8.2.023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</si>
  <si>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</si>
  <si>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1089</t>
  </si>
  <si>
    <t>РАБ.Р9.1.001</t>
  </si>
  <si>
    <t>ГРЩ(1)</t>
  </si>
  <si>
    <t>ЭЩ</t>
  </si>
  <si>
    <t>1092,1099,1100</t>
  </si>
  <si>
    <t>РАБ.Р9.1.002</t>
  </si>
  <si>
    <t>ГРЩ(2)</t>
  </si>
  <si>
    <t>1093,1094,1095,1096,1097</t>
  </si>
  <si>
    <t>РАБ.Р9.1.003</t>
  </si>
  <si>
    <t>ППУ</t>
  </si>
  <si>
    <t>1098</t>
  </si>
  <si>
    <t>РАБ.Р9.2.001</t>
  </si>
  <si>
    <t>Монтаж щита / бокса</t>
  </si>
  <si>
    <t>1102,1103,1104,1106</t>
  </si>
  <si>
    <t>РАБ.Р9.2.002</t>
  </si>
  <si>
    <t>Щит 48 модулей, IP43, ABB или Legrand, с замком в комплекте с DIN-рейками, перемычками, шинами РЕ и N</t>
  </si>
  <si>
    <t>1105</t>
  </si>
  <si>
    <t>РАБ.Р9.2.003</t>
  </si>
  <si>
    <t>Щит 72 модулей, IP43, ABB или Legrand, с замком в комплекте с DIN-рейками, перемычками, шинами РЕ и N</t>
  </si>
  <si>
    <t>1107</t>
  </si>
  <si>
    <t>РАБ.Р9.2.004</t>
  </si>
  <si>
    <t>Щит 96 модулей, IP43, ABB или Legrand, с замком в комплекте с DIN-рейками, перемычками, шинами РЕ и N</t>
  </si>
  <si>
    <t>1108</t>
  </si>
  <si>
    <t>РАБ.Р9.2.005</t>
  </si>
  <si>
    <t>Щит 144 модулей, IP43, ABB или Legrand, с замком в комплекте с DIN-рейками, перемычками, шинами РЕ и N</t>
  </si>
  <si>
    <t>1109</t>
  </si>
  <si>
    <t>РАБ.Р9.2.006</t>
  </si>
  <si>
    <t>Щит 168 модулей, IP43, ABB или Legrand, с замком в комплекте с DIN-рейками, перемычками, шинами РЕ и N</t>
  </si>
  <si>
    <t>1110</t>
  </si>
  <si>
    <t>РАБ.Р9.2.007</t>
  </si>
  <si>
    <t>Щит ППУ 8-12 мод IP 65 красный металлический</t>
  </si>
  <si>
    <t>1111</t>
  </si>
  <si>
    <t>РАБ.Р9.2.008</t>
  </si>
  <si>
    <t>Автоматический ввод резерва 63А, 380В в сборе</t>
  </si>
  <si>
    <t>1112</t>
  </si>
  <si>
    <t>РАБ.Р9.2.009</t>
  </si>
  <si>
    <t>Автоматический ввод резерва 80А, 380В в сборе</t>
  </si>
  <si>
    <t>1113</t>
  </si>
  <si>
    <t>РАБ.Р9.2.010</t>
  </si>
  <si>
    <t>Автоматический ввод резерва 125А, 380В в сборе</t>
  </si>
  <si>
    <t>1114</t>
  </si>
  <si>
    <t>РАБ.Р9.2.011</t>
  </si>
  <si>
    <t>Монтаж модульного аппарата (автомат / УЗО / дифавтомат / рубильник)</t>
  </si>
  <si>
    <t>ЭА.МОД</t>
  </si>
  <si>
    <t>1115,1342</t>
  </si>
  <si>
    <t>РАБ.Р9.2.012</t>
  </si>
  <si>
    <t>Выключатель нагрузки OT45E3, 45А, ABB</t>
  </si>
  <si>
    <t>1116</t>
  </si>
  <si>
    <t>РАБ.Р9.2.013</t>
  </si>
  <si>
    <t>Выключатель нагрузки OT63E3, 63А, ABB</t>
  </si>
  <si>
    <t>1117</t>
  </si>
  <si>
    <t>РАБ.Р9.2.014</t>
  </si>
  <si>
    <t>1118,1334,1340</t>
  </si>
  <si>
    <t>РАБ.Р9.2.015</t>
  </si>
  <si>
    <t>Счетчик электроэнергии, Меркурий 231 АТ 01 (двухтарифный, 3-х фазный, 63А)</t>
  </si>
  <si>
    <t>1119,1121</t>
  </si>
  <si>
    <t>РАБ.Р9.2.016</t>
  </si>
  <si>
    <t>Счетчик электроэнергии, Меркурий 231 АТ 01 с трансформаторами тока (двухтарифный, 3-х фазный, 63А)</t>
  </si>
  <si>
    <t>1120</t>
  </si>
  <si>
    <t>РАБ.Р9.2.017</t>
  </si>
  <si>
    <t>Устройство защитного отключения 2пол. тип A 16A 10mA F202 A-16/0,01 ABB</t>
  </si>
  <si>
    <t>1122,1125</t>
  </si>
  <si>
    <t>РАБ.Р9.2.018</t>
  </si>
  <si>
    <t>Устройство защитного отключения 2пол. тип A 25A 30mA F202 A-25/0,03 АВВ</t>
  </si>
  <si>
    <t>1123,1126,1127,1128</t>
  </si>
  <si>
    <t>РАБ.Р9.2.019</t>
  </si>
  <si>
    <t>Устройство защитного отключения 2пол. тип A 40A 30mA F202 A-40/0,03 АВВ</t>
  </si>
  <si>
    <t>1124,1129,1130,1131</t>
  </si>
  <si>
    <t>РАБ.Р9.2.020</t>
  </si>
  <si>
    <t>Устройство защитного отключения 2пол. тип AC 63A 100mA F202 AC-63/0,1 АВВ</t>
  </si>
  <si>
    <t>1132,1133,1134</t>
  </si>
  <si>
    <t>РАБ.Р9.2.021</t>
  </si>
  <si>
    <t>Устройство защитного отключения 4пол. F204 AC-40/0,1 ABB</t>
  </si>
  <si>
    <t>1135,1139,1140,1141</t>
  </si>
  <si>
    <t>РАБ.Р9.2.022</t>
  </si>
  <si>
    <t>Устройство защитного отключения 4пол. тип A 25A 30mA F204 A-25/0,03 АВВ</t>
  </si>
  <si>
    <t>1136,1137,1138</t>
  </si>
  <si>
    <t>РАБ.Р9.2.023</t>
  </si>
  <si>
    <t>Устройство защитного отключения 4пол. тип AC 63A 100mA F204 AC-63/0,1 ABB</t>
  </si>
  <si>
    <t>1142,1143,1144,1145</t>
  </si>
  <si>
    <t>РАБ.Р9.2.024</t>
  </si>
  <si>
    <t>Устройство защитного отключения 4пол. тип AC 80A 300mA F204 AC-80/0,3 ABB</t>
  </si>
  <si>
    <t>1146</t>
  </si>
  <si>
    <t>РАБ.Р9.2.025</t>
  </si>
  <si>
    <t>Устройство защитного отключения 4пол. тип AC 100A 300mA F204 AC-100/0,3 ABB</t>
  </si>
  <si>
    <t>1147</t>
  </si>
  <si>
    <t>РАБ.Р9.2.026</t>
  </si>
  <si>
    <t>Устройство защитного отключения 4пол. тип AC 125A 300mA F204 AC-125/0,3 ABB</t>
  </si>
  <si>
    <t>1148</t>
  </si>
  <si>
    <t>РАБ.Р9.2.027</t>
  </si>
  <si>
    <t>1149,1150,1151,1152,1155,1156,1157,1158,1159,1163,1164,1165,1166,1167,1309,1310,1311,1312,1315,1316</t>
  </si>
  <si>
    <t>РАБ.Р9.2.028</t>
  </si>
  <si>
    <t>1153,1154,1160,1161,1168,1169,1313,1314</t>
  </si>
  <si>
    <t>РАБ.Р9.2.029</t>
  </si>
  <si>
    <t>1162,1170</t>
  </si>
  <si>
    <t>РАБ.Р9.2.030</t>
  </si>
  <si>
    <t>1171,1172,1173,1174,1175,1179,1180,1181,1182,1183,1187,1188,1189,1190,1191,1235,1236,1237,1238,1239,1241,1242,1243,1244,1245 …</t>
  </si>
  <si>
    <t>РАБ.Р9.2.031</t>
  </si>
  <si>
    <t>1176,1177,1184,1185,1192,1193,1240,1246,1247,1253,1254,1270,1271,1275,1276,1280,1281,1282,1283,1284,1285,1286,1303,1304,1305 …</t>
  </si>
  <si>
    <t>РАБ.Р9.2.032</t>
  </si>
  <si>
    <t>1178,1186,1194,1328,1329,1330</t>
  </si>
  <si>
    <t>РАБ.Р9.2.033</t>
  </si>
  <si>
    <t>1195,1196,1201,1202,1203,1204,1210,1211,1212,1213,1317,1318</t>
  </si>
  <si>
    <t>РАБ.Р9.2.034</t>
  </si>
  <si>
    <t>1197,1205,1214,1319</t>
  </si>
  <si>
    <t>РАБ.Р9.2.035</t>
  </si>
  <si>
    <t>1198,1206,1215,1320</t>
  </si>
  <si>
    <t>РАБ.Р9.2.036</t>
  </si>
  <si>
    <t>1199,1207,1216,1321</t>
  </si>
  <si>
    <t>РАБ.Р9.2.037</t>
  </si>
  <si>
    <t>1200,1208,1217,1322,1344</t>
  </si>
  <si>
    <t>РАБ.Р9.2.038</t>
  </si>
  <si>
    <t>1209,1323</t>
  </si>
  <si>
    <t>РАБ.Р9.2.039</t>
  </si>
  <si>
    <t>1218,1220</t>
  </si>
  <si>
    <t>РАБ.Р9.2.040</t>
  </si>
  <si>
    <t>1219,1222,1258</t>
  </si>
  <si>
    <t>РАБ.Р9.2.041</t>
  </si>
  <si>
    <t>1221,1257</t>
  </si>
  <si>
    <t>РАБ.Р9.2.042</t>
  </si>
  <si>
    <t>1223,1259</t>
  </si>
  <si>
    <t>РАБ.Р9.2.043</t>
  </si>
  <si>
    <t>1224,1225</t>
  </si>
  <si>
    <t>РАБ.Р9.2.044</t>
  </si>
  <si>
    <t>Автомат.выкл-ль АВВ Т1В160 40А</t>
  </si>
  <si>
    <t>1226</t>
  </si>
  <si>
    <t>РАБ.Р9.2.045</t>
  </si>
  <si>
    <t>Автомат.выкл-ль АВВ Т1В160 32А</t>
  </si>
  <si>
    <t>1227</t>
  </si>
  <si>
    <t>РАБ.Р9.2.046</t>
  </si>
  <si>
    <t>Автомат.выкл-ль АВВ Т1В160 25А</t>
  </si>
  <si>
    <t>1228</t>
  </si>
  <si>
    <t>РАБ.Р9.2.047</t>
  </si>
  <si>
    <t>Автомат.выкл-ль АВВ Т1В160 63А</t>
  </si>
  <si>
    <t>1229</t>
  </si>
  <si>
    <t>РАБ.Р9.2.048</t>
  </si>
  <si>
    <t>Автомат.выкл-ль АВВ Т1В160 50А</t>
  </si>
  <si>
    <t>1230</t>
  </si>
  <si>
    <t>РАБ.Р9.2.049</t>
  </si>
  <si>
    <t>Автомат.выкл-ль АВВ Т1В160 80А</t>
  </si>
  <si>
    <t>1231</t>
  </si>
  <si>
    <t>РАБ.Р9.2.050</t>
  </si>
  <si>
    <t>Автомат.выкл-ль АВВ Т1В160 100А</t>
  </si>
  <si>
    <t>1232</t>
  </si>
  <si>
    <t>РАБ.Р9.2.051</t>
  </si>
  <si>
    <t>Автомат.выкл-ль АВВ Т1В160 125А</t>
  </si>
  <si>
    <t>1233</t>
  </si>
  <si>
    <t>РАБ.Р9.2.052</t>
  </si>
  <si>
    <t>Монтажная площадка для Т1В 160</t>
  </si>
  <si>
    <t>1234</t>
  </si>
  <si>
    <t>РАБ.Р9.2.053</t>
  </si>
  <si>
    <t>1255,1256</t>
  </si>
  <si>
    <t>РАБ.Р9.2.054</t>
  </si>
  <si>
    <t>Дифференциальный автомат АВВ DS204 C10 4P 10А (C) 6kA тип AC 30mA (6мод.)</t>
  </si>
  <si>
    <t>1260</t>
  </si>
  <si>
    <t>РАБ.Р9.2.055</t>
  </si>
  <si>
    <t>1261,1262</t>
  </si>
  <si>
    <t>РАБ.Р9.2.056</t>
  </si>
  <si>
    <t>1263,1264</t>
  </si>
  <si>
    <t>РАБ.Р9.2.057</t>
  </si>
  <si>
    <t>Дифференциальный автомат АВВ DS204 C63 4P 63А (C) 6kA тип AC 30mA (6мод.)</t>
  </si>
  <si>
    <t>1265</t>
  </si>
  <si>
    <t>РАБ.Р9.2.058</t>
  </si>
  <si>
    <t>Контактор модульный ABB ESB24-31</t>
  </si>
  <si>
    <t>1331</t>
  </si>
  <si>
    <t>РАБ.Р9.2.059</t>
  </si>
  <si>
    <t>Контактор модульный ABB ESB40-40</t>
  </si>
  <si>
    <t>1332</t>
  </si>
  <si>
    <t>РАБ.Р9.2.060</t>
  </si>
  <si>
    <t>Контактор модульный ABB ESB63-40</t>
  </si>
  <si>
    <t>1333</t>
  </si>
  <si>
    <t>РАБ.Р9.2.061</t>
  </si>
  <si>
    <t>Реле освещенности ABB TW, Датчик освещенности ABB LS-SP</t>
  </si>
  <si>
    <t>1335</t>
  </si>
  <si>
    <t>РАБ.Р9.2.062</t>
  </si>
  <si>
    <t>Реле управления нагрузкой LSS1/2 230В ,90А (АВВ)</t>
  </si>
  <si>
    <t>1336</t>
  </si>
  <si>
    <t>РАБ.Р9.2.063</t>
  </si>
  <si>
    <t>Реле максимального тока STT6 114 E 451 5,7A</t>
  </si>
  <si>
    <t>1337</t>
  </si>
  <si>
    <t>РАБ.Р9.2.064</t>
  </si>
  <si>
    <t>Трансформатор 230В/24В понижающий однофазный 160ВА , на din -рейку,</t>
  </si>
  <si>
    <t>1338,1341</t>
  </si>
  <si>
    <t>РАБ.Р9.2.065</t>
  </si>
  <si>
    <t>Устройство отключения неприоритетных цепей Legrand 038 13</t>
  </si>
  <si>
    <t>1339</t>
  </si>
  <si>
    <t>РАБ.Р9.2.066</t>
  </si>
  <si>
    <t>Электромеханический недельный таймер ABB</t>
  </si>
  <si>
    <t>1343</t>
  </si>
  <si>
    <t>РАБ.Р9.2.067</t>
  </si>
  <si>
    <t>Выключатель нагрузки Legrand 04350, 63А, 3-полюсный</t>
  </si>
  <si>
    <t>1345</t>
  </si>
  <si>
    <t>РАБ.Р9.2.068</t>
  </si>
  <si>
    <t>Монтаж светильника аварийного / эвакуационного</t>
  </si>
  <si>
    <t>СВЕТ.АВАР</t>
  </si>
  <si>
    <t>1346,1347,1348,1349,1350,1351,1352,1353,1354,1410,1411,1412,1413,1414,1415,1421,1423,1425,1429,1430,1431,1432,1433,1435,1438 …</t>
  </si>
  <si>
    <t>РАБ.Р9.2.069</t>
  </si>
  <si>
    <t>Светильник с зеркалом и SPC-RNG-600-LED-TCH, 12W, 220-240V, 600x30с подсветкой и сенсорным выключателем belbagno арт. SPC-RNG-600-LED-TCH</t>
  </si>
  <si>
    <t>СВЕТ</t>
  </si>
  <si>
    <t>1355</t>
  </si>
  <si>
    <t>РАБ.Р9.2.070</t>
  </si>
  <si>
    <t>Монтаж трубы ПВХ / гофротрубы под электропроводку</t>
  </si>
  <si>
    <t>ТРУБА.ЭЛ</t>
  </si>
  <si>
    <t>1356,1357,1358,1359,1360,1361,1365</t>
  </si>
  <si>
    <t>РАБ.Р9.2.071</t>
  </si>
  <si>
    <t>Труба гладкая жесткая ПВХ 20 мм легкая серая (3м) в комплекте с углами, крепежами,переходниками и расходными материалами</t>
  </si>
  <si>
    <t>1362</t>
  </si>
  <si>
    <t>РАБ.Р9.2.072</t>
  </si>
  <si>
    <t>Труба гладкая жесткая ПВХ 32 мм легкая серая (3м) в комплекте с углами, крепежами,переходниками и расходными материалами</t>
  </si>
  <si>
    <t>1363</t>
  </si>
  <si>
    <t>РАБ.Р9.2.073</t>
  </si>
  <si>
    <t>Труба гофрированная ПНД HF d20мм с протяжкой, безгалогенная оранжевая</t>
  </si>
  <si>
    <t>1364</t>
  </si>
  <si>
    <t>РАБ.Р9.2.074</t>
  </si>
  <si>
    <t>Гладкая труба ∅ 40 ПНД</t>
  </si>
  <si>
    <t>1366</t>
  </si>
  <si>
    <t>РАБ.Р9.2.075</t>
  </si>
  <si>
    <t>Поворот 90° для ПВХ-трубы ∅ 40</t>
  </si>
  <si>
    <t>1367</t>
  </si>
  <si>
    <t>РАБ.Р9.2.076</t>
  </si>
  <si>
    <t>Монтаж кабель-канала</t>
  </si>
  <si>
    <t>КОРОБ.ЭЛ</t>
  </si>
  <si>
    <t>1368,1369,1370</t>
  </si>
  <si>
    <t>РАБ.Р9.2.077</t>
  </si>
  <si>
    <t>Консоль с опорой ML 100 мм облегченная</t>
  </si>
  <si>
    <t>1371,1372,1373,1374,1375,1376,1377,1378</t>
  </si>
  <si>
    <t>РАБ.Р9.2.078</t>
  </si>
  <si>
    <t>Монтаж кабельного лотка</t>
  </si>
  <si>
    <t>ЛОТОК</t>
  </si>
  <si>
    <t>1379,1380</t>
  </si>
  <si>
    <t>РАБ.Р9.2.079</t>
  </si>
  <si>
    <t>1381,1382,1383</t>
  </si>
  <si>
    <t>РАБ.Р9.2.080</t>
  </si>
  <si>
    <t>Лоток проволочный 100х50х3000</t>
  </si>
  <si>
    <t>1384,1385</t>
  </si>
  <si>
    <t>РАБ.Р9.2.081</t>
  </si>
  <si>
    <t>Лоток проволочный 300х50х3000</t>
  </si>
  <si>
    <t>1386,1387,1388</t>
  </si>
  <si>
    <t>РАБ.Р9.2.082</t>
  </si>
  <si>
    <t>Установка розетки</t>
  </si>
  <si>
    <t>ЭУИ.РОЗ</t>
  </si>
  <si>
    <t>1389,1390,1391,1392,1393,1396,1397,1399,1400,1402</t>
  </si>
  <si>
    <t>РАБ.Р9.2.083</t>
  </si>
  <si>
    <t>1394,1395</t>
  </si>
  <si>
    <t>РАБ.Р9.2.084</t>
  </si>
  <si>
    <t>Установка выключателя электроустановочного</t>
  </si>
  <si>
    <t>ЭУИ.ВЫКЛ</t>
  </si>
  <si>
    <t>1398,1401,1403,1408</t>
  </si>
  <si>
    <t>РАБ.Р9.2.085</t>
  </si>
  <si>
    <t>1404,1405,1406,1407</t>
  </si>
  <si>
    <t>РАБ.Р9.2.086</t>
  </si>
  <si>
    <t>Установка точечных светодиодных светильников R63 12 Вт в мебельные конструкции (холодное свечение)</t>
  </si>
  <si>
    <t>1409</t>
  </si>
  <si>
    <t>РАБ.Р9.2.087</t>
  </si>
  <si>
    <t>Лампа DULUXSTAR MICRO TWIST 23W/840</t>
  </si>
  <si>
    <t>1416</t>
  </si>
  <si>
    <t>РАБ.Р9.2.088</t>
  </si>
  <si>
    <t>Пуско-наладочные работы</t>
  </si>
  <si>
    <t>1417</t>
  </si>
  <si>
    <t>РАБ.Р9.2.089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</si>
  <si>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</si>
  <si>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КАБЕЛЬ</t>
  </si>
  <si>
    <t>1418</t>
  </si>
  <si>
    <t>РАБ.Р9.2.090</t>
  </si>
  <si>
    <t>Установка коробки напольной 18 модульн Mosaik с нерж крышкой (суппорта в комплекте )</t>
  </si>
  <si>
    <t>1419</t>
  </si>
  <si>
    <t>РАБ.Р9.2.091</t>
  </si>
  <si>
    <t>Блок аварийного питания INTERLUX ES-1 ( 6-58Ц)</t>
  </si>
  <si>
    <t>1420</t>
  </si>
  <si>
    <t>РАБ.Р9.2.092</t>
  </si>
  <si>
    <t>Встраиваемый блок розеток EVOLINE FlipTop Medium</t>
  </si>
  <si>
    <t>1422</t>
  </si>
  <si>
    <t>РАБ.Р9.2.093</t>
  </si>
  <si>
    <t>Светодиодная лента, IP65 Источник света: LED,14Вт/м, 4200К (основной свет в переговорных)</t>
  </si>
  <si>
    <t>1424</t>
  </si>
  <si>
    <t>РАБ.Р9.2.094</t>
  </si>
  <si>
    <t>Алюминиевый профиль встраевыемый в гипсокартон для светодиодной ленты</t>
  </si>
  <si>
    <t>1426</t>
  </si>
  <si>
    <t>РАБ.Р9.2.095</t>
  </si>
  <si>
    <t>Распред коробка legrand</t>
  </si>
  <si>
    <t>1427,1428</t>
  </si>
  <si>
    <t>РАБ.Р9.2.096</t>
  </si>
  <si>
    <t>Установка люстры ARSTID, 3-х рожковая с лампами э/сберег.</t>
  </si>
  <si>
    <t>1434</t>
  </si>
  <si>
    <t>РАБ.Р9.2.097</t>
  </si>
  <si>
    <t>Подвес LGD-4TR-HANG-2-WH ©</t>
  </si>
  <si>
    <t>1436</t>
  </si>
  <si>
    <t>РАБ.Р9.2.098</t>
  </si>
  <si>
    <t>Коннектор прямой LGD-4TR-CON-LONG-WH</t>
  </si>
  <si>
    <t>1437</t>
  </si>
  <si>
    <t>РАБ.Р9.2.099</t>
  </si>
  <si>
    <t>Трек LGD-4TR-TRACK-3000-WH-M КРАСНЫЙ RAL3020</t>
  </si>
  <si>
    <t>1439</t>
  </si>
  <si>
    <t>РАБ.Р9.2.100</t>
  </si>
  <si>
    <t>Трек LGD-4TR-TRACK-2000-WH-M КРАСНЫЙ RAL3020</t>
  </si>
  <si>
    <t>1440</t>
  </si>
  <si>
    <t>РАБ.Р9.2.101</t>
  </si>
  <si>
    <t>Коннектор питания LGD-4TR-CON-POWER-L-WH</t>
  </si>
  <si>
    <t>1442</t>
  </si>
  <si>
    <t>РАБ.Р9.2.102</t>
  </si>
  <si>
    <t>Заглушка LGD-4TR-CAP-WH</t>
  </si>
  <si>
    <t>1443</t>
  </si>
  <si>
    <t>РАБ.Р9.2.103</t>
  </si>
  <si>
    <t>Коннектор внутренний LGD-4TR-CON-MINI-WH ©</t>
  </si>
  <si>
    <t>1444</t>
  </si>
  <si>
    <t>РАБ.Р9.2.104</t>
  </si>
  <si>
    <t>Зажим LGD-4TR-CLIP-WH ©</t>
  </si>
  <si>
    <t>1445</t>
  </si>
  <si>
    <t>РАБ.Р9.2.105</t>
  </si>
  <si>
    <t>Монтаж светильника</t>
  </si>
  <si>
    <t>1448,1449</t>
  </si>
  <si>
    <t>РАБ.Р9.2.106</t>
  </si>
  <si>
    <t>1450,1451</t>
  </si>
  <si>
    <t>РАБ.Р9.2.107</t>
  </si>
  <si>
    <t>Лайтбокс LED Высота114 мм.Диаметр 1000 мм RAL 3020,ORTUS SORES 1000 DIMM 0-10V, c функцией диммрования, производство ООО "Профлед"</t>
  </si>
  <si>
    <t>1452,1453</t>
  </si>
  <si>
    <t>РАБ.Р9.2.108</t>
  </si>
  <si>
    <t>Лайтбокс LED Высота114 мм.Диаметр 1500 мм RAL 3020, ORTUS SORES 1500 DIMM 0-10V c функцией диммрования, производство ООО "Профлед"</t>
  </si>
  <si>
    <t>1454</t>
  </si>
  <si>
    <t>РАБ.Р9.2.109</t>
  </si>
  <si>
    <t>Лайтбокс LED Высота114 мм.Диаметр 2000 мм RAL 3020, ORTUS SORES 2000 DIMM 0-10V c функцией диммрования, производство ООО "Профлед"</t>
  </si>
  <si>
    <t>1455</t>
  </si>
  <si>
    <t>РАБ.Р9.2.110</t>
  </si>
  <si>
    <t>Лайтбокс LED Высота114 мм.Диаметр 2500 мм RAL 3020, ORTUS SORES 2500 DIMM 0-10V c функцией диммрования, производство ООО "Профлед"</t>
  </si>
  <si>
    <t>1456</t>
  </si>
  <si>
    <t>РАБ.Р9.2.111</t>
  </si>
  <si>
    <t>Пульт дистанционного управления SMART-R10-DIM для лайтбоксов Профлед</t>
  </si>
  <si>
    <t>1457</t>
  </si>
  <si>
    <t>РАБ.Р9.2.112</t>
  </si>
  <si>
    <t>1458,1462,1466</t>
  </si>
  <si>
    <t>РАБ.Р9.2.113</t>
  </si>
  <si>
    <t>1459,1463,1467</t>
  </si>
  <si>
    <t>РАБ.Р9.2.114</t>
  </si>
  <si>
    <t>1460,1464,1468</t>
  </si>
  <si>
    <t>РАБ.Р9.2.115</t>
  </si>
  <si>
    <t>1461,1465,1469</t>
  </si>
  <si>
    <t>РАБ.Р9.2.116</t>
  </si>
  <si>
    <t>1470,1476</t>
  </si>
  <si>
    <t>РАБ.Р9.2.117</t>
  </si>
  <si>
    <t>1471,1472,1473</t>
  </si>
  <si>
    <t>РАБ.Р9.2.118</t>
  </si>
  <si>
    <t>Quark IN IT D70 REF 60` 12W-4000K CRI 90 Recess WHI - Светильник + Acc. Emergency kit 0,72-1,4W 20-45V {COBx1, {1xL12/0,5-1xL24} EM1H (18-35V, max 40V) BOX I - Аварийный блок</t>
  </si>
  <si>
    <t>1474</t>
  </si>
  <si>
    <t>РАБ.Р9.2.119</t>
  </si>
  <si>
    <t>MICA D190 14W-4000K CRI 90 Recess MP ECO WHI - Светильник</t>
  </si>
  <si>
    <t>1475</t>
  </si>
  <si>
    <t>РАБ.Р9.2.120</t>
  </si>
  <si>
    <t>1477,1479</t>
  </si>
  <si>
    <t>РАБ.Р9.2.121</t>
  </si>
  <si>
    <t>1478,1480</t>
  </si>
  <si>
    <t>РАБ.Р9.2.122</t>
  </si>
  <si>
    <t>1481,1485</t>
  </si>
  <si>
    <t>РАБ.Р9.2.123</t>
  </si>
  <si>
    <t>1482,1486</t>
  </si>
  <si>
    <t>РАБ.Р9.2.124</t>
  </si>
  <si>
    <t>Quark AIR IT Lens D70 8W-4000K CRI 90 H210 Susp WHI- Светильник</t>
  </si>
  <si>
    <t>1483</t>
  </si>
  <si>
    <t>РАБ.Р9.2.125</t>
  </si>
  <si>
    <t>Quark AIR IT MP D70 8W-4000K CRI 90 H210 Susp BLK - Светильник</t>
  </si>
  <si>
    <t>1484</t>
  </si>
  <si>
    <t>РАБ.Р9.2.126</t>
  </si>
  <si>
    <t>Quark AIR IT MP D45 12W-4000K CRI 90 H210 Susp - Светильник + NECK Q45 IT - Декоративная насадка</t>
  </si>
  <si>
    <t>1487</t>
  </si>
  <si>
    <t>РАБ.Р9.2.127</t>
  </si>
  <si>
    <t>Agat D80 31W/mt-4000K CRI 90 ROW Susp WHI - Светильник</t>
  </si>
  <si>
    <t>1488</t>
  </si>
  <si>
    <t>РАБ.Р9.2.128</t>
  </si>
  <si>
    <t>Ray IN D750 49W-4000K CRI 90 Reduced Susp BLK - Светильник</t>
  </si>
  <si>
    <t>1489</t>
  </si>
  <si>
    <t>РАБ.Р9.2.129</t>
  </si>
  <si>
    <t>Ray IN D750 69W-4000K CRI 90 Susp WHI - Светильник + Acc. Emergency kit 1,8-3,5W {1-5L12/0,5-2,5L24} EM1H (18-35V, max 100V) BOX I - Аварийный блок</t>
  </si>
  <si>
    <t>1490</t>
  </si>
  <si>
    <t>РАБ.Р9.2.130</t>
  </si>
  <si>
    <t>Rota D650 MP ECO 28W-4000K CRI 90 Susp BLK - Светильник</t>
  </si>
  <si>
    <t>1491</t>
  </si>
  <si>
    <t>РАБ.Р9.2.131</t>
  </si>
  <si>
    <t>Longa 61 46W-4000K CRI 90 MP 2xL24 Reduced M1200 Susp BLK - Светильник</t>
  </si>
  <si>
    <t>1492</t>
  </si>
  <si>
    <t>РАБ.Р9.2.132</t>
  </si>
  <si>
    <t>Longa 61 35W-4000K CRI 90 MP M1200 Susp BLK - Светильник</t>
  </si>
  <si>
    <t>1493</t>
  </si>
  <si>
    <t>РАБ.Р9.2.133</t>
  </si>
  <si>
    <t>Longa 61 35W-4000K CRI 90 MP M1200 Susp BLK- Светильник + Acc. Emergency kit 1,8-3,5W {1-5L12/0,5-2,5L24} EM1H (18-35V, max 100V) BOX I - Аварийный блок</t>
  </si>
  <si>
    <t>1494</t>
  </si>
  <si>
    <t>РАБ.Р9.2.134</t>
  </si>
  <si>
    <t>Longa 40 DI 22W/mt-4000K CRI 90 ROW Reduced Susp BLK - Светильник</t>
  </si>
  <si>
    <t>1495</t>
  </si>
  <si>
    <t>РАБ.Р9.2.135</t>
  </si>
  <si>
    <t>Longa 40 DI 25W-4000K CRI 90 M1200 Reduced Susp WHI - Светильник</t>
  </si>
  <si>
    <t>1496</t>
  </si>
  <si>
    <t>РАБ.Р9.2.136</t>
  </si>
  <si>
    <t>Longa 40 DI 25W-4000K CRI 90 M1200 Reduced Susp WHI Emerg - Светильник + Acc. Emergency kit 1,8-3,5W {1-5L12/0,5-2,5L24} EM1H (18-35V, max 100V) BOX I - Аварийный блок</t>
  </si>
  <si>
    <t>1497</t>
  </si>
  <si>
    <t>РАБ.Р9.2.137</t>
  </si>
  <si>
    <t>Longa 40 DI 39W-4000K CRI 90 M1400 Susp WHI, L=1392mm - Светильник</t>
  </si>
  <si>
    <t>1498</t>
  </si>
  <si>
    <t>РАБ.Р9.2.138</t>
  </si>
  <si>
    <t>Ray line 31W/mt-4000K CRI 90 ROW Recess - Светильник</t>
  </si>
  <si>
    <t>1499</t>
  </si>
  <si>
    <t>РАБ.Р9.2.139</t>
  </si>
  <si>
    <t>Ray line.U-kit - Крепёж в потолок 1 шт.</t>
  </si>
  <si>
    <t>1500</t>
  </si>
  <si>
    <t>РАБ.Р9.2.140</t>
  </si>
  <si>
    <t>Longa 40 DI 22W/mt-4000K CRI 90 ROW Reduced Susp BLK, L=3928mm - Светильник</t>
  </si>
  <si>
    <t>1501</t>
  </si>
  <si>
    <t>РАБ.Р9.2.141</t>
  </si>
  <si>
    <t>Ray line 31W/mt-4000K CRI 90 ROW Susp BLK, L=931mm - Светильник</t>
  </si>
  <si>
    <t>1502</t>
  </si>
  <si>
    <t>РАБ.Р9.2.142</t>
  </si>
  <si>
    <t>Ray line 20W/mt-3500K ROW 270mA Susp BLK, L=2314mm - Светильник</t>
  </si>
  <si>
    <t>1503</t>
  </si>
  <si>
    <t>РАБ.Р9.2.143</t>
  </si>
  <si>
    <t>Ray line 20W/mt-3500K ROW 270mA Susp BLK, L=3697mm - Светильник</t>
  </si>
  <si>
    <t>1504</t>
  </si>
  <si>
    <t>РАБ.Р9.2.144</t>
  </si>
  <si>
    <t>Ray line 33W-4000K CRI 90 M1200 Susp BLK - Светильник</t>
  </si>
  <si>
    <t>1505</t>
  </si>
  <si>
    <t>РАБ.Р9.2.145</t>
  </si>
  <si>
    <t>Ray line 31W/mt-4000K CRI 90 ROW Susp BLK, L=2084mm - Светильник</t>
  </si>
  <si>
    <t>1506</t>
  </si>
  <si>
    <t>РАБ.Р9.2.146</t>
  </si>
  <si>
    <t>1507,1508</t>
  </si>
  <si>
    <t>РАБ.Р9.2.147</t>
  </si>
  <si>
    <t>1509,1510</t>
  </si>
  <si>
    <t>РАБ.Р9.2.148</t>
  </si>
  <si>
    <t>Ray line 15W/mt-4000K CRI 90 ROW 175mA Susp, L=3928mm - Светильник</t>
  </si>
  <si>
    <t>1511</t>
  </si>
  <si>
    <t>РАБ.Р9.2.149</t>
  </si>
  <si>
    <t>Ray line 15W/mt-4000K CRI 90 ROW 175mA Susp, L=5080mm - Светильник</t>
  </si>
  <si>
    <t>1512</t>
  </si>
  <si>
    <t>РАБ.Р9.2.150</t>
  </si>
  <si>
    <t>Ray line 31W/mt-4000K CRI 90 ROW Susp BLK, L=5311mm - Светильник</t>
  </si>
  <si>
    <t>1513</t>
  </si>
  <si>
    <t>РАБ.Р9.2.151</t>
  </si>
  <si>
    <t>Ray line 31W/mt-4000K CRI 90 ROW Susp BLK, L=5541mm - Светильник</t>
  </si>
  <si>
    <t>1514</t>
  </si>
  <si>
    <t>РАБ.Р9.2.152</t>
  </si>
  <si>
    <t>Ray line 15W/mt-4000K CRI 90 ROW 175mA Susp, L=5772mm - Светильник</t>
  </si>
  <si>
    <t>1515</t>
  </si>
  <si>
    <t>РАБ.Р9.2.153</t>
  </si>
  <si>
    <t>Ray line 15W/mt-4000K CRI 90 ROW 175mA Susp, L=6694mm - Светильник</t>
  </si>
  <si>
    <t>1516</t>
  </si>
  <si>
    <t>РАБ.Р9.2.154</t>
  </si>
  <si>
    <t>Ray line 31W/mt-4000K CRI 90 ROW Susp BLK, L=6924mm - Светильник</t>
  </si>
  <si>
    <t>1517</t>
  </si>
  <si>
    <t>РАБ.Р9.2.155</t>
  </si>
  <si>
    <t>Ray line 15W/mt-4000K CRI 90 ROW 175mA Susp, L=7846mm - Светильник</t>
  </si>
  <si>
    <t>1518</t>
  </si>
  <si>
    <t>РАБ.Р9.2.156</t>
  </si>
  <si>
    <t>Ray line 15W/mt-4000K CRI 90 ROW 175mA Susp, L=8077mm - Светильник</t>
  </si>
  <si>
    <t>1519</t>
  </si>
  <si>
    <t>РАБ.Р9.2.157</t>
  </si>
  <si>
    <t>Ray line 15W/mt-4000K CRI 90 ROW 175mA Susp, L=8307mm - Светильник</t>
  </si>
  <si>
    <t>1520</t>
  </si>
  <si>
    <t>РАБ.Р9.2.158</t>
  </si>
  <si>
    <t>Ray line 15W/mt-4000K CRI 90 ROW 175mA Susp, L=8999mm - Светильник</t>
  </si>
  <si>
    <t>1521</t>
  </si>
  <si>
    <t>РАБ.Р9.2.159</t>
  </si>
  <si>
    <t>IEK Светильник ДСП 1318 48Вт 4500К IP65 1500мм</t>
  </si>
  <si>
    <t>1522</t>
  </si>
  <si>
    <t>РАБ.Р9.2.160</t>
  </si>
  <si>
    <t>IEK Светильник ДСП 1318 48Вт 4500К IP65 1500мм Emerg</t>
  </si>
  <si>
    <t>1523</t>
  </si>
  <si>
    <t>РАБ.Р9.2.161</t>
  </si>
  <si>
    <t>Acc. Wire ↓ suspension 1500mm - Тросовый подвес с регулировкой внизу, 1 шт.</t>
  </si>
  <si>
    <t>1524</t>
  </si>
  <si>
    <t>РАБ.Р9.2.162</t>
  </si>
  <si>
    <t>LED strip N2835 11W/m 24V 120led/m 1220Lm/m 4000K CRI90 IP20 5m</t>
  </si>
  <si>
    <t>1525</t>
  </si>
  <si>
    <t>РАБ.Р9.2.163</t>
  </si>
  <si>
    <t>Led driver N24V45W</t>
  </si>
  <si>
    <t>1526</t>
  </si>
  <si>
    <t>РАБ.Р9.2.164</t>
  </si>
  <si>
    <t>Led driver N24V60W</t>
  </si>
  <si>
    <t>1527</t>
  </si>
  <si>
    <t>РАБ.Р9.2.165</t>
  </si>
  <si>
    <t>Led driver N24V80W</t>
  </si>
  <si>
    <t>1528</t>
  </si>
  <si>
    <t>РАБ.Р9.2.166</t>
  </si>
  <si>
    <t>Longa 16 L=2000 mm h=12 ANO - Профиль накладной алюминиевый анодированный, цена за 2 п.м.</t>
  </si>
  <si>
    <t>1529</t>
  </si>
  <si>
    <t>РАБ.Р9.2.167</t>
  </si>
  <si>
    <t>Longa 15/16/22 L=2000 mm PC Clear - Рассеиватель прозрачный</t>
  </si>
  <si>
    <t>1530</t>
  </si>
  <si>
    <t>РАБ.Р9.2.168</t>
  </si>
  <si>
    <t>Шинопровод 3м (черный) (белый)</t>
  </si>
  <si>
    <t>1531,1540,1545,1554,1563,1572</t>
  </si>
  <si>
    <t>РАБ.Р9.2.169</t>
  </si>
  <si>
    <t>Внутренний стык к шинопроводу (черный) (белый)</t>
  </si>
  <si>
    <t>1532,1547,1556,1565</t>
  </si>
  <si>
    <t>РАБ.Р9.2.170</t>
  </si>
  <si>
    <t>Усилитель стыка, (черный) (белый)</t>
  </si>
  <si>
    <t>1533</t>
  </si>
  <si>
    <t>РАБ.Р9.2.171</t>
  </si>
  <si>
    <t>Левый токоподвод к шинопроводу (черный) (белый)</t>
  </si>
  <si>
    <t>1534,1548,1557,1566,1573</t>
  </si>
  <si>
    <t>РАБ.Р9.2.172</t>
  </si>
  <si>
    <t>Скоба крепления к шинопроводу (черный) (белый)</t>
  </si>
  <si>
    <t>1535,1541,1550,1559,1568,1575</t>
  </si>
  <si>
    <t>РАБ.Р9.2.173</t>
  </si>
  <si>
    <t>Tросик 1,5м (серебро)</t>
  </si>
  <si>
    <t>1536,1542,1551,1560,1569,1576</t>
  </si>
  <si>
    <t>РАБ.Р9.2.174</t>
  </si>
  <si>
    <t>Колпачок к шинопроводу (черный)</t>
  </si>
  <si>
    <t>1537,1543,1552,1561,1570,1577</t>
  </si>
  <si>
    <t>РАБ.Р9.2.175</t>
  </si>
  <si>
    <t>Q45 Track 8W-4000K CRI 90 BLK / WHI - Прожектор</t>
  </si>
  <si>
    <t>1538,1544,1553,1562,1571,1578</t>
  </si>
  <si>
    <t>РАБ.Р9.2.176</t>
  </si>
  <si>
    <t>Угол к шинопроводу (черный)</t>
  </si>
  <si>
    <t>1539</t>
  </si>
  <si>
    <t>РАБ.Р9.2.177</t>
  </si>
  <si>
    <t>Шинопровод 1м (черный) (белый)</t>
  </si>
  <si>
    <t>1546,1555</t>
  </si>
  <si>
    <t>РАБ.Р9.2.178</t>
  </si>
  <si>
    <t>Заглушка, (черная, белая)</t>
  </si>
  <si>
    <t>1549,1558,1567,1574</t>
  </si>
  <si>
    <t>РАБ.Р9.2.179</t>
  </si>
  <si>
    <t>Шинопровод 2м (белый)</t>
  </si>
  <si>
    <t>1564</t>
  </si>
  <si>
    <t>РАБ.Р9.2.180</t>
  </si>
  <si>
    <t>Silent acoustic D380x230x(h)500 mm, 1xE27, one side colour Susp (белый внутри, серый снаружи)- Светильник</t>
  </si>
  <si>
    <t>1579</t>
  </si>
  <si>
    <t>РАБ.Р9.2.181</t>
  </si>
  <si>
    <t>Silent acoustic D200-100x(h)300 mm, 1xE27, one side colour Susp Серый- Светильник</t>
  </si>
  <si>
    <t>1580</t>
  </si>
  <si>
    <t>РАБ.Р9.2.182</t>
  </si>
  <si>
    <t>Silent acoustic D800-400x(h)400 mm, 3xE27, one side colour Susp RED - Светильник</t>
  </si>
  <si>
    <t>1581</t>
  </si>
  <si>
    <t>РАБ.Р9.2.183</t>
  </si>
  <si>
    <t>Grata Slim SL D750 MP ECO 50W-4000K CRI 90 Reduced Susp BLK - Светильник</t>
  </si>
  <si>
    <t>1582</t>
  </si>
  <si>
    <t>РАБ.Р9.2.184</t>
  </si>
  <si>
    <t>LED лампа 13W/827 FR DIM E27 1521 lm</t>
  </si>
  <si>
    <t>1583,1584,1585</t>
  </si>
  <si>
    <t>РАБ.Р9.2.185</t>
  </si>
  <si>
    <t>Longa 40 DI 26W-4000K CRI 90 M900 WALL WHI - Светильник</t>
  </si>
  <si>
    <t>1586</t>
  </si>
  <si>
    <t>РАБ.Р9.2.186</t>
  </si>
  <si>
    <t>Байпасная блокировка АВВ</t>
  </si>
  <si>
    <t>1587</t>
  </si>
  <si>
    <t>РАБ.Р9.2.187</t>
  </si>
  <si>
    <t>Кабель ВВГнг-LS 5х16</t>
  </si>
  <si>
    <t>1588</t>
  </si>
  <si>
    <t>РАБ.Р9.2.188</t>
  </si>
  <si>
    <t>Кабель ВВГнг-LS 5х10</t>
  </si>
  <si>
    <t>1589</t>
  </si>
  <si>
    <t>РАБ.Р9.2.189</t>
  </si>
  <si>
    <t>Кабель ВВГнг-LS 5х6</t>
  </si>
  <si>
    <t>1590</t>
  </si>
  <si>
    <t>РАБ.Р9.2.190</t>
  </si>
  <si>
    <t>Кабель ВВГнг-LS 5х4</t>
  </si>
  <si>
    <t>1591</t>
  </si>
  <si>
    <t>РАБ.Р9.2.191</t>
  </si>
  <si>
    <t>Прокладка кабеля / провода</t>
  </si>
  <si>
    <t>1592,1593</t>
  </si>
  <si>
    <t>РАБ.Р9.2.192</t>
  </si>
  <si>
    <t>1594,1595,1596,1612,1613</t>
  </si>
  <si>
    <t>РАБ.Р9.2.193</t>
  </si>
  <si>
    <t>1597,1598,1599,1600,1601,1602,1603,1615,1616,1618,1619,1623,1624</t>
  </si>
  <si>
    <t>РАБ.Р9.2.194</t>
  </si>
  <si>
    <t>1604,1605</t>
  </si>
  <si>
    <t>РАБ.Р9.2.195</t>
  </si>
  <si>
    <t>Кабель ППГнг(А)-HF 5х35</t>
  </si>
  <si>
    <t>1606</t>
  </si>
  <si>
    <t>РАБ.Р9.2.196</t>
  </si>
  <si>
    <t>Кабель ППГнг(А)-HF 5х25</t>
  </si>
  <si>
    <t>1607</t>
  </si>
  <si>
    <t>РАБ.Р9.2.197</t>
  </si>
  <si>
    <t>1608,1609</t>
  </si>
  <si>
    <t>РАБ.Р9.2.198</t>
  </si>
  <si>
    <t>Кабель ППГнг(А)-HF 5х6</t>
  </si>
  <si>
    <t>1610</t>
  </si>
  <si>
    <t>РАБ.Р9.2.199</t>
  </si>
  <si>
    <t>Кабель ППГнг(А)-HF 5х4</t>
  </si>
  <si>
    <t>1611</t>
  </si>
  <si>
    <t>РАБ.Р9.2.200</t>
  </si>
  <si>
    <t>Кабель ППГнг(А)-HF 3х6,0</t>
  </si>
  <si>
    <t>1614</t>
  </si>
  <si>
    <t>РАБ.Р9.2.201</t>
  </si>
  <si>
    <t>1617,1620</t>
  </si>
  <si>
    <t>РАБ.Р9.2.202</t>
  </si>
  <si>
    <t>1621,1622</t>
  </si>
  <si>
    <t>РАБ.Р9.2.203</t>
  </si>
  <si>
    <t>Кабельная проходка ОГНЕЗА-ПМ-К/50 (муфта)</t>
  </si>
  <si>
    <t>1625</t>
  </si>
  <si>
    <t>РАБ.Р9.2.204</t>
  </si>
  <si>
    <t>1626,1633</t>
  </si>
  <si>
    <t>РАБ.Р9.2.205</t>
  </si>
  <si>
    <t>Напольная коробка 18 модулей Legrand арт. 089611</t>
  </si>
  <si>
    <t>ЛЮЧОК</t>
  </si>
  <si>
    <t>1627</t>
  </si>
  <si>
    <t>РАБ.Р9.2.206</t>
  </si>
  <si>
    <t>1628,1629,1630,1631</t>
  </si>
  <si>
    <t>РАБ.Р9.2.207</t>
  </si>
  <si>
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</si>
  <si>
    <t>1632</t>
  </si>
  <si>
    <t>РАБ.Р9.2.208</t>
  </si>
  <si>
    <t>Обработка проходов кабелей через перегородки огнезой с 2 сторон</t>
  </si>
  <si>
    <t>1634</t>
  </si>
  <si>
    <t>РАБ.Р9.3.001</t>
  </si>
  <si>
    <t>ВРЩ(микро)</t>
  </si>
  <si>
    <t>1636</t>
  </si>
  <si>
    <t>РАБ.Р9.3.002</t>
  </si>
  <si>
    <t>ППУ(микро)</t>
  </si>
  <si>
    <t>1637</t>
  </si>
  <si>
    <t>РАБ.Р9.4.001</t>
  </si>
  <si>
    <t>Монтаж Светильника аварийного светодиодного iTECH M2 302 M ST, 2W/1LED, IP65, 115 Lm, 3 часа, постоянного действия, ручное тестирование</t>
  </si>
  <si>
    <t>1639</t>
  </si>
  <si>
    <t>РАБ.Р9.4.002</t>
  </si>
  <si>
    <t>Гофрированная ПВХ труба ∅ 20</t>
  </si>
  <si>
    <t>1640</t>
  </si>
  <si>
    <t>РАБ.Р9.4.003</t>
  </si>
  <si>
    <t>1641</t>
  </si>
  <si>
    <t>РАБ.Р9.4.004</t>
  </si>
  <si>
    <t>Кабель-канал DLP 105х50 мм Legrand, включая заглушки, уголки и разделители.</t>
  </si>
  <si>
    <t>1642</t>
  </si>
  <si>
    <t>РАБ.Р9.4.005</t>
  </si>
  <si>
    <t>Зажим 773-302 безвинтовой 6х (0,75-2,5) кв. мм для меди и алюминия (Wago)</t>
  </si>
  <si>
    <t>1643</t>
  </si>
  <si>
    <t>РАБ.Р9.4.006</t>
  </si>
  <si>
    <t>Провод ПВ1 1х6 (красный/голубой/желтый/зеленый/желто-зеленый)</t>
  </si>
  <si>
    <t>1644</t>
  </si>
  <si>
    <t>РАБ.Р9.4.007</t>
  </si>
  <si>
    <t>Провод ПВ1 1х4 (красный/голубой/желтый/зеленый/желто-зеленый)</t>
  </si>
  <si>
    <t>1645</t>
  </si>
  <si>
    <t>РАБ.Р9.4.008</t>
  </si>
  <si>
    <t>1646,1647,1648,1649,1650</t>
  </si>
  <si>
    <t>РАБ.Р9.4.009</t>
  </si>
  <si>
    <t>Установка выключателя с ключом двухпозиционного</t>
  </si>
  <si>
    <t>1651</t>
  </si>
  <si>
    <t>РАБ.Р9.4.010</t>
  </si>
  <si>
    <t>1652</t>
  </si>
  <si>
    <t>РАБ.Р9.4.011</t>
  </si>
  <si>
    <t>1653</t>
  </si>
  <si>
    <t>РАБ.Р9.4.012</t>
  </si>
  <si>
    <t>1654,1655</t>
  </si>
  <si>
    <t>РАБ.Р9.4.013</t>
  </si>
  <si>
    <t>1656,1657</t>
  </si>
  <si>
    <t>РАБ.Р9.4.014</t>
  </si>
  <si>
    <t>1658,1659,1660</t>
  </si>
  <si>
    <t>РАБ.Р9.5.001</t>
  </si>
  <si>
    <t>Полоса 40х5 горячеоцинкованная NC2405 DKC</t>
  </si>
  <si>
    <t>МЗ</t>
  </si>
  <si>
    <t>1662</t>
  </si>
  <si>
    <t>РАБ.Р9.5.002</t>
  </si>
  <si>
    <t>Пруток 8 мм горячеоцинкованный NC1008 DKC</t>
  </si>
  <si>
    <t>1663</t>
  </si>
  <si>
    <t>РАБ.Р9.5.003</t>
  </si>
  <si>
    <t>Зажим угловой коньковый 100мм ND2202 DKC</t>
  </si>
  <si>
    <t>1664</t>
  </si>
  <si>
    <t>РАБ.Р9.5.004</t>
  </si>
  <si>
    <t>Держатель металлический для плоской кровли 100мм ND2106 DKC</t>
  </si>
  <si>
    <t>1665</t>
  </si>
  <si>
    <t>РАБ.Р9.5.005</t>
  </si>
  <si>
    <t>Держатель фасадный 100мм ND2307 DKC</t>
  </si>
  <si>
    <t>1666</t>
  </si>
  <si>
    <t>РАБ.Р9.5.006</t>
  </si>
  <si>
    <t>Заземлитель вертикальный из уголка 50х50х5мм 3м NE5503 DKC</t>
  </si>
  <si>
    <t>1667</t>
  </si>
  <si>
    <t>РАБ.Р9.5.007</t>
  </si>
  <si>
    <t>Соединитель универсальный NG3103 DKC</t>
  </si>
  <si>
    <t>1668</t>
  </si>
  <si>
    <t>РАБ.Р9.5.008</t>
  </si>
  <si>
    <t>Зажим параллельный D8-10мм NG3108 DKC</t>
  </si>
  <si>
    <t>1669</t>
  </si>
  <si>
    <t>РАБ.Р9.5.009</t>
  </si>
  <si>
    <t>Держатель прутка на водостоке с болтом ND2308 DKC</t>
  </si>
  <si>
    <t>1670</t>
  </si>
  <si>
    <t>РАБ.Р9.5.010</t>
  </si>
  <si>
    <t>Соединитель пруток - полоса, 80х80 мм NG3101 DKC</t>
  </si>
  <si>
    <t>1671</t>
  </si>
  <si>
    <t>РАБ.Р9.5.011</t>
  </si>
  <si>
    <t>Скоба-держатель полосы с болтом ND2312 DKC</t>
  </si>
  <si>
    <t>1672</t>
  </si>
  <si>
    <t>РАБ.Р9.5.012</t>
  </si>
  <si>
    <t>Коробка уравнивания потенциалов 85х85х40 КУП2603-И HEGEL</t>
  </si>
  <si>
    <t>1673</t>
  </si>
  <si>
    <t>РАБ.Р10.1.001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</si>
  <si>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</si>
  <si>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1676</t>
  </si>
  <si>
    <t>РАБ.Р10.1.002</t>
  </si>
  <si>
    <t>Установка подъемной платформы для МГН с наклонным перемещением БК 350 (Брянск, Россия).</t>
  </si>
  <si>
    <t>1677</t>
  </si>
  <si>
    <t>РАБ.Р10.1.003</t>
  </si>
  <si>
    <t>Монтаж элемента адаптации для МГН</t>
  </si>
  <si>
    <t>МГН</t>
  </si>
  <si>
    <t>1678,1679</t>
  </si>
  <si>
    <t>РАБ.Р10.1.004</t>
  </si>
  <si>
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</si>
  <si>
    <t>1680</t>
  </si>
  <si>
    <t>РАБ.Р10.1.005</t>
  </si>
  <si>
    <t>Откидной пандус. Конструкция из двух рельс (аппарелей), которые соединены между собой направляющими (до 2,5 м)</t>
  </si>
  <si>
    <t>1681</t>
  </si>
  <si>
    <t>РАБ.Р10.1.006</t>
  </si>
  <si>
    <t>Мини пандус из листового метала. Выполнен из алюминиевого рифленого листа на металлическом каркасе (900х350х50 мм).</t>
  </si>
  <si>
    <t>1682</t>
  </si>
  <si>
    <t>РАБ.Р10.1.007</t>
  </si>
  <si>
    <t>Мини пандус из листового метала. Выполнен из алюминиевого рифленого листа на металлическом каркасе (900х350х100 мм).</t>
  </si>
  <si>
    <t>1683</t>
  </si>
  <si>
    <t>РАБ.Р10.1.008</t>
  </si>
  <si>
    <t>Мини пандус из листового метала. Выполнен из алюминиевого рифленого листа на металлическом каркасе (900х700х50 мм).</t>
  </si>
  <si>
    <t>1684</t>
  </si>
  <si>
    <t>РАБ.Р10.1.009</t>
  </si>
  <si>
    <t>Мини пандус из листового метала. Выполнен из алюминиевого рифленого листа на металлическом каркасе (900х1000х100 мм).</t>
  </si>
  <si>
    <t>1685</t>
  </si>
  <si>
    <t>РАБ.Р10.1.010</t>
  </si>
  <si>
    <t>Наклейка на дверь круг. Самоклеящаяся, виниловая, желтого цвета, размер 200мм.</t>
  </si>
  <si>
    <t>1686,1687,1688,1689,1690,1691,1692,1693,1694,1695,1696,1697,1698</t>
  </si>
  <si>
    <t>РАБ.Р10.1.011</t>
  </si>
  <si>
    <t>%</t>
  </si>
  <si>
    <t>1701</t>
  </si>
  <si>
    <t>РАБ.Р10.1.012</t>
  </si>
  <si>
    <t>руб.</t>
  </si>
  <si>
    <t>1702</t>
  </si>
  <si>
    <t>РАБ.Р11.1.001</t>
  </si>
  <si>
    <t>Автоматическая пожарная сигнализация (АПС) — монтаж и ПНР</t>
  </si>
  <si>
    <t>компл</t>
  </si>
  <si>
    <t>новый раздел</t>
  </si>
  <si>
    <t>(новая позиция)</t>
  </si>
  <si>
    <t>по проекту / КП вендора</t>
  </si>
  <si>
    <t>РАБ.Р11.1.002</t>
  </si>
  <si>
    <t>Система оповещения и управления эвакуацией (СОУЭ) — монтаж и ПНР</t>
  </si>
  <si>
    <t>РАБ.Р11.2.001</t>
  </si>
  <si>
    <t>Система контроля и управления доступом (СКУД) — монтаж и ПНР</t>
  </si>
  <si>
    <t>РАБ.Р11.2.002</t>
  </si>
  <si>
    <t>Система охранного видеонаблюдения (CCTV) — монтаж и ПНР</t>
  </si>
  <si>
    <t>РАБ.Р11.2.003</t>
  </si>
  <si>
    <t>Охранная и тревожная сигнализация — монтаж и ПНР</t>
  </si>
  <si>
    <t>РАБ.Р11.2.004</t>
  </si>
  <si>
    <t>Охрана кассового узла (ДКБ) — оборудование и ПНР</t>
  </si>
  <si>
    <t>РАБ.Р11.3.001</t>
  </si>
  <si>
    <t>Структурированная кабельная сеть (СКС/ЛВС) — монтаж</t>
  </si>
  <si>
    <t>РАБ.Р11.3.002</t>
  </si>
  <si>
    <t>Закладные и лотки под слаботочные системы</t>
  </si>
  <si>
    <t>если в границах подрядчика fit-out</t>
  </si>
  <si>
    <t>РАБ.Р11.9.001</t>
  </si>
  <si>
    <t>Граница ответственности: слаботочка/безопасность — вендор банка</t>
  </si>
  <si>
    <t>интерфейсы: питание, лотки, закладные — уточнить в ТЗ</t>
  </si>
  <si>
    <t>РАБ.Р12.1.001</t>
  </si>
  <si>
    <t>Временное электроснабжение строительной площадки</t>
  </si>
  <si>
    <t>по расчёту</t>
  </si>
  <si>
    <t>РАБ.Р12.1.002</t>
  </si>
  <si>
    <t>Временное водоснабжение строительной площадки</t>
  </si>
  <si>
    <t>РАБ.Р12.1.003</t>
  </si>
  <si>
    <t>Ограждение строительной зоны</t>
  </si>
  <si>
    <t>РАБ.Р12.1.004</t>
  </si>
  <si>
    <t>Бытовое помещение на период производства работ</t>
  </si>
  <si>
    <t>мес</t>
  </si>
  <si>
    <t>аренда, по сроку</t>
  </si>
  <si>
    <t>РАБ.Р12.1.005</t>
  </si>
  <si>
    <t>Охрана объекта на период производства работ</t>
  </si>
  <si>
    <t>по сроку</t>
  </si>
  <si>
    <t>РАБ.Р12.1.006</t>
  </si>
  <si>
    <t>Мероприятия по охране труда, пожарной безопасности, СИЗ</t>
  </si>
  <si>
    <t>% от СМР</t>
  </si>
  <si>
    <t>РАБ.Р12.2.001</t>
  </si>
  <si>
    <t>Пусконаладочные работы систем вентиляции</t>
  </si>
  <si>
    <t>РАБ.Р12.2.002</t>
  </si>
  <si>
    <t>РАБ.Р12.2.003</t>
  </si>
  <si>
    <t>Пусконаладочные работы систем отопления</t>
  </si>
  <si>
    <t>РАБ.Р12.2.004</t>
  </si>
  <si>
    <t>Пусконаладочные работы систем водоснабжения, канализации и ВПВ</t>
  </si>
  <si>
    <t>РАБ.Р12.2.005</t>
  </si>
  <si>
    <t>Пусконаладочные работы систем АУПТ (спринклерные)</t>
  </si>
  <si>
    <t>РАБ.Р12.3.001</t>
  </si>
  <si>
    <t>Исполнительная документация (комплект)</t>
  </si>
  <si>
    <t>% от СМР / по расчёту</t>
  </si>
  <si>
    <t>РАБ.Р12.3.002</t>
  </si>
  <si>
    <t>Геодезическая разбивка, вынос осей и отметок</t>
  </si>
  <si>
    <t>РАБ.Р12.3.003</t>
  </si>
  <si>
    <t>Обмерные работы помещений</t>
  </si>
  <si>
    <t>РАБ.Р12.4.001</t>
  </si>
  <si>
    <t>Предсдаточная (финишная) уборка помещений</t>
  </si>
  <si>
    <t>по площади</t>
  </si>
  <si>
    <t>РАБ.Р12.4.002</t>
  </si>
  <si>
    <t>Вывоз и утилизация строительного мусора (сверх демонтажа)</t>
  </si>
  <si>
    <t>РАБ.Р12.5.001</t>
  </si>
  <si>
    <t>Резерв на непредвиденные работы и затраты</t>
  </si>
  <si>
    <t>% от СМР — задаётся в «Параметрах» сметы</t>
  </si>
  <si>
    <t>Артикул</t>
  </si>
  <si>
    <t>Производитель</t>
  </si>
  <si>
    <t>Поставщик</t>
  </si>
  <si>
    <t>Цена_подрядчик</t>
  </si>
  <si>
    <t>Цена_Банк</t>
  </si>
  <si>
    <t>Валюта</t>
  </si>
  <si>
    <t>Коэф_к_цене</t>
  </si>
  <si>
    <t>Статус</t>
  </si>
  <si>
    <t>Источник_лист</t>
  </si>
  <si>
    <t>МАТ.VRF.ВНУТ.001</t>
  </si>
  <si>
    <t>BMS interface HCM-04</t>
  </si>
  <si>
    <t>HCM-04</t>
  </si>
  <si>
    <t>Haier</t>
  </si>
  <si>
    <t>Хайер</t>
  </si>
  <si>
    <t>USD</t>
  </si>
  <si>
    <t>активный</t>
  </si>
  <si>
    <t>Кондиционеры Haier VRF</t>
  </si>
  <si>
    <t>МАТ.VRF.ВНУТ.002</t>
  </si>
  <si>
    <t>Inverter Protocol Adapter IGU02</t>
  </si>
  <si>
    <t>IGU02</t>
  </si>
  <si>
    <t>МАТ.VRF.ВНУТ.003</t>
  </si>
  <si>
    <t>MDVI3-100C4VR12D</t>
  </si>
  <si>
    <t>MDV</t>
  </si>
  <si>
    <t>Дженерал-Трейд (АЯК)</t>
  </si>
  <si>
    <t>Кондиционеры MDV VRF</t>
  </si>
  <si>
    <t>10.0 кВт охл.</t>
  </si>
  <si>
    <t>МАТ.VRF.ВНУТ.004</t>
  </si>
  <si>
    <t>MDVI3-100CFVR12D</t>
  </si>
  <si>
    <t>МАТ.VRF.ВНУТ.005</t>
  </si>
  <si>
    <t>MDVI3-112C4VR12D</t>
  </si>
  <si>
    <t>11.2 кВт охл.</t>
  </si>
  <si>
    <t>МАТ.VRF.ВНУТ.006</t>
  </si>
  <si>
    <t>MDVI3-112CFVR12D</t>
  </si>
  <si>
    <t>МАТ.VRF.ВНУТ.007</t>
  </si>
  <si>
    <t>MDVI3-112D1VR12D</t>
  </si>
  <si>
    <t>МАТ.VRF.ВНУТ.008</t>
  </si>
  <si>
    <t>MDVI3-112D2VR12D</t>
  </si>
  <si>
    <t>МАТ.VRF.ВНУТ.009</t>
  </si>
  <si>
    <t>MDVI3-112D3VR12D</t>
  </si>
  <si>
    <t>МАТ.VRF.ВНУТ.010</t>
  </si>
  <si>
    <t>MDVI3-125CFVR12D</t>
  </si>
  <si>
    <t>12.5 кВт охл.</t>
  </si>
  <si>
    <t>МАТ.VRF.ВНУТ.011</t>
  </si>
  <si>
    <t>MDVI3-125D2VR12D</t>
  </si>
  <si>
    <t>МАТ.VRF.ВНУТ.012</t>
  </si>
  <si>
    <t>MDVI3-125D3VR12D</t>
  </si>
  <si>
    <t>МАТ.VRF.ВНУТ.013</t>
  </si>
  <si>
    <t>MDVI3-140C4VR12D</t>
  </si>
  <si>
    <t>14.0 кВт охл.</t>
  </si>
  <si>
    <t>МАТ.VRF.ВНУТ.014</t>
  </si>
  <si>
    <t>MDVI3-140CFVR12D</t>
  </si>
  <si>
    <t>МАТ.VRF.ВНУТ.015</t>
  </si>
  <si>
    <t>MDVI3-140D2VR12D</t>
  </si>
  <si>
    <t>МАТ.VRF.ВНУТ.016</t>
  </si>
  <si>
    <t>MDVI3-140D3VR12D</t>
  </si>
  <si>
    <t>МАТ.VRF.ВНУТ.017</t>
  </si>
  <si>
    <t>MDVI3-140OAVR12D(A)</t>
  </si>
  <si>
    <t>МАТ.VRF.ВНУТ.018</t>
  </si>
  <si>
    <t>MDVI3-15C4CVR12D</t>
  </si>
  <si>
    <t>1.5 кВт охл.</t>
  </si>
  <si>
    <t>МАТ.VRF.ВНУТ.019</t>
  </si>
  <si>
    <t>MDVI3-15D1VR12D</t>
  </si>
  <si>
    <t>МАТ.VRF.ВНУТ.020</t>
  </si>
  <si>
    <t>MDVI3-15D2VR12D</t>
  </si>
  <si>
    <t>МАТ.VRF.ВНУТ.021</t>
  </si>
  <si>
    <t>MDVI3-15WMVR12D</t>
  </si>
  <si>
    <t>МАТ.VRF.ВНУТ.022</t>
  </si>
  <si>
    <t>MDVI3-15WMVR12D-B</t>
  </si>
  <si>
    <t>МАТ.VRF.ВНУТ.023</t>
  </si>
  <si>
    <t>MDVI3-160C4VR12D</t>
  </si>
  <si>
    <t>16.0 кВт охл.</t>
  </si>
  <si>
    <t>МАТ.VRF.ВНУТ.024</t>
  </si>
  <si>
    <t>MDVI3-160D2VR12D</t>
  </si>
  <si>
    <t>МАТ.VRF.ВНУТ.025</t>
  </si>
  <si>
    <t>MDVI3-160D3VR12D</t>
  </si>
  <si>
    <t>МАТ.VRF.ВНУТ.026</t>
  </si>
  <si>
    <t>MDVI3-160OAVR12D(A)</t>
  </si>
  <si>
    <t>МАТ.VRF.ВНУТ.027</t>
  </si>
  <si>
    <t>MDVI3-180C4VR12D</t>
  </si>
  <si>
    <t>18.0 кВт охл.</t>
  </si>
  <si>
    <t>МАТ.VRF.ВНУТ.028</t>
  </si>
  <si>
    <t>MDVI3-18C1VR12D</t>
  </si>
  <si>
    <t>1.8 кВт охл.</t>
  </si>
  <si>
    <t>МАТ.VRF.ВНУТ.029</t>
  </si>
  <si>
    <t>MDVI3-200D3VR12D</t>
  </si>
  <si>
    <t>20.0 кВт охл.</t>
  </si>
  <si>
    <t>МАТ.VRF.ВНУТ.030</t>
  </si>
  <si>
    <t>MDVI3-200OAVR12D</t>
  </si>
  <si>
    <t>МАТ.VRF.ВНУТ.031</t>
  </si>
  <si>
    <t>MDVI3-224D3VR12D</t>
  </si>
  <si>
    <t>22.4 кВт охл.</t>
  </si>
  <si>
    <t>МАТ.VRF.ВНУТ.032</t>
  </si>
  <si>
    <t>MDVI3-224OAVR12D</t>
  </si>
  <si>
    <t>МАТ.VRF.ВНУТ.033</t>
  </si>
  <si>
    <t>MDVI3-224OAVR12D(A)</t>
  </si>
  <si>
    <t>МАТ.VRF.ВНУТ.034</t>
  </si>
  <si>
    <t>MDVI3-22C1VR12D</t>
  </si>
  <si>
    <t>2.2 кВт охл.</t>
  </si>
  <si>
    <t>МАТ.VRF.ВНУТ.035</t>
  </si>
  <si>
    <t>MDVI3-22C2VR12D</t>
  </si>
  <si>
    <t>МАТ.VRF.ВНУТ.036</t>
  </si>
  <si>
    <t>MDVI3-22C4CVR12D</t>
  </si>
  <si>
    <t>МАТ.VRF.ВНУТ.037</t>
  </si>
  <si>
    <t>MDVI3-22D1VR12D</t>
  </si>
  <si>
    <t>МАТ.VRF.ВНУТ.038</t>
  </si>
  <si>
    <t>MDVI3-22D2VR12D</t>
  </si>
  <si>
    <t>МАТ.VRF.ВНУТ.039</t>
  </si>
  <si>
    <t>MDVI3-22FS3VR12D</t>
  </si>
  <si>
    <t>МАТ.VRF.ВНУТ.040</t>
  </si>
  <si>
    <t>MDVI3-22FS4VR12D</t>
  </si>
  <si>
    <t>МАТ.VRF.ВНУТ.041</t>
  </si>
  <si>
    <t>MDVI3-22FS5VR12D</t>
  </si>
  <si>
    <t>МАТ.VRF.ВНУТ.042</t>
  </si>
  <si>
    <t>MDVI3-22WMVR12D</t>
  </si>
  <si>
    <t>МАТ.VRF.ВНУТ.043</t>
  </si>
  <si>
    <t>MDVI3-22WMVR12D-B</t>
  </si>
  <si>
    <t>МАТ.VRF.ВНУТ.044</t>
  </si>
  <si>
    <t>MDVI3-252D3VR12D</t>
  </si>
  <si>
    <t>25.2 кВт охл.</t>
  </si>
  <si>
    <t>МАТ.VRF.ВНУТ.045</t>
  </si>
  <si>
    <t>MDVI3-252OAVR12D</t>
  </si>
  <si>
    <t>МАТ.VRF.ВНУТ.046</t>
  </si>
  <si>
    <t>MDVI3-280D3VR12D</t>
  </si>
  <si>
    <t>28.0 кВт охл.</t>
  </si>
  <si>
    <t>МАТ.VRF.ВНУТ.047</t>
  </si>
  <si>
    <t>MDVI3-280OAVR12D</t>
  </si>
  <si>
    <t>МАТ.VRF.ВНУТ.048</t>
  </si>
  <si>
    <t>MDVI3-280OAVR12D(A)</t>
  </si>
  <si>
    <t>МАТ.VRF.ВНУТ.049</t>
  </si>
  <si>
    <t>MDVI3-28C1VR12D</t>
  </si>
  <si>
    <t>2.8 кВт охл.</t>
  </si>
  <si>
    <t>МАТ.VRF.ВНУТ.050</t>
  </si>
  <si>
    <t>MDVI3-28C2VR12D</t>
  </si>
  <si>
    <t>МАТ.VRF.ВНУТ.051</t>
  </si>
  <si>
    <t>MDVI3-28C4CVR12D</t>
  </si>
  <si>
    <t>МАТ.VRF.ВНУТ.052</t>
  </si>
  <si>
    <t>MDVI3-28C4VR12D</t>
  </si>
  <si>
    <t>МАТ.VRF.ВНУТ.053</t>
  </si>
  <si>
    <t>MDVI3-28D1VR12D</t>
  </si>
  <si>
    <t>МАТ.VRF.ВНУТ.054</t>
  </si>
  <si>
    <t>MDVI3-28D2VR12D</t>
  </si>
  <si>
    <t>МАТ.VRF.ВНУТ.055</t>
  </si>
  <si>
    <t>MDVI3-28FS3VR12D</t>
  </si>
  <si>
    <t>МАТ.VRF.ВНУТ.056</t>
  </si>
  <si>
    <t>MDVI3-28FS4VR12D</t>
  </si>
  <si>
    <t>МАТ.VRF.ВНУТ.057</t>
  </si>
  <si>
    <t>MDVI3-28FS5VR12D</t>
  </si>
  <si>
    <t>МАТ.VRF.ВНУТ.058</t>
  </si>
  <si>
    <t>MDVI3-28WMVR12D</t>
  </si>
  <si>
    <t>МАТ.VRF.ВНУТ.059</t>
  </si>
  <si>
    <t>MDVI3-28WMVR12D-B</t>
  </si>
  <si>
    <t>МАТ.VRF.ВНУТ.060</t>
  </si>
  <si>
    <t>MDVI3-335D3VR12D</t>
  </si>
  <si>
    <t>33.5 кВт охл.</t>
  </si>
  <si>
    <t>МАТ.VRF.ВНУТ.061</t>
  </si>
  <si>
    <t>MDVI3-335OAVR12D</t>
  </si>
  <si>
    <t>МАТ.VRF.ВНУТ.062</t>
  </si>
  <si>
    <t>MDVI3-36C1VR12D</t>
  </si>
  <si>
    <t>3.6 кВт охл.</t>
  </si>
  <si>
    <t>МАТ.VRF.ВНУТ.063</t>
  </si>
  <si>
    <t>MDVI3-36C2VR12D</t>
  </si>
  <si>
    <t>МАТ.VRF.ВНУТ.064</t>
  </si>
  <si>
    <t>MDVI3-36C4CVR12D</t>
  </si>
  <si>
    <t>МАТ.VRF.ВНУТ.065</t>
  </si>
  <si>
    <t>MDVI3-36C4VR12D</t>
  </si>
  <si>
    <t>МАТ.VRF.ВНУТ.066</t>
  </si>
  <si>
    <t>MDVI3-36CFVR12D</t>
  </si>
  <si>
    <t>МАТ.VRF.ВНУТ.067</t>
  </si>
  <si>
    <t>MDVI3-36D1VR12D</t>
  </si>
  <si>
    <t>МАТ.VRF.ВНУТ.068</t>
  </si>
  <si>
    <t>MDVI3-36D2VR12D</t>
  </si>
  <si>
    <t>МАТ.VRF.ВНУТ.069</t>
  </si>
  <si>
    <t>MDVI3-36FS3VR12D</t>
  </si>
  <si>
    <t>МАТ.VRF.ВНУТ.070</t>
  </si>
  <si>
    <t>MDVI3-36FS4VR12D</t>
  </si>
  <si>
    <t>МАТ.VRF.ВНУТ.071</t>
  </si>
  <si>
    <t>MDVI3-36FS5VR12D</t>
  </si>
  <si>
    <t>МАТ.VRF.ВНУТ.072</t>
  </si>
  <si>
    <t>MDVI3-36WMVR12D</t>
  </si>
  <si>
    <t>МАТ.VRF.ВНУТ.073</t>
  </si>
  <si>
    <t>MDVI3-36WMVR12D-B</t>
  </si>
  <si>
    <t>МАТ.VRF.ВНУТ.074</t>
  </si>
  <si>
    <t>MDVI3-400D3VR12D</t>
  </si>
  <si>
    <t>40.0 кВт охл.</t>
  </si>
  <si>
    <t>МАТ.VRF.ВНУТ.075</t>
  </si>
  <si>
    <t>MDVI3-400OAVR12D</t>
  </si>
  <si>
    <t>МАТ.VRF.ВНУТ.076</t>
  </si>
  <si>
    <t>MDVI3-450D3VR12D</t>
  </si>
  <si>
    <t>45.0 кВт охл.</t>
  </si>
  <si>
    <t>МАТ.VRF.ВНУТ.077</t>
  </si>
  <si>
    <t>MDVI3-450OAVR12D</t>
  </si>
  <si>
    <t>МАТ.VRF.ВНУТ.078</t>
  </si>
  <si>
    <t>MDVI3-45C1VR12D</t>
  </si>
  <si>
    <t>4.5 кВт охл.</t>
  </si>
  <si>
    <t>МАТ.VRF.ВНУТ.079</t>
  </si>
  <si>
    <t>MDVI3-45C2VR12D</t>
  </si>
  <si>
    <t>МАТ.VRF.ВНУТ.080</t>
  </si>
  <si>
    <t>MDVI3-45C4CVR12D</t>
  </si>
  <si>
    <t>МАТ.VRF.ВНУТ.081</t>
  </si>
  <si>
    <t>MDVI3-45C4VR12D</t>
  </si>
  <si>
    <t>МАТ.VRF.ВНУТ.082</t>
  </si>
  <si>
    <t>MDVI3-45CFVR12D</t>
  </si>
  <si>
    <t>МАТ.VRF.ВНУТ.083</t>
  </si>
  <si>
    <t>MDVI3-45D1VR12D</t>
  </si>
  <si>
    <t>МАТ.VRF.ВНУТ.084</t>
  </si>
  <si>
    <t>MDVI3-45D2VR12D</t>
  </si>
  <si>
    <t>МАТ.VRF.ВНУТ.085</t>
  </si>
  <si>
    <t>MDVI3-45FS3VR12D</t>
  </si>
  <si>
    <t>МАТ.VRF.ВНУТ.086</t>
  </si>
  <si>
    <t>MDVI3-45FS4VR12D</t>
  </si>
  <si>
    <t>МАТ.VRF.ВНУТ.087</t>
  </si>
  <si>
    <t>MDVI3-45FS5VR12D</t>
  </si>
  <si>
    <t>МАТ.VRF.ВНУТ.088</t>
  </si>
  <si>
    <t>MDVI3-45WMVR12D</t>
  </si>
  <si>
    <t>МАТ.VRF.ВНУТ.089</t>
  </si>
  <si>
    <t>MDVI3-45WMVR12D-B</t>
  </si>
  <si>
    <t>МАТ.VRF.ВНУТ.090</t>
  </si>
  <si>
    <t>MDVI3-560D3VR12D</t>
  </si>
  <si>
    <t>56.0 кВт охл.</t>
  </si>
  <si>
    <t>МАТ.VRF.ВНУТ.091</t>
  </si>
  <si>
    <t>MDVI3-560OAVR12D</t>
  </si>
  <si>
    <t>МАТ.VRF.ВНУТ.092</t>
  </si>
  <si>
    <t>MDVI3-56C1VR12D</t>
  </si>
  <si>
    <t>5.6 кВт охл.</t>
  </si>
  <si>
    <t>МАТ.VRF.ВНУТ.093</t>
  </si>
  <si>
    <t>MDVI3-56C2VR12D</t>
  </si>
  <si>
    <t>МАТ.VRF.ВНУТ.094</t>
  </si>
  <si>
    <t>MDVI3-56C4CVR12D</t>
  </si>
  <si>
    <t>МАТ.VRF.ВНУТ.095</t>
  </si>
  <si>
    <t>MDVI3-56C4VR12D</t>
  </si>
  <si>
    <t>МАТ.VRF.ВНУТ.096</t>
  </si>
  <si>
    <t>MDVI3-56CFVR12D</t>
  </si>
  <si>
    <t>МАТ.VRF.ВНУТ.097</t>
  </si>
  <si>
    <t>MDVI3-56D1VR12D</t>
  </si>
  <si>
    <t>МАТ.VRF.ВНУТ.098</t>
  </si>
  <si>
    <t>MDVI3-56D2VR12D</t>
  </si>
  <si>
    <t>МАТ.VRF.ВНУТ.099</t>
  </si>
  <si>
    <t>MDVI3-56D3VR12D</t>
  </si>
  <si>
    <t>МАТ.VRF.ВНУТ.100</t>
  </si>
  <si>
    <t>MDVI3-56FS3VR12D</t>
  </si>
  <si>
    <t>МАТ.VRF.ВНУТ.101</t>
  </si>
  <si>
    <t>MDVI3-56FS4VR12D</t>
  </si>
  <si>
    <t>МАТ.VRF.ВНУТ.102</t>
  </si>
  <si>
    <t>MDVI3-56FS5VR12D</t>
  </si>
  <si>
    <t>МАТ.VRF.ВНУТ.103</t>
  </si>
  <si>
    <t>MDVI3-56WMVR12D</t>
  </si>
  <si>
    <t>МАТ.VRF.ВНУТ.104</t>
  </si>
  <si>
    <t>MDVI3-56WMVR12D-B</t>
  </si>
  <si>
    <t>МАТ.VRF.ВНУТ.105</t>
  </si>
  <si>
    <t>MDVI3-63C4CVR12D</t>
  </si>
  <si>
    <t>6.3 кВт охл.</t>
  </si>
  <si>
    <t>МАТ.VRF.ВНУТ.106</t>
  </si>
  <si>
    <t>MDVI3-71C1VR12D</t>
  </si>
  <si>
    <t>7.1 кВт охл.</t>
  </si>
  <si>
    <t>МАТ.VRF.ВНУТ.107</t>
  </si>
  <si>
    <t>MDVI3-71C2VR12D</t>
  </si>
  <si>
    <t>МАТ.VRF.ВНУТ.108</t>
  </si>
  <si>
    <t>MDVI3-71C4VR12D</t>
  </si>
  <si>
    <t>МАТ.VRF.ВНУТ.109</t>
  </si>
  <si>
    <t>MDVI3-71CFVR12D</t>
  </si>
  <si>
    <t>МАТ.VRF.ВНУТ.110</t>
  </si>
  <si>
    <t>MDVI3-71D1VR12D</t>
  </si>
  <si>
    <t>МАТ.VRF.ВНУТ.111</t>
  </si>
  <si>
    <t>MDVI3-71D2VR12D</t>
  </si>
  <si>
    <t>МАТ.VRF.ВНУТ.112</t>
  </si>
  <si>
    <t>MDVI3-71D3VR12D</t>
  </si>
  <si>
    <t>МАТ.VRF.ВНУТ.113</t>
  </si>
  <si>
    <t>MDVI3-71FS3VR12D</t>
  </si>
  <si>
    <t>МАТ.VRF.ВНУТ.114</t>
  </si>
  <si>
    <t>MDVI3-71FS4VR12D</t>
  </si>
  <si>
    <t>МАТ.VRF.ВНУТ.115</t>
  </si>
  <si>
    <t>MDVI3-71FS5VR12D</t>
  </si>
  <si>
    <t>МАТ.VRF.ВНУТ.116</t>
  </si>
  <si>
    <t>MDVI3-71WMVR12D</t>
  </si>
  <si>
    <t>МАТ.VRF.ВНУТ.117</t>
  </si>
  <si>
    <t>MDVI3-71WMVR12D-B</t>
  </si>
  <si>
    <t>МАТ.VRF.ВНУТ.118</t>
  </si>
  <si>
    <t>MDVI3-80C4VR12D</t>
  </si>
  <si>
    <t>8.0 кВт охл.</t>
  </si>
  <si>
    <t>МАТ.VRF.ВНУТ.119</t>
  </si>
  <si>
    <t>MDVI3-80CFVR12D</t>
  </si>
  <si>
    <t>МАТ.VRF.ВНУТ.120</t>
  </si>
  <si>
    <t>MDVI3-80D1VR12D</t>
  </si>
  <si>
    <t>МАТ.VRF.ВНУТ.121</t>
  </si>
  <si>
    <t>MDVI3-80D2VR12D</t>
  </si>
  <si>
    <t>МАТ.VRF.ВНУТ.122</t>
  </si>
  <si>
    <t>MDVI3-80D3VR12D</t>
  </si>
  <si>
    <t>МАТ.VRF.ВНУТ.123</t>
  </si>
  <si>
    <t>MDVI3-80FS3VR12D</t>
  </si>
  <si>
    <t>МАТ.VRF.ВНУТ.124</t>
  </si>
  <si>
    <t>MDVI3-80FS4VR12D</t>
  </si>
  <si>
    <t>МАТ.VRF.ВНУТ.125</t>
  </si>
  <si>
    <t>MDVI3-80FS5VR12D</t>
  </si>
  <si>
    <t>МАТ.VRF.ВНУТ.126</t>
  </si>
  <si>
    <t>MDVI3-80WMVR12D</t>
  </si>
  <si>
    <t>МАТ.VRF.ВНУТ.127</t>
  </si>
  <si>
    <t>MDVI3-80WMVR12D-B</t>
  </si>
  <si>
    <t>МАТ.VRF.ВНУТ.128</t>
  </si>
  <si>
    <t>MDVI3-90C4VR12D</t>
  </si>
  <si>
    <t>9.0 кВт охл.</t>
  </si>
  <si>
    <t>МАТ.VRF.ВНУТ.129</t>
  </si>
  <si>
    <t>MDVI3-90CFVR12D</t>
  </si>
  <si>
    <t>МАТ.VRF.ВНУТ.130</t>
  </si>
  <si>
    <t>MDVI3-90D1VR12D</t>
  </si>
  <si>
    <t>МАТ.VRF.ВНУТ.131</t>
  </si>
  <si>
    <t>MDVI3-90D2VR12D</t>
  </si>
  <si>
    <t>МАТ.VRF.ВНУТ.132</t>
  </si>
  <si>
    <t>MDVI3-90D3VR12D</t>
  </si>
  <si>
    <t>МАТ.VRF.ВНУТ.133</t>
  </si>
  <si>
    <t>MDVI3-90OAVR12D(A)</t>
  </si>
  <si>
    <t>МАТ.VRF.ВНУТ.134</t>
  </si>
  <si>
    <t>WI-FI модуль для управления центральным пультом HC-SA164DBT HI-WA164DBI</t>
  </si>
  <si>
    <t>HI-WA164DBI</t>
  </si>
  <si>
    <t>МАТ.VRF.ВНУТ.135</t>
  </si>
  <si>
    <t>Жалюзи к канальным блокам серии AD…MSERA P1B-1210IA</t>
  </si>
  <si>
    <t>P1B-1210IA</t>
  </si>
  <si>
    <t>МАТ.VRF.ВНУТ.136</t>
  </si>
  <si>
    <t>Жалюзи к канальным блокам серии AD…MSERA P1B-1210IA(D) с дисплеем</t>
  </si>
  <si>
    <t>P1B-1210IA(D)                 с дисплеем</t>
  </si>
  <si>
    <t>МАТ.VRF.ВНУТ.137</t>
  </si>
  <si>
    <t>Жалюзи к канальным блокам серии AD…MSERA P1B-890IA</t>
  </si>
  <si>
    <t>P1B-890IA</t>
  </si>
  <si>
    <t>МАТ.VRF.ВНУТ.138</t>
  </si>
  <si>
    <t>Жалюзи к канальным блокам серии AD…MSERA P1B-890IA(D) с дисплеем</t>
  </si>
  <si>
    <t>P1B-890IA(D)           с дисплеем</t>
  </si>
  <si>
    <t>МАТ.VRF.ВНУТ.139</t>
  </si>
  <si>
    <t>ИК-пульт YR-HQS01</t>
  </si>
  <si>
    <t>YR-HQS01</t>
  </si>
  <si>
    <t>МАТ.VRF.ВНУТ.140</t>
  </si>
  <si>
    <t>ИК-пульт YR-HRS01</t>
  </si>
  <si>
    <t>YR-HRS01</t>
  </si>
  <si>
    <t>МАТ.VRF.ВНУТ.141</t>
  </si>
  <si>
    <t>Канальный 12K AD122MJERA</t>
  </si>
  <si>
    <t>AD122MJERA</t>
  </si>
  <si>
    <t>МАТ.VRF.ВНУТ.142</t>
  </si>
  <si>
    <t>Канальный 12K AD122MJERAD</t>
  </si>
  <si>
    <t>AD122MJERAD</t>
  </si>
  <si>
    <t>МАТ.VRF.ВНУТ.143</t>
  </si>
  <si>
    <t>Канальный 12K AD122MSERA</t>
  </si>
  <si>
    <t>AD122MSERA</t>
  </si>
  <si>
    <t>МАТ.VRF.ВНУТ.144</t>
  </si>
  <si>
    <t>Канальный 12K AD122MSERA (D)</t>
  </si>
  <si>
    <t>AD122MSERA (D)</t>
  </si>
  <si>
    <t>МАТ.VRF.ВНУТ.145</t>
  </si>
  <si>
    <t>Канальный 16K AD162MJERA</t>
  </si>
  <si>
    <t>AD162MJERA</t>
  </si>
  <si>
    <t>МАТ.VRF.ВНУТ.146</t>
  </si>
  <si>
    <t>Канальный 16K AD162MJERAD</t>
  </si>
  <si>
    <t>AD162MJERAD</t>
  </si>
  <si>
    <t>МАТ.VRF.ВНУТ.147</t>
  </si>
  <si>
    <t>Канальный 16K AD162MSERA</t>
  </si>
  <si>
    <t>AD162MSERA</t>
  </si>
  <si>
    <t>МАТ.VRF.ВНУТ.148</t>
  </si>
  <si>
    <t>Канальный 16K AD162MSERA (D)</t>
  </si>
  <si>
    <t>AD162MSERA (D)</t>
  </si>
  <si>
    <t>МАТ.VRF.ВНУТ.149</t>
  </si>
  <si>
    <t>Канальный 18K AD182MJERA</t>
  </si>
  <si>
    <t>AD182MJERA</t>
  </si>
  <si>
    <t>МАТ.VRF.ВНУТ.150</t>
  </si>
  <si>
    <t>Канальный 18K AD182MJERAD</t>
  </si>
  <si>
    <t>AD182MJERAD</t>
  </si>
  <si>
    <t>МАТ.VRF.ВНУТ.151</t>
  </si>
  <si>
    <t>Канальный 18K AD182MSERA</t>
  </si>
  <si>
    <t>AD182MSERA</t>
  </si>
  <si>
    <t>МАТ.VRF.ВНУТ.152</t>
  </si>
  <si>
    <t>Канальный 18K AD182MSERA (D)</t>
  </si>
  <si>
    <t>AD182MSERA (D)</t>
  </si>
  <si>
    <t>МАТ.VRF.ВНУТ.153</t>
  </si>
  <si>
    <t>Канальный 24K AD242MJERA</t>
  </si>
  <si>
    <t>AD242MJERA</t>
  </si>
  <si>
    <t>МАТ.VRF.ВНУТ.154</t>
  </si>
  <si>
    <t>Канальный 24K AD242MJERAD</t>
  </si>
  <si>
    <t>AD242MJERAD</t>
  </si>
  <si>
    <t>МАТ.VRF.ВНУТ.155</t>
  </si>
  <si>
    <t>Канальный 24K AD242MSERA</t>
  </si>
  <si>
    <t>AD242MSERA</t>
  </si>
  <si>
    <t>МАТ.VRF.ВНУТ.156</t>
  </si>
  <si>
    <t>Канальный 24K AD242MSERA (D)</t>
  </si>
  <si>
    <t>AD242MSERA (D)</t>
  </si>
  <si>
    <t>МАТ.VRF.ВНУТ.157</t>
  </si>
  <si>
    <t>Канальный 28K AD282MJERA</t>
  </si>
  <si>
    <t>AD282MJERA</t>
  </si>
  <si>
    <t>МАТ.VRF.ВНУТ.158</t>
  </si>
  <si>
    <t>Канальный 30K AD282MJERAD</t>
  </si>
  <si>
    <t>AD282MJERAD</t>
  </si>
  <si>
    <t>МАТ.VRF.ВНУТ.159</t>
  </si>
  <si>
    <t>Канальный 30K AD302MJERA</t>
  </si>
  <si>
    <t>AD302MJERA</t>
  </si>
  <si>
    <t>МАТ.VRF.ВНУТ.160</t>
  </si>
  <si>
    <t>Канальный 36K AD302MJERAD</t>
  </si>
  <si>
    <t>AD302MJERAD</t>
  </si>
  <si>
    <t>МАТ.VRF.ВНУТ.161</t>
  </si>
  <si>
    <t>Канальный 38K AD382MJERA</t>
  </si>
  <si>
    <t>AD382MJERA</t>
  </si>
  <si>
    <t>МАТ.VRF.ВНУТ.162</t>
  </si>
  <si>
    <t>Канальный 42K AD382MJERAD</t>
  </si>
  <si>
    <t>AD382MJERAD</t>
  </si>
  <si>
    <t>МАТ.VRF.ВНУТ.163</t>
  </si>
  <si>
    <t>Канальный 48K AD482MJERA</t>
  </si>
  <si>
    <t>AD482MJERA</t>
  </si>
  <si>
    <t>МАТ.VRF.ВНУТ.164</t>
  </si>
  <si>
    <t>Канальный 48K AD482MJERAD</t>
  </si>
  <si>
    <t>AD482MJERAD</t>
  </si>
  <si>
    <t>МАТ.VRF.ВНУТ.165</t>
  </si>
  <si>
    <t>Канальный 48K AD482MJERAF</t>
  </si>
  <si>
    <t>AD482MJERAF</t>
  </si>
  <si>
    <t>МАТ.VRF.ВНУТ.166</t>
  </si>
  <si>
    <t>Канальный 54K AD542MJERA</t>
  </si>
  <si>
    <t>AD542MJERA</t>
  </si>
  <si>
    <t>МАТ.VRF.ВНУТ.167</t>
  </si>
  <si>
    <t>Канальный 54K AD542MJERAD</t>
  </si>
  <si>
    <t>AD542MJERAD</t>
  </si>
  <si>
    <t>МАТ.VRF.ВНУТ.168</t>
  </si>
  <si>
    <t>Канальный 5K AD052MJERA</t>
  </si>
  <si>
    <t>AD052MJERA</t>
  </si>
  <si>
    <t>МАТ.VRF.ВНУТ.169</t>
  </si>
  <si>
    <t>Канальный 5K AD052MJERAD</t>
  </si>
  <si>
    <t>AD052MJERAD</t>
  </si>
  <si>
    <t>МАТ.VRF.ВНУТ.170</t>
  </si>
  <si>
    <t>Канальный 5K AD052MSERA</t>
  </si>
  <si>
    <t>AD052MSERA</t>
  </si>
  <si>
    <t>МАТ.VRF.ВНУТ.171</t>
  </si>
  <si>
    <t>Канальный 5K AD052MSERA (D)</t>
  </si>
  <si>
    <t>AD052MSERA (D)</t>
  </si>
  <si>
    <t>МАТ.VRF.ВНУТ.172</t>
  </si>
  <si>
    <t>Канальный 72K AD722MHERA</t>
  </si>
  <si>
    <t>AD722MHERA</t>
  </si>
  <si>
    <t>МАТ.VRF.ВНУТ.173</t>
  </si>
  <si>
    <t>Канальный 72K AD722MTERAF</t>
  </si>
  <si>
    <t>AD722MTERAF</t>
  </si>
  <si>
    <t>МАТ.VRF.ВНУТ.174</t>
  </si>
  <si>
    <t>Канальный 7K AD072MJERA</t>
  </si>
  <si>
    <t>AD072MJERA</t>
  </si>
  <si>
    <t>МАТ.VRF.ВНУТ.175</t>
  </si>
  <si>
    <t>Канальный 7K AD072MJERAD</t>
  </si>
  <si>
    <t>AD072MJERAD</t>
  </si>
  <si>
    <t>МАТ.VRF.ВНУТ.176</t>
  </si>
  <si>
    <t>Канальный 7K AD072MSERA</t>
  </si>
  <si>
    <t>AD072MSERA</t>
  </si>
  <si>
    <t>МАТ.VRF.ВНУТ.177</t>
  </si>
  <si>
    <t>Канальный 7K AD072MSERA (D)</t>
  </si>
  <si>
    <t>AD072MSERA (D)</t>
  </si>
  <si>
    <t>МАТ.VRF.ВНУТ.178</t>
  </si>
  <si>
    <t>Канальный 96K AD962MHERA</t>
  </si>
  <si>
    <t>AD962MHERA</t>
  </si>
  <si>
    <t>МАТ.VRF.ВНУТ.179</t>
  </si>
  <si>
    <t>Канальный 96K AD962MTERAF</t>
  </si>
  <si>
    <t>AD962MTERAF</t>
  </si>
  <si>
    <t>МАТ.VRF.ВНУТ.180</t>
  </si>
  <si>
    <t>Канальный 9K AD092MJERA</t>
  </si>
  <si>
    <t>AD092MJERA</t>
  </si>
  <si>
    <t>МАТ.VRF.ВНУТ.181</t>
  </si>
  <si>
    <t>Канальный 9K AD092MJERAD</t>
  </si>
  <si>
    <t>AD092MJERAD</t>
  </si>
  <si>
    <t>МАТ.VRF.ВНУТ.182</t>
  </si>
  <si>
    <t>Канальный 9K AD092MSERA</t>
  </si>
  <si>
    <t>AD092MSERA</t>
  </si>
  <si>
    <t>МАТ.VRF.ВНУТ.183</t>
  </si>
  <si>
    <t>Канальный 9K AD092MSERA (D)</t>
  </si>
  <si>
    <t>AD092MSERA (D)</t>
  </si>
  <si>
    <t>МАТ.VRF.ВНУТ.184</t>
  </si>
  <si>
    <t>Кассетный 12K AB122MCERA(M)</t>
  </si>
  <si>
    <t>AB122MCERA(M)</t>
  </si>
  <si>
    <t>МАТ.VRF.ВНУТ.185</t>
  </si>
  <si>
    <t>Кассетный 16K AB162MCERA(M)</t>
  </si>
  <si>
    <t>AB162MCERA(M)</t>
  </si>
  <si>
    <t>МАТ.VRF.ВНУТ.186</t>
  </si>
  <si>
    <t>Кассетный 18K AB182MCERA(M)</t>
  </si>
  <si>
    <t>AB182MCERA(M)</t>
  </si>
  <si>
    <t>МАТ.VRF.ВНУТ.187</t>
  </si>
  <si>
    <t>Кассетный 18K AB182MNERA</t>
  </si>
  <si>
    <t>AB182MNERA</t>
  </si>
  <si>
    <t>МАТ.VRF.ВНУТ.188</t>
  </si>
  <si>
    <t>Кассетный 24K AB242MNERA</t>
  </si>
  <si>
    <t>AB242MNERA</t>
  </si>
  <si>
    <t>МАТ.VRF.ВНУТ.189</t>
  </si>
  <si>
    <t>Кассетный 28K AB282MNERA</t>
  </si>
  <si>
    <t>AB282MNERA</t>
  </si>
  <si>
    <t>МАТ.VRF.ВНУТ.190</t>
  </si>
  <si>
    <t>Кассетный 30K AB302MNERA</t>
  </si>
  <si>
    <t>AB302MNERA</t>
  </si>
  <si>
    <t>МАТ.VRF.ВНУТ.191</t>
  </si>
  <si>
    <t>Кассетный 38K AB382MNERA</t>
  </si>
  <si>
    <t>AB382MNERA</t>
  </si>
  <si>
    <t>МАТ.VRF.ВНУТ.192</t>
  </si>
  <si>
    <t>Кассетный 48K AB482MNERA</t>
  </si>
  <si>
    <t>AB482MNERA</t>
  </si>
  <si>
    <t>МАТ.VRF.ВНУТ.193</t>
  </si>
  <si>
    <t>Кассетный 5K AB052MCERA(M)</t>
  </si>
  <si>
    <t>AB052MCERA(M)</t>
  </si>
  <si>
    <t>МАТ.VRF.ВНУТ.194</t>
  </si>
  <si>
    <t>Кассетный 7K AB072MCERA(M)</t>
  </si>
  <si>
    <t>AB072MCERA(M)</t>
  </si>
  <si>
    <t>МАТ.VRF.ВНУТ.195</t>
  </si>
  <si>
    <t>Кассетный 9K AB092MCERA(M)</t>
  </si>
  <si>
    <t>AB092MCERA(M)</t>
  </si>
  <si>
    <t>МАТ.VRF.ВНУТ.196</t>
  </si>
  <si>
    <t>Кассетный AB602MNERA</t>
  </si>
  <si>
    <t>AB602MNERA</t>
  </si>
  <si>
    <t>МАТ.VRF.ВНУТ.197</t>
  </si>
  <si>
    <t>Конвектор сетевого протокола Lonworks IGU07</t>
  </si>
  <si>
    <t>IGU07</t>
  </si>
  <si>
    <t>МАТ.VRF.ВНУТ.198</t>
  </si>
  <si>
    <t>Настенный Family 12K AS122MNERA</t>
  </si>
  <si>
    <t>AS122MNERA</t>
  </si>
  <si>
    <t>МАТ.VRF.ВНУТ.199</t>
  </si>
  <si>
    <t>Настенный Family 16K AS162MNERA</t>
  </si>
  <si>
    <t>AS162MNERA</t>
  </si>
  <si>
    <t>МАТ.VRF.ВНУТ.200</t>
  </si>
  <si>
    <t>Настенный Family 18K AS182MNERA</t>
  </si>
  <si>
    <t>AS182MNERA</t>
  </si>
  <si>
    <t>МАТ.VRF.ВНУТ.201</t>
  </si>
  <si>
    <t>Настенный Family 24K AS242MNERA</t>
  </si>
  <si>
    <t>AS242MNERA</t>
  </si>
  <si>
    <t>МАТ.VRF.ВНУТ.202</t>
  </si>
  <si>
    <t>Настенный Family 28K AS282MNERA</t>
  </si>
  <si>
    <t>AS282MNERA</t>
  </si>
  <si>
    <t>МАТ.VRF.ВНУТ.203</t>
  </si>
  <si>
    <t>Настенный Family 30K AS302MNERA</t>
  </si>
  <si>
    <t>AS302MNERA</t>
  </si>
  <si>
    <t>МАТ.VRF.ВНУТ.204</t>
  </si>
  <si>
    <t>Настенный Family 5K AS052MNERA</t>
  </si>
  <si>
    <t>AS052MNERA</t>
  </si>
  <si>
    <t>МАТ.VRF.ВНУТ.205</t>
  </si>
  <si>
    <t>Настенный Family 7K AS072MNERA</t>
  </si>
  <si>
    <t>AS072MNERA</t>
  </si>
  <si>
    <t>МАТ.VRF.ВНУТ.206</t>
  </si>
  <si>
    <t>Настенный Family 9K AS092MNERA</t>
  </si>
  <si>
    <t>AS092MNERA</t>
  </si>
  <si>
    <t>МАТ.VRF.ВНУТ.207</t>
  </si>
  <si>
    <t>Настенный Lightera 12K AS122MFERA</t>
  </si>
  <si>
    <t>AS122MFERA</t>
  </si>
  <si>
    <t>МАТ.VRF.ВНУТ.208</t>
  </si>
  <si>
    <t>Настенный Lightera 16K AS162MFERA</t>
  </si>
  <si>
    <t>AS162MFERA</t>
  </si>
  <si>
    <t>МАТ.VRF.ВНУТ.209</t>
  </si>
  <si>
    <t>Настенный Lightera 18K AS182MFERA</t>
  </si>
  <si>
    <t>AS182MFERA</t>
  </si>
  <si>
    <t>МАТ.VRF.ВНУТ.210</t>
  </si>
  <si>
    <t>Настенный Lightera 24K AS242MFERA</t>
  </si>
  <si>
    <t>AS242MFERA</t>
  </si>
  <si>
    <t>МАТ.VRF.ВНУТ.211</t>
  </si>
  <si>
    <t>Настенный Lightera 5K AS052MFERA</t>
  </si>
  <si>
    <t>AS052MFERA</t>
  </si>
  <si>
    <t>МАТ.VRF.ВНУТ.212</t>
  </si>
  <si>
    <t>Настенный Lightera 7K AS072MFERA</t>
  </si>
  <si>
    <t>AS072MFERA</t>
  </si>
  <si>
    <t>МАТ.VRF.ВНУТ.213</t>
  </si>
  <si>
    <t>Настенный Lightera 9K AS092MFERA</t>
  </si>
  <si>
    <t>AS092MFERA</t>
  </si>
  <si>
    <t>МАТ.VRF.ВНУТ.214</t>
  </si>
  <si>
    <t>Панели к кассетным блокам P1B-1050IB</t>
  </si>
  <si>
    <t>P1B-1050IB</t>
  </si>
  <si>
    <t>МАТ.VRF.ВНУТ.215</t>
  </si>
  <si>
    <t>Панели к кассетным блокам P2B-1055IB</t>
  </si>
  <si>
    <t>P2B-1055IB</t>
  </si>
  <si>
    <t>МАТ.VRF.ВНУТ.216</t>
  </si>
  <si>
    <t>Панели к кассетным блокам PB-620KB</t>
  </si>
  <si>
    <t>PB-620KB</t>
  </si>
  <si>
    <t>МАТ.VRF.ВНУТ.217</t>
  </si>
  <si>
    <t>Панели к кассетным блокам PB-700IB</t>
  </si>
  <si>
    <t>PB-700IB</t>
  </si>
  <si>
    <t>МАТ.VRF.ВНУТ.218</t>
  </si>
  <si>
    <t>Панели к кассетным блокам PB-950JB</t>
  </si>
  <si>
    <t>PB-950JB</t>
  </si>
  <si>
    <t>МАТ.VRF.ВНУТ.219</t>
  </si>
  <si>
    <t>Панели к кассетным блокам PB-950KB</t>
  </si>
  <si>
    <t>PB-950KB</t>
  </si>
  <si>
    <t>МАТ.VRF.ВНУТ.220</t>
  </si>
  <si>
    <t>Пульт управления (проводной) YR-E17A</t>
  </si>
  <si>
    <t>YR-E17A</t>
  </si>
  <si>
    <t>МАТ.VRF.ВНУТ.221</t>
  </si>
  <si>
    <t>Пульт управления (проводной) YR-E20</t>
  </si>
  <si>
    <t>YR-E20</t>
  </si>
  <si>
    <t>МАТ.VRF.ВНУТ.222</t>
  </si>
  <si>
    <t>Пульт управления (проводной) black new HW-BA101ABT</t>
  </si>
  <si>
    <t>HW-BA101ABT</t>
  </si>
  <si>
    <t>МАТ.VRF.ВНУТ.223</t>
  </si>
  <si>
    <t>Пульт управления (проводной) new HW-BA116ABK</t>
  </si>
  <si>
    <t>HW-BA116ABK</t>
  </si>
  <si>
    <t>МАТ.VRF.ВНУТ.224</t>
  </si>
  <si>
    <t>Пульт управления (проводной) цветной дисплей YR-E16B</t>
  </si>
  <si>
    <t>YR-E16B</t>
  </si>
  <si>
    <t>МАТ.VRF.ВНУТ.225</t>
  </si>
  <si>
    <t>Рефнет для внутренних блоков FQG-B1350A</t>
  </si>
  <si>
    <t>FQG-B1350A</t>
  </si>
  <si>
    <t>МАТ.VRF.ВНУТ.226</t>
  </si>
  <si>
    <t>Рефнет для внутренних блоков FQG-B2040A</t>
  </si>
  <si>
    <t>FQG-B2040A</t>
  </si>
  <si>
    <t>МАТ.VRF.ВНУТ.227</t>
  </si>
  <si>
    <t>Рефнет для внутренних блоков FQG-B335A</t>
  </si>
  <si>
    <t>FQG-B335A</t>
  </si>
  <si>
    <t>МАТ.VRF.ВНУТ.228</t>
  </si>
  <si>
    <t>Рефнет для внутренних блоков FQG-B506A</t>
  </si>
  <si>
    <t>FQG-B506A</t>
  </si>
  <si>
    <t>МАТ.VRF.ВНУТ.229</t>
  </si>
  <si>
    <t>Рефнет для внутренних блоков FQG-B730A</t>
  </si>
  <si>
    <t>FQG-B730A</t>
  </si>
  <si>
    <t>МАТ.VRF.ВНУТ.230</t>
  </si>
  <si>
    <t>Скрытый напольный 12K AE122MLERA</t>
  </si>
  <si>
    <t>AE122MLERA</t>
  </si>
  <si>
    <t>МАТ.VRF.ВНУТ.231</t>
  </si>
  <si>
    <t>Скрытый напольный 16K AE162MLERA</t>
  </si>
  <si>
    <t>AE162MLERA</t>
  </si>
  <si>
    <t>МАТ.VRF.ВНУТ.232</t>
  </si>
  <si>
    <t>Скрытый напольный 18K AE182MLERA</t>
  </si>
  <si>
    <t>AE182MLERA</t>
  </si>
  <si>
    <t>МАТ.VRF.ВНУТ.233</t>
  </si>
  <si>
    <t>Скрытый напольный 24K AE242MLERA</t>
  </si>
  <si>
    <t>AE242MLERA</t>
  </si>
  <si>
    <t>МАТ.VRF.ВНУТ.234</t>
  </si>
  <si>
    <t>Скрытый напольный 7K AE072MLERA</t>
  </si>
  <si>
    <t>AE072MLERA</t>
  </si>
  <si>
    <t>МАТ.VRF.ВНУТ.235</t>
  </si>
  <si>
    <t>Скрытый напольный 9K AE092MLERA</t>
  </si>
  <si>
    <t>AE092MLERA</t>
  </si>
  <si>
    <t>МАТ.VRF.ВНУТ.236</t>
  </si>
  <si>
    <t>Соединительный комплект с AHU (14-28 кВт) AH1-280B</t>
  </si>
  <si>
    <t>AH1-280B</t>
  </si>
  <si>
    <t>МАТ.VRF.ВНУТ.237</t>
  </si>
  <si>
    <t>Соединительный комплект с AHU (28-56 кВт) AH1-560B</t>
  </si>
  <si>
    <t>AH1-560B</t>
  </si>
  <si>
    <t>МАТ.VRF.ВНУТ.238</t>
  </si>
  <si>
    <t>Соединительный комплект с AHU (56-78 кВт) AH1-730B</t>
  </si>
  <si>
    <t>AH1-730B</t>
  </si>
  <si>
    <t>МАТ.VRF.ВНУТ.239</t>
  </si>
  <si>
    <t>Соединительный комплект с AHU (8-14 кВт) AH1-140B</t>
  </si>
  <si>
    <t>AH1-140B</t>
  </si>
  <si>
    <t>МАТ.VRF.ВНУТ.240</t>
  </si>
  <si>
    <t>Соединительный комплект с AHU (до 7 кВт) AH1-070B</t>
  </si>
  <si>
    <t>AH1-070B</t>
  </si>
  <si>
    <t>МАТ.VRF.ВНУТ.241</t>
  </si>
  <si>
    <t>Универсальный 12K AC122MDERA</t>
  </si>
  <si>
    <t>AC122MDERA</t>
  </si>
  <si>
    <t>МАТ.VRF.ВНУТ.242</t>
  </si>
  <si>
    <t>Универсальный 16K AC162MDERA</t>
  </si>
  <si>
    <t>AC162MDERA</t>
  </si>
  <si>
    <t>МАТ.VRF.ВНУТ.243</t>
  </si>
  <si>
    <t>Универсальный 18K AC182MDERA</t>
  </si>
  <si>
    <t>AC182MDERA</t>
  </si>
  <si>
    <t>МАТ.VRF.ВНУТ.244</t>
  </si>
  <si>
    <t>Универсальный 24K AC242MDERA</t>
  </si>
  <si>
    <t>AC242MDERA</t>
  </si>
  <si>
    <t>МАТ.VRF.ВНУТ.245</t>
  </si>
  <si>
    <t>Универсальный 28K AC282MDERA</t>
  </si>
  <si>
    <t>AC282MDERA</t>
  </si>
  <si>
    <t>МАТ.VRF.ВНУТ.246</t>
  </si>
  <si>
    <t>Универсальный 30K AC302MDERA</t>
  </si>
  <si>
    <t>AC302MDERA</t>
  </si>
  <si>
    <t>МАТ.VRF.ВНУТ.247</t>
  </si>
  <si>
    <t>Универсальный 38K AC382MDERA</t>
  </si>
  <si>
    <t>AC382MDERA</t>
  </si>
  <si>
    <t>МАТ.VRF.ВНУТ.248</t>
  </si>
  <si>
    <t>Универсальный 48K AC482MDERA</t>
  </si>
  <si>
    <t>AC482MDERA</t>
  </si>
  <si>
    <t>МАТ.VRF.ВНУТ.249</t>
  </si>
  <si>
    <t>Универсальный 9K AC092MDERA</t>
  </si>
  <si>
    <t>AC092MDERA</t>
  </si>
  <si>
    <t>МАТ.VRF.ВНУТ.250</t>
  </si>
  <si>
    <t>Центральный пульт (до 256 внутр. блоков) YCZ-A004</t>
  </si>
  <si>
    <t>YCZ-A004</t>
  </si>
  <si>
    <t>МАТ.VRF.ВНУТ.251</t>
  </si>
  <si>
    <t>Центральный пульт (до 64 внутр. блоков) HC-SA164DBT</t>
  </si>
  <si>
    <t>HC-SA164DBT</t>
  </si>
  <si>
    <t>МАТ.VRF.ВНУТ.252</t>
  </si>
  <si>
    <t>Шлюз BACnet/IP,Modbas(BMS 3 поколения) HCM-03A</t>
  </si>
  <si>
    <t>HCM-03A</t>
  </si>
  <si>
    <t>МАТ.VRF.ВНУТ.253</t>
  </si>
  <si>
    <t>Шлюз BACnet/IP,Modbas(BMS 5 поколения) HCM-05</t>
  </si>
  <si>
    <t>HCM-05</t>
  </si>
  <si>
    <t>МАТ.VRF.ВНУТ.254</t>
  </si>
  <si>
    <t>Шлюз BACnet/IP,Modbas(BMS 5 поколения) HCM-05A</t>
  </si>
  <si>
    <t>HCM-05A</t>
  </si>
  <si>
    <t>МАТ.VRF.ВНУТ.255</t>
  </si>
  <si>
    <t>Шлюз RS485&amp;232 Converter + Software HCM-01A</t>
  </si>
  <si>
    <t>HCM-01A</t>
  </si>
  <si>
    <t>МАТ.VRF.ВНУТ.256</t>
  </si>
  <si>
    <t>Шлюз для интеграции с Modbus HA-MA164AD</t>
  </si>
  <si>
    <t>HA-MA164AD</t>
  </si>
  <si>
    <t>МАТ.VRF.ВНУТ.257</t>
  </si>
  <si>
    <t>Шлюз для интеграции с Modbus IGU06</t>
  </si>
  <si>
    <t>IGU06</t>
  </si>
  <si>
    <t>МАТ.VRF.ВНУТ.258</t>
  </si>
  <si>
    <t>Шлюз для интеграции с Modbus new HA-MA164ADB</t>
  </si>
  <si>
    <t>HA-MA164ADB</t>
  </si>
  <si>
    <t>МАТ.VRF.НАР.001</t>
  </si>
  <si>
    <t>MDV-V81010V2R1A(MA)</t>
  </si>
  <si>
    <t>101.0 кВт охл.</t>
  </si>
  <si>
    <t>МАТ.VRF.НАР.002</t>
  </si>
  <si>
    <t>MDV-V81060V2R1A(MA)</t>
  </si>
  <si>
    <t>106.0 кВт охл.</t>
  </si>
  <si>
    <t>МАТ.VRF.НАР.003</t>
  </si>
  <si>
    <t>MDV-V81120V2R1A(MA)</t>
  </si>
  <si>
    <t>112.0 кВт охл.</t>
  </si>
  <si>
    <t>МАТ.VRF.НАР.004</t>
  </si>
  <si>
    <t>MDV-V8252V2R1A(MA)</t>
  </si>
  <si>
    <t>МАТ.VRF.НАР.005</t>
  </si>
  <si>
    <t>MDV-V8280V2R1A(MA)</t>
  </si>
  <si>
    <t>МАТ.VRF.НАР.006</t>
  </si>
  <si>
    <t>MDV-V8335V2R1A(MA)</t>
  </si>
  <si>
    <t>МАТ.VRF.НАР.007</t>
  </si>
  <si>
    <t>MDV-V8400V2R1A(MA)</t>
  </si>
  <si>
    <t>МАТ.VRF.НАР.008</t>
  </si>
  <si>
    <t>MDV-V8450V2R1A(MA)</t>
  </si>
  <si>
    <t>МАТ.VRF.НАР.009</t>
  </si>
  <si>
    <t>MDV-V8500V2R1A(MA)</t>
  </si>
  <si>
    <t>50.0 кВт охл.</t>
  </si>
  <si>
    <t>МАТ.VRF.НАР.010</t>
  </si>
  <si>
    <t>MDV-V8560V2R1A(MA)</t>
  </si>
  <si>
    <t>МАТ.VRF.НАР.011</t>
  </si>
  <si>
    <t>MDV-V8615V2R1A(MA)</t>
  </si>
  <si>
    <t>61.5 кВт охл.</t>
  </si>
  <si>
    <t>МАТ.VRF.НАР.012</t>
  </si>
  <si>
    <t>MDV-V8670V2R1A(MA)</t>
  </si>
  <si>
    <t>67.0 кВт охл.</t>
  </si>
  <si>
    <t>МАТ.VRF.НАР.013</t>
  </si>
  <si>
    <t>MDV-V8730V2R1A(MA)</t>
  </si>
  <si>
    <t>73.0 кВт охл.</t>
  </si>
  <si>
    <t>МАТ.VRF.НАР.014</t>
  </si>
  <si>
    <t>MDV-V8785V2R1A(MA)</t>
  </si>
  <si>
    <t>78.5 кВт охл.</t>
  </si>
  <si>
    <t>МАТ.VRF.НАР.015</t>
  </si>
  <si>
    <t>MDV-V8850V2R1A(MA)</t>
  </si>
  <si>
    <t>85.0 кВт охл.</t>
  </si>
  <si>
    <t>МАТ.VRF.НАР.016</t>
  </si>
  <si>
    <t>MDV-V8900V2R1A(MA)</t>
  </si>
  <si>
    <t>90.0 кВт охл.</t>
  </si>
  <si>
    <t>МАТ.VRF.НАР.017</t>
  </si>
  <si>
    <t>MDV-V8950V2R1A(MA)</t>
  </si>
  <si>
    <t>95.0 кВт охл.</t>
  </si>
  <si>
    <t>МАТ.VRF.НАР.018</t>
  </si>
  <si>
    <t>MDV-V8M100V2R1E</t>
  </si>
  <si>
    <t>МАТ.VRF.НАР.019</t>
  </si>
  <si>
    <t>MDV-V8M120V2R1B</t>
  </si>
  <si>
    <t>12.0 кВт охл.</t>
  </si>
  <si>
    <t>МАТ.VRF.НАР.020</t>
  </si>
  <si>
    <t>MDV-V8M120V2R1E</t>
  </si>
  <si>
    <t>МАТ.VRF.НАР.021</t>
  </si>
  <si>
    <t>MDV-V8M140V2R1B</t>
  </si>
  <si>
    <t>МАТ.VRF.НАР.022</t>
  </si>
  <si>
    <t>MDV-V8M140V2R1E</t>
  </si>
  <si>
    <t>МАТ.VRF.НАР.023</t>
  </si>
  <si>
    <t>MDV-V8M160V2R1B</t>
  </si>
  <si>
    <t>МАТ.VRF.НАР.024</t>
  </si>
  <si>
    <t>MDV-V8M160V2R1E</t>
  </si>
  <si>
    <t>МАТ.VRF.НАР.025</t>
  </si>
  <si>
    <t>MDV-V8M80V2R1E</t>
  </si>
  <si>
    <t>МАТ.VRF.НАР.026</t>
  </si>
  <si>
    <t>MDV-V8S252V2R1A</t>
  </si>
  <si>
    <t>25.0 кВт охл.</t>
  </si>
  <si>
    <t>МАТ.VRF.НАР.027</t>
  </si>
  <si>
    <t>MDV-V8S280V2R1A</t>
  </si>
  <si>
    <t>МАТ.VRF.НАР.028</t>
  </si>
  <si>
    <t>MDV-V8S335V2R1A</t>
  </si>
  <si>
    <t>МАТ.VRF.НАР.029</t>
  </si>
  <si>
    <t>MDV-V8S400V2R1A</t>
  </si>
  <si>
    <t>МАТ.VRF.НАР.030</t>
  </si>
  <si>
    <t>MDV-V8S450V2R1A</t>
  </si>
  <si>
    <t>МАТ.VRF.НАР.031</t>
  </si>
  <si>
    <t>MDV-V8S500V2R1A</t>
  </si>
  <si>
    <t>МАТ.VRF.НАР.032</t>
  </si>
  <si>
    <t>MDV-V8S560V2R1A</t>
  </si>
  <si>
    <t>МАТ.VRF.НАР.033</t>
  </si>
  <si>
    <t>MDV-V8S615V2R1A</t>
  </si>
  <si>
    <t>МАТ.VRF.НАР.034</t>
  </si>
  <si>
    <t>MDV-V8S670V2R1A</t>
  </si>
  <si>
    <t>МАТ.VRF.НАР.035</t>
  </si>
  <si>
    <t>MDV-V8i1010V2R1A(MA)</t>
  </si>
  <si>
    <t>МАТ.VRF.НАР.036</t>
  </si>
  <si>
    <t>MDV-V8i1060V2R1A(MA)</t>
  </si>
  <si>
    <t>МАТ.VRF.НАР.037</t>
  </si>
  <si>
    <t>MDV-V8i1120V2R1A(MA)</t>
  </si>
  <si>
    <t>МАТ.VRF.НАР.038</t>
  </si>
  <si>
    <t>MDV-V8i1170V2R1A(MA)</t>
  </si>
  <si>
    <t>117.0 кВт охл.</t>
  </si>
  <si>
    <t>МАТ.VRF.НАР.039</t>
  </si>
  <si>
    <t>MDV-V8i252V2R1A(MA)</t>
  </si>
  <si>
    <t>МАТ.VRF.НАР.040</t>
  </si>
  <si>
    <t>MDV-V8i280V2R1A(MA)</t>
  </si>
  <si>
    <t>МАТ.VRF.НАР.041</t>
  </si>
  <si>
    <t>MDV-V8i335V2R1A(MA)</t>
  </si>
  <si>
    <t>МАТ.VRF.НАР.042</t>
  </si>
  <si>
    <t>MDV-V8i400V2R1A(MA)</t>
  </si>
  <si>
    <t>МАТ.VRF.НАР.043</t>
  </si>
  <si>
    <t>MDV-V8i450V2R1A(MA)</t>
  </si>
  <si>
    <t>МАТ.VRF.НАР.044</t>
  </si>
  <si>
    <t>MDV-V8i500V2R1A(MA)</t>
  </si>
  <si>
    <t>МАТ.VRF.НАР.045</t>
  </si>
  <si>
    <t>MDV-V8i560V2R1A(MA)</t>
  </si>
  <si>
    <t>МАТ.VRF.НАР.046</t>
  </si>
  <si>
    <t>MDV-V8i615V2R1A(MA)</t>
  </si>
  <si>
    <t>МАТ.VRF.НАР.047</t>
  </si>
  <si>
    <t>MDV-V8i670V2R1A(MA)</t>
  </si>
  <si>
    <t>МАТ.VRF.НАР.048</t>
  </si>
  <si>
    <t>MDV-V8i730V2R1A(MA)</t>
  </si>
  <si>
    <t>МАТ.VRF.НАР.049</t>
  </si>
  <si>
    <t>MDV-V8i785V2R1A(MA)</t>
  </si>
  <si>
    <t>МАТ.VRF.НАР.050</t>
  </si>
  <si>
    <t>MDV-V8i850V2R1A(MA)</t>
  </si>
  <si>
    <t>МАТ.VRF.НАР.051</t>
  </si>
  <si>
    <t>MDV-V8i900V2R1A(MA)</t>
  </si>
  <si>
    <t>МАТ.VRF.НАР.052</t>
  </si>
  <si>
    <t>MDV-V8i950V2R1A(MA)</t>
  </si>
  <si>
    <t>МАТ.VRF.НАР.053</t>
  </si>
  <si>
    <t>MDV-Vi252V2R1A</t>
  </si>
  <si>
    <t>МАТ.VRF.НАР.054</t>
  </si>
  <si>
    <t>MDV-Vi280V2R1A</t>
  </si>
  <si>
    <t>МАТ.VRF.НАР.055</t>
  </si>
  <si>
    <t>MDV-Vi335V2R1A</t>
  </si>
  <si>
    <t>МАТ.VRF.НАР.056</t>
  </si>
  <si>
    <t>MDV-Vi400V2R1A</t>
  </si>
  <si>
    <t>МАТ.VRF.НАР.057</t>
  </si>
  <si>
    <t>MDV-Vi450V2R1A</t>
  </si>
  <si>
    <t>МАТ.VRF.НАР.058</t>
  </si>
  <si>
    <t>MDV-Vi500V2R1A</t>
  </si>
  <si>
    <t>МАТ.VRF.НАР.059</t>
  </si>
  <si>
    <t>MDV-Vi560V2R1A</t>
  </si>
  <si>
    <t>МАТ.VRF.НАР.060</t>
  </si>
  <si>
    <t>MDV-Vi615V2R1A</t>
  </si>
  <si>
    <t>МАТ.VRF.НАР.061</t>
  </si>
  <si>
    <t>MDV-Vi670V2R1A</t>
  </si>
  <si>
    <t>МАТ.VRF.НАР.062</t>
  </si>
  <si>
    <t>MDVO-VCM224V2R1A</t>
  </si>
  <si>
    <t>МАТ.VRF.НАР.063</t>
  </si>
  <si>
    <t>MDVO-VCM280V2R1A</t>
  </si>
  <si>
    <t>МАТ.VRF.НАР.064</t>
  </si>
  <si>
    <t>MDVO-VCM335V2R1A</t>
  </si>
  <si>
    <t>МАТ.VRF.НАР.065</t>
  </si>
  <si>
    <t>MDVO-VCM400V2R1A</t>
  </si>
  <si>
    <t>МАТ.VRF.НАР.066</t>
  </si>
  <si>
    <t>MDVO-VCM450V2R1A</t>
  </si>
  <si>
    <t>МАТ.VRF.НАР.067</t>
  </si>
  <si>
    <t>MDVO-VCM500V2R1A</t>
  </si>
  <si>
    <t>МАТ.VRF.НАР.068</t>
  </si>
  <si>
    <t>MDVO-VCM560V2R1A</t>
  </si>
  <si>
    <t>МАТ.VRF.НАР.069</t>
  </si>
  <si>
    <t>MDVO-VCM615V2R1A</t>
  </si>
  <si>
    <t>МАТ.VRF.НАР.070</t>
  </si>
  <si>
    <t>MDVO-VCM670V2R1A</t>
  </si>
  <si>
    <t>МАТ.VRF.НАР.071</t>
  </si>
  <si>
    <t>MDVO-VCM730V2R1A</t>
  </si>
  <si>
    <t>МАТ.VRF.НАР.072</t>
  </si>
  <si>
    <t>MDVO-VCM785V2R1A</t>
  </si>
  <si>
    <t>МАТ.VRF.НАР.073</t>
  </si>
  <si>
    <t>MDVO-VCM850V2R1A</t>
  </si>
  <si>
    <t>МАТ.VRF.НАР.074</t>
  </si>
  <si>
    <t>MRV III - S Внешний блок 10HP AU10NFKERA</t>
  </si>
  <si>
    <t>AU10NFKERA</t>
  </si>
  <si>
    <t>МАТ.VRF.НАР.075</t>
  </si>
  <si>
    <t>MRV III - S Внешний блок 12HP AU12NFKERA</t>
  </si>
  <si>
    <t>AU12NFKERA</t>
  </si>
  <si>
    <t>МАТ.VRF.НАР.076</t>
  </si>
  <si>
    <t>MRV III - S Внешний блок 3HP AU032FSEUA</t>
  </si>
  <si>
    <t>AU032FSEUA</t>
  </si>
  <si>
    <t>МАТ.VRF.НАР.077</t>
  </si>
  <si>
    <t>MRV III - S Внешний блок 4HP AU042FNERA</t>
  </si>
  <si>
    <t>AU042FNERA</t>
  </si>
  <si>
    <t>МАТ.VRF.НАР.078</t>
  </si>
  <si>
    <t>MRV III - S Внешний блок 4HP AU042FPERA</t>
  </si>
  <si>
    <t>AU042FPERA</t>
  </si>
  <si>
    <t>МАТ.VRF.НАР.079</t>
  </si>
  <si>
    <t>MRV III - S Внешний блок 4HP AU04IFPERA</t>
  </si>
  <si>
    <t>AU04IFPERA</t>
  </si>
  <si>
    <t>МАТ.VRF.НАР.080</t>
  </si>
  <si>
    <t>MRV III - S Внешний блок 5HP AU052FNERA</t>
  </si>
  <si>
    <t>AU052FNERA</t>
  </si>
  <si>
    <t>МАТ.VRF.НАР.081</t>
  </si>
  <si>
    <t>MRV III - S Внешний блок 5HP AU052FPERA</t>
  </si>
  <si>
    <t>AU052FPERA</t>
  </si>
  <si>
    <t>МАТ.VRF.НАР.082</t>
  </si>
  <si>
    <t>MRV III - S Внешний блок 5HP AU052FPEUA</t>
  </si>
  <si>
    <t>AU052FPEUA</t>
  </si>
  <si>
    <t>МАТ.VRF.НАР.083</t>
  </si>
  <si>
    <t>MRV III - S Внешний блок 5HP AU05IFPERA</t>
  </si>
  <si>
    <t>AU05IFPERA</t>
  </si>
  <si>
    <t>МАТ.VRF.НАР.084</t>
  </si>
  <si>
    <t>MRV III - S Внешний блок 6HP AU062FPERA</t>
  </si>
  <si>
    <t>AU062FPERA</t>
  </si>
  <si>
    <t>МАТ.VRF.НАР.085</t>
  </si>
  <si>
    <t>MRV III - S Внешний блок 6HP AU06IFPERA</t>
  </si>
  <si>
    <t>AU06IFPERA</t>
  </si>
  <si>
    <t>МАТ.VRF.НАР.086</t>
  </si>
  <si>
    <t>MRV III - S Внешний блок 6HP AU07NFPEUA</t>
  </si>
  <si>
    <t>AU07NFPEUA</t>
  </si>
  <si>
    <t>МАТ.VRF.НАР.087</t>
  </si>
  <si>
    <t>MRV III - S Внешний блок 8HP AU08NFKERA</t>
  </si>
  <si>
    <t>AU08NFKERA</t>
  </si>
  <si>
    <t>МАТ.VRF.НАР.088</t>
  </si>
  <si>
    <t>MRV- V Внешний блок 10HP AV10IMVEVA</t>
  </si>
  <si>
    <t>AV10IMVEVA</t>
  </si>
  <si>
    <t>МАТ.VRF.НАР.089</t>
  </si>
  <si>
    <t>MRV- V Внешний блок 12HP AV12IMVEVA</t>
  </si>
  <si>
    <t>AV12IMVEVA</t>
  </si>
  <si>
    <t>МАТ.VRF.НАР.090</t>
  </si>
  <si>
    <t>MRV- V Внешний блок 14HP AV14IMVEVA</t>
  </si>
  <si>
    <t>AV14IMVEVA</t>
  </si>
  <si>
    <t>МАТ.VRF.НАР.091</t>
  </si>
  <si>
    <t>MRV- V Внешний блок 16HP AV16IMVEVA</t>
  </si>
  <si>
    <t>AV16IMVEVA</t>
  </si>
  <si>
    <t>МАТ.VRF.НАР.092</t>
  </si>
  <si>
    <t>MRV- V Внешний блок 18HP AV18IMVEVA</t>
  </si>
  <si>
    <t>AV18IMVEVA</t>
  </si>
  <si>
    <t>МАТ.VRF.НАР.093</t>
  </si>
  <si>
    <t>MRV- V Внешний блок 20HP AV20IMVEVA</t>
  </si>
  <si>
    <t>AV20IMVEVA</t>
  </si>
  <si>
    <t>МАТ.VRF.НАР.094</t>
  </si>
  <si>
    <t>MRV- V Внешний блок 22HP AV22IMVEVA</t>
  </si>
  <si>
    <t>AV22IMVEVA</t>
  </si>
  <si>
    <t>МАТ.VRF.НАР.095</t>
  </si>
  <si>
    <t>MRV- V Внешний блок 24HP AV24IMVEVA</t>
  </si>
  <si>
    <t>AV24IMVEVA</t>
  </si>
  <si>
    <t>МАТ.VRF.НАР.096</t>
  </si>
  <si>
    <t>MRV- V Внешний блок 26HP AV26IMVEVA</t>
  </si>
  <si>
    <t>AV26IMVEVA</t>
  </si>
  <si>
    <t>МАТ.VRF.НАР.097</t>
  </si>
  <si>
    <t>MRV- V Внешний блок 8HP AV08IMVEVA</t>
  </si>
  <si>
    <t>AV08IMVEVA</t>
  </si>
  <si>
    <t>МАТ.VRF.НАР.098</t>
  </si>
  <si>
    <t>Рефнет для наружных блоков HZG-20A</t>
  </si>
  <si>
    <t>HZG-20A</t>
  </si>
  <si>
    <t>МАТ.VRF.НАР.099</t>
  </si>
  <si>
    <t>Рефнет для наружных блоков HZG-30A</t>
  </si>
  <si>
    <t>HZG-30A</t>
  </si>
  <si>
    <t>МАТ.VRF.НАР.100</t>
  </si>
  <si>
    <t>Рефнет для наружных блоков MRV V HZG-20B</t>
  </si>
  <si>
    <t>HZG-20B</t>
  </si>
  <si>
    <t>МАТ.VRF.НАР.101</t>
  </si>
  <si>
    <t>Рефнет для наружных блоков MRV V HZG-30B</t>
  </si>
  <si>
    <t>HZG-30B</t>
  </si>
  <si>
    <t>МАТ.БРОНЯ.001</t>
  </si>
  <si>
    <t>Бронестекло ПУз-Бр3 (1000*1000 мм. Видимая часть). По раме 1090х1090 мм без учета лотка. ЛИСТ 2.</t>
  </si>
  <si>
    <t>СПЕЦ Прожект групп</t>
  </si>
  <si>
    <t>RUB</t>
  </si>
  <si>
    <t>Броня</t>
  </si>
  <si>
    <t>МАТ.БРОНЯ.002</t>
  </si>
  <si>
    <t>Бронестекло ПУз-Бр3 (1090*1335 мм. ). С учетом лотка. ЛИСТ 1.</t>
  </si>
  <si>
    <t>МАТ.БРОНЯ.003</t>
  </si>
  <si>
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</si>
  <si>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См. ТЗ "Двери 2 кл"</t>
  </si>
  <si>
    <t>МАТ.БРОНЯ.004</t>
  </si>
  <si>
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</si>
  <si>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МАТ.БРОНЯ.005</t>
  </si>
  <si>
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</si>
  <si>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См. ТЗ "Двери 3 кл"</t>
  </si>
  <si>
    <t>МАТ.БРОНЯ.006</t>
  </si>
  <si>
    <t>Дверной блок 5-го класса устойчивости к взлому с решетчатой дверью . 2 замка СИ600 (дверное полотно 898*1970), 1030х2100 мм по раме. ЛИСТ 13.</t>
  </si>
  <si>
    <t>См. ТЗ "Двери 5 кл."</t>
  </si>
  <si>
    <t>МАТ.БРОНЯ.007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</si>
  <si>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</si>
  <si>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См. ТЗ "Двери запасного выхода"</t>
  </si>
  <si>
    <t>МАТ.БРОНЯ.008</t>
  </si>
  <si>
    <t>МАТ.БРОНЯ.009</t>
  </si>
  <si>
    <t>МАТ.БРОНЯ.010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</si>
  <si>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</si>
  <si>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МАТ.БРОНЯ.011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</si>
  <si>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</si>
  <si>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МАТ.БРОНЯ.012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</si>
  <si>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</si>
  <si>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МАТ.БРОНЯ.013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</si>
  <si>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</si>
  <si>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МАТ.БРОНЯ.014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</si>
  <si>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</si>
  <si>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МАТ.БРОНЯ.015</t>
  </si>
  <si>
    <t>Противопожарный однопольный дверной блок , min EI60 с фурнитурой 1000х2100мм по раме</t>
  </si>
  <si>
    <t>МАТ.БРОНЯ.016</t>
  </si>
  <si>
    <t>Установка противопожарного однопольного дверного блока, min EI60 с фурнитурой 1200х2100мм</t>
  </si>
  <si>
    <t>МАТ.БРОНЯ.017</t>
  </si>
  <si>
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</si>
  <si>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МАТ.БРОНЯ.018</t>
  </si>
  <si>
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</si>
  <si>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МАТ.БРОНЯ.019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</si>
  <si>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</si>
  <si>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МАТ.БРОНЯ.020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</si>
  <si>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</si>
  <si>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МАТ.БРОНЯ.021</t>
  </si>
  <si>
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</si>
  <si>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МАТ.БРОНЯ.022</t>
  </si>
  <si>
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</si>
  <si>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МАТ.ДВ.001</t>
  </si>
  <si>
    <t>Добор для F-наличника серый 7035 (5х100х2070мм)</t>
  </si>
  <si>
    <t>Kapelli</t>
  </si>
  <si>
    <t>Фабрика дверей KAPELLI</t>
  </si>
  <si>
    <t>Двери Kapelli</t>
  </si>
  <si>
    <t>МАТ.ДВ.002</t>
  </si>
  <si>
    <t>Добор для F-наличника серый 7035 (5х150х2070мм)</t>
  </si>
  <si>
    <t>МАТ.ДВ.003</t>
  </si>
  <si>
    <t>Завертка WC</t>
  </si>
  <si>
    <t>МАТ.ДВ.004</t>
  </si>
  <si>
    <t>Замок магнитный (под цилиндр / под фиксатор)</t>
  </si>
  <si>
    <t>МАТ.ДВ.005</t>
  </si>
  <si>
    <t>Замок механический (под цилиндр / под фиксатор)</t>
  </si>
  <si>
    <t>МАТ.ДВ.006</t>
  </si>
  <si>
    <t>Накладка под цилиндр</t>
  </si>
  <si>
    <t>МАТ.ДВ.007</t>
  </si>
  <si>
    <t>Наличник F ПВХ 2,17м серый 7035 телескопический</t>
  </si>
  <si>
    <t>МАТ.ДВ.008</t>
  </si>
  <si>
    <t>Петля накладная</t>
  </si>
  <si>
    <t>МАТ.ДВ.009</t>
  </si>
  <si>
    <t>Установка дверного доводчика штанга рычажная на входные двери (210 кг)</t>
  </si>
  <si>
    <t>ФАСАДСТРОЙ</t>
  </si>
  <si>
    <t>Стекл. двери алюм.</t>
  </si>
  <si>
    <t>МАТ.ДВ.010</t>
  </si>
  <si>
    <t>Цилиндр (клю-ключ)</t>
  </si>
  <si>
    <t>МАТ.ДВ.011</t>
  </si>
  <si>
    <t>Цилиндр (ключ-фиксатор)</t>
  </si>
  <si>
    <t>МАТ.ДВ.АЛ.001</t>
  </si>
  <si>
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</si>
  <si>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МАТ.ДВ.АЛ.002</t>
  </si>
  <si>
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</si>
  <si>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>МАТ.ДВ.АЛ.003</t>
  </si>
  <si>
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</si>
  <si>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МАТ.ДВ.АЛ.004</t>
  </si>
  <si>
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</si>
  <si>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МАТ.ДВ.АЛ.005</t>
  </si>
  <si>
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</si>
  <si>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МАТ.ДВ.АЛ.006</t>
  </si>
  <si>
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</si>
  <si>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>МАТ.ДВ.ДЕР.001</t>
  </si>
  <si>
    <t>ДГ 21-10 КАПЕЛЬ Гладкая МС7035 (полотно 2000*900, ДКТ80) УД</t>
  </si>
  <si>
    <t>МАТ.ДВ.ДЕР.002</t>
  </si>
  <si>
    <t>ДГ 21-7 КАПЕЛЬ Гладкая МС7035 (полотно 2000*600, ДКТ80) УД</t>
  </si>
  <si>
    <t>МАТ.ДВ.ДЕР.003</t>
  </si>
  <si>
    <t>ДГ 21-8 КАПЕЛЬ Гладкая МС7035 (полотно 2000*700, ДКТ80) УД</t>
  </si>
  <si>
    <t>МАТ.ДВ.ДЕР.004</t>
  </si>
  <si>
    <t>ДГ 21-9 КАПЕЛЬ Гладкая МС7035 (полотно 2000*800, ДКТ80) УД</t>
  </si>
  <si>
    <t>МАТ.ДВ.ДЕР.005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</si>
  <si>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</si>
  <si>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Вертикальный транспорт</t>
  </si>
  <si>
    <t>Дерев. гл. двери в проем</t>
  </si>
  <si>
    <t>МАТ.ДВ.ДЕР.006</t>
  </si>
  <si>
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</si>
  <si>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Дерев. гл. скр. двери в проем</t>
  </si>
  <si>
    <t>МАТ.ДВ.СТ.001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</si>
  <si>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</si>
  <si>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Стекл. двери один в перегородку</t>
  </si>
  <si>
    <t>МАТ.ДВ.СТ.002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</si>
  <si>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</si>
  <si>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Стекл. дв. полут в проем</t>
  </si>
  <si>
    <t>МАТ.ДВ.СТ.003</t>
  </si>
  <si>
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</si>
  <si>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Бескаркасные двери</t>
  </si>
  <si>
    <t>МАТ.ДВ.СТ.004</t>
  </si>
  <si>
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</si>
  <si>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МАТ.ДВ.СТ.005</t>
  </si>
  <si>
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</si>
  <si>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МАТ.ЗАВЕСА.001</t>
  </si>
  <si>
    <t>Компактная воздушно-тепловая завеса КЭВ-12П3042E</t>
  </si>
  <si>
    <t>123040</t>
  </si>
  <si>
    <t>Тепломаш</t>
  </si>
  <si>
    <t>Тепловые завесы</t>
  </si>
  <si>
    <t>МАТ.ЗАВЕСА.002</t>
  </si>
  <si>
    <t>Компактная воздушно-тепловая завеса КЭВ-3П1154Е</t>
  </si>
  <si>
    <t>121021</t>
  </si>
  <si>
    <t>МАТ.ЗАВЕСА.003</t>
  </si>
  <si>
    <t>Компактная воздушно-тепловая завеса КЭВ-6П2212E</t>
  </si>
  <si>
    <t>122002</t>
  </si>
  <si>
    <t>МАТ.ЗАВЕСА.004</t>
  </si>
  <si>
    <t>Компактная воздушно-тепловая завеса КЭВ-9П3012E</t>
  </si>
  <si>
    <t>123037</t>
  </si>
  <si>
    <t>МАТ.ЛЮЧОК.001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</si>
  <si>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</si>
  <si>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</si>
  <si>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</si>
  <si>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РусТрэйд</t>
  </si>
  <si>
    <t>Лючек напольный</t>
  </si>
  <si>
    <t>МАТ.ПВУ.001</t>
  </si>
  <si>
    <t>Вентилятор LITENED 70-40 G1.31-1,1х30</t>
  </si>
  <si>
    <t>NED</t>
  </si>
  <si>
    <t>Вентмашины</t>
  </si>
  <si>
    <t>МАТ.ПВУ.002</t>
  </si>
  <si>
    <t>ПВВУ iClimate 025</t>
  </si>
  <si>
    <t>Globalvent</t>
  </si>
  <si>
    <t>МАТ.ПВУ.003</t>
  </si>
  <si>
    <t>ПВВУ iClimate 031</t>
  </si>
  <si>
    <t>МАТ.ПВУ.004</t>
  </si>
  <si>
    <t>ПВВУ iClimate 038</t>
  </si>
  <si>
    <t>МАТ.ПВУ.005</t>
  </si>
  <si>
    <t>ПВВУ iClimate 038+</t>
  </si>
  <si>
    <t>МАТ.ПВУ.006</t>
  </si>
  <si>
    <t>ПВВУ iClimate 042</t>
  </si>
  <si>
    <t>МАТ.ПВУ.007</t>
  </si>
  <si>
    <t>ПВВУ iClimate 042+</t>
  </si>
  <si>
    <t>МАТ.ПВУ.008</t>
  </si>
  <si>
    <t>ПВВУ iClimate 050</t>
  </si>
  <si>
    <t>МАТ.ПВУ.009</t>
  </si>
  <si>
    <t>ПВВУ iClimate 050+</t>
  </si>
  <si>
    <t>МАТ.ПВУ.010</t>
  </si>
  <si>
    <t>ПВВУ iClimate 067</t>
  </si>
  <si>
    <t>МАТ.ПВУ.011</t>
  </si>
  <si>
    <t>Установка компактная напольная MININED 1600-V-RC-E7,5</t>
  </si>
  <si>
    <t>МАТ.ПВУ.012</t>
  </si>
  <si>
    <t>Установка компактная напольная MININED 2900-V-RC-E18</t>
  </si>
  <si>
    <t>МАТ.ПВУ.013</t>
  </si>
  <si>
    <t>Установка компактная напольная MININED 3800-V-RC-E25,5</t>
  </si>
  <si>
    <t>МАТ.ПВУ.014</t>
  </si>
  <si>
    <t>МАТ.ПВУ.015</t>
  </si>
  <si>
    <t>Установка компактная подвесная ND-RV-X30DS</t>
  </si>
  <si>
    <t>МАТ.ПВУ.016</t>
  </si>
  <si>
    <t>МАТ.ПЕРЕГ.СТ.001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</si>
  <si>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</si>
  <si>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Стекл. перегородки</t>
  </si>
  <si>
    <t>МАТ.ПЕРЕГ.ТР.001</t>
  </si>
  <si>
    <t>Cтекло закаленное М1, прозрачное, 10 мм, кромка полированная, для перегородок высотой до 3000мм</t>
  </si>
  <si>
    <t>7.59</t>
  </si>
  <si>
    <t>Р-Перегородки</t>
  </si>
  <si>
    <t>Трансформируемая перегородка</t>
  </si>
  <si>
    <t>МАТ.ПЕРЕГ.ТР.002</t>
  </si>
  <si>
    <t>Cтекло закаленное М1, прозрачное, 12 мм, кромка полированная, для перегородок высотой 3000-3300мм</t>
  </si>
  <si>
    <t>МАТ.ПЕРЕГ.ТР.003</t>
  </si>
  <si>
    <t>Доводчик напольный 840-20-90 (SSS)</t>
  </si>
  <si>
    <t>МАТ.ПЕРЕГ.ТР.004</t>
  </si>
  <si>
    <t>Доводчик скрытый 850-25 (SSS)</t>
  </si>
  <si>
    <t>МАТ.ПЕРЕГ.ТР.005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</si>
  <si>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</si>
  <si>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МАТ.ПЕРЕГ.ТР.006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</si>
  <si>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</si>
  <si>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МАТ.ПЕРЕГ.ТР.007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</si>
  <si>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</si>
  <si>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МАТ.ПЕРЕГ.ТР.008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</si>
  <si>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</si>
  <si>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МАТ.ПЕРЕГ.ТР.009</t>
  </si>
  <si>
    <t>МАТ.ПЕРЕГ.ТР.010</t>
  </si>
  <si>
    <t>Цилиндр с заверткой для среднего замка</t>
  </si>
  <si>
    <t>МАТ.ПОЛ.КГ.001</t>
  </si>
  <si>
    <t>Atlas Concorde Forte dei Marmi Rock Tiffany White 60x120 Mat</t>
  </si>
  <si>
    <t>Отделкино</t>
  </si>
  <si>
    <t>Керамогранит</t>
  </si>
  <si>
    <t>цена за плитку без монтажных материалов</t>
  </si>
  <si>
    <t>МАТ.ПОЛ.КГ.002</t>
  </si>
  <si>
    <t>Atlas Concorde Forte dei Marmi Rock Tiffany White 80x160 Mat</t>
  </si>
  <si>
    <t>МАТ.ПОЛ.КГ.003</t>
  </si>
  <si>
    <t>Atlas Concorde Rin. Grey 60x120/Ринашенте Грей 60X120</t>
  </si>
  <si>
    <t>МАТ.ПОЛ.КГ.004</t>
  </si>
  <si>
    <t>Atlas Concorde Rin. Grey 80x80/Ринашенте Грей 80X80</t>
  </si>
  <si>
    <t>МАТ.ПОЛ.КГ.005</t>
  </si>
  <si>
    <t>Atlas Concorde Rinascente IVORY 600х1200х9 с затиркой швов.</t>
  </si>
  <si>
    <t>МАТ.ПОЛ.КГ.006</t>
  </si>
  <si>
    <t>Atlas Concorde Rinascente PEARL 600х1200х9 с затиркой швов.</t>
  </si>
  <si>
    <t>МАТ.ПОЛ.КГ.007</t>
  </si>
  <si>
    <t>Atlas Concorde Rinascente SMOKE 600х1200х9 с затиркой швов.</t>
  </si>
  <si>
    <t>МАТ.ПОЛ.КГ.008</t>
  </si>
  <si>
    <t>Терраццо серый светлый обрезной арт. SG632400R</t>
  </si>
  <si>
    <t>Керамогрес</t>
  </si>
  <si>
    <t>Kerama Marazzi</t>
  </si>
  <si>
    <t>МАТ.ПОЛ.МОД.001</t>
  </si>
  <si>
    <t>Ковровая плитка Desso Grezzo AB64 7923 (зеленый) КМ3</t>
  </si>
  <si>
    <t>Desso</t>
  </si>
  <si>
    <t>Интерьерные решения</t>
  </si>
  <si>
    <t>EUR</t>
  </si>
  <si>
    <t>Ковровая плитка</t>
  </si>
  <si>
    <t>МАТ.ПОЛ.МОД.002</t>
  </si>
  <si>
    <t>Ковровая плитка Desso Grezzo AB64 8904 (cиний) КМ3</t>
  </si>
  <si>
    <t>МАТ.ПОЛ.МОД.003</t>
  </si>
  <si>
    <t>Ковровая плитка Desso Grezzo AB64 9027 (серый светлый) КМ3</t>
  </si>
  <si>
    <t>МАТ.ПОЛ.МОД.004</t>
  </si>
  <si>
    <t>Ковровая плитка Desso Grezzo AB64 9033 (серый темный) КМ3</t>
  </si>
  <si>
    <t>МАТ.ПОЛ.МОД.005</t>
  </si>
  <si>
    <t>Коммерческая ПВХ плитка ADO Floor 4020 мм, толщина 5мм, размер 305Х610мм, КМ2 с учетом клея фиксатора и подрезки 10%</t>
  </si>
  <si>
    <t>Опус-Контракт</t>
  </si>
  <si>
    <t>ПВХ</t>
  </si>
  <si>
    <t>МАТ.ПОТОЛОК.001</t>
  </si>
  <si>
    <t>УПТК (акуст. потолки)</t>
  </si>
  <si>
    <t>Акустические потолки</t>
  </si>
  <si>
    <t>МАТ.ПОТОЛОК.002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</si>
  <si>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</si>
  <si>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МАТ.ПОТОЛОК.003</t>
  </si>
  <si>
    <t>Потолочный акустический остров цвет: белый, форма круг D=1200мм, толщ. 40мм, в комплекте с подвесами</t>
  </si>
  <si>
    <t>МАТ.ПОТОЛОК.004</t>
  </si>
  <si>
    <t>МАТ.ПОТОЛОК.005</t>
  </si>
  <si>
    <t>Потолочный акустический остров цвет: белый, форма прямоугольник, размеры 1190 х 293 мм., толщ. 40мм, в комплекте с подвесами</t>
  </si>
  <si>
    <t>МАТ.РАД.001</t>
  </si>
  <si>
    <t>Монтажный комплект RIFAR 3/4 для радиаторов MONOLIT/SUPReMO</t>
  </si>
  <si>
    <t>R.Ad.G34MS</t>
  </si>
  <si>
    <t>RIFAR</t>
  </si>
  <si>
    <t>ТМ Инвест</t>
  </si>
  <si>
    <t>Радиаторы</t>
  </si>
  <si>
    <t>радиатор в сборе</t>
  </si>
  <si>
    <t>МАТ.РАД.002</t>
  </si>
  <si>
    <t>Монтажный комплект RIFAR 3/4 для радиаторов MONOLIT/SUPReMO Хром</t>
  </si>
  <si>
    <t>R.Ad.G34MSХ</t>
  </si>
  <si>
    <t>МАТ.РАД.003</t>
  </si>
  <si>
    <t>Радиатор биметаллический RIFAR BASE 200 10 секц. бок.</t>
  </si>
  <si>
    <t>R-BA-200-10</t>
  </si>
  <si>
    <t>МАТ.РАД.004</t>
  </si>
  <si>
    <t>Радиатор биметаллический RIFAR BASE 350 10 секц. бок.</t>
  </si>
  <si>
    <t>R-BA-350-10</t>
  </si>
  <si>
    <t>МАТ.РАД.005</t>
  </si>
  <si>
    <t>Радиатор биметаллический RIFAR BASE 500 10 секц. бок.</t>
  </si>
  <si>
    <t>R-BA-500-10</t>
  </si>
  <si>
    <t>МАТ.РАД.006</t>
  </si>
  <si>
    <t>Радиатор биметаллический RIFAR BASE Ventil 200 04 секц. нижн. прав.</t>
  </si>
  <si>
    <t>R-BA-200-04-VR</t>
  </si>
  <si>
    <t>МАТ.РАД.007</t>
  </si>
  <si>
    <t>Радиатор биметаллический RIFAR BASE Ventil 200 05 секц. нижн. прав.</t>
  </si>
  <si>
    <t>R-BA-200-05-VR</t>
  </si>
  <si>
    <t>МАТ.РАД.008</t>
  </si>
  <si>
    <t>Радиатор биметаллический RIFAR BASE Ventil 200 07 секц. нижн. прав.</t>
  </si>
  <si>
    <t>R-BA-200-07-VR</t>
  </si>
  <si>
    <t>МАТ.РАД.009</t>
  </si>
  <si>
    <t>Радиатор биметаллический RIFAR BASE Ventil 200 08 секц. нижн. прав.</t>
  </si>
  <si>
    <t>R-BA-200-08-VR</t>
  </si>
  <si>
    <t>МАТ.РАД.010</t>
  </si>
  <si>
    <t>Радиатор биметаллический RIFAR BASE Ventil 200 10 секц. нижн. прав.</t>
  </si>
  <si>
    <t>R-BA-200-10-VR</t>
  </si>
  <si>
    <t>МАТ.РАД.011</t>
  </si>
  <si>
    <t>Радиатор биметаллический RIFAR BASE Ventil 200 11 секц. нижн. прав.</t>
  </si>
  <si>
    <t>R-BA-200-11-VR</t>
  </si>
  <si>
    <t>МАТ.РАД.012</t>
  </si>
  <si>
    <t>Радиатор биметаллический RIFAR BASE Ventil 200 12 секц. нижн. прав.</t>
  </si>
  <si>
    <t>R-BA-200-12-VR</t>
  </si>
  <si>
    <t>МАТ.РАД.013</t>
  </si>
  <si>
    <t>Радиатор биметаллический RIFAR BASE Ventil 200 13 секц. нижн. прав.</t>
  </si>
  <si>
    <t>R-BA-200-13-VR</t>
  </si>
  <si>
    <t>МАТ.РАД.014</t>
  </si>
  <si>
    <t>Радиатор биметаллический RIFAR BASE Ventil 200 14 секц. нижн. прав.</t>
  </si>
  <si>
    <t>R-BA-200-14-VR</t>
  </si>
  <si>
    <t>МАТ.РАД.015</t>
  </si>
  <si>
    <t>Радиатор биметаллический RIFAR BASE Ventil 350 04 секц. нижн. прав.</t>
  </si>
  <si>
    <t>R-BA-350-04-VR</t>
  </si>
  <si>
    <t>МАТ.РАД.016</t>
  </si>
  <si>
    <t>Радиатор биметаллический RIFAR BASE Ventil 350 05 секц. нижн. прав.</t>
  </si>
  <si>
    <t>R-BA-350-05-VR</t>
  </si>
  <si>
    <t>МАТ.РАД.017</t>
  </si>
  <si>
    <t>Радиатор биметаллический RIFAR BASE Ventil 350 06 секц. нижн. прав.</t>
  </si>
  <si>
    <t>R-BA-350-06-VR</t>
  </si>
  <si>
    <t>МАТ.РАД.018</t>
  </si>
  <si>
    <t>Радиатор биметаллический RIFAR BASE Ventil 350 07 секц. нижн. прав.</t>
  </si>
  <si>
    <t>R-BA-350-07-VR</t>
  </si>
  <si>
    <t>МАТ.РАД.019</t>
  </si>
  <si>
    <t>Радиатор биметаллический RIFAR BASE Ventil 350 08 секц. нижн. прав.</t>
  </si>
  <si>
    <t>R-BA-350-08-VR</t>
  </si>
  <si>
    <t>МАТ.РАД.020</t>
  </si>
  <si>
    <t>Радиатор биметаллический RIFAR BASE Ventil 350 09 секц. нижн. прав.</t>
  </si>
  <si>
    <t>R-BA-350-09-VR</t>
  </si>
  <si>
    <t>МАТ.РАД.021</t>
  </si>
  <si>
    <t>Радиатор биметаллический RIFAR BASE Ventil 350 10 секц. нижн. прав.</t>
  </si>
  <si>
    <t>R-BA-350-10-VR</t>
  </si>
  <si>
    <t>МАТ.РАД.022</t>
  </si>
  <si>
    <t>Радиатор биметаллический RIFAR BASE Ventil 350 11 секц. нижн. прав.</t>
  </si>
  <si>
    <t>R-BA-350-11-VR</t>
  </si>
  <si>
    <t>МАТ.РАД.023</t>
  </si>
  <si>
    <t>Радиатор биметаллический RIFAR BASE Ventil 350 12 секц. нижн. прав.</t>
  </si>
  <si>
    <t>R-BA-350-12-VR</t>
  </si>
  <si>
    <t>МАТ.РАД.024</t>
  </si>
  <si>
    <t>Радиатор биметаллический RIFAR BASE Ventil 350 13 секц. нижн. прав.</t>
  </si>
  <si>
    <t>R-BA-350-13-VR</t>
  </si>
  <si>
    <t>МАТ.РАД.025</t>
  </si>
  <si>
    <t>Радиатор биметаллический RIFAR BASE Ventil 350 14 секц. нижн. прав.</t>
  </si>
  <si>
    <t>R-BA-350-14-VR</t>
  </si>
  <si>
    <t>МАТ.РАД.026</t>
  </si>
  <si>
    <t>Радиатор биметаллический RIFAR BASE Ventil 500 04 секц. нижн. прав.</t>
  </si>
  <si>
    <t>R-BA-500-04-VR</t>
  </si>
  <si>
    <t>МАТ.РАД.027</t>
  </si>
  <si>
    <t>Радиатор биметаллический RIFAR BASE Ventil 500 05 секц. нижн. прав.</t>
  </si>
  <si>
    <t>R-BA-500-05-VR</t>
  </si>
  <si>
    <t>МАТ.РАД.028</t>
  </si>
  <si>
    <t>Радиатор биметаллический RIFAR BASE Ventil 500 06 секц. нижн. прав.</t>
  </si>
  <si>
    <t>R-BA-500-06-VR</t>
  </si>
  <si>
    <t>МАТ.РАД.029</t>
  </si>
  <si>
    <t>Радиатор биметаллический RIFAR BASE Ventil 500 07 секц. нижн. прав.</t>
  </si>
  <si>
    <t>R-BA-500-07-VR</t>
  </si>
  <si>
    <t>МАТ.РАД.030</t>
  </si>
  <si>
    <t>Радиатор биметаллический RIFAR BASE Ventil 500 08 секц. нижн. прав.</t>
  </si>
  <si>
    <t>R-BA-500-08-VR</t>
  </si>
  <si>
    <t>МАТ.РАД.031</t>
  </si>
  <si>
    <t>Радиатор биметаллический RIFAR BASE Ventil 500 09 секц. нижн. прав.</t>
  </si>
  <si>
    <t>R-BA-500-09-VR</t>
  </si>
  <si>
    <t>МАТ.РАД.032</t>
  </si>
  <si>
    <t>Радиатор биметаллический RIFAR BASE Ventil 500 10 секц. нижн. прав.</t>
  </si>
  <si>
    <t>R-BA-500-10-VR</t>
  </si>
  <si>
    <t>МАТ.РАД.033</t>
  </si>
  <si>
    <t>Радиатор биметаллический RIFAR BASE Ventil 500 11 секц. нижн. прав.</t>
  </si>
  <si>
    <t>R-BA-500-11-VR</t>
  </si>
  <si>
    <t>МАТ.РАД.034</t>
  </si>
  <si>
    <t>Радиатор биметаллический RIFAR BASE Ventil 500 12 секц. нижн. прав.</t>
  </si>
  <si>
    <t>R-BA-500-12-VR</t>
  </si>
  <si>
    <t>МАТ.РАД.035</t>
  </si>
  <si>
    <t>Радиатор биметаллический RIFAR BASE Ventil 500 13 секц. нижн. прав.</t>
  </si>
  <si>
    <t>R-BA-500-13-VR</t>
  </si>
  <si>
    <t>МАТ.РАД.036</t>
  </si>
  <si>
    <t>Радиатор биметаллический RIFAR BASE Ventil 500 14 секц. нижн. прав.</t>
  </si>
  <si>
    <t>R-BA-500-14-VR</t>
  </si>
  <si>
    <t>МАТ.РАД.037</t>
  </si>
  <si>
    <t>Радиатор биметаллический RIFAR ECOBUILD 300 10 секц. бок.</t>
  </si>
  <si>
    <t>R-EB-300-10</t>
  </si>
  <si>
    <t>МАТ.РАД.038</t>
  </si>
  <si>
    <t>Радиатор биметаллический RIFAR ECOBUILD 500 10 секц. бок.</t>
  </si>
  <si>
    <t>R-EB-500-10</t>
  </si>
  <si>
    <t>МАТ.РАД.039</t>
  </si>
  <si>
    <t>Радиатор биметаллический RIFAR ECOBUILD Ventil 300 04 секц. нижн. прав.</t>
  </si>
  <si>
    <t>R-EB-300-04-VR</t>
  </si>
  <si>
    <t>МАТ.РАД.040</t>
  </si>
  <si>
    <t>Радиатор биметаллический RIFAR ECOBUILD Ventil 300 05 секц. нижн. прав.</t>
  </si>
  <si>
    <t>R-EB-300-05-VR</t>
  </si>
  <si>
    <t>МАТ.РАД.041</t>
  </si>
  <si>
    <t>Радиатор биметаллический RIFAR ECOBUILD Ventil 300 06 секц. нижн. прав.</t>
  </si>
  <si>
    <t>R-EB-300-06-VR</t>
  </si>
  <si>
    <t>МАТ.РАД.042</t>
  </si>
  <si>
    <t>Радиатор биметаллический RIFAR ECOBUILD Ventil 300 07 секц. нижн. прав.</t>
  </si>
  <si>
    <t>R-EB-300-07-VR</t>
  </si>
  <si>
    <t>МАТ.РАД.043</t>
  </si>
  <si>
    <t>Радиатор биметаллический RIFAR ECOBUILD Ventil 300 08 секц. нижн. прав.</t>
  </si>
  <si>
    <t>R-EB-300-08-VR</t>
  </si>
  <si>
    <t>МАТ.РАД.044</t>
  </si>
  <si>
    <t>Радиатор биметаллический RIFAR ECOBUILD Ventil 300 09 секц. нижн. прав.</t>
  </si>
  <si>
    <t>R-EB-300-09-VR</t>
  </si>
  <si>
    <t>МАТ.РАД.045</t>
  </si>
  <si>
    <t>Радиатор биметаллический RIFAR ECOBUILD Ventil 300 10 секц. нижн. прав.</t>
  </si>
  <si>
    <t>R-EB-300-10-VR</t>
  </si>
  <si>
    <t>МАТ.РАД.046</t>
  </si>
  <si>
    <t>Радиатор биметаллический RIFAR ECOBUILD Ventil 300 11 секц. нижн. прав.</t>
  </si>
  <si>
    <t>R-EB-300-11-VR</t>
  </si>
  <si>
    <t>МАТ.РАД.047</t>
  </si>
  <si>
    <t>Радиатор биметаллический RIFAR ECOBUILD Ventil 300 12 секц. нижн. прав.</t>
  </si>
  <si>
    <t>R-EB-300-12-VR</t>
  </si>
  <si>
    <t>МАТ.РАД.048</t>
  </si>
  <si>
    <t>Радиатор биметаллический RIFAR ECOBUILD Ventil 300 13 секц. нижн. прав.</t>
  </si>
  <si>
    <t>R-EB-300-13-VR</t>
  </si>
  <si>
    <t>МАТ.РАД.049</t>
  </si>
  <si>
    <t>Радиатор биметаллический RIFAR ECOBUILD Ventil 300 14 секц. нижн. прав.</t>
  </si>
  <si>
    <t>R-EB-300-14-VR</t>
  </si>
  <si>
    <t>МАТ.РАД.050</t>
  </si>
  <si>
    <t>Радиатор биметаллический RIFAR ECOBUILD Ventil 500 04 секц. нижн. прав.</t>
  </si>
  <si>
    <t>R-EB-500-04-VR</t>
  </si>
  <si>
    <t>МАТ.РАД.051</t>
  </si>
  <si>
    <t>Радиатор биметаллический RIFAR ECOBUILD Ventil 500 05 секц. нижн. прав.</t>
  </si>
  <si>
    <t>R-EB-500-05-VR</t>
  </si>
  <si>
    <t>МАТ.РАД.052</t>
  </si>
  <si>
    <t>Радиатор биметаллический RIFAR ECOBUILD Ventil 500 06 секц. нижн. прав.</t>
  </si>
  <si>
    <t>R-EB-500-06-VR</t>
  </si>
  <si>
    <t>МАТ.РАД.053</t>
  </si>
  <si>
    <t>Радиатор биметаллический RIFAR ECOBUILD Ventil 500 07 секц. нижн. прав.</t>
  </si>
  <si>
    <t>R-EB-500-07-VR</t>
  </si>
  <si>
    <t>МАТ.РАД.054</t>
  </si>
  <si>
    <t>Радиатор биметаллический RIFAR ECOBUILD Ventil 500 08 секц. нижн. прав.</t>
  </si>
  <si>
    <t>R-EB-500-08-VR</t>
  </si>
  <si>
    <t>МАТ.РАД.055</t>
  </si>
  <si>
    <t>Радиатор биметаллический RIFAR ECOBUILD Ventil 500 09 секц. нижн. прав.</t>
  </si>
  <si>
    <t>R-EB-500-09-VR</t>
  </si>
  <si>
    <t>МАТ.РАД.056</t>
  </si>
  <si>
    <t>Радиатор биметаллический RIFAR ECOBUILD Ventil 500 10 секц. нижн. прав.</t>
  </si>
  <si>
    <t>R-EB-500-10-VR</t>
  </si>
  <si>
    <t>МАТ.РАД.057</t>
  </si>
  <si>
    <t>Радиатор биметаллический RIFAR ECOBUILD Ventil 500 11 секц. нижн. прав.</t>
  </si>
  <si>
    <t>R-EB-500-11-VR</t>
  </si>
  <si>
    <t>МАТ.РАД.058</t>
  </si>
  <si>
    <t>Радиатор биметаллический RIFAR ECOBUILD Ventil 500 12 секц. нижн. прав.</t>
  </si>
  <si>
    <t>R-EB-500-12-VR</t>
  </si>
  <si>
    <t>МАТ.РАД.059</t>
  </si>
  <si>
    <t>Радиатор биметаллический RIFAR ECOBUILD Ventil 500 13 секц. нижн. прав.</t>
  </si>
  <si>
    <t>R-EB-500-13-VR</t>
  </si>
  <si>
    <t>МАТ.РАД.060</t>
  </si>
  <si>
    <t>Радиатор биметаллический RIFAR ECOBUILD Ventil 500 14 секц. нижн. прав.</t>
  </si>
  <si>
    <t>R-EB-500-14-VR</t>
  </si>
  <si>
    <t>МАТ.РАД.061</t>
  </si>
  <si>
    <t>Радиатор биметаллический RIFAR MONOLIT 300 10 секц. бок.</t>
  </si>
  <si>
    <t>R-MN-300-10</t>
  </si>
  <si>
    <t>МАТ.РАД.062</t>
  </si>
  <si>
    <t>Радиатор биметаллический RIFAR MONOLIT 350 10 секц. бок.</t>
  </si>
  <si>
    <t>R-MN-350-10</t>
  </si>
  <si>
    <t>МАТ.РАД.063</t>
  </si>
  <si>
    <t>Радиатор биметаллический RIFAR MONOLIT 500 10 секц. бок.</t>
  </si>
  <si>
    <t>R-MN-500-10</t>
  </si>
  <si>
    <t>МАТ.РАД.064</t>
  </si>
  <si>
    <t>Радиатор биметаллический RIFAR MONOLIT Ventil 300 04 секц. нижн. прав.</t>
  </si>
  <si>
    <t>R-MN-300-04-VR</t>
  </si>
  <si>
    <t>МАТ.РАД.065</t>
  </si>
  <si>
    <t>Радиатор биметаллический RIFAR MONOLIT Ventil 300 05 секц. нижн. прав.</t>
  </si>
  <si>
    <t>R-MN-300-05-VR</t>
  </si>
  <si>
    <t>МАТ.РАД.066</t>
  </si>
  <si>
    <t>Радиатор биметаллический RIFAR MONOLIT Ventil 300 06 секц. нижн. прав.</t>
  </si>
  <si>
    <t>R-MN-300-06-VR</t>
  </si>
  <si>
    <t>МАТ.РАД.067</t>
  </si>
  <si>
    <t>Радиатор биметаллический RIFAR MONOLIT Ventil 300 07 секц. нижн. прав.</t>
  </si>
  <si>
    <t>R-MN-300-07-VR</t>
  </si>
  <si>
    <t>МАТ.РАД.068</t>
  </si>
  <si>
    <t>Радиатор биметаллический RIFAR MONOLIT Ventil 300 08 секц. нижн. прав.</t>
  </si>
  <si>
    <t>R-MN-300-08-VR</t>
  </si>
  <si>
    <t>МАТ.РАД.069</t>
  </si>
  <si>
    <t>Радиатор биметаллический RIFAR MONOLIT Ventil 300 09 секц. нижн. прав.</t>
  </si>
  <si>
    <t>R-MN-300-09-VR</t>
  </si>
  <si>
    <t>МАТ.РАД.070</t>
  </si>
  <si>
    <t>Радиатор биметаллический RIFAR MONOLIT Ventil 300 10 секц. нижн. прав.</t>
  </si>
  <si>
    <t>R-MN-300-10-VR</t>
  </si>
  <si>
    <t>МАТ.РАД.071</t>
  </si>
  <si>
    <t>Радиатор биметаллический RIFAR MONOLIT Ventil 300 11 секц. нижн. прав.</t>
  </si>
  <si>
    <t>R-MN-300-11-VR</t>
  </si>
  <si>
    <t>МАТ.РАД.072</t>
  </si>
  <si>
    <t>Радиатор биметаллический RIFAR MONOLIT Ventil 300 12 секц. нижн. прав.</t>
  </si>
  <si>
    <t>R-MN-300-12-VR</t>
  </si>
  <si>
    <t>МАТ.РАД.073</t>
  </si>
  <si>
    <t>Радиатор биметаллический RIFAR MONOLIT Ventil 300 13 секц. нижн. прав.</t>
  </si>
  <si>
    <t>R-MN-300-13-VR</t>
  </si>
  <si>
    <t>МАТ.РАД.074</t>
  </si>
  <si>
    <t>Радиатор биметаллический RIFAR MONOLIT Ventil 300 14 секц. нижн. прав.</t>
  </si>
  <si>
    <t>R-MN-300-14-VR</t>
  </si>
  <si>
    <t>МАТ.РАД.075</t>
  </si>
  <si>
    <t>Радиатор биметаллический RIFAR MONOLIT Ventil 350 04 секц. нижн. прав.</t>
  </si>
  <si>
    <t>R-MN-350-04-VR</t>
  </si>
  <si>
    <t>МАТ.РАД.076</t>
  </si>
  <si>
    <t>Радиатор биметаллический RIFAR MONOLIT Ventil 350 05 секц. нижн. прав.</t>
  </si>
  <si>
    <t>R-MN-350-05-VR</t>
  </si>
  <si>
    <t>МАТ.РАД.077</t>
  </si>
  <si>
    <t>Радиатор биметаллический RIFAR MONOLIT Ventil 350 06 секц. нижн. прав.</t>
  </si>
  <si>
    <t>R-MN-350-06-VR</t>
  </si>
  <si>
    <t>МАТ.РАД.078</t>
  </si>
  <si>
    <t>Радиатор биметаллический RIFAR MONOLIT Ventil 350 07 секц. нижн. прав.</t>
  </si>
  <si>
    <t>R-MN-350-07-VR</t>
  </si>
  <si>
    <t>МАТ.РАД.079</t>
  </si>
  <si>
    <t>Радиатор биметаллический RIFAR MONOLIT Ventil 350 08 секц. нижн. прав.</t>
  </si>
  <si>
    <t>R-MN-350-08-VR</t>
  </si>
  <si>
    <t>МАТ.РАД.080</t>
  </si>
  <si>
    <t>Радиатор биметаллический RIFAR MONOLIT Ventil 350 09 секц. нижн. прав.</t>
  </si>
  <si>
    <t>R-MN-350-09-VR</t>
  </si>
  <si>
    <t>МАТ.РАД.081</t>
  </si>
  <si>
    <t>Радиатор биметаллический RIFAR MONOLIT Ventil 350 10 секц. нижн. прав.</t>
  </si>
  <si>
    <t>R-MN-350-10-VR</t>
  </si>
  <si>
    <t>МАТ.РАД.082</t>
  </si>
  <si>
    <t>Радиатор биметаллический RIFAR MONOLIT Ventil 350 11 секц. нижн. прав.</t>
  </si>
  <si>
    <t>R-MN-350-11-VR</t>
  </si>
  <si>
    <t>МАТ.РАД.083</t>
  </si>
  <si>
    <t>Радиатор биметаллический RIFAR MONOLIT Ventil 350 12 секц. нижн. прав.</t>
  </si>
  <si>
    <t>R-MN-350-12-VR</t>
  </si>
  <si>
    <t>МАТ.РАД.084</t>
  </si>
  <si>
    <t>Радиатор биметаллический RIFAR MONOLIT Ventil 350 13 секц. нижн. прав.</t>
  </si>
  <si>
    <t>R-MN-350-13-VR</t>
  </si>
  <si>
    <t>МАТ.РАД.085</t>
  </si>
  <si>
    <t>Радиатор биметаллический RIFAR MONOLIT Ventil 350 14 секц. нижн. прав.</t>
  </si>
  <si>
    <t>R-MN-350-14-VR</t>
  </si>
  <si>
    <t>МАТ.РАД.086</t>
  </si>
  <si>
    <t>Радиатор биметаллический RIFAR MONOLIT Ventil 500 04 секц. нижн. прав.</t>
  </si>
  <si>
    <t>R-MN-500-04-VR</t>
  </si>
  <si>
    <t>МАТ.РАД.087</t>
  </si>
  <si>
    <t>Радиатор биметаллический RIFAR MONOLIT Ventil 500 05 секц. нижн. прав.</t>
  </si>
  <si>
    <t>R-MN-500-05-VR</t>
  </si>
  <si>
    <t>МАТ.РАД.088</t>
  </si>
  <si>
    <t>Радиатор биметаллический RIFAR MONOLIT Ventil 500 06 секц. нижн. прав.</t>
  </si>
  <si>
    <t>R-MN-500-06-VR</t>
  </si>
  <si>
    <t>МАТ.РАД.089</t>
  </si>
  <si>
    <t>Радиатор биметаллический RIFAR MONOLIT Ventil 500 07 секц. нижн. прав.</t>
  </si>
  <si>
    <t>R-MN-500-07-VR</t>
  </si>
  <si>
    <t>МАТ.РАД.090</t>
  </si>
  <si>
    <t>Радиатор биметаллический RIFAR MONOLIT Ventil 500 08 секц. нижн. прав.</t>
  </si>
  <si>
    <t>R-MN-500-08-VR</t>
  </si>
  <si>
    <t>МАТ.РАД.091</t>
  </si>
  <si>
    <t>Радиатор биметаллический RIFAR MONOLIT Ventil 500 09 секц. нижн. прав.</t>
  </si>
  <si>
    <t>R-MN-500-09-VR</t>
  </si>
  <si>
    <t>МАТ.РАД.092</t>
  </si>
  <si>
    <t>Радиатор биметаллический RIFAR MONOLIT Ventil 500 10 секц. нижн. прав.</t>
  </si>
  <si>
    <t>R-MN-500-10-VR</t>
  </si>
  <si>
    <t>МАТ.РАД.093</t>
  </si>
  <si>
    <t>Радиатор биметаллический RIFAR MONOLIT Ventil 500 11 секц. нижн. прав.</t>
  </si>
  <si>
    <t>R-MN-500-11-VR</t>
  </si>
  <si>
    <t>МАТ.РАД.094</t>
  </si>
  <si>
    <t>Радиатор биметаллический RIFAR MONOLIT Ventil 500 12 секц. нижн. прав.</t>
  </si>
  <si>
    <t>R-MN-500-12-VR</t>
  </si>
  <si>
    <t>МАТ.РАД.095</t>
  </si>
  <si>
    <t>Радиатор биметаллический RIFAR MONOLIT Ventil 500 13 секц. нижн. прав.</t>
  </si>
  <si>
    <t>R-MN-500-13-VR</t>
  </si>
  <si>
    <t>МАТ.РАД.096</t>
  </si>
  <si>
    <t>Радиатор биметаллический RIFAR MONOLIT Ventil 500 14 секц. нижн. прав.</t>
  </si>
  <si>
    <t>R-MN-500-14-VR</t>
  </si>
  <si>
    <t>МАТ.РАД.097</t>
  </si>
  <si>
    <t>Радиатор биметаллический RIFAR SUPReMO 350 10 секц. бок.</t>
  </si>
  <si>
    <t>R-SU-350-10</t>
  </si>
  <si>
    <t>МАТ.РАД.098</t>
  </si>
  <si>
    <t>Радиатор биметаллический RIFAR SUPReMO 500 10 секц. бок.</t>
  </si>
  <si>
    <t>R-SU-500-10</t>
  </si>
  <si>
    <t>МАТ.РАД.099</t>
  </si>
  <si>
    <t>Радиатор биметаллический RIFAR SUPReMO 800 10 секц. бок.</t>
  </si>
  <si>
    <t>R-SU-800-10</t>
  </si>
  <si>
    <t>МАТ.РАД.100</t>
  </si>
  <si>
    <t>Радиатор биметаллический RIFAR SUPReMO Ventil 350 04 секц. нижн. прав.</t>
  </si>
  <si>
    <t>R-SU-350-04-VR</t>
  </si>
  <si>
    <t>МАТ.РАД.101</t>
  </si>
  <si>
    <t>Радиатор биметаллический RIFAR SUPReMO Ventil 350 05 секц. нижн. прав.</t>
  </si>
  <si>
    <t>R-SU-350-05-VR</t>
  </si>
  <si>
    <t>МАТ.РАД.102</t>
  </si>
  <si>
    <t>Радиатор биметаллический RIFAR SUPReMO Ventil 350 06 секц. нижн. прав.</t>
  </si>
  <si>
    <t>R-SU-350-06-VR</t>
  </si>
  <si>
    <t>МАТ.РАД.103</t>
  </si>
  <si>
    <t>Радиатор биметаллический RIFAR SUPReMO Ventil 350 07 секц. нижн. прав.</t>
  </si>
  <si>
    <t>R-SU-350-07-VR</t>
  </si>
  <si>
    <t>МАТ.РАД.104</t>
  </si>
  <si>
    <t>Радиатор биметаллический RIFAR SUPReMO Ventil 350 08 секц. нижн. прав.</t>
  </si>
  <si>
    <t>R-SU-350-08-VR</t>
  </si>
  <si>
    <t>МАТ.РАД.105</t>
  </si>
  <si>
    <t>Радиатор биметаллический RIFAR SUPReMO Ventil 350 09 секц. нижн. прав.</t>
  </si>
  <si>
    <t>R-SU-350-09-VR</t>
  </si>
  <si>
    <t>МАТ.РАД.106</t>
  </si>
  <si>
    <t>Радиатор биметаллический RIFAR SUPReMO Ventil 350 10 секц. нижн. прав.</t>
  </si>
  <si>
    <t>R-SU-350-10-VR</t>
  </si>
  <si>
    <t>МАТ.РАД.107</t>
  </si>
  <si>
    <t>Радиатор биметаллический RIFAR SUPReMO Ventil 350 11 секц. нижн. прав.</t>
  </si>
  <si>
    <t>R-SU-350-11-VR</t>
  </si>
  <si>
    <t>МАТ.РАД.108</t>
  </si>
  <si>
    <t>Радиатор биметаллический RIFAR SUPReMO Ventil 350 12 секц. нижн. прав.</t>
  </si>
  <si>
    <t>R-SU-350-12-VR</t>
  </si>
  <si>
    <t>МАТ.РАД.109</t>
  </si>
  <si>
    <t>Радиатор биметаллический RIFAR SUPReMO Ventil 350 13 секц. нижн. прав.</t>
  </si>
  <si>
    <t>R-SU-350-13-VR</t>
  </si>
  <si>
    <t>МАТ.РАД.110</t>
  </si>
  <si>
    <t>Радиатор биметаллический RIFAR SUPReMO Ventil 350 14 секц. нижн. прав.</t>
  </si>
  <si>
    <t>R-SU-350-14-VR</t>
  </si>
  <si>
    <t>МАТ.РАД.111</t>
  </si>
  <si>
    <t>Радиатор биметаллический RIFAR SUPReMO Ventil 500 04 секц. нижн. прав.</t>
  </si>
  <si>
    <t>R-SU-500-04-VR</t>
  </si>
  <si>
    <t>МАТ.РАД.112</t>
  </si>
  <si>
    <t>Радиатор биметаллический RIFAR SUPReMO Ventil 500 05 секц. нижн. прав.</t>
  </si>
  <si>
    <t>R-SU-500-05-VR</t>
  </si>
  <si>
    <t>МАТ.РАД.113</t>
  </si>
  <si>
    <t>Радиатор биметаллический RIFAR SUPReMO Ventil 500 06 секц. нижн. прав.</t>
  </si>
  <si>
    <t>R-SU-500-06-VR</t>
  </si>
  <si>
    <t>МАТ.РАД.114</t>
  </si>
  <si>
    <t>Радиатор биметаллический RIFAR SUPReMO Ventil 500 07 секц. нижн. прав.</t>
  </si>
  <si>
    <t>R-SU-500-07-VR</t>
  </si>
  <si>
    <t>МАТ.РАД.115</t>
  </si>
  <si>
    <t>Радиатор биметаллический RIFAR SUPReMO Ventil 500 08 секц. нижн. прав.</t>
  </si>
  <si>
    <t>R-SU-500-08-VR</t>
  </si>
  <si>
    <t>МАТ.РАД.116</t>
  </si>
  <si>
    <t>Радиатор биметаллический RIFAR SUPReMO Ventil 500 09 секц. нижн. прав.</t>
  </si>
  <si>
    <t>R-SU-500-09-VR</t>
  </si>
  <si>
    <t>МАТ.РАД.117</t>
  </si>
  <si>
    <t>Радиатор биметаллический RIFAR SUPReMO Ventil 500 10 секц. нижн. прав.</t>
  </si>
  <si>
    <t>R-SU-500-10-VR</t>
  </si>
  <si>
    <t>МАТ.РАД.118</t>
  </si>
  <si>
    <t>Радиатор биметаллический RIFAR SUPReMO Ventil 500 11 секц. нижн. прав.</t>
  </si>
  <si>
    <t>R-SU-500-11-VR</t>
  </si>
  <si>
    <t>МАТ.РАД.119</t>
  </si>
  <si>
    <t>Радиатор биметаллический RIFAR SUPReMO Ventil 500 12 секц. нижн. прав.</t>
  </si>
  <si>
    <t>R-SU-500-12-VR</t>
  </si>
  <si>
    <t>МАТ.РАД.120</t>
  </si>
  <si>
    <t>Радиатор биметаллический RIFAR SUPReMO Ventil 500 13 секц. нижн. прав.</t>
  </si>
  <si>
    <t>R-SU-500-13-VR</t>
  </si>
  <si>
    <t>МАТ.РАД.121</t>
  </si>
  <si>
    <t>Радиатор биметаллический RIFAR SUPReMO Ventil 500 14 секц. нижн. прав.</t>
  </si>
  <si>
    <t>R-SU-500-14-VR</t>
  </si>
  <si>
    <t>МАТ.РАД.122</t>
  </si>
  <si>
    <t>Радиатор биметаллический RIFAR SUPReMO Ventil 800 04 секц. нижн. прав.</t>
  </si>
  <si>
    <t>R-SU-800-04-VR</t>
  </si>
  <si>
    <t>МАТ.РАД.123</t>
  </si>
  <si>
    <t>Радиатор биметаллический RIFAR SUPReMO Ventil 800 05 секц. нижн. прав.</t>
  </si>
  <si>
    <t>R-SU-800-05-VR</t>
  </si>
  <si>
    <t>МАТ.РАД.124</t>
  </si>
  <si>
    <t>Радиатор биметаллический RIFAR SUPReMO Ventil 800 06 секц. нижн. прав.</t>
  </si>
  <si>
    <t>R-SU-800-06-VR</t>
  </si>
  <si>
    <t>МАТ.РАД.125</t>
  </si>
  <si>
    <t>Радиатор биметаллический RIFAR SUPReMO Ventil 800 07 секц. нижн. прав.</t>
  </si>
  <si>
    <t>R-SU-800-07-VR</t>
  </si>
  <si>
    <t>МАТ.РАД.126</t>
  </si>
  <si>
    <t>Радиатор биметаллический RIFAR SUPReMO Ventil 800 08 секц. нижн. прав.</t>
  </si>
  <si>
    <t>R-SU-800-08-VR</t>
  </si>
  <si>
    <t>МАТ.РАД.127</t>
  </si>
  <si>
    <t>Радиатор биметаллический RIFAR SUPReMO Ventil 800 09 секц. нижн. прав.</t>
  </si>
  <si>
    <t>R-SU-800-09-VR</t>
  </si>
  <si>
    <t>МАТ.РАД.128</t>
  </si>
  <si>
    <t>Радиатор биметаллический RIFAR SUPReMO Ventil 800 10 секц. нижн. прав.</t>
  </si>
  <si>
    <t>R-SU-800-10-VR</t>
  </si>
  <si>
    <t>МАТ.РАД.129</t>
  </si>
  <si>
    <t>Радиатор биметаллический RIFAR SUPReMO Ventil 800 11 секц. нижн. прав.</t>
  </si>
  <si>
    <t>R-SU-800-11-VR</t>
  </si>
  <si>
    <t>МАТ.РАД.130</t>
  </si>
  <si>
    <t>Радиатор биметаллический RIFAR SUPReMO Ventil 800 12 секц. нижн. прав.</t>
  </si>
  <si>
    <t>R-SU-800-12-VR</t>
  </si>
  <si>
    <t>МАТ.РАД.131</t>
  </si>
  <si>
    <t>Радиатор биметаллический RIFAR SUPReMO Ventil 800 13 секц. нижн. прав.</t>
  </si>
  <si>
    <t>R-SU-800-13-VR</t>
  </si>
  <si>
    <t>МАТ.РАД.132</t>
  </si>
  <si>
    <t>Радиатор биметаллический RIFAR SUPReMO Ventil 800 14 секц. нижн. прав.</t>
  </si>
  <si>
    <t>R-SU-800-14-VR</t>
  </si>
  <si>
    <t>МАТ.РАД.133</t>
  </si>
  <si>
    <t>Радиатор трубчатый RIFAR TUBOG 2057 10 секц. бок.</t>
  </si>
  <si>
    <t>TUB 2057-10</t>
  </si>
  <si>
    <t>МАТ.РАД.134</t>
  </si>
  <si>
    <t>Радиатор трубчатый RIFAR TUBOG 2180 10 секц. бок.</t>
  </si>
  <si>
    <t>TUB 2180-10</t>
  </si>
  <si>
    <t>МАТ.РАД.135</t>
  </si>
  <si>
    <t>Радиатор трубчатый RIFAR TUBOG 3037 10 секц. бок.</t>
  </si>
  <si>
    <t>TUB 3037-10</t>
  </si>
  <si>
    <t>МАТ.РАД.136</t>
  </si>
  <si>
    <t>Трубка РЕХАУ из. нерж. стали для подкл. радиатора, Г-образная 16/250</t>
  </si>
  <si>
    <t>11096641002</t>
  </si>
  <si>
    <t>МАТ.РАД.137</t>
  </si>
  <si>
    <t>Узел подключения радиатора H-образный Arrowhead Element, прямой, 3/4"- 3/4" (без ниппелей)</t>
  </si>
  <si>
    <t>216033</t>
  </si>
  <si>
    <t>МАТ.РАД.КОМПЛ.001</t>
  </si>
  <si>
    <t>КОМПЛЕКТ МОНТАЖНЫЙ 1/2 универсальный белый без кронштейнов</t>
  </si>
  <si>
    <t>КМУ12</t>
  </si>
  <si>
    <t>МАТ.РАД.КОМПЛ.002</t>
  </si>
  <si>
    <t>КОМПЛЕКТ МОНТАЖНЫЙ 3/4 универсальный белый без кронштейнов</t>
  </si>
  <si>
    <t>КМУ34</t>
  </si>
  <si>
    <t>МАТ.РАД.КОМПЛ.003</t>
  </si>
  <si>
    <t>Кронштейн напольный RIFAR (комплект 2 шт.)</t>
  </si>
  <si>
    <t>R.Ad.SW01</t>
  </si>
  <si>
    <t>МАТ.РАД.КОМПЛ.004</t>
  </si>
  <si>
    <t>Кронштейн регулируемый RIFAR (комплект 2 шт.)</t>
  </si>
  <si>
    <t>R.Ad.SA01</t>
  </si>
  <si>
    <t>МАТ.РАД.КОМПЛ.005</t>
  </si>
  <si>
    <t>Монтажный комплект RIFAR 1/2</t>
  </si>
  <si>
    <t>R.Ad.G12</t>
  </si>
  <si>
    <t>МАТ.РАД.КОМПЛ.006</t>
  </si>
  <si>
    <t>Монтажный комплект RIFAR 3/4</t>
  </si>
  <si>
    <t>R.Ad.G34</t>
  </si>
  <si>
    <t>МАТ.РАД.КОМПЛ.007</t>
  </si>
  <si>
    <t>Узел нижнего подключения RIFAR для 2-трубных систем угловой G3/4"</t>
  </si>
  <si>
    <t>R.Ad.L01</t>
  </si>
  <si>
    <t>МАТ.РАД.КОМПЛ.008</t>
  </si>
  <si>
    <t>Узел нижней подводки "RIFAR" двойной прямой евроконус G 3/4"</t>
  </si>
  <si>
    <t>R.Ad.H01</t>
  </si>
  <si>
    <t>МАТ.РАД.КОМПЛ.009</t>
  </si>
  <si>
    <t>твек. 6.3. Кронштейн "RIFAR" штырьевой бел. плоский 8х180</t>
  </si>
  <si>
    <t>ТВЕК63</t>
  </si>
  <si>
    <t>МАТ.РАД.КОМПЛ.010</t>
  </si>
  <si>
    <t>твек. 6.7. Кронштейн "DUETTO" штырьевой бел. плоский 9х220</t>
  </si>
  <si>
    <t>ТВЕК67</t>
  </si>
  <si>
    <t>МАТ.РАД.КОМПЛ.011</t>
  </si>
  <si>
    <t>твек. 6.7.01 Кронштейн штырьевой бел. плоский 9х260</t>
  </si>
  <si>
    <t>ТВЕК6701</t>
  </si>
  <si>
    <t>МАТ.РАД.КОМПЛ.012</t>
  </si>
  <si>
    <t>твек. 6.8. Кронштейн SIRA RS штырьевой белый плоский 1,8 9х220</t>
  </si>
  <si>
    <t>ТВЕК68</t>
  </si>
  <si>
    <t>МАТ.РАД.КОМПЛ.013</t>
  </si>
  <si>
    <t>твек. 7.3. Кронштейн угл. универс. бел. "ЭЛЕГАНС" (2,0)</t>
  </si>
  <si>
    <t>ТВЕК73</t>
  </si>
  <si>
    <t>МАТ.РАД.КОМПЛ.014</t>
  </si>
  <si>
    <t>твек. 7.8. Кронштейн усил. угловой универсальный белый "Элеганс" 1,7</t>
  </si>
  <si>
    <t>ТВЕК78</t>
  </si>
  <si>
    <t>МАТ.РАД.КОМПЛ.015</t>
  </si>
  <si>
    <t>твек.10.1. Кронштейн напольный "RIFAR"</t>
  </si>
  <si>
    <t>ТВЕК101</t>
  </si>
  <si>
    <t>МАТ.СВЕТ.001</t>
  </si>
  <si>
    <t>ANT Conical D250, H120 9W-4000K Susp BLK - Светильник</t>
  </si>
  <si>
    <t>2207881_ BLK</t>
  </si>
  <si>
    <t>REFLECTA</t>
  </si>
  <si>
    <t>Рефлекта</t>
  </si>
  <si>
    <t>Освещение Рефлекта</t>
  </si>
  <si>
    <t>МАТ.СВЕТ.002</t>
  </si>
  <si>
    <t>ANT Conical D250, H120 9W-4000K Susp RAL 3020 - Светильник</t>
  </si>
  <si>
    <t>2207881_ RAL 3020</t>
  </si>
  <si>
    <t>МАТ.СВЕТ.003</t>
  </si>
  <si>
    <t>ANT Conical D400 9W-4000K Susp BLK - Светильник</t>
  </si>
  <si>
    <t>2207884_ BLK</t>
  </si>
  <si>
    <t>МАТ.СВЕТ.004</t>
  </si>
  <si>
    <t>ANT Conical D400 9W-4000K Susp RED RAL 3020- Светильник</t>
  </si>
  <si>
    <t>2207884_ RAL 3020</t>
  </si>
  <si>
    <t>МАТ.СВЕТ.005</t>
  </si>
  <si>
    <t>ANT Conical D600, H210 9W-4000K Susp BLK - Светильник</t>
  </si>
  <si>
    <t>2207887_ BLK</t>
  </si>
  <si>
    <t>МАТ.СВЕТ.006</t>
  </si>
  <si>
    <t>ANT Conical D600, H210 9W-4000K Susp RAL 3020 - Светильник</t>
  </si>
  <si>
    <t>2207887_RAL 3020</t>
  </si>
  <si>
    <t>МАТ.СВЕТ.007</t>
  </si>
  <si>
    <t>AURA ALFA 49W-4000K CRI 90 M1200x800 EDG (Triangle) - Светильник</t>
  </si>
  <si>
    <t>2204325</t>
  </si>
  <si>
    <t>МАТ.СВЕТ.008</t>
  </si>
  <si>
    <t>1400140</t>
  </si>
  <si>
    <t>МАТ.СВЕТ.009</t>
  </si>
  <si>
    <t>2309053_ WHI</t>
  </si>
  <si>
    <t>МАТ.СВЕТ.010</t>
  </si>
  <si>
    <t>Agat D80 35W-4000K CRI 90 M1200 Susp (драйвер выносной) WHI - Светильник</t>
  </si>
  <si>
    <t>2309027_ WHI</t>
  </si>
  <si>
    <t>МАТ.СВЕТ.011</t>
  </si>
  <si>
    <t>Agat D80 37W/mt-4000K CRI 90 2xL24 270mA ROW Susp WHI, L=2135mm - Светильник</t>
  </si>
  <si>
    <t>2309054_2135 WHI</t>
  </si>
  <si>
    <t>МАТ.СВЕТ.012</t>
  </si>
  <si>
    <t>Agat Vertical D80 12W-4000K CRI 90 H200 Susp (ceiling rose incl.) WHI - Светильник</t>
  </si>
  <si>
    <t>2409707_ WHI</t>
  </si>
  <si>
    <t>МАТ.СВЕТ.013</t>
  </si>
  <si>
    <t>Astra 1xD450 E27 max 40W Susp - Светильник</t>
  </si>
  <si>
    <t>2204207</t>
  </si>
  <si>
    <t>МАТ.СВЕТ.014</t>
  </si>
  <si>
    <t>Astra-Chino Sphere D300 E27 max 40W Susp - Светильник</t>
  </si>
  <si>
    <t>2308819</t>
  </si>
  <si>
    <t>МАТ.СВЕТ.015</t>
  </si>
  <si>
    <t>Astra-Chino Sphere D400 E27 max 40W Susp - Светильник</t>
  </si>
  <si>
    <t>2400475</t>
  </si>
  <si>
    <t>МАТ.СВЕТ.016</t>
  </si>
  <si>
    <t>CSVT FLORA-50 27 993х50х70 CRI80 4000 microprisma IP40 красный AB (в комплекте с подвесом и заглушками)</t>
  </si>
  <si>
    <t>Arlight/ЦСС</t>
  </si>
  <si>
    <t>ЭТМ</t>
  </si>
  <si>
    <t>Светильники ЭТМ</t>
  </si>
  <si>
    <t>МАТ.СВЕТ.017</t>
  </si>
  <si>
    <t>CSVT FLORA-50 36 1540х50х70 CRI80 4000 microprisma IP40 красный AB (в комплекте с подвесом и заглушками)</t>
  </si>
  <si>
    <t>МАТ.СВЕТ.018</t>
  </si>
  <si>
    <t>CSVT FLORA-50 52 1985х50х70 CRI80 4000 microprisma IP40 красный AB (в комплекте с подвесом и заглушками)</t>
  </si>
  <si>
    <t>МАТ.СВЕТ.019</t>
  </si>
  <si>
    <t>CSVT FLORA-50 70 3040х50х70 CRI80 4000 microprisma IP40 красный AB (в комплекте с подвесом и заглушками)</t>
  </si>
  <si>
    <t>МАТ.СВЕТ.020</t>
  </si>
  <si>
    <t>Calida MP ECO 16W/mt-4000K CRI 90 R-2850 Line_3575 ROW Susp BLK</t>
  </si>
  <si>
    <t>2204401_3575x60_ BLK</t>
  </si>
  <si>
    <t>МАТ.СВЕТ.021</t>
  </si>
  <si>
    <t>Calida MP ECO 16W/mt-4000K CRI 90 R-8620 Line_2500 ROW Susp BLK</t>
  </si>
  <si>
    <t>2204401_2500x60_ BLK</t>
  </si>
  <si>
    <t>МАТ.СВЕТ.022</t>
  </si>
  <si>
    <t>Calida MP ECO 16W/mt-4000K CRI 90 R-8620 Line_5764 ROW Susp BLK</t>
  </si>
  <si>
    <t>2204401_5764x60_ BLK</t>
  </si>
  <si>
    <t>МАТ.СВЕТ.023</t>
  </si>
  <si>
    <t>Calida MP ECO 16W/mt-4000K CRI 90 R-XXX Line_XXXX ROW Susp BLK</t>
  </si>
  <si>
    <t>2204401_XXXXx60_ BLK</t>
  </si>
  <si>
    <t>МАТ.СВЕТ.024</t>
  </si>
  <si>
    <t>Calida MP ECO 16W/mt-4000K CRI 90 R-XXX Line_XXXX ROW Susp WHI</t>
  </si>
  <si>
    <t>2204401_XXXXx60_ WHI</t>
  </si>
  <si>
    <t>МАТ.СВЕТ.025</t>
  </si>
  <si>
    <t>Dew DI/IN 2 x 4.2W-4000K CRI 90 WALL BLK - Светильник</t>
  </si>
  <si>
    <t>2100390_ BLK</t>
  </si>
  <si>
    <t>МАТ.СВЕТ.026</t>
  </si>
  <si>
    <t>FAT 12W-4000K CRI 90 H180 MP Susp BLK - Светильник</t>
  </si>
  <si>
    <t>2200669_ BLK</t>
  </si>
  <si>
    <t>МАТ.СВЕТ.027</t>
  </si>
  <si>
    <t>FAT 12W-4000K CRI 90 H180 MP Susp RED - Светильник</t>
  </si>
  <si>
    <t>2200669_ RED</t>
  </si>
  <si>
    <t>МАТ.СВЕТ.028</t>
  </si>
  <si>
    <t>FAT 12W-4000K CRI 90 H180 MP Susp WHI - Светильник</t>
  </si>
  <si>
    <t>2200669_ WHI</t>
  </si>
  <si>
    <t>МАТ.СВЕТ.029</t>
  </si>
  <si>
    <t>FAT 12W-4000K CRI 90 H95 MP Ceil BLK - Светильник потолочный. Предусмотреть выход кабеля сбоку</t>
  </si>
  <si>
    <t>2200580_ BLK</t>
  </si>
  <si>
    <t>МАТ.СВЕТ.030</t>
  </si>
  <si>
    <t>FAT 12W-4000K CRI 90 H95 MP Ceil WHI - Светильник потолочный. Предусмотреть выход кабеля сбоку</t>
  </si>
  <si>
    <t>2200580_ WHI</t>
  </si>
  <si>
    <t>МАТ.СВЕТ.031</t>
  </si>
  <si>
    <t>FAT 12W-4000K CRI 90 H95 MP Susp BLK - Светильник</t>
  </si>
  <si>
    <t>2200661_ BLK</t>
  </si>
  <si>
    <t>МАТ.СВЕТ.032</t>
  </si>
  <si>
    <t>FAT 12W-4000K CRI 90 H95 MP Susp WHI - Светильник</t>
  </si>
  <si>
    <t>2200661_ WHI</t>
  </si>
  <si>
    <t>МАТ.СВЕТ.033</t>
  </si>
  <si>
    <t>FAT 12W-4000K CRI 90 H95 REF 45`Ceil BLK - Светильник</t>
  </si>
  <si>
    <t>2309088_ BLK</t>
  </si>
  <si>
    <t>МАТ.СВЕТ.034</t>
  </si>
  <si>
    <t>FAT 12W-4000K CRI 90 H95 REF 45`Ceil WHI - Светильник</t>
  </si>
  <si>
    <t>2309088_ WHI</t>
  </si>
  <si>
    <t>МАТ.СВЕТ.035</t>
  </si>
  <si>
    <t>FAT 8W-4000K CRI 90 H180 MP Susp BLK - Светильник</t>
  </si>
  <si>
    <t>2200665_ BLK</t>
  </si>
  <si>
    <t>МАТ.СВЕТ.036</t>
  </si>
  <si>
    <t>FAT 8W-4000K CRI 90 H180 MP Susp WHI - Светильник</t>
  </si>
  <si>
    <t>2200665_ WHI</t>
  </si>
  <si>
    <t>МАТ.СВЕТ.037</t>
  </si>
  <si>
    <t>FAT 8W-4000K CRI 90 H180 REF 45`Ceil BLK - Светильник</t>
  </si>
  <si>
    <t>2502602_ BLK</t>
  </si>
  <si>
    <t>МАТ.СВЕТ.038</t>
  </si>
  <si>
    <t>FAT 8W-4000K CRI 90 H180 REF 45`Ceil WHI - Светильник</t>
  </si>
  <si>
    <t>2502602_ WHI</t>
  </si>
  <si>
    <t>МАТ.СВЕТ.039</t>
  </si>
  <si>
    <t>FAT 8W-4000K CRI 90 H180 REF45` Susp BLK - Светильник</t>
  </si>
  <si>
    <t>2407201_ BLK</t>
  </si>
  <si>
    <t>МАТ.СВЕТ.040</t>
  </si>
  <si>
    <t>FAT 8W-4000K CRI 90 H180 REF45` Susp WHI - Светильник</t>
  </si>
  <si>
    <t>2407201_ WHI</t>
  </si>
  <si>
    <t>МАТ.СВЕТ.041</t>
  </si>
  <si>
    <t>FAT 8W-4000K CRI 90 H95 MP Ceil BLK - Светильник потолочный. Предусмотреть выход кабеля сбоку</t>
  </si>
  <si>
    <t>2200576_ BLK</t>
  </si>
  <si>
    <t>МАТ.СВЕТ.042</t>
  </si>
  <si>
    <t>FAT 8W-4000K CRI 90 H95 MP Ceil WHI - Светильник потолочный. Предусмотреть выход кабеля сбоку</t>
  </si>
  <si>
    <t>2200576_ WHI</t>
  </si>
  <si>
    <t>МАТ.СВЕТ.043</t>
  </si>
  <si>
    <t>FAT 8W-4000K CRI 90 H95 MP Susp BLK - Светильник</t>
  </si>
  <si>
    <t>2200657_ BLK</t>
  </si>
  <si>
    <t>МАТ.СВЕТ.044</t>
  </si>
  <si>
    <t>FAT 8W-4000K CRI 90 H95 MP Susp WHI - Светильник</t>
  </si>
  <si>
    <t>2200657_ WHI</t>
  </si>
  <si>
    <t>МАТ.СВЕТ.045</t>
  </si>
  <si>
    <t>FAT Comfort 12W-4000K CRI 90 H130 MP Susp BLK - Светильник</t>
  </si>
  <si>
    <t>2200685_ BLK</t>
  </si>
  <si>
    <t>МАТ.СВЕТ.046</t>
  </si>
  <si>
    <t>FAT Comfort 12W-4000K CRI 90 H130 MP Susp WHI - Светильник</t>
  </si>
  <si>
    <t>2200685_ WHI</t>
  </si>
  <si>
    <t>МАТ.СВЕТ.047</t>
  </si>
  <si>
    <t>FAT Comfort 12W-4000K CRI 90 H215 MP Susp BLK - Светильник</t>
  </si>
  <si>
    <t>2200693_ BLK</t>
  </si>
  <si>
    <t>МАТ.СВЕТ.048</t>
  </si>
  <si>
    <t>FAT Comfort 12W-4000K CRI 90 H215 MP Susp WHI - Светильник</t>
  </si>
  <si>
    <t>2200693_ WHI</t>
  </si>
  <si>
    <t>МАТ.СВЕТ.049</t>
  </si>
  <si>
    <t>FAT Comfort 8W-4000K CRI 90 H130 MP Susp BLK - Светильник</t>
  </si>
  <si>
    <t>2200681_ BLK</t>
  </si>
  <si>
    <t>МАТ.СВЕТ.050</t>
  </si>
  <si>
    <t>FAT Comfort 8W-4000K CRI 90 H130 MP Susp WHI - Светильник</t>
  </si>
  <si>
    <t>2200681_ WHI</t>
  </si>
  <si>
    <t>МАТ.СВЕТ.051</t>
  </si>
  <si>
    <t>FAT Track 12W-4000K CRI 90 H95 MP ECO BLK - Светильник</t>
  </si>
  <si>
    <t>2200653_ BLK</t>
  </si>
  <si>
    <t>МАТ.СВЕТ.052</t>
  </si>
  <si>
    <t>Gibrida 40 Base _ROW Recessed BLK - База</t>
  </si>
  <si>
    <t>1403175_ BLK</t>
  </si>
  <si>
    <t>МАТ.СВЕТ.053</t>
  </si>
  <si>
    <t>Gibrida 40 Base _ROW Recessed WHI - База</t>
  </si>
  <si>
    <t>1403175_ WHI</t>
  </si>
  <si>
    <t>МАТ.СВЕТ.054</t>
  </si>
  <si>
    <t>Gibrida 40/50.90⁰ - Соединение угловое 90⁰ BLK, подключен к магистральному линейному светильнику на заводе</t>
  </si>
  <si>
    <t>1904414_ BLK</t>
  </si>
  <si>
    <t>МАТ.СВЕТ.055</t>
  </si>
  <si>
    <t>Gibrida 40/50.90⁰ - Соединение угловое 90⁰ WHI, подключен к магистральному линейному светильнику на заводе</t>
  </si>
  <si>
    <t>1904414_ WHI</t>
  </si>
  <si>
    <t>МАТ.СВЕТ.056</t>
  </si>
  <si>
    <t>Gibrida 40/50.U-kit - Крепёж в потолок 1 шт.</t>
  </si>
  <si>
    <t>1403334</t>
  </si>
  <si>
    <t>МАТ.СВЕТ.057</t>
  </si>
  <si>
    <t>МАТ.СВЕТ.058</t>
  </si>
  <si>
    <t>Gibrida 40/50.VAR` - Соединение угловое ХХ`, подключен к магистральному светильнику на заводе</t>
  </si>
  <si>
    <t>1904415_ BLK</t>
  </si>
  <si>
    <t>МАТ.СВЕТ.059</t>
  </si>
  <si>
    <t>Gibrida 61 Base _ROW Recessed - База</t>
  </si>
  <si>
    <t>1403238_</t>
  </si>
  <si>
    <t>МАТ.СВЕТ.060</t>
  </si>
  <si>
    <t>Gibrida 61/71.U-kit - Крепёж в потолок 1 шт., брать 2 шт. на светильник или на 1,8 погонных м.</t>
  </si>
  <si>
    <t>1401895</t>
  </si>
  <si>
    <t>МАТ.СВЕТ.061</t>
  </si>
  <si>
    <t>Gibrida Adj NET L40 9W-3000K CRI 90 M250 - Световой модуль</t>
  </si>
  <si>
    <t>2503189</t>
  </si>
  <si>
    <t>МАТ.СВЕТ.062</t>
  </si>
  <si>
    <t>Gibrida Adj Q70 MB 8W-4000K CRI 90 BLK - Световой модуль</t>
  </si>
  <si>
    <t>2200774_ BLK</t>
  </si>
  <si>
    <t>МАТ.СВЕТ.063</t>
  </si>
  <si>
    <t>Gibrida Adj Q70 MB 8W-4000K CRI 90 WHI - Световой модуль</t>
  </si>
  <si>
    <t>2200774_ WHI</t>
  </si>
  <si>
    <t>МАТ.СВЕТ.064</t>
  </si>
  <si>
    <t>Gibrida F L40 14W-4000K CRI 90 M500 BLK - Световой модуль</t>
  </si>
  <si>
    <t>2204875_ BLK</t>
  </si>
  <si>
    <t>МАТ.СВЕТ.065</t>
  </si>
  <si>
    <t>Gibrida F L40 14W-4000K CRI 90 M500 WHI - Световой модуль</t>
  </si>
  <si>
    <t>2204875_ WHI</t>
  </si>
  <si>
    <t>МАТ.СВЕТ.066</t>
  </si>
  <si>
    <t>Grata Slim SL D750 MP ECO 33W-4000K CRI 90 175mA Susp BLK - Светильник</t>
  </si>
  <si>
    <t>2308772_ BLK</t>
  </si>
  <si>
    <t>МАТ.СВЕТ.067</t>
  </si>
  <si>
    <t>Grata Slim SL D750 MP ECO 33W-4000K CRI 90 175mA Susp WHI - Светильник</t>
  </si>
  <si>
    <t>2308772_ WHI</t>
  </si>
  <si>
    <t>МАТ.СВЕТ.068</t>
  </si>
  <si>
    <t>Grata Slim SL D750 MP ECO 50W-4000K CRI 90 270mA Susp BLK - Светильник</t>
  </si>
  <si>
    <t>2205153_ BLK</t>
  </si>
  <si>
    <t>МАТ.СВЕТ.069</t>
  </si>
  <si>
    <t>Grata Slim SL D750 MP ECO 50W-4000K CRI 90 270mA Susp WHI - Светильник</t>
  </si>
  <si>
    <t>2205153_ WHI</t>
  </si>
  <si>
    <t>МАТ.СВЕТ.070</t>
  </si>
  <si>
    <t>Grata Slim SL D900 MP ECO 40W-4000K CRI 90 175mA Susp BLK - Светильник</t>
  </si>
  <si>
    <t>2205161_ BLK</t>
  </si>
  <si>
    <t>МАТ.СВЕТ.071</t>
  </si>
  <si>
    <t>Grata Slim SL D900 MP ECO 40W-4000K CRI 90 175mA Susp WHI - Светильник</t>
  </si>
  <si>
    <t>2205161_ WHI</t>
  </si>
  <si>
    <t>МАТ.СВЕТ.072</t>
  </si>
  <si>
    <t>Grata Slim SL D900 MP ECO 60W-4000K CRI 90 270mA Susp BLK- Светильник</t>
  </si>
  <si>
    <t>2205160_ BLK</t>
  </si>
  <si>
    <t>МАТ.СВЕТ.073</t>
  </si>
  <si>
    <t>Grata Slim SL D900 MP ECO 60W-4000K CRI 90 270mA Susp WHI- Светильник</t>
  </si>
  <si>
    <t>2205160_ WHI</t>
  </si>
  <si>
    <t>МАТ.СВЕТ.074</t>
  </si>
  <si>
    <t>IEK Светильник ДСП 1304 18Вт 4000К IP65 600мм - Светильник</t>
  </si>
  <si>
    <t>2409705</t>
  </si>
  <si>
    <t>Поставка REFLECTA</t>
  </si>
  <si>
    <t>МАТ.СВЕТ.075</t>
  </si>
  <si>
    <t>2200204</t>
  </si>
  <si>
    <t>МАТ.СВЕТ.076</t>
  </si>
  <si>
    <t>2203468</t>
  </si>
  <si>
    <t>МАТ.СВЕТ.077</t>
  </si>
  <si>
    <t>2200202</t>
  </si>
  <si>
    <t>МАТ.СВЕТ.078</t>
  </si>
  <si>
    <t>2200178</t>
  </si>
  <si>
    <t>МАТ.СВЕТ.079</t>
  </si>
  <si>
    <t>1400214</t>
  </si>
  <si>
    <t>МАТ.СВЕТ.080</t>
  </si>
  <si>
    <t>1400208</t>
  </si>
  <si>
    <t>МАТ.СВЕТ.081</t>
  </si>
  <si>
    <t>Longa 40 DI 15W/mt-4000K CRI 90 ROW 175mA Ceil RED, L=2775mm - Светильник</t>
  </si>
  <si>
    <t>2205599_2775 RED</t>
  </si>
  <si>
    <t>МАТ.СВЕТ.082</t>
  </si>
  <si>
    <t>Longa 40 DI 15W/mt-4000K CRI 90 ROW 175mA Susp BLK - Светильник</t>
  </si>
  <si>
    <t>2205725_ BLK</t>
  </si>
  <si>
    <t>МАТ.СВЕТ.083</t>
  </si>
  <si>
    <t>Longa 40 DI 15W/mt-4000K CRI 90 ROW 175mA Susp RAL3020 - Светильник</t>
  </si>
  <si>
    <t>2205725_RAL3020</t>
  </si>
  <si>
    <t>МАТ.СВЕТ.084</t>
  </si>
  <si>
    <t>Longa 40 DI 15W/mt-4000K CRI 90 ROW 175mA Susp WHI - Светильник</t>
  </si>
  <si>
    <t>2205725_ WHI</t>
  </si>
  <si>
    <t>МАТ.СВЕТ.085</t>
  </si>
  <si>
    <t>Longa 40 DI 20W-4000K CRI 90 M900 270mA Susp BLK - Светильник</t>
  </si>
  <si>
    <t>2205636_ BLK</t>
  </si>
  <si>
    <t>МАТ.СВЕТ.086</t>
  </si>
  <si>
    <t>Longa 40 DI 20W-4000K CRI 90 M900 270mA Susp WHI - Светильник</t>
  </si>
  <si>
    <t>2205636_ WHI</t>
  </si>
  <si>
    <t>МАТ.СВЕТ.087</t>
  </si>
  <si>
    <t>Longa 40 DI 22W/mt-4000K CRI 90 ROW 270mA Ceil BLK, L=2314mm - Светильник</t>
  </si>
  <si>
    <t>2205598_ 2314 BLK</t>
  </si>
  <si>
    <t>МАТ.СВЕТ.088</t>
  </si>
  <si>
    <t>Longa 40 DI 22W/mt-4000K CRI 90 ROW 270mA Ceil WHI, L=2314mm - Светильник</t>
  </si>
  <si>
    <t>2205598_ 2314 WHI</t>
  </si>
  <si>
    <t>МАТ.СВЕТ.089</t>
  </si>
  <si>
    <t>Longa 40 DI 22W/mt-4000K CRI 90 ROW 270mA Susp BLK - Светильник</t>
  </si>
  <si>
    <t>2205724_ BLK</t>
  </si>
  <si>
    <t>МАТ.СВЕТ.090</t>
  </si>
  <si>
    <t>Longa 40 DI 22W/mt-4000K CRI 90 ROW 270mA Susp WHI - Светильник</t>
  </si>
  <si>
    <t>2205724_ WHI</t>
  </si>
  <si>
    <t>МАТ.СВЕТ.091</t>
  </si>
  <si>
    <t>Longa 40 DI 25W-4000K CRI 90 M1200 270mA Susp BLK - Светильник</t>
  </si>
  <si>
    <t>2205657_ BLK</t>
  </si>
  <si>
    <t>МАТ.СВЕТ.092</t>
  </si>
  <si>
    <t>Longa 40 DI 25W-4000K CRI 90 M1200 270mA Susp WHI - Светильник</t>
  </si>
  <si>
    <t>2205657_ WHI</t>
  </si>
  <si>
    <t>МАТ.СВЕТ.093</t>
  </si>
  <si>
    <t>2205838_ WHI</t>
  </si>
  <si>
    <t>МАТ.СВЕТ.094</t>
  </si>
  <si>
    <t>Longa 40 DI 29W/mt-4000K CRI 90 ROW Ceil BLK - Светильник</t>
  </si>
  <si>
    <t>2205597_ BLK</t>
  </si>
  <si>
    <t>МАТ.СВЕТ.095</t>
  </si>
  <si>
    <t>Longa 40 DI 29W/mt-4000K CRI 90 ROW Ceil WHI - Светильник</t>
  </si>
  <si>
    <t>2205597_ WHI</t>
  </si>
  <si>
    <t>МАТ.СВЕТ.096</t>
  </si>
  <si>
    <t>Longa 40 DI 29W/mt-4000K CRI 90 ROW Susp BLK - Светильник</t>
  </si>
  <si>
    <t>2205719_ BLK</t>
  </si>
  <si>
    <t>МАТ.СВЕТ.097</t>
  </si>
  <si>
    <t>Longa 40 DI 29W/mt-4000K CRI 90 ROW Susp WHI - Светильник</t>
  </si>
  <si>
    <t>2205719_ WHI</t>
  </si>
  <si>
    <t>МАТ.СВЕТ.098</t>
  </si>
  <si>
    <t>Longa 40 DI 29W/mt-4000K CRI 90 ROW WALL WHI - Светильник</t>
  </si>
  <si>
    <t>2205850_XXX_ WHI</t>
  </si>
  <si>
    <t>МАТ.СВЕТ.099</t>
  </si>
  <si>
    <t>Longa 40 DI 33W-4000K CRI 90 M1200 Susp BLK - Светильник</t>
  </si>
  <si>
    <t>2205651_ BLK</t>
  </si>
  <si>
    <t>МАТ.СВЕТ.100</t>
  </si>
  <si>
    <t>Longa 40 DI 33W-4000K CRI 90 M1200 Susp WHI - Светильник</t>
  </si>
  <si>
    <t>2205651_ WHI</t>
  </si>
  <si>
    <t>МАТ.СВЕТ.101</t>
  </si>
  <si>
    <t>Longa 40 DI 33W-4000K CRI 90 M1200 WALL WHI - Светильник</t>
  </si>
  <si>
    <t>2205842_ WHI</t>
  </si>
  <si>
    <t>МАТ.СВЕТ.102</t>
  </si>
  <si>
    <t>Longa 40 DI 39W-4000K CRI 90 M1400 Susp BLK, L=1392mm - Светильник</t>
  </si>
  <si>
    <t>2205670_1392_ BLK</t>
  </si>
  <si>
    <t>МАТ.СВЕТ.103</t>
  </si>
  <si>
    <t>2205670_1392_ WHI</t>
  </si>
  <si>
    <t>МАТ.СВЕТ.104</t>
  </si>
  <si>
    <t>Longa 40 DI 39W-4000K CRI 90 M1400 WALL BLK, L=1392mm - Светильник</t>
  </si>
  <si>
    <t>2205846_ BLK</t>
  </si>
  <si>
    <t>МАТ.СВЕТ.105</t>
  </si>
  <si>
    <t>Longa 40 DI 44W/mt-4000K CRI 90 2xL24 Reduced ROW Ceil BLK - Светильник</t>
  </si>
  <si>
    <t>2205601_ BLK</t>
  </si>
  <si>
    <t>МАТ.СВЕТ.106</t>
  </si>
  <si>
    <t>Longa 40 DI 44W/mt-4000K CRI 90 2xL24 Reduced ROW Ceil WHI - Светильник</t>
  </si>
  <si>
    <t>2205601_ WHI</t>
  </si>
  <si>
    <t>МАТ.СВЕТ.107</t>
  </si>
  <si>
    <t>Longa 40 DI 65W-4000K CRI 90 M1200 2xL24 Susp BLK - Светильник</t>
  </si>
  <si>
    <t>2205653_ BLK</t>
  </si>
  <si>
    <t>МАТ.СВЕТ.108</t>
  </si>
  <si>
    <t>Longa 40 DI 65W-4000K CRI 90 M1200 2xL24 Susp WHI - Светильник</t>
  </si>
  <si>
    <t>2205653_ WHI</t>
  </si>
  <si>
    <t>МАТ.СВЕТ.109</t>
  </si>
  <si>
    <t>Longa 40 DI ADJ 14W-4000K CRI 90 M500 WALL - Светильник</t>
  </si>
  <si>
    <t>2205820</t>
  </si>
  <si>
    <t>МАТ.СВЕТ.110</t>
  </si>
  <si>
    <t>Longa 40 DI/IN 20W-4000K CRI 90 M700 270mA WALL RAL3028 - Светильник</t>
  </si>
  <si>
    <t>2205875_ Reduced RAL3028</t>
  </si>
  <si>
    <t>МАТ.СВЕТ.111</t>
  </si>
  <si>
    <t>Longa 40 DI/IN M1200 39W-4000K CRI 90 One head Floor (Switch PUSH dimmer function) BLK - Светильник</t>
  </si>
  <si>
    <t>2205810_ BLK</t>
  </si>
  <si>
    <t>МАТ.СВЕТ.112</t>
  </si>
  <si>
    <t>Longa 40 DI/IN M1200 39W-4000K CRI 90 One head Floor (Switch PUSH dimmer function) WHI - Светильник</t>
  </si>
  <si>
    <t>2205810_ WHI</t>
  </si>
  <si>
    <t>МАТ.СВЕТ.113</t>
  </si>
  <si>
    <t>Longa 40 DI_IN 33W-4000K CRI 90 M1200 270mA WALL RAL3028 - Светильник</t>
  </si>
  <si>
    <t>2205883_Reduced RAL3028</t>
  </si>
  <si>
    <t>МАТ.СВЕТ.114</t>
  </si>
  <si>
    <t>Longa 40.3D` - Соединие 3D`</t>
  </si>
  <si>
    <t>1400388</t>
  </si>
  <si>
    <t>МАТ.СВЕТ.115</t>
  </si>
  <si>
    <t>Longa 40.90⁰ - Соединение угловое 90⁰, подключен к магистральному линейному светильнику на заводе</t>
  </si>
  <si>
    <t>1401627</t>
  </si>
  <si>
    <t>МАТ.СВЕТ.116</t>
  </si>
  <si>
    <t>Longa 40/50.VAR` - Соединение угловое ХХ`, подключен к магистральному светильнику на заводе</t>
  </si>
  <si>
    <t>1401701</t>
  </si>
  <si>
    <t>МАТ.СВЕТ.117</t>
  </si>
  <si>
    <t>Longa 61 15W/mt-4000K CRI 90 MP 175mA ROW Susp BLK - Светильник</t>
  </si>
  <si>
    <t>2206002_ BLK</t>
  </si>
  <si>
    <t>МАТ.СВЕТ.118</t>
  </si>
  <si>
    <t>Longa 61 15W/mt-4000K CRI 90 MP 175mA ROW Susp WHI - Светильник</t>
  </si>
  <si>
    <t>2206002_ WHI</t>
  </si>
  <si>
    <t>МАТ.СВЕТ.119</t>
  </si>
  <si>
    <t>Longa 61 22W/mt-4000K CRI 90 MP 270mA ROW Ceil BLK, L=XXXXmm - Светильник потолочный. Предусмотреть выход кабеля сбоку</t>
  </si>
  <si>
    <t>2205944_XXXX_ BLK</t>
  </si>
  <si>
    <t>МАТ.СВЕТ.120</t>
  </si>
  <si>
    <t>Longa 61 22W/mt-4000K CRI 90 MP 270mA ROW Ceil WHI, L=XXXXmm - Светильник потолочный. Предусмотреть выход кабеля сбоку</t>
  </si>
  <si>
    <t>2205944_XXXX_ WHI</t>
  </si>
  <si>
    <t>МАТ.СВЕТ.121</t>
  </si>
  <si>
    <t>Longa 61 25W-4000K CRI 90 MP 270mA M1200 Susp BLK - Светильник</t>
  </si>
  <si>
    <t>2205976_ BLK</t>
  </si>
  <si>
    <t>МАТ.СВЕТ.122</t>
  </si>
  <si>
    <t>Longa 61 25W-4000K CRI 90 MP 270mA M1200 Susp WHI - Светильник</t>
  </si>
  <si>
    <t>2205976_ WHI</t>
  </si>
  <si>
    <t>МАТ.СВЕТ.123</t>
  </si>
  <si>
    <t>2205970_ BLK</t>
  </si>
  <si>
    <t>МАТ.СВЕТ.124</t>
  </si>
  <si>
    <t>Longa 61 35W-4000K CRI 90 MP M1200 Susp WHI - Светильник</t>
  </si>
  <si>
    <t>2205970_ WHI</t>
  </si>
  <si>
    <t>МАТ.СВЕТ.125</t>
  </si>
  <si>
    <t>Longa 61 37W-4000K CRI 90 390mA MP M1200 Susp BLK - Светильник</t>
  </si>
  <si>
    <t>2205971_ BLK</t>
  </si>
  <si>
    <t>МАТ.СВЕТ.126</t>
  </si>
  <si>
    <t>Longa 61 37W-4000K CRI 90 390mA MP M1200 Susp WHI - Светильник</t>
  </si>
  <si>
    <t>2205971_ WHI</t>
  </si>
  <si>
    <t>МАТ.СВЕТ.127</t>
  </si>
  <si>
    <t>Longa 61 46W-4000K CRI 90 MP 2xL24 270mA M1200 Susp BLK - Светильник</t>
  </si>
  <si>
    <t>2205973_ BLK</t>
  </si>
  <si>
    <t>МАТ.СВЕТ.128</t>
  </si>
  <si>
    <t>Longa 61 46W-4000K CRI 90 MP 2xL24 270mA M1200 Susp WHI - Светильник</t>
  </si>
  <si>
    <t>2205973_ WHI</t>
  </si>
  <si>
    <t>МАТ.СВЕТ.129</t>
  </si>
  <si>
    <t>Longa 61/71.U-kit - Крепёж в потолок 1 шт.</t>
  </si>
  <si>
    <t>1400131</t>
  </si>
  <si>
    <t>МАТ.СВЕТ.130</t>
  </si>
  <si>
    <t>МАТ.СВЕТ.131</t>
  </si>
  <si>
    <t>Longa 71 39W-4000K CRI 90 MP M1400 Recess WHI - Светильник</t>
  </si>
  <si>
    <t>2206099_ WHI</t>
  </si>
  <si>
    <t>МАТ.СВЕТ.132</t>
  </si>
  <si>
    <t>Longa 71 45W-4000K CRI 90 MP ROW Recess WHI - Светильник</t>
  </si>
  <si>
    <t>2206113_ WHI</t>
  </si>
  <si>
    <t>МАТ.СВЕТ.133</t>
  </si>
  <si>
    <t>MICA D190 14W-4000K CRI 90 Recess MP ECO BLK - Светильник</t>
  </si>
  <si>
    <t>2206137_ BLK</t>
  </si>
  <si>
    <t>МАТ.СВЕТ.134</t>
  </si>
  <si>
    <t>2206137_ WHI</t>
  </si>
  <si>
    <t>МАТ.СВЕТ.135</t>
  </si>
  <si>
    <t>MICA System Base Kit, ROW Susp BLK, L=XXXXmm - База</t>
  </si>
  <si>
    <t>2100369_XXXX BLK</t>
  </si>
  <si>
    <t>МАТ.СВЕТ.136</t>
  </si>
  <si>
    <t>MICA System D330 27W-4000K CRI 90 MP ECO BLK - Светильник</t>
  </si>
  <si>
    <t>2206251 BLK</t>
  </si>
  <si>
    <t>МАТ.СВЕТ.137</t>
  </si>
  <si>
    <t>Nuby 600x600 LongPrism T15-24 20W-4000K CRI 90 M600 175mA Recess - Светильник</t>
  </si>
  <si>
    <t>2206306_LOW_ WHI</t>
  </si>
  <si>
    <t>МАТ.СВЕТ.138</t>
  </si>
  <si>
    <t>Nuby 600x600 LongPrism T15-24 30W-4000K CRI 90 M600 270mA Recess - Светильник</t>
  </si>
  <si>
    <t>2206306_Reduced_ WHI</t>
  </si>
  <si>
    <t>МАТ.СВЕТ.139</t>
  </si>
  <si>
    <t>Nuby 600x600 LongPrism T15-24 39W-4000K CRI 90 M600 Recess - Светильник</t>
  </si>
  <si>
    <t>2206306_ WHI</t>
  </si>
  <si>
    <t>МАТ.СВЕТ.140</t>
  </si>
  <si>
    <t>O-Brant D600, L1750 25W-4000K CRI 90 Susp BLK - Светильник</t>
  </si>
  <si>
    <t>2503502_ BLK</t>
  </si>
  <si>
    <t>МАТ.СВЕТ.141</t>
  </si>
  <si>
    <t>ORTUS SORES 1000 св-к подвесной/накладной LED 76W/4000K (КРАСНЫЙ RAL 3020 ШАГРЕНЬ)</t>
  </si>
  <si>
    <t>Prof-LED</t>
  </si>
  <si>
    <t>Светильники Профдед</t>
  </si>
  <si>
    <t>МАТ.СВЕТ.142</t>
  </si>
  <si>
    <t>ORTUS SORES 1000 св-к подвесной/накладной LED 76W/4000K DIMM 0-10V (КРАСНЫЙ RAL 3020 ШАГРЕНЬ)</t>
  </si>
  <si>
    <t>МАТ.СВЕТ.143</t>
  </si>
  <si>
    <t>ORTUS SORES 1500 св-к подвесной LED 124W/4000K DIMM 0-10V (КРАСНЫЙ RAL 3020 ШАГРЕНЬ)</t>
  </si>
  <si>
    <t>МАТ.СВЕТ.144</t>
  </si>
  <si>
    <t>ORTUS SORES 2000 св-к подвесной LED 192W/4000K DIMM 0-10V (КРАСНЫЙ RAL 3020 ШАГРЕНЬ)</t>
  </si>
  <si>
    <t>МАТ.СВЕТ.145</t>
  </si>
  <si>
    <t>ORTUS SORES 2500 св-к подвесной LED 285W/4000K DIMM 0-10V (КРАСНЫЙ RAL 3020 ШАГРЕНЬ)</t>
  </si>
  <si>
    <t>МАТ.СВЕТ.146</t>
  </si>
  <si>
    <t>ORTUS SORES 650 св-к накладной LED 53W/4000K (СЕРЫЙ RAL 7047 МАТОВЫЙ)</t>
  </si>
  <si>
    <t>МАТ.СВЕТ.147</t>
  </si>
  <si>
    <t>ORTUS SORES 650 св-к подвесной LED 53W/4000K подвес 1,5м (СЕРЫЙ RAL 7047 МАТОВЫЙ)</t>
  </si>
  <si>
    <t>МАТ.СВЕТ.148</t>
  </si>
  <si>
    <t>PLS-36-2 Соединитель T-образный для шинопровода, черный</t>
  </si>
  <si>
    <t>МАТ.СВЕТ.149</t>
  </si>
  <si>
    <t>PLS-37-2 Соединитель T-образный для шинопровода, черный</t>
  </si>
  <si>
    <t>МАТ.СВЕТ.150</t>
  </si>
  <si>
    <t>PLS-38-2 Соединитель X-образный для шинопровода, черный</t>
  </si>
  <si>
    <t>МАТ.СВЕТ.151</t>
  </si>
  <si>
    <t>PLS-39-2 Соединитель T-образный для шинопровода, черный</t>
  </si>
  <si>
    <t>МАТ.СВЕТ.152</t>
  </si>
  <si>
    <t>PLS-40-2 Соединитель T-образный для шинопровода, черный</t>
  </si>
  <si>
    <t>МАТ.СВЕТ.153</t>
  </si>
  <si>
    <t>Panel 7W -4000K 500mm w/o diffuser w/reflector 400mm Ceil - Светильник без рассеивателя, без отражателя</t>
  </si>
  <si>
    <t>2409716</t>
  </si>
  <si>
    <t>МАТ.СВЕТ.154</t>
  </si>
  <si>
    <t>Q45 Track Lens 36` 8W-4000K CRI 90 - Прожектор</t>
  </si>
  <si>
    <t>2200794_ BLK</t>
  </si>
  <si>
    <t>МАТ.СВЕТ.155</t>
  </si>
  <si>
    <t>Q70 Track Ref 38` 8W-4000K CRI 90 BLK - Светильник</t>
  </si>
  <si>
    <t>2407348_ BLK</t>
  </si>
  <si>
    <t>МАТ.СВЕТ.156</t>
  </si>
  <si>
    <t>Q70 Track Ref 45` 8W-4000K CRI 90_BLK - Светильник</t>
  </si>
  <si>
    <t>2407366_ BLK</t>
  </si>
  <si>
    <t>МАТ.СВЕТ.157</t>
  </si>
  <si>
    <t>Quark AIR HE D30 Lens 10` 2W-4000K CRI 90 H200 Susp BLK - Светильник</t>
  </si>
  <si>
    <t>2503487 BLK</t>
  </si>
  <si>
    <t>МАТ.СВЕТ.158</t>
  </si>
  <si>
    <t>Quark AIR HE D30 Lens 10` 2W-4000K CRI 90 H300 Susp - Светильник</t>
  </si>
  <si>
    <t>2503488</t>
  </si>
  <si>
    <t>МАТ.СВЕТ.159</t>
  </si>
  <si>
    <t>Quark AIR HE D30 Lens 10` 2W-4000K CRI 90 H500 Susp BLK - Светильник</t>
  </si>
  <si>
    <t>2503489 BLK</t>
  </si>
  <si>
    <t>МАТ.СВЕТ.160</t>
  </si>
  <si>
    <t>Quark AIR HE D30 Lens 10` 2W-4000K CRI 90 H500 Susp Gold - Светильник</t>
  </si>
  <si>
    <t>2503489 Gold</t>
  </si>
  <si>
    <t>МАТ.СВЕТ.161</t>
  </si>
  <si>
    <t>Quark AIR HE D45 MP 8W-4000K CRI 90 H110 Susp BLK - Светильник</t>
  </si>
  <si>
    <t>2503425_ BLK</t>
  </si>
  <si>
    <t>МАТ.СВЕТ.162</t>
  </si>
  <si>
    <t>Quark AIR HE MP D30 8W-4000K CRI 90 H420 Susp BLK - Светильник</t>
  </si>
  <si>
    <t>2201251_ BLK</t>
  </si>
  <si>
    <t>МАТ.СВЕТ.163</t>
  </si>
  <si>
    <t>Quark AIR HE MP D30 8W-4000K CRI 90 H420 Susp WHI - Светильник</t>
  </si>
  <si>
    <t>МАТ.СВЕТ.164</t>
  </si>
  <si>
    <t>Quark AIR HE MP D70 12W-4000K CRI 90 H210 Susp BLK - Светильник</t>
  </si>
  <si>
    <t>2201293_ BLK</t>
  </si>
  <si>
    <t>МАТ.СВЕТ.165</t>
  </si>
  <si>
    <t>Quark AIR HE MP D70 12W-4000K CRI 90 H210 Susp WHI - Светильник</t>
  </si>
  <si>
    <t>2201293_ WHI</t>
  </si>
  <si>
    <t>МАТ.СВЕТ.166</t>
  </si>
  <si>
    <t>Quark AIR IT MP D30 8W-4000K CRI 90 H420 Susp BLK - Светильник (драйвер выносной)</t>
  </si>
  <si>
    <t>2201739_ BLK</t>
  </si>
  <si>
    <t>МАТ.СВЕТ.167</t>
  </si>
  <si>
    <t>Quark AIR IT MP D30 8W-4000K CRI 90 H420 Susp WHI - Светильник (драйвер выносной)</t>
  </si>
  <si>
    <t>2201739_ WHI</t>
  </si>
  <si>
    <t>МАТ.СВЕТ.168</t>
  </si>
  <si>
    <t>Quark AIR IT MP D45 12W-4000K CRI 90 H210 Susp BLK - Светильник + NECK Q45 IT - Декоративная насадка</t>
  </si>
  <si>
    <t>2201786_ BLK + 2200018</t>
  </si>
  <si>
    <t>МАТ.СВЕТ.169</t>
  </si>
  <si>
    <t>Quark AIR IT MP D45 12W-4000K CRI 90 H210 Susp WHI - Светильник + NECK Q45 IT - Декоративная насадка</t>
  </si>
  <si>
    <t>2201786_ WHI + 2200018</t>
  </si>
  <si>
    <t>МАТ.СВЕТ.170</t>
  </si>
  <si>
    <t>Quark AIR IT MP D70 12W-4000K CRI 90 H210 Susp BLK - Светильник</t>
  </si>
  <si>
    <t>2201857_ BLK</t>
  </si>
  <si>
    <t>МАТ.СВЕТ.171</t>
  </si>
  <si>
    <t>Quark AIR IT MP D70 12W-4000K CRI 90 H210 Susp WHI - Светильник</t>
  </si>
  <si>
    <t>2201857_ WHI</t>
  </si>
  <si>
    <t>МАТ.СВЕТ.172</t>
  </si>
  <si>
    <t>2201851_ BLK</t>
  </si>
  <si>
    <t>МАТ.СВЕТ.173</t>
  </si>
  <si>
    <t>Quark AIR IT MP D70 8W-4000K CRI 90 H210 Susp WHI - Светильник</t>
  </si>
  <si>
    <t>2201851_ WHI</t>
  </si>
  <si>
    <t>МАТ.СВЕТ.174</t>
  </si>
  <si>
    <t>Quark AIR IT Ref 45` D70 6W-4000K CRI 90 H210 Susp BLK - Светильник</t>
  </si>
  <si>
    <t>2407161_ BLK</t>
  </si>
  <si>
    <t>МАТ.СВЕТ.175</t>
  </si>
  <si>
    <t>Quark AIR IT Ref 45` D70 6W-4000K CRI 90 H210 Susp WHI - Светильник</t>
  </si>
  <si>
    <t>2407161_ WHI</t>
  </si>
  <si>
    <t>МАТ.СВЕТ.176</t>
  </si>
  <si>
    <t>Quark AIR IT Ref 45` D70 8W-4000K CRI 90 H210 Susp BLK - Светильник</t>
  </si>
  <si>
    <t>2406751_ BLK</t>
  </si>
  <si>
    <t>МАТ.СВЕТ.177</t>
  </si>
  <si>
    <t>Quark AIR IT Ref 45` D70 8W-4000K CRI 90 H210 Susp WHI - Светильник</t>
  </si>
  <si>
    <t>2406751_ WHI</t>
  </si>
  <si>
    <t>МАТ.СВЕТ.178</t>
  </si>
  <si>
    <t>Quark AIR IT Ref 60` D70 12W-4000K CRI 90 H210 Susp BLK - Светильник</t>
  </si>
  <si>
    <t>2406768_ BLK</t>
  </si>
  <si>
    <t>МАТ.СВЕТ.179</t>
  </si>
  <si>
    <t>Quark AIR IT Ref 60` D70 12W-4000K CRI 90 H210 Susp WHI - Светильник</t>
  </si>
  <si>
    <t>2406768_ WHI</t>
  </si>
  <si>
    <t>МАТ.СВЕТ.180</t>
  </si>
  <si>
    <t>Quark AIR IT Ref 60` D70 6W-4000K CRI 90 H210 Susp BLK - Светильник</t>
  </si>
  <si>
    <t>2407155_ BLK</t>
  </si>
  <si>
    <t>МАТ.СВЕТ.181</t>
  </si>
  <si>
    <t>Quark AIR IT Ref 60` D70 6W-4000K CRI 90 H210 Susp WHI - Светильник</t>
  </si>
  <si>
    <t>2407155_ WHI</t>
  </si>
  <si>
    <t>МАТ.СВЕТ.182</t>
  </si>
  <si>
    <t>Quark AIR IT Ref 60` D70 8W-4000K CRI 90 H210 Susp BLK - Светильник</t>
  </si>
  <si>
    <t>2406762_ BLK</t>
  </si>
  <si>
    <t>МАТ.СВЕТ.183</t>
  </si>
  <si>
    <t>Quark AIR IT Ref 60` D70 8W-4000K CRI 90 H210 Susp WHI - Светильник</t>
  </si>
  <si>
    <t>2406762_ WHI</t>
  </si>
  <si>
    <t>МАТ.СВЕТ.184</t>
  </si>
  <si>
    <t>Quark IN HE D70 MP 8W-4000K CRI 90 Recess BLK - Светильник</t>
  </si>
  <si>
    <t>2202126_ BLK</t>
  </si>
  <si>
    <t>МАТ.СВЕТ.185</t>
  </si>
  <si>
    <t>Quark IN HE D70 MP 8W-4000K CRI 90 Recess IP44 BLK - Светильник</t>
  </si>
  <si>
    <t>2202126 IP44_ BLK</t>
  </si>
  <si>
    <t>МАТ.СВЕТ.186</t>
  </si>
  <si>
    <t>Quark IN HE D70 MP 8W-4000K CRI 90 Recess IP44 WHI - Светильник</t>
  </si>
  <si>
    <t>2202126 IP44_ WHI</t>
  </si>
  <si>
    <t>МАТ.СВЕТ.187</t>
  </si>
  <si>
    <t>Quark IN HE D70 MP 8W-4000K CRI 90 Recess WHI - Светильник</t>
  </si>
  <si>
    <t>2202126_ WHI</t>
  </si>
  <si>
    <t>МАТ.СВЕТ.188</t>
  </si>
  <si>
    <t>Quark IN IT D70 REF 45` 6W-4000K CRI 90 Recess BLK - Светильник</t>
  </si>
  <si>
    <t>2407247_ BLK</t>
  </si>
  <si>
    <t>МАТ.СВЕТ.189</t>
  </si>
  <si>
    <t>Quark IN IT D70 REF 45` 6W-4000K CRI 90 Recess IP54 BLK - Светильник</t>
  </si>
  <si>
    <t>2407247_  IP54_ BLK</t>
  </si>
  <si>
    <t>МАТ.СВЕТ.190</t>
  </si>
  <si>
    <t>Quark IN IT D70 REF 45` 6W-4000K CRI 90 Recess IP54 WHI - Светильник</t>
  </si>
  <si>
    <t>2407247_  IP54_ WHI</t>
  </si>
  <si>
    <t>МАТ.СВЕТ.191</t>
  </si>
  <si>
    <t>Quark IN IT D70 REF 45` 6W-4000K CRI 90 Recess WHI - Светильник</t>
  </si>
  <si>
    <t>2407247_ WHI</t>
  </si>
  <si>
    <t>МАТ.СВЕТ.192</t>
  </si>
  <si>
    <t>Quark IN IT D70 REF 45` 8W-4000K CRI 90 Recess BLK - Светильник</t>
  </si>
  <si>
    <t>2400009_ BLK</t>
  </si>
  <si>
    <t>МАТ.СВЕТ.193</t>
  </si>
  <si>
    <t>Quark IN IT D70 REF 45` 8W-4000K CRI 90 Recess WHI - Светильник</t>
  </si>
  <si>
    <t>2400009_ WHI</t>
  </si>
  <si>
    <t>МАТ.СВЕТ.194</t>
  </si>
  <si>
    <t>Quark IN IT D70 REF 60` 12W-4000K CRI 90 Recess BLK - Светильник</t>
  </si>
  <si>
    <t>2400039_ BLK</t>
  </si>
  <si>
    <t>МАТ.СВЕТ.195</t>
  </si>
  <si>
    <t>Quark IN IT D70 REF 60` 12W-4000K CRI 90 Recess WHI - Светильник</t>
  </si>
  <si>
    <t>2400039_ WHI</t>
  </si>
  <si>
    <t>МАТ.СВЕТ.196</t>
  </si>
  <si>
    <t>Quark IN IT D70 REF 60` 6W-4000K CRI 90 Recess BLK - Светильник</t>
  </si>
  <si>
    <t>2408711_ BLK</t>
  </si>
  <si>
    <t>МАТ.СВЕТ.197</t>
  </si>
  <si>
    <t>Quark IN IT D70 REF 60` 6W-4000K CRI 90 Recess WHI - Светильник</t>
  </si>
  <si>
    <t>2408711_ WHI</t>
  </si>
  <si>
    <t>МАТ.СВЕТ.198</t>
  </si>
  <si>
    <t>Quark IN IT D70 REF 60` 8W-4000K CRI 90 Recess BLK - Светильник</t>
  </si>
  <si>
    <t>2400033_ BLK</t>
  </si>
  <si>
    <t>МАТ.СВЕТ.199</t>
  </si>
  <si>
    <t>Quark IN IT D70 REF 60` 8W-4000K CRI 90 Recess WHI - Светильник</t>
  </si>
  <si>
    <t>2400033_ WHI</t>
  </si>
  <si>
    <t>МАТ.СВЕТ.200</t>
  </si>
  <si>
    <t>Quark ON HE MP D30 8W-4000K CRI 90 H420 Ceil BLK - Светильник (драйвер выносной)</t>
  </si>
  <si>
    <t>2202635_ BLK</t>
  </si>
  <si>
    <t>МАТ.СВЕТ.201</t>
  </si>
  <si>
    <t>Quark ON HE MP D30 8W-4000K CRI 90 H630 Ceil BLK - Светильник (драйвер выносной)</t>
  </si>
  <si>
    <t>2202647 BLK</t>
  </si>
  <si>
    <t>МАТ.СВЕТ.202</t>
  </si>
  <si>
    <t>Quark ON IT D70 45` 8W-4000K CRI 90 H210 Ceil RAL3028 - Светильник</t>
  </si>
  <si>
    <t>2308932 RAL3028</t>
  </si>
  <si>
    <t>МАТ.СВЕТ.203</t>
  </si>
  <si>
    <t>Ray IN D1000 69W-4000K CRI 90 270mA Susp BLK - Светильник</t>
  </si>
  <si>
    <t>2206388_ Reduced BLK</t>
  </si>
  <si>
    <t>МАТ.СВЕТ.204</t>
  </si>
  <si>
    <t>Ray IN D1000 69W-4000K CRI 90 270mA Susp WHI - Светильник</t>
  </si>
  <si>
    <t>2206388_ Reduced WHI</t>
  </si>
  <si>
    <t>МАТ.СВЕТ.205</t>
  </si>
  <si>
    <t>Ray IN D750 69W-4000K CRI 90 Susp BLK - Светильник</t>
  </si>
  <si>
    <t>2206334_ BLK</t>
  </si>
  <si>
    <t>МАТ.СВЕТ.206</t>
  </si>
  <si>
    <t>Ray IN D750 69W-4000K CRI 90 Susp WHI - Светильник</t>
  </si>
  <si>
    <t>2206334_ WHI</t>
  </si>
  <si>
    <t>МАТ.СВЕТ.207</t>
  </si>
  <si>
    <t>Ray line 14W-4000K CRI 90 M500 TRACK BLK - Светильник на трек</t>
  </si>
  <si>
    <t>2206551_ BLK</t>
  </si>
  <si>
    <t>МАТ.СВЕТ.208</t>
  </si>
  <si>
    <t>Ray line 15W/mt-4000K CRI 90 ROW 175mA Susp BLK - Светильник</t>
  </si>
  <si>
    <t>2206542_ BLK</t>
  </si>
  <si>
    <t>МАТ.СВЕТ.209</t>
  </si>
  <si>
    <t>Ray line 15W/mt-4000K CRI 90 ROW 175mA Susp WHI - Светильник</t>
  </si>
  <si>
    <t>2206542_ WHI</t>
  </si>
  <si>
    <t>МАТ.СВЕТ.210</t>
  </si>
  <si>
    <t>Ray line 20W/mt-4000K CRI 90 ROW 270mA Susp BLK (драйвер выносной) - Светильник</t>
  </si>
  <si>
    <t>2206537_ BLK</t>
  </si>
  <si>
    <t>МАТ.СВЕТ.211</t>
  </si>
  <si>
    <t>2206541_ BLK</t>
  </si>
  <si>
    <t>МАТ.СВЕТ.212</t>
  </si>
  <si>
    <t>Ray line 20W/mt-4000K CRI 90 ROW 270mA Susp WHI (драйвер выносной) - Светильник</t>
  </si>
  <si>
    <t>2206537_ WHI</t>
  </si>
  <si>
    <t>МАТ.СВЕТ.213</t>
  </si>
  <si>
    <t>2206541_ WHI</t>
  </si>
  <si>
    <t>МАТ.СВЕТ.214</t>
  </si>
  <si>
    <t>Ray line 26W-4000K CRI 90 M900 Susp BLK - Светильник</t>
  </si>
  <si>
    <t>2206502_ BLK</t>
  </si>
  <si>
    <t>МАТ.СВЕТ.215</t>
  </si>
  <si>
    <t>Ray line 26W-4000K CRI 90 M900 Susp WHI - Светильник</t>
  </si>
  <si>
    <t>2206502_ WHI</t>
  </si>
  <si>
    <t>МАТ.СВЕТ.216</t>
  </si>
  <si>
    <t>2206598_</t>
  </si>
  <si>
    <t>МАТ.СВЕТ.217</t>
  </si>
  <si>
    <t>2206512_ BLK</t>
  </si>
  <si>
    <t>МАТ.СВЕТ.218</t>
  </si>
  <si>
    <t>Ray line 33W-4000K CRI 90 M1200 Susp WHI - Светильник</t>
  </si>
  <si>
    <t>2206512_ WHI</t>
  </si>
  <si>
    <t>МАТ.СВЕТ.219</t>
  </si>
  <si>
    <t>Ray line 39W-3000K CRI 90 2xL24 M700 Susp BLK - Светильник</t>
  </si>
  <si>
    <t>2206491_ BLK</t>
  </si>
  <si>
    <t>МАТ.СВЕТ.220</t>
  </si>
  <si>
    <t>Ray line 39W-3000K CRI 90 2xL24 M700 Susp WHI - Светильник</t>
  </si>
  <si>
    <t>2206491_ WHI</t>
  </si>
  <si>
    <t>МАТ.СВЕТ.221</t>
  </si>
  <si>
    <t>Ray line 39W-4000K CRI 90 M1400 Susp BLK - Светильник</t>
  </si>
  <si>
    <t>2206519_ BLK</t>
  </si>
  <si>
    <t>МАТ.СВЕТ.222</t>
  </si>
  <si>
    <t>Ray line 39W-4000K CRI 90 M1400 Susp WHI - Светильник</t>
  </si>
  <si>
    <t>2206519_ WHI</t>
  </si>
  <si>
    <t>МАТ.СВЕТ.223</t>
  </si>
  <si>
    <t>Ray line 46W-4000K CRI 90 ROW 2xL24 270mA Recess BLK, L=1162mm - Светильник</t>
  </si>
  <si>
    <t>2208169_1162 BLK</t>
  </si>
  <si>
    <t>МАТ.СВЕТ.224</t>
  </si>
  <si>
    <t>Ray line.90⁰ - Соединение угловое 90⁰ в одной плоскости, подключен к магистральному линейному светильнику на заводе</t>
  </si>
  <si>
    <t>1402012</t>
  </si>
  <si>
    <t>МАТ.СВЕТ.225</t>
  </si>
  <si>
    <t>1402010</t>
  </si>
  <si>
    <t>МАТ.СВЕТ.226</t>
  </si>
  <si>
    <t>МАТ.СВЕТ.227</t>
  </si>
  <si>
    <t>Rota D1000 MP ECO 28W-4000K CRI 90 270mA Susp BLK - Светильник</t>
  </si>
  <si>
    <t>2208013_ BLK</t>
  </si>
  <si>
    <t>МАТ.СВЕТ.228</t>
  </si>
  <si>
    <t>Rota D1000 MP ECO 28W-4000K CRI 90 270mA Susp WHI - Светильник</t>
  </si>
  <si>
    <t>2208013_ WHI</t>
  </si>
  <si>
    <t>МАТ.СВЕТ.229</t>
  </si>
  <si>
    <t>Rota D1000 MP ECO 42W-4000K CRI 90 Ceil BLK H95 - Светильник потолочный специсполнение под данный проект. Предусмотреть выход кабеля сбоку</t>
  </si>
  <si>
    <t>2206696_ BLK H95</t>
  </si>
  <si>
    <t>МАТ.СВЕТ.230</t>
  </si>
  <si>
    <t>Rota D1000 MP ECO 42W-4000K CRI 90 Ceil WHI H95 - Светильник потолочный специсполнение под данный проект. Предусмотреть выход кабеля сбоку</t>
  </si>
  <si>
    <t>2206696_ WHI H95</t>
  </si>
  <si>
    <t>МАТ.СВЕТ.231</t>
  </si>
  <si>
    <t>Rota D1000 MP ECO 42W-4000K CRI 90 Susp BLK - Светильник</t>
  </si>
  <si>
    <t>2206905_ BLK</t>
  </si>
  <si>
    <t>МАТ.СВЕТ.232</t>
  </si>
  <si>
    <t>Rota D1000 MP ECO 42W-4000K CRI 90 Susp WHI - Светильник</t>
  </si>
  <si>
    <t>2206905_ WHI</t>
  </si>
  <si>
    <t>МАТ.СВЕТ.233</t>
  </si>
  <si>
    <t>Rota D1000 MP ECO 54W-4000K CRI 90 L24 270mA Susp BLK - Светильник</t>
  </si>
  <si>
    <t>2206911_ BLK</t>
  </si>
  <si>
    <t>МАТ.СВЕТ.234</t>
  </si>
  <si>
    <t>Rota D1000 MP ECO 54W-4000K CRI 90 L24 270mA Susp WHI - Светильник</t>
  </si>
  <si>
    <t>2206911_ WHI</t>
  </si>
  <si>
    <t>МАТ.СВЕТ.235</t>
  </si>
  <si>
    <t>Rota D1000 MP ECO 77W-4000K CRI 90 L24 Susp BLK - Светильник</t>
  </si>
  <si>
    <t>2400467_ BLK</t>
  </si>
  <si>
    <t>МАТ.СВЕТ.236</t>
  </si>
  <si>
    <t>Rota D1000 MP ECO 77W-4000K CRI 90 L24 Susp WHI - Светильник</t>
  </si>
  <si>
    <t>2400467_ WHI</t>
  </si>
  <si>
    <t>МАТ.СВЕТ.237</t>
  </si>
  <si>
    <t>Rota D1500 MP ECO 69W-4000K CRI 90 Susp BLK - Светильник</t>
  </si>
  <si>
    <t>2206933_ BLK</t>
  </si>
  <si>
    <t>МАТ.СВЕТ.238</t>
  </si>
  <si>
    <t>Rota D1500 MP ECO 69W-4000K CRI 90 Susp WHI - Светильник</t>
  </si>
  <si>
    <t>2206933_ WHI</t>
  </si>
  <si>
    <t>МАТ.СВЕТ.239</t>
  </si>
  <si>
    <t>2206872_ BLK</t>
  </si>
  <si>
    <t>МАТ.СВЕТ.240</t>
  </si>
  <si>
    <t>Rota D650 MP ECO 28W-4000K CRI 90 Susp WHI - Светильник</t>
  </si>
  <si>
    <t>2206872_ WHI</t>
  </si>
  <si>
    <t>МАТ.СВЕТ.241</t>
  </si>
  <si>
    <t>Rota D650 MP ECO 36W-4000K CRI 90 L24 Reduced Susp BLK - Светильник</t>
  </si>
  <si>
    <t>2206873_ BLK</t>
  </si>
  <si>
    <t>МАТ.СВЕТ.242</t>
  </si>
  <si>
    <t>Rota D650 MP ECO 36W-4000K CRI 90 L24 Reduced Susp WHI - Светильник</t>
  </si>
  <si>
    <t>2206873_ WHI</t>
  </si>
  <si>
    <t>МАТ.СВЕТ.243</t>
  </si>
  <si>
    <t>Rota D800 MP ECO 40W-4000K CRI 90 Ceil BLK H95 - Светильник потолочный специсполнение под данный проект. Предусмотреть выход кабеля сбоку</t>
  </si>
  <si>
    <t>2206689_ BLK H95</t>
  </si>
  <si>
    <t>МАТ.СВЕТ.244</t>
  </si>
  <si>
    <t>Rota D800 MP ECO 40W-4000K CRI 90 Ceil WHI H95 - Светильник потолочный специсполнение под данный проект. Предусмотреть выход кабеля сбоку</t>
  </si>
  <si>
    <t>2206689_ WHI H95</t>
  </si>
  <si>
    <t>МАТ.СВЕТ.245</t>
  </si>
  <si>
    <t>Rota D800 MP ECO 40W-4000K CRI 90 Susp BLK - Светильник</t>
  </si>
  <si>
    <t>2206886_ BLK</t>
  </si>
  <si>
    <t>МАТ.СВЕТ.246</t>
  </si>
  <si>
    <t>Rota D800 MP ECO 40W-4000K CRI 90 Susp WHI - Светильник</t>
  </si>
  <si>
    <t>2206886_ WHI</t>
  </si>
  <si>
    <t>МАТ.СВЕТ.247</t>
  </si>
  <si>
    <t>Rota Egg DI MP ECO 28W-4000K CRI 90 270mA Susp BLK - Светильник</t>
  </si>
  <si>
    <t>2208098_ BLK</t>
  </si>
  <si>
    <t>МАТ.СВЕТ.248</t>
  </si>
  <si>
    <t>Rota Egg DI MP ECO 28W-4000K CRI 90 270mA Susp WHI - Светильник</t>
  </si>
  <si>
    <t>2208098_ WHI</t>
  </si>
  <si>
    <t>МАТ.СВЕТ.249</t>
  </si>
  <si>
    <t>Rota Egg DI MP ECO 40W-4000K CRI 90 Susp BLK - Светильник</t>
  </si>
  <si>
    <t>2207549_ BLK</t>
  </si>
  <si>
    <t>МАТ.СВЕТ.250</t>
  </si>
  <si>
    <t>Rota Egg DI MP ECO 40W-4000K CRI 90 Susp WHI - Светильник</t>
  </si>
  <si>
    <t>2207549_ WHI</t>
  </si>
  <si>
    <t>МАТ.СВЕТ.251</t>
  </si>
  <si>
    <t>Rota Egg DI MP ECO 54W-4000K CRI 90 L24 270mA BLK Susp - Светильник</t>
  </si>
  <si>
    <t>2207550_ BLK</t>
  </si>
  <si>
    <t>МАТ.СВЕТ.252</t>
  </si>
  <si>
    <t>Rota Egg DI MP ECO 54W-4000K CRI 90 L24 270mA WHI Susp - Светильник</t>
  </si>
  <si>
    <t>2207550_ WHI</t>
  </si>
  <si>
    <t>МАТ.СВЕТ.253</t>
  </si>
  <si>
    <t>Rota Egg DI MP ECO 77W-4000K CRI 90 L24 Susp BLK - Светильник</t>
  </si>
  <si>
    <t>2400466_ BLK</t>
  </si>
  <si>
    <t>МАТ.СВЕТ.254</t>
  </si>
  <si>
    <t>Rota Egg DI MP ECO 77W-4000K CRI 90 L24 Susp WHI - Светильник</t>
  </si>
  <si>
    <t>2400466_ WHI</t>
  </si>
  <si>
    <t>МАТ.СВЕТ.255</t>
  </si>
  <si>
    <t>Rota Slim D1000 MP ECO 23W-4000K CRI 90 175mA Susp BLK - Светильник</t>
  </si>
  <si>
    <t>2207442_ BLK</t>
  </si>
  <si>
    <t>МАТ.СВЕТ.256</t>
  </si>
  <si>
    <t>Rota Slim D1000 MP ECO 23W-4000K CRI 90 175mA Susp WHI - Светильник</t>
  </si>
  <si>
    <t>2207442_ WHI</t>
  </si>
  <si>
    <t>МАТ.СВЕТ.257</t>
  </si>
  <si>
    <t>Rota Slim D1000 MP ECO 49W-4000K CRI 90 Susp BLK - Светильник</t>
  </si>
  <si>
    <t>2207441 BLK</t>
  </si>
  <si>
    <t>МАТ.СВЕТ.258</t>
  </si>
  <si>
    <t>Rota Triangle DI MP ECO 28W-4000K CRI 90 270mA Susp BLK - Светильник</t>
  </si>
  <si>
    <t>2208099_ BLK</t>
  </si>
  <si>
    <t>МАТ.СВЕТ.259</t>
  </si>
  <si>
    <t>Rota Triangle DI MP ECO 28W-4000K CRI 90 270mA Susp WHI - Светильник</t>
  </si>
  <si>
    <t>2208099_ WHI</t>
  </si>
  <si>
    <t>МАТ.СВЕТ.260</t>
  </si>
  <si>
    <t>Rota Triangle DI MP ECO 42W-4000K CRI 90 Susp BLK - Светильник</t>
  </si>
  <si>
    <t>2207574_ BLK</t>
  </si>
  <si>
    <t>МАТ.СВЕТ.261</t>
  </si>
  <si>
    <t>Rota Triangle DI MP ECO 42W-4000K CRI 90 Susp WHI - Светильник</t>
  </si>
  <si>
    <t>2207574_ WHI</t>
  </si>
  <si>
    <t>МАТ.СВЕТ.262</t>
  </si>
  <si>
    <t>Rota Triangle DI MP ECO 54W-4000K CRI 90 L24 270mA BLK Susp - Светильник</t>
  </si>
  <si>
    <t>2207575_ BLK</t>
  </si>
  <si>
    <t>МАТ.СВЕТ.263</t>
  </si>
  <si>
    <t>Rota Triangle DI MP ECO 54W-4000K CRI 90 L24 270mA WHI Susp - Светильник</t>
  </si>
  <si>
    <t>2207575_ WHI</t>
  </si>
  <si>
    <t>МАТ.СВЕТ.264</t>
  </si>
  <si>
    <t>Rota Triangle DI MP ECO 77W-4000K CRI 90 L24 Susp BLK - Светильник</t>
  </si>
  <si>
    <t>2400468_ BLK</t>
  </si>
  <si>
    <t>МАТ.СВЕТ.265</t>
  </si>
  <si>
    <t>МАТ.СВЕТ.266</t>
  </si>
  <si>
    <t>Rota Triangle DI MP ECO 77W-4000K CRI 90 L24 Susp WHI - Светильник</t>
  </si>
  <si>
    <t>2400468_ WHI</t>
  </si>
  <si>
    <t>МАТ.СВЕТ.267</t>
  </si>
  <si>
    <t>МАТ.СВЕТ.268</t>
  </si>
  <si>
    <t>SILED / SKB 18-3 Усилитель стыка для шинопровода КРАСНЫЙ ГЛАДКИЙ 3020</t>
  </si>
  <si>
    <t>SILED</t>
  </si>
  <si>
    <t>СИЛЕД</t>
  </si>
  <si>
    <t>МАТ.СВЕТ.269</t>
  </si>
  <si>
    <t>SILED / XTS 11-3 Токоподвод левый КРАСНЫЙ ГЛАДКИЙ МАТОВЫЙ RAL3020</t>
  </si>
  <si>
    <t>МАТ.СВЕТ.270</t>
  </si>
  <si>
    <t>SILED / XTS 21 Cтык внутренний КРАСНЫЙ ГЛАДКИЙ МАТОВЫЙ RAL3020</t>
  </si>
  <si>
    <t>МАТ.СВЕТ.271</t>
  </si>
  <si>
    <t>SILED / XTS 41-3 Заглушка для шинопровода КРАСНЫЙ ГЛАДКИЙ МАТОВЫЙ RAL3020</t>
  </si>
  <si>
    <t>МАТ.СВЕТ.272</t>
  </si>
  <si>
    <t>SILED Шинопровод 1000 мм КРАСНЫЙ</t>
  </si>
  <si>
    <t>МАТ.СВЕТ.273</t>
  </si>
  <si>
    <t>SILED Шинопровод 1500 мм КРАСНЫЙ</t>
  </si>
  <si>
    <t>МАТ.СВЕТ.274</t>
  </si>
  <si>
    <t>SILED Шинопровод 2000 мм КРАСНЫЙ</t>
  </si>
  <si>
    <t>МАТ.СВЕТ.275</t>
  </si>
  <si>
    <t>SILED Шинопровод 2500 мм КРАСНЫЙ</t>
  </si>
  <si>
    <t>МАТ.СВЕТ.276</t>
  </si>
  <si>
    <t>SILED Шинопровод 3000 мм КРАСНЫЙ</t>
  </si>
  <si>
    <t>МАТ.СВЕТ.277</t>
  </si>
  <si>
    <t>Silent acoustic D200-100x(h)300mm, 1xE27, one side colour Susp Серый- Светильник</t>
  </si>
  <si>
    <t>1904746_ GRY</t>
  </si>
  <si>
    <t>МАТ.СВЕТ.278</t>
  </si>
  <si>
    <t>Silent acoustic D380-230x(h)500mm, 1xE27, one side colour Susp (белый внутри, серый снаружи)- Светильник</t>
  </si>
  <si>
    <t>2200104_ GRY-WHI</t>
  </si>
  <si>
    <t>МАТ.СВЕТ.279</t>
  </si>
  <si>
    <t>Silent acoustic D800-400x(h)400mm, 3xE27, one side colour Susp RED - Светильник</t>
  </si>
  <si>
    <t>2400162_ RED</t>
  </si>
  <si>
    <t>МАТ.СВЕТ.280</t>
  </si>
  <si>
    <t>Snap R D33mm-1.5W-4000K CRI 90 Recess BLK - Светильник</t>
  </si>
  <si>
    <t>1904622_ BLK</t>
  </si>
  <si>
    <t>МАТ.СВЕТ.281</t>
  </si>
  <si>
    <t>Snap R D33mm-1.5W-4000K CRI 90 Recess WHI - Светильник</t>
  </si>
  <si>
    <t>1904622_ WHI</t>
  </si>
  <si>
    <t>МАТ.СВЕТ.282</t>
  </si>
  <si>
    <t>Заглушка LGD-4TR-CAP-WH ©</t>
  </si>
  <si>
    <t>024729</t>
  </si>
  <si>
    <t>МАТ.СВЕТ.283</t>
  </si>
  <si>
    <t>Заглушка, черная</t>
  </si>
  <si>
    <t>МАТ.СВЕТ.284</t>
  </si>
  <si>
    <t>024727</t>
  </si>
  <si>
    <t>МАТ.СВЕТ.285</t>
  </si>
  <si>
    <t>Комплект линейного соединения для св-ка LA LINEA SILED</t>
  </si>
  <si>
    <t>МАТ.СВЕТ.286</t>
  </si>
  <si>
    <t>Комплект подвеса 3м черный</t>
  </si>
  <si>
    <t>МАТ.СВЕТ.287</t>
  </si>
  <si>
    <t>Комплект подвеса для шинопровода 3000 мм (SILED)КРАСНЫЙ ГЛАДКИЙ 3020</t>
  </si>
  <si>
    <t>МАТ.СВЕТ.288</t>
  </si>
  <si>
    <t>042557</t>
  </si>
  <si>
    <t>МАТ.СВЕТ.289</t>
  </si>
  <si>
    <t>Коннектор питания LGD-4TR-CON-POWER-L-WH ©</t>
  </si>
  <si>
    <t>024714</t>
  </si>
  <si>
    <t>МАТ.СВЕТ.290</t>
  </si>
  <si>
    <t>Коннектор прямой LGD-4TR-CON-LONG-WH ©</t>
  </si>
  <si>
    <t>028836</t>
  </si>
  <si>
    <t>МАТ.СВЕТ.291</t>
  </si>
  <si>
    <t>024280</t>
  </si>
  <si>
    <t>МАТ.СВЕТ.292</t>
  </si>
  <si>
    <t>Пульт SMART-R10-DIM (4 зоны, 2.4G)</t>
  </si>
  <si>
    <t>МАТ.СВЕТ.293</t>
  </si>
  <si>
    <t>Светильник LGD-GERA-4TR-R74-20W Day4000 (WH, 24 deg, 230V)</t>
  </si>
  <si>
    <t>024085(2)</t>
  </si>
  <si>
    <t>МАТ.СВЕТ.294</t>
  </si>
  <si>
    <t>Светильник светодиодный SILED LA LINEA 1000 25W 4000K Ra80, МИКРОПРИЗМА, 992 мм КРАСНЫЙ ГЛАДКИЙ 3020 в комплекте с подвесом и заглушками</t>
  </si>
  <si>
    <t>МАТ.СВЕТ.295</t>
  </si>
  <si>
    <t>Светильник светодиодный SILED LA LINEA 1500 38W 4000K Ra80, МИКРОПРИЗМА, 1484 мм КРАСНЫЙ ГЛАДКИЙ 3020 в комплекте с подвесом и заглушками</t>
  </si>
  <si>
    <t>МАТ.СВЕТ.296</t>
  </si>
  <si>
    <t>Светильник светодиодный SILED LA LINEA 2000 50W 4000K Ra80, МИКРОПРИЗМА, 1976 мм КРАСНЫЙ ГЛАДКИЙ 3020 в комплекте с подвесом и заглушками</t>
  </si>
  <si>
    <t>МАТ.СВЕТ.297</t>
  </si>
  <si>
    <t>Светильник светодиодный SILED LA LINEA 3000 75W 4000K Ra80, МИКРОПРИЗМА, 2968 мм КРАСНЫЙ ГЛАДКИЙ 3020 в комплекте с подвесом и заглушками</t>
  </si>
  <si>
    <t>МАТ.СВЕТ.298</t>
  </si>
  <si>
    <t>Светильник светодиодный трековый SILED LINE SPOT 20W 4000K/CRI80 45 гр КРАСНЫЙ RAL3020</t>
  </si>
  <si>
    <t>МАТ.СВЕТ.299</t>
  </si>
  <si>
    <t>Соединитель внутренний, черный</t>
  </si>
  <si>
    <t>МАТ.СВЕТ.300</t>
  </si>
  <si>
    <t>Соединитель угловой 90° внешний Правый, черный</t>
  </si>
  <si>
    <t>МАТ.СВЕТ.301</t>
  </si>
  <si>
    <t>Соединитель угловой 90° внутренний</t>
  </si>
  <si>
    <t>МАТ.СВЕТ.302</t>
  </si>
  <si>
    <t>Токоподвод д/шинопровода Левый, черный</t>
  </si>
  <si>
    <t>МАТ.СВЕТ.303</t>
  </si>
  <si>
    <t>Токоподвод д/шинопровода Правый, черный</t>
  </si>
  <si>
    <t>МАТ.СВЕТ.304</t>
  </si>
  <si>
    <t>Торшер ADDIT F Ant Conical D600 E27 max 40W - Светильник</t>
  </si>
  <si>
    <t>2207965</t>
  </si>
  <si>
    <t>МАТ.СВЕТ.305</t>
  </si>
  <si>
    <t>Трек LGD-4TR-TRACK-1000-WH-M ©</t>
  </si>
  <si>
    <t>030562(2)</t>
  </si>
  <si>
    <t>МАТ.СВЕТ.306</t>
  </si>
  <si>
    <t>Трек LGD-4TR-TRACK-2000-WH-M ©</t>
  </si>
  <si>
    <t>026140(2)</t>
  </si>
  <si>
    <t>МАТ.СВЕТ.307</t>
  </si>
  <si>
    <t>МАТ.СВЕТ.308</t>
  </si>
  <si>
    <t>Трек LGD-4TR-TRACK-3000-WH-M ©</t>
  </si>
  <si>
    <t>046092</t>
  </si>
  <si>
    <t>МАТ.СВЕТ.309</t>
  </si>
  <si>
    <t>МАТ.СВЕТ.310</t>
  </si>
  <si>
    <t>Усилитель стыка, черный</t>
  </si>
  <si>
    <t>МАТ.СВЕТ.311</t>
  </si>
  <si>
    <t>Шинопровод черный 1м.</t>
  </si>
  <si>
    <t>МАТ.СВЕТ.312</t>
  </si>
  <si>
    <t>Шинопровод черный 2м.</t>
  </si>
  <si>
    <t>МАТ.СВЕТ.313</t>
  </si>
  <si>
    <t>Шинопровод черный 3м.</t>
  </si>
  <si>
    <t>МАТ.СВЕТ.АВАР.001</t>
  </si>
  <si>
    <t>Agat D80 35W-4000K CRI 90 M1200 Susp (драйвер выносной) WHI Emerg - Светильник</t>
  </si>
  <si>
    <t>2309027_ WHI Emg</t>
  </si>
  <si>
    <t>МАТ.СВЕТ.АВАР.002</t>
  </si>
  <si>
    <t>Agat Vertical D80 12W-4000K CRI 90 H200 Susp (ceiling rose incl.) WHI Emerg - Светильник</t>
  </si>
  <si>
    <t>2409707_ WHI Emg</t>
  </si>
  <si>
    <t>МАТ.СВЕТ.АВАР.003</t>
  </si>
  <si>
    <t>FAT 12W-4000K CRI 90 H180 MP Susp BLK Emerg - Светильник</t>
  </si>
  <si>
    <t>2200669_ BLK Emg</t>
  </si>
  <si>
    <t>МАТ.СВЕТ.АВАР.004</t>
  </si>
  <si>
    <t>FAT 12W-4000K CRI 90 H180 MP Susp RED Emerg - Светильник</t>
  </si>
  <si>
    <t>2200669_ RED Emg</t>
  </si>
  <si>
    <t>МАТ.СВЕТ.АВАР.005</t>
  </si>
  <si>
    <t>FAT 12W-4000K CRI 90 H180 MP Susp WHI Emerg - Светильник</t>
  </si>
  <si>
    <t>2200669_ WHI Emg</t>
  </si>
  <si>
    <t>МАТ.СВЕТ.АВАР.006</t>
  </si>
  <si>
    <t>FAT 12W-4000K CRI 90 H95 MP Susp WHI Emerg - Светильник</t>
  </si>
  <si>
    <t>2200661_ WHI Emg</t>
  </si>
  <si>
    <t>МАТ.СВЕТ.АВАР.007</t>
  </si>
  <si>
    <t>FAT 12W-4000K CRI 90 H95 REF 45`Ceil BLK - Светильник. Аварийный блок выносной</t>
  </si>
  <si>
    <t>2309088_ BLK Emg</t>
  </si>
  <si>
    <t>МАТ.СВЕТ.АВАР.008</t>
  </si>
  <si>
    <t>FAT 12W-4000K CRI 90 H95 REF 45`Ceil WHI - Светильник. Аварийный блок выносной</t>
  </si>
  <si>
    <t>2309088_ WHI Emg</t>
  </si>
  <si>
    <t>МАТ.СВЕТ.АВАР.009</t>
  </si>
  <si>
    <t>FAT 8W-4000K CRI 90 H180 REF 45`Ceil BLK Emerg - Светильник</t>
  </si>
  <si>
    <t>2502602_ BLK Emg</t>
  </si>
  <si>
    <t>МАТ.СВЕТ.АВАР.010</t>
  </si>
  <si>
    <t>FAT 8W-4000K CRI 90 H180 REF 45`Ceil WHI Emerg - Светильник</t>
  </si>
  <si>
    <t>2502602_ WHI Emg</t>
  </si>
  <si>
    <t>МАТ.СВЕТ.АВАР.011</t>
  </si>
  <si>
    <t>FAT 8W-4000K CRI 90 H180 REF45` Susp BLK Emerg - Светильник</t>
  </si>
  <si>
    <t>2407201_ BLK Emg</t>
  </si>
  <si>
    <t>МАТ.СВЕТ.АВАР.012</t>
  </si>
  <si>
    <t>FAT 8W-4000K CRI 90 H180 REF45` Susp WHI Emerg - Светильник</t>
  </si>
  <si>
    <t>2407201_ WHI Emg</t>
  </si>
  <si>
    <t>МАТ.СВЕТ.АВАР.013</t>
  </si>
  <si>
    <t>FAT 8W-4000K CRI 90 H95 MP Ceil BLK Emerg - Светильник потолочный. Предусмотреть выход кабеля сбоку</t>
  </si>
  <si>
    <t>2200576_ BLK Emerg</t>
  </si>
  <si>
    <t>МАТ.СВЕТ.АВАР.014</t>
  </si>
  <si>
    <t>FAT 8W-4000K CRI 90 H95 MP Ceil WHI Emerg - Светильник потолочный. Предусмотреть выход кабеля сбоку</t>
  </si>
  <si>
    <t>2200576_ WHI Emerg</t>
  </si>
  <si>
    <t>МАТ.СВЕТ.АВАР.015</t>
  </si>
  <si>
    <t>FAT Comfort 12W-4000K CRI 90 H130 MP Susp BLK Emerg - Светильник</t>
  </si>
  <si>
    <t>2200685_ BLK Emg</t>
  </si>
  <si>
    <t>МАТ.СВЕТ.АВАР.016</t>
  </si>
  <si>
    <t>FAT Comfort 12W-4000K CRI 90 H130 MP Susp WHI Emerg - Светильник</t>
  </si>
  <si>
    <t>2200685_ WHI Emg</t>
  </si>
  <si>
    <t>МАТ.СВЕТ.АВАР.017</t>
  </si>
  <si>
    <t>FAT Comfort 12W-4000K CRI 90 H215 MP Susp BLK Emerg - Светильник</t>
  </si>
  <si>
    <t>2200693_ BLK Emg</t>
  </si>
  <si>
    <t>МАТ.СВЕТ.АВАР.018</t>
  </si>
  <si>
    <t>FAT Comfort 12W-4000K CRI 90 H215 MP Susp WHI Emerg - Светильник</t>
  </si>
  <si>
    <t>2200693_ WHI Emg</t>
  </si>
  <si>
    <t>МАТ.СВЕТ.АВАР.019</t>
  </si>
  <si>
    <t>FAT Comfort 8W-4000K CRI 90 H130 MP Susp BLK Emerg - Светильник</t>
  </si>
  <si>
    <t>2200681_ BLK Emg</t>
  </si>
  <si>
    <t>МАТ.СВЕТ.АВАР.020</t>
  </si>
  <si>
    <t>FAT Comfort 8W-4000K CRI 90 H130 MP Susp WHI Emerg - Светильник</t>
  </si>
  <si>
    <t>2200681_ WHI Emg</t>
  </si>
  <si>
    <t>МАТ.СВЕТ.АВАР.021</t>
  </si>
  <si>
    <t>GARDA WALL 7W-4000K CRI 90 ON/OFF IP65 Emerg- Светильник. Аварийный блок выносной</t>
  </si>
  <si>
    <t>2208138 Emg</t>
  </si>
  <si>
    <t>МАТ.СВЕТ.АВАР.022</t>
  </si>
  <si>
    <t>Get ON Emergency EM1H Susp " ↑" - Светильник аварийный</t>
  </si>
  <si>
    <t>2103226</t>
  </si>
  <si>
    <t>МАТ.СВЕТ.АВАР.023</t>
  </si>
  <si>
    <t>МАТ.СВЕТ.АВАР.024</t>
  </si>
  <si>
    <t>Get ON Emergency EM1H Susp " ↓" BLK - Светильник аварийный</t>
  </si>
  <si>
    <t>1903918_ BLK</t>
  </si>
  <si>
    <t>МАТ.СВЕТ.АВАР.025</t>
  </si>
  <si>
    <t>Get ON Emergency EM1H Susp " ↓" WHI - Светильник аварийный</t>
  </si>
  <si>
    <t>1903918_ WHI</t>
  </si>
  <si>
    <t>МАТ.СВЕТ.АВАР.026</t>
  </si>
  <si>
    <t>Get ON Emergency EM1H Susp "ВЫХОД" BLK - Светильник аварийный</t>
  </si>
  <si>
    <t>1903912_ BLK</t>
  </si>
  <si>
    <t>МАТ.СВЕТ.АВАР.027</t>
  </si>
  <si>
    <t>Get ON Emergency EM1H Susp "ВЫХОД" WHI - Светильник аварийный</t>
  </si>
  <si>
    <t>1903912_ WHI</t>
  </si>
  <si>
    <t>МАТ.СВЕТ.АВАР.028</t>
  </si>
  <si>
    <t>Get ON Emergency EM1H Susp "→" BLK - Светильник аварийный</t>
  </si>
  <si>
    <t>1903915_ BLK</t>
  </si>
  <si>
    <t>МАТ.СВЕТ.АВАР.029</t>
  </si>
  <si>
    <t>Get ON Emergency EM1H Susp "→" WHI - Светильник аварийный</t>
  </si>
  <si>
    <t>1903915_ WHI</t>
  </si>
  <si>
    <t>МАТ.СВЕТ.АВАР.030</t>
  </si>
  <si>
    <t>Get ON Emergency EM1H Susp Двухсторонний "→" BLK - Светильник аварийный</t>
  </si>
  <si>
    <t>1903922_ BLK</t>
  </si>
  <si>
    <t>МАТ.СВЕТ.АВАР.031</t>
  </si>
  <si>
    <t>Get ON Emergency EM1H Susp Двухсторонний "→" WHI - Светильник аварийный</t>
  </si>
  <si>
    <t>1903922_ WHI</t>
  </si>
  <si>
    <t>МАТ.СВЕТ.АВАР.032</t>
  </si>
  <si>
    <t>Get ON Emergency EM1H Wall "ВЫХОД" BLK - Светильник аварийный</t>
  </si>
  <si>
    <t>1403537_ BLK</t>
  </si>
  <si>
    <t>МАТ.СВЕТ.АВАР.033</t>
  </si>
  <si>
    <t>Get ON Emergency EM1H Wall "ВЫХОД" WHI - Светильник аварийный</t>
  </si>
  <si>
    <t>1403537_ WHI</t>
  </si>
  <si>
    <t>МАТ.СВЕТ.АВАР.034</t>
  </si>
  <si>
    <t>Get ON Emergency EM1H Wall "←" BLK - Светильник аварийный</t>
  </si>
  <si>
    <t>1903613_ BLK</t>
  </si>
  <si>
    <t>МАТ.СВЕТ.АВАР.035</t>
  </si>
  <si>
    <t>Get ON Emergency EM1H Wall "←" WHI - Светильник аварийный</t>
  </si>
  <si>
    <t>1903613_ WHI</t>
  </si>
  <si>
    <t>МАТ.СВЕТ.АВАР.036</t>
  </si>
  <si>
    <t>Get ON Emergency EM1H Wall "→" BLK - Светильник аварийный</t>
  </si>
  <si>
    <t>1903612_ BLK</t>
  </si>
  <si>
    <t>МАТ.СВЕТ.АВАР.037</t>
  </si>
  <si>
    <t>Get ON Emergency EM1H Wall "→" WHI - Светильник аварийный</t>
  </si>
  <si>
    <t>1903612_ WHI</t>
  </si>
  <si>
    <t>МАТ.СВЕТ.АВАР.038</t>
  </si>
  <si>
    <t>Grata Slim SL D750 MP ECO 33W-4000K CRI 90 175mA Susp Emerg BLK - Светильник</t>
  </si>
  <si>
    <t>2308772_ BLK Emg</t>
  </si>
  <si>
    <t>МАТ.СВЕТ.АВАР.039</t>
  </si>
  <si>
    <t>Grata Slim SL D750 MP ECO 33W-4000K CRI 90 175mA Susp Emerg WHI - Светильник</t>
  </si>
  <si>
    <t>2308772_ WHI Emg</t>
  </si>
  <si>
    <t>МАТ.СВЕТ.АВАР.040</t>
  </si>
  <si>
    <t>IEK Светильник ДСП 1304 18Вт 4000К IP65 600мм Emerg - Светильник</t>
  </si>
  <si>
    <t>2409705 Emg</t>
  </si>
  <si>
    <t>МАТ.СВЕТ.АВАР.041</t>
  </si>
  <si>
    <t>2200204 Emg</t>
  </si>
  <si>
    <t>МАТ.СВЕТ.АВАР.042</t>
  </si>
  <si>
    <t>Longa 40 DI 15W/mt-4000K CRI 90 ROW 175mA Susp BLK Emerg - Светильник</t>
  </si>
  <si>
    <t>2205725_ BLK Emg</t>
  </si>
  <si>
    <t>МАТ.СВЕТ.АВАР.043</t>
  </si>
  <si>
    <t>Longa 40 DI 15W/mt-4000K CRI 90 ROW 175mA Susp RAL3020 Emerg - Светильник</t>
  </si>
  <si>
    <t>2205725_RAL3020 Emg</t>
  </si>
  <si>
    <t>МАТ.СВЕТ.АВАР.044</t>
  </si>
  <si>
    <t>Longa 40 DI 15W/mt-4000K CRI 90 ROW 175mA Susp WHI Emerg - Светильник</t>
  </si>
  <si>
    <t>2205725_ WHI Emg</t>
  </si>
  <si>
    <t>МАТ.СВЕТ.АВАР.045</t>
  </si>
  <si>
    <t>Longa 40 DI 22W/mt-4000K CRI 90 ROW 270mA Ceil BLK Emerg, L=2314mm - Светильник</t>
  </si>
  <si>
    <t>2205598_ 2314 BLK Emg</t>
  </si>
  <si>
    <t>МАТ.СВЕТ.АВАР.046</t>
  </si>
  <si>
    <t>Longa 40 DI 22W/mt-4000K CRI 90 ROW 270mA Ceil WHI Emerg, L=2314mm - Светильник</t>
  </si>
  <si>
    <t>2205598_ 2314 WHI Emg</t>
  </si>
  <si>
    <t>МАТ.СВЕТ.АВАР.047</t>
  </si>
  <si>
    <t>Longa 40 DI 22W/mt-4000K CRI 90 ROW 270mA Susp BLK Emerg - Светильник</t>
  </si>
  <si>
    <t>2205724_ BLK Emg</t>
  </si>
  <si>
    <t>МАТ.СВЕТ.АВАР.048</t>
  </si>
  <si>
    <t>Longa 40 DI 22W/mt-4000K CRI 90 ROW 270mA Susp WHI Emerg - Светильник</t>
  </si>
  <si>
    <t>2205724_ WHI Emg</t>
  </si>
  <si>
    <t>МАТ.СВЕТ.АВАР.049</t>
  </si>
  <si>
    <t>Longa 40 DI 25W-4000K CRI 90 M1200 270mA Susp BLK Emerg - Светильник</t>
  </si>
  <si>
    <t>2205657_ BLK  Emg</t>
  </si>
  <si>
    <t>МАТ.СВЕТ.АВАР.050</t>
  </si>
  <si>
    <t>Longa 40 DI 25W-4000K CRI 90 M1200 270mA Susp WHI Emerg - Светильник</t>
  </si>
  <si>
    <t>2205657_ WHI  Emg</t>
  </si>
  <si>
    <t>МАТ.СВЕТ.АВАР.051</t>
  </si>
  <si>
    <t>Longa 40 DI 26W-4000K CRI 90 M900 WALL WHI Emerg - Светильник</t>
  </si>
  <si>
    <t>2205838_ WHI Emg</t>
  </si>
  <si>
    <t>МАТ.СВЕТ.АВАР.052</t>
  </si>
  <si>
    <t>Longa 40 DI 39W-4000K CRI 90 M1400 WALL BLK Emerg, L=1392mm - Светильник</t>
  </si>
  <si>
    <t>2205846_ BLK Emg</t>
  </si>
  <si>
    <t>МАТ.СВЕТ.АВАР.053</t>
  </si>
  <si>
    <t>Longa 40 DI 65W-4000K CRI 90 M1200 2xL24 Susp BLK Emerg - Светильник</t>
  </si>
  <si>
    <t>2205653_ BLK Emg</t>
  </si>
  <si>
    <t>МАТ.СВЕТ.АВАР.054</t>
  </si>
  <si>
    <t>Longa 40 DI 65W-4000K CRI 90 M1200 2xL24 Susp WHI Emerg - Светильник</t>
  </si>
  <si>
    <t>2205653_ WHI Emg</t>
  </si>
  <si>
    <t>МАТ.СВЕТ.АВАР.055</t>
  </si>
  <si>
    <t>Longa 40 DI_IN 45W-4000K CRI 90 M1200 WALL RAL3028 Emerg - Светильник</t>
  </si>
  <si>
    <t>2205883_RAL3028 Emg</t>
  </si>
  <si>
    <t>МАТ.СВЕТ.АВАР.056</t>
  </si>
  <si>
    <t>Longa 61 25W-4000K CRI 90 MP 270mA M1200 Susp BLK Emerg - Светильник</t>
  </si>
  <si>
    <t>2205976_ BLK Emg</t>
  </si>
  <si>
    <t>МАТ.СВЕТ.АВАР.057</t>
  </si>
  <si>
    <t>Longa 61 25W-4000K CRI 90 MP 270mA M1200 Susp WHI Emerg - Светильник</t>
  </si>
  <si>
    <t>2205976_ WHI Emg</t>
  </si>
  <si>
    <t>МАТ.СВЕТ.АВАР.058</t>
  </si>
  <si>
    <t>Longa 61 35W-4000K CRI 90 MP M1200 Susp BLK Emerg- Светильник</t>
  </si>
  <si>
    <t>2205970_ BLK Emg</t>
  </si>
  <si>
    <t>МАТ.СВЕТ.АВАР.059</t>
  </si>
  <si>
    <t>Longa 61 35W-4000K CRI 90 MP M1200 Susp WHI Emerg- Светильник</t>
  </si>
  <si>
    <t>2205970_ WHI Emg</t>
  </si>
  <si>
    <t>МАТ.СВЕТ.АВАР.060</t>
  </si>
  <si>
    <t>Longa 61 50W-4000K CRI 90 MP 2xL24 270mA M1200 Susp BLK Emerg - Светильник</t>
  </si>
  <si>
    <t>2205973_ BLK  Emg</t>
  </si>
  <si>
    <t>МАТ.СВЕТ.АВАР.061</t>
  </si>
  <si>
    <t>Longa 61 50W-4000K CRI 90 MP 2xL24 270mA M1200 Susp WHI Emerg - Светильник</t>
  </si>
  <si>
    <t>2205973_ WHI Emg</t>
  </si>
  <si>
    <t>МАТ.СВЕТ.АВАР.062</t>
  </si>
  <si>
    <t>MICA D190 14W-4000K CRI 90 Recess MP ECO BLK Emerg - Светильник</t>
  </si>
  <si>
    <t>2206137_ BLK Emg</t>
  </si>
  <si>
    <t>МАТ.СВЕТ.АВАР.063</t>
  </si>
  <si>
    <t>MICA D190 14W-4000K CRI 90 Recess MP ECO WHI Emerg - Светильник</t>
  </si>
  <si>
    <t>2206137_ WHI Emg</t>
  </si>
  <si>
    <t>МАТ.СВЕТ.АВАР.064</t>
  </si>
  <si>
    <t>MICA ON D330 27W-4000K CRI 90 Ceil MP ECO BLK Emerg IP54 - Светильник. Аварийный блок выносной</t>
  </si>
  <si>
    <t>2206277_IP 54 BLK Emg</t>
  </si>
  <si>
    <t>МАТ.СВЕТ.АВАР.065</t>
  </si>
  <si>
    <t>MICA ON D330 27W-4000K CRI 90 Ceil MP ECO WHI Emerg IP54 - Светильник. Аварийный блок выносной</t>
  </si>
  <si>
    <t>2206277_IP 54 WHI  Emg</t>
  </si>
  <si>
    <t>МАТ.СВЕТ.АВАР.066</t>
  </si>
  <si>
    <t>MICA System D330 27W-4000K CRI 90 MP ECO BLK Emerg - Светильник</t>
  </si>
  <si>
    <t>2206251 BLK Emg</t>
  </si>
  <si>
    <t>МАТ.СВЕТ.АВАР.067</t>
  </si>
  <si>
    <t>Nuby 600x600 LongPrism T15-24 39W-4000K CRI 90 M600 Recess Emerg - Светильник</t>
  </si>
  <si>
    <t>2206306_ WHI Emg</t>
  </si>
  <si>
    <t>МАТ.СВЕТ.АВАР.068</t>
  </si>
  <si>
    <t>Quark AIR HE D45 MP 8W-4000K CRI 90 H110 Susp BLK Emerg - Светильник</t>
  </si>
  <si>
    <t>2503425_ BLK Emg</t>
  </si>
  <si>
    <t>МАТ.СВЕТ.АВАР.069</t>
  </si>
  <si>
    <t>Quark AIR HE MP D70 12W-4000K CRI 90 H210 Susp BLK Emerg- Светильник</t>
  </si>
  <si>
    <t>2201293_ BLK  Emg</t>
  </si>
  <si>
    <t>МАТ.СВЕТ.АВАР.070</t>
  </si>
  <si>
    <t>Quark AIR HE MP D70 12W-4000K CRI 90 H210 Susp WHI Emerg- Светильник</t>
  </si>
  <si>
    <t>2201293_ WHI Emg</t>
  </si>
  <si>
    <t>МАТ.СВЕТ.АВАР.071</t>
  </si>
  <si>
    <t>Quark AIR IT MP D70 12W-4000K CRI 90 H210 Susp BLK Emerg - Светильник</t>
  </si>
  <si>
    <t>2201857_ BLK Emg</t>
  </si>
  <si>
    <t>МАТ.СВЕТ.АВАР.072</t>
  </si>
  <si>
    <t>Quark AIR IT MP D70 12W-4000K CRI 90 H210 Susp WHI Emerg - Светильник</t>
  </si>
  <si>
    <t>2201857_ WHI Emg</t>
  </si>
  <si>
    <t>МАТ.СВЕТ.АВАР.073</t>
  </si>
  <si>
    <t>Quark AIR IT Ref 45` D70 6W-4000K CRI 90 H210 Susp BLK Emerg - Светильник</t>
  </si>
  <si>
    <t>2407161_ BLK Emg</t>
  </si>
  <si>
    <t>МАТ.СВЕТ.АВАР.074</t>
  </si>
  <si>
    <t>Quark AIR IT Ref 45` D70 6W-4000K CRI 90 H210 Susp WHI Emerg - Светильник</t>
  </si>
  <si>
    <t>2407161_ WHI Emg</t>
  </si>
  <si>
    <t>МАТ.СВЕТ.АВАР.075</t>
  </si>
  <si>
    <t>Quark AIR IT Ref 45` D70 8W-4000K CRI 90 H210 Susp BLK Emerg - Светильник</t>
  </si>
  <si>
    <t>2406751_ BLK Emg</t>
  </si>
  <si>
    <t>МАТ.СВЕТ.АВАР.076</t>
  </si>
  <si>
    <t>Quark AIR IT Ref 45` D70 8W-4000K CRI 90 H210 Susp WHI Emerg - Светильник</t>
  </si>
  <si>
    <t>2406751_ WHI Emg</t>
  </si>
  <si>
    <t>МАТ.СВЕТ.АВАР.077</t>
  </si>
  <si>
    <t>Quark AIR IT Ref 60` D70 6W-4000K CRI 90 H210 Susp BLK Emerg - Светильник</t>
  </si>
  <si>
    <t>2407155_ BLK Emg</t>
  </si>
  <si>
    <t>МАТ.СВЕТ.АВАР.078</t>
  </si>
  <si>
    <t>Quark AIR IT Ref 60` D70 6W-4000K CRI 90 H210 Susp WHI Emerg - Светильник</t>
  </si>
  <si>
    <t>2407155_ WHI Emg</t>
  </si>
  <si>
    <t>МАТ.СВЕТ.АВАР.079</t>
  </si>
  <si>
    <t>Quark AIR IT Ref 60` D70 8W-4000K CRI 90 H210 Susp BLK Emerg - Светильник</t>
  </si>
  <si>
    <t>2406762_ BLK Emg</t>
  </si>
  <si>
    <t>МАТ.СВЕТ.АВАР.080</t>
  </si>
  <si>
    <t>Quark AIR IT Ref 60` D70 8W-4000K CRI 90 H210 Susp WHI Emerg - Светильник</t>
  </si>
  <si>
    <t>2406762_ WHI Emg</t>
  </si>
  <si>
    <t>МАТ.СВЕТ.АВАР.081</t>
  </si>
  <si>
    <t>Quark IN HE D70 MP 8W-4000K CRI 90 Recess BLK Emerg - Светильник</t>
  </si>
  <si>
    <t>2202126_ BLK Emg</t>
  </si>
  <si>
    <t>МАТ.СВЕТ.АВАР.082</t>
  </si>
  <si>
    <t>Quark IN HE D70 MP 8W-4000K CRI 90 Recess WHI Emerg - Светильник</t>
  </si>
  <si>
    <t>2202126_ WHI Emg</t>
  </si>
  <si>
    <t>МАТ.СВЕТ.АВАР.083</t>
  </si>
  <si>
    <t>Quark IN IT D70 REF 45` 6W-4000K CRI 90 Recess BLK Emerg - Светильник</t>
  </si>
  <si>
    <t>2407247_ BLK Emg</t>
  </si>
  <si>
    <t>МАТ.СВЕТ.АВАР.084</t>
  </si>
  <si>
    <t>Quark IN IT D70 REF 45` 6W-4000K CRI 90 Recess WHI Emerg - Светильник</t>
  </si>
  <si>
    <t>2407247_ WHI Emg</t>
  </si>
  <si>
    <t>МАТ.СВЕТ.АВАР.085</t>
  </si>
  <si>
    <t>Quark IN IT D70 REF 60` 12W-4000K CRI 90 Recess BLK Emerg - Светильник</t>
  </si>
  <si>
    <t>2400039_ BLK Emg</t>
  </si>
  <si>
    <t>МАТ.СВЕТ.АВАР.086</t>
  </si>
  <si>
    <t>Quark IN IT D70 REF 60` 12W-4000K CRI 90 Recess WHI Emerg - Светильник</t>
  </si>
  <si>
    <t>2400039_ WHI Emg</t>
  </si>
  <si>
    <t>МАТ.СВЕТ.АВАР.087</t>
  </si>
  <si>
    <t>Quark IN IT D70 REF 60` 8W-4000K CRI 90 Recess BLK Emerg - Светильник</t>
  </si>
  <si>
    <t>2400033_ BLK Emg</t>
  </si>
  <si>
    <t>МАТ.СВЕТ.АВАР.088</t>
  </si>
  <si>
    <t>Quark IN IT D70 REF 60` 8W-4000K CRI 90 Recess WHI Emerg - Светильник</t>
  </si>
  <si>
    <t>2400033_ WHI Emg</t>
  </si>
  <si>
    <t>МАТ.СВЕТ.АВАР.089</t>
  </si>
  <si>
    <t>Quark ON IT D70 45` 8W-4000K CRI 90 H210 Ceil RAL3028 Emerg - Светильник</t>
  </si>
  <si>
    <t>2308932 RAL3028 Emg</t>
  </si>
  <si>
    <t>МАТ.СВЕТ.АВАР.090</t>
  </si>
  <si>
    <t>Ray IN D750 69W-4000K CRI 90 Susp BLK Emerg - Светильник</t>
  </si>
  <si>
    <t>2206334_ BLK Emg</t>
  </si>
  <si>
    <t>МАТ.СВЕТ.АВАР.091</t>
  </si>
  <si>
    <t>Ray IN D750 69W-4000K CRI 90 Susp WHI Emerg - Светильник</t>
  </si>
  <si>
    <t>2206334_ WHI Emg</t>
  </si>
  <si>
    <t>МАТ.СВЕТ.АВАР.092</t>
  </si>
  <si>
    <t>Rota D1000 MP ECO 42W-4000K CRI 90 Susp BLK Emerg- Светильник</t>
  </si>
  <si>
    <t>2206905_ BLK Emg</t>
  </si>
  <si>
    <t>МАТ.СВЕТ.АВАР.093</t>
  </si>
  <si>
    <t>Rota D1000 MP ECO 42W-4000K CRI 90 Susp WHI Emerg- Светильник</t>
  </si>
  <si>
    <t>2206905_ WHI Emg</t>
  </si>
  <si>
    <t>МАТ.СВЕТ.АВАР.094</t>
  </si>
  <si>
    <t>Rota D1000 MP ECO 54W-4000K CRI 90 L24 270mA Susp BLK Emerg- Светильник</t>
  </si>
  <si>
    <t>2206911_ BLK Emg</t>
  </si>
  <si>
    <t>МАТ.СВЕТ.АВАР.095</t>
  </si>
  <si>
    <t>Rota D1000 MP ECO 54W-4000K CRI 90 L24 270mA Susp WHI Emerg- Светильник</t>
  </si>
  <si>
    <t>2206911_ WHI Emerg</t>
  </si>
  <si>
    <t>МАТ.СВЕТ.АВАР.096</t>
  </si>
  <si>
    <t>Rota D1000 MP ECO 54W-4000K CRI 90 L24 Susp BLK Emerg - Светильник</t>
  </si>
  <si>
    <t>2400467_ BLK Emg</t>
  </si>
  <si>
    <t>МАТ.СВЕТ.АВАР.097</t>
  </si>
  <si>
    <t>Rota D1000 MP ECO 54W-4000K CRI 90 L24 Susp WHI Emerg - Светильник</t>
  </si>
  <si>
    <t>2400467_ WHI Emg</t>
  </si>
  <si>
    <t>МАТ.СВЕТ.АВАР.098</t>
  </si>
  <si>
    <t>Rota Egg DI MP ECO 28W-4000K CRI 90 270mA Susp BLK Emerg- Светильник</t>
  </si>
  <si>
    <t>2208098_ BLK Emg</t>
  </si>
  <si>
    <t>МАТ.СВЕТ.АВАР.099</t>
  </si>
  <si>
    <t>Rota Egg DI MP ECO 28W-4000K CRI 90 270mA Susp WHI Emerg- Светильник</t>
  </si>
  <si>
    <t>2208098_ WHI Emg</t>
  </si>
  <si>
    <t>МАТ.СВЕТ.АВАР.100</t>
  </si>
  <si>
    <t>Rota Egg DI MP ECO 40W-4000K CRI 90 Susp BLK Emerg - Светильник</t>
  </si>
  <si>
    <t>2207549_ BLK Emg</t>
  </si>
  <si>
    <t>МАТ.СВЕТ.АВАР.101</t>
  </si>
  <si>
    <t>Rota Egg DI MP ECO 40W-4000K CRI 90 Susp WHI Emerg - Светильник</t>
  </si>
  <si>
    <t>2207549_ WHI Emg</t>
  </si>
  <si>
    <t>МАТ.СВЕТ.АВАР.102</t>
  </si>
  <si>
    <t>Rota Egg DI MP ECO 54W-4000K CRI 90 L24 270mA Susp BLK Emerg- Светильник</t>
  </si>
  <si>
    <t>2207550_ BLK Emg</t>
  </si>
  <si>
    <t>МАТ.СВЕТ.АВАР.103</t>
  </si>
  <si>
    <t>Rota Egg DI MP ECO 54W-4000K CRI 90 L24 270mA Susp WHI Emerg- Светильник</t>
  </si>
  <si>
    <t>2207550_ WHI Emg</t>
  </si>
  <si>
    <t>МАТ.СВЕТ.АВАР.104</t>
  </si>
  <si>
    <t>Rota Egg DI MP ECO 77W-4000K CRI 90 L24 Susp BLK Emerg - Светильник</t>
  </si>
  <si>
    <t>2400466_ BLK Emg</t>
  </si>
  <si>
    <t>МАТ.СВЕТ.АВАР.105</t>
  </si>
  <si>
    <t>Rota Egg DI MP ECO 77W-4000K CRI 90 L24 Susp WHI Emerg - Светильник</t>
  </si>
  <si>
    <t>2400466_ WHI Emg</t>
  </si>
  <si>
    <t>МАТ.СВЕТ.АВАР.106</t>
  </si>
  <si>
    <t>Rota Triangle DI MP ECO 42W-4000K CRI 90 Susp BLK Emerg - Светильник</t>
  </si>
  <si>
    <t>2207574_ BLK Emg</t>
  </si>
  <si>
    <t>МАТ.СВЕТ.АВАР.107</t>
  </si>
  <si>
    <t>Rota Triangle DI MP ECO 42W-4000K CRI 90 Susp WHI Emerg - Светильник</t>
  </si>
  <si>
    <t>2207574_ WHI Emg</t>
  </si>
  <si>
    <t>МАТ.СВЕТ.АВАР.108</t>
  </si>
  <si>
    <t>Rota Triangle DI MP ECO 54W-4000K CRI 90 L24 270mA Susp BLK Emerg- Светильник</t>
  </si>
  <si>
    <t>2207575_ BLK  Emg</t>
  </si>
  <si>
    <t>МАТ.СВЕТ.АВАР.109</t>
  </si>
  <si>
    <t>Rota Triangle DI MP ECO 54W-4000K CRI 90 L24 270mA Susp WHI Emerg- Светильник</t>
  </si>
  <si>
    <t>2207575_ WHI  Emg</t>
  </si>
  <si>
    <t>МАТ.СВЕТ.АВАР.110</t>
  </si>
  <si>
    <t>Zest AREA BOX Q 7W/2W-4000K CRI 90 1HNM Ceil BLK RAL7021 - Аварийный светильник</t>
  </si>
  <si>
    <t>1401194_ BLK RAL7021</t>
  </si>
  <si>
    <t>МАТ.СПЛИТ.001</t>
  </si>
  <si>
    <t>Канальный 18 AD50S2LM1FA/1U50S1LM1FA</t>
  </si>
  <si>
    <t>Кондиционеры бытовые</t>
  </si>
  <si>
    <t>МАТ.СПЛИТ.002</t>
  </si>
  <si>
    <t>Канальный 18 MDT2I-18HWFN8 / MDOU-18HFN8</t>
  </si>
  <si>
    <t>МАТ.СПЛИТ.003</t>
  </si>
  <si>
    <t>Канальный 24 AD71S2LM1FA/1U71S1LR1FA</t>
  </si>
  <si>
    <t>МАТ.СПЛИТ.004</t>
  </si>
  <si>
    <t>Канальный 24 MDT2I-24HWFN8 / MDOUN-24HFN8</t>
  </si>
  <si>
    <t>МАТ.СПЛИТ.005</t>
  </si>
  <si>
    <t>Канальный 24 MDTJ2-24HWN1 / MDOU3-24HN1-L</t>
  </si>
  <si>
    <t>МАТ.СПЛИТ.006</t>
  </si>
  <si>
    <t>Канальный 36 AD105S2LM1FA/1U105S1LS1FA</t>
  </si>
  <si>
    <t>МАТ.СПЛИТ.007</t>
  </si>
  <si>
    <t>Канальный 36 MDT2I-36HWFN8 / MDOU-36HFN8</t>
  </si>
  <si>
    <t>МАТ.СПЛИТ.008</t>
  </si>
  <si>
    <t>Канальный 36 MDTJ2-36HWN1 / MDOU3-36HN1-L</t>
  </si>
  <si>
    <t>МАТ.СПЛИТ.009</t>
  </si>
  <si>
    <t>Канальный 48 AD140S2LM1FA/1U140S1LN1FB</t>
  </si>
  <si>
    <t>МАТ.СПЛИТ.010</t>
  </si>
  <si>
    <t>Канальный 48 MDT2I-48HWFN8 / MDOUN-48HFN8</t>
  </si>
  <si>
    <t>МАТ.СПЛИТ.011</t>
  </si>
  <si>
    <t>Канальный 48 MDTJ2-48HWN1 / MDOU3-48HN1-L</t>
  </si>
  <si>
    <t>МАТ.СПЛИТ.012</t>
  </si>
  <si>
    <t>Канальный 60 AD160S2LM1FA/1U160S1LN1FB</t>
  </si>
  <si>
    <t>МАТ.СПЛИТ.013</t>
  </si>
  <si>
    <t>Канальный 60 MDT2I-60HWFN8 / MDOUN-60HFN8</t>
  </si>
  <si>
    <t>МАТ.СПЛИТ.014</t>
  </si>
  <si>
    <t>Канальный 60 MDTJ2-60HWN1 / MDOU3-60HN1-L</t>
  </si>
  <si>
    <t>МАТ.СПЛИТ.015</t>
  </si>
  <si>
    <t>Кассетный 12 AB35S2SC1FA/1U35S2SM4FA/PB-700KB</t>
  </si>
  <si>
    <t>МАТ.СПЛИТ.016</t>
  </si>
  <si>
    <t>Кассетный 12 MDCA6-12HRN1 / T-MBQ4-03B / MDOU3-12HN1-L</t>
  </si>
  <si>
    <t>МАТ.СПЛИТ.017</t>
  </si>
  <si>
    <t>Кассетный 12 MDCAC4I-12HRFN8 / T-MBQ4-03BD / MDOAG-12HFN8</t>
  </si>
  <si>
    <t>МАТ.СПЛИТ.018</t>
  </si>
  <si>
    <t>Кассетный 18 AB50S2SC1FA/1U50S2SJ3FA/PB-700KB</t>
  </si>
  <si>
    <t>МАТ.СПЛИТ.019</t>
  </si>
  <si>
    <t>Кассетный 18 MDCA6-18HRN1 / T-MBQ4-03B / MDOU3-18HN1-L</t>
  </si>
  <si>
    <t>МАТ.СПЛИТ.020</t>
  </si>
  <si>
    <t>Кассетный 18 MDCAC4I-18HRFN8 / T-MBQ4-03BD / MDOAG-18HFN8</t>
  </si>
  <si>
    <t>МАТ.СПЛИТ.021</t>
  </si>
  <si>
    <t>Кассетный 24 AB71S2LR2FA/1U71S1LR2FA/PB-950QB(P)</t>
  </si>
  <si>
    <t>МАТ.СПЛИТ.022</t>
  </si>
  <si>
    <t>Кассетный 24 MDCD-24HRFN8 / T-MBQ4-04BD / MDOUN-24HFN8</t>
  </si>
  <si>
    <t>МАТ.СПЛИТ.023</t>
  </si>
  <si>
    <t>Кассетный 24 MDCF-24HRN1 / T-MBQ4-04B / MDOU3-24HN1-L</t>
  </si>
  <si>
    <t>МАТ.СПЛИТ.024</t>
  </si>
  <si>
    <t>Кассетный 30 AB71S2LR2FA/1U71S1LR2FA/PB-950QB(P)</t>
  </si>
  <si>
    <t>МАТ.СПЛИТ.025</t>
  </si>
  <si>
    <t>Кассетный 30 MDCD-24HRFN8 / T-MBQ4-04BD / MDOUN-24HFN8</t>
  </si>
  <si>
    <t>МАТ.СПЛИТ.026</t>
  </si>
  <si>
    <t>Кассетный 30 MDCF-24HRN1 / T-MBQ4-04B / MDOU3-24HN1-L</t>
  </si>
  <si>
    <t>МАТ.СПЛИТ.027</t>
  </si>
  <si>
    <t>Кассетный 36 AB105S2LR2FA/1U105S1LS2FB/PB-950QB(P)</t>
  </si>
  <si>
    <t>МАТ.СПЛИТ.028</t>
  </si>
  <si>
    <t>Кассетный 36 MDCD-36HRFN8 / T-MBQ4-04BD / MDOU-36HFN8</t>
  </si>
  <si>
    <t>МАТ.СПЛИТ.029</t>
  </si>
  <si>
    <t>Кассетный 36 MDCF2-36HRN1 / T-MBQ4-04B / MDOU3-36HN1-L</t>
  </si>
  <si>
    <t>МАТ.СПЛИТ.030</t>
  </si>
  <si>
    <t>Кассетный 48 AB140S2LR2FA/1U140S2LN2FB/PB-950QB(P)</t>
  </si>
  <si>
    <t>МАТ.СПЛИТ.031</t>
  </si>
  <si>
    <t>Кассетный 48 MDCD-48HRFN8 / T-MBQ4-04BD / MDOUN-48HFN8</t>
  </si>
  <si>
    <t>МАТ.СПЛИТ.032</t>
  </si>
  <si>
    <t>Кассетный 48 MDCF-48HRN1 / T-MBQ4-04B / MDOU3-48HN1-L</t>
  </si>
  <si>
    <t>МАТ.СПЛИТ.033</t>
  </si>
  <si>
    <t>Кассетный 54 AB160S2LR2FA/1U160S2LN2FB/PB-950QB(P)</t>
  </si>
  <si>
    <t>МАТ.СПЛИТ.034</t>
  </si>
  <si>
    <t>Кассетный 54 MDCD-60HRFN8 / T-MBQ4-04BD / MDOUN-60HFN8</t>
  </si>
  <si>
    <t>МАТ.СПЛИТ.035</t>
  </si>
  <si>
    <t>Кассетный 54 MDCF2-60HRN1 / T-MBQ4-04B / MDOU3-60HN1-L</t>
  </si>
  <si>
    <t>МАТ.СПЛИТ.036</t>
  </si>
  <si>
    <t>Мульти-сплит внешн. блок 2U50S2SM1FA-3</t>
  </si>
  <si>
    <t>МАТ.СПЛИТ.037</t>
  </si>
  <si>
    <t>Мульти-сплит внешн. блок 3U55S2SR5FA</t>
  </si>
  <si>
    <t>МАТ.СПЛИТ.038</t>
  </si>
  <si>
    <t>Мульти-сплит внешн. блок 4U75S2SR5FA</t>
  </si>
  <si>
    <t>МАТ.СПЛИТ.039</t>
  </si>
  <si>
    <t>Мульти-сплит внешн. блок 5U105S2SS5FA</t>
  </si>
  <si>
    <t>МАТ.СПЛИТ.040</t>
  </si>
  <si>
    <t>Мульти-сплит внешн. блок 5U125S2SN1FA</t>
  </si>
  <si>
    <t>МАТ.СПЛИТ.041</t>
  </si>
  <si>
    <t>Мульти-сплит внешн. блок 5U90S2SS5FA</t>
  </si>
  <si>
    <t>МАТ.СПЛИТ.042</t>
  </si>
  <si>
    <t>Мульти-сплит внешн. блок MD2O-18HFN8</t>
  </si>
  <si>
    <t>МАТ.СПЛИТ.043</t>
  </si>
  <si>
    <t>Мульти-сплит внешн. блок MD3O-21HFN8</t>
  </si>
  <si>
    <t>МАТ.СПЛИТ.044</t>
  </si>
  <si>
    <t>Мульти-сплит внешн. блок MD4O-28HFN8</t>
  </si>
  <si>
    <t>МАТ.СПЛИТ.045</t>
  </si>
  <si>
    <t>Мульти-сплит внешн. блок MD4O-36HFN8</t>
  </si>
  <si>
    <t>МАТ.СПЛИТ.046</t>
  </si>
  <si>
    <t>Мульти-сплит внешн. блок MD5OB-42HFN8</t>
  </si>
  <si>
    <t>МАТ.СПЛИТ.047</t>
  </si>
  <si>
    <t>Мульти-сплит канальный внутр. блок AD25S2SS1FA</t>
  </si>
  <si>
    <t>МАТ.СПЛИТ.048</t>
  </si>
  <si>
    <t>Мульти-сплит канальный внутр. блок AD35S2SS1FA</t>
  </si>
  <si>
    <t>МАТ.СПЛИТ.049</t>
  </si>
  <si>
    <t>Мульти-сплит канальный внутр. блок AD50S2SS1FA</t>
  </si>
  <si>
    <t>МАТ.СПЛИТ.050</t>
  </si>
  <si>
    <t>Мульти-сплит канальный внутр. блок AD71S2SS1FA</t>
  </si>
  <si>
    <t>МАТ.СПЛИТ.051</t>
  </si>
  <si>
    <t>Мульти-сплит канальный внутр. блок MDT2II-09HWFN8</t>
  </si>
  <si>
    <t>МАТ.СПЛИТ.052</t>
  </si>
  <si>
    <t>Мульти-сплит канальный внутр. блок MDT2II-12HWFN8</t>
  </si>
  <si>
    <t>МАТ.СПЛИТ.053</t>
  </si>
  <si>
    <t>Мульти-сплит канальный внутр. блок MDT2II-18HWFN8</t>
  </si>
  <si>
    <t>МАТ.СПЛИТ.054</t>
  </si>
  <si>
    <t>Мульти-сплит канальный внутр. блок MDT2II-24HWFN8</t>
  </si>
  <si>
    <t>МАТ.СПЛИТ.055</t>
  </si>
  <si>
    <t>Мульти-сплит кассетный внутр. блок AB25S2SC1FA/PB-700KB</t>
  </si>
  <si>
    <t>МАТ.СПЛИТ.056</t>
  </si>
  <si>
    <t>МАТ.СПЛИТ.057</t>
  </si>
  <si>
    <t>МАТ.СПЛИТ.058</t>
  </si>
  <si>
    <t>Мульти-сплит кассетный внутр. блок AB35S2SC1FA/PB-700KB</t>
  </si>
  <si>
    <t>МАТ.СПЛИТ.059</t>
  </si>
  <si>
    <t>Мульти-сплит кассетный внутр. блок AB50S2SC1FA/PB-700KB</t>
  </si>
  <si>
    <t>МАТ.СПЛИТ.060</t>
  </si>
  <si>
    <t>Мульти-сплит кассетный внутр. блок AB71S2SG1FA/PB-950KB</t>
  </si>
  <si>
    <t>МАТ.СПЛИТ.061</t>
  </si>
  <si>
    <t>Мульти-сплит кассетный внутр. блок MDCAC4I-07HRFN8 / T-MBQ4-03BD</t>
  </si>
  <si>
    <t>МАТ.СПЛИТ.062</t>
  </si>
  <si>
    <t>МАТ.СПЛИТ.063</t>
  </si>
  <si>
    <t>Мульти-сплит кассетный внутр. блок MDCAC4I-09HRFN8 / T-MBQ4-03BD</t>
  </si>
  <si>
    <t>МАТ.СПЛИТ.064</t>
  </si>
  <si>
    <t>Мульти-сплит кассетный внутр. блок MDCAC4I-12HRFN8 / T-MBQ4-03BD</t>
  </si>
  <si>
    <t>МАТ.СПЛИТ.065</t>
  </si>
  <si>
    <t>Мульти-сплит кассетный внутр. блок MDCAC4I-18HRFN8 / T-MBQ4-03BD</t>
  </si>
  <si>
    <t>МАТ.СПЛИТ.066</t>
  </si>
  <si>
    <t>Мульти-сплит напольно-потолочный внутр. блок AC35S2SG1FA</t>
  </si>
  <si>
    <t>МАТ.СПЛИТ.067</t>
  </si>
  <si>
    <t>МАТ.СПЛИТ.068</t>
  </si>
  <si>
    <t>Мульти-сплит напольно-потолочный внутр. блок AC50S2SG1FA</t>
  </si>
  <si>
    <t>МАТ.СПЛИТ.069</t>
  </si>
  <si>
    <t>Мульти-сплит напольно-потолочный внутр. блок AC71S2SG1FA</t>
  </si>
  <si>
    <t>МАТ.СПЛИТ.070</t>
  </si>
  <si>
    <t>Мульти-сплит настенный внутр. блок AS20PS1HRA-M</t>
  </si>
  <si>
    <t>МАТ.СПЛИТ.071</t>
  </si>
  <si>
    <t>МАТ.СПЛИТ.072</t>
  </si>
  <si>
    <t>Мульти-сплит настенный внутр. блок AS25PS1HRA-M</t>
  </si>
  <si>
    <t>МАТ.СПЛИТ.073</t>
  </si>
  <si>
    <t>Мульти-сплит настенный внутр. блок AS35PS1HRA-M</t>
  </si>
  <si>
    <t>МАТ.СПЛИТ.074</t>
  </si>
  <si>
    <t>Мульти-сплит настенный внутр. блок AS50PS1HRA-M</t>
  </si>
  <si>
    <t>МАТ.СПЛИТ.075</t>
  </si>
  <si>
    <t>Мульти-сплит настенный внутр. блок AS70PS1HRA-M</t>
  </si>
  <si>
    <t>МАТ.СПЛИТ.076</t>
  </si>
  <si>
    <t>Мульти-сплит настенный внутр. блок MDSAJ-07HRFN8</t>
  </si>
  <si>
    <t>МАТ.СПЛИТ.077</t>
  </si>
  <si>
    <t>Мульти-сплит настенный внутр. блок MDSAJ-09HRFN8</t>
  </si>
  <si>
    <t>МАТ.СПЛИТ.078</t>
  </si>
  <si>
    <t>Мульти-сплит настенный внутр. блок MDSAJ-12HRFN8</t>
  </si>
  <si>
    <t>МАТ.СПЛИТ.079</t>
  </si>
  <si>
    <t>Мульти-сплит настенный внутр. блок MDSAJ-18HRFN8</t>
  </si>
  <si>
    <t>МАТ.СПЛИТ.080</t>
  </si>
  <si>
    <t>Мульти-сплит настенный внутр. блок MDSAJ-24HRFN8</t>
  </si>
  <si>
    <t>МАТ.СПЛИТ.081</t>
  </si>
  <si>
    <t>МАТ.СПЛИТ.082</t>
  </si>
  <si>
    <t>Напольно - потолочный 18 AC50S1LG2FA/1U50S1LM2FA</t>
  </si>
  <si>
    <t>МАТ.СПЛИТ.083</t>
  </si>
  <si>
    <t>Напольно - потолочный 18 MDUE-18HRFN8 / MDOU-18HFN8</t>
  </si>
  <si>
    <t>МАТ.СПЛИТ.084</t>
  </si>
  <si>
    <t>Напольно - потолочный 24 AC71S1LG2FA/1U71S1LR2FA</t>
  </si>
  <si>
    <t>МАТ.СПЛИТ.085</t>
  </si>
  <si>
    <t>Напольно - потолочный 24 MDUE-24HRFN8 / MDOUN-24HFN8</t>
  </si>
  <si>
    <t>МАТ.СПЛИТ.086</t>
  </si>
  <si>
    <t>Напольно - потолочный 24 MDUE-24HRN1 / MDOU3-24HN1-L</t>
  </si>
  <si>
    <t>МАТ.СПЛИТ.087</t>
  </si>
  <si>
    <t>Напольно - потолочный 36 AC105S2LH2FA/1U105S1LS2FB</t>
  </si>
  <si>
    <t>МАТ.СПЛИТ.088</t>
  </si>
  <si>
    <t>Напольно - потолочный 36 MDUE-36HRFN8 / MDOU-36HFN8</t>
  </si>
  <si>
    <t>МАТ.СПЛИТ.089</t>
  </si>
  <si>
    <t>Напольно - потолочный 36 MDUE2-36HRN1 / MDOU3-36HN1-L</t>
  </si>
  <si>
    <t>МАТ.СПЛИТ.090</t>
  </si>
  <si>
    <t>Напольно - потолочный 48 AC140S2LK2FA/1U140S2LN2FB</t>
  </si>
  <si>
    <t>МАТ.СПЛИТ.091</t>
  </si>
  <si>
    <t>Напольно - потолочный 48 MDUE-48HRFN8 / MDOUN-48HFN8</t>
  </si>
  <si>
    <t>МАТ.СПЛИТ.092</t>
  </si>
  <si>
    <t>Напольно - потолочный 48 MDUE-48HRN1 / MDOU3-48HN1-L</t>
  </si>
  <si>
    <t>МАТ.СПЛИТ.093</t>
  </si>
  <si>
    <t>Напольно - потолочный 60 AC160S2LK2FA/1U160S2LN2FB</t>
  </si>
  <si>
    <t>МАТ.СПЛИТ.094</t>
  </si>
  <si>
    <t>Напольно - потолочный 60 MDUE-60HRFN8 / MDOUN-60HFN8</t>
  </si>
  <si>
    <t>МАТ.СПЛИТ.095</t>
  </si>
  <si>
    <t>Напольно - потолочный 60 MDUE-60HRN1 / MDOU3-60HN1-L</t>
  </si>
  <si>
    <t>МАТ.СПЛИТ.096</t>
  </si>
  <si>
    <t>Настенный 12 AS35HQJ2HRA-W/1U35HQJ2FRA</t>
  </si>
  <si>
    <t>МАТ.СПЛИТ.097</t>
  </si>
  <si>
    <t>Настенный 12 HSU-12HSL103/R3-W(IN)/HSU-12HSL103/R3(OUT)</t>
  </si>
  <si>
    <t>МАТ.СПЛИТ.098</t>
  </si>
  <si>
    <t>Настенный 12 MDSAJ-12HRN8 / MDOAJ-12HN8</t>
  </si>
  <si>
    <t>МАТ.СПЛИТ.099</t>
  </si>
  <si>
    <t>Настенный 12 MDSI-12HRDN8 (WF) / MDOI-12HDN8</t>
  </si>
  <si>
    <t>МАТ.СПЛИТ.100</t>
  </si>
  <si>
    <t>Настенный 18 AS50HQJ2HRA-W/1U50HQJ2FRA</t>
  </si>
  <si>
    <t>МАТ.СПЛИТ.101</t>
  </si>
  <si>
    <t>Настенный 18 HSU-18HSL103/R3-W(IN)/HSU-18HSL103/R3(OUT)</t>
  </si>
  <si>
    <t>МАТ.СПЛИТ.102</t>
  </si>
  <si>
    <t>Настенный 18 MDSAJ-18HRN8 / MDOAJ-18HN8</t>
  </si>
  <si>
    <t>МАТ.СПЛИТ.103</t>
  </si>
  <si>
    <t>Настенный 18 MDSI2-18HRFN8 / MDOI2-18HFN8</t>
  </si>
  <si>
    <t>МАТ.СПЛИТ.104</t>
  </si>
  <si>
    <t>Настенный 24 AS70HQJ2HRA-W/1U70HQJ2FRA</t>
  </si>
  <si>
    <t>МАТ.СПЛИТ.105</t>
  </si>
  <si>
    <t>Настенный 24 AS70S2SF3FA-W/1U70S2SJ2FA</t>
  </si>
  <si>
    <t>МАТ.СПЛИТ.106</t>
  </si>
  <si>
    <t>Настенный 24 HSU-24HSL103/R3-W(IN)/HSU-24HSL103/R3(OUT)</t>
  </si>
  <si>
    <t>МАТ.СПЛИТ.107</t>
  </si>
  <si>
    <t>Настенный 24 MDSAJ-24HRN8 / MDOAJ-24HN8</t>
  </si>
  <si>
    <t>МАТ.СПЛИТ.108</t>
  </si>
  <si>
    <t>Настенный 24 MDSI2-24HRFN8 / MDOI2-24HFN8</t>
  </si>
  <si>
    <t>МАТ.СПЛИТ.109</t>
  </si>
  <si>
    <t>Настенный 7 AS20HQJ2HRA-W/1U20HQJ2FRA</t>
  </si>
  <si>
    <t>МАТ.СПЛИТ.110</t>
  </si>
  <si>
    <t>Настенный 7 HSU-07HSL103/R3-W(IN)/HSU-07HSL103/R3(OUT)</t>
  </si>
  <si>
    <t>МАТ.СПЛИТ.111</t>
  </si>
  <si>
    <t>Настенный 7 MDSAJ-07HRN8 / MDOAJ-07HN8</t>
  </si>
  <si>
    <t>МАТ.СПЛИТ.112</t>
  </si>
  <si>
    <t>Настенный 7 MDSI-07HRDN8 (WF) / MDOI-07HDN8</t>
  </si>
  <si>
    <t>МАТ.СПЛИТ.113</t>
  </si>
  <si>
    <t>Настенный 9 AS25HQJ2HRA-W/1U25HQJ2FRA</t>
  </si>
  <si>
    <t>МАТ.СПЛИТ.114</t>
  </si>
  <si>
    <t>Настенный 9 HSU-09HSL103/R3-W(IN)/HSU-09HSL103/R3(OUT)</t>
  </si>
  <si>
    <t>МАТ.СПЛИТ.115</t>
  </si>
  <si>
    <t>Настенный 9 MDSAJ-09HRN8 / MDOAJ-09HN8</t>
  </si>
  <si>
    <t>МАТ.СПЛИТ.116</t>
  </si>
  <si>
    <t>Настенный 9 MDSI-09HRDN8 (WF) / MDOI-09HDN8</t>
  </si>
  <si>
    <t>МАТ.СТЕН.ПЛ.001</t>
  </si>
  <si>
    <t>Керамическая плитка 200*500 Amsterdam graphite " Ctramica Konskie"</t>
  </si>
  <si>
    <t>Плитка СУ</t>
  </si>
  <si>
    <t>МАТ.СТЕН.ПЛ.002</t>
  </si>
  <si>
    <t>Плитка Frida gray 30х60</t>
  </si>
  <si>
    <t>00-00-5-18-01-06-3325</t>
  </si>
  <si>
    <t>МАТ.СТЕН.ПЛ.003</t>
  </si>
  <si>
    <t>Плитка Mountain silver 25х50</t>
  </si>
  <si>
    <t>00-00-5-10-01-06-2835</t>
  </si>
  <si>
    <t>МАТ.СТП.РАК.001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</si>
  <si>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</si>
  <si>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</si>
  <si>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Splendy</t>
  </si>
  <si>
    <t>Сантехника (УЦЗ)</t>
  </si>
  <si>
    <t>Сантехника</t>
  </si>
  <si>
    <t>МАТ.СТП.РАК.002</t>
  </si>
  <si>
    <t>CN6014 Умывальник Ceramicanova чаша накладная круглая Element 435*435*135мм</t>
  </si>
  <si>
    <t>CN6014</t>
  </si>
  <si>
    <t>Ceramicanova</t>
  </si>
  <si>
    <t>МАТ.СТП.РАК.003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</si>
  <si>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</si>
  <si>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FR212X300R1BM</t>
  </si>
  <si>
    <t>МАТ.СТП.РАК.004</t>
  </si>
  <si>
    <t>HB66 Донный клапан для раковины Haiba без перелива, хром</t>
  </si>
  <si>
    <t>HB66</t>
  </si>
  <si>
    <t>Haiba</t>
  </si>
  <si>
    <t>МАТ.СТП.РАК.005</t>
  </si>
  <si>
    <t>Ванна моечная моповая КОБОР ВМБ/1-50/50</t>
  </si>
  <si>
    <t>ВМБ/1-50/50</t>
  </si>
  <si>
    <t>КОБОР</t>
  </si>
  <si>
    <t>МАТ.СТП.РАК.006</t>
  </si>
  <si>
    <t>Донный клапан для раковины Splendy AA3071NORMBM без перелива, матовый черный</t>
  </si>
  <si>
    <t>AA3071NORMBM</t>
  </si>
  <si>
    <t>МАТ.СТП.РАК.007</t>
  </si>
  <si>
    <t>Душевая дверь в нишу Allen Brau Приорити (Priority) 3.31003.BBA 90</t>
  </si>
  <si>
    <t>3.31003.BBA</t>
  </si>
  <si>
    <t>Allen Brau</t>
  </si>
  <si>
    <t>МАТ.СТП.РАК.008</t>
  </si>
  <si>
    <t>Душевая дверь в нишу River SUEZ 80 МТ 10000000740</t>
  </si>
  <si>
    <t>10000000740</t>
  </si>
  <si>
    <t>River</t>
  </si>
  <si>
    <t>МАТ.СТП.РАК.009</t>
  </si>
  <si>
    <t>Зеркало с встроенным светильником и сенсорным выключателем 12W, 220-240V, 600x30</t>
  </si>
  <si>
    <t>SPC-RNG-600-LED-TCH</t>
  </si>
  <si>
    <t>belbagno</t>
  </si>
  <si>
    <t>МАТ.СТП.РАК.010</t>
  </si>
  <si>
    <t>Мойка для кухни Granula 4445U графит матовый, 44х45 см, квадратная</t>
  </si>
  <si>
    <t>Granula</t>
  </si>
  <si>
    <t>МАТ.СТП.РАК.011</t>
  </si>
  <si>
    <t>Поручень AQUATEK AQ4996CR латунь, хром, настенный 650 мм</t>
  </si>
  <si>
    <t>AQ4996CR</t>
  </si>
  <si>
    <t>AQUATEK</t>
  </si>
  <si>
    <t>МАТ.СТП.РАК.012</t>
  </si>
  <si>
    <t>Раковина Creavit Next NX242-00CB00E-0000 белая (Ширина: 500 мм, Высота: 130 мм, Глубина: 400 мм)</t>
  </si>
  <si>
    <t>NX242-00CB00E-0000</t>
  </si>
  <si>
    <t>Creavit</t>
  </si>
  <si>
    <t>МАТ.СТП.РАК.013</t>
  </si>
  <si>
    <t>Раковина SantiLine SL-2005</t>
  </si>
  <si>
    <t>SL-2005</t>
  </si>
  <si>
    <t>SantiLine</t>
  </si>
  <si>
    <t>МАТ.СТП.СМЕС.001</t>
  </si>
  <si>
    <t>AQ2060MB ВЕГА душевая система AQUATEK (смеситель для душа) 3jet 250мм, матовый черный</t>
  </si>
  <si>
    <t>AQ2060MB</t>
  </si>
  <si>
    <t>МАТ.СТП.СМЕС.002</t>
  </si>
  <si>
    <t>HB80 Сифон для раковины Haiba хром</t>
  </si>
  <si>
    <t>HB80</t>
  </si>
  <si>
    <t>МАТ.СТП.СМЕС.003</t>
  </si>
  <si>
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</si>
  <si>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15103079</t>
  </si>
  <si>
    <t>TECElinus</t>
  </si>
  <si>
    <t>МАТ.СТП.СМЕС.004</t>
  </si>
  <si>
    <t>Сифон для раковины Viega 100674 Хром</t>
  </si>
  <si>
    <t>100674</t>
  </si>
  <si>
    <t>Viega</t>
  </si>
  <si>
    <t>МАТ.СТП.СМЕС.005</t>
  </si>
  <si>
    <t>Сифон для умывальника бутылочный 1 1/4"x40 с гофрой 40х40/50 выпуск с нержавеющей решёткой D=65мм АНИ Пласт C1015</t>
  </si>
  <si>
    <t>C1015</t>
  </si>
  <si>
    <t>АНИ пласт</t>
  </si>
  <si>
    <t>МАТ.СТП.СМЕС.006</t>
  </si>
  <si>
    <t>Смеситель гигиенический Ideal Standart DB130AA</t>
  </si>
  <si>
    <t>DB130AA</t>
  </si>
  <si>
    <t>Ideal Standard</t>
  </si>
  <si>
    <t>МАТ.СТП.СМЕС.007</t>
  </si>
  <si>
    <t>Смеситель для ванны Rossinka S35-33 универсальный</t>
  </si>
  <si>
    <t>S35-33</t>
  </si>
  <si>
    <t>Rossinka</t>
  </si>
  <si>
    <t>МАТ.СТП.СМЕС.008</t>
  </si>
  <si>
    <t>Смеситель для кухни Omoikiri Kanto PVD-GM с гибким изливом</t>
  </si>
  <si>
    <t>Kanto PVD-GM</t>
  </si>
  <si>
    <t>Omoikiri</t>
  </si>
  <si>
    <t>МАТ.СТП.СМЕС.009</t>
  </si>
  <si>
    <t>Смеситель для раковины IDEAL STANDARD CERALINE BC193AA однорычажный, хром</t>
  </si>
  <si>
    <t>МАТ.СТП.СМЕС.010</t>
  </si>
  <si>
    <t>Смеситель сенсорный Swedbe Europe 6000-220</t>
  </si>
  <si>
    <t>6000-220</t>
  </si>
  <si>
    <t>Swedbe</t>
  </si>
  <si>
    <t>МАТ.СТП.СМЕС.011</t>
  </si>
  <si>
    <t>Термостатический смеситель встраиваемый Splendy Passion PA204U2T3BM С ВНУТРЕННЕЙ ЧАСТЬЮ, черный матовый</t>
  </si>
  <si>
    <t>PA204U2T3BM</t>
  </si>
  <si>
    <t>МАТ.СТП.СМЕС.012</t>
  </si>
  <si>
    <t>смеситель с гигиеническим душем Allen Brau Priority 5.31A29-31 (с внутренней частью), цвет черный матовый</t>
  </si>
  <si>
    <t>5.31A29-31</t>
  </si>
  <si>
    <t>МАТ.СТП.СМЕС.013</t>
  </si>
  <si>
    <t>торговая сеть, смеситель для раковины Allen Brau Priority 5.31001-31, цвет черный матовый</t>
  </si>
  <si>
    <t>5.31001-31</t>
  </si>
  <si>
    <t>МАТ.СТП.УНИТ.001</t>
  </si>
  <si>
    <t>E253701 i.life Писсуар Ideal Standard, задняя подводка, с крепежами и фитингами в комплекте. Безободковая чаша без</t>
  </si>
  <si>
    <t>E253701</t>
  </si>
  <si>
    <t>МАТ.СТП.УНИТ.002</t>
  </si>
  <si>
    <t>ES3300 CREAVIT Кран для писсуара сенсорный</t>
  </si>
  <si>
    <t>ES3300</t>
  </si>
  <si>
    <t>CREAVIT</t>
  </si>
  <si>
    <t>МАТ.СТП.УНИТ.003</t>
  </si>
  <si>
    <t>LEMARK Смывное устройство для писсуара, сенсорное, встраиваемое</t>
  </si>
  <si>
    <t>LM4657CE</t>
  </si>
  <si>
    <t>LEMARK</t>
  </si>
  <si>
    <t>МАТ.СТП.УНИТ.004</t>
  </si>
  <si>
    <t>Инсталляция для подвесного унитаза Aquatek Standart 37 INS-0000017, кнопка Акватек KDI-0000016 хром</t>
  </si>
  <si>
    <t>366527</t>
  </si>
  <si>
    <t>Aquatek</t>
  </si>
  <si>
    <t>МАТ.СТП.УНИТ.005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</si>
  <si>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</si>
  <si>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МАТ.СТП.УНИТ.006</t>
  </si>
  <si>
    <t>Поручень для инсталляции Aquatek POR-0000004, хром, 800 мм</t>
  </si>
  <si>
    <t>POR-0000004</t>
  </si>
  <si>
    <t>МАТ.СТП.УНИТ.007</t>
  </si>
  <si>
    <t>Рама для монтажа PROSYS R016367 писсуара с задней подводкой</t>
  </si>
  <si>
    <t>R016367</t>
  </si>
  <si>
    <t>МАТ.СТП.УНИТ.008</t>
  </si>
  <si>
    <t>Унитаз подвесной SantiLine SL-5007 безободковый, с микролифтом</t>
  </si>
  <si>
    <t>SL-5007</t>
  </si>
  <si>
    <t>МАТ.ФАЛЬШПОЛ.001</t>
  </si>
  <si>
    <t>Алюминиевые регулировочные пластины r 20*20*0,2мм</t>
  </si>
  <si>
    <t>Анкер Индастри</t>
  </si>
  <si>
    <t>Фальшпол</t>
  </si>
  <si>
    <t>МАТ.ФАЛЬШПОЛ.002</t>
  </si>
  <si>
    <t>Гаскет</t>
  </si>
  <si>
    <t>МАТ.ФАЛЬШПОЛ.003</t>
  </si>
  <si>
    <t>Клей для стоек, 600 мл.</t>
  </si>
  <si>
    <t>МАТ.ФАЛЬШПОЛ.004</t>
  </si>
  <si>
    <t>Клей для фиксации резьбы, 800 грамм.</t>
  </si>
  <si>
    <t>МАТ.ФАЛЬШПОЛ.005</t>
  </si>
  <si>
    <t>Клин регулировочный</t>
  </si>
  <si>
    <t>МАТ.ФАЛЬШПОЛ.006</t>
  </si>
  <si>
    <t>Лента демпферная 5 x 15 mm (10 пог.м)</t>
  </si>
  <si>
    <t>МАТ.ФАЛЬШПОЛ.007</t>
  </si>
  <si>
    <t>Панель фальшпола 600*600*38мм, тип 38 AL/ST (сверху -оцинкованная сталь 0,5 мм, снизу - алюминиевая фольга 0,05 мм), с учетом подрезки 10%</t>
  </si>
  <si>
    <t>МАТ.ФАЛЬШПОЛ.008</t>
  </si>
  <si>
    <t>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</si>
  <si>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МАТ.ФАЛЬШПОЛ.009</t>
  </si>
  <si>
    <t>Стойка РОК100ARL- M12, 80-120mm</t>
  </si>
  <si>
    <t>МАТ.ЭУИ.ВЫКЛ.001</t>
  </si>
  <si>
    <t>Выключатель двухклавишный в стену, "Avanti", "Белое облако" 4400104</t>
  </si>
  <si>
    <t>DKC</t>
  </si>
  <si>
    <t>ДКС</t>
  </si>
  <si>
    <t>Розетки ДКС</t>
  </si>
  <si>
    <t>МАТ.ЭУИ.ВЫКЛ.002</t>
  </si>
  <si>
    <t>Выключатель одноклавишный в стену, "Avanti", "Белое облако" 4400103</t>
  </si>
  <si>
    <t>МАТ.ЭУИ.РОЗ.001</t>
  </si>
  <si>
    <t>Лючок напольный c изменяемой глубиной, 16 модулей 88316</t>
  </si>
  <si>
    <t>МАТ.ЭУИ.РОЗ.002</t>
  </si>
  <si>
    <t>Рамка "Avanti", "Белое облако", 1 пост (2 мод.) 4400902</t>
  </si>
  <si>
    <t>МАТ.ЭУИ.РОЗ.003</t>
  </si>
  <si>
    <t>Рамка "Avanti", "Белое облако", 2 поста (4 мод.) 4400904</t>
  </si>
  <si>
    <t>МАТ.ЭУИ.РОЗ.004</t>
  </si>
  <si>
    <t>Рамка "Avanti", "Белое облако", 3 поста (6 мод.) 4400906</t>
  </si>
  <si>
    <t>МАТ.ЭУИ.РОЗ.005</t>
  </si>
  <si>
    <t>Рамка "Avanti", "Белое облако", 4 поста (8 мод.) 4400908</t>
  </si>
  <si>
    <t>МАТ.ЭУИ.РОЗ.006</t>
  </si>
  <si>
    <t>Розетка модульная, 2P+E, с з/ш, "Avanti", "Белое облако", 2 модуля 4400002</t>
  </si>
  <si>
    <t>МАТ.ЭУИ.РОЗ.007</t>
  </si>
  <si>
    <t>Розетка модульная, 2P+E, с з/ш, "Avanti", "Красный квадрат", 2 модуля 4401002</t>
  </si>
  <si>
    <t>МАТ.ЭУИ.РОЗ.008</t>
  </si>
  <si>
    <t>Штепсельная розетка с заземлением в стену, 2P+E, с з/ш, "Avanti", "Белое облако" (арт. 4400003), с суппоротом и рамкой</t>
  </si>
  <si>
    <t>МАТ.ЭУИ.РОЗ.009</t>
  </si>
  <si>
    <t>Штепсельная розетка с заземлением в стену, 2P+E, с з/ш, "Avanti", "Красный квадрат" (арт. 4401003), с суппортом и рамкой</t>
  </si>
  <si>
    <t>МАТ.ЭЩ.001</t>
  </si>
  <si>
    <t>ВРЩ микро</t>
  </si>
  <si>
    <t>System Electric / ABB</t>
  </si>
  <si>
    <t>АББ Электроинжиниринг</t>
  </si>
  <si>
    <t>Щиты в сборе</t>
  </si>
  <si>
    <t>МАТ.ЭЩ.002</t>
  </si>
  <si>
    <t>ГРЩ-0080-54 (ГРЩ1)</t>
  </si>
  <si>
    <t>МАТ.ЭЩ.003</t>
  </si>
  <si>
    <t>ГРЩ-0080-54 (ГРЩ2+АВР)</t>
  </si>
  <si>
    <t>МАТ.ЭЩ.004</t>
  </si>
  <si>
    <t>ЩППУ(красный) микро</t>
  </si>
  <si>
    <t>МАТ.ЭЩ.005</t>
  </si>
  <si>
    <t>ЩР (НАНО 1-ф)</t>
  </si>
  <si>
    <t>МАТ.ЭЩ.006</t>
  </si>
  <si>
    <t>ЩР (НАНО 3-ф)</t>
  </si>
  <si>
    <t>МАТ.ЭЩ.007</t>
  </si>
  <si>
    <t>ЩР-0025-54 (ППУ)</t>
  </si>
  <si>
    <t>МАТ.ЭЩ.008</t>
  </si>
  <si>
    <t>ЩР-0025-54 (ЩИБП)</t>
  </si>
  <si>
    <t>МАТ.ЭЩ.009</t>
  </si>
  <si>
    <t>ЩР-0025-54 (ЩСБ)</t>
  </si>
  <si>
    <t>МАТ.ЭЩ.010</t>
  </si>
  <si>
    <t>ЩР-0063-54 (ЩС1)</t>
  </si>
  <si>
    <t>МАТ.ЭЩ.011</t>
  </si>
  <si>
    <t>ЩР-0063-54 (ЩС2)</t>
  </si>
  <si>
    <t>Группы материалов — расшифровка и как этим пользоваться</t>
  </si>
  <si>
    <t>ЗАЧЕМ. Группа — это «пул» материалов, допустимых в конкретной операции. Она связывает лист «Работы»</t>
  </si>
  <si>
    <t>и лист «Материалы»: у операции стоит код группы, у каждого материала — тот же код группы.</t>
  </si>
  <si>
    <t>КАК РАБОТАЕТ В СМЕТЕ.</t>
  </si>
  <si>
    <t xml:space="preserve">  1. В строке сметы выбираете КОД РАБОТЫ → подтягиваются наименование, единица, цена труда и группа материалов.</t>
  </si>
  <si>
    <t xml:space="preserve">  2. В колонке МАТЕРИАЛ выпадающий список показывает только материалы этой группы (лист «Материалы»).</t>
  </si>
  <si>
    <t xml:space="preserve">  3. Выбор материала подставляет его цену. Объём вводите один раз — стоимость считается.</t>
  </si>
  <si>
    <t xml:space="preserve">  4. Если у операции группа пустая — материал не выбирается (чистая работа: демонтаж, штукатурка, грунтовка, стяжка).</t>
  </si>
  <si>
    <t>ПРАВИЛА.</t>
  </si>
  <si>
    <t xml:space="preserve">  • Один материал может входить в одну группу. Нужны варианты — заводите подгруппу (например ДВ.ДЕР вместо ДВ).</t>
  </si>
  <si>
    <t xml:space="preserve">  • Коды: ОБЛАСТЬ или ОБЛАСТЬ.ПОДТИП, латиницей/кириллицей без пробелов. Новые группы добавляйте сюда же.</t>
  </si>
  <si>
    <t xml:space="preserve">  • Группа ДВ — временная «общая»: при ревизии разнесите операции по ДВ.ДЕР / ДВ.ПП / ДВ.СТ / ДВ.АЛ / ДВ.БР.</t>
  </si>
  <si>
    <t>Код_группы</t>
  </si>
  <si>
    <t>Область</t>
  </si>
  <si>
    <t>Что_входит</t>
  </si>
  <si>
    <t>Ед_изм_типовая</t>
  </si>
  <si>
    <t>Пример_операции</t>
  </si>
  <si>
    <t>Внутренние блоки VRF / мультисплит</t>
  </si>
  <si>
    <t>Внутренние блоки мультизональных систем + пульты, декоративные панели</t>
  </si>
  <si>
    <t>Часто в валюте (USD)</t>
  </si>
  <si>
    <t>Наружные блоки VRF / ККБ</t>
  </si>
  <si>
    <t>Наружные блоки мультизональных систем, компрессорно-конденсаторные блоки</t>
  </si>
  <si>
    <t>Монтаж наружного блока / ККБ</t>
  </si>
  <si>
    <t>Арматура и фасонные части ВК / отопления</t>
  </si>
  <si>
    <t>Отопление / ВК</t>
  </si>
  <si>
    <t>Краны шаровые, вентили, фильтры, обратные клапаны, балансировочные клапаны, фланцы, отводы, гильзы</t>
  </si>
  <si>
    <t>Арматура для укрепления конструкций</t>
  </si>
  <si>
    <t>Безопасность (ККО)</t>
  </si>
  <si>
    <t>Армосетка / пруток по классу взломостойкости, анкерный крепёж</t>
  </si>
  <si>
    <t>Укрепление конструкций арматурой</t>
  </si>
  <si>
    <t>Пока без выбора материала</t>
  </si>
  <si>
    <t>Элементы технической укреплённости</t>
  </si>
  <si>
    <t>Бронестекло, бронепанели, передаточные лотки, шлюзы инкассаторские, переговорные устройства</t>
  </si>
  <si>
    <t>Монтаж элемента технической укреплённости (броня)</t>
  </si>
  <si>
    <t>Вентиляторы</t>
  </si>
  <si>
    <t>Вентиляторы канальные, крышные, осевые, вытяжные бытовые; с регуляторами</t>
  </si>
  <si>
    <t>Воздуховоды и фасонные части</t>
  </si>
  <si>
    <t>Воздуховоды круглые и прямоугольные, отводы, переходы, врезки, гибкие воздуховоды, изоляция</t>
  </si>
  <si>
    <t>Монтаж воздуховода</t>
  </si>
  <si>
    <t>Воздухораспределители</t>
  </si>
  <si>
    <t>Решётки приточные и вытяжные, диффузоры, анемостаты, регуляторы расхода</t>
  </si>
  <si>
    <t>Комплект ГКЛ — перегородки и облицовки</t>
  </si>
  <si>
    <t>Отделка стен</t>
  </si>
  <si>
    <t>ГКЛ / ГКЛВ / ГКЛО, профиль, крепёж, лента, серпянка</t>
  </si>
  <si>
    <t>Дверные блоки (общая группа) и дверные приборы</t>
  </si>
  <si>
    <t>Двери</t>
  </si>
  <si>
    <t>Дверные блоки без чёткого подтипа, доводчики, упоры, ручки, замки</t>
  </si>
  <si>
    <t>Уточните подтип: ДВ.ДЕР / ДВ.ПП / ДВ.СТ / ДВ.АЛ / ДВ.БР</t>
  </si>
  <si>
    <t>Двери алюминиевые</t>
  </si>
  <si>
    <t>Дверные блоки в алюминиевом тёплом/холодном профиле, с заполнением</t>
  </si>
  <si>
    <t>Монтаж дверного блока алюминиевого</t>
  </si>
  <si>
    <t>Двери бронированные / взломостойкие</t>
  </si>
  <si>
    <t>Двери / безопасность</t>
  </si>
  <si>
    <t>Дверные блоки классов устойчивости к взлому, решётчатые двери запасного выхода</t>
  </si>
  <si>
    <t>Двери деревянные</t>
  </si>
  <si>
    <t>Деревянные и ламинированные дверные блоки с коробкой, добором, наличниками, фурнитурой</t>
  </si>
  <si>
    <t>Двери противопожарные</t>
  </si>
  <si>
    <t>Противопожарные дверные блоки EI-30 / EI-60, металлические и остеклённые</t>
  </si>
  <si>
    <t>Двери стеклянные</t>
  </si>
  <si>
    <t>Цельностеклянные и бескаркасные дверные блоки, стекло закалённое, фурнитура (Dorma и др.)</t>
  </si>
  <si>
    <t>Солнцезащита</t>
  </si>
  <si>
    <t>Окна</t>
  </si>
  <si>
    <t>Жалюзи вертикальные и горизонтальные, рулонные шторы, роллеты, рольставни</t>
  </si>
  <si>
    <t>Установка солнцезащиты (жалюзи / роллет)</t>
  </si>
  <si>
    <t>Тепловые и воздушные завесы</t>
  </si>
  <si>
    <t>Вентиляция / отопление</t>
  </si>
  <si>
    <t>Завесы электрические и водяные, с пультом</t>
  </si>
  <si>
    <t>Тепло- и звукоизоляция</t>
  </si>
  <si>
    <t>Отделка / инженерия</t>
  </si>
  <si>
    <t>Минвата плитная и рулонная, вспененный полиэтилен, пароизоляция</t>
  </si>
  <si>
    <t>Устройство тепло- / звукоизоляции</t>
  </si>
  <si>
    <t>Кабель и провод</t>
  </si>
  <si>
    <t>Электрика</t>
  </si>
  <si>
    <t>Силовой и слаботочный кабель, провод установочный, кабель огнестойкий (FR)</t>
  </si>
  <si>
    <t>Клапаны противопожарные / дымовые</t>
  </si>
  <si>
    <t>Клапаны огнезадерживающие, противопожарные нормально открытые/закрытые, дымовые</t>
  </si>
  <si>
    <t>Монтаж противопожарного / огнезадерживающего клапана</t>
  </si>
  <si>
    <t>Стеновые материалы кладки</t>
  </si>
  <si>
    <t>Кирпич, пеноблок, газобетон; кладочный раствор, армирование</t>
  </si>
  <si>
    <t>Кладка перегородок</t>
  </si>
  <si>
    <t>Кабель-каналы (короба)</t>
  </si>
  <si>
    <t>Кабель-каналы пластиковые и металлические, парапетные короба, напольные короба</t>
  </si>
  <si>
    <t>Краски</t>
  </si>
  <si>
    <t>Отделка стен / потолков</t>
  </si>
  <si>
    <t>Краски интерьерные, негорючие, по металлу; грунт-эмали</t>
  </si>
  <si>
    <t>м2 / кг</t>
  </si>
  <si>
    <t>Труд — в операции; здесь только материал</t>
  </si>
  <si>
    <t>Кабельные лотки</t>
  </si>
  <si>
    <t>Лотки металлические перфорированные, проволочные, лестничные; фасонные части, крышки</t>
  </si>
  <si>
    <t>Напольные лючки и коробки</t>
  </si>
  <si>
    <t>Напольные лючки и монтажные коробки на N модулей, крышки под покрытие</t>
  </si>
  <si>
    <t>Установка напольного лючка</t>
  </si>
  <si>
    <t>Элементы адаптации для МГН</t>
  </si>
  <si>
    <t>Доступная среда</t>
  </si>
  <si>
    <t>Пандусы откидные и стационарные, поручни, тактильные и визуальные знаки, кнопки вызова</t>
  </si>
  <si>
    <t>Молниезащита и заземление</t>
  </si>
  <si>
    <t>Полоса, пруток, держатели, зажимы, заземлители, коробки уравнивания потенциалов</t>
  </si>
  <si>
    <t>шт / м.п.</t>
  </si>
  <si>
    <t>Монтаж элемента молниезащиты / заземления</t>
  </si>
  <si>
    <t>Обои и стеклохолст</t>
  </si>
  <si>
    <t>Обои бумажные, флизелиновые, стеклообои, стеклохолст «паутинка», клей</t>
  </si>
  <si>
    <t>ОГНЕЗ</t>
  </si>
  <si>
    <t>Составы конструктивной огнезащиты</t>
  </si>
  <si>
    <t>Пожарная безопасность</t>
  </si>
  <si>
    <t>Огнезащитные краски, штукатурки, плиты для металлоконструкций</t>
  </si>
  <si>
    <t>Оконные и светопрозрачные конструкции</t>
  </si>
  <si>
    <t>Оконные блоки ПВХ и алюминиевые, витражи, фасадное остекление, стеклопакеты</t>
  </si>
  <si>
    <t>Приточные и приточно-вытяжные установки</t>
  </si>
  <si>
    <t>Вентиляция / кондиционирование</t>
  </si>
  <si>
    <t>Компактные ПВУ, приточные установки, рекуператоры, канальные кондиционеры-доводчики; с автоматикой</t>
  </si>
  <si>
    <t>Перегородки стеклянные</t>
  </si>
  <si>
    <t>Каркасные и цельностеклянные перегородки, стекло закалённое, фурнитура, профиль</t>
  </si>
  <si>
    <t>Перегородки трансформируемые / раздвижные</t>
  </si>
  <si>
    <t>Мобильные и раздвижные перегородки на подвесе, звукоизоляционные</t>
  </si>
  <si>
    <t>Монтаж трансформируемой перегородки</t>
  </si>
  <si>
    <t>Плёнки на стекло</t>
  </si>
  <si>
    <t>Окна / безопасность</t>
  </si>
  <si>
    <t>Плёнки защитные (класс А1–А3, К4), матирующие, тонирующие, теплоотражающие</t>
  </si>
  <si>
    <t>Оклейка светопрозрачных поверхностей защитной / матирующей плёнкой</t>
  </si>
  <si>
    <t>Плинтусы</t>
  </si>
  <si>
    <t>Отделка полов</t>
  </si>
  <si>
    <t>Плинтусы ПВХ, МДФ, алюминиевые, с закладкой ковролина; стыковочные профили</t>
  </si>
  <si>
    <t>Подоконные доски</t>
  </si>
  <si>
    <t>Подоконники ПВХ, ЛДСП, каменные; торцевые заглушки</t>
  </si>
  <si>
    <t>Покрытие пола — доска / ламинат</t>
  </si>
  <si>
    <t>Паркетная и инженерная доска, ламинат, подложка</t>
  </si>
  <si>
    <t>Устройство покрытия пола из доски / ламината</t>
  </si>
  <si>
    <t>Покрытие пола — керамогранит и плитка</t>
  </si>
  <si>
    <t>Керамогранит, керамическая плитка для пола; клей, затирка, СВП, грунт</t>
  </si>
  <si>
    <t>Стеновая плитка — в СТЕН.ПЛ</t>
  </si>
  <si>
    <t>Покрытие пола — модульное (ковролин / ПВХ / линолеум)</t>
  </si>
  <si>
    <t>Ковровая плитка, ПВХ-плитка (LVT), линолеум коммерческий; клей-фиксатор</t>
  </si>
  <si>
    <t>Часто в валюте (EUR)</t>
  </si>
  <si>
    <t>Покрытие пола — наливное / полимерное</t>
  </si>
  <si>
    <t>Наливные полы, полимерные и эпоксидные покрытия, топпинг, упрочнители, грунты</t>
  </si>
  <si>
    <t>Устройство наливного / полимерного пола</t>
  </si>
  <si>
    <t>Подвесные потолки</t>
  </si>
  <si>
    <t>Отделка потолков</t>
  </si>
  <si>
    <t>Потолки Армстронг, Грильято, ГКЛ, реечные, кассетные, акустические; каркас, подвесы</t>
  </si>
  <si>
    <t>Радиаторы отопления</t>
  </si>
  <si>
    <t>Радиаторы биметаллические, алюминиевые, стальные; конвекторы</t>
  </si>
  <si>
    <t>секц. / шт</t>
  </si>
  <si>
    <t>Комплектующие радиаторов</t>
  </si>
  <si>
    <t>Кронштейны, монтажные комплекты, узлы нижнего/бокового подключения, воздухоотводчики</t>
  </si>
  <si>
    <t>Светильники общего освещения</t>
  </si>
  <si>
    <t>Подвесные, встраиваемые, накладные, трековые, линейные светильники; люстры</t>
  </si>
  <si>
    <t>Аварийные — в СВЕТ.АВАР</t>
  </si>
  <si>
    <t>Светильники аварийные и эвакуационные</t>
  </si>
  <si>
    <t>Светильники с БАП, указатели «Выход», эвакуационные, противопожарные</t>
  </si>
  <si>
    <t>Сплит-системы</t>
  </si>
  <si>
    <t>Настенные, кассетные, канальные, напольно-потолочные сплит- и мультисплит-системы</t>
  </si>
  <si>
    <t>Облицовка стен — керамическая плитка</t>
  </si>
  <si>
    <t>Настенная плитка, керамогранит стеновой, бордюры; клей, затирка</t>
  </si>
  <si>
    <t>Водонагреватели</t>
  </si>
  <si>
    <t>Водоснабжение / канализация</t>
  </si>
  <si>
    <t>Водонагреватели накопительные и проточные, бойлеры</t>
  </si>
  <si>
    <t>Санприборы — раковины, умывальники, мойки</t>
  </si>
  <si>
    <t>Раковины, умывальники, мойки; в комплекте сифон, кронштейны</t>
  </si>
  <si>
    <t>Санприборы — смесители и водоразборная арматура</t>
  </si>
  <si>
    <t>Смесители, сенсорные краны, гигиенические души, смывные устройства для писсуаров</t>
  </si>
  <si>
    <t>Санприборы — унитазы, писсуары, инсталляции</t>
  </si>
  <si>
    <t>Унитазы подвесные и напольные, писсуары, инсталляции, рамы монтажные</t>
  </si>
  <si>
    <t>Трубы отопления и водоснабжения</t>
  </si>
  <si>
    <t>Труба PP-R, металлопласт, PEX, сшитый полиэтилен, сталь — с фитингами и изоляцией</t>
  </si>
  <si>
    <t>Трубы и гофра под электропроводку</t>
  </si>
  <si>
    <t>Труба ПВХ гладкая жёсткая, гофрированная (ПВХ, ПНД), металлорукав</t>
  </si>
  <si>
    <t>Панели фальшпола, стойки, гаскеты, клей</t>
  </si>
  <si>
    <t>ФРЕОН</t>
  </si>
  <si>
    <t>Фреонопроводы</t>
  </si>
  <si>
    <t>Медная труба, теплоизоляция трубопроводная, крепёж трасс</t>
  </si>
  <si>
    <t>Монтаж фреонопровода</t>
  </si>
  <si>
    <t>Шумоглушители</t>
  </si>
  <si>
    <t>Шумоглушители канальные пластинчатые и трубчатые</t>
  </si>
  <si>
    <t>Электроаппараты модульные (на DIN-рейку)</t>
  </si>
  <si>
    <t>Автоматические выключатели, УЗО, дифавтоматы (АВДТ), рубильники, реле, контакторы модульные</t>
  </si>
  <si>
    <t>Аппараты в сборе внутри щита — в ЭЩ</t>
  </si>
  <si>
    <t>Электроустановочные изделия — выключатели</t>
  </si>
  <si>
    <t>Выключатели клавишные, проходные, с ключом, кнопки, диммеры, датчики движения</t>
  </si>
  <si>
    <t>Электроустановочные изделия — розетки</t>
  </si>
  <si>
    <t>Розетки силовые, слаботочные лючки-модули, рамки, суппорты, коробки установочные</t>
  </si>
  <si>
    <t>Щиты, боксы, шкафы распределительные</t>
  </si>
  <si>
    <t>ГРЩ, этажные и групповые щиты, ППУ, боксы модульные, шкафы распределительные (корпус + начинка)</t>
  </si>
  <si>
    <t>на какую дату актуальны цены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</si>
</sst>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:mm:ss"/>
    <numFmt numFmtId="165" formatCode="yyyy\-mm\-dd"/>
    <numFmt numFmtId="166" formatCode="#\ ##0.00"/>
    <numFmt numFmtId="167" formatCode="0.0%"/>
    <numFmt numFmtId="168" formatCode="dd\.mm\.yyyy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3"/>
      <name val="Calibri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3" borderId="0" xfId="0" applyFill="1"/>
    <xf numFmtId="0" fontId="0" fillId="4" borderId="1" xfId="0" applyFill="1" applyBorder="1"/>
    <xf numFmtId="165" fontId="0" fillId="4" borderId="1" xfId="0" applyNumberFormat="1" applyFill="1" applyBorder="1"/>
    <xf numFmtId="0" fontId="0" fillId="0" borderId="0" xfId="0" applyAlignment="1">
      <alignment vertical="top" wrapText="1"/>
    </xf>
    <xf numFmtId="0" fontId="0" fillId="4" borderId="0" xfId="0" applyFill="1"/>
    <xf numFmtId="166" fontId="0" fillId="0" borderId="0" xfId="0" applyNumberFormat="1"/>
    <xf numFmtId="0" fontId="0" fillId="5" borderId="0" xfId="0" applyFill="1"/>
    <xf numFmtId="168" fontId="0" fillId="0" borderId="0" xfId="0" applyNumberFormat="1"/>
    <xf numFmtId="0" fontId="6" fillId="0" borderId="0" xfId="0" applyFont="1"/>
    <xf numFmtId="166" fontId="3" fillId="0" borderId="0" xfId="0" applyNumberFormat="1" applyFont="1"/>
    <xf numFmtId="0" fontId="4" fillId="0" borderId="0" xfId="0" applyFont="1"/>
    <xf numFmtId="167" fontId="0" fillId="0" borderId="0" xfId="0" applyNumberFormat="1"/>
    <xf numFmtId="0" fontId="5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3" sqref="A3"/>
    </sheetView>
  </sheetViews>
  <sheetFormatPr defaultRowHeight="14.4" x14ac:dyDescent="0.3"/>
  <cols>
    <col min="1" max="1" width="122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3" spans="1:1" x14ac:dyDescent="0.3">
      <c r="A13" s="2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s="2" t="s">
        <v>17</v>
      </c>
    </row>
    <row r="22" spans="1:1" x14ac:dyDescent="0.3">
      <c r="A22" t="s">
        <v>18</v>
      </c>
    </row>
    <row r="24" spans="1:1" x14ac:dyDescent="0.3">
      <c r="A2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pane ySplit="3" topLeftCell="A16" activePane="bottomLeft" state="frozen"/>
      <selection pane="bottomLeft" activeCell="B37" sqref="B37"/>
    </sheetView>
  </sheetViews>
  <sheetFormatPr defaultRowHeight="14.4" x14ac:dyDescent="0.3"/>
  <cols>
    <col min="1" max="1" width="48" customWidth="1"/>
    <col min="2" max="2" width="26" customWidth="1"/>
    <col min="3" max="3" width="56" customWidth="1"/>
  </cols>
  <sheetData>
    <row r="1" spans="1:3" ht="18" x14ac:dyDescent="0.35">
      <c r="A1" s="1" t="s">
        <v>20</v>
      </c>
    </row>
    <row r="3" spans="1:3" x14ac:dyDescent="0.3">
      <c r="A3" s="3" t="s">
        <v>21</v>
      </c>
      <c r="B3" s="3" t="s">
        <v>22</v>
      </c>
      <c r="C3" s="3" t="s">
        <v>23</v>
      </c>
    </row>
    <row r="4" spans="1:3" x14ac:dyDescent="0.3">
      <c r="A4" s="4" t="s">
        <v>24</v>
      </c>
      <c r="B4" s="5"/>
      <c r="C4" s="5"/>
    </row>
    <row r="5" spans="1:3" x14ac:dyDescent="0.3">
      <c r="A5" t="s">
        <v>25</v>
      </c>
      <c r="B5" s="6" t="s">
        <v>26</v>
      </c>
      <c r="C5" t="s">
        <v>27</v>
      </c>
    </row>
    <row r="6" spans="1:3" x14ac:dyDescent="0.3">
      <c r="A6" t="s">
        <v>28</v>
      </c>
      <c r="B6" s="6"/>
    </row>
    <row r="7" spans="1:3" x14ac:dyDescent="0.3">
      <c r="A7" t="s">
        <v>29</v>
      </c>
      <c r="B7" s="6" t="s">
        <v>30</v>
      </c>
    </row>
    <row r="8" spans="1:3" x14ac:dyDescent="0.3">
      <c r="A8" t="s">
        <v>31</v>
      </c>
      <c r="B8" s="7">
        <v>46265</v>
      </c>
      <c r="C8" t="s">
        <v>6366</v>
      </c>
    </row>
    <row r="9" spans="1:3" x14ac:dyDescent="0.3">
      <c r="A9" s="4"/>
      <c r="B9" s="5"/>
      <c r="C9" s="5"/>
    </row>
    <row r="10" spans="1:3" x14ac:dyDescent="0.3">
      <c r="A10" s="4" t="s">
        <v>32</v>
      </c>
      <c r="B10" s="5"/>
      <c r="C10" s="5"/>
    </row>
    <row r="11" spans="1:3" x14ac:dyDescent="0.3">
      <c r="A11" t="s">
        <v>33</v>
      </c>
      <c r="B11" s="6"/>
    </row>
    <row r="12" spans="1:3" x14ac:dyDescent="0.3">
      <c r="A12" t="s">
        <v>34</v>
      </c>
      <c r="B12" s="6"/>
    </row>
    <row r="13" spans="1:3" x14ac:dyDescent="0.3">
      <c r="A13" t="s">
        <v>35</v>
      </c>
      <c r="B13" s="6"/>
    </row>
    <row r="14" spans="1:3" x14ac:dyDescent="0.3">
      <c r="A14" t="s">
        <v>36</v>
      </c>
      <c r="B14" s="6"/>
    </row>
    <row r="15" spans="1:3" x14ac:dyDescent="0.3">
      <c r="A15" t="s">
        <v>37</v>
      </c>
      <c r="B15" s="6"/>
    </row>
    <row r="16" spans="1:3" x14ac:dyDescent="0.3">
      <c r="A16" t="s">
        <v>38</v>
      </c>
      <c r="B16" s="6"/>
    </row>
    <row r="17" spans="1:3" x14ac:dyDescent="0.3">
      <c r="A17" s="4"/>
      <c r="B17" s="5"/>
      <c r="C17" s="5"/>
    </row>
    <row r="18" spans="1:3" x14ac:dyDescent="0.3">
      <c r="A18" s="4" t="s">
        <v>39</v>
      </c>
      <c r="B18" s="5"/>
      <c r="C18" s="5"/>
    </row>
    <row r="19" spans="1:3" x14ac:dyDescent="0.3">
      <c r="A19" t="s">
        <v>40</v>
      </c>
      <c r="B19" s="6">
        <v>0</v>
      </c>
      <c r="C19" t="s">
        <v>41</v>
      </c>
    </row>
    <row r="20" spans="1:3" x14ac:dyDescent="0.3">
      <c r="A20" t="s">
        <v>42</v>
      </c>
      <c r="B20" s="6">
        <v>0</v>
      </c>
      <c r="C20" t="s">
        <v>43</v>
      </c>
    </row>
    <row r="21" spans="1:3" x14ac:dyDescent="0.3">
      <c r="A21" t="s">
        <v>44</v>
      </c>
      <c r="B21" s="6">
        <v>0</v>
      </c>
      <c r="C21" t="s">
        <v>45</v>
      </c>
    </row>
    <row r="22" spans="1:3" x14ac:dyDescent="0.3">
      <c r="A22" t="s">
        <v>46</v>
      </c>
      <c r="B22" s="6">
        <v>0</v>
      </c>
      <c r="C22" t="s">
        <v>47</v>
      </c>
    </row>
    <row r="23" spans="1:3" x14ac:dyDescent="0.3">
      <c r="A23" t="s">
        <v>48</v>
      </c>
      <c r="B23" s="6">
        <v>0</v>
      </c>
      <c r="C23" t="s">
        <v>49</v>
      </c>
    </row>
    <row r="24" spans="1:3" x14ac:dyDescent="0.3">
      <c r="A24" t="s">
        <v>50</v>
      </c>
      <c r="B24" s="6">
        <v>0</v>
      </c>
      <c r="C24" t="s">
        <v>51</v>
      </c>
    </row>
    <row r="25" spans="1:3" x14ac:dyDescent="0.3">
      <c r="A25" t="s">
        <v>52</v>
      </c>
      <c r="B25" s="6">
        <v>0</v>
      </c>
      <c r="C25" t="s">
        <v>53</v>
      </c>
    </row>
    <row r="26" spans="1:3" x14ac:dyDescent="0.3">
      <c r="A26" t="s">
        <v>54</v>
      </c>
      <c r="B26" s="6">
        <v>0</v>
      </c>
      <c r="C26" t="s">
        <v>55</v>
      </c>
    </row>
    <row r="27" spans="1:3" x14ac:dyDescent="0.3">
      <c r="A27" s="4"/>
      <c r="B27" s="5"/>
      <c r="C27" s="5"/>
    </row>
    <row r="28" spans="1:3" x14ac:dyDescent="0.3">
      <c r="A28" s="4" t="s">
        <v>56</v>
      </c>
      <c r="B28" s="5"/>
      <c r="C28" s="5"/>
    </row>
    <row r="29" spans="1:3" x14ac:dyDescent="0.3">
      <c r="A29" t="s">
        <v>57</v>
      </c>
      <c r="B29" s="6" t="s">
        <v>58</v>
      </c>
      <c r="C29" t="s">
        <v>59</v>
      </c>
    </row>
    <row r="30" spans="1:3" x14ac:dyDescent="0.3">
      <c r="A30" t="s">
        <v>60</v>
      </c>
      <c r="B30" s="6">
        <v>20</v>
      </c>
      <c r="C30" t="s">
        <v>61</v>
      </c>
    </row>
    <row r="31" spans="1:3" x14ac:dyDescent="0.3">
      <c r="A31" t="s">
        <v>62</v>
      </c>
      <c r="B31" s="6">
        <v>0</v>
      </c>
      <c r="C31" t="s">
        <v>63</v>
      </c>
    </row>
    <row r="32" spans="1:3" x14ac:dyDescent="0.3">
      <c r="A32" t="s">
        <v>64</v>
      </c>
      <c r="B32" s="6">
        <v>3</v>
      </c>
    </row>
    <row r="33" spans="1:3" x14ac:dyDescent="0.3">
      <c r="A33" t="s">
        <v>65</v>
      </c>
      <c r="B33" s="6">
        <v>0</v>
      </c>
      <c r="C33" t="s">
        <v>66</v>
      </c>
    </row>
    <row r="34" spans="1:3" x14ac:dyDescent="0.3">
      <c r="A34" t="s">
        <v>67</v>
      </c>
      <c r="B34" s="6">
        <v>0</v>
      </c>
      <c r="C34" t="s">
        <v>68</v>
      </c>
    </row>
    <row r="35" spans="1:3" x14ac:dyDescent="0.3">
      <c r="A35" t="s">
        <v>69</v>
      </c>
      <c r="B35" s="6">
        <v>81</v>
      </c>
      <c r="C35" t="s">
        <v>70</v>
      </c>
    </row>
    <row r="36" spans="1:3" x14ac:dyDescent="0.3">
      <c r="A36" t="s">
        <v>71</v>
      </c>
      <c r="B36" s="6">
        <v>95</v>
      </c>
    </row>
  </sheetData>
  <dataValidations count="2">
    <dataValidation type="list" sqref="B29" xr:uid="{00000000-0002-0000-0100-000000000000}">
      <formula1>"с НДС в цене,без НДС"</formula1>
    </dataValidation>
    <dataValidation type="list" sqref="B5" xr:uid="{00000000-0002-0000-0100-000001000000}">
      <formula1>"ККО,Инфраструктура"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12"/>
  <sheetViews>
    <sheetView zoomScale="89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0" customWidth="1"/>
    <col min="3" max="3" width="20" customWidth="1"/>
    <col min="4" max="4" width="46" customWidth="1"/>
    <col min="5" max="5" width="8" customWidth="1"/>
    <col min="6" max="6" width="12" customWidth="1"/>
    <col min="7" max="7" width="17" customWidth="1"/>
    <col min="8" max="8" width="9" customWidth="1"/>
    <col min="9" max="9" width="20" customWidth="1"/>
    <col min="10" max="10" width="40" customWidth="1"/>
    <col min="11" max="11" width="12" customWidth="1"/>
    <col min="12" max="13" width="13" customWidth="1"/>
    <col min="14" max="16" width="14" customWidth="1"/>
    <col min="17" max="17" width="11" customWidth="1"/>
    <col min="18" max="18" width="6" customWidth="1"/>
    <col min="19" max="19" width="24" customWidth="1"/>
    <col min="20" max="20" width="7" hidden="1" customWidth="1"/>
  </cols>
  <sheetData>
    <row r="1" spans="1:20" ht="28.8" x14ac:dyDescent="0.3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3" t="s">
        <v>89</v>
      </c>
      <c r="S1" s="3" t="s">
        <v>90</v>
      </c>
      <c r="T1" s="3" t="s">
        <v>91</v>
      </c>
    </row>
    <row r="2" spans="1:20" x14ac:dyDescent="0.3">
      <c r="A2" t="str">
        <f>IFERROR(INDEX(Работы!$D$2:$D$6000,MATCH($C2,Работы!$A$2:$A$6000,0)),"")</f>
        <v>Р1</v>
      </c>
      <c r="B2" t="str">
        <f>IFERROR(INDEX(Работы!$F$2:$F$6000,MATCH($C2,Работы!$A$2:$A$6000,0)),"")</f>
        <v>1</v>
      </c>
      <c r="C2" t="str">
        <f>IFERROR(INDEX(Работы!$A$2:$A$6000,1),"")</f>
        <v>РАБ.Р1.1.001</v>
      </c>
      <c r="D2" s="8" t="str">
        <f>IFERROR(INDEX(Работы!$B$2:$B$6000,MATCH($C2,Работы!$A$2:$A$6000,0)),"")</f>
        <v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v>
      </c>
      <c r="E2" t="str">
        <f>IFERROR(INDEX(Работы!$C$2:$C$6000,MATCH($C2,Работы!$A$2:$A$6000,0)),"")</f>
        <v>м2</v>
      </c>
      <c r="F2">
        <f>IFERROR(INDEX(Работы!$G$2:$G$6000,MATCH($C2,Работы!$A$2:$A$6000,0)),"")</f>
        <v>0</v>
      </c>
      <c r="G2" t="str">
        <f>IFERROR(INDEX(Работы!$K$2:$K$6000,MATCH($C2,Работы!$A$2:$A$6000,0)),"")</f>
        <v>S_общая</v>
      </c>
      <c r="H2" s="9"/>
      <c r="I2" s="9"/>
      <c r="J2" s="8" t="str">
        <f>IFERROR(INDEX(Материалы!$B$2:$B$9000,MATCH($I2,Материалы!$A$2:$A$9000,0)),"")</f>
        <v/>
      </c>
      <c r="K2" t="str">
        <f>IF($I2="","",IF($F2=IFERROR(INDEX(Материалы!$G$2:$G$9000,MATCH($I2,Материалы!$A$2:$A$9000,0)),""),"OK","!! не та группа"))</f>
        <v/>
      </c>
      <c r="L2" s="10">
        <f>IFERROR(INDEX(Работы!$H$2:$H$6000,MATCH($C2,Работы!$A$2:$A$6000,0))*(1-ДисконтТендер),0)</f>
        <v>3675</v>
      </c>
      <c r="M2" s="10">
        <f>IF($I2="",0,IFERROR(INDEX(Материалы!$I$2:$I$9000,MATCH($I2,Материалы!$A$2:$A$9000,0))*IF(INDEX(Материалы!$J$2:$J$9000,MATCH($I2,Материалы!$A$2:$A$9000,0))="USD",КурсUSD,IF(INDEX(Материалы!$J$2:$J$9000,MATCH($I2,Материалы!$A$2:$A$9000,0))="EUR",КурсEUR,1))*INDEX(Материалы!$K$2:$K$9000,MATCH($I2,Материалы!$A$2:$A$9000,0))*(1+IFERROR(INDEX(Работы!$I$2:$I$6000,MATCH($C2,Работы!$A$2:$A$6000,0))/100,0))*(1-ДисконтТендер),0))</f>
        <v>0</v>
      </c>
      <c r="N2" s="10">
        <f t="shared" ref="N2:N65" si="0">IF(AND($R2="да",$H2&lt;&gt;""),ROUND($H2*$L2,2),0)</f>
        <v>0</v>
      </c>
      <c r="O2" s="10">
        <f t="shared" ref="O2:O65" si="1">IF(AND($R2="да",$H2&lt;&gt;""),ROUND($H2*$M2,2),0)</f>
        <v>0</v>
      </c>
      <c r="P2" s="10">
        <f t="shared" ref="P2:P65" si="2">$N2+$O2</f>
        <v>0</v>
      </c>
      <c r="Q2" t="str">
        <f>IFERROR(INDEX(Работы!$J$2:$J$6000,MATCH($C2,Работы!$A$2:$A$6000,0)),"")</f>
        <v>нетиповая</v>
      </c>
      <c r="R2" t="s">
        <v>92</v>
      </c>
      <c r="T2" t="str">
        <f>IF(AND($P2&gt;0,$R2="да"),MAX($T$1:$T1)+1,"")</f>
        <v/>
      </c>
    </row>
    <row r="3" spans="1:20" x14ac:dyDescent="0.3">
      <c r="A3" t="str">
        <f>IFERROR(INDEX(Работы!$D$2:$D$6000,MATCH($C3,Работы!$A$2:$A$6000,0)),"")</f>
        <v>Р1</v>
      </c>
      <c r="B3" t="str">
        <f>IFERROR(INDEX(Работы!$F$2:$F$6000,MATCH($C3,Работы!$A$2:$A$6000,0)),"")</f>
        <v>1</v>
      </c>
      <c r="C3" t="str">
        <f>IFERROR(INDEX(Работы!$A$2:$A$6000,2),"")</f>
        <v>РАБ.Р1.1.002</v>
      </c>
      <c r="D3" s="8" t="str">
        <f>IFERROR(INDEX(Работы!$B$2:$B$6000,MATCH($C3,Работы!$A$2:$A$6000,0)),"")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E3" t="str">
        <f>IFERROR(INDEX(Работы!$C$2:$C$6000,MATCH($C3,Работы!$A$2:$A$6000,0)),"")</f>
        <v>м2</v>
      </c>
      <c r="F3">
        <f>IFERROR(INDEX(Работы!$G$2:$G$6000,MATCH($C3,Работы!$A$2:$A$6000,0)),"")</f>
        <v>0</v>
      </c>
      <c r="G3" t="str">
        <f>IFERROR(INDEX(Работы!$K$2:$K$6000,MATCH($C3,Работы!$A$2:$A$6000,0)),"")</f>
        <v>S_общая</v>
      </c>
      <c r="H3" s="9"/>
      <c r="I3" s="9"/>
      <c r="J3" s="8" t="str">
        <f>IFERROR(INDEX(Материалы!$B$2:$B$9000,MATCH($I3,Материалы!$A$2:$A$9000,0)),"")</f>
        <v/>
      </c>
      <c r="K3" t="str">
        <f>IF($I3="","",IF($F3=IFERROR(INDEX(Материалы!$G$2:$G$9000,MATCH($I3,Материалы!$A$2:$A$9000,0)),""),"OK","!! не та группа"))</f>
        <v/>
      </c>
      <c r="L3" s="10">
        <f>IFERROR(INDEX(Работы!$H$2:$H$6000,MATCH($C3,Работы!$A$2:$A$6000,0))*(1-ДисконтТендер),0)</f>
        <v>7822.5</v>
      </c>
      <c r="M3" s="10">
        <f>IF($I3="",0,IFERROR(INDEX(Материалы!$I$2:$I$9000,MATCH($I3,Материалы!$A$2:$A$9000,0))*IF(INDEX(Материалы!$J$2:$J$9000,MATCH($I3,Материалы!$A$2:$A$9000,0))="USD",КурсUSD,IF(INDEX(Материалы!$J$2:$J$9000,MATCH($I3,Материалы!$A$2:$A$9000,0))="EUR",КурсEUR,1))*INDEX(Материалы!$K$2:$K$9000,MATCH($I3,Материалы!$A$2:$A$9000,0))*(1+IFERROR(INDEX(Работы!$I$2:$I$6000,MATCH($C3,Работы!$A$2:$A$6000,0))/100,0))*(1-ДисконтТендер),0))</f>
        <v>0</v>
      </c>
      <c r="N3" s="10">
        <f t="shared" si="0"/>
        <v>0</v>
      </c>
      <c r="O3" s="10">
        <f t="shared" si="1"/>
        <v>0</v>
      </c>
      <c r="P3" s="10">
        <f t="shared" si="2"/>
        <v>0</v>
      </c>
      <c r="Q3" t="str">
        <f>IFERROR(INDEX(Работы!$J$2:$J$6000,MATCH($C3,Работы!$A$2:$A$6000,0)),"")</f>
        <v>нетиповая</v>
      </c>
      <c r="R3" t="s">
        <v>92</v>
      </c>
      <c r="T3" t="str">
        <f>IF(AND($P3&gt;0,$R3="да"),MAX($T$1:$T2)+1,"")</f>
        <v/>
      </c>
    </row>
    <row r="4" spans="1:20" x14ac:dyDescent="0.3">
      <c r="A4" t="str">
        <f>IFERROR(INDEX(Работы!$D$2:$D$6000,MATCH($C4,Работы!$A$2:$A$6000,0)),"")</f>
        <v>Р1</v>
      </c>
      <c r="B4" t="str">
        <f>IFERROR(INDEX(Работы!$F$2:$F$6000,MATCH($C4,Работы!$A$2:$A$6000,0)),"")</f>
        <v>1</v>
      </c>
      <c r="C4" t="str">
        <f>IFERROR(INDEX(Работы!$A$2:$A$6000,3),"")</f>
        <v>РАБ.Р1.1.003</v>
      </c>
      <c r="D4" s="8" t="str">
        <f>IFERROR(INDEX(Работы!$B$2:$B$6000,MATCH($C4,Работы!$A$2:$A$6000,0)),"")</f>
        <v>Рабочая документация по усилению/устройству несущих конструкций ("КР"), включая пояснительную записку (для помещений от 100 до 450 м.кв)</v>
      </c>
      <c r="E4" t="str">
        <f>IFERROR(INDEX(Работы!$C$2:$C$6000,MATCH($C4,Работы!$A$2:$A$6000,0)),"")</f>
        <v>м2</v>
      </c>
      <c r="F4">
        <f>IFERROR(INDEX(Работы!$G$2:$G$6000,MATCH($C4,Работы!$A$2:$A$6000,0)),"")</f>
        <v>0</v>
      </c>
      <c r="G4" t="str">
        <f>IFERROR(INDEX(Работы!$K$2:$K$6000,MATCH($C4,Работы!$A$2:$A$6000,0)),"")</f>
        <v>S_общая</v>
      </c>
      <c r="H4" s="9"/>
      <c r="I4" s="9"/>
      <c r="J4" s="8" t="str">
        <f>IFERROR(INDEX(Материалы!$B$2:$B$9000,MATCH($I4,Материалы!$A$2:$A$9000,0)),"")</f>
        <v/>
      </c>
      <c r="K4" t="str">
        <f>IF($I4="","",IF($F4=IFERROR(INDEX(Материалы!$G$2:$G$9000,MATCH($I4,Материалы!$A$2:$A$9000,0)),""),"OK","!! не та группа"))</f>
        <v/>
      </c>
      <c r="L4" s="10">
        <f>IFERROR(INDEX(Работы!$H$2:$H$6000,MATCH($C4,Работы!$A$2:$A$6000,0))*(1-ДисконтТендер),0)</f>
        <v>135.44999999999999</v>
      </c>
      <c r="M4" s="10">
        <f>IF($I4="",0,IFERROR(INDEX(Материалы!$I$2:$I$9000,MATCH($I4,Материалы!$A$2:$A$9000,0))*IF(INDEX(Материалы!$J$2:$J$9000,MATCH($I4,Материалы!$A$2:$A$9000,0))="USD",КурсUSD,IF(INDEX(Материалы!$J$2:$J$9000,MATCH($I4,Материалы!$A$2:$A$9000,0))="EUR",КурсEUR,1))*INDEX(Материалы!$K$2:$K$9000,MATCH($I4,Материалы!$A$2:$A$9000,0))*(1+IFERROR(INDEX(Работы!$I$2:$I$6000,MATCH($C4,Работы!$A$2:$A$6000,0))/100,0))*(1-ДисконтТендер),0))</f>
        <v>0</v>
      </c>
      <c r="N4" s="10">
        <f t="shared" si="0"/>
        <v>0</v>
      </c>
      <c r="O4" s="10">
        <f>IF(AND($R4="да",$H4&lt;&gt;""),ROUND($H4*$M4,2),0)</f>
        <v>0</v>
      </c>
      <c r="P4" s="10">
        <f t="shared" si="2"/>
        <v>0</v>
      </c>
      <c r="Q4" t="str">
        <f>IFERROR(INDEX(Работы!$J$2:$J$6000,MATCH($C4,Работы!$A$2:$A$6000,0)),"")</f>
        <v>нетиповая</v>
      </c>
      <c r="R4" t="s">
        <v>92</v>
      </c>
      <c r="T4" t="str">
        <f>IF(AND($P4&gt;0,$R4="да"),MAX($T$1:$T3)+1,"")</f>
        <v/>
      </c>
    </row>
    <row r="5" spans="1:20" x14ac:dyDescent="0.3">
      <c r="A5" t="str">
        <f>IFERROR(INDEX(Работы!$D$2:$D$6000,MATCH($C5,Работы!$A$2:$A$6000,0)),"")</f>
        <v>Р1</v>
      </c>
      <c r="B5" t="str">
        <f>IFERROR(INDEX(Работы!$F$2:$F$6000,MATCH($C5,Работы!$A$2:$A$6000,0)),"")</f>
        <v>1</v>
      </c>
      <c r="C5" t="str">
        <f>IFERROR(INDEX(Работы!$A$2:$A$6000,4),"")</f>
        <v>РАБ.Р1.1.004</v>
      </c>
      <c r="D5" s="8" t="str">
        <f>IFERROR(INDEX(Работы!$B$2:$B$6000,MATCH($C5,Работы!$A$2:$A$6000,0)),"")</f>
        <v>Рабочая документация "Архитектурные решения" ("АР"), включая пояснительную записку (для помещений от 100 до 450 м.кв)</v>
      </c>
      <c r="E5" t="str">
        <f>IFERROR(INDEX(Работы!$C$2:$C$6000,MATCH($C5,Работы!$A$2:$A$6000,0)),"")</f>
        <v>м2</v>
      </c>
      <c r="F5">
        <f>IFERROR(INDEX(Работы!$G$2:$G$6000,MATCH($C5,Работы!$A$2:$A$6000,0)),"")</f>
        <v>0</v>
      </c>
      <c r="G5" t="str">
        <f>IFERROR(INDEX(Работы!$K$2:$K$6000,MATCH($C5,Работы!$A$2:$A$6000,0)),"")</f>
        <v>S_общая</v>
      </c>
      <c r="H5" s="9"/>
      <c r="I5" s="9"/>
      <c r="J5" s="8" t="str">
        <f>IFERROR(INDEX(Материалы!$B$2:$B$9000,MATCH($I5,Материалы!$A$2:$A$9000,0)),"")</f>
        <v/>
      </c>
      <c r="K5" t="str">
        <f>IF($I5="","",IF($F5=IFERROR(INDEX(Материалы!$G$2:$G$9000,MATCH($I5,Материалы!$A$2:$A$9000,0)),""),"OK","!! не та группа"))</f>
        <v/>
      </c>
      <c r="L5" s="10">
        <f>IFERROR(INDEX(Работы!$H$2:$H$6000,MATCH($C5,Работы!$A$2:$A$6000,0))*(1-ДисконтТендер),0)</f>
        <v>389.55</v>
      </c>
      <c r="M5" s="10">
        <f>IF($I5="",0,IFERROR(INDEX(Материалы!$I$2:$I$9000,MATCH($I5,Материалы!$A$2:$A$9000,0))*IF(INDEX(Материалы!$J$2:$J$9000,MATCH($I5,Материалы!$A$2:$A$9000,0))="USD",КурсUSD,IF(INDEX(Материалы!$J$2:$J$9000,MATCH($I5,Материалы!$A$2:$A$9000,0))="EUR",КурсEUR,1))*INDEX(Материалы!$K$2:$K$9000,MATCH($I5,Материалы!$A$2:$A$9000,0))*(1+IFERROR(INDEX(Работы!$I$2:$I$6000,MATCH($C5,Работы!$A$2:$A$6000,0))/100,0))*(1-ДисконтТендер),0))</f>
        <v>0</v>
      </c>
      <c r="N5" s="10">
        <f t="shared" si="0"/>
        <v>0</v>
      </c>
      <c r="O5" s="10">
        <f t="shared" si="1"/>
        <v>0</v>
      </c>
      <c r="P5" s="10">
        <f t="shared" si="2"/>
        <v>0</v>
      </c>
      <c r="Q5" t="str">
        <f>IFERROR(INDEX(Работы!$J$2:$J$6000,MATCH($C5,Работы!$A$2:$A$6000,0)),"")</f>
        <v>типовая</v>
      </c>
      <c r="R5" t="s">
        <v>92</v>
      </c>
      <c r="T5" t="str">
        <f>IF(AND($P5&gt;0,$R5="да"),MAX($T$1:$T4)+1,"")</f>
        <v/>
      </c>
    </row>
    <row r="6" spans="1:20" x14ac:dyDescent="0.3">
      <c r="A6" t="str">
        <f>IFERROR(INDEX(Работы!$D$2:$D$6000,MATCH($C6,Работы!$A$2:$A$6000,0)),"")</f>
        <v>Р1</v>
      </c>
      <c r="B6" t="str">
        <f>IFERROR(INDEX(Работы!$F$2:$F$6000,MATCH($C6,Работы!$A$2:$A$6000,0)),"")</f>
        <v>1</v>
      </c>
      <c r="C6" t="str">
        <f>IFERROR(INDEX(Работы!$A$2:$A$6000,5),"")</f>
        <v>РАБ.Р1.1.005</v>
      </c>
      <c r="D6" s="8" t="str">
        <f>IFERROR(INDEX(Работы!$B$2:$B$6000,MATCH($C6,Работы!$A$2:$A$6000,0)),"")</f>
        <v>Рабочая документация по электроснабжению и электроосвещению ("ЭОМ"), включая пояснительную записку (для помещений от 100 до 450 м.кв)</v>
      </c>
      <c r="E6" t="str">
        <f>IFERROR(INDEX(Работы!$C$2:$C$6000,MATCH($C6,Работы!$A$2:$A$6000,0)),"")</f>
        <v>м2</v>
      </c>
      <c r="F6">
        <f>IFERROR(INDEX(Работы!$G$2:$G$6000,MATCH($C6,Работы!$A$2:$A$6000,0)),"")</f>
        <v>0</v>
      </c>
      <c r="G6" t="str">
        <f>IFERROR(INDEX(Работы!$K$2:$K$6000,MATCH($C6,Работы!$A$2:$A$6000,0)),"")</f>
        <v>S_общая</v>
      </c>
      <c r="H6" s="9"/>
      <c r="I6" s="9"/>
      <c r="J6" s="8" t="str">
        <f>IFERROR(INDEX(Материалы!$B$2:$B$9000,MATCH($I6,Материалы!$A$2:$A$9000,0)),"")</f>
        <v/>
      </c>
      <c r="K6" t="str">
        <f>IF($I6="","",IF($F6=IFERROR(INDEX(Материалы!$G$2:$G$9000,MATCH($I6,Материалы!$A$2:$A$9000,0)),""),"OK","!! не та группа"))</f>
        <v/>
      </c>
      <c r="L6" s="10">
        <f>IFERROR(INDEX(Работы!$H$2:$H$6000,MATCH($C6,Работы!$A$2:$A$6000,0))*(1-ДисконтТендер),0)</f>
        <v>258.3</v>
      </c>
      <c r="M6" s="10">
        <f>IF($I6="",0,IFERROR(INDEX(Материалы!$I$2:$I$9000,MATCH($I6,Материалы!$A$2:$A$9000,0))*IF(INDEX(Материалы!$J$2:$J$9000,MATCH($I6,Материалы!$A$2:$A$9000,0))="USD",КурсUSD,IF(INDEX(Материалы!$J$2:$J$9000,MATCH($I6,Материалы!$A$2:$A$9000,0))="EUR",КурсEUR,1))*INDEX(Материалы!$K$2:$K$9000,MATCH($I6,Материалы!$A$2:$A$9000,0))*(1+IFERROR(INDEX(Работы!$I$2:$I$6000,MATCH($C6,Работы!$A$2:$A$6000,0))/100,0))*(1-ДисконтТендер),0))</f>
        <v>0</v>
      </c>
      <c r="N6" s="10">
        <f t="shared" si="0"/>
        <v>0</v>
      </c>
      <c r="O6" s="10">
        <f t="shared" si="1"/>
        <v>0</v>
      </c>
      <c r="P6" s="10">
        <f t="shared" si="2"/>
        <v>0</v>
      </c>
      <c r="Q6" t="str">
        <f>IFERROR(INDEX(Работы!$J$2:$J$6000,MATCH($C6,Работы!$A$2:$A$6000,0)),"")</f>
        <v>типовая</v>
      </c>
      <c r="R6" t="s">
        <v>92</v>
      </c>
      <c r="T6" t="str">
        <f>IF(AND($P6&gt;0,$R6="да"),MAX($T$1:$T5)+1,"")</f>
        <v/>
      </c>
    </row>
    <row r="7" spans="1:20" x14ac:dyDescent="0.3">
      <c r="A7" t="str">
        <f>IFERROR(INDEX(Работы!$D$2:$D$6000,MATCH($C7,Работы!$A$2:$A$6000,0)),"")</f>
        <v>Р1</v>
      </c>
      <c r="B7" t="str">
        <f>IFERROR(INDEX(Работы!$F$2:$F$6000,MATCH($C7,Работы!$A$2:$A$6000,0)),"")</f>
        <v>1</v>
      </c>
      <c r="C7" t="str">
        <f>IFERROR(INDEX(Работы!$A$2:$A$6000,6),"")</f>
        <v>РАБ.Р1.1.006</v>
      </c>
      <c r="D7" s="8" t="str">
        <f>IFERROR(INDEX(Работы!$B$2:$B$6000,MATCH($C7,Работы!$A$2:$A$6000,0)),"")</f>
        <v>Рабочая документация Системы вентиляции ("ОВиК-В"), включая пояснительную записку (для помещений от 100 до 450 м.кв)</v>
      </c>
      <c r="E7" t="str">
        <f>IFERROR(INDEX(Работы!$C$2:$C$6000,MATCH($C7,Работы!$A$2:$A$6000,0)),"")</f>
        <v>м2</v>
      </c>
      <c r="F7">
        <f>IFERROR(INDEX(Работы!$G$2:$G$6000,MATCH($C7,Работы!$A$2:$A$6000,0)),"")</f>
        <v>0</v>
      </c>
      <c r="G7" t="str">
        <f>IFERROR(INDEX(Работы!$K$2:$K$6000,MATCH($C7,Работы!$A$2:$A$6000,0)),"")</f>
        <v>S_общая</v>
      </c>
      <c r="H7" s="9"/>
      <c r="I7" s="9"/>
      <c r="J7" s="8" t="str">
        <f>IFERROR(INDEX(Материалы!$B$2:$B$9000,MATCH($I7,Материалы!$A$2:$A$9000,0)),"")</f>
        <v/>
      </c>
      <c r="K7" t="str">
        <f>IF($I7="","",IF($F7=IFERROR(INDEX(Материалы!$G$2:$G$9000,MATCH($I7,Материалы!$A$2:$A$9000,0)),""),"OK","!! не та группа"))</f>
        <v/>
      </c>
      <c r="L7" s="10">
        <f>IFERROR(INDEX(Работы!$H$2:$H$6000,MATCH($C7,Работы!$A$2:$A$6000,0))*(1-ДисконтТендер),0)</f>
        <v>202.65</v>
      </c>
      <c r="M7" s="10">
        <f>IF($I7="",0,IFERROR(INDEX(Материалы!$I$2:$I$9000,MATCH($I7,Материалы!$A$2:$A$9000,0))*IF(INDEX(Материалы!$J$2:$J$9000,MATCH($I7,Материалы!$A$2:$A$9000,0))="USD",КурсUSD,IF(INDEX(Материалы!$J$2:$J$9000,MATCH($I7,Материалы!$A$2:$A$9000,0))="EUR",КурсEUR,1))*INDEX(Материалы!$K$2:$K$9000,MATCH($I7,Материалы!$A$2:$A$9000,0))*(1+IFERROR(INDEX(Работы!$I$2:$I$6000,MATCH($C7,Работы!$A$2:$A$6000,0))/100,0))*(1-ДисконтТендер),0))</f>
        <v>0</v>
      </c>
      <c r="N7" s="10">
        <f t="shared" si="0"/>
        <v>0</v>
      </c>
      <c r="O7" s="10">
        <f t="shared" si="1"/>
        <v>0</v>
      </c>
      <c r="P7" s="10">
        <f t="shared" si="2"/>
        <v>0</v>
      </c>
      <c r="Q7" t="str">
        <f>IFERROR(INDEX(Работы!$J$2:$J$6000,MATCH($C7,Работы!$A$2:$A$6000,0)),"")</f>
        <v>типовая</v>
      </c>
      <c r="R7" t="s">
        <v>92</v>
      </c>
      <c r="T7" t="str">
        <f>IF(AND($P7&gt;0,$R7="да"),MAX($T$1:$T6)+1,"")</f>
        <v/>
      </c>
    </row>
    <row r="8" spans="1:20" x14ac:dyDescent="0.3">
      <c r="A8" t="str">
        <f>IFERROR(INDEX(Работы!$D$2:$D$6000,MATCH($C8,Работы!$A$2:$A$6000,0)),"")</f>
        <v>Р1</v>
      </c>
      <c r="B8" t="str">
        <f>IFERROR(INDEX(Работы!$F$2:$F$6000,MATCH($C8,Работы!$A$2:$A$6000,0)),"")</f>
        <v>1</v>
      </c>
      <c r="C8" t="str">
        <f>IFERROR(INDEX(Работы!$A$2:$A$6000,7),"")</f>
        <v>РАБ.Р1.1.007</v>
      </c>
      <c r="D8" s="8" t="str">
        <f>IFERROR(INDEX(Работы!$B$2:$B$6000,MATCH($C8,Работы!$A$2:$A$6000,0)),"")</f>
        <v>Рабочая документация Системы кондиционирования ("ОВиК-К"), включая пояснительную записку (для помещений от 100 до 450 м.кв)</v>
      </c>
      <c r="E8" t="str">
        <f>IFERROR(INDEX(Работы!$C$2:$C$6000,MATCH($C8,Работы!$A$2:$A$6000,0)),"")</f>
        <v>м2</v>
      </c>
      <c r="F8">
        <f>IFERROR(INDEX(Работы!$G$2:$G$6000,MATCH($C8,Работы!$A$2:$A$6000,0)),"")</f>
        <v>0</v>
      </c>
      <c r="G8" t="str">
        <f>IFERROR(INDEX(Работы!$K$2:$K$6000,MATCH($C8,Работы!$A$2:$A$6000,0)),"")</f>
        <v>S_общая</v>
      </c>
      <c r="H8" s="9"/>
      <c r="I8" s="9"/>
      <c r="J8" s="8" t="str">
        <f>IFERROR(INDEX(Материалы!$B$2:$B$9000,MATCH($I8,Материалы!$A$2:$A$9000,0)),"")</f>
        <v/>
      </c>
      <c r="K8" t="str">
        <f>IF($I8="","",IF($F8=IFERROR(INDEX(Материалы!$G$2:$G$9000,MATCH($I8,Материалы!$A$2:$A$9000,0)),""),"OK","!! не та группа"))</f>
        <v/>
      </c>
      <c r="L8" s="10">
        <f>IFERROR(INDEX(Работы!$H$2:$H$6000,MATCH($C8,Работы!$A$2:$A$6000,0))*(1-ДисконтТендер),0)</f>
        <v>159.47999999999999</v>
      </c>
      <c r="M8" s="10">
        <f>IF($I8="",0,IFERROR(INDEX(Материалы!$I$2:$I$9000,MATCH($I8,Материалы!$A$2:$A$9000,0))*IF(INDEX(Материалы!$J$2:$J$9000,MATCH($I8,Материалы!$A$2:$A$9000,0))="USD",КурсUSD,IF(INDEX(Материалы!$J$2:$J$9000,MATCH($I8,Материалы!$A$2:$A$9000,0))="EUR",КурсEUR,1))*INDEX(Материалы!$K$2:$K$9000,MATCH($I8,Материалы!$A$2:$A$9000,0))*(1+IFERROR(INDEX(Работы!$I$2:$I$6000,MATCH($C8,Работы!$A$2:$A$6000,0))/100,0))*(1-ДисконтТендер),0))</f>
        <v>0</v>
      </c>
      <c r="N8" s="10">
        <f>IF(AND($R8="да",$H8&lt;&gt;""),ROUND($H8*$L8,2),0)</f>
        <v>0</v>
      </c>
      <c r="O8" s="10">
        <f t="shared" si="1"/>
        <v>0</v>
      </c>
      <c r="P8" s="10">
        <f t="shared" si="2"/>
        <v>0</v>
      </c>
      <c r="Q8" t="str">
        <f>IFERROR(INDEX(Работы!$J$2:$J$6000,MATCH($C8,Работы!$A$2:$A$6000,0)),"")</f>
        <v>типовая</v>
      </c>
      <c r="R8" t="s">
        <v>92</v>
      </c>
      <c r="T8" t="str">
        <f>IF(AND($P8&gt;0,$R8="да"),MAX($T$1:$T7)+1,"")</f>
        <v/>
      </c>
    </row>
    <row r="9" spans="1:20" x14ac:dyDescent="0.3">
      <c r="A9" t="str">
        <f>IFERROR(INDEX(Работы!$D$2:$D$6000,MATCH($C9,Работы!$A$2:$A$6000,0)),"")</f>
        <v>Р1</v>
      </c>
      <c r="B9" t="str">
        <f>IFERROR(INDEX(Работы!$F$2:$F$6000,MATCH($C9,Работы!$A$2:$A$6000,0)),"")</f>
        <v>1</v>
      </c>
      <c r="C9" t="str">
        <f>IFERROR(INDEX(Работы!$A$2:$A$6000,8),"")</f>
        <v>РАБ.Р1.1.008</v>
      </c>
      <c r="D9" s="8" t="str">
        <f>IFERROR(INDEX(Работы!$B$2:$B$6000,MATCH($C9,Работы!$A$2:$A$6000,0)),"")</f>
        <v>Рабочая документация Системы отопления ("ОВиК-О"), включая Пояснительную записку и Теплотехнический расчет (для помещений от 100 до 450 м.кв)</v>
      </c>
      <c r="E9" t="str">
        <f>IFERROR(INDEX(Работы!$C$2:$C$6000,MATCH($C9,Работы!$A$2:$A$6000,0)),"")</f>
        <v>м2</v>
      </c>
      <c r="F9">
        <f>IFERROR(INDEX(Работы!$G$2:$G$6000,MATCH($C9,Работы!$A$2:$A$6000,0)),"")</f>
        <v>0</v>
      </c>
      <c r="G9" t="str">
        <f>IFERROR(INDEX(Работы!$K$2:$K$6000,MATCH($C9,Работы!$A$2:$A$6000,0)),"")</f>
        <v>S_общая</v>
      </c>
      <c r="H9" s="9"/>
      <c r="I9" s="9"/>
      <c r="J9" s="8" t="str">
        <f>IFERROR(INDEX(Материалы!$B$2:$B$9000,MATCH($I9,Материалы!$A$2:$A$9000,0)),"")</f>
        <v/>
      </c>
      <c r="K9" t="str">
        <f>IF($I9="","",IF($F9=IFERROR(INDEX(Материалы!$G$2:$G$9000,MATCH($I9,Материалы!$A$2:$A$9000,0)),""),"OK","!! не та группа"))</f>
        <v/>
      </c>
      <c r="L9" s="10">
        <f>IFERROR(INDEX(Работы!$H$2:$H$6000,MATCH($C9,Работы!$A$2:$A$6000,0))*(1-ДисконтТендер),0)</f>
        <v>123.9</v>
      </c>
      <c r="M9" s="10">
        <f>IF($I9="",0,IFERROR(INDEX(Материалы!$I$2:$I$9000,MATCH($I9,Материалы!$A$2:$A$9000,0))*IF(INDEX(Материалы!$J$2:$J$9000,MATCH($I9,Материалы!$A$2:$A$9000,0))="USD",КурсUSD,IF(INDEX(Материалы!$J$2:$J$9000,MATCH($I9,Материалы!$A$2:$A$9000,0))="EUR",КурсEUR,1))*INDEX(Материалы!$K$2:$K$9000,MATCH($I9,Материалы!$A$2:$A$9000,0))*(1+IFERROR(INDEX(Работы!$I$2:$I$6000,MATCH($C9,Работы!$A$2:$A$6000,0))/100,0))*(1-ДисконтТендер),0))</f>
        <v>0</v>
      </c>
      <c r="N9" s="10">
        <f t="shared" si="0"/>
        <v>0</v>
      </c>
      <c r="O9" s="10">
        <f t="shared" si="1"/>
        <v>0</v>
      </c>
      <c r="P9" s="10">
        <f t="shared" si="2"/>
        <v>0</v>
      </c>
      <c r="Q9" t="str">
        <f>IFERROR(INDEX(Работы!$J$2:$J$6000,MATCH($C9,Работы!$A$2:$A$6000,0)),"")</f>
        <v>типовая</v>
      </c>
      <c r="R9" t="s">
        <v>92</v>
      </c>
      <c r="T9" t="str">
        <f>IF(AND($P9&gt;0,$R9="да"),MAX($T$1:$T8)+1,"")</f>
        <v/>
      </c>
    </row>
    <row r="10" spans="1:20" x14ac:dyDescent="0.3">
      <c r="A10" t="str">
        <f>IFERROR(INDEX(Работы!$D$2:$D$6000,MATCH($C10,Работы!$A$2:$A$6000,0)),"")</f>
        <v>Р1</v>
      </c>
      <c r="B10" t="str">
        <f>IFERROR(INDEX(Работы!$F$2:$F$6000,MATCH($C10,Работы!$A$2:$A$6000,0)),"")</f>
        <v>1</v>
      </c>
      <c r="C10" t="str">
        <f>IFERROR(INDEX(Работы!$A$2:$A$6000,9),"")</f>
        <v>РАБ.Р1.1.009</v>
      </c>
      <c r="D10" s="8" t="str">
        <f>IFERROR(INDEX(Работы!$B$2:$B$6000,MATCH($C10,Работы!$A$2:$A$6000,0)),"")</f>
        <v>Рабочая документация Системы водоснабжения и канализации ("ВК"), включая пояснительную записку (для помещений от 100 до 450 м.кв)</v>
      </c>
      <c r="E10" t="str">
        <f>IFERROR(INDEX(Работы!$C$2:$C$6000,MATCH($C10,Работы!$A$2:$A$6000,0)),"")</f>
        <v>м2</v>
      </c>
      <c r="F10">
        <f>IFERROR(INDEX(Работы!$G$2:$G$6000,MATCH($C10,Работы!$A$2:$A$6000,0)),"")</f>
        <v>0</v>
      </c>
      <c r="G10" t="str">
        <f>IFERROR(INDEX(Работы!$K$2:$K$6000,MATCH($C10,Работы!$A$2:$A$6000,0)),"")</f>
        <v>S_общая</v>
      </c>
      <c r="H10" s="9"/>
      <c r="I10" s="9"/>
      <c r="J10" s="8" t="str">
        <f>IFERROR(INDEX(Материалы!$B$2:$B$9000,MATCH($I10,Материалы!$A$2:$A$9000,0)),"")</f>
        <v/>
      </c>
      <c r="K10" t="str">
        <f>IF($I10="","",IF($F10=IFERROR(INDEX(Материалы!$G$2:$G$9000,MATCH($I10,Материалы!$A$2:$A$9000,0)),""),"OK","!! не та группа"))</f>
        <v/>
      </c>
      <c r="L10" s="10">
        <f>IFERROR(INDEX(Работы!$H$2:$H$6000,MATCH($C10,Работы!$A$2:$A$6000,0))*(1-ДисконтТендер),0)</f>
        <v>130.19999999999999</v>
      </c>
      <c r="M10" s="10">
        <f>IF($I10="",0,IFERROR(INDEX(Материалы!$I$2:$I$9000,MATCH($I10,Материалы!$A$2:$A$9000,0))*IF(INDEX(Материалы!$J$2:$J$9000,MATCH($I10,Материалы!$A$2:$A$9000,0))="USD",КурсUSD,IF(INDEX(Материалы!$J$2:$J$9000,MATCH($I10,Материалы!$A$2:$A$9000,0))="EUR",КурсEUR,1))*INDEX(Материалы!$K$2:$K$9000,MATCH($I10,Материалы!$A$2:$A$9000,0))*(1+IFERROR(INDEX(Работы!$I$2:$I$6000,MATCH($C10,Работы!$A$2:$A$6000,0))/100,0))*(1-ДисконтТендер),0))</f>
        <v>0</v>
      </c>
      <c r="N10" s="10">
        <f t="shared" si="0"/>
        <v>0</v>
      </c>
      <c r="O10" s="10">
        <f t="shared" si="1"/>
        <v>0</v>
      </c>
      <c r="P10" s="10">
        <f t="shared" si="2"/>
        <v>0</v>
      </c>
      <c r="Q10" t="str">
        <f>IFERROR(INDEX(Работы!$J$2:$J$6000,MATCH($C10,Работы!$A$2:$A$6000,0)),"")</f>
        <v>типовая</v>
      </c>
      <c r="R10" t="s">
        <v>92</v>
      </c>
      <c r="T10" t="str">
        <f>IF(AND($P10&gt;0,$R10="да"),MAX($T$1:$T9)+1,"")</f>
        <v/>
      </c>
    </row>
    <row r="11" spans="1:20" x14ac:dyDescent="0.3">
      <c r="A11" t="str">
        <f>IFERROR(INDEX(Работы!$D$2:$D$6000,MATCH($C11,Работы!$A$2:$A$6000,0)),"")</f>
        <v>Р1</v>
      </c>
      <c r="B11" t="str">
        <f>IFERROR(INDEX(Работы!$F$2:$F$6000,MATCH($C11,Работы!$A$2:$A$6000,0)),"")</f>
        <v>1</v>
      </c>
      <c r="C11" t="str">
        <f>IFERROR(INDEX(Работы!$A$2:$A$6000,10),"")</f>
        <v>РАБ.Р1.1.010</v>
      </c>
      <c r="D11" s="8" t="str">
        <f>IFERROR(INDEX(Работы!$B$2:$B$6000,MATCH($C11,Работы!$A$2:$A$6000,0)),"")</f>
        <v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v>
      </c>
      <c r="E11" t="str">
        <f>IFERROR(INDEX(Работы!$C$2:$C$6000,MATCH($C11,Работы!$A$2:$A$6000,0)),"")</f>
        <v>м2</v>
      </c>
      <c r="F11">
        <f>IFERROR(INDEX(Работы!$G$2:$G$6000,MATCH($C11,Работы!$A$2:$A$6000,0)),"")</f>
        <v>0</v>
      </c>
      <c r="G11" t="str">
        <f>IFERROR(INDEX(Работы!$K$2:$K$6000,MATCH($C11,Работы!$A$2:$A$6000,0)),"")</f>
        <v>S_общая</v>
      </c>
      <c r="H11" s="9"/>
      <c r="I11" s="9"/>
      <c r="J11" s="8" t="str">
        <f>IFERROR(INDEX(Материалы!$B$2:$B$9000,MATCH($I11,Материалы!$A$2:$A$9000,0)),"")</f>
        <v/>
      </c>
      <c r="K11" t="str">
        <f>IF($I11="","",IF($F11=IFERROR(INDEX(Материалы!$G$2:$G$9000,MATCH($I11,Материалы!$A$2:$A$9000,0)),""),"OK","!! не та группа"))</f>
        <v/>
      </c>
      <c r="L11" s="10">
        <f>IFERROR(INDEX(Работы!$H$2:$H$6000,MATCH($C11,Работы!$A$2:$A$6000,0))*(1-ДисконтТендер),0)</f>
        <v>91.68</v>
      </c>
      <c r="M11" s="10">
        <f>IF($I11="",0,IFERROR(INDEX(Материалы!$I$2:$I$9000,MATCH($I11,Материалы!$A$2:$A$9000,0))*IF(INDEX(Материалы!$J$2:$J$9000,MATCH($I11,Материалы!$A$2:$A$9000,0))="USD",КурсUSD,IF(INDEX(Материалы!$J$2:$J$9000,MATCH($I11,Материалы!$A$2:$A$9000,0))="EUR",КурсEUR,1))*INDEX(Материалы!$K$2:$K$9000,MATCH($I11,Материалы!$A$2:$A$9000,0))*(1+IFERROR(INDEX(Работы!$I$2:$I$6000,MATCH($C11,Работы!$A$2:$A$6000,0))/100,0))*(1-ДисконтТендер),0))</f>
        <v>0</v>
      </c>
      <c r="N11" s="10">
        <f t="shared" si="0"/>
        <v>0</v>
      </c>
      <c r="O11" s="10">
        <f t="shared" si="1"/>
        <v>0</v>
      </c>
      <c r="P11" s="10">
        <f t="shared" si="2"/>
        <v>0</v>
      </c>
      <c r="Q11" t="str">
        <f>IFERROR(INDEX(Работы!$J$2:$J$6000,MATCH($C11,Работы!$A$2:$A$6000,0)),"")</f>
        <v>типовая</v>
      </c>
      <c r="R11" t="s">
        <v>92</v>
      </c>
      <c r="T11" t="str">
        <f>IF(AND($P11&gt;0,$R11="да"),MAX($T$1:$T10)+1,"")</f>
        <v/>
      </c>
    </row>
    <row r="12" spans="1:20" x14ac:dyDescent="0.3">
      <c r="A12" t="str">
        <f>IFERROR(INDEX(Работы!$D$2:$D$6000,MATCH($C12,Работы!$A$2:$A$6000,0)),"")</f>
        <v>Р1</v>
      </c>
      <c r="B12" t="str">
        <f>IFERROR(INDEX(Работы!$F$2:$F$6000,MATCH($C12,Работы!$A$2:$A$6000,0)),"")</f>
        <v>1</v>
      </c>
      <c r="C12" t="str">
        <f>IFERROR(INDEX(Работы!$A$2:$A$6000,11),"")</f>
        <v>РАБ.Р1.1.011</v>
      </c>
      <c r="D12" s="8" t="str">
        <f>IFERROR(INDEX(Работы!$B$2:$B$6000,MATCH($C12,Работы!$A$2:$A$6000,0)),"")</f>
        <v>Рабочая документация Системы Внутреннего противопожарного водопровода ("ВПВ"), включая пояснительную записку (для помещений от 100 до 450 м.кв)</v>
      </c>
      <c r="E12" t="str">
        <f>IFERROR(INDEX(Работы!$C$2:$C$6000,MATCH($C12,Работы!$A$2:$A$6000,0)),"")</f>
        <v>м2</v>
      </c>
      <c r="F12">
        <f>IFERROR(INDEX(Работы!$G$2:$G$6000,MATCH($C12,Работы!$A$2:$A$6000,0)),"")</f>
        <v>0</v>
      </c>
      <c r="G12" t="str">
        <f>IFERROR(INDEX(Работы!$K$2:$K$6000,MATCH($C12,Работы!$A$2:$A$6000,0)),"")</f>
        <v>S_общая</v>
      </c>
      <c r="H12" s="9"/>
      <c r="I12" s="9"/>
      <c r="J12" s="8" t="str">
        <f>IFERROR(INDEX(Материалы!$B$2:$B$9000,MATCH($I12,Материалы!$A$2:$A$9000,0)),"")</f>
        <v/>
      </c>
      <c r="K12" t="str">
        <f>IF($I12="","",IF($F12=IFERROR(INDEX(Материалы!$G$2:$G$9000,MATCH($I12,Материалы!$A$2:$A$9000,0)),""),"OK","!! не та группа"))</f>
        <v/>
      </c>
      <c r="L12" s="10">
        <f>IFERROR(INDEX(Работы!$H$2:$H$6000,MATCH($C12,Работы!$A$2:$A$6000,0))*(1-ДисконтТендер),0)</f>
        <v>91.68</v>
      </c>
      <c r="M12" s="10">
        <f>IF($I12="",0,IFERROR(INDEX(Материалы!$I$2:$I$9000,MATCH($I12,Материалы!$A$2:$A$9000,0))*IF(INDEX(Материалы!$J$2:$J$9000,MATCH($I12,Материалы!$A$2:$A$9000,0))="USD",КурсUSD,IF(INDEX(Материалы!$J$2:$J$9000,MATCH($I12,Материалы!$A$2:$A$9000,0))="EUR",КурсEUR,1))*INDEX(Материалы!$K$2:$K$9000,MATCH($I12,Материалы!$A$2:$A$9000,0))*(1+IFERROR(INDEX(Работы!$I$2:$I$6000,MATCH($C12,Работы!$A$2:$A$6000,0))/100,0))*(1-ДисконтТендер),0))</f>
        <v>0</v>
      </c>
      <c r="N12" s="10">
        <f t="shared" si="0"/>
        <v>0</v>
      </c>
      <c r="O12" s="10">
        <f t="shared" si="1"/>
        <v>0</v>
      </c>
      <c r="P12" s="10">
        <f t="shared" si="2"/>
        <v>0</v>
      </c>
      <c r="Q12" t="str">
        <f>IFERROR(INDEX(Работы!$J$2:$J$6000,MATCH($C12,Работы!$A$2:$A$6000,0)),"")</f>
        <v>типовая</v>
      </c>
      <c r="R12" t="s">
        <v>92</v>
      </c>
      <c r="T12" t="str">
        <f>IF(AND($P12&gt;0,$R12="да"),MAX($T$1:$T11)+1,"")</f>
        <v/>
      </c>
    </row>
    <row r="13" spans="1:20" x14ac:dyDescent="0.3">
      <c r="A13" t="str">
        <f>IFERROR(INDEX(Работы!$D$2:$D$6000,MATCH($C13,Работы!$A$2:$A$6000,0)),"")</f>
        <v>Р1</v>
      </c>
      <c r="B13" t="str">
        <f>IFERROR(INDEX(Работы!$F$2:$F$6000,MATCH($C13,Работы!$A$2:$A$6000,0)),"")</f>
        <v>1</v>
      </c>
      <c r="C13" t="str">
        <f>IFERROR(INDEX(Работы!$A$2:$A$6000,12),"")</f>
        <v>РАБ.Р1.1.012</v>
      </c>
      <c r="D13" s="8" t="str">
        <f>IFERROR(INDEX(Работы!$B$2:$B$6000,MATCH($C13,Работы!$A$2:$A$6000,0)),"")</f>
        <v>Рабочая документация Системы дымоудаления ("ДУ"), включая пояснительную записку (для помещений от 100 до 450 м.кв)</v>
      </c>
      <c r="E13" t="str">
        <f>IFERROR(INDEX(Работы!$C$2:$C$6000,MATCH($C13,Работы!$A$2:$A$6000,0)),"")</f>
        <v>м2</v>
      </c>
      <c r="F13">
        <f>IFERROR(INDEX(Работы!$G$2:$G$6000,MATCH($C13,Работы!$A$2:$A$6000,0)),"")</f>
        <v>0</v>
      </c>
      <c r="G13" t="str">
        <f>IFERROR(INDEX(Работы!$K$2:$K$6000,MATCH($C13,Работы!$A$2:$A$6000,0)),"")</f>
        <v>S_общая</v>
      </c>
      <c r="H13" s="9"/>
      <c r="I13" s="9"/>
      <c r="J13" s="8" t="str">
        <f>IFERROR(INDEX(Материалы!$B$2:$B$9000,MATCH($I13,Материалы!$A$2:$A$9000,0)),"")</f>
        <v/>
      </c>
      <c r="K13" t="str">
        <f>IF($I13="","",IF($F13=IFERROR(INDEX(Материалы!$G$2:$G$9000,MATCH($I13,Материалы!$A$2:$A$9000,0)),""),"OK","!! не та группа"))</f>
        <v/>
      </c>
      <c r="L13" s="10">
        <f>IFERROR(INDEX(Работы!$H$2:$H$6000,MATCH($C13,Работы!$A$2:$A$6000,0))*(1-ДисконтТендер),0)</f>
        <v>103.95</v>
      </c>
      <c r="M13" s="10">
        <f>IF($I13="",0,IFERROR(INDEX(Материалы!$I$2:$I$9000,MATCH($I13,Материалы!$A$2:$A$9000,0))*IF(INDEX(Материалы!$J$2:$J$9000,MATCH($I13,Материалы!$A$2:$A$9000,0))="USD",КурсUSD,IF(INDEX(Материалы!$J$2:$J$9000,MATCH($I13,Материалы!$A$2:$A$9000,0))="EUR",КурсEUR,1))*INDEX(Материалы!$K$2:$K$9000,MATCH($I13,Материалы!$A$2:$A$9000,0))*(1+IFERROR(INDEX(Работы!$I$2:$I$6000,MATCH($C13,Работы!$A$2:$A$6000,0))/100,0))*(1-ДисконтТендер),0))</f>
        <v>0</v>
      </c>
      <c r="N13" s="10">
        <f t="shared" si="0"/>
        <v>0</v>
      </c>
      <c r="O13" s="10">
        <f t="shared" si="1"/>
        <v>0</v>
      </c>
      <c r="P13" s="10">
        <f t="shared" si="2"/>
        <v>0</v>
      </c>
      <c r="Q13" t="str">
        <f>IFERROR(INDEX(Работы!$J$2:$J$6000,MATCH($C13,Работы!$A$2:$A$6000,0)),"")</f>
        <v>типовая</v>
      </c>
      <c r="R13" t="s">
        <v>92</v>
      </c>
      <c r="T13" t="str">
        <f>IF(AND($P13&gt;0,$R13="да"),MAX($T$1:$T12)+1,"")</f>
        <v/>
      </c>
    </row>
    <row r="14" spans="1:20" x14ac:dyDescent="0.3">
      <c r="A14" t="str">
        <f>IFERROR(INDEX(Работы!$D$2:$D$6000,MATCH($C14,Работы!$A$2:$A$6000,0)),"")</f>
        <v>Р1</v>
      </c>
      <c r="B14" t="str">
        <f>IFERROR(INDEX(Работы!$F$2:$F$6000,MATCH($C14,Работы!$A$2:$A$6000,0)),"")</f>
        <v>1</v>
      </c>
      <c r="C14" t="str">
        <f>IFERROR(INDEX(Работы!$A$2:$A$6000,13),"")</f>
        <v>РАБ.Р1.1.013</v>
      </c>
      <c r="D14" s="8" t="str">
        <f>IFERROR(INDEX(Работы!$B$2:$B$6000,MATCH($C14,Работы!$A$2:$A$6000,0)),"")</f>
        <v>Рабочая документация "Автоматическая пожарная сигнализация" (АПС)</v>
      </c>
      <c r="E14" t="str">
        <f>IFERROR(INDEX(Работы!$C$2:$C$6000,MATCH($C14,Работы!$A$2:$A$6000,0)),"")</f>
        <v>м2</v>
      </c>
      <c r="F14">
        <f>IFERROR(INDEX(Работы!$G$2:$G$6000,MATCH($C14,Работы!$A$2:$A$6000,0)),"")</f>
        <v>0</v>
      </c>
      <c r="G14" t="str">
        <f>IFERROR(INDEX(Работы!$K$2:$K$6000,MATCH($C14,Работы!$A$2:$A$6000,0)),"")</f>
        <v>S_общая</v>
      </c>
      <c r="H14" s="9"/>
      <c r="I14" s="9"/>
      <c r="J14" s="8" t="str">
        <f>IFERROR(INDEX(Материалы!$B$2:$B$9000,MATCH($I14,Материалы!$A$2:$A$9000,0)),"")</f>
        <v/>
      </c>
      <c r="K14" t="str">
        <f>IF($I14="","",IF($F14=IFERROR(INDEX(Материалы!$G$2:$G$9000,MATCH($I14,Материалы!$A$2:$A$9000,0)),""),"OK","!! не та группа"))</f>
        <v/>
      </c>
      <c r="L14" s="10">
        <f>IFERROR(INDEX(Работы!$H$2:$H$6000,MATCH($C14,Работы!$A$2:$A$6000,0))*(1-ДисконтТендер),0)</f>
        <v>7.04</v>
      </c>
      <c r="M14" s="10">
        <f>IF($I14="",0,IFERROR(INDEX(Материалы!$I$2:$I$9000,MATCH($I14,Материалы!$A$2:$A$9000,0))*IF(INDEX(Материалы!$J$2:$J$9000,MATCH($I14,Материалы!$A$2:$A$9000,0))="USD",КурсUSD,IF(INDEX(Материалы!$J$2:$J$9000,MATCH($I14,Материалы!$A$2:$A$9000,0))="EUR",КурсEUR,1))*INDEX(Материалы!$K$2:$K$9000,MATCH($I14,Материалы!$A$2:$A$9000,0))*(1+IFERROR(INDEX(Работы!$I$2:$I$6000,MATCH($C14,Работы!$A$2:$A$6000,0))/100,0))*(1-ДисконтТендер),0))</f>
        <v>0</v>
      </c>
      <c r="N14" s="10">
        <f t="shared" si="0"/>
        <v>0</v>
      </c>
      <c r="O14" s="10">
        <f t="shared" si="1"/>
        <v>0</v>
      </c>
      <c r="P14" s="10">
        <f t="shared" si="2"/>
        <v>0</v>
      </c>
      <c r="Q14" t="str">
        <f>IFERROR(INDEX(Работы!$J$2:$J$6000,MATCH($C14,Работы!$A$2:$A$6000,0)),"")</f>
        <v>типовая</v>
      </c>
      <c r="R14" t="s">
        <v>92</v>
      </c>
      <c r="T14" t="str">
        <f>IF(AND($P14&gt;0,$R14="да"),MAX($T$1:$T13)+1,"")</f>
        <v/>
      </c>
    </row>
    <row r="15" spans="1:20" x14ac:dyDescent="0.3">
      <c r="A15" t="str">
        <f>IFERROR(INDEX(Работы!$D$2:$D$6000,MATCH($C15,Работы!$A$2:$A$6000,0)),"")</f>
        <v>Р1</v>
      </c>
      <c r="B15" t="str">
        <f>IFERROR(INDEX(Работы!$F$2:$F$6000,MATCH($C15,Работы!$A$2:$A$6000,0)),"")</f>
        <v>1</v>
      </c>
      <c r="C15" t="str">
        <f>IFERROR(INDEX(Работы!$A$2:$A$6000,14),"")</f>
        <v>РАБ.Р1.1.014</v>
      </c>
      <c r="D15" s="8" t="str">
        <f>IFERROR(INDEX(Работы!$B$2:$B$6000,MATCH($C15,Работы!$A$2:$A$6000,0)),"")</f>
        <v>Рабочая документация "Система оповещения и управления эвакуацией людей при пожаре" (СОУЭ)</v>
      </c>
      <c r="E15" t="str">
        <f>IFERROR(INDEX(Работы!$C$2:$C$6000,MATCH($C15,Работы!$A$2:$A$6000,0)),"")</f>
        <v>м2</v>
      </c>
      <c r="F15">
        <f>IFERROR(INDEX(Работы!$G$2:$G$6000,MATCH($C15,Работы!$A$2:$A$6000,0)),"")</f>
        <v>0</v>
      </c>
      <c r="G15" t="str">
        <f>IFERROR(INDEX(Работы!$K$2:$K$6000,MATCH($C15,Работы!$A$2:$A$6000,0)),"")</f>
        <v>S_общая</v>
      </c>
      <c r="H15" s="9"/>
      <c r="I15" s="9"/>
      <c r="J15" s="8" t="str">
        <f>IFERROR(INDEX(Материалы!$B$2:$B$9000,MATCH($I15,Материалы!$A$2:$A$9000,0)),"")</f>
        <v/>
      </c>
      <c r="K15" t="str">
        <f>IF($I15="","",IF($F15=IFERROR(INDEX(Материалы!$G$2:$G$9000,MATCH($I15,Материалы!$A$2:$A$9000,0)),""),"OK","!! не та группа"))</f>
        <v/>
      </c>
      <c r="L15" s="10">
        <f>IFERROR(INDEX(Работы!$H$2:$H$6000,MATCH($C15,Работы!$A$2:$A$6000,0))*(1-ДисконтТендер),0)</f>
        <v>4.0999999999999996</v>
      </c>
      <c r="M15" s="10">
        <f>IF($I15="",0,IFERROR(INDEX(Материалы!$I$2:$I$9000,MATCH($I15,Материалы!$A$2:$A$9000,0))*IF(INDEX(Материалы!$J$2:$J$9000,MATCH($I15,Материалы!$A$2:$A$9000,0))="USD",КурсUSD,IF(INDEX(Материалы!$J$2:$J$9000,MATCH($I15,Материалы!$A$2:$A$9000,0))="EUR",КурсEUR,1))*INDEX(Материалы!$K$2:$K$9000,MATCH($I15,Материалы!$A$2:$A$9000,0))*(1+IFERROR(INDEX(Работы!$I$2:$I$6000,MATCH($C15,Работы!$A$2:$A$6000,0))/100,0))*(1-ДисконтТендер),0))</f>
        <v>0</v>
      </c>
      <c r="N15" s="10">
        <f t="shared" si="0"/>
        <v>0</v>
      </c>
      <c r="O15" s="10">
        <f t="shared" si="1"/>
        <v>0</v>
      </c>
      <c r="P15" s="10">
        <f t="shared" si="2"/>
        <v>0</v>
      </c>
      <c r="Q15" t="str">
        <f>IFERROR(INDEX(Работы!$J$2:$J$6000,MATCH($C15,Работы!$A$2:$A$6000,0)),"")</f>
        <v>типовая</v>
      </c>
      <c r="R15" t="s">
        <v>92</v>
      </c>
      <c r="T15" t="str">
        <f>IF(AND($P15&gt;0,$R15="да"),MAX($T$1:$T14)+1,"")</f>
        <v/>
      </c>
    </row>
    <row r="16" spans="1:20" x14ac:dyDescent="0.3">
      <c r="A16" t="str">
        <f>IFERROR(INDEX(Работы!$D$2:$D$6000,MATCH($C16,Работы!$A$2:$A$6000,0)),"")</f>
        <v>Р1</v>
      </c>
      <c r="B16" t="str">
        <f>IFERROR(INDEX(Работы!$F$2:$F$6000,MATCH($C16,Работы!$A$2:$A$6000,0)),"")</f>
        <v>1</v>
      </c>
      <c r="C16" t="str">
        <f>IFERROR(INDEX(Работы!$A$2:$A$6000,15),"")</f>
        <v>РАБ.Р1.1.015</v>
      </c>
      <c r="D16" s="8" t="str">
        <f>IFERROR(INDEX(Работы!$B$2:$B$6000,MATCH($C16,Работы!$A$2:$A$6000,0)),"")</f>
        <v>Рабочая документация "Автоматизация системы внутреннего противопожарного водопровода (ВПВ)</v>
      </c>
      <c r="E16" t="str">
        <f>IFERROR(INDEX(Работы!$C$2:$C$6000,MATCH($C16,Работы!$A$2:$A$6000,0)),"")</f>
        <v>м2</v>
      </c>
      <c r="F16">
        <f>IFERROR(INDEX(Работы!$G$2:$G$6000,MATCH($C16,Работы!$A$2:$A$6000,0)),"")</f>
        <v>0</v>
      </c>
      <c r="G16" t="str">
        <f>IFERROR(INDEX(Работы!$K$2:$K$6000,MATCH($C16,Работы!$A$2:$A$6000,0)),"")</f>
        <v>S_общая</v>
      </c>
      <c r="H16" s="9"/>
      <c r="I16" s="9"/>
      <c r="J16" s="8" t="str">
        <f>IFERROR(INDEX(Материалы!$B$2:$B$9000,MATCH($I16,Материалы!$A$2:$A$9000,0)),"")</f>
        <v/>
      </c>
      <c r="K16" t="str">
        <f>IF($I16="","",IF($F16=IFERROR(INDEX(Материалы!$G$2:$G$9000,MATCH($I16,Материалы!$A$2:$A$9000,0)),""),"OK","!! не та группа"))</f>
        <v/>
      </c>
      <c r="L16" s="10">
        <f>IFERROR(INDEX(Работы!$H$2:$H$6000,MATCH($C16,Работы!$A$2:$A$6000,0))*(1-ДисконтТендер),0)</f>
        <v>0.84</v>
      </c>
      <c r="M16" s="10">
        <f>IF($I16="",0,IFERROR(INDEX(Материалы!$I$2:$I$9000,MATCH($I16,Материалы!$A$2:$A$9000,0))*IF(INDEX(Материалы!$J$2:$J$9000,MATCH($I16,Материалы!$A$2:$A$9000,0))="USD",КурсUSD,IF(INDEX(Материалы!$J$2:$J$9000,MATCH($I16,Материалы!$A$2:$A$9000,0))="EUR",КурсEUR,1))*INDEX(Материалы!$K$2:$K$9000,MATCH($I16,Материалы!$A$2:$A$9000,0))*(1+IFERROR(INDEX(Работы!$I$2:$I$6000,MATCH($C16,Работы!$A$2:$A$6000,0))/100,0))*(1-ДисконтТендер),0))</f>
        <v>0</v>
      </c>
      <c r="N16" s="10">
        <f t="shared" si="0"/>
        <v>0</v>
      </c>
      <c r="O16" s="10">
        <f t="shared" si="1"/>
        <v>0</v>
      </c>
      <c r="P16" s="10">
        <f t="shared" si="2"/>
        <v>0</v>
      </c>
      <c r="Q16" t="str">
        <f>IFERROR(INDEX(Работы!$J$2:$J$6000,MATCH($C16,Работы!$A$2:$A$6000,0)),"")</f>
        <v>типовая</v>
      </c>
      <c r="R16" t="s">
        <v>92</v>
      </c>
      <c r="T16" t="str">
        <f>IF(AND($P16&gt;0,$R16="да"),MAX($T$1:$T15)+1,"")</f>
        <v/>
      </c>
    </row>
    <row r="17" spans="1:20" x14ac:dyDescent="0.3">
      <c r="A17" t="str">
        <f>IFERROR(INDEX(Работы!$D$2:$D$6000,MATCH($C17,Работы!$A$2:$A$6000,0)),"")</f>
        <v>Р1</v>
      </c>
      <c r="B17" t="str">
        <f>IFERROR(INDEX(Работы!$F$2:$F$6000,MATCH($C17,Работы!$A$2:$A$6000,0)),"")</f>
        <v>1</v>
      </c>
      <c r="C17" t="str">
        <f>IFERROR(INDEX(Работы!$A$2:$A$6000,16),"")</f>
        <v>РАБ.Р1.1.016</v>
      </c>
      <c r="D17" s="8" t="str">
        <f>IFERROR(INDEX(Работы!$B$2:$B$6000,MATCH($C17,Работы!$A$2:$A$6000,0)),"")</f>
        <v>Рабочая документация "Автоматизация системы противодымной вентиляции (ПДВ")"</v>
      </c>
      <c r="E17" t="str">
        <f>IFERROR(INDEX(Работы!$C$2:$C$6000,MATCH($C17,Работы!$A$2:$A$6000,0)),"")</f>
        <v>м2</v>
      </c>
      <c r="F17">
        <f>IFERROR(INDEX(Работы!$G$2:$G$6000,MATCH($C17,Работы!$A$2:$A$6000,0)),"")</f>
        <v>0</v>
      </c>
      <c r="G17" t="str">
        <f>IFERROR(INDEX(Работы!$K$2:$K$6000,MATCH($C17,Работы!$A$2:$A$6000,0)),"")</f>
        <v>S_общая</v>
      </c>
      <c r="H17" s="9"/>
      <c r="I17" s="9"/>
      <c r="J17" s="8" t="str">
        <f>IFERROR(INDEX(Материалы!$B$2:$B$9000,MATCH($I17,Материалы!$A$2:$A$9000,0)),"")</f>
        <v/>
      </c>
      <c r="K17" t="str">
        <f>IF($I17="","",IF($F17=IFERROR(INDEX(Материалы!$G$2:$G$9000,MATCH($I17,Материалы!$A$2:$A$9000,0)),""),"OK","!! не та группа"))</f>
        <v/>
      </c>
      <c r="L17" s="10">
        <f>IFERROR(INDEX(Работы!$H$2:$H$6000,MATCH($C17,Работы!$A$2:$A$6000,0))*(1-ДисконтТендер),0)</f>
        <v>2.62</v>
      </c>
      <c r="M17" s="10">
        <f>IF($I17="",0,IFERROR(INDEX(Материалы!$I$2:$I$9000,MATCH($I17,Материалы!$A$2:$A$9000,0))*IF(INDEX(Материалы!$J$2:$J$9000,MATCH($I17,Материалы!$A$2:$A$9000,0))="USD",КурсUSD,IF(INDEX(Материалы!$J$2:$J$9000,MATCH($I17,Материалы!$A$2:$A$9000,0))="EUR",КурсEUR,1))*INDEX(Материалы!$K$2:$K$9000,MATCH($I17,Материалы!$A$2:$A$9000,0))*(1+IFERROR(INDEX(Работы!$I$2:$I$6000,MATCH($C17,Работы!$A$2:$A$6000,0))/100,0))*(1-ДисконтТендер),0))</f>
        <v>0</v>
      </c>
      <c r="N17" s="10">
        <f t="shared" si="0"/>
        <v>0</v>
      </c>
      <c r="O17" s="10">
        <f t="shared" si="1"/>
        <v>0</v>
      </c>
      <c r="P17" s="10">
        <f t="shared" si="2"/>
        <v>0</v>
      </c>
      <c r="Q17" t="str">
        <f>IFERROR(INDEX(Работы!$J$2:$J$6000,MATCH($C17,Работы!$A$2:$A$6000,0)),"")</f>
        <v>типовая</v>
      </c>
      <c r="R17" t="s">
        <v>92</v>
      </c>
      <c r="T17" t="str">
        <f>IF(AND($P17&gt;0,$R17="да"),MAX($T$1:$T16)+1,"")</f>
        <v/>
      </c>
    </row>
    <row r="18" spans="1:20" x14ac:dyDescent="0.3">
      <c r="A18" t="str">
        <f>IFERROR(INDEX(Работы!$D$2:$D$6000,MATCH($C18,Работы!$A$2:$A$6000,0)),"")</f>
        <v>Р1</v>
      </c>
      <c r="B18" t="str">
        <f>IFERROR(INDEX(Работы!$F$2:$F$6000,MATCH($C18,Работы!$A$2:$A$6000,0)),"")</f>
        <v>1</v>
      </c>
      <c r="C18" t="str">
        <f>IFERROR(INDEX(Работы!$A$2:$A$6000,17),"")</f>
        <v>РАБ.Р1.1.017</v>
      </c>
      <c r="D18" s="8" t="str">
        <f>IFERROR(INDEX(Работы!$B$2:$B$6000,MATCH($C18,Работы!$A$2:$A$6000,0)),"")</f>
        <v>Рабочая документация "Автоматизация Системы отопления, вентиляции и кондиционирования (ОВиК)"</v>
      </c>
      <c r="E18" t="str">
        <f>IFERROR(INDEX(Работы!$C$2:$C$6000,MATCH($C18,Работы!$A$2:$A$6000,0)),"")</f>
        <v>м2</v>
      </c>
      <c r="F18">
        <f>IFERROR(INDEX(Работы!$G$2:$G$6000,MATCH($C18,Работы!$A$2:$A$6000,0)),"")</f>
        <v>0</v>
      </c>
      <c r="G18" t="str">
        <f>IFERROR(INDEX(Работы!$K$2:$K$6000,MATCH($C18,Работы!$A$2:$A$6000,0)),"")</f>
        <v>S_общая</v>
      </c>
      <c r="H18" s="9"/>
      <c r="I18" s="9"/>
      <c r="J18" s="8" t="str">
        <f>IFERROR(INDEX(Материалы!$B$2:$B$9000,MATCH($I18,Материалы!$A$2:$A$9000,0)),"")</f>
        <v/>
      </c>
      <c r="K18" t="str">
        <f>IF($I18="","",IF($F18=IFERROR(INDEX(Материалы!$G$2:$G$9000,MATCH($I18,Материалы!$A$2:$A$9000,0)),""),"OK","!! не та группа"))</f>
        <v/>
      </c>
      <c r="L18" s="10">
        <f>IFERROR(INDEX(Работы!$H$2:$H$6000,MATCH($C18,Работы!$A$2:$A$6000,0))*(1-ДисконтТендер),0)</f>
        <v>0.32</v>
      </c>
      <c r="M18" s="10">
        <f>IF($I18="",0,IFERROR(INDEX(Материалы!$I$2:$I$9000,MATCH($I18,Материалы!$A$2:$A$9000,0))*IF(INDEX(Материалы!$J$2:$J$9000,MATCH($I18,Материалы!$A$2:$A$9000,0))="USD",КурсUSD,IF(INDEX(Материалы!$J$2:$J$9000,MATCH($I18,Материалы!$A$2:$A$9000,0))="EUR",КурсEUR,1))*INDEX(Материалы!$K$2:$K$9000,MATCH($I18,Материалы!$A$2:$A$9000,0))*(1+IFERROR(INDEX(Работы!$I$2:$I$6000,MATCH($C18,Работы!$A$2:$A$6000,0))/100,0))*(1-ДисконтТендер),0))</f>
        <v>0</v>
      </c>
      <c r="N18" s="10">
        <f t="shared" si="0"/>
        <v>0</v>
      </c>
      <c r="O18" s="10">
        <f t="shared" si="1"/>
        <v>0</v>
      </c>
      <c r="P18" s="10">
        <f t="shared" si="2"/>
        <v>0</v>
      </c>
      <c r="Q18" t="str">
        <f>IFERROR(INDEX(Работы!$J$2:$J$6000,MATCH($C18,Работы!$A$2:$A$6000,0)),"")</f>
        <v>типовая</v>
      </c>
      <c r="R18" t="s">
        <v>92</v>
      </c>
      <c r="T18" t="str">
        <f>IF(AND($P18&gt;0,$R18="да"),MAX($T$1:$T17)+1,"")</f>
        <v/>
      </c>
    </row>
    <row r="19" spans="1:20" x14ac:dyDescent="0.3">
      <c r="A19" t="str">
        <f>IFERROR(INDEX(Работы!$D$2:$D$6000,MATCH($C19,Работы!$A$2:$A$6000,0)),"")</f>
        <v>Р1</v>
      </c>
      <c r="B19" t="str">
        <f>IFERROR(INDEX(Работы!$F$2:$F$6000,MATCH($C19,Работы!$A$2:$A$6000,0)),"")</f>
        <v>1</v>
      </c>
      <c r="C19" t="str">
        <f>IFERROR(INDEX(Работы!$A$2:$A$6000,18),"")</f>
        <v>РАБ.Р1.1.018</v>
      </c>
      <c r="D19" s="8" t="str">
        <f>IFERROR(INDEX(Работы!$B$2:$B$6000,MATCH($C19,Работы!$A$2:$A$6000,0)),"")</f>
        <v>Рабочая документация "Автоматизация Системы аварийного освещения (АО)"</v>
      </c>
      <c r="E19" t="str">
        <f>IFERROR(INDEX(Работы!$C$2:$C$6000,MATCH($C19,Работы!$A$2:$A$6000,0)),"")</f>
        <v>м2</v>
      </c>
      <c r="F19">
        <f>IFERROR(INDEX(Работы!$G$2:$G$6000,MATCH($C19,Работы!$A$2:$A$6000,0)),"")</f>
        <v>0</v>
      </c>
      <c r="G19" t="str">
        <f>IFERROR(INDEX(Работы!$K$2:$K$6000,MATCH($C19,Работы!$A$2:$A$6000,0)),"")</f>
        <v>S_общая</v>
      </c>
      <c r="H19" s="9"/>
      <c r="I19" s="9"/>
      <c r="J19" s="8" t="str">
        <f>IFERROR(INDEX(Материалы!$B$2:$B$9000,MATCH($I19,Материалы!$A$2:$A$9000,0)),"")</f>
        <v/>
      </c>
      <c r="K19" t="str">
        <f>IF($I19="","",IF($F19=IFERROR(INDEX(Материалы!$G$2:$G$9000,MATCH($I19,Материалы!$A$2:$A$9000,0)),""),"OK","!! не та группа"))</f>
        <v/>
      </c>
      <c r="L19" s="10">
        <f>IFERROR(INDEX(Работы!$H$2:$H$6000,MATCH($C19,Работы!$A$2:$A$6000,0))*(1-ДисконтТендер),0)</f>
        <v>0.11</v>
      </c>
      <c r="M19" s="10">
        <f>IF($I19="",0,IFERROR(INDEX(Материалы!$I$2:$I$9000,MATCH($I19,Материалы!$A$2:$A$9000,0))*IF(INDEX(Материалы!$J$2:$J$9000,MATCH($I19,Материалы!$A$2:$A$9000,0))="USD",КурсUSD,IF(INDEX(Материалы!$J$2:$J$9000,MATCH($I19,Материалы!$A$2:$A$9000,0))="EUR",КурсEUR,1))*INDEX(Материалы!$K$2:$K$9000,MATCH($I19,Материалы!$A$2:$A$9000,0))*(1+IFERROR(INDEX(Работы!$I$2:$I$6000,MATCH($C19,Работы!$A$2:$A$6000,0))/100,0))*(1-ДисконтТендер),0))</f>
        <v>0</v>
      </c>
      <c r="N19" s="10">
        <f t="shared" si="0"/>
        <v>0</v>
      </c>
      <c r="O19" s="10">
        <f t="shared" si="1"/>
        <v>0</v>
      </c>
      <c r="P19" s="10">
        <f t="shared" si="2"/>
        <v>0</v>
      </c>
      <c r="Q19" t="str">
        <f>IFERROR(INDEX(Работы!$J$2:$J$6000,MATCH($C19,Работы!$A$2:$A$6000,0)),"")</f>
        <v>типовая</v>
      </c>
      <c r="R19" t="s">
        <v>92</v>
      </c>
      <c r="T19" t="str">
        <f>IF(AND($P19&gt;0,$R19="да"),MAX($T$1:$T18)+1,"")</f>
        <v/>
      </c>
    </row>
    <row r="20" spans="1:20" x14ac:dyDescent="0.3">
      <c r="A20" t="str">
        <f>IFERROR(INDEX(Работы!$D$2:$D$6000,MATCH($C20,Работы!$A$2:$A$6000,0)),"")</f>
        <v>Р1</v>
      </c>
      <c r="B20" t="str">
        <f>IFERROR(INDEX(Работы!$F$2:$F$6000,MATCH($C20,Работы!$A$2:$A$6000,0)),"")</f>
        <v>1</v>
      </c>
      <c r="C20" t="str">
        <f>IFERROR(INDEX(Работы!$A$2:$A$6000,19),"")</f>
        <v>РАБ.Р1.1.019</v>
      </c>
      <c r="D20" s="8" t="str">
        <f>IFERROR(INDEX(Работы!$B$2:$B$6000,MATCH($C20,Работы!$A$2:$A$6000,0)),"")</f>
        <v>Рабочая документация "Автоматизации лифтовового хозяйства"</v>
      </c>
      <c r="E20" t="str">
        <f>IFERROR(INDEX(Работы!$C$2:$C$6000,MATCH($C20,Работы!$A$2:$A$6000,0)),"")</f>
        <v>м2</v>
      </c>
      <c r="F20">
        <f>IFERROR(INDEX(Работы!$G$2:$G$6000,MATCH($C20,Работы!$A$2:$A$6000,0)),"")</f>
        <v>0</v>
      </c>
      <c r="G20" t="str">
        <f>IFERROR(INDEX(Работы!$K$2:$K$6000,MATCH($C20,Работы!$A$2:$A$6000,0)),"")</f>
        <v>S_общая</v>
      </c>
      <c r="H20" s="9"/>
      <c r="I20" s="9"/>
      <c r="J20" s="8" t="str">
        <f>IFERROR(INDEX(Материалы!$B$2:$B$9000,MATCH($I20,Материалы!$A$2:$A$9000,0)),"")</f>
        <v/>
      </c>
      <c r="K20" t="str">
        <f>IF($I20="","",IF($F20=IFERROR(INDEX(Материалы!$G$2:$G$9000,MATCH($I20,Материалы!$A$2:$A$9000,0)),""),"OK","!! не та группа"))</f>
        <v/>
      </c>
      <c r="L20" s="10">
        <f>IFERROR(INDEX(Работы!$H$2:$H$6000,MATCH($C20,Работы!$A$2:$A$6000,0))*(1-ДисконтТендер),0)</f>
        <v>0.11</v>
      </c>
      <c r="M20" s="10">
        <f>IF($I20="",0,IFERROR(INDEX(Материалы!$I$2:$I$9000,MATCH($I20,Материалы!$A$2:$A$9000,0))*IF(INDEX(Материалы!$J$2:$J$9000,MATCH($I20,Материалы!$A$2:$A$9000,0))="USD",КурсUSD,IF(INDEX(Материалы!$J$2:$J$9000,MATCH($I20,Материалы!$A$2:$A$9000,0))="EUR",КурсEUR,1))*INDEX(Материалы!$K$2:$K$9000,MATCH($I20,Материалы!$A$2:$A$9000,0))*(1+IFERROR(INDEX(Работы!$I$2:$I$6000,MATCH($C20,Работы!$A$2:$A$6000,0))/100,0))*(1-ДисконтТендер),0))</f>
        <v>0</v>
      </c>
      <c r="N20" s="10">
        <f t="shared" si="0"/>
        <v>0</v>
      </c>
      <c r="O20" s="10">
        <f t="shared" si="1"/>
        <v>0</v>
      </c>
      <c r="P20" s="10">
        <f t="shared" si="2"/>
        <v>0</v>
      </c>
      <c r="Q20" t="str">
        <f>IFERROR(INDEX(Работы!$J$2:$J$6000,MATCH($C20,Работы!$A$2:$A$6000,0)),"")</f>
        <v>нетиповая</v>
      </c>
      <c r="R20" t="s">
        <v>92</v>
      </c>
      <c r="T20" t="str">
        <f>IF(AND($P20&gt;0,$R20="да"),MAX($T$1:$T19)+1,"")</f>
        <v/>
      </c>
    </row>
    <row r="21" spans="1:20" x14ac:dyDescent="0.3">
      <c r="A21" t="str">
        <f>IFERROR(INDEX(Работы!$D$2:$D$6000,MATCH($C21,Работы!$A$2:$A$6000,0)),"")</f>
        <v>Р1</v>
      </c>
      <c r="B21" t="str">
        <f>IFERROR(INDEX(Работы!$F$2:$F$6000,MATCH($C21,Работы!$A$2:$A$6000,0)),"")</f>
        <v>1</v>
      </c>
      <c r="C21" t="str">
        <f>IFERROR(INDEX(Работы!$A$2:$A$6000,20),"")</f>
        <v>РАБ.Р1.1.020</v>
      </c>
      <c r="D21" s="8" t="str">
        <f>IFERROR(INDEX(Работы!$B$2:$B$6000,MATCH($C21,Работы!$A$2:$A$6000,0)),"")</f>
        <v>Рабочая документация "Автоматизации Системы контроля управления доступом (СКУД)"</v>
      </c>
      <c r="E21" t="str">
        <f>IFERROR(INDEX(Работы!$C$2:$C$6000,MATCH($C21,Работы!$A$2:$A$6000,0)),"")</f>
        <v>м2</v>
      </c>
      <c r="F21">
        <f>IFERROR(INDEX(Работы!$G$2:$G$6000,MATCH($C21,Работы!$A$2:$A$6000,0)),"")</f>
        <v>0</v>
      </c>
      <c r="G21" t="str">
        <f>IFERROR(INDEX(Работы!$K$2:$K$6000,MATCH($C21,Работы!$A$2:$A$6000,0)),"")</f>
        <v>S_общая</v>
      </c>
      <c r="H21" s="9"/>
      <c r="I21" s="9"/>
      <c r="J21" s="8" t="str">
        <f>IFERROR(INDEX(Материалы!$B$2:$B$9000,MATCH($I21,Материалы!$A$2:$A$9000,0)),"")</f>
        <v/>
      </c>
      <c r="K21" t="str">
        <f>IF($I21="","",IF($F21=IFERROR(INDEX(Материалы!$G$2:$G$9000,MATCH($I21,Материалы!$A$2:$A$9000,0)),""),"OK","!! не та группа"))</f>
        <v/>
      </c>
      <c r="L21" s="10">
        <f>IFERROR(INDEX(Работы!$H$2:$H$6000,MATCH($C21,Работы!$A$2:$A$6000,0))*(1-ДисконтТендер),0)</f>
        <v>0.11</v>
      </c>
      <c r="M21" s="10">
        <f>IF($I21="",0,IFERROR(INDEX(Материалы!$I$2:$I$9000,MATCH($I21,Материалы!$A$2:$A$9000,0))*IF(INDEX(Материалы!$J$2:$J$9000,MATCH($I21,Материалы!$A$2:$A$9000,0))="USD",КурсUSD,IF(INDEX(Материалы!$J$2:$J$9000,MATCH($I21,Материалы!$A$2:$A$9000,0))="EUR",КурсEUR,1))*INDEX(Материалы!$K$2:$K$9000,MATCH($I21,Материалы!$A$2:$A$9000,0))*(1+IFERROR(INDEX(Работы!$I$2:$I$6000,MATCH($C21,Работы!$A$2:$A$6000,0))/100,0))*(1-ДисконтТендер),0))</f>
        <v>0</v>
      </c>
      <c r="N21" s="10">
        <f t="shared" si="0"/>
        <v>0</v>
      </c>
      <c r="O21" s="10">
        <f t="shared" si="1"/>
        <v>0</v>
      </c>
      <c r="P21" s="10">
        <f t="shared" si="2"/>
        <v>0</v>
      </c>
      <c r="Q21" t="str">
        <f>IFERROR(INDEX(Работы!$J$2:$J$6000,MATCH($C21,Работы!$A$2:$A$6000,0)),"")</f>
        <v>типовая</v>
      </c>
      <c r="R21" t="s">
        <v>92</v>
      </c>
      <c r="T21" t="str">
        <f>IF(AND($P21&gt;0,$R21="да"),MAX($T$1:$T20)+1,"")</f>
        <v/>
      </c>
    </row>
    <row r="22" spans="1:20" x14ac:dyDescent="0.3">
      <c r="A22" t="str">
        <f>IFERROR(INDEX(Работы!$D$2:$D$6000,MATCH($C22,Работы!$A$2:$A$6000,0)),"")</f>
        <v>Р1</v>
      </c>
      <c r="B22" t="str">
        <f>IFERROR(INDEX(Работы!$F$2:$F$6000,MATCH($C22,Работы!$A$2:$A$6000,0)),"")</f>
        <v>1</v>
      </c>
      <c r="C22" t="str">
        <f>IFERROR(INDEX(Работы!$A$2:$A$6000,21),"")</f>
        <v>РАБ.Р1.1.021</v>
      </c>
      <c r="D22" s="8" t="str">
        <f>IFERROR(INDEX(Работы!$B$2:$B$6000,MATCH($C22,Работы!$A$2:$A$6000,0)),"")</f>
        <v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v>
      </c>
      <c r="E22" t="str">
        <f>IFERROR(INDEX(Работы!$C$2:$C$6000,MATCH($C22,Работы!$A$2:$A$6000,0)),"")</f>
        <v>м2</v>
      </c>
      <c r="F22">
        <f>IFERROR(INDEX(Работы!$G$2:$G$6000,MATCH($C22,Работы!$A$2:$A$6000,0)),"")</f>
        <v>0</v>
      </c>
      <c r="G22" t="str">
        <f>IFERROR(INDEX(Работы!$K$2:$K$6000,MATCH($C22,Работы!$A$2:$A$6000,0)),"")</f>
        <v>S_общая</v>
      </c>
      <c r="H22" s="9"/>
      <c r="I22" s="9"/>
      <c r="J22" s="8" t="str">
        <f>IFERROR(INDEX(Материалы!$B$2:$B$9000,MATCH($I22,Материалы!$A$2:$A$9000,0)),"")</f>
        <v/>
      </c>
      <c r="K22" t="str">
        <f>IF($I22="","",IF($F22=IFERROR(INDEX(Материалы!$G$2:$G$9000,MATCH($I22,Материалы!$A$2:$A$9000,0)),""),"OK","!! не та группа"))</f>
        <v/>
      </c>
      <c r="L22" s="10">
        <f>IFERROR(INDEX(Работы!$H$2:$H$6000,MATCH($C22,Работы!$A$2:$A$6000,0))*(1-ДисконтТендер),0)</f>
        <v>3675</v>
      </c>
      <c r="M22" s="10">
        <f>IF($I22="",0,IFERROR(INDEX(Материалы!$I$2:$I$9000,MATCH($I22,Материалы!$A$2:$A$9000,0))*IF(INDEX(Материалы!$J$2:$J$9000,MATCH($I22,Материалы!$A$2:$A$9000,0))="USD",КурсUSD,IF(INDEX(Материалы!$J$2:$J$9000,MATCH($I22,Материалы!$A$2:$A$9000,0))="EUR",КурсEUR,1))*INDEX(Материалы!$K$2:$K$9000,MATCH($I22,Материалы!$A$2:$A$9000,0))*(1+IFERROR(INDEX(Работы!$I$2:$I$6000,MATCH($C22,Работы!$A$2:$A$6000,0))/100,0))*(1-ДисконтТендер),0))</f>
        <v>0</v>
      </c>
      <c r="N22" s="10">
        <f t="shared" si="0"/>
        <v>0</v>
      </c>
      <c r="O22" s="10">
        <f t="shared" si="1"/>
        <v>0</v>
      </c>
      <c r="P22" s="10">
        <f t="shared" si="2"/>
        <v>0</v>
      </c>
      <c r="Q22" t="str">
        <f>IFERROR(INDEX(Работы!$J$2:$J$6000,MATCH($C22,Работы!$A$2:$A$6000,0)),"")</f>
        <v>нетиповая</v>
      </c>
      <c r="R22" t="s">
        <v>92</v>
      </c>
      <c r="T22" t="str">
        <f>IF(AND($P22&gt;0,$R22="да"),MAX($T$1:$T21)+1,"")</f>
        <v/>
      </c>
    </row>
    <row r="23" spans="1:20" x14ac:dyDescent="0.3">
      <c r="A23" t="str">
        <f>IFERROR(INDEX(Работы!$D$2:$D$6000,MATCH($C23,Работы!$A$2:$A$6000,0)),"")</f>
        <v>Р1</v>
      </c>
      <c r="B23" t="str">
        <f>IFERROR(INDEX(Работы!$F$2:$F$6000,MATCH($C23,Работы!$A$2:$A$6000,0)),"")</f>
        <v>1</v>
      </c>
      <c r="C23" t="str">
        <f>IFERROR(INDEX(Работы!$A$2:$A$6000,22),"")</f>
        <v>РАБ.Р1.1.022</v>
      </c>
      <c r="D23" s="8" t="str">
        <f>IFERROR(INDEX(Работы!$B$2:$B$6000,MATCH($C23,Работы!$A$2:$A$6000,0)),"")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E23" t="str">
        <f>IFERROR(INDEX(Работы!$C$2:$C$6000,MATCH($C23,Работы!$A$2:$A$6000,0)),"")</f>
        <v>кв.м.площади фасада</v>
      </c>
      <c r="F23">
        <f>IFERROR(INDEX(Работы!$G$2:$G$6000,MATCH($C23,Работы!$A$2:$A$6000,0)),"")</f>
        <v>0</v>
      </c>
      <c r="G23" t="str">
        <f>IFERROR(INDEX(Работы!$K$2:$K$6000,MATCH($C23,Работы!$A$2:$A$6000,0)),"")</f>
        <v>S_общая</v>
      </c>
      <c r="H23" s="9"/>
      <c r="I23" s="9"/>
      <c r="J23" s="8" t="str">
        <f>IFERROR(INDEX(Материалы!$B$2:$B$9000,MATCH($I23,Материалы!$A$2:$A$9000,0)),"")</f>
        <v/>
      </c>
      <c r="K23" t="str">
        <f>IF($I23="","",IF($F23=IFERROR(INDEX(Материалы!$G$2:$G$9000,MATCH($I23,Материалы!$A$2:$A$9000,0)),""),"OK","!! не та группа"))</f>
        <v/>
      </c>
      <c r="L23" s="10">
        <f>IFERROR(INDEX(Работы!$H$2:$H$6000,MATCH($C23,Работы!$A$2:$A$6000,0))*(1-ДисконтТендер),0)</f>
        <v>7822.5</v>
      </c>
      <c r="M23" s="10">
        <f>IF($I23="",0,IFERROR(INDEX(Материалы!$I$2:$I$9000,MATCH($I23,Материалы!$A$2:$A$9000,0))*IF(INDEX(Материалы!$J$2:$J$9000,MATCH($I23,Материалы!$A$2:$A$9000,0))="USD",КурсUSD,IF(INDEX(Материалы!$J$2:$J$9000,MATCH($I23,Материалы!$A$2:$A$9000,0))="EUR",КурсEUR,1))*INDEX(Материалы!$K$2:$K$9000,MATCH($I23,Материалы!$A$2:$A$9000,0))*(1+IFERROR(INDEX(Работы!$I$2:$I$6000,MATCH($C23,Работы!$A$2:$A$6000,0))/100,0))*(1-ДисконтТендер),0))</f>
        <v>0</v>
      </c>
      <c r="N23" s="10">
        <f t="shared" si="0"/>
        <v>0</v>
      </c>
      <c r="O23" s="10">
        <f t="shared" si="1"/>
        <v>0</v>
      </c>
      <c r="P23" s="10">
        <f t="shared" si="2"/>
        <v>0</v>
      </c>
      <c r="Q23" t="str">
        <f>IFERROR(INDEX(Работы!$J$2:$J$6000,MATCH($C23,Работы!$A$2:$A$6000,0)),"")</f>
        <v>нетиповая</v>
      </c>
      <c r="R23" t="s">
        <v>92</v>
      </c>
      <c r="T23" t="str">
        <f>IF(AND($P23&gt;0,$R23="да"),MAX($T$1:$T22)+1,"")</f>
        <v/>
      </c>
    </row>
    <row r="24" spans="1:20" x14ac:dyDescent="0.3">
      <c r="A24" t="str">
        <f>IFERROR(INDEX(Работы!$D$2:$D$6000,MATCH($C24,Работы!$A$2:$A$6000,0)),"")</f>
        <v>Р1</v>
      </c>
      <c r="B24" t="str">
        <f>IFERROR(INDEX(Работы!$F$2:$F$6000,MATCH($C24,Работы!$A$2:$A$6000,0)),"")</f>
        <v>1</v>
      </c>
      <c r="C24" t="str">
        <f>IFERROR(INDEX(Работы!$A$2:$A$6000,23),"")</f>
        <v>РАБ.Р1.1.023</v>
      </c>
      <c r="D24" s="8" t="str">
        <f>IFERROR(INDEX(Работы!$B$2:$B$6000,MATCH($C24,Работы!$A$2:$A$6000,0)),"")</f>
        <v>Рабочая документация по усилению/устройству несущих конструкций ("КР"), включая пояснительную записку (для помещений менее 100 м.кв)</v>
      </c>
      <c r="E24" t="str">
        <f>IFERROR(INDEX(Работы!$C$2:$C$6000,MATCH($C24,Работы!$A$2:$A$6000,0)),"")</f>
        <v>компл.</v>
      </c>
      <c r="F24">
        <f>IFERROR(INDEX(Работы!$G$2:$G$6000,MATCH($C24,Работы!$A$2:$A$6000,0)),"")</f>
        <v>0</v>
      </c>
      <c r="G24" t="str">
        <f>IFERROR(INDEX(Работы!$K$2:$K$6000,MATCH($C24,Работы!$A$2:$A$6000,0)),"")</f>
        <v>S_общая</v>
      </c>
      <c r="H24" s="9"/>
      <c r="I24" s="9"/>
      <c r="J24" s="8" t="str">
        <f>IFERROR(INDEX(Материалы!$B$2:$B$9000,MATCH($I24,Материалы!$A$2:$A$9000,0)),"")</f>
        <v/>
      </c>
      <c r="K24" t="str">
        <f>IF($I24="","",IF($F24=IFERROR(INDEX(Материалы!$G$2:$G$9000,MATCH($I24,Материалы!$A$2:$A$9000,0)),""),"OK","!! не та группа"))</f>
        <v/>
      </c>
      <c r="L24" s="10">
        <f>IFERROR(INDEX(Работы!$H$2:$H$6000,MATCH($C24,Работы!$A$2:$A$6000,0))*(1-ДисконтТендер),0)</f>
        <v>10500</v>
      </c>
      <c r="M24" s="10">
        <f>IF($I24="",0,IFERROR(INDEX(Материалы!$I$2:$I$9000,MATCH($I24,Материалы!$A$2:$A$9000,0))*IF(INDEX(Материалы!$J$2:$J$9000,MATCH($I24,Материалы!$A$2:$A$9000,0))="USD",КурсUSD,IF(INDEX(Материалы!$J$2:$J$9000,MATCH($I24,Материалы!$A$2:$A$9000,0))="EUR",КурсEUR,1))*INDEX(Материалы!$K$2:$K$9000,MATCH($I24,Материалы!$A$2:$A$9000,0))*(1+IFERROR(INDEX(Работы!$I$2:$I$6000,MATCH($C24,Работы!$A$2:$A$6000,0))/100,0))*(1-ДисконтТендер),0))</f>
        <v>0</v>
      </c>
      <c r="N24" s="10">
        <f t="shared" si="0"/>
        <v>0</v>
      </c>
      <c r="O24" s="10">
        <f t="shared" si="1"/>
        <v>0</v>
      </c>
      <c r="P24" s="10">
        <f t="shared" si="2"/>
        <v>0</v>
      </c>
      <c r="Q24" t="str">
        <f>IFERROR(INDEX(Работы!$J$2:$J$6000,MATCH($C24,Работы!$A$2:$A$6000,0)),"")</f>
        <v>нетиповая</v>
      </c>
      <c r="R24" t="s">
        <v>92</v>
      </c>
      <c r="T24" t="str">
        <f>IF(AND($P24&gt;0,$R24="да"),MAX($T$1:$T23)+1,"")</f>
        <v/>
      </c>
    </row>
    <row r="25" spans="1:20" x14ac:dyDescent="0.3">
      <c r="A25" t="str">
        <f>IFERROR(INDEX(Работы!$D$2:$D$6000,MATCH($C25,Работы!$A$2:$A$6000,0)),"")</f>
        <v>Р1</v>
      </c>
      <c r="B25" t="str">
        <f>IFERROR(INDEX(Работы!$F$2:$F$6000,MATCH($C25,Работы!$A$2:$A$6000,0)),"")</f>
        <v>1</v>
      </c>
      <c r="C25" t="str">
        <f>IFERROR(INDEX(Работы!$A$2:$A$6000,24),"")</f>
        <v>РАБ.Р1.1.024</v>
      </c>
      <c r="D25" s="8" t="str">
        <f>IFERROR(INDEX(Работы!$B$2:$B$6000,MATCH($C25,Работы!$A$2:$A$6000,0)),"")</f>
        <v>Рабочая документация "Архитектурные решения" ("АР"), включая пояснительную записку (для помещений менее 100 м.кв)</v>
      </c>
      <c r="E25" t="str">
        <f>IFERROR(INDEX(Работы!$C$2:$C$6000,MATCH($C25,Работы!$A$2:$A$6000,0)),"")</f>
        <v>компл.</v>
      </c>
      <c r="F25">
        <f>IFERROR(INDEX(Работы!$G$2:$G$6000,MATCH($C25,Работы!$A$2:$A$6000,0)),"")</f>
        <v>0</v>
      </c>
      <c r="G25" t="str">
        <f>IFERROR(INDEX(Работы!$K$2:$K$6000,MATCH($C25,Работы!$A$2:$A$6000,0)),"")</f>
        <v>S_общая</v>
      </c>
      <c r="H25" s="9"/>
      <c r="I25" s="9"/>
      <c r="J25" s="8" t="str">
        <f>IFERROR(INDEX(Материалы!$B$2:$B$9000,MATCH($I25,Материалы!$A$2:$A$9000,0)),"")</f>
        <v/>
      </c>
      <c r="K25" t="str">
        <f>IF($I25="","",IF($F25=IFERROR(INDEX(Материалы!$G$2:$G$9000,MATCH($I25,Материалы!$A$2:$A$9000,0)),""),"OK","!! не та группа"))</f>
        <v/>
      </c>
      <c r="L25" s="10">
        <f>IFERROR(INDEX(Работы!$H$2:$H$6000,MATCH($C25,Работы!$A$2:$A$6000,0))*(1-ДисконтТендер),0)</f>
        <v>20737.5</v>
      </c>
      <c r="M25" s="10">
        <f>IF($I25="",0,IFERROR(INDEX(Материалы!$I$2:$I$9000,MATCH($I25,Материалы!$A$2:$A$9000,0))*IF(INDEX(Материалы!$J$2:$J$9000,MATCH($I25,Материалы!$A$2:$A$9000,0))="USD",КурсUSD,IF(INDEX(Материалы!$J$2:$J$9000,MATCH($I25,Материалы!$A$2:$A$9000,0))="EUR",КурсEUR,1))*INDEX(Материалы!$K$2:$K$9000,MATCH($I25,Материалы!$A$2:$A$9000,0))*(1+IFERROR(INDEX(Работы!$I$2:$I$6000,MATCH($C25,Работы!$A$2:$A$6000,0))/100,0))*(1-ДисконтТендер),0))</f>
        <v>0</v>
      </c>
      <c r="N25" s="10">
        <f t="shared" si="0"/>
        <v>0</v>
      </c>
      <c r="O25" s="10">
        <f t="shared" si="1"/>
        <v>0</v>
      </c>
      <c r="P25" s="10">
        <f t="shared" si="2"/>
        <v>0</v>
      </c>
      <c r="Q25" t="str">
        <f>IFERROR(INDEX(Работы!$J$2:$J$6000,MATCH($C25,Работы!$A$2:$A$6000,0)),"")</f>
        <v>типовая</v>
      </c>
      <c r="R25" t="s">
        <v>92</v>
      </c>
      <c r="T25" t="str">
        <f>IF(AND($P25&gt;0,$R25="да"),MAX($T$1:$T24)+1,"")</f>
        <v/>
      </c>
    </row>
    <row r="26" spans="1:20" x14ac:dyDescent="0.3">
      <c r="A26" t="str">
        <f>IFERROR(INDEX(Работы!$D$2:$D$6000,MATCH($C26,Работы!$A$2:$A$6000,0)),"")</f>
        <v>Р1</v>
      </c>
      <c r="B26" t="str">
        <f>IFERROR(INDEX(Работы!$F$2:$F$6000,MATCH($C26,Работы!$A$2:$A$6000,0)),"")</f>
        <v>1</v>
      </c>
      <c r="C26" t="str">
        <f>IFERROR(INDEX(Работы!$A$2:$A$6000,25),"")</f>
        <v>РАБ.Р1.1.025</v>
      </c>
      <c r="D26" s="8" t="str">
        <f>IFERROR(INDEX(Работы!$B$2:$B$6000,MATCH($C26,Работы!$A$2:$A$6000,0)),"")</f>
        <v>Рабочая документация по электроснабжению и электроосвещению ("ЭОМ"), включая пояснительную записку (для помещений менее 100 м.кв)</v>
      </c>
      <c r="E26" t="str">
        <f>IFERROR(INDEX(Работы!$C$2:$C$6000,MATCH($C26,Работы!$A$2:$A$6000,0)),"")</f>
        <v>компл.</v>
      </c>
      <c r="F26">
        <f>IFERROR(INDEX(Работы!$G$2:$G$6000,MATCH($C26,Работы!$A$2:$A$6000,0)),"")</f>
        <v>0</v>
      </c>
      <c r="G26" t="str">
        <f>IFERROR(INDEX(Работы!$K$2:$K$6000,MATCH($C26,Работы!$A$2:$A$6000,0)),"")</f>
        <v>S_общая</v>
      </c>
      <c r="H26" s="9"/>
      <c r="I26" s="9"/>
      <c r="J26" s="8" t="str">
        <f>IFERROR(INDEX(Материалы!$B$2:$B$9000,MATCH($I26,Материалы!$A$2:$A$9000,0)),"")</f>
        <v/>
      </c>
      <c r="K26" t="str">
        <f>IF($I26="","",IF($F26=IFERROR(INDEX(Материалы!$G$2:$G$9000,MATCH($I26,Материалы!$A$2:$A$9000,0)),""),"OK","!! не та группа"))</f>
        <v/>
      </c>
      <c r="L26" s="10">
        <f>IFERROR(INDEX(Работы!$H$2:$H$6000,MATCH($C26,Работы!$A$2:$A$6000,0))*(1-ДисконтТендер),0)</f>
        <v>20737.5</v>
      </c>
      <c r="M26" s="10">
        <f>IF($I26="",0,IFERROR(INDEX(Материалы!$I$2:$I$9000,MATCH($I26,Материалы!$A$2:$A$9000,0))*IF(INDEX(Материалы!$J$2:$J$9000,MATCH($I26,Материалы!$A$2:$A$9000,0))="USD",КурсUSD,IF(INDEX(Материалы!$J$2:$J$9000,MATCH($I26,Материалы!$A$2:$A$9000,0))="EUR",КурсEUR,1))*INDEX(Материалы!$K$2:$K$9000,MATCH($I26,Материалы!$A$2:$A$9000,0))*(1+IFERROR(INDEX(Работы!$I$2:$I$6000,MATCH($C26,Работы!$A$2:$A$6000,0))/100,0))*(1-ДисконтТендер),0))</f>
        <v>0</v>
      </c>
      <c r="N26" s="10">
        <f t="shared" si="0"/>
        <v>0</v>
      </c>
      <c r="O26" s="10">
        <f t="shared" si="1"/>
        <v>0</v>
      </c>
      <c r="P26" s="10">
        <f t="shared" si="2"/>
        <v>0</v>
      </c>
      <c r="Q26" t="str">
        <f>IFERROR(INDEX(Работы!$J$2:$J$6000,MATCH($C26,Работы!$A$2:$A$6000,0)),"")</f>
        <v>типовая</v>
      </c>
      <c r="R26" t="s">
        <v>92</v>
      </c>
      <c r="T26" t="str">
        <f>IF(AND($P26&gt;0,$R26="да"),MAX($T$1:$T25)+1,"")</f>
        <v/>
      </c>
    </row>
    <row r="27" spans="1:20" x14ac:dyDescent="0.3">
      <c r="A27" t="str">
        <f>IFERROR(INDEX(Работы!$D$2:$D$6000,MATCH($C27,Работы!$A$2:$A$6000,0)),"")</f>
        <v>Р1</v>
      </c>
      <c r="B27" t="str">
        <f>IFERROR(INDEX(Работы!$F$2:$F$6000,MATCH($C27,Работы!$A$2:$A$6000,0)),"")</f>
        <v>1</v>
      </c>
      <c r="C27" t="str">
        <f>IFERROR(INDEX(Работы!$A$2:$A$6000,26),"")</f>
        <v>РАБ.Р1.1.026</v>
      </c>
      <c r="D27" s="8" t="str">
        <f>IFERROR(INDEX(Работы!$B$2:$B$6000,MATCH($C27,Работы!$A$2:$A$6000,0)),"")</f>
        <v>Рабочая документация Системы вентиляции ("ОВиК-В"), включая пояснительную записку (для помещений менее 100 м.кв)</v>
      </c>
      <c r="E27" t="str">
        <f>IFERROR(INDEX(Работы!$C$2:$C$6000,MATCH($C27,Работы!$A$2:$A$6000,0)),"")</f>
        <v>компл.</v>
      </c>
      <c r="F27">
        <f>IFERROR(INDEX(Работы!$G$2:$G$6000,MATCH($C27,Работы!$A$2:$A$6000,0)),"")</f>
        <v>0</v>
      </c>
      <c r="G27" t="str">
        <f>IFERROR(INDEX(Работы!$K$2:$K$6000,MATCH($C27,Работы!$A$2:$A$6000,0)),"")</f>
        <v>S_общая</v>
      </c>
      <c r="H27" s="9"/>
      <c r="I27" s="9"/>
      <c r="J27" s="8" t="str">
        <f>IFERROR(INDEX(Материалы!$B$2:$B$9000,MATCH($I27,Материалы!$A$2:$A$9000,0)),"")</f>
        <v/>
      </c>
      <c r="K27" t="str">
        <f>IF($I27="","",IF($F27=IFERROR(INDEX(Материалы!$G$2:$G$9000,MATCH($I27,Материалы!$A$2:$A$9000,0)),""),"OK","!! не та группа"))</f>
        <v/>
      </c>
      <c r="L27" s="10">
        <f>IFERROR(INDEX(Работы!$H$2:$H$6000,MATCH($C27,Работы!$A$2:$A$6000,0))*(1-ДисконтТендер),0)</f>
        <v>15592.5</v>
      </c>
      <c r="M27" s="10">
        <f>IF($I27="",0,IFERROR(INDEX(Материалы!$I$2:$I$9000,MATCH($I27,Материалы!$A$2:$A$9000,0))*IF(INDEX(Материалы!$J$2:$J$9000,MATCH($I27,Материалы!$A$2:$A$9000,0))="USD",КурсUSD,IF(INDEX(Материалы!$J$2:$J$9000,MATCH($I27,Материалы!$A$2:$A$9000,0))="EUR",КурсEUR,1))*INDEX(Материалы!$K$2:$K$9000,MATCH($I27,Материалы!$A$2:$A$9000,0))*(1+IFERROR(INDEX(Работы!$I$2:$I$6000,MATCH($C27,Работы!$A$2:$A$6000,0))/100,0))*(1-ДисконтТендер),0))</f>
        <v>0</v>
      </c>
      <c r="N27" s="10">
        <f t="shared" si="0"/>
        <v>0</v>
      </c>
      <c r="O27" s="10">
        <f t="shared" si="1"/>
        <v>0</v>
      </c>
      <c r="P27" s="10">
        <f t="shared" si="2"/>
        <v>0</v>
      </c>
      <c r="Q27" t="str">
        <f>IFERROR(INDEX(Работы!$J$2:$J$6000,MATCH($C27,Работы!$A$2:$A$6000,0)),"")</f>
        <v>типовая</v>
      </c>
      <c r="R27" t="s">
        <v>92</v>
      </c>
      <c r="T27" t="str">
        <f>IF(AND($P27&gt;0,$R27="да"),MAX($T$1:$T26)+1,"")</f>
        <v/>
      </c>
    </row>
    <row r="28" spans="1:20" x14ac:dyDescent="0.3">
      <c r="A28" t="str">
        <f>IFERROR(INDEX(Работы!$D$2:$D$6000,MATCH($C28,Работы!$A$2:$A$6000,0)),"")</f>
        <v>Р1</v>
      </c>
      <c r="B28" t="str">
        <f>IFERROR(INDEX(Работы!$F$2:$F$6000,MATCH($C28,Работы!$A$2:$A$6000,0)),"")</f>
        <v>1</v>
      </c>
      <c r="C28" t="str">
        <f>IFERROR(INDEX(Работы!$A$2:$A$6000,27),"")</f>
        <v>РАБ.Р1.1.027</v>
      </c>
      <c r="D28" s="8" t="str">
        <f>IFERROR(INDEX(Работы!$B$2:$B$6000,MATCH($C28,Работы!$A$2:$A$6000,0)),"")</f>
        <v>Рабочая документация Системы кондиционирования ("ОВиК-К"), включая пояснительную записку (для помещений менее 100 м.кв)</v>
      </c>
      <c r="E28" t="str">
        <f>IFERROR(INDEX(Работы!$C$2:$C$6000,MATCH($C28,Работы!$A$2:$A$6000,0)),"")</f>
        <v>компл.</v>
      </c>
      <c r="F28">
        <f>IFERROR(INDEX(Работы!$G$2:$G$6000,MATCH($C28,Работы!$A$2:$A$6000,0)),"")</f>
        <v>0</v>
      </c>
      <c r="G28" t="str">
        <f>IFERROR(INDEX(Работы!$K$2:$K$6000,MATCH($C28,Работы!$A$2:$A$6000,0)),"")</f>
        <v>S_общая</v>
      </c>
      <c r="H28" s="9"/>
      <c r="I28" s="9"/>
      <c r="J28" s="8" t="str">
        <f>IFERROR(INDEX(Материалы!$B$2:$B$9000,MATCH($I28,Материалы!$A$2:$A$9000,0)),"")</f>
        <v/>
      </c>
      <c r="K28" t="str">
        <f>IF($I28="","",IF($F28=IFERROR(INDEX(Материалы!$G$2:$G$9000,MATCH($I28,Материалы!$A$2:$A$9000,0)),""),"OK","!! не та группа"))</f>
        <v/>
      </c>
      <c r="L28" s="10">
        <f>IFERROR(INDEX(Работы!$H$2:$H$6000,MATCH($C28,Работы!$A$2:$A$6000,0))*(1-ДисконтТендер),0)</f>
        <v>10395</v>
      </c>
      <c r="M28" s="10">
        <f>IF($I28="",0,IFERROR(INDEX(Материалы!$I$2:$I$9000,MATCH($I28,Материалы!$A$2:$A$9000,0))*IF(INDEX(Материалы!$J$2:$J$9000,MATCH($I28,Материалы!$A$2:$A$9000,0))="USD",КурсUSD,IF(INDEX(Материалы!$J$2:$J$9000,MATCH($I28,Материалы!$A$2:$A$9000,0))="EUR",КурсEUR,1))*INDEX(Материалы!$K$2:$K$9000,MATCH($I28,Материалы!$A$2:$A$9000,0))*(1+IFERROR(INDEX(Работы!$I$2:$I$6000,MATCH($C28,Работы!$A$2:$A$6000,0))/100,0))*(1-ДисконтТендер),0))</f>
        <v>0</v>
      </c>
      <c r="N28" s="10">
        <f t="shared" si="0"/>
        <v>0</v>
      </c>
      <c r="O28" s="10">
        <f t="shared" si="1"/>
        <v>0</v>
      </c>
      <c r="P28" s="10">
        <f t="shared" si="2"/>
        <v>0</v>
      </c>
      <c r="Q28" t="str">
        <f>IFERROR(INDEX(Работы!$J$2:$J$6000,MATCH($C28,Работы!$A$2:$A$6000,0)),"")</f>
        <v>типовая</v>
      </c>
      <c r="R28" t="s">
        <v>92</v>
      </c>
      <c r="T28" t="str">
        <f>IF(AND($P28&gt;0,$R28="да"),MAX($T$1:$T27)+1,"")</f>
        <v/>
      </c>
    </row>
    <row r="29" spans="1:20" x14ac:dyDescent="0.3">
      <c r="A29" t="str">
        <f>IFERROR(INDEX(Работы!$D$2:$D$6000,MATCH($C29,Работы!$A$2:$A$6000,0)),"")</f>
        <v>Р1</v>
      </c>
      <c r="B29" t="str">
        <f>IFERROR(INDEX(Работы!$F$2:$F$6000,MATCH($C29,Работы!$A$2:$A$6000,0)),"")</f>
        <v>1</v>
      </c>
      <c r="C29" t="str">
        <f>IFERROR(INDEX(Работы!$A$2:$A$6000,28),"")</f>
        <v>РАБ.Р1.1.028</v>
      </c>
      <c r="D29" s="8" t="str">
        <f>IFERROR(INDEX(Работы!$B$2:$B$6000,MATCH($C29,Работы!$A$2:$A$6000,0)),"")</f>
        <v>Рабочая документация Системы отопления ("ОВиК-О"), включая Пояснительную записку и Теплотехнический расчет (для помещений менее 100 м.кв)</v>
      </c>
      <c r="E29" t="str">
        <f>IFERROR(INDEX(Работы!$C$2:$C$6000,MATCH($C29,Работы!$A$2:$A$6000,0)),"")</f>
        <v>компл.</v>
      </c>
      <c r="F29">
        <f>IFERROR(INDEX(Работы!$G$2:$G$6000,MATCH($C29,Работы!$A$2:$A$6000,0)),"")</f>
        <v>0</v>
      </c>
      <c r="G29" t="str">
        <f>IFERROR(INDEX(Работы!$K$2:$K$6000,MATCH($C29,Работы!$A$2:$A$6000,0)),"")</f>
        <v>S_общая</v>
      </c>
      <c r="H29" s="9"/>
      <c r="I29" s="9"/>
      <c r="J29" s="8" t="str">
        <f>IFERROR(INDEX(Материалы!$B$2:$B$9000,MATCH($I29,Материалы!$A$2:$A$9000,0)),"")</f>
        <v/>
      </c>
      <c r="K29" t="str">
        <f>IF($I29="","",IF($F29=IFERROR(INDEX(Материалы!$G$2:$G$9000,MATCH($I29,Материалы!$A$2:$A$9000,0)),""),"OK","!! не та группа"))</f>
        <v/>
      </c>
      <c r="L29" s="10">
        <f>IFERROR(INDEX(Работы!$H$2:$H$6000,MATCH($C29,Работы!$A$2:$A$6000,0))*(1-ДисконтТендер),0)</f>
        <v>10395</v>
      </c>
      <c r="M29" s="10">
        <f>IF($I29="",0,IFERROR(INDEX(Материалы!$I$2:$I$9000,MATCH($I29,Материалы!$A$2:$A$9000,0))*IF(INDEX(Материалы!$J$2:$J$9000,MATCH($I29,Материалы!$A$2:$A$9000,0))="USD",КурсUSD,IF(INDEX(Материалы!$J$2:$J$9000,MATCH($I29,Материалы!$A$2:$A$9000,0))="EUR",КурсEUR,1))*INDEX(Материалы!$K$2:$K$9000,MATCH($I29,Материалы!$A$2:$A$9000,0))*(1+IFERROR(INDEX(Работы!$I$2:$I$6000,MATCH($C29,Работы!$A$2:$A$6000,0))/100,0))*(1-ДисконтТендер),0))</f>
        <v>0</v>
      </c>
      <c r="N29" s="10">
        <f t="shared" si="0"/>
        <v>0</v>
      </c>
      <c r="O29" s="10">
        <f t="shared" si="1"/>
        <v>0</v>
      </c>
      <c r="P29" s="10">
        <f t="shared" si="2"/>
        <v>0</v>
      </c>
      <c r="Q29" t="str">
        <f>IFERROR(INDEX(Работы!$J$2:$J$6000,MATCH($C29,Работы!$A$2:$A$6000,0)),"")</f>
        <v>типовая</v>
      </c>
      <c r="R29" t="s">
        <v>92</v>
      </c>
      <c r="T29" t="str">
        <f>IF(AND($P29&gt;0,$R29="да"),MAX($T$1:$T28)+1,"")</f>
        <v/>
      </c>
    </row>
    <row r="30" spans="1:20" x14ac:dyDescent="0.3">
      <c r="A30" t="str">
        <f>IFERROR(INDEX(Работы!$D$2:$D$6000,MATCH($C30,Работы!$A$2:$A$6000,0)),"")</f>
        <v>Р1</v>
      </c>
      <c r="B30" t="str">
        <f>IFERROR(INDEX(Работы!$F$2:$F$6000,MATCH($C30,Работы!$A$2:$A$6000,0)),"")</f>
        <v>1</v>
      </c>
      <c r="C30" t="str">
        <f>IFERROR(INDEX(Работы!$A$2:$A$6000,29),"")</f>
        <v>РАБ.Р1.1.029</v>
      </c>
      <c r="D30" s="8" t="str">
        <f>IFERROR(INDEX(Работы!$B$2:$B$6000,MATCH($C30,Работы!$A$2:$A$6000,0)),"")</f>
        <v>Рабочая документация Системы водоснабжения и канализации ("ВК"), включая пояснительную записку (для помещений менее 100 м.кв)</v>
      </c>
      <c r="E30" t="str">
        <f>IFERROR(INDEX(Работы!$C$2:$C$6000,MATCH($C30,Работы!$A$2:$A$6000,0)),"")</f>
        <v>компл.</v>
      </c>
      <c r="F30">
        <f>IFERROR(INDEX(Работы!$G$2:$G$6000,MATCH($C30,Работы!$A$2:$A$6000,0)),"")</f>
        <v>0</v>
      </c>
      <c r="G30" t="str">
        <f>IFERROR(INDEX(Работы!$K$2:$K$6000,MATCH($C30,Работы!$A$2:$A$6000,0)),"")</f>
        <v>S_общая</v>
      </c>
      <c r="H30" s="9"/>
      <c r="I30" s="9"/>
      <c r="J30" s="8" t="str">
        <f>IFERROR(INDEX(Материалы!$B$2:$B$9000,MATCH($I30,Материалы!$A$2:$A$9000,0)),"")</f>
        <v/>
      </c>
      <c r="K30" t="str">
        <f>IF($I30="","",IF($F30=IFERROR(INDEX(Материалы!$G$2:$G$9000,MATCH($I30,Материалы!$A$2:$A$9000,0)),""),"OK","!! не та группа"))</f>
        <v/>
      </c>
      <c r="L30" s="10">
        <f>IFERROR(INDEX(Работы!$H$2:$H$6000,MATCH($C30,Работы!$A$2:$A$6000,0))*(1-ДисконтТендер),0)</f>
        <v>10395</v>
      </c>
      <c r="M30" s="10">
        <f>IF($I30="",0,IFERROR(INDEX(Материалы!$I$2:$I$9000,MATCH($I30,Материалы!$A$2:$A$9000,0))*IF(INDEX(Материалы!$J$2:$J$9000,MATCH($I30,Материалы!$A$2:$A$9000,0))="USD",КурсUSD,IF(INDEX(Материалы!$J$2:$J$9000,MATCH($I30,Материалы!$A$2:$A$9000,0))="EUR",КурсEUR,1))*INDEX(Материалы!$K$2:$K$9000,MATCH($I30,Материалы!$A$2:$A$9000,0))*(1+IFERROR(INDEX(Работы!$I$2:$I$6000,MATCH($C30,Работы!$A$2:$A$6000,0))/100,0))*(1-ДисконтТендер),0))</f>
        <v>0</v>
      </c>
      <c r="N30" s="10">
        <f t="shared" si="0"/>
        <v>0</v>
      </c>
      <c r="O30" s="10">
        <f t="shared" si="1"/>
        <v>0</v>
      </c>
      <c r="P30" s="10">
        <f t="shared" si="2"/>
        <v>0</v>
      </c>
      <c r="Q30" t="str">
        <f>IFERROR(INDEX(Работы!$J$2:$J$6000,MATCH($C30,Работы!$A$2:$A$6000,0)),"")</f>
        <v>типовая</v>
      </c>
      <c r="R30" t="s">
        <v>92</v>
      </c>
      <c r="T30" t="str">
        <f>IF(AND($P30&gt;0,$R30="да"),MAX($T$1:$T29)+1,"")</f>
        <v/>
      </c>
    </row>
    <row r="31" spans="1:20" x14ac:dyDescent="0.3">
      <c r="A31" t="str">
        <f>IFERROR(INDEX(Работы!$D$2:$D$6000,MATCH($C31,Работы!$A$2:$A$6000,0)),"")</f>
        <v>Р1</v>
      </c>
      <c r="B31" t="str">
        <f>IFERROR(INDEX(Работы!$F$2:$F$6000,MATCH($C31,Работы!$A$2:$A$6000,0)),"")</f>
        <v>1</v>
      </c>
      <c r="C31" t="str">
        <f>IFERROR(INDEX(Работы!$A$2:$A$6000,30),"")</f>
        <v>РАБ.Р1.1.030</v>
      </c>
      <c r="D31" s="8" t="str">
        <f>IFERROR(INDEX(Работы!$B$2:$B$6000,MATCH($C31,Работы!$A$2:$A$6000,0)),"")</f>
        <v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v>
      </c>
      <c r="E31" t="str">
        <f>IFERROR(INDEX(Работы!$C$2:$C$6000,MATCH($C31,Работы!$A$2:$A$6000,0)),"")</f>
        <v>компл.</v>
      </c>
      <c r="F31">
        <f>IFERROR(INDEX(Работы!$G$2:$G$6000,MATCH($C31,Работы!$A$2:$A$6000,0)),"")</f>
        <v>0</v>
      </c>
      <c r="G31" t="str">
        <f>IFERROR(INDEX(Работы!$K$2:$K$6000,MATCH($C31,Работы!$A$2:$A$6000,0)),"")</f>
        <v>S_общая</v>
      </c>
      <c r="H31" s="9"/>
      <c r="I31" s="9"/>
      <c r="J31" s="8" t="str">
        <f>IFERROR(INDEX(Материалы!$B$2:$B$9000,MATCH($I31,Материалы!$A$2:$A$9000,0)),"")</f>
        <v/>
      </c>
      <c r="K31" t="str">
        <f>IF($I31="","",IF($F31=IFERROR(INDEX(Материалы!$G$2:$G$9000,MATCH($I31,Материалы!$A$2:$A$9000,0)),""),"OK","!! не та группа"))</f>
        <v/>
      </c>
      <c r="L31" s="10">
        <f>IFERROR(INDEX(Работы!$H$2:$H$6000,MATCH($C31,Работы!$A$2:$A$6000,0))*(1-ДисконтТендер),0)</f>
        <v>15592.5</v>
      </c>
      <c r="M31" s="10">
        <f>IF($I31="",0,IFERROR(INDEX(Материалы!$I$2:$I$9000,MATCH($I31,Материалы!$A$2:$A$9000,0))*IF(INDEX(Материалы!$J$2:$J$9000,MATCH($I31,Материалы!$A$2:$A$9000,0))="USD",КурсUSD,IF(INDEX(Материалы!$J$2:$J$9000,MATCH($I31,Материалы!$A$2:$A$9000,0))="EUR",КурсEUR,1))*INDEX(Материалы!$K$2:$K$9000,MATCH($I31,Материалы!$A$2:$A$9000,0))*(1+IFERROR(INDEX(Работы!$I$2:$I$6000,MATCH($C31,Работы!$A$2:$A$6000,0))/100,0))*(1-ДисконтТендер),0))</f>
        <v>0</v>
      </c>
      <c r="N31" s="10">
        <f t="shared" si="0"/>
        <v>0</v>
      </c>
      <c r="O31" s="10">
        <f t="shared" si="1"/>
        <v>0</v>
      </c>
      <c r="P31" s="10">
        <f t="shared" si="2"/>
        <v>0</v>
      </c>
      <c r="Q31" t="str">
        <f>IFERROR(INDEX(Работы!$J$2:$J$6000,MATCH($C31,Работы!$A$2:$A$6000,0)),"")</f>
        <v>типовая</v>
      </c>
      <c r="R31" t="s">
        <v>92</v>
      </c>
      <c r="T31" t="str">
        <f>IF(AND($P31&gt;0,$R31="да"),MAX($T$1:$T30)+1,"")</f>
        <v/>
      </c>
    </row>
    <row r="32" spans="1:20" x14ac:dyDescent="0.3">
      <c r="A32" t="str">
        <f>IFERROR(INDEX(Работы!$D$2:$D$6000,MATCH($C32,Работы!$A$2:$A$6000,0)),"")</f>
        <v>Р1</v>
      </c>
      <c r="B32" t="str">
        <f>IFERROR(INDEX(Работы!$F$2:$F$6000,MATCH($C32,Работы!$A$2:$A$6000,0)),"")</f>
        <v>1</v>
      </c>
      <c r="C32" t="str">
        <f>IFERROR(INDEX(Работы!$A$2:$A$6000,31),"")</f>
        <v>РАБ.Р1.1.031</v>
      </c>
      <c r="D32" s="8" t="str">
        <f>IFERROR(INDEX(Работы!$B$2:$B$6000,MATCH($C32,Работы!$A$2:$A$6000,0)),"")</f>
        <v>Рабочая документация Системы Внутреннего противопожарного водопровода ("ВПВ"), включая пояснительную записку (для помещений менее 100 м.кв)</v>
      </c>
      <c r="E32" t="str">
        <f>IFERROR(INDEX(Работы!$C$2:$C$6000,MATCH($C32,Работы!$A$2:$A$6000,0)),"")</f>
        <v>компл.</v>
      </c>
      <c r="F32">
        <f>IFERROR(INDEX(Работы!$G$2:$G$6000,MATCH($C32,Работы!$A$2:$A$6000,0)),"")</f>
        <v>0</v>
      </c>
      <c r="G32" t="str">
        <f>IFERROR(INDEX(Работы!$K$2:$K$6000,MATCH($C32,Работы!$A$2:$A$6000,0)),"")</f>
        <v>S_общая</v>
      </c>
      <c r="H32" s="9"/>
      <c r="I32" s="9"/>
      <c r="J32" s="8" t="str">
        <f>IFERROR(INDEX(Материалы!$B$2:$B$9000,MATCH($I32,Материалы!$A$2:$A$9000,0)),"")</f>
        <v/>
      </c>
      <c r="K32" t="str">
        <f>IF($I32="","",IF($F32=IFERROR(INDEX(Материалы!$G$2:$G$9000,MATCH($I32,Материалы!$A$2:$A$9000,0)),""),"OK","!! не та группа"))</f>
        <v/>
      </c>
      <c r="L32" s="10">
        <f>IFERROR(INDEX(Работы!$H$2:$H$6000,MATCH($C32,Работы!$A$2:$A$6000,0))*(1-ДисконтТендер),0)</f>
        <v>10395</v>
      </c>
      <c r="M32" s="10">
        <f>IF($I32="",0,IFERROR(INDEX(Материалы!$I$2:$I$9000,MATCH($I32,Материалы!$A$2:$A$9000,0))*IF(INDEX(Материалы!$J$2:$J$9000,MATCH($I32,Материалы!$A$2:$A$9000,0))="USD",КурсUSD,IF(INDEX(Материалы!$J$2:$J$9000,MATCH($I32,Материалы!$A$2:$A$9000,0))="EUR",КурсEUR,1))*INDEX(Материалы!$K$2:$K$9000,MATCH($I32,Материалы!$A$2:$A$9000,0))*(1+IFERROR(INDEX(Работы!$I$2:$I$6000,MATCH($C32,Работы!$A$2:$A$6000,0))/100,0))*(1-ДисконтТендер),0))</f>
        <v>0</v>
      </c>
      <c r="N32" s="10">
        <f t="shared" si="0"/>
        <v>0</v>
      </c>
      <c r="O32" s="10">
        <f t="shared" si="1"/>
        <v>0</v>
      </c>
      <c r="P32" s="10">
        <f t="shared" si="2"/>
        <v>0</v>
      </c>
      <c r="Q32" t="str">
        <f>IFERROR(INDEX(Работы!$J$2:$J$6000,MATCH($C32,Работы!$A$2:$A$6000,0)),"")</f>
        <v>типовая</v>
      </c>
      <c r="R32" t="s">
        <v>92</v>
      </c>
      <c r="T32" t="str">
        <f>IF(AND($P32&gt;0,$R32="да"),MAX($T$1:$T31)+1,"")</f>
        <v/>
      </c>
    </row>
    <row r="33" spans="1:20" ht="43.2" x14ac:dyDescent="0.3">
      <c r="A33" t="str">
        <f>IFERROR(INDEX(Работы!$D$2:$D$6000,MATCH($C33,Работы!$A$2:$A$6000,0)),"")</f>
        <v>Р1</v>
      </c>
      <c r="B33" t="str">
        <f>IFERROR(INDEX(Работы!$F$2:$F$6000,MATCH($C33,Работы!$A$2:$A$6000,0)),"")</f>
        <v>1</v>
      </c>
      <c r="C33" t="str">
        <f>IFERROR(INDEX(Работы!$A$2:$A$6000,32),"")</f>
        <v>РАБ.Р1.1.032</v>
      </c>
      <c r="D33" s="8" t="str">
        <f>IFERROR(INDEX(Работы!$B$2:$B$6000,MATCH($C33,Работы!$A$2:$A$6000,0)),"")</f>
        <v>Рабочая документация Системы дымоудаления ("ДУ"), включая пояснительную записку (для помещений менее 100 м.кв)</v>
      </c>
      <c r="E33" t="str">
        <f>IFERROR(INDEX(Работы!$C$2:$C$6000,MATCH($C33,Работы!$A$2:$A$6000,0)),"")</f>
        <v>компл.</v>
      </c>
      <c r="F33">
        <f>IFERROR(INDEX(Работы!$G$2:$G$6000,MATCH($C33,Работы!$A$2:$A$6000,0)),"")</f>
        <v>0</v>
      </c>
      <c r="G33" t="str">
        <f>IFERROR(INDEX(Работы!$K$2:$K$6000,MATCH($C33,Работы!$A$2:$A$6000,0)),"")</f>
        <v>S_общая</v>
      </c>
      <c r="H33" s="9"/>
      <c r="I33" s="9"/>
      <c r="J33" s="8" t="str">
        <f>IFERROR(INDEX(Материалы!$B$2:$B$9000,MATCH($I33,Материалы!$A$2:$A$9000,0)),"")</f>
        <v/>
      </c>
      <c r="K33" t="str">
        <f>IF($I33="","",IF($F33=IFERROR(INDEX(Материалы!$G$2:$G$9000,MATCH($I33,Материалы!$A$2:$A$9000,0)),""),"OK","!! не та группа"))</f>
        <v/>
      </c>
      <c r="L33" s="10">
        <f>IFERROR(INDEX(Работы!$H$2:$H$6000,MATCH($C33,Работы!$A$2:$A$6000,0))*(1-ДисконтТендер),0)</f>
        <v>15592.5</v>
      </c>
      <c r="M33" s="10">
        <f>IF($I33="",0,IFERROR(INDEX(Материалы!$I$2:$I$9000,MATCH($I33,Материалы!$A$2:$A$9000,0))*IF(INDEX(Материалы!$J$2:$J$9000,MATCH($I33,Материалы!$A$2:$A$9000,0))="USD",КурсUSD,IF(INDEX(Материалы!$J$2:$J$9000,MATCH($I33,Материалы!$A$2:$A$9000,0))="EUR",КурсEUR,1))*INDEX(Материалы!$K$2:$K$9000,MATCH($I33,Материалы!$A$2:$A$9000,0))*(1+IFERROR(INDEX(Работы!$I$2:$I$6000,MATCH($C33,Работы!$A$2:$A$6000,0))/100,0))*(1-ДисконтТендер),0))</f>
        <v>0</v>
      </c>
      <c r="N33" s="10">
        <f t="shared" si="0"/>
        <v>0</v>
      </c>
      <c r="O33" s="10">
        <f t="shared" si="1"/>
        <v>0</v>
      </c>
      <c r="P33" s="10">
        <f t="shared" si="2"/>
        <v>0</v>
      </c>
      <c r="Q33" t="str">
        <f>IFERROR(INDEX(Работы!$J$2:$J$6000,MATCH($C33,Работы!$A$2:$A$6000,0)),"")</f>
        <v>типовая</v>
      </c>
      <c r="R33" t="s">
        <v>92</v>
      </c>
      <c r="T33" t="str">
        <f>IF(AND($P33&gt;0,$R33="да"),MAX($T$1:$T32)+1,"")</f>
        <v/>
      </c>
    </row>
    <row r="34" spans="1:20" ht="57.6" x14ac:dyDescent="0.3">
      <c r="A34" t="str">
        <f>IFERROR(INDEX(Работы!$D$2:$D$6000,MATCH($C34,Работы!$A$2:$A$6000,0)),"")</f>
        <v>Р1</v>
      </c>
      <c r="B34" t="str">
        <f>IFERROR(INDEX(Работы!$F$2:$F$6000,MATCH($C34,Работы!$A$2:$A$6000,0)),"")</f>
        <v>1</v>
      </c>
      <c r="C34" t="str">
        <f>IFERROR(INDEX(Работы!$A$2:$A$6000,33),"")</f>
        <v>РАБ.Р1.1.033</v>
      </c>
      <c r="D34" s="8" t="str">
        <f>IFERROR(INDEX(Работы!$B$2:$B$6000,MATCH($C34,Работы!$A$2:$A$6000,0)),"")</f>
        <v>Исполнительная документация по усилению/устройству несущих конструкций ("КР"), включая пояснительную записку (для объектов более 100 кв.м.)</v>
      </c>
      <c r="E34" t="str">
        <f>IFERROR(INDEX(Работы!$C$2:$C$6000,MATCH($C34,Работы!$A$2:$A$6000,0)),"")</f>
        <v>м2</v>
      </c>
      <c r="F34">
        <f>IFERROR(INDEX(Работы!$G$2:$G$6000,MATCH($C34,Работы!$A$2:$A$6000,0)),"")</f>
        <v>0</v>
      </c>
      <c r="G34" t="str">
        <f>IFERROR(INDEX(Работы!$K$2:$K$6000,MATCH($C34,Работы!$A$2:$A$6000,0)),"")</f>
        <v>S_общая</v>
      </c>
      <c r="H34" s="9"/>
      <c r="I34" s="9"/>
      <c r="J34" s="8" t="str">
        <f>IFERROR(INDEX(Материалы!$B$2:$B$9000,MATCH($I34,Материалы!$A$2:$A$9000,0)),"")</f>
        <v/>
      </c>
      <c r="K34" t="str">
        <f>IF($I34="","",IF($F34=IFERROR(INDEX(Материалы!$G$2:$G$9000,MATCH($I34,Материалы!$A$2:$A$9000,0)),""),"OK","!! не та группа"))</f>
        <v/>
      </c>
      <c r="L34" s="10">
        <f>IFERROR(INDEX(Работы!$H$2:$H$6000,MATCH($C34,Работы!$A$2:$A$6000,0))*(1-ДисконтТендер),0)</f>
        <v>13.55</v>
      </c>
      <c r="M34" s="10">
        <f>IF($I34="",0,IFERROR(INDEX(Материалы!$I$2:$I$9000,MATCH($I34,Материалы!$A$2:$A$9000,0))*IF(INDEX(Материалы!$J$2:$J$9000,MATCH($I34,Материалы!$A$2:$A$9000,0))="USD",КурсUSD,IF(INDEX(Материалы!$J$2:$J$9000,MATCH($I34,Материалы!$A$2:$A$9000,0))="EUR",КурсEUR,1))*INDEX(Материалы!$K$2:$K$9000,MATCH($I34,Материалы!$A$2:$A$9000,0))*(1+IFERROR(INDEX(Работы!$I$2:$I$6000,MATCH($C34,Работы!$A$2:$A$6000,0))/100,0))*(1-ДисконтТендер),0))</f>
        <v>0</v>
      </c>
      <c r="N34" s="10">
        <f t="shared" si="0"/>
        <v>0</v>
      </c>
      <c r="O34" s="10">
        <f t="shared" si="1"/>
        <v>0</v>
      </c>
      <c r="P34" s="10">
        <f t="shared" si="2"/>
        <v>0</v>
      </c>
      <c r="Q34" t="str">
        <f>IFERROR(INDEX(Работы!$J$2:$J$6000,MATCH($C34,Работы!$A$2:$A$6000,0)),"")</f>
        <v>нетиповая</v>
      </c>
      <c r="R34" t="s">
        <v>92</v>
      </c>
      <c r="T34" t="str">
        <f>IF(AND($P34&gt;0,$R34="да"),MAX($T$1:$T33)+1,"")</f>
        <v/>
      </c>
    </row>
    <row r="35" spans="1:20" ht="43.2" x14ac:dyDescent="0.3">
      <c r="A35" t="str">
        <f>IFERROR(INDEX(Работы!$D$2:$D$6000,MATCH($C35,Работы!$A$2:$A$6000,0)),"")</f>
        <v>Р1</v>
      </c>
      <c r="B35" t="str">
        <f>IFERROR(INDEX(Работы!$F$2:$F$6000,MATCH($C35,Работы!$A$2:$A$6000,0)),"")</f>
        <v>1</v>
      </c>
      <c r="C35" t="str">
        <f>IFERROR(INDEX(Работы!$A$2:$A$6000,34),"")</f>
        <v>РАБ.Р1.1.034</v>
      </c>
      <c r="D35" s="8" t="str">
        <f>IFERROR(INDEX(Работы!$B$2:$B$6000,MATCH($C35,Работы!$A$2:$A$6000,0)),"")</f>
        <v>Исполнительная документация "Архитектурные решения" ("АР"), включая пояснительную записку (для объектов более 100 кв.м.)</v>
      </c>
      <c r="E35" t="str">
        <f>IFERROR(INDEX(Работы!$C$2:$C$6000,MATCH($C35,Работы!$A$2:$A$6000,0)),"")</f>
        <v>м2</v>
      </c>
      <c r="F35">
        <f>IFERROR(INDEX(Работы!$G$2:$G$6000,MATCH($C35,Работы!$A$2:$A$6000,0)),"")</f>
        <v>0</v>
      </c>
      <c r="G35" t="str">
        <f>IFERROR(INDEX(Работы!$K$2:$K$6000,MATCH($C35,Работы!$A$2:$A$6000,0)),"")</f>
        <v>S_общая</v>
      </c>
      <c r="H35" s="9"/>
      <c r="I35" s="9"/>
      <c r="J35" s="8" t="str">
        <f>IFERROR(INDEX(Материалы!$B$2:$B$9000,MATCH($I35,Материалы!$A$2:$A$9000,0)),"")</f>
        <v/>
      </c>
      <c r="K35" t="str">
        <f>IF($I35="","",IF($F35=IFERROR(INDEX(Материалы!$G$2:$G$9000,MATCH($I35,Материалы!$A$2:$A$9000,0)),""),"OK","!! не та группа"))</f>
        <v/>
      </c>
      <c r="L35" s="10">
        <f>IFERROR(INDEX(Работы!$H$2:$H$6000,MATCH($C35,Работы!$A$2:$A$6000,0))*(1-ДисконтТендер),0)</f>
        <v>38.96</v>
      </c>
      <c r="M35" s="10">
        <f>IF($I35="",0,IFERROR(INDEX(Материалы!$I$2:$I$9000,MATCH($I35,Материалы!$A$2:$A$9000,0))*IF(INDEX(Материалы!$J$2:$J$9000,MATCH($I35,Материалы!$A$2:$A$9000,0))="USD",КурсUSD,IF(INDEX(Материалы!$J$2:$J$9000,MATCH($I35,Материалы!$A$2:$A$9000,0))="EUR",КурсEUR,1))*INDEX(Материалы!$K$2:$K$9000,MATCH($I35,Материалы!$A$2:$A$9000,0))*(1+IFERROR(INDEX(Работы!$I$2:$I$6000,MATCH($C35,Работы!$A$2:$A$6000,0))/100,0))*(1-ДисконтТендер),0))</f>
        <v>0</v>
      </c>
      <c r="N35" s="10">
        <f t="shared" si="0"/>
        <v>0</v>
      </c>
      <c r="O35" s="10">
        <f t="shared" si="1"/>
        <v>0</v>
      </c>
      <c r="P35" s="10">
        <f t="shared" si="2"/>
        <v>0</v>
      </c>
      <c r="Q35" t="str">
        <f>IFERROR(INDEX(Работы!$J$2:$J$6000,MATCH($C35,Работы!$A$2:$A$6000,0)),"")</f>
        <v>типовая</v>
      </c>
      <c r="R35" t="s">
        <v>92</v>
      </c>
      <c r="T35" t="str">
        <f>IF(AND($P35&gt;0,$R35="да"),MAX($T$1:$T34)+1,"")</f>
        <v/>
      </c>
    </row>
    <row r="36" spans="1:20" ht="57.6" x14ac:dyDescent="0.3">
      <c r="A36" t="str">
        <f>IFERROR(INDEX(Работы!$D$2:$D$6000,MATCH($C36,Работы!$A$2:$A$6000,0)),"")</f>
        <v>Р1</v>
      </c>
      <c r="B36" t="str">
        <f>IFERROR(INDEX(Работы!$F$2:$F$6000,MATCH($C36,Работы!$A$2:$A$6000,0)),"")</f>
        <v>1</v>
      </c>
      <c r="C36" t="str">
        <f>IFERROR(INDEX(Работы!$A$2:$A$6000,35),"")</f>
        <v>РАБ.Р1.1.035</v>
      </c>
      <c r="D36" s="8" t="str">
        <f>IFERROR(INDEX(Работы!$B$2:$B$6000,MATCH($C36,Работы!$A$2:$A$6000,0)),"")</f>
        <v>Исполнительная документация по электроснабжению и электроосвещению ("ЭОМ"), включая пояснительную записку (для объектов более 100 кв.м.)</v>
      </c>
      <c r="E36" t="str">
        <f>IFERROR(INDEX(Работы!$C$2:$C$6000,MATCH($C36,Работы!$A$2:$A$6000,0)),"")</f>
        <v>м2</v>
      </c>
      <c r="F36">
        <f>IFERROR(INDEX(Работы!$G$2:$G$6000,MATCH($C36,Работы!$A$2:$A$6000,0)),"")</f>
        <v>0</v>
      </c>
      <c r="G36" t="str">
        <f>IFERROR(INDEX(Работы!$K$2:$K$6000,MATCH($C36,Работы!$A$2:$A$6000,0)),"")</f>
        <v>S_общая</v>
      </c>
      <c r="H36" s="9"/>
      <c r="I36" s="9"/>
      <c r="J36" s="8" t="str">
        <f>IFERROR(INDEX(Материалы!$B$2:$B$9000,MATCH($I36,Материалы!$A$2:$A$9000,0)),"")</f>
        <v/>
      </c>
      <c r="K36" t="str">
        <f>IF($I36="","",IF($F36=IFERROR(INDEX(Материалы!$G$2:$G$9000,MATCH($I36,Материалы!$A$2:$A$9000,0)),""),"OK","!! не та группа"))</f>
        <v/>
      </c>
      <c r="L36" s="10">
        <f>IFERROR(INDEX(Работы!$H$2:$H$6000,MATCH($C36,Работы!$A$2:$A$6000,0))*(1-ДисконтТендер),0)</f>
        <v>25.83</v>
      </c>
      <c r="M36" s="10">
        <f>IF($I36="",0,IFERROR(INDEX(Материалы!$I$2:$I$9000,MATCH($I36,Материалы!$A$2:$A$9000,0))*IF(INDEX(Материалы!$J$2:$J$9000,MATCH($I36,Материалы!$A$2:$A$9000,0))="USD",КурсUSD,IF(INDEX(Материалы!$J$2:$J$9000,MATCH($I36,Материалы!$A$2:$A$9000,0))="EUR",КурсEUR,1))*INDEX(Материалы!$K$2:$K$9000,MATCH($I36,Материалы!$A$2:$A$9000,0))*(1+IFERROR(INDEX(Работы!$I$2:$I$6000,MATCH($C36,Работы!$A$2:$A$6000,0))/100,0))*(1-ДисконтТендер),0))</f>
        <v>0</v>
      </c>
      <c r="N36" s="10">
        <f t="shared" si="0"/>
        <v>0</v>
      </c>
      <c r="O36" s="10">
        <f t="shared" si="1"/>
        <v>0</v>
      </c>
      <c r="P36" s="10">
        <f t="shared" si="2"/>
        <v>0</v>
      </c>
      <c r="Q36" t="str">
        <f>IFERROR(INDEX(Работы!$J$2:$J$6000,MATCH($C36,Работы!$A$2:$A$6000,0)),"")</f>
        <v>типовая</v>
      </c>
      <c r="R36" t="s">
        <v>92</v>
      </c>
      <c r="T36" t="str">
        <f>IF(AND($P36&gt;0,$R36="да"),MAX($T$1:$T35)+1,"")</f>
        <v/>
      </c>
    </row>
    <row r="37" spans="1:20" ht="43.2" x14ac:dyDescent="0.3">
      <c r="A37" t="str">
        <f>IFERROR(INDEX(Работы!$D$2:$D$6000,MATCH($C37,Работы!$A$2:$A$6000,0)),"")</f>
        <v>Р1</v>
      </c>
      <c r="B37" t="str">
        <f>IFERROR(INDEX(Работы!$F$2:$F$6000,MATCH($C37,Работы!$A$2:$A$6000,0)),"")</f>
        <v>1</v>
      </c>
      <c r="C37" t="str">
        <f>IFERROR(INDEX(Работы!$A$2:$A$6000,36),"")</f>
        <v>РАБ.Р1.1.036</v>
      </c>
      <c r="D37" s="8" t="str">
        <f>IFERROR(INDEX(Работы!$B$2:$B$6000,MATCH($C37,Работы!$A$2:$A$6000,0)),"")</f>
        <v>Исполнительная документация Системы вентиляции ("ОВиК-В"), включая пояснительную записку (для объектов более 100 кв.м.)</v>
      </c>
      <c r="E37" t="str">
        <f>IFERROR(INDEX(Работы!$C$2:$C$6000,MATCH($C37,Работы!$A$2:$A$6000,0)),"")</f>
        <v>м2</v>
      </c>
      <c r="F37">
        <f>IFERROR(INDEX(Работы!$G$2:$G$6000,MATCH($C37,Работы!$A$2:$A$6000,0)),"")</f>
        <v>0</v>
      </c>
      <c r="G37" t="str">
        <f>IFERROR(INDEX(Работы!$K$2:$K$6000,MATCH($C37,Работы!$A$2:$A$6000,0)),"")</f>
        <v>S_общая</v>
      </c>
      <c r="H37" s="9"/>
      <c r="I37" s="9"/>
      <c r="J37" s="8" t="str">
        <f>IFERROR(INDEX(Материалы!$B$2:$B$9000,MATCH($I37,Материалы!$A$2:$A$9000,0)),"")</f>
        <v/>
      </c>
      <c r="K37" t="str">
        <f>IF($I37="","",IF($F37=IFERROR(INDEX(Материалы!$G$2:$G$9000,MATCH($I37,Материалы!$A$2:$A$9000,0)),""),"OK","!! не та группа"))</f>
        <v/>
      </c>
      <c r="L37" s="10">
        <f>IFERROR(INDEX(Работы!$H$2:$H$6000,MATCH($C37,Работы!$A$2:$A$6000,0))*(1-ДисконтТендер),0)</f>
        <v>20.27</v>
      </c>
      <c r="M37" s="10">
        <f>IF($I37="",0,IFERROR(INDEX(Материалы!$I$2:$I$9000,MATCH($I37,Материалы!$A$2:$A$9000,0))*IF(INDEX(Материалы!$J$2:$J$9000,MATCH($I37,Материалы!$A$2:$A$9000,0))="USD",КурсUSD,IF(INDEX(Материалы!$J$2:$J$9000,MATCH($I37,Материалы!$A$2:$A$9000,0))="EUR",КурсEUR,1))*INDEX(Материалы!$K$2:$K$9000,MATCH($I37,Материалы!$A$2:$A$9000,0))*(1+IFERROR(INDEX(Работы!$I$2:$I$6000,MATCH($C37,Работы!$A$2:$A$6000,0))/100,0))*(1-ДисконтТендер),0))</f>
        <v>0</v>
      </c>
      <c r="N37" s="10">
        <f t="shared" si="0"/>
        <v>0</v>
      </c>
      <c r="O37" s="10">
        <f t="shared" si="1"/>
        <v>0</v>
      </c>
      <c r="P37" s="10">
        <f t="shared" si="2"/>
        <v>0</v>
      </c>
      <c r="Q37" t="str">
        <f>IFERROR(INDEX(Работы!$J$2:$J$6000,MATCH($C37,Работы!$A$2:$A$6000,0)),"")</f>
        <v>типовая</v>
      </c>
      <c r="R37" t="s">
        <v>92</v>
      </c>
      <c r="T37" t="str">
        <f>IF(AND($P37&gt;0,$R37="да"),MAX($T$1:$T36)+1,"")</f>
        <v/>
      </c>
    </row>
    <row r="38" spans="1:20" ht="57.6" x14ac:dyDescent="0.3">
      <c r="A38" t="str">
        <f>IFERROR(INDEX(Работы!$D$2:$D$6000,MATCH($C38,Работы!$A$2:$A$6000,0)),"")</f>
        <v>Р1</v>
      </c>
      <c r="B38" t="str">
        <f>IFERROR(INDEX(Работы!$F$2:$F$6000,MATCH($C38,Работы!$A$2:$A$6000,0)),"")</f>
        <v>1</v>
      </c>
      <c r="C38" t="str">
        <f>IFERROR(INDEX(Работы!$A$2:$A$6000,37),"")</f>
        <v>РАБ.Р1.1.037</v>
      </c>
      <c r="D38" s="8" t="str">
        <f>IFERROR(INDEX(Работы!$B$2:$B$6000,MATCH($C38,Работы!$A$2:$A$6000,0)),"")</f>
        <v>Исполнительная документация Системы кондиционирования ("ОВиК-К"), включая пояснительную записку (для объектов более 100 кв.м.)</v>
      </c>
      <c r="E38" t="str">
        <f>IFERROR(INDEX(Работы!$C$2:$C$6000,MATCH($C38,Работы!$A$2:$A$6000,0)),"")</f>
        <v>м2</v>
      </c>
      <c r="F38">
        <f>IFERROR(INDEX(Работы!$G$2:$G$6000,MATCH($C38,Работы!$A$2:$A$6000,0)),"")</f>
        <v>0</v>
      </c>
      <c r="G38" t="str">
        <f>IFERROR(INDEX(Работы!$K$2:$K$6000,MATCH($C38,Работы!$A$2:$A$6000,0)),"")</f>
        <v>S_общая</v>
      </c>
      <c r="H38" s="9"/>
      <c r="I38" s="9"/>
      <c r="J38" s="8" t="str">
        <f>IFERROR(INDEX(Материалы!$B$2:$B$9000,MATCH($I38,Материалы!$A$2:$A$9000,0)),"")</f>
        <v/>
      </c>
      <c r="K38" t="str">
        <f>IF($I38="","",IF($F38=IFERROR(INDEX(Материалы!$G$2:$G$9000,MATCH($I38,Материалы!$A$2:$A$9000,0)),""),"OK","!! не та группа"))</f>
        <v/>
      </c>
      <c r="L38" s="10">
        <f>IFERROR(INDEX(Работы!$H$2:$H$6000,MATCH($C38,Работы!$A$2:$A$6000,0))*(1-ДисконтТендер),0)</f>
        <v>15.95</v>
      </c>
      <c r="M38" s="10">
        <f>IF($I38="",0,IFERROR(INDEX(Материалы!$I$2:$I$9000,MATCH($I38,Материалы!$A$2:$A$9000,0))*IF(INDEX(Материалы!$J$2:$J$9000,MATCH($I38,Материалы!$A$2:$A$9000,0))="USD",КурсUSD,IF(INDEX(Материалы!$J$2:$J$9000,MATCH($I38,Материалы!$A$2:$A$9000,0))="EUR",КурсEUR,1))*INDEX(Материалы!$K$2:$K$9000,MATCH($I38,Материалы!$A$2:$A$9000,0))*(1+IFERROR(INDEX(Работы!$I$2:$I$6000,MATCH($C38,Работы!$A$2:$A$6000,0))/100,0))*(1-ДисконтТендер),0))</f>
        <v>0</v>
      </c>
      <c r="N38" s="10">
        <f t="shared" si="0"/>
        <v>0</v>
      </c>
      <c r="O38" s="10">
        <f t="shared" si="1"/>
        <v>0</v>
      </c>
      <c r="P38" s="10">
        <f t="shared" si="2"/>
        <v>0</v>
      </c>
      <c r="Q38" t="str">
        <f>IFERROR(INDEX(Работы!$J$2:$J$6000,MATCH($C38,Работы!$A$2:$A$6000,0)),"")</f>
        <v>типовая</v>
      </c>
      <c r="R38" t="s">
        <v>92</v>
      </c>
      <c r="T38" t="str">
        <f>IF(AND($P38&gt;0,$R38="да"),MAX($T$1:$T37)+1,"")</f>
        <v/>
      </c>
    </row>
    <row r="39" spans="1:20" ht="57.6" x14ac:dyDescent="0.3">
      <c r="A39" t="str">
        <f>IFERROR(INDEX(Работы!$D$2:$D$6000,MATCH($C39,Работы!$A$2:$A$6000,0)),"")</f>
        <v>Р1</v>
      </c>
      <c r="B39" t="str">
        <f>IFERROR(INDEX(Работы!$F$2:$F$6000,MATCH($C39,Работы!$A$2:$A$6000,0)),"")</f>
        <v>1</v>
      </c>
      <c r="C39" t="str">
        <f>IFERROR(INDEX(Работы!$A$2:$A$6000,38),"")</f>
        <v>РАБ.Р1.1.038</v>
      </c>
      <c r="D39" s="8" t="str">
        <f>IFERROR(INDEX(Работы!$B$2:$B$6000,MATCH($C39,Работы!$A$2:$A$6000,0)),"")</f>
        <v>Исполнительная документация Системы отопления ("ОВиК-О"), включая Пояснительную записку и Теплотехнический расчет (для объектов более 100 кв.м.)</v>
      </c>
      <c r="E39" t="str">
        <f>IFERROR(INDEX(Работы!$C$2:$C$6000,MATCH($C39,Работы!$A$2:$A$6000,0)),"")</f>
        <v>м2</v>
      </c>
      <c r="F39">
        <f>IFERROR(INDEX(Работы!$G$2:$G$6000,MATCH($C39,Работы!$A$2:$A$6000,0)),"")</f>
        <v>0</v>
      </c>
      <c r="G39" t="str">
        <f>IFERROR(INDEX(Работы!$K$2:$K$6000,MATCH($C39,Работы!$A$2:$A$6000,0)),"")</f>
        <v>S_общая</v>
      </c>
      <c r="H39" s="9"/>
      <c r="I39" s="9"/>
      <c r="J39" s="8" t="str">
        <f>IFERROR(INDEX(Материалы!$B$2:$B$9000,MATCH($I39,Материалы!$A$2:$A$9000,0)),"")</f>
        <v/>
      </c>
      <c r="K39" t="str">
        <f>IF($I39="","",IF($F39=IFERROR(INDEX(Материалы!$G$2:$G$9000,MATCH($I39,Материалы!$A$2:$A$9000,0)),""),"OK","!! не та группа"))</f>
        <v/>
      </c>
      <c r="L39" s="10">
        <f>IFERROR(INDEX(Работы!$H$2:$H$6000,MATCH($C39,Работы!$A$2:$A$6000,0))*(1-ДисконтТендер),0)</f>
        <v>12.39</v>
      </c>
      <c r="M39" s="10">
        <f>IF($I39="",0,IFERROR(INDEX(Материалы!$I$2:$I$9000,MATCH($I39,Материалы!$A$2:$A$9000,0))*IF(INDEX(Материалы!$J$2:$J$9000,MATCH($I39,Материалы!$A$2:$A$9000,0))="USD",КурсUSD,IF(INDEX(Материалы!$J$2:$J$9000,MATCH($I39,Материалы!$A$2:$A$9000,0))="EUR",КурсEUR,1))*INDEX(Материалы!$K$2:$K$9000,MATCH($I39,Материалы!$A$2:$A$9000,0))*(1+IFERROR(INDEX(Работы!$I$2:$I$6000,MATCH($C39,Работы!$A$2:$A$6000,0))/100,0))*(1-ДисконтТендер),0))</f>
        <v>0</v>
      </c>
      <c r="N39" s="10">
        <f t="shared" si="0"/>
        <v>0</v>
      </c>
      <c r="O39" s="10">
        <f t="shared" si="1"/>
        <v>0</v>
      </c>
      <c r="P39" s="10">
        <f t="shared" si="2"/>
        <v>0</v>
      </c>
      <c r="Q39" t="str">
        <f>IFERROR(INDEX(Работы!$J$2:$J$6000,MATCH($C39,Работы!$A$2:$A$6000,0)),"")</f>
        <v>типовая</v>
      </c>
      <c r="R39" t="s">
        <v>92</v>
      </c>
      <c r="T39" t="str">
        <f>IF(AND($P39&gt;0,$R39="да"),MAX($T$1:$T38)+1,"")</f>
        <v/>
      </c>
    </row>
    <row r="40" spans="1:20" ht="57.6" x14ac:dyDescent="0.3">
      <c r="A40" t="str">
        <f>IFERROR(INDEX(Работы!$D$2:$D$6000,MATCH($C40,Работы!$A$2:$A$6000,0)),"")</f>
        <v>Р1</v>
      </c>
      <c r="B40" t="str">
        <f>IFERROR(INDEX(Работы!$F$2:$F$6000,MATCH($C40,Работы!$A$2:$A$6000,0)),"")</f>
        <v>1</v>
      </c>
      <c r="C40" t="str">
        <f>IFERROR(INDEX(Работы!$A$2:$A$6000,39),"")</f>
        <v>РАБ.Р1.1.039</v>
      </c>
      <c r="D40" s="8" t="str">
        <f>IFERROR(INDEX(Работы!$B$2:$B$6000,MATCH($C40,Работы!$A$2:$A$6000,0)),"")</f>
        <v>Исполнительная документация Системы водоснабжения и канализации ("ВК"), включая пояснительную записку (для объектов более 100 кв.м.)</v>
      </c>
      <c r="E40" t="str">
        <f>IFERROR(INDEX(Работы!$C$2:$C$6000,MATCH($C40,Работы!$A$2:$A$6000,0)),"")</f>
        <v>м2</v>
      </c>
      <c r="F40">
        <f>IFERROR(INDEX(Работы!$G$2:$G$6000,MATCH($C40,Работы!$A$2:$A$6000,0)),"")</f>
        <v>0</v>
      </c>
      <c r="G40" t="str">
        <f>IFERROR(INDEX(Работы!$K$2:$K$6000,MATCH($C40,Работы!$A$2:$A$6000,0)),"")</f>
        <v>S_общая</v>
      </c>
      <c r="H40" s="9"/>
      <c r="I40" s="9"/>
      <c r="J40" s="8" t="str">
        <f>IFERROR(INDEX(Материалы!$B$2:$B$9000,MATCH($I40,Материалы!$A$2:$A$9000,0)),"")</f>
        <v/>
      </c>
      <c r="K40" t="str">
        <f>IF($I40="","",IF($F40=IFERROR(INDEX(Материалы!$G$2:$G$9000,MATCH($I40,Материалы!$A$2:$A$9000,0)),""),"OK","!! не та группа"))</f>
        <v/>
      </c>
      <c r="L40" s="10">
        <f>IFERROR(INDEX(Работы!$H$2:$H$6000,MATCH($C40,Работы!$A$2:$A$6000,0))*(1-ДисконтТендер),0)</f>
        <v>13.02</v>
      </c>
      <c r="M40" s="10">
        <f>IF($I40="",0,IFERROR(INDEX(Материалы!$I$2:$I$9000,MATCH($I40,Материалы!$A$2:$A$9000,0))*IF(INDEX(Материалы!$J$2:$J$9000,MATCH($I40,Материалы!$A$2:$A$9000,0))="USD",КурсUSD,IF(INDEX(Материалы!$J$2:$J$9000,MATCH($I40,Материалы!$A$2:$A$9000,0))="EUR",КурсEUR,1))*INDEX(Материалы!$K$2:$K$9000,MATCH($I40,Материалы!$A$2:$A$9000,0))*(1+IFERROR(INDEX(Работы!$I$2:$I$6000,MATCH($C40,Работы!$A$2:$A$6000,0))/100,0))*(1-ДисконтТендер),0))</f>
        <v>0</v>
      </c>
      <c r="N40" s="10">
        <f t="shared" si="0"/>
        <v>0</v>
      </c>
      <c r="O40" s="10">
        <f t="shared" si="1"/>
        <v>0</v>
      </c>
      <c r="P40" s="10">
        <f t="shared" si="2"/>
        <v>0</v>
      </c>
      <c r="Q40" t="str">
        <f>IFERROR(INDEX(Работы!$J$2:$J$6000,MATCH($C40,Работы!$A$2:$A$6000,0)),"")</f>
        <v>типовая</v>
      </c>
      <c r="R40" t="s">
        <v>92</v>
      </c>
      <c r="T40" t="str">
        <f>IF(AND($P40&gt;0,$R40="да"),MAX($T$1:$T39)+1,"")</f>
        <v/>
      </c>
    </row>
    <row r="41" spans="1:20" ht="72" x14ac:dyDescent="0.3">
      <c r="A41" t="str">
        <f>IFERROR(INDEX(Работы!$D$2:$D$6000,MATCH($C41,Работы!$A$2:$A$6000,0)),"")</f>
        <v>Р1</v>
      </c>
      <c r="B41" t="str">
        <f>IFERROR(INDEX(Работы!$F$2:$F$6000,MATCH($C41,Работы!$A$2:$A$6000,0)),"")</f>
        <v>1</v>
      </c>
      <c r="C41" t="str">
        <f>IFERROR(INDEX(Работы!$A$2:$A$6000,40),"")</f>
        <v>РАБ.Р1.1.040</v>
      </c>
      <c r="D41" s="8" t="str">
        <f>IFERROR(INDEX(Работы!$B$2:$B$6000,MATCH($C41,Работы!$A$2:$A$6000,0)),"")</f>
        <v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v>
      </c>
      <c r="E41" t="str">
        <f>IFERROR(INDEX(Работы!$C$2:$C$6000,MATCH($C41,Работы!$A$2:$A$6000,0)),"")</f>
        <v>м2</v>
      </c>
      <c r="F41">
        <f>IFERROR(INDEX(Работы!$G$2:$G$6000,MATCH($C41,Работы!$A$2:$A$6000,0)),"")</f>
        <v>0</v>
      </c>
      <c r="G41" t="str">
        <f>IFERROR(INDEX(Работы!$K$2:$K$6000,MATCH($C41,Работы!$A$2:$A$6000,0)),"")</f>
        <v>S_общая</v>
      </c>
      <c r="H41" s="9"/>
      <c r="I41" s="9"/>
      <c r="J41" s="8" t="str">
        <f>IFERROR(INDEX(Материалы!$B$2:$B$9000,MATCH($I41,Материалы!$A$2:$A$9000,0)),"")</f>
        <v/>
      </c>
      <c r="K41" t="str">
        <f>IF($I41="","",IF($F41=IFERROR(INDEX(Материалы!$G$2:$G$9000,MATCH($I41,Материалы!$A$2:$A$9000,0)),""),"OK","!! не та группа"))</f>
        <v/>
      </c>
      <c r="L41" s="10">
        <f>IFERROR(INDEX(Работы!$H$2:$H$6000,MATCH($C41,Работы!$A$2:$A$6000,0))*(1-ДисконтТендер),0)</f>
        <v>9.17</v>
      </c>
      <c r="M41" s="10">
        <f>IF($I41="",0,IFERROR(INDEX(Материалы!$I$2:$I$9000,MATCH($I41,Материалы!$A$2:$A$9000,0))*IF(INDEX(Материалы!$J$2:$J$9000,MATCH($I41,Материалы!$A$2:$A$9000,0))="USD",КурсUSD,IF(INDEX(Материалы!$J$2:$J$9000,MATCH($I41,Материалы!$A$2:$A$9000,0))="EUR",КурсEUR,1))*INDEX(Материалы!$K$2:$K$9000,MATCH($I41,Материалы!$A$2:$A$9000,0))*(1+IFERROR(INDEX(Работы!$I$2:$I$6000,MATCH($C41,Работы!$A$2:$A$6000,0))/100,0))*(1-ДисконтТендер),0))</f>
        <v>0</v>
      </c>
      <c r="N41" s="10">
        <f t="shared" si="0"/>
        <v>0</v>
      </c>
      <c r="O41" s="10">
        <f t="shared" si="1"/>
        <v>0</v>
      </c>
      <c r="P41" s="10">
        <f t="shared" si="2"/>
        <v>0</v>
      </c>
      <c r="Q41" t="str">
        <f>IFERROR(INDEX(Работы!$J$2:$J$6000,MATCH($C41,Работы!$A$2:$A$6000,0)),"")</f>
        <v>типовая</v>
      </c>
      <c r="R41" t="s">
        <v>92</v>
      </c>
      <c r="T41" t="str">
        <f>IF(AND($P41&gt;0,$R41="да"),MAX($T$1:$T40)+1,"")</f>
        <v/>
      </c>
    </row>
    <row r="42" spans="1:20" ht="57.6" x14ac:dyDescent="0.3">
      <c r="A42" t="str">
        <f>IFERROR(INDEX(Работы!$D$2:$D$6000,MATCH($C42,Работы!$A$2:$A$6000,0)),"")</f>
        <v>Р1</v>
      </c>
      <c r="B42" t="str">
        <f>IFERROR(INDEX(Работы!$F$2:$F$6000,MATCH($C42,Работы!$A$2:$A$6000,0)),"")</f>
        <v>1</v>
      </c>
      <c r="C42" t="str">
        <f>IFERROR(INDEX(Работы!$A$2:$A$6000,41),"")</f>
        <v>РАБ.Р1.1.041</v>
      </c>
      <c r="D42" s="8" t="str">
        <f>IFERROR(INDEX(Работы!$B$2:$B$6000,MATCH($C42,Работы!$A$2:$A$6000,0)),"")</f>
        <v>Исполнительная документация Системы Внутреннего противопожарного водопровода ("ВПВ"), включая пояснительную записку (для объектов более 100 кв.м.)</v>
      </c>
      <c r="E42" t="str">
        <f>IFERROR(INDEX(Работы!$C$2:$C$6000,MATCH($C42,Работы!$A$2:$A$6000,0)),"")</f>
        <v>м2</v>
      </c>
      <c r="F42">
        <f>IFERROR(INDEX(Работы!$G$2:$G$6000,MATCH($C42,Работы!$A$2:$A$6000,0)),"")</f>
        <v>0</v>
      </c>
      <c r="G42" t="str">
        <f>IFERROR(INDEX(Работы!$K$2:$K$6000,MATCH($C42,Работы!$A$2:$A$6000,0)),"")</f>
        <v>S_общая</v>
      </c>
      <c r="H42" s="9"/>
      <c r="I42" s="9"/>
      <c r="J42" s="8" t="str">
        <f>IFERROR(INDEX(Материалы!$B$2:$B$9000,MATCH($I42,Материалы!$A$2:$A$9000,0)),"")</f>
        <v/>
      </c>
      <c r="K42" t="str">
        <f>IF($I42="","",IF($F42=IFERROR(INDEX(Материалы!$G$2:$G$9000,MATCH($I42,Материалы!$A$2:$A$9000,0)),""),"OK","!! не та группа"))</f>
        <v/>
      </c>
      <c r="L42" s="10">
        <f>IFERROR(INDEX(Работы!$H$2:$H$6000,MATCH($C42,Работы!$A$2:$A$6000,0))*(1-ДисконтТендер),0)</f>
        <v>9.17</v>
      </c>
      <c r="M42" s="10">
        <f>IF($I42="",0,IFERROR(INDEX(Материалы!$I$2:$I$9000,MATCH($I42,Материалы!$A$2:$A$9000,0))*IF(INDEX(Материалы!$J$2:$J$9000,MATCH($I42,Материалы!$A$2:$A$9000,0))="USD",КурсUSD,IF(INDEX(Материалы!$J$2:$J$9000,MATCH($I42,Материалы!$A$2:$A$9000,0))="EUR",КурсEUR,1))*INDEX(Материалы!$K$2:$K$9000,MATCH($I42,Материалы!$A$2:$A$9000,0))*(1+IFERROR(INDEX(Работы!$I$2:$I$6000,MATCH($C42,Работы!$A$2:$A$6000,0))/100,0))*(1-ДисконтТендер),0))</f>
        <v>0</v>
      </c>
      <c r="N42" s="10">
        <f t="shared" si="0"/>
        <v>0</v>
      </c>
      <c r="O42" s="10">
        <f t="shared" si="1"/>
        <v>0</v>
      </c>
      <c r="P42" s="10">
        <f t="shared" si="2"/>
        <v>0</v>
      </c>
      <c r="Q42" t="str">
        <f>IFERROR(INDEX(Работы!$J$2:$J$6000,MATCH($C42,Работы!$A$2:$A$6000,0)),"")</f>
        <v>типовая</v>
      </c>
      <c r="R42" t="s">
        <v>92</v>
      </c>
      <c r="T42" t="str">
        <f>IF(AND($P42&gt;0,$R42="да"),MAX($T$1:$T41)+1,"")</f>
        <v/>
      </c>
    </row>
    <row r="43" spans="1:20" ht="43.2" x14ac:dyDescent="0.3">
      <c r="A43" t="str">
        <f>IFERROR(INDEX(Работы!$D$2:$D$6000,MATCH($C43,Работы!$A$2:$A$6000,0)),"")</f>
        <v>Р1</v>
      </c>
      <c r="B43" t="str">
        <f>IFERROR(INDEX(Работы!$F$2:$F$6000,MATCH($C43,Работы!$A$2:$A$6000,0)),"")</f>
        <v>1</v>
      </c>
      <c r="C43" t="str">
        <f>IFERROR(INDEX(Работы!$A$2:$A$6000,42),"")</f>
        <v>РАБ.Р1.1.042</v>
      </c>
      <c r="D43" s="8" t="str">
        <f>IFERROR(INDEX(Работы!$B$2:$B$6000,MATCH($C43,Работы!$A$2:$A$6000,0)),"")</f>
        <v>Исполнительная документация Системы дымоудаления ("ДУ"), включая пояснительную записку (для объектов более 100 кв.м.)</v>
      </c>
      <c r="E43" t="str">
        <f>IFERROR(INDEX(Работы!$C$2:$C$6000,MATCH($C43,Работы!$A$2:$A$6000,0)),"")</f>
        <v>м2</v>
      </c>
      <c r="F43">
        <f>IFERROR(INDEX(Работы!$G$2:$G$6000,MATCH($C43,Работы!$A$2:$A$6000,0)),"")</f>
        <v>0</v>
      </c>
      <c r="G43" t="str">
        <f>IFERROR(INDEX(Работы!$K$2:$K$6000,MATCH($C43,Работы!$A$2:$A$6000,0)),"")</f>
        <v>S_общая</v>
      </c>
      <c r="H43" s="9"/>
      <c r="I43" s="9"/>
      <c r="J43" s="8" t="str">
        <f>IFERROR(INDEX(Материалы!$B$2:$B$9000,MATCH($I43,Материалы!$A$2:$A$9000,0)),"")</f>
        <v/>
      </c>
      <c r="K43" t="str">
        <f>IF($I43="","",IF($F43=IFERROR(INDEX(Материалы!$G$2:$G$9000,MATCH($I43,Материалы!$A$2:$A$9000,0)),""),"OK","!! не та группа"))</f>
        <v/>
      </c>
      <c r="L43" s="10">
        <f>IFERROR(INDEX(Работы!$H$2:$H$6000,MATCH($C43,Работы!$A$2:$A$6000,0))*(1-ДисконтТендер),0)</f>
        <v>10.4</v>
      </c>
      <c r="M43" s="10">
        <f>IF($I43="",0,IFERROR(INDEX(Материалы!$I$2:$I$9000,MATCH($I43,Материалы!$A$2:$A$9000,0))*IF(INDEX(Материалы!$J$2:$J$9000,MATCH($I43,Материалы!$A$2:$A$9000,0))="USD",КурсUSD,IF(INDEX(Материалы!$J$2:$J$9000,MATCH($I43,Материалы!$A$2:$A$9000,0))="EUR",КурсEUR,1))*INDEX(Материалы!$K$2:$K$9000,MATCH($I43,Материалы!$A$2:$A$9000,0))*(1+IFERROR(INDEX(Работы!$I$2:$I$6000,MATCH($C43,Работы!$A$2:$A$6000,0))/100,0))*(1-ДисконтТендер),0))</f>
        <v>0</v>
      </c>
      <c r="N43" s="10">
        <f t="shared" si="0"/>
        <v>0</v>
      </c>
      <c r="O43" s="10">
        <f t="shared" si="1"/>
        <v>0</v>
      </c>
      <c r="P43" s="10">
        <f t="shared" si="2"/>
        <v>0</v>
      </c>
      <c r="Q43" t="str">
        <f>IFERROR(INDEX(Работы!$J$2:$J$6000,MATCH($C43,Работы!$A$2:$A$6000,0)),"")</f>
        <v>типовая</v>
      </c>
      <c r="R43" t="s">
        <v>92</v>
      </c>
      <c r="T43" t="str">
        <f>IF(AND($P43&gt;0,$R43="да"),MAX($T$1:$T42)+1,"")</f>
        <v/>
      </c>
    </row>
    <row r="44" spans="1:20" ht="57.6" x14ac:dyDescent="0.3">
      <c r="A44" t="str">
        <f>IFERROR(INDEX(Работы!$D$2:$D$6000,MATCH($C44,Работы!$A$2:$A$6000,0)),"")</f>
        <v>Р1</v>
      </c>
      <c r="B44" t="str">
        <f>IFERROR(INDEX(Работы!$F$2:$F$6000,MATCH($C44,Работы!$A$2:$A$6000,0)),"")</f>
        <v>1</v>
      </c>
      <c r="C44" t="str">
        <f>IFERROR(INDEX(Работы!$A$2:$A$6000,43),"")</f>
        <v>РАБ.Р1.1.043</v>
      </c>
      <c r="D44" s="8" t="str">
        <f>IFERROR(INDEX(Работы!$B$2:$B$6000,MATCH($C44,Работы!$A$2:$A$6000,0)),"")</f>
        <v>Исполнительная документация по усилению/устройству несущих конструкций ("КР"), включая пояснительную записку (для объектов менее 100 кв.м.)</v>
      </c>
      <c r="E44" t="str">
        <f>IFERROR(INDEX(Работы!$C$2:$C$6000,MATCH($C44,Работы!$A$2:$A$6000,0)),"")</f>
        <v>компл.</v>
      </c>
      <c r="F44">
        <f>IFERROR(INDEX(Работы!$G$2:$G$6000,MATCH($C44,Работы!$A$2:$A$6000,0)),"")</f>
        <v>0</v>
      </c>
      <c r="G44" t="str">
        <f>IFERROR(INDEX(Работы!$K$2:$K$6000,MATCH($C44,Работы!$A$2:$A$6000,0)),"")</f>
        <v>S_общая</v>
      </c>
      <c r="H44" s="9"/>
      <c r="I44" s="9"/>
      <c r="J44" s="8" t="str">
        <f>IFERROR(INDEX(Материалы!$B$2:$B$9000,MATCH($I44,Материалы!$A$2:$A$9000,0)),"")</f>
        <v/>
      </c>
      <c r="K44" t="str">
        <f>IF($I44="","",IF($F44=IFERROR(INDEX(Материалы!$G$2:$G$9000,MATCH($I44,Материалы!$A$2:$A$9000,0)),""),"OK","!! не та группа"))</f>
        <v/>
      </c>
      <c r="L44" s="10">
        <f>IFERROR(INDEX(Работы!$H$2:$H$6000,MATCH($C44,Работы!$A$2:$A$6000,0))*(1-ДисконтТендер),0)</f>
        <v>1050</v>
      </c>
      <c r="M44" s="10">
        <f>IF($I44="",0,IFERROR(INDEX(Материалы!$I$2:$I$9000,MATCH($I44,Материалы!$A$2:$A$9000,0))*IF(INDEX(Материалы!$J$2:$J$9000,MATCH($I44,Материалы!$A$2:$A$9000,0))="USD",КурсUSD,IF(INDEX(Материалы!$J$2:$J$9000,MATCH($I44,Материалы!$A$2:$A$9000,0))="EUR",КурсEUR,1))*INDEX(Материалы!$K$2:$K$9000,MATCH($I44,Материалы!$A$2:$A$9000,0))*(1+IFERROR(INDEX(Работы!$I$2:$I$6000,MATCH($C44,Работы!$A$2:$A$6000,0))/100,0))*(1-ДисконтТендер),0))</f>
        <v>0</v>
      </c>
      <c r="N44" s="10">
        <f t="shared" si="0"/>
        <v>0</v>
      </c>
      <c r="O44" s="10">
        <f t="shared" si="1"/>
        <v>0</v>
      </c>
      <c r="P44" s="10">
        <f t="shared" si="2"/>
        <v>0</v>
      </c>
      <c r="Q44" t="str">
        <f>IFERROR(INDEX(Работы!$J$2:$J$6000,MATCH($C44,Работы!$A$2:$A$6000,0)),"")</f>
        <v>нетиповая</v>
      </c>
      <c r="R44" t="s">
        <v>92</v>
      </c>
      <c r="T44" t="str">
        <f>IF(AND($P44&gt;0,$R44="да"),MAX($T$1:$T43)+1,"")</f>
        <v/>
      </c>
    </row>
    <row r="45" spans="1:20" ht="43.2" x14ac:dyDescent="0.3">
      <c r="A45" t="str">
        <f>IFERROR(INDEX(Работы!$D$2:$D$6000,MATCH($C45,Работы!$A$2:$A$6000,0)),"")</f>
        <v>Р1</v>
      </c>
      <c r="B45" t="str">
        <f>IFERROR(INDEX(Работы!$F$2:$F$6000,MATCH($C45,Работы!$A$2:$A$6000,0)),"")</f>
        <v>1</v>
      </c>
      <c r="C45" t="str">
        <f>IFERROR(INDEX(Работы!$A$2:$A$6000,44),"")</f>
        <v>РАБ.Р1.1.044</v>
      </c>
      <c r="D45" s="8" t="str">
        <f>IFERROR(INDEX(Работы!$B$2:$B$6000,MATCH($C45,Работы!$A$2:$A$6000,0)),"")</f>
        <v>Исполнительная документация "Архитектурные решения" ("АР"), включая пояснительную записку (для объектов менее 100 кв.м.)</v>
      </c>
      <c r="E45" t="str">
        <f>IFERROR(INDEX(Работы!$C$2:$C$6000,MATCH($C45,Работы!$A$2:$A$6000,0)),"")</f>
        <v>компл.</v>
      </c>
      <c r="F45">
        <f>IFERROR(INDEX(Работы!$G$2:$G$6000,MATCH($C45,Работы!$A$2:$A$6000,0)),"")</f>
        <v>0</v>
      </c>
      <c r="G45" t="str">
        <f>IFERROR(INDEX(Работы!$K$2:$K$6000,MATCH($C45,Работы!$A$2:$A$6000,0)),"")</f>
        <v>S_общая</v>
      </c>
      <c r="H45" s="9"/>
      <c r="I45" s="9"/>
      <c r="J45" s="8" t="str">
        <f>IFERROR(INDEX(Материалы!$B$2:$B$9000,MATCH($I45,Материалы!$A$2:$A$9000,0)),"")</f>
        <v/>
      </c>
      <c r="K45" t="str">
        <f>IF($I45="","",IF($F45=IFERROR(INDEX(Материалы!$G$2:$G$9000,MATCH($I45,Материалы!$A$2:$A$9000,0)),""),"OK","!! не та группа"))</f>
        <v/>
      </c>
      <c r="L45" s="10">
        <f>IFERROR(INDEX(Работы!$H$2:$H$6000,MATCH($C45,Работы!$A$2:$A$6000,0))*(1-ДисконтТендер),0)</f>
        <v>2073.75</v>
      </c>
      <c r="M45" s="10">
        <f>IF($I45="",0,IFERROR(INDEX(Материалы!$I$2:$I$9000,MATCH($I45,Материалы!$A$2:$A$9000,0))*IF(INDEX(Материалы!$J$2:$J$9000,MATCH($I45,Материалы!$A$2:$A$9000,0))="USD",КурсUSD,IF(INDEX(Материалы!$J$2:$J$9000,MATCH($I45,Материалы!$A$2:$A$9000,0))="EUR",КурсEUR,1))*INDEX(Материалы!$K$2:$K$9000,MATCH($I45,Материалы!$A$2:$A$9000,0))*(1+IFERROR(INDEX(Работы!$I$2:$I$6000,MATCH($C45,Работы!$A$2:$A$6000,0))/100,0))*(1-ДисконтТендер),0))</f>
        <v>0</v>
      </c>
      <c r="N45" s="10">
        <f t="shared" si="0"/>
        <v>0</v>
      </c>
      <c r="O45" s="10">
        <f t="shared" si="1"/>
        <v>0</v>
      </c>
      <c r="P45" s="10">
        <f t="shared" si="2"/>
        <v>0</v>
      </c>
      <c r="Q45" t="str">
        <f>IFERROR(INDEX(Работы!$J$2:$J$6000,MATCH($C45,Работы!$A$2:$A$6000,0)),"")</f>
        <v>типовая</v>
      </c>
      <c r="R45" t="s">
        <v>92</v>
      </c>
      <c r="T45" t="str">
        <f>IF(AND($P45&gt;0,$R45="да"),MAX($T$1:$T44)+1,"")</f>
        <v/>
      </c>
    </row>
    <row r="46" spans="1:20" ht="57.6" x14ac:dyDescent="0.3">
      <c r="A46" t="str">
        <f>IFERROR(INDEX(Работы!$D$2:$D$6000,MATCH($C46,Работы!$A$2:$A$6000,0)),"")</f>
        <v>Р1</v>
      </c>
      <c r="B46" t="str">
        <f>IFERROR(INDEX(Работы!$F$2:$F$6000,MATCH($C46,Работы!$A$2:$A$6000,0)),"")</f>
        <v>1</v>
      </c>
      <c r="C46" t="str">
        <f>IFERROR(INDEX(Работы!$A$2:$A$6000,45),"")</f>
        <v>РАБ.Р1.1.045</v>
      </c>
      <c r="D46" s="8" t="str">
        <f>IFERROR(INDEX(Работы!$B$2:$B$6000,MATCH($C46,Работы!$A$2:$A$6000,0)),"")</f>
        <v>Исполнительная документация по электроснабжению и электроосвещению ("ЭОМ"), включая пояснительную записку (для объектов менее 100 кв.м.)</v>
      </c>
      <c r="E46" t="str">
        <f>IFERROR(INDEX(Работы!$C$2:$C$6000,MATCH($C46,Работы!$A$2:$A$6000,0)),"")</f>
        <v>компл.</v>
      </c>
      <c r="F46">
        <f>IFERROR(INDEX(Работы!$G$2:$G$6000,MATCH($C46,Работы!$A$2:$A$6000,0)),"")</f>
        <v>0</v>
      </c>
      <c r="G46" t="str">
        <f>IFERROR(INDEX(Работы!$K$2:$K$6000,MATCH($C46,Работы!$A$2:$A$6000,0)),"")</f>
        <v>S_общая</v>
      </c>
      <c r="H46" s="9"/>
      <c r="I46" s="9"/>
      <c r="J46" s="8" t="str">
        <f>IFERROR(INDEX(Материалы!$B$2:$B$9000,MATCH($I46,Материалы!$A$2:$A$9000,0)),"")</f>
        <v/>
      </c>
      <c r="K46" t="str">
        <f>IF($I46="","",IF($F46=IFERROR(INDEX(Материалы!$G$2:$G$9000,MATCH($I46,Материалы!$A$2:$A$9000,0)),""),"OK","!! не та группа"))</f>
        <v/>
      </c>
      <c r="L46" s="10">
        <f>IFERROR(INDEX(Работы!$H$2:$H$6000,MATCH($C46,Работы!$A$2:$A$6000,0))*(1-ДисконтТендер),0)</f>
        <v>2073.75</v>
      </c>
      <c r="M46" s="10">
        <f>IF($I46="",0,IFERROR(INDEX(Материалы!$I$2:$I$9000,MATCH($I46,Материалы!$A$2:$A$9000,0))*IF(INDEX(Материалы!$J$2:$J$9000,MATCH($I46,Материалы!$A$2:$A$9000,0))="USD",КурсUSD,IF(INDEX(Материалы!$J$2:$J$9000,MATCH($I46,Материалы!$A$2:$A$9000,0))="EUR",КурсEUR,1))*INDEX(Материалы!$K$2:$K$9000,MATCH($I46,Материалы!$A$2:$A$9000,0))*(1+IFERROR(INDEX(Работы!$I$2:$I$6000,MATCH($C46,Работы!$A$2:$A$6000,0))/100,0))*(1-ДисконтТендер),0))</f>
        <v>0</v>
      </c>
      <c r="N46" s="10">
        <f t="shared" si="0"/>
        <v>0</v>
      </c>
      <c r="O46" s="10">
        <f t="shared" si="1"/>
        <v>0</v>
      </c>
      <c r="P46" s="10">
        <f t="shared" si="2"/>
        <v>0</v>
      </c>
      <c r="Q46" t="str">
        <f>IFERROR(INDEX(Работы!$J$2:$J$6000,MATCH($C46,Работы!$A$2:$A$6000,0)),"")</f>
        <v>типовая</v>
      </c>
      <c r="R46" t="s">
        <v>92</v>
      </c>
      <c r="T46" t="str">
        <f>IF(AND($P46&gt;0,$R46="да"),MAX($T$1:$T45)+1,"")</f>
        <v/>
      </c>
    </row>
    <row r="47" spans="1:20" ht="43.2" x14ac:dyDescent="0.3">
      <c r="A47" t="str">
        <f>IFERROR(INDEX(Работы!$D$2:$D$6000,MATCH($C47,Работы!$A$2:$A$6000,0)),"")</f>
        <v>Р1</v>
      </c>
      <c r="B47" t="str">
        <f>IFERROR(INDEX(Работы!$F$2:$F$6000,MATCH($C47,Работы!$A$2:$A$6000,0)),"")</f>
        <v>1</v>
      </c>
      <c r="C47" t="str">
        <f>IFERROR(INDEX(Работы!$A$2:$A$6000,46),"")</f>
        <v>РАБ.Р1.1.046</v>
      </c>
      <c r="D47" s="8" t="str">
        <f>IFERROR(INDEX(Работы!$B$2:$B$6000,MATCH($C47,Работы!$A$2:$A$6000,0)),"")</f>
        <v>Исполнительная документация Системы вентиляции ("ОВиК-В"), включая пояснительную записку (для объектов менее 100 кв.м.)</v>
      </c>
      <c r="E47" t="str">
        <f>IFERROR(INDEX(Работы!$C$2:$C$6000,MATCH($C47,Работы!$A$2:$A$6000,0)),"")</f>
        <v>компл.</v>
      </c>
      <c r="F47">
        <f>IFERROR(INDEX(Работы!$G$2:$G$6000,MATCH($C47,Работы!$A$2:$A$6000,0)),"")</f>
        <v>0</v>
      </c>
      <c r="G47" t="str">
        <f>IFERROR(INDEX(Работы!$K$2:$K$6000,MATCH($C47,Работы!$A$2:$A$6000,0)),"")</f>
        <v>S_общая</v>
      </c>
      <c r="H47" s="9"/>
      <c r="I47" s="9"/>
      <c r="J47" s="8" t="str">
        <f>IFERROR(INDEX(Материалы!$B$2:$B$9000,MATCH($I47,Материалы!$A$2:$A$9000,0)),"")</f>
        <v/>
      </c>
      <c r="K47" t="str">
        <f>IF($I47="","",IF($F47=IFERROR(INDEX(Материалы!$G$2:$G$9000,MATCH($I47,Материалы!$A$2:$A$9000,0)),""),"OK","!! не та группа"))</f>
        <v/>
      </c>
      <c r="L47" s="10">
        <f>IFERROR(INDEX(Работы!$H$2:$H$6000,MATCH($C47,Работы!$A$2:$A$6000,0))*(1-ДисконтТендер),0)</f>
        <v>1559.25</v>
      </c>
      <c r="M47" s="10">
        <f>IF($I47="",0,IFERROR(INDEX(Материалы!$I$2:$I$9000,MATCH($I47,Материалы!$A$2:$A$9000,0))*IF(INDEX(Материалы!$J$2:$J$9000,MATCH($I47,Материалы!$A$2:$A$9000,0))="USD",КурсUSD,IF(INDEX(Материалы!$J$2:$J$9000,MATCH($I47,Материалы!$A$2:$A$9000,0))="EUR",КурсEUR,1))*INDEX(Материалы!$K$2:$K$9000,MATCH($I47,Материалы!$A$2:$A$9000,0))*(1+IFERROR(INDEX(Работы!$I$2:$I$6000,MATCH($C47,Работы!$A$2:$A$6000,0))/100,0))*(1-ДисконтТендер),0))</f>
        <v>0</v>
      </c>
      <c r="N47" s="10">
        <f t="shared" si="0"/>
        <v>0</v>
      </c>
      <c r="O47" s="10">
        <f t="shared" si="1"/>
        <v>0</v>
      </c>
      <c r="P47" s="10">
        <f t="shared" si="2"/>
        <v>0</v>
      </c>
      <c r="Q47" t="str">
        <f>IFERROR(INDEX(Работы!$J$2:$J$6000,MATCH($C47,Работы!$A$2:$A$6000,0)),"")</f>
        <v>типовая</v>
      </c>
      <c r="R47" t="s">
        <v>92</v>
      </c>
      <c r="T47" t="str">
        <f>IF(AND($P47&gt;0,$R47="да"),MAX($T$1:$T46)+1,"")</f>
        <v/>
      </c>
    </row>
    <row r="48" spans="1:20" ht="57.6" x14ac:dyDescent="0.3">
      <c r="A48" t="str">
        <f>IFERROR(INDEX(Работы!$D$2:$D$6000,MATCH($C48,Работы!$A$2:$A$6000,0)),"")</f>
        <v>Р1</v>
      </c>
      <c r="B48" t="str">
        <f>IFERROR(INDEX(Работы!$F$2:$F$6000,MATCH($C48,Работы!$A$2:$A$6000,0)),"")</f>
        <v>1</v>
      </c>
      <c r="C48" t="str">
        <f>IFERROR(INDEX(Работы!$A$2:$A$6000,47),"")</f>
        <v>РАБ.Р1.1.047</v>
      </c>
      <c r="D48" s="8" t="str">
        <f>IFERROR(INDEX(Работы!$B$2:$B$6000,MATCH($C48,Работы!$A$2:$A$6000,0)),"")</f>
        <v>Исполнительная документация Системы кондиционирования ("ОВиК-К"), включая пояснительную записку (для объектов менее 100 кв.м.)</v>
      </c>
      <c r="E48" t="str">
        <f>IFERROR(INDEX(Работы!$C$2:$C$6000,MATCH($C48,Работы!$A$2:$A$6000,0)),"")</f>
        <v>компл.</v>
      </c>
      <c r="F48">
        <f>IFERROR(INDEX(Работы!$G$2:$G$6000,MATCH($C48,Работы!$A$2:$A$6000,0)),"")</f>
        <v>0</v>
      </c>
      <c r="G48" t="str">
        <f>IFERROR(INDEX(Работы!$K$2:$K$6000,MATCH($C48,Работы!$A$2:$A$6000,0)),"")</f>
        <v>S_общая</v>
      </c>
      <c r="H48" s="9"/>
      <c r="I48" s="9"/>
      <c r="J48" s="8" t="str">
        <f>IFERROR(INDEX(Материалы!$B$2:$B$9000,MATCH($I48,Материалы!$A$2:$A$9000,0)),"")</f>
        <v/>
      </c>
      <c r="K48" t="str">
        <f>IF($I48="","",IF($F48=IFERROR(INDEX(Материалы!$G$2:$G$9000,MATCH($I48,Материалы!$A$2:$A$9000,0)),""),"OK","!! не та группа"))</f>
        <v/>
      </c>
      <c r="L48" s="10">
        <f>IFERROR(INDEX(Работы!$H$2:$H$6000,MATCH($C48,Работы!$A$2:$A$6000,0))*(1-ДисконтТендер),0)</f>
        <v>1039.5</v>
      </c>
      <c r="M48" s="10">
        <f>IF($I48="",0,IFERROR(INDEX(Материалы!$I$2:$I$9000,MATCH($I48,Материалы!$A$2:$A$9000,0))*IF(INDEX(Материалы!$J$2:$J$9000,MATCH($I48,Материалы!$A$2:$A$9000,0))="USD",КурсUSD,IF(INDEX(Материалы!$J$2:$J$9000,MATCH($I48,Материалы!$A$2:$A$9000,0))="EUR",КурсEUR,1))*INDEX(Материалы!$K$2:$K$9000,MATCH($I48,Материалы!$A$2:$A$9000,0))*(1+IFERROR(INDEX(Работы!$I$2:$I$6000,MATCH($C48,Работы!$A$2:$A$6000,0))/100,0))*(1-ДисконтТендер),0))</f>
        <v>0</v>
      </c>
      <c r="N48" s="10">
        <f t="shared" si="0"/>
        <v>0</v>
      </c>
      <c r="O48" s="10">
        <f t="shared" si="1"/>
        <v>0</v>
      </c>
      <c r="P48" s="10">
        <f t="shared" si="2"/>
        <v>0</v>
      </c>
      <c r="Q48" t="str">
        <f>IFERROR(INDEX(Работы!$J$2:$J$6000,MATCH($C48,Работы!$A$2:$A$6000,0)),"")</f>
        <v>типовая</v>
      </c>
      <c r="R48" t="s">
        <v>92</v>
      </c>
      <c r="T48" t="str">
        <f>IF(AND($P48&gt;0,$R48="да"),MAX($T$1:$T47)+1,"")</f>
        <v/>
      </c>
    </row>
    <row r="49" spans="1:20" ht="57.6" x14ac:dyDescent="0.3">
      <c r="A49" t="str">
        <f>IFERROR(INDEX(Работы!$D$2:$D$6000,MATCH($C49,Работы!$A$2:$A$6000,0)),"")</f>
        <v>Р1</v>
      </c>
      <c r="B49" t="str">
        <f>IFERROR(INDEX(Работы!$F$2:$F$6000,MATCH($C49,Работы!$A$2:$A$6000,0)),"")</f>
        <v>1</v>
      </c>
      <c r="C49" t="str">
        <f>IFERROR(INDEX(Работы!$A$2:$A$6000,48),"")</f>
        <v>РАБ.Р1.1.048</v>
      </c>
      <c r="D49" s="8" t="str">
        <f>IFERROR(INDEX(Работы!$B$2:$B$6000,MATCH($C49,Работы!$A$2:$A$6000,0)),"")</f>
        <v>Исполнительная документация Системы отопления ("ОВиК-О"), включая Пояснительную записку и Теплотехнический расчет (для объектов менее 100 кв.м.)</v>
      </c>
      <c r="E49" t="str">
        <f>IFERROR(INDEX(Работы!$C$2:$C$6000,MATCH($C49,Работы!$A$2:$A$6000,0)),"")</f>
        <v>компл.</v>
      </c>
      <c r="F49">
        <f>IFERROR(INDEX(Работы!$G$2:$G$6000,MATCH($C49,Работы!$A$2:$A$6000,0)),"")</f>
        <v>0</v>
      </c>
      <c r="G49" t="str">
        <f>IFERROR(INDEX(Работы!$K$2:$K$6000,MATCH($C49,Работы!$A$2:$A$6000,0)),"")</f>
        <v>S_общая</v>
      </c>
      <c r="H49" s="9"/>
      <c r="I49" s="9"/>
      <c r="J49" s="8" t="str">
        <f>IFERROR(INDEX(Материалы!$B$2:$B$9000,MATCH($I49,Материалы!$A$2:$A$9000,0)),"")</f>
        <v/>
      </c>
      <c r="K49" t="str">
        <f>IF($I49="","",IF($F49=IFERROR(INDEX(Материалы!$G$2:$G$9000,MATCH($I49,Материалы!$A$2:$A$9000,0)),""),"OK","!! не та группа"))</f>
        <v/>
      </c>
      <c r="L49" s="10">
        <f>IFERROR(INDEX(Работы!$H$2:$H$6000,MATCH($C49,Работы!$A$2:$A$6000,0))*(1-ДисконтТендер),0)</f>
        <v>1039.5</v>
      </c>
      <c r="M49" s="10">
        <f>IF($I49="",0,IFERROR(INDEX(Материалы!$I$2:$I$9000,MATCH($I49,Материалы!$A$2:$A$9000,0))*IF(INDEX(Материалы!$J$2:$J$9000,MATCH($I49,Материалы!$A$2:$A$9000,0))="USD",КурсUSD,IF(INDEX(Материалы!$J$2:$J$9000,MATCH($I49,Материалы!$A$2:$A$9000,0))="EUR",КурсEUR,1))*INDEX(Материалы!$K$2:$K$9000,MATCH($I49,Материалы!$A$2:$A$9000,0))*(1+IFERROR(INDEX(Работы!$I$2:$I$6000,MATCH($C49,Работы!$A$2:$A$6000,0))/100,0))*(1-ДисконтТендер),0))</f>
        <v>0</v>
      </c>
      <c r="N49" s="10">
        <f t="shared" si="0"/>
        <v>0</v>
      </c>
      <c r="O49" s="10">
        <f t="shared" si="1"/>
        <v>0</v>
      </c>
      <c r="P49" s="10">
        <f t="shared" si="2"/>
        <v>0</v>
      </c>
      <c r="Q49" t="str">
        <f>IFERROR(INDEX(Работы!$J$2:$J$6000,MATCH($C49,Работы!$A$2:$A$6000,0)),"")</f>
        <v>типовая</v>
      </c>
      <c r="R49" t="s">
        <v>92</v>
      </c>
      <c r="T49" t="str">
        <f>IF(AND($P49&gt;0,$R49="да"),MAX($T$1:$T48)+1,"")</f>
        <v/>
      </c>
    </row>
    <row r="50" spans="1:20" ht="57.6" x14ac:dyDescent="0.3">
      <c r="A50" t="str">
        <f>IFERROR(INDEX(Работы!$D$2:$D$6000,MATCH($C50,Работы!$A$2:$A$6000,0)),"")</f>
        <v>Р1</v>
      </c>
      <c r="B50" t="str">
        <f>IFERROR(INDEX(Работы!$F$2:$F$6000,MATCH($C50,Работы!$A$2:$A$6000,0)),"")</f>
        <v>1</v>
      </c>
      <c r="C50" t="str">
        <f>IFERROR(INDEX(Работы!$A$2:$A$6000,49),"")</f>
        <v>РАБ.Р1.1.049</v>
      </c>
      <c r="D50" s="8" t="str">
        <f>IFERROR(INDEX(Работы!$B$2:$B$6000,MATCH($C50,Работы!$A$2:$A$6000,0)),"")</f>
        <v>Исполнительная документация Системы водоснабжения и канализации ("ВК"), включая пояснительную записку (для объектов менее 100 кв.м.)</v>
      </c>
      <c r="E50" t="str">
        <f>IFERROR(INDEX(Работы!$C$2:$C$6000,MATCH($C50,Работы!$A$2:$A$6000,0)),"")</f>
        <v>компл.</v>
      </c>
      <c r="F50">
        <f>IFERROR(INDEX(Работы!$G$2:$G$6000,MATCH($C50,Работы!$A$2:$A$6000,0)),"")</f>
        <v>0</v>
      </c>
      <c r="G50" t="str">
        <f>IFERROR(INDEX(Работы!$K$2:$K$6000,MATCH($C50,Работы!$A$2:$A$6000,0)),"")</f>
        <v>S_общая</v>
      </c>
      <c r="H50" s="9"/>
      <c r="I50" s="9"/>
      <c r="J50" s="8" t="str">
        <f>IFERROR(INDEX(Материалы!$B$2:$B$9000,MATCH($I50,Материалы!$A$2:$A$9000,0)),"")</f>
        <v/>
      </c>
      <c r="K50" t="str">
        <f>IF($I50="","",IF($F50=IFERROR(INDEX(Материалы!$G$2:$G$9000,MATCH($I50,Материалы!$A$2:$A$9000,0)),""),"OK","!! не та группа"))</f>
        <v/>
      </c>
      <c r="L50" s="10">
        <f>IFERROR(INDEX(Работы!$H$2:$H$6000,MATCH($C50,Работы!$A$2:$A$6000,0))*(1-ДисконтТендер),0)</f>
        <v>1039.5</v>
      </c>
      <c r="M50" s="10">
        <f>IF($I50="",0,IFERROR(INDEX(Материалы!$I$2:$I$9000,MATCH($I50,Материалы!$A$2:$A$9000,0))*IF(INDEX(Материалы!$J$2:$J$9000,MATCH($I50,Материалы!$A$2:$A$9000,0))="USD",КурсUSD,IF(INDEX(Материалы!$J$2:$J$9000,MATCH($I50,Материалы!$A$2:$A$9000,0))="EUR",КурсEUR,1))*INDEX(Материалы!$K$2:$K$9000,MATCH($I50,Материалы!$A$2:$A$9000,0))*(1+IFERROR(INDEX(Работы!$I$2:$I$6000,MATCH($C50,Работы!$A$2:$A$6000,0))/100,0))*(1-ДисконтТендер),0))</f>
        <v>0</v>
      </c>
      <c r="N50" s="10">
        <f t="shared" si="0"/>
        <v>0</v>
      </c>
      <c r="O50" s="10">
        <f t="shared" si="1"/>
        <v>0</v>
      </c>
      <c r="P50" s="10">
        <f t="shared" si="2"/>
        <v>0</v>
      </c>
      <c r="Q50" t="str">
        <f>IFERROR(INDEX(Работы!$J$2:$J$6000,MATCH($C50,Работы!$A$2:$A$6000,0)),"")</f>
        <v>типовая</v>
      </c>
      <c r="R50" t="s">
        <v>92</v>
      </c>
      <c r="T50" t="str">
        <f>IF(AND($P50&gt;0,$R50="да"),MAX($T$1:$T49)+1,"")</f>
        <v/>
      </c>
    </row>
    <row r="51" spans="1:20" ht="72" x14ac:dyDescent="0.3">
      <c r="A51" t="str">
        <f>IFERROR(INDEX(Работы!$D$2:$D$6000,MATCH($C51,Работы!$A$2:$A$6000,0)),"")</f>
        <v>Р1</v>
      </c>
      <c r="B51" t="str">
        <f>IFERROR(INDEX(Работы!$F$2:$F$6000,MATCH($C51,Работы!$A$2:$A$6000,0)),"")</f>
        <v>1</v>
      </c>
      <c r="C51" t="str">
        <f>IFERROR(INDEX(Работы!$A$2:$A$6000,50),"")</f>
        <v>РАБ.Р1.1.050</v>
      </c>
      <c r="D51" s="8" t="str">
        <f>IFERROR(INDEX(Работы!$B$2:$B$6000,MATCH($C51,Работы!$A$2:$A$6000,0)),"")</f>
        <v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v>
      </c>
      <c r="E51" t="str">
        <f>IFERROR(INDEX(Работы!$C$2:$C$6000,MATCH($C51,Работы!$A$2:$A$6000,0)),"")</f>
        <v>компл.</v>
      </c>
      <c r="F51">
        <f>IFERROR(INDEX(Работы!$G$2:$G$6000,MATCH($C51,Работы!$A$2:$A$6000,0)),"")</f>
        <v>0</v>
      </c>
      <c r="G51" t="str">
        <f>IFERROR(INDEX(Работы!$K$2:$K$6000,MATCH($C51,Работы!$A$2:$A$6000,0)),"")</f>
        <v>S_общая</v>
      </c>
      <c r="H51" s="9"/>
      <c r="I51" s="9"/>
      <c r="J51" s="8" t="str">
        <f>IFERROR(INDEX(Материалы!$B$2:$B$9000,MATCH($I51,Материалы!$A$2:$A$9000,0)),"")</f>
        <v/>
      </c>
      <c r="K51" t="str">
        <f>IF($I51="","",IF($F51=IFERROR(INDEX(Материалы!$G$2:$G$9000,MATCH($I51,Материалы!$A$2:$A$9000,0)),""),"OK","!! не та группа"))</f>
        <v/>
      </c>
      <c r="L51" s="10">
        <f>IFERROR(INDEX(Работы!$H$2:$H$6000,MATCH($C51,Работы!$A$2:$A$6000,0))*(1-ДисконтТендер),0)</f>
        <v>1559.25</v>
      </c>
      <c r="M51" s="10">
        <f>IF($I51="",0,IFERROR(INDEX(Материалы!$I$2:$I$9000,MATCH($I51,Материалы!$A$2:$A$9000,0))*IF(INDEX(Материалы!$J$2:$J$9000,MATCH($I51,Материалы!$A$2:$A$9000,0))="USD",КурсUSD,IF(INDEX(Материалы!$J$2:$J$9000,MATCH($I51,Материалы!$A$2:$A$9000,0))="EUR",КурсEUR,1))*INDEX(Материалы!$K$2:$K$9000,MATCH($I51,Материалы!$A$2:$A$9000,0))*(1+IFERROR(INDEX(Работы!$I$2:$I$6000,MATCH($C51,Работы!$A$2:$A$6000,0))/100,0))*(1-ДисконтТендер),0))</f>
        <v>0</v>
      </c>
      <c r="N51" s="10">
        <f t="shared" si="0"/>
        <v>0</v>
      </c>
      <c r="O51" s="10">
        <f t="shared" si="1"/>
        <v>0</v>
      </c>
      <c r="P51" s="10">
        <f t="shared" si="2"/>
        <v>0</v>
      </c>
      <c r="Q51" t="str">
        <f>IFERROR(INDEX(Работы!$J$2:$J$6000,MATCH($C51,Работы!$A$2:$A$6000,0)),"")</f>
        <v>типовая</v>
      </c>
      <c r="R51" t="s">
        <v>92</v>
      </c>
      <c r="T51" t="str">
        <f>IF(AND($P51&gt;0,$R51="да"),MAX($T$1:$T50)+1,"")</f>
        <v/>
      </c>
    </row>
    <row r="52" spans="1:20" ht="57.6" x14ac:dyDescent="0.3">
      <c r="A52" t="str">
        <f>IFERROR(INDEX(Работы!$D$2:$D$6000,MATCH($C52,Работы!$A$2:$A$6000,0)),"")</f>
        <v>Р1</v>
      </c>
      <c r="B52" t="str">
        <f>IFERROR(INDEX(Работы!$F$2:$F$6000,MATCH($C52,Работы!$A$2:$A$6000,0)),"")</f>
        <v>1</v>
      </c>
      <c r="C52" t="str">
        <f>IFERROR(INDEX(Работы!$A$2:$A$6000,51),"")</f>
        <v>РАБ.Р1.1.051</v>
      </c>
      <c r="D52" s="8" t="str">
        <f>IFERROR(INDEX(Работы!$B$2:$B$6000,MATCH($C52,Работы!$A$2:$A$6000,0)),"")</f>
        <v>Исполнительная документация Системы Внутреннего противопожарного водопровода ("ВПВ"), включая пояснительную записку (для объектов менее 100 кв.м.)</v>
      </c>
      <c r="E52" t="str">
        <f>IFERROR(INDEX(Работы!$C$2:$C$6000,MATCH($C52,Работы!$A$2:$A$6000,0)),"")</f>
        <v>компл.</v>
      </c>
      <c r="F52">
        <f>IFERROR(INDEX(Работы!$G$2:$G$6000,MATCH($C52,Работы!$A$2:$A$6000,0)),"")</f>
        <v>0</v>
      </c>
      <c r="G52" t="str">
        <f>IFERROR(INDEX(Работы!$K$2:$K$6000,MATCH($C52,Работы!$A$2:$A$6000,0)),"")</f>
        <v>S_общая</v>
      </c>
      <c r="H52" s="9"/>
      <c r="I52" s="9"/>
      <c r="J52" s="8" t="str">
        <f>IFERROR(INDEX(Материалы!$B$2:$B$9000,MATCH($I52,Материалы!$A$2:$A$9000,0)),"")</f>
        <v/>
      </c>
      <c r="K52" t="str">
        <f>IF($I52="","",IF($F52=IFERROR(INDEX(Материалы!$G$2:$G$9000,MATCH($I52,Материалы!$A$2:$A$9000,0)),""),"OK","!! не та группа"))</f>
        <v/>
      </c>
      <c r="L52" s="10">
        <f>IFERROR(INDEX(Работы!$H$2:$H$6000,MATCH($C52,Работы!$A$2:$A$6000,0))*(1-ДисконтТендер),0)</f>
        <v>1039.5</v>
      </c>
      <c r="M52" s="10">
        <f>IF($I52="",0,IFERROR(INDEX(Материалы!$I$2:$I$9000,MATCH($I52,Материалы!$A$2:$A$9000,0))*IF(INDEX(Материалы!$J$2:$J$9000,MATCH($I52,Материалы!$A$2:$A$9000,0))="USD",КурсUSD,IF(INDEX(Материалы!$J$2:$J$9000,MATCH($I52,Материалы!$A$2:$A$9000,0))="EUR",КурсEUR,1))*INDEX(Материалы!$K$2:$K$9000,MATCH($I52,Материалы!$A$2:$A$9000,0))*(1+IFERROR(INDEX(Работы!$I$2:$I$6000,MATCH($C52,Работы!$A$2:$A$6000,0))/100,0))*(1-ДисконтТендер),0))</f>
        <v>0</v>
      </c>
      <c r="N52" s="10">
        <f t="shared" si="0"/>
        <v>0</v>
      </c>
      <c r="O52" s="10">
        <f t="shared" si="1"/>
        <v>0</v>
      </c>
      <c r="P52" s="10">
        <f t="shared" si="2"/>
        <v>0</v>
      </c>
      <c r="Q52" t="str">
        <f>IFERROR(INDEX(Работы!$J$2:$J$6000,MATCH($C52,Работы!$A$2:$A$6000,0)),"")</f>
        <v>типовая</v>
      </c>
      <c r="R52" t="s">
        <v>92</v>
      </c>
      <c r="T52" t="str">
        <f>IF(AND($P52&gt;0,$R52="да"),MAX($T$1:$T51)+1,"")</f>
        <v/>
      </c>
    </row>
    <row r="53" spans="1:20" ht="43.2" x14ac:dyDescent="0.3">
      <c r="A53" t="str">
        <f>IFERROR(INDEX(Работы!$D$2:$D$6000,MATCH($C53,Работы!$A$2:$A$6000,0)),"")</f>
        <v>Р1</v>
      </c>
      <c r="B53" t="str">
        <f>IFERROR(INDEX(Работы!$F$2:$F$6000,MATCH($C53,Работы!$A$2:$A$6000,0)),"")</f>
        <v>1</v>
      </c>
      <c r="C53" t="str">
        <f>IFERROR(INDEX(Работы!$A$2:$A$6000,52),"")</f>
        <v>РАБ.Р1.1.052</v>
      </c>
      <c r="D53" s="8" t="str">
        <f>IFERROR(INDEX(Работы!$B$2:$B$6000,MATCH($C53,Работы!$A$2:$A$6000,0)),"")</f>
        <v>Исполнительная документация Системы дымоудаления ("ДУ"), включая пояснительную записку (для объектов менее 100 кв.м.)</v>
      </c>
      <c r="E53" t="str">
        <f>IFERROR(INDEX(Работы!$C$2:$C$6000,MATCH($C53,Работы!$A$2:$A$6000,0)),"")</f>
        <v>компл.</v>
      </c>
      <c r="F53">
        <f>IFERROR(INDEX(Работы!$G$2:$G$6000,MATCH($C53,Работы!$A$2:$A$6000,0)),"")</f>
        <v>0</v>
      </c>
      <c r="G53" t="str">
        <f>IFERROR(INDEX(Работы!$K$2:$K$6000,MATCH($C53,Работы!$A$2:$A$6000,0)),"")</f>
        <v>S_общая</v>
      </c>
      <c r="H53" s="9"/>
      <c r="I53" s="9"/>
      <c r="J53" s="8" t="str">
        <f>IFERROR(INDEX(Материалы!$B$2:$B$9000,MATCH($I53,Материалы!$A$2:$A$9000,0)),"")</f>
        <v/>
      </c>
      <c r="K53" t="str">
        <f>IF($I53="","",IF($F53=IFERROR(INDEX(Материалы!$G$2:$G$9000,MATCH($I53,Материалы!$A$2:$A$9000,0)),""),"OK","!! не та группа"))</f>
        <v/>
      </c>
      <c r="L53" s="10">
        <f>IFERROR(INDEX(Работы!$H$2:$H$6000,MATCH($C53,Работы!$A$2:$A$6000,0))*(1-ДисконтТендер),0)</f>
        <v>1559.25</v>
      </c>
      <c r="M53" s="10">
        <f>IF($I53="",0,IFERROR(INDEX(Материалы!$I$2:$I$9000,MATCH($I53,Материалы!$A$2:$A$9000,0))*IF(INDEX(Материалы!$J$2:$J$9000,MATCH($I53,Материалы!$A$2:$A$9000,0))="USD",КурсUSD,IF(INDEX(Материалы!$J$2:$J$9000,MATCH($I53,Материалы!$A$2:$A$9000,0))="EUR",КурсEUR,1))*INDEX(Материалы!$K$2:$K$9000,MATCH($I53,Материалы!$A$2:$A$9000,0))*(1+IFERROR(INDEX(Работы!$I$2:$I$6000,MATCH($C53,Работы!$A$2:$A$6000,0))/100,0))*(1-ДисконтТендер),0))</f>
        <v>0</v>
      </c>
      <c r="N53" s="10">
        <f t="shared" si="0"/>
        <v>0</v>
      </c>
      <c r="O53" s="10">
        <f t="shared" si="1"/>
        <v>0</v>
      </c>
      <c r="P53" s="10">
        <f t="shared" si="2"/>
        <v>0</v>
      </c>
      <c r="Q53" t="str">
        <f>IFERROR(INDEX(Работы!$J$2:$J$6000,MATCH($C53,Работы!$A$2:$A$6000,0)),"")</f>
        <v>типовая</v>
      </c>
      <c r="R53" t="s">
        <v>92</v>
      </c>
      <c r="T53" t="str">
        <f>IF(AND($P53&gt;0,$R53="да"),MAX($T$1:$T52)+1,"")</f>
        <v/>
      </c>
    </row>
    <row r="54" spans="1:20" ht="28.8" x14ac:dyDescent="0.3">
      <c r="A54" t="str">
        <f>IFERROR(INDEX(Работы!$D$2:$D$6000,MATCH($C54,Работы!$A$2:$A$6000,0)),"")</f>
        <v>Р1</v>
      </c>
      <c r="B54" t="str">
        <f>IFERROR(INDEX(Работы!$F$2:$F$6000,MATCH($C54,Работы!$A$2:$A$6000,0)),"")</f>
        <v>1</v>
      </c>
      <c r="C54" t="str">
        <f>IFERROR(INDEX(Работы!$A$2:$A$6000,53),"")</f>
        <v>РАБ.Р1.1.053</v>
      </c>
      <c r="D54" s="8" t="str">
        <f>IFERROR(INDEX(Работы!$B$2:$B$6000,MATCH($C54,Работы!$A$2:$A$6000,0)),"")</f>
        <v>Рабочая документация "Автоматическая пожарная сигнализация" (АПС)</v>
      </c>
      <c r="E54" t="str">
        <f>IFERROR(INDEX(Работы!$C$2:$C$6000,MATCH($C54,Работы!$A$2:$A$6000,0)),"")</f>
        <v>м2</v>
      </c>
      <c r="F54">
        <f>IFERROR(INDEX(Работы!$G$2:$G$6000,MATCH($C54,Работы!$A$2:$A$6000,0)),"")</f>
        <v>0</v>
      </c>
      <c r="G54" t="str">
        <f>IFERROR(INDEX(Работы!$K$2:$K$6000,MATCH($C54,Работы!$A$2:$A$6000,0)),"")</f>
        <v>S_общая</v>
      </c>
      <c r="H54" s="9"/>
      <c r="I54" s="9"/>
      <c r="J54" s="8" t="str">
        <f>IFERROR(INDEX(Материалы!$B$2:$B$9000,MATCH($I54,Материалы!$A$2:$A$9000,0)),"")</f>
        <v/>
      </c>
      <c r="K54" t="str">
        <f>IF($I54="","",IF($F54=IFERROR(INDEX(Материалы!$G$2:$G$9000,MATCH($I54,Материалы!$A$2:$A$9000,0)),""),"OK","!! не та группа"))</f>
        <v/>
      </c>
      <c r="L54" s="10">
        <f>IFERROR(INDEX(Работы!$H$2:$H$6000,MATCH($C54,Работы!$A$2:$A$6000,0))*(1-ДисконтТендер),0)</f>
        <v>70.349999999999994</v>
      </c>
      <c r="M54" s="10">
        <f>IF($I54="",0,IFERROR(INDEX(Материалы!$I$2:$I$9000,MATCH($I54,Материалы!$A$2:$A$9000,0))*IF(INDEX(Материалы!$J$2:$J$9000,MATCH($I54,Материалы!$A$2:$A$9000,0))="USD",КурсUSD,IF(INDEX(Материалы!$J$2:$J$9000,MATCH($I54,Материалы!$A$2:$A$9000,0))="EUR",КурсEUR,1))*INDEX(Материалы!$K$2:$K$9000,MATCH($I54,Материалы!$A$2:$A$9000,0))*(1+IFERROR(INDEX(Работы!$I$2:$I$6000,MATCH($C54,Работы!$A$2:$A$6000,0))/100,0))*(1-ДисконтТендер),0))</f>
        <v>0</v>
      </c>
      <c r="N54" s="10">
        <f t="shared" si="0"/>
        <v>0</v>
      </c>
      <c r="O54" s="10">
        <f t="shared" si="1"/>
        <v>0</v>
      </c>
      <c r="P54" s="10">
        <f t="shared" si="2"/>
        <v>0</v>
      </c>
      <c r="Q54" t="str">
        <f>IFERROR(INDEX(Работы!$J$2:$J$6000,MATCH($C54,Работы!$A$2:$A$6000,0)),"")</f>
        <v>типовая</v>
      </c>
      <c r="R54" t="s">
        <v>92</v>
      </c>
      <c r="T54" t="str">
        <f>IF(AND($P54&gt;0,$R54="да"),MAX($T$1:$T53)+1,"")</f>
        <v/>
      </c>
    </row>
    <row r="55" spans="1:20" ht="43.2" x14ac:dyDescent="0.3">
      <c r="A55" t="str">
        <f>IFERROR(INDEX(Работы!$D$2:$D$6000,MATCH($C55,Работы!$A$2:$A$6000,0)),"")</f>
        <v>Р1</v>
      </c>
      <c r="B55" t="str">
        <f>IFERROR(INDEX(Работы!$F$2:$F$6000,MATCH($C55,Работы!$A$2:$A$6000,0)),"")</f>
        <v>1</v>
      </c>
      <c r="C55" t="str">
        <f>IFERROR(INDEX(Работы!$A$2:$A$6000,54),"")</f>
        <v>РАБ.Р1.1.054</v>
      </c>
      <c r="D55" s="8" t="str">
        <f>IFERROR(INDEX(Работы!$B$2:$B$6000,MATCH($C55,Работы!$A$2:$A$6000,0)),"")</f>
        <v>Рабочая документация "Система оповещения и управления эвакуацией людей при пожаре" (СОУЭ)</v>
      </c>
      <c r="E55" t="str">
        <f>IFERROR(INDEX(Работы!$C$2:$C$6000,MATCH($C55,Работы!$A$2:$A$6000,0)),"")</f>
        <v>м2</v>
      </c>
      <c r="F55">
        <f>IFERROR(INDEX(Работы!$G$2:$G$6000,MATCH($C55,Работы!$A$2:$A$6000,0)),"")</f>
        <v>0</v>
      </c>
      <c r="G55" t="str">
        <f>IFERROR(INDEX(Работы!$K$2:$K$6000,MATCH($C55,Работы!$A$2:$A$6000,0)),"")</f>
        <v>S_общая</v>
      </c>
      <c r="H55" s="9"/>
      <c r="I55" s="9"/>
      <c r="J55" s="8" t="str">
        <f>IFERROR(INDEX(Материалы!$B$2:$B$9000,MATCH($I55,Материалы!$A$2:$A$9000,0)),"")</f>
        <v/>
      </c>
      <c r="K55" t="str">
        <f>IF($I55="","",IF($F55=IFERROR(INDEX(Материалы!$G$2:$G$9000,MATCH($I55,Материалы!$A$2:$A$9000,0)),""),"OK","!! не та группа"))</f>
        <v/>
      </c>
      <c r="L55" s="10">
        <f>IFERROR(INDEX(Работы!$H$2:$H$6000,MATCH($C55,Работы!$A$2:$A$6000,0))*(1-ДисконтТендер),0)</f>
        <v>40.950000000000003</v>
      </c>
      <c r="M55" s="10">
        <f>IF($I55="",0,IFERROR(INDEX(Материалы!$I$2:$I$9000,MATCH($I55,Материалы!$A$2:$A$9000,0))*IF(INDEX(Материалы!$J$2:$J$9000,MATCH($I55,Материалы!$A$2:$A$9000,0))="USD",КурсUSD,IF(INDEX(Материалы!$J$2:$J$9000,MATCH($I55,Материалы!$A$2:$A$9000,0))="EUR",КурсEUR,1))*INDEX(Материалы!$K$2:$K$9000,MATCH($I55,Материалы!$A$2:$A$9000,0))*(1+IFERROR(INDEX(Работы!$I$2:$I$6000,MATCH($C55,Работы!$A$2:$A$6000,0))/100,0))*(1-ДисконтТендер),0))</f>
        <v>0</v>
      </c>
      <c r="N55" s="10">
        <f t="shared" si="0"/>
        <v>0</v>
      </c>
      <c r="O55" s="10">
        <f t="shared" si="1"/>
        <v>0</v>
      </c>
      <c r="P55" s="10">
        <f t="shared" si="2"/>
        <v>0</v>
      </c>
      <c r="Q55" t="str">
        <f>IFERROR(INDEX(Работы!$J$2:$J$6000,MATCH($C55,Работы!$A$2:$A$6000,0)),"")</f>
        <v>типовая</v>
      </c>
      <c r="R55" t="s">
        <v>92</v>
      </c>
      <c r="T55" t="str">
        <f>IF(AND($P55&gt;0,$R55="да"),MAX($T$1:$T54)+1,"")</f>
        <v/>
      </c>
    </row>
    <row r="56" spans="1:20" ht="43.2" x14ac:dyDescent="0.3">
      <c r="A56" t="str">
        <f>IFERROR(INDEX(Работы!$D$2:$D$6000,MATCH($C56,Работы!$A$2:$A$6000,0)),"")</f>
        <v>Р1</v>
      </c>
      <c r="B56" t="str">
        <f>IFERROR(INDEX(Работы!$F$2:$F$6000,MATCH($C56,Работы!$A$2:$A$6000,0)),"")</f>
        <v>1</v>
      </c>
      <c r="C56" t="str">
        <f>IFERROR(INDEX(Работы!$A$2:$A$6000,55),"")</f>
        <v>РАБ.Р1.1.055</v>
      </c>
      <c r="D56" s="8" t="str">
        <f>IFERROR(INDEX(Работы!$B$2:$B$6000,MATCH($C56,Работы!$A$2:$A$6000,0)),"")</f>
        <v>Рабочая документация "Автоматизация системы внутреннего противопожарного водопровода (ВПВ)</v>
      </c>
      <c r="E56" t="str">
        <f>IFERROR(INDEX(Работы!$C$2:$C$6000,MATCH($C56,Работы!$A$2:$A$6000,0)),"")</f>
        <v>м2</v>
      </c>
      <c r="F56">
        <f>IFERROR(INDEX(Работы!$G$2:$G$6000,MATCH($C56,Работы!$A$2:$A$6000,0)),"")</f>
        <v>0</v>
      </c>
      <c r="G56" t="str">
        <f>IFERROR(INDEX(Работы!$K$2:$K$6000,MATCH($C56,Работы!$A$2:$A$6000,0)),"")</f>
        <v>S_общая</v>
      </c>
      <c r="H56" s="9"/>
      <c r="I56" s="9"/>
      <c r="J56" s="8" t="str">
        <f>IFERROR(INDEX(Материалы!$B$2:$B$9000,MATCH($I56,Материалы!$A$2:$A$9000,0)),"")</f>
        <v/>
      </c>
      <c r="K56" t="str">
        <f>IF($I56="","",IF($F56=IFERROR(INDEX(Материалы!$G$2:$G$9000,MATCH($I56,Материалы!$A$2:$A$9000,0)),""),"OK","!! не та группа"))</f>
        <v/>
      </c>
      <c r="L56" s="10">
        <f>IFERROR(INDEX(Работы!$H$2:$H$6000,MATCH($C56,Работы!$A$2:$A$6000,0))*(1-ДисконтТендер),0)</f>
        <v>8.4</v>
      </c>
      <c r="M56" s="10">
        <f>IF($I56="",0,IFERROR(INDEX(Материалы!$I$2:$I$9000,MATCH($I56,Материалы!$A$2:$A$9000,0))*IF(INDEX(Материалы!$J$2:$J$9000,MATCH($I56,Материалы!$A$2:$A$9000,0))="USD",КурсUSD,IF(INDEX(Материалы!$J$2:$J$9000,MATCH($I56,Материалы!$A$2:$A$9000,0))="EUR",КурсEUR,1))*INDEX(Материалы!$K$2:$K$9000,MATCH($I56,Материалы!$A$2:$A$9000,0))*(1+IFERROR(INDEX(Работы!$I$2:$I$6000,MATCH($C56,Работы!$A$2:$A$6000,0))/100,0))*(1-ДисконтТендер),0))</f>
        <v>0</v>
      </c>
      <c r="N56" s="10">
        <f t="shared" si="0"/>
        <v>0</v>
      </c>
      <c r="O56" s="10">
        <f t="shared" si="1"/>
        <v>0</v>
      </c>
      <c r="P56" s="10">
        <f t="shared" si="2"/>
        <v>0</v>
      </c>
      <c r="Q56" t="str">
        <f>IFERROR(INDEX(Работы!$J$2:$J$6000,MATCH($C56,Работы!$A$2:$A$6000,0)),"")</f>
        <v>типовая</v>
      </c>
      <c r="R56" t="s">
        <v>92</v>
      </c>
      <c r="T56" t="str">
        <f>IF(AND($P56&gt;0,$R56="да"),MAX($T$1:$T55)+1,"")</f>
        <v/>
      </c>
    </row>
    <row r="57" spans="1:20" ht="28.8" x14ac:dyDescent="0.3">
      <c r="A57" t="str">
        <f>IFERROR(INDEX(Работы!$D$2:$D$6000,MATCH($C57,Работы!$A$2:$A$6000,0)),"")</f>
        <v>Р1</v>
      </c>
      <c r="B57" t="str">
        <f>IFERROR(INDEX(Работы!$F$2:$F$6000,MATCH($C57,Работы!$A$2:$A$6000,0)),"")</f>
        <v>1</v>
      </c>
      <c r="C57" t="str">
        <f>IFERROR(INDEX(Работы!$A$2:$A$6000,56),"")</f>
        <v>РАБ.Р1.1.056</v>
      </c>
      <c r="D57" s="8" t="str">
        <f>IFERROR(INDEX(Работы!$B$2:$B$6000,MATCH($C57,Работы!$A$2:$A$6000,0)),"")</f>
        <v>Рабочая документация "Автоматизация системы противодымной вентиляции (ПДВ")"</v>
      </c>
      <c r="E57" t="str">
        <f>IFERROR(INDEX(Работы!$C$2:$C$6000,MATCH($C57,Работы!$A$2:$A$6000,0)),"")</f>
        <v>м2</v>
      </c>
      <c r="F57">
        <f>IFERROR(INDEX(Работы!$G$2:$G$6000,MATCH($C57,Работы!$A$2:$A$6000,0)),"")</f>
        <v>0</v>
      </c>
      <c r="G57" t="str">
        <f>IFERROR(INDEX(Работы!$K$2:$K$6000,MATCH($C57,Работы!$A$2:$A$6000,0)),"")</f>
        <v>S_общая</v>
      </c>
      <c r="H57" s="9"/>
      <c r="I57" s="9"/>
      <c r="J57" s="8" t="str">
        <f>IFERROR(INDEX(Материалы!$B$2:$B$9000,MATCH($I57,Материалы!$A$2:$A$9000,0)),"")</f>
        <v/>
      </c>
      <c r="K57" t="str">
        <f>IF($I57="","",IF($F57=IFERROR(INDEX(Материалы!$G$2:$G$9000,MATCH($I57,Материалы!$A$2:$A$9000,0)),""),"OK","!! не та группа"))</f>
        <v/>
      </c>
      <c r="L57" s="10">
        <f>IFERROR(INDEX(Работы!$H$2:$H$6000,MATCH($C57,Работы!$A$2:$A$6000,0))*(1-ДисконтТендер),0)</f>
        <v>26.25</v>
      </c>
      <c r="M57" s="10">
        <f>IF($I57="",0,IFERROR(INDEX(Материалы!$I$2:$I$9000,MATCH($I57,Материалы!$A$2:$A$9000,0))*IF(INDEX(Материалы!$J$2:$J$9000,MATCH($I57,Материалы!$A$2:$A$9000,0))="USD",КурсUSD,IF(INDEX(Материалы!$J$2:$J$9000,MATCH($I57,Материалы!$A$2:$A$9000,0))="EUR",КурсEUR,1))*INDEX(Материалы!$K$2:$K$9000,MATCH($I57,Материалы!$A$2:$A$9000,0))*(1+IFERROR(INDEX(Работы!$I$2:$I$6000,MATCH($C57,Работы!$A$2:$A$6000,0))/100,0))*(1-ДисконтТендер),0))</f>
        <v>0</v>
      </c>
      <c r="N57" s="10">
        <f t="shared" si="0"/>
        <v>0</v>
      </c>
      <c r="O57" s="10">
        <f t="shared" si="1"/>
        <v>0</v>
      </c>
      <c r="P57" s="10">
        <f t="shared" si="2"/>
        <v>0</v>
      </c>
      <c r="Q57" t="str">
        <f>IFERROR(INDEX(Работы!$J$2:$J$6000,MATCH($C57,Работы!$A$2:$A$6000,0)),"")</f>
        <v>типовая</v>
      </c>
      <c r="R57" t="s">
        <v>92</v>
      </c>
      <c r="T57" t="str">
        <f>IF(AND($P57&gt;0,$R57="да"),MAX($T$1:$T56)+1,"")</f>
        <v/>
      </c>
    </row>
    <row r="58" spans="1:20" ht="43.2" x14ac:dyDescent="0.3">
      <c r="A58" t="str">
        <f>IFERROR(INDEX(Работы!$D$2:$D$6000,MATCH($C58,Работы!$A$2:$A$6000,0)),"")</f>
        <v>Р1</v>
      </c>
      <c r="B58" t="str">
        <f>IFERROR(INDEX(Работы!$F$2:$F$6000,MATCH($C58,Работы!$A$2:$A$6000,0)),"")</f>
        <v>1</v>
      </c>
      <c r="C58" t="str">
        <f>IFERROR(INDEX(Работы!$A$2:$A$6000,57),"")</f>
        <v>РАБ.Р1.1.057</v>
      </c>
      <c r="D58" s="8" t="str">
        <f>IFERROR(INDEX(Работы!$B$2:$B$6000,MATCH($C58,Работы!$A$2:$A$6000,0)),"")</f>
        <v>Рабочая документация "Автоматизация Системы отопления, вентиляции и кондиционирования (ОВиК)"</v>
      </c>
      <c r="E58" t="str">
        <f>IFERROR(INDEX(Работы!$C$2:$C$6000,MATCH($C58,Работы!$A$2:$A$6000,0)),"")</f>
        <v>м2</v>
      </c>
      <c r="F58">
        <f>IFERROR(INDEX(Работы!$G$2:$G$6000,MATCH($C58,Работы!$A$2:$A$6000,0)),"")</f>
        <v>0</v>
      </c>
      <c r="G58" t="str">
        <f>IFERROR(INDEX(Работы!$K$2:$K$6000,MATCH($C58,Работы!$A$2:$A$6000,0)),"")</f>
        <v>S_общая</v>
      </c>
      <c r="H58" s="9"/>
      <c r="I58" s="9"/>
      <c r="J58" s="8" t="str">
        <f>IFERROR(INDEX(Материалы!$B$2:$B$9000,MATCH($I58,Материалы!$A$2:$A$9000,0)),"")</f>
        <v/>
      </c>
      <c r="K58" t="str">
        <f>IF($I58="","",IF($F58=IFERROR(INDEX(Материалы!$G$2:$G$9000,MATCH($I58,Материалы!$A$2:$A$9000,0)),""),"OK","!! не та группа"))</f>
        <v/>
      </c>
      <c r="L58" s="10">
        <f>IFERROR(INDEX(Работы!$H$2:$H$6000,MATCH($C58,Работы!$A$2:$A$6000,0))*(1-ДисконтТендер),0)</f>
        <v>3.15</v>
      </c>
      <c r="M58" s="10">
        <f>IF($I58="",0,IFERROR(INDEX(Материалы!$I$2:$I$9000,MATCH($I58,Материалы!$A$2:$A$9000,0))*IF(INDEX(Материалы!$J$2:$J$9000,MATCH($I58,Материалы!$A$2:$A$9000,0))="USD",КурсUSD,IF(INDEX(Материалы!$J$2:$J$9000,MATCH($I58,Материалы!$A$2:$A$9000,0))="EUR",КурсEUR,1))*INDEX(Материалы!$K$2:$K$9000,MATCH($I58,Материалы!$A$2:$A$9000,0))*(1+IFERROR(INDEX(Работы!$I$2:$I$6000,MATCH($C58,Работы!$A$2:$A$6000,0))/100,0))*(1-ДисконтТендер),0))</f>
        <v>0</v>
      </c>
      <c r="N58" s="10">
        <f t="shared" si="0"/>
        <v>0</v>
      </c>
      <c r="O58" s="10">
        <f t="shared" si="1"/>
        <v>0</v>
      </c>
      <c r="P58" s="10">
        <f t="shared" si="2"/>
        <v>0</v>
      </c>
      <c r="Q58" t="str">
        <f>IFERROR(INDEX(Работы!$J$2:$J$6000,MATCH($C58,Работы!$A$2:$A$6000,0)),"")</f>
        <v>типовая</v>
      </c>
      <c r="R58" t="s">
        <v>92</v>
      </c>
      <c r="T58" t="str">
        <f>IF(AND($P58&gt;0,$R58="да"),MAX($T$1:$T57)+1,"")</f>
        <v/>
      </c>
    </row>
    <row r="59" spans="1:20" ht="28.8" x14ac:dyDescent="0.3">
      <c r="A59" t="str">
        <f>IFERROR(INDEX(Работы!$D$2:$D$6000,MATCH($C59,Работы!$A$2:$A$6000,0)),"")</f>
        <v>Р1</v>
      </c>
      <c r="B59" t="str">
        <f>IFERROR(INDEX(Работы!$F$2:$F$6000,MATCH($C59,Работы!$A$2:$A$6000,0)),"")</f>
        <v>1</v>
      </c>
      <c r="C59" t="str">
        <f>IFERROR(INDEX(Работы!$A$2:$A$6000,58),"")</f>
        <v>РАБ.Р1.1.058</v>
      </c>
      <c r="D59" s="8" t="str">
        <f>IFERROR(INDEX(Работы!$B$2:$B$6000,MATCH($C59,Работы!$A$2:$A$6000,0)),"")</f>
        <v>Рабочая документация "Автоматизация Системы аварийного освещения (АО)"</v>
      </c>
      <c r="E59" t="str">
        <f>IFERROR(INDEX(Работы!$C$2:$C$6000,MATCH($C59,Работы!$A$2:$A$6000,0)),"")</f>
        <v>м2</v>
      </c>
      <c r="F59">
        <f>IFERROR(INDEX(Работы!$G$2:$G$6000,MATCH($C59,Работы!$A$2:$A$6000,0)),"")</f>
        <v>0</v>
      </c>
      <c r="G59" t="str">
        <f>IFERROR(INDEX(Работы!$K$2:$K$6000,MATCH($C59,Работы!$A$2:$A$6000,0)),"")</f>
        <v>S_общая</v>
      </c>
      <c r="H59" s="9"/>
      <c r="I59" s="9"/>
      <c r="J59" s="8" t="str">
        <f>IFERROR(INDEX(Материалы!$B$2:$B$9000,MATCH($I59,Материалы!$A$2:$A$9000,0)),"")</f>
        <v/>
      </c>
      <c r="K59" t="str">
        <f>IF($I59="","",IF($F59=IFERROR(INDEX(Материалы!$G$2:$G$9000,MATCH($I59,Материалы!$A$2:$A$9000,0)),""),"OK","!! не та группа"))</f>
        <v/>
      </c>
      <c r="L59" s="10">
        <f>IFERROR(INDEX(Работы!$H$2:$H$6000,MATCH($C59,Работы!$A$2:$A$6000,0))*(1-ДисконтТендер),0)</f>
        <v>1.05</v>
      </c>
      <c r="M59" s="10">
        <f>IF($I59="",0,IFERROR(INDEX(Материалы!$I$2:$I$9000,MATCH($I59,Материалы!$A$2:$A$9000,0))*IF(INDEX(Материалы!$J$2:$J$9000,MATCH($I59,Материалы!$A$2:$A$9000,0))="USD",КурсUSD,IF(INDEX(Материалы!$J$2:$J$9000,MATCH($I59,Материалы!$A$2:$A$9000,0))="EUR",КурсEUR,1))*INDEX(Материалы!$K$2:$K$9000,MATCH($I59,Материалы!$A$2:$A$9000,0))*(1+IFERROR(INDEX(Работы!$I$2:$I$6000,MATCH($C59,Работы!$A$2:$A$6000,0))/100,0))*(1-ДисконтТендер),0))</f>
        <v>0</v>
      </c>
      <c r="N59" s="10">
        <f t="shared" si="0"/>
        <v>0</v>
      </c>
      <c r="O59" s="10">
        <f t="shared" si="1"/>
        <v>0</v>
      </c>
      <c r="P59" s="10">
        <f t="shared" si="2"/>
        <v>0</v>
      </c>
      <c r="Q59" t="str">
        <f>IFERROR(INDEX(Работы!$J$2:$J$6000,MATCH($C59,Работы!$A$2:$A$6000,0)),"")</f>
        <v>типовая</v>
      </c>
      <c r="R59" t="s">
        <v>92</v>
      </c>
      <c r="T59" t="str">
        <f>IF(AND($P59&gt;0,$R59="да"),MAX($T$1:$T58)+1,"")</f>
        <v/>
      </c>
    </row>
    <row r="60" spans="1:20" ht="28.8" x14ac:dyDescent="0.3">
      <c r="A60" t="str">
        <f>IFERROR(INDEX(Работы!$D$2:$D$6000,MATCH($C60,Работы!$A$2:$A$6000,0)),"")</f>
        <v>Р1</v>
      </c>
      <c r="B60" t="str">
        <f>IFERROR(INDEX(Работы!$F$2:$F$6000,MATCH($C60,Работы!$A$2:$A$6000,0)),"")</f>
        <v>1</v>
      </c>
      <c r="C60" t="str">
        <f>IFERROR(INDEX(Работы!$A$2:$A$6000,59),"")</f>
        <v>РАБ.Р1.1.059</v>
      </c>
      <c r="D60" s="8" t="str">
        <f>IFERROR(INDEX(Работы!$B$2:$B$6000,MATCH($C60,Работы!$A$2:$A$6000,0)),"")</f>
        <v>Рабочая документация "Автоматизации лифтовового хозяйства"</v>
      </c>
      <c r="E60" t="str">
        <f>IFERROR(INDEX(Работы!$C$2:$C$6000,MATCH($C60,Работы!$A$2:$A$6000,0)),"")</f>
        <v>м2</v>
      </c>
      <c r="F60">
        <f>IFERROR(INDEX(Работы!$G$2:$G$6000,MATCH($C60,Работы!$A$2:$A$6000,0)),"")</f>
        <v>0</v>
      </c>
      <c r="G60" t="str">
        <f>IFERROR(INDEX(Работы!$K$2:$K$6000,MATCH($C60,Работы!$A$2:$A$6000,0)),"")</f>
        <v>S_общая</v>
      </c>
      <c r="H60" s="9"/>
      <c r="I60" s="9"/>
      <c r="J60" s="8" t="str">
        <f>IFERROR(INDEX(Материалы!$B$2:$B$9000,MATCH($I60,Материалы!$A$2:$A$9000,0)),"")</f>
        <v/>
      </c>
      <c r="K60" t="str">
        <f>IF($I60="","",IF($F60=IFERROR(INDEX(Материалы!$G$2:$G$9000,MATCH($I60,Материалы!$A$2:$A$9000,0)),""),"OK","!! не та группа"))</f>
        <v/>
      </c>
      <c r="L60" s="10">
        <f>IFERROR(INDEX(Работы!$H$2:$H$6000,MATCH($C60,Работы!$A$2:$A$6000,0))*(1-ДисконтТендер),0)</f>
        <v>1.05</v>
      </c>
      <c r="M60" s="10">
        <f>IF($I60="",0,IFERROR(INDEX(Материалы!$I$2:$I$9000,MATCH($I60,Материалы!$A$2:$A$9000,0))*IF(INDEX(Материалы!$J$2:$J$9000,MATCH($I60,Материалы!$A$2:$A$9000,0))="USD",КурсUSD,IF(INDEX(Материалы!$J$2:$J$9000,MATCH($I60,Материалы!$A$2:$A$9000,0))="EUR",КурсEUR,1))*INDEX(Материалы!$K$2:$K$9000,MATCH($I60,Материалы!$A$2:$A$9000,0))*(1+IFERROR(INDEX(Работы!$I$2:$I$6000,MATCH($C60,Работы!$A$2:$A$6000,0))/100,0))*(1-ДисконтТендер),0))</f>
        <v>0</v>
      </c>
      <c r="N60" s="10">
        <f t="shared" si="0"/>
        <v>0</v>
      </c>
      <c r="O60" s="10">
        <f t="shared" si="1"/>
        <v>0</v>
      </c>
      <c r="P60" s="10">
        <f t="shared" si="2"/>
        <v>0</v>
      </c>
      <c r="Q60" t="str">
        <f>IFERROR(INDEX(Работы!$J$2:$J$6000,MATCH($C60,Работы!$A$2:$A$6000,0)),"")</f>
        <v>нетиповая</v>
      </c>
      <c r="R60" t="s">
        <v>92</v>
      </c>
      <c r="T60" t="str">
        <f>IF(AND($P60&gt;0,$R60="да"),MAX($T$1:$T59)+1,"")</f>
        <v/>
      </c>
    </row>
    <row r="61" spans="1:20" ht="28.8" x14ac:dyDescent="0.3">
      <c r="A61" t="str">
        <f>IFERROR(INDEX(Работы!$D$2:$D$6000,MATCH($C61,Работы!$A$2:$A$6000,0)),"")</f>
        <v>Р1</v>
      </c>
      <c r="B61" t="str">
        <f>IFERROR(INDEX(Работы!$F$2:$F$6000,MATCH($C61,Работы!$A$2:$A$6000,0)),"")</f>
        <v>1</v>
      </c>
      <c r="C61" t="str">
        <f>IFERROR(INDEX(Работы!$A$2:$A$6000,60),"")</f>
        <v>РАБ.Р1.1.060</v>
      </c>
      <c r="D61" s="8" t="str">
        <f>IFERROR(INDEX(Работы!$B$2:$B$6000,MATCH($C61,Работы!$A$2:$A$6000,0)),"")</f>
        <v>Рабочая документация "Автоматизации Системы контроля управления доступом (СКУД)"</v>
      </c>
      <c r="E61" t="str">
        <f>IFERROR(INDEX(Работы!$C$2:$C$6000,MATCH($C61,Работы!$A$2:$A$6000,0)),"")</f>
        <v>м2</v>
      </c>
      <c r="F61">
        <f>IFERROR(INDEX(Работы!$G$2:$G$6000,MATCH($C61,Работы!$A$2:$A$6000,0)),"")</f>
        <v>0</v>
      </c>
      <c r="G61" t="str">
        <f>IFERROR(INDEX(Работы!$K$2:$K$6000,MATCH($C61,Работы!$A$2:$A$6000,0)),"")</f>
        <v>S_общая</v>
      </c>
      <c r="H61" s="9"/>
      <c r="I61" s="9"/>
      <c r="J61" s="8" t="str">
        <f>IFERROR(INDEX(Материалы!$B$2:$B$9000,MATCH($I61,Материалы!$A$2:$A$9000,0)),"")</f>
        <v/>
      </c>
      <c r="K61" t="str">
        <f>IF($I61="","",IF($F61=IFERROR(INDEX(Материалы!$G$2:$G$9000,MATCH($I61,Материалы!$A$2:$A$9000,0)),""),"OK","!! не та группа"))</f>
        <v/>
      </c>
      <c r="L61" s="10">
        <f>IFERROR(INDEX(Работы!$H$2:$H$6000,MATCH($C61,Работы!$A$2:$A$6000,0))*(1-ДисконтТендер),0)</f>
        <v>1.05</v>
      </c>
      <c r="M61" s="10">
        <f>IF($I61="",0,IFERROR(INDEX(Материалы!$I$2:$I$9000,MATCH($I61,Материалы!$A$2:$A$9000,0))*IF(INDEX(Материалы!$J$2:$J$9000,MATCH($I61,Материалы!$A$2:$A$9000,0))="USD",КурсUSD,IF(INDEX(Материалы!$J$2:$J$9000,MATCH($I61,Материалы!$A$2:$A$9000,0))="EUR",КурсEUR,1))*INDEX(Материалы!$K$2:$K$9000,MATCH($I61,Материалы!$A$2:$A$9000,0))*(1+IFERROR(INDEX(Работы!$I$2:$I$6000,MATCH($C61,Работы!$A$2:$A$6000,0))/100,0))*(1-ДисконтТендер),0))</f>
        <v>0</v>
      </c>
      <c r="N61" s="10">
        <f t="shared" si="0"/>
        <v>0</v>
      </c>
      <c r="O61" s="10">
        <f t="shared" si="1"/>
        <v>0</v>
      </c>
      <c r="P61" s="10">
        <f t="shared" si="2"/>
        <v>0</v>
      </c>
      <c r="Q61" t="str">
        <f>IFERROR(INDEX(Работы!$J$2:$J$6000,MATCH($C61,Работы!$A$2:$A$6000,0)),"")</f>
        <v>типовая</v>
      </c>
      <c r="R61" t="s">
        <v>92</v>
      </c>
      <c r="T61" t="str">
        <f>IF(AND($P61&gt;0,$R61="да"),MAX($T$1:$T60)+1,"")</f>
        <v/>
      </c>
    </row>
    <row r="62" spans="1:20" ht="57.6" x14ac:dyDescent="0.3">
      <c r="A62" t="str">
        <f>IFERROR(INDEX(Работы!$D$2:$D$6000,MATCH($C62,Работы!$A$2:$A$6000,0)),"")</f>
        <v>Р1</v>
      </c>
      <c r="B62" t="str">
        <f>IFERROR(INDEX(Работы!$F$2:$F$6000,MATCH($C62,Работы!$A$2:$A$6000,0)),"")</f>
        <v>1</v>
      </c>
      <c r="C62" t="str">
        <f>IFERROR(INDEX(Работы!$A$2:$A$6000,61),"")</f>
        <v>РАБ.Р1.1.061</v>
      </c>
      <c r="D62" s="8" t="str">
        <f>IFERROR(INDEX(Работы!$B$2:$B$6000,MATCH($C62,Работы!$A$2:$A$6000,0)),"")</f>
        <v>Стоимость согласования проекта перепланировки/реставрации объекта культурного наследия в соответствии с нормативными актами г.______________.</v>
      </c>
      <c r="E62" t="str">
        <f>IFERROR(INDEX(Работы!$C$2:$C$6000,MATCH($C62,Работы!$A$2:$A$6000,0)),"")</f>
        <v>м2</v>
      </c>
      <c r="F62">
        <f>IFERROR(INDEX(Работы!$G$2:$G$6000,MATCH($C62,Работы!$A$2:$A$6000,0)),"")</f>
        <v>0</v>
      </c>
      <c r="G62" t="str">
        <f>IFERROR(INDEX(Работы!$K$2:$K$6000,MATCH($C62,Работы!$A$2:$A$6000,0)),"")</f>
        <v>S_общая</v>
      </c>
      <c r="H62" s="9"/>
      <c r="I62" s="9"/>
      <c r="J62" s="8" t="str">
        <f>IFERROR(INDEX(Материалы!$B$2:$B$9000,MATCH($I62,Материалы!$A$2:$A$9000,0)),"")</f>
        <v/>
      </c>
      <c r="K62" t="str">
        <f>IF($I62="","",IF($F62=IFERROR(INDEX(Материалы!$G$2:$G$9000,MATCH($I62,Материалы!$A$2:$A$9000,0)),""),"OK","!! не та группа"))</f>
        <v/>
      </c>
      <c r="L62" s="10">
        <f>IFERROR(INDEX(Работы!$H$2:$H$6000,MATCH($C62,Работы!$A$2:$A$6000,0))*(1-ДисконтТендер),0)</f>
        <v>0</v>
      </c>
      <c r="M62" s="10">
        <f>IF($I62="",0,IFERROR(INDEX(Материалы!$I$2:$I$9000,MATCH($I62,Материалы!$A$2:$A$9000,0))*IF(INDEX(Материалы!$J$2:$J$9000,MATCH($I62,Материалы!$A$2:$A$9000,0))="USD",КурсUSD,IF(INDEX(Материалы!$J$2:$J$9000,MATCH($I62,Материалы!$A$2:$A$9000,0))="EUR",КурсEUR,1))*INDEX(Материалы!$K$2:$K$9000,MATCH($I62,Материалы!$A$2:$A$9000,0))*(1+IFERROR(INDEX(Работы!$I$2:$I$6000,MATCH($C62,Работы!$A$2:$A$6000,0))/100,0))*(1-ДисконтТендер),0))</f>
        <v>0</v>
      </c>
      <c r="N62" s="10">
        <f t="shared" si="0"/>
        <v>0</v>
      </c>
      <c r="O62" s="10">
        <f t="shared" si="1"/>
        <v>0</v>
      </c>
      <c r="P62" s="10">
        <f t="shared" si="2"/>
        <v>0</v>
      </c>
      <c r="Q62" t="str">
        <f>IFERROR(INDEX(Работы!$J$2:$J$6000,MATCH($C62,Работы!$A$2:$A$6000,0)),"")</f>
        <v>типовая</v>
      </c>
      <c r="R62" t="s">
        <v>92</v>
      </c>
      <c r="T62" t="str">
        <f>IF(AND($P62&gt;0,$R62="да"),MAX($T$1:$T61)+1,"")</f>
        <v/>
      </c>
    </row>
    <row r="63" spans="1:20" ht="57.6" x14ac:dyDescent="0.3">
      <c r="A63" t="str">
        <f>IFERROR(INDEX(Работы!$D$2:$D$6000,MATCH($C63,Работы!$A$2:$A$6000,0)),"")</f>
        <v>Р1</v>
      </c>
      <c r="B63" t="str">
        <f>IFERROR(INDEX(Работы!$F$2:$F$6000,MATCH($C63,Работы!$A$2:$A$6000,0)),"")</f>
        <v>1</v>
      </c>
      <c r="C63" t="str">
        <f>IFERROR(INDEX(Работы!$A$2:$A$6000,62),"")</f>
        <v>РАБ.Р1.1.062</v>
      </c>
      <c r="D63" s="8" t="str">
        <f>IFERROR(INDEX(Работы!$B$2:$B$6000,MATCH($C63,Работы!$A$2:$A$6000,0)),"")</f>
        <v>Стоимость согласования проекта перепланировки/реконструкции объекта в соответствии с нормативными актами г.______________.</v>
      </c>
      <c r="E63" t="str">
        <f>IFERROR(INDEX(Работы!$C$2:$C$6000,MATCH($C63,Работы!$A$2:$A$6000,0)),"")</f>
        <v>м2</v>
      </c>
      <c r="F63">
        <f>IFERROR(INDEX(Работы!$G$2:$G$6000,MATCH($C63,Работы!$A$2:$A$6000,0)),"")</f>
        <v>0</v>
      </c>
      <c r="G63" t="str">
        <f>IFERROR(INDEX(Работы!$K$2:$K$6000,MATCH($C63,Работы!$A$2:$A$6000,0)),"")</f>
        <v>S_общая</v>
      </c>
      <c r="H63" s="9"/>
      <c r="I63" s="9"/>
      <c r="J63" s="8" t="str">
        <f>IFERROR(INDEX(Материалы!$B$2:$B$9000,MATCH($I63,Материалы!$A$2:$A$9000,0)),"")</f>
        <v/>
      </c>
      <c r="K63" t="str">
        <f>IF($I63="","",IF($F63=IFERROR(INDEX(Материалы!$G$2:$G$9000,MATCH($I63,Материалы!$A$2:$A$9000,0)),""),"OK","!! не та группа"))</f>
        <v/>
      </c>
      <c r="L63" s="10">
        <f>IFERROR(INDEX(Работы!$H$2:$H$6000,MATCH($C63,Работы!$A$2:$A$6000,0))*(1-ДисконтТендер),0)</f>
        <v>0</v>
      </c>
      <c r="M63" s="10">
        <f>IF($I63="",0,IFERROR(INDEX(Материалы!$I$2:$I$9000,MATCH($I63,Материалы!$A$2:$A$9000,0))*IF(INDEX(Материалы!$J$2:$J$9000,MATCH($I63,Материалы!$A$2:$A$9000,0))="USD",КурсUSD,IF(INDEX(Материалы!$J$2:$J$9000,MATCH($I63,Материалы!$A$2:$A$9000,0))="EUR",КурсEUR,1))*INDEX(Материалы!$K$2:$K$9000,MATCH($I63,Материалы!$A$2:$A$9000,0))*(1+IFERROR(INDEX(Работы!$I$2:$I$6000,MATCH($C63,Работы!$A$2:$A$6000,0))/100,0))*(1-ДисконтТендер),0))</f>
        <v>0</v>
      </c>
      <c r="N63" s="10">
        <f t="shared" si="0"/>
        <v>0</v>
      </c>
      <c r="O63" s="10">
        <f t="shared" si="1"/>
        <v>0</v>
      </c>
      <c r="P63" s="10">
        <f t="shared" si="2"/>
        <v>0</v>
      </c>
      <c r="Q63" t="str">
        <f>IFERROR(INDEX(Работы!$J$2:$J$6000,MATCH($C63,Работы!$A$2:$A$6000,0)),"")</f>
        <v>типовая</v>
      </c>
      <c r="R63" t="s">
        <v>92</v>
      </c>
      <c r="T63" t="str">
        <f>IF(AND($P63&gt;0,$R63="да"),MAX($T$1:$T62)+1,"")</f>
        <v/>
      </c>
    </row>
    <row r="64" spans="1:20" x14ac:dyDescent="0.3">
      <c r="A64" t="str">
        <f>IFERROR(INDEX(Работы!$D$2:$D$6000,MATCH($C64,Работы!$A$2:$A$6000,0)),"")</f>
        <v>Р1</v>
      </c>
      <c r="B64" t="str">
        <f>IFERROR(INDEX(Работы!$F$2:$F$6000,MATCH($C64,Работы!$A$2:$A$6000,0)),"")</f>
        <v>1</v>
      </c>
      <c r="C64" t="str">
        <f>IFERROR(INDEX(Работы!$A$2:$A$6000,63),"")</f>
        <v>РАБ.Р1.1.063</v>
      </c>
      <c r="D64" s="8" t="str">
        <f>IFERROR(INDEX(Работы!$B$2:$B$6000,MATCH($C64,Работы!$A$2:$A$6000,0)),"")</f>
        <v>Получение паспорта БТИ (в черных линиях)</v>
      </c>
      <c r="E64" t="str">
        <f>IFERROR(INDEX(Работы!$C$2:$C$6000,MATCH($C64,Работы!$A$2:$A$6000,0)),"")</f>
        <v>м2</v>
      </c>
      <c r="F64">
        <f>IFERROR(INDEX(Работы!$G$2:$G$6000,MATCH($C64,Работы!$A$2:$A$6000,0)),"")</f>
        <v>0</v>
      </c>
      <c r="G64" t="str">
        <f>IFERROR(INDEX(Работы!$K$2:$K$6000,MATCH($C64,Работы!$A$2:$A$6000,0)),"")</f>
        <v>S_общая</v>
      </c>
      <c r="H64" s="9"/>
      <c r="I64" s="9"/>
      <c r="J64" s="8" t="str">
        <f>IFERROR(INDEX(Материалы!$B$2:$B$9000,MATCH($I64,Материалы!$A$2:$A$9000,0)),"")</f>
        <v/>
      </c>
      <c r="K64" t="str">
        <f>IF($I64="","",IF($F64=IFERROR(INDEX(Материалы!$G$2:$G$9000,MATCH($I64,Материалы!$A$2:$A$9000,0)),""),"OK","!! не та группа"))</f>
        <v/>
      </c>
      <c r="L64" s="10">
        <f>IFERROR(INDEX(Работы!$H$2:$H$6000,MATCH($C64,Работы!$A$2:$A$6000,0))*(1-ДисконтТендер),0)</f>
        <v>0</v>
      </c>
      <c r="M64" s="10">
        <f>IF($I64="",0,IFERROR(INDEX(Материалы!$I$2:$I$9000,MATCH($I64,Материалы!$A$2:$A$9000,0))*IF(INDEX(Материалы!$J$2:$J$9000,MATCH($I64,Материалы!$A$2:$A$9000,0))="USD",КурсUSD,IF(INDEX(Материалы!$J$2:$J$9000,MATCH($I64,Материалы!$A$2:$A$9000,0))="EUR",КурсEUR,1))*INDEX(Материалы!$K$2:$K$9000,MATCH($I64,Материалы!$A$2:$A$9000,0))*(1+IFERROR(INDEX(Работы!$I$2:$I$6000,MATCH($C64,Работы!$A$2:$A$6000,0))/100,0))*(1-ДисконтТендер),0))</f>
        <v>0</v>
      </c>
      <c r="N64" s="10">
        <f t="shared" si="0"/>
        <v>0</v>
      </c>
      <c r="O64" s="10">
        <f t="shared" si="1"/>
        <v>0</v>
      </c>
      <c r="P64" s="10">
        <f t="shared" si="2"/>
        <v>0</v>
      </c>
      <c r="Q64" t="str">
        <f>IFERROR(INDEX(Работы!$J$2:$J$6000,MATCH($C64,Работы!$A$2:$A$6000,0)),"")</f>
        <v>типовая</v>
      </c>
      <c r="R64" t="s">
        <v>92</v>
      </c>
      <c r="T64" t="str">
        <f>IF(AND($P64&gt;0,$R64="да"),MAX($T$1:$T63)+1,"")</f>
        <v/>
      </c>
    </row>
    <row r="65" spans="1:20" ht="57.6" x14ac:dyDescent="0.3">
      <c r="A65" t="str">
        <f>IFERROR(INDEX(Работы!$D$2:$D$6000,MATCH($C65,Работы!$A$2:$A$6000,0)),"")</f>
        <v>Р1</v>
      </c>
      <c r="B65" t="str">
        <f>IFERROR(INDEX(Работы!$F$2:$F$6000,MATCH($C65,Работы!$A$2:$A$6000,0)),"")</f>
        <v>1</v>
      </c>
      <c r="C65" t="str">
        <f>IFERROR(INDEX(Работы!$A$2:$A$6000,64),"")</f>
        <v>РАБ.Р1.1.064</v>
      </c>
      <c r="D65" s="8" t="str">
        <f>IFERROR(INDEX(Работы!$B$2:$B$6000,MATCH($C65,Работы!$A$2:$A$6000,0)),"")</f>
        <v>Сертификация помещения для совершения операций с ценностями, хранение ценностей по (2) классу вломостойкости и (3) классу пулестойкости</v>
      </c>
      <c r="E65" t="str">
        <f>IFERROR(INDEX(Работы!$C$2:$C$6000,MATCH($C65,Работы!$A$2:$A$6000,0)),"")</f>
        <v>м2</v>
      </c>
      <c r="F65">
        <f>IFERROR(INDEX(Работы!$G$2:$G$6000,MATCH($C65,Работы!$A$2:$A$6000,0)),"")</f>
        <v>0</v>
      </c>
      <c r="G65" t="str">
        <f>IFERROR(INDEX(Работы!$K$2:$K$6000,MATCH($C65,Работы!$A$2:$A$6000,0)),"")</f>
        <v>S_общая</v>
      </c>
      <c r="H65" s="9"/>
      <c r="I65" s="9"/>
      <c r="J65" s="8" t="str">
        <f>IFERROR(INDEX(Материалы!$B$2:$B$9000,MATCH($I65,Материалы!$A$2:$A$9000,0)),"")</f>
        <v/>
      </c>
      <c r="K65" t="str">
        <f>IF($I65="","",IF($F65=IFERROR(INDEX(Материалы!$G$2:$G$9000,MATCH($I65,Материалы!$A$2:$A$9000,0)),""),"OK","!! не та группа"))</f>
        <v/>
      </c>
      <c r="L65" s="10">
        <f>IFERROR(INDEX(Работы!$H$2:$H$6000,MATCH($C65,Работы!$A$2:$A$6000,0))*(1-ДисконтТендер),0)</f>
        <v>88.99</v>
      </c>
      <c r="M65" s="10">
        <f>IF($I65="",0,IFERROR(INDEX(Материалы!$I$2:$I$9000,MATCH($I65,Материалы!$A$2:$A$9000,0))*IF(INDEX(Материалы!$J$2:$J$9000,MATCH($I65,Материалы!$A$2:$A$9000,0))="USD",КурсUSD,IF(INDEX(Материалы!$J$2:$J$9000,MATCH($I65,Материалы!$A$2:$A$9000,0))="EUR",КурсEUR,1))*INDEX(Материалы!$K$2:$K$9000,MATCH($I65,Материалы!$A$2:$A$9000,0))*(1+IFERROR(INDEX(Работы!$I$2:$I$6000,MATCH($C65,Работы!$A$2:$A$6000,0))/100,0))*(1-ДисконтТендер),0))</f>
        <v>0</v>
      </c>
      <c r="N65" s="10">
        <f t="shared" si="0"/>
        <v>0</v>
      </c>
      <c r="O65" s="10">
        <f t="shared" si="1"/>
        <v>0</v>
      </c>
      <c r="P65" s="10">
        <f t="shared" si="2"/>
        <v>0</v>
      </c>
      <c r="Q65" t="str">
        <f>IFERROR(INDEX(Работы!$J$2:$J$6000,MATCH($C65,Работы!$A$2:$A$6000,0)),"")</f>
        <v>типовая</v>
      </c>
      <c r="R65" t="s">
        <v>92</v>
      </c>
      <c r="T65" t="str">
        <f>IF(AND($P65&gt;0,$R65="да"),MAX($T$1:$T64)+1,"")</f>
        <v/>
      </c>
    </row>
    <row r="66" spans="1:20" ht="43.2" x14ac:dyDescent="0.3">
      <c r="A66" t="str">
        <f>IFERROR(INDEX(Работы!$D$2:$D$6000,MATCH($C66,Работы!$A$2:$A$6000,0)),"")</f>
        <v>Р1</v>
      </c>
      <c r="B66" t="str">
        <f>IFERROR(INDEX(Работы!$F$2:$F$6000,MATCH($C66,Работы!$A$2:$A$6000,0)),"")</f>
        <v>1</v>
      </c>
      <c r="C66" t="str">
        <f>IFERROR(INDEX(Работы!$A$2:$A$6000,65),"")</f>
        <v>РАБ.Р1.1.065</v>
      </c>
      <c r="D66" s="8" t="str">
        <f>IFERROR(INDEX(Работы!$B$2:$B$6000,MATCH($C66,Работы!$A$2:$A$6000,0)),"")</f>
        <v>Сертификация помещения для совершения операций с ценностями, хранение ценностей по 3 классу вломостойкости и 3 классу пулестойкости</v>
      </c>
      <c r="E66" t="str">
        <f>IFERROR(INDEX(Работы!$C$2:$C$6000,MATCH($C66,Работы!$A$2:$A$6000,0)),"")</f>
        <v>м2</v>
      </c>
      <c r="F66">
        <f>IFERROR(INDEX(Работы!$G$2:$G$6000,MATCH($C66,Работы!$A$2:$A$6000,0)),"")</f>
        <v>0</v>
      </c>
      <c r="G66" t="str">
        <f>IFERROR(INDEX(Работы!$K$2:$K$6000,MATCH($C66,Работы!$A$2:$A$6000,0)),"")</f>
        <v>S_общая</v>
      </c>
      <c r="H66" s="9"/>
      <c r="I66" s="9"/>
      <c r="J66" s="8" t="str">
        <f>IFERROR(INDEX(Материалы!$B$2:$B$9000,MATCH($I66,Материалы!$A$2:$A$9000,0)),"")</f>
        <v/>
      </c>
      <c r="K66" t="str">
        <f>IF($I66="","",IF($F66=IFERROR(INDEX(Материалы!$G$2:$G$9000,MATCH($I66,Материалы!$A$2:$A$9000,0)),""),"OK","!! не та группа"))</f>
        <v/>
      </c>
      <c r="L66" s="10">
        <f>IFERROR(INDEX(Работы!$H$2:$H$6000,MATCH($C66,Работы!$A$2:$A$6000,0))*(1-ДисконтТендер),0)</f>
        <v>149.82</v>
      </c>
      <c r="M66" s="10">
        <f>IF($I66="",0,IFERROR(INDEX(Материалы!$I$2:$I$9000,MATCH($I66,Материалы!$A$2:$A$9000,0))*IF(INDEX(Материалы!$J$2:$J$9000,MATCH($I66,Материалы!$A$2:$A$9000,0))="USD",КурсUSD,IF(INDEX(Материалы!$J$2:$J$9000,MATCH($I66,Материалы!$A$2:$A$9000,0))="EUR",КурсEUR,1))*INDEX(Материалы!$K$2:$K$9000,MATCH($I66,Материалы!$A$2:$A$9000,0))*(1+IFERROR(INDEX(Работы!$I$2:$I$6000,MATCH($C66,Работы!$A$2:$A$6000,0))/100,0))*(1-ДисконтТендер),0))</f>
        <v>0</v>
      </c>
      <c r="N66" s="10">
        <f t="shared" ref="N66:N129" si="3">IF(AND($R66="да",$H66&lt;&gt;""),ROUND($H66*$L66,2),0)</f>
        <v>0</v>
      </c>
      <c r="O66" s="10">
        <f t="shared" ref="O66:O129" si="4">IF(AND($R66="да",$H66&lt;&gt;""),ROUND($H66*$M66,2),0)</f>
        <v>0</v>
      </c>
      <c r="P66" s="10">
        <f t="shared" ref="P66:P129" si="5">$N66+$O66</f>
        <v>0</v>
      </c>
      <c r="Q66" t="str">
        <f>IFERROR(INDEX(Работы!$J$2:$J$6000,MATCH($C66,Работы!$A$2:$A$6000,0)),"")</f>
        <v>типовая</v>
      </c>
      <c r="R66" t="s">
        <v>92</v>
      </c>
      <c r="T66" t="str">
        <f>IF(AND($P66&gt;0,$R66="да"),MAX($T$1:$T65)+1,"")</f>
        <v/>
      </c>
    </row>
    <row r="67" spans="1:20" ht="43.2" x14ac:dyDescent="0.3">
      <c r="A67" t="str">
        <f>IFERROR(INDEX(Работы!$D$2:$D$6000,MATCH($C67,Работы!$A$2:$A$6000,0)),"")</f>
        <v>Р1</v>
      </c>
      <c r="B67" t="str">
        <f>IFERROR(INDEX(Работы!$F$2:$F$6000,MATCH($C67,Работы!$A$2:$A$6000,0)),"")</f>
        <v>1</v>
      </c>
      <c r="C67" t="str">
        <f>IFERROR(INDEX(Работы!$A$2:$A$6000,66),"")</f>
        <v>РАБ.Р1.1.066</v>
      </c>
      <c r="D67" s="8" t="str">
        <f>IFERROR(INDEX(Работы!$B$2:$B$6000,MATCH($C67,Работы!$A$2:$A$6000,0)),"")</f>
        <v>Сертификация помещения для совершения операций с ценностями, хранение ценностей по (5) классу вломостойкости</v>
      </c>
      <c r="E67" t="str">
        <f>IFERROR(INDEX(Работы!$C$2:$C$6000,MATCH($C67,Работы!$A$2:$A$6000,0)),"")</f>
        <v>м2</v>
      </c>
      <c r="F67">
        <f>IFERROR(INDEX(Работы!$G$2:$G$6000,MATCH($C67,Работы!$A$2:$A$6000,0)),"")</f>
        <v>0</v>
      </c>
      <c r="G67" t="str">
        <f>IFERROR(INDEX(Работы!$K$2:$K$6000,MATCH($C67,Работы!$A$2:$A$6000,0)),"")</f>
        <v>S_общая</v>
      </c>
      <c r="H67" s="9"/>
      <c r="I67" s="9"/>
      <c r="J67" s="8" t="str">
        <f>IFERROR(INDEX(Материалы!$B$2:$B$9000,MATCH($I67,Материалы!$A$2:$A$9000,0)),"")</f>
        <v/>
      </c>
      <c r="K67" t="str">
        <f>IF($I67="","",IF($F67=IFERROR(INDEX(Материалы!$G$2:$G$9000,MATCH($I67,Материалы!$A$2:$A$9000,0)),""),"OK","!! не та группа"))</f>
        <v/>
      </c>
      <c r="L67" s="10">
        <f>IFERROR(INDEX(Работы!$H$2:$H$6000,MATCH($C67,Работы!$A$2:$A$6000,0))*(1-ДисконтТендер),0)</f>
        <v>96.48</v>
      </c>
      <c r="M67" s="10">
        <f>IF($I67="",0,IFERROR(INDEX(Материалы!$I$2:$I$9000,MATCH($I67,Материалы!$A$2:$A$9000,0))*IF(INDEX(Материалы!$J$2:$J$9000,MATCH($I67,Материалы!$A$2:$A$9000,0))="USD",КурсUSD,IF(INDEX(Материалы!$J$2:$J$9000,MATCH($I67,Материалы!$A$2:$A$9000,0))="EUR",КурсEUR,1))*INDEX(Материалы!$K$2:$K$9000,MATCH($I67,Материалы!$A$2:$A$9000,0))*(1+IFERROR(INDEX(Работы!$I$2:$I$6000,MATCH($C67,Работы!$A$2:$A$6000,0))/100,0))*(1-ДисконтТендер),0))</f>
        <v>0</v>
      </c>
      <c r="N67" s="10">
        <f t="shared" si="3"/>
        <v>0</v>
      </c>
      <c r="O67" s="10">
        <f t="shared" si="4"/>
        <v>0</v>
      </c>
      <c r="P67" s="10">
        <f t="shared" si="5"/>
        <v>0</v>
      </c>
      <c r="Q67" t="str">
        <f>IFERROR(INDEX(Работы!$J$2:$J$6000,MATCH($C67,Работы!$A$2:$A$6000,0)),"")</f>
        <v>типовая</v>
      </c>
      <c r="R67" t="s">
        <v>92</v>
      </c>
      <c r="T67" t="str">
        <f>IF(AND($P67&gt;0,$R67="да"),MAX($T$1:$T66)+1,"")</f>
        <v/>
      </c>
    </row>
    <row r="68" spans="1:20" ht="28.8" x14ac:dyDescent="0.3">
      <c r="A68" t="str">
        <f>IFERROR(INDEX(Работы!$D$2:$D$6000,MATCH($C68,Работы!$A$2:$A$6000,0)),"")</f>
        <v>Р1</v>
      </c>
      <c r="B68" t="str">
        <f>IFERROR(INDEX(Работы!$F$2:$F$6000,MATCH($C68,Работы!$A$2:$A$6000,0)),"")</f>
        <v>1</v>
      </c>
      <c r="C68" t="str">
        <f>IFERROR(INDEX(Работы!$A$2:$A$6000,67),"")</f>
        <v>РАБ.Р1.1.067</v>
      </c>
      <c r="D68" s="8" t="str">
        <f>IFERROR(INDEX(Работы!$B$2:$B$6000,MATCH($C68,Работы!$A$2:$A$6000,0)),"")</f>
        <v>Технический отчет электролаборатории для помещений более 100 м.кв.</v>
      </c>
      <c r="E68" t="str">
        <f>IFERROR(INDEX(Работы!$C$2:$C$6000,MATCH($C68,Работы!$A$2:$A$6000,0)),"")</f>
        <v>м2</v>
      </c>
      <c r="F68">
        <f>IFERROR(INDEX(Работы!$G$2:$G$6000,MATCH($C68,Работы!$A$2:$A$6000,0)),"")</f>
        <v>0</v>
      </c>
      <c r="G68" t="str">
        <f>IFERROR(INDEX(Работы!$K$2:$K$6000,MATCH($C68,Работы!$A$2:$A$6000,0)),"")</f>
        <v>S_общая</v>
      </c>
      <c r="H68" s="9"/>
      <c r="I68" s="9"/>
      <c r="J68" s="8" t="str">
        <f>IFERROR(INDEX(Материалы!$B$2:$B$9000,MATCH($I68,Материалы!$A$2:$A$9000,0)),"")</f>
        <v/>
      </c>
      <c r="K68" t="str">
        <f>IF($I68="","",IF($F68=IFERROR(INDEX(Материалы!$G$2:$G$9000,MATCH($I68,Материалы!$A$2:$A$9000,0)),""),"OK","!! не та группа"))</f>
        <v/>
      </c>
      <c r="L68" s="10">
        <f>IFERROR(INDEX(Работы!$H$2:$H$6000,MATCH($C68,Работы!$A$2:$A$6000,0))*(1-ДисконтТендер),0)</f>
        <v>123.58</v>
      </c>
      <c r="M68" s="10">
        <f>IF($I68="",0,IFERROR(INDEX(Материалы!$I$2:$I$9000,MATCH($I68,Материалы!$A$2:$A$9000,0))*IF(INDEX(Материалы!$J$2:$J$9000,MATCH($I68,Материалы!$A$2:$A$9000,0))="USD",КурсUSD,IF(INDEX(Материалы!$J$2:$J$9000,MATCH($I68,Материалы!$A$2:$A$9000,0))="EUR",КурсEUR,1))*INDEX(Материалы!$K$2:$K$9000,MATCH($I68,Материалы!$A$2:$A$9000,0))*(1+IFERROR(INDEX(Работы!$I$2:$I$6000,MATCH($C68,Работы!$A$2:$A$6000,0))/100,0))*(1-ДисконтТендер),0))</f>
        <v>0</v>
      </c>
      <c r="N68" s="10">
        <f t="shared" si="3"/>
        <v>0</v>
      </c>
      <c r="O68" s="10">
        <f t="shared" si="4"/>
        <v>0</v>
      </c>
      <c r="P68" s="10">
        <f t="shared" si="5"/>
        <v>0</v>
      </c>
      <c r="Q68" t="str">
        <f>IFERROR(INDEX(Работы!$J$2:$J$6000,MATCH($C68,Работы!$A$2:$A$6000,0)),"")</f>
        <v>типовая</v>
      </c>
      <c r="R68" t="s">
        <v>92</v>
      </c>
      <c r="T68" t="str">
        <f>IF(AND($P68&gt;0,$R68="да"),MAX($T$1:$T67)+1,"")</f>
        <v/>
      </c>
    </row>
    <row r="69" spans="1:20" ht="28.8" x14ac:dyDescent="0.3">
      <c r="A69" t="str">
        <f>IFERROR(INDEX(Работы!$D$2:$D$6000,MATCH($C69,Работы!$A$2:$A$6000,0)),"")</f>
        <v>Р1</v>
      </c>
      <c r="B69" t="str">
        <f>IFERROR(INDEX(Работы!$F$2:$F$6000,MATCH($C69,Работы!$A$2:$A$6000,0)),"")</f>
        <v>1</v>
      </c>
      <c r="C69" t="str">
        <f>IFERROR(INDEX(Работы!$A$2:$A$6000,68),"")</f>
        <v>РАБ.Р1.1.068</v>
      </c>
      <c r="D69" s="8" t="str">
        <f>IFERROR(INDEX(Работы!$B$2:$B$6000,MATCH($C69,Работы!$A$2:$A$6000,0)),"")</f>
        <v>Технический отчет электролаборатории для помещений менее 100 м.кв.</v>
      </c>
      <c r="E69" t="str">
        <f>IFERROR(INDEX(Работы!$C$2:$C$6000,MATCH($C69,Работы!$A$2:$A$6000,0)),"")</f>
        <v>компл.</v>
      </c>
      <c r="F69">
        <f>IFERROR(INDEX(Работы!$G$2:$G$6000,MATCH($C69,Работы!$A$2:$A$6000,0)),"")</f>
        <v>0</v>
      </c>
      <c r="G69" t="str">
        <f>IFERROR(INDEX(Работы!$K$2:$K$6000,MATCH($C69,Работы!$A$2:$A$6000,0)),"")</f>
        <v>S_общая</v>
      </c>
      <c r="H69" s="9"/>
      <c r="I69" s="9"/>
      <c r="J69" s="8" t="str">
        <f>IFERROR(INDEX(Материалы!$B$2:$B$9000,MATCH($I69,Материалы!$A$2:$A$9000,0)),"")</f>
        <v/>
      </c>
      <c r="K69" t="str">
        <f>IF($I69="","",IF($F69=IFERROR(INDEX(Материалы!$G$2:$G$9000,MATCH($I69,Материалы!$A$2:$A$9000,0)),""),"OK","!! не та группа"))</f>
        <v/>
      </c>
      <c r="L69" s="10">
        <f>IFERROR(INDEX(Работы!$H$2:$H$6000,MATCH($C69,Работы!$A$2:$A$6000,0))*(1-ДисконтТендер),0)</f>
        <v>13074.35</v>
      </c>
      <c r="M69" s="10">
        <f>IF($I69="",0,IFERROR(INDEX(Материалы!$I$2:$I$9000,MATCH($I69,Материалы!$A$2:$A$9000,0))*IF(INDEX(Материалы!$J$2:$J$9000,MATCH($I69,Материалы!$A$2:$A$9000,0))="USD",КурсUSD,IF(INDEX(Материалы!$J$2:$J$9000,MATCH($I69,Материалы!$A$2:$A$9000,0))="EUR",КурсEUR,1))*INDEX(Материалы!$K$2:$K$9000,MATCH($I69,Материалы!$A$2:$A$9000,0))*(1+IFERROR(INDEX(Работы!$I$2:$I$6000,MATCH($C69,Работы!$A$2:$A$6000,0))/100,0))*(1-ДисконтТендер),0))</f>
        <v>0</v>
      </c>
      <c r="N69" s="10">
        <f t="shared" si="3"/>
        <v>0</v>
      </c>
      <c r="O69" s="10">
        <f t="shared" si="4"/>
        <v>0</v>
      </c>
      <c r="P69" s="10">
        <f t="shared" si="5"/>
        <v>0</v>
      </c>
      <c r="Q69" t="str">
        <f>IFERROR(INDEX(Работы!$J$2:$J$6000,MATCH($C69,Работы!$A$2:$A$6000,0)),"")</f>
        <v>типовая</v>
      </c>
      <c r="R69" t="s">
        <v>92</v>
      </c>
      <c r="T69" t="str">
        <f>IF(AND($P69&gt;0,$R69="да"),MAX($T$1:$T68)+1,"")</f>
        <v/>
      </c>
    </row>
    <row r="70" spans="1:20" ht="43.2" x14ac:dyDescent="0.3">
      <c r="A70" t="str">
        <f>IFERROR(INDEX(Работы!$D$2:$D$6000,MATCH($C70,Работы!$A$2:$A$6000,0)),"")</f>
        <v>Р1</v>
      </c>
      <c r="B70" t="str">
        <f>IFERROR(INDEX(Работы!$F$2:$F$6000,MATCH($C70,Работы!$A$2:$A$6000,0)),"")</f>
        <v>1</v>
      </c>
      <c r="C70" t="str">
        <f>IFERROR(INDEX(Работы!$A$2:$A$6000,69),"")</f>
        <v>РАБ.Р1.1.069</v>
      </c>
      <c r="D70" s="8" t="str">
        <f>IFERROR(INDEX(Работы!$B$2:$B$6000,MATCH($C70,Работы!$A$2:$A$6000,0)),"")</f>
        <v>Стоимость согласования проекта изменения фасада согласно нормативных и законодательных актов г. ___________ и РФ.</v>
      </c>
      <c r="E70" t="str">
        <f>IFERROR(INDEX(Работы!$C$2:$C$6000,MATCH($C70,Работы!$A$2:$A$6000,0)),"")</f>
        <v>м2</v>
      </c>
      <c r="F70">
        <f>IFERROR(INDEX(Работы!$G$2:$G$6000,MATCH($C70,Работы!$A$2:$A$6000,0)),"")</f>
        <v>0</v>
      </c>
      <c r="G70" t="str">
        <f>IFERROR(INDEX(Работы!$K$2:$K$6000,MATCH($C70,Работы!$A$2:$A$6000,0)),"")</f>
        <v>S_общая</v>
      </c>
      <c r="H70" s="9"/>
      <c r="I70" s="9"/>
      <c r="J70" s="8" t="str">
        <f>IFERROR(INDEX(Материалы!$B$2:$B$9000,MATCH($I70,Материалы!$A$2:$A$9000,0)),"")</f>
        <v/>
      </c>
      <c r="K70" t="str">
        <f>IF($I70="","",IF($F70=IFERROR(INDEX(Материалы!$G$2:$G$9000,MATCH($I70,Материалы!$A$2:$A$9000,0)),""),"OK","!! не та группа"))</f>
        <v/>
      </c>
      <c r="L70" s="10">
        <f>IFERROR(INDEX(Работы!$H$2:$H$6000,MATCH($C70,Работы!$A$2:$A$6000,0))*(1-ДисконтТендер),0)</f>
        <v>190.9</v>
      </c>
      <c r="M70" s="10">
        <f>IF($I70="",0,IFERROR(INDEX(Материалы!$I$2:$I$9000,MATCH($I70,Материалы!$A$2:$A$9000,0))*IF(INDEX(Материалы!$J$2:$J$9000,MATCH($I70,Материалы!$A$2:$A$9000,0))="USD",КурсUSD,IF(INDEX(Материалы!$J$2:$J$9000,MATCH($I70,Материалы!$A$2:$A$9000,0))="EUR",КурсEUR,1))*INDEX(Материалы!$K$2:$K$9000,MATCH($I70,Материалы!$A$2:$A$9000,0))*(1+IFERROR(INDEX(Работы!$I$2:$I$6000,MATCH($C70,Работы!$A$2:$A$6000,0))/100,0))*(1-ДисконтТендер),0))</f>
        <v>0</v>
      </c>
      <c r="N70" s="10">
        <f t="shared" si="3"/>
        <v>0</v>
      </c>
      <c r="O70" s="10">
        <f t="shared" si="4"/>
        <v>0</v>
      </c>
      <c r="P70" s="10">
        <f t="shared" si="5"/>
        <v>0</v>
      </c>
      <c r="Q70" t="str">
        <f>IFERROR(INDEX(Работы!$J$2:$J$6000,MATCH($C70,Работы!$A$2:$A$6000,0)),"")</f>
        <v>нетиповая</v>
      </c>
      <c r="R70" t="s">
        <v>92</v>
      </c>
      <c r="T70" t="str">
        <f>IF(AND($P70&gt;0,$R70="да"),MAX($T$1:$T69)+1,"")</f>
        <v/>
      </c>
    </row>
    <row r="71" spans="1:20" x14ac:dyDescent="0.3">
      <c r="A71" t="str">
        <f>IFERROR(INDEX(Работы!$D$2:$D$6000,MATCH($C71,Работы!$A$2:$A$6000,0)),"")</f>
        <v>Р1</v>
      </c>
      <c r="B71" t="str">
        <f>IFERROR(INDEX(Работы!$F$2:$F$6000,MATCH($C71,Работы!$A$2:$A$6000,0)),"")</f>
        <v>1</v>
      </c>
      <c r="C71" t="str">
        <f>IFERROR(INDEX(Работы!$A$2:$A$6000,70),"")</f>
        <v>РАБ.Р1.1.070</v>
      </c>
      <c r="D71" s="8" t="str">
        <f>IFERROR(INDEX(Работы!$B$2:$B$6000,MATCH($C71,Работы!$A$2:$A$6000,0)),"")</f>
        <v>Разработка дизайн-проекта интерьера</v>
      </c>
      <c r="E71" t="str">
        <f>IFERROR(INDEX(Работы!$C$2:$C$6000,MATCH($C71,Работы!$A$2:$A$6000,0)),"")</f>
        <v>м2</v>
      </c>
      <c r="F71">
        <f>IFERROR(INDEX(Работы!$G$2:$G$6000,MATCH($C71,Работы!$A$2:$A$6000,0)),"")</f>
        <v>0</v>
      </c>
      <c r="G71" t="str">
        <f>IFERROR(INDEX(Работы!$K$2:$K$6000,MATCH($C71,Работы!$A$2:$A$6000,0)),"")</f>
        <v>S_общая</v>
      </c>
      <c r="H71" s="9"/>
      <c r="I71" s="9"/>
      <c r="J71" s="8" t="str">
        <f>IFERROR(INDEX(Материалы!$B$2:$B$9000,MATCH($I71,Материалы!$A$2:$A$9000,0)),"")</f>
        <v/>
      </c>
      <c r="K71" t="str">
        <f>IF($I71="","",IF($F71=IFERROR(INDEX(Материалы!$G$2:$G$9000,MATCH($I71,Материалы!$A$2:$A$9000,0)),""),"OK","!! не та группа"))</f>
        <v/>
      </c>
      <c r="L71" s="10">
        <f>IFERROR(INDEX(Работы!$H$2:$H$6000,MATCH($C71,Работы!$A$2:$A$6000,0))*(1-ДисконтТендер),0)</f>
        <v>0</v>
      </c>
      <c r="M71" s="10">
        <f>IF($I71="",0,IFERROR(INDEX(Материалы!$I$2:$I$9000,MATCH($I71,Материалы!$A$2:$A$9000,0))*IF(INDEX(Материалы!$J$2:$J$9000,MATCH($I71,Материалы!$A$2:$A$9000,0))="USD",КурсUSD,IF(INDEX(Материалы!$J$2:$J$9000,MATCH($I71,Материалы!$A$2:$A$9000,0))="EUR",КурсEUR,1))*INDEX(Материалы!$K$2:$K$9000,MATCH($I71,Материалы!$A$2:$A$9000,0))*(1+IFERROR(INDEX(Работы!$I$2:$I$6000,MATCH($C71,Работы!$A$2:$A$6000,0))/100,0))*(1-ДисконтТендер),0))</f>
        <v>0</v>
      </c>
      <c r="N71" s="10">
        <f t="shared" si="3"/>
        <v>0</v>
      </c>
      <c r="O71" s="10">
        <f t="shared" si="4"/>
        <v>0</v>
      </c>
      <c r="P71" s="10">
        <f t="shared" si="5"/>
        <v>0</v>
      </c>
      <c r="Q71" t="str">
        <f>IFERROR(INDEX(Работы!$J$2:$J$6000,MATCH($C71,Работы!$A$2:$A$6000,0)),"")</f>
        <v>типовая</v>
      </c>
      <c r="R71" t="s">
        <v>92</v>
      </c>
      <c r="T71" t="str">
        <f>IF(AND($P71&gt;0,$R71="да"),MAX($T$1:$T70)+1,"")</f>
        <v/>
      </c>
    </row>
    <row r="72" spans="1:20" ht="28.8" x14ac:dyDescent="0.3">
      <c r="A72" t="str">
        <f>IFERROR(INDEX(Работы!$D$2:$D$6000,MATCH($C72,Работы!$A$2:$A$6000,0)),"")</f>
        <v>Р1</v>
      </c>
      <c r="B72" t="str">
        <f>IFERROR(INDEX(Работы!$F$2:$F$6000,MATCH($C72,Работы!$A$2:$A$6000,0)),"")</f>
        <v>1</v>
      </c>
      <c r="C72" t="str">
        <f>IFERROR(INDEX(Работы!$A$2:$A$6000,71),"")</f>
        <v>РАБ.Р1.1.071</v>
      </c>
      <c r="D72" s="8" t="str">
        <f>IFERROR(INDEX(Работы!$B$2:$B$6000,MATCH($C72,Работы!$A$2:$A$6000,0)),"")</f>
        <v>Экспертиза и согласование проекта ЭОМ в Ростехнадзоре</v>
      </c>
      <c r="E72" t="str">
        <f>IFERROR(INDEX(Работы!$C$2:$C$6000,MATCH($C72,Работы!$A$2:$A$6000,0)),"")</f>
        <v>м2</v>
      </c>
      <c r="F72">
        <f>IFERROR(INDEX(Работы!$G$2:$G$6000,MATCH($C72,Работы!$A$2:$A$6000,0)),"")</f>
        <v>0</v>
      </c>
      <c r="G72" t="str">
        <f>IFERROR(INDEX(Работы!$K$2:$K$6000,MATCH($C72,Работы!$A$2:$A$6000,0)),"")</f>
        <v>S_общая</v>
      </c>
      <c r="H72" s="9"/>
      <c r="I72" s="9"/>
      <c r="J72" s="8" t="str">
        <f>IFERROR(INDEX(Материалы!$B$2:$B$9000,MATCH($I72,Материалы!$A$2:$A$9000,0)),"")</f>
        <v/>
      </c>
      <c r="K72" t="str">
        <f>IF($I72="","",IF($F72=IFERROR(INDEX(Материалы!$G$2:$G$9000,MATCH($I72,Материалы!$A$2:$A$9000,0)),""),"OK","!! не та группа"))</f>
        <v/>
      </c>
      <c r="L72" s="10">
        <f>IFERROR(INDEX(Работы!$H$2:$H$6000,MATCH($C72,Работы!$A$2:$A$6000,0))*(1-ДисконтТендер),0)</f>
        <v>98.96</v>
      </c>
      <c r="M72" s="10">
        <f>IF($I72="",0,IFERROR(INDEX(Материалы!$I$2:$I$9000,MATCH($I72,Материалы!$A$2:$A$9000,0))*IF(INDEX(Материалы!$J$2:$J$9000,MATCH($I72,Материалы!$A$2:$A$9000,0))="USD",КурсUSD,IF(INDEX(Материалы!$J$2:$J$9000,MATCH($I72,Материалы!$A$2:$A$9000,0))="EUR",КурсEUR,1))*INDEX(Материалы!$K$2:$K$9000,MATCH($I72,Материалы!$A$2:$A$9000,0))*(1+IFERROR(INDEX(Работы!$I$2:$I$6000,MATCH($C72,Работы!$A$2:$A$6000,0))/100,0))*(1-ДисконтТендер),0))</f>
        <v>0</v>
      </c>
      <c r="N72" s="10">
        <f t="shared" si="3"/>
        <v>0</v>
      </c>
      <c r="O72" s="10">
        <f t="shared" si="4"/>
        <v>0</v>
      </c>
      <c r="P72" s="10">
        <f t="shared" si="5"/>
        <v>0</v>
      </c>
      <c r="Q72" t="str">
        <f>IFERROR(INDEX(Работы!$J$2:$J$6000,MATCH($C72,Работы!$A$2:$A$6000,0)),"")</f>
        <v>типовая</v>
      </c>
      <c r="R72" t="s">
        <v>92</v>
      </c>
      <c r="T72" t="str">
        <f>IF(AND($P72&gt;0,$R72="да"),MAX($T$1:$T71)+1,"")</f>
        <v/>
      </c>
    </row>
    <row r="73" spans="1:20" x14ac:dyDescent="0.3">
      <c r="A73" t="str">
        <f>IFERROR(INDEX(Работы!$D$2:$D$6000,MATCH($C73,Работы!$A$2:$A$6000,0)),"")</f>
        <v>Р1</v>
      </c>
      <c r="B73" t="str">
        <f>IFERROR(INDEX(Работы!$F$2:$F$6000,MATCH($C73,Работы!$A$2:$A$6000,0)),"")</f>
        <v>1</v>
      </c>
      <c r="C73" t="str">
        <f>IFERROR(INDEX(Работы!$A$2:$A$6000,72),"")</f>
        <v>РАБ.Р1.1.072</v>
      </c>
      <c r="D73" s="8" t="str">
        <f>IFERROR(INDEX(Работы!$B$2:$B$6000,MATCH($C73,Работы!$A$2:$A$6000,0)),"")</f>
        <v>Проект системы водоотведения</v>
      </c>
      <c r="E73" t="str">
        <f>IFERROR(INDEX(Работы!$C$2:$C$6000,MATCH($C73,Работы!$A$2:$A$6000,0)),"")</f>
        <v>м2</v>
      </c>
      <c r="F73">
        <f>IFERROR(INDEX(Работы!$G$2:$G$6000,MATCH($C73,Работы!$A$2:$A$6000,0)),"")</f>
        <v>0</v>
      </c>
      <c r="G73" t="str">
        <f>IFERROR(INDEX(Работы!$K$2:$K$6000,MATCH($C73,Работы!$A$2:$A$6000,0)),"")</f>
        <v>S_общая</v>
      </c>
      <c r="H73" s="9"/>
      <c r="I73" s="9"/>
      <c r="J73" s="8" t="str">
        <f>IFERROR(INDEX(Материалы!$B$2:$B$9000,MATCH($I73,Материалы!$A$2:$A$9000,0)),"")</f>
        <v/>
      </c>
      <c r="K73" t="str">
        <f>IF($I73="","",IF($F73=IFERROR(INDEX(Материалы!$G$2:$G$9000,MATCH($I73,Материалы!$A$2:$A$9000,0)),""),"OK","!! не та группа"))</f>
        <v/>
      </c>
      <c r="L73" s="10">
        <f>IFERROR(INDEX(Работы!$H$2:$H$6000,MATCH($C73,Работы!$A$2:$A$6000,0))*(1-ДисконтТендер),0)</f>
        <v>0</v>
      </c>
      <c r="M73" s="10">
        <f>IF($I73="",0,IFERROR(INDEX(Материалы!$I$2:$I$9000,MATCH($I73,Материалы!$A$2:$A$9000,0))*IF(INDEX(Материалы!$J$2:$J$9000,MATCH($I73,Материалы!$A$2:$A$9000,0))="USD",КурсUSD,IF(INDEX(Материалы!$J$2:$J$9000,MATCH($I73,Материалы!$A$2:$A$9000,0))="EUR",КурсEUR,1))*INDEX(Материалы!$K$2:$K$9000,MATCH($I73,Материалы!$A$2:$A$9000,0))*(1+IFERROR(INDEX(Работы!$I$2:$I$6000,MATCH($C73,Работы!$A$2:$A$6000,0))/100,0))*(1-ДисконтТендер),0))</f>
        <v>0</v>
      </c>
      <c r="N73" s="10">
        <f t="shared" si="3"/>
        <v>0</v>
      </c>
      <c r="O73" s="10">
        <f t="shared" si="4"/>
        <v>0</v>
      </c>
      <c r="P73" s="10">
        <f t="shared" si="5"/>
        <v>0</v>
      </c>
      <c r="Q73" t="str">
        <f>IFERROR(INDEX(Работы!$J$2:$J$6000,MATCH($C73,Работы!$A$2:$A$6000,0)),"")</f>
        <v>типовая</v>
      </c>
      <c r="R73" t="s">
        <v>92</v>
      </c>
      <c r="T73" t="str">
        <f>IF(AND($P73&gt;0,$R73="да"),MAX($T$1:$T72)+1,"")</f>
        <v/>
      </c>
    </row>
    <row r="74" spans="1:20" ht="28.8" x14ac:dyDescent="0.3">
      <c r="A74" t="str">
        <f>IFERROR(INDEX(Работы!$D$2:$D$6000,MATCH($C74,Работы!$A$2:$A$6000,0)),"")</f>
        <v>Р1</v>
      </c>
      <c r="B74" t="str">
        <f>IFERROR(INDEX(Работы!$F$2:$F$6000,MATCH($C74,Работы!$A$2:$A$6000,0)),"")</f>
        <v>1</v>
      </c>
      <c r="C74" t="str">
        <f>IFERROR(INDEX(Работы!$A$2:$A$6000,73),"")</f>
        <v>РАБ.Р1.1.073</v>
      </c>
      <c r="D74" s="8" t="str">
        <f>IFERROR(INDEX(Работы!$B$2:$B$6000,MATCH($C74,Работы!$A$2:$A$6000,0)),"")</f>
        <v>Рабочая документация Системы ливневой канализации</v>
      </c>
      <c r="E74" t="str">
        <f>IFERROR(INDEX(Работы!$C$2:$C$6000,MATCH($C74,Работы!$A$2:$A$6000,0)),"")</f>
        <v>м2</v>
      </c>
      <c r="F74">
        <f>IFERROR(INDEX(Работы!$G$2:$G$6000,MATCH($C74,Работы!$A$2:$A$6000,0)),"")</f>
        <v>0</v>
      </c>
      <c r="G74" t="str">
        <f>IFERROR(INDEX(Работы!$K$2:$K$6000,MATCH($C74,Работы!$A$2:$A$6000,0)),"")</f>
        <v>S_общая</v>
      </c>
      <c r="H74" s="9"/>
      <c r="I74" s="9"/>
      <c r="J74" s="8" t="str">
        <f>IFERROR(INDEX(Материалы!$B$2:$B$9000,MATCH($I74,Материалы!$A$2:$A$9000,0)),"")</f>
        <v/>
      </c>
      <c r="K74" t="str">
        <f>IF($I74="","",IF($F74=IFERROR(INDEX(Материалы!$G$2:$G$9000,MATCH($I74,Материалы!$A$2:$A$9000,0)),""),"OK","!! не та группа"))</f>
        <v/>
      </c>
      <c r="L74" s="10">
        <f>IFERROR(INDEX(Работы!$H$2:$H$6000,MATCH($C74,Работы!$A$2:$A$6000,0))*(1-ДисконтТендер),0)</f>
        <v>0</v>
      </c>
      <c r="M74" s="10">
        <f>IF($I74="",0,IFERROR(INDEX(Материалы!$I$2:$I$9000,MATCH($I74,Материалы!$A$2:$A$9000,0))*IF(INDEX(Материалы!$J$2:$J$9000,MATCH($I74,Материалы!$A$2:$A$9000,0))="USD",КурсUSD,IF(INDEX(Материалы!$J$2:$J$9000,MATCH($I74,Материалы!$A$2:$A$9000,0))="EUR",КурсEUR,1))*INDEX(Материалы!$K$2:$K$9000,MATCH($I74,Материалы!$A$2:$A$9000,0))*(1+IFERROR(INDEX(Работы!$I$2:$I$6000,MATCH($C74,Работы!$A$2:$A$6000,0))/100,0))*(1-ДисконтТендер),0))</f>
        <v>0</v>
      </c>
      <c r="N74" s="10">
        <f t="shared" si="3"/>
        <v>0</v>
      </c>
      <c r="O74" s="10">
        <f t="shared" si="4"/>
        <v>0</v>
      </c>
      <c r="P74" s="10">
        <f t="shared" si="5"/>
        <v>0</v>
      </c>
      <c r="Q74" t="str">
        <f>IFERROR(INDEX(Работы!$J$2:$J$6000,MATCH($C74,Работы!$A$2:$A$6000,0)),"")</f>
        <v>типовая</v>
      </c>
      <c r="R74" t="s">
        <v>92</v>
      </c>
      <c r="T74" t="str">
        <f>IF(AND($P74&gt;0,$R74="да"),MAX($T$1:$T73)+1,"")</f>
        <v/>
      </c>
    </row>
    <row r="75" spans="1:20" ht="28.8" x14ac:dyDescent="0.3">
      <c r="A75" t="str">
        <f>IFERROR(INDEX(Работы!$D$2:$D$6000,MATCH($C75,Работы!$A$2:$A$6000,0)),"")</f>
        <v>Р1</v>
      </c>
      <c r="B75" t="str">
        <f>IFERROR(INDEX(Работы!$F$2:$F$6000,MATCH($C75,Работы!$A$2:$A$6000,0)),"")</f>
        <v>1</v>
      </c>
      <c r="C75" t="str">
        <f>IFERROR(INDEX(Работы!$A$2:$A$6000,74),"")</f>
        <v>РАБ.Р1.1.074</v>
      </c>
      <c r="D75" s="8" t="str">
        <f>IFERROR(INDEX(Работы!$B$2:$B$6000,MATCH($C75,Работы!$A$2:$A$6000,0)),"")</f>
        <v>Получение Технических условий (при необходимости)</v>
      </c>
      <c r="E75" t="str">
        <f>IFERROR(INDEX(Работы!$C$2:$C$6000,MATCH($C75,Работы!$A$2:$A$6000,0)),"")</f>
        <v>м2</v>
      </c>
      <c r="F75">
        <f>IFERROR(INDEX(Работы!$G$2:$G$6000,MATCH($C75,Работы!$A$2:$A$6000,0)),"")</f>
        <v>0</v>
      </c>
      <c r="G75" t="str">
        <f>IFERROR(INDEX(Работы!$K$2:$K$6000,MATCH($C75,Работы!$A$2:$A$6000,0)),"")</f>
        <v>S_общая</v>
      </c>
      <c r="H75" s="9"/>
      <c r="I75" s="9"/>
      <c r="J75" s="8" t="str">
        <f>IFERROR(INDEX(Материалы!$B$2:$B$9000,MATCH($I75,Материалы!$A$2:$A$9000,0)),"")</f>
        <v/>
      </c>
      <c r="K75" t="str">
        <f>IF($I75="","",IF($F75=IFERROR(INDEX(Материалы!$G$2:$G$9000,MATCH($I75,Материалы!$A$2:$A$9000,0)),""),"OK","!! не та группа"))</f>
        <v/>
      </c>
      <c r="L75" s="10">
        <f>IFERROR(INDEX(Работы!$H$2:$H$6000,MATCH($C75,Работы!$A$2:$A$6000,0))*(1-ДисконтТендер),0)</f>
        <v>0</v>
      </c>
      <c r="M75" s="10">
        <f>IF($I75="",0,IFERROR(INDEX(Материалы!$I$2:$I$9000,MATCH($I75,Материалы!$A$2:$A$9000,0))*IF(INDEX(Материалы!$J$2:$J$9000,MATCH($I75,Материалы!$A$2:$A$9000,0))="USD",КурсUSD,IF(INDEX(Материалы!$J$2:$J$9000,MATCH($I75,Материалы!$A$2:$A$9000,0))="EUR",КурсEUR,1))*INDEX(Материалы!$K$2:$K$9000,MATCH($I75,Материалы!$A$2:$A$9000,0))*(1+IFERROR(INDEX(Работы!$I$2:$I$6000,MATCH($C75,Работы!$A$2:$A$6000,0))/100,0))*(1-ДисконтТендер),0))</f>
        <v>0</v>
      </c>
      <c r="N75" s="10">
        <f t="shared" si="3"/>
        <v>0</v>
      </c>
      <c r="O75" s="10">
        <f t="shared" si="4"/>
        <v>0</v>
      </c>
      <c r="P75" s="10">
        <f t="shared" si="5"/>
        <v>0</v>
      </c>
      <c r="Q75" t="str">
        <f>IFERROR(INDEX(Работы!$J$2:$J$6000,MATCH($C75,Работы!$A$2:$A$6000,0)),"")</f>
        <v>типовая</v>
      </c>
      <c r="R75" t="s">
        <v>92</v>
      </c>
      <c r="T75" t="str">
        <f>IF(AND($P75&gt;0,$R75="да"),MAX($T$1:$T74)+1,"")</f>
        <v/>
      </c>
    </row>
    <row r="76" spans="1:20" x14ac:dyDescent="0.3">
      <c r="A76" t="str">
        <f>IFERROR(INDEX(Работы!$D$2:$D$6000,MATCH($C76,Работы!$A$2:$A$6000,0)),"")</f>
        <v>Р1</v>
      </c>
      <c r="B76" t="str">
        <f>IFERROR(INDEX(Работы!$F$2:$F$6000,MATCH($C76,Работы!$A$2:$A$6000,0)),"")</f>
        <v>1</v>
      </c>
      <c r="C76" t="str">
        <f>IFERROR(INDEX(Работы!$A$2:$A$6000,75),"")</f>
        <v>РАБ.Р1.1.075</v>
      </c>
      <c r="D76" s="8" t="str">
        <f>IFERROR(INDEX(Работы!$B$2:$B$6000,MATCH($C76,Работы!$A$2:$A$6000,0)),"")</f>
        <v>Расчет категории пожарной опасности помещений</v>
      </c>
      <c r="E76" t="str">
        <f>IFERROR(INDEX(Работы!$C$2:$C$6000,MATCH($C76,Работы!$A$2:$A$6000,0)),"")</f>
        <v>м2</v>
      </c>
      <c r="F76">
        <f>IFERROR(INDEX(Работы!$G$2:$G$6000,MATCH($C76,Работы!$A$2:$A$6000,0)),"")</f>
        <v>0</v>
      </c>
      <c r="G76" t="str">
        <f>IFERROR(INDEX(Работы!$K$2:$K$6000,MATCH($C76,Работы!$A$2:$A$6000,0)),"")</f>
        <v>S_общая</v>
      </c>
      <c r="H76" s="9"/>
      <c r="I76" s="9"/>
      <c r="J76" s="8" t="str">
        <f>IFERROR(INDEX(Материалы!$B$2:$B$9000,MATCH($I76,Материалы!$A$2:$A$9000,0)),"")</f>
        <v/>
      </c>
      <c r="K76" t="str">
        <f>IF($I76="","",IF($F76=IFERROR(INDEX(Материалы!$G$2:$G$9000,MATCH($I76,Материалы!$A$2:$A$9000,0)),""),"OK","!! не та группа"))</f>
        <v/>
      </c>
      <c r="L76" s="10">
        <f>IFERROR(INDEX(Работы!$H$2:$H$6000,MATCH($C76,Работы!$A$2:$A$6000,0))*(1-ДисконтТендер),0)</f>
        <v>114.84</v>
      </c>
      <c r="M76" s="10">
        <f>IF($I76="",0,IFERROR(INDEX(Материалы!$I$2:$I$9000,MATCH($I76,Материалы!$A$2:$A$9000,0))*IF(INDEX(Материалы!$J$2:$J$9000,MATCH($I76,Материалы!$A$2:$A$9000,0))="USD",КурсUSD,IF(INDEX(Материалы!$J$2:$J$9000,MATCH($I76,Материалы!$A$2:$A$9000,0))="EUR",КурсEUR,1))*INDEX(Материалы!$K$2:$K$9000,MATCH($I76,Материалы!$A$2:$A$9000,0))*(1+IFERROR(INDEX(Работы!$I$2:$I$6000,MATCH($C76,Работы!$A$2:$A$6000,0))/100,0))*(1-ДисконтТендер),0))</f>
        <v>0</v>
      </c>
      <c r="N76" s="10">
        <f t="shared" si="3"/>
        <v>0</v>
      </c>
      <c r="O76" s="10">
        <f t="shared" si="4"/>
        <v>0</v>
      </c>
      <c r="P76" s="10">
        <f t="shared" si="5"/>
        <v>0</v>
      </c>
      <c r="Q76" t="str">
        <f>IFERROR(INDEX(Работы!$J$2:$J$6000,MATCH($C76,Работы!$A$2:$A$6000,0)),"")</f>
        <v>типовая</v>
      </c>
      <c r="R76" t="s">
        <v>92</v>
      </c>
      <c r="T76" t="str">
        <f>IF(AND($P76&gt;0,$R76="да"),MAX($T$1:$T75)+1,"")</f>
        <v/>
      </c>
    </row>
    <row r="77" spans="1:20" ht="43.2" x14ac:dyDescent="0.3">
      <c r="A77" t="str">
        <f>IFERROR(INDEX(Работы!$D$2:$D$6000,MATCH($C77,Работы!$A$2:$A$6000,0)),"")</f>
        <v>Р1</v>
      </c>
      <c r="B77" t="str">
        <f>IFERROR(INDEX(Работы!$F$2:$F$6000,MATCH($C77,Работы!$A$2:$A$6000,0)),"")</f>
        <v>1</v>
      </c>
      <c r="C77" t="str">
        <f>IFERROR(INDEX(Работы!$A$2:$A$6000,76),"")</f>
        <v>РАБ.Р1.1.076</v>
      </c>
      <c r="D77" s="8" t="str">
        <f>IFERROR(INDEX(Работы!$B$2:$B$6000,MATCH($C77,Работы!$A$2:$A$6000,0)),"")</f>
        <v>Рабочая документация Системы оповещения и управления эвакуацией в части световых указателей ("СОУЭ")</v>
      </c>
      <c r="E77" t="str">
        <f>IFERROR(INDEX(Работы!$C$2:$C$6000,MATCH($C77,Работы!$A$2:$A$6000,0)),"")</f>
        <v>м2</v>
      </c>
      <c r="F77">
        <f>IFERROR(INDEX(Работы!$G$2:$G$6000,MATCH($C77,Работы!$A$2:$A$6000,0)),"")</f>
        <v>0</v>
      </c>
      <c r="G77" t="str">
        <f>IFERROR(INDEX(Работы!$K$2:$K$6000,MATCH($C77,Работы!$A$2:$A$6000,0)),"")</f>
        <v>S_общая</v>
      </c>
      <c r="H77" s="9"/>
      <c r="I77" s="9"/>
      <c r="J77" s="8" t="str">
        <f>IFERROR(INDEX(Материалы!$B$2:$B$9000,MATCH($I77,Материалы!$A$2:$A$9000,0)),"")</f>
        <v/>
      </c>
      <c r="K77" t="str">
        <f>IF($I77="","",IF($F77=IFERROR(INDEX(Материалы!$G$2:$G$9000,MATCH($I77,Материалы!$A$2:$A$9000,0)),""),"OK","!! не та группа"))</f>
        <v/>
      </c>
      <c r="L77" s="10">
        <f>IFERROR(INDEX(Работы!$H$2:$H$6000,MATCH($C77,Работы!$A$2:$A$6000,0))*(1-ДисконтТендер),0)</f>
        <v>52.25</v>
      </c>
      <c r="M77" s="10">
        <f>IF($I77="",0,IFERROR(INDEX(Материалы!$I$2:$I$9000,MATCH($I77,Материалы!$A$2:$A$9000,0))*IF(INDEX(Материалы!$J$2:$J$9000,MATCH($I77,Материалы!$A$2:$A$9000,0))="USD",КурсUSD,IF(INDEX(Материалы!$J$2:$J$9000,MATCH($I77,Материалы!$A$2:$A$9000,0))="EUR",КурсEUR,1))*INDEX(Материалы!$K$2:$K$9000,MATCH($I77,Материалы!$A$2:$A$9000,0))*(1+IFERROR(INDEX(Работы!$I$2:$I$6000,MATCH($C77,Работы!$A$2:$A$6000,0))/100,0))*(1-ДисконтТендер),0))</f>
        <v>0</v>
      </c>
      <c r="N77" s="10">
        <f t="shared" si="3"/>
        <v>0</v>
      </c>
      <c r="O77" s="10">
        <f t="shared" si="4"/>
        <v>0</v>
      </c>
      <c r="P77" s="10">
        <f t="shared" si="5"/>
        <v>0</v>
      </c>
      <c r="Q77" t="str">
        <f>IFERROR(INDEX(Работы!$J$2:$J$6000,MATCH($C77,Работы!$A$2:$A$6000,0)),"")</f>
        <v>типовая</v>
      </c>
      <c r="R77" t="s">
        <v>92</v>
      </c>
      <c r="T77" t="str">
        <f>IF(AND($P77&gt;0,$R77="да"),MAX($T$1:$T76)+1,"")</f>
        <v/>
      </c>
    </row>
    <row r="78" spans="1:20" ht="28.8" x14ac:dyDescent="0.3">
      <c r="A78" t="str">
        <f>IFERROR(INDEX(Работы!$D$2:$D$6000,MATCH($C78,Работы!$A$2:$A$6000,0)),"")</f>
        <v>Р1</v>
      </c>
      <c r="B78" t="str">
        <f>IFERROR(INDEX(Работы!$F$2:$F$6000,MATCH($C78,Работы!$A$2:$A$6000,0)),"")</f>
        <v>1</v>
      </c>
      <c r="C78" t="str">
        <f>IFERROR(INDEX(Работы!$A$2:$A$6000,77),"")</f>
        <v>РАБ.Р1.1.077</v>
      </c>
      <c r="D78" s="8" t="str">
        <f>IFERROR(INDEX(Работы!$B$2:$B$6000,MATCH($C78,Работы!$A$2:$A$6000,0)),"")</f>
        <v>Согласование проекта Системы водоотведения и получения тех условий (при необходимости)</v>
      </c>
      <c r="E78" t="str">
        <f>IFERROR(INDEX(Работы!$C$2:$C$6000,MATCH($C78,Работы!$A$2:$A$6000,0)),"")</f>
        <v>м2</v>
      </c>
      <c r="F78">
        <f>IFERROR(INDEX(Работы!$G$2:$G$6000,MATCH($C78,Работы!$A$2:$A$6000,0)),"")</f>
        <v>0</v>
      </c>
      <c r="G78" t="str">
        <f>IFERROR(INDEX(Работы!$K$2:$K$6000,MATCH($C78,Работы!$A$2:$A$6000,0)),"")</f>
        <v>S_общая</v>
      </c>
      <c r="H78" s="9"/>
      <c r="I78" s="9"/>
      <c r="J78" s="8" t="str">
        <f>IFERROR(INDEX(Материалы!$B$2:$B$9000,MATCH($I78,Материалы!$A$2:$A$9000,0)),"")</f>
        <v/>
      </c>
      <c r="K78" t="str">
        <f>IF($I78="","",IF($F78=IFERROR(INDEX(Материалы!$G$2:$G$9000,MATCH($I78,Материалы!$A$2:$A$9000,0)),""),"OK","!! не та группа"))</f>
        <v/>
      </c>
      <c r="L78" s="10">
        <f>IFERROR(INDEX(Работы!$H$2:$H$6000,MATCH($C78,Работы!$A$2:$A$6000,0))*(1-ДисконтТендер),0)</f>
        <v>0</v>
      </c>
      <c r="M78" s="10">
        <f>IF($I78="",0,IFERROR(INDEX(Материалы!$I$2:$I$9000,MATCH($I78,Материалы!$A$2:$A$9000,0))*IF(INDEX(Материалы!$J$2:$J$9000,MATCH($I78,Материалы!$A$2:$A$9000,0))="USD",КурсUSD,IF(INDEX(Материалы!$J$2:$J$9000,MATCH($I78,Материалы!$A$2:$A$9000,0))="EUR",КурсEUR,1))*INDEX(Материалы!$K$2:$K$9000,MATCH($I78,Материалы!$A$2:$A$9000,0))*(1+IFERROR(INDEX(Работы!$I$2:$I$6000,MATCH($C78,Работы!$A$2:$A$6000,0))/100,0))*(1-ДисконтТендер),0))</f>
        <v>0</v>
      </c>
      <c r="N78" s="10">
        <f t="shared" si="3"/>
        <v>0</v>
      </c>
      <c r="O78" s="10">
        <f t="shared" si="4"/>
        <v>0</v>
      </c>
      <c r="P78" s="10">
        <f t="shared" si="5"/>
        <v>0</v>
      </c>
      <c r="Q78" t="str">
        <f>IFERROR(INDEX(Работы!$J$2:$J$6000,MATCH($C78,Работы!$A$2:$A$6000,0)),"")</f>
        <v>типовая</v>
      </c>
      <c r="R78" t="s">
        <v>92</v>
      </c>
      <c r="T78" t="str">
        <f>IF(AND($P78&gt;0,$R78="да"),MAX($T$1:$T77)+1,"")</f>
        <v/>
      </c>
    </row>
    <row r="79" spans="1:20" ht="28.8" x14ac:dyDescent="0.3">
      <c r="A79" t="str">
        <f>IFERROR(INDEX(Работы!$D$2:$D$6000,MATCH($C79,Работы!$A$2:$A$6000,0)),"")</f>
        <v>Р1</v>
      </c>
      <c r="B79" t="str">
        <f>IFERROR(INDEX(Работы!$F$2:$F$6000,MATCH($C79,Работы!$A$2:$A$6000,0)),"")</f>
        <v>1</v>
      </c>
      <c r="C79" t="str">
        <f>IFERROR(INDEX(Работы!$A$2:$A$6000,78),"")</f>
        <v>РАБ.Р1.1.078</v>
      </c>
      <c r="D79" s="8" t="str">
        <f>IFERROR(INDEX(Работы!$B$2:$B$6000,MATCH($C79,Работы!$A$2:$A$6000,0)),"")</f>
        <v>Испытание лестниц 3 типа с предоставлением актов</v>
      </c>
      <c r="E79" t="str">
        <f>IFERROR(INDEX(Работы!$C$2:$C$6000,MATCH($C79,Работы!$A$2:$A$6000,0)),"")</f>
        <v>м2</v>
      </c>
      <c r="F79">
        <f>IFERROR(INDEX(Работы!$G$2:$G$6000,MATCH($C79,Работы!$A$2:$A$6000,0)),"")</f>
        <v>0</v>
      </c>
      <c r="G79" t="str">
        <f>IFERROR(INDEX(Работы!$K$2:$K$6000,MATCH($C79,Работы!$A$2:$A$6000,0)),"")</f>
        <v>S_общая</v>
      </c>
      <c r="H79" s="9"/>
      <c r="I79" s="9"/>
      <c r="J79" s="8" t="str">
        <f>IFERROR(INDEX(Материалы!$B$2:$B$9000,MATCH($I79,Материалы!$A$2:$A$9000,0)),"")</f>
        <v/>
      </c>
      <c r="K79" t="str">
        <f>IF($I79="","",IF($F79=IFERROR(INDEX(Материалы!$G$2:$G$9000,MATCH($I79,Материалы!$A$2:$A$9000,0)),""),"OK","!! не та группа"))</f>
        <v/>
      </c>
      <c r="L79" s="10">
        <f>IFERROR(INDEX(Работы!$H$2:$H$6000,MATCH($C79,Работы!$A$2:$A$6000,0))*(1-ДисконтТендер),0)</f>
        <v>30.63</v>
      </c>
      <c r="M79" s="10">
        <f>IF($I79="",0,IFERROR(INDEX(Материалы!$I$2:$I$9000,MATCH($I79,Материалы!$A$2:$A$9000,0))*IF(INDEX(Материалы!$J$2:$J$9000,MATCH($I79,Материалы!$A$2:$A$9000,0))="USD",КурсUSD,IF(INDEX(Материалы!$J$2:$J$9000,MATCH($I79,Материалы!$A$2:$A$9000,0))="EUR",КурсEUR,1))*INDEX(Материалы!$K$2:$K$9000,MATCH($I79,Материалы!$A$2:$A$9000,0))*(1+IFERROR(INDEX(Работы!$I$2:$I$6000,MATCH($C79,Работы!$A$2:$A$6000,0))/100,0))*(1-ДисконтТендер),0))</f>
        <v>0</v>
      </c>
      <c r="N79" s="10">
        <f t="shared" si="3"/>
        <v>0</v>
      </c>
      <c r="O79" s="10">
        <f t="shared" si="4"/>
        <v>0</v>
      </c>
      <c r="P79" s="10">
        <f t="shared" si="5"/>
        <v>0</v>
      </c>
      <c r="Q79" t="str">
        <f>IFERROR(INDEX(Работы!$J$2:$J$6000,MATCH($C79,Работы!$A$2:$A$6000,0)),"")</f>
        <v>типовая</v>
      </c>
      <c r="R79" t="s">
        <v>92</v>
      </c>
      <c r="T79" t="str">
        <f>IF(AND($P79&gt;0,$R79="да"),MAX($T$1:$T78)+1,"")</f>
        <v/>
      </c>
    </row>
    <row r="80" spans="1:20" ht="43.2" x14ac:dyDescent="0.3">
      <c r="A80" t="str">
        <f>IFERROR(INDEX(Работы!$D$2:$D$6000,MATCH($C80,Работы!$A$2:$A$6000,0)),"")</f>
        <v>Р1</v>
      </c>
      <c r="B80" t="str">
        <f>IFERROR(INDEX(Работы!$F$2:$F$6000,MATCH($C80,Работы!$A$2:$A$6000,0)),"")</f>
        <v>1</v>
      </c>
      <c r="C80" t="str">
        <f>IFERROR(INDEX(Работы!$A$2:$A$6000,79),"")</f>
        <v>РАБ.Р1.1.079</v>
      </c>
      <c r="D80" s="8" t="str">
        <f>IFERROR(INDEX(Работы!$B$2:$B$6000,MATCH($C80,Работы!$A$2:$A$6000,0)),"")</f>
        <v>Испытания системы внутреннего противопожарного водопровода аккредитованной организацией (ВПВ и АУПТ).</v>
      </c>
      <c r="E80" t="str">
        <f>IFERROR(INDEX(Работы!$C$2:$C$6000,MATCH($C80,Работы!$A$2:$A$6000,0)),"")</f>
        <v>компл.</v>
      </c>
      <c r="F80">
        <f>IFERROR(INDEX(Работы!$G$2:$G$6000,MATCH($C80,Работы!$A$2:$A$6000,0)),"")</f>
        <v>0</v>
      </c>
      <c r="G80" t="str">
        <f>IFERROR(INDEX(Работы!$K$2:$K$6000,MATCH($C80,Работы!$A$2:$A$6000,0)),"")</f>
        <v>S_общая</v>
      </c>
      <c r="H80" s="9"/>
      <c r="I80" s="9"/>
      <c r="J80" s="8" t="str">
        <f>IFERROR(INDEX(Материалы!$B$2:$B$9000,MATCH($I80,Материалы!$A$2:$A$9000,0)),"")</f>
        <v/>
      </c>
      <c r="K80" t="str">
        <f>IF($I80="","",IF($F80=IFERROR(INDEX(Материалы!$G$2:$G$9000,MATCH($I80,Материалы!$A$2:$A$9000,0)),""),"OK","!! не та группа"))</f>
        <v/>
      </c>
      <c r="L80" s="10">
        <f>IFERROR(INDEX(Работы!$H$2:$H$6000,MATCH($C80,Работы!$A$2:$A$6000,0))*(1-ДисконтТендер),0)</f>
        <v>10207.56</v>
      </c>
      <c r="M80" s="10">
        <f>IF($I80="",0,IFERROR(INDEX(Материалы!$I$2:$I$9000,MATCH($I80,Материалы!$A$2:$A$9000,0))*IF(INDEX(Материалы!$J$2:$J$9000,MATCH($I80,Материалы!$A$2:$A$9000,0))="USD",КурсUSD,IF(INDEX(Материалы!$J$2:$J$9000,MATCH($I80,Материалы!$A$2:$A$9000,0))="EUR",КурсEUR,1))*INDEX(Материалы!$K$2:$K$9000,MATCH($I80,Материалы!$A$2:$A$9000,0))*(1+IFERROR(INDEX(Работы!$I$2:$I$6000,MATCH($C80,Работы!$A$2:$A$6000,0))/100,0))*(1-ДисконтТендер),0))</f>
        <v>0</v>
      </c>
      <c r="N80" s="10">
        <f t="shared" si="3"/>
        <v>0</v>
      </c>
      <c r="O80" s="10">
        <f t="shared" si="4"/>
        <v>0</v>
      </c>
      <c r="P80" s="10">
        <f t="shared" si="5"/>
        <v>0</v>
      </c>
      <c r="Q80" t="str">
        <f>IFERROR(INDEX(Работы!$J$2:$J$6000,MATCH($C80,Работы!$A$2:$A$6000,0)),"")</f>
        <v>типовая</v>
      </c>
      <c r="R80" t="s">
        <v>92</v>
      </c>
      <c r="T80" t="str">
        <f>IF(AND($P80&gt;0,$R80="да"),MAX($T$1:$T79)+1,"")</f>
        <v/>
      </c>
    </row>
    <row r="81" spans="1:20" x14ac:dyDescent="0.3">
      <c r="A81" t="str">
        <f>IFERROR(INDEX(Работы!$D$2:$D$6000,MATCH($C81,Работы!$A$2:$A$6000,0)),"")</f>
        <v>Р1</v>
      </c>
      <c r="B81" t="str">
        <f>IFERROR(INDEX(Работы!$F$2:$F$6000,MATCH($C81,Работы!$A$2:$A$6000,0)),"")</f>
        <v>1</v>
      </c>
      <c r="C81" t="str">
        <f>IFERROR(INDEX(Работы!$A$2:$A$6000,80),"")</f>
        <v>РАБ.Р1.1.080</v>
      </c>
      <c r="D81" s="8" t="str">
        <f>IFERROR(INDEX(Работы!$B$2:$B$6000,MATCH($C81,Работы!$A$2:$A$6000,0)),"")</f>
        <v>Мероприятия по обеспечению доступа инвалидов</v>
      </c>
      <c r="E81" t="str">
        <f>IFERROR(INDEX(Работы!$C$2:$C$6000,MATCH($C81,Работы!$A$2:$A$6000,0)),"")</f>
        <v>м2</v>
      </c>
      <c r="F81">
        <f>IFERROR(INDEX(Работы!$G$2:$G$6000,MATCH($C81,Работы!$A$2:$A$6000,0)),"")</f>
        <v>0</v>
      </c>
      <c r="G81" t="str">
        <f>IFERROR(INDEX(Работы!$K$2:$K$6000,MATCH($C81,Работы!$A$2:$A$6000,0)),"")</f>
        <v>S_общая</v>
      </c>
      <c r="H81" s="9"/>
      <c r="I81" s="9"/>
      <c r="J81" s="8" t="str">
        <f>IFERROR(INDEX(Материалы!$B$2:$B$9000,MATCH($I81,Материалы!$A$2:$A$9000,0)),"")</f>
        <v/>
      </c>
      <c r="K81" t="str">
        <f>IF($I81="","",IF($F81=IFERROR(INDEX(Материалы!$G$2:$G$9000,MATCH($I81,Материалы!$A$2:$A$9000,0)),""),"OK","!! не та группа"))</f>
        <v/>
      </c>
      <c r="L81" s="10">
        <f>IFERROR(INDEX(Работы!$H$2:$H$6000,MATCH($C81,Работы!$A$2:$A$6000,0))*(1-ДисконтТендер),0)</f>
        <v>76.52</v>
      </c>
      <c r="M81" s="10">
        <f>IF($I81="",0,IFERROR(INDEX(Материалы!$I$2:$I$9000,MATCH($I81,Материалы!$A$2:$A$9000,0))*IF(INDEX(Материалы!$J$2:$J$9000,MATCH($I81,Материалы!$A$2:$A$9000,0))="USD",КурсUSD,IF(INDEX(Материалы!$J$2:$J$9000,MATCH($I81,Материалы!$A$2:$A$9000,0))="EUR",КурсEUR,1))*INDEX(Материалы!$K$2:$K$9000,MATCH($I81,Материалы!$A$2:$A$9000,0))*(1+IFERROR(INDEX(Работы!$I$2:$I$6000,MATCH($C81,Работы!$A$2:$A$6000,0))/100,0))*(1-ДисконтТендер),0))</f>
        <v>0</v>
      </c>
      <c r="N81" s="10">
        <f t="shared" si="3"/>
        <v>0</v>
      </c>
      <c r="O81" s="10">
        <f t="shared" si="4"/>
        <v>0</v>
      </c>
      <c r="P81" s="10">
        <f t="shared" si="5"/>
        <v>0</v>
      </c>
      <c r="Q81" t="str">
        <f>IFERROR(INDEX(Работы!$J$2:$J$6000,MATCH($C81,Работы!$A$2:$A$6000,0)),"")</f>
        <v>типовая</v>
      </c>
      <c r="R81" t="s">
        <v>92</v>
      </c>
      <c r="T81" t="str">
        <f>IF(AND($P81&gt;0,$R81="да"),MAX($T$1:$T80)+1,"")</f>
        <v/>
      </c>
    </row>
    <row r="82" spans="1:20" x14ac:dyDescent="0.3">
      <c r="A82" t="str">
        <f>IFERROR(INDEX(Работы!$D$2:$D$6000,MATCH($C82,Работы!$A$2:$A$6000,0)),"")</f>
        <v>Р1</v>
      </c>
      <c r="B82" t="str">
        <f>IFERROR(INDEX(Работы!$F$2:$F$6000,MATCH($C82,Работы!$A$2:$A$6000,0)),"")</f>
        <v>1</v>
      </c>
      <c r="C82" t="str">
        <f>IFERROR(INDEX(Работы!$A$2:$A$6000,81),"")</f>
        <v>РАБ.Р1.1.081</v>
      </c>
      <c r="D82" s="8" t="str">
        <f>IFERROR(INDEX(Работы!$B$2:$B$6000,MATCH($C82,Работы!$A$2:$A$6000,0)),"")</f>
        <v>Расчет пожарного риска</v>
      </c>
      <c r="E82" t="str">
        <f>IFERROR(INDEX(Работы!$C$2:$C$6000,MATCH($C82,Работы!$A$2:$A$6000,0)),"")</f>
        <v>м2</v>
      </c>
      <c r="F82">
        <f>IFERROR(INDEX(Работы!$G$2:$G$6000,MATCH($C82,Работы!$A$2:$A$6000,0)),"")</f>
        <v>0</v>
      </c>
      <c r="G82" t="str">
        <f>IFERROR(INDEX(Работы!$K$2:$K$6000,MATCH($C82,Работы!$A$2:$A$6000,0)),"")</f>
        <v>S_общая</v>
      </c>
      <c r="H82" s="9"/>
      <c r="I82" s="9"/>
      <c r="J82" s="8" t="str">
        <f>IFERROR(INDEX(Материалы!$B$2:$B$9000,MATCH($I82,Материалы!$A$2:$A$9000,0)),"")</f>
        <v/>
      </c>
      <c r="K82" t="str">
        <f>IF($I82="","",IF($F82=IFERROR(INDEX(Материалы!$G$2:$G$9000,MATCH($I82,Материалы!$A$2:$A$9000,0)),""),"OK","!! не та группа"))</f>
        <v/>
      </c>
      <c r="L82" s="10">
        <f>IFERROR(INDEX(Работы!$H$2:$H$6000,MATCH($C82,Работы!$A$2:$A$6000,0))*(1-ДисконтТендер),0)</f>
        <v>0</v>
      </c>
      <c r="M82" s="10">
        <f>IF($I82="",0,IFERROR(INDEX(Материалы!$I$2:$I$9000,MATCH($I82,Материалы!$A$2:$A$9000,0))*IF(INDEX(Материалы!$J$2:$J$9000,MATCH($I82,Материалы!$A$2:$A$9000,0))="USD",КурсUSD,IF(INDEX(Материалы!$J$2:$J$9000,MATCH($I82,Материалы!$A$2:$A$9000,0))="EUR",КурсEUR,1))*INDEX(Материалы!$K$2:$K$9000,MATCH($I82,Материалы!$A$2:$A$9000,0))*(1+IFERROR(INDEX(Работы!$I$2:$I$6000,MATCH($C82,Работы!$A$2:$A$6000,0))/100,0))*(1-ДисконтТендер),0))</f>
        <v>0</v>
      </c>
      <c r="N82" s="10">
        <f t="shared" si="3"/>
        <v>0</v>
      </c>
      <c r="O82" s="10">
        <f t="shared" si="4"/>
        <v>0</v>
      </c>
      <c r="P82" s="10">
        <f t="shared" si="5"/>
        <v>0</v>
      </c>
      <c r="Q82" t="str">
        <f>IFERROR(INDEX(Работы!$J$2:$J$6000,MATCH($C82,Работы!$A$2:$A$6000,0)),"")</f>
        <v>типовая</v>
      </c>
      <c r="R82" t="s">
        <v>92</v>
      </c>
      <c r="T82" t="str">
        <f>IF(AND($P82&gt;0,$R82="да"),MAX($T$1:$T81)+1,"")</f>
        <v/>
      </c>
    </row>
    <row r="83" spans="1:20" ht="43.2" x14ac:dyDescent="0.3">
      <c r="A83" t="str">
        <f>IFERROR(INDEX(Работы!$D$2:$D$6000,MATCH($C83,Работы!$A$2:$A$6000,0)),"")</f>
        <v>Р1</v>
      </c>
      <c r="B83" t="str">
        <f>IFERROR(INDEX(Работы!$F$2:$F$6000,MATCH($C83,Работы!$A$2:$A$6000,0)),"")</f>
        <v>1</v>
      </c>
      <c r="C83" t="str">
        <f>IFERROR(INDEX(Работы!$A$2:$A$6000,82),"")</f>
        <v>РАБ.Р1.1.082</v>
      </c>
      <c r="D83" s="8" t="str">
        <f>IFERROR(INDEX(Работы!$B$2:$B$6000,MATCH($C83,Работы!$A$2:$A$6000,0)),"")</f>
        <v>Подготовка и постановка на учет Независимой оценки пожарного риска (пожарный аудит), включая Расчет пожарного риска</v>
      </c>
      <c r="E83" t="str">
        <f>IFERROR(INDEX(Работы!$C$2:$C$6000,MATCH($C83,Работы!$A$2:$A$6000,0)),"")</f>
        <v>м2</v>
      </c>
      <c r="F83">
        <f>IFERROR(INDEX(Работы!$G$2:$G$6000,MATCH($C83,Работы!$A$2:$A$6000,0)),"")</f>
        <v>0</v>
      </c>
      <c r="G83" t="str">
        <f>IFERROR(INDEX(Работы!$K$2:$K$6000,MATCH($C83,Работы!$A$2:$A$6000,0)),"")</f>
        <v>S_общая</v>
      </c>
      <c r="H83" s="9"/>
      <c r="I83" s="9"/>
      <c r="J83" s="8" t="str">
        <f>IFERROR(INDEX(Материалы!$B$2:$B$9000,MATCH($I83,Материалы!$A$2:$A$9000,0)),"")</f>
        <v/>
      </c>
      <c r="K83" t="str">
        <f>IF($I83="","",IF($F83=IFERROR(INDEX(Материалы!$G$2:$G$9000,MATCH($I83,Материалы!$A$2:$A$9000,0)),""),"OK","!! не та группа"))</f>
        <v/>
      </c>
      <c r="L83" s="10">
        <f>IFERROR(INDEX(Работы!$H$2:$H$6000,MATCH($C83,Работы!$A$2:$A$6000,0))*(1-ДисконтТендер),0)</f>
        <v>0</v>
      </c>
      <c r="M83" s="10">
        <f>IF($I83="",0,IFERROR(INDEX(Материалы!$I$2:$I$9000,MATCH($I83,Материалы!$A$2:$A$9000,0))*IF(INDEX(Материалы!$J$2:$J$9000,MATCH($I83,Материалы!$A$2:$A$9000,0))="USD",КурсUSD,IF(INDEX(Материалы!$J$2:$J$9000,MATCH($I83,Материалы!$A$2:$A$9000,0))="EUR",КурсEUR,1))*INDEX(Материалы!$K$2:$K$9000,MATCH($I83,Материалы!$A$2:$A$9000,0))*(1+IFERROR(INDEX(Работы!$I$2:$I$6000,MATCH($C83,Работы!$A$2:$A$6000,0))/100,0))*(1-ДисконтТендер),0))</f>
        <v>0</v>
      </c>
      <c r="N83" s="10">
        <f t="shared" si="3"/>
        <v>0</v>
      </c>
      <c r="O83" s="10">
        <f t="shared" si="4"/>
        <v>0</v>
      </c>
      <c r="P83" s="10">
        <f t="shared" si="5"/>
        <v>0</v>
      </c>
      <c r="Q83" t="str">
        <f>IFERROR(INDEX(Работы!$J$2:$J$6000,MATCH($C83,Работы!$A$2:$A$6000,0)),"")</f>
        <v>типовая</v>
      </c>
      <c r="R83" t="s">
        <v>92</v>
      </c>
      <c r="T83" t="str">
        <f>IF(AND($P83&gt;0,$R83="да"),MAX($T$1:$T82)+1,"")</f>
        <v/>
      </c>
    </row>
    <row r="84" spans="1:20" x14ac:dyDescent="0.3">
      <c r="A84" t="str">
        <f>IFERROR(INDEX(Работы!$D$2:$D$6000,MATCH($C84,Работы!$A$2:$A$6000,0)),"")</f>
        <v>Р1</v>
      </c>
      <c r="B84" t="str">
        <f>IFERROR(INDEX(Работы!$F$2:$F$6000,MATCH($C84,Работы!$A$2:$A$6000,0)),"")</f>
        <v>1</v>
      </c>
      <c r="C84" t="str">
        <f>IFERROR(INDEX(Работы!$A$2:$A$6000,83),"")</f>
        <v>РАБ.Р1.1.083</v>
      </c>
      <c r="D84" s="8" t="str">
        <f>IFERROR(INDEX(Работы!$B$2:$B$6000,MATCH($C84,Работы!$A$2:$A$6000,0)),"")</f>
        <v>Разработка проекта огнезащиты</v>
      </c>
      <c r="E84" t="str">
        <f>IFERROR(INDEX(Работы!$C$2:$C$6000,MATCH($C84,Работы!$A$2:$A$6000,0)),"")</f>
        <v>шт.</v>
      </c>
      <c r="F84">
        <f>IFERROR(INDEX(Работы!$G$2:$G$6000,MATCH($C84,Работы!$A$2:$A$6000,0)),"")</f>
        <v>0</v>
      </c>
      <c r="G84" t="str">
        <f>IFERROR(INDEX(Работы!$K$2:$K$6000,MATCH($C84,Работы!$A$2:$A$6000,0)),"")</f>
        <v>S_поверхность</v>
      </c>
      <c r="H84" s="9"/>
      <c r="I84" s="9"/>
      <c r="J84" s="8" t="str">
        <f>IFERROR(INDEX(Материалы!$B$2:$B$9000,MATCH($I84,Материалы!$A$2:$A$9000,0)),"")</f>
        <v/>
      </c>
      <c r="K84" t="str">
        <f>IF($I84="","",IF($F84=IFERROR(INDEX(Материалы!$G$2:$G$9000,MATCH($I84,Материалы!$A$2:$A$9000,0)),""),"OK","!! не та группа"))</f>
        <v/>
      </c>
      <c r="L84" s="10">
        <f>IFERROR(INDEX(Работы!$H$2:$H$6000,MATCH($C84,Работы!$A$2:$A$6000,0))*(1-ДисконтТендер),0)</f>
        <v>16168.42</v>
      </c>
      <c r="M84" s="10">
        <f>IF($I84="",0,IFERROR(INDEX(Материалы!$I$2:$I$9000,MATCH($I84,Материалы!$A$2:$A$9000,0))*IF(INDEX(Материалы!$J$2:$J$9000,MATCH($I84,Материалы!$A$2:$A$9000,0))="USD",КурсUSD,IF(INDEX(Материалы!$J$2:$J$9000,MATCH($I84,Материалы!$A$2:$A$9000,0))="EUR",КурсEUR,1))*INDEX(Материалы!$K$2:$K$9000,MATCH($I84,Материалы!$A$2:$A$9000,0))*(1+IFERROR(INDEX(Работы!$I$2:$I$6000,MATCH($C84,Работы!$A$2:$A$6000,0))/100,0))*(1-ДисконтТендер),0))</f>
        <v>0</v>
      </c>
      <c r="N84" s="10">
        <f t="shared" si="3"/>
        <v>0</v>
      </c>
      <c r="O84" s="10">
        <f t="shared" si="4"/>
        <v>0</v>
      </c>
      <c r="P84" s="10">
        <f t="shared" si="5"/>
        <v>0</v>
      </c>
      <c r="Q84" t="str">
        <f>IFERROR(INDEX(Работы!$J$2:$J$6000,MATCH($C84,Работы!$A$2:$A$6000,0)),"")</f>
        <v>типовая</v>
      </c>
      <c r="R84" t="s">
        <v>92</v>
      </c>
      <c r="T84" t="str">
        <f>IF(AND($P84&gt;0,$R84="да"),MAX($T$1:$T83)+1,"")</f>
        <v/>
      </c>
    </row>
    <row r="85" spans="1:20" ht="72" x14ac:dyDescent="0.3">
      <c r="A85" t="str">
        <f>IFERROR(INDEX(Работы!$D$2:$D$6000,MATCH($C85,Работы!$A$2:$A$6000,0)),"")</f>
        <v>Р1</v>
      </c>
      <c r="B85" t="str">
        <f>IFERROR(INDEX(Работы!$F$2:$F$6000,MATCH($C85,Работы!$A$2:$A$6000,0)),"")</f>
        <v>1</v>
      </c>
      <c r="C85" t="str">
        <f>IFERROR(INDEX(Работы!$A$2:$A$6000,84),"")</f>
        <v>РАБ.Р1.1.084</v>
      </c>
      <c r="D85" s="8" t="str">
        <f>IFERROR(INDEX(Работы!$B$2:$B$6000,MATCH($C85,Работы!$A$2:$A$6000,0)),"")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v>
      </c>
      <c r="E85" t="str">
        <f>IFERROR(INDEX(Работы!$C$2:$C$6000,MATCH($C85,Работы!$A$2:$A$6000,0)),"")</f>
        <v>компл.</v>
      </c>
      <c r="F85">
        <f>IFERROR(INDEX(Работы!$G$2:$G$6000,MATCH($C85,Работы!$A$2:$A$6000,0)),"")</f>
        <v>0</v>
      </c>
      <c r="G85" t="str">
        <f>IFERROR(INDEX(Работы!$K$2:$K$6000,MATCH($C85,Работы!$A$2:$A$6000,0)),"")</f>
        <v>S_поверхность</v>
      </c>
      <c r="H85" s="9"/>
      <c r="I85" s="9"/>
      <c r="J85" s="8" t="str">
        <f>IFERROR(INDEX(Материалы!$B$2:$B$9000,MATCH($I85,Материалы!$A$2:$A$9000,0)),"")</f>
        <v/>
      </c>
      <c r="K85" t="str">
        <f>IF($I85="","",IF($F85=IFERROR(INDEX(Материалы!$G$2:$G$9000,MATCH($I85,Материалы!$A$2:$A$9000,0)),""),"OK","!! не та группа"))</f>
        <v/>
      </c>
      <c r="L85" s="10">
        <f>IFERROR(INDEX(Работы!$H$2:$H$6000,MATCH($C85,Работы!$A$2:$A$6000,0))*(1-ДисконтТендер),0)</f>
        <v>23438.15</v>
      </c>
      <c r="M85" s="10">
        <f>IF($I85="",0,IFERROR(INDEX(Материалы!$I$2:$I$9000,MATCH($I85,Материалы!$A$2:$A$9000,0))*IF(INDEX(Материалы!$J$2:$J$9000,MATCH($I85,Материалы!$A$2:$A$9000,0))="USD",КурсUSD,IF(INDEX(Материалы!$J$2:$J$9000,MATCH($I85,Материалы!$A$2:$A$9000,0))="EUR",КурсEUR,1))*INDEX(Материалы!$K$2:$K$9000,MATCH($I85,Материалы!$A$2:$A$9000,0))*(1+IFERROR(INDEX(Работы!$I$2:$I$6000,MATCH($C85,Работы!$A$2:$A$6000,0))/100,0))*(1-ДисконтТендер),0))</f>
        <v>0</v>
      </c>
      <c r="N85" s="10">
        <f t="shared" si="3"/>
        <v>0</v>
      </c>
      <c r="O85" s="10">
        <f t="shared" si="4"/>
        <v>0</v>
      </c>
      <c r="P85" s="10">
        <f t="shared" si="5"/>
        <v>0</v>
      </c>
      <c r="Q85" t="str">
        <f>IFERROR(INDEX(Работы!$J$2:$J$6000,MATCH($C85,Работы!$A$2:$A$6000,0)),"")</f>
        <v>типовая</v>
      </c>
      <c r="R85" t="s">
        <v>92</v>
      </c>
      <c r="T85" t="str">
        <f>IF(AND($P85&gt;0,$R85="да"),MAX($T$1:$T84)+1,"")</f>
        <v/>
      </c>
    </row>
    <row r="86" spans="1:20" ht="72" x14ac:dyDescent="0.3">
      <c r="A86" t="str">
        <f>IFERROR(INDEX(Работы!$D$2:$D$6000,MATCH($C86,Работы!$A$2:$A$6000,0)),"")</f>
        <v>Р1</v>
      </c>
      <c r="B86" t="str">
        <f>IFERROR(INDEX(Работы!$F$2:$F$6000,MATCH($C86,Работы!$A$2:$A$6000,0)),"")</f>
        <v>1</v>
      </c>
      <c r="C86" t="str">
        <f>IFERROR(INDEX(Работы!$A$2:$A$6000,85),"")</f>
        <v>РАБ.Р1.1.085</v>
      </c>
      <c r="D86" s="8" t="str">
        <f>IFERROR(INDEX(Работы!$B$2:$B$6000,MATCH($C86,Работы!$A$2:$A$6000,0)),"")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v>
      </c>
      <c r="E86" t="str">
        <f>IFERROR(INDEX(Работы!$C$2:$C$6000,MATCH($C86,Работы!$A$2:$A$6000,0)),"")</f>
        <v>м2</v>
      </c>
      <c r="F86">
        <f>IFERROR(INDEX(Работы!$G$2:$G$6000,MATCH($C86,Работы!$A$2:$A$6000,0)),"")</f>
        <v>0</v>
      </c>
      <c r="G86" t="str">
        <f>IFERROR(INDEX(Работы!$K$2:$K$6000,MATCH($C86,Работы!$A$2:$A$6000,0)),"")</f>
        <v>S_поверхность</v>
      </c>
      <c r="H86" s="9"/>
      <c r="I86" s="9"/>
      <c r="J86" s="8" t="str">
        <f>IFERROR(INDEX(Материалы!$B$2:$B$9000,MATCH($I86,Материалы!$A$2:$A$9000,0)),"")</f>
        <v/>
      </c>
      <c r="K86" t="str">
        <f>IF($I86="","",IF($F86=IFERROR(INDEX(Материалы!$G$2:$G$9000,MATCH($I86,Материалы!$A$2:$A$9000,0)),""),"OK","!! не та группа"))</f>
        <v/>
      </c>
      <c r="L86" s="10">
        <f>IFERROR(INDEX(Работы!$H$2:$H$6000,MATCH($C86,Работы!$A$2:$A$6000,0))*(1-ДисконтТендер),0)</f>
        <v>17.8</v>
      </c>
      <c r="M86" s="10">
        <f>IF($I86="",0,IFERROR(INDEX(Материалы!$I$2:$I$9000,MATCH($I86,Материалы!$A$2:$A$9000,0))*IF(INDEX(Материалы!$J$2:$J$9000,MATCH($I86,Материалы!$A$2:$A$9000,0))="USD",КурсUSD,IF(INDEX(Материалы!$J$2:$J$9000,MATCH($I86,Материалы!$A$2:$A$9000,0))="EUR",КурсEUR,1))*INDEX(Материалы!$K$2:$K$9000,MATCH($I86,Материалы!$A$2:$A$9000,0))*(1+IFERROR(INDEX(Работы!$I$2:$I$6000,MATCH($C86,Работы!$A$2:$A$6000,0))/100,0))*(1-ДисконтТендер),0))</f>
        <v>0</v>
      </c>
      <c r="N86" s="10">
        <f t="shared" si="3"/>
        <v>0</v>
      </c>
      <c r="O86" s="10">
        <f t="shared" si="4"/>
        <v>0</v>
      </c>
      <c r="P86" s="10">
        <f t="shared" si="5"/>
        <v>0</v>
      </c>
      <c r="Q86" t="str">
        <f>IFERROR(INDEX(Работы!$J$2:$J$6000,MATCH($C86,Работы!$A$2:$A$6000,0)),"")</f>
        <v>типовая</v>
      </c>
      <c r="R86" t="s">
        <v>92</v>
      </c>
      <c r="T86" t="str">
        <f>IF(AND($P86&gt;0,$R86="да"),MAX($T$1:$T85)+1,"")</f>
        <v/>
      </c>
    </row>
    <row r="87" spans="1:20" ht="43.2" x14ac:dyDescent="0.3">
      <c r="A87" t="str">
        <f>IFERROR(INDEX(Работы!$D$2:$D$6000,MATCH($C87,Работы!$A$2:$A$6000,0)),"")</f>
        <v>Р1</v>
      </c>
      <c r="B87" t="str">
        <f>IFERROR(INDEX(Работы!$F$2:$F$6000,MATCH($C87,Работы!$A$2:$A$6000,0)),"")</f>
        <v>1</v>
      </c>
      <c r="C87" t="str">
        <f>IFERROR(INDEX(Работы!$A$2:$A$6000,86),"")</f>
        <v>РАБ.Р1.1.086</v>
      </c>
      <c r="D87" s="8" t="str">
        <f>IFERROR(INDEX(Работы!$B$2:$B$6000,MATCH($C87,Работы!$A$2:$A$6000,0)),"")</f>
        <v>Акустический расчет инженерных систем ОВиК (предоставление в Роспотребнадзор) электронный и бумажный вариант</v>
      </c>
      <c r="E87" t="str">
        <f>IFERROR(INDEX(Работы!$C$2:$C$6000,MATCH($C87,Работы!$A$2:$A$6000,0)),"")</f>
        <v>компл.</v>
      </c>
      <c r="F87">
        <f>IFERROR(INDEX(Работы!$G$2:$G$6000,MATCH($C87,Работы!$A$2:$A$6000,0)),"")</f>
        <v>0</v>
      </c>
      <c r="G87" t="str">
        <f>IFERROR(INDEX(Работы!$K$2:$K$6000,MATCH($C87,Работы!$A$2:$A$6000,0)),"")</f>
        <v>S_общая</v>
      </c>
      <c r="H87" s="9"/>
      <c r="I87" s="9"/>
      <c r="J87" s="8" t="str">
        <f>IFERROR(INDEX(Материалы!$B$2:$B$9000,MATCH($I87,Материалы!$A$2:$A$9000,0)),"")</f>
        <v/>
      </c>
      <c r="K87" t="str">
        <f>IF($I87="","",IF($F87=IFERROR(INDEX(Материалы!$G$2:$G$9000,MATCH($I87,Материалы!$A$2:$A$9000,0)),""),"OK","!! не та группа"))</f>
        <v/>
      </c>
      <c r="L87" s="10">
        <f>IFERROR(INDEX(Работы!$H$2:$H$6000,MATCH($C87,Работы!$A$2:$A$6000,0))*(1-ДисконтТендер),0)</f>
        <v>132501.92000000001</v>
      </c>
      <c r="M87" s="10">
        <f>IF($I87="",0,IFERROR(INDEX(Материалы!$I$2:$I$9000,MATCH($I87,Материалы!$A$2:$A$9000,0))*IF(INDEX(Материалы!$J$2:$J$9000,MATCH($I87,Материалы!$A$2:$A$9000,0))="USD",КурсUSD,IF(INDEX(Материалы!$J$2:$J$9000,MATCH($I87,Материалы!$A$2:$A$9000,0))="EUR",КурсEUR,1))*INDEX(Материалы!$K$2:$K$9000,MATCH($I87,Материалы!$A$2:$A$9000,0))*(1+IFERROR(INDEX(Работы!$I$2:$I$6000,MATCH($C87,Работы!$A$2:$A$6000,0))/100,0))*(1-ДисконтТендер),0))</f>
        <v>0</v>
      </c>
      <c r="N87" s="10">
        <f t="shared" si="3"/>
        <v>0</v>
      </c>
      <c r="O87" s="10">
        <f t="shared" si="4"/>
        <v>0</v>
      </c>
      <c r="P87" s="10">
        <f t="shared" si="5"/>
        <v>0</v>
      </c>
      <c r="Q87" t="str">
        <f>IFERROR(INDEX(Работы!$J$2:$J$6000,MATCH($C87,Работы!$A$2:$A$6000,0)),"")</f>
        <v>типовая</v>
      </c>
      <c r="R87" t="s">
        <v>92</v>
      </c>
      <c r="T87" t="str">
        <f>IF(AND($P87&gt;0,$R87="да"),MAX($T$1:$T86)+1,"")</f>
        <v/>
      </c>
    </row>
    <row r="88" spans="1:20" ht="57.6" x14ac:dyDescent="0.3">
      <c r="A88" t="str">
        <f>IFERROR(INDEX(Работы!$D$2:$D$6000,MATCH($C88,Работы!$A$2:$A$6000,0)),"")</f>
        <v>Р1</v>
      </c>
      <c r="B88" t="str">
        <f>IFERROR(INDEX(Работы!$F$2:$F$6000,MATCH($C88,Работы!$A$2:$A$6000,0)),"")</f>
        <v>1</v>
      </c>
      <c r="C88" t="str">
        <f>IFERROR(INDEX(Работы!$A$2:$A$6000,87),"")</f>
        <v>РАБ.Р1.1.087</v>
      </c>
      <c r="D88" s="8" t="str">
        <f>IFERROR(INDEX(Работы!$B$2:$B$6000,MATCH($C88,Работы!$A$2:$A$6000,0)),"")</f>
        <v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v>
      </c>
      <c r="E88" t="str">
        <f>IFERROR(INDEX(Работы!$C$2:$C$6000,MATCH($C88,Работы!$A$2:$A$6000,0)),"")</f>
        <v>компл.</v>
      </c>
      <c r="F88">
        <f>IFERROR(INDEX(Работы!$G$2:$G$6000,MATCH($C88,Работы!$A$2:$A$6000,0)),"")</f>
        <v>0</v>
      </c>
      <c r="G88" t="str">
        <f>IFERROR(INDEX(Работы!$K$2:$K$6000,MATCH($C88,Работы!$A$2:$A$6000,0)),"")</f>
        <v>S_общая</v>
      </c>
      <c r="H88" s="9"/>
      <c r="I88" s="9"/>
      <c r="J88" s="8" t="str">
        <f>IFERROR(INDEX(Материалы!$B$2:$B$9000,MATCH($I88,Материалы!$A$2:$A$9000,0)),"")</f>
        <v/>
      </c>
      <c r="K88" t="str">
        <f>IF($I88="","",IF($F88=IFERROR(INDEX(Материалы!$G$2:$G$9000,MATCH($I88,Материалы!$A$2:$A$9000,0)),""),"OK","!! не та группа"))</f>
        <v/>
      </c>
      <c r="L88" s="10">
        <f>IFERROR(INDEX(Работы!$H$2:$H$6000,MATCH($C88,Работы!$A$2:$A$6000,0))*(1-ДисконтТендер),0)</f>
        <v>134515.32999999999</v>
      </c>
      <c r="M88" s="10">
        <f>IF($I88="",0,IFERROR(INDEX(Материалы!$I$2:$I$9000,MATCH($I88,Материалы!$A$2:$A$9000,0))*IF(INDEX(Материалы!$J$2:$J$9000,MATCH($I88,Материалы!$A$2:$A$9000,0))="USD",КурсUSD,IF(INDEX(Материалы!$J$2:$J$9000,MATCH($I88,Материалы!$A$2:$A$9000,0))="EUR",КурсEUR,1))*INDEX(Материалы!$K$2:$K$9000,MATCH($I88,Материалы!$A$2:$A$9000,0))*(1+IFERROR(INDEX(Работы!$I$2:$I$6000,MATCH($C88,Работы!$A$2:$A$6000,0))/100,0))*(1-ДисконтТендер),0))</f>
        <v>0</v>
      </c>
      <c r="N88" s="10">
        <f t="shared" si="3"/>
        <v>0</v>
      </c>
      <c r="O88" s="10">
        <f t="shared" si="4"/>
        <v>0</v>
      </c>
      <c r="P88" s="10">
        <f t="shared" si="5"/>
        <v>0</v>
      </c>
      <c r="Q88" t="str">
        <f>IFERROR(INDEX(Работы!$J$2:$J$6000,MATCH($C88,Работы!$A$2:$A$6000,0)),"")</f>
        <v>типовая</v>
      </c>
      <c r="R88" t="s">
        <v>92</v>
      </c>
      <c r="T88" t="str">
        <f>IF(AND($P88&gt;0,$R88="да"),MAX($T$1:$T87)+1,"")</f>
        <v/>
      </c>
    </row>
    <row r="89" spans="1:20" ht="57.6" x14ac:dyDescent="0.3">
      <c r="A89" t="str">
        <f>IFERROR(INDEX(Работы!$D$2:$D$6000,MATCH($C89,Работы!$A$2:$A$6000,0)),"")</f>
        <v>Р1</v>
      </c>
      <c r="B89" t="str">
        <f>IFERROR(INDEX(Работы!$F$2:$F$6000,MATCH($C89,Работы!$A$2:$A$6000,0)),"")</f>
        <v>1</v>
      </c>
      <c r="C89" t="str">
        <f>IFERROR(INDEX(Работы!$A$2:$A$6000,88),"")</f>
        <v>РАБ.Р1.1.088</v>
      </c>
      <c r="D89" s="8" t="str">
        <f>IFERROR(INDEX(Работы!$B$2:$B$6000,MATCH($C89,Работы!$A$2:$A$6000,0)),"")</f>
        <v>Стоимость согласования проекта перепланировки/реконструкции объекта в соответствии с нормативными актами г. ______________</v>
      </c>
      <c r="E89" t="str">
        <f>IFERROR(INDEX(Работы!$C$2:$C$6000,MATCH($C89,Работы!$A$2:$A$6000,0)),"")</f>
        <v>кв.м.площади офиса</v>
      </c>
      <c r="F89">
        <f>IFERROR(INDEX(Работы!$G$2:$G$6000,MATCH($C89,Работы!$A$2:$A$6000,0)),"")</f>
        <v>0</v>
      </c>
      <c r="G89" t="str">
        <f>IFERROR(INDEX(Работы!$K$2:$K$6000,MATCH($C89,Работы!$A$2:$A$6000,0)),"")</f>
        <v>S_общая</v>
      </c>
      <c r="H89" s="9"/>
      <c r="I89" s="9"/>
      <c r="J89" s="8" t="str">
        <f>IFERROR(INDEX(Материалы!$B$2:$B$9000,MATCH($I89,Материалы!$A$2:$A$9000,0)),"")</f>
        <v/>
      </c>
      <c r="K89" t="str">
        <f>IF($I89="","",IF($F89=IFERROR(INDEX(Материалы!$G$2:$G$9000,MATCH($I89,Материалы!$A$2:$A$9000,0)),""),"OK","!! не та группа"))</f>
        <v/>
      </c>
      <c r="L89" s="10">
        <f>IFERROR(INDEX(Работы!$H$2:$H$6000,MATCH($C89,Работы!$A$2:$A$6000,0))*(1-ДисконтТендер),0)</f>
        <v>137099.85999999999</v>
      </c>
      <c r="M89" s="10">
        <f>IF($I89="",0,IFERROR(INDEX(Материалы!$I$2:$I$9000,MATCH($I89,Материалы!$A$2:$A$9000,0))*IF(INDEX(Материалы!$J$2:$J$9000,MATCH($I89,Материалы!$A$2:$A$9000,0))="USD",КурсUSD,IF(INDEX(Материалы!$J$2:$J$9000,MATCH($I89,Материалы!$A$2:$A$9000,0))="EUR",КурсEUR,1))*INDEX(Материалы!$K$2:$K$9000,MATCH($I89,Материалы!$A$2:$A$9000,0))*(1+IFERROR(INDEX(Работы!$I$2:$I$6000,MATCH($C89,Работы!$A$2:$A$6000,0))/100,0))*(1-ДисконтТендер),0))</f>
        <v>0</v>
      </c>
      <c r="N89" s="10">
        <f t="shared" si="3"/>
        <v>0</v>
      </c>
      <c r="O89" s="10">
        <f t="shared" si="4"/>
        <v>0</v>
      </c>
      <c r="P89" s="10">
        <f t="shared" si="5"/>
        <v>0</v>
      </c>
      <c r="Q89" t="str">
        <f>IFERROR(INDEX(Работы!$J$2:$J$6000,MATCH($C89,Работы!$A$2:$A$6000,0)),"")</f>
        <v>типовая</v>
      </c>
      <c r="R89" t="s">
        <v>92</v>
      </c>
      <c r="T89" t="str">
        <f>IF(AND($P89&gt;0,$R89="да"),MAX($T$1:$T88)+1,"")</f>
        <v/>
      </c>
    </row>
    <row r="90" spans="1:20" x14ac:dyDescent="0.3">
      <c r="A90" t="str">
        <f>IFERROR(INDEX(Работы!$D$2:$D$6000,MATCH($C90,Работы!$A$2:$A$6000,0)),"")</f>
        <v>Р1</v>
      </c>
      <c r="B90" t="str">
        <f>IFERROR(INDEX(Работы!$F$2:$F$6000,MATCH($C90,Работы!$A$2:$A$6000,0)),"")</f>
        <v>1</v>
      </c>
      <c r="C90" t="str">
        <f>IFERROR(INDEX(Работы!$A$2:$A$6000,89),"")</f>
        <v>РАБ.Р1.1.089</v>
      </c>
      <c r="D90" s="8" t="str">
        <f>IFERROR(INDEX(Работы!$B$2:$B$6000,MATCH($C90,Работы!$A$2:$A$6000,0)),"")</f>
        <v>Получение паспорта БТИ (в черных линиях)</v>
      </c>
      <c r="E90" t="str">
        <f>IFERROR(INDEX(Работы!$C$2:$C$6000,MATCH($C90,Работы!$A$2:$A$6000,0)),"")</f>
        <v>компл.</v>
      </c>
      <c r="F90">
        <f>IFERROR(INDEX(Работы!$G$2:$G$6000,MATCH($C90,Работы!$A$2:$A$6000,0)),"")</f>
        <v>0</v>
      </c>
      <c r="G90" t="str">
        <f>IFERROR(INDEX(Работы!$K$2:$K$6000,MATCH($C90,Работы!$A$2:$A$6000,0)),"")</f>
        <v>S_общая</v>
      </c>
      <c r="H90" s="9"/>
      <c r="I90" s="9"/>
      <c r="J90" s="8" t="str">
        <f>IFERROR(INDEX(Материалы!$B$2:$B$9000,MATCH($I90,Материалы!$A$2:$A$9000,0)),"")</f>
        <v/>
      </c>
      <c r="K90" t="str">
        <f>IF($I90="","",IF($F90=IFERROR(INDEX(Материалы!$G$2:$G$9000,MATCH($I90,Материалы!$A$2:$A$9000,0)),""),"OK","!! не та группа"))</f>
        <v/>
      </c>
      <c r="L90" s="10">
        <f>IFERROR(INDEX(Работы!$H$2:$H$6000,MATCH($C90,Работы!$A$2:$A$6000,0))*(1-ДисконтТендер),0)</f>
        <v>134499.93</v>
      </c>
      <c r="M90" s="10">
        <f>IF($I90="",0,IFERROR(INDEX(Материалы!$I$2:$I$9000,MATCH($I90,Материалы!$A$2:$A$9000,0))*IF(INDEX(Материалы!$J$2:$J$9000,MATCH($I90,Материалы!$A$2:$A$9000,0))="USD",КурсUSD,IF(INDEX(Материалы!$J$2:$J$9000,MATCH($I90,Материалы!$A$2:$A$9000,0))="EUR",КурсEUR,1))*INDEX(Материалы!$K$2:$K$9000,MATCH($I90,Материалы!$A$2:$A$9000,0))*(1+IFERROR(INDEX(Работы!$I$2:$I$6000,MATCH($C90,Работы!$A$2:$A$6000,0))/100,0))*(1-ДисконтТендер),0))</f>
        <v>0</v>
      </c>
      <c r="N90" s="10">
        <f t="shared" si="3"/>
        <v>0</v>
      </c>
      <c r="O90" s="10">
        <f t="shared" si="4"/>
        <v>0</v>
      </c>
      <c r="P90" s="10">
        <f t="shared" si="5"/>
        <v>0</v>
      </c>
      <c r="Q90" t="str">
        <f>IFERROR(INDEX(Работы!$J$2:$J$6000,MATCH($C90,Работы!$A$2:$A$6000,0)),"")</f>
        <v>типовая</v>
      </c>
      <c r="R90" t="s">
        <v>92</v>
      </c>
      <c r="T90" t="str">
        <f>IF(AND($P90&gt;0,$R90="да"),MAX($T$1:$T89)+1,"")</f>
        <v/>
      </c>
    </row>
    <row r="91" spans="1:20" ht="57.6" x14ac:dyDescent="0.3">
      <c r="A91" t="str">
        <f>IFERROR(INDEX(Работы!$D$2:$D$6000,MATCH($C91,Работы!$A$2:$A$6000,0)),"")</f>
        <v>Р1</v>
      </c>
      <c r="B91" t="str">
        <f>IFERROR(INDEX(Работы!$F$2:$F$6000,MATCH($C91,Работы!$A$2:$A$6000,0)),"")</f>
        <v>1</v>
      </c>
      <c r="C91" t="str">
        <f>IFERROR(INDEX(Работы!$A$2:$A$6000,90),"")</f>
        <v>РАБ.Р1.1.090</v>
      </c>
      <c r="D91" s="8" t="str">
        <f>IFERROR(INDEX(Работы!$B$2:$B$6000,MATCH($C91,Работы!$A$2:$A$6000,0)),"")</f>
        <v>Ведение авторского надзора в период проведения РСР по приспособлению объекта культурного наследия( в соответствии с условиями ТЗ)</v>
      </c>
      <c r="E91" t="str">
        <f>IFERROR(INDEX(Работы!$C$2:$C$6000,MATCH($C91,Работы!$A$2:$A$6000,0)),"")</f>
        <v>компл.</v>
      </c>
      <c r="F91">
        <f>IFERROR(INDEX(Работы!$G$2:$G$6000,MATCH($C91,Работы!$A$2:$A$6000,0)),"")</f>
        <v>0</v>
      </c>
      <c r="G91" t="str">
        <f>IFERROR(INDEX(Работы!$K$2:$K$6000,MATCH($C91,Работы!$A$2:$A$6000,0)),"")</f>
        <v>S_общая</v>
      </c>
      <c r="H91" s="9"/>
      <c r="I91" s="9"/>
      <c r="J91" s="8" t="str">
        <f>IFERROR(INDEX(Материалы!$B$2:$B$9000,MATCH($I91,Материалы!$A$2:$A$9000,0)),"")</f>
        <v/>
      </c>
      <c r="K91" t="str">
        <f>IF($I91="","",IF($F91=IFERROR(INDEX(Материалы!$G$2:$G$9000,MATCH($I91,Материалы!$A$2:$A$9000,0)),""),"OK","!! не та группа"))</f>
        <v/>
      </c>
      <c r="L91" s="10">
        <f>IFERROR(INDEX(Работы!$H$2:$H$6000,MATCH($C91,Работы!$A$2:$A$6000,0))*(1-ДисконтТендер),0)</f>
        <v>135524.49</v>
      </c>
      <c r="M91" s="10">
        <f>IF($I91="",0,IFERROR(INDEX(Материалы!$I$2:$I$9000,MATCH($I91,Материалы!$A$2:$A$9000,0))*IF(INDEX(Материалы!$J$2:$J$9000,MATCH($I91,Материалы!$A$2:$A$9000,0))="USD",КурсUSD,IF(INDEX(Материалы!$J$2:$J$9000,MATCH($I91,Материалы!$A$2:$A$9000,0))="EUR",КурсEUR,1))*INDEX(Материалы!$K$2:$K$9000,MATCH($I91,Материалы!$A$2:$A$9000,0))*(1+IFERROR(INDEX(Работы!$I$2:$I$6000,MATCH($C91,Работы!$A$2:$A$6000,0))/100,0))*(1-ДисконтТендер),0))</f>
        <v>0</v>
      </c>
      <c r="N91" s="10">
        <f t="shared" si="3"/>
        <v>0</v>
      </c>
      <c r="O91" s="10">
        <f t="shared" si="4"/>
        <v>0</v>
      </c>
      <c r="P91" s="10">
        <f t="shared" si="5"/>
        <v>0</v>
      </c>
      <c r="Q91" t="str">
        <f>IFERROR(INDEX(Работы!$J$2:$J$6000,MATCH($C91,Работы!$A$2:$A$6000,0)),"")</f>
        <v>типовая</v>
      </c>
      <c r="R91" t="s">
        <v>92</v>
      </c>
      <c r="T91" t="str">
        <f>IF(AND($P91&gt;0,$R91="да"),MAX($T$1:$T90)+1,"")</f>
        <v/>
      </c>
    </row>
    <row r="92" spans="1:20" x14ac:dyDescent="0.3">
      <c r="A92" t="str">
        <f>IFERROR(INDEX(Работы!$D$2:$D$6000,MATCH($C92,Работы!$A$2:$A$6000,0)),"")</f>
        <v>Р1</v>
      </c>
      <c r="B92" t="str">
        <f>IFERROR(INDEX(Работы!$F$2:$F$6000,MATCH($C92,Работы!$A$2:$A$6000,0)),"")</f>
        <v>1</v>
      </c>
      <c r="C92" t="str">
        <f>IFERROR(INDEX(Работы!$A$2:$A$6000,91),"")</f>
        <v>РАБ.Р1.1.091</v>
      </c>
      <c r="D92" s="8" t="str">
        <f>IFERROR(INDEX(Работы!$B$2:$B$6000,MATCH($C92,Работы!$A$2:$A$6000,0)),"")</f>
        <v>Подготовка и сдача в _______научного отчета</v>
      </c>
      <c r="E92" t="str">
        <f>IFERROR(INDEX(Работы!$C$2:$C$6000,MATCH($C92,Работы!$A$2:$A$6000,0)),"")</f>
        <v>компл.</v>
      </c>
      <c r="F92">
        <f>IFERROR(INDEX(Работы!$G$2:$G$6000,MATCH($C92,Работы!$A$2:$A$6000,0)),"")</f>
        <v>0</v>
      </c>
      <c r="G92" t="str">
        <f>IFERROR(INDEX(Работы!$K$2:$K$6000,MATCH($C92,Работы!$A$2:$A$6000,0)),"")</f>
        <v>S_общая</v>
      </c>
      <c r="H92" s="9"/>
      <c r="I92" s="9"/>
      <c r="J92" s="8" t="str">
        <f>IFERROR(INDEX(Материалы!$B$2:$B$9000,MATCH($I92,Материалы!$A$2:$A$9000,0)),"")</f>
        <v/>
      </c>
      <c r="K92" t="str">
        <f>IF($I92="","",IF($F92=IFERROR(INDEX(Материалы!$G$2:$G$9000,MATCH($I92,Материалы!$A$2:$A$9000,0)),""),"OK","!! не та группа"))</f>
        <v/>
      </c>
      <c r="L92" s="10">
        <f>IFERROR(INDEX(Работы!$H$2:$H$6000,MATCH($C92,Работы!$A$2:$A$6000,0))*(1-ДисконтТендер),0)</f>
        <v>134002.26</v>
      </c>
      <c r="M92" s="10">
        <f>IF($I92="",0,IFERROR(INDEX(Материалы!$I$2:$I$9000,MATCH($I92,Материалы!$A$2:$A$9000,0))*IF(INDEX(Материалы!$J$2:$J$9000,MATCH($I92,Материалы!$A$2:$A$9000,0))="USD",КурсUSD,IF(INDEX(Материалы!$J$2:$J$9000,MATCH($I92,Материалы!$A$2:$A$9000,0))="EUR",КурсEUR,1))*INDEX(Материалы!$K$2:$K$9000,MATCH($I92,Материалы!$A$2:$A$9000,0))*(1+IFERROR(INDEX(Работы!$I$2:$I$6000,MATCH($C92,Работы!$A$2:$A$6000,0))/100,0))*(1-ДисконтТендер),0))</f>
        <v>0</v>
      </c>
      <c r="N92" s="10">
        <f t="shared" si="3"/>
        <v>0</v>
      </c>
      <c r="O92" s="10">
        <f t="shared" si="4"/>
        <v>0</v>
      </c>
      <c r="P92" s="10">
        <f t="shared" si="5"/>
        <v>0</v>
      </c>
      <c r="Q92" t="str">
        <f>IFERROR(INDEX(Работы!$J$2:$J$6000,MATCH($C92,Работы!$A$2:$A$6000,0)),"")</f>
        <v>типовая</v>
      </c>
      <c r="R92" t="s">
        <v>92</v>
      </c>
      <c r="T92" t="str">
        <f>IF(AND($P92&gt;0,$R92="да"),MAX($T$1:$T91)+1,"")</f>
        <v/>
      </c>
    </row>
    <row r="93" spans="1:20" ht="57.6" x14ac:dyDescent="0.3">
      <c r="A93" t="str">
        <f>IFERROR(INDEX(Работы!$D$2:$D$6000,MATCH($C93,Работы!$A$2:$A$6000,0)),"")</f>
        <v>Р1</v>
      </c>
      <c r="B93" t="str">
        <f>IFERROR(INDEX(Работы!$F$2:$F$6000,MATCH($C93,Работы!$A$2:$A$6000,0)),"")</f>
        <v>1</v>
      </c>
      <c r="C93" t="str">
        <f>IFERROR(INDEX(Работы!$A$2:$A$6000,92),"")</f>
        <v>РАБ.Р1.1.092</v>
      </c>
      <c r="D93" s="8" t="str">
        <f>IFERROR(INDEX(Работы!$B$2:$B$6000,MATCH($C93,Работы!$A$2:$A$6000,0)),"")</f>
        <v>Сопровождение проектной документации в МВК, ОГПН МЧС, ФГУЗ «ЦГиЭ», КГИОП и прочих при необходимости. Ввод объекта в эксплуатацию в КГИОП И МВК</v>
      </c>
      <c r="E93" t="str">
        <f>IFERROR(INDEX(Работы!$C$2:$C$6000,MATCH($C93,Работы!$A$2:$A$6000,0)),"")</f>
        <v>компл.</v>
      </c>
      <c r="F93">
        <f>IFERROR(INDEX(Работы!$G$2:$G$6000,MATCH($C93,Работы!$A$2:$A$6000,0)),"")</f>
        <v>0</v>
      </c>
      <c r="G93" t="str">
        <f>IFERROR(INDEX(Работы!$K$2:$K$6000,MATCH($C93,Работы!$A$2:$A$6000,0)),"")</f>
        <v>S_общая</v>
      </c>
      <c r="H93" s="9"/>
      <c r="I93" s="9"/>
      <c r="J93" s="8" t="str">
        <f>IFERROR(INDEX(Материалы!$B$2:$B$9000,MATCH($I93,Материалы!$A$2:$A$9000,0)),"")</f>
        <v/>
      </c>
      <c r="K93" t="str">
        <f>IF($I93="","",IF($F93=IFERROR(INDEX(Материалы!$G$2:$G$9000,MATCH($I93,Материалы!$A$2:$A$9000,0)),""),"OK","!! не та группа"))</f>
        <v/>
      </c>
      <c r="L93" s="10">
        <f>IFERROR(INDEX(Работы!$H$2:$H$6000,MATCH($C93,Работы!$A$2:$A$6000,0))*(1-ДисконтТендер),0)</f>
        <v>852600</v>
      </c>
      <c r="M93" s="10">
        <f>IF($I93="",0,IFERROR(INDEX(Материалы!$I$2:$I$9000,MATCH($I93,Материалы!$A$2:$A$9000,0))*IF(INDEX(Материалы!$J$2:$J$9000,MATCH($I93,Материалы!$A$2:$A$9000,0))="USD",КурсUSD,IF(INDEX(Материалы!$J$2:$J$9000,MATCH($I93,Материалы!$A$2:$A$9000,0))="EUR",КурсEUR,1))*INDEX(Материалы!$K$2:$K$9000,MATCH($I93,Материалы!$A$2:$A$9000,0))*(1+IFERROR(INDEX(Работы!$I$2:$I$6000,MATCH($C93,Работы!$A$2:$A$6000,0))/100,0))*(1-ДисконтТендер),0))</f>
        <v>0</v>
      </c>
      <c r="N93" s="10">
        <f t="shared" si="3"/>
        <v>0</v>
      </c>
      <c r="O93" s="10">
        <f t="shared" si="4"/>
        <v>0</v>
      </c>
      <c r="P93" s="10">
        <f t="shared" si="5"/>
        <v>0</v>
      </c>
      <c r="Q93" t="str">
        <f>IFERROR(INDEX(Работы!$J$2:$J$6000,MATCH($C93,Работы!$A$2:$A$6000,0)),"")</f>
        <v>типовая</v>
      </c>
      <c r="R93" t="s">
        <v>92</v>
      </c>
      <c r="T93" t="str">
        <f>IF(AND($P93&gt;0,$R93="да"),MAX($T$1:$T92)+1,"")</f>
        <v/>
      </c>
    </row>
    <row r="94" spans="1:20" x14ac:dyDescent="0.3">
      <c r="A94" t="str">
        <f>IFERROR(INDEX(Работы!$D$2:$D$6000,MATCH($C94,Работы!$A$2:$A$6000,0)),"")</f>
        <v>Р2</v>
      </c>
      <c r="B94" t="str">
        <f>IFERROR(INDEX(Работы!$F$2:$F$6000,MATCH($C94,Работы!$A$2:$A$6000,0)),"")</f>
        <v>1</v>
      </c>
      <c r="C94" t="str">
        <f>IFERROR(INDEX(Работы!$A$2:$A$6000,93),"")</f>
        <v>РАБ.Р2.1.001</v>
      </c>
      <c r="D94" s="8" t="str">
        <f>IFERROR(INDEX(Работы!$B$2:$B$6000,MATCH($C94,Работы!$A$2:$A$6000,0)),"")</f>
        <v>Демонтаж подвесных потолков типа "Армстронг"</v>
      </c>
      <c r="E94" t="str">
        <f>IFERROR(INDEX(Работы!$C$2:$C$6000,MATCH($C94,Работы!$A$2:$A$6000,0)),"")</f>
        <v>м2</v>
      </c>
      <c r="F94">
        <f>IFERROR(INDEX(Работы!$G$2:$G$6000,MATCH($C94,Работы!$A$2:$A$6000,0)),"")</f>
        <v>0</v>
      </c>
      <c r="G94" t="str">
        <f>IFERROR(INDEX(Работы!$K$2:$K$6000,MATCH($C94,Работы!$A$2:$A$6000,0)),"")</f>
        <v>Замер_демонтажа</v>
      </c>
      <c r="H94" s="9"/>
      <c r="I94" s="9"/>
      <c r="J94" s="8" t="str">
        <f>IFERROR(INDEX(Материалы!$B$2:$B$9000,MATCH($I94,Материалы!$A$2:$A$9000,0)),"")</f>
        <v/>
      </c>
      <c r="K94" t="str">
        <f>IF($I94="","",IF($F94=IFERROR(INDEX(Материалы!$G$2:$G$9000,MATCH($I94,Материалы!$A$2:$A$9000,0)),""),"OK","!! не та группа"))</f>
        <v/>
      </c>
      <c r="L94" s="10">
        <f>IFERROR(INDEX(Работы!$H$2:$H$6000,MATCH($C94,Работы!$A$2:$A$6000,0))*(1-ДисконтТендер),0)</f>
        <v>313.2</v>
      </c>
      <c r="M94" s="10">
        <f>IF($I94="",0,IFERROR(INDEX(Материалы!$I$2:$I$9000,MATCH($I94,Материалы!$A$2:$A$9000,0))*IF(INDEX(Материалы!$J$2:$J$9000,MATCH($I94,Материалы!$A$2:$A$9000,0))="USD",КурсUSD,IF(INDEX(Материалы!$J$2:$J$9000,MATCH($I94,Материалы!$A$2:$A$9000,0))="EUR",КурсEUR,1))*INDEX(Материалы!$K$2:$K$9000,MATCH($I94,Материалы!$A$2:$A$9000,0))*(1+IFERROR(INDEX(Работы!$I$2:$I$6000,MATCH($C94,Работы!$A$2:$A$6000,0))/100,0))*(1-ДисконтТендер),0))</f>
        <v>0</v>
      </c>
      <c r="N94" s="10">
        <f t="shared" si="3"/>
        <v>0</v>
      </c>
      <c r="O94" s="10">
        <f t="shared" si="4"/>
        <v>0</v>
      </c>
      <c r="P94" s="10">
        <f t="shared" si="5"/>
        <v>0</v>
      </c>
      <c r="Q94" t="str">
        <f>IFERROR(INDEX(Работы!$J$2:$J$6000,MATCH($C94,Работы!$A$2:$A$6000,0)),"")</f>
        <v>типовая</v>
      </c>
      <c r="R94" t="s">
        <v>92</v>
      </c>
      <c r="T94" t="str">
        <f>IF(AND($P94&gt;0,$R94="да"),MAX($T$1:$T93)+1,"")</f>
        <v/>
      </c>
    </row>
    <row r="95" spans="1:20" ht="28.8" x14ac:dyDescent="0.3">
      <c r="A95" t="str">
        <f>IFERROR(INDEX(Работы!$D$2:$D$6000,MATCH($C95,Работы!$A$2:$A$6000,0)),"")</f>
        <v>Р2</v>
      </c>
      <c r="B95" t="str">
        <f>IFERROR(INDEX(Работы!$F$2:$F$6000,MATCH($C95,Работы!$A$2:$A$6000,0)),"")</f>
        <v>1</v>
      </c>
      <c r="C95" t="str">
        <f>IFERROR(INDEX(Работы!$A$2:$A$6000,94),"")</f>
        <v>РАБ.Р2.1.002</v>
      </c>
      <c r="D95" s="8" t="str">
        <f>IFERROR(INDEX(Работы!$B$2:$B$6000,MATCH($C95,Работы!$A$2:$A$6000,0)),"")</f>
        <v>Демонтаж подвесных потолков "Армстронг" с сохранением</v>
      </c>
      <c r="E95" t="str">
        <f>IFERROR(INDEX(Работы!$C$2:$C$6000,MATCH($C95,Работы!$A$2:$A$6000,0)),"")</f>
        <v>м2</v>
      </c>
      <c r="F95">
        <f>IFERROR(INDEX(Работы!$G$2:$G$6000,MATCH($C95,Работы!$A$2:$A$6000,0)),"")</f>
        <v>0</v>
      </c>
      <c r="G95" t="str">
        <f>IFERROR(INDEX(Работы!$K$2:$K$6000,MATCH($C95,Работы!$A$2:$A$6000,0)),"")</f>
        <v>Замер_демонтажа</v>
      </c>
      <c r="H95" s="9"/>
      <c r="I95" s="9"/>
      <c r="J95" s="8" t="str">
        <f>IFERROR(INDEX(Материалы!$B$2:$B$9000,MATCH($I95,Материалы!$A$2:$A$9000,0)),"")</f>
        <v/>
      </c>
      <c r="K95" t="str">
        <f>IF($I95="","",IF($F95=IFERROR(INDEX(Материалы!$G$2:$G$9000,MATCH($I95,Материалы!$A$2:$A$9000,0)),""),"OK","!! не та группа"))</f>
        <v/>
      </c>
      <c r="L95" s="10">
        <f>IFERROR(INDEX(Работы!$H$2:$H$6000,MATCH($C95,Работы!$A$2:$A$6000,0))*(1-ДисконтТендер),0)</f>
        <v>574.75</v>
      </c>
      <c r="M95" s="10">
        <f>IF($I95="",0,IFERROR(INDEX(Материалы!$I$2:$I$9000,MATCH($I95,Материалы!$A$2:$A$9000,0))*IF(INDEX(Материалы!$J$2:$J$9000,MATCH($I95,Материалы!$A$2:$A$9000,0))="USD",КурсUSD,IF(INDEX(Материалы!$J$2:$J$9000,MATCH($I95,Материалы!$A$2:$A$9000,0))="EUR",КурсEUR,1))*INDEX(Материалы!$K$2:$K$9000,MATCH($I95,Материалы!$A$2:$A$9000,0))*(1+IFERROR(INDEX(Работы!$I$2:$I$6000,MATCH($C95,Работы!$A$2:$A$6000,0))/100,0))*(1-ДисконтТендер),0))</f>
        <v>0</v>
      </c>
      <c r="N95" s="10">
        <f t="shared" si="3"/>
        <v>0</v>
      </c>
      <c r="O95" s="10">
        <f t="shared" si="4"/>
        <v>0</v>
      </c>
      <c r="P95" s="10">
        <f t="shared" si="5"/>
        <v>0</v>
      </c>
      <c r="Q95" t="str">
        <f>IFERROR(INDEX(Работы!$J$2:$J$6000,MATCH($C95,Работы!$A$2:$A$6000,0)),"")</f>
        <v>типовая</v>
      </c>
      <c r="R95" t="s">
        <v>92</v>
      </c>
      <c r="T95" t="str">
        <f>IF(AND($P95&gt;0,$R95="да"),MAX($T$1:$T94)+1,"")</f>
        <v/>
      </c>
    </row>
    <row r="96" spans="1:20" x14ac:dyDescent="0.3">
      <c r="A96" t="str">
        <f>IFERROR(INDEX(Работы!$D$2:$D$6000,MATCH($C96,Работы!$A$2:$A$6000,0)),"")</f>
        <v>Р2</v>
      </c>
      <c r="B96" t="str">
        <f>IFERROR(INDEX(Работы!$F$2:$F$6000,MATCH($C96,Работы!$A$2:$A$6000,0)),"")</f>
        <v>1</v>
      </c>
      <c r="C96" t="str">
        <f>IFERROR(INDEX(Работы!$A$2:$A$6000,95),"")</f>
        <v>РАБ.Р2.1.003</v>
      </c>
      <c r="D96" s="8" t="str">
        <f>IFERROR(INDEX(Работы!$B$2:$B$6000,MATCH($C96,Работы!$A$2:$A$6000,0)),"")</f>
        <v>Демонтаж одноуровневых потолков из ГКЛ</v>
      </c>
      <c r="E96" t="str">
        <f>IFERROR(INDEX(Работы!$C$2:$C$6000,MATCH($C96,Работы!$A$2:$A$6000,0)),"")</f>
        <v>м2</v>
      </c>
      <c r="F96">
        <f>IFERROR(INDEX(Работы!$G$2:$G$6000,MATCH($C96,Работы!$A$2:$A$6000,0)),"")</f>
        <v>0</v>
      </c>
      <c r="G96" t="str">
        <f>IFERROR(INDEX(Работы!$K$2:$K$6000,MATCH($C96,Работы!$A$2:$A$6000,0)),"")</f>
        <v>Замер_демонтажа</v>
      </c>
      <c r="H96" s="9"/>
      <c r="I96" s="9"/>
      <c r="J96" s="8" t="str">
        <f>IFERROR(INDEX(Материалы!$B$2:$B$9000,MATCH($I96,Материалы!$A$2:$A$9000,0)),"")</f>
        <v/>
      </c>
      <c r="K96" t="str">
        <f>IF($I96="","",IF($F96=IFERROR(INDEX(Материалы!$G$2:$G$9000,MATCH($I96,Материалы!$A$2:$A$9000,0)),""),"OK","!! не та группа"))</f>
        <v/>
      </c>
      <c r="L96" s="10">
        <f>IFERROR(INDEX(Работы!$H$2:$H$6000,MATCH($C96,Работы!$A$2:$A$6000,0))*(1-ДисконтТендер),0)</f>
        <v>318.72000000000003</v>
      </c>
      <c r="M96" s="10">
        <f>IF($I96="",0,IFERROR(INDEX(Материалы!$I$2:$I$9000,MATCH($I96,Материалы!$A$2:$A$9000,0))*IF(INDEX(Материалы!$J$2:$J$9000,MATCH($I96,Материалы!$A$2:$A$9000,0))="USD",КурсUSD,IF(INDEX(Материалы!$J$2:$J$9000,MATCH($I96,Материалы!$A$2:$A$9000,0))="EUR",КурсEUR,1))*INDEX(Материалы!$K$2:$K$9000,MATCH($I96,Материалы!$A$2:$A$9000,0))*(1+IFERROR(INDEX(Работы!$I$2:$I$6000,MATCH($C96,Работы!$A$2:$A$6000,0))/100,0))*(1-ДисконтТендер),0))</f>
        <v>0</v>
      </c>
      <c r="N96" s="10">
        <f t="shared" si="3"/>
        <v>0</v>
      </c>
      <c r="O96" s="10">
        <f t="shared" si="4"/>
        <v>0</v>
      </c>
      <c r="P96" s="10">
        <f t="shared" si="5"/>
        <v>0</v>
      </c>
      <c r="Q96" t="str">
        <f>IFERROR(INDEX(Работы!$J$2:$J$6000,MATCH($C96,Работы!$A$2:$A$6000,0)),"")</f>
        <v>типовая</v>
      </c>
      <c r="R96" t="s">
        <v>92</v>
      </c>
      <c r="T96" t="str">
        <f>IF(AND($P96&gt;0,$R96="да"),MAX($T$1:$T95)+1,"")</f>
        <v/>
      </c>
    </row>
    <row r="97" spans="1:20" x14ac:dyDescent="0.3">
      <c r="A97" t="str">
        <f>IFERROR(INDEX(Работы!$D$2:$D$6000,MATCH($C97,Работы!$A$2:$A$6000,0)),"")</f>
        <v>Р2</v>
      </c>
      <c r="B97" t="str">
        <f>IFERROR(INDEX(Работы!$F$2:$F$6000,MATCH($C97,Работы!$A$2:$A$6000,0)),"")</f>
        <v>1</v>
      </c>
      <c r="C97" t="str">
        <f>IFERROR(INDEX(Работы!$A$2:$A$6000,96),"")</f>
        <v>РАБ.Р2.1.004</v>
      </c>
      <c r="D97" s="8" t="str">
        <f>IFERROR(INDEX(Работы!$B$2:$B$6000,MATCH($C97,Работы!$A$2:$A$6000,0)),"")</f>
        <v>Демонтаж двухуровневых потолков из ГКЛ</v>
      </c>
      <c r="E97" t="str">
        <f>IFERROR(INDEX(Работы!$C$2:$C$6000,MATCH($C97,Работы!$A$2:$A$6000,0)),"")</f>
        <v>м2</v>
      </c>
      <c r="F97">
        <f>IFERROR(INDEX(Работы!$G$2:$G$6000,MATCH($C97,Работы!$A$2:$A$6000,0)),"")</f>
        <v>0</v>
      </c>
      <c r="G97" t="str">
        <f>IFERROR(INDEX(Работы!$K$2:$K$6000,MATCH($C97,Работы!$A$2:$A$6000,0)),"")</f>
        <v>Замер_демонтажа</v>
      </c>
      <c r="H97" s="9"/>
      <c r="I97" s="9"/>
      <c r="J97" s="8" t="str">
        <f>IFERROR(INDEX(Материалы!$B$2:$B$9000,MATCH($I97,Материалы!$A$2:$A$9000,0)),"")</f>
        <v/>
      </c>
      <c r="K97" t="str">
        <f>IF($I97="","",IF($F97=IFERROR(INDEX(Материалы!$G$2:$G$9000,MATCH($I97,Материалы!$A$2:$A$9000,0)),""),"OK","!! не та группа"))</f>
        <v/>
      </c>
      <c r="L97" s="10">
        <f>IFERROR(INDEX(Работы!$H$2:$H$6000,MATCH($C97,Работы!$A$2:$A$6000,0))*(1-ДисконтТендер),0)</f>
        <v>341.73</v>
      </c>
      <c r="M97" s="10">
        <f>IF($I97="",0,IFERROR(INDEX(Материалы!$I$2:$I$9000,MATCH($I97,Материалы!$A$2:$A$9000,0))*IF(INDEX(Материалы!$J$2:$J$9000,MATCH($I97,Материалы!$A$2:$A$9000,0))="USD",КурсUSD,IF(INDEX(Материалы!$J$2:$J$9000,MATCH($I97,Материалы!$A$2:$A$9000,0))="EUR",КурсEUR,1))*INDEX(Материалы!$K$2:$K$9000,MATCH($I97,Материалы!$A$2:$A$9000,0))*(1+IFERROR(INDEX(Работы!$I$2:$I$6000,MATCH($C97,Работы!$A$2:$A$6000,0))/100,0))*(1-ДисконтТендер),0))</f>
        <v>0</v>
      </c>
      <c r="N97" s="10">
        <f t="shared" si="3"/>
        <v>0</v>
      </c>
      <c r="O97" s="10">
        <f t="shared" si="4"/>
        <v>0</v>
      </c>
      <c r="P97" s="10">
        <f t="shared" si="5"/>
        <v>0</v>
      </c>
      <c r="Q97" t="str">
        <f>IFERROR(INDEX(Работы!$J$2:$J$6000,MATCH($C97,Работы!$A$2:$A$6000,0)),"")</f>
        <v>типовая</v>
      </c>
      <c r="R97" t="s">
        <v>92</v>
      </c>
      <c r="T97" t="str">
        <f>IF(AND($P97&gt;0,$R97="да"),MAX($T$1:$T96)+1,"")</f>
        <v/>
      </c>
    </row>
    <row r="98" spans="1:20" x14ac:dyDescent="0.3">
      <c r="A98" t="str">
        <f>IFERROR(INDEX(Работы!$D$2:$D$6000,MATCH($C98,Работы!$A$2:$A$6000,0)),"")</f>
        <v>Р2</v>
      </c>
      <c r="B98" t="str">
        <f>IFERROR(INDEX(Работы!$F$2:$F$6000,MATCH($C98,Работы!$A$2:$A$6000,0)),"")</f>
        <v>1</v>
      </c>
      <c r="C98" t="str">
        <f>IFERROR(INDEX(Работы!$A$2:$A$6000,97),"")</f>
        <v>РАБ.Р2.1.005</v>
      </c>
      <c r="D98" s="8" t="str">
        <f>IFERROR(INDEX(Работы!$B$2:$B$6000,MATCH($C98,Работы!$A$2:$A$6000,0)),"")</f>
        <v>Демонтаж реечного потолка</v>
      </c>
      <c r="E98" t="str">
        <f>IFERROR(INDEX(Работы!$C$2:$C$6000,MATCH($C98,Работы!$A$2:$A$6000,0)),"")</f>
        <v>м2</v>
      </c>
      <c r="F98">
        <f>IFERROR(INDEX(Работы!$G$2:$G$6000,MATCH($C98,Работы!$A$2:$A$6000,0)),"")</f>
        <v>0</v>
      </c>
      <c r="G98" t="str">
        <f>IFERROR(INDEX(Работы!$K$2:$K$6000,MATCH($C98,Работы!$A$2:$A$6000,0)),"")</f>
        <v>Замер_демонтажа</v>
      </c>
      <c r="H98" s="9"/>
      <c r="I98" s="9"/>
      <c r="J98" s="8" t="str">
        <f>IFERROR(INDEX(Материалы!$B$2:$B$9000,MATCH($I98,Материалы!$A$2:$A$9000,0)),"")</f>
        <v/>
      </c>
      <c r="K98" t="str">
        <f>IF($I98="","",IF($F98=IFERROR(INDEX(Материалы!$G$2:$G$9000,MATCH($I98,Материалы!$A$2:$A$9000,0)),""),"OK","!! не та группа"))</f>
        <v/>
      </c>
      <c r="L98" s="10">
        <f>IFERROR(INDEX(Работы!$H$2:$H$6000,MATCH($C98,Работы!$A$2:$A$6000,0))*(1-ДисконтТендер),0)</f>
        <v>260.13</v>
      </c>
      <c r="M98" s="10">
        <f>IF($I98="",0,IFERROR(INDEX(Материалы!$I$2:$I$9000,MATCH($I98,Материалы!$A$2:$A$9000,0))*IF(INDEX(Материалы!$J$2:$J$9000,MATCH($I98,Материалы!$A$2:$A$9000,0))="USD",КурсUSD,IF(INDEX(Материалы!$J$2:$J$9000,MATCH($I98,Материалы!$A$2:$A$9000,0))="EUR",КурсEUR,1))*INDEX(Материалы!$K$2:$K$9000,MATCH($I98,Материалы!$A$2:$A$9000,0))*(1+IFERROR(INDEX(Работы!$I$2:$I$6000,MATCH($C98,Работы!$A$2:$A$6000,0))/100,0))*(1-ДисконтТендер),0))</f>
        <v>0</v>
      </c>
      <c r="N98" s="10">
        <f t="shared" si="3"/>
        <v>0</v>
      </c>
      <c r="O98" s="10">
        <f t="shared" si="4"/>
        <v>0</v>
      </c>
      <c r="P98" s="10">
        <f t="shared" si="5"/>
        <v>0</v>
      </c>
      <c r="Q98" t="str">
        <f>IFERROR(INDEX(Работы!$J$2:$J$6000,MATCH($C98,Работы!$A$2:$A$6000,0)),"")</f>
        <v>типовая</v>
      </c>
      <c r="R98" t="s">
        <v>92</v>
      </c>
      <c r="T98" t="str">
        <f>IF(AND($P98&gt;0,$R98="да"),MAX($T$1:$T97)+1,"")</f>
        <v/>
      </c>
    </row>
    <row r="99" spans="1:20" ht="28.8" x14ac:dyDescent="0.3">
      <c r="A99" t="str">
        <f>IFERROR(INDEX(Работы!$D$2:$D$6000,MATCH($C99,Работы!$A$2:$A$6000,0)),"")</f>
        <v>Р2</v>
      </c>
      <c r="B99" t="str">
        <f>IFERROR(INDEX(Работы!$F$2:$F$6000,MATCH($C99,Работы!$A$2:$A$6000,0)),"")</f>
        <v>1</v>
      </c>
      <c r="C99" t="str">
        <f>IFERROR(INDEX(Работы!$A$2:$A$6000,98),"")</f>
        <v>РАБ.Р2.1.006</v>
      </c>
      <c r="D99" s="8" t="str">
        <f>IFERROR(INDEX(Работы!$B$2:$B$6000,MATCH($C99,Работы!$A$2:$A$6000,0)),"")</f>
        <v>Демонтаж плитки потолочной из экструдированного полистирола.</v>
      </c>
      <c r="E99" t="str">
        <f>IFERROR(INDEX(Работы!$C$2:$C$6000,MATCH($C99,Работы!$A$2:$A$6000,0)),"")</f>
        <v>м2</v>
      </c>
      <c r="F99">
        <f>IFERROR(INDEX(Работы!$G$2:$G$6000,MATCH($C99,Работы!$A$2:$A$6000,0)),"")</f>
        <v>0</v>
      </c>
      <c r="G99" t="str">
        <f>IFERROR(INDEX(Работы!$K$2:$K$6000,MATCH($C99,Работы!$A$2:$A$6000,0)),"")</f>
        <v>Замер_демонтажа</v>
      </c>
      <c r="H99" s="9"/>
      <c r="I99" s="9"/>
      <c r="J99" s="8" t="str">
        <f>IFERROR(INDEX(Материалы!$B$2:$B$9000,MATCH($I99,Материалы!$A$2:$A$9000,0)),"")</f>
        <v/>
      </c>
      <c r="K99" t="str">
        <f>IF($I99="","",IF($F99=IFERROR(INDEX(Материалы!$G$2:$G$9000,MATCH($I99,Материалы!$A$2:$A$9000,0)),""),"OK","!! не та группа"))</f>
        <v/>
      </c>
      <c r="L99" s="10">
        <f>IFERROR(INDEX(Работы!$H$2:$H$6000,MATCH($C99,Работы!$A$2:$A$6000,0))*(1-ДисконтТендер),0)</f>
        <v>276.02</v>
      </c>
      <c r="M99" s="10">
        <f>IF($I99="",0,IFERROR(INDEX(Материалы!$I$2:$I$9000,MATCH($I99,Материалы!$A$2:$A$9000,0))*IF(INDEX(Материалы!$J$2:$J$9000,MATCH($I99,Материалы!$A$2:$A$9000,0))="USD",КурсUSD,IF(INDEX(Материалы!$J$2:$J$9000,MATCH($I99,Материалы!$A$2:$A$9000,0))="EUR",КурсEUR,1))*INDEX(Материалы!$K$2:$K$9000,MATCH($I99,Материалы!$A$2:$A$9000,0))*(1+IFERROR(INDEX(Работы!$I$2:$I$6000,MATCH($C99,Работы!$A$2:$A$6000,0))/100,0))*(1-ДисконтТендер),0))</f>
        <v>0</v>
      </c>
      <c r="N99" s="10">
        <f t="shared" si="3"/>
        <v>0</v>
      </c>
      <c r="O99" s="10">
        <f t="shared" si="4"/>
        <v>0</v>
      </c>
      <c r="P99" s="10">
        <f t="shared" si="5"/>
        <v>0</v>
      </c>
      <c r="Q99" t="str">
        <f>IFERROR(INDEX(Работы!$J$2:$J$6000,MATCH($C99,Работы!$A$2:$A$6000,0)),"")</f>
        <v>типовая</v>
      </c>
      <c r="R99" t="s">
        <v>92</v>
      </c>
      <c r="T99" t="str">
        <f>IF(AND($P99&gt;0,$R99="да"),MAX($T$1:$T98)+1,"")</f>
        <v/>
      </c>
    </row>
    <row r="100" spans="1:20" x14ac:dyDescent="0.3">
      <c r="A100" t="str">
        <f>IFERROR(INDEX(Работы!$D$2:$D$6000,MATCH($C100,Работы!$A$2:$A$6000,0)),"")</f>
        <v>Р2</v>
      </c>
      <c r="B100" t="str">
        <f>IFERROR(INDEX(Работы!$F$2:$F$6000,MATCH($C100,Работы!$A$2:$A$6000,0)),"")</f>
        <v>1</v>
      </c>
      <c r="C100" t="str">
        <f>IFERROR(INDEX(Работы!$A$2:$A$6000,99),"")</f>
        <v>РАБ.Р2.1.007</v>
      </c>
      <c r="D100" s="8" t="str">
        <f>IFERROR(INDEX(Работы!$B$2:$B$6000,MATCH($C100,Работы!$A$2:$A$6000,0)),"")</f>
        <v>Демонтаж потолков из ПВХ вагонки</v>
      </c>
      <c r="E100" t="str">
        <f>IFERROR(INDEX(Работы!$C$2:$C$6000,MATCH($C100,Работы!$A$2:$A$6000,0)),"")</f>
        <v>м2</v>
      </c>
      <c r="F100">
        <f>IFERROR(INDEX(Работы!$G$2:$G$6000,MATCH($C100,Работы!$A$2:$A$6000,0)),"")</f>
        <v>0</v>
      </c>
      <c r="G100" t="str">
        <f>IFERROR(INDEX(Работы!$K$2:$K$6000,MATCH($C100,Работы!$A$2:$A$6000,0)),"")</f>
        <v>Замер_демонтажа</v>
      </c>
      <c r="H100" s="9"/>
      <c r="I100" s="9"/>
      <c r="J100" s="8" t="str">
        <f>IFERROR(INDEX(Материалы!$B$2:$B$9000,MATCH($I100,Материалы!$A$2:$A$9000,0)),"")</f>
        <v/>
      </c>
      <c r="K100" t="str">
        <f>IF($I100="","",IF($F100=IFERROR(INDEX(Материалы!$G$2:$G$9000,MATCH($I100,Материалы!$A$2:$A$9000,0)),""),"OK","!! не та группа"))</f>
        <v/>
      </c>
      <c r="L100" s="10">
        <f>IFERROR(INDEX(Работы!$H$2:$H$6000,MATCH($C100,Работы!$A$2:$A$6000,0))*(1-ДисконтТендер),0)</f>
        <v>234.9</v>
      </c>
      <c r="M100" s="10">
        <f>IF($I100="",0,IFERROR(INDEX(Материалы!$I$2:$I$9000,MATCH($I100,Материалы!$A$2:$A$9000,0))*IF(INDEX(Материалы!$J$2:$J$9000,MATCH($I100,Материалы!$A$2:$A$9000,0))="USD",КурсUSD,IF(INDEX(Материалы!$J$2:$J$9000,MATCH($I100,Материалы!$A$2:$A$9000,0))="EUR",КурсEUR,1))*INDEX(Материалы!$K$2:$K$9000,MATCH($I100,Материалы!$A$2:$A$9000,0))*(1+IFERROR(INDEX(Работы!$I$2:$I$6000,MATCH($C100,Работы!$A$2:$A$6000,0))/100,0))*(1-ДисконтТендер),0))</f>
        <v>0</v>
      </c>
      <c r="N100" s="10">
        <f t="shared" si="3"/>
        <v>0</v>
      </c>
      <c r="O100" s="10">
        <f t="shared" si="4"/>
        <v>0</v>
      </c>
      <c r="P100" s="10">
        <f t="shared" si="5"/>
        <v>0</v>
      </c>
      <c r="Q100" t="str">
        <f>IFERROR(INDEX(Работы!$J$2:$J$6000,MATCH($C100,Работы!$A$2:$A$6000,0)),"")</f>
        <v>типовая</v>
      </c>
      <c r="R100" t="s">
        <v>92</v>
      </c>
      <c r="T100" t="str">
        <f>IF(AND($P100&gt;0,$R100="да"),MAX($T$1:$T99)+1,"")</f>
        <v/>
      </c>
    </row>
    <row r="101" spans="1:20" ht="28.8" x14ac:dyDescent="0.3">
      <c r="A101" t="str">
        <f>IFERROR(INDEX(Работы!$D$2:$D$6000,MATCH($C101,Работы!$A$2:$A$6000,0)),"")</f>
        <v>Р2</v>
      </c>
      <c r="B101" t="str">
        <f>IFERROR(INDEX(Работы!$F$2:$F$6000,MATCH($C101,Работы!$A$2:$A$6000,0)),"")</f>
        <v>1</v>
      </c>
      <c r="C101" t="str">
        <f>IFERROR(INDEX(Работы!$A$2:$A$6000,100),"")</f>
        <v>РАБ.Р2.1.008</v>
      </c>
      <c r="D101" s="8" t="str">
        <f>IFERROR(INDEX(Работы!$B$2:$B$6000,MATCH($C101,Работы!$A$2:$A$6000,0)),"")</f>
        <v>Демонтаж утеплителя потолков из минераловатных плит</v>
      </c>
      <c r="E101" t="str">
        <f>IFERROR(INDEX(Работы!$C$2:$C$6000,MATCH($C101,Работы!$A$2:$A$6000,0)),"")</f>
        <v>м3</v>
      </c>
      <c r="F101">
        <f>IFERROR(INDEX(Работы!$G$2:$G$6000,MATCH($C101,Работы!$A$2:$A$6000,0)),"")</f>
        <v>0</v>
      </c>
      <c r="G101" t="str">
        <f>IFERROR(INDEX(Работы!$K$2:$K$6000,MATCH($C101,Работы!$A$2:$A$6000,0)),"")</f>
        <v>Замер_демонтажа</v>
      </c>
      <c r="H101" s="9"/>
      <c r="I101" s="9"/>
      <c r="J101" s="8" t="str">
        <f>IFERROR(INDEX(Материалы!$B$2:$B$9000,MATCH($I101,Материалы!$A$2:$A$9000,0)),"")</f>
        <v/>
      </c>
      <c r="K101" t="str">
        <f>IF($I101="","",IF($F101=IFERROR(INDEX(Материалы!$G$2:$G$9000,MATCH($I101,Материалы!$A$2:$A$9000,0)),""),"OK","!! не та группа"))</f>
        <v/>
      </c>
      <c r="L101" s="10">
        <f>IFERROR(INDEX(Работы!$H$2:$H$6000,MATCH($C101,Работы!$A$2:$A$6000,0))*(1-ДисконтТендер),0)</f>
        <v>814.32</v>
      </c>
      <c r="M101" s="10">
        <f>IF($I101="",0,IFERROR(INDEX(Материалы!$I$2:$I$9000,MATCH($I101,Материалы!$A$2:$A$9000,0))*IF(INDEX(Материалы!$J$2:$J$9000,MATCH($I101,Материалы!$A$2:$A$9000,0))="USD",КурсUSD,IF(INDEX(Материалы!$J$2:$J$9000,MATCH($I101,Материалы!$A$2:$A$9000,0))="EUR",КурсEUR,1))*INDEX(Материалы!$K$2:$K$9000,MATCH($I101,Материалы!$A$2:$A$9000,0))*(1+IFERROR(INDEX(Работы!$I$2:$I$6000,MATCH($C101,Работы!$A$2:$A$6000,0))/100,0))*(1-ДисконтТендер),0))</f>
        <v>0</v>
      </c>
      <c r="N101" s="10">
        <f t="shared" si="3"/>
        <v>0</v>
      </c>
      <c r="O101" s="10">
        <f t="shared" si="4"/>
        <v>0</v>
      </c>
      <c r="P101" s="10">
        <f t="shared" si="5"/>
        <v>0</v>
      </c>
      <c r="Q101" t="str">
        <f>IFERROR(INDEX(Работы!$J$2:$J$6000,MATCH($C101,Работы!$A$2:$A$6000,0)),"")</f>
        <v>типовая</v>
      </c>
      <c r="R101" t="s">
        <v>92</v>
      </c>
      <c r="T101" t="str">
        <f>IF(AND($P101&gt;0,$R101="да"),MAX($T$1:$T100)+1,"")</f>
        <v/>
      </c>
    </row>
    <row r="102" spans="1:20" ht="28.8" x14ac:dyDescent="0.3">
      <c r="A102" t="str">
        <f>IFERROR(INDEX(Работы!$D$2:$D$6000,MATCH($C102,Работы!$A$2:$A$6000,0)),"")</f>
        <v>Р2</v>
      </c>
      <c r="B102" t="str">
        <f>IFERROR(INDEX(Работы!$F$2:$F$6000,MATCH($C102,Работы!$A$2:$A$6000,0)),"")</f>
        <v>1</v>
      </c>
      <c r="C102" t="str">
        <f>IFERROR(INDEX(Работы!$A$2:$A$6000,101),"")</f>
        <v>РАБ.Р2.1.009</v>
      </c>
      <c r="D102" s="8" t="str">
        <f>IFERROR(INDEX(Работы!$B$2:$B$6000,MATCH($C102,Работы!$A$2:$A$6000,0)),"")</f>
        <v>Демонтаж потолочного плинтуса, карниза, элементов декора.</v>
      </c>
      <c r="E102" t="str">
        <f>IFERROR(INDEX(Работы!$C$2:$C$6000,MATCH($C102,Работы!$A$2:$A$6000,0)),"")</f>
        <v>м.п.</v>
      </c>
      <c r="F102">
        <f>IFERROR(INDEX(Работы!$G$2:$G$6000,MATCH($C102,Работы!$A$2:$A$6000,0)),"")</f>
        <v>0</v>
      </c>
      <c r="G102" t="str">
        <f>IFERROR(INDEX(Работы!$K$2:$K$6000,MATCH($C102,Работы!$A$2:$A$6000,0)),"")</f>
        <v>Замер_демонтажа</v>
      </c>
      <c r="H102" s="9"/>
      <c r="I102" s="9"/>
      <c r="J102" s="8" t="str">
        <f>IFERROR(INDEX(Материалы!$B$2:$B$9000,MATCH($I102,Материалы!$A$2:$A$9000,0)),"")</f>
        <v/>
      </c>
      <c r="K102" t="str">
        <f>IF($I102="","",IF($F102=IFERROR(INDEX(Материалы!$G$2:$G$9000,MATCH($I102,Материалы!$A$2:$A$9000,0)),""),"OK","!! не та группа"))</f>
        <v/>
      </c>
      <c r="L102" s="10">
        <f>IFERROR(INDEX(Работы!$H$2:$H$6000,MATCH($C102,Работы!$A$2:$A$6000,0))*(1-ДисконтТендер),0)</f>
        <v>78.3</v>
      </c>
      <c r="M102" s="10">
        <f>IF($I102="",0,IFERROR(INDEX(Материалы!$I$2:$I$9000,MATCH($I102,Материалы!$A$2:$A$9000,0))*IF(INDEX(Материалы!$J$2:$J$9000,MATCH($I102,Материалы!$A$2:$A$9000,0))="USD",КурсUSD,IF(INDEX(Материалы!$J$2:$J$9000,MATCH($I102,Материалы!$A$2:$A$9000,0))="EUR",КурсEUR,1))*INDEX(Материалы!$K$2:$K$9000,MATCH($I102,Материалы!$A$2:$A$9000,0))*(1+IFERROR(INDEX(Работы!$I$2:$I$6000,MATCH($C102,Работы!$A$2:$A$6000,0))/100,0))*(1-ДисконтТендер),0))</f>
        <v>0</v>
      </c>
      <c r="N102" s="10">
        <f t="shared" si="3"/>
        <v>0</v>
      </c>
      <c r="O102" s="10">
        <f t="shared" si="4"/>
        <v>0</v>
      </c>
      <c r="P102" s="10">
        <f t="shared" si="5"/>
        <v>0</v>
      </c>
      <c r="Q102" t="str">
        <f>IFERROR(INDEX(Работы!$J$2:$J$6000,MATCH($C102,Работы!$A$2:$A$6000,0)),"")</f>
        <v>типовая</v>
      </c>
      <c r="R102" t="s">
        <v>92</v>
      </c>
      <c r="T102" t="str">
        <f>IF(AND($P102&gt;0,$R102="да"),MAX($T$1:$T101)+1,"")</f>
        <v/>
      </c>
    </row>
    <row r="103" spans="1:20" ht="28.8" x14ac:dyDescent="0.3">
      <c r="A103" t="str">
        <f>IFERROR(INDEX(Работы!$D$2:$D$6000,MATCH($C103,Работы!$A$2:$A$6000,0)),"")</f>
        <v>Р2</v>
      </c>
      <c r="B103" t="str">
        <f>IFERROR(INDEX(Работы!$F$2:$F$6000,MATCH($C103,Работы!$A$2:$A$6000,0)),"")</f>
        <v>1</v>
      </c>
      <c r="C103" t="str">
        <f>IFERROR(INDEX(Работы!$A$2:$A$6000,102),"")</f>
        <v>РАБ.Р2.1.010</v>
      </c>
      <c r="D103" s="8" t="str">
        <f>IFERROR(INDEX(Работы!$B$2:$B$6000,MATCH($C103,Работы!$A$2:$A$6000,0)),"")</f>
        <v>Демонтаж потолочного плинтуса, карниза, элементов декора с сохранением.</v>
      </c>
      <c r="E103" t="str">
        <f>IFERROR(INDEX(Работы!$C$2:$C$6000,MATCH($C103,Работы!$A$2:$A$6000,0)),"")</f>
        <v>м.п.</v>
      </c>
      <c r="F103">
        <f>IFERROR(INDEX(Работы!$G$2:$G$6000,MATCH($C103,Работы!$A$2:$A$6000,0)),"")</f>
        <v>0</v>
      </c>
      <c r="G103" t="str">
        <f>IFERROR(INDEX(Работы!$K$2:$K$6000,MATCH($C103,Работы!$A$2:$A$6000,0)),"")</f>
        <v>Замер_демонтажа</v>
      </c>
      <c r="H103" s="9"/>
      <c r="I103" s="9"/>
      <c r="J103" s="8" t="str">
        <f>IFERROR(INDEX(Материалы!$B$2:$B$9000,MATCH($I103,Материалы!$A$2:$A$9000,0)),"")</f>
        <v/>
      </c>
      <c r="K103" t="str">
        <f>IF($I103="","",IF($F103=IFERROR(INDEX(Материалы!$G$2:$G$9000,MATCH($I103,Материалы!$A$2:$A$9000,0)),""),"OK","!! не та группа"))</f>
        <v/>
      </c>
      <c r="L103" s="10">
        <f>IFERROR(INDEX(Работы!$H$2:$H$6000,MATCH($C103,Работы!$A$2:$A$6000,0))*(1-ДисконтТендер),0)</f>
        <v>134.19999999999999</v>
      </c>
      <c r="M103" s="10">
        <f>IF($I103="",0,IFERROR(INDEX(Материалы!$I$2:$I$9000,MATCH($I103,Материалы!$A$2:$A$9000,0))*IF(INDEX(Материалы!$J$2:$J$9000,MATCH($I103,Материалы!$A$2:$A$9000,0))="USD",КурсUSD,IF(INDEX(Материалы!$J$2:$J$9000,MATCH($I103,Материалы!$A$2:$A$9000,0))="EUR",КурсEUR,1))*INDEX(Материалы!$K$2:$K$9000,MATCH($I103,Материалы!$A$2:$A$9000,0))*(1+IFERROR(INDEX(Работы!$I$2:$I$6000,MATCH($C103,Работы!$A$2:$A$6000,0))/100,0))*(1-ДисконтТендер),0))</f>
        <v>0</v>
      </c>
      <c r="N103" s="10">
        <f t="shared" si="3"/>
        <v>0</v>
      </c>
      <c r="O103" s="10">
        <f t="shared" si="4"/>
        <v>0</v>
      </c>
      <c r="P103" s="10">
        <f t="shared" si="5"/>
        <v>0</v>
      </c>
      <c r="Q103" t="str">
        <f>IFERROR(INDEX(Работы!$J$2:$J$6000,MATCH($C103,Работы!$A$2:$A$6000,0)),"")</f>
        <v>типовая</v>
      </c>
      <c r="R103" t="s">
        <v>92</v>
      </c>
      <c r="T103" t="str">
        <f>IF(AND($P103&gt;0,$R103="да"),MAX($T$1:$T102)+1,"")</f>
        <v/>
      </c>
    </row>
    <row r="104" spans="1:20" x14ac:dyDescent="0.3">
      <c r="A104" t="str">
        <f>IFERROR(INDEX(Работы!$D$2:$D$6000,MATCH($C104,Работы!$A$2:$A$6000,0)),"")</f>
        <v>Р2</v>
      </c>
      <c r="B104" t="str">
        <f>IFERROR(INDEX(Работы!$F$2:$F$6000,MATCH($C104,Работы!$A$2:$A$6000,0)),"")</f>
        <v>1</v>
      </c>
      <c r="C104" t="str">
        <f>IFERROR(INDEX(Работы!$A$2:$A$6000,103),"")</f>
        <v>РАБ.Р2.1.011</v>
      </c>
      <c r="D104" s="8" t="str">
        <f>IFERROR(INDEX(Работы!$B$2:$B$6000,MATCH($C104,Работы!$A$2:$A$6000,0)),"")</f>
        <v>Демонтаж натяжных потолков</v>
      </c>
      <c r="E104" t="str">
        <f>IFERROR(INDEX(Работы!$C$2:$C$6000,MATCH($C104,Работы!$A$2:$A$6000,0)),"")</f>
        <v>м2</v>
      </c>
      <c r="F104">
        <f>IFERROR(INDEX(Работы!$G$2:$G$6000,MATCH($C104,Работы!$A$2:$A$6000,0)),"")</f>
        <v>0</v>
      </c>
      <c r="G104" t="str">
        <f>IFERROR(INDEX(Работы!$K$2:$K$6000,MATCH($C104,Работы!$A$2:$A$6000,0)),"")</f>
        <v>Замер_демонтажа</v>
      </c>
      <c r="H104" s="9"/>
      <c r="I104" s="9"/>
      <c r="J104" s="8" t="str">
        <f>IFERROR(INDEX(Материалы!$B$2:$B$9000,MATCH($I104,Материалы!$A$2:$A$9000,0)),"")</f>
        <v/>
      </c>
      <c r="K104" t="str">
        <f>IF($I104="","",IF($F104=IFERROR(INDEX(Материалы!$G$2:$G$9000,MATCH($I104,Материалы!$A$2:$A$9000,0)),""),"OK","!! не та группа"))</f>
        <v/>
      </c>
      <c r="L104" s="10">
        <f>IFERROR(INDEX(Работы!$H$2:$H$6000,MATCH($C104,Работы!$A$2:$A$6000,0))*(1-ДисконтТендер),0)</f>
        <v>157.72</v>
      </c>
      <c r="M104" s="10">
        <f>IF($I104="",0,IFERROR(INDEX(Материалы!$I$2:$I$9000,MATCH($I104,Материалы!$A$2:$A$9000,0))*IF(INDEX(Материалы!$J$2:$J$9000,MATCH($I104,Материалы!$A$2:$A$9000,0))="USD",КурсUSD,IF(INDEX(Материалы!$J$2:$J$9000,MATCH($I104,Материалы!$A$2:$A$9000,0))="EUR",КурсEUR,1))*INDEX(Материалы!$K$2:$K$9000,MATCH($I104,Материалы!$A$2:$A$9000,0))*(1+IFERROR(INDEX(Работы!$I$2:$I$6000,MATCH($C104,Работы!$A$2:$A$6000,0))/100,0))*(1-ДисконтТендер),0))</f>
        <v>0</v>
      </c>
      <c r="N104" s="10">
        <f t="shared" si="3"/>
        <v>0</v>
      </c>
      <c r="O104" s="10">
        <f t="shared" si="4"/>
        <v>0</v>
      </c>
      <c r="P104" s="10">
        <f t="shared" si="5"/>
        <v>0</v>
      </c>
      <c r="Q104" t="str">
        <f>IFERROR(INDEX(Работы!$J$2:$J$6000,MATCH($C104,Работы!$A$2:$A$6000,0)),"")</f>
        <v>типовая</v>
      </c>
      <c r="R104" t="s">
        <v>92</v>
      </c>
      <c r="T104" t="str">
        <f>IF(AND($P104&gt;0,$R104="да"),MAX($T$1:$T103)+1,"")</f>
        <v/>
      </c>
    </row>
    <row r="105" spans="1:20" ht="28.8" x14ac:dyDescent="0.3">
      <c r="A105" t="str">
        <f>IFERROR(INDEX(Работы!$D$2:$D$6000,MATCH($C105,Работы!$A$2:$A$6000,0)),"")</f>
        <v>Р2</v>
      </c>
      <c r="B105" t="str">
        <f>IFERROR(INDEX(Работы!$F$2:$F$6000,MATCH($C105,Работы!$A$2:$A$6000,0)),"")</f>
        <v>1</v>
      </c>
      <c r="C105" t="str">
        <f>IFERROR(INDEX(Работы!$A$2:$A$6000,104),"")</f>
        <v>РАБ.Р2.1.012</v>
      </c>
      <c r="D105" s="8" t="str">
        <f>IFERROR(INDEX(Работы!$B$2:$B$6000,MATCH($C105,Работы!$A$2:$A$6000,0)),"")</f>
        <v>Демонтаж щтукатурки потолка толщиной до 50 мм.</v>
      </c>
      <c r="E105" t="str">
        <f>IFERROR(INDEX(Работы!$C$2:$C$6000,MATCH($C105,Работы!$A$2:$A$6000,0)),"")</f>
        <v>м2</v>
      </c>
      <c r="F105">
        <f>IFERROR(INDEX(Работы!$G$2:$G$6000,MATCH($C105,Работы!$A$2:$A$6000,0)),"")</f>
        <v>0</v>
      </c>
      <c r="G105" t="str">
        <f>IFERROR(INDEX(Работы!$K$2:$K$6000,MATCH($C105,Работы!$A$2:$A$6000,0)),"")</f>
        <v>Замер_демонтажа</v>
      </c>
      <c r="H105" s="9"/>
      <c r="I105" s="9"/>
      <c r="J105" s="8" t="str">
        <f>IFERROR(INDEX(Материалы!$B$2:$B$9000,MATCH($I105,Материалы!$A$2:$A$9000,0)),"")</f>
        <v/>
      </c>
      <c r="K105" t="str">
        <f>IF($I105="","",IF($F105=IFERROR(INDEX(Материалы!$G$2:$G$9000,MATCH($I105,Материалы!$A$2:$A$9000,0)),""),"OK","!! не та группа"))</f>
        <v/>
      </c>
      <c r="L105" s="10">
        <f>IFERROR(INDEX(Работы!$H$2:$H$6000,MATCH($C105,Работы!$A$2:$A$6000,0))*(1-ДисконтТендер),0)</f>
        <v>281.88</v>
      </c>
      <c r="M105" s="10">
        <f>IF($I105="",0,IFERROR(INDEX(Материалы!$I$2:$I$9000,MATCH($I105,Материалы!$A$2:$A$9000,0))*IF(INDEX(Материалы!$J$2:$J$9000,MATCH($I105,Материалы!$A$2:$A$9000,0))="USD",КурсUSD,IF(INDEX(Материалы!$J$2:$J$9000,MATCH($I105,Материалы!$A$2:$A$9000,0))="EUR",КурсEUR,1))*INDEX(Материалы!$K$2:$K$9000,MATCH($I105,Материалы!$A$2:$A$9000,0))*(1+IFERROR(INDEX(Работы!$I$2:$I$6000,MATCH($C105,Работы!$A$2:$A$6000,0))/100,0))*(1-ДисконтТендер),0))</f>
        <v>0</v>
      </c>
      <c r="N105" s="10">
        <f t="shared" si="3"/>
        <v>0</v>
      </c>
      <c r="O105" s="10">
        <f t="shared" si="4"/>
        <v>0</v>
      </c>
      <c r="P105" s="10">
        <f t="shared" si="5"/>
        <v>0</v>
      </c>
      <c r="Q105" t="str">
        <f>IFERROR(INDEX(Работы!$J$2:$J$6000,MATCH($C105,Работы!$A$2:$A$6000,0)),"")</f>
        <v>типовая</v>
      </c>
      <c r="R105" t="s">
        <v>92</v>
      </c>
      <c r="T105" t="str">
        <f>IF(AND($P105&gt;0,$R105="да"),MAX($T$1:$T104)+1,"")</f>
        <v/>
      </c>
    </row>
    <row r="106" spans="1:20" ht="28.8" x14ac:dyDescent="0.3">
      <c r="A106" t="str">
        <f>IFERROR(INDEX(Работы!$D$2:$D$6000,MATCH($C106,Работы!$A$2:$A$6000,0)),"")</f>
        <v>Р2</v>
      </c>
      <c r="B106" t="str">
        <f>IFERROR(INDEX(Работы!$F$2:$F$6000,MATCH($C106,Работы!$A$2:$A$6000,0)),"")</f>
        <v>2</v>
      </c>
      <c r="C106" t="str">
        <f>IFERROR(INDEX(Работы!$A$2:$A$6000,105),"")</f>
        <v>РАБ.Р2.2.001</v>
      </c>
      <c r="D106" s="8" t="str">
        <f>IFERROR(INDEX(Работы!$B$2:$B$6000,MATCH($C106,Работы!$A$2:$A$6000,0)),"")</f>
        <v>Демонтаж цементно-песчаной стяжки толщиной до 50 мм</v>
      </c>
      <c r="E106" t="str">
        <f>IFERROR(INDEX(Работы!$C$2:$C$6000,MATCH($C106,Работы!$A$2:$A$6000,0)),"")</f>
        <v>м2</v>
      </c>
      <c r="F106">
        <f>IFERROR(INDEX(Работы!$G$2:$G$6000,MATCH($C106,Работы!$A$2:$A$6000,0)),"")</f>
        <v>0</v>
      </c>
      <c r="G106" t="str">
        <f>IFERROR(INDEX(Работы!$K$2:$K$6000,MATCH($C106,Работы!$A$2:$A$6000,0)),"")</f>
        <v>Замер_демонтажа</v>
      </c>
      <c r="H106" s="9"/>
      <c r="I106" s="9"/>
      <c r="J106" s="8" t="str">
        <f>IFERROR(INDEX(Материалы!$B$2:$B$9000,MATCH($I106,Материалы!$A$2:$A$9000,0)),"")</f>
        <v/>
      </c>
      <c r="K106" t="str">
        <f>IF($I106="","",IF($F106=IFERROR(INDEX(Материалы!$G$2:$G$9000,MATCH($I106,Материалы!$A$2:$A$9000,0)),""),"OK","!! не та группа"))</f>
        <v/>
      </c>
      <c r="L106" s="10">
        <f>IFERROR(INDEX(Работы!$H$2:$H$6000,MATCH($C106,Работы!$A$2:$A$6000,0))*(1-ДисконтТендер),0)</f>
        <v>232.64</v>
      </c>
      <c r="M106" s="10">
        <f>IF($I106="",0,IFERROR(INDEX(Материалы!$I$2:$I$9000,MATCH($I106,Материалы!$A$2:$A$9000,0))*IF(INDEX(Материалы!$J$2:$J$9000,MATCH($I106,Материалы!$A$2:$A$9000,0))="USD",КурсUSD,IF(INDEX(Материалы!$J$2:$J$9000,MATCH($I106,Материалы!$A$2:$A$9000,0))="EUR",КурсEUR,1))*INDEX(Материалы!$K$2:$K$9000,MATCH($I106,Материалы!$A$2:$A$9000,0))*(1+IFERROR(INDEX(Работы!$I$2:$I$6000,MATCH($C106,Работы!$A$2:$A$6000,0))/100,0))*(1-ДисконтТендер),0))</f>
        <v>0</v>
      </c>
      <c r="N106" s="10">
        <f t="shared" si="3"/>
        <v>0</v>
      </c>
      <c r="O106" s="10">
        <f t="shared" si="4"/>
        <v>0</v>
      </c>
      <c r="P106" s="10">
        <f t="shared" si="5"/>
        <v>0</v>
      </c>
      <c r="Q106" t="str">
        <f>IFERROR(INDEX(Работы!$J$2:$J$6000,MATCH($C106,Работы!$A$2:$A$6000,0)),"")</f>
        <v>типовая</v>
      </c>
      <c r="R106" t="s">
        <v>92</v>
      </c>
      <c r="T106" t="str">
        <f>IF(AND($P106&gt;0,$R106="да"),MAX($T$1:$T105)+1,"")</f>
        <v/>
      </c>
    </row>
    <row r="107" spans="1:20" ht="28.8" x14ac:dyDescent="0.3">
      <c r="A107" t="str">
        <f>IFERROR(INDEX(Работы!$D$2:$D$6000,MATCH($C107,Работы!$A$2:$A$6000,0)),"")</f>
        <v>Р2</v>
      </c>
      <c r="B107" t="str">
        <f>IFERROR(INDEX(Работы!$F$2:$F$6000,MATCH($C107,Работы!$A$2:$A$6000,0)),"")</f>
        <v>2</v>
      </c>
      <c r="C107" t="str">
        <f>IFERROR(INDEX(Работы!$A$2:$A$6000,106),"")</f>
        <v>РАБ.Р2.2.002</v>
      </c>
      <c r="D107" s="8" t="str">
        <f>IFERROR(INDEX(Работы!$B$2:$B$6000,MATCH($C107,Работы!$A$2:$A$6000,0)),"")</f>
        <v>Демонтаж цементно-песчаной стяжки толщиной до 100 мм</v>
      </c>
      <c r="E107" t="str">
        <f>IFERROR(INDEX(Работы!$C$2:$C$6000,MATCH($C107,Работы!$A$2:$A$6000,0)),"")</f>
        <v>м2</v>
      </c>
      <c r="F107">
        <f>IFERROR(INDEX(Работы!$G$2:$G$6000,MATCH($C107,Работы!$A$2:$A$6000,0)),"")</f>
        <v>0</v>
      </c>
      <c r="G107" t="str">
        <f>IFERROR(INDEX(Работы!$K$2:$K$6000,MATCH($C107,Работы!$A$2:$A$6000,0)),"")</f>
        <v>Замер_демонтажа</v>
      </c>
      <c r="H107" s="9"/>
      <c r="I107" s="9"/>
      <c r="J107" s="8" t="str">
        <f>IFERROR(INDEX(Материалы!$B$2:$B$9000,MATCH($I107,Материалы!$A$2:$A$9000,0)),"")</f>
        <v/>
      </c>
      <c r="K107" t="str">
        <f>IF($I107="","",IF($F107=IFERROR(INDEX(Материалы!$G$2:$G$9000,MATCH($I107,Материалы!$A$2:$A$9000,0)),""),"OK","!! не та группа"))</f>
        <v/>
      </c>
      <c r="L107" s="10">
        <f>IFERROR(INDEX(Работы!$H$2:$H$6000,MATCH($C107,Работы!$A$2:$A$6000,0))*(1-ДисконтТендер),0)</f>
        <v>319.39</v>
      </c>
      <c r="M107" s="10">
        <f>IF($I107="",0,IFERROR(INDEX(Материалы!$I$2:$I$9000,MATCH($I107,Материалы!$A$2:$A$9000,0))*IF(INDEX(Материалы!$J$2:$J$9000,MATCH($I107,Материалы!$A$2:$A$9000,0))="USD",КурсUSD,IF(INDEX(Материалы!$J$2:$J$9000,MATCH($I107,Материалы!$A$2:$A$9000,0))="EUR",КурсEUR,1))*INDEX(Материалы!$K$2:$K$9000,MATCH($I107,Материалы!$A$2:$A$9000,0))*(1+IFERROR(INDEX(Работы!$I$2:$I$6000,MATCH($C107,Работы!$A$2:$A$6000,0))/100,0))*(1-ДисконтТендер),0))</f>
        <v>0</v>
      </c>
      <c r="N107" s="10">
        <f t="shared" si="3"/>
        <v>0</v>
      </c>
      <c r="O107" s="10">
        <f t="shared" si="4"/>
        <v>0</v>
      </c>
      <c r="P107" s="10">
        <f t="shared" si="5"/>
        <v>0</v>
      </c>
      <c r="Q107" t="str">
        <f>IFERROR(INDEX(Работы!$J$2:$J$6000,MATCH($C107,Работы!$A$2:$A$6000,0)),"")</f>
        <v>типовая</v>
      </c>
      <c r="R107" t="s">
        <v>92</v>
      </c>
      <c r="T107" t="str">
        <f>IF(AND($P107&gt;0,$R107="да"),MAX($T$1:$T106)+1,"")</f>
        <v/>
      </c>
    </row>
    <row r="108" spans="1:20" ht="28.8" x14ac:dyDescent="0.3">
      <c r="A108" t="str">
        <f>IFERROR(INDEX(Работы!$D$2:$D$6000,MATCH($C108,Работы!$A$2:$A$6000,0)),"")</f>
        <v>Р2</v>
      </c>
      <c r="B108" t="str">
        <f>IFERROR(INDEX(Работы!$F$2:$F$6000,MATCH($C108,Работы!$A$2:$A$6000,0)),"")</f>
        <v>2</v>
      </c>
      <c r="C108" t="str">
        <f>IFERROR(INDEX(Работы!$A$2:$A$6000,107),"")</f>
        <v>РАБ.Р2.2.003</v>
      </c>
      <c r="D108" s="8" t="str">
        <f>IFERROR(INDEX(Работы!$B$2:$B$6000,MATCH($C108,Работы!$A$2:$A$6000,0)),"")</f>
        <v>Демонтаж цементно-песчаной стяжки армированной толщиной до 50 мм</v>
      </c>
      <c r="E108" t="str">
        <f>IFERROR(INDEX(Работы!$C$2:$C$6000,MATCH($C108,Работы!$A$2:$A$6000,0)),"")</f>
        <v>м2</v>
      </c>
      <c r="F108">
        <f>IFERROR(INDEX(Работы!$G$2:$G$6000,MATCH($C108,Работы!$A$2:$A$6000,0)),"")</f>
        <v>0</v>
      </c>
      <c r="G108" t="str">
        <f>IFERROR(INDEX(Работы!$K$2:$K$6000,MATCH($C108,Работы!$A$2:$A$6000,0)),"")</f>
        <v>Замер_демонтажа</v>
      </c>
      <c r="H108" s="9"/>
      <c r="I108" s="9"/>
      <c r="J108" s="8" t="str">
        <f>IFERROR(INDEX(Материалы!$B$2:$B$9000,MATCH($I108,Материалы!$A$2:$A$9000,0)),"")</f>
        <v/>
      </c>
      <c r="K108" t="str">
        <f>IF($I108="","",IF($F108=IFERROR(INDEX(Материалы!$G$2:$G$9000,MATCH($I108,Материалы!$A$2:$A$9000,0)),""),"OK","!! не та группа"))</f>
        <v/>
      </c>
      <c r="L108" s="10">
        <f>IFERROR(INDEX(Работы!$H$2:$H$6000,MATCH($C108,Работы!$A$2:$A$6000,0))*(1-ДисконтТендер),0)</f>
        <v>272.8</v>
      </c>
      <c r="M108" s="10">
        <f>IF($I108="",0,IFERROR(INDEX(Материалы!$I$2:$I$9000,MATCH($I108,Материалы!$A$2:$A$9000,0))*IF(INDEX(Материалы!$J$2:$J$9000,MATCH($I108,Материалы!$A$2:$A$9000,0))="USD",КурсUSD,IF(INDEX(Материалы!$J$2:$J$9000,MATCH($I108,Материалы!$A$2:$A$9000,0))="EUR",КурсEUR,1))*INDEX(Материалы!$K$2:$K$9000,MATCH($I108,Материалы!$A$2:$A$9000,0))*(1+IFERROR(INDEX(Работы!$I$2:$I$6000,MATCH($C108,Работы!$A$2:$A$6000,0))/100,0))*(1-ДисконтТендер),0))</f>
        <v>0</v>
      </c>
      <c r="N108" s="10">
        <f t="shared" si="3"/>
        <v>0</v>
      </c>
      <c r="O108" s="10">
        <f t="shared" si="4"/>
        <v>0</v>
      </c>
      <c r="P108" s="10">
        <f t="shared" si="5"/>
        <v>0</v>
      </c>
      <c r="Q108" t="str">
        <f>IFERROR(INDEX(Работы!$J$2:$J$6000,MATCH($C108,Работы!$A$2:$A$6000,0)),"")</f>
        <v>типовая</v>
      </c>
      <c r="R108" t="s">
        <v>92</v>
      </c>
      <c r="T108" t="str">
        <f>IF(AND($P108&gt;0,$R108="да"),MAX($T$1:$T107)+1,"")</f>
        <v/>
      </c>
    </row>
    <row r="109" spans="1:20" ht="28.8" x14ac:dyDescent="0.3">
      <c r="A109" t="str">
        <f>IFERROR(INDEX(Работы!$D$2:$D$6000,MATCH($C109,Работы!$A$2:$A$6000,0)),"")</f>
        <v>Р2</v>
      </c>
      <c r="B109" t="str">
        <f>IFERROR(INDEX(Работы!$F$2:$F$6000,MATCH($C109,Работы!$A$2:$A$6000,0)),"")</f>
        <v>2</v>
      </c>
      <c r="C109" t="str">
        <f>IFERROR(INDEX(Работы!$A$2:$A$6000,108),"")</f>
        <v>РАБ.Р2.2.004</v>
      </c>
      <c r="D109" s="8" t="str">
        <f>IFERROR(INDEX(Работы!$B$2:$B$6000,MATCH($C109,Работы!$A$2:$A$6000,0)),"")</f>
        <v>Демонтаж цементно-песчаной стяжки армированной толщиной до 100 мм</v>
      </c>
      <c r="E109" t="str">
        <f>IFERROR(INDEX(Работы!$C$2:$C$6000,MATCH($C109,Работы!$A$2:$A$6000,0)),"")</f>
        <v>м2</v>
      </c>
      <c r="F109">
        <f>IFERROR(INDEX(Работы!$G$2:$G$6000,MATCH($C109,Работы!$A$2:$A$6000,0)),"")</f>
        <v>0</v>
      </c>
      <c r="G109" t="str">
        <f>IFERROR(INDEX(Работы!$K$2:$K$6000,MATCH($C109,Работы!$A$2:$A$6000,0)),"")</f>
        <v>Замер_демонтажа</v>
      </c>
      <c r="H109" s="9"/>
      <c r="I109" s="9"/>
      <c r="J109" s="8" t="str">
        <f>IFERROR(INDEX(Материалы!$B$2:$B$9000,MATCH($I109,Материалы!$A$2:$A$9000,0)),"")</f>
        <v/>
      </c>
      <c r="K109" t="str">
        <f>IF($I109="","",IF($F109=IFERROR(INDEX(Материалы!$G$2:$G$9000,MATCH($I109,Материалы!$A$2:$A$9000,0)),""),"OK","!! не та группа"))</f>
        <v/>
      </c>
      <c r="L109" s="10">
        <f>IFERROR(INDEX(Работы!$H$2:$H$6000,MATCH($C109,Работы!$A$2:$A$6000,0))*(1-ДисконтТендер),0)</f>
        <v>391.5</v>
      </c>
      <c r="M109" s="10">
        <f>IF($I109="",0,IFERROR(INDEX(Материалы!$I$2:$I$9000,MATCH($I109,Материалы!$A$2:$A$9000,0))*IF(INDEX(Материалы!$J$2:$J$9000,MATCH($I109,Материалы!$A$2:$A$9000,0))="USD",КурсUSD,IF(INDEX(Материалы!$J$2:$J$9000,MATCH($I109,Материалы!$A$2:$A$9000,0))="EUR",КурсEUR,1))*INDEX(Материалы!$K$2:$K$9000,MATCH($I109,Материалы!$A$2:$A$9000,0))*(1+IFERROR(INDEX(Работы!$I$2:$I$6000,MATCH($C109,Работы!$A$2:$A$6000,0))/100,0))*(1-ДисконтТендер),0))</f>
        <v>0</v>
      </c>
      <c r="N109" s="10">
        <f t="shared" si="3"/>
        <v>0</v>
      </c>
      <c r="O109" s="10">
        <f t="shared" si="4"/>
        <v>0</v>
      </c>
      <c r="P109" s="10">
        <f t="shared" si="5"/>
        <v>0</v>
      </c>
      <c r="Q109" t="str">
        <f>IFERROR(INDEX(Работы!$J$2:$J$6000,MATCH($C109,Работы!$A$2:$A$6000,0)),"")</f>
        <v>типовая</v>
      </c>
      <c r="R109" t="s">
        <v>92</v>
      </c>
      <c r="T109" t="str">
        <f>IF(AND($P109&gt;0,$R109="да"),MAX($T$1:$T108)+1,"")</f>
        <v/>
      </c>
    </row>
    <row r="110" spans="1:20" ht="28.8" x14ac:dyDescent="0.3">
      <c r="A110" t="str">
        <f>IFERROR(INDEX(Работы!$D$2:$D$6000,MATCH($C110,Работы!$A$2:$A$6000,0)),"")</f>
        <v>Р2</v>
      </c>
      <c r="B110" t="str">
        <f>IFERROR(INDEX(Работы!$F$2:$F$6000,MATCH($C110,Работы!$A$2:$A$6000,0)),"")</f>
        <v>2</v>
      </c>
      <c r="C110" t="str">
        <f>IFERROR(INDEX(Работы!$A$2:$A$6000,109),"")</f>
        <v>РАБ.Р2.2.005</v>
      </c>
      <c r="D110" s="8" t="str">
        <f>IFERROR(INDEX(Работы!$B$2:$B$6000,MATCH($C110,Работы!$A$2:$A$6000,0)),"")</f>
        <v>Демонтаж полов из гранитных и мраморных плит толщиной 30 мм</v>
      </c>
      <c r="E110" t="str">
        <f>IFERROR(INDEX(Работы!$C$2:$C$6000,MATCH($C110,Работы!$A$2:$A$6000,0)),"")</f>
        <v>м2</v>
      </c>
      <c r="F110">
        <f>IFERROR(INDEX(Работы!$G$2:$G$6000,MATCH($C110,Работы!$A$2:$A$6000,0)),"")</f>
        <v>0</v>
      </c>
      <c r="G110" t="str">
        <f>IFERROR(INDEX(Работы!$K$2:$K$6000,MATCH($C110,Работы!$A$2:$A$6000,0)),"")</f>
        <v>Замер_демонтажа</v>
      </c>
      <c r="H110" s="9"/>
      <c r="I110" s="9"/>
      <c r="J110" s="8" t="str">
        <f>IFERROR(INDEX(Материалы!$B$2:$B$9000,MATCH($I110,Материалы!$A$2:$A$9000,0)),"")</f>
        <v/>
      </c>
      <c r="K110" t="str">
        <f>IF($I110="","",IF($F110=IFERROR(INDEX(Материалы!$G$2:$G$9000,MATCH($I110,Материалы!$A$2:$A$9000,0)),""),"OK","!! не та группа"))</f>
        <v/>
      </c>
      <c r="L110" s="10">
        <f>IFERROR(INDEX(Работы!$H$2:$H$6000,MATCH($C110,Работы!$A$2:$A$6000,0))*(1-ДисконтТендер),0)</f>
        <v>376.67</v>
      </c>
      <c r="M110" s="10">
        <f>IF($I110="",0,IFERROR(INDEX(Материалы!$I$2:$I$9000,MATCH($I110,Материалы!$A$2:$A$9000,0))*IF(INDEX(Материалы!$J$2:$J$9000,MATCH($I110,Материалы!$A$2:$A$9000,0))="USD",КурсUSD,IF(INDEX(Материалы!$J$2:$J$9000,MATCH($I110,Материалы!$A$2:$A$9000,0))="EUR",КурсEUR,1))*INDEX(Материалы!$K$2:$K$9000,MATCH($I110,Материалы!$A$2:$A$9000,0))*(1+IFERROR(INDEX(Работы!$I$2:$I$6000,MATCH($C110,Работы!$A$2:$A$6000,0))/100,0))*(1-ДисконтТендер),0))</f>
        <v>0</v>
      </c>
      <c r="N110" s="10">
        <f t="shared" si="3"/>
        <v>0</v>
      </c>
      <c r="O110" s="10">
        <f t="shared" si="4"/>
        <v>0</v>
      </c>
      <c r="P110" s="10">
        <f t="shared" si="5"/>
        <v>0</v>
      </c>
      <c r="Q110" t="str">
        <f>IFERROR(INDEX(Работы!$J$2:$J$6000,MATCH($C110,Работы!$A$2:$A$6000,0)),"")</f>
        <v>типовая</v>
      </c>
      <c r="R110" t="s">
        <v>92</v>
      </c>
      <c r="T110" t="str">
        <f>IF(AND($P110&gt;0,$R110="да"),MAX($T$1:$T109)+1,"")</f>
        <v/>
      </c>
    </row>
    <row r="111" spans="1:20" ht="28.8" x14ac:dyDescent="0.3">
      <c r="A111" t="str">
        <f>IFERROR(INDEX(Работы!$D$2:$D$6000,MATCH($C111,Работы!$A$2:$A$6000,0)),"")</f>
        <v>Р2</v>
      </c>
      <c r="B111" t="str">
        <f>IFERROR(INDEX(Работы!$F$2:$F$6000,MATCH($C111,Работы!$A$2:$A$6000,0)),"")</f>
        <v>2</v>
      </c>
      <c r="C111" t="str">
        <f>IFERROR(INDEX(Работы!$A$2:$A$6000,110),"")</f>
        <v>РАБ.Р2.2.006</v>
      </c>
      <c r="D111" s="8" t="str">
        <f>IFERROR(INDEX(Работы!$B$2:$B$6000,MATCH($C111,Работы!$A$2:$A$6000,0)),"")</f>
        <v>Демонтаж покрытия полов из керамогранита и кераимческих плиток</v>
      </c>
      <c r="E111" t="str">
        <f>IFERROR(INDEX(Работы!$C$2:$C$6000,MATCH($C111,Работы!$A$2:$A$6000,0)),"")</f>
        <v>м2</v>
      </c>
      <c r="F111">
        <f>IFERROR(INDEX(Работы!$G$2:$G$6000,MATCH($C111,Работы!$A$2:$A$6000,0)),"")</f>
        <v>0</v>
      </c>
      <c r="G111" t="str">
        <f>IFERROR(INDEX(Работы!$K$2:$K$6000,MATCH($C111,Работы!$A$2:$A$6000,0)),"")</f>
        <v>Замер_демонтажа</v>
      </c>
      <c r="H111" s="9"/>
      <c r="I111" s="9"/>
      <c r="J111" s="8" t="str">
        <f>IFERROR(INDEX(Материалы!$B$2:$B$9000,MATCH($I111,Материалы!$A$2:$A$9000,0)),"")</f>
        <v/>
      </c>
      <c r="K111" t="str">
        <f>IF($I111="","",IF($F111=IFERROR(INDEX(Материалы!$G$2:$G$9000,MATCH($I111,Материалы!$A$2:$A$9000,0)),""),"OK","!! не та группа"))</f>
        <v/>
      </c>
      <c r="L111" s="10">
        <f>IFERROR(INDEX(Работы!$H$2:$H$6000,MATCH($C111,Работы!$A$2:$A$6000,0))*(1-ДисконтТендер),0)</f>
        <v>501.12</v>
      </c>
      <c r="M111" s="10">
        <f>IF($I111="",0,IFERROR(INDEX(Материалы!$I$2:$I$9000,MATCH($I111,Материалы!$A$2:$A$9000,0))*IF(INDEX(Материалы!$J$2:$J$9000,MATCH($I111,Материалы!$A$2:$A$9000,0))="USD",КурсUSD,IF(INDEX(Материалы!$J$2:$J$9000,MATCH($I111,Материалы!$A$2:$A$9000,0))="EUR",КурсEUR,1))*INDEX(Материалы!$K$2:$K$9000,MATCH($I111,Материалы!$A$2:$A$9000,0))*(1+IFERROR(INDEX(Работы!$I$2:$I$6000,MATCH($C111,Работы!$A$2:$A$6000,0))/100,0))*(1-ДисконтТендер),0))</f>
        <v>0</v>
      </c>
      <c r="N111" s="10">
        <f t="shared" si="3"/>
        <v>0</v>
      </c>
      <c r="O111" s="10">
        <f t="shared" si="4"/>
        <v>0</v>
      </c>
      <c r="P111" s="10">
        <f t="shared" si="5"/>
        <v>0</v>
      </c>
      <c r="Q111" t="str">
        <f>IFERROR(INDEX(Работы!$J$2:$J$6000,MATCH($C111,Работы!$A$2:$A$6000,0)),"")</f>
        <v>типовая</v>
      </c>
      <c r="R111" t="s">
        <v>92</v>
      </c>
      <c r="T111" t="str">
        <f>IF(AND($P111&gt;0,$R111="да"),MAX($T$1:$T110)+1,"")</f>
        <v/>
      </c>
    </row>
    <row r="112" spans="1:20" ht="28.8" x14ac:dyDescent="0.3">
      <c r="A112" t="str">
        <f>IFERROR(INDEX(Работы!$D$2:$D$6000,MATCH($C112,Работы!$A$2:$A$6000,0)),"")</f>
        <v>Р2</v>
      </c>
      <c r="B112" t="str">
        <f>IFERROR(INDEX(Работы!$F$2:$F$6000,MATCH($C112,Работы!$A$2:$A$6000,0)),"")</f>
        <v>2</v>
      </c>
      <c r="C112" t="str">
        <f>IFERROR(INDEX(Работы!$A$2:$A$6000,111),"")</f>
        <v>РАБ.Р2.2.007</v>
      </c>
      <c r="D112" s="8" t="str">
        <f>IFERROR(INDEX(Работы!$B$2:$B$6000,MATCH($C112,Работы!$A$2:$A$6000,0)),"")</f>
        <v>Расшивка швов поверхности пола из плитки керамической</v>
      </c>
      <c r="E112" t="str">
        <f>IFERROR(INDEX(Работы!$C$2:$C$6000,MATCH($C112,Работы!$A$2:$A$6000,0)),"")</f>
        <v>м2</v>
      </c>
      <c r="F112">
        <f>IFERROR(INDEX(Работы!$G$2:$G$6000,MATCH($C112,Работы!$A$2:$A$6000,0)),"")</f>
        <v>0</v>
      </c>
      <c r="G112" t="str">
        <f>IFERROR(INDEX(Работы!$K$2:$K$6000,MATCH($C112,Работы!$A$2:$A$6000,0)),"")</f>
        <v>Замер_демонтажа</v>
      </c>
      <c r="H112" s="9"/>
      <c r="I112" s="9"/>
      <c r="J112" s="8" t="str">
        <f>IFERROR(INDEX(Материалы!$B$2:$B$9000,MATCH($I112,Материалы!$A$2:$A$9000,0)),"")</f>
        <v/>
      </c>
      <c r="K112" t="str">
        <f>IF($I112="","",IF($F112=IFERROR(INDEX(Материалы!$G$2:$G$9000,MATCH($I112,Материалы!$A$2:$A$9000,0)),""),"OK","!! не та группа"))</f>
        <v/>
      </c>
      <c r="L112" s="10">
        <f>IFERROR(INDEX(Работы!$H$2:$H$6000,MATCH($C112,Работы!$A$2:$A$6000,0))*(1-ДисконтТендер),0)</f>
        <v>187.92</v>
      </c>
      <c r="M112" s="10">
        <f>IF($I112="",0,IFERROR(INDEX(Материалы!$I$2:$I$9000,MATCH($I112,Материалы!$A$2:$A$9000,0))*IF(INDEX(Материалы!$J$2:$J$9000,MATCH($I112,Материалы!$A$2:$A$9000,0))="USD",КурсUSD,IF(INDEX(Материалы!$J$2:$J$9000,MATCH($I112,Материалы!$A$2:$A$9000,0))="EUR",КурсEUR,1))*INDEX(Материалы!$K$2:$K$9000,MATCH($I112,Материалы!$A$2:$A$9000,0))*(1+IFERROR(INDEX(Работы!$I$2:$I$6000,MATCH($C112,Работы!$A$2:$A$6000,0))/100,0))*(1-ДисконтТендер),0))</f>
        <v>0</v>
      </c>
      <c r="N112" s="10">
        <f t="shared" si="3"/>
        <v>0</v>
      </c>
      <c r="O112" s="10">
        <f t="shared" si="4"/>
        <v>0</v>
      </c>
      <c r="P112" s="10">
        <f t="shared" si="5"/>
        <v>0</v>
      </c>
      <c r="Q112" t="str">
        <f>IFERROR(INDEX(Работы!$J$2:$J$6000,MATCH($C112,Работы!$A$2:$A$6000,0)),"")</f>
        <v>типовая</v>
      </c>
      <c r="R112" t="s">
        <v>92</v>
      </c>
      <c r="T112" t="str">
        <f>IF(AND($P112&gt;0,$R112="да"),MAX($T$1:$T111)+1,"")</f>
        <v/>
      </c>
    </row>
    <row r="113" spans="1:20" ht="28.8" x14ac:dyDescent="0.3">
      <c r="A113" t="str">
        <f>IFERROR(INDEX(Работы!$D$2:$D$6000,MATCH($C113,Работы!$A$2:$A$6000,0)),"")</f>
        <v>Р2</v>
      </c>
      <c r="B113" t="str">
        <f>IFERROR(INDEX(Работы!$F$2:$F$6000,MATCH($C113,Работы!$A$2:$A$6000,0)),"")</f>
        <v>2</v>
      </c>
      <c r="C113" t="str">
        <f>IFERROR(INDEX(Работы!$A$2:$A$6000,112),"")</f>
        <v>РАБ.Р2.2.008</v>
      </c>
      <c r="D113" s="8" t="str">
        <f>IFERROR(INDEX(Работы!$B$2:$B$6000,MATCH($C113,Работы!$A$2:$A$6000,0)),"")</f>
        <v>Демонтаж покрытия полов: из линолеума, ковролина</v>
      </c>
      <c r="E113" t="str">
        <f>IFERROR(INDEX(Работы!$C$2:$C$6000,MATCH($C113,Работы!$A$2:$A$6000,0)),"")</f>
        <v>м2</v>
      </c>
      <c r="F113">
        <f>IFERROR(INDEX(Работы!$G$2:$G$6000,MATCH($C113,Работы!$A$2:$A$6000,0)),"")</f>
        <v>0</v>
      </c>
      <c r="G113" t="str">
        <f>IFERROR(INDEX(Работы!$K$2:$K$6000,MATCH($C113,Работы!$A$2:$A$6000,0)),"")</f>
        <v>Замер_демонтажа</v>
      </c>
      <c r="H113" s="9"/>
      <c r="I113" s="9"/>
      <c r="J113" s="8" t="str">
        <f>IFERROR(INDEX(Материалы!$B$2:$B$9000,MATCH($I113,Материалы!$A$2:$A$9000,0)),"")</f>
        <v/>
      </c>
      <c r="K113" t="str">
        <f>IF($I113="","",IF($F113=IFERROR(INDEX(Материалы!$G$2:$G$9000,MATCH($I113,Материалы!$A$2:$A$9000,0)),""),"OK","!! не та группа"))</f>
        <v/>
      </c>
      <c r="L113" s="10">
        <f>IFERROR(INDEX(Работы!$H$2:$H$6000,MATCH($C113,Работы!$A$2:$A$6000,0))*(1-ДисконтТендер),0)</f>
        <v>220</v>
      </c>
      <c r="M113" s="10">
        <f>IF($I113="",0,IFERROR(INDEX(Материалы!$I$2:$I$9000,MATCH($I113,Материалы!$A$2:$A$9000,0))*IF(INDEX(Материалы!$J$2:$J$9000,MATCH($I113,Материалы!$A$2:$A$9000,0))="USD",КурсUSD,IF(INDEX(Материалы!$J$2:$J$9000,MATCH($I113,Материалы!$A$2:$A$9000,0))="EUR",КурсEUR,1))*INDEX(Материалы!$K$2:$K$9000,MATCH($I113,Материалы!$A$2:$A$9000,0))*(1+IFERROR(INDEX(Работы!$I$2:$I$6000,MATCH($C113,Работы!$A$2:$A$6000,0))/100,0))*(1-ДисконтТендер),0))</f>
        <v>0</v>
      </c>
      <c r="N113" s="10">
        <f t="shared" si="3"/>
        <v>0</v>
      </c>
      <c r="O113" s="10">
        <f t="shared" si="4"/>
        <v>0</v>
      </c>
      <c r="P113" s="10">
        <f t="shared" si="5"/>
        <v>0</v>
      </c>
      <c r="Q113" t="str">
        <f>IFERROR(INDEX(Работы!$J$2:$J$6000,MATCH($C113,Работы!$A$2:$A$6000,0)),"")</f>
        <v>типовая</v>
      </c>
      <c r="R113" t="s">
        <v>92</v>
      </c>
      <c r="T113" t="str">
        <f>IF(AND($P113&gt;0,$R113="да"),MAX($T$1:$T112)+1,"")</f>
        <v/>
      </c>
    </row>
    <row r="114" spans="1:20" ht="28.8" x14ac:dyDescent="0.3">
      <c r="A114" t="str">
        <f>IFERROR(INDEX(Работы!$D$2:$D$6000,MATCH($C114,Работы!$A$2:$A$6000,0)),"")</f>
        <v>Р2</v>
      </c>
      <c r="B114" t="str">
        <f>IFERROR(INDEX(Работы!$F$2:$F$6000,MATCH($C114,Работы!$A$2:$A$6000,0)),"")</f>
        <v>2</v>
      </c>
      <c r="C114" t="str">
        <f>IFERROR(INDEX(Работы!$A$2:$A$6000,113),"")</f>
        <v>РАБ.Р2.2.009</v>
      </c>
      <c r="D114" s="8" t="str">
        <f>IFERROR(INDEX(Работы!$B$2:$B$6000,MATCH($C114,Работы!$A$2:$A$6000,0)),"")</f>
        <v>Демонтаж покрытия полов: из паркетной доски (ламината)</v>
      </c>
      <c r="E114" t="str">
        <f>IFERROR(INDEX(Работы!$C$2:$C$6000,MATCH($C114,Работы!$A$2:$A$6000,0)),"")</f>
        <v>м2</v>
      </c>
      <c r="F114">
        <f>IFERROR(INDEX(Работы!$G$2:$G$6000,MATCH($C114,Работы!$A$2:$A$6000,0)),"")</f>
        <v>0</v>
      </c>
      <c r="G114" t="str">
        <f>IFERROR(INDEX(Работы!$K$2:$K$6000,MATCH($C114,Работы!$A$2:$A$6000,0)),"")</f>
        <v>Замер_демонтажа</v>
      </c>
      <c r="H114" s="9"/>
      <c r="I114" s="9"/>
      <c r="J114" s="8" t="str">
        <f>IFERROR(INDEX(Материалы!$B$2:$B$9000,MATCH($I114,Материалы!$A$2:$A$9000,0)),"")</f>
        <v/>
      </c>
      <c r="K114" t="str">
        <f>IF($I114="","",IF($F114=IFERROR(INDEX(Материалы!$G$2:$G$9000,MATCH($I114,Материалы!$A$2:$A$9000,0)),""),"OK","!! не та группа"))</f>
        <v/>
      </c>
      <c r="L114" s="10">
        <f>IFERROR(INDEX(Работы!$H$2:$H$6000,MATCH($C114,Работы!$A$2:$A$6000,0))*(1-ДисконтТендер),0)</f>
        <v>374.59</v>
      </c>
      <c r="M114" s="10">
        <f>IF($I114="",0,IFERROR(INDEX(Материалы!$I$2:$I$9000,MATCH($I114,Материалы!$A$2:$A$9000,0))*IF(INDEX(Материалы!$J$2:$J$9000,MATCH($I114,Материалы!$A$2:$A$9000,0))="USD",КурсUSD,IF(INDEX(Материалы!$J$2:$J$9000,MATCH($I114,Материалы!$A$2:$A$9000,0))="EUR",КурсEUR,1))*INDEX(Материалы!$K$2:$K$9000,MATCH($I114,Материалы!$A$2:$A$9000,0))*(1+IFERROR(INDEX(Работы!$I$2:$I$6000,MATCH($C114,Работы!$A$2:$A$6000,0))/100,0))*(1-ДисконтТендер),0))</f>
        <v>0</v>
      </c>
      <c r="N114" s="10">
        <f t="shared" si="3"/>
        <v>0</v>
      </c>
      <c r="O114" s="10">
        <f t="shared" si="4"/>
        <v>0</v>
      </c>
      <c r="P114" s="10">
        <f t="shared" si="5"/>
        <v>0</v>
      </c>
      <c r="Q114" t="str">
        <f>IFERROR(INDEX(Работы!$J$2:$J$6000,MATCH($C114,Работы!$A$2:$A$6000,0)),"")</f>
        <v>типовая</v>
      </c>
      <c r="R114" t="s">
        <v>92</v>
      </c>
      <c r="T114" t="str">
        <f>IF(AND($P114&gt;0,$R114="да"),MAX($T$1:$T113)+1,"")</f>
        <v/>
      </c>
    </row>
    <row r="115" spans="1:20" x14ac:dyDescent="0.3">
      <c r="A115" t="str">
        <f>IFERROR(INDEX(Работы!$D$2:$D$6000,MATCH($C115,Работы!$A$2:$A$6000,0)),"")</f>
        <v>Р2</v>
      </c>
      <c r="B115" t="str">
        <f>IFERROR(INDEX(Работы!$F$2:$F$6000,MATCH($C115,Работы!$A$2:$A$6000,0)),"")</f>
        <v>2</v>
      </c>
      <c r="C115" t="str">
        <f>IFERROR(INDEX(Работы!$A$2:$A$6000,114),"")</f>
        <v>РАБ.Р2.2.010</v>
      </c>
      <c r="D115" s="8" t="str">
        <f>IFERROR(INDEX(Работы!$B$2:$B$6000,MATCH($C115,Работы!$A$2:$A$6000,0)),"")</f>
        <v>Демонтаж фальшпола</v>
      </c>
      <c r="E115" t="str">
        <f>IFERROR(INDEX(Работы!$C$2:$C$6000,MATCH($C115,Работы!$A$2:$A$6000,0)),"")</f>
        <v>м2</v>
      </c>
      <c r="F115">
        <f>IFERROR(INDEX(Работы!$G$2:$G$6000,MATCH($C115,Работы!$A$2:$A$6000,0)),"")</f>
        <v>0</v>
      </c>
      <c r="G115" t="str">
        <f>IFERROR(INDEX(Работы!$K$2:$K$6000,MATCH($C115,Работы!$A$2:$A$6000,0)),"")</f>
        <v>Замер_демонтажа</v>
      </c>
      <c r="H115" s="9"/>
      <c r="I115" s="9"/>
      <c r="J115" s="8" t="str">
        <f>IFERROR(INDEX(Материалы!$B$2:$B$9000,MATCH($I115,Материалы!$A$2:$A$9000,0)),"")</f>
        <v/>
      </c>
      <c r="K115" t="str">
        <f>IF($I115="","",IF($F115=IFERROR(INDEX(Материалы!$G$2:$G$9000,MATCH($I115,Материалы!$A$2:$A$9000,0)),""),"OK","!! не та группа"))</f>
        <v/>
      </c>
      <c r="L115" s="10">
        <f>IFERROR(INDEX(Работы!$H$2:$H$6000,MATCH($C115,Работы!$A$2:$A$6000,0))*(1-ДисконтТендер),0)</f>
        <v>322.01</v>
      </c>
      <c r="M115" s="10">
        <f>IF($I115="",0,IFERROR(INDEX(Материалы!$I$2:$I$9000,MATCH($I115,Материалы!$A$2:$A$9000,0))*IF(INDEX(Материалы!$J$2:$J$9000,MATCH($I115,Материалы!$A$2:$A$9000,0))="USD",КурсUSD,IF(INDEX(Материалы!$J$2:$J$9000,MATCH($I115,Материалы!$A$2:$A$9000,0))="EUR",КурсEUR,1))*INDEX(Материалы!$K$2:$K$9000,MATCH($I115,Материалы!$A$2:$A$9000,0))*(1+IFERROR(INDEX(Работы!$I$2:$I$6000,MATCH($C115,Работы!$A$2:$A$6000,0))/100,0))*(1-ДисконтТендер),0))</f>
        <v>0</v>
      </c>
      <c r="N115" s="10">
        <f t="shared" si="3"/>
        <v>0</v>
      </c>
      <c r="O115" s="10">
        <f t="shared" si="4"/>
        <v>0</v>
      </c>
      <c r="P115" s="10">
        <f t="shared" si="5"/>
        <v>0</v>
      </c>
      <c r="Q115" t="str">
        <f>IFERROR(INDEX(Работы!$J$2:$J$6000,MATCH($C115,Работы!$A$2:$A$6000,0)),"")</f>
        <v>типовая</v>
      </c>
      <c r="R115" t="s">
        <v>92</v>
      </c>
      <c r="T115" t="str">
        <f>IF(AND($P115&gt;0,$R115="да"),MAX($T$1:$T114)+1,"")</f>
        <v/>
      </c>
    </row>
    <row r="116" spans="1:20" ht="28.8" x14ac:dyDescent="0.3">
      <c r="A116" t="str">
        <f>IFERROR(INDEX(Работы!$D$2:$D$6000,MATCH($C116,Работы!$A$2:$A$6000,0)),"")</f>
        <v>Р2</v>
      </c>
      <c r="B116" t="str">
        <f>IFERROR(INDEX(Работы!$F$2:$F$6000,MATCH($C116,Работы!$A$2:$A$6000,0)),"")</f>
        <v>2</v>
      </c>
      <c r="C116" t="str">
        <f>IFERROR(INDEX(Работы!$A$2:$A$6000,115),"")</f>
        <v>РАБ.Р2.2.011</v>
      </c>
      <c r="D116" s="8" t="str">
        <f>IFERROR(INDEX(Работы!$B$2:$B$6000,MATCH($C116,Работы!$A$2:$A$6000,0)),"")</f>
        <v>Демонтаж деревянных полов на деревянных лагах</v>
      </c>
      <c r="E116" t="str">
        <f>IFERROR(INDEX(Работы!$C$2:$C$6000,MATCH($C116,Работы!$A$2:$A$6000,0)),"")</f>
        <v>м2</v>
      </c>
      <c r="F116">
        <f>IFERROR(INDEX(Работы!$G$2:$G$6000,MATCH($C116,Работы!$A$2:$A$6000,0)),"")</f>
        <v>0</v>
      </c>
      <c r="G116" t="str">
        <f>IFERROR(INDEX(Работы!$K$2:$K$6000,MATCH($C116,Работы!$A$2:$A$6000,0)),"")</f>
        <v>Замер_демонтажа</v>
      </c>
      <c r="H116" s="9"/>
      <c r="I116" s="9"/>
      <c r="J116" s="8" t="str">
        <f>IFERROR(INDEX(Материалы!$B$2:$B$9000,MATCH($I116,Материалы!$A$2:$A$9000,0)),"")</f>
        <v/>
      </c>
      <c r="K116" t="str">
        <f>IF($I116="","",IF($F116=IFERROR(INDEX(Материалы!$G$2:$G$9000,MATCH($I116,Материалы!$A$2:$A$9000,0)),""),"OK","!! не та группа"))</f>
        <v/>
      </c>
      <c r="L116" s="10">
        <f>IFERROR(INDEX(Работы!$H$2:$H$6000,MATCH($C116,Работы!$A$2:$A$6000,0))*(1-ДисконтТендер),0)</f>
        <v>375.84</v>
      </c>
      <c r="M116" s="10">
        <f>IF($I116="",0,IFERROR(INDEX(Материалы!$I$2:$I$9000,MATCH($I116,Материалы!$A$2:$A$9000,0))*IF(INDEX(Материалы!$J$2:$J$9000,MATCH($I116,Материалы!$A$2:$A$9000,0))="USD",КурсUSD,IF(INDEX(Материалы!$J$2:$J$9000,MATCH($I116,Материалы!$A$2:$A$9000,0))="EUR",КурсEUR,1))*INDEX(Материалы!$K$2:$K$9000,MATCH($I116,Материалы!$A$2:$A$9000,0))*(1+IFERROR(INDEX(Работы!$I$2:$I$6000,MATCH($C116,Работы!$A$2:$A$6000,0))/100,0))*(1-ДисконтТендер),0))</f>
        <v>0</v>
      </c>
      <c r="N116" s="10">
        <f t="shared" si="3"/>
        <v>0</v>
      </c>
      <c r="O116" s="10">
        <f t="shared" si="4"/>
        <v>0</v>
      </c>
      <c r="P116" s="10">
        <f t="shared" si="5"/>
        <v>0</v>
      </c>
      <c r="Q116" t="str">
        <f>IFERROR(INDEX(Работы!$J$2:$J$6000,MATCH($C116,Работы!$A$2:$A$6000,0)),"")</f>
        <v>типовая</v>
      </c>
      <c r="R116" t="s">
        <v>92</v>
      </c>
      <c r="T116" t="str">
        <f>IF(AND($P116&gt;0,$R116="да"),MAX($T$1:$T115)+1,"")</f>
        <v/>
      </c>
    </row>
    <row r="117" spans="1:20" x14ac:dyDescent="0.3">
      <c r="A117" t="str">
        <f>IFERROR(INDEX(Работы!$D$2:$D$6000,MATCH($C117,Работы!$A$2:$A$6000,0)),"")</f>
        <v>Р2</v>
      </c>
      <c r="B117" t="str">
        <f>IFERROR(INDEX(Работы!$F$2:$F$6000,MATCH($C117,Работы!$A$2:$A$6000,0)),"")</f>
        <v>2</v>
      </c>
      <c r="C117" t="str">
        <f>IFERROR(INDEX(Работы!$A$2:$A$6000,116),"")</f>
        <v>РАБ.Р2.2.012</v>
      </c>
      <c r="D117" s="8" t="str">
        <f>IFERROR(INDEX(Работы!$B$2:$B$6000,MATCH($C117,Работы!$A$2:$A$6000,0)),"")</f>
        <v>Демонтаж плинтусов: из керамической плитки</v>
      </c>
      <c r="E117" t="str">
        <f>IFERROR(INDEX(Работы!$C$2:$C$6000,MATCH($C117,Работы!$A$2:$A$6000,0)),"")</f>
        <v>м.п.</v>
      </c>
      <c r="F117">
        <f>IFERROR(INDEX(Работы!$G$2:$G$6000,MATCH($C117,Работы!$A$2:$A$6000,0)),"")</f>
        <v>0</v>
      </c>
      <c r="G117" t="str">
        <f>IFERROR(INDEX(Работы!$K$2:$K$6000,MATCH($C117,Работы!$A$2:$A$6000,0)),"")</f>
        <v>Замер_демонтажа</v>
      </c>
      <c r="H117" s="9"/>
      <c r="I117" s="9"/>
      <c r="J117" s="8" t="str">
        <f>IFERROR(INDEX(Материалы!$B$2:$B$9000,MATCH($I117,Материалы!$A$2:$A$9000,0)),"")</f>
        <v/>
      </c>
      <c r="K117" t="str">
        <f>IF($I117="","",IF($F117=IFERROR(INDEX(Материалы!$G$2:$G$9000,MATCH($I117,Материалы!$A$2:$A$9000,0)),""),"OK","!! не та группа"))</f>
        <v/>
      </c>
      <c r="L117" s="10">
        <f>IFERROR(INDEX(Работы!$H$2:$H$6000,MATCH($C117,Работы!$A$2:$A$6000,0))*(1-ДисконтТендер),0)</f>
        <v>78.86</v>
      </c>
      <c r="M117" s="10">
        <f>IF($I117="",0,IFERROR(INDEX(Материалы!$I$2:$I$9000,MATCH($I117,Материалы!$A$2:$A$9000,0))*IF(INDEX(Материалы!$J$2:$J$9000,MATCH($I117,Материалы!$A$2:$A$9000,0))="USD",КурсUSD,IF(INDEX(Материалы!$J$2:$J$9000,MATCH($I117,Материалы!$A$2:$A$9000,0))="EUR",КурсEUR,1))*INDEX(Материалы!$K$2:$K$9000,MATCH($I117,Материалы!$A$2:$A$9000,0))*(1+IFERROR(INDEX(Работы!$I$2:$I$6000,MATCH($C117,Работы!$A$2:$A$6000,0))/100,0))*(1-ДисконтТендер),0))</f>
        <v>0</v>
      </c>
      <c r="N117" s="10">
        <f t="shared" si="3"/>
        <v>0</v>
      </c>
      <c r="O117" s="10">
        <f t="shared" si="4"/>
        <v>0</v>
      </c>
      <c r="P117" s="10">
        <f t="shared" si="5"/>
        <v>0</v>
      </c>
      <c r="Q117" t="str">
        <f>IFERROR(INDEX(Работы!$J$2:$J$6000,MATCH($C117,Работы!$A$2:$A$6000,0)),"")</f>
        <v>типовая</v>
      </c>
      <c r="R117" t="s">
        <v>92</v>
      </c>
      <c r="T117" t="str">
        <f>IF(AND($P117&gt;0,$R117="да"),MAX($T$1:$T116)+1,"")</f>
        <v/>
      </c>
    </row>
    <row r="118" spans="1:20" x14ac:dyDescent="0.3">
      <c r="A118" t="str">
        <f>IFERROR(INDEX(Работы!$D$2:$D$6000,MATCH($C118,Работы!$A$2:$A$6000,0)),"")</f>
        <v>Р2</v>
      </c>
      <c r="B118" t="str">
        <f>IFERROR(INDEX(Работы!$F$2:$F$6000,MATCH($C118,Работы!$A$2:$A$6000,0)),"")</f>
        <v>2</v>
      </c>
      <c r="C118" t="str">
        <f>IFERROR(INDEX(Работы!$A$2:$A$6000,117),"")</f>
        <v>РАБ.Р2.2.013</v>
      </c>
      <c r="D118" s="8" t="str">
        <f>IFERROR(INDEX(Работы!$B$2:$B$6000,MATCH($C118,Работы!$A$2:$A$6000,0)),"")</f>
        <v>Демонтаж плинтусов: деревянных, пвх</v>
      </c>
      <c r="E118" t="str">
        <f>IFERROR(INDEX(Работы!$C$2:$C$6000,MATCH($C118,Работы!$A$2:$A$6000,0)),"")</f>
        <v>м.п.</v>
      </c>
      <c r="F118">
        <f>IFERROR(INDEX(Работы!$G$2:$G$6000,MATCH($C118,Работы!$A$2:$A$6000,0)),"")</f>
        <v>0</v>
      </c>
      <c r="G118" t="str">
        <f>IFERROR(INDEX(Работы!$K$2:$K$6000,MATCH($C118,Работы!$A$2:$A$6000,0)),"")</f>
        <v>Замер_демонтажа</v>
      </c>
      <c r="H118" s="9"/>
      <c r="I118" s="9"/>
      <c r="J118" s="8" t="str">
        <f>IFERROR(INDEX(Материалы!$B$2:$B$9000,MATCH($I118,Материалы!$A$2:$A$9000,0)),"")</f>
        <v/>
      </c>
      <c r="K118" t="str">
        <f>IF($I118="","",IF($F118=IFERROR(INDEX(Материалы!$G$2:$G$9000,MATCH($I118,Материалы!$A$2:$A$9000,0)),""),"OK","!! не та группа"))</f>
        <v/>
      </c>
      <c r="L118" s="10">
        <f>IFERROR(INDEX(Работы!$H$2:$H$6000,MATCH($C118,Работы!$A$2:$A$6000,0))*(1-ДисконтТендер),0)</f>
        <v>78.38</v>
      </c>
      <c r="M118" s="10">
        <f>IF($I118="",0,IFERROR(INDEX(Материалы!$I$2:$I$9000,MATCH($I118,Материалы!$A$2:$A$9000,0))*IF(INDEX(Материалы!$J$2:$J$9000,MATCH($I118,Материалы!$A$2:$A$9000,0))="USD",КурсUSD,IF(INDEX(Материалы!$J$2:$J$9000,MATCH($I118,Материалы!$A$2:$A$9000,0))="EUR",КурсEUR,1))*INDEX(Материалы!$K$2:$K$9000,MATCH($I118,Материалы!$A$2:$A$9000,0))*(1+IFERROR(INDEX(Работы!$I$2:$I$6000,MATCH($C118,Работы!$A$2:$A$6000,0))/100,0))*(1-ДисконтТендер),0))</f>
        <v>0</v>
      </c>
      <c r="N118" s="10">
        <f t="shared" si="3"/>
        <v>0</v>
      </c>
      <c r="O118" s="10">
        <f t="shared" si="4"/>
        <v>0</v>
      </c>
      <c r="P118" s="10">
        <f t="shared" si="5"/>
        <v>0</v>
      </c>
      <c r="Q118" t="str">
        <f>IFERROR(INDEX(Работы!$J$2:$J$6000,MATCH($C118,Работы!$A$2:$A$6000,0)),"")</f>
        <v>типовая</v>
      </c>
      <c r="R118" t="s">
        <v>92</v>
      </c>
      <c r="T118" t="str">
        <f>IF(AND($P118&gt;0,$R118="да"),MAX($T$1:$T117)+1,"")</f>
        <v/>
      </c>
    </row>
    <row r="119" spans="1:20" x14ac:dyDescent="0.3">
      <c r="A119" t="str">
        <f>IFERROR(INDEX(Работы!$D$2:$D$6000,MATCH($C119,Работы!$A$2:$A$6000,0)),"")</f>
        <v>Р2</v>
      </c>
      <c r="B119" t="str">
        <f>IFERROR(INDEX(Работы!$F$2:$F$6000,MATCH($C119,Работы!$A$2:$A$6000,0)),"")</f>
        <v>2</v>
      </c>
      <c r="C119" t="str">
        <f>IFERROR(INDEX(Работы!$A$2:$A$6000,118),"")</f>
        <v>РАБ.Р2.2.014</v>
      </c>
      <c r="D119" s="8" t="str">
        <f>IFERROR(INDEX(Работы!$B$2:$B$6000,MATCH($C119,Работы!$A$2:$A$6000,0)),"")</f>
        <v>Демонтаж ЖБ плит перекрытия.</v>
      </c>
      <c r="E119" t="str">
        <f>IFERROR(INDEX(Работы!$C$2:$C$6000,MATCH($C119,Работы!$A$2:$A$6000,0)),"")</f>
        <v>м2</v>
      </c>
      <c r="F119">
        <f>IFERROR(INDEX(Работы!$G$2:$G$6000,MATCH($C119,Работы!$A$2:$A$6000,0)),"")</f>
        <v>0</v>
      </c>
      <c r="G119" t="str">
        <f>IFERROR(INDEX(Работы!$K$2:$K$6000,MATCH($C119,Работы!$A$2:$A$6000,0)),"")</f>
        <v>Замер_демонтажа</v>
      </c>
      <c r="H119" s="9"/>
      <c r="I119" s="9"/>
      <c r="J119" s="8" t="str">
        <f>IFERROR(INDEX(Материалы!$B$2:$B$9000,MATCH($I119,Материалы!$A$2:$A$9000,0)),"")</f>
        <v/>
      </c>
      <c r="K119" t="str">
        <f>IF($I119="","",IF($F119=IFERROR(INDEX(Материалы!$G$2:$G$9000,MATCH($I119,Материалы!$A$2:$A$9000,0)),""),"OK","!! не та группа"))</f>
        <v/>
      </c>
      <c r="L119" s="10">
        <f>IFERROR(INDEX(Работы!$H$2:$H$6000,MATCH($C119,Работы!$A$2:$A$6000,0))*(1-ДисконтТендер),0)</f>
        <v>5622.11</v>
      </c>
      <c r="M119" s="10">
        <f>IF($I119="",0,IFERROR(INDEX(Материалы!$I$2:$I$9000,MATCH($I119,Материалы!$A$2:$A$9000,0))*IF(INDEX(Материалы!$J$2:$J$9000,MATCH($I119,Материалы!$A$2:$A$9000,0))="USD",КурсUSD,IF(INDEX(Материалы!$J$2:$J$9000,MATCH($I119,Материалы!$A$2:$A$9000,0))="EUR",КурсEUR,1))*INDEX(Материалы!$K$2:$K$9000,MATCH($I119,Материалы!$A$2:$A$9000,0))*(1+IFERROR(INDEX(Работы!$I$2:$I$6000,MATCH($C119,Работы!$A$2:$A$6000,0))/100,0))*(1-ДисконтТендер),0))</f>
        <v>0</v>
      </c>
      <c r="N119" s="10">
        <f t="shared" si="3"/>
        <v>0</v>
      </c>
      <c r="O119" s="10">
        <f t="shared" si="4"/>
        <v>0</v>
      </c>
      <c r="P119" s="10">
        <f t="shared" si="5"/>
        <v>0</v>
      </c>
      <c r="Q119" t="str">
        <f>IFERROR(INDEX(Работы!$J$2:$J$6000,MATCH($C119,Работы!$A$2:$A$6000,0)),"")</f>
        <v>типовая</v>
      </c>
      <c r="R119" t="s">
        <v>92</v>
      </c>
      <c r="T119" t="str">
        <f>IF(AND($P119&gt;0,$R119="да"),MAX($T$1:$T118)+1,"")</f>
        <v/>
      </c>
    </row>
    <row r="120" spans="1:20" x14ac:dyDescent="0.3">
      <c r="A120" t="str">
        <f>IFERROR(INDEX(Работы!$D$2:$D$6000,MATCH($C120,Работы!$A$2:$A$6000,0)),"")</f>
        <v>Р2</v>
      </c>
      <c r="B120" t="str">
        <f>IFERROR(INDEX(Работы!$F$2:$F$6000,MATCH($C120,Работы!$A$2:$A$6000,0)),"")</f>
        <v>2</v>
      </c>
      <c r="C120" t="str">
        <f>IFERROR(INDEX(Работы!$A$2:$A$6000,119),"")</f>
        <v>РАБ.Р2.2.015</v>
      </c>
      <c r="D120" s="8" t="str">
        <f>IFERROR(INDEX(Работы!$B$2:$B$6000,MATCH($C120,Работы!$A$2:$A$6000,0)),"")</f>
        <v>Демонтаж деревянных балок перекрытия</v>
      </c>
      <c r="E120" t="str">
        <f>IFERROR(INDEX(Работы!$C$2:$C$6000,MATCH($C120,Работы!$A$2:$A$6000,0)),"")</f>
        <v>м.п.</v>
      </c>
      <c r="F120">
        <f>IFERROR(INDEX(Работы!$G$2:$G$6000,MATCH($C120,Работы!$A$2:$A$6000,0)),"")</f>
        <v>0</v>
      </c>
      <c r="G120" t="str">
        <f>IFERROR(INDEX(Работы!$K$2:$K$6000,MATCH($C120,Работы!$A$2:$A$6000,0)),"")</f>
        <v>Замер_демонтажа</v>
      </c>
      <c r="H120" s="9"/>
      <c r="I120" s="9"/>
      <c r="J120" s="8" t="str">
        <f>IFERROR(INDEX(Материалы!$B$2:$B$9000,MATCH($I120,Материалы!$A$2:$A$9000,0)),"")</f>
        <v/>
      </c>
      <c r="K120" t="str">
        <f>IF($I120="","",IF($F120=IFERROR(INDEX(Материалы!$G$2:$G$9000,MATCH($I120,Материалы!$A$2:$A$9000,0)),""),"OK","!! не та группа"))</f>
        <v/>
      </c>
      <c r="L120" s="10">
        <f>IFERROR(INDEX(Работы!$H$2:$H$6000,MATCH($C120,Работы!$A$2:$A$6000,0))*(1-ДисконтТендер),0)</f>
        <v>814.32</v>
      </c>
      <c r="M120" s="10">
        <f>IF($I120="",0,IFERROR(INDEX(Материалы!$I$2:$I$9000,MATCH($I120,Материалы!$A$2:$A$9000,0))*IF(INDEX(Материалы!$J$2:$J$9000,MATCH($I120,Материалы!$A$2:$A$9000,0))="USD",КурсUSD,IF(INDEX(Материалы!$J$2:$J$9000,MATCH($I120,Материалы!$A$2:$A$9000,0))="EUR",КурсEUR,1))*INDEX(Материалы!$K$2:$K$9000,MATCH($I120,Материалы!$A$2:$A$9000,0))*(1+IFERROR(INDEX(Работы!$I$2:$I$6000,MATCH($C120,Работы!$A$2:$A$6000,0))/100,0))*(1-ДисконтТендер),0))</f>
        <v>0</v>
      </c>
      <c r="N120" s="10">
        <f t="shared" si="3"/>
        <v>0</v>
      </c>
      <c r="O120" s="10">
        <f t="shared" si="4"/>
        <v>0</v>
      </c>
      <c r="P120" s="10">
        <f t="shared" si="5"/>
        <v>0</v>
      </c>
      <c r="Q120" t="str">
        <f>IFERROR(INDEX(Работы!$J$2:$J$6000,MATCH($C120,Работы!$A$2:$A$6000,0)),"")</f>
        <v>типовая</v>
      </c>
      <c r="R120" t="s">
        <v>92</v>
      </c>
      <c r="T120" t="str">
        <f>IF(AND($P120&gt;0,$R120="да"),MAX($T$1:$T119)+1,"")</f>
        <v/>
      </c>
    </row>
    <row r="121" spans="1:20" x14ac:dyDescent="0.3">
      <c r="A121" t="str">
        <f>IFERROR(INDEX(Работы!$D$2:$D$6000,MATCH($C121,Работы!$A$2:$A$6000,0)),"")</f>
        <v>Р2</v>
      </c>
      <c r="B121" t="str">
        <f>IFERROR(INDEX(Работы!$F$2:$F$6000,MATCH($C121,Работы!$A$2:$A$6000,0)),"")</f>
        <v>2</v>
      </c>
      <c r="C121" t="str">
        <f>IFERROR(INDEX(Работы!$A$2:$A$6000,120),"")</f>
        <v>РАБ.Р2.2.016</v>
      </c>
      <c r="D121" s="8" t="str">
        <f>IFERROR(INDEX(Работы!$B$2:$B$6000,MATCH($C121,Работы!$A$2:$A$6000,0)),"")</f>
        <v>Демонтаж плиточного клея</v>
      </c>
      <c r="E121" t="str">
        <f>IFERROR(INDEX(Работы!$C$2:$C$6000,MATCH($C121,Работы!$A$2:$A$6000,0)),"")</f>
        <v>м2</v>
      </c>
      <c r="F121">
        <f>IFERROR(INDEX(Работы!$G$2:$G$6000,MATCH($C121,Работы!$A$2:$A$6000,0)),"")</f>
        <v>0</v>
      </c>
      <c r="G121" t="str">
        <f>IFERROR(INDEX(Работы!$K$2:$K$6000,MATCH($C121,Работы!$A$2:$A$6000,0)),"")</f>
        <v>Замер_демонтажа</v>
      </c>
      <c r="H121" s="9"/>
      <c r="I121" s="9"/>
      <c r="J121" s="8" t="str">
        <f>IFERROR(INDEX(Материалы!$B$2:$B$9000,MATCH($I121,Материалы!$A$2:$A$9000,0)),"")</f>
        <v/>
      </c>
      <c r="K121" t="str">
        <f>IF($I121="","",IF($F121=IFERROR(INDEX(Материалы!$G$2:$G$9000,MATCH($I121,Материалы!$A$2:$A$9000,0)),""),"OK","!! не та группа"))</f>
        <v/>
      </c>
      <c r="L121" s="10">
        <f>IFERROR(INDEX(Работы!$H$2:$H$6000,MATCH($C121,Работы!$A$2:$A$6000,0))*(1-ДисконтТендер),0)</f>
        <v>209</v>
      </c>
      <c r="M121" s="10">
        <f>IF($I121="",0,IFERROR(INDEX(Материалы!$I$2:$I$9000,MATCH($I121,Материалы!$A$2:$A$9000,0))*IF(INDEX(Материалы!$J$2:$J$9000,MATCH($I121,Материалы!$A$2:$A$9000,0))="USD",КурсUSD,IF(INDEX(Материалы!$J$2:$J$9000,MATCH($I121,Материалы!$A$2:$A$9000,0))="EUR",КурсEUR,1))*INDEX(Материалы!$K$2:$K$9000,MATCH($I121,Материалы!$A$2:$A$9000,0))*(1+IFERROR(INDEX(Работы!$I$2:$I$6000,MATCH($C121,Работы!$A$2:$A$6000,0))/100,0))*(1-ДисконтТендер),0))</f>
        <v>0</v>
      </c>
      <c r="N121" s="10">
        <f t="shared" si="3"/>
        <v>0</v>
      </c>
      <c r="O121" s="10">
        <f t="shared" si="4"/>
        <v>0</v>
      </c>
      <c r="P121" s="10">
        <f t="shared" si="5"/>
        <v>0</v>
      </c>
      <c r="Q121" t="str">
        <f>IFERROR(INDEX(Работы!$J$2:$J$6000,MATCH($C121,Работы!$A$2:$A$6000,0)),"")</f>
        <v>типовая</v>
      </c>
      <c r="R121" t="s">
        <v>92</v>
      </c>
      <c r="T121" t="str">
        <f>IF(AND($P121&gt;0,$R121="да"),MAX($T$1:$T120)+1,"")</f>
        <v/>
      </c>
    </row>
    <row r="122" spans="1:20" x14ac:dyDescent="0.3">
      <c r="A122" t="str">
        <f>IFERROR(INDEX(Работы!$D$2:$D$6000,MATCH($C122,Работы!$A$2:$A$6000,0)),"")</f>
        <v>Р2</v>
      </c>
      <c r="B122" t="str">
        <f>IFERROR(INDEX(Работы!$F$2:$F$6000,MATCH($C122,Работы!$A$2:$A$6000,0)),"")</f>
        <v>3</v>
      </c>
      <c r="C122" t="str">
        <f>IFERROR(INDEX(Работы!$A$2:$A$6000,121),"")</f>
        <v>РАБ.Р2.3.001</v>
      </c>
      <c r="D122" s="8" t="str">
        <f>IFERROR(INDEX(Работы!$B$2:$B$6000,MATCH($C122,Работы!$A$2:$A$6000,0)),"")</f>
        <v>Демонтаж кирпичных перегородок (в 1/2 кирпича)</v>
      </c>
      <c r="E122" t="str">
        <f>IFERROR(INDEX(Работы!$C$2:$C$6000,MATCH($C122,Работы!$A$2:$A$6000,0)),"")</f>
        <v>м2</v>
      </c>
      <c r="F122">
        <f>IFERROR(INDEX(Работы!$G$2:$G$6000,MATCH($C122,Работы!$A$2:$A$6000,0)),"")</f>
        <v>0</v>
      </c>
      <c r="G122" t="str">
        <f>IFERROR(INDEX(Работы!$K$2:$K$6000,MATCH($C122,Работы!$A$2:$A$6000,0)),"")</f>
        <v>Замер_демонтажа</v>
      </c>
      <c r="H122" s="9"/>
      <c r="I122" s="9"/>
      <c r="J122" s="8" t="str">
        <f>IFERROR(INDEX(Материалы!$B$2:$B$9000,MATCH($I122,Материалы!$A$2:$A$9000,0)),"")</f>
        <v/>
      </c>
      <c r="K122" t="str">
        <f>IF($I122="","",IF($F122=IFERROR(INDEX(Материалы!$G$2:$G$9000,MATCH($I122,Материалы!$A$2:$A$9000,0)),""),"OK","!! не та группа"))</f>
        <v/>
      </c>
      <c r="L122" s="10">
        <f>IFERROR(INDEX(Работы!$H$2:$H$6000,MATCH($C122,Работы!$A$2:$A$6000,0))*(1-ДисконтТендер),0)</f>
        <v>1021.9</v>
      </c>
      <c r="M122" s="10">
        <f>IF($I122="",0,IFERROR(INDEX(Материалы!$I$2:$I$9000,MATCH($I122,Материалы!$A$2:$A$9000,0))*IF(INDEX(Материалы!$J$2:$J$9000,MATCH($I122,Материалы!$A$2:$A$9000,0))="USD",КурсUSD,IF(INDEX(Материалы!$J$2:$J$9000,MATCH($I122,Материалы!$A$2:$A$9000,0))="EUR",КурсEUR,1))*INDEX(Материалы!$K$2:$K$9000,MATCH($I122,Материалы!$A$2:$A$9000,0))*(1+IFERROR(INDEX(Работы!$I$2:$I$6000,MATCH($C122,Работы!$A$2:$A$6000,0))/100,0))*(1-ДисконтТендер),0))</f>
        <v>0</v>
      </c>
      <c r="N122" s="10">
        <f t="shared" si="3"/>
        <v>0</v>
      </c>
      <c r="O122" s="10">
        <f t="shared" si="4"/>
        <v>0</v>
      </c>
      <c r="P122" s="10">
        <f t="shared" si="5"/>
        <v>0</v>
      </c>
      <c r="Q122" t="str">
        <f>IFERROR(INDEX(Работы!$J$2:$J$6000,MATCH($C122,Работы!$A$2:$A$6000,0)),"")</f>
        <v>типовая</v>
      </c>
      <c r="R122" t="s">
        <v>92</v>
      </c>
      <c r="T122" t="str">
        <f>IF(AND($P122&gt;0,$R122="да"),MAX($T$1:$T121)+1,"")</f>
        <v/>
      </c>
    </row>
    <row r="123" spans="1:20" ht="28.8" x14ac:dyDescent="0.3">
      <c r="A123" t="str">
        <f>IFERROR(INDEX(Работы!$D$2:$D$6000,MATCH($C123,Работы!$A$2:$A$6000,0)),"")</f>
        <v>Р2</v>
      </c>
      <c r="B123" t="str">
        <f>IFERROR(INDEX(Работы!$F$2:$F$6000,MATCH($C123,Работы!$A$2:$A$6000,0)),"")</f>
        <v>3</v>
      </c>
      <c r="C123" t="str">
        <f>IFERROR(INDEX(Работы!$A$2:$A$6000,122),"")</f>
        <v>РАБ.Р2.3.002</v>
      </c>
      <c r="D123" s="8" t="str">
        <f>IFERROR(INDEX(Работы!$B$2:$B$6000,MATCH($C123,Работы!$A$2:$A$6000,0)),"")</f>
        <v>Демонтаж кирпичных перегородок (в 1/2 кирпича) с армированием ( d16 яч. 150Х150)</v>
      </c>
      <c r="E123" t="str">
        <f>IFERROR(INDEX(Работы!$C$2:$C$6000,MATCH($C123,Работы!$A$2:$A$6000,0)),"")</f>
        <v>м2</v>
      </c>
      <c r="F123">
        <f>IFERROR(INDEX(Работы!$G$2:$G$6000,MATCH($C123,Работы!$A$2:$A$6000,0)),"")</f>
        <v>0</v>
      </c>
      <c r="G123" t="str">
        <f>IFERROR(INDEX(Работы!$K$2:$K$6000,MATCH($C123,Работы!$A$2:$A$6000,0)),"")</f>
        <v>Замер_демонтажа</v>
      </c>
      <c r="H123" s="9"/>
      <c r="I123" s="9"/>
      <c r="J123" s="8" t="str">
        <f>IFERROR(INDEX(Материалы!$B$2:$B$9000,MATCH($I123,Материалы!$A$2:$A$9000,0)),"")</f>
        <v/>
      </c>
      <c r="K123" t="str">
        <f>IF($I123="","",IF($F123=IFERROR(INDEX(Материалы!$G$2:$G$9000,MATCH($I123,Материалы!$A$2:$A$9000,0)),""),"OK","!! не та группа"))</f>
        <v/>
      </c>
      <c r="L123" s="10">
        <f>IFERROR(INDEX(Работы!$H$2:$H$6000,MATCH($C123,Работы!$A$2:$A$6000,0))*(1-ДисконтТендер),0)</f>
        <v>1287</v>
      </c>
      <c r="M123" s="10">
        <f>IF($I123="",0,IFERROR(INDEX(Материалы!$I$2:$I$9000,MATCH($I123,Материалы!$A$2:$A$9000,0))*IF(INDEX(Материалы!$J$2:$J$9000,MATCH($I123,Материалы!$A$2:$A$9000,0))="USD",КурсUSD,IF(INDEX(Материалы!$J$2:$J$9000,MATCH($I123,Материалы!$A$2:$A$9000,0))="EUR",КурсEUR,1))*INDEX(Материалы!$K$2:$K$9000,MATCH($I123,Материалы!$A$2:$A$9000,0))*(1+IFERROR(INDEX(Работы!$I$2:$I$6000,MATCH($C123,Работы!$A$2:$A$6000,0))/100,0))*(1-ДисконтТендер),0))</f>
        <v>0</v>
      </c>
      <c r="N123" s="10">
        <f t="shared" si="3"/>
        <v>0</v>
      </c>
      <c r="O123" s="10">
        <f t="shared" si="4"/>
        <v>0</v>
      </c>
      <c r="P123" s="10">
        <f t="shared" si="5"/>
        <v>0</v>
      </c>
      <c r="Q123" t="str">
        <f>IFERROR(INDEX(Работы!$J$2:$J$6000,MATCH($C123,Работы!$A$2:$A$6000,0)),"")</f>
        <v>типовая</v>
      </c>
      <c r="R123" t="s">
        <v>92</v>
      </c>
      <c r="T123" t="str">
        <f>IF(AND($P123&gt;0,$R123="да"),MAX($T$1:$T122)+1,"")</f>
        <v/>
      </c>
    </row>
    <row r="124" spans="1:20" x14ac:dyDescent="0.3">
      <c r="A124" t="str">
        <f>IFERROR(INDEX(Работы!$D$2:$D$6000,MATCH($C124,Работы!$A$2:$A$6000,0)),"")</f>
        <v>Р2</v>
      </c>
      <c r="B124" t="str">
        <f>IFERROR(INDEX(Работы!$F$2:$F$6000,MATCH($C124,Работы!$A$2:$A$6000,0)),"")</f>
        <v>3</v>
      </c>
      <c r="C124" t="str">
        <f>IFERROR(INDEX(Работы!$A$2:$A$6000,123),"")</f>
        <v>РАБ.Р2.3.003</v>
      </c>
      <c r="D124" s="8" t="str">
        <f>IFERROR(INDEX(Работы!$B$2:$B$6000,MATCH($C124,Работы!$A$2:$A$6000,0)),"")</f>
        <v>Демонтаж кирпичных стен</v>
      </c>
      <c r="E124" t="str">
        <f>IFERROR(INDEX(Работы!$C$2:$C$6000,MATCH($C124,Работы!$A$2:$A$6000,0)),"")</f>
        <v>м3</v>
      </c>
      <c r="F124">
        <f>IFERROR(INDEX(Работы!$G$2:$G$6000,MATCH($C124,Работы!$A$2:$A$6000,0)),"")</f>
        <v>0</v>
      </c>
      <c r="G124" t="str">
        <f>IFERROR(INDEX(Работы!$K$2:$K$6000,MATCH($C124,Работы!$A$2:$A$6000,0)),"")</f>
        <v>Замер_демонтажа</v>
      </c>
      <c r="H124" s="9"/>
      <c r="I124" s="9"/>
      <c r="J124" s="8" t="str">
        <f>IFERROR(INDEX(Материалы!$B$2:$B$9000,MATCH($I124,Материалы!$A$2:$A$9000,0)),"")</f>
        <v/>
      </c>
      <c r="K124" t="str">
        <f>IF($I124="","",IF($F124=IFERROR(INDEX(Материалы!$G$2:$G$9000,MATCH($I124,Материалы!$A$2:$A$9000,0)),""),"OK","!! не та группа"))</f>
        <v/>
      </c>
      <c r="L124" s="10">
        <f>IFERROR(INDEX(Работы!$H$2:$H$6000,MATCH($C124,Работы!$A$2:$A$6000,0))*(1-ДисконтТендер),0)</f>
        <v>8175.22</v>
      </c>
      <c r="M124" s="10">
        <f>IF($I124="",0,IFERROR(INDEX(Материалы!$I$2:$I$9000,MATCH($I124,Материалы!$A$2:$A$9000,0))*IF(INDEX(Материалы!$J$2:$J$9000,MATCH($I124,Материалы!$A$2:$A$9000,0))="USD",КурсUSD,IF(INDEX(Материалы!$J$2:$J$9000,MATCH($I124,Материалы!$A$2:$A$9000,0))="EUR",КурсEUR,1))*INDEX(Материалы!$K$2:$K$9000,MATCH($I124,Материалы!$A$2:$A$9000,0))*(1+IFERROR(INDEX(Работы!$I$2:$I$6000,MATCH($C124,Работы!$A$2:$A$6000,0))/100,0))*(1-ДисконтТендер),0))</f>
        <v>0</v>
      </c>
      <c r="N124" s="10">
        <f t="shared" si="3"/>
        <v>0</v>
      </c>
      <c r="O124" s="10">
        <f t="shared" si="4"/>
        <v>0</v>
      </c>
      <c r="P124" s="10">
        <f t="shared" si="5"/>
        <v>0</v>
      </c>
      <c r="Q124" t="str">
        <f>IFERROR(INDEX(Работы!$J$2:$J$6000,MATCH($C124,Работы!$A$2:$A$6000,0)),"")</f>
        <v>типовая</v>
      </c>
      <c r="R124" t="s">
        <v>92</v>
      </c>
      <c r="T124" t="str">
        <f>IF(AND($P124&gt;0,$R124="да"),MAX($T$1:$T123)+1,"")</f>
        <v/>
      </c>
    </row>
    <row r="125" spans="1:20" x14ac:dyDescent="0.3">
      <c r="A125" t="str">
        <f>IFERROR(INDEX(Работы!$D$2:$D$6000,MATCH($C125,Работы!$A$2:$A$6000,0)),"")</f>
        <v>Р2</v>
      </c>
      <c r="B125" t="str">
        <f>IFERROR(INDEX(Работы!$F$2:$F$6000,MATCH($C125,Работы!$A$2:$A$6000,0)),"")</f>
        <v>3</v>
      </c>
      <c r="C125" t="str">
        <f>IFERROR(INDEX(Работы!$A$2:$A$6000,124),"")</f>
        <v>РАБ.Р2.3.004</v>
      </c>
      <c r="D125" s="8" t="str">
        <f>IFERROR(INDEX(Работы!$B$2:$B$6000,MATCH($C125,Работы!$A$2:$A$6000,0)),"")</f>
        <v>Демонтаж стен из пенобетонных блоков</v>
      </c>
      <c r="E125" t="str">
        <f>IFERROR(INDEX(Работы!$C$2:$C$6000,MATCH($C125,Работы!$A$2:$A$6000,0)),"")</f>
        <v>м3</v>
      </c>
      <c r="F125">
        <f>IFERROR(INDEX(Работы!$G$2:$G$6000,MATCH($C125,Работы!$A$2:$A$6000,0)),"")</f>
        <v>0</v>
      </c>
      <c r="G125" t="str">
        <f>IFERROR(INDEX(Работы!$K$2:$K$6000,MATCH($C125,Работы!$A$2:$A$6000,0)),"")</f>
        <v>Замер_демонтажа</v>
      </c>
      <c r="H125" s="9"/>
      <c r="I125" s="9"/>
      <c r="J125" s="8" t="str">
        <f>IFERROR(INDEX(Материалы!$B$2:$B$9000,MATCH($I125,Материалы!$A$2:$A$9000,0)),"")</f>
        <v/>
      </c>
      <c r="K125" t="str">
        <f>IF($I125="","",IF($F125=IFERROR(INDEX(Материалы!$G$2:$G$9000,MATCH($I125,Материалы!$A$2:$A$9000,0)),""),"OK","!! не та группа"))</f>
        <v/>
      </c>
      <c r="L125" s="10">
        <f>IFERROR(INDEX(Работы!$H$2:$H$6000,MATCH($C125,Работы!$A$2:$A$6000,0))*(1-ДисконтТендер),0)</f>
        <v>8992.74</v>
      </c>
      <c r="M125" s="10">
        <f>IF($I125="",0,IFERROR(INDEX(Материалы!$I$2:$I$9000,MATCH($I125,Материалы!$A$2:$A$9000,0))*IF(INDEX(Материалы!$J$2:$J$9000,MATCH($I125,Материалы!$A$2:$A$9000,0))="USD",КурсUSD,IF(INDEX(Материалы!$J$2:$J$9000,MATCH($I125,Материалы!$A$2:$A$9000,0))="EUR",КурсEUR,1))*INDEX(Материалы!$K$2:$K$9000,MATCH($I125,Материалы!$A$2:$A$9000,0))*(1+IFERROR(INDEX(Работы!$I$2:$I$6000,MATCH($C125,Работы!$A$2:$A$6000,0))/100,0))*(1-ДисконтТендер),0))</f>
        <v>0</v>
      </c>
      <c r="N125" s="10">
        <f t="shared" si="3"/>
        <v>0</v>
      </c>
      <c r="O125" s="10">
        <f t="shared" si="4"/>
        <v>0</v>
      </c>
      <c r="P125" s="10">
        <f t="shared" si="5"/>
        <v>0</v>
      </c>
      <c r="Q125" t="str">
        <f>IFERROR(INDEX(Работы!$J$2:$J$6000,MATCH($C125,Работы!$A$2:$A$6000,0)),"")</f>
        <v>типовая</v>
      </c>
      <c r="R125" t="s">
        <v>92</v>
      </c>
      <c r="T125" t="str">
        <f>IF(AND($P125&gt;0,$R125="да"),MAX($T$1:$T124)+1,"")</f>
        <v/>
      </c>
    </row>
    <row r="126" spans="1:20" ht="28.8" x14ac:dyDescent="0.3">
      <c r="A126" t="str">
        <f>IFERROR(INDEX(Работы!$D$2:$D$6000,MATCH($C126,Работы!$A$2:$A$6000,0)),"")</f>
        <v>Р2</v>
      </c>
      <c r="B126" t="str">
        <f>IFERROR(INDEX(Работы!$F$2:$F$6000,MATCH($C126,Работы!$A$2:$A$6000,0)),"")</f>
        <v>3</v>
      </c>
      <c r="C126" t="str">
        <f>IFERROR(INDEX(Работы!$A$2:$A$6000,125),"")</f>
        <v>РАБ.Р2.3.005</v>
      </c>
      <c r="D126" s="8" t="str">
        <f>IFERROR(INDEX(Работы!$B$2:$B$6000,MATCH($C126,Работы!$A$2:$A$6000,0)),"")</f>
        <v>Демонтаж утеплителя стен из минераловатных плит</v>
      </c>
      <c r="E126" t="str">
        <f>IFERROR(INDEX(Работы!$C$2:$C$6000,MATCH($C126,Работы!$A$2:$A$6000,0)),"")</f>
        <v>м2</v>
      </c>
      <c r="F126">
        <f>IFERROR(INDEX(Работы!$G$2:$G$6000,MATCH($C126,Работы!$A$2:$A$6000,0)),"")</f>
        <v>0</v>
      </c>
      <c r="G126" t="str">
        <f>IFERROR(INDEX(Работы!$K$2:$K$6000,MATCH($C126,Работы!$A$2:$A$6000,0)),"")</f>
        <v>Замер_демонтажа</v>
      </c>
      <c r="H126" s="9"/>
      <c r="I126" s="9"/>
      <c r="J126" s="8" t="str">
        <f>IFERROR(INDEX(Материалы!$B$2:$B$9000,MATCH($I126,Материалы!$A$2:$A$9000,0)),"")</f>
        <v/>
      </c>
      <c r="K126" t="str">
        <f>IF($I126="","",IF($F126=IFERROR(INDEX(Материалы!$G$2:$G$9000,MATCH($I126,Материалы!$A$2:$A$9000,0)),""),"OK","!! не та группа"))</f>
        <v/>
      </c>
      <c r="L126" s="10">
        <f>IFERROR(INDEX(Работы!$H$2:$H$6000,MATCH($C126,Работы!$A$2:$A$6000,0))*(1-ДисконтТендер),0)</f>
        <v>144.58000000000001</v>
      </c>
      <c r="M126" s="10">
        <f>IF($I126="",0,IFERROR(INDEX(Материалы!$I$2:$I$9000,MATCH($I126,Материалы!$A$2:$A$9000,0))*IF(INDEX(Материалы!$J$2:$J$9000,MATCH($I126,Материалы!$A$2:$A$9000,0))="USD",КурсUSD,IF(INDEX(Материалы!$J$2:$J$9000,MATCH($I126,Материалы!$A$2:$A$9000,0))="EUR",КурсEUR,1))*INDEX(Материалы!$K$2:$K$9000,MATCH($I126,Материалы!$A$2:$A$9000,0))*(1+IFERROR(INDEX(Работы!$I$2:$I$6000,MATCH($C126,Работы!$A$2:$A$6000,0))/100,0))*(1-ДисконтТендер),0))</f>
        <v>0</v>
      </c>
      <c r="N126" s="10">
        <f t="shared" si="3"/>
        <v>0</v>
      </c>
      <c r="O126" s="10">
        <f t="shared" si="4"/>
        <v>0</v>
      </c>
      <c r="P126" s="10">
        <f t="shared" si="5"/>
        <v>0</v>
      </c>
      <c r="Q126" t="str">
        <f>IFERROR(INDEX(Работы!$J$2:$J$6000,MATCH($C126,Работы!$A$2:$A$6000,0)),"")</f>
        <v>типовая</v>
      </c>
      <c r="R126" t="s">
        <v>92</v>
      </c>
      <c r="T126" t="str">
        <f>IF(AND($P126&gt;0,$R126="да"),MAX($T$1:$T125)+1,"")</f>
        <v/>
      </c>
    </row>
    <row r="127" spans="1:20" x14ac:dyDescent="0.3">
      <c r="A127" t="str">
        <f>IFERROR(INDEX(Работы!$D$2:$D$6000,MATCH($C127,Работы!$A$2:$A$6000,0)),"")</f>
        <v>Р2</v>
      </c>
      <c r="B127" t="str">
        <f>IFERROR(INDEX(Работы!$F$2:$F$6000,MATCH($C127,Работы!$A$2:$A$6000,0)),"")</f>
        <v>3</v>
      </c>
      <c r="C127" t="str">
        <f>IFERROR(INDEX(Работы!$A$2:$A$6000,126),"")</f>
        <v>РАБ.Р2.3.006</v>
      </c>
      <c r="D127" s="8" t="str">
        <f>IFERROR(INDEX(Работы!$B$2:$B$6000,MATCH($C127,Работы!$A$2:$A$6000,0)),"")</f>
        <v>Демонтаж утеплителя стен из пенополистирола</v>
      </c>
      <c r="E127" t="str">
        <f>IFERROR(INDEX(Работы!$C$2:$C$6000,MATCH($C127,Работы!$A$2:$A$6000,0)),"")</f>
        <v>м3</v>
      </c>
      <c r="F127">
        <f>IFERROR(INDEX(Работы!$G$2:$G$6000,MATCH($C127,Работы!$A$2:$A$6000,0)),"")</f>
        <v>0</v>
      </c>
      <c r="G127" t="str">
        <f>IFERROR(INDEX(Работы!$K$2:$K$6000,MATCH($C127,Работы!$A$2:$A$6000,0)),"")</f>
        <v>Замер_демонтажа</v>
      </c>
      <c r="H127" s="9"/>
      <c r="I127" s="9"/>
      <c r="J127" s="8" t="str">
        <f>IFERROR(INDEX(Материалы!$B$2:$B$9000,MATCH($I127,Материалы!$A$2:$A$9000,0)),"")</f>
        <v/>
      </c>
      <c r="K127" t="str">
        <f>IF($I127="","",IF($F127=IFERROR(INDEX(Материалы!$G$2:$G$9000,MATCH($I127,Материалы!$A$2:$A$9000,0)),""),"OK","!! не та группа"))</f>
        <v/>
      </c>
      <c r="L127" s="10">
        <f>IFERROR(INDEX(Работы!$H$2:$H$6000,MATCH($C127,Работы!$A$2:$A$6000,0))*(1-ДисконтТендер),0)</f>
        <v>156.6</v>
      </c>
      <c r="M127" s="10">
        <f>IF($I127="",0,IFERROR(INDEX(Материалы!$I$2:$I$9000,MATCH($I127,Материалы!$A$2:$A$9000,0))*IF(INDEX(Материалы!$J$2:$J$9000,MATCH($I127,Материалы!$A$2:$A$9000,0))="USD",КурсUSD,IF(INDEX(Материалы!$J$2:$J$9000,MATCH($I127,Материалы!$A$2:$A$9000,0))="EUR",КурсEUR,1))*INDEX(Материалы!$K$2:$K$9000,MATCH($I127,Материалы!$A$2:$A$9000,0))*(1+IFERROR(INDEX(Работы!$I$2:$I$6000,MATCH($C127,Работы!$A$2:$A$6000,0))/100,0))*(1-ДисконтТендер),0))</f>
        <v>0</v>
      </c>
      <c r="N127" s="10">
        <f t="shared" si="3"/>
        <v>0</v>
      </c>
      <c r="O127" s="10">
        <f t="shared" si="4"/>
        <v>0</v>
      </c>
      <c r="P127" s="10">
        <f t="shared" si="5"/>
        <v>0</v>
      </c>
      <c r="Q127" t="str">
        <f>IFERROR(INDEX(Работы!$J$2:$J$6000,MATCH($C127,Работы!$A$2:$A$6000,0)),"")</f>
        <v>типовая</v>
      </c>
      <c r="R127" t="s">
        <v>92</v>
      </c>
      <c r="T127" t="str">
        <f>IF(AND($P127&gt;0,$R127="да"),MAX($T$1:$T126)+1,"")</f>
        <v/>
      </c>
    </row>
    <row r="128" spans="1:20" ht="28.8" x14ac:dyDescent="0.3">
      <c r="A128" t="str">
        <f>IFERROR(INDEX(Работы!$D$2:$D$6000,MATCH($C128,Работы!$A$2:$A$6000,0)),"")</f>
        <v>Р2</v>
      </c>
      <c r="B128" t="str">
        <f>IFERROR(INDEX(Работы!$F$2:$F$6000,MATCH($C128,Работы!$A$2:$A$6000,0)),"")</f>
        <v>3</v>
      </c>
      <c r="C128" t="str">
        <f>IFERROR(INDEX(Работы!$A$2:$A$6000,127),"")</f>
        <v>РАБ.Р2.3.007</v>
      </c>
      <c r="D128" s="8" t="str">
        <f>IFERROR(INDEX(Работы!$B$2:$B$6000,MATCH($C128,Работы!$A$2:$A$6000,0)),"")</f>
        <v>Демонтаж облицовки стен листами ГКЛ по металлическому каркасу</v>
      </c>
      <c r="E128" t="str">
        <f>IFERROR(INDEX(Работы!$C$2:$C$6000,MATCH($C128,Работы!$A$2:$A$6000,0)),"")</f>
        <v>м2</v>
      </c>
      <c r="F128">
        <f>IFERROR(INDEX(Работы!$G$2:$G$6000,MATCH($C128,Работы!$A$2:$A$6000,0)),"")</f>
        <v>0</v>
      </c>
      <c r="G128" t="str">
        <f>IFERROR(INDEX(Работы!$K$2:$K$6000,MATCH($C128,Работы!$A$2:$A$6000,0)),"")</f>
        <v>Замер_демонтажа</v>
      </c>
      <c r="H128" s="9"/>
      <c r="I128" s="9"/>
      <c r="J128" s="8" t="str">
        <f>IFERROR(INDEX(Материалы!$B$2:$B$9000,MATCH($I128,Материалы!$A$2:$A$9000,0)),"")</f>
        <v/>
      </c>
      <c r="K128" t="str">
        <f>IF($I128="","",IF($F128=IFERROR(INDEX(Материалы!$G$2:$G$9000,MATCH($I128,Материалы!$A$2:$A$9000,0)),""),"OK","!! не та группа"))</f>
        <v/>
      </c>
      <c r="L128" s="10">
        <f>IFERROR(INDEX(Работы!$H$2:$H$6000,MATCH($C128,Работы!$A$2:$A$6000,0))*(1-ДисконтТендер),0)</f>
        <v>341.73</v>
      </c>
      <c r="M128" s="10">
        <f>IF($I128="",0,IFERROR(INDEX(Материалы!$I$2:$I$9000,MATCH($I128,Материалы!$A$2:$A$9000,0))*IF(INDEX(Материалы!$J$2:$J$9000,MATCH($I128,Материалы!$A$2:$A$9000,0))="USD",КурсUSD,IF(INDEX(Материалы!$J$2:$J$9000,MATCH($I128,Материалы!$A$2:$A$9000,0))="EUR",КурсEUR,1))*INDEX(Материалы!$K$2:$K$9000,MATCH($I128,Материалы!$A$2:$A$9000,0))*(1+IFERROR(INDEX(Работы!$I$2:$I$6000,MATCH($C128,Работы!$A$2:$A$6000,0))/100,0))*(1-ДисконтТендер),0))</f>
        <v>0</v>
      </c>
      <c r="N128" s="10">
        <f t="shared" si="3"/>
        <v>0</v>
      </c>
      <c r="O128" s="10">
        <f t="shared" si="4"/>
        <v>0</v>
      </c>
      <c r="P128" s="10">
        <f t="shared" si="5"/>
        <v>0</v>
      </c>
      <c r="Q128" t="str">
        <f>IFERROR(INDEX(Работы!$J$2:$J$6000,MATCH($C128,Работы!$A$2:$A$6000,0)),"")</f>
        <v>типовая</v>
      </c>
      <c r="R128" t="s">
        <v>92</v>
      </c>
      <c r="T128" t="str">
        <f>IF(AND($P128&gt;0,$R128="да"),MAX($T$1:$T127)+1,"")</f>
        <v/>
      </c>
    </row>
    <row r="129" spans="1:20" x14ac:dyDescent="0.3">
      <c r="A129" t="str">
        <f>IFERROR(INDEX(Работы!$D$2:$D$6000,MATCH($C129,Работы!$A$2:$A$6000,0)),"")</f>
        <v>Р2</v>
      </c>
      <c r="B129" t="str">
        <f>IFERROR(INDEX(Работы!$F$2:$F$6000,MATCH($C129,Работы!$A$2:$A$6000,0)),"")</f>
        <v>3</v>
      </c>
      <c r="C129" t="str">
        <f>IFERROR(INDEX(Работы!$A$2:$A$6000,128),"")</f>
        <v>РАБ.Р2.3.008</v>
      </c>
      <c r="D129" s="8" t="str">
        <f>IFERROR(INDEX(Работы!$B$2:$B$6000,MATCH($C129,Работы!$A$2:$A$6000,0)),"")</f>
        <v>Демонтаж облицовки стен из МДФ панелей</v>
      </c>
      <c r="E129" t="str">
        <f>IFERROR(INDEX(Работы!$C$2:$C$6000,MATCH($C129,Работы!$A$2:$A$6000,0)),"")</f>
        <v>м2</v>
      </c>
      <c r="F129">
        <f>IFERROR(INDEX(Работы!$G$2:$G$6000,MATCH($C129,Работы!$A$2:$A$6000,0)),"")</f>
        <v>0</v>
      </c>
      <c r="G129" t="str">
        <f>IFERROR(INDEX(Работы!$K$2:$K$6000,MATCH($C129,Работы!$A$2:$A$6000,0)),"")</f>
        <v>Замер_демонтажа</v>
      </c>
      <c r="H129" s="9"/>
      <c r="I129" s="9"/>
      <c r="J129" s="8" t="str">
        <f>IFERROR(INDEX(Материалы!$B$2:$B$9000,MATCH($I129,Материалы!$A$2:$A$9000,0)),"")</f>
        <v/>
      </c>
      <c r="K129" t="str">
        <f>IF($I129="","",IF($F129=IFERROR(INDEX(Материалы!$G$2:$G$9000,MATCH($I129,Материалы!$A$2:$A$9000,0)),""),"OK","!! не та группа"))</f>
        <v/>
      </c>
      <c r="L129" s="10">
        <f>IFERROR(INDEX(Работы!$H$2:$H$6000,MATCH($C129,Работы!$A$2:$A$6000,0))*(1-ДисконтТендер),0)</f>
        <v>281.88</v>
      </c>
      <c r="M129" s="10">
        <f>IF($I129="",0,IFERROR(INDEX(Материалы!$I$2:$I$9000,MATCH($I129,Материалы!$A$2:$A$9000,0))*IF(INDEX(Материалы!$J$2:$J$9000,MATCH($I129,Материалы!$A$2:$A$9000,0))="USD",КурсUSD,IF(INDEX(Материалы!$J$2:$J$9000,MATCH($I129,Материалы!$A$2:$A$9000,0))="EUR",КурсEUR,1))*INDEX(Материалы!$K$2:$K$9000,MATCH($I129,Материалы!$A$2:$A$9000,0))*(1+IFERROR(INDEX(Работы!$I$2:$I$6000,MATCH($C129,Работы!$A$2:$A$6000,0))/100,0))*(1-ДисконтТендер),0))</f>
        <v>0</v>
      </c>
      <c r="N129" s="10">
        <f t="shared" si="3"/>
        <v>0</v>
      </c>
      <c r="O129" s="10">
        <f t="shared" si="4"/>
        <v>0</v>
      </c>
      <c r="P129" s="10">
        <f t="shared" si="5"/>
        <v>0</v>
      </c>
      <c r="Q129" t="str">
        <f>IFERROR(INDEX(Работы!$J$2:$J$6000,MATCH($C129,Работы!$A$2:$A$6000,0)),"")</f>
        <v>типовая</v>
      </c>
      <c r="R129" t="s">
        <v>92</v>
      </c>
      <c r="T129" t="str">
        <f>IF(AND($P129&gt;0,$R129="да"),MAX($T$1:$T128)+1,"")</f>
        <v/>
      </c>
    </row>
    <row r="130" spans="1:20" ht="28.8" x14ac:dyDescent="0.3">
      <c r="A130" t="str">
        <f>IFERROR(INDEX(Работы!$D$2:$D$6000,MATCH($C130,Работы!$A$2:$A$6000,0)),"")</f>
        <v>Р2</v>
      </c>
      <c r="B130" t="str">
        <f>IFERROR(INDEX(Работы!$F$2:$F$6000,MATCH($C130,Работы!$A$2:$A$6000,0)),"")</f>
        <v>3</v>
      </c>
      <c r="C130" t="str">
        <f>IFERROR(INDEX(Работы!$A$2:$A$6000,129),"")</f>
        <v>РАБ.Р2.3.009</v>
      </c>
      <c r="D130" s="8" t="str">
        <f>IFERROR(INDEX(Работы!$B$2:$B$6000,MATCH($C130,Работы!$A$2:$A$6000,0)),"")</f>
        <v>Демонтаж каркасных деревянных перегородок с облицовкой панелями МДФ</v>
      </c>
      <c r="E130" t="str">
        <f>IFERROR(INDEX(Работы!$C$2:$C$6000,MATCH($C130,Работы!$A$2:$A$6000,0)),"")</f>
        <v>м2</v>
      </c>
      <c r="F130">
        <f>IFERROR(INDEX(Работы!$G$2:$G$6000,MATCH($C130,Работы!$A$2:$A$6000,0)),"")</f>
        <v>0</v>
      </c>
      <c r="G130" t="str">
        <f>IFERROR(INDEX(Работы!$K$2:$K$6000,MATCH($C130,Работы!$A$2:$A$6000,0)),"")</f>
        <v>Замер_демонтажа</v>
      </c>
      <c r="H130" s="9"/>
      <c r="I130" s="9"/>
      <c r="J130" s="8" t="str">
        <f>IFERROR(INDEX(Материалы!$B$2:$B$9000,MATCH($I130,Материалы!$A$2:$A$9000,0)),"")</f>
        <v/>
      </c>
      <c r="K130" t="str">
        <f>IF($I130="","",IF($F130=IFERROR(INDEX(Материалы!$G$2:$G$9000,MATCH($I130,Материалы!$A$2:$A$9000,0)),""),"OK","!! не та группа"))</f>
        <v/>
      </c>
      <c r="L130" s="10">
        <f>IFERROR(INDEX(Работы!$H$2:$H$6000,MATCH($C130,Работы!$A$2:$A$6000,0))*(1-ДисконтТендер),0)</f>
        <v>433.73</v>
      </c>
      <c r="M130" s="10">
        <f>IF($I130="",0,IFERROR(INDEX(Материалы!$I$2:$I$9000,MATCH($I130,Материалы!$A$2:$A$9000,0))*IF(INDEX(Материалы!$J$2:$J$9000,MATCH($I130,Материалы!$A$2:$A$9000,0))="USD",КурсUSD,IF(INDEX(Материалы!$J$2:$J$9000,MATCH($I130,Материалы!$A$2:$A$9000,0))="EUR",КурсEUR,1))*INDEX(Материалы!$K$2:$K$9000,MATCH($I130,Материалы!$A$2:$A$9000,0))*(1+IFERROR(INDEX(Работы!$I$2:$I$6000,MATCH($C130,Работы!$A$2:$A$6000,0))/100,0))*(1-ДисконтТендер),0))</f>
        <v>0</v>
      </c>
      <c r="N130" s="10">
        <f t="shared" ref="N130:N193" si="6">IF(AND($R130="да",$H130&lt;&gt;""),ROUND($H130*$L130,2),0)</f>
        <v>0</v>
      </c>
      <c r="O130" s="10">
        <f t="shared" ref="O130:O193" si="7">IF(AND($R130="да",$H130&lt;&gt;""),ROUND($H130*$M130,2),0)</f>
        <v>0</v>
      </c>
      <c r="P130" s="10">
        <f t="shared" ref="P130:P193" si="8">$N130+$O130</f>
        <v>0</v>
      </c>
      <c r="Q130" t="str">
        <f>IFERROR(INDEX(Работы!$J$2:$J$6000,MATCH($C130,Работы!$A$2:$A$6000,0)),"")</f>
        <v>типовая</v>
      </c>
      <c r="R130" t="s">
        <v>92</v>
      </c>
      <c r="T130" t="str">
        <f>IF(AND($P130&gt;0,$R130="да"),MAX($T$1:$T129)+1,"")</f>
        <v/>
      </c>
    </row>
    <row r="131" spans="1:20" ht="28.8" x14ac:dyDescent="0.3">
      <c r="A131" t="str">
        <f>IFERROR(INDEX(Работы!$D$2:$D$6000,MATCH($C131,Работы!$A$2:$A$6000,0)),"")</f>
        <v>Р2</v>
      </c>
      <c r="B131" t="str">
        <f>IFERROR(INDEX(Работы!$F$2:$F$6000,MATCH($C131,Работы!$A$2:$A$6000,0)),"")</f>
        <v>3</v>
      </c>
      <c r="C131" t="str">
        <f>IFERROR(INDEX(Работы!$A$2:$A$6000,130),"")</f>
        <v>РАБ.Р2.3.010</v>
      </c>
      <c r="D131" s="8" t="str">
        <f>IFERROR(INDEX(Работы!$B$2:$B$6000,MATCH($C131,Работы!$A$2:$A$6000,0)),"")</f>
        <v>Демонтаж перегородок по металлическому каркасу с облицовкой панелями МДФ</v>
      </c>
      <c r="E131" t="str">
        <f>IFERROR(INDEX(Работы!$C$2:$C$6000,MATCH($C131,Работы!$A$2:$A$6000,0)),"")</f>
        <v>м2</v>
      </c>
      <c r="F131">
        <f>IFERROR(INDEX(Работы!$G$2:$G$6000,MATCH($C131,Работы!$A$2:$A$6000,0)),"")</f>
        <v>0</v>
      </c>
      <c r="G131" t="str">
        <f>IFERROR(INDEX(Работы!$K$2:$K$6000,MATCH($C131,Работы!$A$2:$A$6000,0)),"")</f>
        <v>Замер_демонтажа</v>
      </c>
      <c r="H131" s="9"/>
      <c r="I131" s="9"/>
      <c r="J131" s="8" t="str">
        <f>IFERROR(INDEX(Материалы!$B$2:$B$9000,MATCH($I131,Материалы!$A$2:$A$9000,0)),"")</f>
        <v/>
      </c>
      <c r="K131" t="str">
        <f>IF($I131="","",IF($F131=IFERROR(INDEX(Материалы!$G$2:$G$9000,MATCH($I131,Материалы!$A$2:$A$9000,0)),""),"OK","!! не та группа"))</f>
        <v/>
      </c>
      <c r="L131" s="10">
        <f>IFERROR(INDEX(Работы!$H$2:$H$6000,MATCH($C131,Работы!$A$2:$A$6000,0))*(1-ДисконтТендер),0)</f>
        <v>453.45</v>
      </c>
      <c r="M131" s="10">
        <f>IF($I131="",0,IFERROR(INDEX(Материалы!$I$2:$I$9000,MATCH($I131,Материалы!$A$2:$A$9000,0))*IF(INDEX(Материалы!$J$2:$J$9000,MATCH($I131,Материалы!$A$2:$A$9000,0))="USD",КурсUSD,IF(INDEX(Материалы!$J$2:$J$9000,MATCH($I131,Материалы!$A$2:$A$9000,0))="EUR",КурсEUR,1))*INDEX(Материалы!$K$2:$K$9000,MATCH($I131,Материалы!$A$2:$A$9000,0))*(1+IFERROR(INDEX(Работы!$I$2:$I$6000,MATCH($C131,Работы!$A$2:$A$6000,0))/100,0))*(1-ДисконтТендер),0))</f>
        <v>0</v>
      </c>
      <c r="N131" s="10">
        <f t="shared" si="6"/>
        <v>0</v>
      </c>
      <c r="O131" s="10">
        <f t="shared" si="7"/>
        <v>0</v>
      </c>
      <c r="P131" s="10">
        <f t="shared" si="8"/>
        <v>0</v>
      </c>
      <c r="Q131" t="str">
        <f>IFERROR(INDEX(Работы!$J$2:$J$6000,MATCH($C131,Работы!$A$2:$A$6000,0)),"")</f>
        <v>типовая</v>
      </c>
      <c r="R131" t="s">
        <v>92</v>
      </c>
      <c r="T131" t="str">
        <f>IF(AND($P131&gt;0,$R131="да"),MAX($T$1:$T130)+1,"")</f>
        <v/>
      </c>
    </row>
    <row r="132" spans="1:20" x14ac:dyDescent="0.3">
      <c r="A132" t="str">
        <f>IFERROR(INDEX(Работы!$D$2:$D$6000,MATCH($C132,Работы!$A$2:$A$6000,0)),"")</f>
        <v>Р2</v>
      </c>
      <c r="B132" t="str">
        <f>IFERROR(INDEX(Работы!$F$2:$F$6000,MATCH($C132,Работы!$A$2:$A$6000,0)),"")</f>
        <v>3</v>
      </c>
      <c r="C132" t="str">
        <f>IFERROR(INDEX(Работы!$A$2:$A$6000,131),"")</f>
        <v>РАБ.Р2.3.011</v>
      </c>
      <c r="D132" s="8" t="str">
        <f>IFERROR(INDEX(Работы!$B$2:$B$6000,MATCH($C132,Работы!$A$2:$A$6000,0)),"")</f>
        <v>Отбивка штукатурки стен толщиной до 30 мм</v>
      </c>
      <c r="E132" t="str">
        <f>IFERROR(INDEX(Работы!$C$2:$C$6000,MATCH($C132,Работы!$A$2:$A$6000,0)),"")</f>
        <v>м2</v>
      </c>
      <c r="F132">
        <f>IFERROR(INDEX(Работы!$G$2:$G$6000,MATCH($C132,Работы!$A$2:$A$6000,0)),"")</f>
        <v>0</v>
      </c>
      <c r="G132" t="str">
        <f>IFERROR(INDEX(Работы!$K$2:$K$6000,MATCH($C132,Работы!$A$2:$A$6000,0)),"")</f>
        <v>Замер_демонтажа</v>
      </c>
      <c r="H132" s="9"/>
      <c r="I132" s="9"/>
      <c r="J132" s="8" t="str">
        <f>IFERROR(INDEX(Материалы!$B$2:$B$9000,MATCH($I132,Материалы!$A$2:$A$9000,0)),"")</f>
        <v/>
      </c>
      <c r="K132" t="str">
        <f>IF($I132="","",IF($F132=IFERROR(INDEX(Материалы!$G$2:$G$9000,MATCH($I132,Материалы!$A$2:$A$9000,0)),""),"OK","!! не та группа"))</f>
        <v/>
      </c>
      <c r="L132" s="10">
        <f>IFERROR(INDEX(Работы!$H$2:$H$6000,MATCH($C132,Работы!$A$2:$A$6000,0))*(1-ДисконтТендер),0)</f>
        <v>337.56</v>
      </c>
      <c r="M132" s="10">
        <f>IF($I132="",0,IFERROR(INDEX(Материалы!$I$2:$I$9000,MATCH($I132,Материалы!$A$2:$A$9000,0))*IF(INDEX(Материалы!$J$2:$J$9000,MATCH($I132,Материалы!$A$2:$A$9000,0))="USD",КурсUSD,IF(INDEX(Материалы!$J$2:$J$9000,MATCH($I132,Материалы!$A$2:$A$9000,0))="EUR",КурсEUR,1))*INDEX(Материалы!$K$2:$K$9000,MATCH($I132,Материалы!$A$2:$A$9000,0))*(1+IFERROR(INDEX(Работы!$I$2:$I$6000,MATCH($C132,Работы!$A$2:$A$6000,0))/100,0))*(1-ДисконтТендер),0))</f>
        <v>0</v>
      </c>
      <c r="N132" s="10">
        <f t="shared" si="6"/>
        <v>0</v>
      </c>
      <c r="O132" s="10">
        <f t="shared" si="7"/>
        <v>0</v>
      </c>
      <c r="P132" s="10">
        <f t="shared" si="8"/>
        <v>0</v>
      </c>
      <c r="Q132" t="str">
        <f>IFERROR(INDEX(Работы!$J$2:$J$6000,MATCH($C132,Работы!$A$2:$A$6000,0)),"")</f>
        <v>типовая</v>
      </c>
      <c r="R132" t="s">
        <v>92</v>
      </c>
      <c r="T132" t="str">
        <f>IF(AND($P132&gt;0,$R132="да"),MAX($T$1:$T131)+1,"")</f>
        <v/>
      </c>
    </row>
    <row r="133" spans="1:20" x14ac:dyDescent="0.3">
      <c r="A133" t="str">
        <f>IFERROR(INDEX(Работы!$D$2:$D$6000,MATCH($C133,Работы!$A$2:$A$6000,0)),"")</f>
        <v>Р2</v>
      </c>
      <c r="B133" t="str">
        <f>IFERROR(INDEX(Работы!$F$2:$F$6000,MATCH($C133,Работы!$A$2:$A$6000,0)),"")</f>
        <v>3</v>
      </c>
      <c r="C133" t="str">
        <f>IFERROR(INDEX(Работы!$A$2:$A$6000,132),"")</f>
        <v>РАБ.Р2.3.012</v>
      </c>
      <c r="D133" s="8" t="str">
        <f>IFERROR(INDEX(Работы!$B$2:$B$6000,MATCH($C133,Работы!$A$2:$A$6000,0)),"")</f>
        <v>Снятие обоев</v>
      </c>
      <c r="E133" t="str">
        <f>IFERROR(INDEX(Работы!$C$2:$C$6000,MATCH($C133,Работы!$A$2:$A$6000,0)),"")</f>
        <v>м2</v>
      </c>
      <c r="F133">
        <f>IFERROR(INDEX(Работы!$G$2:$G$6000,MATCH($C133,Работы!$A$2:$A$6000,0)),"")</f>
        <v>0</v>
      </c>
      <c r="G133" t="str">
        <f>IFERROR(INDEX(Работы!$K$2:$K$6000,MATCH($C133,Работы!$A$2:$A$6000,0)),"")</f>
        <v>Замер_демонтажа</v>
      </c>
      <c r="H133" s="9"/>
      <c r="I133" s="9"/>
      <c r="J133" s="8" t="str">
        <f>IFERROR(INDEX(Материалы!$B$2:$B$9000,MATCH($I133,Материалы!$A$2:$A$9000,0)),"")</f>
        <v/>
      </c>
      <c r="K133" t="str">
        <f>IF($I133="","",IF($F133=IFERROR(INDEX(Материалы!$G$2:$G$9000,MATCH($I133,Материалы!$A$2:$A$9000,0)),""),"OK","!! не та группа"))</f>
        <v/>
      </c>
      <c r="L133" s="10">
        <f>IFERROR(INDEX(Работы!$H$2:$H$6000,MATCH($C133,Работы!$A$2:$A$6000,0))*(1-ДисконтТендер),0)</f>
        <v>125.28</v>
      </c>
      <c r="M133" s="10">
        <f>IF($I133="",0,IFERROR(INDEX(Материалы!$I$2:$I$9000,MATCH($I133,Материалы!$A$2:$A$9000,0))*IF(INDEX(Материалы!$J$2:$J$9000,MATCH($I133,Материалы!$A$2:$A$9000,0))="USD",КурсUSD,IF(INDEX(Материалы!$J$2:$J$9000,MATCH($I133,Материалы!$A$2:$A$9000,0))="EUR",КурсEUR,1))*INDEX(Материалы!$K$2:$K$9000,MATCH($I133,Материалы!$A$2:$A$9000,0))*(1+IFERROR(INDEX(Работы!$I$2:$I$6000,MATCH($C133,Работы!$A$2:$A$6000,0))/100,0))*(1-ДисконтТендер),0))</f>
        <v>0</v>
      </c>
      <c r="N133" s="10">
        <f t="shared" si="6"/>
        <v>0</v>
      </c>
      <c r="O133" s="10">
        <f t="shared" si="7"/>
        <v>0</v>
      </c>
      <c r="P133" s="10">
        <f t="shared" si="8"/>
        <v>0</v>
      </c>
      <c r="Q133" t="str">
        <f>IFERROR(INDEX(Работы!$J$2:$J$6000,MATCH($C133,Работы!$A$2:$A$6000,0)),"")</f>
        <v>типовая</v>
      </c>
      <c r="R133" t="s">
        <v>92</v>
      </c>
      <c r="T133" t="str">
        <f>IF(AND($P133&gt;0,$R133="да"),MAX($T$1:$T132)+1,"")</f>
        <v/>
      </c>
    </row>
    <row r="134" spans="1:20" ht="28.8" x14ac:dyDescent="0.3">
      <c r="A134" t="str">
        <f>IFERROR(INDEX(Работы!$D$2:$D$6000,MATCH($C134,Работы!$A$2:$A$6000,0)),"")</f>
        <v>Р2</v>
      </c>
      <c r="B134" t="str">
        <f>IFERROR(INDEX(Работы!$F$2:$F$6000,MATCH($C134,Работы!$A$2:$A$6000,0)),"")</f>
        <v>3</v>
      </c>
      <c r="C134" t="str">
        <f>IFERROR(INDEX(Работы!$A$2:$A$6000,133),"")</f>
        <v>РАБ.Р2.3.013</v>
      </c>
      <c r="D134" s="8" t="str">
        <f>IFERROR(INDEX(Работы!$B$2:$B$6000,MATCH($C134,Работы!$A$2:$A$6000,0)),"")</f>
        <v>Демонтаж облицовки стен из плитки керамической, мрамора.</v>
      </c>
      <c r="E134" t="str">
        <f>IFERROR(INDEX(Работы!$C$2:$C$6000,MATCH($C134,Работы!$A$2:$A$6000,0)),"")</f>
        <v>м2</v>
      </c>
      <c r="F134">
        <f>IFERROR(INDEX(Работы!$G$2:$G$6000,MATCH($C134,Работы!$A$2:$A$6000,0)),"")</f>
        <v>0</v>
      </c>
      <c r="G134" t="str">
        <f>IFERROR(INDEX(Работы!$K$2:$K$6000,MATCH($C134,Работы!$A$2:$A$6000,0)),"")</f>
        <v>Замер_демонтажа</v>
      </c>
      <c r="H134" s="9"/>
      <c r="I134" s="9"/>
      <c r="J134" s="8" t="str">
        <f>IFERROR(INDEX(Материалы!$B$2:$B$9000,MATCH($I134,Материалы!$A$2:$A$9000,0)),"")</f>
        <v/>
      </c>
      <c r="K134" t="str">
        <f>IF($I134="","",IF($F134=IFERROR(INDEX(Материалы!$G$2:$G$9000,MATCH($I134,Материалы!$A$2:$A$9000,0)),""),"OK","!! не та группа"))</f>
        <v/>
      </c>
      <c r="L134" s="10">
        <f>IFERROR(INDEX(Работы!$H$2:$H$6000,MATCH($C134,Работы!$A$2:$A$6000,0))*(1-ДисконтТендер),0)</f>
        <v>501.12</v>
      </c>
      <c r="M134" s="10">
        <f>IF($I134="",0,IFERROR(INDEX(Материалы!$I$2:$I$9000,MATCH($I134,Материалы!$A$2:$A$9000,0))*IF(INDEX(Материалы!$J$2:$J$9000,MATCH($I134,Материалы!$A$2:$A$9000,0))="USD",КурсUSD,IF(INDEX(Материалы!$J$2:$J$9000,MATCH($I134,Материалы!$A$2:$A$9000,0))="EUR",КурсEUR,1))*INDEX(Материалы!$K$2:$K$9000,MATCH($I134,Материалы!$A$2:$A$9000,0))*(1+IFERROR(INDEX(Работы!$I$2:$I$6000,MATCH($C134,Работы!$A$2:$A$6000,0))/100,0))*(1-ДисконтТендер),0))</f>
        <v>0</v>
      </c>
      <c r="N134" s="10">
        <f t="shared" si="6"/>
        <v>0</v>
      </c>
      <c r="O134" s="10">
        <f t="shared" si="7"/>
        <v>0</v>
      </c>
      <c r="P134" s="10">
        <f t="shared" si="8"/>
        <v>0</v>
      </c>
      <c r="Q134" t="str">
        <f>IFERROR(INDEX(Работы!$J$2:$J$6000,MATCH($C134,Работы!$A$2:$A$6000,0)),"")</f>
        <v>типовая</v>
      </c>
      <c r="R134" t="s">
        <v>92</v>
      </c>
      <c r="T134" t="str">
        <f>IF(AND($P134&gt;0,$R134="да"),MAX($T$1:$T133)+1,"")</f>
        <v/>
      </c>
    </row>
    <row r="135" spans="1:20" x14ac:dyDescent="0.3">
      <c r="A135" t="str">
        <f>IFERROR(INDEX(Работы!$D$2:$D$6000,MATCH($C135,Работы!$A$2:$A$6000,0)),"")</f>
        <v>Р2</v>
      </c>
      <c r="B135" t="str">
        <f>IFERROR(INDEX(Работы!$F$2:$F$6000,MATCH($C135,Работы!$A$2:$A$6000,0)),"")</f>
        <v>3</v>
      </c>
      <c r="C135" t="str">
        <f>IFERROR(INDEX(Работы!$A$2:$A$6000,134),"")</f>
        <v>РАБ.Р2.3.014</v>
      </c>
      <c r="D135" s="8" t="str">
        <f>IFERROR(INDEX(Работы!$B$2:$B$6000,MATCH($C135,Работы!$A$2:$A$6000,0)),"")</f>
        <v>Демонтаж стеклянных перегородок</v>
      </c>
      <c r="E135" t="str">
        <f>IFERROR(INDEX(Работы!$C$2:$C$6000,MATCH($C135,Работы!$A$2:$A$6000,0)),"")</f>
        <v>м2</v>
      </c>
      <c r="F135">
        <f>IFERROR(INDEX(Работы!$G$2:$G$6000,MATCH($C135,Работы!$A$2:$A$6000,0)),"")</f>
        <v>0</v>
      </c>
      <c r="G135" t="str">
        <f>IFERROR(INDEX(Работы!$K$2:$K$6000,MATCH($C135,Работы!$A$2:$A$6000,0)),"")</f>
        <v>Замер_демонтажа</v>
      </c>
      <c r="H135" s="9"/>
      <c r="I135" s="9"/>
      <c r="J135" s="8" t="str">
        <f>IFERROR(INDEX(Материалы!$B$2:$B$9000,MATCH($I135,Материалы!$A$2:$A$9000,0)),"")</f>
        <v/>
      </c>
      <c r="K135" t="str">
        <f>IF($I135="","",IF($F135=IFERROR(INDEX(Материалы!$G$2:$G$9000,MATCH($I135,Материалы!$A$2:$A$9000,0)),""),"OK","!! не та группа"))</f>
        <v/>
      </c>
      <c r="L135" s="10">
        <f>IFERROR(INDEX(Работы!$H$2:$H$6000,MATCH($C135,Работы!$A$2:$A$6000,0))*(1-ДисконтТендер),0)</f>
        <v>627</v>
      </c>
      <c r="M135" s="10">
        <f>IF($I135="",0,IFERROR(INDEX(Материалы!$I$2:$I$9000,MATCH($I135,Материалы!$A$2:$A$9000,0))*IF(INDEX(Материалы!$J$2:$J$9000,MATCH($I135,Материалы!$A$2:$A$9000,0))="USD",КурсUSD,IF(INDEX(Материалы!$J$2:$J$9000,MATCH($I135,Материалы!$A$2:$A$9000,0))="EUR",КурсEUR,1))*INDEX(Материалы!$K$2:$K$9000,MATCH($I135,Материалы!$A$2:$A$9000,0))*(1+IFERROR(INDEX(Работы!$I$2:$I$6000,MATCH($C135,Работы!$A$2:$A$6000,0))/100,0))*(1-ДисконтТендер),0))</f>
        <v>0</v>
      </c>
      <c r="N135" s="10">
        <f t="shared" si="6"/>
        <v>0</v>
      </c>
      <c r="O135" s="10">
        <f t="shared" si="7"/>
        <v>0</v>
      </c>
      <c r="P135" s="10">
        <f t="shared" si="8"/>
        <v>0</v>
      </c>
      <c r="Q135" t="str">
        <f>IFERROR(INDEX(Работы!$J$2:$J$6000,MATCH($C135,Работы!$A$2:$A$6000,0)),"")</f>
        <v>типовая</v>
      </c>
      <c r="R135" t="s">
        <v>92</v>
      </c>
      <c r="T135" t="str">
        <f>IF(AND($P135&gt;0,$R135="да"),MAX($T$1:$T134)+1,"")</f>
        <v/>
      </c>
    </row>
    <row r="136" spans="1:20" x14ac:dyDescent="0.3">
      <c r="A136" t="str">
        <f>IFERROR(INDEX(Работы!$D$2:$D$6000,MATCH($C136,Работы!$A$2:$A$6000,0)),"")</f>
        <v>Р2</v>
      </c>
      <c r="B136" t="str">
        <f>IFERROR(INDEX(Работы!$F$2:$F$6000,MATCH($C136,Работы!$A$2:$A$6000,0)),"")</f>
        <v>3</v>
      </c>
      <c r="C136" t="str">
        <f>IFERROR(INDEX(Работы!$A$2:$A$6000,135),"")</f>
        <v>РАБ.Р2.3.015</v>
      </c>
      <c r="D136" s="8" t="str">
        <f>IFERROR(INDEX(Работы!$B$2:$B$6000,MATCH($C136,Работы!$A$2:$A$6000,0)),"")</f>
        <v>Демонтаж бронепанелей</v>
      </c>
      <c r="E136" t="str">
        <f>IFERROR(INDEX(Работы!$C$2:$C$6000,MATCH($C136,Работы!$A$2:$A$6000,0)),"")</f>
        <v>м2</v>
      </c>
      <c r="F136">
        <f>IFERROR(INDEX(Работы!$G$2:$G$6000,MATCH($C136,Работы!$A$2:$A$6000,0)),"")</f>
        <v>0</v>
      </c>
      <c r="G136" t="str">
        <f>IFERROR(INDEX(Работы!$K$2:$K$6000,MATCH($C136,Работы!$A$2:$A$6000,0)),"")</f>
        <v>Замер_демонтажа</v>
      </c>
      <c r="H136" s="9"/>
      <c r="I136" s="9"/>
      <c r="J136" s="8" t="str">
        <f>IFERROR(INDEX(Материалы!$B$2:$B$9000,MATCH($I136,Материалы!$A$2:$A$9000,0)),"")</f>
        <v/>
      </c>
      <c r="K136" t="str">
        <f>IF($I136="","",IF($F136=IFERROR(INDEX(Материалы!$G$2:$G$9000,MATCH($I136,Материалы!$A$2:$A$9000,0)),""),"OK","!! не та группа"))</f>
        <v/>
      </c>
      <c r="L136" s="10">
        <f>IFERROR(INDEX(Работы!$H$2:$H$6000,MATCH($C136,Работы!$A$2:$A$6000,0))*(1-ДисконтТендер),0)</f>
        <v>1252.8</v>
      </c>
      <c r="M136" s="10">
        <f>IF($I136="",0,IFERROR(INDEX(Материалы!$I$2:$I$9000,MATCH($I136,Материалы!$A$2:$A$9000,0))*IF(INDEX(Материалы!$J$2:$J$9000,MATCH($I136,Материалы!$A$2:$A$9000,0))="USD",КурсUSD,IF(INDEX(Материалы!$J$2:$J$9000,MATCH($I136,Материалы!$A$2:$A$9000,0))="EUR",КурсEUR,1))*INDEX(Материалы!$K$2:$K$9000,MATCH($I136,Материалы!$A$2:$A$9000,0))*(1+IFERROR(INDEX(Работы!$I$2:$I$6000,MATCH($C136,Работы!$A$2:$A$6000,0))/100,0))*(1-ДисконтТендер),0))</f>
        <v>0</v>
      </c>
      <c r="N136" s="10">
        <f t="shared" si="6"/>
        <v>0</v>
      </c>
      <c r="O136" s="10">
        <f t="shared" si="7"/>
        <v>0</v>
      </c>
      <c r="P136" s="10">
        <f t="shared" si="8"/>
        <v>0</v>
      </c>
      <c r="Q136" t="str">
        <f>IFERROR(INDEX(Работы!$J$2:$J$6000,MATCH($C136,Работы!$A$2:$A$6000,0)),"")</f>
        <v>типовая</v>
      </c>
      <c r="R136" t="s">
        <v>92</v>
      </c>
      <c r="T136" t="str">
        <f>IF(AND($P136&gt;0,$R136="да"),MAX($T$1:$T135)+1,"")</f>
        <v/>
      </c>
    </row>
    <row r="137" spans="1:20" x14ac:dyDescent="0.3">
      <c r="A137" t="str">
        <f>IFERROR(INDEX(Работы!$D$2:$D$6000,MATCH($C137,Работы!$A$2:$A$6000,0)),"")</f>
        <v>Р2</v>
      </c>
      <c r="B137" t="str">
        <f>IFERROR(INDEX(Работы!$F$2:$F$6000,MATCH($C137,Работы!$A$2:$A$6000,0)),"")</f>
        <v>3</v>
      </c>
      <c r="C137" t="str">
        <f>IFERROR(INDEX(Работы!$A$2:$A$6000,136),"")</f>
        <v>РАБ.Р2.3.016</v>
      </c>
      <c r="D137" s="8" t="str">
        <f>IFERROR(INDEX(Работы!$B$2:$B$6000,MATCH($C137,Работы!$A$2:$A$6000,0)),"")</f>
        <v>Демонтаж обшивки стен мебельными панелями</v>
      </c>
      <c r="E137" t="str">
        <f>IFERROR(INDEX(Работы!$C$2:$C$6000,MATCH($C137,Работы!$A$2:$A$6000,0)),"")</f>
        <v>м2</v>
      </c>
      <c r="F137">
        <f>IFERROR(INDEX(Работы!$G$2:$G$6000,MATCH($C137,Работы!$A$2:$A$6000,0)),"")</f>
        <v>0</v>
      </c>
      <c r="G137" t="str">
        <f>IFERROR(INDEX(Работы!$K$2:$K$6000,MATCH($C137,Работы!$A$2:$A$6000,0)),"")</f>
        <v>Замер_демонтажа</v>
      </c>
      <c r="H137" s="9"/>
      <c r="I137" s="9"/>
      <c r="J137" s="8" t="str">
        <f>IFERROR(INDEX(Материалы!$B$2:$B$9000,MATCH($I137,Материалы!$A$2:$A$9000,0)),"")</f>
        <v/>
      </c>
      <c r="K137" t="str">
        <f>IF($I137="","",IF($F137=IFERROR(INDEX(Материалы!$G$2:$G$9000,MATCH($I137,Материалы!$A$2:$A$9000,0)),""),"OK","!! не та группа"))</f>
        <v/>
      </c>
      <c r="L137" s="10">
        <f>IFERROR(INDEX(Работы!$H$2:$H$6000,MATCH($C137,Работы!$A$2:$A$6000,0))*(1-ДисконтТендер),0)</f>
        <v>313.2</v>
      </c>
      <c r="M137" s="10">
        <f>IF($I137="",0,IFERROR(INDEX(Материалы!$I$2:$I$9000,MATCH($I137,Материалы!$A$2:$A$9000,0))*IF(INDEX(Материалы!$J$2:$J$9000,MATCH($I137,Материалы!$A$2:$A$9000,0))="USD",КурсUSD,IF(INDEX(Материалы!$J$2:$J$9000,MATCH($I137,Материалы!$A$2:$A$9000,0))="EUR",КурсEUR,1))*INDEX(Материалы!$K$2:$K$9000,MATCH($I137,Материалы!$A$2:$A$9000,0))*(1+IFERROR(INDEX(Работы!$I$2:$I$6000,MATCH($C137,Работы!$A$2:$A$6000,0))/100,0))*(1-ДисконтТендер),0))</f>
        <v>0</v>
      </c>
      <c r="N137" s="10">
        <f t="shared" si="6"/>
        <v>0</v>
      </c>
      <c r="O137" s="10">
        <f t="shared" si="7"/>
        <v>0</v>
      </c>
      <c r="P137" s="10">
        <f t="shared" si="8"/>
        <v>0</v>
      </c>
      <c r="Q137" t="str">
        <f>IFERROR(INDEX(Работы!$J$2:$J$6000,MATCH($C137,Работы!$A$2:$A$6000,0)),"")</f>
        <v>типовая</v>
      </c>
      <c r="R137" t="s">
        <v>92</v>
      </c>
      <c r="T137" t="str">
        <f>IF(AND($P137&gt;0,$R137="да"),MAX($T$1:$T136)+1,"")</f>
        <v/>
      </c>
    </row>
    <row r="138" spans="1:20" ht="28.8" x14ac:dyDescent="0.3">
      <c r="A138" t="str">
        <f>IFERROR(INDEX(Работы!$D$2:$D$6000,MATCH($C138,Работы!$A$2:$A$6000,0)),"")</f>
        <v>Р2</v>
      </c>
      <c r="B138" t="str">
        <f>IFERROR(INDEX(Работы!$F$2:$F$6000,MATCH($C138,Работы!$A$2:$A$6000,0)),"")</f>
        <v>3</v>
      </c>
      <c r="C138" t="str">
        <f>IFERROR(INDEX(Работы!$A$2:$A$6000,137),"")</f>
        <v>РАБ.Р2.3.017</v>
      </c>
      <c r="D138" s="8" t="str">
        <f>IFERROR(INDEX(Работы!$B$2:$B$6000,MATCH($C138,Работы!$A$2:$A$6000,0)),"")</f>
        <v>Разборка перегородок из ГКЛ по металлическому каркасу</v>
      </c>
      <c r="E138" t="str">
        <f>IFERROR(INDEX(Работы!$C$2:$C$6000,MATCH($C138,Работы!$A$2:$A$6000,0)),"")</f>
        <v>м2</v>
      </c>
      <c r="F138">
        <f>IFERROR(INDEX(Работы!$G$2:$G$6000,MATCH($C138,Работы!$A$2:$A$6000,0)),"")</f>
        <v>0</v>
      </c>
      <c r="G138" t="str">
        <f>IFERROR(INDEX(Работы!$K$2:$K$6000,MATCH($C138,Работы!$A$2:$A$6000,0)),"")</f>
        <v>Замер_демонтажа</v>
      </c>
      <c r="H138" s="9"/>
      <c r="I138" s="9"/>
      <c r="J138" s="8" t="str">
        <f>IFERROR(INDEX(Материалы!$B$2:$B$9000,MATCH($I138,Материалы!$A$2:$A$9000,0)),"")</f>
        <v/>
      </c>
      <c r="K138" t="str">
        <f>IF($I138="","",IF($F138=IFERROR(INDEX(Материалы!$G$2:$G$9000,MATCH($I138,Материалы!$A$2:$A$9000,0)),""),"OK","!! не та группа"))</f>
        <v/>
      </c>
      <c r="L138" s="10">
        <f>IFERROR(INDEX(Работы!$H$2:$H$6000,MATCH($C138,Работы!$A$2:$A$6000,0))*(1-ДисконтТендер),0)</f>
        <v>402.77</v>
      </c>
      <c r="M138" s="10">
        <f>IF($I138="",0,IFERROR(INDEX(Материалы!$I$2:$I$9000,MATCH($I138,Материалы!$A$2:$A$9000,0))*IF(INDEX(Материалы!$J$2:$J$9000,MATCH($I138,Материалы!$A$2:$A$9000,0))="USD",КурсUSD,IF(INDEX(Материалы!$J$2:$J$9000,MATCH($I138,Материалы!$A$2:$A$9000,0))="EUR",КурсEUR,1))*INDEX(Материалы!$K$2:$K$9000,MATCH($I138,Материалы!$A$2:$A$9000,0))*(1+IFERROR(INDEX(Работы!$I$2:$I$6000,MATCH($C138,Работы!$A$2:$A$6000,0))/100,0))*(1-ДисконтТендер),0))</f>
        <v>0</v>
      </c>
      <c r="N138" s="10">
        <f t="shared" si="6"/>
        <v>0</v>
      </c>
      <c r="O138" s="10">
        <f t="shared" si="7"/>
        <v>0</v>
      </c>
      <c r="P138" s="10">
        <f t="shared" si="8"/>
        <v>0</v>
      </c>
      <c r="Q138" t="str">
        <f>IFERROR(INDEX(Работы!$J$2:$J$6000,MATCH($C138,Работы!$A$2:$A$6000,0)),"")</f>
        <v>типовая</v>
      </c>
      <c r="R138" t="s">
        <v>92</v>
      </c>
      <c r="T138" t="str">
        <f>IF(AND($P138&gt;0,$R138="да"),MAX($T$1:$T137)+1,"")</f>
        <v/>
      </c>
    </row>
    <row r="139" spans="1:20" ht="28.8" x14ac:dyDescent="0.3">
      <c r="A139" t="str">
        <f>IFERROR(INDEX(Работы!$D$2:$D$6000,MATCH($C139,Работы!$A$2:$A$6000,0)),"")</f>
        <v>Р2</v>
      </c>
      <c r="B139" t="str">
        <f>IFERROR(INDEX(Работы!$F$2:$F$6000,MATCH($C139,Работы!$A$2:$A$6000,0)),"")</f>
        <v>4</v>
      </c>
      <c r="C139" t="str">
        <f>IFERROR(INDEX(Работы!$A$2:$A$6000,138),"")</f>
        <v>РАБ.Р2.4.001</v>
      </c>
      <c r="D139" s="8" t="str">
        <f>IFERROR(INDEX(Работы!$B$2:$B$6000,MATCH($C139,Работы!$A$2:$A$6000,0)),"")</f>
        <v>Демонтаж дверных блоков деревянных (межкомнатные)</v>
      </c>
      <c r="E139" t="str">
        <f>IFERROR(INDEX(Работы!$C$2:$C$6000,MATCH($C139,Работы!$A$2:$A$6000,0)),"")</f>
        <v>шт.</v>
      </c>
      <c r="F139">
        <f>IFERROR(INDEX(Работы!$G$2:$G$6000,MATCH($C139,Работы!$A$2:$A$6000,0)),"")</f>
        <v>0</v>
      </c>
      <c r="G139" t="str">
        <f>IFERROR(INDEX(Работы!$K$2:$K$6000,MATCH($C139,Работы!$A$2:$A$6000,0)),"")</f>
        <v>Замер_демонтажа</v>
      </c>
      <c r="H139" s="9"/>
      <c r="I139" s="9"/>
      <c r="J139" s="8" t="str">
        <f>IFERROR(INDEX(Материалы!$B$2:$B$9000,MATCH($I139,Материалы!$A$2:$A$9000,0)),"")</f>
        <v/>
      </c>
      <c r="K139" t="str">
        <f>IF($I139="","",IF($F139=IFERROR(INDEX(Материалы!$G$2:$G$9000,MATCH($I139,Материалы!$A$2:$A$9000,0)),""),"OK","!! не та группа"))</f>
        <v/>
      </c>
      <c r="L139" s="10">
        <f>IFERROR(INDEX(Работы!$H$2:$H$6000,MATCH($C139,Работы!$A$2:$A$6000,0))*(1-ДисконтТендер),0)</f>
        <v>1045</v>
      </c>
      <c r="M139" s="10">
        <f>IF($I139="",0,IFERROR(INDEX(Материалы!$I$2:$I$9000,MATCH($I139,Материалы!$A$2:$A$9000,0))*IF(INDEX(Материалы!$J$2:$J$9000,MATCH($I139,Материалы!$A$2:$A$9000,0))="USD",КурсUSD,IF(INDEX(Материалы!$J$2:$J$9000,MATCH($I139,Материалы!$A$2:$A$9000,0))="EUR",КурсEUR,1))*INDEX(Материалы!$K$2:$K$9000,MATCH($I139,Материалы!$A$2:$A$9000,0))*(1+IFERROR(INDEX(Работы!$I$2:$I$6000,MATCH($C139,Работы!$A$2:$A$6000,0))/100,0))*(1-ДисконтТендер),0))</f>
        <v>0</v>
      </c>
      <c r="N139" s="10">
        <f t="shared" si="6"/>
        <v>0</v>
      </c>
      <c r="O139" s="10">
        <f t="shared" si="7"/>
        <v>0</v>
      </c>
      <c r="P139" s="10">
        <f t="shared" si="8"/>
        <v>0</v>
      </c>
      <c r="Q139" t="str">
        <f>IFERROR(INDEX(Работы!$J$2:$J$6000,MATCH($C139,Работы!$A$2:$A$6000,0)),"")</f>
        <v>типовая</v>
      </c>
      <c r="R139" t="s">
        <v>92</v>
      </c>
      <c r="T139" t="str">
        <f>IF(AND($P139&gt;0,$R139="да"),MAX($T$1:$T138)+1,"")</f>
        <v/>
      </c>
    </row>
    <row r="140" spans="1:20" x14ac:dyDescent="0.3">
      <c r="A140" t="str">
        <f>IFERROR(INDEX(Работы!$D$2:$D$6000,MATCH($C140,Работы!$A$2:$A$6000,0)),"")</f>
        <v>Р2</v>
      </c>
      <c r="B140" t="str">
        <f>IFERROR(INDEX(Работы!$F$2:$F$6000,MATCH($C140,Работы!$A$2:$A$6000,0)),"")</f>
        <v>4</v>
      </c>
      <c r="C140" t="str">
        <f>IFERROR(INDEX(Работы!$A$2:$A$6000,139),"")</f>
        <v>РАБ.Р2.4.002</v>
      </c>
      <c r="D140" s="8" t="str">
        <f>IFERROR(INDEX(Работы!$B$2:$B$6000,MATCH($C140,Работы!$A$2:$A$6000,0)),"")</f>
        <v>Демонтаж дверных блоков из ПВХ профиля</v>
      </c>
      <c r="E140" t="str">
        <f>IFERROR(INDEX(Работы!$C$2:$C$6000,MATCH($C140,Работы!$A$2:$A$6000,0)),"")</f>
        <v>шт.</v>
      </c>
      <c r="F140">
        <f>IFERROR(INDEX(Работы!$G$2:$G$6000,MATCH($C140,Работы!$A$2:$A$6000,0)),"")</f>
        <v>0</v>
      </c>
      <c r="G140" t="str">
        <f>IFERROR(INDEX(Работы!$K$2:$K$6000,MATCH($C140,Работы!$A$2:$A$6000,0)),"")</f>
        <v>Замер_демонтажа</v>
      </c>
      <c r="H140" s="9"/>
      <c r="I140" s="9"/>
      <c r="J140" s="8" t="str">
        <f>IFERROR(INDEX(Материалы!$B$2:$B$9000,MATCH($I140,Материалы!$A$2:$A$9000,0)),"")</f>
        <v/>
      </c>
      <c r="K140" t="str">
        <f>IF($I140="","",IF($F140=IFERROR(INDEX(Материалы!$G$2:$G$9000,MATCH($I140,Материалы!$A$2:$A$9000,0)),""),"OK","!! не та группа"))</f>
        <v/>
      </c>
      <c r="L140" s="10">
        <f>IFERROR(INDEX(Работы!$H$2:$H$6000,MATCH($C140,Работы!$A$2:$A$6000,0))*(1-ДисконтТендер),0)</f>
        <v>1252.8</v>
      </c>
      <c r="M140" s="10">
        <f>IF($I140="",0,IFERROR(INDEX(Материалы!$I$2:$I$9000,MATCH($I140,Материалы!$A$2:$A$9000,0))*IF(INDEX(Материалы!$J$2:$J$9000,MATCH($I140,Материалы!$A$2:$A$9000,0))="USD",КурсUSD,IF(INDEX(Материалы!$J$2:$J$9000,MATCH($I140,Материалы!$A$2:$A$9000,0))="EUR",КурсEUR,1))*INDEX(Материалы!$K$2:$K$9000,MATCH($I140,Материалы!$A$2:$A$9000,0))*(1+IFERROR(INDEX(Работы!$I$2:$I$6000,MATCH($C140,Работы!$A$2:$A$6000,0))/100,0))*(1-ДисконтТендер),0))</f>
        <v>0</v>
      </c>
      <c r="N140" s="10">
        <f t="shared" si="6"/>
        <v>0</v>
      </c>
      <c r="O140" s="10">
        <f t="shared" si="7"/>
        <v>0</v>
      </c>
      <c r="P140" s="10">
        <f t="shared" si="8"/>
        <v>0</v>
      </c>
      <c r="Q140" t="str">
        <f>IFERROR(INDEX(Работы!$J$2:$J$6000,MATCH($C140,Работы!$A$2:$A$6000,0)),"")</f>
        <v>типовая</v>
      </c>
      <c r="R140" t="s">
        <v>92</v>
      </c>
      <c r="T140" t="str">
        <f>IF(AND($P140&gt;0,$R140="да"),MAX($T$1:$T139)+1,"")</f>
        <v/>
      </c>
    </row>
    <row r="141" spans="1:20" x14ac:dyDescent="0.3">
      <c r="A141" t="str">
        <f>IFERROR(INDEX(Работы!$D$2:$D$6000,MATCH($C141,Работы!$A$2:$A$6000,0)),"")</f>
        <v>Р2</v>
      </c>
      <c r="B141" t="str">
        <f>IFERROR(INDEX(Работы!$F$2:$F$6000,MATCH($C141,Работы!$A$2:$A$6000,0)),"")</f>
        <v>4</v>
      </c>
      <c r="C141" t="str">
        <f>IFERROR(INDEX(Работы!$A$2:$A$6000,140),"")</f>
        <v>РАБ.Р2.4.003</v>
      </c>
      <c r="D141" s="8" t="str">
        <f>IFERROR(INDEX(Работы!$B$2:$B$6000,MATCH($C141,Работы!$A$2:$A$6000,0)),"")</f>
        <v>Демонтаж дверных блоков металлических</v>
      </c>
      <c r="E141" t="str">
        <f>IFERROR(INDEX(Работы!$C$2:$C$6000,MATCH($C141,Работы!$A$2:$A$6000,0)),"")</f>
        <v>шт.</v>
      </c>
      <c r="F141">
        <f>IFERROR(INDEX(Работы!$G$2:$G$6000,MATCH($C141,Работы!$A$2:$A$6000,0)),"")</f>
        <v>0</v>
      </c>
      <c r="G141" t="str">
        <f>IFERROR(INDEX(Работы!$K$2:$K$6000,MATCH($C141,Работы!$A$2:$A$6000,0)),"")</f>
        <v>Замер_демонтажа</v>
      </c>
      <c r="H141" s="9"/>
      <c r="I141" s="9"/>
      <c r="J141" s="8" t="str">
        <f>IFERROR(INDEX(Материалы!$B$2:$B$9000,MATCH($I141,Материалы!$A$2:$A$9000,0)),"")</f>
        <v/>
      </c>
      <c r="K141" t="str">
        <f>IF($I141="","",IF($F141=IFERROR(INDEX(Материалы!$G$2:$G$9000,MATCH($I141,Материалы!$A$2:$A$9000,0)),""),"OK","!! не та группа"))</f>
        <v/>
      </c>
      <c r="L141" s="10">
        <f>IFERROR(INDEX(Работы!$H$2:$H$6000,MATCH($C141,Работы!$A$2:$A$6000,0))*(1-ДисконтТендер),0)</f>
        <v>1980</v>
      </c>
      <c r="M141" s="10">
        <f>IF($I141="",0,IFERROR(INDEX(Материалы!$I$2:$I$9000,MATCH($I141,Материалы!$A$2:$A$9000,0))*IF(INDEX(Материалы!$J$2:$J$9000,MATCH($I141,Материалы!$A$2:$A$9000,0))="USD",КурсUSD,IF(INDEX(Материалы!$J$2:$J$9000,MATCH($I141,Материалы!$A$2:$A$9000,0))="EUR",КурсEUR,1))*INDEX(Материалы!$K$2:$K$9000,MATCH($I141,Материалы!$A$2:$A$9000,0))*(1+IFERROR(INDEX(Работы!$I$2:$I$6000,MATCH($C141,Работы!$A$2:$A$6000,0))/100,0))*(1-ДисконтТендер),0))</f>
        <v>0</v>
      </c>
      <c r="N141" s="10">
        <f t="shared" si="6"/>
        <v>0</v>
      </c>
      <c r="O141" s="10">
        <f t="shared" si="7"/>
        <v>0</v>
      </c>
      <c r="P141" s="10">
        <f t="shared" si="8"/>
        <v>0</v>
      </c>
      <c r="Q141" t="str">
        <f>IFERROR(INDEX(Работы!$J$2:$J$6000,MATCH($C141,Работы!$A$2:$A$6000,0)),"")</f>
        <v>типовая</v>
      </c>
      <c r="R141" t="s">
        <v>92</v>
      </c>
      <c r="T141" t="str">
        <f>IF(AND($P141&gt;0,$R141="да"),MAX($T$1:$T140)+1,"")</f>
        <v/>
      </c>
    </row>
    <row r="142" spans="1:20" ht="28.8" x14ac:dyDescent="0.3">
      <c r="A142" t="str">
        <f>IFERROR(INDEX(Работы!$D$2:$D$6000,MATCH($C142,Работы!$A$2:$A$6000,0)),"")</f>
        <v>Р2</v>
      </c>
      <c r="B142" t="str">
        <f>IFERROR(INDEX(Работы!$F$2:$F$6000,MATCH($C142,Работы!$A$2:$A$6000,0)),"")</f>
        <v>4</v>
      </c>
      <c r="C142" t="str">
        <f>IFERROR(INDEX(Работы!$A$2:$A$6000,141),"")</f>
        <v>РАБ.Р2.4.004</v>
      </c>
      <c r="D142" s="8" t="str">
        <f>IFERROR(INDEX(Работы!$B$2:$B$6000,MATCH($C142,Работы!$A$2:$A$6000,0)),"")</f>
        <v>Демонтаж дверных блоков (стеклопакет в алюминиевой обвязке)</v>
      </c>
      <c r="E142" t="str">
        <f>IFERROR(INDEX(Работы!$C$2:$C$6000,MATCH($C142,Работы!$A$2:$A$6000,0)),"")</f>
        <v>шт.</v>
      </c>
      <c r="F142">
        <f>IFERROR(INDEX(Работы!$G$2:$G$6000,MATCH($C142,Работы!$A$2:$A$6000,0)),"")</f>
        <v>0</v>
      </c>
      <c r="G142" t="str">
        <f>IFERROR(INDEX(Работы!$K$2:$K$6000,MATCH($C142,Работы!$A$2:$A$6000,0)),"")</f>
        <v>Замер_демонтажа</v>
      </c>
      <c r="H142" s="9"/>
      <c r="I142" s="9"/>
      <c r="J142" s="8" t="str">
        <f>IFERROR(INDEX(Материалы!$B$2:$B$9000,MATCH($I142,Материалы!$A$2:$A$9000,0)),"")</f>
        <v/>
      </c>
      <c r="K142" t="str">
        <f>IF($I142="","",IF($F142=IFERROR(INDEX(Материалы!$G$2:$G$9000,MATCH($I142,Материалы!$A$2:$A$9000,0)),""),"OK","!! не та группа"))</f>
        <v/>
      </c>
      <c r="L142" s="10">
        <f>IFERROR(INDEX(Работы!$H$2:$H$6000,MATCH($C142,Работы!$A$2:$A$6000,0))*(1-ДисконтТендер),0)</f>
        <v>2750</v>
      </c>
      <c r="M142" s="10">
        <f>IF($I142="",0,IFERROR(INDEX(Материалы!$I$2:$I$9000,MATCH($I142,Материалы!$A$2:$A$9000,0))*IF(INDEX(Материалы!$J$2:$J$9000,MATCH($I142,Материалы!$A$2:$A$9000,0))="USD",КурсUSD,IF(INDEX(Материалы!$J$2:$J$9000,MATCH($I142,Материалы!$A$2:$A$9000,0))="EUR",КурсEUR,1))*INDEX(Материалы!$K$2:$K$9000,MATCH($I142,Материалы!$A$2:$A$9000,0))*(1+IFERROR(INDEX(Работы!$I$2:$I$6000,MATCH($C142,Работы!$A$2:$A$6000,0))/100,0))*(1-ДисконтТендер),0))</f>
        <v>0</v>
      </c>
      <c r="N142" s="10">
        <f t="shared" si="6"/>
        <v>0</v>
      </c>
      <c r="O142" s="10">
        <f t="shared" si="7"/>
        <v>0</v>
      </c>
      <c r="P142" s="10">
        <f t="shared" si="8"/>
        <v>0</v>
      </c>
      <c r="Q142" t="str">
        <f>IFERROR(INDEX(Работы!$J$2:$J$6000,MATCH($C142,Работы!$A$2:$A$6000,0)),"")</f>
        <v>типовая</v>
      </c>
      <c r="R142" t="s">
        <v>92</v>
      </c>
      <c r="T142" t="str">
        <f>IF(AND($P142&gt;0,$R142="да"),MAX($T$1:$T141)+1,"")</f>
        <v/>
      </c>
    </row>
    <row r="143" spans="1:20" x14ac:dyDescent="0.3">
      <c r="A143" t="str">
        <f>IFERROR(INDEX(Работы!$D$2:$D$6000,MATCH($C143,Работы!$A$2:$A$6000,0)),"")</f>
        <v>Р2</v>
      </c>
      <c r="B143" t="str">
        <f>IFERROR(INDEX(Работы!$F$2:$F$6000,MATCH($C143,Работы!$A$2:$A$6000,0)),"")</f>
        <v>4</v>
      </c>
      <c r="C143" t="str">
        <f>IFERROR(INDEX(Работы!$A$2:$A$6000,142),"")</f>
        <v>РАБ.Р2.4.005</v>
      </c>
      <c r="D143" s="8" t="str">
        <f>IFERROR(INDEX(Работы!$B$2:$B$6000,MATCH($C143,Работы!$A$2:$A$6000,0)),"")</f>
        <v>Демонтаж дверных блоков бронированных</v>
      </c>
      <c r="E143" t="str">
        <f>IFERROR(INDEX(Работы!$C$2:$C$6000,MATCH($C143,Работы!$A$2:$A$6000,0)),"")</f>
        <v>шт.</v>
      </c>
      <c r="F143">
        <f>IFERROR(INDEX(Работы!$G$2:$G$6000,MATCH($C143,Работы!$A$2:$A$6000,0)),"")</f>
        <v>0</v>
      </c>
      <c r="G143" t="str">
        <f>IFERROR(INDEX(Работы!$K$2:$K$6000,MATCH($C143,Работы!$A$2:$A$6000,0)),"")</f>
        <v>Замер_демонтажа</v>
      </c>
      <c r="H143" s="9"/>
      <c r="I143" s="9"/>
      <c r="J143" s="8" t="str">
        <f>IFERROR(INDEX(Материалы!$B$2:$B$9000,MATCH($I143,Материалы!$A$2:$A$9000,0)),"")</f>
        <v/>
      </c>
      <c r="K143" t="str">
        <f>IF($I143="","",IF($F143=IFERROR(INDEX(Материалы!$G$2:$G$9000,MATCH($I143,Материалы!$A$2:$A$9000,0)),""),"OK","!! не та группа"))</f>
        <v/>
      </c>
      <c r="L143" s="10">
        <f>IFERROR(INDEX(Работы!$H$2:$H$6000,MATCH($C143,Работы!$A$2:$A$6000,0))*(1-ДисконтТендер),0)</f>
        <v>2612.5</v>
      </c>
      <c r="M143" s="10">
        <f>IF($I143="",0,IFERROR(INDEX(Материалы!$I$2:$I$9000,MATCH($I143,Материалы!$A$2:$A$9000,0))*IF(INDEX(Материалы!$J$2:$J$9000,MATCH($I143,Материалы!$A$2:$A$9000,0))="USD",КурсUSD,IF(INDEX(Материалы!$J$2:$J$9000,MATCH($I143,Материалы!$A$2:$A$9000,0))="EUR",КурсEUR,1))*INDEX(Материалы!$K$2:$K$9000,MATCH($I143,Материалы!$A$2:$A$9000,0))*(1+IFERROR(INDEX(Работы!$I$2:$I$6000,MATCH($C143,Работы!$A$2:$A$6000,0))/100,0))*(1-ДисконтТендер),0))</f>
        <v>0</v>
      </c>
      <c r="N143" s="10">
        <f t="shared" si="6"/>
        <v>0</v>
      </c>
      <c r="O143" s="10">
        <f t="shared" si="7"/>
        <v>0</v>
      </c>
      <c r="P143" s="10">
        <f t="shared" si="8"/>
        <v>0</v>
      </c>
      <c r="Q143" t="str">
        <f>IFERROR(INDEX(Работы!$J$2:$J$6000,MATCH($C143,Работы!$A$2:$A$6000,0)),"")</f>
        <v>типовая</v>
      </c>
      <c r="R143" t="s">
        <v>92</v>
      </c>
      <c r="T143" t="str">
        <f>IF(AND($P143&gt;0,$R143="да"),MAX($T$1:$T142)+1,"")</f>
        <v/>
      </c>
    </row>
    <row r="144" spans="1:20" ht="28.8" x14ac:dyDescent="0.3">
      <c r="A144" t="str">
        <f>IFERROR(INDEX(Работы!$D$2:$D$6000,MATCH($C144,Работы!$A$2:$A$6000,0)),"")</f>
        <v>Р2</v>
      </c>
      <c r="B144" t="str">
        <f>IFERROR(INDEX(Работы!$F$2:$F$6000,MATCH($C144,Работы!$A$2:$A$6000,0)),"")</f>
        <v>4</v>
      </c>
      <c r="C144" t="str">
        <f>IFERROR(INDEX(Работы!$A$2:$A$6000,143),"")</f>
        <v>РАБ.Р2.4.006</v>
      </c>
      <c r="D144" s="8" t="str">
        <f>IFERROR(INDEX(Работы!$B$2:$B$6000,MATCH($C144,Работы!$A$2:$A$6000,0)),"")</f>
        <v>Демонтаж решетчатой двери (распашные, гармошка).</v>
      </c>
      <c r="E144" t="str">
        <f>IFERROR(INDEX(Работы!$C$2:$C$6000,MATCH($C144,Работы!$A$2:$A$6000,0)),"")</f>
        <v>шт.</v>
      </c>
      <c r="F144">
        <f>IFERROR(INDEX(Работы!$G$2:$G$6000,MATCH($C144,Работы!$A$2:$A$6000,0)),"")</f>
        <v>0</v>
      </c>
      <c r="G144" t="str">
        <f>IFERROR(INDEX(Работы!$K$2:$K$6000,MATCH($C144,Работы!$A$2:$A$6000,0)),"")</f>
        <v>Замер_демонтажа</v>
      </c>
      <c r="H144" s="9"/>
      <c r="I144" s="9"/>
      <c r="J144" s="8" t="str">
        <f>IFERROR(INDEX(Материалы!$B$2:$B$9000,MATCH($I144,Материалы!$A$2:$A$9000,0)),"")</f>
        <v/>
      </c>
      <c r="K144" t="str">
        <f>IF($I144="","",IF($F144=IFERROR(INDEX(Материалы!$G$2:$G$9000,MATCH($I144,Материалы!$A$2:$A$9000,0)),""),"OK","!! не та группа"))</f>
        <v/>
      </c>
      <c r="L144" s="10">
        <f>IFERROR(INDEX(Работы!$H$2:$H$6000,MATCH($C144,Работы!$A$2:$A$6000,0))*(1-ДисконтТендер),0)</f>
        <v>1412.92</v>
      </c>
      <c r="M144" s="10">
        <f>IF($I144="",0,IFERROR(INDEX(Материалы!$I$2:$I$9000,MATCH($I144,Материалы!$A$2:$A$9000,0))*IF(INDEX(Материалы!$J$2:$J$9000,MATCH($I144,Материалы!$A$2:$A$9000,0))="USD",КурсUSD,IF(INDEX(Материалы!$J$2:$J$9000,MATCH($I144,Материалы!$A$2:$A$9000,0))="EUR",КурсEUR,1))*INDEX(Материалы!$K$2:$K$9000,MATCH($I144,Материалы!$A$2:$A$9000,0))*(1+IFERROR(INDEX(Работы!$I$2:$I$6000,MATCH($C144,Работы!$A$2:$A$6000,0))/100,0))*(1-ДисконтТендер),0))</f>
        <v>0</v>
      </c>
      <c r="N144" s="10">
        <f t="shared" si="6"/>
        <v>0</v>
      </c>
      <c r="O144" s="10">
        <f t="shared" si="7"/>
        <v>0</v>
      </c>
      <c r="P144" s="10">
        <f t="shared" si="8"/>
        <v>0</v>
      </c>
      <c r="Q144" t="str">
        <f>IFERROR(INDEX(Работы!$J$2:$J$6000,MATCH($C144,Работы!$A$2:$A$6000,0)),"")</f>
        <v>типовая</v>
      </c>
      <c r="R144" t="s">
        <v>92</v>
      </c>
      <c r="T144" t="str">
        <f>IF(AND($P144&gt;0,$R144="да"),MAX($T$1:$T143)+1,"")</f>
        <v/>
      </c>
    </row>
    <row r="145" spans="1:20" x14ac:dyDescent="0.3">
      <c r="A145" t="str">
        <f>IFERROR(INDEX(Работы!$D$2:$D$6000,MATCH($C145,Работы!$A$2:$A$6000,0)),"")</f>
        <v>Р2</v>
      </c>
      <c r="B145" t="str">
        <f>IFERROR(INDEX(Работы!$F$2:$F$6000,MATCH($C145,Работы!$A$2:$A$6000,0)),"")</f>
        <v>4</v>
      </c>
      <c r="C145" t="str">
        <f>IFERROR(INDEX(Работы!$A$2:$A$6000,144),"")</f>
        <v>РАБ.Р2.4.007</v>
      </c>
      <c r="D145" s="8" t="str">
        <f>IFERROR(INDEX(Работы!$B$2:$B$6000,MATCH($C145,Работы!$A$2:$A$6000,0)),"")</f>
        <v>Демонтаж дверей гаражных</v>
      </c>
      <c r="E145" t="str">
        <f>IFERROR(INDEX(Работы!$C$2:$C$6000,MATCH($C145,Работы!$A$2:$A$6000,0)),"")</f>
        <v>шт.</v>
      </c>
      <c r="F145">
        <f>IFERROR(INDEX(Работы!$G$2:$G$6000,MATCH($C145,Работы!$A$2:$A$6000,0)),"")</f>
        <v>0</v>
      </c>
      <c r="G145" t="str">
        <f>IFERROR(INDEX(Работы!$K$2:$K$6000,MATCH($C145,Работы!$A$2:$A$6000,0)),"")</f>
        <v>Замер_демонтажа</v>
      </c>
      <c r="H145" s="9"/>
      <c r="I145" s="9"/>
      <c r="J145" s="8" t="str">
        <f>IFERROR(INDEX(Материалы!$B$2:$B$9000,MATCH($I145,Материалы!$A$2:$A$9000,0)),"")</f>
        <v/>
      </c>
      <c r="K145" t="str">
        <f>IF($I145="","",IF($F145=IFERROR(INDEX(Материалы!$G$2:$G$9000,MATCH($I145,Материалы!$A$2:$A$9000,0)),""),"OK","!! не та группа"))</f>
        <v/>
      </c>
      <c r="L145" s="10">
        <f>IFERROR(INDEX(Работы!$H$2:$H$6000,MATCH($C145,Работы!$A$2:$A$6000,0))*(1-ДисконтТендер),0)</f>
        <v>3052.5</v>
      </c>
      <c r="M145" s="10">
        <f>IF($I145="",0,IFERROR(INDEX(Материалы!$I$2:$I$9000,MATCH($I145,Материалы!$A$2:$A$9000,0))*IF(INDEX(Материалы!$J$2:$J$9000,MATCH($I145,Материалы!$A$2:$A$9000,0))="USD",КурсUSD,IF(INDEX(Материалы!$J$2:$J$9000,MATCH($I145,Материалы!$A$2:$A$9000,0))="EUR",КурсEUR,1))*INDEX(Материалы!$K$2:$K$9000,MATCH($I145,Материалы!$A$2:$A$9000,0))*(1+IFERROR(INDEX(Работы!$I$2:$I$6000,MATCH($C145,Работы!$A$2:$A$6000,0))/100,0))*(1-ДисконтТендер),0))</f>
        <v>0</v>
      </c>
      <c r="N145" s="10">
        <f t="shared" si="6"/>
        <v>0</v>
      </c>
      <c r="O145" s="10">
        <f t="shared" si="7"/>
        <v>0</v>
      </c>
      <c r="P145" s="10">
        <f t="shared" si="8"/>
        <v>0</v>
      </c>
      <c r="Q145" t="str">
        <f>IFERROR(INDEX(Работы!$J$2:$J$6000,MATCH($C145,Работы!$A$2:$A$6000,0)),"")</f>
        <v>типовая</v>
      </c>
      <c r="R145" t="s">
        <v>92</v>
      </c>
      <c r="T145" t="str">
        <f>IF(AND($P145&gt;0,$R145="да"),MAX($T$1:$T144)+1,"")</f>
        <v/>
      </c>
    </row>
    <row r="146" spans="1:20" x14ac:dyDescent="0.3">
      <c r="A146" t="str">
        <f>IFERROR(INDEX(Работы!$D$2:$D$6000,MATCH($C146,Работы!$A$2:$A$6000,0)),"")</f>
        <v>Р2</v>
      </c>
      <c r="B146" t="str">
        <f>IFERROR(INDEX(Работы!$F$2:$F$6000,MATCH($C146,Работы!$A$2:$A$6000,0)),"")</f>
        <v>4</v>
      </c>
      <c r="C146" t="str">
        <f>IFERROR(INDEX(Работы!$A$2:$A$6000,145),"")</f>
        <v>РАБ.Р2.4.008</v>
      </c>
      <c r="D146" s="8" t="str">
        <f>IFERROR(INDEX(Работы!$B$2:$B$6000,MATCH($C146,Работы!$A$2:$A$6000,0)),"")</f>
        <v>Демонтаж рольставни</v>
      </c>
      <c r="E146" t="str">
        <f>IFERROR(INDEX(Работы!$C$2:$C$6000,MATCH($C146,Работы!$A$2:$A$6000,0)),"")</f>
        <v>шт.</v>
      </c>
      <c r="F146">
        <f>IFERROR(INDEX(Работы!$G$2:$G$6000,MATCH($C146,Работы!$A$2:$A$6000,0)),"")</f>
        <v>0</v>
      </c>
      <c r="G146" t="str">
        <f>IFERROR(INDEX(Работы!$K$2:$K$6000,MATCH($C146,Работы!$A$2:$A$6000,0)),"")</f>
        <v>Замер_демонтажа</v>
      </c>
      <c r="H146" s="9"/>
      <c r="I146" s="9"/>
      <c r="J146" s="8" t="str">
        <f>IFERROR(INDEX(Материалы!$B$2:$B$9000,MATCH($I146,Материалы!$A$2:$A$9000,0)),"")</f>
        <v/>
      </c>
      <c r="K146" t="str">
        <f>IF($I146="","",IF($F146=IFERROR(INDEX(Материалы!$G$2:$G$9000,MATCH($I146,Материалы!$A$2:$A$9000,0)),""),"OK","!! не та группа"))</f>
        <v/>
      </c>
      <c r="L146" s="10">
        <f>IFERROR(INDEX(Работы!$H$2:$H$6000,MATCH($C146,Работы!$A$2:$A$6000,0))*(1-ДисконтТендер),0)</f>
        <v>3135</v>
      </c>
      <c r="M146" s="10">
        <f>IF($I146="",0,IFERROR(INDEX(Материалы!$I$2:$I$9000,MATCH($I146,Материалы!$A$2:$A$9000,0))*IF(INDEX(Материалы!$J$2:$J$9000,MATCH($I146,Материалы!$A$2:$A$9000,0))="USD",КурсUSD,IF(INDEX(Материалы!$J$2:$J$9000,MATCH($I146,Материалы!$A$2:$A$9000,0))="EUR",КурсEUR,1))*INDEX(Материалы!$K$2:$K$9000,MATCH($I146,Материалы!$A$2:$A$9000,0))*(1+IFERROR(INDEX(Работы!$I$2:$I$6000,MATCH($C146,Работы!$A$2:$A$6000,0))/100,0))*(1-ДисконтТендер),0))</f>
        <v>0</v>
      </c>
      <c r="N146" s="10">
        <f t="shared" si="6"/>
        <v>0</v>
      </c>
      <c r="O146" s="10">
        <f t="shared" si="7"/>
        <v>0</v>
      </c>
      <c r="P146" s="10">
        <f t="shared" si="8"/>
        <v>0</v>
      </c>
      <c r="Q146" t="str">
        <f>IFERROR(INDEX(Работы!$J$2:$J$6000,MATCH($C146,Работы!$A$2:$A$6000,0)),"")</f>
        <v>типовая</v>
      </c>
      <c r="R146" t="s">
        <v>92</v>
      </c>
      <c r="T146" t="str">
        <f>IF(AND($P146&gt;0,$R146="да"),MAX($T$1:$T145)+1,"")</f>
        <v/>
      </c>
    </row>
    <row r="147" spans="1:20" x14ac:dyDescent="0.3">
      <c r="A147" t="str">
        <f>IFERROR(INDEX(Работы!$D$2:$D$6000,MATCH($C147,Работы!$A$2:$A$6000,0)),"")</f>
        <v>Р2</v>
      </c>
      <c r="B147" t="str">
        <f>IFERROR(INDEX(Работы!$F$2:$F$6000,MATCH($C147,Работы!$A$2:$A$6000,0)),"")</f>
        <v>5</v>
      </c>
      <c r="C147" t="str">
        <f>IFERROR(INDEX(Работы!$A$2:$A$6000,146),"")</f>
        <v>РАБ.Р2.5.001</v>
      </c>
      <c r="D147" s="8" t="str">
        <f>IFERROR(INDEX(Работы!$B$2:$B$6000,MATCH($C147,Работы!$A$2:$A$6000,0)),"")</f>
        <v>Демонтаж деревянных оконных блоков</v>
      </c>
      <c r="E147" t="str">
        <f>IFERROR(INDEX(Работы!$C$2:$C$6000,MATCH($C147,Работы!$A$2:$A$6000,0)),"")</f>
        <v>м2</v>
      </c>
      <c r="F147">
        <f>IFERROR(INDEX(Работы!$G$2:$G$6000,MATCH($C147,Работы!$A$2:$A$6000,0)),"")</f>
        <v>0</v>
      </c>
      <c r="G147" t="str">
        <f>IFERROR(INDEX(Работы!$K$2:$K$6000,MATCH($C147,Работы!$A$2:$A$6000,0)),"")</f>
        <v>Замер_демонтажа</v>
      </c>
      <c r="H147" s="9"/>
      <c r="I147" s="9"/>
      <c r="J147" s="8" t="str">
        <f>IFERROR(INDEX(Материалы!$B$2:$B$9000,MATCH($I147,Материалы!$A$2:$A$9000,0)),"")</f>
        <v/>
      </c>
      <c r="K147" t="str">
        <f>IF($I147="","",IF($F147=IFERROR(INDEX(Материалы!$G$2:$G$9000,MATCH($I147,Материалы!$A$2:$A$9000,0)),""),"OK","!! не та группа"))</f>
        <v/>
      </c>
      <c r="L147" s="10">
        <f>IFERROR(INDEX(Работы!$H$2:$H$6000,MATCH($C147,Работы!$A$2:$A$6000,0))*(1-ДисконтТендер),0)</f>
        <v>736.03</v>
      </c>
      <c r="M147" s="10">
        <f>IF($I147="",0,IFERROR(INDEX(Материалы!$I$2:$I$9000,MATCH($I147,Материалы!$A$2:$A$9000,0))*IF(INDEX(Материалы!$J$2:$J$9000,MATCH($I147,Материалы!$A$2:$A$9000,0))="USD",КурсUSD,IF(INDEX(Материалы!$J$2:$J$9000,MATCH($I147,Материалы!$A$2:$A$9000,0))="EUR",КурсEUR,1))*INDEX(Материалы!$K$2:$K$9000,MATCH($I147,Материалы!$A$2:$A$9000,0))*(1+IFERROR(INDEX(Работы!$I$2:$I$6000,MATCH($C147,Работы!$A$2:$A$6000,0))/100,0))*(1-ДисконтТендер),0))</f>
        <v>0</v>
      </c>
      <c r="N147" s="10">
        <f t="shared" si="6"/>
        <v>0</v>
      </c>
      <c r="O147" s="10">
        <f t="shared" si="7"/>
        <v>0</v>
      </c>
      <c r="P147" s="10">
        <f t="shared" si="8"/>
        <v>0</v>
      </c>
      <c r="Q147" t="str">
        <f>IFERROR(INDEX(Работы!$J$2:$J$6000,MATCH($C147,Работы!$A$2:$A$6000,0)),"")</f>
        <v>типовая</v>
      </c>
      <c r="R147" t="s">
        <v>92</v>
      </c>
      <c r="T147" t="str">
        <f>IF(AND($P147&gt;0,$R147="да"),MAX($T$1:$T146)+1,"")</f>
        <v/>
      </c>
    </row>
    <row r="148" spans="1:20" x14ac:dyDescent="0.3">
      <c r="A148" t="str">
        <f>IFERROR(INDEX(Работы!$D$2:$D$6000,MATCH($C148,Работы!$A$2:$A$6000,0)),"")</f>
        <v>Р2</v>
      </c>
      <c r="B148" t="str">
        <f>IFERROR(INDEX(Работы!$F$2:$F$6000,MATCH($C148,Работы!$A$2:$A$6000,0)),"")</f>
        <v>5</v>
      </c>
      <c r="C148" t="str">
        <f>IFERROR(INDEX(Работы!$A$2:$A$6000,147),"")</f>
        <v>РАБ.Р2.5.002</v>
      </c>
      <c r="D148" s="8" t="str">
        <f>IFERROR(INDEX(Работы!$B$2:$B$6000,MATCH($C148,Работы!$A$2:$A$6000,0)),"")</f>
        <v>Демонтаж бронеокон</v>
      </c>
      <c r="E148" t="str">
        <f>IFERROR(INDEX(Работы!$C$2:$C$6000,MATCH($C148,Работы!$A$2:$A$6000,0)),"")</f>
        <v>м2</v>
      </c>
      <c r="F148">
        <f>IFERROR(INDEX(Работы!$G$2:$G$6000,MATCH($C148,Работы!$A$2:$A$6000,0)),"")</f>
        <v>0</v>
      </c>
      <c r="G148" t="str">
        <f>IFERROR(INDEX(Работы!$K$2:$K$6000,MATCH($C148,Работы!$A$2:$A$6000,0)),"")</f>
        <v>Замер_демонтажа</v>
      </c>
      <c r="H148" s="9"/>
      <c r="I148" s="9"/>
      <c r="J148" s="8" t="str">
        <f>IFERROR(INDEX(Материалы!$B$2:$B$9000,MATCH($I148,Материалы!$A$2:$A$9000,0)),"")</f>
        <v/>
      </c>
      <c r="K148" t="str">
        <f>IF($I148="","",IF($F148=IFERROR(INDEX(Материалы!$G$2:$G$9000,MATCH($I148,Материалы!$A$2:$A$9000,0)),""),"OK","!! не та группа"))</f>
        <v/>
      </c>
      <c r="L148" s="10">
        <f>IFERROR(INDEX(Работы!$H$2:$H$6000,MATCH($C148,Работы!$A$2:$A$6000,0))*(1-ДисконтТендер),0)</f>
        <v>1612.66</v>
      </c>
      <c r="M148" s="10">
        <f>IF($I148="",0,IFERROR(INDEX(Материалы!$I$2:$I$9000,MATCH($I148,Материалы!$A$2:$A$9000,0))*IF(INDEX(Материалы!$J$2:$J$9000,MATCH($I148,Материалы!$A$2:$A$9000,0))="USD",КурсUSD,IF(INDEX(Материалы!$J$2:$J$9000,MATCH($I148,Материалы!$A$2:$A$9000,0))="EUR",КурсEUR,1))*INDEX(Материалы!$K$2:$K$9000,MATCH($I148,Материалы!$A$2:$A$9000,0))*(1+IFERROR(INDEX(Работы!$I$2:$I$6000,MATCH($C148,Работы!$A$2:$A$6000,0))/100,0))*(1-ДисконтТендер),0))</f>
        <v>0</v>
      </c>
      <c r="N148" s="10">
        <f t="shared" si="6"/>
        <v>0</v>
      </c>
      <c r="O148" s="10">
        <f t="shared" si="7"/>
        <v>0</v>
      </c>
      <c r="P148" s="10">
        <f t="shared" si="8"/>
        <v>0</v>
      </c>
      <c r="Q148" t="str">
        <f>IFERROR(INDEX(Работы!$J$2:$J$6000,MATCH($C148,Работы!$A$2:$A$6000,0)),"")</f>
        <v>типовая</v>
      </c>
      <c r="R148" t="s">
        <v>92</v>
      </c>
      <c r="T148" t="str">
        <f>IF(AND($P148&gt;0,$R148="да"),MAX($T$1:$T147)+1,"")</f>
        <v/>
      </c>
    </row>
    <row r="149" spans="1:20" x14ac:dyDescent="0.3">
      <c r="A149" t="str">
        <f>IFERROR(INDEX(Работы!$D$2:$D$6000,MATCH($C149,Работы!$A$2:$A$6000,0)),"")</f>
        <v>Р2</v>
      </c>
      <c r="B149" t="str">
        <f>IFERROR(INDEX(Работы!$F$2:$F$6000,MATCH($C149,Работы!$A$2:$A$6000,0)),"")</f>
        <v>5</v>
      </c>
      <c r="C149" t="str">
        <f>IFERROR(INDEX(Работы!$A$2:$A$6000,148),"")</f>
        <v>РАБ.Р2.5.003</v>
      </c>
      <c r="D149" s="8" t="str">
        <f>IFERROR(INDEX(Работы!$B$2:$B$6000,MATCH($C149,Работы!$A$2:$A$6000,0)),"")</f>
        <v>Демонтаж подоконных досок деревянных</v>
      </c>
      <c r="E149" t="str">
        <f>IFERROR(INDEX(Работы!$C$2:$C$6000,MATCH($C149,Работы!$A$2:$A$6000,0)),"")</f>
        <v>м.п.</v>
      </c>
      <c r="F149">
        <f>IFERROR(INDEX(Работы!$G$2:$G$6000,MATCH($C149,Работы!$A$2:$A$6000,0)),"")</f>
        <v>0</v>
      </c>
      <c r="G149" t="str">
        <f>IFERROR(INDEX(Работы!$K$2:$K$6000,MATCH($C149,Работы!$A$2:$A$6000,0)),"")</f>
        <v>Замер_демонтажа</v>
      </c>
      <c r="H149" s="9"/>
      <c r="I149" s="9"/>
      <c r="J149" s="8" t="str">
        <f>IFERROR(INDEX(Материалы!$B$2:$B$9000,MATCH($I149,Материалы!$A$2:$A$9000,0)),"")</f>
        <v/>
      </c>
      <c r="K149" t="str">
        <f>IF($I149="","",IF($F149=IFERROR(INDEX(Материалы!$G$2:$G$9000,MATCH($I149,Материалы!$A$2:$A$9000,0)),""),"OK","!! не та группа"))</f>
        <v/>
      </c>
      <c r="L149" s="10">
        <f>IFERROR(INDEX(Работы!$H$2:$H$6000,MATCH($C149,Работы!$A$2:$A$6000,0))*(1-ДисконтТендер),0)</f>
        <v>261</v>
      </c>
      <c r="M149" s="10">
        <f>IF($I149="",0,IFERROR(INDEX(Материалы!$I$2:$I$9000,MATCH($I149,Материалы!$A$2:$A$9000,0))*IF(INDEX(Материалы!$J$2:$J$9000,MATCH($I149,Материалы!$A$2:$A$9000,0))="USD",КурсUSD,IF(INDEX(Материалы!$J$2:$J$9000,MATCH($I149,Материалы!$A$2:$A$9000,0))="EUR",КурсEUR,1))*INDEX(Материалы!$K$2:$K$9000,MATCH($I149,Материалы!$A$2:$A$9000,0))*(1+IFERROR(INDEX(Работы!$I$2:$I$6000,MATCH($C149,Работы!$A$2:$A$6000,0))/100,0))*(1-ДисконтТендер),0))</f>
        <v>0</v>
      </c>
      <c r="N149" s="10">
        <f t="shared" si="6"/>
        <v>0</v>
      </c>
      <c r="O149" s="10">
        <f t="shared" si="7"/>
        <v>0</v>
      </c>
      <c r="P149" s="10">
        <f t="shared" si="8"/>
        <v>0</v>
      </c>
      <c r="Q149" t="str">
        <f>IFERROR(INDEX(Работы!$J$2:$J$6000,MATCH($C149,Работы!$A$2:$A$6000,0)),"")</f>
        <v>типовая</v>
      </c>
      <c r="R149" t="s">
        <v>92</v>
      </c>
      <c r="T149" t="str">
        <f>IF(AND($P149&gt;0,$R149="да"),MAX($T$1:$T148)+1,"")</f>
        <v/>
      </c>
    </row>
    <row r="150" spans="1:20" x14ac:dyDescent="0.3">
      <c r="A150" t="str">
        <f>IFERROR(INDEX(Работы!$D$2:$D$6000,MATCH($C150,Работы!$A$2:$A$6000,0)),"")</f>
        <v>Р2</v>
      </c>
      <c r="B150" t="str">
        <f>IFERROR(INDEX(Работы!$F$2:$F$6000,MATCH($C150,Работы!$A$2:$A$6000,0)),"")</f>
        <v>5</v>
      </c>
      <c r="C150" t="str">
        <f>IFERROR(INDEX(Работы!$A$2:$A$6000,149),"")</f>
        <v>РАБ.Р2.5.004</v>
      </c>
      <c r="D150" s="8" t="str">
        <f>IFERROR(INDEX(Работы!$B$2:$B$6000,MATCH($C150,Работы!$A$2:$A$6000,0)),"")</f>
        <v>Демонтаж подоконных досок бетонных</v>
      </c>
      <c r="E150" t="str">
        <f>IFERROR(INDEX(Работы!$C$2:$C$6000,MATCH($C150,Работы!$A$2:$A$6000,0)),"")</f>
        <v>м.п.</v>
      </c>
      <c r="F150">
        <f>IFERROR(INDEX(Работы!$G$2:$G$6000,MATCH($C150,Работы!$A$2:$A$6000,0)),"")</f>
        <v>0</v>
      </c>
      <c r="G150" t="str">
        <f>IFERROR(INDEX(Работы!$K$2:$K$6000,MATCH($C150,Работы!$A$2:$A$6000,0)),"")</f>
        <v>Замер_демонтажа</v>
      </c>
      <c r="H150" s="9"/>
      <c r="I150" s="9"/>
      <c r="J150" s="8" t="str">
        <f>IFERROR(INDEX(Материалы!$B$2:$B$9000,MATCH($I150,Материалы!$A$2:$A$9000,0)),"")</f>
        <v/>
      </c>
      <c r="K150" t="str">
        <f>IF($I150="","",IF($F150=IFERROR(INDEX(Материалы!$G$2:$G$9000,MATCH($I150,Материалы!$A$2:$A$9000,0)),""),"OK","!! не та группа"))</f>
        <v/>
      </c>
      <c r="L150" s="10">
        <f>IFERROR(INDEX(Работы!$H$2:$H$6000,MATCH($C150,Работы!$A$2:$A$6000,0))*(1-ДисконтТендер),0)</f>
        <v>689.04</v>
      </c>
      <c r="M150" s="10">
        <f>IF($I150="",0,IFERROR(INDEX(Материалы!$I$2:$I$9000,MATCH($I150,Материалы!$A$2:$A$9000,0))*IF(INDEX(Материалы!$J$2:$J$9000,MATCH($I150,Материалы!$A$2:$A$9000,0))="USD",КурсUSD,IF(INDEX(Материалы!$J$2:$J$9000,MATCH($I150,Материалы!$A$2:$A$9000,0))="EUR",КурсEUR,1))*INDEX(Материалы!$K$2:$K$9000,MATCH($I150,Материалы!$A$2:$A$9000,0))*(1+IFERROR(INDEX(Работы!$I$2:$I$6000,MATCH($C150,Работы!$A$2:$A$6000,0))/100,0))*(1-ДисконтТендер),0))</f>
        <v>0</v>
      </c>
      <c r="N150" s="10">
        <f t="shared" si="6"/>
        <v>0</v>
      </c>
      <c r="O150" s="10">
        <f t="shared" si="7"/>
        <v>0</v>
      </c>
      <c r="P150" s="10">
        <f t="shared" si="8"/>
        <v>0</v>
      </c>
      <c r="Q150" t="str">
        <f>IFERROR(INDEX(Работы!$J$2:$J$6000,MATCH($C150,Работы!$A$2:$A$6000,0)),"")</f>
        <v>типовая</v>
      </c>
      <c r="R150" t="s">
        <v>92</v>
      </c>
      <c r="T150" t="str">
        <f>IF(AND($P150&gt;0,$R150="да"),MAX($T$1:$T149)+1,"")</f>
        <v/>
      </c>
    </row>
    <row r="151" spans="1:20" x14ac:dyDescent="0.3">
      <c r="A151" t="str">
        <f>IFERROR(INDEX(Работы!$D$2:$D$6000,MATCH($C151,Работы!$A$2:$A$6000,0)),"")</f>
        <v>Р2</v>
      </c>
      <c r="B151" t="str">
        <f>IFERROR(INDEX(Работы!$F$2:$F$6000,MATCH($C151,Работы!$A$2:$A$6000,0)),"")</f>
        <v>5</v>
      </c>
      <c r="C151" t="str">
        <f>IFERROR(INDEX(Работы!$A$2:$A$6000,150),"")</f>
        <v>РАБ.Р2.5.005</v>
      </c>
      <c r="D151" s="8" t="str">
        <f>IFERROR(INDEX(Работы!$B$2:$B$6000,MATCH($C151,Работы!$A$2:$A$6000,0)),"")</f>
        <v>Демонтаж отливов из оцинкованной стали</v>
      </c>
      <c r="E151" t="str">
        <f>IFERROR(INDEX(Работы!$C$2:$C$6000,MATCH($C151,Работы!$A$2:$A$6000,0)),"")</f>
        <v>м.п.</v>
      </c>
      <c r="F151">
        <f>IFERROR(INDEX(Работы!$G$2:$G$6000,MATCH($C151,Работы!$A$2:$A$6000,0)),"")</f>
        <v>0</v>
      </c>
      <c r="G151" t="str">
        <f>IFERROR(INDEX(Работы!$K$2:$K$6000,MATCH($C151,Работы!$A$2:$A$6000,0)),"")</f>
        <v>Замер_демонтажа</v>
      </c>
      <c r="H151" s="9"/>
      <c r="I151" s="9"/>
      <c r="J151" s="8" t="str">
        <f>IFERROR(INDEX(Материалы!$B$2:$B$9000,MATCH($I151,Материалы!$A$2:$A$9000,0)),"")</f>
        <v/>
      </c>
      <c r="K151" t="str">
        <f>IF($I151="","",IF($F151=IFERROR(INDEX(Материалы!$G$2:$G$9000,MATCH($I151,Материалы!$A$2:$A$9000,0)),""),"OK","!! не та группа"))</f>
        <v/>
      </c>
      <c r="L151" s="10">
        <f>IFERROR(INDEX(Работы!$H$2:$H$6000,MATCH($C151,Работы!$A$2:$A$6000,0))*(1-ДисконтТендер),0)</f>
        <v>111.79</v>
      </c>
      <c r="M151" s="10">
        <f>IF($I151="",0,IFERROR(INDEX(Материалы!$I$2:$I$9000,MATCH($I151,Материалы!$A$2:$A$9000,0))*IF(INDEX(Материалы!$J$2:$J$9000,MATCH($I151,Материалы!$A$2:$A$9000,0))="USD",КурсUSD,IF(INDEX(Материалы!$J$2:$J$9000,MATCH($I151,Материалы!$A$2:$A$9000,0))="EUR",КурсEUR,1))*INDEX(Материалы!$K$2:$K$9000,MATCH($I151,Материалы!$A$2:$A$9000,0))*(1+IFERROR(INDEX(Работы!$I$2:$I$6000,MATCH($C151,Работы!$A$2:$A$6000,0))/100,0))*(1-ДисконтТендер),0))</f>
        <v>0</v>
      </c>
      <c r="N151" s="10">
        <f t="shared" si="6"/>
        <v>0</v>
      </c>
      <c r="O151" s="10">
        <f t="shared" si="7"/>
        <v>0</v>
      </c>
      <c r="P151" s="10">
        <f t="shared" si="8"/>
        <v>0</v>
      </c>
      <c r="Q151" t="str">
        <f>IFERROR(INDEX(Работы!$J$2:$J$6000,MATCH($C151,Работы!$A$2:$A$6000,0)),"")</f>
        <v>типовая</v>
      </c>
      <c r="R151" t="s">
        <v>92</v>
      </c>
      <c r="T151" t="str">
        <f>IF(AND($P151&gt;0,$R151="да"),MAX($T$1:$T150)+1,"")</f>
        <v/>
      </c>
    </row>
    <row r="152" spans="1:20" x14ac:dyDescent="0.3">
      <c r="A152" t="str">
        <f>IFERROR(INDEX(Работы!$D$2:$D$6000,MATCH($C152,Работы!$A$2:$A$6000,0)),"")</f>
        <v>Р2</v>
      </c>
      <c r="B152" t="str">
        <f>IFERROR(INDEX(Работы!$F$2:$F$6000,MATCH($C152,Работы!$A$2:$A$6000,0)),"")</f>
        <v>5</v>
      </c>
      <c r="C152" t="str">
        <f>IFERROR(INDEX(Работы!$A$2:$A$6000,151),"")</f>
        <v>РАБ.Р2.5.006</v>
      </c>
      <c r="D152" s="8" t="str">
        <f>IFERROR(INDEX(Работы!$B$2:$B$6000,MATCH($C152,Работы!$A$2:$A$6000,0)),"")</f>
        <v>Демонтаж откосов ПВХ</v>
      </c>
      <c r="E152" t="str">
        <f>IFERROR(INDEX(Работы!$C$2:$C$6000,MATCH($C152,Работы!$A$2:$A$6000,0)),"")</f>
        <v>м2</v>
      </c>
      <c r="F152">
        <f>IFERROR(INDEX(Работы!$G$2:$G$6000,MATCH($C152,Работы!$A$2:$A$6000,0)),"")</f>
        <v>0</v>
      </c>
      <c r="G152" t="str">
        <f>IFERROR(INDEX(Работы!$K$2:$K$6000,MATCH($C152,Работы!$A$2:$A$6000,0)),"")</f>
        <v>Замер_демонтажа</v>
      </c>
      <c r="H152" s="9"/>
      <c r="I152" s="9"/>
      <c r="J152" s="8" t="str">
        <f>IFERROR(INDEX(Материалы!$B$2:$B$9000,MATCH($I152,Материалы!$A$2:$A$9000,0)),"")</f>
        <v/>
      </c>
      <c r="K152" t="str">
        <f>IF($I152="","",IF($F152=IFERROR(INDEX(Материалы!$G$2:$G$9000,MATCH($I152,Материалы!$A$2:$A$9000,0)),""),"OK","!! не та группа"))</f>
        <v/>
      </c>
      <c r="L152" s="10">
        <f>IFERROR(INDEX(Работы!$H$2:$H$6000,MATCH($C152,Работы!$A$2:$A$6000,0))*(1-ДисконтТендер),0)</f>
        <v>130.5</v>
      </c>
      <c r="M152" s="10">
        <f>IF($I152="",0,IFERROR(INDEX(Материалы!$I$2:$I$9000,MATCH($I152,Материалы!$A$2:$A$9000,0))*IF(INDEX(Материалы!$J$2:$J$9000,MATCH($I152,Материалы!$A$2:$A$9000,0))="USD",КурсUSD,IF(INDEX(Материалы!$J$2:$J$9000,MATCH($I152,Материалы!$A$2:$A$9000,0))="EUR",КурсEUR,1))*INDEX(Материалы!$K$2:$K$9000,MATCH($I152,Материалы!$A$2:$A$9000,0))*(1+IFERROR(INDEX(Работы!$I$2:$I$6000,MATCH($C152,Работы!$A$2:$A$6000,0))/100,0))*(1-ДисконтТендер),0))</f>
        <v>0</v>
      </c>
      <c r="N152" s="10">
        <f t="shared" si="6"/>
        <v>0</v>
      </c>
      <c r="O152" s="10">
        <f t="shared" si="7"/>
        <v>0</v>
      </c>
      <c r="P152" s="10">
        <f t="shared" si="8"/>
        <v>0</v>
      </c>
      <c r="Q152" t="str">
        <f>IFERROR(INDEX(Работы!$J$2:$J$6000,MATCH($C152,Работы!$A$2:$A$6000,0)),"")</f>
        <v>типовая</v>
      </c>
      <c r="R152" t="s">
        <v>92</v>
      </c>
      <c r="T152" t="str">
        <f>IF(AND($P152&gt;0,$R152="да"),MAX($T$1:$T151)+1,"")</f>
        <v/>
      </c>
    </row>
    <row r="153" spans="1:20" ht="28.8" x14ac:dyDescent="0.3">
      <c r="A153" t="str">
        <f>IFERROR(INDEX(Работы!$D$2:$D$6000,MATCH($C153,Работы!$A$2:$A$6000,0)),"")</f>
        <v>Р2</v>
      </c>
      <c r="B153" t="str">
        <f>IFERROR(INDEX(Работы!$F$2:$F$6000,MATCH($C153,Работы!$A$2:$A$6000,0)),"")</f>
        <v>6</v>
      </c>
      <c r="C153" t="str">
        <f>IFERROR(INDEX(Работы!$A$2:$A$6000,152),"")</f>
        <v>РАБ.Р2.6.001</v>
      </c>
      <c r="D153" s="8" t="str">
        <f>IFERROR(INDEX(Работы!$B$2:$B$6000,MATCH($C153,Работы!$A$2:$A$6000,0)),"")</f>
        <v>Демонтаж рулонной кровли из оклеечных изоляционных материалов в два слоя</v>
      </c>
      <c r="E153" t="str">
        <f>IFERROR(INDEX(Работы!$C$2:$C$6000,MATCH($C153,Работы!$A$2:$A$6000,0)),"")</f>
        <v>м2</v>
      </c>
      <c r="F153">
        <f>IFERROR(INDEX(Работы!$G$2:$G$6000,MATCH($C153,Работы!$A$2:$A$6000,0)),"")</f>
        <v>0</v>
      </c>
      <c r="G153" t="str">
        <f>IFERROR(INDEX(Работы!$K$2:$K$6000,MATCH($C153,Работы!$A$2:$A$6000,0)),"")</f>
        <v>Замер_демонтажа</v>
      </c>
      <c r="H153" s="9"/>
      <c r="I153" s="9"/>
      <c r="J153" s="8" t="str">
        <f>IFERROR(INDEX(Материалы!$B$2:$B$9000,MATCH($I153,Материалы!$A$2:$A$9000,0)),"")</f>
        <v/>
      </c>
      <c r="K153" t="str">
        <f>IF($I153="","",IF($F153=IFERROR(INDEX(Материалы!$G$2:$G$9000,MATCH($I153,Материалы!$A$2:$A$9000,0)),""),"OK","!! не та группа"))</f>
        <v/>
      </c>
      <c r="L153" s="10">
        <f>IFERROR(INDEX(Работы!$H$2:$H$6000,MATCH($C153,Работы!$A$2:$A$6000,0))*(1-ДисконтТендер),0)</f>
        <v>1460</v>
      </c>
      <c r="M153" s="10">
        <f>IF($I153="",0,IFERROR(INDEX(Материалы!$I$2:$I$9000,MATCH($I153,Материалы!$A$2:$A$9000,0))*IF(INDEX(Материалы!$J$2:$J$9000,MATCH($I153,Материалы!$A$2:$A$9000,0))="USD",КурсUSD,IF(INDEX(Материалы!$J$2:$J$9000,MATCH($I153,Материалы!$A$2:$A$9000,0))="EUR",КурсEUR,1))*INDEX(Материалы!$K$2:$K$9000,MATCH($I153,Материалы!$A$2:$A$9000,0))*(1+IFERROR(INDEX(Работы!$I$2:$I$6000,MATCH($C153,Работы!$A$2:$A$6000,0))/100,0))*(1-ДисконтТендер),0))</f>
        <v>0</v>
      </c>
      <c r="N153" s="10">
        <f t="shared" si="6"/>
        <v>0</v>
      </c>
      <c r="O153" s="10">
        <f t="shared" si="7"/>
        <v>0</v>
      </c>
      <c r="P153" s="10">
        <f t="shared" si="8"/>
        <v>0</v>
      </c>
      <c r="Q153" t="str">
        <f>IFERROR(INDEX(Работы!$J$2:$J$6000,MATCH($C153,Работы!$A$2:$A$6000,0)),"")</f>
        <v>нетиповая</v>
      </c>
      <c r="R153" t="s">
        <v>92</v>
      </c>
      <c r="T153" t="str">
        <f>IF(AND($P153&gt;0,$R153="да"),MAX($T$1:$T152)+1,"")</f>
        <v/>
      </c>
    </row>
    <row r="154" spans="1:20" ht="28.8" x14ac:dyDescent="0.3">
      <c r="A154" t="str">
        <f>IFERROR(INDEX(Работы!$D$2:$D$6000,MATCH($C154,Работы!$A$2:$A$6000,0)),"")</f>
        <v>Р2</v>
      </c>
      <c r="B154" t="str">
        <f>IFERROR(INDEX(Работы!$F$2:$F$6000,MATCH($C154,Работы!$A$2:$A$6000,0)),"")</f>
        <v>6</v>
      </c>
      <c r="C154" t="str">
        <f>IFERROR(INDEX(Работы!$A$2:$A$6000,153),"")</f>
        <v>РАБ.Р2.6.002</v>
      </c>
      <c r="D154" s="8" t="str">
        <f>IFERROR(INDEX(Работы!$B$2:$B$6000,MATCH($C154,Работы!$A$2:$A$6000,0)),"")</f>
        <v>Демонтаж покрытия кровли из профлиста, металлочерепицы, андулина, металла.</v>
      </c>
      <c r="E154" t="str">
        <f>IFERROR(INDEX(Работы!$C$2:$C$6000,MATCH($C154,Работы!$A$2:$A$6000,0)),"")</f>
        <v>м2</v>
      </c>
      <c r="F154">
        <f>IFERROR(INDEX(Работы!$G$2:$G$6000,MATCH($C154,Работы!$A$2:$A$6000,0)),"")</f>
        <v>0</v>
      </c>
      <c r="G154" t="str">
        <f>IFERROR(INDEX(Работы!$K$2:$K$6000,MATCH($C154,Работы!$A$2:$A$6000,0)),"")</f>
        <v>Замер_демонтажа</v>
      </c>
      <c r="H154" s="9"/>
      <c r="I154" s="9"/>
      <c r="J154" s="8" t="str">
        <f>IFERROR(INDEX(Материалы!$B$2:$B$9000,MATCH($I154,Материалы!$A$2:$A$9000,0)),"")</f>
        <v/>
      </c>
      <c r="K154" t="str">
        <f>IF($I154="","",IF($F154=IFERROR(INDEX(Материалы!$G$2:$G$9000,MATCH($I154,Материалы!$A$2:$A$9000,0)),""),"OK","!! не та группа"))</f>
        <v/>
      </c>
      <c r="L154" s="10">
        <f>IFERROR(INDEX(Работы!$H$2:$H$6000,MATCH($C154,Работы!$A$2:$A$6000,0))*(1-ДисконтТендер),0)</f>
        <v>422.78</v>
      </c>
      <c r="M154" s="10">
        <f>IF($I154="",0,IFERROR(INDEX(Материалы!$I$2:$I$9000,MATCH($I154,Материалы!$A$2:$A$9000,0))*IF(INDEX(Материалы!$J$2:$J$9000,MATCH($I154,Материалы!$A$2:$A$9000,0))="USD",КурсUSD,IF(INDEX(Материалы!$J$2:$J$9000,MATCH($I154,Материалы!$A$2:$A$9000,0))="EUR",КурсEUR,1))*INDEX(Материалы!$K$2:$K$9000,MATCH($I154,Материалы!$A$2:$A$9000,0))*(1+IFERROR(INDEX(Работы!$I$2:$I$6000,MATCH($C154,Работы!$A$2:$A$6000,0))/100,0))*(1-ДисконтТендер),0))</f>
        <v>0</v>
      </c>
      <c r="N154" s="10">
        <f t="shared" si="6"/>
        <v>0</v>
      </c>
      <c r="O154" s="10">
        <f t="shared" si="7"/>
        <v>0</v>
      </c>
      <c r="P154" s="10">
        <f t="shared" si="8"/>
        <v>0</v>
      </c>
      <c r="Q154" t="str">
        <f>IFERROR(INDEX(Работы!$J$2:$J$6000,MATCH($C154,Работы!$A$2:$A$6000,0)),"")</f>
        <v>нетиповая</v>
      </c>
      <c r="R154" t="s">
        <v>92</v>
      </c>
      <c r="T154" t="str">
        <f>IF(AND($P154&gt;0,$R154="да"),MAX($T$1:$T153)+1,"")</f>
        <v/>
      </c>
    </row>
    <row r="155" spans="1:20" ht="28.8" x14ac:dyDescent="0.3">
      <c r="A155" t="str">
        <f>IFERROR(INDEX(Работы!$D$2:$D$6000,MATCH($C155,Работы!$A$2:$A$6000,0)),"")</f>
        <v>Р2</v>
      </c>
      <c r="B155" t="str">
        <f>IFERROR(INDEX(Работы!$F$2:$F$6000,MATCH($C155,Работы!$A$2:$A$6000,0)),"")</f>
        <v>6</v>
      </c>
      <c r="C155" t="str">
        <f>IFERROR(INDEX(Работы!$A$2:$A$6000,154),"")</f>
        <v>РАБ.Р2.6.003</v>
      </c>
      <c r="D155" s="8" t="str">
        <f>IFERROR(INDEX(Работы!$B$2:$B$6000,MATCH($C155,Работы!$A$2:$A$6000,0)),"")</f>
        <v>Демонтаж стропильной части кровли включая обрешетку</v>
      </c>
      <c r="E155" t="str">
        <f>IFERROR(INDEX(Работы!$C$2:$C$6000,MATCH($C155,Работы!$A$2:$A$6000,0)),"")</f>
        <v>м2</v>
      </c>
      <c r="F155">
        <f>IFERROR(INDEX(Работы!$G$2:$G$6000,MATCH($C155,Работы!$A$2:$A$6000,0)),"")</f>
        <v>0</v>
      </c>
      <c r="G155" t="str">
        <f>IFERROR(INDEX(Работы!$K$2:$K$6000,MATCH($C155,Работы!$A$2:$A$6000,0)),"")</f>
        <v>Замер_демонтажа</v>
      </c>
      <c r="H155" s="9"/>
      <c r="I155" s="9"/>
      <c r="J155" s="8" t="str">
        <f>IFERROR(INDEX(Материалы!$B$2:$B$9000,MATCH($I155,Материалы!$A$2:$A$9000,0)),"")</f>
        <v/>
      </c>
      <c r="K155" t="str">
        <f>IF($I155="","",IF($F155=IFERROR(INDEX(Материалы!$G$2:$G$9000,MATCH($I155,Материалы!$A$2:$A$9000,0)),""),"OK","!! не та группа"))</f>
        <v/>
      </c>
      <c r="L155" s="10">
        <f>IFERROR(INDEX(Работы!$H$2:$H$6000,MATCH($C155,Работы!$A$2:$A$6000,0))*(1-ДисконтТендер),0)</f>
        <v>1379.7</v>
      </c>
      <c r="M155" s="10">
        <f>IF($I155="",0,IFERROR(INDEX(Материалы!$I$2:$I$9000,MATCH($I155,Материалы!$A$2:$A$9000,0))*IF(INDEX(Материалы!$J$2:$J$9000,MATCH($I155,Материалы!$A$2:$A$9000,0))="USD",КурсUSD,IF(INDEX(Материалы!$J$2:$J$9000,MATCH($I155,Материалы!$A$2:$A$9000,0))="EUR",КурсEUR,1))*INDEX(Материалы!$K$2:$K$9000,MATCH($I155,Материалы!$A$2:$A$9000,0))*(1+IFERROR(INDEX(Работы!$I$2:$I$6000,MATCH($C155,Работы!$A$2:$A$6000,0))/100,0))*(1-ДисконтТендер),0))</f>
        <v>0</v>
      </c>
      <c r="N155" s="10">
        <f t="shared" si="6"/>
        <v>0</v>
      </c>
      <c r="O155" s="10">
        <f t="shared" si="7"/>
        <v>0</v>
      </c>
      <c r="P155" s="10">
        <f t="shared" si="8"/>
        <v>0</v>
      </c>
      <c r="Q155" t="str">
        <f>IFERROR(INDEX(Работы!$J$2:$J$6000,MATCH($C155,Работы!$A$2:$A$6000,0)),"")</f>
        <v>нетиповая</v>
      </c>
      <c r="R155" t="s">
        <v>92</v>
      </c>
      <c r="T155" t="str">
        <f>IF(AND($P155&gt;0,$R155="да"),MAX($T$1:$T154)+1,"")</f>
        <v/>
      </c>
    </row>
    <row r="156" spans="1:20" x14ac:dyDescent="0.3">
      <c r="A156" t="str">
        <f>IFERROR(INDEX(Работы!$D$2:$D$6000,MATCH($C156,Работы!$A$2:$A$6000,0)),"")</f>
        <v>Р2</v>
      </c>
      <c r="B156" t="str">
        <f>IFERROR(INDEX(Работы!$F$2:$F$6000,MATCH($C156,Работы!$A$2:$A$6000,0)),"")</f>
        <v>6</v>
      </c>
      <c r="C156" t="str">
        <f>IFERROR(INDEX(Работы!$A$2:$A$6000,155),"")</f>
        <v>РАБ.Р2.6.004</v>
      </c>
      <c r="D156" s="8" t="str">
        <f>IFERROR(INDEX(Работы!$B$2:$B$6000,MATCH($C156,Работы!$A$2:$A$6000,0)),"")</f>
        <v>Демонтаж утеплителя кровли</v>
      </c>
      <c r="E156" t="str">
        <f>IFERROR(INDEX(Работы!$C$2:$C$6000,MATCH($C156,Работы!$A$2:$A$6000,0)),"")</f>
        <v>м3</v>
      </c>
      <c r="F156">
        <f>IFERROR(INDEX(Работы!$G$2:$G$6000,MATCH($C156,Работы!$A$2:$A$6000,0)),"")</f>
        <v>0</v>
      </c>
      <c r="G156" t="str">
        <f>IFERROR(INDEX(Работы!$K$2:$K$6000,MATCH($C156,Работы!$A$2:$A$6000,0)),"")</f>
        <v>Замер_демонтажа</v>
      </c>
      <c r="H156" s="9"/>
      <c r="I156" s="9"/>
      <c r="J156" s="8" t="str">
        <f>IFERROR(INDEX(Материалы!$B$2:$B$9000,MATCH($I156,Материалы!$A$2:$A$9000,0)),"")</f>
        <v/>
      </c>
      <c r="K156" t="str">
        <f>IF($I156="","",IF($F156=IFERROR(INDEX(Материалы!$G$2:$G$9000,MATCH($I156,Материалы!$A$2:$A$9000,0)),""),"OK","!! не та группа"))</f>
        <v/>
      </c>
      <c r="L156" s="10">
        <f>IFERROR(INDEX(Работы!$H$2:$H$6000,MATCH($C156,Работы!$A$2:$A$6000,0))*(1-ДисконтТендер),0)</f>
        <v>1163.98</v>
      </c>
      <c r="M156" s="10">
        <f>IF($I156="",0,IFERROR(INDEX(Материалы!$I$2:$I$9000,MATCH($I156,Материалы!$A$2:$A$9000,0))*IF(INDEX(Материалы!$J$2:$J$9000,MATCH($I156,Материалы!$A$2:$A$9000,0))="USD",КурсUSD,IF(INDEX(Материалы!$J$2:$J$9000,MATCH($I156,Материалы!$A$2:$A$9000,0))="EUR",КурсEUR,1))*INDEX(Материалы!$K$2:$K$9000,MATCH($I156,Материалы!$A$2:$A$9000,0))*(1+IFERROR(INDEX(Работы!$I$2:$I$6000,MATCH($C156,Работы!$A$2:$A$6000,0))/100,0))*(1-ДисконтТендер),0))</f>
        <v>0</v>
      </c>
      <c r="N156" s="10">
        <f t="shared" si="6"/>
        <v>0</v>
      </c>
      <c r="O156" s="10">
        <f t="shared" si="7"/>
        <v>0</v>
      </c>
      <c r="P156" s="10">
        <f t="shared" si="8"/>
        <v>0</v>
      </c>
      <c r="Q156" t="str">
        <f>IFERROR(INDEX(Работы!$J$2:$J$6000,MATCH($C156,Работы!$A$2:$A$6000,0)),"")</f>
        <v>нетиповая</v>
      </c>
      <c r="R156" t="s">
        <v>92</v>
      </c>
      <c r="T156" t="str">
        <f>IF(AND($P156&gt;0,$R156="да"),MAX($T$1:$T155)+1,"")</f>
        <v/>
      </c>
    </row>
    <row r="157" spans="1:20" x14ac:dyDescent="0.3">
      <c r="A157" t="str">
        <f>IFERROR(INDEX(Работы!$D$2:$D$6000,MATCH($C157,Работы!$A$2:$A$6000,0)),"")</f>
        <v>Р2</v>
      </c>
      <c r="B157" t="str">
        <f>IFERROR(INDEX(Работы!$F$2:$F$6000,MATCH($C157,Работы!$A$2:$A$6000,0)),"")</f>
        <v>6</v>
      </c>
      <c r="C157" t="str">
        <f>IFERROR(INDEX(Работы!$A$2:$A$6000,156),"")</f>
        <v>РАБ.Р2.6.005</v>
      </c>
      <c r="D157" s="8" t="str">
        <f>IFERROR(INDEX(Работы!$B$2:$B$6000,MATCH($C157,Работы!$A$2:$A$6000,0)),"")</f>
        <v>Демонтаж отливов, водостоков.</v>
      </c>
      <c r="E157" t="str">
        <f>IFERROR(INDEX(Работы!$C$2:$C$6000,MATCH($C157,Работы!$A$2:$A$6000,0)),"")</f>
        <v>м.п.</v>
      </c>
      <c r="F157">
        <f>IFERROR(INDEX(Работы!$G$2:$G$6000,MATCH($C157,Работы!$A$2:$A$6000,0)),"")</f>
        <v>0</v>
      </c>
      <c r="G157" t="str">
        <f>IFERROR(INDEX(Работы!$K$2:$K$6000,MATCH($C157,Работы!$A$2:$A$6000,0)),"")</f>
        <v>Замер_демонтажа</v>
      </c>
      <c r="H157" s="9"/>
      <c r="I157" s="9"/>
      <c r="J157" s="8" t="str">
        <f>IFERROR(INDEX(Материалы!$B$2:$B$9000,MATCH($I157,Материалы!$A$2:$A$9000,0)),"")</f>
        <v/>
      </c>
      <c r="K157" t="str">
        <f>IF($I157="","",IF($F157=IFERROR(INDEX(Материалы!$G$2:$G$9000,MATCH($I157,Материалы!$A$2:$A$9000,0)),""),"OK","!! не та группа"))</f>
        <v/>
      </c>
      <c r="L157" s="10">
        <f>IFERROR(INDEX(Работы!$H$2:$H$6000,MATCH($C157,Работы!$A$2:$A$6000,0))*(1-ДисконтТендер),0)</f>
        <v>209</v>
      </c>
      <c r="M157" s="10">
        <f>IF($I157="",0,IFERROR(INDEX(Материалы!$I$2:$I$9000,MATCH($I157,Материалы!$A$2:$A$9000,0))*IF(INDEX(Материалы!$J$2:$J$9000,MATCH($I157,Материалы!$A$2:$A$9000,0))="USD",КурсUSD,IF(INDEX(Материалы!$J$2:$J$9000,MATCH($I157,Материалы!$A$2:$A$9000,0))="EUR",КурсEUR,1))*INDEX(Материалы!$K$2:$K$9000,MATCH($I157,Материалы!$A$2:$A$9000,0))*(1+IFERROR(INDEX(Работы!$I$2:$I$6000,MATCH($C157,Работы!$A$2:$A$6000,0))/100,0))*(1-ДисконтТендер),0))</f>
        <v>0</v>
      </c>
      <c r="N157" s="10">
        <f t="shared" si="6"/>
        <v>0</v>
      </c>
      <c r="O157" s="10">
        <f t="shared" si="7"/>
        <v>0</v>
      </c>
      <c r="P157" s="10">
        <f t="shared" si="8"/>
        <v>0</v>
      </c>
      <c r="Q157" t="str">
        <f>IFERROR(INDEX(Работы!$J$2:$J$6000,MATCH($C157,Работы!$A$2:$A$6000,0)),"")</f>
        <v>типовая</v>
      </c>
      <c r="R157" t="s">
        <v>92</v>
      </c>
      <c r="T157" t="str">
        <f>IF(AND($P157&gt;0,$R157="да"),MAX($T$1:$T156)+1,"")</f>
        <v/>
      </c>
    </row>
    <row r="158" spans="1:20" x14ac:dyDescent="0.3">
      <c r="A158" t="str">
        <f>IFERROR(INDEX(Работы!$D$2:$D$6000,MATCH($C158,Работы!$A$2:$A$6000,0)),"")</f>
        <v>Р2</v>
      </c>
      <c r="B158" t="str">
        <f>IFERROR(INDEX(Работы!$F$2:$F$6000,MATCH($C158,Работы!$A$2:$A$6000,0)),"")</f>
        <v>7</v>
      </c>
      <c r="C158" t="str">
        <f>IFERROR(INDEX(Работы!$A$2:$A$6000,157),"")</f>
        <v>РАБ.Р2.7.001</v>
      </c>
      <c r="D158" s="8" t="str">
        <f>IFERROR(INDEX(Работы!$B$2:$B$6000,MATCH($C158,Работы!$A$2:$A$6000,0)),"")</f>
        <v>Разборка тротуарной плитки</v>
      </c>
      <c r="E158" t="str">
        <f>IFERROR(INDEX(Работы!$C$2:$C$6000,MATCH($C158,Работы!$A$2:$A$6000,0)),"")</f>
        <v>м2</v>
      </c>
      <c r="F158">
        <f>IFERROR(INDEX(Работы!$G$2:$G$6000,MATCH($C158,Работы!$A$2:$A$6000,0)),"")</f>
        <v>0</v>
      </c>
      <c r="G158" t="str">
        <f>IFERROR(INDEX(Работы!$K$2:$K$6000,MATCH($C158,Работы!$A$2:$A$6000,0)),"")</f>
        <v>Замер_демонтажа</v>
      </c>
      <c r="H158" s="9"/>
      <c r="I158" s="9"/>
      <c r="J158" s="8" t="str">
        <f>IFERROR(INDEX(Материалы!$B$2:$B$9000,MATCH($I158,Материалы!$A$2:$A$9000,0)),"")</f>
        <v/>
      </c>
      <c r="K158" t="str">
        <f>IF($I158="","",IF($F158=IFERROR(INDEX(Материалы!$G$2:$G$9000,MATCH($I158,Материалы!$A$2:$A$9000,0)),""),"OK","!! не та группа"))</f>
        <v/>
      </c>
      <c r="L158" s="10">
        <f>IFERROR(INDEX(Работы!$H$2:$H$6000,MATCH($C158,Работы!$A$2:$A$6000,0))*(1-ДисконтТендер),0)</f>
        <v>339.3</v>
      </c>
      <c r="M158" s="10">
        <f>IF($I158="",0,IFERROR(INDEX(Материалы!$I$2:$I$9000,MATCH($I158,Материалы!$A$2:$A$9000,0))*IF(INDEX(Материалы!$J$2:$J$9000,MATCH($I158,Материалы!$A$2:$A$9000,0))="USD",КурсUSD,IF(INDEX(Материалы!$J$2:$J$9000,MATCH($I158,Материалы!$A$2:$A$9000,0))="EUR",КурсEUR,1))*INDEX(Материалы!$K$2:$K$9000,MATCH($I158,Материалы!$A$2:$A$9000,0))*(1+IFERROR(INDEX(Работы!$I$2:$I$6000,MATCH($C158,Работы!$A$2:$A$6000,0))/100,0))*(1-ДисконтТендер),0))</f>
        <v>0</v>
      </c>
      <c r="N158" s="10">
        <f t="shared" si="6"/>
        <v>0</v>
      </c>
      <c r="O158" s="10">
        <f t="shared" si="7"/>
        <v>0</v>
      </c>
      <c r="P158" s="10">
        <f t="shared" si="8"/>
        <v>0</v>
      </c>
      <c r="Q158" t="str">
        <f>IFERROR(INDEX(Работы!$J$2:$J$6000,MATCH($C158,Работы!$A$2:$A$6000,0)),"")</f>
        <v>типовая</v>
      </c>
      <c r="R158" t="s">
        <v>92</v>
      </c>
      <c r="T158" t="str">
        <f>IF(AND($P158&gt;0,$R158="да"),MAX($T$1:$T157)+1,"")</f>
        <v/>
      </c>
    </row>
    <row r="159" spans="1:20" x14ac:dyDescent="0.3">
      <c r="A159" t="str">
        <f>IFERROR(INDEX(Работы!$D$2:$D$6000,MATCH($C159,Работы!$A$2:$A$6000,0)),"")</f>
        <v>Р2</v>
      </c>
      <c r="B159" t="str">
        <f>IFERROR(INDEX(Работы!$F$2:$F$6000,MATCH($C159,Работы!$A$2:$A$6000,0)),"")</f>
        <v>7</v>
      </c>
      <c r="C159" t="str">
        <f>IFERROR(INDEX(Работы!$A$2:$A$6000,158),"")</f>
        <v>РАБ.Р2.7.002</v>
      </c>
      <c r="D159" s="8" t="str">
        <f>IFERROR(INDEX(Работы!$B$2:$B$6000,MATCH($C159,Работы!$A$2:$A$6000,0)),"")</f>
        <v>Разборка асфальтового покрытия</v>
      </c>
      <c r="E159" t="str">
        <f>IFERROR(INDEX(Работы!$C$2:$C$6000,MATCH($C159,Работы!$A$2:$A$6000,0)),"")</f>
        <v>м2</v>
      </c>
      <c r="F159">
        <f>IFERROR(INDEX(Работы!$G$2:$G$6000,MATCH($C159,Работы!$A$2:$A$6000,0)),"")</f>
        <v>0</v>
      </c>
      <c r="G159" t="str">
        <f>IFERROR(INDEX(Работы!$K$2:$K$6000,MATCH($C159,Работы!$A$2:$A$6000,0)),"")</f>
        <v>Замер_демонтажа</v>
      </c>
      <c r="H159" s="9"/>
      <c r="I159" s="9"/>
      <c r="J159" s="8" t="str">
        <f>IFERROR(INDEX(Материалы!$B$2:$B$9000,MATCH($I159,Материалы!$A$2:$A$9000,0)),"")</f>
        <v/>
      </c>
      <c r="K159" t="str">
        <f>IF($I159="","",IF($F159=IFERROR(INDEX(Материалы!$G$2:$G$9000,MATCH($I159,Материалы!$A$2:$A$9000,0)),""),"OK","!! не та группа"))</f>
        <v/>
      </c>
      <c r="L159" s="10">
        <f>IFERROR(INDEX(Работы!$H$2:$H$6000,MATCH($C159,Работы!$A$2:$A$6000,0))*(1-ДисконтТендер),0)</f>
        <v>882.18</v>
      </c>
      <c r="M159" s="10">
        <f>IF($I159="",0,IFERROR(INDEX(Материалы!$I$2:$I$9000,MATCH($I159,Материалы!$A$2:$A$9000,0))*IF(INDEX(Материалы!$J$2:$J$9000,MATCH($I159,Материалы!$A$2:$A$9000,0))="USD",КурсUSD,IF(INDEX(Материалы!$J$2:$J$9000,MATCH($I159,Материалы!$A$2:$A$9000,0))="EUR",КурсEUR,1))*INDEX(Материалы!$K$2:$K$9000,MATCH($I159,Материалы!$A$2:$A$9000,0))*(1+IFERROR(INDEX(Работы!$I$2:$I$6000,MATCH($C159,Работы!$A$2:$A$6000,0))/100,0))*(1-ДисконтТендер),0))</f>
        <v>0</v>
      </c>
      <c r="N159" s="10">
        <f t="shared" si="6"/>
        <v>0</v>
      </c>
      <c r="O159" s="10">
        <f t="shared" si="7"/>
        <v>0</v>
      </c>
      <c r="P159" s="10">
        <f t="shared" si="8"/>
        <v>0</v>
      </c>
      <c r="Q159" t="str">
        <f>IFERROR(INDEX(Работы!$J$2:$J$6000,MATCH($C159,Работы!$A$2:$A$6000,0)),"")</f>
        <v>типовая</v>
      </c>
      <c r="R159" t="s">
        <v>92</v>
      </c>
      <c r="T159" t="str">
        <f>IF(AND($P159&gt;0,$R159="да"),MAX($T$1:$T158)+1,"")</f>
        <v/>
      </c>
    </row>
    <row r="160" spans="1:20" x14ac:dyDescent="0.3">
      <c r="A160" t="str">
        <f>IFERROR(INDEX(Работы!$D$2:$D$6000,MATCH($C160,Работы!$A$2:$A$6000,0)),"")</f>
        <v>Р2</v>
      </c>
      <c r="B160" t="str">
        <f>IFERROR(INDEX(Работы!$F$2:$F$6000,MATCH($C160,Работы!$A$2:$A$6000,0)),"")</f>
        <v>7</v>
      </c>
      <c r="C160" t="str">
        <f>IFERROR(INDEX(Работы!$A$2:$A$6000,159),"")</f>
        <v>РАБ.Р2.7.003</v>
      </c>
      <c r="D160" s="8" t="str">
        <f>IFERROR(INDEX(Работы!$B$2:$B$6000,MATCH($C160,Работы!$A$2:$A$6000,0)),"")</f>
        <v>Разборка бетонированного покрытия</v>
      </c>
      <c r="E160" t="str">
        <f>IFERROR(INDEX(Работы!$C$2:$C$6000,MATCH($C160,Работы!$A$2:$A$6000,0)),"")</f>
        <v>м2</v>
      </c>
      <c r="F160">
        <f>IFERROR(INDEX(Работы!$G$2:$G$6000,MATCH($C160,Работы!$A$2:$A$6000,0)),"")</f>
        <v>0</v>
      </c>
      <c r="G160" t="str">
        <f>IFERROR(INDEX(Работы!$K$2:$K$6000,MATCH($C160,Работы!$A$2:$A$6000,0)),"")</f>
        <v>Замер_демонтажа</v>
      </c>
      <c r="H160" s="9"/>
      <c r="I160" s="9"/>
      <c r="J160" s="8" t="str">
        <f>IFERROR(INDEX(Материалы!$B$2:$B$9000,MATCH($I160,Материалы!$A$2:$A$9000,0)),"")</f>
        <v/>
      </c>
      <c r="K160" t="str">
        <f>IF($I160="","",IF($F160=IFERROR(INDEX(Материалы!$G$2:$G$9000,MATCH($I160,Материалы!$A$2:$A$9000,0)),""),"OK","!! не та группа"))</f>
        <v/>
      </c>
      <c r="L160" s="10">
        <f>IFERROR(INDEX(Работы!$H$2:$H$6000,MATCH($C160,Работы!$A$2:$A$6000,0))*(1-ДисконтТендер),0)</f>
        <v>7464.6</v>
      </c>
      <c r="M160" s="10">
        <f>IF($I160="",0,IFERROR(INDEX(Материалы!$I$2:$I$9000,MATCH($I160,Материалы!$A$2:$A$9000,0))*IF(INDEX(Материалы!$J$2:$J$9000,MATCH($I160,Материалы!$A$2:$A$9000,0))="USD",КурсUSD,IF(INDEX(Материалы!$J$2:$J$9000,MATCH($I160,Материалы!$A$2:$A$9000,0))="EUR",КурсEUR,1))*INDEX(Материалы!$K$2:$K$9000,MATCH($I160,Материалы!$A$2:$A$9000,0))*(1+IFERROR(INDEX(Работы!$I$2:$I$6000,MATCH($C160,Работы!$A$2:$A$6000,0))/100,0))*(1-ДисконтТендер),0))</f>
        <v>0</v>
      </c>
      <c r="N160" s="10">
        <f t="shared" si="6"/>
        <v>0</v>
      </c>
      <c r="O160" s="10">
        <f t="shared" si="7"/>
        <v>0</v>
      </c>
      <c r="P160" s="10">
        <f t="shared" si="8"/>
        <v>0</v>
      </c>
      <c r="Q160" t="str">
        <f>IFERROR(INDEX(Работы!$J$2:$J$6000,MATCH($C160,Работы!$A$2:$A$6000,0)),"")</f>
        <v>типовая</v>
      </c>
      <c r="R160" t="s">
        <v>92</v>
      </c>
      <c r="T160" t="str">
        <f>IF(AND($P160&gt;0,$R160="да"),MAX($T$1:$T159)+1,"")</f>
        <v/>
      </c>
    </row>
    <row r="161" spans="1:20" x14ac:dyDescent="0.3">
      <c r="A161" t="str">
        <f>IFERROR(INDEX(Работы!$D$2:$D$6000,MATCH($C161,Работы!$A$2:$A$6000,0)),"")</f>
        <v>Р2</v>
      </c>
      <c r="B161" t="str">
        <f>IFERROR(INDEX(Работы!$F$2:$F$6000,MATCH($C161,Работы!$A$2:$A$6000,0)),"")</f>
        <v>7</v>
      </c>
      <c r="C161" t="str">
        <f>IFERROR(INDEX(Работы!$A$2:$A$6000,160),"")</f>
        <v>РАБ.Р2.7.004</v>
      </c>
      <c r="D161" s="8" t="str">
        <f>IFERROR(INDEX(Работы!$B$2:$B$6000,MATCH($C161,Работы!$A$2:$A$6000,0)),"")</f>
        <v>Выемка грунта</v>
      </c>
      <c r="E161" t="str">
        <f>IFERROR(INDEX(Работы!$C$2:$C$6000,MATCH($C161,Работы!$A$2:$A$6000,0)),"")</f>
        <v>м3</v>
      </c>
      <c r="F161">
        <f>IFERROR(INDEX(Работы!$G$2:$G$6000,MATCH($C161,Работы!$A$2:$A$6000,0)),"")</f>
        <v>0</v>
      </c>
      <c r="G161" t="str">
        <f>IFERROR(INDEX(Работы!$K$2:$K$6000,MATCH($C161,Работы!$A$2:$A$6000,0)),"")</f>
        <v>Замер_демонтажа</v>
      </c>
      <c r="H161" s="9"/>
      <c r="I161" s="9"/>
      <c r="J161" s="8" t="str">
        <f>IFERROR(INDEX(Материалы!$B$2:$B$9000,MATCH($I161,Материалы!$A$2:$A$9000,0)),"")</f>
        <v/>
      </c>
      <c r="K161" t="str">
        <f>IF($I161="","",IF($F161=IFERROR(INDEX(Материалы!$G$2:$G$9000,MATCH($I161,Материалы!$A$2:$A$9000,0)),""),"OK","!! не та группа"))</f>
        <v/>
      </c>
      <c r="L161" s="10">
        <f>IFERROR(INDEX(Работы!$H$2:$H$6000,MATCH($C161,Работы!$A$2:$A$6000,0))*(1-ДисконтТендер),0)</f>
        <v>3732.3</v>
      </c>
      <c r="M161" s="10">
        <f>IF($I161="",0,IFERROR(INDEX(Материалы!$I$2:$I$9000,MATCH($I161,Материалы!$A$2:$A$9000,0))*IF(INDEX(Материалы!$J$2:$J$9000,MATCH($I161,Материалы!$A$2:$A$9000,0))="USD",КурсUSD,IF(INDEX(Материалы!$J$2:$J$9000,MATCH($I161,Материалы!$A$2:$A$9000,0))="EUR",КурсEUR,1))*INDEX(Материалы!$K$2:$K$9000,MATCH($I161,Материалы!$A$2:$A$9000,0))*(1+IFERROR(INDEX(Работы!$I$2:$I$6000,MATCH($C161,Работы!$A$2:$A$6000,0))/100,0))*(1-ДисконтТендер),0))</f>
        <v>0</v>
      </c>
      <c r="N161" s="10">
        <f t="shared" si="6"/>
        <v>0</v>
      </c>
      <c r="O161" s="10">
        <f t="shared" si="7"/>
        <v>0</v>
      </c>
      <c r="P161" s="10">
        <f t="shared" si="8"/>
        <v>0</v>
      </c>
      <c r="Q161" t="str">
        <f>IFERROR(INDEX(Работы!$J$2:$J$6000,MATCH($C161,Работы!$A$2:$A$6000,0)),"")</f>
        <v>типовая</v>
      </c>
      <c r="R161" t="s">
        <v>92</v>
      </c>
      <c r="T161" t="str">
        <f>IF(AND($P161&gt;0,$R161="да"),MAX($T$1:$T160)+1,"")</f>
        <v/>
      </c>
    </row>
    <row r="162" spans="1:20" ht="28.8" x14ac:dyDescent="0.3">
      <c r="A162" t="str">
        <f>IFERROR(INDEX(Работы!$D$2:$D$6000,MATCH($C162,Работы!$A$2:$A$6000,0)),"")</f>
        <v>Р2</v>
      </c>
      <c r="B162" t="str">
        <f>IFERROR(INDEX(Работы!$F$2:$F$6000,MATCH($C162,Работы!$A$2:$A$6000,0)),"")</f>
        <v>7</v>
      </c>
      <c r="C162" t="str">
        <f>IFERROR(INDEX(Работы!$A$2:$A$6000,161),"")</f>
        <v>РАБ.Р2.7.005</v>
      </c>
      <c r="D162" s="8" t="str">
        <f>IFERROR(INDEX(Работы!$B$2:$B$6000,MATCH($C162,Работы!$A$2:$A$6000,0)),"")</f>
        <v>Демонтаж бордюрного, тротуарного,дорожного камня.</v>
      </c>
      <c r="E162" t="str">
        <f>IFERROR(INDEX(Работы!$C$2:$C$6000,MATCH($C162,Работы!$A$2:$A$6000,0)),"")</f>
        <v>м.п.</v>
      </c>
      <c r="F162">
        <f>IFERROR(INDEX(Работы!$G$2:$G$6000,MATCH($C162,Работы!$A$2:$A$6000,0)),"")</f>
        <v>0</v>
      </c>
      <c r="G162" t="str">
        <f>IFERROR(INDEX(Работы!$K$2:$K$6000,MATCH($C162,Работы!$A$2:$A$6000,0)),"")</f>
        <v>Замер_демонтажа</v>
      </c>
      <c r="H162" s="9"/>
      <c r="I162" s="9"/>
      <c r="J162" s="8" t="str">
        <f>IFERROR(INDEX(Материалы!$B$2:$B$9000,MATCH($I162,Материалы!$A$2:$A$9000,0)),"")</f>
        <v/>
      </c>
      <c r="K162" t="str">
        <f>IF($I162="","",IF($F162=IFERROR(INDEX(Материалы!$G$2:$G$9000,MATCH($I162,Материалы!$A$2:$A$9000,0)),""),"OK","!! не та группа"))</f>
        <v/>
      </c>
      <c r="L162" s="10">
        <f>IFERROR(INDEX(Работы!$H$2:$H$6000,MATCH($C162,Работы!$A$2:$A$6000,0))*(1-ДисконтТендер),0)</f>
        <v>916.11</v>
      </c>
      <c r="M162" s="10">
        <f>IF($I162="",0,IFERROR(INDEX(Материалы!$I$2:$I$9000,MATCH($I162,Материалы!$A$2:$A$9000,0))*IF(INDEX(Материалы!$J$2:$J$9000,MATCH($I162,Материалы!$A$2:$A$9000,0))="USD",КурсUSD,IF(INDEX(Материалы!$J$2:$J$9000,MATCH($I162,Материалы!$A$2:$A$9000,0))="EUR",КурсEUR,1))*INDEX(Материалы!$K$2:$K$9000,MATCH($I162,Материалы!$A$2:$A$9000,0))*(1+IFERROR(INDEX(Работы!$I$2:$I$6000,MATCH($C162,Работы!$A$2:$A$6000,0))/100,0))*(1-ДисконтТендер),0))</f>
        <v>0</v>
      </c>
      <c r="N162" s="10">
        <f t="shared" si="6"/>
        <v>0</v>
      </c>
      <c r="O162" s="10">
        <f t="shared" si="7"/>
        <v>0</v>
      </c>
      <c r="P162" s="10">
        <f t="shared" si="8"/>
        <v>0</v>
      </c>
      <c r="Q162" t="str">
        <f>IFERROR(INDEX(Работы!$J$2:$J$6000,MATCH($C162,Работы!$A$2:$A$6000,0)),"")</f>
        <v>типовая</v>
      </c>
      <c r="R162" t="s">
        <v>92</v>
      </c>
      <c r="T162" t="str">
        <f>IF(AND($P162&gt;0,$R162="да"),MAX($T$1:$T161)+1,"")</f>
        <v/>
      </c>
    </row>
    <row r="163" spans="1:20" x14ac:dyDescent="0.3">
      <c r="A163" t="str">
        <f>IFERROR(INDEX(Работы!$D$2:$D$6000,MATCH($C163,Работы!$A$2:$A$6000,0)),"")</f>
        <v>Р2</v>
      </c>
      <c r="B163" t="str">
        <f>IFERROR(INDEX(Работы!$F$2:$F$6000,MATCH($C163,Работы!$A$2:$A$6000,0)),"")</f>
        <v>7</v>
      </c>
      <c r="C163" t="str">
        <f>IFERROR(INDEX(Работы!$A$2:$A$6000,162),"")</f>
        <v>РАБ.Р2.7.006</v>
      </c>
      <c r="D163" s="8" t="str">
        <f>IFERROR(INDEX(Работы!$B$2:$B$6000,MATCH($C163,Работы!$A$2:$A$6000,0)),"")</f>
        <v>Демонтаж перил ограждения</v>
      </c>
      <c r="E163" t="str">
        <f>IFERROR(INDEX(Работы!$C$2:$C$6000,MATCH($C163,Работы!$A$2:$A$6000,0)),"")</f>
        <v>м.п.</v>
      </c>
      <c r="F163">
        <f>IFERROR(INDEX(Работы!$G$2:$G$6000,MATCH($C163,Работы!$A$2:$A$6000,0)),"")</f>
        <v>0</v>
      </c>
      <c r="G163" t="str">
        <f>IFERROR(INDEX(Работы!$K$2:$K$6000,MATCH($C163,Работы!$A$2:$A$6000,0)),"")</f>
        <v>Замер_демонтажа</v>
      </c>
      <c r="H163" s="9"/>
      <c r="I163" s="9"/>
      <c r="J163" s="8" t="str">
        <f>IFERROR(INDEX(Материалы!$B$2:$B$9000,MATCH($I163,Материалы!$A$2:$A$9000,0)),"")</f>
        <v/>
      </c>
      <c r="K163" t="str">
        <f>IF($I163="","",IF($F163=IFERROR(INDEX(Материалы!$G$2:$G$9000,MATCH($I163,Материалы!$A$2:$A$9000,0)),""),"OK","!! не та группа"))</f>
        <v/>
      </c>
      <c r="L163" s="10">
        <f>IFERROR(INDEX(Работы!$H$2:$H$6000,MATCH($C163,Работы!$A$2:$A$6000,0))*(1-ДисконтТендер),0)</f>
        <v>610.74</v>
      </c>
      <c r="M163" s="10">
        <f>IF($I163="",0,IFERROR(INDEX(Материалы!$I$2:$I$9000,MATCH($I163,Материалы!$A$2:$A$9000,0))*IF(INDEX(Материалы!$J$2:$J$9000,MATCH($I163,Материалы!$A$2:$A$9000,0))="USD",КурсUSD,IF(INDEX(Материалы!$J$2:$J$9000,MATCH($I163,Материалы!$A$2:$A$9000,0))="EUR",КурсEUR,1))*INDEX(Материалы!$K$2:$K$9000,MATCH($I163,Материалы!$A$2:$A$9000,0))*(1+IFERROR(INDEX(Работы!$I$2:$I$6000,MATCH($C163,Работы!$A$2:$A$6000,0))/100,0))*(1-ДисконтТендер),0))</f>
        <v>0</v>
      </c>
      <c r="N163" s="10">
        <f t="shared" si="6"/>
        <v>0</v>
      </c>
      <c r="O163" s="10">
        <f t="shared" si="7"/>
        <v>0</v>
      </c>
      <c r="P163" s="10">
        <f t="shared" si="8"/>
        <v>0</v>
      </c>
      <c r="Q163" t="str">
        <f>IFERROR(INDEX(Работы!$J$2:$J$6000,MATCH($C163,Работы!$A$2:$A$6000,0)),"")</f>
        <v>типовая</v>
      </c>
      <c r="R163" t="s">
        <v>92</v>
      </c>
      <c r="T163" t="str">
        <f>IF(AND($P163&gt;0,$R163="да"),MAX($T$1:$T162)+1,"")</f>
        <v/>
      </c>
    </row>
    <row r="164" spans="1:20" x14ac:dyDescent="0.3">
      <c r="A164" t="str">
        <f>IFERROR(INDEX(Работы!$D$2:$D$6000,MATCH($C164,Работы!$A$2:$A$6000,0)),"")</f>
        <v>Р2</v>
      </c>
      <c r="B164" t="str">
        <f>IFERROR(INDEX(Работы!$F$2:$F$6000,MATCH($C164,Работы!$A$2:$A$6000,0)),"")</f>
        <v>7</v>
      </c>
      <c r="C164" t="str">
        <f>IFERROR(INDEX(Работы!$A$2:$A$6000,163),"")</f>
        <v>РАБ.Р2.7.007</v>
      </c>
      <c r="D164" s="8" t="str">
        <f>IFERROR(INDEX(Работы!$B$2:$B$6000,MATCH($C164,Работы!$A$2:$A$6000,0)),"")</f>
        <v>Демонтаж козырьков</v>
      </c>
      <c r="E164" t="str">
        <f>IFERROR(INDEX(Работы!$C$2:$C$6000,MATCH($C164,Работы!$A$2:$A$6000,0)),"")</f>
        <v>м2</v>
      </c>
      <c r="F164">
        <f>IFERROR(INDEX(Работы!$G$2:$G$6000,MATCH($C164,Работы!$A$2:$A$6000,0)),"")</f>
        <v>0</v>
      </c>
      <c r="G164" t="str">
        <f>IFERROR(INDEX(Работы!$K$2:$K$6000,MATCH($C164,Работы!$A$2:$A$6000,0)),"")</f>
        <v>Замер_демонтажа</v>
      </c>
      <c r="H164" s="9"/>
      <c r="I164" s="9"/>
      <c r="J164" s="8" t="str">
        <f>IFERROR(INDEX(Материалы!$B$2:$B$9000,MATCH($I164,Материалы!$A$2:$A$9000,0)),"")</f>
        <v/>
      </c>
      <c r="K164" t="str">
        <f>IF($I164="","",IF($F164=IFERROR(INDEX(Материалы!$G$2:$G$9000,MATCH($I164,Материалы!$A$2:$A$9000,0)),""),"OK","!! не та группа"))</f>
        <v/>
      </c>
      <c r="L164" s="10">
        <f>IFERROR(INDEX(Работы!$H$2:$H$6000,MATCH($C164,Работы!$A$2:$A$6000,0))*(1-ДисконтТендер),0)</f>
        <v>780.39</v>
      </c>
      <c r="M164" s="10">
        <f>IF($I164="",0,IFERROR(INDEX(Материалы!$I$2:$I$9000,MATCH($I164,Материалы!$A$2:$A$9000,0))*IF(INDEX(Материалы!$J$2:$J$9000,MATCH($I164,Материалы!$A$2:$A$9000,0))="USD",КурсUSD,IF(INDEX(Материалы!$J$2:$J$9000,MATCH($I164,Материалы!$A$2:$A$9000,0))="EUR",КурсEUR,1))*INDEX(Материалы!$K$2:$K$9000,MATCH($I164,Материалы!$A$2:$A$9000,0))*(1+IFERROR(INDEX(Работы!$I$2:$I$6000,MATCH($C164,Работы!$A$2:$A$6000,0))/100,0))*(1-ДисконтТендер),0))</f>
        <v>0</v>
      </c>
      <c r="N164" s="10">
        <f t="shared" si="6"/>
        <v>0</v>
      </c>
      <c r="O164" s="10">
        <f t="shared" si="7"/>
        <v>0</v>
      </c>
      <c r="P164" s="10">
        <f t="shared" si="8"/>
        <v>0</v>
      </c>
      <c r="Q164" t="str">
        <f>IFERROR(INDEX(Работы!$J$2:$J$6000,MATCH($C164,Работы!$A$2:$A$6000,0)),"")</f>
        <v>типовая</v>
      </c>
      <c r="R164" t="s">
        <v>92</v>
      </c>
      <c r="T164" t="str">
        <f>IF(AND($P164&gt;0,$R164="да"),MAX($T$1:$T163)+1,"")</f>
        <v/>
      </c>
    </row>
    <row r="165" spans="1:20" ht="28.8" x14ac:dyDescent="0.3">
      <c r="A165" t="str">
        <f>IFERROR(INDEX(Работы!$D$2:$D$6000,MATCH($C165,Работы!$A$2:$A$6000,0)),"")</f>
        <v>Р2</v>
      </c>
      <c r="B165" t="str">
        <f>IFERROR(INDEX(Работы!$F$2:$F$6000,MATCH($C165,Работы!$A$2:$A$6000,0)),"")</f>
        <v>7</v>
      </c>
      <c r="C165" t="str">
        <f>IFERROR(INDEX(Работы!$A$2:$A$6000,164),"")</f>
        <v>РАБ.Р2.7.008</v>
      </c>
      <c r="D165" s="8" t="str">
        <f>IFERROR(INDEX(Работы!$B$2:$B$6000,MATCH($C165,Работы!$A$2:$A$6000,0)),"")</f>
        <v>Демонтаж облицовки цоколя, фасада (плитка керамическая, камень натуральный)</v>
      </c>
      <c r="E165" t="str">
        <f>IFERROR(INDEX(Работы!$C$2:$C$6000,MATCH($C165,Работы!$A$2:$A$6000,0)),"")</f>
        <v>м2</v>
      </c>
      <c r="F165">
        <f>IFERROR(INDEX(Работы!$G$2:$G$6000,MATCH($C165,Работы!$A$2:$A$6000,0)),"")</f>
        <v>0</v>
      </c>
      <c r="G165" t="str">
        <f>IFERROR(INDEX(Работы!$K$2:$K$6000,MATCH($C165,Работы!$A$2:$A$6000,0)),"")</f>
        <v>Замер_демонтажа</v>
      </c>
      <c r="H165" s="9"/>
      <c r="I165" s="9"/>
      <c r="J165" s="8" t="str">
        <f>IFERROR(INDEX(Материалы!$B$2:$B$9000,MATCH($I165,Материалы!$A$2:$A$9000,0)),"")</f>
        <v/>
      </c>
      <c r="K165" t="str">
        <f>IF($I165="","",IF($F165=IFERROR(INDEX(Материалы!$G$2:$G$9000,MATCH($I165,Материалы!$A$2:$A$9000,0)),""),"OK","!! не та группа"))</f>
        <v/>
      </c>
      <c r="L165" s="10">
        <f>IFERROR(INDEX(Работы!$H$2:$H$6000,MATCH($C165,Работы!$A$2:$A$6000,0))*(1-ДисконтТендер),0)</f>
        <v>433.22</v>
      </c>
      <c r="M165" s="10">
        <f>IF($I165="",0,IFERROR(INDEX(Материалы!$I$2:$I$9000,MATCH($I165,Материалы!$A$2:$A$9000,0))*IF(INDEX(Материалы!$J$2:$J$9000,MATCH($I165,Материалы!$A$2:$A$9000,0))="USD",КурсUSD,IF(INDEX(Материалы!$J$2:$J$9000,MATCH($I165,Материалы!$A$2:$A$9000,0))="EUR",КурсEUR,1))*INDEX(Материалы!$K$2:$K$9000,MATCH($I165,Материалы!$A$2:$A$9000,0))*(1+IFERROR(INDEX(Работы!$I$2:$I$6000,MATCH($C165,Работы!$A$2:$A$6000,0))/100,0))*(1-ДисконтТендер),0))</f>
        <v>0</v>
      </c>
      <c r="N165" s="10">
        <f t="shared" si="6"/>
        <v>0</v>
      </c>
      <c r="O165" s="10">
        <f t="shared" si="7"/>
        <v>0</v>
      </c>
      <c r="P165" s="10">
        <f t="shared" si="8"/>
        <v>0</v>
      </c>
      <c r="Q165" t="str">
        <f>IFERROR(INDEX(Работы!$J$2:$J$6000,MATCH($C165,Работы!$A$2:$A$6000,0)),"")</f>
        <v>нетиповая</v>
      </c>
      <c r="R165" t="s">
        <v>92</v>
      </c>
      <c r="T165" t="str">
        <f>IF(AND($P165&gt;0,$R165="да"),MAX($T$1:$T164)+1,"")</f>
        <v/>
      </c>
    </row>
    <row r="166" spans="1:20" x14ac:dyDescent="0.3">
      <c r="A166" t="str">
        <f>IFERROR(INDEX(Работы!$D$2:$D$6000,MATCH($C166,Работы!$A$2:$A$6000,0)),"")</f>
        <v>Р2</v>
      </c>
      <c r="B166" t="str">
        <f>IFERROR(INDEX(Работы!$F$2:$F$6000,MATCH($C166,Работы!$A$2:$A$6000,0)),"")</f>
        <v>7</v>
      </c>
      <c r="C166" t="str">
        <f>IFERROR(INDEX(Работы!$A$2:$A$6000,165),"")</f>
        <v>РАБ.Р2.7.009</v>
      </c>
      <c r="D166" s="8" t="str">
        <f>IFERROR(INDEX(Работы!$B$2:$B$6000,MATCH($C166,Работы!$A$2:$A$6000,0)),"")</f>
        <v>Демонтаж штукатурки фасада</v>
      </c>
      <c r="E166" t="str">
        <f>IFERROR(INDEX(Работы!$C$2:$C$6000,MATCH($C166,Работы!$A$2:$A$6000,0)),"")</f>
        <v>м2</v>
      </c>
      <c r="F166">
        <f>IFERROR(INDEX(Работы!$G$2:$G$6000,MATCH($C166,Работы!$A$2:$A$6000,0)),"")</f>
        <v>0</v>
      </c>
      <c r="G166" t="str">
        <f>IFERROR(INDEX(Работы!$K$2:$K$6000,MATCH($C166,Работы!$A$2:$A$6000,0)),"")</f>
        <v>Замер_демонтажа</v>
      </c>
      <c r="H166" s="9"/>
      <c r="I166" s="9"/>
      <c r="J166" s="8" t="str">
        <f>IFERROR(INDEX(Материалы!$B$2:$B$9000,MATCH($I166,Материалы!$A$2:$A$9000,0)),"")</f>
        <v/>
      </c>
      <c r="K166" t="str">
        <f>IF($I166="","",IF($F166=IFERROR(INDEX(Материалы!$G$2:$G$9000,MATCH($I166,Материалы!$A$2:$A$9000,0)),""),"OK","!! не та группа"))</f>
        <v/>
      </c>
      <c r="L166" s="10">
        <f>IFERROR(INDEX(Работы!$H$2:$H$6000,MATCH($C166,Работы!$A$2:$A$6000,0))*(1-ДисконтТендер),0)</f>
        <v>470.25</v>
      </c>
      <c r="M166" s="10">
        <f>IF($I166="",0,IFERROR(INDEX(Материалы!$I$2:$I$9000,MATCH($I166,Материалы!$A$2:$A$9000,0))*IF(INDEX(Материалы!$J$2:$J$9000,MATCH($I166,Материалы!$A$2:$A$9000,0))="USD",КурсUSD,IF(INDEX(Материалы!$J$2:$J$9000,MATCH($I166,Материалы!$A$2:$A$9000,0))="EUR",КурсEUR,1))*INDEX(Материалы!$K$2:$K$9000,MATCH($I166,Материалы!$A$2:$A$9000,0))*(1+IFERROR(INDEX(Работы!$I$2:$I$6000,MATCH($C166,Работы!$A$2:$A$6000,0))/100,0))*(1-ДисконтТендер),0))</f>
        <v>0</v>
      </c>
      <c r="N166" s="10">
        <f t="shared" si="6"/>
        <v>0</v>
      </c>
      <c r="O166" s="10">
        <f t="shared" si="7"/>
        <v>0</v>
      </c>
      <c r="P166" s="10">
        <f t="shared" si="8"/>
        <v>0</v>
      </c>
      <c r="Q166" t="str">
        <f>IFERROR(INDEX(Работы!$J$2:$J$6000,MATCH($C166,Работы!$A$2:$A$6000,0)),"")</f>
        <v>нетиповая</v>
      </c>
      <c r="R166" t="s">
        <v>92</v>
      </c>
      <c r="T166" t="str">
        <f>IF(AND($P166&gt;0,$R166="да"),MAX($T$1:$T165)+1,"")</f>
        <v/>
      </c>
    </row>
    <row r="167" spans="1:20" x14ac:dyDescent="0.3">
      <c r="A167" t="str">
        <f>IFERROR(INDEX(Работы!$D$2:$D$6000,MATCH($C167,Работы!$A$2:$A$6000,0)),"")</f>
        <v>Р2</v>
      </c>
      <c r="B167" t="str">
        <f>IFERROR(INDEX(Работы!$F$2:$F$6000,MATCH($C167,Работы!$A$2:$A$6000,0)),"")</f>
        <v>7</v>
      </c>
      <c r="C167" t="str">
        <f>IFERROR(INDEX(Работы!$A$2:$A$6000,166),"")</f>
        <v>РАБ.Р2.7.010</v>
      </c>
      <c r="D167" s="8" t="str">
        <f>IFERROR(INDEX(Работы!$B$2:$B$6000,MATCH($C167,Работы!$A$2:$A$6000,0)),"")</f>
        <v>Расшивка швов поверхности фасада</v>
      </c>
      <c r="E167" t="str">
        <f>IFERROR(INDEX(Работы!$C$2:$C$6000,MATCH($C167,Работы!$A$2:$A$6000,0)),"")</f>
        <v>м.п.</v>
      </c>
      <c r="F167">
        <f>IFERROR(INDEX(Работы!$G$2:$G$6000,MATCH($C167,Работы!$A$2:$A$6000,0)),"")</f>
        <v>0</v>
      </c>
      <c r="G167" t="str">
        <f>IFERROR(INDEX(Работы!$K$2:$K$6000,MATCH($C167,Работы!$A$2:$A$6000,0)),"")</f>
        <v>Замер_демонтажа</v>
      </c>
      <c r="H167" s="9"/>
      <c r="I167" s="9"/>
      <c r="J167" s="8" t="str">
        <f>IFERROR(INDEX(Материалы!$B$2:$B$9000,MATCH($I167,Материалы!$A$2:$A$9000,0)),"")</f>
        <v/>
      </c>
      <c r="K167" t="str">
        <f>IF($I167="","",IF($F167=IFERROR(INDEX(Материалы!$G$2:$G$9000,MATCH($I167,Материалы!$A$2:$A$9000,0)),""),"OK","!! не та группа"))</f>
        <v/>
      </c>
      <c r="L167" s="10">
        <f>IFERROR(INDEX(Работы!$H$2:$H$6000,MATCH($C167,Работы!$A$2:$A$6000,0))*(1-ДисконтТендер),0)</f>
        <v>434.96</v>
      </c>
      <c r="M167" s="10">
        <f>IF($I167="",0,IFERROR(INDEX(Материалы!$I$2:$I$9000,MATCH($I167,Материалы!$A$2:$A$9000,0))*IF(INDEX(Материалы!$J$2:$J$9000,MATCH($I167,Материалы!$A$2:$A$9000,0))="USD",КурсUSD,IF(INDEX(Материалы!$J$2:$J$9000,MATCH($I167,Материалы!$A$2:$A$9000,0))="EUR",КурсEUR,1))*INDEX(Материалы!$K$2:$K$9000,MATCH($I167,Материалы!$A$2:$A$9000,0))*(1+IFERROR(INDEX(Работы!$I$2:$I$6000,MATCH($C167,Работы!$A$2:$A$6000,0))/100,0))*(1-ДисконтТендер),0))</f>
        <v>0</v>
      </c>
      <c r="N167" s="10">
        <f t="shared" si="6"/>
        <v>0</v>
      </c>
      <c r="O167" s="10">
        <f t="shared" si="7"/>
        <v>0</v>
      </c>
      <c r="P167" s="10">
        <f t="shared" si="8"/>
        <v>0</v>
      </c>
      <c r="Q167" t="str">
        <f>IFERROR(INDEX(Работы!$J$2:$J$6000,MATCH($C167,Работы!$A$2:$A$6000,0)),"")</f>
        <v>нетиповая</v>
      </c>
      <c r="R167" t="s">
        <v>92</v>
      </c>
      <c r="T167" t="str">
        <f>IF(AND($P167&gt;0,$R167="да"),MAX($T$1:$T166)+1,"")</f>
        <v/>
      </c>
    </row>
    <row r="168" spans="1:20" ht="43.2" x14ac:dyDescent="0.3">
      <c r="A168" t="str">
        <f>IFERROR(INDEX(Работы!$D$2:$D$6000,MATCH($C168,Работы!$A$2:$A$6000,0)),"")</f>
        <v>Р2</v>
      </c>
      <c r="B168" t="str">
        <f>IFERROR(INDEX(Работы!$F$2:$F$6000,MATCH($C168,Работы!$A$2:$A$6000,0)),"")</f>
        <v>7</v>
      </c>
      <c r="C168" t="str">
        <f>IFERROR(INDEX(Работы!$A$2:$A$6000,167),"")</f>
        <v>РАБ.Р2.7.011</v>
      </c>
      <c r="D168" s="8" t="str">
        <f>IFERROR(INDEX(Работы!$B$2:$B$6000,MATCH($C168,Работы!$A$2:$A$6000,0)),"")</f>
        <v>Демонтаж фасада из композитных панелей "Алюкобонд" с подсистемой, навесных фасадов (металл, керамогранит)</v>
      </c>
      <c r="E168" t="str">
        <f>IFERROR(INDEX(Работы!$C$2:$C$6000,MATCH($C168,Работы!$A$2:$A$6000,0)),"")</f>
        <v>м2</v>
      </c>
      <c r="F168">
        <f>IFERROR(INDEX(Работы!$G$2:$G$6000,MATCH($C168,Работы!$A$2:$A$6000,0)),"")</f>
        <v>0</v>
      </c>
      <c r="G168" t="str">
        <f>IFERROR(INDEX(Работы!$K$2:$K$6000,MATCH($C168,Работы!$A$2:$A$6000,0)),"")</f>
        <v>Замер_демонтажа</v>
      </c>
      <c r="H168" s="9"/>
      <c r="I168" s="9"/>
      <c r="J168" s="8" t="str">
        <f>IFERROR(INDEX(Материалы!$B$2:$B$9000,MATCH($I168,Материалы!$A$2:$A$9000,0)),"")</f>
        <v/>
      </c>
      <c r="K168" t="str">
        <f>IF($I168="","",IF($F168=IFERROR(INDEX(Материалы!$G$2:$G$9000,MATCH($I168,Материалы!$A$2:$A$9000,0)),""),"OK","!! не та группа"))</f>
        <v/>
      </c>
      <c r="L168" s="10">
        <f>IFERROR(INDEX(Работы!$H$2:$H$6000,MATCH($C168,Работы!$A$2:$A$6000,0))*(1-ДисконтТендер),0)</f>
        <v>627</v>
      </c>
      <c r="M168" s="10">
        <f>IF($I168="",0,IFERROR(INDEX(Материалы!$I$2:$I$9000,MATCH($I168,Материалы!$A$2:$A$9000,0))*IF(INDEX(Материалы!$J$2:$J$9000,MATCH($I168,Материалы!$A$2:$A$9000,0))="USD",КурсUSD,IF(INDEX(Материалы!$J$2:$J$9000,MATCH($I168,Материалы!$A$2:$A$9000,0))="EUR",КурсEUR,1))*INDEX(Материалы!$K$2:$K$9000,MATCH($I168,Материалы!$A$2:$A$9000,0))*(1+IFERROR(INDEX(Работы!$I$2:$I$6000,MATCH($C168,Работы!$A$2:$A$6000,0))/100,0))*(1-ДисконтТендер),0))</f>
        <v>0</v>
      </c>
      <c r="N168" s="10">
        <f t="shared" si="6"/>
        <v>0</v>
      </c>
      <c r="O168" s="10">
        <f t="shared" si="7"/>
        <v>0</v>
      </c>
      <c r="P168" s="10">
        <f t="shared" si="8"/>
        <v>0</v>
      </c>
      <c r="Q168" t="str">
        <f>IFERROR(INDEX(Работы!$J$2:$J$6000,MATCH($C168,Работы!$A$2:$A$6000,0)),"")</f>
        <v>нетиповая</v>
      </c>
      <c r="R168" t="s">
        <v>92</v>
      </c>
      <c r="T168" t="str">
        <f>IF(AND($P168&gt;0,$R168="да"),MAX($T$1:$T167)+1,"")</f>
        <v/>
      </c>
    </row>
    <row r="169" spans="1:20" ht="28.8" x14ac:dyDescent="0.3">
      <c r="A169" t="str">
        <f>IFERROR(INDEX(Работы!$D$2:$D$6000,MATCH($C169,Работы!$A$2:$A$6000,0)),"")</f>
        <v>Р2</v>
      </c>
      <c r="B169" t="str">
        <f>IFERROR(INDEX(Работы!$F$2:$F$6000,MATCH($C169,Работы!$A$2:$A$6000,0)),"")</f>
        <v>7</v>
      </c>
      <c r="C169" t="str">
        <f>IFERROR(INDEX(Работы!$A$2:$A$6000,168),"")</f>
        <v>РАБ.Р2.7.012</v>
      </c>
      <c r="D169" s="8" t="str">
        <f>IFERROR(INDEX(Работы!$B$2:$B$6000,MATCH($C169,Работы!$A$2:$A$6000,0)),"")</f>
        <v>Демонтаж информационной, рекламной конструкции на фасаде здания</v>
      </c>
      <c r="E169" t="str">
        <f>IFERROR(INDEX(Работы!$C$2:$C$6000,MATCH($C169,Работы!$A$2:$A$6000,0)),"")</f>
        <v>м2</v>
      </c>
      <c r="F169">
        <f>IFERROR(INDEX(Работы!$G$2:$G$6000,MATCH($C169,Работы!$A$2:$A$6000,0)),"")</f>
        <v>0</v>
      </c>
      <c r="G169" t="str">
        <f>IFERROR(INDEX(Работы!$K$2:$K$6000,MATCH($C169,Работы!$A$2:$A$6000,0)),"")</f>
        <v>Замер_демонтажа</v>
      </c>
      <c r="H169" s="9"/>
      <c r="I169" s="9"/>
      <c r="J169" s="8" t="str">
        <f>IFERROR(INDEX(Материалы!$B$2:$B$9000,MATCH($I169,Материалы!$A$2:$A$9000,0)),"")</f>
        <v/>
      </c>
      <c r="K169" t="str">
        <f>IF($I169="","",IF($F169=IFERROR(INDEX(Материалы!$G$2:$G$9000,MATCH($I169,Материалы!$A$2:$A$9000,0)),""),"OK","!! не та группа"))</f>
        <v/>
      </c>
      <c r="L169" s="10">
        <f>IFERROR(INDEX(Работы!$H$2:$H$6000,MATCH($C169,Работы!$A$2:$A$6000,0))*(1-ДисконтТендер),0)</f>
        <v>475.02</v>
      </c>
      <c r="M169" s="10">
        <f>IF($I169="",0,IFERROR(INDEX(Материалы!$I$2:$I$9000,MATCH($I169,Материалы!$A$2:$A$9000,0))*IF(INDEX(Материалы!$J$2:$J$9000,MATCH($I169,Материалы!$A$2:$A$9000,0))="USD",КурсUSD,IF(INDEX(Материалы!$J$2:$J$9000,MATCH($I169,Материалы!$A$2:$A$9000,0))="EUR",КурсEUR,1))*INDEX(Материалы!$K$2:$K$9000,MATCH($I169,Материалы!$A$2:$A$9000,0))*(1+IFERROR(INDEX(Работы!$I$2:$I$6000,MATCH($C169,Работы!$A$2:$A$6000,0))/100,0))*(1-ДисконтТендер),0))</f>
        <v>0</v>
      </c>
      <c r="N169" s="10">
        <f t="shared" si="6"/>
        <v>0</v>
      </c>
      <c r="O169" s="10">
        <f t="shared" si="7"/>
        <v>0</v>
      </c>
      <c r="P169" s="10">
        <f t="shared" si="8"/>
        <v>0</v>
      </c>
      <c r="Q169" t="str">
        <f>IFERROR(INDEX(Работы!$J$2:$J$6000,MATCH($C169,Работы!$A$2:$A$6000,0)),"")</f>
        <v>нетиповая</v>
      </c>
      <c r="R169" t="s">
        <v>92</v>
      </c>
      <c r="T169" t="str">
        <f>IF(AND($P169&gt;0,$R169="да"),MAX($T$1:$T168)+1,"")</f>
        <v/>
      </c>
    </row>
    <row r="170" spans="1:20" ht="28.8" x14ac:dyDescent="0.3">
      <c r="A170" t="str">
        <f>IFERROR(INDEX(Работы!$D$2:$D$6000,MATCH($C170,Работы!$A$2:$A$6000,0)),"")</f>
        <v>Р2</v>
      </c>
      <c r="B170" t="str">
        <f>IFERROR(INDEX(Работы!$F$2:$F$6000,MATCH($C170,Работы!$A$2:$A$6000,0)),"")</f>
        <v>7</v>
      </c>
      <c r="C170" t="str">
        <f>IFERROR(INDEX(Работы!$A$2:$A$6000,169),"")</f>
        <v>РАБ.Р2.7.013</v>
      </c>
      <c r="D170" s="8" t="str">
        <f>IFERROR(INDEX(Работы!$B$2:$B$6000,MATCH($C170,Работы!$A$2:$A$6000,0)),"")</f>
        <v>Демонтаж ограждающих конструкций из профлиста</v>
      </c>
      <c r="E170" t="str">
        <f>IFERROR(INDEX(Работы!$C$2:$C$6000,MATCH($C170,Работы!$A$2:$A$6000,0)),"")</f>
        <v>м2</v>
      </c>
      <c r="F170">
        <f>IFERROR(INDEX(Работы!$G$2:$G$6000,MATCH($C170,Работы!$A$2:$A$6000,0)),"")</f>
        <v>0</v>
      </c>
      <c r="G170" t="str">
        <f>IFERROR(INDEX(Работы!$K$2:$K$6000,MATCH($C170,Работы!$A$2:$A$6000,0)),"")</f>
        <v>Замер_демонтажа</v>
      </c>
      <c r="H170" s="9"/>
      <c r="I170" s="9"/>
      <c r="J170" s="8" t="str">
        <f>IFERROR(INDEX(Материалы!$B$2:$B$9000,MATCH($I170,Материалы!$A$2:$A$9000,0)),"")</f>
        <v/>
      </c>
      <c r="K170" t="str">
        <f>IF($I170="","",IF($F170=IFERROR(INDEX(Материалы!$G$2:$G$9000,MATCH($I170,Материалы!$A$2:$A$9000,0)),""),"OK","!! не та группа"))</f>
        <v/>
      </c>
      <c r="L170" s="10">
        <f>IFERROR(INDEX(Работы!$H$2:$H$6000,MATCH($C170,Работы!$A$2:$A$6000,0))*(1-ДисконтТендер),0)</f>
        <v>373.23</v>
      </c>
      <c r="M170" s="10">
        <f>IF($I170="",0,IFERROR(INDEX(Материалы!$I$2:$I$9000,MATCH($I170,Материалы!$A$2:$A$9000,0))*IF(INDEX(Материалы!$J$2:$J$9000,MATCH($I170,Материалы!$A$2:$A$9000,0))="USD",КурсUSD,IF(INDEX(Материалы!$J$2:$J$9000,MATCH($I170,Материалы!$A$2:$A$9000,0))="EUR",КурсEUR,1))*INDEX(Материалы!$K$2:$K$9000,MATCH($I170,Материалы!$A$2:$A$9000,0))*(1+IFERROR(INDEX(Работы!$I$2:$I$6000,MATCH($C170,Работы!$A$2:$A$6000,0))/100,0))*(1-ДисконтТендер),0))</f>
        <v>0</v>
      </c>
      <c r="N170" s="10">
        <f t="shared" si="6"/>
        <v>0</v>
      </c>
      <c r="O170" s="10">
        <f t="shared" si="7"/>
        <v>0</v>
      </c>
      <c r="P170" s="10">
        <f t="shared" si="8"/>
        <v>0</v>
      </c>
      <c r="Q170" t="str">
        <f>IFERROR(INDEX(Работы!$J$2:$J$6000,MATCH($C170,Работы!$A$2:$A$6000,0)),"")</f>
        <v>типовая</v>
      </c>
      <c r="R170" t="s">
        <v>92</v>
      </c>
      <c r="T170" t="str">
        <f>IF(AND($P170&gt;0,$R170="да"),MAX($T$1:$T169)+1,"")</f>
        <v/>
      </c>
    </row>
    <row r="171" spans="1:20" x14ac:dyDescent="0.3">
      <c r="A171" t="str">
        <f>IFERROR(INDEX(Работы!$D$2:$D$6000,MATCH($C171,Работы!$A$2:$A$6000,0)),"")</f>
        <v>Р2</v>
      </c>
      <c r="B171" t="str">
        <f>IFERROR(INDEX(Работы!$F$2:$F$6000,MATCH($C171,Работы!$A$2:$A$6000,0)),"")</f>
        <v>7</v>
      </c>
      <c r="C171" t="str">
        <f>IFERROR(INDEX(Работы!$A$2:$A$6000,170),"")</f>
        <v>РАБ.Р2.7.014</v>
      </c>
      <c r="D171" s="8" t="str">
        <f>IFERROR(INDEX(Работы!$B$2:$B$6000,MATCH($C171,Работы!$A$2:$A$6000,0)),"")</f>
        <v>Демонтаж сварных металлических конструкций</v>
      </c>
      <c r="E171" t="str">
        <f>IFERROR(INDEX(Работы!$C$2:$C$6000,MATCH($C171,Работы!$A$2:$A$6000,0)),"")</f>
        <v>тн.</v>
      </c>
      <c r="F171">
        <f>IFERROR(INDEX(Работы!$G$2:$G$6000,MATCH($C171,Работы!$A$2:$A$6000,0)),"")</f>
        <v>0</v>
      </c>
      <c r="G171" t="str">
        <f>IFERROR(INDEX(Работы!$K$2:$K$6000,MATCH($C171,Работы!$A$2:$A$6000,0)),"")</f>
        <v>Замер_демонтажа</v>
      </c>
      <c r="H171" s="9"/>
      <c r="I171" s="9"/>
      <c r="J171" s="8" t="str">
        <f>IFERROR(INDEX(Материалы!$B$2:$B$9000,MATCH($I171,Материалы!$A$2:$A$9000,0)),"")</f>
        <v/>
      </c>
      <c r="K171" t="str">
        <f>IF($I171="","",IF($F171=IFERROR(INDEX(Материалы!$G$2:$G$9000,MATCH($I171,Материалы!$A$2:$A$9000,0)),""),"OK","!! не та группа"))</f>
        <v/>
      </c>
      <c r="L171" s="10">
        <f>IFERROR(INDEX(Работы!$H$2:$H$6000,MATCH($C171,Работы!$A$2:$A$6000,0))*(1-ДисконтТендер),0)</f>
        <v>6786</v>
      </c>
      <c r="M171" s="10">
        <f>IF($I171="",0,IFERROR(INDEX(Материалы!$I$2:$I$9000,MATCH($I171,Материалы!$A$2:$A$9000,0))*IF(INDEX(Материалы!$J$2:$J$9000,MATCH($I171,Материалы!$A$2:$A$9000,0))="USD",КурсUSD,IF(INDEX(Материалы!$J$2:$J$9000,MATCH($I171,Материалы!$A$2:$A$9000,0))="EUR",КурсEUR,1))*INDEX(Материалы!$K$2:$K$9000,MATCH($I171,Материалы!$A$2:$A$9000,0))*(1+IFERROR(INDEX(Работы!$I$2:$I$6000,MATCH($C171,Работы!$A$2:$A$6000,0))/100,0))*(1-ДисконтТендер),0))</f>
        <v>0</v>
      </c>
      <c r="N171" s="10">
        <f t="shared" si="6"/>
        <v>0</v>
      </c>
      <c r="O171" s="10">
        <f t="shared" si="7"/>
        <v>0</v>
      </c>
      <c r="P171" s="10">
        <f t="shared" si="8"/>
        <v>0</v>
      </c>
      <c r="Q171" t="str">
        <f>IFERROR(INDEX(Работы!$J$2:$J$6000,MATCH($C171,Работы!$A$2:$A$6000,0)),"")</f>
        <v>типовая</v>
      </c>
      <c r="R171" t="s">
        <v>92</v>
      </c>
      <c r="T171" t="str">
        <f>IF(AND($P171&gt;0,$R171="да"),MAX($T$1:$T170)+1,"")</f>
        <v/>
      </c>
    </row>
    <row r="172" spans="1:20" ht="72" x14ac:dyDescent="0.3">
      <c r="A172" t="str">
        <f>IFERROR(INDEX(Работы!$D$2:$D$6000,MATCH($C172,Работы!$A$2:$A$6000,0)),"")</f>
        <v>Р2</v>
      </c>
      <c r="B172" t="str">
        <f>IFERROR(INDEX(Работы!$F$2:$F$6000,MATCH($C172,Работы!$A$2:$A$6000,0)),"")</f>
        <v>8</v>
      </c>
      <c r="C172" t="str">
        <f>IFERROR(INDEX(Работы!$A$2:$A$6000,171),"")</f>
        <v>РАБ.Р2.8.001</v>
      </c>
      <c r="D172" s="8" t="str">
        <f>IFERROR(INDEX(Работы!$B$2:$B$6000,MATCH($C172,Работы!$A$2:$A$6000,0)),"")</f>
        <v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v>
      </c>
      <c r="E172" t="str">
        <f>IFERROR(INDEX(Работы!$C$2:$C$6000,MATCH($C172,Работы!$A$2:$A$6000,0)),"")</f>
        <v>кв.м.площади офиса</v>
      </c>
      <c r="F172">
        <f>IFERROR(INDEX(Работы!$G$2:$G$6000,MATCH($C172,Работы!$A$2:$A$6000,0)),"")</f>
        <v>0</v>
      </c>
      <c r="G172" t="str">
        <f>IFERROR(INDEX(Работы!$K$2:$K$6000,MATCH($C172,Работы!$A$2:$A$6000,0)),"")</f>
        <v>Замер_демонтажа</v>
      </c>
      <c r="H172" s="9"/>
      <c r="I172" s="9"/>
      <c r="J172" s="8" t="str">
        <f>IFERROR(INDEX(Материалы!$B$2:$B$9000,MATCH($I172,Материалы!$A$2:$A$9000,0)),"")</f>
        <v/>
      </c>
      <c r="K172" t="str">
        <f>IF($I172="","",IF($F172=IFERROR(INDEX(Материалы!$G$2:$G$9000,MATCH($I172,Материалы!$A$2:$A$9000,0)),""),"OK","!! не та группа"))</f>
        <v/>
      </c>
      <c r="L172" s="10">
        <f>IFERROR(INDEX(Работы!$H$2:$H$6000,MATCH($C172,Работы!$A$2:$A$6000,0))*(1-ДисконтТендер),0)</f>
        <v>86.13</v>
      </c>
      <c r="M172" s="10">
        <f>IF($I172="",0,IFERROR(INDEX(Материалы!$I$2:$I$9000,MATCH($I172,Материалы!$A$2:$A$9000,0))*IF(INDEX(Материалы!$J$2:$J$9000,MATCH($I172,Материалы!$A$2:$A$9000,0))="USD",КурсUSD,IF(INDEX(Материалы!$J$2:$J$9000,MATCH($I172,Материалы!$A$2:$A$9000,0))="EUR",КурсEUR,1))*INDEX(Материалы!$K$2:$K$9000,MATCH($I172,Материалы!$A$2:$A$9000,0))*(1+IFERROR(INDEX(Работы!$I$2:$I$6000,MATCH($C172,Работы!$A$2:$A$6000,0))/100,0))*(1-ДисконтТендер),0))</f>
        <v>0</v>
      </c>
      <c r="N172" s="10">
        <f t="shared" si="6"/>
        <v>0</v>
      </c>
      <c r="O172" s="10">
        <f t="shared" si="7"/>
        <v>0</v>
      </c>
      <c r="P172" s="10">
        <f t="shared" si="8"/>
        <v>0</v>
      </c>
      <c r="Q172" t="str">
        <f>IFERROR(INDEX(Работы!$J$2:$J$6000,MATCH($C172,Работы!$A$2:$A$6000,0)),"")</f>
        <v>типовая</v>
      </c>
      <c r="R172" t="s">
        <v>92</v>
      </c>
      <c r="T172" t="str">
        <f>IF(AND($P172&gt;0,$R172="да"),MAX($T$1:$T171)+1,"")</f>
        <v/>
      </c>
    </row>
    <row r="173" spans="1:20" ht="57.6" x14ac:dyDescent="0.3">
      <c r="A173" t="str">
        <f>IFERROR(INDEX(Работы!$D$2:$D$6000,MATCH($C173,Работы!$A$2:$A$6000,0)),"")</f>
        <v>Р2</v>
      </c>
      <c r="B173" t="str">
        <f>IFERROR(INDEX(Работы!$F$2:$F$6000,MATCH($C173,Работы!$A$2:$A$6000,0)),"")</f>
        <v>8</v>
      </c>
      <c r="C173" t="str">
        <f>IFERROR(INDEX(Работы!$A$2:$A$6000,172),"")</f>
        <v>РАБ.Р2.8.002</v>
      </c>
      <c r="D173" s="8" t="str">
        <f>IFERROR(INDEX(Работы!$B$2:$B$6000,MATCH($C173,Работы!$A$2:$A$6000,0)),"")</f>
        <v>Демонтаж скрытой электропроводки (проложенной в перегородках, за подвесными потолками, под фальшполами и в других конструктивных элементах зданий)</v>
      </c>
      <c r="E173" t="str">
        <f>IFERROR(INDEX(Работы!$C$2:$C$6000,MATCH($C173,Работы!$A$2:$A$6000,0)),"")</f>
        <v>кв.м.площади офиса</v>
      </c>
      <c r="F173">
        <f>IFERROR(INDEX(Работы!$G$2:$G$6000,MATCH($C173,Работы!$A$2:$A$6000,0)),"")</f>
        <v>0</v>
      </c>
      <c r="G173" t="str">
        <f>IFERROR(INDEX(Работы!$K$2:$K$6000,MATCH($C173,Работы!$A$2:$A$6000,0)),"")</f>
        <v>Замер_демонтажа</v>
      </c>
      <c r="H173" s="9"/>
      <c r="I173" s="9"/>
      <c r="J173" s="8" t="str">
        <f>IFERROR(INDEX(Материалы!$B$2:$B$9000,MATCH($I173,Материалы!$A$2:$A$9000,0)),"")</f>
        <v/>
      </c>
      <c r="K173" t="str">
        <f>IF($I173="","",IF($F173=IFERROR(INDEX(Материалы!$G$2:$G$9000,MATCH($I173,Материалы!$A$2:$A$9000,0)),""),"OK","!! не та группа"))</f>
        <v/>
      </c>
      <c r="L173" s="10">
        <f>IFERROR(INDEX(Работы!$H$2:$H$6000,MATCH($C173,Работы!$A$2:$A$6000,0))*(1-ДисконтТендер),0)</f>
        <v>92.39</v>
      </c>
      <c r="M173" s="10">
        <f>IF($I173="",0,IFERROR(INDEX(Материалы!$I$2:$I$9000,MATCH($I173,Материалы!$A$2:$A$9000,0))*IF(INDEX(Материалы!$J$2:$J$9000,MATCH($I173,Материалы!$A$2:$A$9000,0))="USD",КурсUSD,IF(INDEX(Материалы!$J$2:$J$9000,MATCH($I173,Материалы!$A$2:$A$9000,0))="EUR",КурсEUR,1))*INDEX(Материалы!$K$2:$K$9000,MATCH($I173,Материалы!$A$2:$A$9000,0))*(1+IFERROR(INDEX(Работы!$I$2:$I$6000,MATCH($C173,Работы!$A$2:$A$6000,0))/100,0))*(1-ДисконтТендер),0))</f>
        <v>0</v>
      </c>
      <c r="N173" s="10">
        <f t="shared" si="6"/>
        <v>0</v>
      </c>
      <c r="O173" s="10">
        <f t="shared" si="7"/>
        <v>0</v>
      </c>
      <c r="P173" s="10">
        <f t="shared" si="8"/>
        <v>0</v>
      </c>
      <c r="Q173" t="str">
        <f>IFERROR(INDEX(Работы!$J$2:$J$6000,MATCH($C173,Работы!$A$2:$A$6000,0)),"")</f>
        <v>типовая</v>
      </c>
      <c r="R173" t="s">
        <v>92</v>
      </c>
      <c r="T173" t="str">
        <f>IF(AND($P173&gt;0,$R173="да"),MAX($T$1:$T172)+1,"")</f>
        <v/>
      </c>
    </row>
    <row r="174" spans="1:20" x14ac:dyDescent="0.3">
      <c r="A174" t="str">
        <f>IFERROR(INDEX(Работы!$D$2:$D$6000,MATCH($C174,Работы!$A$2:$A$6000,0)),"")</f>
        <v>Р2</v>
      </c>
      <c r="B174" t="str">
        <f>IFERROR(INDEX(Работы!$F$2:$F$6000,MATCH($C174,Работы!$A$2:$A$6000,0)),"")</f>
        <v>8</v>
      </c>
      <c r="C174" t="str">
        <f>IFERROR(INDEX(Работы!$A$2:$A$6000,173),"")</f>
        <v>РАБ.Р2.8.003</v>
      </c>
      <c r="D174" s="8" t="str">
        <f>IFERROR(INDEX(Работы!$B$2:$B$6000,MATCH($C174,Работы!$A$2:$A$6000,0)),"")</f>
        <v>Демонтаж выключателей, розеток</v>
      </c>
      <c r="E174" t="str">
        <f>IFERROR(INDEX(Работы!$C$2:$C$6000,MATCH($C174,Работы!$A$2:$A$6000,0)),"")</f>
        <v>шт.</v>
      </c>
      <c r="F174">
        <f>IFERROR(INDEX(Работы!$G$2:$G$6000,MATCH($C174,Работы!$A$2:$A$6000,0)),"")</f>
        <v>0</v>
      </c>
      <c r="G174" t="str">
        <f>IFERROR(INDEX(Работы!$K$2:$K$6000,MATCH($C174,Работы!$A$2:$A$6000,0)),"")</f>
        <v>Замер_демонтажа</v>
      </c>
      <c r="H174" s="9"/>
      <c r="I174" s="9"/>
      <c r="J174" s="8" t="str">
        <f>IFERROR(INDEX(Материалы!$B$2:$B$9000,MATCH($I174,Материалы!$A$2:$A$9000,0)),"")</f>
        <v/>
      </c>
      <c r="K174" t="str">
        <f>IF($I174="","",IF($F174=IFERROR(INDEX(Материалы!$G$2:$G$9000,MATCH($I174,Материалы!$A$2:$A$9000,0)),""),"OK","!! не та группа"))</f>
        <v/>
      </c>
      <c r="L174" s="10">
        <f>IFERROR(INDEX(Работы!$H$2:$H$6000,MATCH($C174,Работы!$A$2:$A$6000,0))*(1-ДисконтТендер),0)</f>
        <v>191.4</v>
      </c>
      <c r="M174" s="10">
        <f>IF($I174="",0,IFERROR(INDEX(Материалы!$I$2:$I$9000,MATCH($I174,Материалы!$A$2:$A$9000,0))*IF(INDEX(Материалы!$J$2:$J$9000,MATCH($I174,Материалы!$A$2:$A$9000,0))="USD",КурсUSD,IF(INDEX(Материалы!$J$2:$J$9000,MATCH($I174,Материалы!$A$2:$A$9000,0))="EUR",КурсEUR,1))*INDEX(Материалы!$K$2:$K$9000,MATCH($I174,Материалы!$A$2:$A$9000,0))*(1+IFERROR(INDEX(Работы!$I$2:$I$6000,MATCH($C174,Работы!$A$2:$A$6000,0))/100,0))*(1-ДисконтТендер),0))</f>
        <v>0</v>
      </c>
      <c r="N174" s="10">
        <f t="shared" si="6"/>
        <v>0</v>
      </c>
      <c r="O174" s="10">
        <f t="shared" si="7"/>
        <v>0</v>
      </c>
      <c r="P174" s="10">
        <f t="shared" si="8"/>
        <v>0</v>
      </c>
      <c r="Q174" t="str">
        <f>IFERROR(INDEX(Работы!$J$2:$J$6000,MATCH($C174,Работы!$A$2:$A$6000,0)),"")</f>
        <v>типовая</v>
      </c>
      <c r="R174" t="s">
        <v>92</v>
      </c>
      <c r="T174" t="str">
        <f>IF(AND($P174&gt;0,$R174="да"),MAX($T$1:$T173)+1,"")</f>
        <v/>
      </c>
    </row>
    <row r="175" spans="1:20" x14ac:dyDescent="0.3">
      <c r="A175" t="str">
        <f>IFERROR(INDEX(Работы!$D$2:$D$6000,MATCH($C175,Работы!$A$2:$A$6000,0)),"")</f>
        <v>Р2</v>
      </c>
      <c r="B175" t="str">
        <f>IFERROR(INDEX(Работы!$F$2:$F$6000,MATCH($C175,Работы!$A$2:$A$6000,0)),"")</f>
        <v>8</v>
      </c>
      <c r="C175" t="str">
        <f>IFERROR(INDEX(Работы!$A$2:$A$6000,174),"")</f>
        <v>РАБ.Р2.8.004</v>
      </c>
      <c r="D175" s="8" t="str">
        <f>IFERROR(INDEX(Работы!$B$2:$B$6000,MATCH($C175,Работы!$A$2:$A$6000,0)),"")</f>
        <v>Демонтаж светильников</v>
      </c>
      <c r="E175" t="str">
        <f>IFERROR(INDEX(Работы!$C$2:$C$6000,MATCH($C175,Работы!$A$2:$A$6000,0)),"")</f>
        <v>шт.</v>
      </c>
      <c r="F175">
        <f>IFERROR(INDEX(Работы!$G$2:$G$6000,MATCH($C175,Работы!$A$2:$A$6000,0)),"")</f>
        <v>0</v>
      </c>
      <c r="G175" t="str">
        <f>IFERROR(INDEX(Работы!$K$2:$K$6000,MATCH($C175,Работы!$A$2:$A$6000,0)),"")</f>
        <v>Замер_демонтажа</v>
      </c>
      <c r="H175" s="9"/>
      <c r="I175" s="9"/>
      <c r="J175" s="8" t="str">
        <f>IFERROR(INDEX(Материалы!$B$2:$B$9000,MATCH($I175,Материалы!$A$2:$A$9000,0)),"")</f>
        <v/>
      </c>
      <c r="K175" t="str">
        <f>IF($I175="","",IF($F175=IFERROR(INDEX(Материалы!$G$2:$G$9000,MATCH($I175,Материалы!$A$2:$A$9000,0)),""),"OK","!! не та группа"))</f>
        <v/>
      </c>
      <c r="L175" s="10">
        <f>IFERROR(INDEX(Работы!$H$2:$H$6000,MATCH($C175,Работы!$A$2:$A$6000,0))*(1-ДисконтТендер),0)</f>
        <v>431.61</v>
      </c>
      <c r="M175" s="10">
        <f>IF($I175="",0,IFERROR(INDEX(Материалы!$I$2:$I$9000,MATCH($I175,Материалы!$A$2:$A$9000,0))*IF(INDEX(Материалы!$J$2:$J$9000,MATCH($I175,Материалы!$A$2:$A$9000,0))="USD",КурсUSD,IF(INDEX(Материалы!$J$2:$J$9000,MATCH($I175,Материалы!$A$2:$A$9000,0))="EUR",КурсEUR,1))*INDEX(Материалы!$K$2:$K$9000,MATCH($I175,Материалы!$A$2:$A$9000,0))*(1+IFERROR(INDEX(Работы!$I$2:$I$6000,MATCH($C175,Работы!$A$2:$A$6000,0))/100,0))*(1-ДисконтТендер),0))</f>
        <v>0</v>
      </c>
      <c r="N175" s="10">
        <f t="shared" si="6"/>
        <v>0</v>
      </c>
      <c r="O175" s="10">
        <f t="shared" si="7"/>
        <v>0</v>
      </c>
      <c r="P175" s="10">
        <f t="shared" si="8"/>
        <v>0</v>
      </c>
      <c r="Q175" t="str">
        <f>IFERROR(INDEX(Работы!$J$2:$J$6000,MATCH($C175,Работы!$A$2:$A$6000,0)),"")</f>
        <v>типовая</v>
      </c>
      <c r="R175" t="s">
        <v>92</v>
      </c>
      <c r="T175" t="str">
        <f>IF(AND($P175&gt;0,$R175="да"),MAX($T$1:$T174)+1,"")</f>
        <v/>
      </c>
    </row>
    <row r="176" spans="1:20" x14ac:dyDescent="0.3">
      <c r="A176" t="str">
        <f>IFERROR(INDEX(Работы!$D$2:$D$6000,MATCH($C176,Работы!$A$2:$A$6000,0)),"")</f>
        <v>Р2</v>
      </c>
      <c r="B176" t="str">
        <f>IFERROR(INDEX(Работы!$F$2:$F$6000,MATCH($C176,Работы!$A$2:$A$6000,0)),"")</f>
        <v>8</v>
      </c>
      <c r="C176" t="str">
        <f>IFERROR(INDEX(Работы!$A$2:$A$6000,175),"")</f>
        <v>РАБ.Р2.8.005</v>
      </c>
      <c r="D176" s="8" t="str">
        <f>IFERROR(INDEX(Работы!$B$2:$B$6000,MATCH($C176,Работы!$A$2:$A$6000,0)),"")</f>
        <v>Демонтаж электрощитов распределительных</v>
      </c>
      <c r="E176" t="str">
        <f>IFERROR(INDEX(Работы!$C$2:$C$6000,MATCH($C176,Работы!$A$2:$A$6000,0)),"")</f>
        <v>шт.</v>
      </c>
      <c r="F176">
        <f>IFERROR(INDEX(Работы!$G$2:$G$6000,MATCH($C176,Работы!$A$2:$A$6000,0)),"")</f>
        <v>0</v>
      </c>
      <c r="G176" t="str">
        <f>IFERROR(INDEX(Работы!$K$2:$K$6000,MATCH($C176,Работы!$A$2:$A$6000,0)),"")</f>
        <v>Замер_демонтажа</v>
      </c>
      <c r="H176" s="9"/>
      <c r="I176" s="9"/>
      <c r="J176" s="8" t="str">
        <f>IFERROR(INDEX(Материалы!$B$2:$B$9000,MATCH($I176,Материалы!$A$2:$A$9000,0)),"")</f>
        <v/>
      </c>
      <c r="K176" t="str">
        <f>IF($I176="","",IF($F176=IFERROR(INDEX(Материалы!$G$2:$G$9000,MATCH($I176,Материалы!$A$2:$A$9000,0)),""),"OK","!! не та группа"))</f>
        <v/>
      </c>
      <c r="L176" s="10">
        <f>IFERROR(INDEX(Работы!$H$2:$H$6000,MATCH($C176,Работы!$A$2:$A$6000,0))*(1-ДисконтТендер),0)</f>
        <v>2200</v>
      </c>
      <c r="M176" s="10">
        <f>IF($I176="",0,IFERROR(INDEX(Материалы!$I$2:$I$9000,MATCH($I176,Материалы!$A$2:$A$9000,0))*IF(INDEX(Материалы!$J$2:$J$9000,MATCH($I176,Материалы!$A$2:$A$9000,0))="USD",КурсUSD,IF(INDEX(Материалы!$J$2:$J$9000,MATCH($I176,Материалы!$A$2:$A$9000,0))="EUR",КурсEUR,1))*INDEX(Материалы!$K$2:$K$9000,MATCH($I176,Материалы!$A$2:$A$9000,0))*(1+IFERROR(INDEX(Работы!$I$2:$I$6000,MATCH($C176,Работы!$A$2:$A$6000,0))/100,0))*(1-ДисконтТендер),0))</f>
        <v>0</v>
      </c>
      <c r="N176" s="10">
        <f t="shared" si="6"/>
        <v>0</v>
      </c>
      <c r="O176" s="10">
        <f t="shared" si="7"/>
        <v>0</v>
      </c>
      <c r="P176" s="10">
        <f t="shared" si="8"/>
        <v>0</v>
      </c>
      <c r="Q176" t="str">
        <f>IFERROR(INDEX(Работы!$J$2:$J$6000,MATCH($C176,Работы!$A$2:$A$6000,0)),"")</f>
        <v>типовая</v>
      </c>
      <c r="R176" t="s">
        <v>92</v>
      </c>
      <c r="T176" t="str">
        <f>IF(AND($P176&gt;0,$R176="да"),MAX($T$1:$T175)+1,"")</f>
        <v/>
      </c>
    </row>
    <row r="177" spans="1:20" x14ac:dyDescent="0.3">
      <c r="A177" t="str">
        <f>IFERROR(INDEX(Работы!$D$2:$D$6000,MATCH($C177,Работы!$A$2:$A$6000,0)),"")</f>
        <v>Р2</v>
      </c>
      <c r="B177" t="str">
        <f>IFERROR(INDEX(Работы!$F$2:$F$6000,MATCH($C177,Работы!$A$2:$A$6000,0)),"")</f>
        <v>8</v>
      </c>
      <c r="C177" t="str">
        <f>IFERROR(INDEX(Работы!$A$2:$A$6000,176),"")</f>
        <v>РАБ.Р2.8.006</v>
      </c>
      <c r="D177" s="8" t="str">
        <f>IFERROR(INDEX(Работы!$B$2:$B$6000,MATCH($C177,Работы!$A$2:$A$6000,0)),"")</f>
        <v>Демонтаж щитов ВРУ</v>
      </c>
      <c r="E177" t="str">
        <f>IFERROR(INDEX(Работы!$C$2:$C$6000,MATCH($C177,Работы!$A$2:$A$6000,0)),"")</f>
        <v>шт.</v>
      </c>
      <c r="F177">
        <f>IFERROR(INDEX(Работы!$G$2:$G$6000,MATCH($C177,Работы!$A$2:$A$6000,0)),"")</f>
        <v>0</v>
      </c>
      <c r="G177" t="str">
        <f>IFERROR(INDEX(Работы!$K$2:$K$6000,MATCH($C177,Работы!$A$2:$A$6000,0)),"")</f>
        <v>Замер_демонтажа</v>
      </c>
      <c r="H177" s="9"/>
      <c r="I177" s="9"/>
      <c r="J177" s="8" t="str">
        <f>IFERROR(INDEX(Материалы!$B$2:$B$9000,MATCH($I177,Материалы!$A$2:$A$9000,0)),"")</f>
        <v/>
      </c>
      <c r="K177" t="str">
        <f>IF($I177="","",IF($F177=IFERROR(INDEX(Материалы!$G$2:$G$9000,MATCH($I177,Материалы!$A$2:$A$9000,0)),""),"OK","!! не та группа"))</f>
        <v/>
      </c>
      <c r="L177" s="10">
        <f>IFERROR(INDEX(Работы!$H$2:$H$6000,MATCH($C177,Работы!$A$2:$A$6000,0))*(1-ДисконтТендер),0)</f>
        <v>5225</v>
      </c>
      <c r="M177" s="10">
        <f>IF($I177="",0,IFERROR(INDEX(Материалы!$I$2:$I$9000,MATCH($I177,Материалы!$A$2:$A$9000,0))*IF(INDEX(Материалы!$J$2:$J$9000,MATCH($I177,Материалы!$A$2:$A$9000,0))="USD",КурсUSD,IF(INDEX(Материалы!$J$2:$J$9000,MATCH($I177,Материалы!$A$2:$A$9000,0))="EUR",КурсEUR,1))*INDEX(Материалы!$K$2:$K$9000,MATCH($I177,Материалы!$A$2:$A$9000,0))*(1+IFERROR(INDEX(Работы!$I$2:$I$6000,MATCH($C177,Работы!$A$2:$A$6000,0))/100,0))*(1-ДисконтТендер),0))</f>
        <v>0</v>
      </c>
      <c r="N177" s="10">
        <f t="shared" si="6"/>
        <v>0</v>
      </c>
      <c r="O177" s="10">
        <f t="shared" si="7"/>
        <v>0</v>
      </c>
      <c r="P177" s="10">
        <f t="shared" si="8"/>
        <v>0</v>
      </c>
      <c r="Q177" t="str">
        <f>IFERROR(INDEX(Работы!$J$2:$J$6000,MATCH($C177,Работы!$A$2:$A$6000,0)),"")</f>
        <v>типовая</v>
      </c>
      <c r="R177" t="s">
        <v>92</v>
      </c>
      <c r="T177" t="str">
        <f>IF(AND($P177&gt;0,$R177="да"),MAX($T$1:$T176)+1,"")</f>
        <v/>
      </c>
    </row>
    <row r="178" spans="1:20" x14ac:dyDescent="0.3">
      <c r="A178" t="str">
        <f>IFERROR(INDEX(Работы!$D$2:$D$6000,MATCH($C178,Работы!$A$2:$A$6000,0)),"")</f>
        <v>Р2</v>
      </c>
      <c r="B178" t="str">
        <f>IFERROR(INDEX(Работы!$F$2:$F$6000,MATCH($C178,Работы!$A$2:$A$6000,0)),"")</f>
        <v>8</v>
      </c>
      <c r="C178" t="str">
        <f>IFERROR(INDEX(Работы!$A$2:$A$6000,177),"")</f>
        <v>РАБ.Р2.8.007</v>
      </c>
      <c r="D178" s="8" t="str">
        <f>IFERROR(INDEX(Работы!$B$2:$B$6000,MATCH($C178,Работы!$A$2:$A$6000,0)),"")</f>
        <v>Демонтаж вводных кабелей высоковольтных</v>
      </c>
      <c r="E178" t="str">
        <f>IFERROR(INDEX(Работы!$C$2:$C$6000,MATCH($C178,Работы!$A$2:$A$6000,0)),"")</f>
        <v>м.п.</v>
      </c>
      <c r="F178">
        <f>IFERROR(INDEX(Работы!$G$2:$G$6000,MATCH($C178,Работы!$A$2:$A$6000,0)),"")</f>
        <v>0</v>
      </c>
      <c r="G178" t="str">
        <f>IFERROR(INDEX(Работы!$K$2:$K$6000,MATCH($C178,Работы!$A$2:$A$6000,0)),"")</f>
        <v>Замер_демонтажа</v>
      </c>
      <c r="H178" s="9"/>
      <c r="I178" s="9"/>
      <c r="J178" s="8" t="str">
        <f>IFERROR(INDEX(Материалы!$B$2:$B$9000,MATCH($I178,Материалы!$A$2:$A$9000,0)),"")</f>
        <v/>
      </c>
      <c r="K178" t="str">
        <f>IF($I178="","",IF($F178=IFERROR(INDEX(Материалы!$G$2:$G$9000,MATCH($I178,Материалы!$A$2:$A$9000,0)),""),"OK","!! не та группа"))</f>
        <v/>
      </c>
      <c r="L178" s="10">
        <f>IFERROR(INDEX(Работы!$H$2:$H$6000,MATCH($C178,Работы!$A$2:$A$6000,0))*(1-ДисконтТендер),0)</f>
        <v>435.41</v>
      </c>
      <c r="M178" s="10">
        <f>IF($I178="",0,IFERROR(INDEX(Материалы!$I$2:$I$9000,MATCH($I178,Материалы!$A$2:$A$9000,0))*IF(INDEX(Материалы!$J$2:$J$9000,MATCH($I178,Материалы!$A$2:$A$9000,0))="USD",КурсUSD,IF(INDEX(Материалы!$J$2:$J$9000,MATCH($I178,Материалы!$A$2:$A$9000,0))="EUR",КурсEUR,1))*INDEX(Материалы!$K$2:$K$9000,MATCH($I178,Материалы!$A$2:$A$9000,0))*(1+IFERROR(INDEX(Работы!$I$2:$I$6000,MATCH($C178,Работы!$A$2:$A$6000,0))/100,0))*(1-ДисконтТендер),0))</f>
        <v>0</v>
      </c>
      <c r="N178" s="10">
        <f t="shared" si="6"/>
        <v>0</v>
      </c>
      <c r="O178" s="10">
        <f t="shared" si="7"/>
        <v>0</v>
      </c>
      <c r="P178" s="10">
        <f t="shared" si="8"/>
        <v>0</v>
      </c>
      <c r="Q178" t="str">
        <f>IFERROR(INDEX(Работы!$J$2:$J$6000,MATCH($C178,Работы!$A$2:$A$6000,0)),"")</f>
        <v>типовая</v>
      </c>
      <c r="R178" t="s">
        <v>92</v>
      </c>
      <c r="T178" t="str">
        <f>IF(AND($P178&gt;0,$R178="да"),MAX($T$1:$T177)+1,"")</f>
        <v/>
      </c>
    </row>
    <row r="179" spans="1:20" x14ac:dyDescent="0.3">
      <c r="A179" t="str">
        <f>IFERROR(INDEX(Работы!$D$2:$D$6000,MATCH($C179,Работы!$A$2:$A$6000,0)),"")</f>
        <v>Р2</v>
      </c>
      <c r="B179" t="str">
        <f>IFERROR(INDEX(Работы!$F$2:$F$6000,MATCH($C179,Работы!$A$2:$A$6000,0)),"")</f>
        <v>8</v>
      </c>
      <c r="C179" t="str">
        <f>IFERROR(INDEX(Работы!$A$2:$A$6000,178),"")</f>
        <v>РАБ.Р2.8.008</v>
      </c>
      <c r="D179" s="8" t="str">
        <f>IFERROR(INDEX(Работы!$B$2:$B$6000,MATCH($C179,Работы!$A$2:$A$6000,0)),"")</f>
        <v>Демонтаж светильников с сохранением</v>
      </c>
      <c r="E179" t="str">
        <f>IFERROR(INDEX(Работы!$C$2:$C$6000,MATCH($C179,Работы!$A$2:$A$6000,0)),"")</f>
        <v>шт.</v>
      </c>
      <c r="F179">
        <f>IFERROR(INDEX(Работы!$G$2:$G$6000,MATCH($C179,Работы!$A$2:$A$6000,0)),"")</f>
        <v>0</v>
      </c>
      <c r="G179" t="str">
        <f>IFERROR(INDEX(Работы!$K$2:$K$6000,MATCH($C179,Работы!$A$2:$A$6000,0)),"")</f>
        <v>Замер_демонтажа</v>
      </c>
      <c r="H179" s="9"/>
      <c r="I179" s="9"/>
      <c r="J179" s="8" t="str">
        <f>IFERROR(INDEX(Материалы!$B$2:$B$9000,MATCH($I179,Материалы!$A$2:$A$9000,0)),"")</f>
        <v/>
      </c>
      <c r="K179" t="str">
        <f>IF($I179="","",IF($F179=IFERROR(INDEX(Материалы!$G$2:$G$9000,MATCH($I179,Материалы!$A$2:$A$9000,0)),""),"OK","!! не та группа"))</f>
        <v/>
      </c>
      <c r="L179" s="10">
        <f>IFERROR(INDEX(Работы!$H$2:$H$6000,MATCH($C179,Работы!$A$2:$A$6000,0))*(1-ДисконтТендер),0)</f>
        <v>1045</v>
      </c>
      <c r="M179" s="10">
        <f>IF($I179="",0,IFERROR(INDEX(Материалы!$I$2:$I$9000,MATCH($I179,Материалы!$A$2:$A$9000,0))*IF(INDEX(Материалы!$J$2:$J$9000,MATCH($I179,Материалы!$A$2:$A$9000,0))="USD",КурсUSD,IF(INDEX(Материалы!$J$2:$J$9000,MATCH($I179,Материалы!$A$2:$A$9000,0))="EUR",КурсEUR,1))*INDEX(Материалы!$K$2:$K$9000,MATCH($I179,Материалы!$A$2:$A$9000,0))*(1+IFERROR(INDEX(Работы!$I$2:$I$6000,MATCH($C179,Работы!$A$2:$A$6000,0))/100,0))*(1-ДисконтТендер),0))</f>
        <v>0</v>
      </c>
      <c r="N179" s="10">
        <f t="shared" si="6"/>
        <v>0</v>
      </c>
      <c r="O179" s="10">
        <f t="shared" si="7"/>
        <v>0</v>
      </c>
      <c r="P179" s="10">
        <f t="shared" si="8"/>
        <v>0</v>
      </c>
      <c r="Q179" t="str">
        <f>IFERROR(INDEX(Работы!$J$2:$J$6000,MATCH($C179,Работы!$A$2:$A$6000,0)),"")</f>
        <v>типовая</v>
      </c>
      <c r="R179" t="s">
        <v>92</v>
      </c>
      <c r="T179" t="str">
        <f>IF(AND($P179&gt;0,$R179="да"),MAX($T$1:$T178)+1,"")</f>
        <v/>
      </c>
    </row>
    <row r="180" spans="1:20" x14ac:dyDescent="0.3">
      <c r="A180" t="str">
        <f>IFERROR(INDEX(Работы!$D$2:$D$6000,MATCH($C180,Работы!$A$2:$A$6000,0)),"")</f>
        <v>Р2</v>
      </c>
      <c r="B180" t="str">
        <f>IFERROR(INDEX(Работы!$F$2:$F$6000,MATCH($C180,Работы!$A$2:$A$6000,0)),"")</f>
        <v>8</v>
      </c>
      <c r="C180" t="str">
        <f>IFERROR(INDEX(Работы!$A$2:$A$6000,179),"")</f>
        <v>РАБ.Р2.8.009</v>
      </c>
      <c r="D180" s="8" t="str">
        <f>IFERROR(INDEX(Работы!$B$2:$B$6000,MATCH($C180,Работы!$A$2:$A$6000,0)),"")</f>
        <v>Демонтаж кабель канала</v>
      </c>
      <c r="E180" t="str">
        <f>IFERROR(INDEX(Работы!$C$2:$C$6000,MATCH($C180,Работы!$A$2:$A$6000,0)),"")</f>
        <v>м.п.</v>
      </c>
      <c r="F180">
        <f>IFERROR(INDEX(Работы!$G$2:$G$6000,MATCH($C180,Работы!$A$2:$A$6000,0)),"")</f>
        <v>0</v>
      </c>
      <c r="G180" t="str">
        <f>IFERROR(INDEX(Работы!$K$2:$K$6000,MATCH($C180,Работы!$A$2:$A$6000,0)),"")</f>
        <v>Замер_демонтажа</v>
      </c>
      <c r="H180" s="9"/>
      <c r="I180" s="9"/>
      <c r="J180" s="8" t="str">
        <f>IFERROR(INDEX(Материалы!$B$2:$B$9000,MATCH($I180,Материалы!$A$2:$A$9000,0)),"")</f>
        <v/>
      </c>
      <c r="K180" t="str">
        <f>IF($I180="","",IF($F180=IFERROR(INDEX(Материалы!$G$2:$G$9000,MATCH($I180,Материалы!$A$2:$A$9000,0)),""),"OK","!! не та группа"))</f>
        <v/>
      </c>
      <c r="L180" s="10">
        <f>IFERROR(INDEX(Работы!$H$2:$H$6000,MATCH($C180,Работы!$A$2:$A$6000,0))*(1-ДисконтТендер),0)</f>
        <v>255.07</v>
      </c>
      <c r="M180" s="10">
        <f>IF($I180="",0,IFERROR(INDEX(Материалы!$I$2:$I$9000,MATCH($I180,Материалы!$A$2:$A$9000,0))*IF(INDEX(Материалы!$J$2:$J$9000,MATCH($I180,Материалы!$A$2:$A$9000,0))="USD",КурсUSD,IF(INDEX(Материалы!$J$2:$J$9000,MATCH($I180,Материалы!$A$2:$A$9000,0))="EUR",КурсEUR,1))*INDEX(Материалы!$K$2:$K$9000,MATCH($I180,Материалы!$A$2:$A$9000,0))*(1+IFERROR(INDEX(Работы!$I$2:$I$6000,MATCH($C180,Работы!$A$2:$A$6000,0))/100,0))*(1-ДисконтТендер),0))</f>
        <v>0</v>
      </c>
      <c r="N180" s="10">
        <f t="shared" si="6"/>
        <v>0</v>
      </c>
      <c r="O180" s="10">
        <f t="shared" si="7"/>
        <v>0</v>
      </c>
      <c r="P180" s="10">
        <f t="shared" si="8"/>
        <v>0</v>
      </c>
      <c r="Q180" t="str">
        <f>IFERROR(INDEX(Работы!$J$2:$J$6000,MATCH($C180,Работы!$A$2:$A$6000,0)),"")</f>
        <v>типовая</v>
      </c>
      <c r="R180" t="s">
        <v>92</v>
      </c>
      <c r="T180" t="str">
        <f>IF(AND($P180&gt;0,$R180="да"),MAX($T$1:$T179)+1,"")</f>
        <v/>
      </c>
    </row>
    <row r="181" spans="1:20" ht="28.8" x14ac:dyDescent="0.3">
      <c r="A181" t="str">
        <f>IFERROR(INDEX(Работы!$D$2:$D$6000,MATCH($C181,Работы!$A$2:$A$6000,0)),"")</f>
        <v>Р2</v>
      </c>
      <c r="B181" t="str">
        <f>IFERROR(INDEX(Работы!$F$2:$F$6000,MATCH($C181,Работы!$A$2:$A$6000,0)),"")</f>
        <v>9</v>
      </c>
      <c r="C181" t="str">
        <f>IFERROR(INDEX(Работы!$A$2:$A$6000,180),"")</f>
        <v>РАБ.Р2.9.001</v>
      </c>
      <c r="D181" s="8" t="str">
        <f>IFERROR(INDEX(Работы!$B$2:$B$6000,MATCH($C181,Работы!$A$2:$A$6000,0)),"")</f>
        <v>Демонтаж воздуховодов системы вентиляциии и охлаждения воздуха</v>
      </c>
      <c r="E181" t="str">
        <f>IFERROR(INDEX(Работы!$C$2:$C$6000,MATCH($C181,Работы!$A$2:$A$6000,0)),"")</f>
        <v>кв.м.площади офиса</v>
      </c>
      <c r="F181">
        <f>IFERROR(INDEX(Работы!$G$2:$G$6000,MATCH($C181,Работы!$A$2:$A$6000,0)),"")</f>
        <v>0</v>
      </c>
      <c r="G181" t="str">
        <f>IFERROR(INDEX(Работы!$K$2:$K$6000,MATCH($C181,Работы!$A$2:$A$6000,0)),"")</f>
        <v>Замер_демонтажа</v>
      </c>
      <c r="H181" s="9"/>
      <c r="I181" s="9"/>
      <c r="J181" s="8" t="str">
        <f>IFERROR(INDEX(Материалы!$B$2:$B$9000,MATCH($I181,Материалы!$A$2:$A$9000,0)),"")</f>
        <v/>
      </c>
      <c r="K181" t="str">
        <f>IF($I181="","",IF($F181=IFERROR(INDEX(Материалы!$G$2:$G$9000,MATCH($I181,Материалы!$A$2:$A$9000,0)),""),"OK","!! не та группа"))</f>
        <v/>
      </c>
      <c r="L181" s="10">
        <f>IFERROR(INDEX(Работы!$H$2:$H$6000,MATCH($C181,Работы!$A$2:$A$6000,0))*(1-ДисконтТендер),0)</f>
        <v>197.84</v>
      </c>
      <c r="M181" s="10">
        <f>IF($I181="",0,IFERROR(INDEX(Материалы!$I$2:$I$9000,MATCH($I181,Материалы!$A$2:$A$9000,0))*IF(INDEX(Материалы!$J$2:$J$9000,MATCH($I181,Материалы!$A$2:$A$9000,0))="USD",КурсUSD,IF(INDEX(Материалы!$J$2:$J$9000,MATCH($I181,Материалы!$A$2:$A$9000,0))="EUR",КурсEUR,1))*INDEX(Материалы!$K$2:$K$9000,MATCH($I181,Материалы!$A$2:$A$9000,0))*(1+IFERROR(INDEX(Работы!$I$2:$I$6000,MATCH($C181,Работы!$A$2:$A$6000,0))/100,0))*(1-ДисконтТендер),0))</f>
        <v>0</v>
      </c>
      <c r="N181" s="10">
        <f t="shared" si="6"/>
        <v>0</v>
      </c>
      <c r="O181" s="10">
        <f t="shared" si="7"/>
        <v>0</v>
      </c>
      <c r="P181" s="10">
        <f t="shared" si="8"/>
        <v>0</v>
      </c>
      <c r="Q181" t="str">
        <f>IFERROR(INDEX(Работы!$J$2:$J$6000,MATCH($C181,Работы!$A$2:$A$6000,0)),"")</f>
        <v>типовая</v>
      </c>
      <c r="R181" t="s">
        <v>92</v>
      </c>
      <c r="T181" t="str">
        <f>IF(AND($P181&gt;0,$R181="да"),MAX($T$1:$T180)+1,"")</f>
        <v/>
      </c>
    </row>
    <row r="182" spans="1:20" ht="57.6" x14ac:dyDescent="0.3">
      <c r="A182" t="str">
        <f>IFERROR(INDEX(Работы!$D$2:$D$6000,MATCH($C182,Работы!$A$2:$A$6000,0)),"")</f>
        <v>Р2</v>
      </c>
      <c r="B182" t="str">
        <f>IFERROR(INDEX(Работы!$F$2:$F$6000,MATCH($C182,Работы!$A$2:$A$6000,0)),"")</f>
        <v>9</v>
      </c>
      <c r="C182" t="str">
        <f>IFERROR(INDEX(Работы!$A$2:$A$6000,181),"")</f>
        <v>РАБ.Р2.9.002</v>
      </c>
      <c r="D182" s="8" t="str">
        <f>IFERROR(INDEX(Работы!$B$2:$B$6000,MATCH($C182,Работы!$A$2:$A$6000,0)),"")</f>
        <v>Демонтаж кондиционера (сплит система, внешний и внутренний блоки с трассами фреонопровода и межблочными кабельными линиями)</v>
      </c>
      <c r="E182" t="str">
        <f>IFERROR(INDEX(Работы!$C$2:$C$6000,MATCH($C182,Работы!$A$2:$A$6000,0)),"")</f>
        <v>шт.</v>
      </c>
      <c r="F182">
        <f>IFERROR(INDEX(Работы!$G$2:$G$6000,MATCH($C182,Работы!$A$2:$A$6000,0)),"")</f>
        <v>0</v>
      </c>
      <c r="G182" t="str">
        <f>IFERROR(INDEX(Работы!$K$2:$K$6000,MATCH($C182,Работы!$A$2:$A$6000,0)),"")</f>
        <v>Замер_демонтажа</v>
      </c>
      <c r="H182" s="9"/>
      <c r="I182" s="9"/>
      <c r="J182" s="8" t="str">
        <f>IFERROR(INDEX(Материалы!$B$2:$B$9000,MATCH($I182,Материалы!$A$2:$A$9000,0)),"")</f>
        <v/>
      </c>
      <c r="K182" t="str">
        <f>IF($I182="","",IF($F182=IFERROR(INDEX(Материалы!$G$2:$G$9000,MATCH($I182,Материалы!$A$2:$A$9000,0)),""),"OK","!! не та группа"))</f>
        <v/>
      </c>
      <c r="L182" s="10">
        <f>IFERROR(INDEX(Работы!$H$2:$H$6000,MATCH($C182,Работы!$A$2:$A$6000,0))*(1-ДисконтТендер),0)</f>
        <v>2639.67</v>
      </c>
      <c r="M182" s="10">
        <f>IF($I182="",0,IFERROR(INDEX(Материалы!$I$2:$I$9000,MATCH($I182,Материалы!$A$2:$A$9000,0))*IF(INDEX(Материалы!$J$2:$J$9000,MATCH($I182,Материалы!$A$2:$A$9000,0))="USD",КурсUSD,IF(INDEX(Материалы!$J$2:$J$9000,MATCH($I182,Материалы!$A$2:$A$9000,0))="EUR",КурсEUR,1))*INDEX(Материалы!$K$2:$K$9000,MATCH($I182,Материалы!$A$2:$A$9000,0))*(1+IFERROR(INDEX(Работы!$I$2:$I$6000,MATCH($C182,Работы!$A$2:$A$6000,0))/100,0))*(1-ДисконтТендер),0))</f>
        <v>0</v>
      </c>
      <c r="N182" s="10">
        <f t="shared" si="6"/>
        <v>0</v>
      </c>
      <c r="O182" s="10">
        <f t="shared" si="7"/>
        <v>0</v>
      </c>
      <c r="P182" s="10">
        <f t="shared" si="8"/>
        <v>0</v>
      </c>
      <c r="Q182" t="str">
        <f>IFERROR(INDEX(Работы!$J$2:$J$6000,MATCH($C182,Работы!$A$2:$A$6000,0)),"")</f>
        <v>типовая</v>
      </c>
      <c r="R182" t="s">
        <v>92</v>
      </c>
      <c r="T182" t="str">
        <f>IF(AND($P182&gt;0,$R182="да"),MAX($T$1:$T181)+1,"")</f>
        <v/>
      </c>
    </row>
    <row r="183" spans="1:20" ht="28.8" x14ac:dyDescent="0.3">
      <c r="A183" t="str">
        <f>IFERROR(INDEX(Работы!$D$2:$D$6000,MATCH($C183,Работы!$A$2:$A$6000,0)),"")</f>
        <v>Р2</v>
      </c>
      <c r="B183" t="str">
        <f>IFERROR(INDEX(Работы!$F$2:$F$6000,MATCH($C183,Работы!$A$2:$A$6000,0)),"")</f>
        <v>9</v>
      </c>
      <c r="C183" t="str">
        <f>IFERROR(INDEX(Работы!$A$2:$A$6000,182),"")</f>
        <v>РАБ.Р2.9.003</v>
      </c>
      <c r="D183" s="8" t="str">
        <f>IFERROR(INDEX(Работы!$B$2:$B$6000,MATCH($C183,Работы!$A$2:$A$6000,0)),"")</f>
        <v>Демонтаж кондиционера (сплит система, внешний и внутренний блоки) с сохранением</v>
      </c>
      <c r="E183" t="str">
        <f>IFERROR(INDEX(Работы!$C$2:$C$6000,MATCH($C183,Работы!$A$2:$A$6000,0)),"")</f>
        <v>шт.</v>
      </c>
      <c r="F183">
        <f>IFERROR(INDEX(Работы!$G$2:$G$6000,MATCH($C183,Работы!$A$2:$A$6000,0)),"")</f>
        <v>0</v>
      </c>
      <c r="G183" t="str">
        <f>IFERROR(INDEX(Работы!$K$2:$K$6000,MATCH($C183,Работы!$A$2:$A$6000,0)),"")</f>
        <v>Замер_демонтажа</v>
      </c>
      <c r="H183" s="9"/>
      <c r="I183" s="9"/>
      <c r="J183" s="8" t="str">
        <f>IFERROR(INDEX(Материалы!$B$2:$B$9000,MATCH($I183,Материалы!$A$2:$A$9000,0)),"")</f>
        <v/>
      </c>
      <c r="K183" t="str">
        <f>IF($I183="","",IF($F183=IFERROR(INDEX(Материалы!$G$2:$G$9000,MATCH($I183,Материалы!$A$2:$A$9000,0)),""),"OK","!! не та группа"))</f>
        <v/>
      </c>
      <c r="L183" s="10">
        <f>IFERROR(INDEX(Работы!$H$2:$H$6000,MATCH($C183,Работы!$A$2:$A$6000,0))*(1-ДисконтТендер),0)</f>
        <v>7657.74</v>
      </c>
      <c r="M183" s="10">
        <f>IF($I183="",0,IFERROR(INDEX(Материалы!$I$2:$I$9000,MATCH($I183,Материалы!$A$2:$A$9000,0))*IF(INDEX(Материалы!$J$2:$J$9000,MATCH($I183,Материалы!$A$2:$A$9000,0))="USD",КурсUSD,IF(INDEX(Материалы!$J$2:$J$9000,MATCH($I183,Материалы!$A$2:$A$9000,0))="EUR",КурсEUR,1))*INDEX(Материалы!$K$2:$K$9000,MATCH($I183,Материалы!$A$2:$A$9000,0))*(1+IFERROR(INDEX(Работы!$I$2:$I$6000,MATCH($C183,Работы!$A$2:$A$6000,0))/100,0))*(1-ДисконтТендер),0))</f>
        <v>0</v>
      </c>
      <c r="N183" s="10">
        <f t="shared" si="6"/>
        <v>0</v>
      </c>
      <c r="O183" s="10">
        <f t="shared" si="7"/>
        <v>0</v>
      </c>
      <c r="P183" s="10">
        <f t="shared" si="8"/>
        <v>0</v>
      </c>
      <c r="Q183" t="str">
        <f>IFERROR(INDEX(Работы!$J$2:$J$6000,MATCH($C183,Работы!$A$2:$A$6000,0)),"")</f>
        <v>типовая</v>
      </c>
      <c r="R183" t="s">
        <v>92</v>
      </c>
      <c r="T183" t="str">
        <f>IF(AND($P183&gt;0,$R183="да"),MAX($T$1:$T182)+1,"")</f>
        <v/>
      </c>
    </row>
    <row r="184" spans="1:20" x14ac:dyDescent="0.3">
      <c r="A184" t="str">
        <f>IFERROR(INDEX(Работы!$D$2:$D$6000,MATCH($C184,Работы!$A$2:$A$6000,0)),"")</f>
        <v>Р2</v>
      </c>
      <c r="B184" t="str">
        <f>IFERROR(INDEX(Работы!$F$2:$F$6000,MATCH($C184,Работы!$A$2:$A$6000,0)),"")</f>
        <v>9</v>
      </c>
      <c r="C184" t="str">
        <f>IFERROR(INDEX(Работы!$A$2:$A$6000,183),"")</f>
        <v>РАБ.Р2.9.004</v>
      </c>
      <c r="D184" s="8" t="str">
        <f>IFERROR(INDEX(Работы!$B$2:$B$6000,MATCH($C184,Работы!$A$2:$A$6000,0)),"")</f>
        <v>Демонтаж вент машин</v>
      </c>
      <c r="E184" t="str">
        <f>IFERROR(INDEX(Работы!$C$2:$C$6000,MATCH($C184,Работы!$A$2:$A$6000,0)),"")</f>
        <v>шт.</v>
      </c>
      <c r="F184">
        <f>IFERROR(INDEX(Работы!$G$2:$G$6000,MATCH($C184,Работы!$A$2:$A$6000,0)),"")</f>
        <v>0</v>
      </c>
      <c r="G184" t="str">
        <f>IFERROR(INDEX(Работы!$K$2:$K$6000,MATCH($C184,Работы!$A$2:$A$6000,0)),"")</f>
        <v>Замер_демонтажа</v>
      </c>
      <c r="H184" s="9"/>
      <c r="I184" s="9"/>
      <c r="J184" s="8" t="str">
        <f>IFERROR(INDEX(Материалы!$B$2:$B$9000,MATCH($I184,Материалы!$A$2:$A$9000,0)),"")</f>
        <v/>
      </c>
      <c r="K184" t="str">
        <f>IF($I184="","",IF($F184=IFERROR(INDEX(Материалы!$G$2:$G$9000,MATCH($I184,Материалы!$A$2:$A$9000,0)),""),"OK","!! не та группа"))</f>
        <v/>
      </c>
      <c r="L184" s="10">
        <f>IFERROR(INDEX(Работы!$H$2:$H$6000,MATCH($C184,Работы!$A$2:$A$6000,0))*(1-ДисконтТендер),0)</f>
        <v>27311.040000000001</v>
      </c>
      <c r="M184" s="10">
        <f>IF($I184="",0,IFERROR(INDEX(Материалы!$I$2:$I$9000,MATCH($I184,Материалы!$A$2:$A$9000,0))*IF(INDEX(Материалы!$J$2:$J$9000,MATCH($I184,Материалы!$A$2:$A$9000,0))="USD",КурсUSD,IF(INDEX(Материалы!$J$2:$J$9000,MATCH($I184,Материалы!$A$2:$A$9000,0))="EUR",КурсEUR,1))*INDEX(Материалы!$K$2:$K$9000,MATCH($I184,Материалы!$A$2:$A$9000,0))*(1+IFERROR(INDEX(Работы!$I$2:$I$6000,MATCH($C184,Работы!$A$2:$A$6000,0))/100,0))*(1-ДисконтТендер),0))</f>
        <v>0</v>
      </c>
      <c r="N184" s="10">
        <f t="shared" si="6"/>
        <v>0</v>
      </c>
      <c r="O184" s="10">
        <f t="shared" si="7"/>
        <v>0</v>
      </c>
      <c r="P184" s="10">
        <f t="shared" si="8"/>
        <v>0</v>
      </c>
      <c r="Q184" t="str">
        <f>IFERROR(INDEX(Работы!$J$2:$J$6000,MATCH($C184,Работы!$A$2:$A$6000,0)),"")</f>
        <v>типовая</v>
      </c>
      <c r="R184" t="s">
        <v>92</v>
      </c>
      <c r="T184" t="str">
        <f>IF(AND($P184&gt;0,$R184="да"),MAX($T$1:$T183)+1,"")</f>
        <v/>
      </c>
    </row>
    <row r="185" spans="1:20" x14ac:dyDescent="0.3">
      <c r="A185" t="str">
        <f>IFERROR(INDEX(Работы!$D$2:$D$6000,MATCH($C185,Работы!$A$2:$A$6000,0)),"")</f>
        <v>Р2</v>
      </c>
      <c r="B185" t="str">
        <f>IFERROR(INDEX(Работы!$F$2:$F$6000,MATCH($C185,Работы!$A$2:$A$6000,0)),"")</f>
        <v>9</v>
      </c>
      <c r="C185" t="str">
        <f>IFERROR(INDEX(Работы!$A$2:$A$6000,184),"")</f>
        <v>РАБ.Р2.9.005</v>
      </c>
      <c r="D185" s="8" t="str">
        <f>IFERROR(INDEX(Работы!$B$2:$B$6000,MATCH($C185,Работы!$A$2:$A$6000,0)),"")</f>
        <v>Демонтаж вент машин с сохранением</v>
      </c>
      <c r="E185" t="str">
        <f>IFERROR(INDEX(Работы!$C$2:$C$6000,MATCH($C185,Работы!$A$2:$A$6000,0)),"")</f>
        <v>шт.</v>
      </c>
      <c r="F185">
        <f>IFERROR(INDEX(Работы!$G$2:$G$6000,MATCH($C185,Работы!$A$2:$A$6000,0)),"")</f>
        <v>0</v>
      </c>
      <c r="G185" t="str">
        <f>IFERROR(INDEX(Работы!$K$2:$K$6000,MATCH($C185,Работы!$A$2:$A$6000,0)),"")</f>
        <v>Замер_демонтажа</v>
      </c>
      <c r="H185" s="9"/>
      <c r="I185" s="9"/>
      <c r="J185" s="8" t="str">
        <f>IFERROR(INDEX(Материалы!$B$2:$B$9000,MATCH($I185,Материалы!$A$2:$A$9000,0)),"")</f>
        <v/>
      </c>
      <c r="K185" t="str">
        <f>IF($I185="","",IF($F185=IFERROR(INDEX(Материалы!$G$2:$G$9000,MATCH($I185,Материалы!$A$2:$A$9000,0)),""),"OK","!! не та группа"))</f>
        <v/>
      </c>
      <c r="L185" s="10">
        <f>IFERROR(INDEX(Работы!$H$2:$H$6000,MATCH($C185,Работы!$A$2:$A$6000,0))*(1-ДисконтТендер),0)</f>
        <v>39400.559999999998</v>
      </c>
      <c r="M185" s="10">
        <f>IF($I185="",0,IFERROR(INDEX(Материалы!$I$2:$I$9000,MATCH($I185,Материалы!$A$2:$A$9000,0))*IF(INDEX(Материалы!$J$2:$J$9000,MATCH($I185,Материалы!$A$2:$A$9000,0))="USD",КурсUSD,IF(INDEX(Материалы!$J$2:$J$9000,MATCH($I185,Материалы!$A$2:$A$9000,0))="EUR",КурсEUR,1))*INDEX(Материалы!$K$2:$K$9000,MATCH($I185,Материалы!$A$2:$A$9000,0))*(1+IFERROR(INDEX(Работы!$I$2:$I$6000,MATCH($C185,Работы!$A$2:$A$6000,0))/100,0))*(1-ДисконтТендер),0))</f>
        <v>0</v>
      </c>
      <c r="N185" s="10">
        <f t="shared" si="6"/>
        <v>0</v>
      </c>
      <c r="O185" s="10">
        <f t="shared" si="7"/>
        <v>0</v>
      </c>
      <c r="P185" s="10">
        <f t="shared" si="8"/>
        <v>0</v>
      </c>
      <c r="Q185" t="str">
        <f>IFERROR(INDEX(Работы!$J$2:$J$6000,MATCH($C185,Работы!$A$2:$A$6000,0)),"")</f>
        <v>типовая</v>
      </c>
      <c r="R185" t="s">
        <v>92</v>
      </c>
      <c r="T185" t="str">
        <f>IF(AND($P185&gt;0,$R185="да"),MAX($T$1:$T184)+1,"")</f>
        <v/>
      </c>
    </row>
    <row r="186" spans="1:20" x14ac:dyDescent="0.3">
      <c r="A186" t="str">
        <f>IFERROR(INDEX(Работы!$D$2:$D$6000,MATCH($C186,Работы!$A$2:$A$6000,0)),"")</f>
        <v>Р2</v>
      </c>
      <c r="B186" t="str">
        <f>IFERROR(INDEX(Работы!$F$2:$F$6000,MATCH($C186,Работы!$A$2:$A$6000,0)),"")</f>
        <v>10</v>
      </c>
      <c r="C186" t="str">
        <f>IFERROR(INDEX(Работы!$A$2:$A$6000,185),"")</f>
        <v>РАБ.Р2.10.001</v>
      </c>
      <c r="D186" s="8" t="str">
        <f>IFERROR(INDEX(Работы!$B$2:$B$6000,MATCH($C186,Работы!$A$2:$A$6000,0)),"")</f>
        <v>Демонтаж унитаза</v>
      </c>
      <c r="E186" t="str">
        <f>IFERROR(INDEX(Работы!$C$2:$C$6000,MATCH($C186,Работы!$A$2:$A$6000,0)),"")</f>
        <v>шт.</v>
      </c>
      <c r="F186">
        <f>IFERROR(INDEX(Работы!$G$2:$G$6000,MATCH($C186,Работы!$A$2:$A$6000,0)),"")</f>
        <v>0</v>
      </c>
      <c r="G186" t="str">
        <f>IFERROR(INDEX(Работы!$K$2:$K$6000,MATCH($C186,Работы!$A$2:$A$6000,0)),"")</f>
        <v>Замер_демонтажа</v>
      </c>
      <c r="H186" s="9"/>
      <c r="I186" s="9"/>
      <c r="J186" s="8" t="str">
        <f>IFERROR(INDEX(Материалы!$B$2:$B$9000,MATCH($I186,Материалы!$A$2:$A$9000,0)),"")</f>
        <v/>
      </c>
      <c r="K186" t="str">
        <f>IF($I186="","",IF($F186=IFERROR(INDEX(Материалы!$G$2:$G$9000,MATCH($I186,Материалы!$A$2:$A$9000,0)),""),"OK","!! не та группа"))</f>
        <v/>
      </c>
      <c r="L186" s="10">
        <f>IFERROR(INDEX(Работы!$H$2:$H$6000,MATCH($C186,Работы!$A$2:$A$6000,0))*(1-ДисконтТендер),0)</f>
        <v>783</v>
      </c>
      <c r="M186" s="10">
        <f>IF($I186="",0,IFERROR(INDEX(Материалы!$I$2:$I$9000,MATCH($I186,Материалы!$A$2:$A$9000,0))*IF(INDEX(Материалы!$J$2:$J$9000,MATCH($I186,Материалы!$A$2:$A$9000,0))="USD",КурсUSD,IF(INDEX(Материалы!$J$2:$J$9000,MATCH($I186,Материалы!$A$2:$A$9000,0))="EUR",КурсEUR,1))*INDEX(Материалы!$K$2:$K$9000,MATCH($I186,Материалы!$A$2:$A$9000,0))*(1+IFERROR(INDEX(Работы!$I$2:$I$6000,MATCH($C186,Работы!$A$2:$A$6000,0))/100,0))*(1-ДисконтТендер),0))</f>
        <v>0</v>
      </c>
      <c r="N186" s="10">
        <f t="shared" si="6"/>
        <v>0</v>
      </c>
      <c r="O186" s="10">
        <f t="shared" si="7"/>
        <v>0</v>
      </c>
      <c r="P186" s="10">
        <f t="shared" si="8"/>
        <v>0</v>
      </c>
      <c r="Q186" t="str">
        <f>IFERROR(INDEX(Работы!$J$2:$J$6000,MATCH($C186,Работы!$A$2:$A$6000,0)),"")</f>
        <v>типовая</v>
      </c>
      <c r="R186" t="s">
        <v>92</v>
      </c>
      <c r="T186" t="str">
        <f>IF(AND($P186&gt;0,$R186="да"),MAX($T$1:$T185)+1,"")</f>
        <v/>
      </c>
    </row>
    <row r="187" spans="1:20" x14ac:dyDescent="0.3">
      <c r="A187" t="str">
        <f>IFERROR(INDEX(Работы!$D$2:$D$6000,MATCH($C187,Работы!$A$2:$A$6000,0)),"")</f>
        <v>Р2</v>
      </c>
      <c r="B187" t="str">
        <f>IFERROR(INDEX(Работы!$F$2:$F$6000,MATCH($C187,Работы!$A$2:$A$6000,0)),"")</f>
        <v>10</v>
      </c>
      <c r="C187" t="str">
        <f>IFERROR(INDEX(Работы!$A$2:$A$6000,186),"")</f>
        <v>РАБ.Р2.10.002</v>
      </c>
      <c r="D187" s="8" t="str">
        <f>IFERROR(INDEX(Работы!$B$2:$B$6000,MATCH($C187,Работы!$A$2:$A$6000,0)),"")</f>
        <v>Демонтаж раковины</v>
      </c>
      <c r="E187" t="str">
        <f>IFERROR(INDEX(Работы!$C$2:$C$6000,MATCH($C187,Работы!$A$2:$A$6000,0)),"")</f>
        <v>шт.</v>
      </c>
      <c r="F187">
        <f>IFERROR(INDEX(Работы!$G$2:$G$6000,MATCH($C187,Работы!$A$2:$A$6000,0)),"")</f>
        <v>0</v>
      </c>
      <c r="G187" t="str">
        <f>IFERROR(INDEX(Работы!$K$2:$K$6000,MATCH($C187,Работы!$A$2:$A$6000,0)),"")</f>
        <v>Замер_демонтажа</v>
      </c>
      <c r="H187" s="9"/>
      <c r="I187" s="9"/>
      <c r="J187" s="8" t="str">
        <f>IFERROR(INDEX(Материалы!$B$2:$B$9000,MATCH($I187,Материалы!$A$2:$A$9000,0)),"")</f>
        <v/>
      </c>
      <c r="K187" t="str">
        <f>IF($I187="","",IF($F187=IFERROR(INDEX(Материалы!$G$2:$G$9000,MATCH($I187,Материалы!$A$2:$A$9000,0)),""),"OK","!! не та группа"))</f>
        <v/>
      </c>
      <c r="L187" s="10">
        <f>IFERROR(INDEX(Работы!$H$2:$H$6000,MATCH($C187,Работы!$A$2:$A$6000,0))*(1-ДисконтТендер),0)</f>
        <v>689.04</v>
      </c>
      <c r="M187" s="10">
        <f>IF($I187="",0,IFERROR(INDEX(Материалы!$I$2:$I$9000,MATCH($I187,Материалы!$A$2:$A$9000,0))*IF(INDEX(Материалы!$J$2:$J$9000,MATCH($I187,Материалы!$A$2:$A$9000,0))="USD",КурсUSD,IF(INDEX(Материалы!$J$2:$J$9000,MATCH($I187,Материалы!$A$2:$A$9000,0))="EUR",КурсEUR,1))*INDEX(Материалы!$K$2:$K$9000,MATCH($I187,Материалы!$A$2:$A$9000,0))*(1+IFERROR(INDEX(Работы!$I$2:$I$6000,MATCH($C187,Работы!$A$2:$A$6000,0))/100,0))*(1-ДисконтТендер),0))</f>
        <v>0</v>
      </c>
      <c r="N187" s="10">
        <f t="shared" si="6"/>
        <v>0</v>
      </c>
      <c r="O187" s="10">
        <f t="shared" si="7"/>
        <v>0</v>
      </c>
      <c r="P187" s="10">
        <f t="shared" si="8"/>
        <v>0</v>
      </c>
      <c r="Q187" t="str">
        <f>IFERROR(INDEX(Работы!$J$2:$J$6000,MATCH($C187,Работы!$A$2:$A$6000,0)),"")</f>
        <v>типовая</v>
      </c>
      <c r="R187" t="s">
        <v>92</v>
      </c>
      <c r="T187" t="str">
        <f>IF(AND($P187&gt;0,$R187="да"),MAX($T$1:$T186)+1,"")</f>
        <v/>
      </c>
    </row>
    <row r="188" spans="1:20" x14ac:dyDescent="0.3">
      <c r="A188" t="str">
        <f>IFERROR(INDEX(Работы!$D$2:$D$6000,MATCH($C188,Работы!$A$2:$A$6000,0)),"")</f>
        <v>Р2</v>
      </c>
      <c r="B188" t="str">
        <f>IFERROR(INDEX(Работы!$F$2:$F$6000,MATCH($C188,Работы!$A$2:$A$6000,0)),"")</f>
        <v>10</v>
      </c>
      <c r="C188" t="str">
        <f>IFERROR(INDEX(Работы!$A$2:$A$6000,187),"")</f>
        <v>РАБ.Р2.10.003</v>
      </c>
      <c r="D188" s="8" t="str">
        <f>IFERROR(INDEX(Работы!$B$2:$B$6000,MATCH($C188,Работы!$A$2:$A$6000,0)),"")</f>
        <v>Демонтаж смесителя</v>
      </c>
      <c r="E188" t="str">
        <f>IFERROR(INDEX(Работы!$C$2:$C$6000,MATCH($C188,Работы!$A$2:$A$6000,0)),"")</f>
        <v>компл.</v>
      </c>
      <c r="F188">
        <f>IFERROR(INDEX(Работы!$G$2:$G$6000,MATCH($C188,Работы!$A$2:$A$6000,0)),"")</f>
        <v>0</v>
      </c>
      <c r="G188" t="str">
        <f>IFERROR(INDEX(Работы!$K$2:$K$6000,MATCH($C188,Работы!$A$2:$A$6000,0)),"")</f>
        <v>Замер_демонтажа</v>
      </c>
      <c r="H188" s="9"/>
      <c r="I188" s="9"/>
      <c r="J188" s="8" t="str">
        <f>IFERROR(INDEX(Материалы!$B$2:$B$9000,MATCH($I188,Материалы!$A$2:$A$9000,0)),"")</f>
        <v/>
      </c>
      <c r="K188" t="str">
        <f>IF($I188="","",IF($F188=IFERROR(INDEX(Материалы!$G$2:$G$9000,MATCH($I188,Материалы!$A$2:$A$9000,0)),""),"OK","!! не та группа"))</f>
        <v/>
      </c>
      <c r="L188" s="10">
        <f>IFERROR(INDEX(Работы!$H$2:$H$6000,MATCH($C188,Работы!$A$2:$A$6000,0))*(1-ДисконтТендер),0)</f>
        <v>330</v>
      </c>
      <c r="M188" s="10">
        <f>IF($I188="",0,IFERROR(INDEX(Материалы!$I$2:$I$9000,MATCH($I188,Материалы!$A$2:$A$9000,0))*IF(INDEX(Материалы!$J$2:$J$9000,MATCH($I188,Материалы!$A$2:$A$9000,0))="USD",КурсUSD,IF(INDEX(Материалы!$J$2:$J$9000,MATCH($I188,Материалы!$A$2:$A$9000,0))="EUR",КурсEUR,1))*INDEX(Материалы!$K$2:$K$9000,MATCH($I188,Материалы!$A$2:$A$9000,0))*(1+IFERROR(INDEX(Работы!$I$2:$I$6000,MATCH($C188,Работы!$A$2:$A$6000,0))/100,0))*(1-ДисконтТендер),0))</f>
        <v>0</v>
      </c>
      <c r="N188" s="10">
        <f t="shared" si="6"/>
        <v>0</v>
      </c>
      <c r="O188" s="10">
        <f t="shared" si="7"/>
        <v>0</v>
      </c>
      <c r="P188" s="10">
        <f t="shared" si="8"/>
        <v>0</v>
      </c>
      <c r="Q188" t="str">
        <f>IFERROR(INDEX(Работы!$J$2:$J$6000,MATCH($C188,Работы!$A$2:$A$6000,0)),"")</f>
        <v>типовая</v>
      </c>
      <c r="R188" t="s">
        <v>92</v>
      </c>
      <c r="T188" t="str">
        <f>IF(AND($P188&gt;0,$R188="да"),MAX($T$1:$T187)+1,"")</f>
        <v/>
      </c>
    </row>
    <row r="189" spans="1:20" x14ac:dyDescent="0.3">
      <c r="A189" t="str">
        <f>IFERROR(INDEX(Работы!$D$2:$D$6000,MATCH($C189,Работы!$A$2:$A$6000,0)),"")</f>
        <v>Р2</v>
      </c>
      <c r="B189" t="str">
        <f>IFERROR(INDEX(Работы!$F$2:$F$6000,MATCH($C189,Работы!$A$2:$A$6000,0)),"")</f>
        <v>10</v>
      </c>
      <c r="C189" t="str">
        <f>IFERROR(INDEX(Работы!$A$2:$A$6000,188),"")</f>
        <v>РАБ.Р2.10.004</v>
      </c>
      <c r="D189" s="8" t="str">
        <f>IFERROR(INDEX(Работы!$B$2:$B$6000,MATCH($C189,Работы!$A$2:$A$6000,0)),"")</f>
        <v>Демонтаж ванн, душевых кабин.</v>
      </c>
      <c r="E189" t="str">
        <f>IFERROR(INDEX(Работы!$C$2:$C$6000,MATCH($C189,Работы!$A$2:$A$6000,0)),"")</f>
        <v>шт.</v>
      </c>
      <c r="F189">
        <f>IFERROR(INDEX(Работы!$G$2:$G$6000,MATCH($C189,Работы!$A$2:$A$6000,0)),"")</f>
        <v>0</v>
      </c>
      <c r="G189" t="str">
        <f>IFERROR(INDEX(Работы!$K$2:$K$6000,MATCH($C189,Работы!$A$2:$A$6000,0)),"")</f>
        <v>Замер_демонтажа</v>
      </c>
      <c r="H189" s="9"/>
      <c r="I189" s="9"/>
      <c r="J189" s="8" t="str">
        <f>IFERROR(INDEX(Материалы!$B$2:$B$9000,MATCH($I189,Материалы!$A$2:$A$9000,0)),"")</f>
        <v/>
      </c>
      <c r="K189" t="str">
        <f>IF($I189="","",IF($F189=IFERROR(INDEX(Материалы!$G$2:$G$9000,MATCH($I189,Материалы!$A$2:$A$9000,0)),""),"OK","!! не та группа"))</f>
        <v/>
      </c>
      <c r="L189" s="10">
        <f>IFERROR(INDEX(Работы!$H$2:$H$6000,MATCH($C189,Работы!$A$2:$A$6000,0))*(1-ДисконтТендер),0)</f>
        <v>2612.5</v>
      </c>
      <c r="M189" s="10">
        <f>IF($I189="",0,IFERROR(INDEX(Материалы!$I$2:$I$9000,MATCH($I189,Материалы!$A$2:$A$9000,0))*IF(INDEX(Материалы!$J$2:$J$9000,MATCH($I189,Материалы!$A$2:$A$9000,0))="USD",КурсUSD,IF(INDEX(Материалы!$J$2:$J$9000,MATCH($I189,Материалы!$A$2:$A$9000,0))="EUR",КурсEUR,1))*INDEX(Материалы!$K$2:$K$9000,MATCH($I189,Материалы!$A$2:$A$9000,0))*(1+IFERROR(INDEX(Работы!$I$2:$I$6000,MATCH($C189,Работы!$A$2:$A$6000,0))/100,0))*(1-ДисконтТендер),0))</f>
        <v>0</v>
      </c>
      <c r="N189" s="10">
        <f t="shared" si="6"/>
        <v>0</v>
      </c>
      <c r="O189" s="10">
        <f t="shared" si="7"/>
        <v>0</v>
      </c>
      <c r="P189" s="10">
        <f t="shared" si="8"/>
        <v>0</v>
      </c>
      <c r="Q189" t="str">
        <f>IFERROR(INDEX(Работы!$J$2:$J$6000,MATCH($C189,Работы!$A$2:$A$6000,0)),"")</f>
        <v>типовая</v>
      </c>
      <c r="R189" t="s">
        <v>92</v>
      </c>
      <c r="T189" t="str">
        <f>IF(AND($P189&gt;0,$R189="да"),MAX($T$1:$T188)+1,"")</f>
        <v/>
      </c>
    </row>
    <row r="190" spans="1:20" ht="28.8" x14ac:dyDescent="0.3">
      <c r="A190" t="str">
        <f>IFERROR(INDEX(Работы!$D$2:$D$6000,MATCH($C190,Работы!$A$2:$A$6000,0)),"")</f>
        <v>Р2</v>
      </c>
      <c r="B190" t="str">
        <f>IFERROR(INDEX(Работы!$F$2:$F$6000,MATCH($C190,Работы!$A$2:$A$6000,0)),"")</f>
        <v>10</v>
      </c>
      <c r="C190" t="str">
        <f>IFERROR(INDEX(Работы!$A$2:$A$6000,189),"")</f>
        <v>РАБ.Р2.10.005</v>
      </c>
      <c r="D190" s="8" t="str">
        <f>IFERROR(INDEX(Работы!$B$2:$B$6000,MATCH($C190,Работы!$A$2:$A$6000,0)),"")</f>
        <v>Демонтаж радиаторов отопления с запорной арматурой</v>
      </c>
      <c r="E190" t="str">
        <f>IFERROR(INDEX(Работы!$C$2:$C$6000,MATCH($C190,Работы!$A$2:$A$6000,0)),"")</f>
        <v>шт.</v>
      </c>
      <c r="F190">
        <f>IFERROR(INDEX(Работы!$G$2:$G$6000,MATCH($C190,Работы!$A$2:$A$6000,0)),"")</f>
        <v>0</v>
      </c>
      <c r="G190" t="str">
        <f>IFERROR(INDEX(Работы!$K$2:$K$6000,MATCH($C190,Работы!$A$2:$A$6000,0)),"")</f>
        <v>Замер_демонтажа</v>
      </c>
      <c r="H190" s="9"/>
      <c r="I190" s="9"/>
      <c r="J190" s="8" t="str">
        <f>IFERROR(INDEX(Материалы!$B$2:$B$9000,MATCH($I190,Материалы!$A$2:$A$9000,0)),"")</f>
        <v/>
      </c>
      <c r="K190" t="str">
        <f>IF($I190="","",IF($F190=IFERROR(INDEX(Материалы!$G$2:$G$9000,MATCH($I190,Материалы!$A$2:$A$9000,0)),""),"OK","!! не та группа"))</f>
        <v/>
      </c>
      <c r="L190" s="10">
        <f>IFERROR(INDEX(Работы!$H$2:$H$6000,MATCH($C190,Работы!$A$2:$A$6000,0))*(1-ДисконтТендер),0)</f>
        <v>1212.71</v>
      </c>
      <c r="M190" s="10">
        <f>IF($I190="",0,IFERROR(INDEX(Материалы!$I$2:$I$9000,MATCH($I190,Материалы!$A$2:$A$9000,0))*IF(INDEX(Материалы!$J$2:$J$9000,MATCH($I190,Материалы!$A$2:$A$9000,0))="USD",КурсUSD,IF(INDEX(Материалы!$J$2:$J$9000,MATCH($I190,Материалы!$A$2:$A$9000,0))="EUR",КурсEUR,1))*INDEX(Материалы!$K$2:$K$9000,MATCH($I190,Материалы!$A$2:$A$9000,0))*(1+IFERROR(INDEX(Работы!$I$2:$I$6000,MATCH($C190,Работы!$A$2:$A$6000,0))/100,0))*(1-ДисконтТендер),0))</f>
        <v>0</v>
      </c>
      <c r="N190" s="10">
        <f t="shared" si="6"/>
        <v>0</v>
      </c>
      <c r="O190" s="10">
        <f t="shared" si="7"/>
        <v>0</v>
      </c>
      <c r="P190" s="10">
        <f t="shared" si="8"/>
        <v>0</v>
      </c>
      <c r="Q190" t="str">
        <f>IFERROR(INDEX(Работы!$J$2:$J$6000,MATCH($C190,Работы!$A$2:$A$6000,0)),"")</f>
        <v>типовая</v>
      </c>
      <c r="R190" t="s">
        <v>92</v>
      </c>
      <c r="T190" t="str">
        <f>IF(AND($P190&gt;0,$R190="да"),MAX($T$1:$T189)+1,"")</f>
        <v/>
      </c>
    </row>
    <row r="191" spans="1:20" x14ac:dyDescent="0.3">
      <c r="A191" t="str">
        <f>IFERROR(INDEX(Работы!$D$2:$D$6000,MATCH($C191,Работы!$A$2:$A$6000,0)),"")</f>
        <v>Р2</v>
      </c>
      <c r="B191" t="str">
        <f>IFERROR(INDEX(Работы!$F$2:$F$6000,MATCH($C191,Работы!$A$2:$A$6000,0)),"")</f>
        <v>10</v>
      </c>
      <c r="C191" t="str">
        <f>IFERROR(INDEX(Работы!$A$2:$A$6000,190),"")</f>
        <v>РАБ.Р2.10.006</v>
      </c>
      <c r="D191" s="8" t="str">
        <f>IFERROR(INDEX(Работы!$B$2:$B$6000,MATCH($C191,Работы!$A$2:$A$6000,0)),"")</f>
        <v>Демонтаж труб системы отопления</v>
      </c>
      <c r="E191" t="str">
        <f>IFERROR(INDEX(Работы!$C$2:$C$6000,MATCH($C191,Работы!$A$2:$A$6000,0)),"")</f>
        <v>м.п.</v>
      </c>
      <c r="F191">
        <f>IFERROR(INDEX(Работы!$G$2:$G$6000,MATCH($C191,Работы!$A$2:$A$6000,0)),"")</f>
        <v>0</v>
      </c>
      <c r="G191" t="str">
        <f>IFERROR(INDEX(Работы!$K$2:$K$6000,MATCH($C191,Работы!$A$2:$A$6000,0)),"")</f>
        <v>Замер_демонтажа</v>
      </c>
      <c r="H191" s="9"/>
      <c r="I191" s="9"/>
      <c r="J191" s="8" t="str">
        <f>IFERROR(INDEX(Материалы!$B$2:$B$9000,MATCH($I191,Материалы!$A$2:$A$9000,0)),"")</f>
        <v/>
      </c>
      <c r="K191" t="str">
        <f>IF($I191="","",IF($F191=IFERROR(INDEX(Материалы!$G$2:$G$9000,MATCH($I191,Материалы!$A$2:$A$9000,0)),""),"OK","!! не та группа"))</f>
        <v/>
      </c>
      <c r="L191" s="10">
        <f>IFERROR(INDEX(Работы!$H$2:$H$6000,MATCH($C191,Работы!$A$2:$A$6000,0))*(1-ДисконтТендер),0)</f>
        <v>128.15</v>
      </c>
      <c r="M191" s="10">
        <f>IF($I191="",0,IFERROR(INDEX(Материалы!$I$2:$I$9000,MATCH($I191,Материалы!$A$2:$A$9000,0))*IF(INDEX(Материалы!$J$2:$J$9000,MATCH($I191,Материалы!$A$2:$A$9000,0))="USD",КурсUSD,IF(INDEX(Материалы!$J$2:$J$9000,MATCH($I191,Материалы!$A$2:$A$9000,0))="EUR",КурсEUR,1))*INDEX(Материалы!$K$2:$K$9000,MATCH($I191,Материалы!$A$2:$A$9000,0))*(1+IFERROR(INDEX(Работы!$I$2:$I$6000,MATCH($C191,Работы!$A$2:$A$6000,0))/100,0))*(1-ДисконтТендер),0))</f>
        <v>0</v>
      </c>
      <c r="N191" s="10">
        <f t="shared" si="6"/>
        <v>0</v>
      </c>
      <c r="O191" s="10">
        <f t="shared" si="7"/>
        <v>0</v>
      </c>
      <c r="P191" s="10">
        <f t="shared" si="8"/>
        <v>0</v>
      </c>
      <c r="Q191" t="str">
        <f>IFERROR(INDEX(Работы!$J$2:$J$6000,MATCH($C191,Работы!$A$2:$A$6000,0)),"")</f>
        <v>типовая</v>
      </c>
      <c r="R191" t="s">
        <v>92</v>
      </c>
      <c r="T191" t="str">
        <f>IF(AND($P191&gt;0,$R191="да"),MAX($T$1:$T190)+1,"")</f>
        <v/>
      </c>
    </row>
    <row r="192" spans="1:20" ht="28.8" x14ac:dyDescent="0.3">
      <c r="A192" t="str">
        <f>IFERROR(INDEX(Работы!$D$2:$D$6000,MATCH($C192,Работы!$A$2:$A$6000,0)),"")</f>
        <v>Р2</v>
      </c>
      <c r="B192" t="str">
        <f>IFERROR(INDEX(Работы!$F$2:$F$6000,MATCH($C192,Работы!$A$2:$A$6000,0)),"")</f>
        <v>10</v>
      </c>
      <c r="C192" t="str">
        <f>IFERROR(INDEX(Работы!$A$2:$A$6000,191),"")</f>
        <v>РАБ.Р2.10.007</v>
      </c>
      <c r="D192" s="8" t="str">
        <f>IFERROR(INDEX(Работы!$B$2:$B$6000,MATCH($C192,Работы!$A$2:$A$6000,0)),"")</f>
        <v>Демонтаж труб водоснабжения и канализации диаметром до 50 мм</v>
      </c>
      <c r="E192" t="str">
        <f>IFERROR(INDEX(Работы!$C$2:$C$6000,MATCH($C192,Работы!$A$2:$A$6000,0)),"")</f>
        <v>м.п.</v>
      </c>
      <c r="F192">
        <f>IFERROR(INDEX(Работы!$G$2:$G$6000,MATCH($C192,Работы!$A$2:$A$6000,0)),"")</f>
        <v>0</v>
      </c>
      <c r="G192" t="str">
        <f>IFERROR(INDEX(Работы!$K$2:$K$6000,MATCH($C192,Работы!$A$2:$A$6000,0)),"")</f>
        <v>Замер_демонтажа</v>
      </c>
      <c r="H192" s="9"/>
      <c r="I192" s="9"/>
      <c r="J192" s="8" t="str">
        <f>IFERROR(INDEX(Материалы!$B$2:$B$9000,MATCH($I192,Материалы!$A$2:$A$9000,0)),"")</f>
        <v/>
      </c>
      <c r="K192" t="str">
        <f>IF($I192="","",IF($F192=IFERROR(INDEX(Материалы!$G$2:$G$9000,MATCH($I192,Материалы!$A$2:$A$9000,0)),""),"OK","!! не та группа"))</f>
        <v/>
      </c>
      <c r="L192" s="10">
        <f>IFERROR(INDEX(Работы!$H$2:$H$6000,MATCH($C192,Работы!$A$2:$A$6000,0))*(1-ДисконтТендер),0)</f>
        <v>178.94</v>
      </c>
      <c r="M192" s="10">
        <f>IF($I192="",0,IFERROR(INDEX(Материалы!$I$2:$I$9000,MATCH($I192,Материалы!$A$2:$A$9000,0))*IF(INDEX(Материалы!$J$2:$J$9000,MATCH($I192,Материалы!$A$2:$A$9000,0))="USD",КурсUSD,IF(INDEX(Материалы!$J$2:$J$9000,MATCH($I192,Материалы!$A$2:$A$9000,0))="EUR",КурсEUR,1))*INDEX(Материалы!$K$2:$K$9000,MATCH($I192,Материалы!$A$2:$A$9000,0))*(1+IFERROR(INDEX(Работы!$I$2:$I$6000,MATCH($C192,Работы!$A$2:$A$6000,0))/100,0))*(1-ДисконтТендер),0))</f>
        <v>0</v>
      </c>
      <c r="N192" s="10">
        <f t="shared" si="6"/>
        <v>0</v>
      </c>
      <c r="O192" s="10">
        <f t="shared" si="7"/>
        <v>0</v>
      </c>
      <c r="P192" s="10">
        <f t="shared" si="8"/>
        <v>0</v>
      </c>
      <c r="Q192" t="str">
        <f>IFERROR(INDEX(Работы!$J$2:$J$6000,MATCH($C192,Работы!$A$2:$A$6000,0)),"")</f>
        <v>типовая</v>
      </c>
      <c r="R192" t="s">
        <v>92</v>
      </c>
      <c r="T192" t="str">
        <f>IF(AND($P192&gt;0,$R192="да"),MAX($T$1:$T191)+1,"")</f>
        <v/>
      </c>
    </row>
    <row r="193" spans="1:20" ht="28.8" x14ac:dyDescent="0.3">
      <c r="A193" t="str">
        <f>IFERROR(INDEX(Работы!$D$2:$D$6000,MATCH($C193,Работы!$A$2:$A$6000,0)),"")</f>
        <v>Р2</v>
      </c>
      <c r="B193" t="str">
        <f>IFERROR(INDEX(Работы!$F$2:$F$6000,MATCH($C193,Работы!$A$2:$A$6000,0)),"")</f>
        <v>10</v>
      </c>
      <c r="C193" t="str">
        <f>IFERROR(INDEX(Работы!$A$2:$A$6000,192),"")</f>
        <v>РАБ.Р2.10.008</v>
      </c>
      <c r="D193" s="8" t="str">
        <f>IFERROR(INDEX(Работы!$B$2:$B$6000,MATCH($C193,Работы!$A$2:$A$6000,0)),"")</f>
        <v>Демонтаж труб канализации и водоснабжения диаметром до 110 мм</v>
      </c>
      <c r="E193" t="str">
        <f>IFERROR(INDEX(Работы!$C$2:$C$6000,MATCH($C193,Работы!$A$2:$A$6000,0)),"")</f>
        <v>м.п.</v>
      </c>
      <c r="F193">
        <f>IFERROR(INDEX(Работы!$G$2:$G$6000,MATCH($C193,Работы!$A$2:$A$6000,0)),"")</f>
        <v>0</v>
      </c>
      <c r="G193" t="str">
        <f>IFERROR(INDEX(Работы!$K$2:$K$6000,MATCH($C193,Работы!$A$2:$A$6000,0)),"")</f>
        <v>Замер_демонтажа</v>
      </c>
      <c r="H193" s="9"/>
      <c r="I193" s="9"/>
      <c r="J193" s="8" t="str">
        <f>IFERROR(INDEX(Материалы!$B$2:$B$9000,MATCH($I193,Материалы!$A$2:$A$9000,0)),"")</f>
        <v/>
      </c>
      <c r="K193" t="str">
        <f>IF($I193="","",IF($F193=IFERROR(INDEX(Материалы!$G$2:$G$9000,MATCH($I193,Материалы!$A$2:$A$9000,0)),""),"OK","!! не та группа"))</f>
        <v/>
      </c>
      <c r="L193" s="10">
        <f>IFERROR(INDEX(Работы!$H$2:$H$6000,MATCH($C193,Работы!$A$2:$A$6000,0))*(1-ДисконтТендер),0)</f>
        <v>183.45</v>
      </c>
      <c r="M193" s="10">
        <f>IF($I193="",0,IFERROR(INDEX(Материалы!$I$2:$I$9000,MATCH($I193,Материалы!$A$2:$A$9000,0))*IF(INDEX(Материалы!$J$2:$J$9000,MATCH($I193,Материалы!$A$2:$A$9000,0))="USD",КурсUSD,IF(INDEX(Материалы!$J$2:$J$9000,MATCH($I193,Материалы!$A$2:$A$9000,0))="EUR",КурсEUR,1))*INDEX(Материалы!$K$2:$K$9000,MATCH($I193,Материалы!$A$2:$A$9000,0))*(1+IFERROR(INDEX(Работы!$I$2:$I$6000,MATCH($C193,Работы!$A$2:$A$6000,0))/100,0))*(1-ДисконтТендер),0))</f>
        <v>0</v>
      </c>
      <c r="N193" s="10">
        <f t="shared" si="6"/>
        <v>0</v>
      </c>
      <c r="O193" s="10">
        <f t="shared" si="7"/>
        <v>0</v>
      </c>
      <c r="P193" s="10">
        <f t="shared" si="8"/>
        <v>0</v>
      </c>
      <c r="Q193" t="str">
        <f>IFERROR(INDEX(Работы!$J$2:$J$6000,MATCH($C193,Работы!$A$2:$A$6000,0)),"")</f>
        <v>типовая</v>
      </c>
      <c r="R193" t="s">
        <v>92</v>
      </c>
      <c r="T193" t="str">
        <f>IF(AND($P193&gt;0,$R193="да"),MAX($T$1:$T192)+1,"")</f>
        <v/>
      </c>
    </row>
    <row r="194" spans="1:20" x14ac:dyDescent="0.3">
      <c r="A194" t="str">
        <f>IFERROR(INDEX(Работы!$D$2:$D$6000,MATCH($C194,Работы!$A$2:$A$6000,0)),"")</f>
        <v>Р2</v>
      </c>
      <c r="B194" t="str">
        <f>IFERROR(INDEX(Работы!$F$2:$F$6000,MATCH($C194,Работы!$A$2:$A$6000,0)),"")</f>
        <v>10</v>
      </c>
      <c r="C194" t="str">
        <f>IFERROR(INDEX(Работы!$A$2:$A$6000,193),"")</f>
        <v>РАБ.Р2.10.009</v>
      </c>
      <c r="D194" s="8" t="str">
        <f>IFERROR(INDEX(Работы!$B$2:$B$6000,MATCH($C194,Работы!$A$2:$A$6000,0)),"")</f>
        <v>Демонтаж запорной арматуры белее 50 мм</v>
      </c>
      <c r="E194" t="str">
        <f>IFERROR(INDEX(Работы!$C$2:$C$6000,MATCH($C194,Работы!$A$2:$A$6000,0)),"")</f>
        <v>шт.</v>
      </c>
      <c r="F194">
        <f>IFERROR(INDEX(Работы!$G$2:$G$6000,MATCH($C194,Работы!$A$2:$A$6000,0)),"")</f>
        <v>0</v>
      </c>
      <c r="G194" t="str">
        <f>IFERROR(INDEX(Работы!$K$2:$K$6000,MATCH($C194,Работы!$A$2:$A$6000,0)),"")</f>
        <v>Замер_демонтажа</v>
      </c>
      <c r="H194" s="9"/>
      <c r="I194" s="9"/>
      <c r="J194" s="8" t="str">
        <f>IFERROR(INDEX(Материалы!$B$2:$B$9000,MATCH($I194,Материалы!$A$2:$A$9000,0)),"")</f>
        <v/>
      </c>
      <c r="K194" t="str">
        <f>IF($I194="","",IF($F194=IFERROR(INDEX(Материалы!$G$2:$G$9000,MATCH($I194,Материалы!$A$2:$A$9000,0)),""),"OK","!! не та группа"))</f>
        <v/>
      </c>
      <c r="L194" s="10">
        <f>IFERROR(INDEX(Работы!$H$2:$H$6000,MATCH($C194,Работы!$A$2:$A$6000,0))*(1-ДисконтТендер),0)</f>
        <v>720.26</v>
      </c>
      <c r="M194" s="10">
        <f>IF($I194="",0,IFERROR(INDEX(Материалы!$I$2:$I$9000,MATCH($I194,Материалы!$A$2:$A$9000,0))*IF(INDEX(Материалы!$J$2:$J$9000,MATCH($I194,Материалы!$A$2:$A$9000,0))="USD",КурсUSD,IF(INDEX(Материалы!$J$2:$J$9000,MATCH($I194,Материалы!$A$2:$A$9000,0))="EUR",КурсEUR,1))*INDEX(Материалы!$K$2:$K$9000,MATCH($I194,Материалы!$A$2:$A$9000,0))*(1+IFERROR(INDEX(Работы!$I$2:$I$6000,MATCH($C194,Работы!$A$2:$A$6000,0))/100,0))*(1-ДисконтТендер),0))</f>
        <v>0</v>
      </c>
      <c r="N194" s="10">
        <f t="shared" ref="N194:N257" si="9">IF(AND($R194="да",$H194&lt;&gt;""),ROUND($H194*$L194,2),0)</f>
        <v>0</v>
      </c>
      <c r="O194" s="10">
        <f t="shared" ref="O194:O257" si="10">IF(AND($R194="да",$H194&lt;&gt;""),ROUND($H194*$M194,2),0)</f>
        <v>0</v>
      </c>
      <c r="P194" s="10">
        <f t="shared" ref="P194:P257" si="11">$N194+$O194</f>
        <v>0</v>
      </c>
      <c r="Q194" t="str">
        <f>IFERROR(INDEX(Работы!$J$2:$J$6000,MATCH($C194,Работы!$A$2:$A$6000,0)),"")</f>
        <v>типовая</v>
      </c>
      <c r="R194" t="s">
        <v>92</v>
      </c>
      <c r="T194" t="str">
        <f>IF(AND($P194&gt;0,$R194="да"),MAX($T$1:$T193)+1,"")</f>
        <v/>
      </c>
    </row>
    <row r="195" spans="1:20" ht="28.8" x14ac:dyDescent="0.3">
      <c r="A195" t="str">
        <f>IFERROR(INDEX(Работы!$D$2:$D$6000,MATCH($C195,Работы!$A$2:$A$6000,0)),"")</f>
        <v>Р2</v>
      </c>
      <c r="B195" t="str">
        <f>IFERROR(INDEX(Работы!$F$2:$F$6000,MATCH($C195,Работы!$A$2:$A$6000,0)),"")</f>
        <v>10</v>
      </c>
      <c r="C195" t="str">
        <f>IFERROR(INDEX(Работы!$A$2:$A$6000,194),"")</f>
        <v>РАБ.Р2.10.010</v>
      </c>
      <c r="D195" s="8" t="str">
        <f>IFERROR(INDEX(Работы!$B$2:$B$6000,MATCH($C195,Работы!$A$2:$A$6000,0)),"")</f>
        <v>Демонтаж запорной арматуры диаметром до 50 мм</v>
      </c>
      <c r="E195" t="str">
        <f>IFERROR(INDEX(Работы!$C$2:$C$6000,MATCH($C195,Работы!$A$2:$A$6000,0)),"")</f>
        <v>шт.</v>
      </c>
      <c r="F195">
        <f>IFERROR(INDEX(Работы!$G$2:$G$6000,MATCH($C195,Работы!$A$2:$A$6000,0)),"")</f>
        <v>0</v>
      </c>
      <c r="G195" t="str">
        <f>IFERROR(INDEX(Работы!$K$2:$K$6000,MATCH($C195,Работы!$A$2:$A$6000,0)),"")</f>
        <v>Замер_демонтажа</v>
      </c>
      <c r="H195" s="9"/>
      <c r="I195" s="9"/>
      <c r="J195" s="8" t="str">
        <f>IFERROR(INDEX(Материалы!$B$2:$B$9000,MATCH($I195,Материалы!$A$2:$A$9000,0)),"")</f>
        <v/>
      </c>
      <c r="K195" t="str">
        <f>IF($I195="","",IF($F195=IFERROR(INDEX(Материалы!$G$2:$G$9000,MATCH($I195,Материалы!$A$2:$A$9000,0)),""),"OK","!! не та группа"))</f>
        <v/>
      </c>
      <c r="L195" s="10">
        <f>IFERROR(INDEX(Работы!$H$2:$H$6000,MATCH($C195,Работы!$A$2:$A$6000,0))*(1-ДисконтТендер),0)</f>
        <v>313.5</v>
      </c>
      <c r="M195" s="10">
        <f>IF($I195="",0,IFERROR(INDEX(Материалы!$I$2:$I$9000,MATCH($I195,Материалы!$A$2:$A$9000,0))*IF(INDEX(Материалы!$J$2:$J$9000,MATCH($I195,Материалы!$A$2:$A$9000,0))="USD",КурсUSD,IF(INDEX(Материалы!$J$2:$J$9000,MATCH($I195,Материалы!$A$2:$A$9000,0))="EUR",КурсEUR,1))*INDEX(Материалы!$K$2:$K$9000,MATCH($I195,Материалы!$A$2:$A$9000,0))*(1+IFERROR(INDEX(Работы!$I$2:$I$6000,MATCH($C195,Работы!$A$2:$A$6000,0))/100,0))*(1-ДисконтТендер),0))</f>
        <v>0</v>
      </c>
      <c r="N195" s="10">
        <f t="shared" si="9"/>
        <v>0</v>
      </c>
      <c r="O195" s="10">
        <f t="shared" si="10"/>
        <v>0</v>
      </c>
      <c r="P195" s="10">
        <f t="shared" si="11"/>
        <v>0</v>
      </c>
      <c r="Q195" t="str">
        <f>IFERROR(INDEX(Работы!$J$2:$J$6000,MATCH($C195,Работы!$A$2:$A$6000,0)),"")</f>
        <v>типовая</v>
      </c>
      <c r="R195" t="s">
        <v>92</v>
      </c>
      <c r="T195" t="str">
        <f>IF(AND($P195&gt;0,$R195="да"),MAX($T$1:$T194)+1,"")</f>
        <v/>
      </c>
    </row>
    <row r="196" spans="1:20" x14ac:dyDescent="0.3">
      <c r="A196" t="str">
        <f>IFERROR(INDEX(Работы!$D$2:$D$6000,MATCH($C196,Работы!$A$2:$A$6000,0)),"")</f>
        <v>Р2</v>
      </c>
      <c r="B196" t="str">
        <f>IFERROR(INDEX(Работы!$F$2:$F$6000,MATCH($C196,Работы!$A$2:$A$6000,0)),"")</f>
        <v>10</v>
      </c>
      <c r="C196" t="str">
        <f>IFERROR(INDEX(Работы!$A$2:$A$6000,195),"")</f>
        <v>РАБ.Р2.10.011</v>
      </c>
      <c r="D196" s="8" t="str">
        <f>IFERROR(INDEX(Работы!$B$2:$B$6000,MATCH($C196,Работы!$A$2:$A$6000,0)),"")</f>
        <v>Демонтаж циркуляционных насосов</v>
      </c>
      <c r="E196" t="str">
        <f>IFERROR(INDEX(Работы!$C$2:$C$6000,MATCH($C196,Работы!$A$2:$A$6000,0)),"")</f>
        <v>шт.</v>
      </c>
      <c r="F196">
        <f>IFERROR(INDEX(Работы!$G$2:$G$6000,MATCH($C196,Работы!$A$2:$A$6000,0)),"")</f>
        <v>0</v>
      </c>
      <c r="G196" t="str">
        <f>IFERROR(INDEX(Работы!$K$2:$K$6000,MATCH($C196,Работы!$A$2:$A$6000,0)),"")</f>
        <v>Замер_демонтажа</v>
      </c>
      <c r="H196" s="9"/>
      <c r="I196" s="9"/>
      <c r="J196" s="8" t="str">
        <f>IFERROR(INDEX(Материалы!$B$2:$B$9000,MATCH($I196,Материалы!$A$2:$A$9000,0)),"")</f>
        <v/>
      </c>
      <c r="K196" t="str">
        <f>IF($I196="","",IF($F196=IFERROR(INDEX(Материалы!$G$2:$G$9000,MATCH($I196,Материалы!$A$2:$A$9000,0)),""),"OK","!! не та группа"))</f>
        <v/>
      </c>
      <c r="L196" s="10">
        <f>IFERROR(INDEX(Работы!$H$2:$H$6000,MATCH($C196,Работы!$A$2:$A$6000,0))*(1-ДисконтТендер),0)</f>
        <v>1492.92</v>
      </c>
      <c r="M196" s="10">
        <f>IF($I196="",0,IFERROR(INDEX(Материалы!$I$2:$I$9000,MATCH($I196,Материалы!$A$2:$A$9000,0))*IF(INDEX(Материалы!$J$2:$J$9000,MATCH($I196,Материалы!$A$2:$A$9000,0))="USD",КурсUSD,IF(INDEX(Материалы!$J$2:$J$9000,MATCH($I196,Материалы!$A$2:$A$9000,0))="EUR",КурсEUR,1))*INDEX(Материалы!$K$2:$K$9000,MATCH($I196,Материалы!$A$2:$A$9000,0))*(1+IFERROR(INDEX(Работы!$I$2:$I$6000,MATCH($C196,Работы!$A$2:$A$6000,0))/100,0))*(1-ДисконтТендер),0))</f>
        <v>0</v>
      </c>
      <c r="N196" s="10">
        <f t="shared" si="9"/>
        <v>0</v>
      </c>
      <c r="O196" s="10">
        <f t="shared" si="10"/>
        <v>0</v>
      </c>
      <c r="P196" s="10">
        <f t="shared" si="11"/>
        <v>0</v>
      </c>
      <c r="Q196" t="str">
        <f>IFERROR(INDEX(Работы!$J$2:$J$6000,MATCH($C196,Работы!$A$2:$A$6000,0)),"")</f>
        <v>типовая</v>
      </c>
      <c r="R196" t="s">
        <v>92</v>
      </c>
      <c r="T196" t="str">
        <f>IF(AND($P196&gt;0,$R196="да"),MAX($T$1:$T195)+1,"")</f>
        <v/>
      </c>
    </row>
    <row r="197" spans="1:20" x14ac:dyDescent="0.3">
      <c r="A197" t="str">
        <f>IFERROR(INDEX(Работы!$D$2:$D$6000,MATCH($C197,Работы!$A$2:$A$6000,0)),"")</f>
        <v>Р2</v>
      </c>
      <c r="B197" t="str">
        <f>IFERROR(INDEX(Работы!$F$2:$F$6000,MATCH($C197,Работы!$A$2:$A$6000,0)),"")</f>
        <v>10</v>
      </c>
      <c r="C197" t="str">
        <f>IFERROR(INDEX(Работы!$A$2:$A$6000,196),"")</f>
        <v>РАБ.Р2.10.012</v>
      </c>
      <c r="D197" s="8" t="str">
        <f>IFERROR(INDEX(Работы!$B$2:$B$6000,MATCH($C197,Работы!$A$2:$A$6000,0)),"")</f>
        <v>Демонтаж регистров отопления</v>
      </c>
      <c r="E197" t="str">
        <f>IFERROR(INDEX(Работы!$C$2:$C$6000,MATCH($C197,Работы!$A$2:$A$6000,0)),"")</f>
        <v>шт.</v>
      </c>
      <c r="F197">
        <f>IFERROR(INDEX(Работы!$G$2:$G$6000,MATCH($C197,Работы!$A$2:$A$6000,0)),"")</f>
        <v>0</v>
      </c>
      <c r="G197" t="str">
        <f>IFERROR(INDEX(Работы!$K$2:$K$6000,MATCH($C197,Работы!$A$2:$A$6000,0)),"")</f>
        <v>Замер_демонтажа</v>
      </c>
      <c r="H197" s="9"/>
      <c r="I197" s="9"/>
      <c r="J197" s="8" t="str">
        <f>IFERROR(INDEX(Материалы!$B$2:$B$9000,MATCH($I197,Материалы!$A$2:$A$9000,0)),"")</f>
        <v/>
      </c>
      <c r="K197" t="str">
        <f>IF($I197="","",IF($F197=IFERROR(INDEX(Материалы!$G$2:$G$9000,MATCH($I197,Материалы!$A$2:$A$9000,0)),""),"OK","!! не та группа"))</f>
        <v/>
      </c>
      <c r="L197" s="10">
        <f>IFERROR(INDEX(Работы!$H$2:$H$6000,MATCH($C197,Работы!$A$2:$A$6000,0))*(1-ДисконтТендер),0)</f>
        <v>463.67</v>
      </c>
      <c r="M197" s="10">
        <f>IF($I197="",0,IFERROR(INDEX(Материалы!$I$2:$I$9000,MATCH($I197,Материалы!$A$2:$A$9000,0))*IF(INDEX(Материалы!$J$2:$J$9000,MATCH($I197,Материалы!$A$2:$A$9000,0))="USD",КурсUSD,IF(INDEX(Материалы!$J$2:$J$9000,MATCH($I197,Материалы!$A$2:$A$9000,0))="EUR",КурсEUR,1))*INDEX(Материалы!$K$2:$K$9000,MATCH($I197,Материалы!$A$2:$A$9000,0))*(1+IFERROR(INDEX(Работы!$I$2:$I$6000,MATCH($C197,Работы!$A$2:$A$6000,0))/100,0))*(1-ДисконтТендер),0))</f>
        <v>0</v>
      </c>
      <c r="N197" s="10">
        <f t="shared" si="9"/>
        <v>0</v>
      </c>
      <c r="O197" s="10">
        <f t="shared" si="10"/>
        <v>0</v>
      </c>
      <c r="P197" s="10">
        <f t="shared" si="11"/>
        <v>0</v>
      </c>
      <c r="Q197" t="str">
        <f>IFERROR(INDEX(Работы!$J$2:$J$6000,MATCH($C197,Работы!$A$2:$A$6000,0)),"")</f>
        <v>типовая</v>
      </c>
      <c r="R197" t="s">
        <v>92</v>
      </c>
      <c r="T197" t="str">
        <f>IF(AND($P197&gt;0,$R197="да"),MAX($T$1:$T196)+1,"")</f>
        <v/>
      </c>
    </row>
    <row r="198" spans="1:20" x14ac:dyDescent="0.3">
      <c r="A198" t="str">
        <f>IFERROR(INDEX(Работы!$D$2:$D$6000,MATCH($C198,Работы!$A$2:$A$6000,0)),"")</f>
        <v>Р2</v>
      </c>
      <c r="B198" t="str">
        <f>IFERROR(INDEX(Работы!$F$2:$F$6000,MATCH($C198,Работы!$A$2:$A$6000,0)),"")</f>
        <v>10</v>
      </c>
      <c r="C198" t="str">
        <f>IFERROR(INDEX(Работы!$A$2:$A$6000,197),"")</f>
        <v>РАБ.Р2.10.013</v>
      </c>
      <c r="D198" s="8" t="str">
        <f>IFERROR(INDEX(Работы!$B$2:$B$6000,MATCH($C198,Работы!$A$2:$A$6000,0)),"")</f>
        <v>Демонтаж панельного радиатора</v>
      </c>
      <c r="E198" t="str">
        <f>IFERROR(INDEX(Работы!$C$2:$C$6000,MATCH($C198,Работы!$A$2:$A$6000,0)),"")</f>
        <v>шт.</v>
      </c>
      <c r="F198">
        <f>IFERROR(INDEX(Работы!$G$2:$G$6000,MATCH($C198,Работы!$A$2:$A$6000,0)),"")</f>
        <v>0</v>
      </c>
      <c r="G198" t="str">
        <f>IFERROR(INDEX(Работы!$K$2:$K$6000,MATCH($C198,Работы!$A$2:$A$6000,0)),"")</f>
        <v>Замер_демонтажа</v>
      </c>
      <c r="H198" s="9"/>
      <c r="I198" s="9"/>
      <c r="J198" s="8" t="str">
        <f>IFERROR(INDEX(Материалы!$B$2:$B$9000,MATCH($I198,Материалы!$A$2:$A$9000,0)),"")</f>
        <v/>
      </c>
      <c r="K198" t="str">
        <f>IF($I198="","",IF($F198=IFERROR(INDEX(Материалы!$G$2:$G$9000,MATCH($I198,Материалы!$A$2:$A$9000,0)),""),"OK","!! не та группа"))</f>
        <v/>
      </c>
      <c r="L198" s="10">
        <f>IFERROR(INDEX(Работы!$H$2:$H$6000,MATCH($C198,Работы!$A$2:$A$6000,0))*(1-ДисконтТендер),0)</f>
        <v>2592.6</v>
      </c>
      <c r="M198" s="10">
        <f>IF($I198="",0,IFERROR(INDEX(Материалы!$I$2:$I$9000,MATCH($I198,Материалы!$A$2:$A$9000,0))*IF(INDEX(Материалы!$J$2:$J$9000,MATCH($I198,Материалы!$A$2:$A$9000,0))="USD",КурсUSD,IF(INDEX(Материалы!$J$2:$J$9000,MATCH($I198,Материалы!$A$2:$A$9000,0))="EUR",КурсEUR,1))*INDEX(Материалы!$K$2:$K$9000,MATCH($I198,Материалы!$A$2:$A$9000,0))*(1+IFERROR(INDEX(Работы!$I$2:$I$6000,MATCH($C198,Работы!$A$2:$A$6000,0))/100,0))*(1-ДисконтТендер),0))</f>
        <v>0</v>
      </c>
      <c r="N198" s="10">
        <f t="shared" si="9"/>
        <v>0</v>
      </c>
      <c r="O198" s="10">
        <f t="shared" si="10"/>
        <v>0</v>
      </c>
      <c r="P198" s="10">
        <f t="shared" si="11"/>
        <v>0</v>
      </c>
      <c r="Q198" t="str">
        <f>IFERROR(INDEX(Работы!$J$2:$J$6000,MATCH($C198,Работы!$A$2:$A$6000,0)),"")</f>
        <v>типовая</v>
      </c>
      <c r="R198" t="s">
        <v>92</v>
      </c>
      <c r="T198" t="str">
        <f>IF(AND($P198&gt;0,$R198="да"),MAX($T$1:$T197)+1,"")</f>
        <v/>
      </c>
    </row>
    <row r="199" spans="1:20" x14ac:dyDescent="0.3">
      <c r="A199" t="str">
        <f>IFERROR(INDEX(Работы!$D$2:$D$6000,MATCH($C199,Работы!$A$2:$A$6000,0)),"")</f>
        <v>Р2</v>
      </c>
      <c r="B199" t="str">
        <f>IFERROR(INDEX(Работы!$F$2:$F$6000,MATCH($C199,Работы!$A$2:$A$6000,0)),"")</f>
        <v>11</v>
      </c>
      <c r="C199" t="str">
        <f>IFERROR(INDEX(Работы!$A$2:$A$6000,198),"")</f>
        <v>РАБ.Р2.11.001</v>
      </c>
      <c r="D199" s="8" t="str">
        <f>IFERROR(INDEX(Работы!$B$2:$B$6000,MATCH($C199,Работы!$A$2:$A$6000,0)),"")</f>
        <v>Вывоз мусора (бункер 5т - 8м3)</v>
      </c>
      <c r="E199" t="str">
        <f>IFERROR(INDEX(Работы!$C$2:$C$6000,MATCH($C199,Работы!$A$2:$A$6000,0)),"")</f>
        <v>шт.</v>
      </c>
      <c r="F199">
        <f>IFERROR(INDEX(Работы!$G$2:$G$6000,MATCH($C199,Работы!$A$2:$A$6000,0)),"")</f>
        <v>0</v>
      </c>
      <c r="G199" t="str">
        <f>IFERROR(INDEX(Работы!$K$2:$K$6000,MATCH($C199,Работы!$A$2:$A$6000,0)),"")</f>
        <v>Замер_демонтажа</v>
      </c>
      <c r="H199" s="9"/>
      <c r="I199" s="9"/>
      <c r="J199" s="8" t="str">
        <f>IFERROR(INDEX(Материалы!$B$2:$B$9000,MATCH($I199,Материалы!$A$2:$A$9000,0)),"")</f>
        <v/>
      </c>
      <c r="K199" t="str">
        <f>IF($I199="","",IF($F199=IFERROR(INDEX(Материалы!$G$2:$G$9000,MATCH($I199,Материалы!$A$2:$A$9000,0)),""),"OK","!! не та группа"))</f>
        <v/>
      </c>
      <c r="L199" s="10">
        <f>IFERROR(INDEX(Работы!$H$2:$H$6000,MATCH($C199,Работы!$A$2:$A$6000,0))*(1-ДисконтТендер),0)</f>
        <v>13200</v>
      </c>
      <c r="M199" s="10">
        <f>IF($I199="",0,IFERROR(INDEX(Материалы!$I$2:$I$9000,MATCH($I199,Материалы!$A$2:$A$9000,0))*IF(INDEX(Материалы!$J$2:$J$9000,MATCH($I199,Материалы!$A$2:$A$9000,0))="USD",КурсUSD,IF(INDEX(Материалы!$J$2:$J$9000,MATCH($I199,Материалы!$A$2:$A$9000,0))="EUR",КурсEUR,1))*INDEX(Материалы!$K$2:$K$9000,MATCH($I199,Материалы!$A$2:$A$9000,0))*(1+IFERROR(INDEX(Работы!$I$2:$I$6000,MATCH($C199,Работы!$A$2:$A$6000,0))/100,0))*(1-ДисконтТендер),0))</f>
        <v>0</v>
      </c>
      <c r="N199" s="10">
        <f t="shared" si="9"/>
        <v>0</v>
      </c>
      <c r="O199" s="10">
        <f t="shared" si="10"/>
        <v>0</v>
      </c>
      <c r="P199" s="10">
        <f t="shared" si="11"/>
        <v>0</v>
      </c>
      <c r="Q199" t="str">
        <f>IFERROR(INDEX(Работы!$J$2:$J$6000,MATCH($C199,Работы!$A$2:$A$6000,0)),"")</f>
        <v>типовая</v>
      </c>
      <c r="R199" t="s">
        <v>92</v>
      </c>
      <c r="T199" t="str">
        <f>IF(AND($P199&gt;0,$R199="да"),MAX($T$1:$T198)+1,"")</f>
        <v/>
      </c>
    </row>
    <row r="200" spans="1:20" x14ac:dyDescent="0.3">
      <c r="A200" t="str">
        <f>IFERROR(INDEX(Работы!$D$2:$D$6000,MATCH($C200,Работы!$A$2:$A$6000,0)),"")</f>
        <v>Р2</v>
      </c>
      <c r="B200" t="str">
        <f>IFERROR(INDEX(Работы!$F$2:$F$6000,MATCH($C200,Работы!$A$2:$A$6000,0)),"")</f>
        <v>11</v>
      </c>
      <c r="C200" t="str">
        <f>IFERROR(INDEX(Работы!$A$2:$A$6000,199),"")</f>
        <v>РАБ.Р2.11.002</v>
      </c>
      <c r="D200" s="8" t="str">
        <f>IFERROR(INDEX(Работы!$B$2:$B$6000,MATCH($C200,Работы!$A$2:$A$6000,0)),"")</f>
        <v>Вывоз мусора (бункер 27 м3)</v>
      </c>
      <c r="E200" t="str">
        <f>IFERROR(INDEX(Работы!$C$2:$C$6000,MATCH($C200,Работы!$A$2:$A$6000,0)),"")</f>
        <v>шт.</v>
      </c>
      <c r="F200">
        <f>IFERROR(INDEX(Работы!$G$2:$G$6000,MATCH($C200,Работы!$A$2:$A$6000,0)),"")</f>
        <v>0</v>
      </c>
      <c r="G200" t="str">
        <f>IFERROR(INDEX(Работы!$K$2:$K$6000,MATCH($C200,Работы!$A$2:$A$6000,0)),"")</f>
        <v>Замер_демонтажа</v>
      </c>
      <c r="H200" s="9"/>
      <c r="I200" s="9"/>
      <c r="J200" s="8" t="str">
        <f>IFERROR(INDEX(Материалы!$B$2:$B$9000,MATCH($I200,Материалы!$A$2:$A$9000,0)),"")</f>
        <v/>
      </c>
      <c r="K200" t="str">
        <f>IF($I200="","",IF($F200=IFERROR(INDEX(Материалы!$G$2:$G$9000,MATCH($I200,Материалы!$A$2:$A$9000,0)),""),"OK","!! не та группа"))</f>
        <v/>
      </c>
      <c r="L200" s="10">
        <f>IFERROR(INDEX(Работы!$H$2:$H$6000,MATCH($C200,Работы!$A$2:$A$6000,0))*(1-ДисконтТендер),0)</f>
        <v>32447.25</v>
      </c>
      <c r="M200" s="10">
        <f>IF($I200="",0,IFERROR(INDEX(Материалы!$I$2:$I$9000,MATCH($I200,Материалы!$A$2:$A$9000,0))*IF(INDEX(Материалы!$J$2:$J$9000,MATCH($I200,Материалы!$A$2:$A$9000,0))="USD",КурсUSD,IF(INDEX(Материалы!$J$2:$J$9000,MATCH($I200,Материалы!$A$2:$A$9000,0))="EUR",КурсEUR,1))*INDEX(Материалы!$K$2:$K$9000,MATCH($I200,Материалы!$A$2:$A$9000,0))*(1+IFERROR(INDEX(Работы!$I$2:$I$6000,MATCH($C200,Работы!$A$2:$A$6000,0))/100,0))*(1-ДисконтТендер),0))</f>
        <v>0</v>
      </c>
      <c r="N200" s="10">
        <f t="shared" si="9"/>
        <v>0</v>
      </c>
      <c r="O200" s="10">
        <f t="shared" si="10"/>
        <v>0</v>
      </c>
      <c r="P200" s="10">
        <f t="shared" si="11"/>
        <v>0</v>
      </c>
      <c r="Q200" t="str">
        <f>IFERROR(INDEX(Работы!$J$2:$J$6000,MATCH($C200,Работы!$A$2:$A$6000,0)),"")</f>
        <v>типовая</v>
      </c>
      <c r="R200" t="s">
        <v>92</v>
      </c>
      <c r="T200" t="str">
        <f>IF(AND($P200&gt;0,$R200="да"),MAX($T$1:$T199)+1,"")</f>
        <v/>
      </c>
    </row>
    <row r="201" spans="1:20" x14ac:dyDescent="0.3">
      <c r="A201" t="str">
        <f>IFERROR(INDEX(Работы!$D$2:$D$6000,MATCH($C201,Работы!$A$2:$A$6000,0)),"")</f>
        <v>Р2</v>
      </c>
      <c r="B201" t="str">
        <f>IFERROR(INDEX(Работы!$F$2:$F$6000,MATCH($C201,Работы!$A$2:$A$6000,0)),"")</f>
        <v>11</v>
      </c>
      <c r="C201" t="str">
        <f>IFERROR(INDEX(Работы!$A$2:$A$6000,200),"")</f>
        <v>РАБ.Р2.11.003</v>
      </c>
      <c r="D201" s="8" t="str">
        <f>IFERROR(INDEX(Работы!$B$2:$B$6000,MATCH($C201,Работы!$A$2:$A$6000,0)),"")</f>
        <v>Вывоз мусора (бункер 24 м3)</v>
      </c>
      <c r="E201" t="str">
        <f>IFERROR(INDEX(Работы!$C$2:$C$6000,MATCH($C201,Работы!$A$2:$A$6000,0)),"")</f>
        <v>шт.</v>
      </c>
      <c r="F201">
        <f>IFERROR(INDEX(Работы!$G$2:$G$6000,MATCH($C201,Работы!$A$2:$A$6000,0)),"")</f>
        <v>0</v>
      </c>
      <c r="G201" t="str">
        <f>IFERROR(INDEX(Работы!$K$2:$K$6000,MATCH($C201,Работы!$A$2:$A$6000,0)),"")</f>
        <v>Замер_демонтажа</v>
      </c>
      <c r="H201" s="9"/>
      <c r="I201" s="9"/>
      <c r="J201" s="8" t="str">
        <f>IFERROR(INDEX(Материалы!$B$2:$B$9000,MATCH($I201,Материалы!$A$2:$A$9000,0)),"")</f>
        <v/>
      </c>
      <c r="K201" t="str">
        <f>IF($I201="","",IF($F201=IFERROR(INDEX(Материалы!$G$2:$G$9000,MATCH($I201,Материалы!$A$2:$A$9000,0)),""),"OK","!! не та группа"))</f>
        <v/>
      </c>
      <c r="L201" s="10">
        <f>IFERROR(INDEX(Работы!$H$2:$H$6000,MATCH($C201,Работы!$A$2:$A$6000,0))*(1-ДисконтТендер),0)</f>
        <v>28842</v>
      </c>
      <c r="M201" s="10">
        <f>IF($I201="",0,IFERROR(INDEX(Материалы!$I$2:$I$9000,MATCH($I201,Материалы!$A$2:$A$9000,0))*IF(INDEX(Материалы!$J$2:$J$9000,MATCH($I201,Материалы!$A$2:$A$9000,0))="USD",КурсUSD,IF(INDEX(Материалы!$J$2:$J$9000,MATCH($I201,Материалы!$A$2:$A$9000,0))="EUR",КурсEUR,1))*INDEX(Материалы!$K$2:$K$9000,MATCH($I201,Материалы!$A$2:$A$9000,0))*(1+IFERROR(INDEX(Работы!$I$2:$I$6000,MATCH($C201,Работы!$A$2:$A$6000,0))/100,0))*(1-ДисконтТендер),0))</f>
        <v>0</v>
      </c>
      <c r="N201" s="10">
        <f t="shared" si="9"/>
        <v>0</v>
      </c>
      <c r="O201" s="10">
        <f t="shared" si="10"/>
        <v>0</v>
      </c>
      <c r="P201" s="10">
        <f t="shared" si="11"/>
        <v>0</v>
      </c>
      <c r="Q201" t="str">
        <f>IFERROR(INDEX(Работы!$J$2:$J$6000,MATCH($C201,Работы!$A$2:$A$6000,0)),"")</f>
        <v>типовая</v>
      </c>
      <c r="R201" t="s">
        <v>92</v>
      </c>
      <c r="T201" t="str">
        <f>IF(AND($P201&gt;0,$R201="да"),MAX($T$1:$T200)+1,"")</f>
        <v/>
      </c>
    </row>
    <row r="202" spans="1:20" x14ac:dyDescent="0.3">
      <c r="A202" t="str">
        <f>IFERROR(INDEX(Работы!$D$2:$D$6000,MATCH($C202,Работы!$A$2:$A$6000,0)),"")</f>
        <v>Р2</v>
      </c>
      <c r="B202" t="str">
        <f>IFERROR(INDEX(Работы!$F$2:$F$6000,MATCH($C202,Работы!$A$2:$A$6000,0)),"")</f>
        <v>11</v>
      </c>
      <c r="C202" t="str">
        <f>IFERROR(INDEX(Работы!$A$2:$A$6000,201),"")</f>
        <v>РАБ.Р2.11.004</v>
      </c>
      <c r="D202" s="8" t="str">
        <f>IFERROR(INDEX(Работы!$B$2:$B$6000,MATCH($C202,Работы!$A$2:$A$6000,0)),"")</f>
        <v>Вывоз мусора (бункер 20 м3)</v>
      </c>
      <c r="E202" t="str">
        <f>IFERROR(INDEX(Работы!$C$2:$C$6000,MATCH($C202,Работы!$A$2:$A$6000,0)),"")</f>
        <v>шт.</v>
      </c>
      <c r="F202">
        <f>IFERROR(INDEX(Работы!$G$2:$G$6000,MATCH($C202,Работы!$A$2:$A$6000,0)),"")</f>
        <v>0</v>
      </c>
      <c r="G202" t="str">
        <f>IFERROR(INDEX(Работы!$K$2:$K$6000,MATCH($C202,Работы!$A$2:$A$6000,0)),"")</f>
        <v>Замер_демонтажа</v>
      </c>
      <c r="H202" s="9"/>
      <c r="I202" s="9"/>
      <c r="J202" s="8" t="str">
        <f>IFERROR(INDEX(Материалы!$B$2:$B$9000,MATCH($I202,Материалы!$A$2:$A$9000,0)),"")</f>
        <v/>
      </c>
      <c r="K202" t="str">
        <f>IF($I202="","",IF($F202=IFERROR(INDEX(Материалы!$G$2:$G$9000,MATCH($I202,Материалы!$A$2:$A$9000,0)),""),"OK","!! не та группа"))</f>
        <v/>
      </c>
      <c r="L202" s="10">
        <f>IFERROR(INDEX(Работы!$H$2:$H$6000,MATCH($C202,Работы!$A$2:$A$6000,0))*(1-ДисконтТендер),0)</f>
        <v>24795</v>
      </c>
      <c r="M202" s="10">
        <f>IF($I202="",0,IFERROR(INDEX(Материалы!$I$2:$I$9000,MATCH($I202,Материалы!$A$2:$A$9000,0))*IF(INDEX(Материалы!$J$2:$J$9000,MATCH($I202,Материалы!$A$2:$A$9000,0))="USD",КурсUSD,IF(INDEX(Материалы!$J$2:$J$9000,MATCH($I202,Материалы!$A$2:$A$9000,0))="EUR",КурсEUR,1))*INDEX(Материалы!$K$2:$K$9000,MATCH($I202,Материалы!$A$2:$A$9000,0))*(1+IFERROR(INDEX(Работы!$I$2:$I$6000,MATCH($C202,Работы!$A$2:$A$6000,0))/100,0))*(1-ДисконтТендер),0))</f>
        <v>0</v>
      </c>
      <c r="N202" s="10">
        <f t="shared" si="9"/>
        <v>0</v>
      </c>
      <c r="O202" s="10">
        <f t="shared" si="10"/>
        <v>0</v>
      </c>
      <c r="P202" s="10">
        <f t="shared" si="11"/>
        <v>0</v>
      </c>
      <c r="Q202" t="str">
        <f>IFERROR(INDEX(Работы!$J$2:$J$6000,MATCH($C202,Работы!$A$2:$A$6000,0)),"")</f>
        <v>типовая</v>
      </c>
      <c r="R202" t="s">
        <v>92</v>
      </c>
      <c r="T202" t="str">
        <f>IF(AND($P202&gt;0,$R202="да"),MAX($T$1:$T201)+1,"")</f>
        <v/>
      </c>
    </row>
    <row r="203" spans="1:20" ht="28.8" x14ac:dyDescent="0.3">
      <c r="A203" t="str">
        <f>IFERROR(INDEX(Работы!$D$2:$D$6000,MATCH($C203,Работы!$A$2:$A$6000,0)),"")</f>
        <v>Р2</v>
      </c>
      <c r="B203" t="str">
        <f>IFERROR(INDEX(Работы!$F$2:$F$6000,MATCH($C203,Работы!$A$2:$A$6000,0)),"")</f>
        <v>11</v>
      </c>
      <c r="C203" t="str">
        <f>IFERROR(INDEX(Работы!$A$2:$A$6000,202),"")</f>
        <v>РАБ.Р2.11.005</v>
      </c>
      <c r="D203" s="8" t="str">
        <f>IFERROR(INDEX(Работы!$B$2:$B$6000,MATCH($C203,Работы!$A$2:$A$6000,0)),"")</f>
        <v>Перемещение вручную строительных материалов, мусора на расстоянии свыше 50 м от объекта</v>
      </c>
      <c r="E203" t="str">
        <f>IFERROR(INDEX(Работы!$C$2:$C$6000,MATCH($C203,Работы!$A$2:$A$6000,0)),"")</f>
        <v>тн.</v>
      </c>
      <c r="F203">
        <f>IFERROR(INDEX(Работы!$G$2:$G$6000,MATCH($C203,Работы!$A$2:$A$6000,0)),"")</f>
        <v>0</v>
      </c>
      <c r="G203" t="str">
        <f>IFERROR(INDEX(Работы!$K$2:$K$6000,MATCH($C203,Работы!$A$2:$A$6000,0)),"")</f>
        <v>Замер_демонтажа</v>
      </c>
      <c r="H203" s="9"/>
      <c r="I203" s="9"/>
      <c r="J203" s="8" t="str">
        <f>IFERROR(INDEX(Материалы!$B$2:$B$9000,MATCH($I203,Материалы!$A$2:$A$9000,0)),"")</f>
        <v/>
      </c>
      <c r="K203" t="str">
        <f>IF($I203="","",IF($F203=IFERROR(INDEX(Материалы!$G$2:$G$9000,MATCH($I203,Материалы!$A$2:$A$9000,0)),""),"OK","!! не та группа"))</f>
        <v/>
      </c>
      <c r="L203" s="10">
        <f>IFERROR(INDEX(Работы!$H$2:$H$6000,MATCH($C203,Работы!$A$2:$A$6000,0))*(1-ДисконтТендер),0)</f>
        <v>1268.6300000000001</v>
      </c>
      <c r="M203" s="10">
        <f>IF($I203="",0,IFERROR(INDEX(Материалы!$I$2:$I$9000,MATCH($I203,Материалы!$A$2:$A$9000,0))*IF(INDEX(Материалы!$J$2:$J$9000,MATCH($I203,Материалы!$A$2:$A$9000,0))="USD",КурсUSD,IF(INDEX(Материалы!$J$2:$J$9000,MATCH($I203,Материалы!$A$2:$A$9000,0))="EUR",КурсEUR,1))*INDEX(Материалы!$K$2:$K$9000,MATCH($I203,Материалы!$A$2:$A$9000,0))*(1+IFERROR(INDEX(Работы!$I$2:$I$6000,MATCH($C203,Работы!$A$2:$A$6000,0))/100,0))*(1-ДисконтТендер),0))</f>
        <v>0</v>
      </c>
      <c r="N203" s="10">
        <f t="shared" si="9"/>
        <v>0</v>
      </c>
      <c r="O203" s="10">
        <f t="shared" si="10"/>
        <v>0</v>
      </c>
      <c r="P203" s="10">
        <f t="shared" si="11"/>
        <v>0</v>
      </c>
      <c r="Q203" t="str">
        <f>IFERROR(INDEX(Работы!$J$2:$J$6000,MATCH($C203,Работы!$A$2:$A$6000,0)),"")</f>
        <v>типовая</v>
      </c>
      <c r="R203" t="s">
        <v>92</v>
      </c>
      <c r="T203" t="str">
        <f>IF(AND($P203&gt;0,$R203="да"),MAX($T$1:$T202)+1,"")</f>
        <v/>
      </c>
    </row>
    <row r="204" spans="1:20" x14ac:dyDescent="0.3">
      <c r="A204" t="str">
        <f>IFERROR(INDEX(Работы!$D$2:$D$6000,MATCH($C204,Работы!$A$2:$A$6000,0)),"")</f>
        <v>Р2</v>
      </c>
      <c r="B204" t="str">
        <f>IFERROR(INDEX(Работы!$F$2:$F$6000,MATCH($C204,Работы!$A$2:$A$6000,0)),"")</f>
        <v>11</v>
      </c>
      <c r="C204" t="str">
        <f>IFERROR(INDEX(Работы!$A$2:$A$6000,203),"")</f>
        <v>РАБ.Р2.11.006</v>
      </c>
      <c r="D204" s="8" t="str">
        <f>IFERROR(INDEX(Работы!$B$2:$B$6000,MATCH($C204,Работы!$A$2:$A$6000,0)),"")</f>
        <v>Уборка послестроительная</v>
      </c>
      <c r="E204" t="str">
        <f>IFERROR(INDEX(Работы!$C$2:$C$6000,MATCH($C204,Работы!$A$2:$A$6000,0)),"")</f>
        <v>м2</v>
      </c>
      <c r="F204">
        <f>IFERROR(INDEX(Работы!$G$2:$G$6000,MATCH($C204,Работы!$A$2:$A$6000,0)),"")</f>
        <v>0</v>
      </c>
      <c r="G204" t="str">
        <f>IFERROR(INDEX(Работы!$K$2:$K$6000,MATCH($C204,Работы!$A$2:$A$6000,0)),"")</f>
        <v>Замер_демонтажа</v>
      </c>
      <c r="H204" s="9"/>
      <c r="I204" s="9"/>
      <c r="J204" s="8" t="str">
        <f>IFERROR(INDEX(Материалы!$B$2:$B$9000,MATCH($I204,Материалы!$A$2:$A$9000,0)),"")</f>
        <v/>
      </c>
      <c r="K204" t="str">
        <f>IF($I204="","",IF($F204=IFERROR(INDEX(Материалы!$G$2:$G$9000,MATCH($I204,Материалы!$A$2:$A$9000,0)),""),"OK","!! не та группа"))</f>
        <v/>
      </c>
      <c r="L204" s="10">
        <f>IFERROR(INDEX(Работы!$H$2:$H$6000,MATCH($C204,Работы!$A$2:$A$6000,0))*(1-ДисконтТендер),0)</f>
        <v>94.05</v>
      </c>
      <c r="M204" s="10">
        <f>IF($I204="",0,IFERROR(INDEX(Материалы!$I$2:$I$9000,MATCH($I204,Материалы!$A$2:$A$9000,0))*IF(INDEX(Материалы!$J$2:$J$9000,MATCH($I204,Материалы!$A$2:$A$9000,0))="USD",КурсUSD,IF(INDEX(Материалы!$J$2:$J$9000,MATCH($I204,Материалы!$A$2:$A$9000,0))="EUR",КурсEUR,1))*INDEX(Материалы!$K$2:$K$9000,MATCH($I204,Материалы!$A$2:$A$9000,0))*(1+IFERROR(INDEX(Работы!$I$2:$I$6000,MATCH($C204,Работы!$A$2:$A$6000,0))/100,0))*(1-ДисконтТендер),0))</f>
        <v>0</v>
      </c>
      <c r="N204" s="10">
        <f t="shared" si="9"/>
        <v>0</v>
      </c>
      <c r="O204" s="10">
        <f t="shared" si="10"/>
        <v>0</v>
      </c>
      <c r="P204" s="10">
        <f t="shared" si="11"/>
        <v>0</v>
      </c>
      <c r="Q204" t="str">
        <f>IFERROR(INDEX(Работы!$J$2:$J$6000,MATCH($C204,Работы!$A$2:$A$6000,0)),"")</f>
        <v>типовая</v>
      </c>
      <c r="R204" t="s">
        <v>92</v>
      </c>
      <c r="T204" t="str">
        <f>IF(AND($P204&gt;0,$R204="да"),MAX($T$1:$T203)+1,"")</f>
        <v/>
      </c>
    </row>
    <row r="205" spans="1:20" ht="28.8" x14ac:dyDescent="0.3">
      <c r="A205" t="str">
        <f>IFERROR(INDEX(Работы!$D$2:$D$6000,MATCH($C205,Работы!$A$2:$A$6000,0)),"")</f>
        <v>Р2</v>
      </c>
      <c r="B205" t="str">
        <f>IFERROR(INDEX(Работы!$F$2:$F$6000,MATCH($C205,Работы!$A$2:$A$6000,0)),"")</f>
        <v>11</v>
      </c>
      <c r="C205" t="str">
        <f>IFERROR(INDEX(Работы!$A$2:$A$6000,204),"")</f>
        <v>РАБ.Р2.11.007</v>
      </c>
      <c r="D205" s="8" t="str">
        <f>IFERROR(INDEX(Работы!$B$2:$B$6000,MATCH($C205,Работы!$A$2:$A$6000,0)),"")</f>
        <v>Поддерживающая уборка в течении недели перед открытием</v>
      </c>
      <c r="E205" t="str">
        <f>IFERROR(INDEX(Работы!$C$2:$C$6000,MATCH($C205,Работы!$A$2:$A$6000,0)),"")</f>
        <v>м2</v>
      </c>
      <c r="F205">
        <f>IFERROR(INDEX(Работы!$G$2:$G$6000,MATCH($C205,Работы!$A$2:$A$6000,0)),"")</f>
        <v>0</v>
      </c>
      <c r="G205" t="str">
        <f>IFERROR(INDEX(Работы!$K$2:$K$6000,MATCH($C205,Работы!$A$2:$A$6000,0)),"")</f>
        <v>Замер_демонтажа</v>
      </c>
      <c r="H205" s="9"/>
      <c r="I205" s="9"/>
      <c r="J205" s="8" t="str">
        <f>IFERROR(INDEX(Материалы!$B$2:$B$9000,MATCH($I205,Материалы!$A$2:$A$9000,0)),"")</f>
        <v/>
      </c>
      <c r="K205" t="str">
        <f>IF($I205="","",IF($F205=IFERROR(INDEX(Материалы!$G$2:$G$9000,MATCH($I205,Материалы!$A$2:$A$9000,0)),""),"OK","!! не та группа"))</f>
        <v/>
      </c>
      <c r="L205" s="10">
        <f>IFERROR(INDEX(Работы!$H$2:$H$6000,MATCH($C205,Работы!$A$2:$A$6000,0))*(1-ДисконтТендер),0)</f>
        <v>110.69</v>
      </c>
      <c r="M205" s="10">
        <f>IF($I205="",0,IFERROR(INDEX(Материалы!$I$2:$I$9000,MATCH($I205,Материалы!$A$2:$A$9000,0))*IF(INDEX(Материалы!$J$2:$J$9000,MATCH($I205,Материалы!$A$2:$A$9000,0))="USD",КурсUSD,IF(INDEX(Материалы!$J$2:$J$9000,MATCH($I205,Материалы!$A$2:$A$9000,0))="EUR",КурсEUR,1))*INDEX(Материалы!$K$2:$K$9000,MATCH($I205,Материалы!$A$2:$A$9000,0))*(1+IFERROR(INDEX(Работы!$I$2:$I$6000,MATCH($C205,Работы!$A$2:$A$6000,0))/100,0))*(1-ДисконтТендер),0))</f>
        <v>0</v>
      </c>
      <c r="N205" s="10">
        <f t="shared" si="9"/>
        <v>0</v>
      </c>
      <c r="O205" s="10">
        <f t="shared" si="10"/>
        <v>0</v>
      </c>
      <c r="P205" s="10">
        <f t="shared" si="11"/>
        <v>0</v>
      </c>
      <c r="Q205" t="str">
        <f>IFERROR(INDEX(Работы!$J$2:$J$6000,MATCH($C205,Работы!$A$2:$A$6000,0)),"")</f>
        <v>типовая</v>
      </c>
      <c r="R205" t="s">
        <v>92</v>
      </c>
      <c r="T205" t="str">
        <f>IF(AND($P205&gt;0,$R205="да"),MAX($T$1:$T204)+1,"")</f>
        <v/>
      </c>
    </row>
    <row r="206" spans="1:20" ht="28.8" x14ac:dyDescent="0.3">
      <c r="A206" t="str">
        <f>IFERROR(INDEX(Работы!$D$2:$D$6000,MATCH($C206,Работы!$A$2:$A$6000,0)),"")</f>
        <v>Р2</v>
      </c>
      <c r="B206" t="str">
        <f>IFERROR(INDEX(Работы!$F$2:$F$6000,MATCH($C206,Работы!$A$2:$A$6000,0)),"")</f>
        <v>11</v>
      </c>
      <c r="C206" t="str">
        <f>IFERROR(INDEX(Работы!$A$2:$A$6000,205),"")</f>
        <v>РАБ.Р2.11.008</v>
      </c>
      <c r="D206" s="8" t="str">
        <f>IFERROR(INDEX(Работы!$B$2:$B$6000,MATCH($C206,Работы!$A$2:$A$6000,0)),"")</f>
        <v>Клининговая уборка перед открытием (включая ночные работы).</v>
      </c>
      <c r="E206" t="str">
        <f>IFERROR(INDEX(Работы!$C$2:$C$6000,MATCH($C206,Работы!$A$2:$A$6000,0)),"")</f>
        <v>м2</v>
      </c>
      <c r="F206">
        <f>IFERROR(INDEX(Работы!$G$2:$G$6000,MATCH($C206,Работы!$A$2:$A$6000,0)),"")</f>
        <v>0</v>
      </c>
      <c r="G206" t="str">
        <f>IFERROR(INDEX(Работы!$K$2:$K$6000,MATCH($C206,Работы!$A$2:$A$6000,0)),"")</f>
        <v>Замер_демонтажа</v>
      </c>
      <c r="H206" s="9"/>
      <c r="I206" s="9"/>
      <c r="J206" s="8" t="str">
        <f>IFERROR(INDEX(Материалы!$B$2:$B$9000,MATCH($I206,Материалы!$A$2:$A$9000,0)),"")</f>
        <v/>
      </c>
      <c r="K206" t="str">
        <f>IF($I206="","",IF($F206=IFERROR(INDEX(Материалы!$G$2:$G$9000,MATCH($I206,Материалы!$A$2:$A$9000,0)),""),"OK","!! не та группа"))</f>
        <v/>
      </c>
      <c r="L206" s="10">
        <f>IFERROR(INDEX(Работы!$H$2:$H$6000,MATCH($C206,Работы!$A$2:$A$6000,0))*(1-ДисконтТендер),0)</f>
        <v>519</v>
      </c>
      <c r="M206" s="10">
        <f>IF($I206="",0,IFERROR(INDEX(Материалы!$I$2:$I$9000,MATCH($I206,Материалы!$A$2:$A$9000,0))*IF(INDEX(Материалы!$J$2:$J$9000,MATCH($I206,Материалы!$A$2:$A$9000,0))="USD",КурсUSD,IF(INDEX(Материалы!$J$2:$J$9000,MATCH($I206,Материалы!$A$2:$A$9000,0))="EUR",КурсEUR,1))*INDEX(Материалы!$K$2:$K$9000,MATCH($I206,Материалы!$A$2:$A$9000,0))*(1+IFERROR(INDEX(Работы!$I$2:$I$6000,MATCH($C206,Работы!$A$2:$A$6000,0))/100,0))*(1-ДисконтТендер),0))</f>
        <v>0</v>
      </c>
      <c r="N206" s="10">
        <f t="shared" si="9"/>
        <v>0</v>
      </c>
      <c r="O206" s="10">
        <f t="shared" si="10"/>
        <v>0</v>
      </c>
      <c r="P206" s="10">
        <f t="shared" si="11"/>
        <v>0</v>
      </c>
      <c r="Q206" t="str">
        <f>IFERROR(INDEX(Работы!$J$2:$J$6000,MATCH($C206,Работы!$A$2:$A$6000,0)),"")</f>
        <v>типовая</v>
      </c>
      <c r="R206" t="s">
        <v>92</v>
      </c>
      <c r="T206" t="str">
        <f>IF(AND($P206&gt;0,$R206="да"),MAX($T$1:$T205)+1,"")</f>
        <v/>
      </c>
    </row>
    <row r="207" spans="1:20" x14ac:dyDescent="0.3">
      <c r="A207" t="str">
        <f>IFERROR(INDEX(Работы!$D$2:$D$6000,MATCH($C207,Работы!$A$2:$A$6000,0)),"")</f>
        <v>Р2</v>
      </c>
      <c r="B207" t="str">
        <f>IFERROR(INDEX(Работы!$F$2:$F$6000,MATCH($C207,Работы!$A$2:$A$6000,0)),"")</f>
        <v>12</v>
      </c>
      <c r="C207" t="str">
        <f>IFERROR(INDEX(Работы!$A$2:$A$6000,206),"")</f>
        <v>РАБ.Р2.12.001</v>
      </c>
      <c r="D207" s="8" t="str">
        <f>IFERROR(INDEX(Работы!$B$2:$B$6000,MATCH($C207,Работы!$A$2:$A$6000,0)),"")</f>
        <v>Демонтаж мебельных конструкций</v>
      </c>
      <c r="E207" t="str">
        <f>IFERROR(INDEX(Работы!$C$2:$C$6000,MATCH($C207,Работы!$A$2:$A$6000,0)),"")</f>
        <v>шт.</v>
      </c>
      <c r="F207">
        <f>IFERROR(INDEX(Работы!$G$2:$G$6000,MATCH($C207,Работы!$A$2:$A$6000,0)),"")</f>
        <v>0</v>
      </c>
      <c r="G207" t="str">
        <f>IFERROR(INDEX(Работы!$K$2:$K$6000,MATCH($C207,Работы!$A$2:$A$6000,0)),"")</f>
        <v>Замер_демонтажа</v>
      </c>
      <c r="H207" s="9"/>
      <c r="I207" s="9"/>
      <c r="J207" s="8" t="str">
        <f>IFERROR(INDEX(Материалы!$B$2:$B$9000,MATCH($I207,Материалы!$A$2:$A$9000,0)),"")</f>
        <v/>
      </c>
      <c r="K207" t="str">
        <f>IF($I207="","",IF($F207=IFERROR(INDEX(Материалы!$G$2:$G$9000,MATCH($I207,Материалы!$A$2:$A$9000,0)),""),"OK","!! не та группа"))</f>
        <v/>
      </c>
      <c r="L207" s="10">
        <f>IFERROR(INDEX(Работы!$H$2:$H$6000,MATCH($C207,Работы!$A$2:$A$6000,0))*(1-ДисконтТендер),0)</f>
        <v>522.5</v>
      </c>
      <c r="M207" s="10">
        <f>IF($I207="",0,IFERROR(INDEX(Материалы!$I$2:$I$9000,MATCH($I207,Материалы!$A$2:$A$9000,0))*IF(INDEX(Материалы!$J$2:$J$9000,MATCH($I207,Материалы!$A$2:$A$9000,0))="USD",КурсUSD,IF(INDEX(Материалы!$J$2:$J$9000,MATCH($I207,Материалы!$A$2:$A$9000,0))="EUR",КурсEUR,1))*INDEX(Материалы!$K$2:$K$9000,MATCH($I207,Материалы!$A$2:$A$9000,0))*(1+IFERROR(INDEX(Работы!$I$2:$I$6000,MATCH($C207,Работы!$A$2:$A$6000,0))/100,0))*(1-ДисконтТендер),0))</f>
        <v>0</v>
      </c>
      <c r="N207" s="10">
        <f t="shared" si="9"/>
        <v>0</v>
      </c>
      <c r="O207" s="10">
        <f t="shared" si="10"/>
        <v>0</v>
      </c>
      <c r="P207" s="10">
        <f t="shared" si="11"/>
        <v>0</v>
      </c>
      <c r="Q207" t="str">
        <f>IFERROR(INDEX(Работы!$J$2:$J$6000,MATCH($C207,Работы!$A$2:$A$6000,0)),"")</f>
        <v>типовая</v>
      </c>
      <c r="R207" t="s">
        <v>92</v>
      </c>
      <c r="T207" t="str">
        <f>IF(AND($P207&gt;0,$R207="да"),MAX($T$1:$T206)+1,"")</f>
        <v/>
      </c>
    </row>
    <row r="208" spans="1:20" x14ac:dyDescent="0.3">
      <c r="A208" t="str">
        <f>IFERROR(INDEX(Работы!$D$2:$D$6000,MATCH($C208,Работы!$A$2:$A$6000,0)),"")</f>
        <v>Р2</v>
      </c>
      <c r="B208" t="str">
        <f>IFERROR(INDEX(Работы!$F$2:$F$6000,MATCH($C208,Работы!$A$2:$A$6000,0)),"")</f>
        <v>12</v>
      </c>
      <c r="C208" t="str">
        <f>IFERROR(INDEX(Работы!$A$2:$A$6000,207),"")</f>
        <v>РАБ.Р2.12.002</v>
      </c>
      <c r="D208" s="8" t="str">
        <f>IFERROR(INDEX(Работы!$B$2:$B$6000,MATCH($C208,Работы!$A$2:$A$6000,0)),"")</f>
        <v>Демонтаж шлюза инкосаторского</v>
      </c>
      <c r="E208" t="str">
        <f>IFERROR(INDEX(Работы!$C$2:$C$6000,MATCH($C208,Работы!$A$2:$A$6000,0)),"")</f>
        <v>шт.</v>
      </c>
      <c r="F208">
        <f>IFERROR(INDEX(Работы!$G$2:$G$6000,MATCH($C208,Работы!$A$2:$A$6000,0)),"")</f>
        <v>0</v>
      </c>
      <c r="G208" t="str">
        <f>IFERROR(INDEX(Работы!$K$2:$K$6000,MATCH($C208,Работы!$A$2:$A$6000,0)),"")</f>
        <v>Замер_демонтажа</v>
      </c>
      <c r="H208" s="9"/>
      <c r="I208" s="9"/>
      <c r="J208" s="8" t="str">
        <f>IFERROR(INDEX(Материалы!$B$2:$B$9000,MATCH($I208,Материалы!$A$2:$A$9000,0)),"")</f>
        <v/>
      </c>
      <c r="K208" t="str">
        <f>IF($I208="","",IF($F208=IFERROR(INDEX(Материалы!$G$2:$G$9000,MATCH($I208,Материалы!$A$2:$A$9000,0)),""),"OK","!! не та группа"))</f>
        <v/>
      </c>
      <c r="L208" s="10">
        <f>IFERROR(INDEX(Работы!$H$2:$H$6000,MATCH($C208,Работы!$A$2:$A$6000,0))*(1-ДисконтТендер),0)</f>
        <v>3027.6</v>
      </c>
      <c r="M208" s="10">
        <f>IF($I208="",0,IFERROR(INDEX(Материалы!$I$2:$I$9000,MATCH($I208,Материалы!$A$2:$A$9000,0))*IF(INDEX(Материалы!$J$2:$J$9000,MATCH($I208,Материалы!$A$2:$A$9000,0))="USD",КурсUSD,IF(INDEX(Материалы!$J$2:$J$9000,MATCH($I208,Материалы!$A$2:$A$9000,0))="EUR",КурсEUR,1))*INDEX(Материалы!$K$2:$K$9000,MATCH($I208,Материалы!$A$2:$A$9000,0))*(1+IFERROR(INDEX(Работы!$I$2:$I$6000,MATCH($C208,Работы!$A$2:$A$6000,0))/100,0))*(1-ДисконтТендер),0))</f>
        <v>0</v>
      </c>
      <c r="N208" s="10">
        <f t="shared" si="9"/>
        <v>0</v>
      </c>
      <c r="O208" s="10">
        <f t="shared" si="10"/>
        <v>0</v>
      </c>
      <c r="P208" s="10">
        <f t="shared" si="11"/>
        <v>0</v>
      </c>
      <c r="Q208" t="str">
        <f>IFERROR(INDEX(Работы!$J$2:$J$6000,MATCH($C208,Работы!$A$2:$A$6000,0)),"")</f>
        <v>типовая</v>
      </c>
      <c r="R208" t="s">
        <v>92</v>
      </c>
      <c r="T208" t="str">
        <f>IF(AND($P208&gt;0,$R208="да"),MAX($T$1:$T207)+1,"")</f>
        <v/>
      </c>
    </row>
    <row r="209" spans="1:20" x14ac:dyDescent="0.3">
      <c r="A209" t="str">
        <f>IFERROR(INDEX(Работы!$D$2:$D$6000,MATCH($C209,Работы!$A$2:$A$6000,0)),"")</f>
        <v>Р2</v>
      </c>
      <c r="B209" t="str">
        <f>IFERROR(INDEX(Работы!$F$2:$F$6000,MATCH($C209,Работы!$A$2:$A$6000,0)),"")</f>
        <v>12</v>
      </c>
      <c r="C209" t="str">
        <f>IFERROR(INDEX(Работы!$A$2:$A$6000,208),"")</f>
        <v>РАБ.Р2.12.003</v>
      </c>
      <c r="D209" s="8" t="str">
        <f>IFERROR(INDEX(Работы!$B$2:$B$6000,MATCH($C209,Работы!$A$2:$A$6000,0)),"")</f>
        <v>Удаление старого огнезащитного покрытия</v>
      </c>
      <c r="E209" t="str">
        <f>IFERROR(INDEX(Работы!$C$2:$C$6000,MATCH($C209,Работы!$A$2:$A$6000,0)),"")</f>
        <v>м2</v>
      </c>
      <c r="F209">
        <f>IFERROR(INDEX(Работы!$G$2:$G$6000,MATCH($C209,Работы!$A$2:$A$6000,0)),"")</f>
        <v>0</v>
      </c>
      <c r="G209" t="str">
        <f>IFERROR(INDEX(Работы!$K$2:$K$6000,MATCH($C209,Работы!$A$2:$A$6000,0)),"")</f>
        <v>Замер_демонтажа</v>
      </c>
      <c r="H209" s="9"/>
      <c r="I209" s="9"/>
      <c r="J209" s="8" t="str">
        <f>IFERROR(INDEX(Материалы!$B$2:$B$9000,MATCH($I209,Материалы!$A$2:$A$9000,0)),"")</f>
        <v/>
      </c>
      <c r="K209" t="str">
        <f>IF($I209="","",IF($F209=IFERROR(INDEX(Материалы!$G$2:$G$9000,MATCH($I209,Материалы!$A$2:$A$9000,0)),""),"OK","!! не та группа"))</f>
        <v/>
      </c>
      <c r="L209" s="10">
        <f>IFERROR(INDEX(Работы!$H$2:$H$6000,MATCH($C209,Работы!$A$2:$A$6000,0))*(1-ДисконтТендер),0)</f>
        <v>626.4</v>
      </c>
      <c r="M209" s="10">
        <f>IF($I209="",0,IFERROR(INDEX(Материалы!$I$2:$I$9000,MATCH($I209,Материалы!$A$2:$A$9000,0))*IF(INDEX(Материалы!$J$2:$J$9000,MATCH($I209,Материалы!$A$2:$A$9000,0))="USD",КурсUSD,IF(INDEX(Материалы!$J$2:$J$9000,MATCH($I209,Материалы!$A$2:$A$9000,0))="EUR",КурсEUR,1))*INDEX(Материалы!$K$2:$K$9000,MATCH($I209,Материалы!$A$2:$A$9000,0))*(1+IFERROR(INDEX(Работы!$I$2:$I$6000,MATCH($C209,Работы!$A$2:$A$6000,0))/100,0))*(1-ДисконтТендер),0))</f>
        <v>0</v>
      </c>
      <c r="N209" s="10">
        <f t="shared" si="9"/>
        <v>0</v>
      </c>
      <c r="O209" s="10">
        <f t="shared" si="10"/>
        <v>0</v>
      </c>
      <c r="P209" s="10">
        <f t="shared" si="11"/>
        <v>0</v>
      </c>
      <c r="Q209" t="str">
        <f>IFERROR(INDEX(Работы!$J$2:$J$6000,MATCH($C209,Работы!$A$2:$A$6000,0)),"")</f>
        <v>типовая</v>
      </c>
      <c r="R209" t="s">
        <v>92</v>
      </c>
      <c r="T209" t="str">
        <f>IF(AND($P209&gt;0,$R209="да"),MAX($T$1:$T208)+1,"")</f>
        <v/>
      </c>
    </row>
    <row r="210" spans="1:20" x14ac:dyDescent="0.3">
      <c r="A210" t="str">
        <f>IFERROR(INDEX(Работы!$D$2:$D$6000,MATCH($C210,Работы!$A$2:$A$6000,0)),"")</f>
        <v>Р2</v>
      </c>
      <c r="B210" t="str">
        <f>IFERROR(INDEX(Работы!$F$2:$F$6000,MATCH($C210,Работы!$A$2:$A$6000,0)),"")</f>
        <v>12</v>
      </c>
      <c r="C210" t="str">
        <f>IFERROR(INDEX(Работы!$A$2:$A$6000,209),"")</f>
        <v>РАБ.Р2.12.004</v>
      </c>
      <c r="D210" s="8" t="str">
        <f>IFERROR(INDEX(Работы!$B$2:$B$6000,MATCH($C210,Работы!$A$2:$A$6000,0)),"")</f>
        <v>Демонтаж жалюзей</v>
      </c>
      <c r="E210" t="str">
        <f>IFERROR(INDEX(Работы!$C$2:$C$6000,MATCH($C210,Работы!$A$2:$A$6000,0)),"")</f>
        <v>м2</v>
      </c>
      <c r="F210">
        <f>IFERROR(INDEX(Работы!$G$2:$G$6000,MATCH($C210,Работы!$A$2:$A$6000,0)),"")</f>
        <v>0</v>
      </c>
      <c r="G210" t="str">
        <f>IFERROR(INDEX(Работы!$K$2:$K$6000,MATCH($C210,Работы!$A$2:$A$6000,0)),"")</f>
        <v>Замер_демонтажа</v>
      </c>
      <c r="H210" s="9"/>
      <c r="I210" s="9"/>
      <c r="J210" s="8" t="str">
        <f>IFERROR(INDEX(Материалы!$B$2:$B$9000,MATCH($I210,Материалы!$A$2:$A$9000,0)),"")</f>
        <v/>
      </c>
      <c r="K210" t="str">
        <f>IF($I210="","",IF($F210=IFERROR(INDEX(Материалы!$G$2:$G$9000,MATCH($I210,Материалы!$A$2:$A$9000,0)),""),"OK","!! не та группа"))</f>
        <v/>
      </c>
      <c r="L210" s="10">
        <f>IFERROR(INDEX(Работы!$H$2:$H$6000,MATCH($C210,Работы!$A$2:$A$6000,0))*(1-ДисконтТендер),0)</f>
        <v>174</v>
      </c>
      <c r="M210" s="10">
        <f>IF($I210="",0,IFERROR(INDEX(Материалы!$I$2:$I$9000,MATCH($I210,Материалы!$A$2:$A$9000,0))*IF(INDEX(Материалы!$J$2:$J$9000,MATCH($I210,Материалы!$A$2:$A$9000,0))="USD",КурсUSD,IF(INDEX(Материалы!$J$2:$J$9000,MATCH($I210,Материалы!$A$2:$A$9000,0))="EUR",КурсEUR,1))*INDEX(Материалы!$K$2:$K$9000,MATCH($I210,Материалы!$A$2:$A$9000,0))*(1+IFERROR(INDEX(Работы!$I$2:$I$6000,MATCH($C210,Работы!$A$2:$A$6000,0))/100,0))*(1-ДисконтТендер),0))</f>
        <v>0</v>
      </c>
      <c r="N210" s="10">
        <f t="shared" si="9"/>
        <v>0</v>
      </c>
      <c r="O210" s="10">
        <f t="shared" si="10"/>
        <v>0</v>
      </c>
      <c r="P210" s="10">
        <f t="shared" si="11"/>
        <v>0</v>
      </c>
      <c r="Q210" t="str">
        <f>IFERROR(INDEX(Работы!$J$2:$J$6000,MATCH($C210,Работы!$A$2:$A$6000,0)),"")</f>
        <v>типовая</v>
      </c>
      <c r="R210" t="s">
        <v>92</v>
      </c>
      <c r="T210" t="str">
        <f>IF(AND($P210&gt;0,$R210="да"),MAX($T$1:$T209)+1,"")</f>
        <v/>
      </c>
    </row>
    <row r="211" spans="1:20" x14ac:dyDescent="0.3">
      <c r="A211" t="str">
        <f>IFERROR(INDEX(Работы!$D$2:$D$6000,MATCH($C211,Работы!$A$2:$A$6000,0)),"")</f>
        <v>Р2</v>
      </c>
      <c r="B211" t="str">
        <f>IFERROR(INDEX(Работы!$F$2:$F$6000,MATCH($C211,Работы!$A$2:$A$6000,0)),"")</f>
        <v>12</v>
      </c>
      <c r="C211" t="str">
        <f>IFERROR(INDEX(Работы!$A$2:$A$6000,210),"")</f>
        <v>РАБ.Р2.12.005</v>
      </c>
      <c r="D211" s="8" t="str">
        <f>IFERROR(INDEX(Работы!$B$2:$B$6000,MATCH($C211,Работы!$A$2:$A$6000,0)),"")</f>
        <v>Демонтаж металлоконструкций</v>
      </c>
      <c r="E211" t="str">
        <f>IFERROR(INDEX(Работы!$C$2:$C$6000,MATCH($C211,Работы!$A$2:$A$6000,0)),"")</f>
        <v>тн.</v>
      </c>
      <c r="F211">
        <f>IFERROR(INDEX(Работы!$G$2:$G$6000,MATCH($C211,Работы!$A$2:$A$6000,0)),"")</f>
        <v>0</v>
      </c>
      <c r="G211" t="str">
        <f>IFERROR(INDEX(Работы!$K$2:$K$6000,MATCH($C211,Работы!$A$2:$A$6000,0)),"")</f>
        <v>Замер_демонтажа</v>
      </c>
      <c r="H211" s="9"/>
      <c r="I211" s="9"/>
      <c r="J211" s="8" t="str">
        <f>IFERROR(INDEX(Материалы!$B$2:$B$9000,MATCH($I211,Материалы!$A$2:$A$9000,0)),"")</f>
        <v/>
      </c>
      <c r="K211" t="str">
        <f>IF($I211="","",IF($F211=IFERROR(INDEX(Материалы!$G$2:$G$9000,MATCH($I211,Материалы!$A$2:$A$9000,0)),""),"OK","!! не та группа"))</f>
        <v/>
      </c>
      <c r="L211" s="10">
        <f>IFERROR(INDEX(Работы!$H$2:$H$6000,MATCH($C211,Работы!$A$2:$A$6000,0))*(1-ДисконтТендер),0)</f>
        <v>5225</v>
      </c>
      <c r="M211" s="10">
        <f>IF($I211="",0,IFERROR(INDEX(Материалы!$I$2:$I$9000,MATCH($I211,Материалы!$A$2:$A$9000,0))*IF(INDEX(Материалы!$J$2:$J$9000,MATCH($I211,Материалы!$A$2:$A$9000,0))="USD",КурсUSD,IF(INDEX(Материалы!$J$2:$J$9000,MATCH($I211,Материалы!$A$2:$A$9000,0))="EUR",КурсEUR,1))*INDEX(Материалы!$K$2:$K$9000,MATCH($I211,Материалы!$A$2:$A$9000,0))*(1+IFERROR(INDEX(Работы!$I$2:$I$6000,MATCH($C211,Работы!$A$2:$A$6000,0))/100,0))*(1-ДисконтТендер),0))</f>
        <v>0</v>
      </c>
      <c r="N211" s="10">
        <f t="shared" si="9"/>
        <v>0</v>
      </c>
      <c r="O211" s="10">
        <f t="shared" si="10"/>
        <v>0</v>
      </c>
      <c r="P211" s="10">
        <f t="shared" si="11"/>
        <v>0</v>
      </c>
      <c r="Q211" t="str">
        <f>IFERROR(INDEX(Работы!$J$2:$J$6000,MATCH($C211,Работы!$A$2:$A$6000,0)),"")</f>
        <v>типовая</v>
      </c>
      <c r="R211" t="s">
        <v>92</v>
      </c>
      <c r="T211" t="str">
        <f>IF(AND($P211&gt;0,$R211="да"),MAX($T$1:$T210)+1,"")</f>
        <v/>
      </c>
    </row>
    <row r="212" spans="1:20" ht="28.8" x14ac:dyDescent="0.3">
      <c r="A212" t="str">
        <f>IFERROR(INDEX(Работы!$D$2:$D$6000,MATCH($C212,Работы!$A$2:$A$6000,0)),"")</f>
        <v>Р2</v>
      </c>
      <c r="B212" t="str">
        <f>IFERROR(INDEX(Работы!$F$2:$F$6000,MATCH($C212,Работы!$A$2:$A$6000,0)),"")</f>
        <v>12</v>
      </c>
      <c r="C212" t="str">
        <f>IFERROR(INDEX(Работы!$A$2:$A$6000,211),"")</f>
        <v>РАБ.Р2.12.006</v>
      </c>
      <c r="D212" s="8" t="str">
        <f>IFERROR(INDEX(Работы!$B$2:$B$6000,MATCH($C212,Работы!$A$2:$A$6000,0)),"")</f>
        <v>Демонтаж наборных ступеней ЛС 90 с выломкой четвертей</v>
      </c>
      <c r="E212" t="str">
        <f>IFERROR(INDEX(Работы!$C$2:$C$6000,MATCH($C212,Работы!$A$2:$A$6000,0)),"")</f>
        <v>шт.</v>
      </c>
      <c r="F212">
        <f>IFERROR(INDEX(Работы!$G$2:$G$6000,MATCH($C212,Работы!$A$2:$A$6000,0)),"")</f>
        <v>0</v>
      </c>
      <c r="G212" t="str">
        <f>IFERROR(INDEX(Работы!$K$2:$K$6000,MATCH($C212,Работы!$A$2:$A$6000,0)),"")</f>
        <v>Замер_демонтажа</v>
      </c>
      <c r="H212" s="9"/>
      <c r="I212" s="9"/>
      <c r="J212" s="8" t="str">
        <f>IFERROR(INDEX(Материалы!$B$2:$B$9000,MATCH($I212,Материалы!$A$2:$A$9000,0)),"")</f>
        <v/>
      </c>
      <c r="K212" t="str">
        <f>IF($I212="","",IF($F212=IFERROR(INDEX(Материалы!$G$2:$G$9000,MATCH($I212,Материалы!$A$2:$A$9000,0)),""),"OK","!! не та группа"))</f>
        <v/>
      </c>
      <c r="L212" s="10">
        <f>IFERROR(INDEX(Работы!$H$2:$H$6000,MATCH($C212,Работы!$A$2:$A$6000,0))*(1-ДисконтТендер),0)</f>
        <v>8143.2</v>
      </c>
      <c r="M212" s="10">
        <f>IF($I212="",0,IFERROR(INDEX(Материалы!$I$2:$I$9000,MATCH($I212,Материалы!$A$2:$A$9000,0))*IF(INDEX(Материалы!$J$2:$J$9000,MATCH($I212,Материалы!$A$2:$A$9000,0))="USD",КурсUSD,IF(INDEX(Материалы!$J$2:$J$9000,MATCH($I212,Материалы!$A$2:$A$9000,0))="EUR",КурсEUR,1))*INDEX(Материалы!$K$2:$K$9000,MATCH($I212,Материалы!$A$2:$A$9000,0))*(1+IFERROR(INDEX(Работы!$I$2:$I$6000,MATCH($C212,Работы!$A$2:$A$6000,0))/100,0))*(1-ДисконтТендер),0))</f>
        <v>0</v>
      </c>
      <c r="N212" s="10">
        <f t="shared" si="9"/>
        <v>0</v>
      </c>
      <c r="O212" s="10">
        <f t="shared" si="10"/>
        <v>0</v>
      </c>
      <c r="P212" s="10">
        <f t="shared" si="11"/>
        <v>0</v>
      </c>
      <c r="Q212" t="str">
        <f>IFERROR(INDEX(Работы!$J$2:$J$6000,MATCH($C212,Работы!$A$2:$A$6000,0)),"")</f>
        <v>типовая</v>
      </c>
      <c r="R212" t="s">
        <v>92</v>
      </c>
      <c r="T212" t="str">
        <f>IF(AND($P212&gt;0,$R212="да"),MAX($T$1:$T211)+1,"")</f>
        <v/>
      </c>
    </row>
    <row r="213" spans="1:20" ht="28.8" x14ac:dyDescent="0.3">
      <c r="A213" t="str">
        <f>IFERROR(INDEX(Работы!$D$2:$D$6000,MATCH($C213,Работы!$A$2:$A$6000,0)),"")</f>
        <v>Р2</v>
      </c>
      <c r="B213" t="str">
        <f>IFERROR(INDEX(Работы!$F$2:$F$6000,MATCH($C213,Работы!$A$2:$A$6000,0)),"")</f>
        <v>12</v>
      </c>
      <c r="C213" t="str">
        <f>IFERROR(INDEX(Работы!$A$2:$A$6000,212),"")</f>
        <v>РАБ.Р2.12.007</v>
      </c>
      <c r="D213" s="8" t="str">
        <f>IFERROR(INDEX(Работы!$B$2:$B$6000,MATCH($C213,Работы!$A$2:$A$6000,0)),"")</f>
        <v>Демонтаж лифта включая Двери, двигатели, тросы, уловители,ограничители.</v>
      </c>
      <c r="E213" t="str">
        <f>IFERROR(INDEX(Работы!$C$2:$C$6000,MATCH($C213,Работы!$A$2:$A$6000,0)),"")</f>
        <v>шт.</v>
      </c>
      <c r="F213">
        <f>IFERROR(INDEX(Работы!$G$2:$G$6000,MATCH($C213,Работы!$A$2:$A$6000,0)),"")</f>
        <v>0</v>
      </c>
      <c r="G213" t="str">
        <f>IFERROR(INDEX(Работы!$K$2:$K$6000,MATCH($C213,Работы!$A$2:$A$6000,0)),"")</f>
        <v>Замер_демонтажа</v>
      </c>
      <c r="H213" s="9"/>
      <c r="I213" s="9"/>
      <c r="J213" s="8" t="str">
        <f>IFERROR(INDEX(Материалы!$B$2:$B$9000,MATCH($I213,Материалы!$A$2:$A$9000,0)),"")</f>
        <v/>
      </c>
      <c r="K213" t="str">
        <f>IF($I213="","",IF($F213=IFERROR(INDEX(Материалы!$G$2:$G$9000,MATCH($I213,Материалы!$A$2:$A$9000,0)),""),"OK","!! не та группа"))</f>
        <v/>
      </c>
      <c r="L213" s="10">
        <f>IFERROR(INDEX(Работы!$H$2:$H$6000,MATCH($C213,Работы!$A$2:$A$6000,0))*(1-ДисконтТендер),0)</f>
        <v>305370</v>
      </c>
      <c r="M213" s="10">
        <f>IF($I213="",0,IFERROR(INDEX(Материалы!$I$2:$I$9000,MATCH($I213,Материалы!$A$2:$A$9000,0))*IF(INDEX(Материалы!$J$2:$J$9000,MATCH($I213,Материалы!$A$2:$A$9000,0))="USD",КурсUSD,IF(INDEX(Материалы!$J$2:$J$9000,MATCH($I213,Материалы!$A$2:$A$9000,0))="EUR",КурсEUR,1))*INDEX(Материалы!$K$2:$K$9000,MATCH($I213,Материалы!$A$2:$A$9000,0))*(1+IFERROR(INDEX(Работы!$I$2:$I$6000,MATCH($C213,Работы!$A$2:$A$6000,0))/100,0))*(1-ДисконтТендер),0))</f>
        <v>0</v>
      </c>
      <c r="N213" s="10">
        <f t="shared" si="9"/>
        <v>0</v>
      </c>
      <c r="O213" s="10">
        <f t="shared" si="10"/>
        <v>0</v>
      </c>
      <c r="P213" s="10">
        <f t="shared" si="11"/>
        <v>0</v>
      </c>
      <c r="Q213" t="str">
        <f>IFERROR(INDEX(Работы!$J$2:$J$6000,MATCH($C213,Работы!$A$2:$A$6000,0)),"")</f>
        <v>нетиповая</v>
      </c>
      <c r="R213" t="s">
        <v>92</v>
      </c>
      <c r="T213" t="str">
        <f>IF(AND($P213&gt;0,$R213="да"),MAX($T$1:$T212)+1,"")</f>
        <v/>
      </c>
    </row>
    <row r="214" spans="1:20" ht="72" x14ac:dyDescent="0.3">
      <c r="A214" t="str">
        <f>IFERROR(INDEX(Работы!$D$2:$D$6000,MATCH($C214,Работы!$A$2:$A$6000,0)),"")</f>
        <v>Р2</v>
      </c>
      <c r="B214" t="str">
        <f>IFERROR(INDEX(Работы!$F$2:$F$6000,MATCH($C214,Работы!$A$2:$A$6000,0)),"")</f>
        <v>12</v>
      </c>
      <c r="C214" t="str">
        <f>IFERROR(INDEX(Работы!$A$2:$A$6000,213),"")</f>
        <v>РАБ.Р2.12.008</v>
      </c>
      <c r="D214" s="8" t="str">
        <f>IFERROR(INDEX(Работы!$B$2:$B$6000,MATCH($C214,Работы!$A$2:$A$6000,0)),"")</f>
        <v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v>
      </c>
      <c r="E214" t="str">
        <f>IFERROR(INDEX(Работы!$C$2:$C$6000,MATCH($C214,Работы!$A$2:$A$6000,0)),"")</f>
        <v>м2</v>
      </c>
      <c r="F214">
        <f>IFERROR(INDEX(Работы!$G$2:$G$6000,MATCH($C214,Работы!$A$2:$A$6000,0)),"")</f>
        <v>0</v>
      </c>
      <c r="G214" t="str">
        <f>IFERROR(INDEX(Работы!$K$2:$K$6000,MATCH($C214,Работы!$A$2:$A$6000,0)),"")</f>
        <v>Замер_демонтажа</v>
      </c>
      <c r="H214" s="9"/>
      <c r="I214" s="9"/>
      <c r="J214" s="8" t="str">
        <f>IFERROR(INDEX(Материалы!$B$2:$B$9000,MATCH($I214,Материалы!$A$2:$A$9000,0)),"")</f>
        <v/>
      </c>
      <c r="K214" t="str">
        <f>IF($I214="","",IF($F214=IFERROR(INDEX(Материалы!$G$2:$G$9000,MATCH($I214,Материалы!$A$2:$A$9000,0)),""),"OK","!! не та группа"))</f>
        <v/>
      </c>
      <c r="L214" s="10">
        <f>IFERROR(INDEX(Работы!$H$2:$H$6000,MATCH($C214,Работы!$A$2:$A$6000,0))*(1-ДисконтТендер),0)</f>
        <v>820</v>
      </c>
      <c r="M214" s="10">
        <f>IF($I214="",0,IFERROR(INDEX(Материалы!$I$2:$I$9000,MATCH($I214,Материалы!$A$2:$A$9000,0))*IF(INDEX(Материалы!$J$2:$J$9000,MATCH($I214,Материалы!$A$2:$A$9000,0))="USD",КурсUSD,IF(INDEX(Материалы!$J$2:$J$9000,MATCH($I214,Материалы!$A$2:$A$9000,0))="EUR",КурсEUR,1))*INDEX(Материалы!$K$2:$K$9000,MATCH($I214,Материалы!$A$2:$A$9000,0))*(1+IFERROR(INDEX(Работы!$I$2:$I$6000,MATCH($C214,Работы!$A$2:$A$6000,0))/100,0))*(1-ДисконтТендер),0))</f>
        <v>0</v>
      </c>
      <c r="N214" s="10">
        <f t="shared" si="9"/>
        <v>0</v>
      </c>
      <c r="O214" s="10">
        <f t="shared" si="10"/>
        <v>0</v>
      </c>
      <c r="P214" s="10">
        <f t="shared" si="11"/>
        <v>0</v>
      </c>
      <c r="Q214" t="str">
        <f>IFERROR(INDEX(Работы!$J$2:$J$6000,MATCH($C214,Работы!$A$2:$A$6000,0)),"")</f>
        <v>типовая</v>
      </c>
      <c r="R214" t="s">
        <v>92</v>
      </c>
      <c r="T214" t="str">
        <f>IF(AND($P214&gt;0,$R214="да"),MAX($T$1:$T213)+1,"")</f>
        <v/>
      </c>
    </row>
    <row r="215" spans="1:20" x14ac:dyDescent="0.3">
      <c r="A215" t="str">
        <f>IFERROR(INDEX(Работы!$D$2:$D$6000,MATCH($C215,Работы!$A$2:$A$6000,0)),"")</f>
        <v>Р2</v>
      </c>
      <c r="B215" t="str">
        <f>IFERROR(INDEX(Работы!$F$2:$F$6000,MATCH($C215,Работы!$A$2:$A$6000,0)),"")</f>
        <v>13</v>
      </c>
      <c r="C215" t="str">
        <f>IFERROR(INDEX(Работы!$A$2:$A$6000,214),"")</f>
        <v>РАБ.Р2.13.001</v>
      </c>
      <c r="D215" s="8" t="str">
        <f>IFERROR(INDEX(Работы!$B$2:$B$6000,MATCH($C215,Работы!$A$2:$A$6000,0)),"")</f>
        <v>Демонтажные работы до состояния shell-and-core</v>
      </c>
      <c r="E215" t="str">
        <f>IFERROR(INDEX(Работы!$C$2:$C$6000,MATCH($C215,Работы!$A$2:$A$6000,0)),"")</f>
        <v>м2</v>
      </c>
      <c r="F215">
        <f>IFERROR(INDEX(Работы!$G$2:$G$6000,MATCH($C215,Работы!$A$2:$A$6000,0)),"")</f>
        <v>0</v>
      </c>
      <c r="G215" t="str">
        <f>IFERROR(INDEX(Работы!$K$2:$K$6000,MATCH($C215,Работы!$A$2:$A$6000,0)),"")</f>
        <v>Замер_демонтажа</v>
      </c>
      <c r="H215" s="9"/>
      <c r="I215" s="9"/>
      <c r="J215" s="8" t="str">
        <f>IFERROR(INDEX(Материалы!$B$2:$B$9000,MATCH($I215,Материалы!$A$2:$A$9000,0)),"")</f>
        <v/>
      </c>
      <c r="K215" t="str">
        <f>IF($I215="","",IF($F215=IFERROR(INDEX(Материалы!$G$2:$G$9000,MATCH($I215,Материалы!$A$2:$A$9000,0)),""),"OK","!! не та группа"))</f>
        <v/>
      </c>
      <c r="L215" s="10">
        <f>IFERROR(INDEX(Работы!$H$2:$H$6000,MATCH($C215,Работы!$A$2:$A$6000,0))*(1-ДисконтТендер),0)</f>
        <v>2133.33</v>
      </c>
      <c r="M215" s="10">
        <f>IF($I215="",0,IFERROR(INDEX(Материалы!$I$2:$I$9000,MATCH($I215,Материалы!$A$2:$A$9000,0))*IF(INDEX(Материалы!$J$2:$J$9000,MATCH($I215,Материалы!$A$2:$A$9000,0))="USD",КурсUSD,IF(INDEX(Материалы!$J$2:$J$9000,MATCH($I215,Материалы!$A$2:$A$9000,0))="EUR",КурсEUR,1))*INDEX(Материалы!$K$2:$K$9000,MATCH($I215,Материалы!$A$2:$A$9000,0))*(1+IFERROR(INDEX(Работы!$I$2:$I$6000,MATCH($C215,Работы!$A$2:$A$6000,0))/100,0))*(1-ДисконтТендер),0))</f>
        <v>0</v>
      </c>
      <c r="N215" s="10">
        <f t="shared" si="9"/>
        <v>0</v>
      </c>
      <c r="O215" s="10">
        <f t="shared" si="10"/>
        <v>0</v>
      </c>
      <c r="P215" s="10">
        <f t="shared" si="11"/>
        <v>0</v>
      </c>
      <c r="Q215" t="str">
        <f>IFERROR(INDEX(Работы!$J$2:$J$6000,MATCH($C215,Работы!$A$2:$A$6000,0)),"")</f>
        <v>типовая</v>
      </c>
      <c r="R215" t="s">
        <v>92</v>
      </c>
      <c r="T215" t="str">
        <f>IF(AND($P215&gt;0,$R215="да"),MAX($T$1:$T214)+1,"")</f>
        <v/>
      </c>
    </row>
    <row r="216" spans="1:20" x14ac:dyDescent="0.3">
      <c r="A216" t="str">
        <f>IFERROR(INDEX(Работы!$D$2:$D$6000,MATCH($C216,Работы!$A$2:$A$6000,0)),"")</f>
        <v>Р3</v>
      </c>
      <c r="B216" t="str">
        <f>IFERROR(INDEX(Работы!$F$2:$F$6000,MATCH($C216,Работы!$A$2:$A$6000,0)),"")</f>
        <v>1</v>
      </c>
      <c r="C216" t="str">
        <f>IFERROR(INDEX(Работы!$A$2:$A$6000,215),"")</f>
        <v>РАБ.Р3.1.001</v>
      </c>
      <c r="D216" s="8" t="str">
        <f>IFERROR(INDEX(Работы!$B$2:$B$6000,MATCH($C216,Работы!$A$2:$A$6000,0)),"")</f>
        <v>Кладка перегородок толщиной в 1/2 кирпича</v>
      </c>
      <c r="E216" t="str">
        <f>IFERROR(INDEX(Работы!$C$2:$C$6000,MATCH($C216,Работы!$A$2:$A$6000,0)),"")</f>
        <v>м2</v>
      </c>
      <c r="F216" t="str">
        <f>IFERROR(INDEX(Работы!$G$2:$G$6000,MATCH($C216,Работы!$A$2:$A$6000,0)),"")</f>
        <v>КЛАДКА</v>
      </c>
      <c r="G216" t="str">
        <f>IFERROR(INDEX(Работы!$K$2:$K$6000,MATCH($C216,Работы!$A$2:$A$6000,0)),"")</f>
        <v>S_стены</v>
      </c>
      <c r="H216" s="9"/>
      <c r="I216" s="9"/>
      <c r="J216" s="8" t="str">
        <f>IFERROR(INDEX(Материалы!$B$2:$B$9000,MATCH($I216,Материалы!$A$2:$A$9000,0)),"")</f>
        <v/>
      </c>
      <c r="K216" t="str">
        <f>IF($I216="","",IF($F216=IFERROR(INDEX(Материалы!$G$2:$G$9000,MATCH($I216,Материалы!$A$2:$A$9000,0)),""),"OK","!! не та группа"))</f>
        <v/>
      </c>
      <c r="L216" s="10">
        <f>IFERROR(INDEX(Работы!$H$2:$H$6000,MATCH($C216,Работы!$A$2:$A$6000,0))*(1-ДисконтТендер),0)</f>
        <v>2392.5</v>
      </c>
      <c r="M216" s="10">
        <f>IF($I216="",0,IFERROR(INDEX(Материалы!$I$2:$I$9000,MATCH($I216,Материалы!$A$2:$A$9000,0))*IF(INDEX(Материалы!$J$2:$J$9000,MATCH($I216,Материалы!$A$2:$A$9000,0))="USD",КурсUSD,IF(INDEX(Материалы!$J$2:$J$9000,MATCH($I216,Материалы!$A$2:$A$9000,0))="EUR",КурсEUR,1))*INDEX(Материалы!$K$2:$K$9000,MATCH($I216,Материалы!$A$2:$A$9000,0))*(1+IFERROR(INDEX(Работы!$I$2:$I$6000,MATCH($C216,Работы!$A$2:$A$6000,0))/100,0))*(1-ДисконтТендер),0))</f>
        <v>0</v>
      </c>
      <c r="N216" s="10">
        <f t="shared" si="9"/>
        <v>0</v>
      </c>
      <c r="O216" s="10">
        <f t="shared" si="10"/>
        <v>0</v>
      </c>
      <c r="P216" s="10">
        <f t="shared" si="11"/>
        <v>0</v>
      </c>
      <c r="Q216" t="str">
        <f>IFERROR(INDEX(Работы!$J$2:$J$6000,MATCH($C216,Работы!$A$2:$A$6000,0)),"")</f>
        <v>типовая</v>
      </c>
      <c r="R216" t="s">
        <v>92</v>
      </c>
      <c r="T216" t="str">
        <f>IF(AND($P216&gt;0,$R216="да"),MAX($T$1:$T215)+1,"")</f>
        <v/>
      </c>
    </row>
    <row r="217" spans="1:20" ht="28.8" x14ac:dyDescent="0.3">
      <c r="A217" t="str">
        <f>IFERROR(INDEX(Работы!$D$2:$D$6000,MATCH($C217,Работы!$A$2:$A$6000,0)),"")</f>
        <v>Р3</v>
      </c>
      <c r="B217" t="str">
        <f>IFERROR(INDEX(Работы!$F$2:$F$6000,MATCH($C217,Работы!$A$2:$A$6000,0)),"")</f>
        <v>1</v>
      </c>
      <c r="C217" t="str">
        <f>IFERROR(INDEX(Работы!$A$2:$A$6000,216),"")</f>
        <v>РАБ.Р3.1.002</v>
      </c>
      <c r="D217" s="8" t="str">
        <f>IFERROR(INDEX(Работы!$B$2:$B$6000,MATCH($C217,Работы!$A$2:$A$6000,0)),"")</f>
        <v>Кладка перегородок армированных толщиной в 1 кирпич</v>
      </c>
      <c r="E217" t="str">
        <f>IFERROR(INDEX(Работы!$C$2:$C$6000,MATCH($C217,Работы!$A$2:$A$6000,0)),"")</f>
        <v>м2</v>
      </c>
      <c r="F217" t="str">
        <f>IFERROR(INDEX(Работы!$G$2:$G$6000,MATCH($C217,Работы!$A$2:$A$6000,0)),"")</f>
        <v>КЛАДКА</v>
      </c>
      <c r="G217" t="str">
        <f>IFERROR(INDEX(Работы!$K$2:$K$6000,MATCH($C217,Работы!$A$2:$A$6000,0)),"")</f>
        <v>S_стены</v>
      </c>
      <c r="H217" s="9"/>
      <c r="I217" s="9"/>
      <c r="J217" s="8" t="str">
        <f>IFERROR(INDEX(Материалы!$B$2:$B$9000,MATCH($I217,Материалы!$A$2:$A$9000,0)),"")</f>
        <v/>
      </c>
      <c r="K217" t="str">
        <f>IF($I217="","",IF($F217=IFERROR(INDEX(Материалы!$G$2:$G$9000,MATCH($I217,Материалы!$A$2:$A$9000,0)),""),"OK","!! не та группа"))</f>
        <v/>
      </c>
      <c r="L217" s="10">
        <f>IFERROR(INDEX(Работы!$H$2:$H$6000,MATCH($C217,Работы!$A$2:$A$6000,0))*(1-ДисконтТендер),0)</f>
        <v>2704.48</v>
      </c>
      <c r="M217" s="10">
        <f>IF($I217="",0,IFERROR(INDEX(Материалы!$I$2:$I$9000,MATCH($I217,Материалы!$A$2:$A$9000,0))*IF(INDEX(Материалы!$J$2:$J$9000,MATCH($I217,Материалы!$A$2:$A$9000,0))="USD",КурсUSD,IF(INDEX(Материалы!$J$2:$J$9000,MATCH($I217,Материалы!$A$2:$A$9000,0))="EUR",КурсEUR,1))*INDEX(Материалы!$K$2:$K$9000,MATCH($I217,Материалы!$A$2:$A$9000,0))*(1+IFERROR(INDEX(Работы!$I$2:$I$6000,MATCH($C217,Работы!$A$2:$A$6000,0))/100,0))*(1-ДисконтТендер),0))</f>
        <v>0</v>
      </c>
      <c r="N217" s="10">
        <f t="shared" si="9"/>
        <v>0</v>
      </c>
      <c r="O217" s="10">
        <f t="shared" si="10"/>
        <v>0</v>
      </c>
      <c r="P217" s="10">
        <f t="shared" si="11"/>
        <v>0</v>
      </c>
      <c r="Q217" t="str">
        <f>IFERROR(INDEX(Работы!$J$2:$J$6000,MATCH($C217,Работы!$A$2:$A$6000,0)),"")</f>
        <v>типовая</v>
      </c>
      <c r="R217" t="s">
        <v>92</v>
      </c>
      <c r="T217" t="str">
        <f>IF(AND($P217&gt;0,$R217="да"),MAX($T$1:$T216)+1,"")</f>
        <v/>
      </c>
    </row>
    <row r="218" spans="1:20" x14ac:dyDescent="0.3">
      <c r="A218" t="str">
        <f>IFERROR(INDEX(Работы!$D$2:$D$6000,MATCH($C218,Работы!$A$2:$A$6000,0)),"")</f>
        <v>Р3</v>
      </c>
      <c r="B218" t="str">
        <f>IFERROR(INDEX(Работы!$F$2:$F$6000,MATCH($C218,Работы!$A$2:$A$6000,0)),"")</f>
        <v>1</v>
      </c>
      <c r="C218" t="str">
        <f>IFERROR(INDEX(Работы!$A$2:$A$6000,217),"")</f>
        <v>РАБ.Р3.1.003</v>
      </c>
      <c r="D218" s="8" t="str">
        <f>IFERROR(INDEX(Работы!$B$2:$B$6000,MATCH($C218,Работы!$A$2:$A$6000,0)),"")</f>
        <v>Кладка перегородок из пеноблоков (600*300*200)</v>
      </c>
      <c r="E218" t="str">
        <f>IFERROR(INDEX(Работы!$C$2:$C$6000,MATCH($C218,Работы!$A$2:$A$6000,0)),"")</f>
        <v>м2</v>
      </c>
      <c r="F218" t="str">
        <f>IFERROR(INDEX(Работы!$G$2:$G$6000,MATCH($C218,Работы!$A$2:$A$6000,0)),"")</f>
        <v>КЛАДКА</v>
      </c>
      <c r="G218" t="str">
        <f>IFERROR(INDEX(Работы!$K$2:$K$6000,MATCH($C218,Работы!$A$2:$A$6000,0)),"")</f>
        <v>S_стены</v>
      </c>
      <c r="H218" s="9"/>
      <c r="I218" s="9"/>
      <c r="J218" s="8" t="str">
        <f>IFERROR(INDEX(Материалы!$B$2:$B$9000,MATCH($I218,Материалы!$A$2:$A$9000,0)),"")</f>
        <v/>
      </c>
      <c r="K218" t="str">
        <f>IF($I218="","",IF($F218=IFERROR(INDEX(Материалы!$G$2:$G$9000,MATCH($I218,Материалы!$A$2:$A$9000,0)),""),"OK","!! не та группа"))</f>
        <v/>
      </c>
      <c r="L218" s="10">
        <f>IFERROR(INDEX(Работы!$H$2:$H$6000,MATCH($C218,Работы!$A$2:$A$6000,0))*(1-ДисконтТендер),0)</f>
        <v>2035.8</v>
      </c>
      <c r="M218" s="10">
        <f>IF($I218="",0,IFERROR(INDEX(Материалы!$I$2:$I$9000,MATCH($I218,Материалы!$A$2:$A$9000,0))*IF(INDEX(Материалы!$J$2:$J$9000,MATCH($I218,Материалы!$A$2:$A$9000,0))="USD",КурсUSD,IF(INDEX(Материалы!$J$2:$J$9000,MATCH($I218,Материалы!$A$2:$A$9000,0))="EUR",КурсEUR,1))*INDEX(Материалы!$K$2:$K$9000,MATCH($I218,Материалы!$A$2:$A$9000,0))*(1+IFERROR(INDEX(Работы!$I$2:$I$6000,MATCH($C218,Работы!$A$2:$A$6000,0))/100,0))*(1-ДисконтТендер),0))</f>
        <v>0</v>
      </c>
      <c r="N218" s="10">
        <f t="shared" si="9"/>
        <v>0</v>
      </c>
      <c r="O218" s="10">
        <f t="shared" si="10"/>
        <v>0</v>
      </c>
      <c r="P218" s="10">
        <f t="shared" si="11"/>
        <v>0</v>
      </c>
      <c r="Q218" t="str">
        <f>IFERROR(INDEX(Работы!$J$2:$J$6000,MATCH($C218,Работы!$A$2:$A$6000,0)),"")</f>
        <v>типовая</v>
      </c>
      <c r="R218" t="s">
        <v>92</v>
      </c>
      <c r="T218" t="str">
        <f>IF(AND($P218&gt;0,$R218="да"),MAX($T$1:$T217)+1,"")</f>
        <v/>
      </c>
    </row>
    <row r="219" spans="1:20" x14ac:dyDescent="0.3">
      <c r="A219" t="str">
        <f>IFERROR(INDEX(Работы!$D$2:$D$6000,MATCH($C219,Работы!$A$2:$A$6000,0)),"")</f>
        <v>Р3</v>
      </c>
      <c r="B219" t="str">
        <f>IFERROR(INDEX(Работы!$F$2:$F$6000,MATCH($C219,Работы!$A$2:$A$6000,0)),"")</f>
        <v>1</v>
      </c>
      <c r="C219" t="str">
        <f>IFERROR(INDEX(Работы!$A$2:$A$6000,218),"")</f>
        <v>РАБ.Р3.1.004</v>
      </c>
      <c r="D219" s="8" t="str">
        <f>IFERROR(INDEX(Работы!$B$2:$B$6000,MATCH($C219,Работы!$A$2:$A$6000,0)),"")</f>
        <v>Заделка проемов в кирпичных стенах</v>
      </c>
      <c r="E219" t="str">
        <f>IFERROR(INDEX(Работы!$C$2:$C$6000,MATCH($C219,Работы!$A$2:$A$6000,0)),"")</f>
        <v>м3</v>
      </c>
      <c r="F219" t="str">
        <f>IFERROR(INDEX(Работы!$G$2:$G$6000,MATCH($C219,Работы!$A$2:$A$6000,0)),"")</f>
        <v>КЛАДКА</v>
      </c>
      <c r="G219" t="str">
        <f>IFERROR(INDEX(Работы!$K$2:$K$6000,MATCH($C219,Работы!$A$2:$A$6000,0)),"")</f>
        <v>S_стены</v>
      </c>
      <c r="H219" s="9"/>
      <c r="I219" s="9"/>
      <c r="J219" s="8" t="str">
        <f>IFERROR(INDEX(Материалы!$B$2:$B$9000,MATCH($I219,Материалы!$A$2:$A$9000,0)),"")</f>
        <v/>
      </c>
      <c r="K219" t="str">
        <f>IF($I219="","",IF($F219=IFERROR(INDEX(Материалы!$G$2:$G$9000,MATCH($I219,Материалы!$A$2:$A$9000,0)),""),"OK","!! не та группа"))</f>
        <v/>
      </c>
      <c r="L219" s="10">
        <f>IFERROR(INDEX(Работы!$H$2:$H$6000,MATCH($C219,Работы!$A$2:$A$6000,0))*(1-ДисконтТендер),0)</f>
        <v>9787.5</v>
      </c>
      <c r="M219" s="10">
        <f>IF($I219="",0,IFERROR(INDEX(Материалы!$I$2:$I$9000,MATCH($I219,Материалы!$A$2:$A$9000,0))*IF(INDEX(Материалы!$J$2:$J$9000,MATCH($I219,Материалы!$A$2:$A$9000,0))="USD",КурсUSD,IF(INDEX(Материалы!$J$2:$J$9000,MATCH($I219,Материалы!$A$2:$A$9000,0))="EUR",КурсEUR,1))*INDEX(Материалы!$K$2:$K$9000,MATCH($I219,Материалы!$A$2:$A$9000,0))*(1+IFERROR(INDEX(Работы!$I$2:$I$6000,MATCH($C219,Работы!$A$2:$A$6000,0))/100,0))*(1-ДисконтТендер),0))</f>
        <v>0</v>
      </c>
      <c r="N219" s="10">
        <f t="shared" si="9"/>
        <v>0</v>
      </c>
      <c r="O219" s="10">
        <f t="shared" si="10"/>
        <v>0</v>
      </c>
      <c r="P219" s="10">
        <f t="shared" si="11"/>
        <v>0</v>
      </c>
      <c r="Q219" t="str">
        <f>IFERROR(INDEX(Работы!$J$2:$J$6000,MATCH($C219,Работы!$A$2:$A$6000,0)),"")</f>
        <v>типовая</v>
      </c>
      <c r="R219" t="s">
        <v>92</v>
      </c>
      <c r="T219" t="str">
        <f>IF(AND($P219&gt;0,$R219="да"),MAX($T$1:$T218)+1,"")</f>
        <v/>
      </c>
    </row>
    <row r="220" spans="1:20" ht="28.8" x14ac:dyDescent="0.3">
      <c r="A220" t="str">
        <f>IFERROR(INDEX(Работы!$D$2:$D$6000,MATCH($C220,Работы!$A$2:$A$6000,0)),"")</f>
        <v>Р3</v>
      </c>
      <c r="B220" t="str">
        <f>IFERROR(INDEX(Работы!$F$2:$F$6000,MATCH($C220,Работы!$A$2:$A$6000,0)),"")</f>
        <v>1</v>
      </c>
      <c r="C220" t="str">
        <f>IFERROR(INDEX(Работы!$A$2:$A$6000,219),"")</f>
        <v>РАБ.Р3.1.005</v>
      </c>
      <c r="D220" s="8" t="str">
        <f>IFERROR(INDEX(Работы!$B$2:$B$6000,MATCH($C220,Работы!$A$2:$A$6000,0)),"")</f>
        <v>Усиление проемов металлическим профилем из уголка 50*3</v>
      </c>
      <c r="E220" t="str">
        <f>IFERROR(INDEX(Работы!$C$2:$C$6000,MATCH($C220,Работы!$A$2:$A$6000,0)),"")</f>
        <v>м.п.</v>
      </c>
      <c r="F220">
        <f>IFERROR(INDEX(Работы!$G$2:$G$6000,MATCH($C220,Работы!$A$2:$A$6000,0)),"")</f>
        <v>0</v>
      </c>
      <c r="G220" t="str">
        <f>IFERROR(INDEX(Работы!$K$2:$K$6000,MATCH($C220,Работы!$A$2:$A$6000,0)),"")</f>
        <v>Погонаж</v>
      </c>
      <c r="H220" s="9"/>
      <c r="I220" s="9"/>
      <c r="J220" s="8" t="str">
        <f>IFERROR(INDEX(Материалы!$B$2:$B$9000,MATCH($I220,Материалы!$A$2:$A$9000,0)),"")</f>
        <v/>
      </c>
      <c r="K220" t="str">
        <f>IF($I220="","",IF($F220=IFERROR(INDEX(Материалы!$G$2:$G$9000,MATCH($I220,Материалы!$A$2:$A$9000,0)),""),"OK","!! не та группа"))</f>
        <v/>
      </c>
      <c r="L220" s="10">
        <f>IFERROR(INDEX(Работы!$H$2:$H$6000,MATCH($C220,Работы!$A$2:$A$6000,0))*(1-ДисконтТендер),0)</f>
        <v>1045</v>
      </c>
      <c r="M220" s="10">
        <f>IF($I220="",0,IFERROR(INDEX(Материалы!$I$2:$I$9000,MATCH($I220,Материалы!$A$2:$A$9000,0))*IF(INDEX(Материалы!$J$2:$J$9000,MATCH($I220,Материалы!$A$2:$A$9000,0))="USD",КурсUSD,IF(INDEX(Материалы!$J$2:$J$9000,MATCH($I220,Материалы!$A$2:$A$9000,0))="EUR",КурсEUR,1))*INDEX(Материалы!$K$2:$K$9000,MATCH($I220,Материалы!$A$2:$A$9000,0))*(1+IFERROR(INDEX(Работы!$I$2:$I$6000,MATCH($C220,Работы!$A$2:$A$6000,0))/100,0))*(1-ДисконтТендер),0))</f>
        <v>0</v>
      </c>
      <c r="N220" s="10">
        <f t="shared" si="9"/>
        <v>0</v>
      </c>
      <c r="O220" s="10">
        <f t="shared" si="10"/>
        <v>0</v>
      </c>
      <c r="P220" s="10">
        <f t="shared" si="11"/>
        <v>0</v>
      </c>
      <c r="Q220" t="str">
        <f>IFERROR(INDEX(Работы!$J$2:$J$6000,MATCH($C220,Работы!$A$2:$A$6000,0)),"")</f>
        <v>нетиповая</v>
      </c>
      <c r="R220" t="s">
        <v>92</v>
      </c>
      <c r="T220" t="str">
        <f>IF(AND($P220&gt;0,$R220="да"),MAX($T$1:$T219)+1,"")</f>
        <v/>
      </c>
    </row>
    <row r="221" spans="1:20" ht="28.8" x14ac:dyDescent="0.3">
      <c r="A221" t="str">
        <f>IFERROR(INDEX(Работы!$D$2:$D$6000,MATCH($C221,Работы!$A$2:$A$6000,0)),"")</f>
        <v>Р3</v>
      </c>
      <c r="B221" t="str">
        <f>IFERROR(INDEX(Работы!$F$2:$F$6000,MATCH($C221,Работы!$A$2:$A$6000,0)),"")</f>
        <v>1</v>
      </c>
      <c r="C221" t="str">
        <f>IFERROR(INDEX(Работы!$A$2:$A$6000,220),"")</f>
        <v>РАБ.Р3.1.006</v>
      </c>
      <c r="D221" s="8" t="str">
        <f>IFERROR(INDEX(Работы!$B$2:$B$6000,MATCH($C221,Работы!$A$2:$A$6000,0)),"")</f>
        <v>Усиление проемов металлическим профилем из уголка 100*100*10</v>
      </c>
      <c r="E221" t="str">
        <f>IFERROR(INDEX(Работы!$C$2:$C$6000,MATCH($C221,Работы!$A$2:$A$6000,0)),"")</f>
        <v>м.п.</v>
      </c>
      <c r="F221">
        <f>IFERROR(INDEX(Работы!$G$2:$G$6000,MATCH($C221,Работы!$A$2:$A$6000,0)),"")</f>
        <v>0</v>
      </c>
      <c r="G221" t="str">
        <f>IFERROR(INDEX(Работы!$K$2:$K$6000,MATCH($C221,Работы!$A$2:$A$6000,0)),"")</f>
        <v>Погонаж</v>
      </c>
      <c r="H221" s="9"/>
      <c r="I221" s="9"/>
      <c r="J221" s="8" t="str">
        <f>IFERROR(INDEX(Материалы!$B$2:$B$9000,MATCH($I221,Материалы!$A$2:$A$9000,0)),"")</f>
        <v/>
      </c>
      <c r="K221" t="str">
        <f>IF($I221="","",IF($F221=IFERROR(INDEX(Материалы!$G$2:$G$9000,MATCH($I221,Материалы!$A$2:$A$9000,0)),""),"OK","!! не та группа"))</f>
        <v/>
      </c>
      <c r="L221" s="10">
        <f>IFERROR(INDEX(Работы!$H$2:$H$6000,MATCH($C221,Работы!$A$2:$A$6000,0))*(1-ДисконтТендер),0)</f>
        <v>2090</v>
      </c>
      <c r="M221" s="10">
        <f>IF($I221="",0,IFERROR(INDEX(Материалы!$I$2:$I$9000,MATCH($I221,Материалы!$A$2:$A$9000,0))*IF(INDEX(Материалы!$J$2:$J$9000,MATCH($I221,Материалы!$A$2:$A$9000,0))="USD",КурсUSD,IF(INDEX(Материалы!$J$2:$J$9000,MATCH($I221,Материалы!$A$2:$A$9000,0))="EUR",КурсEUR,1))*INDEX(Материалы!$K$2:$K$9000,MATCH($I221,Материалы!$A$2:$A$9000,0))*(1+IFERROR(INDEX(Работы!$I$2:$I$6000,MATCH($C221,Работы!$A$2:$A$6000,0))/100,0))*(1-ДисконтТендер),0))</f>
        <v>0</v>
      </c>
      <c r="N221" s="10">
        <f t="shared" si="9"/>
        <v>0</v>
      </c>
      <c r="O221" s="10">
        <f t="shared" si="10"/>
        <v>0</v>
      </c>
      <c r="P221" s="10">
        <f t="shared" si="11"/>
        <v>0</v>
      </c>
      <c r="Q221" t="str">
        <f>IFERROR(INDEX(Работы!$J$2:$J$6000,MATCH($C221,Работы!$A$2:$A$6000,0)),"")</f>
        <v>нетиповая</v>
      </c>
      <c r="R221" t="s">
        <v>92</v>
      </c>
      <c r="T221" t="str">
        <f>IF(AND($P221&gt;0,$R221="да"),MAX($T$1:$T220)+1,"")</f>
        <v/>
      </c>
    </row>
    <row r="222" spans="1:20" ht="57.6" x14ac:dyDescent="0.3">
      <c r="A222" t="str">
        <f>IFERROR(INDEX(Работы!$D$2:$D$6000,MATCH($C222,Работы!$A$2:$A$6000,0)),"")</f>
        <v>Р3</v>
      </c>
      <c r="B222" t="str">
        <f>IFERROR(INDEX(Работы!$F$2:$F$6000,MATCH($C222,Работы!$A$2:$A$6000,0)),"")</f>
        <v>1</v>
      </c>
      <c r="C222" t="str">
        <f>IFERROR(INDEX(Работы!$A$2:$A$6000,221),"")</f>
        <v>РАБ.Р3.1.007</v>
      </c>
      <c r="D222" s="8" t="str">
        <f>IFERROR(INDEX(Работы!$B$2:$B$6000,MATCH($C222,Работы!$A$2:$A$6000,0)),"")</f>
        <v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v>
      </c>
      <c r="E222" t="str">
        <f>IFERROR(INDEX(Работы!$C$2:$C$6000,MATCH($C222,Работы!$A$2:$A$6000,0)),"")</f>
        <v>м2</v>
      </c>
      <c r="F222" t="str">
        <f>IFERROR(INDEX(Работы!$G$2:$G$6000,MATCH($C222,Работы!$A$2:$A$6000,0)),"")</f>
        <v>ГКЛ</v>
      </c>
      <c r="G222" t="str">
        <f>IFERROR(INDEX(Работы!$K$2:$K$6000,MATCH($C222,Работы!$A$2:$A$6000,0)),"")</f>
        <v>S_стены</v>
      </c>
      <c r="H222" s="9"/>
      <c r="I222" s="9"/>
      <c r="J222" s="8" t="str">
        <f>IFERROR(INDEX(Материалы!$B$2:$B$9000,MATCH($I222,Материалы!$A$2:$A$9000,0)),"")</f>
        <v/>
      </c>
      <c r="K222" t="str">
        <f>IF($I222="","",IF($F222=IFERROR(INDEX(Материалы!$G$2:$G$9000,MATCH($I222,Материалы!$A$2:$A$9000,0)),""),"OK","!! не та группа"))</f>
        <v/>
      </c>
      <c r="L222" s="10">
        <f>IFERROR(INDEX(Работы!$H$2:$H$6000,MATCH($C222,Работы!$A$2:$A$6000,0))*(1-ДисконтТендер),0)</f>
        <v>1722.6</v>
      </c>
      <c r="M222" s="10">
        <f>IF($I222="",0,IFERROR(INDEX(Материалы!$I$2:$I$9000,MATCH($I222,Материалы!$A$2:$A$9000,0))*IF(INDEX(Материалы!$J$2:$J$9000,MATCH($I222,Материалы!$A$2:$A$9000,0))="USD",КурсUSD,IF(INDEX(Материалы!$J$2:$J$9000,MATCH($I222,Материалы!$A$2:$A$9000,0))="EUR",КурсEUR,1))*INDEX(Материалы!$K$2:$K$9000,MATCH($I222,Материалы!$A$2:$A$9000,0))*(1+IFERROR(INDEX(Работы!$I$2:$I$6000,MATCH($C222,Работы!$A$2:$A$6000,0))/100,0))*(1-ДисконтТендер),0))</f>
        <v>0</v>
      </c>
      <c r="N222" s="10">
        <f t="shared" si="9"/>
        <v>0</v>
      </c>
      <c r="O222" s="10">
        <f t="shared" si="10"/>
        <v>0</v>
      </c>
      <c r="P222" s="10">
        <f t="shared" si="11"/>
        <v>0</v>
      </c>
      <c r="Q222" t="str">
        <f>IFERROR(INDEX(Работы!$J$2:$J$6000,MATCH($C222,Работы!$A$2:$A$6000,0)),"")</f>
        <v>типовая</v>
      </c>
      <c r="R222" t="s">
        <v>92</v>
      </c>
      <c r="T222" t="str">
        <f>IF(AND($P222&gt;0,$R222="да"),MAX($T$1:$T221)+1,"")</f>
        <v/>
      </c>
    </row>
    <row r="223" spans="1:20" ht="57.6" x14ac:dyDescent="0.3">
      <c r="A223" t="str">
        <f>IFERROR(INDEX(Работы!$D$2:$D$6000,MATCH($C223,Работы!$A$2:$A$6000,0)),"")</f>
        <v>Р3</v>
      </c>
      <c r="B223" t="str">
        <f>IFERROR(INDEX(Работы!$F$2:$F$6000,MATCH($C223,Работы!$A$2:$A$6000,0)),"")</f>
        <v>1</v>
      </c>
      <c r="C223" t="str">
        <f>IFERROR(INDEX(Работы!$A$2:$A$6000,222),"")</f>
        <v>РАБ.Р3.1.008</v>
      </c>
      <c r="D223" s="8" t="str">
        <f>IFERROR(INDEX(Работы!$B$2:$B$6000,MATCH($C223,Работы!$A$2:$A$6000,0)),"")</f>
        <v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v>
      </c>
      <c r="E223" t="str">
        <f>IFERROR(INDEX(Работы!$C$2:$C$6000,MATCH($C223,Работы!$A$2:$A$6000,0)),"")</f>
        <v>м2</v>
      </c>
      <c r="F223" t="str">
        <f>IFERROR(INDEX(Работы!$G$2:$G$6000,MATCH($C223,Работы!$A$2:$A$6000,0)),"")</f>
        <v>ГКЛ</v>
      </c>
      <c r="G223" t="str">
        <f>IFERROR(INDEX(Работы!$K$2:$K$6000,MATCH($C223,Работы!$A$2:$A$6000,0)),"")</f>
        <v>S_стены</v>
      </c>
      <c r="H223" s="9"/>
      <c r="I223" s="9"/>
      <c r="J223" s="8" t="str">
        <f>IFERROR(INDEX(Материалы!$B$2:$B$9000,MATCH($I223,Материалы!$A$2:$A$9000,0)),"")</f>
        <v/>
      </c>
      <c r="K223" t="str">
        <f>IF($I223="","",IF($F223=IFERROR(INDEX(Материалы!$G$2:$G$9000,MATCH($I223,Материалы!$A$2:$A$9000,0)),""),"OK","!! не та группа"))</f>
        <v/>
      </c>
      <c r="L223" s="10">
        <f>IFERROR(INDEX(Работы!$H$2:$H$6000,MATCH($C223,Работы!$A$2:$A$6000,0))*(1-ДисконтТендер),0)</f>
        <v>1894.86</v>
      </c>
      <c r="M223" s="10">
        <f>IF($I223="",0,IFERROR(INDEX(Материалы!$I$2:$I$9000,MATCH($I223,Материалы!$A$2:$A$9000,0))*IF(INDEX(Материалы!$J$2:$J$9000,MATCH($I223,Материалы!$A$2:$A$9000,0))="USD",КурсUSD,IF(INDEX(Материалы!$J$2:$J$9000,MATCH($I223,Материалы!$A$2:$A$9000,0))="EUR",КурсEUR,1))*INDEX(Материалы!$K$2:$K$9000,MATCH($I223,Материалы!$A$2:$A$9000,0))*(1+IFERROR(INDEX(Работы!$I$2:$I$6000,MATCH($C223,Работы!$A$2:$A$6000,0))/100,0))*(1-ДисконтТендер),0))</f>
        <v>0</v>
      </c>
      <c r="N223" s="10">
        <f t="shared" si="9"/>
        <v>0</v>
      </c>
      <c r="O223" s="10">
        <f t="shared" si="10"/>
        <v>0</v>
      </c>
      <c r="P223" s="10">
        <f t="shared" si="11"/>
        <v>0</v>
      </c>
      <c r="Q223" t="str">
        <f>IFERROR(INDEX(Работы!$J$2:$J$6000,MATCH($C223,Работы!$A$2:$A$6000,0)),"")</f>
        <v>типовая</v>
      </c>
      <c r="R223" t="s">
        <v>92</v>
      </c>
      <c r="T223" t="str">
        <f>IF(AND($P223&gt;0,$R223="да"),MAX($T$1:$T222)+1,"")</f>
        <v/>
      </c>
    </row>
    <row r="224" spans="1:20" x14ac:dyDescent="0.3">
      <c r="A224" t="str">
        <f>IFERROR(INDEX(Работы!$D$2:$D$6000,MATCH($C224,Работы!$A$2:$A$6000,0)),"")</f>
        <v>Р3</v>
      </c>
      <c r="B224" t="str">
        <f>IFERROR(INDEX(Работы!$F$2:$F$6000,MATCH($C224,Работы!$A$2:$A$6000,0)),"")</f>
        <v>1</v>
      </c>
      <c r="C224" t="str">
        <f>IFERROR(INDEX(Работы!$A$2:$A$6000,223),"")</f>
        <v>РАБ.Р3.1.009</v>
      </c>
      <c r="D224" s="8" t="str">
        <f>IFERROR(INDEX(Работы!$B$2:$B$6000,MATCH($C224,Работы!$A$2:$A$6000,0)),"")</f>
        <v>Устройство перегородки / облицовки из ГКЛ</v>
      </c>
      <c r="E224" t="str">
        <f>IFERROR(INDEX(Работы!$C$2:$C$6000,MATCH($C224,Работы!$A$2:$A$6000,0)),"")</f>
        <v>м2</v>
      </c>
      <c r="F224" t="str">
        <f>IFERROR(INDEX(Работы!$G$2:$G$6000,MATCH($C224,Работы!$A$2:$A$6000,0)),"")</f>
        <v>ГКЛ</v>
      </c>
      <c r="G224" t="str">
        <f>IFERROR(INDEX(Работы!$K$2:$K$6000,MATCH($C224,Работы!$A$2:$A$6000,0)),"")</f>
        <v>S_стены</v>
      </c>
      <c r="H224" s="9"/>
      <c r="I224" s="9"/>
      <c r="J224" s="8" t="str">
        <f>IFERROR(INDEX(Материалы!$B$2:$B$9000,MATCH($I224,Материалы!$A$2:$A$9000,0)),"")</f>
        <v/>
      </c>
      <c r="K224" t="str">
        <f>IF($I224="","",IF($F224=IFERROR(INDEX(Материалы!$G$2:$G$9000,MATCH($I224,Материалы!$A$2:$A$9000,0)),""),"OK","!! не та группа"))</f>
        <v/>
      </c>
      <c r="L224" s="10">
        <f>IFERROR(INDEX(Работы!$H$2:$H$6000,MATCH($C224,Работы!$A$2:$A$6000,0))*(1-ДисконтТендер),0)</f>
        <v>1305.22</v>
      </c>
      <c r="M224" s="10">
        <f>IF($I224="",0,IFERROR(INDEX(Материалы!$I$2:$I$9000,MATCH($I224,Материалы!$A$2:$A$9000,0))*IF(INDEX(Материалы!$J$2:$J$9000,MATCH($I224,Материалы!$A$2:$A$9000,0))="USD",КурсUSD,IF(INDEX(Материалы!$J$2:$J$9000,MATCH($I224,Материалы!$A$2:$A$9000,0))="EUR",КурсEUR,1))*INDEX(Материалы!$K$2:$K$9000,MATCH($I224,Материалы!$A$2:$A$9000,0))*(1+IFERROR(INDEX(Работы!$I$2:$I$6000,MATCH($C224,Работы!$A$2:$A$6000,0))/100,0))*(1-ДисконтТендер),0))</f>
        <v>0</v>
      </c>
      <c r="N224" s="10">
        <f t="shared" si="9"/>
        <v>0</v>
      </c>
      <c r="O224" s="10">
        <f t="shared" si="10"/>
        <v>0</v>
      </c>
      <c r="P224" s="10">
        <f t="shared" si="11"/>
        <v>0</v>
      </c>
      <c r="Q224" t="str">
        <f>IFERROR(INDEX(Работы!$J$2:$J$6000,MATCH($C224,Работы!$A$2:$A$6000,0)),"")</f>
        <v>типовая</v>
      </c>
      <c r="R224" t="s">
        <v>92</v>
      </c>
      <c r="T224" t="str">
        <f>IF(AND($P224&gt;0,$R224="да"),MAX($T$1:$T223)+1,"")</f>
        <v/>
      </c>
    </row>
    <row r="225" spans="1:20" x14ac:dyDescent="0.3">
      <c r="A225" t="str">
        <f>IFERROR(INDEX(Работы!$D$2:$D$6000,MATCH($C225,Работы!$A$2:$A$6000,0)),"")</f>
        <v>Р3</v>
      </c>
      <c r="B225" t="str">
        <f>IFERROR(INDEX(Работы!$F$2:$F$6000,MATCH($C225,Работы!$A$2:$A$6000,0)),"")</f>
        <v>1</v>
      </c>
      <c r="C225" t="str">
        <f>IFERROR(INDEX(Работы!$A$2:$A$6000,224),"")</f>
        <v>РАБ.Р3.1.010</v>
      </c>
      <c r="D225" s="8" t="str">
        <f>IFERROR(INDEX(Работы!$B$2:$B$6000,MATCH($C225,Работы!$A$2:$A$6000,0)),"")</f>
        <v>Устройство перегородки / облицовки из ГКЛ</v>
      </c>
      <c r="E225" t="str">
        <f>IFERROR(INDEX(Работы!$C$2:$C$6000,MATCH($C225,Работы!$A$2:$A$6000,0)),"")</f>
        <v>м2</v>
      </c>
      <c r="F225" t="str">
        <f>IFERROR(INDEX(Работы!$G$2:$G$6000,MATCH($C225,Работы!$A$2:$A$6000,0)),"")</f>
        <v>ГКЛ</v>
      </c>
      <c r="G225" t="str">
        <f>IFERROR(INDEX(Работы!$K$2:$K$6000,MATCH($C225,Работы!$A$2:$A$6000,0)),"")</f>
        <v>S_стены</v>
      </c>
      <c r="H225" s="9"/>
      <c r="I225" s="9"/>
      <c r="J225" s="8" t="str">
        <f>IFERROR(INDEX(Материалы!$B$2:$B$9000,MATCH($I225,Материалы!$A$2:$A$9000,0)),"")</f>
        <v/>
      </c>
      <c r="K225" t="str">
        <f>IF($I225="","",IF($F225=IFERROR(INDEX(Материалы!$G$2:$G$9000,MATCH($I225,Материалы!$A$2:$A$9000,0)),""),"OK","!! не та группа"))</f>
        <v/>
      </c>
      <c r="L225" s="10">
        <f>IFERROR(INDEX(Работы!$H$2:$H$6000,MATCH($C225,Работы!$A$2:$A$6000,0))*(1-ДисконтТендер),0)</f>
        <v>1515.98</v>
      </c>
      <c r="M225" s="10">
        <f>IF($I225="",0,IFERROR(INDEX(Материалы!$I$2:$I$9000,MATCH($I225,Материалы!$A$2:$A$9000,0))*IF(INDEX(Материалы!$J$2:$J$9000,MATCH($I225,Материалы!$A$2:$A$9000,0))="USD",КурсUSD,IF(INDEX(Материалы!$J$2:$J$9000,MATCH($I225,Материалы!$A$2:$A$9000,0))="EUR",КурсEUR,1))*INDEX(Материалы!$K$2:$K$9000,MATCH($I225,Материалы!$A$2:$A$9000,0))*(1+IFERROR(INDEX(Работы!$I$2:$I$6000,MATCH($C225,Работы!$A$2:$A$6000,0))/100,0))*(1-ДисконтТендер),0))</f>
        <v>0</v>
      </c>
      <c r="N225" s="10">
        <f t="shared" si="9"/>
        <v>0</v>
      </c>
      <c r="O225" s="10">
        <f t="shared" si="10"/>
        <v>0</v>
      </c>
      <c r="P225" s="10">
        <f t="shared" si="11"/>
        <v>0</v>
      </c>
      <c r="Q225" t="str">
        <f>IFERROR(INDEX(Работы!$J$2:$J$6000,MATCH($C225,Работы!$A$2:$A$6000,0)),"")</f>
        <v>типовая</v>
      </c>
      <c r="R225" t="s">
        <v>92</v>
      </c>
      <c r="T225" t="str">
        <f>IF(AND($P225&gt;0,$R225="да"),MAX($T$1:$T224)+1,"")</f>
        <v/>
      </c>
    </row>
    <row r="226" spans="1:20" ht="43.2" x14ac:dyDescent="0.3">
      <c r="A226" t="str">
        <f>IFERROR(INDEX(Работы!$D$2:$D$6000,MATCH($C226,Работы!$A$2:$A$6000,0)),"")</f>
        <v>Р3</v>
      </c>
      <c r="B226" t="str">
        <f>IFERROR(INDEX(Работы!$F$2:$F$6000,MATCH($C226,Работы!$A$2:$A$6000,0)),"")</f>
        <v>1</v>
      </c>
      <c r="C226" t="str">
        <f>IFERROR(INDEX(Работы!$A$2:$A$6000,225),"")</f>
        <v>РАБ.Р3.1.011</v>
      </c>
      <c r="D226" s="8" t="str">
        <f>IFERROR(INDEX(Работы!$B$2:$B$6000,MATCH($C226,Работы!$A$2:$A$6000,0)),"")</f>
        <v>Облицовка стен гипсокартонными листами (ГКЛ) "Кнауф" в один слой на клее (включая перфорированные уголки на внешние углы)</v>
      </c>
      <c r="E226" t="str">
        <f>IFERROR(INDEX(Работы!$C$2:$C$6000,MATCH($C226,Работы!$A$2:$A$6000,0)),"")</f>
        <v>м2</v>
      </c>
      <c r="F226" t="str">
        <f>IFERROR(INDEX(Работы!$G$2:$G$6000,MATCH($C226,Работы!$A$2:$A$6000,0)),"")</f>
        <v>ГКЛ</v>
      </c>
      <c r="G226" t="str">
        <f>IFERROR(INDEX(Работы!$K$2:$K$6000,MATCH($C226,Работы!$A$2:$A$6000,0)),"")</f>
        <v>S_стены</v>
      </c>
      <c r="H226" s="9"/>
      <c r="I226" s="9"/>
      <c r="J226" s="8" t="str">
        <f>IFERROR(INDEX(Материалы!$B$2:$B$9000,MATCH($I226,Материалы!$A$2:$A$9000,0)),"")</f>
        <v/>
      </c>
      <c r="K226" t="str">
        <f>IF($I226="","",IF($F226=IFERROR(INDEX(Материалы!$G$2:$G$9000,MATCH($I226,Материалы!$A$2:$A$9000,0)),""),"OK","!! не та группа"))</f>
        <v/>
      </c>
      <c r="L226" s="10">
        <f>IFERROR(INDEX(Работы!$H$2:$H$6000,MATCH($C226,Работы!$A$2:$A$6000,0))*(1-ДисконтТендер),0)</f>
        <v>1357.2</v>
      </c>
      <c r="M226" s="10">
        <f>IF($I226="",0,IFERROR(INDEX(Материалы!$I$2:$I$9000,MATCH($I226,Материалы!$A$2:$A$9000,0))*IF(INDEX(Материалы!$J$2:$J$9000,MATCH($I226,Материалы!$A$2:$A$9000,0))="USD",КурсUSD,IF(INDEX(Материалы!$J$2:$J$9000,MATCH($I226,Материалы!$A$2:$A$9000,0))="EUR",КурсEUR,1))*INDEX(Материалы!$K$2:$K$9000,MATCH($I226,Материалы!$A$2:$A$9000,0))*(1+IFERROR(INDEX(Работы!$I$2:$I$6000,MATCH($C226,Работы!$A$2:$A$6000,0))/100,0))*(1-ДисконтТендер),0))</f>
        <v>0</v>
      </c>
      <c r="N226" s="10">
        <f t="shared" si="9"/>
        <v>0</v>
      </c>
      <c r="O226" s="10">
        <f t="shared" si="10"/>
        <v>0</v>
      </c>
      <c r="P226" s="10">
        <f t="shared" si="11"/>
        <v>0</v>
      </c>
      <c r="Q226" t="str">
        <f>IFERROR(INDEX(Работы!$J$2:$J$6000,MATCH($C226,Работы!$A$2:$A$6000,0)),"")</f>
        <v>типовая</v>
      </c>
      <c r="R226" t="s">
        <v>92</v>
      </c>
      <c r="T226" t="str">
        <f>IF(AND($P226&gt;0,$R226="да"),MAX($T$1:$T225)+1,"")</f>
        <v/>
      </c>
    </row>
    <row r="227" spans="1:20" x14ac:dyDescent="0.3">
      <c r="A227" t="str">
        <f>IFERROR(INDEX(Работы!$D$2:$D$6000,MATCH($C227,Работы!$A$2:$A$6000,0)),"")</f>
        <v>Р3</v>
      </c>
      <c r="B227" t="str">
        <f>IFERROR(INDEX(Работы!$F$2:$F$6000,MATCH($C227,Работы!$A$2:$A$6000,0)),"")</f>
        <v>1</v>
      </c>
      <c r="C227" t="str">
        <f>IFERROR(INDEX(Работы!$A$2:$A$6000,226),"")</f>
        <v>РАБ.Р3.1.012</v>
      </c>
      <c r="D227" s="8" t="str">
        <f>IFERROR(INDEX(Работы!$B$2:$B$6000,MATCH($C227,Работы!$A$2:$A$6000,0)),"")</f>
        <v>Устройство оконных откосов из ГКЛВ толщ. 12 мм.</v>
      </c>
      <c r="E227" t="str">
        <f>IFERROR(INDEX(Работы!$C$2:$C$6000,MATCH($C227,Работы!$A$2:$A$6000,0)),"")</f>
        <v>м2</v>
      </c>
      <c r="F227" t="str">
        <f>IFERROR(INDEX(Работы!$G$2:$G$6000,MATCH($C227,Работы!$A$2:$A$6000,0)),"")</f>
        <v>ГКЛ</v>
      </c>
      <c r="G227" t="str">
        <f>IFERROR(INDEX(Работы!$K$2:$K$6000,MATCH($C227,Работы!$A$2:$A$6000,0)),"")</f>
        <v>S_стены</v>
      </c>
      <c r="H227" s="9"/>
      <c r="I227" s="9"/>
      <c r="J227" s="8" t="str">
        <f>IFERROR(INDEX(Материалы!$B$2:$B$9000,MATCH($I227,Материалы!$A$2:$A$9000,0)),"")</f>
        <v/>
      </c>
      <c r="K227" t="str">
        <f>IF($I227="","",IF($F227=IFERROR(INDEX(Материалы!$G$2:$G$9000,MATCH($I227,Материалы!$A$2:$A$9000,0)),""),"OK","!! не та группа"))</f>
        <v/>
      </c>
      <c r="L227" s="10">
        <f>IFERROR(INDEX(Работы!$H$2:$H$6000,MATCH($C227,Работы!$A$2:$A$6000,0))*(1-ДисконтТендер),0)</f>
        <v>1305</v>
      </c>
      <c r="M227" s="10">
        <f>IF($I227="",0,IFERROR(INDEX(Материалы!$I$2:$I$9000,MATCH($I227,Материалы!$A$2:$A$9000,0))*IF(INDEX(Материалы!$J$2:$J$9000,MATCH($I227,Материалы!$A$2:$A$9000,0))="USD",КурсUSD,IF(INDEX(Материалы!$J$2:$J$9000,MATCH($I227,Материалы!$A$2:$A$9000,0))="EUR",КурсEUR,1))*INDEX(Материалы!$K$2:$K$9000,MATCH($I227,Материалы!$A$2:$A$9000,0))*(1+IFERROR(INDEX(Работы!$I$2:$I$6000,MATCH($C227,Работы!$A$2:$A$6000,0))/100,0))*(1-ДисконтТендер),0))</f>
        <v>0</v>
      </c>
      <c r="N227" s="10">
        <f t="shared" si="9"/>
        <v>0</v>
      </c>
      <c r="O227" s="10">
        <f t="shared" si="10"/>
        <v>0</v>
      </c>
      <c r="P227" s="10">
        <f t="shared" si="11"/>
        <v>0</v>
      </c>
      <c r="Q227" t="str">
        <f>IFERROR(INDEX(Работы!$J$2:$J$6000,MATCH($C227,Работы!$A$2:$A$6000,0)),"")</f>
        <v>типовая</v>
      </c>
      <c r="R227" t="s">
        <v>92</v>
      </c>
      <c r="T227" t="str">
        <f>IF(AND($P227&gt;0,$R227="да"),MAX($T$1:$T226)+1,"")</f>
        <v/>
      </c>
    </row>
    <row r="228" spans="1:20" ht="28.8" x14ac:dyDescent="0.3">
      <c r="A228" t="str">
        <f>IFERROR(INDEX(Работы!$D$2:$D$6000,MATCH($C228,Работы!$A$2:$A$6000,0)),"")</f>
        <v>Р3</v>
      </c>
      <c r="B228" t="str">
        <f>IFERROR(INDEX(Работы!$F$2:$F$6000,MATCH($C228,Работы!$A$2:$A$6000,0)),"")</f>
        <v>1</v>
      </c>
      <c r="C228" t="str">
        <f>IFERROR(INDEX(Работы!$A$2:$A$6000,227),"")</f>
        <v>РАБ.Р3.1.013</v>
      </c>
      <c r="D228" s="8" t="str">
        <f>IFERROR(INDEX(Работы!$B$2:$B$6000,MATCH($C228,Работы!$A$2:$A$6000,0)),"")</f>
        <v>Тепло- и звукоизоляция стен из минеральных материалов</v>
      </c>
      <c r="E228" t="str">
        <f>IFERROR(INDEX(Работы!$C$2:$C$6000,MATCH($C228,Работы!$A$2:$A$6000,0)),"")</f>
        <v>м2</v>
      </c>
      <c r="F228" t="str">
        <f>IFERROR(INDEX(Работы!$G$2:$G$6000,MATCH($C228,Работы!$A$2:$A$6000,0)),"")</f>
        <v>ИЗОЛ</v>
      </c>
      <c r="G228" t="str">
        <f>IFERROR(INDEX(Работы!$K$2:$K$6000,MATCH($C228,Работы!$A$2:$A$6000,0)),"")</f>
        <v>S_поверхность</v>
      </c>
      <c r="H228" s="9"/>
      <c r="I228" s="9"/>
      <c r="J228" s="8" t="str">
        <f>IFERROR(INDEX(Материалы!$B$2:$B$9000,MATCH($I228,Материалы!$A$2:$A$9000,0)),"")</f>
        <v/>
      </c>
      <c r="K228" t="str">
        <f>IF($I228="","",IF($F228=IFERROR(INDEX(Материалы!$G$2:$G$9000,MATCH($I228,Материалы!$A$2:$A$9000,0)),""),"OK","!! не та группа"))</f>
        <v/>
      </c>
      <c r="L228" s="10">
        <f>IFERROR(INDEX(Работы!$H$2:$H$6000,MATCH($C228,Работы!$A$2:$A$6000,0))*(1-ДисконтТендер),0)</f>
        <v>106.14</v>
      </c>
      <c r="M228" s="10">
        <f>IF($I228="",0,IFERROR(INDEX(Материалы!$I$2:$I$9000,MATCH($I228,Материалы!$A$2:$A$9000,0))*IF(INDEX(Материалы!$J$2:$J$9000,MATCH($I228,Материалы!$A$2:$A$9000,0))="USD",КурсUSD,IF(INDEX(Материалы!$J$2:$J$9000,MATCH($I228,Материалы!$A$2:$A$9000,0))="EUR",КурсEUR,1))*INDEX(Материалы!$K$2:$K$9000,MATCH($I228,Материалы!$A$2:$A$9000,0))*(1+IFERROR(INDEX(Работы!$I$2:$I$6000,MATCH($C228,Работы!$A$2:$A$6000,0))/100,0))*(1-ДисконтТендер),0))</f>
        <v>0</v>
      </c>
      <c r="N228" s="10">
        <f t="shared" si="9"/>
        <v>0</v>
      </c>
      <c r="O228" s="10">
        <f t="shared" si="10"/>
        <v>0</v>
      </c>
      <c r="P228" s="10">
        <f t="shared" si="11"/>
        <v>0</v>
      </c>
      <c r="Q228" t="str">
        <f>IFERROR(INDEX(Работы!$J$2:$J$6000,MATCH($C228,Работы!$A$2:$A$6000,0)),"")</f>
        <v>типовая</v>
      </c>
      <c r="R228" t="s">
        <v>92</v>
      </c>
      <c r="T228" t="str">
        <f>IF(AND($P228&gt;0,$R228="да"),MAX($T$1:$T227)+1,"")</f>
        <v/>
      </c>
    </row>
    <row r="229" spans="1:20" x14ac:dyDescent="0.3">
      <c r="A229" t="str">
        <f>IFERROR(INDEX(Работы!$D$2:$D$6000,MATCH($C229,Работы!$A$2:$A$6000,0)),"")</f>
        <v>Р3</v>
      </c>
      <c r="B229" t="str">
        <f>IFERROR(INDEX(Работы!$F$2:$F$6000,MATCH($C229,Работы!$A$2:$A$6000,0)),"")</f>
        <v>1</v>
      </c>
      <c r="C229" t="str">
        <f>IFERROR(INDEX(Работы!$A$2:$A$6000,228),"")</f>
        <v>РАБ.Р3.1.014</v>
      </c>
      <c r="D229" s="8" t="str">
        <f>IFERROR(INDEX(Работы!$B$2:$B$6000,MATCH($C229,Работы!$A$2:$A$6000,0)),"")</f>
        <v>Штукатурка стен</v>
      </c>
      <c r="E229" t="str">
        <f>IFERROR(INDEX(Работы!$C$2:$C$6000,MATCH($C229,Работы!$A$2:$A$6000,0)),"")</f>
        <v>м2</v>
      </c>
      <c r="F229">
        <f>IFERROR(INDEX(Работы!$G$2:$G$6000,MATCH($C229,Работы!$A$2:$A$6000,0)),"")</f>
        <v>0</v>
      </c>
      <c r="G229" t="str">
        <f>IFERROR(INDEX(Работы!$K$2:$K$6000,MATCH($C229,Работы!$A$2:$A$6000,0)),"")</f>
        <v>S_поверхность</v>
      </c>
      <c r="H229" s="9"/>
      <c r="I229" s="9"/>
      <c r="J229" s="8" t="str">
        <f>IFERROR(INDEX(Материалы!$B$2:$B$9000,MATCH($I229,Материалы!$A$2:$A$9000,0)),"")</f>
        <v/>
      </c>
      <c r="K229" t="str">
        <f>IF($I229="","",IF($F229=IFERROR(INDEX(Материалы!$G$2:$G$9000,MATCH($I229,Материалы!$A$2:$A$9000,0)),""),"OK","!! не та группа"))</f>
        <v/>
      </c>
      <c r="L229" s="10">
        <f>IFERROR(INDEX(Работы!$H$2:$H$6000,MATCH($C229,Работы!$A$2:$A$6000,0))*(1-ДисконтТендер),0)</f>
        <v>977.08</v>
      </c>
      <c r="M229" s="10">
        <f>IF($I229="",0,IFERROR(INDEX(Материалы!$I$2:$I$9000,MATCH($I229,Материалы!$A$2:$A$9000,0))*IF(INDEX(Материалы!$J$2:$J$9000,MATCH($I229,Материалы!$A$2:$A$9000,0))="USD",КурсUSD,IF(INDEX(Материалы!$J$2:$J$9000,MATCH($I229,Материалы!$A$2:$A$9000,0))="EUR",КурсEUR,1))*INDEX(Материалы!$K$2:$K$9000,MATCH($I229,Материалы!$A$2:$A$9000,0))*(1+IFERROR(INDEX(Работы!$I$2:$I$6000,MATCH($C229,Работы!$A$2:$A$6000,0))/100,0))*(1-ДисконтТендер),0))</f>
        <v>0</v>
      </c>
      <c r="N229" s="10">
        <f t="shared" si="9"/>
        <v>0</v>
      </c>
      <c r="O229" s="10">
        <f t="shared" si="10"/>
        <v>0</v>
      </c>
      <c r="P229" s="10">
        <f t="shared" si="11"/>
        <v>0</v>
      </c>
      <c r="Q229" t="str">
        <f>IFERROR(INDEX(Работы!$J$2:$J$6000,MATCH($C229,Работы!$A$2:$A$6000,0)),"")</f>
        <v>типовая</v>
      </c>
      <c r="R229" t="s">
        <v>92</v>
      </c>
      <c r="T229" t="str">
        <f>IF(AND($P229&gt;0,$R229="да"),MAX($T$1:$T228)+1,"")</f>
        <v/>
      </c>
    </row>
    <row r="230" spans="1:20" x14ac:dyDescent="0.3">
      <c r="A230" t="str">
        <f>IFERROR(INDEX(Работы!$D$2:$D$6000,MATCH($C230,Работы!$A$2:$A$6000,0)),"")</f>
        <v>Р3</v>
      </c>
      <c r="B230" t="str">
        <f>IFERROR(INDEX(Работы!$F$2:$F$6000,MATCH($C230,Работы!$A$2:$A$6000,0)),"")</f>
        <v>1</v>
      </c>
      <c r="C230" t="str">
        <f>IFERROR(INDEX(Работы!$A$2:$A$6000,229),"")</f>
        <v>РАБ.Р3.1.015</v>
      </c>
      <c r="D230" s="8" t="str">
        <f>IFERROR(INDEX(Работы!$B$2:$B$6000,MATCH($C230,Работы!$A$2:$A$6000,0)),"")</f>
        <v>Устройство штроб в кирпичных стенах</v>
      </c>
      <c r="E230" t="str">
        <f>IFERROR(INDEX(Работы!$C$2:$C$6000,MATCH($C230,Работы!$A$2:$A$6000,0)),"")</f>
        <v>м.п.</v>
      </c>
      <c r="F230" t="str">
        <f>IFERROR(INDEX(Работы!$G$2:$G$6000,MATCH($C230,Работы!$A$2:$A$6000,0)),"")</f>
        <v>КЛАДКА</v>
      </c>
      <c r="G230" t="str">
        <f>IFERROR(INDEX(Работы!$K$2:$K$6000,MATCH($C230,Работы!$A$2:$A$6000,0)),"")</f>
        <v>S_стены</v>
      </c>
      <c r="H230" s="9"/>
      <c r="I230" s="9"/>
      <c r="J230" s="8" t="str">
        <f>IFERROR(INDEX(Материалы!$B$2:$B$9000,MATCH($I230,Материалы!$A$2:$A$9000,0)),"")</f>
        <v/>
      </c>
      <c r="K230" t="str">
        <f>IF($I230="","",IF($F230=IFERROR(INDEX(Материалы!$G$2:$G$9000,MATCH($I230,Материалы!$A$2:$A$9000,0)),""),"OK","!! не та группа"))</f>
        <v/>
      </c>
      <c r="L230" s="10">
        <f>IFERROR(INDEX(Работы!$H$2:$H$6000,MATCH($C230,Работы!$A$2:$A$6000,0))*(1-ДисконтТендер),0)</f>
        <v>616.1</v>
      </c>
      <c r="M230" s="10">
        <f>IF($I230="",0,IFERROR(INDEX(Материалы!$I$2:$I$9000,MATCH($I230,Материалы!$A$2:$A$9000,0))*IF(INDEX(Материалы!$J$2:$J$9000,MATCH($I230,Материалы!$A$2:$A$9000,0))="USD",КурсUSD,IF(INDEX(Материалы!$J$2:$J$9000,MATCH($I230,Материалы!$A$2:$A$9000,0))="EUR",КурсEUR,1))*INDEX(Материалы!$K$2:$K$9000,MATCH($I230,Материалы!$A$2:$A$9000,0))*(1+IFERROR(INDEX(Работы!$I$2:$I$6000,MATCH($C230,Работы!$A$2:$A$6000,0))/100,0))*(1-ДисконтТендер),0))</f>
        <v>0</v>
      </c>
      <c r="N230" s="10">
        <f t="shared" si="9"/>
        <v>0</v>
      </c>
      <c r="O230" s="10">
        <f t="shared" si="10"/>
        <v>0</v>
      </c>
      <c r="P230" s="10">
        <f t="shared" si="11"/>
        <v>0</v>
      </c>
      <c r="Q230" t="str">
        <f>IFERROR(INDEX(Работы!$J$2:$J$6000,MATCH($C230,Работы!$A$2:$A$6000,0)),"")</f>
        <v>типовая</v>
      </c>
      <c r="R230" t="s">
        <v>92</v>
      </c>
      <c r="T230" t="str">
        <f>IF(AND($P230&gt;0,$R230="да"),MAX($T$1:$T229)+1,"")</f>
        <v/>
      </c>
    </row>
    <row r="231" spans="1:20" ht="43.2" x14ac:dyDescent="0.3">
      <c r="A231" t="str">
        <f>IFERROR(INDEX(Работы!$D$2:$D$6000,MATCH($C231,Работы!$A$2:$A$6000,0)),"")</f>
        <v>Р3</v>
      </c>
      <c r="B231" t="str">
        <f>IFERROR(INDEX(Работы!$F$2:$F$6000,MATCH($C231,Работы!$A$2:$A$6000,0)),"")</f>
        <v>1</v>
      </c>
      <c r="C231" t="str">
        <f>IFERROR(INDEX(Работы!$A$2:$A$6000,230),"")</f>
        <v>РАБ.Р3.1.016</v>
      </c>
      <c r="D231" s="8" t="str">
        <f>IFERROR(INDEX(Работы!$B$2:$B$6000,MATCH($C231,Работы!$A$2:$A$6000,0)),"")</f>
        <v>Устройство штроб в конструкциях газосиликатных, керамзитобетонных, шлакобетонных, пенобетонных.</v>
      </c>
      <c r="E231" t="str">
        <f>IFERROR(INDEX(Работы!$C$2:$C$6000,MATCH($C231,Работы!$A$2:$A$6000,0)),"")</f>
        <v>м.п.</v>
      </c>
      <c r="F231">
        <f>IFERROR(INDEX(Работы!$G$2:$G$6000,MATCH($C231,Работы!$A$2:$A$6000,0)),"")</f>
        <v>0</v>
      </c>
      <c r="G231" t="str">
        <f>IFERROR(INDEX(Работы!$K$2:$K$6000,MATCH($C231,Работы!$A$2:$A$6000,0)),"")</f>
        <v>Погонаж</v>
      </c>
      <c r="H231" s="9"/>
      <c r="I231" s="9"/>
      <c r="J231" s="8" t="str">
        <f>IFERROR(INDEX(Материалы!$B$2:$B$9000,MATCH($I231,Материалы!$A$2:$A$9000,0)),"")</f>
        <v/>
      </c>
      <c r="K231" t="str">
        <f>IF($I231="","",IF($F231=IFERROR(INDEX(Материалы!$G$2:$G$9000,MATCH($I231,Материалы!$A$2:$A$9000,0)),""),"OK","!! не та группа"))</f>
        <v/>
      </c>
      <c r="L231" s="10">
        <f>IFERROR(INDEX(Работы!$H$2:$H$6000,MATCH($C231,Работы!$A$2:$A$6000,0))*(1-ДисконтТендер),0)</f>
        <v>585.20000000000005</v>
      </c>
      <c r="M231" s="10">
        <f>IF($I231="",0,IFERROR(INDEX(Материалы!$I$2:$I$9000,MATCH($I231,Материалы!$A$2:$A$9000,0))*IF(INDEX(Материалы!$J$2:$J$9000,MATCH($I231,Материалы!$A$2:$A$9000,0))="USD",КурсUSD,IF(INDEX(Материалы!$J$2:$J$9000,MATCH($I231,Материалы!$A$2:$A$9000,0))="EUR",КурсEUR,1))*INDEX(Материалы!$K$2:$K$9000,MATCH($I231,Материалы!$A$2:$A$9000,0))*(1+IFERROR(INDEX(Работы!$I$2:$I$6000,MATCH($C231,Работы!$A$2:$A$6000,0))/100,0))*(1-ДисконтТендер),0))</f>
        <v>0</v>
      </c>
      <c r="N231" s="10">
        <f t="shared" si="9"/>
        <v>0</v>
      </c>
      <c r="O231" s="10">
        <f t="shared" si="10"/>
        <v>0</v>
      </c>
      <c r="P231" s="10">
        <f t="shared" si="11"/>
        <v>0</v>
      </c>
      <c r="Q231" t="str">
        <f>IFERROR(INDEX(Работы!$J$2:$J$6000,MATCH($C231,Работы!$A$2:$A$6000,0)),"")</f>
        <v>типовая</v>
      </c>
      <c r="R231" t="s">
        <v>92</v>
      </c>
      <c r="T231" t="str">
        <f>IF(AND($P231&gt;0,$R231="да"),MAX($T$1:$T230)+1,"")</f>
        <v/>
      </c>
    </row>
    <row r="232" spans="1:20" ht="43.2" x14ac:dyDescent="0.3">
      <c r="A232" t="str">
        <f>IFERROR(INDEX(Работы!$D$2:$D$6000,MATCH($C232,Работы!$A$2:$A$6000,0)),"")</f>
        <v>Р3</v>
      </c>
      <c r="B232" t="str">
        <f>IFERROR(INDEX(Работы!$F$2:$F$6000,MATCH($C232,Работы!$A$2:$A$6000,0)),"")</f>
        <v>1</v>
      </c>
      <c r="C232" t="str">
        <f>IFERROR(INDEX(Работы!$A$2:$A$6000,231),"")</f>
        <v>РАБ.Р3.1.017</v>
      </c>
      <c r="D232" s="8" t="str">
        <f>IFERROR(INDEX(Работы!$B$2:$B$6000,MATCH($C232,Работы!$A$2:$A$6000,0)),"")</f>
        <v>Пробивка отверстий в кирпичных стенах фасада, внутренних перегородках под прокладку труб ОВиК, электролотков,</v>
      </c>
      <c r="E232" t="str">
        <f>IFERROR(INDEX(Работы!$C$2:$C$6000,MATCH($C232,Работы!$A$2:$A$6000,0)),"")</f>
        <v>м3</v>
      </c>
      <c r="F232" t="str">
        <f>IFERROR(INDEX(Работы!$G$2:$G$6000,MATCH($C232,Работы!$A$2:$A$6000,0)),"")</f>
        <v>КЛАДКА</v>
      </c>
      <c r="G232" t="str">
        <f>IFERROR(INDEX(Работы!$K$2:$K$6000,MATCH($C232,Работы!$A$2:$A$6000,0)),"")</f>
        <v>S_фасад</v>
      </c>
      <c r="H232" s="9"/>
      <c r="I232" s="9"/>
      <c r="J232" s="8" t="str">
        <f>IFERROR(INDEX(Материалы!$B$2:$B$9000,MATCH($I232,Материалы!$A$2:$A$9000,0)),"")</f>
        <v/>
      </c>
      <c r="K232" t="str">
        <f>IF($I232="","",IF($F232=IFERROR(INDEX(Материалы!$G$2:$G$9000,MATCH($I232,Материалы!$A$2:$A$9000,0)),""),"OK","!! не та группа"))</f>
        <v/>
      </c>
      <c r="L232" s="10">
        <f>IFERROR(INDEX(Работы!$H$2:$H$6000,MATCH($C232,Работы!$A$2:$A$6000,0))*(1-ДисконтТендер),0)</f>
        <v>25414.48</v>
      </c>
      <c r="M232" s="10">
        <f>IF($I232="",0,IFERROR(INDEX(Материалы!$I$2:$I$9000,MATCH($I232,Материалы!$A$2:$A$9000,0))*IF(INDEX(Материалы!$J$2:$J$9000,MATCH($I232,Материалы!$A$2:$A$9000,0))="USD",КурсUSD,IF(INDEX(Материалы!$J$2:$J$9000,MATCH($I232,Материалы!$A$2:$A$9000,0))="EUR",КурсEUR,1))*INDEX(Материалы!$K$2:$K$9000,MATCH($I232,Материалы!$A$2:$A$9000,0))*(1+IFERROR(INDEX(Работы!$I$2:$I$6000,MATCH($C232,Работы!$A$2:$A$6000,0))/100,0))*(1-ДисконтТендер),0))</f>
        <v>0</v>
      </c>
      <c r="N232" s="10">
        <f t="shared" si="9"/>
        <v>0</v>
      </c>
      <c r="O232" s="10">
        <f t="shared" si="10"/>
        <v>0</v>
      </c>
      <c r="P232" s="10">
        <f t="shared" si="11"/>
        <v>0</v>
      </c>
      <c r="Q232" t="str">
        <f>IFERROR(INDEX(Работы!$J$2:$J$6000,MATCH($C232,Работы!$A$2:$A$6000,0)),"")</f>
        <v>нетиповая</v>
      </c>
      <c r="R232" t="s">
        <v>92</v>
      </c>
      <c r="T232" t="str">
        <f>IF(AND($P232&gt;0,$R232="да"),MAX($T$1:$T231)+1,"")</f>
        <v/>
      </c>
    </row>
    <row r="233" spans="1:20" ht="43.2" x14ac:dyDescent="0.3">
      <c r="A233" t="str">
        <f>IFERROR(INDEX(Работы!$D$2:$D$6000,MATCH($C233,Работы!$A$2:$A$6000,0)),"")</f>
        <v>Р3</v>
      </c>
      <c r="B233" t="str">
        <f>IFERROR(INDEX(Работы!$F$2:$F$6000,MATCH($C233,Работы!$A$2:$A$6000,0)),"")</f>
        <v>1</v>
      </c>
      <c r="C233" t="str">
        <f>IFERROR(INDEX(Работы!$A$2:$A$6000,232),"")</f>
        <v>РАБ.Р3.1.018</v>
      </c>
      <c r="D233" s="8" t="str">
        <f>IFERROR(INDEX(Работы!$B$2:$B$6000,MATCH($C233,Работы!$A$2:$A$6000,0)),"")</f>
        <v>Пробивка отверстий в бетоных стенах фасада, внутренних перегородках под прокладку труб ОВиК, электролотков.</v>
      </c>
      <c r="E233" t="str">
        <f>IFERROR(INDEX(Работы!$C$2:$C$6000,MATCH($C233,Работы!$A$2:$A$6000,0)),"")</f>
        <v>м3</v>
      </c>
      <c r="F233">
        <f>IFERROR(INDEX(Работы!$G$2:$G$6000,MATCH($C233,Работы!$A$2:$A$6000,0)),"")</f>
        <v>0</v>
      </c>
      <c r="G233" t="str">
        <f>IFERROR(INDEX(Работы!$K$2:$K$6000,MATCH($C233,Работы!$A$2:$A$6000,0)),"")</f>
        <v>S_фасад</v>
      </c>
      <c r="H233" s="9"/>
      <c r="I233" s="9"/>
      <c r="J233" s="8" t="str">
        <f>IFERROR(INDEX(Материалы!$B$2:$B$9000,MATCH($I233,Материалы!$A$2:$A$9000,0)),"")</f>
        <v/>
      </c>
      <c r="K233" t="str">
        <f>IF($I233="","",IF($F233=IFERROR(INDEX(Материалы!$G$2:$G$9000,MATCH($I233,Материалы!$A$2:$A$9000,0)),""),"OK","!! не та группа"))</f>
        <v/>
      </c>
      <c r="L233" s="10">
        <f>IFERROR(INDEX(Работы!$H$2:$H$6000,MATCH($C233,Работы!$A$2:$A$6000,0))*(1-ДисконтТендер),0)</f>
        <v>31115.45</v>
      </c>
      <c r="M233" s="10">
        <f>IF($I233="",0,IFERROR(INDEX(Материалы!$I$2:$I$9000,MATCH($I233,Материалы!$A$2:$A$9000,0))*IF(INDEX(Материалы!$J$2:$J$9000,MATCH($I233,Материалы!$A$2:$A$9000,0))="USD",КурсUSD,IF(INDEX(Материалы!$J$2:$J$9000,MATCH($I233,Материалы!$A$2:$A$9000,0))="EUR",КурсEUR,1))*INDEX(Материалы!$K$2:$K$9000,MATCH($I233,Материалы!$A$2:$A$9000,0))*(1+IFERROR(INDEX(Работы!$I$2:$I$6000,MATCH($C233,Работы!$A$2:$A$6000,0))/100,0))*(1-ДисконтТендер),0))</f>
        <v>0</v>
      </c>
      <c r="N233" s="10">
        <f t="shared" si="9"/>
        <v>0</v>
      </c>
      <c r="O233" s="10">
        <f t="shared" si="10"/>
        <v>0</v>
      </c>
      <c r="P233" s="10">
        <f t="shared" si="11"/>
        <v>0</v>
      </c>
      <c r="Q233" t="str">
        <f>IFERROR(INDEX(Работы!$J$2:$J$6000,MATCH($C233,Работы!$A$2:$A$6000,0)),"")</f>
        <v>нетиповая</v>
      </c>
      <c r="R233" t="s">
        <v>92</v>
      </c>
      <c r="T233" t="str">
        <f>IF(AND($P233&gt;0,$R233="да"),MAX($T$1:$T232)+1,"")</f>
        <v/>
      </c>
    </row>
    <row r="234" spans="1:20" ht="28.8" x14ac:dyDescent="0.3">
      <c r="A234" t="str">
        <f>IFERROR(INDEX(Работы!$D$2:$D$6000,MATCH($C234,Работы!$A$2:$A$6000,0)),"")</f>
        <v>Р3</v>
      </c>
      <c r="B234" t="str">
        <f>IFERROR(INDEX(Работы!$F$2:$F$6000,MATCH($C234,Работы!$A$2:$A$6000,0)),"")</f>
        <v>1</v>
      </c>
      <c r="C234" t="str">
        <f>IFERROR(INDEX(Работы!$A$2:$A$6000,233),"")</f>
        <v>РАБ.Р3.1.019</v>
      </c>
      <c r="D234" s="8" t="str">
        <f>IFERROR(INDEX(Работы!$B$2:$B$6000,MATCH($C234,Работы!$A$2:$A$6000,0)),"")</f>
        <v>Запенивание противопожарной пеной тех. отверстий прохода транзитных коммуникаций</v>
      </c>
      <c r="E234" t="str">
        <f>IFERROR(INDEX(Работы!$C$2:$C$6000,MATCH($C234,Работы!$A$2:$A$6000,0)),"")</f>
        <v>м2</v>
      </c>
      <c r="F234">
        <f>IFERROR(INDEX(Работы!$G$2:$G$6000,MATCH($C234,Работы!$A$2:$A$6000,0)),"")</f>
        <v>0</v>
      </c>
      <c r="G234" t="str">
        <f>IFERROR(INDEX(Работы!$K$2:$K$6000,MATCH($C234,Работы!$A$2:$A$6000,0)),"")</f>
        <v>S_поверхность</v>
      </c>
      <c r="H234" s="9"/>
      <c r="I234" s="9"/>
      <c r="J234" s="8" t="str">
        <f>IFERROR(INDEX(Материалы!$B$2:$B$9000,MATCH($I234,Материалы!$A$2:$A$9000,0)),"")</f>
        <v/>
      </c>
      <c r="K234" t="str">
        <f>IF($I234="","",IF($F234=IFERROR(INDEX(Материалы!$G$2:$G$9000,MATCH($I234,Материалы!$A$2:$A$9000,0)),""),"OK","!! не та группа"))</f>
        <v/>
      </c>
      <c r="L234" s="10">
        <f>IFERROR(INDEX(Работы!$H$2:$H$6000,MATCH($C234,Работы!$A$2:$A$6000,0))*(1-ДисконтТендер),0)</f>
        <v>500.21</v>
      </c>
      <c r="M234" s="10">
        <f>IF($I234="",0,IFERROR(INDEX(Материалы!$I$2:$I$9000,MATCH($I234,Материалы!$A$2:$A$9000,0))*IF(INDEX(Материалы!$J$2:$J$9000,MATCH($I234,Материалы!$A$2:$A$9000,0))="USD",КурсUSD,IF(INDEX(Материалы!$J$2:$J$9000,MATCH($I234,Материалы!$A$2:$A$9000,0))="EUR",КурсEUR,1))*INDEX(Материалы!$K$2:$K$9000,MATCH($I234,Материалы!$A$2:$A$9000,0))*(1+IFERROR(INDEX(Работы!$I$2:$I$6000,MATCH($C234,Работы!$A$2:$A$6000,0))/100,0))*(1-ДисконтТендер),0))</f>
        <v>0</v>
      </c>
      <c r="N234" s="10">
        <f t="shared" si="9"/>
        <v>0</v>
      </c>
      <c r="O234" s="10">
        <f t="shared" si="10"/>
        <v>0</v>
      </c>
      <c r="P234" s="10">
        <f t="shared" si="11"/>
        <v>0</v>
      </c>
      <c r="Q234" t="str">
        <f>IFERROR(INDEX(Работы!$J$2:$J$6000,MATCH($C234,Работы!$A$2:$A$6000,0)),"")</f>
        <v>типовая</v>
      </c>
      <c r="R234" t="s">
        <v>92</v>
      </c>
      <c r="T234" t="str">
        <f>IF(AND($P234&gt;0,$R234="да"),MAX($T$1:$T233)+1,"")</f>
        <v/>
      </c>
    </row>
    <row r="235" spans="1:20" ht="28.8" x14ac:dyDescent="0.3">
      <c r="A235" t="str">
        <f>IFERROR(INDEX(Работы!$D$2:$D$6000,MATCH($C235,Работы!$A$2:$A$6000,0)),"")</f>
        <v>Р3</v>
      </c>
      <c r="B235" t="str">
        <f>IFERROR(INDEX(Работы!$F$2:$F$6000,MATCH($C235,Работы!$A$2:$A$6000,0)),"")</f>
        <v>1</v>
      </c>
      <c r="C235" t="str">
        <f>IFERROR(INDEX(Работы!$A$2:$A$6000,234),"")</f>
        <v>РАБ.Р3.1.020</v>
      </c>
      <c r="D235" s="8" t="str">
        <f>IFERROR(INDEX(Работы!$B$2:$B$6000,MATCH($C235,Работы!$A$2:$A$6000,0)),"")</f>
        <v>Пробивка проемов в стенах из пенобетонных блоков</v>
      </c>
      <c r="E235" t="str">
        <f>IFERROR(INDEX(Работы!$C$2:$C$6000,MATCH($C235,Работы!$A$2:$A$6000,0)),"")</f>
        <v>м3</v>
      </c>
      <c r="F235">
        <f>IFERROR(INDEX(Работы!$G$2:$G$6000,MATCH($C235,Работы!$A$2:$A$6000,0)),"")</f>
        <v>0</v>
      </c>
      <c r="G235" t="str">
        <f>IFERROR(INDEX(Работы!$K$2:$K$6000,MATCH($C235,Работы!$A$2:$A$6000,0)),"")</f>
        <v>S_стены</v>
      </c>
      <c r="H235" s="9"/>
      <c r="I235" s="9"/>
      <c r="J235" s="8" t="str">
        <f>IFERROR(INDEX(Материалы!$B$2:$B$9000,MATCH($I235,Материалы!$A$2:$A$9000,0)),"")</f>
        <v/>
      </c>
      <c r="K235" t="str">
        <f>IF($I235="","",IF($F235=IFERROR(INDEX(Материалы!$G$2:$G$9000,MATCH($I235,Материалы!$A$2:$A$9000,0)),""),"OK","!! не та группа"))</f>
        <v/>
      </c>
      <c r="L235" s="10">
        <f>IFERROR(INDEX(Работы!$H$2:$H$6000,MATCH($C235,Работы!$A$2:$A$6000,0))*(1-ДисконтТендер),0)</f>
        <v>12214.8</v>
      </c>
      <c r="M235" s="10">
        <f>IF($I235="",0,IFERROR(INDEX(Материалы!$I$2:$I$9000,MATCH($I235,Материалы!$A$2:$A$9000,0))*IF(INDEX(Материалы!$J$2:$J$9000,MATCH($I235,Материалы!$A$2:$A$9000,0))="USD",КурсUSD,IF(INDEX(Материалы!$J$2:$J$9000,MATCH($I235,Материалы!$A$2:$A$9000,0))="EUR",КурсEUR,1))*INDEX(Материалы!$K$2:$K$9000,MATCH($I235,Материалы!$A$2:$A$9000,0))*(1+IFERROR(INDEX(Работы!$I$2:$I$6000,MATCH($C235,Работы!$A$2:$A$6000,0))/100,0))*(1-ДисконтТендер),0))</f>
        <v>0</v>
      </c>
      <c r="N235" s="10">
        <f t="shared" si="9"/>
        <v>0</v>
      </c>
      <c r="O235" s="10">
        <f t="shared" si="10"/>
        <v>0</v>
      </c>
      <c r="P235" s="10">
        <f t="shared" si="11"/>
        <v>0</v>
      </c>
      <c r="Q235" t="str">
        <f>IFERROR(INDEX(Работы!$J$2:$J$6000,MATCH($C235,Работы!$A$2:$A$6000,0)),"")</f>
        <v>типовая</v>
      </c>
      <c r="R235" t="s">
        <v>92</v>
      </c>
      <c r="T235" t="str">
        <f>IF(AND($P235&gt;0,$R235="да"),MAX($T$1:$T234)+1,"")</f>
        <v/>
      </c>
    </row>
    <row r="236" spans="1:20" x14ac:dyDescent="0.3">
      <c r="A236" t="str">
        <f>IFERROR(INDEX(Работы!$D$2:$D$6000,MATCH($C236,Работы!$A$2:$A$6000,0)),"")</f>
        <v>Р3</v>
      </c>
      <c r="B236" t="str">
        <f>IFERROR(INDEX(Работы!$F$2:$F$6000,MATCH($C236,Работы!$A$2:$A$6000,0)),"")</f>
        <v>1</v>
      </c>
      <c r="C236" t="str">
        <f>IFERROR(INDEX(Работы!$A$2:$A$6000,235),"")</f>
        <v>РАБ.Р3.1.021</v>
      </c>
      <c r="D236" s="8" t="str">
        <f>IFERROR(INDEX(Работы!$B$2:$B$6000,MATCH($C236,Работы!$A$2:$A$6000,0)),"")</f>
        <v>Пробивка проемов в стенах из кирпича</v>
      </c>
      <c r="E236" t="str">
        <f>IFERROR(INDEX(Работы!$C$2:$C$6000,MATCH($C236,Работы!$A$2:$A$6000,0)),"")</f>
        <v>м3</v>
      </c>
      <c r="F236" t="str">
        <f>IFERROR(INDEX(Работы!$G$2:$G$6000,MATCH($C236,Работы!$A$2:$A$6000,0)),"")</f>
        <v>КЛАДКА</v>
      </c>
      <c r="G236" t="str">
        <f>IFERROR(INDEX(Работы!$K$2:$K$6000,MATCH($C236,Работы!$A$2:$A$6000,0)),"")</f>
        <v>S_стены</v>
      </c>
      <c r="H236" s="9"/>
      <c r="I236" s="9"/>
      <c r="J236" s="8" t="str">
        <f>IFERROR(INDEX(Материалы!$B$2:$B$9000,MATCH($I236,Материалы!$A$2:$A$9000,0)),"")</f>
        <v/>
      </c>
      <c r="K236" t="str">
        <f>IF($I236="","",IF($F236=IFERROR(INDEX(Материалы!$G$2:$G$9000,MATCH($I236,Материалы!$A$2:$A$9000,0)),""),"OK","!! не та группа"))</f>
        <v/>
      </c>
      <c r="L236" s="10">
        <f>IFERROR(INDEX(Работы!$H$2:$H$6000,MATCH($C236,Работы!$A$2:$A$6000,0))*(1-ДисконтТендер),0)</f>
        <v>10521.32</v>
      </c>
      <c r="M236" s="10">
        <f>IF($I236="",0,IFERROR(INDEX(Материалы!$I$2:$I$9000,MATCH($I236,Материалы!$A$2:$A$9000,0))*IF(INDEX(Материалы!$J$2:$J$9000,MATCH($I236,Материалы!$A$2:$A$9000,0))="USD",КурсUSD,IF(INDEX(Материалы!$J$2:$J$9000,MATCH($I236,Материалы!$A$2:$A$9000,0))="EUR",КурсEUR,1))*INDEX(Материалы!$K$2:$K$9000,MATCH($I236,Материалы!$A$2:$A$9000,0))*(1+IFERROR(INDEX(Работы!$I$2:$I$6000,MATCH($C236,Работы!$A$2:$A$6000,0))/100,0))*(1-ДисконтТендер),0))</f>
        <v>0</v>
      </c>
      <c r="N236" s="10">
        <f t="shared" si="9"/>
        <v>0</v>
      </c>
      <c r="O236" s="10">
        <f t="shared" si="10"/>
        <v>0</v>
      </c>
      <c r="P236" s="10">
        <f t="shared" si="11"/>
        <v>0</v>
      </c>
      <c r="Q236" t="str">
        <f>IFERROR(INDEX(Работы!$J$2:$J$6000,MATCH($C236,Работы!$A$2:$A$6000,0)),"")</f>
        <v>типовая</v>
      </c>
      <c r="R236" t="s">
        <v>92</v>
      </c>
      <c r="T236" t="str">
        <f>IF(AND($P236&gt;0,$R236="да"),MAX($T$1:$T235)+1,"")</f>
        <v/>
      </c>
    </row>
    <row r="237" spans="1:20" ht="28.8" x14ac:dyDescent="0.3">
      <c r="A237" t="str">
        <f>IFERROR(INDEX(Работы!$D$2:$D$6000,MATCH($C237,Работы!$A$2:$A$6000,0)),"")</f>
        <v>Р3</v>
      </c>
      <c r="B237" t="str">
        <f>IFERROR(INDEX(Работы!$F$2:$F$6000,MATCH($C237,Работы!$A$2:$A$6000,0)),"")</f>
        <v>1</v>
      </c>
      <c r="C237" t="str">
        <f>IFERROR(INDEX(Работы!$A$2:$A$6000,236),"")</f>
        <v>РАБ.Р3.1.022</v>
      </c>
      <c r="D237" s="8" t="str">
        <f>IFERROR(INDEX(Работы!$B$2:$B$6000,MATCH($C237,Работы!$A$2:$A$6000,0)),"")</f>
        <v>Алмазное сверление отверстий в стенах Ø50-100 мм</v>
      </c>
      <c r="E237" t="str">
        <f>IFERROR(INDEX(Работы!$C$2:$C$6000,MATCH($C237,Работы!$A$2:$A$6000,0)),"")</f>
        <v>см.</v>
      </c>
      <c r="F237">
        <f>IFERROR(INDEX(Работы!$G$2:$G$6000,MATCH($C237,Работы!$A$2:$A$6000,0)),"")</f>
        <v>0</v>
      </c>
      <c r="G237" t="str">
        <f>IFERROR(INDEX(Работы!$K$2:$K$6000,MATCH($C237,Работы!$A$2:$A$6000,0)),"")</f>
        <v>S_стены</v>
      </c>
      <c r="H237" s="9"/>
      <c r="I237" s="9"/>
      <c r="J237" s="8" t="str">
        <f>IFERROR(INDEX(Материалы!$B$2:$B$9000,MATCH($I237,Материалы!$A$2:$A$9000,0)),"")</f>
        <v/>
      </c>
      <c r="K237" t="str">
        <f>IF($I237="","",IF($F237=IFERROR(INDEX(Материалы!$G$2:$G$9000,MATCH($I237,Материалы!$A$2:$A$9000,0)),""),"OK","!! не та группа"))</f>
        <v/>
      </c>
      <c r="L237" s="10">
        <f>IFERROR(INDEX(Работы!$H$2:$H$6000,MATCH($C237,Работы!$A$2:$A$6000,0))*(1-ДисконтТендер),0)</f>
        <v>76.37</v>
      </c>
      <c r="M237" s="10">
        <f>IF($I237="",0,IFERROR(INDEX(Материалы!$I$2:$I$9000,MATCH($I237,Материалы!$A$2:$A$9000,0))*IF(INDEX(Материалы!$J$2:$J$9000,MATCH($I237,Материалы!$A$2:$A$9000,0))="USD",КурсUSD,IF(INDEX(Материалы!$J$2:$J$9000,MATCH($I237,Материалы!$A$2:$A$9000,0))="EUR",КурсEUR,1))*INDEX(Материалы!$K$2:$K$9000,MATCH($I237,Материалы!$A$2:$A$9000,0))*(1+IFERROR(INDEX(Работы!$I$2:$I$6000,MATCH($C237,Работы!$A$2:$A$6000,0))/100,0))*(1-ДисконтТендер),0))</f>
        <v>0</v>
      </c>
      <c r="N237" s="10">
        <f t="shared" si="9"/>
        <v>0</v>
      </c>
      <c r="O237" s="10">
        <f t="shared" si="10"/>
        <v>0</v>
      </c>
      <c r="P237" s="10">
        <f t="shared" si="11"/>
        <v>0</v>
      </c>
      <c r="Q237" t="str">
        <f>IFERROR(INDEX(Работы!$J$2:$J$6000,MATCH($C237,Работы!$A$2:$A$6000,0)),"")</f>
        <v>типовая</v>
      </c>
      <c r="R237" t="s">
        <v>92</v>
      </c>
      <c r="T237" t="str">
        <f>IF(AND($P237&gt;0,$R237="да"),MAX($T$1:$T236)+1,"")</f>
        <v/>
      </c>
    </row>
    <row r="238" spans="1:20" ht="28.8" x14ac:dyDescent="0.3">
      <c r="A238" t="str">
        <f>IFERROR(INDEX(Работы!$D$2:$D$6000,MATCH($C238,Работы!$A$2:$A$6000,0)),"")</f>
        <v>Р3</v>
      </c>
      <c r="B238" t="str">
        <f>IFERROR(INDEX(Работы!$F$2:$F$6000,MATCH($C238,Работы!$A$2:$A$6000,0)),"")</f>
        <v>1</v>
      </c>
      <c r="C238" t="str">
        <f>IFERROR(INDEX(Работы!$A$2:$A$6000,237),"")</f>
        <v>РАБ.Р3.1.023</v>
      </c>
      <c r="D238" s="8" t="str">
        <f>IFERROR(INDEX(Работы!$B$2:$B$6000,MATCH($C238,Работы!$A$2:$A$6000,0)),"")</f>
        <v>Алмазное сверление отверстий в стенах Ø101-200 мм</v>
      </c>
      <c r="E238" t="str">
        <f>IFERROR(INDEX(Работы!$C$2:$C$6000,MATCH($C238,Работы!$A$2:$A$6000,0)),"")</f>
        <v>см.</v>
      </c>
      <c r="F238">
        <f>IFERROR(INDEX(Работы!$G$2:$G$6000,MATCH($C238,Работы!$A$2:$A$6000,0)),"")</f>
        <v>0</v>
      </c>
      <c r="G238" t="str">
        <f>IFERROR(INDEX(Работы!$K$2:$K$6000,MATCH($C238,Работы!$A$2:$A$6000,0)),"")</f>
        <v>S_стены</v>
      </c>
      <c r="H238" s="9"/>
      <c r="I238" s="9"/>
      <c r="J238" s="8" t="str">
        <f>IFERROR(INDEX(Материалы!$B$2:$B$9000,MATCH($I238,Материалы!$A$2:$A$9000,0)),"")</f>
        <v/>
      </c>
      <c r="K238" t="str">
        <f>IF($I238="","",IF($F238=IFERROR(INDEX(Материалы!$G$2:$G$9000,MATCH($I238,Материалы!$A$2:$A$9000,0)),""),"OK","!! не та группа"))</f>
        <v/>
      </c>
      <c r="L238" s="10">
        <f>IFERROR(INDEX(Работы!$H$2:$H$6000,MATCH($C238,Работы!$A$2:$A$6000,0))*(1-ДисконтТендер),0)</f>
        <v>78.959999999999994</v>
      </c>
      <c r="M238" s="10">
        <f>IF($I238="",0,IFERROR(INDEX(Материалы!$I$2:$I$9000,MATCH($I238,Материалы!$A$2:$A$9000,0))*IF(INDEX(Материалы!$J$2:$J$9000,MATCH($I238,Материалы!$A$2:$A$9000,0))="USD",КурсUSD,IF(INDEX(Материалы!$J$2:$J$9000,MATCH($I238,Материалы!$A$2:$A$9000,0))="EUR",КурсEUR,1))*INDEX(Материалы!$K$2:$K$9000,MATCH($I238,Материалы!$A$2:$A$9000,0))*(1+IFERROR(INDEX(Работы!$I$2:$I$6000,MATCH($C238,Работы!$A$2:$A$6000,0))/100,0))*(1-ДисконтТендер),0))</f>
        <v>0</v>
      </c>
      <c r="N238" s="10">
        <f t="shared" si="9"/>
        <v>0</v>
      </c>
      <c r="O238" s="10">
        <f t="shared" si="10"/>
        <v>0</v>
      </c>
      <c r="P238" s="10">
        <f t="shared" si="11"/>
        <v>0</v>
      </c>
      <c r="Q238" t="str">
        <f>IFERROR(INDEX(Работы!$J$2:$J$6000,MATCH($C238,Работы!$A$2:$A$6000,0)),"")</f>
        <v>типовая</v>
      </c>
      <c r="R238" t="s">
        <v>92</v>
      </c>
      <c r="T238" t="str">
        <f>IF(AND($P238&gt;0,$R238="да"),MAX($T$1:$T237)+1,"")</f>
        <v/>
      </c>
    </row>
    <row r="239" spans="1:20" ht="28.8" x14ac:dyDescent="0.3">
      <c r="A239" t="str">
        <f>IFERROR(INDEX(Работы!$D$2:$D$6000,MATCH($C239,Работы!$A$2:$A$6000,0)),"")</f>
        <v>Р3</v>
      </c>
      <c r="B239" t="str">
        <f>IFERROR(INDEX(Работы!$F$2:$F$6000,MATCH($C239,Работы!$A$2:$A$6000,0)),"")</f>
        <v>1</v>
      </c>
      <c r="C239" t="str">
        <f>IFERROR(INDEX(Работы!$A$2:$A$6000,238),"")</f>
        <v>РАБ.Р3.1.024</v>
      </c>
      <c r="D239" s="8" t="str">
        <f>IFERROR(INDEX(Работы!$B$2:$B$6000,MATCH($C239,Работы!$A$2:$A$6000,0)),"")</f>
        <v>Алмазное сверление отверстий в стенах Ø201-300 мм</v>
      </c>
      <c r="E239" t="str">
        <f>IFERROR(INDEX(Работы!$C$2:$C$6000,MATCH($C239,Работы!$A$2:$A$6000,0)),"")</f>
        <v>см.</v>
      </c>
      <c r="F239">
        <f>IFERROR(INDEX(Работы!$G$2:$G$6000,MATCH($C239,Работы!$A$2:$A$6000,0)),"")</f>
        <v>0</v>
      </c>
      <c r="G239" t="str">
        <f>IFERROR(INDEX(Работы!$K$2:$K$6000,MATCH($C239,Работы!$A$2:$A$6000,0)),"")</f>
        <v>S_стены</v>
      </c>
      <c r="H239" s="9"/>
      <c r="I239" s="9"/>
      <c r="J239" s="8" t="str">
        <f>IFERROR(INDEX(Материалы!$B$2:$B$9000,MATCH($I239,Материалы!$A$2:$A$9000,0)),"")</f>
        <v/>
      </c>
      <c r="K239" t="str">
        <f>IF($I239="","",IF($F239=IFERROR(INDEX(Материалы!$G$2:$G$9000,MATCH($I239,Материалы!$A$2:$A$9000,0)),""),"OK","!! не та группа"))</f>
        <v/>
      </c>
      <c r="L239" s="10">
        <f>IFERROR(INDEX(Работы!$H$2:$H$6000,MATCH($C239,Работы!$A$2:$A$6000,0))*(1-ДисконтТендер),0)</f>
        <v>134.85</v>
      </c>
      <c r="M239" s="10">
        <f>IF($I239="",0,IFERROR(INDEX(Материалы!$I$2:$I$9000,MATCH($I239,Материалы!$A$2:$A$9000,0))*IF(INDEX(Материалы!$J$2:$J$9000,MATCH($I239,Материалы!$A$2:$A$9000,0))="USD",КурсUSD,IF(INDEX(Материалы!$J$2:$J$9000,MATCH($I239,Материалы!$A$2:$A$9000,0))="EUR",КурсEUR,1))*INDEX(Материалы!$K$2:$K$9000,MATCH($I239,Материалы!$A$2:$A$9000,0))*(1+IFERROR(INDEX(Работы!$I$2:$I$6000,MATCH($C239,Работы!$A$2:$A$6000,0))/100,0))*(1-ДисконтТендер),0))</f>
        <v>0</v>
      </c>
      <c r="N239" s="10">
        <f t="shared" si="9"/>
        <v>0</v>
      </c>
      <c r="O239" s="10">
        <f t="shared" si="10"/>
        <v>0</v>
      </c>
      <c r="P239" s="10">
        <f t="shared" si="11"/>
        <v>0</v>
      </c>
      <c r="Q239" t="str">
        <f>IFERROR(INDEX(Работы!$J$2:$J$6000,MATCH($C239,Работы!$A$2:$A$6000,0)),"")</f>
        <v>типовая</v>
      </c>
      <c r="R239" t="s">
        <v>92</v>
      </c>
      <c r="T239" t="str">
        <f>IF(AND($P239&gt;0,$R239="да"),MAX($T$1:$T238)+1,"")</f>
        <v/>
      </c>
    </row>
    <row r="240" spans="1:20" ht="28.8" x14ac:dyDescent="0.3">
      <c r="A240" t="str">
        <f>IFERROR(INDEX(Работы!$D$2:$D$6000,MATCH($C240,Работы!$A$2:$A$6000,0)),"")</f>
        <v>Р3</v>
      </c>
      <c r="B240" t="str">
        <f>IFERROR(INDEX(Работы!$F$2:$F$6000,MATCH($C240,Работы!$A$2:$A$6000,0)),"")</f>
        <v>1</v>
      </c>
      <c r="C240" t="str">
        <f>IFERROR(INDEX(Работы!$A$2:$A$6000,239),"")</f>
        <v>РАБ.Р3.1.025</v>
      </c>
      <c r="D240" s="8" t="str">
        <f>IFERROR(INDEX(Работы!$B$2:$B$6000,MATCH($C240,Работы!$A$2:$A$6000,0)),"")</f>
        <v>Алмазное сверление отверстий в стенах Ø301-400 мм</v>
      </c>
      <c r="E240" t="str">
        <f>IFERROR(INDEX(Работы!$C$2:$C$6000,MATCH($C240,Работы!$A$2:$A$6000,0)),"")</f>
        <v>см.</v>
      </c>
      <c r="F240">
        <f>IFERROR(INDEX(Работы!$G$2:$G$6000,MATCH($C240,Работы!$A$2:$A$6000,0)),"")</f>
        <v>0</v>
      </c>
      <c r="G240" t="str">
        <f>IFERROR(INDEX(Работы!$K$2:$K$6000,MATCH($C240,Работы!$A$2:$A$6000,0)),"")</f>
        <v>S_стены</v>
      </c>
      <c r="H240" s="9"/>
      <c r="I240" s="9"/>
      <c r="J240" s="8" t="str">
        <f>IFERROR(INDEX(Материалы!$B$2:$B$9000,MATCH($I240,Материалы!$A$2:$A$9000,0)),"")</f>
        <v/>
      </c>
      <c r="K240" t="str">
        <f>IF($I240="","",IF($F240=IFERROR(INDEX(Материалы!$G$2:$G$9000,MATCH($I240,Материалы!$A$2:$A$9000,0)),""),"OK","!! не та группа"))</f>
        <v/>
      </c>
      <c r="L240" s="10">
        <f>IFERROR(INDEX(Работы!$H$2:$H$6000,MATCH($C240,Работы!$A$2:$A$6000,0))*(1-ДисконтТендер),0)</f>
        <v>174</v>
      </c>
      <c r="M240" s="10">
        <f>IF($I240="",0,IFERROR(INDEX(Материалы!$I$2:$I$9000,MATCH($I240,Материалы!$A$2:$A$9000,0))*IF(INDEX(Материалы!$J$2:$J$9000,MATCH($I240,Материалы!$A$2:$A$9000,0))="USD",КурсUSD,IF(INDEX(Материалы!$J$2:$J$9000,MATCH($I240,Материалы!$A$2:$A$9000,0))="EUR",КурсEUR,1))*INDEX(Материалы!$K$2:$K$9000,MATCH($I240,Материалы!$A$2:$A$9000,0))*(1+IFERROR(INDEX(Работы!$I$2:$I$6000,MATCH($C240,Работы!$A$2:$A$6000,0))/100,0))*(1-ДисконтТендер),0))</f>
        <v>0</v>
      </c>
      <c r="N240" s="10">
        <f t="shared" si="9"/>
        <v>0</v>
      </c>
      <c r="O240" s="10">
        <f t="shared" si="10"/>
        <v>0</v>
      </c>
      <c r="P240" s="10">
        <f t="shared" si="11"/>
        <v>0</v>
      </c>
      <c r="Q240" t="str">
        <f>IFERROR(INDEX(Работы!$J$2:$J$6000,MATCH($C240,Работы!$A$2:$A$6000,0)),"")</f>
        <v>типовая</v>
      </c>
      <c r="R240" t="s">
        <v>92</v>
      </c>
      <c r="T240" t="str">
        <f>IF(AND($P240&gt;0,$R240="да"),MAX($T$1:$T239)+1,"")</f>
        <v/>
      </c>
    </row>
    <row r="241" spans="1:20" ht="28.8" x14ac:dyDescent="0.3">
      <c r="A241" t="str">
        <f>IFERROR(INDEX(Работы!$D$2:$D$6000,MATCH($C241,Работы!$A$2:$A$6000,0)),"")</f>
        <v>Р3</v>
      </c>
      <c r="B241" t="str">
        <f>IFERROR(INDEX(Работы!$F$2:$F$6000,MATCH($C241,Работы!$A$2:$A$6000,0)),"")</f>
        <v>1</v>
      </c>
      <c r="C241" t="str">
        <f>IFERROR(INDEX(Работы!$A$2:$A$6000,240),"")</f>
        <v>РАБ.Р3.1.026</v>
      </c>
      <c r="D241" s="8" t="str">
        <f>IFERROR(INDEX(Работы!$B$2:$B$6000,MATCH($C241,Работы!$A$2:$A$6000,0)),"")</f>
        <v>Монтаж закладных из фанеры 12мм под шкафы обработанная составом "NEOMID 450-1".</v>
      </c>
      <c r="E241" t="str">
        <f>IFERROR(INDEX(Работы!$C$2:$C$6000,MATCH($C241,Работы!$A$2:$A$6000,0)),"")</f>
        <v>м2</v>
      </c>
      <c r="F241">
        <f>IFERROR(INDEX(Работы!$G$2:$G$6000,MATCH($C241,Работы!$A$2:$A$6000,0)),"")</f>
        <v>0</v>
      </c>
      <c r="G241" t="str">
        <f>IFERROR(INDEX(Работы!$K$2:$K$6000,MATCH($C241,Работы!$A$2:$A$6000,0)),"")</f>
        <v>S_поверхность</v>
      </c>
      <c r="H241" s="9"/>
      <c r="I241" s="9"/>
      <c r="J241" s="8" t="str">
        <f>IFERROR(INDEX(Материалы!$B$2:$B$9000,MATCH($I241,Материалы!$A$2:$A$9000,0)),"")</f>
        <v/>
      </c>
      <c r="K241" t="str">
        <f>IF($I241="","",IF($F241=IFERROR(INDEX(Материалы!$G$2:$G$9000,MATCH($I241,Материалы!$A$2:$A$9000,0)),""),"OK","!! не та группа"))</f>
        <v/>
      </c>
      <c r="L241" s="10">
        <f>IFERROR(INDEX(Работы!$H$2:$H$6000,MATCH($C241,Работы!$A$2:$A$6000,0))*(1-ДисконтТендер),0)</f>
        <v>560</v>
      </c>
      <c r="M241" s="10">
        <f>IF($I241="",0,IFERROR(INDEX(Материалы!$I$2:$I$9000,MATCH($I241,Материалы!$A$2:$A$9000,0))*IF(INDEX(Материалы!$J$2:$J$9000,MATCH($I241,Материалы!$A$2:$A$9000,0))="USD",КурсUSD,IF(INDEX(Материалы!$J$2:$J$9000,MATCH($I241,Материалы!$A$2:$A$9000,0))="EUR",КурсEUR,1))*INDEX(Материалы!$K$2:$K$9000,MATCH($I241,Материалы!$A$2:$A$9000,0))*(1+IFERROR(INDEX(Работы!$I$2:$I$6000,MATCH($C241,Работы!$A$2:$A$6000,0))/100,0))*(1-ДисконтТендер),0))</f>
        <v>0</v>
      </c>
      <c r="N241" s="10">
        <f t="shared" si="9"/>
        <v>0</v>
      </c>
      <c r="O241" s="10">
        <f t="shared" si="10"/>
        <v>0</v>
      </c>
      <c r="P241" s="10">
        <f t="shared" si="11"/>
        <v>0</v>
      </c>
      <c r="Q241" t="str">
        <f>IFERROR(INDEX(Работы!$J$2:$J$6000,MATCH($C241,Работы!$A$2:$A$6000,0)),"")</f>
        <v>типовая</v>
      </c>
      <c r="R241" t="s">
        <v>92</v>
      </c>
      <c r="T241" t="str">
        <f>IF(AND($P241&gt;0,$R241="да"),MAX($T$1:$T240)+1,"")</f>
        <v/>
      </c>
    </row>
    <row r="242" spans="1:20" ht="28.8" x14ac:dyDescent="0.3">
      <c r="A242" t="str">
        <f>IFERROR(INDEX(Работы!$D$2:$D$6000,MATCH($C242,Работы!$A$2:$A$6000,0)),"")</f>
        <v>Р3</v>
      </c>
      <c r="B242" t="str">
        <f>IFERROR(INDEX(Работы!$F$2:$F$6000,MATCH($C242,Работы!$A$2:$A$6000,0)),"")</f>
        <v>1</v>
      </c>
      <c r="C242" t="str">
        <f>IFERROR(INDEX(Работы!$A$2:$A$6000,241),"")</f>
        <v>РАБ.Р3.1.027</v>
      </c>
      <c r="D242" s="8" t="str">
        <f>IFERROR(INDEX(Работы!$B$2:$B$6000,MATCH($C242,Работы!$A$2:$A$6000,0)),"")</f>
        <v>Устройство ниши ГКЛ по м/к под монтаж приборов отопления</v>
      </c>
      <c r="E242" t="str">
        <f>IFERROR(INDEX(Работы!$C$2:$C$6000,MATCH($C242,Работы!$A$2:$A$6000,0)),"")</f>
        <v>шт.</v>
      </c>
      <c r="F242" t="str">
        <f>IFERROR(INDEX(Работы!$G$2:$G$6000,MATCH($C242,Работы!$A$2:$A$6000,0)),"")</f>
        <v>ГКЛ</v>
      </c>
      <c r="G242" t="str">
        <f>IFERROR(INDEX(Работы!$K$2:$K$6000,MATCH($C242,Работы!$A$2:$A$6000,0)),"")</f>
        <v>S_стены</v>
      </c>
      <c r="H242" s="9"/>
      <c r="I242" s="9"/>
      <c r="J242" s="8" t="str">
        <f>IFERROR(INDEX(Материалы!$B$2:$B$9000,MATCH($I242,Материалы!$A$2:$A$9000,0)),"")</f>
        <v/>
      </c>
      <c r="K242" t="str">
        <f>IF($I242="","",IF($F242=IFERROR(INDEX(Материалы!$G$2:$G$9000,MATCH($I242,Материалы!$A$2:$A$9000,0)),""),"OK","!! не та группа"))</f>
        <v/>
      </c>
      <c r="L242" s="10">
        <f>IFERROR(INDEX(Работы!$H$2:$H$6000,MATCH($C242,Работы!$A$2:$A$6000,0))*(1-ДисконтТендер),0)</f>
        <v>3063.98</v>
      </c>
      <c r="M242" s="10">
        <f>IF($I242="",0,IFERROR(INDEX(Материалы!$I$2:$I$9000,MATCH($I242,Материалы!$A$2:$A$9000,0))*IF(INDEX(Материалы!$J$2:$J$9000,MATCH($I242,Материалы!$A$2:$A$9000,0))="USD",КурсUSD,IF(INDEX(Материалы!$J$2:$J$9000,MATCH($I242,Материалы!$A$2:$A$9000,0))="EUR",КурсEUR,1))*INDEX(Материалы!$K$2:$K$9000,MATCH($I242,Материалы!$A$2:$A$9000,0))*(1+IFERROR(INDEX(Работы!$I$2:$I$6000,MATCH($C242,Работы!$A$2:$A$6000,0))/100,0))*(1-ДисконтТендер),0))</f>
        <v>0</v>
      </c>
      <c r="N242" s="10">
        <f t="shared" si="9"/>
        <v>0</v>
      </c>
      <c r="O242" s="10">
        <f t="shared" si="10"/>
        <v>0</v>
      </c>
      <c r="P242" s="10">
        <f t="shared" si="11"/>
        <v>0</v>
      </c>
      <c r="Q242" t="str">
        <f>IFERROR(INDEX(Работы!$J$2:$J$6000,MATCH($C242,Работы!$A$2:$A$6000,0)),"")</f>
        <v>типовая</v>
      </c>
      <c r="R242" t="s">
        <v>92</v>
      </c>
      <c r="T242" t="str">
        <f>IF(AND($P242&gt;0,$R242="да"),MAX($T$1:$T241)+1,"")</f>
        <v/>
      </c>
    </row>
    <row r="243" spans="1:20" ht="28.8" x14ac:dyDescent="0.3">
      <c r="A243" t="str">
        <f>IFERROR(INDEX(Работы!$D$2:$D$6000,MATCH($C243,Работы!$A$2:$A$6000,0)),"")</f>
        <v>Р3</v>
      </c>
      <c r="B243" t="str">
        <f>IFERROR(INDEX(Работы!$F$2:$F$6000,MATCH($C243,Работы!$A$2:$A$6000,0)),"")</f>
        <v>1</v>
      </c>
      <c r="C243" t="str">
        <f>IFERROR(INDEX(Работы!$A$2:$A$6000,242),"")</f>
        <v>РАБ.Р3.1.028</v>
      </c>
      <c r="D243" s="8" t="str">
        <f>IFERROR(INDEX(Работы!$B$2:$B$6000,MATCH($C243,Работы!$A$2:$A$6000,0)),"")</f>
        <v>Устройство пароизоляции из полиэтиленовой пленки до 100 мкр.</v>
      </c>
      <c r="E243" t="str">
        <f>IFERROR(INDEX(Работы!$C$2:$C$6000,MATCH($C243,Работы!$A$2:$A$6000,0)),"")</f>
        <v>м2</v>
      </c>
      <c r="F243">
        <f>IFERROR(INDEX(Работы!$G$2:$G$6000,MATCH($C243,Работы!$A$2:$A$6000,0)),"")</f>
        <v>0</v>
      </c>
      <c r="G243" t="str">
        <f>IFERROR(INDEX(Работы!$K$2:$K$6000,MATCH($C243,Работы!$A$2:$A$6000,0)),"")</f>
        <v>S_пол</v>
      </c>
      <c r="H243" s="9"/>
      <c r="I243" s="9"/>
      <c r="J243" s="8" t="str">
        <f>IFERROR(INDEX(Материалы!$B$2:$B$9000,MATCH($I243,Материалы!$A$2:$A$9000,0)),"")</f>
        <v/>
      </c>
      <c r="K243" t="str">
        <f>IF($I243="","",IF($F243=IFERROR(INDEX(Материалы!$G$2:$G$9000,MATCH($I243,Материалы!$A$2:$A$9000,0)),""),"OK","!! не та группа"))</f>
        <v/>
      </c>
      <c r="L243" s="10">
        <f>IFERROR(INDEX(Работы!$H$2:$H$6000,MATCH($C243,Работы!$A$2:$A$6000,0))*(1-ДисконтТендер),0)</f>
        <v>115.13</v>
      </c>
      <c r="M243" s="10">
        <f>IF($I243="",0,IFERROR(INDEX(Материалы!$I$2:$I$9000,MATCH($I243,Материалы!$A$2:$A$9000,0))*IF(INDEX(Материалы!$J$2:$J$9000,MATCH($I243,Материалы!$A$2:$A$9000,0))="USD",КурсUSD,IF(INDEX(Материалы!$J$2:$J$9000,MATCH($I243,Материалы!$A$2:$A$9000,0))="EUR",КурсEUR,1))*INDEX(Материалы!$K$2:$K$9000,MATCH($I243,Материалы!$A$2:$A$9000,0))*(1+IFERROR(INDEX(Работы!$I$2:$I$6000,MATCH($C243,Работы!$A$2:$A$6000,0))/100,0))*(1-ДисконтТендер),0))</f>
        <v>0</v>
      </c>
      <c r="N243" s="10">
        <f t="shared" si="9"/>
        <v>0</v>
      </c>
      <c r="O243" s="10">
        <f t="shared" si="10"/>
        <v>0</v>
      </c>
      <c r="P243" s="10">
        <f t="shared" si="11"/>
        <v>0</v>
      </c>
      <c r="Q243" t="str">
        <f>IFERROR(INDEX(Работы!$J$2:$J$6000,MATCH($C243,Работы!$A$2:$A$6000,0)),"")</f>
        <v>типовая</v>
      </c>
      <c r="R243" t="s">
        <v>92</v>
      </c>
      <c r="T243" t="str">
        <f>IF(AND($P243&gt;0,$R243="да"),MAX($T$1:$T242)+1,"")</f>
        <v/>
      </c>
    </row>
    <row r="244" spans="1:20" ht="28.8" x14ac:dyDescent="0.3">
      <c r="A244" t="str">
        <f>IFERROR(INDEX(Работы!$D$2:$D$6000,MATCH($C244,Работы!$A$2:$A$6000,0)),"")</f>
        <v>Р3</v>
      </c>
      <c r="B244" t="str">
        <f>IFERROR(INDEX(Работы!$F$2:$F$6000,MATCH($C244,Работы!$A$2:$A$6000,0)),"")</f>
        <v>1</v>
      </c>
      <c r="C244" t="str">
        <f>IFERROR(INDEX(Работы!$A$2:$A$6000,243),"")</f>
        <v>РАБ.Р3.1.029</v>
      </c>
      <c r="D244" s="8" t="str">
        <f>IFERROR(INDEX(Работы!$B$2:$B$6000,MATCH($C244,Работы!$A$2:$A$6000,0)),"")</f>
        <v>Усиление проемов деревянным антисептированным бруском 50*50</v>
      </c>
      <c r="E244" t="str">
        <f>IFERROR(INDEX(Работы!$C$2:$C$6000,MATCH($C244,Работы!$A$2:$A$6000,0)),"")</f>
        <v>м.п.</v>
      </c>
      <c r="F244">
        <f>IFERROR(INDEX(Работы!$G$2:$G$6000,MATCH($C244,Работы!$A$2:$A$6000,0)),"")</f>
        <v>0</v>
      </c>
      <c r="G244" t="str">
        <f>IFERROR(INDEX(Работы!$K$2:$K$6000,MATCH($C244,Работы!$A$2:$A$6000,0)),"")</f>
        <v>Погонаж</v>
      </c>
      <c r="H244" s="9"/>
      <c r="I244" s="9"/>
      <c r="J244" s="8" t="str">
        <f>IFERROR(INDEX(Материалы!$B$2:$B$9000,MATCH($I244,Материалы!$A$2:$A$9000,0)),"")</f>
        <v/>
      </c>
      <c r="K244" t="str">
        <f>IF($I244="","",IF($F244=IFERROR(INDEX(Материалы!$G$2:$G$9000,MATCH($I244,Материалы!$A$2:$A$9000,0)),""),"OK","!! не та группа"))</f>
        <v/>
      </c>
      <c r="L244" s="10">
        <f>IFERROR(INDEX(Работы!$H$2:$H$6000,MATCH($C244,Работы!$A$2:$A$6000,0))*(1-ДисконтТендер),0)</f>
        <v>490.94</v>
      </c>
      <c r="M244" s="10">
        <f>IF($I244="",0,IFERROR(INDEX(Материалы!$I$2:$I$9000,MATCH($I244,Материалы!$A$2:$A$9000,0))*IF(INDEX(Материалы!$J$2:$J$9000,MATCH($I244,Материалы!$A$2:$A$9000,0))="USD",КурсUSD,IF(INDEX(Материалы!$J$2:$J$9000,MATCH($I244,Материалы!$A$2:$A$9000,0))="EUR",КурсEUR,1))*INDEX(Материалы!$K$2:$K$9000,MATCH($I244,Материалы!$A$2:$A$9000,0))*(1+IFERROR(INDEX(Работы!$I$2:$I$6000,MATCH($C244,Работы!$A$2:$A$6000,0))/100,0))*(1-ДисконтТендер),0))</f>
        <v>0</v>
      </c>
      <c r="N244" s="10">
        <f t="shared" si="9"/>
        <v>0</v>
      </c>
      <c r="O244" s="10">
        <f t="shared" si="10"/>
        <v>0</v>
      </c>
      <c r="P244" s="10">
        <f t="shared" si="11"/>
        <v>0</v>
      </c>
      <c r="Q244" t="str">
        <f>IFERROR(INDEX(Работы!$J$2:$J$6000,MATCH($C244,Работы!$A$2:$A$6000,0)),"")</f>
        <v>нетиповая</v>
      </c>
      <c r="R244" t="s">
        <v>92</v>
      </c>
      <c r="T244" t="str">
        <f>IF(AND($P244&gt;0,$R244="да"),MAX($T$1:$T243)+1,"")</f>
        <v/>
      </c>
    </row>
    <row r="245" spans="1:20" x14ac:dyDescent="0.3">
      <c r="A245" t="str">
        <f>IFERROR(INDEX(Работы!$D$2:$D$6000,MATCH($C245,Работы!$A$2:$A$6000,0)),"")</f>
        <v>Р3</v>
      </c>
      <c r="B245" t="str">
        <f>IFERROR(INDEX(Работы!$F$2:$F$6000,MATCH($C245,Работы!$A$2:$A$6000,0)),"")</f>
        <v>1</v>
      </c>
      <c r="C245" t="str">
        <f>IFERROR(INDEX(Работы!$A$2:$A$6000,244),"")</f>
        <v>РАБ.Р3.1.030</v>
      </c>
      <c r="D245" s="8" t="str">
        <f>IFERROR(INDEX(Работы!$B$2:$B$6000,MATCH($C245,Работы!$A$2:$A$6000,0)),"")</f>
        <v>Люк скрытый нажимной 300*300</v>
      </c>
      <c r="E245" t="str">
        <f>IFERROR(INDEX(Работы!$C$2:$C$6000,MATCH($C245,Работы!$A$2:$A$6000,0)),"")</f>
        <v>шт.</v>
      </c>
      <c r="F245">
        <f>IFERROR(INDEX(Работы!$G$2:$G$6000,MATCH($C245,Работы!$A$2:$A$6000,0)),"")</f>
        <v>0</v>
      </c>
      <c r="G245" t="str">
        <f>IFERROR(INDEX(Работы!$K$2:$K$6000,MATCH($C245,Работы!$A$2:$A$6000,0)),"")</f>
        <v>Спецификация</v>
      </c>
      <c r="H245" s="9"/>
      <c r="I245" s="9"/>
      <c r="J245" s="8" t="str">
        <f>IFERROR(INDEX(Материалы!$B$2:$B$9000,MATCH($I245,Материалы!$A$2:$A$9000,0)),"")</f>
        <v/>
      </c>
      <c r="K245" t="str">
        <f>IF($I245="","",IF($F245=IFERROR(INDEX(Материалы!$G$2:$G$9000,MATCH($I245,Материалы!$A$2:$A$9000,0)),""),"OK","!! не та группа"))</f>
        <v/>
      </c>
      <c r="L245" s="10">
        <f>IFERROR(INDEX(Работы!$H$2:$H$6000,MATCH($C245,Работы!$A$2:$A$6000,0))*(1-ДисконтТендер),0)</f>
        <v>1788.72</v>
      </c>
      <c r="M245" s="10">
        <f>IF($I245="",0,IFERROR(INDEX(Материалы!$I$2:$I$9000,MATCH($I245,Материалы!$A$2:$A$9000,0))*IF(INDEX(Материалы!$J$2:$J$9000,MATCH($I245,Материалы!$A$2:$A$9000,0))="USD",КурсUSD,IF(INDEX(Материалы!$J$2:$J$9000,MATCH($I245,Материалы!$A$2:$A$9000,0))="EUR",КурсEUR,1))*INDEX(Материалы!$K$2:$K$9000,MATCH($I245,Материалы!$A$2:$A$9000,0))*(1+IFERROR(INDEX(Работы!$I$2:$I$6000,MATCH($C245,Работы!$A$2:$A$6000,0))/100,0))*(1-ДисконтТендер),0))</f>
        <v>0</v>
      </c>
      <c r="N245" s="10">
        <f t="shared" si="9"/>
        <v>0</v>
      </c>
      <c r="O245" s="10">
        <f t="shared" si="10"/>
        <v>0</v>
      </c>
      <c r="P245" s="10">
        <f t="shared" si="11"/>
        <v>0</v>
      </c>
      <c r="Q245" t="str">
        <f>IFERROR(INDEX(Работы!$J$2:$J$6000,MATCH($C245,Работы!$A$2:$A$6000,0)),"")</f>
        <v>типовая</v>
      </c>
      <c r="R245" t="s">
        <v>92</v>
      </c>
      <c r="T245" t="str">
        <f>IF(AND($P245&gt;0,$R245="да"),MAX($T$1:$T244)+1,"")</f>
        <v/>
      </c>
    </row>
    <row r="246" spans="1:20" x14ac:dyDescent="0.3">
      <c r="A246" t="str">
        <f>IFERROR(INDEX(Работы!$D$2:$D$6000,MATCH($C246,Работы!$A$2:$A$6000,0)),"")</f>
        <v>Р3</v>
      </c>
      <c r="B246" t="str">
        <f>IFERROR(INDEX(Работы!$F$2:$F$6000,MATCH($C246,Работы!$A$2:$A$6000,0)),"")</f>
        <v>1</v>
      </c>
      <c r="C246" t="str">
        <f>IFERROR(INDEX(Работы!$A$2:$A$6000,245),"")</f>
        <v>РАБ.Р3.1.031</v>
      </c>
      <c r="D246" s="8" t="str">
        <f>IFERROR(INDEX(Работы!$B$2:$B$6000,MATCH($C246,Работы!$A$2:$A$6000,0)),"")</f>
        <v>Люк скрытый нажимной 400*600</v>
      </c>
      <c r="E246" t="str">
        <f>IFERROR(INDEX(Работы!$C$2:$C$6000,MATCH($C246,Работы!$A$2:$A$6000,0)),"")</f>
        <v>шт.</v>
      </c>
      <c r="F246">
        <f>IFERROR(INDEX(Работы!$G$2:$G$6000,MATCH($C246,Работы!$A$2:$A$6000,0)),"")</f>
        <v>0</v>
      </c>
      <c r="G246" t="str">
        <f>IFERROR(INDEX(Работы!$K$2:$K$6000,MATCH($C246,Работы!$A$2:$A$6000,0)),"")</f>
        <v>Спецификация</v>
      </c>
      <c r="H246" s="9"/>
      <c r="I246" s="9"/>
      <c r="J246" s="8" t="str">
        <f>IFERROR(INDEX(Материалы!$B$2:$B$9000,MATCH($I246,Материалы!$A$2:$A$9000,0)),"")</f>
        <v/>
      </c>
      <c r="K246" t="str">
        <f>IF($I246="","",IF($F246=IFERROR(INDEX(Материалы!$G$2:$G$9000,MATCH($I246,Материалы!$A$2:$A$9000,0)),""),"OK","!! не та группа"))</f>
        <v/>
      </c>
      <c r="L246" s="10">
        <f>IFERROR(INDEX(Работы!$H$2:$H$6000,MATCH($C246,Работы!$A$2:$A$6000,0))*(1-ДисконтТендер),0)</f>
        <v>2401.1999999999998</v>
      </c>
      <c r="M246" s="10">
        <f>IF($I246="",0,IFERROR(INDEX(Материалы!$I$2:$I$9000,MATCH($I246,Материалы!$A$2:$A$9000,0))*IF(INDEX(Материалы!$J$2:$J$9000,MATCH($I246,Материалы!$A$2:$A$9000,0))="USD",КурсUSD,IF(INDEX(Материалы!$J$2:$J$9000,MATCH($I246,Материалы!$A$2:$A$9000,0))="EUR",КурсEUR,1))*INDEX(Материалы!$K$2:$K$9000,MATCH($I246,Материалы!$A$2:$A$9000,0))*(1+IFERROR(INDEX(Работы!$I$2:$I$6000,MATCH($C246,Работы!$A$2:$A$6000,0))/100,0))*(1-ДисконтТендер),0))</f>
        <v>0</v>
      </c>
      <c r="N246" s="10">
        <f t="shared" si="9"/>
        <v>0</v>
      </c>
      <c r="O246" s="10">
        <f t="shared" si="10"/>
        <v>0</v>
      </c>
      <c r="P246" s="10">
        <f t="shared" si="11"/>
        <v>0</v>
      </c>
      <c r="Q246" t="str">
        <f>IFERROR(INDEX(Работы!$J$2:$J$6000,MATCH($C246,Работы!$A$2:$A$6000,0)),"")</f>
        <v>типовая</v>
      </c>
      <c r="R246" t="s">
        <v>92</v>
      </c>
      <c r="T246" t="str">
        <f>IF(AND($P246&gt;0,$R246="да"),MAX($T$1:$T245)+1,"")</f>
        <v/>
      </c>
    </row>
    <row r="247" spans="1:20" x14ac:dyDescent="0.3">
      <c r="A247" t="str">
        <f>IFERROR(INDEX(Работы!$D$2:$D$6000,MATCH($C247,Работы!$A$2:$A$6000,0)),"")</f>
        <v>Р3</v>
      </c>
      <c r="B247" t="str">
        <f>IFERROR(INDEX(Работы!$F$2:$F$6000,MATCH($C247,Работы!$A$2:$A$6000,0)),"")</f>
        <v>1</v>
      </c>
      <c r="C247" t="str">
        <f>IFERROR(INDEX(Работы!$A$2:$A$6000,246),"")</f>
        <v>РАБ.Р3.1.032</v>
      </c>
      <c r="D247" s="8" t="str">
        <f>IFERROR(INDEX(Работы!$B$2:$B$6000,MATCH($C247,Работы!$A$2:$A$6000,0)),"")</f>
        <v>Люк скрытый нажимной 500*600</v>
      </c>
      <c r="E247" t="str">
        <f>IFERROR(INDEX(Работы!$C$2:$C$6000,MATCH($C247,Работы!$A$2:$A$6000,0)),"")</f>
        <v>шт.</v>
      </c>
      <c r="F247">
        <f>IFERROR(INDEX(Работы!$G$2:$G$6000,MATCH($C247,Работы!$A$2:$A$6000,0)),"")</f>
        <v>0</v>
      </c>
      <c r="G247" t="str">
        <f>IFERROR(INDEX(Работы!$K$2:$K$6000,MATCH($C247,Работы!$A$2:$A$6000,0)),"")</f>
        <v>Спецификация</v>
      </c>
      <c r="H247" s="9"/>
      <c r="I247" s="9"/>
      <c r="J247" s="8" t="str">
        <f>IFERROR(INDEX(Материалы!$B$2:$B$9000,MATCH($I247,Материалы!$A$2:$A$9000,0)),"")</f>
        <v/>
      </c>
      <c r="K247" t="str">
        <f>IF($I247="","",IF($F247=IFERROR(INDEX(Материалы!$G$2:$G$9000,MATCH($I247,Материалы!$A$2:$A$9000,0)),""),"OK","!! не та группа"))</f>
        <v/>
      </c>
      <c r="L247" s="10">
        <f>IFERROR(INDEX(Работы!$H$2:$H$6000,MATCH($C247,Работы!$A$2:$A$6000,0))*(1-ДисконтТендер),0)</f>
        <v>2554.3200000000002</v>
      </c>
      <c r="M247" s="10">
        <f>IF($I247="",0,IFERROR(INDEX(Материалы!$I$2:$I$9000,MATCH($I247,Материалы!$A$2:$A$9000,0))*IF(INDEX(Материалы!$J$2:$J$9000,MATCH($I247,Материалы!$A$2:$A$9000,0))="USD",КурсUSD,IF(INDEX(Материалы!$J$2:$J$9000,MATCH($I247,Материалы!$A$2:$A$9000,0))="EUR",КурсEUR,1))*INDEX(Материалы!$K$2:$K$9000,MATCH($I247,Материалы!$A$2:$A$9000,0))*(1+IFERROR(INDEX(Работы!$I$2:$I$6000,MATCH($C247,Работы!$A$2:$A$6000,0))/100,0))*(1-ДисконтТендер),0))</f>
        <v>0</v>
      </c>
      <c r="N247" s="10">
        <f t="shared" si="9"/>
        <v>0</v>
      </c>
      <c r="O247" s="10">
        <f t="shared" si="10"/>
        <v>0</v>
      </c>
      <c r="P247" s="10">
        <f t="shared" si="11"/>
        <v>0</v>
      </c>
      <c r="Q247" t="str">
        <f>IFERROR(INDEX(Работы!$J$2:$J$6000,MATCH($C247,Работы!$A$2:$A$6000,0)),"")</f>
        <v>типовая</v>
      </c>
      <c r="R247" t="s">
        <v>92</v>
      </c>
      <c r="T247" t="str">
        <f>IF(AND($P247&gt;0,$R247="да"),MAX($T$1:$T246)+1,"")</f>
        <v/>
      </c>
    </row>
    <row r="248" spans="1:20" x14ac:dyDescent="0.3">
      <c r="A248" t="str">
        <f>IFERROR(INDEX(Работы!$D$2:$D$6000,MATCH($C248,Работы!$A$2:$A$6000,0)),"")</f>
        <v>Р3</v>
      </c>
      <c r="B248" t="str">
        <f>IFERROR(INDEX(Работы!$F$2:$F$6000,MATCH($C248,Работы!$A$2:$A$6000,0)),"")</f>
        <v>1</v>
      </c>
      <c r="C248" t="str">
        <f>IFERROR(INDEX(Работы!$A$2:$A$6000,247),"")</f>
        <v>РАБ.Р3.1.033</v>
      </c>
      <c r="D248" s="8" t="str">
        <f>IFERROR(INDEX(Работы!$B$2:$B$6000,MATCH($C248,Работы!$A$2:$A$6000,0)),"")</f>
        <v>Люк скрытый нажимной 600*600</v>
      </c>
      <c r="E248" t="str">
        <f>IFERROR(INDEX(Работы!$C$2:$C$6000,MATCH($C248,Работы!$A$2:$A$6000,0)),"")</f>
        <v>шт.</v>
      </c>
      <c r="F248">
        <f>IFERROR(INDEX(Работы!$G$2:$G$6000,MATCH($C248,Работы!$A$2:$A$6000,0)),"")</f>
        <v>0</v>
      </c>
      <c r="G248" t="str">
        <f>IFERROR(INDEX(Работы!$K$2:$K$6000,MATCH($C248,Работы!$A$2:$A$6000,0)),"")</f>
        <v>Спецификация</v>
      </c>
      <c r="H248" s="9"/>
      <c r="I248" s="9"/>
      <c r="J248" s="8" t="str">
        <f>IFERROR(INDEX(Материалы!$B$2:$B$9000,MATCH($I248,Материалы!$A$2:$A$9000,0)),"")</f>
        <v/>
      </c>
      <c r="K248" t="str">
        <f>IF($I248="","",IF($F248=IFERROR(INDEX(Материалы!$G$2:$G$9000,MATCH($I248,Материалы!$A$2:$A$9000,0)),""),"OK","!! не та группа"))</f>
        <v/>
      </c>
      <c r="L248" s="10">
        <f>IFERROR(INDEX(Работы!$H$2:$H$6000,MATCH($C248,Работы!$A$2:$A$6000,0))*(1-ДисконтТендер),0)</f>
        <v>2924.94</v>
      </c>
      <c r="M248" s="10">
        <f>IF($I248="",0,IFERROR(INDEX(Материалы!$I$2:$I$9000,MATCH($I248,Материалы!$A$2:$A$9000,0))*IF(INDEX(Материалы!$J$2:$J$9000,MATCH($I248,Материалы!$A$2:$A$9000,0))="USD",КурсUSD,IF(INDEX(Материалы!$J$2:$J$9000,MATCH($I248,Материалы!$A$2:$A$9000,0))="EUR",КурсEUR,1))*INDEX(Материалы!$K$2:$K$9000,MATCH($I248,Материалы!$A$2:$A$9000,0))*(1+IFERROR(INDEX(Работы!$I$2:$I$6000,MATCH($C248,Работы!$A$2:$A$6000,0))/100,0))*(1-ДисконтТендер),0))</f>
        <v>0</v>
      </c>
      <c r="N248" s="10">
        <f t="shared" si="9"/>
        <v>0</v>
      </c>
      <c r="O248" s="10">
        <f t="shared" si="10"/>
        <v>0</v>
      </c>
      <c r="P248" s="10">
        <f t="shared" si="11"/>
        <v>0</v>
      </c>
      <c r="Q248" t="str">
        <f>IFERROR(INDEX(Работы!$J$2:$J$6000,MATCH($C248,Работы!$A$2:$A$6000,0)),"")</f>
        <v>типовая</v>
      </c>
      <c r="R248" t="s">
        <v>92</v>
      </c>
      <c r="T248" t="str">
        <f>IF(AND($P248&gt;0,$R248="да"),MAX($T$1:$T247)+1,"")</f>
        <v/>
      </c>
    </row>
    <row r="249" spans="1:20" ht="28.8" x14ac:dyDescent="0.3">
      <c r="A249" t="str">
        <f>IFERROR(INDEX(Работы!$D$2:$D$6000,MATCH($C249,Работы!$A$2:$A$6000,0)),"")</f>
        <v>Р3</v>
      </c>
      <c r="B249" t="str">
        <f>IFERROR(INDEX(Работы!$F$2:$F$6000,MATCH($C249,Работы!$A$2:$A$6000,0)),"")</f>
        <v>1</v>
      </c>
      <c r="C249" t="str">
        <f>IFERROR(INDEX(Работы!$A$2:$A$6000,248),"")</f>
        <v>РАБ.Р3.1.034</v>
      </c>
      <c r="D249" s="8" t="str">
        <f>IFERROR(INDEX(Работы!$B$2:$B$6000,MATCH($C249,Работы!$A$2:$A$6000,0)),"")</f>
        <v>Устройство коробов из ГКЛ до 600 мм шириной (для обшивки ригелей, балок колонн и т.д.)</v>
      </c>
      <c r="E249" t="str">
        <f>IFERROR(INDEX(Работы!$C$2:$C$6000,MATCH($C249,Работы!$A$2:$A$6000,0)),"")</f>
        <v>м.п.</v>
      </c>
      <c r="F249" t="str">
        <f>IFERROR(INDEX(Работы!$G$2:$G$6000,MATCH($C249,Работы!$A$2:$A$6000,0)),"")</f>
        <v>ГКЛ</v>
      </c>
      <c r="G249" t="str">
        <f>IFERROR(INDEX(Работы!$K$2:$K$6000,MATCH($C249,Работы!$A$2:$A$6000,0)),"")</f>
        <v>S_стены</v>
      </c>
      <c r="H249" s="9"/>
      <c r="I249" s="9"/>
      <c r="J249" s="8" t="str">
        <f>IFERROR(INDEX(Материалы!$B$2:$B$9000,MATCH($I249,Материалы!$A$2:$A$9000,0)),"")</f>
        <v/>
      </c>
      <c r="K249" t="str">
        <f>IF($I249="","",IF($F249=IFERROR(INDEX(Материалы!$G$2:$G$9000,MATCH($I249,Материалы!$A$2:$A$9000,0)),""),"OK","!! не та группа"))</f>
        <v/>
      </c>
      <c r="L249" s="10">
        <f>IFERROR(INDEX(Работы!$H$2:$H$6000,MATCH($C249,Работы!$A$2:$A$6000,0))*(1-ДисконтТендер),0)</f>
        <v>1733.48</v>
      </c>
      <c r="M249" s="10">
        <f>IF($I249="",0,IFERROR(INDEX(Материалы!$I$2:$I$9000,MATCH($I249,Материалы!$A$2:$A$9000,0))*IF(INDEX(Материалы!$J$2:$J$9000,MATCH($I249,Материалы!$A$2:$A$9000,0))="USD",КурсUSD,IF(INDEX(Материалы!$J$2:$J$9000,MATCH($I249,Материалы!$A$2:$A$9000,0))="EUR",КурсEUR,1))*INDEX(Материалы!$K$2:$K$9000,MATCH($I249,Материалы!$A$2:$A$9000,0))*(1+IFERROR(INDEX(Работы!$I$2:$I$6000,MATCH($C249,Работы!$A$2:$A$6000,0))/100,0))*(1-ДисконтТендер),0))</f>
        <v>0</v>
      </c>
      <c r="N249" s="10">
        <f t="shared" si="9"/>
        <v>0</v>
      </c>
      <c r="O249" s="10">
        <f t="shared" si="10"/>
        <v>0</v>
      </c>
      <c r="P249" s="10">
        <f t="shared" si="11"/>
        <v>0</v>
      </c>
      <c r="Q249" t="str">
        <f>IFERROR(INDEX(Работы!$J$2:$J$6000,MATCH($C249,Работы!$A$2:$A$6000,0)),"")</f>
        <v>типовая</v>
      </c>
      <c r="R249" t="s">
        <v>92</v>
      </c>
      <c r="T249" t="str">
        <f>IF(AND($P249&gt;0,$R249="да"),MAX($T$1:$T248)+1,"")</f>
        <v/>
      </c>
    </row>
    <row r="250" spans="1:20" ht="43.2" x14ac:dyDescent="0.3">
      <c r="A250" t="str">
        <f>IFERROR(INDEX(Работы!$D$2:$D$6000,MATCH($C250,Работы!$A$2:$A$6000,0)),"")</f>
        <v>Р3</v>
      </c>
      <c r="B250" t="str">
        <f>IFERROR(INDEX(Работы!$F$2:$F$6000,MATCH($C250,Работы!$A$2:$A$6000,0)),"")</f>
        <v>2</v>
      </c>
      <c r="C250" t="str">
        <f>IFERROR(INDEX(Работы!$A$2:$A$6000,249),"")</f>
        <v>РАБ.Р3.2.001</v>
      </c>
      <c r="D250" s="8" t="str">
        <f>IFERROR(INDEX(Работы!$B$2:$B$6000,MATCH($C250,Работы!$A$2:$A$6000,0)),"")</f>
        <v>Монтаж стеклянных бескаркасных перегородок , стекло 10 мм, закаленное с фурнитурой цвета матовая нержавеющая сталь</v>
      </c>
      <c r="E250" t="str">
        <f>IFERROR(INDEX(Работы!$C$2:$C$6000,MATCH($C250,Работы!$A$2:$A$6000,0)),"")</f>
        <v>м2</v>
      </c>
      <c r="F250">
        <f>IFERROR(INDEX(Работы!$G$2:$G$6000,MATCH($C250,Работы!$A$2:$A$6000,0)),"")</f>
        <v>0</v>
      </c>
      <c r="G250" t="str">
        <f>IFERROR(INDEX(Работы!$K$2:$K$6000,MATCH($C250,Работы!$A$2:$A$6000,0)),"")</f>
        <v>S_поверхность</v>
      </c>
      <c r="H250" s="9"/>
      <c r="I250" s="9"/>
      <c r="J250" s="8" t="str">
        <f>IFERROR(INDEX(Материалы!$B$2:$B$9000,MATCH($I250,Материалы!$A$2:$A$9000,0)),"")</f>
        <v/>
      </c>
      <c r="K250" t="str">
        <f>IF($I250="","",IF($F250=IFERROR(INDEX(Материалы!$G$2:$G$9000,MATCH($I250,Материалы!$A$2:$A$9000,0)),""),"OK","!! не та группа"))</f>
        <v/>
      </c>
      <c r="L250" s="10">
        <f>IFERROR(INDEX(Работы!$H$2:$H$6000,MATCH($C250,Работы!$A$2:$A$6000,0))*(1-ДисконтТендер),0)</f>
        <v>3065.04</v>
      </c>
      <c r="M250" s="10">
        <f>IF($I250="",0,IFERROR(INDEX(Материалы!$I$2:$I$9000,MATCH($I250,Материалы!$A$2:$A$9000,0))*IF(INDEX(Материалы!$J$2:$J$9000,MATCH($I250,Материалы!$A$2:$A$9000,0))="USD",КурсUSD,IF(INDEX(Материалы!$J$2:$J$9000,MATCH($I250,Материалы!$A$2:$A$9000,0))="EUR",КурсEUR,1))*INDEX(Материалы!$K$2:$K$9000,MATCH($I250,Материалы!$A$2:$A$9000,0))*(1+IFERROR(INDEX(Работы!$I$2:$I$6000,MATCH($C250,Работы!$A$2:$A$6000,0))/100,0))*(1-ДисконтТендер),0))</f>
        <v>0</v>
      </c>
      <c r="N250" s="10">
        <f t="shared" si="9"/>
        <v>0</v>
      </c>
      <c r="O250" s="10">
        <f t="shared" si="10"/>
        <v>0</v>
      </c>
      <c r="P250" s="10">
        <f t="shared" si="11"/>
        <v>0</v>
      </c>
      <c r="Q250" t="str">
        <f>IFERROR(INDEX(Работы!$J$2:$J$6000,MATCH($C250,Работы!$A$2:$A$6000,0)),"")</f>
        <v>типовая</v>
      </c>
      <c r="R250" t="s">
        <v>92</v>
      </c>
      <c r="T250" t="str">
        <f>IF(AND($P250&gt;0,$R250="да"),MAX($T$1:$T249)+1,"")</f>
        <v/>
      </c>
    </row>
    <row r="251" spans="1:20" ht="43.2" x14ac:dyDescent="0.3">
      <c r="A251" t="str">
        <f>IFERROR(INDEX(Работы!$D$2:$D$6000,MATCH($C251,Работы!$A$2:$A$6000,0)),"")</f>
        <v>Р3</v>
      </c>
      <c r="B251" t="str">
        <f>IFERROR(INDEX(Работы!$F$2:$F$6000,MATCH($C251,Работы!$A$2:$A$6000,0)),"")</f>
        <v>2</v>
      </c>
      <c r="C251" t="str">
        <f>IFERROR(INDEX(Работы!$A$2:$A$6000,250),"")</f>
        <v>РАБ.Р3.2.002</v>
      </c>
      <c r="D251" s="8" t="str">
        <f>IFERROR(INDEX(Работы!$B$2:$B$6000,MATCH($C251,Работы!$A$2:$A$6000,0)),"")</f>
        <v>Устройство стеклянной перегородки в алюминиевом профиле по RAL. Стекло закаленное 6 мм.</v>
      </c>
      <c r="E251" t="str">
        <f>IFERROR(INDEX(Работы!$C$2:$C$6000,MATCH($C251,Работы!$A$2:$A$6000,0)),"")</f>
        <v>м2</v>
      </c>
      <c r="F251" t="str">
        <f>IFERROR(INDEX(Работы!$G$2:$G$6000,MATCH($C251,Работы!$A$2:$A$6000,0)),"")</f>
        <v>ПЕРЕГ.СТ</v>
      </c>
      <c r="G251" t="str">
        <f>IFERROR(INDEX(Работы!$K$2:$K$6000,MATCH($C251,Работы!$A$2:$A$6000,0)),"")</f>
        <v>S_стены</v>
      </c>
      <c r="H251" s="9"/>
      <c r="I251" s="9"/>
      <c r="J251" s="8" t="str">
        <f>IFERROR(INDEX(Материалы!$B$2:$B$9000,MATCH($I251,Материалы!$A$2:$A$9000,0)),"")</f>
        <v/>
      </c>
      <c r="K251" t="str">
        <f>IF($I251="","",IF($F251=IFERROR(INDEX(Материалы!$G$2:$G$9000,MATCH($I251,Материалы!$A$2:$A$9000,0)),""),"OK","!! не та группа"))</f>
        <v/>
      </c>
      <c r="L251" s="10">
        <f>IFERROR(INDEX(Работы!$H$2:$H$6000,MATCH($C251,Работы!$A$2:$A$6000,0))*(1-ДисконтТендер),0)</f>
        <v>2210.33</v>
      </c>
      <c r="M251" s="10">
        <f>IF($I251="",0,IFERROR(INDEX(Материалы!$I$2:$I$9000,MATCH($I251,Материалы!$A$2:$A$9000,0))*IF(INDEX(Материалы!$J$2:$J$9000,MATCH($I251,Материалы!$A$2:$A$9000,0))="USD",КурсUSD,IF(INDEX(Материалы!$J$2:$J$9000,MATCH($I251,Материалы!$A$2:$A$9000,0))="EUR",КурсEUR,1))*INDEX(Материалы!$K$2:$K$9000,MATCH($I251,Материалы!$A$2:$A$9000,0))*(1+IFERROR(INDEX(Работы!$I$2:$I$6000,MATCH($C251,Работы!$A$2:$A$6000,0))/100,0))*(1-ДисконтТендер),0))</f>
        <v>0</v>
      </c>
      <c r="N251" s="10">
        <f t="shared" si="9"/>
        <v>0</v>
      </c>
      <c r="O251" s="10">
        <f t="shared" si="10"/>
        <v>0</v>
      </c>
      <c r="P251" s="10">
        <f t="shared" si="11"/>
        <v>0</v>
      </c>
      <c r="Q251" t="str">
        <f>IFERROR(INDEX(Работы!$J$2:$J$6000,MATCH($C251,Работы!$A$2:$A$6000,0)),"")</f>
        <v>типовая</v>
      </c>
      <c r="R251" t="s">
        <v>92</v>
      </c>
      <c r="T251" t="str">
        <f>IF(AND($P251&gt;0,$R251="да"),MAX($T$1:$T250)+1,"")</f>
        <v/>
      </c>
    </row>
    <row r="252" spans="1:20" ht="28.8" x14ac:dyDescent="0.3">
      <c r="A252" t="str">
        <f>IFERROR(INDEX(Работы!$D$2:$D$6000,MATCH($C252,Работы!$A$2:$A$6000,0)),"")</f>
        <v>Р3</v>
      </c>
      <c r="B252" t="str">
        <f>IFERROR(INDEX(Работы!$F$2:$F$6000,MATCH($C252,Работы!$A$2:$A$6000,0)),"")</f>
        <v>2</v>
      </c>
      <c r="C252" t="str">
        <f>IFERROR(INDEX(Работы!$A$2:$A$6000,251),"")</f>
        <v>РАБ.Р3.2.003</v>
      </c>
      <c r="D252" s="8" t="str">
        <f>IFERROR(INDEX(Работы!$B$2:$B$6000,MATCH($C252,Работы!$A$2:$A$6000,0)),"")</f>
        <v>Устройство стеклянной перегородки в пластиковом профиле. Стекло закаленное 6 мм.</v>
      </c>
      <c r="E252" t="str">
        <f>IFERROR(INDEX(Работы!$C$2:$C$6000,MATCH($C252,Работы!$A$2:$A$6000,0)),"")</f>
        <v>м2</v>
      </c>
      <c r="F252" t="str">
        <f>IFERROR(INDEX(Работы!$G$2:$G$6000,MATCH($C252,Работы!$A$2:$A$6000,0)),"")</f>
        <v>ПЕРЕГ.СТ</v>
      </c>
      <c r="G252" t="str">
        <f>IFERROR(INDEX(Работы!$K$2:$K$6000,MATCH($C252,Работы!$A$2:$A$6000,0)),"")</f>
        <v>S_стены</v>
      </c>
      <c r="H252" s="9"/>
      <c r="I252" s="9"/>
      <c r="J252" s="8" t="str">
        <f>IFERROR(INDEX(Материалы!$B$2:$B$9000,MATCH($I252,Материалы!$A$2:$A$9000,0)),"")</f>
        <v/>
      </c>
      <c r="K252" t="str">
        <f>IF($I252="","",IF($F252=IFERROR(INDEX(Материалы!$G$2:$G$9000,MATCH($I252,Материалы!$A$2:$A$9000,0)),""),"OK","!! не та группа"))</f>
        <v/>
      </c>
      <c r="L252" s="10">
        <f>IFERROR(INDEX(Работы!$H$2:$H$6000,MATCH($C252,Работы!$A$2:$A$6000,0))*(1-ДисконтТендер),0)</f>
        <v>2197.3200000000002</v>
      </c>
      <c r="M252" s="10">
        <f>IF($I252="",0,IFERROR(INDEX(Материалы!$I$2:$I$9000,MATCH($I252,Материалы!$A$2:$A$9000,0))*IF(INDEX(Материалы!$J$2:$J$9000,MATCH($I252,Материалы!$A$2:$A$9000,0))="USD",КурсUSD,IF(INDEX(Материалы!$J$2:$J$9000,MATCH($I252,Материалы!$A$2:$A$9000,0))="EUR",КурсEUR,1))*INDEX(Материалы!$K$2:$K$9000,MATCH($I252,Материалы!$A$2:$A$9000,0))*(1+IFERROR(INDEX(Работы!$I$2:$I$6000,MATCH($C252,Работы!$A$2:$A$6000,0))/100,0))*(1-ДисконтТендер),0))</f>
        <v>0</v>
      </c>
      <c r="N252" s="10">
        <f t="shared" si="9"/>
        <v>0</v>
      </c>
      <c r="O252" s="10">
        <f t="shared" si="10"/>
        <v>0</v>
      </c>
      <c r="P252" s="10">
        <f t="shared" si="11"/>
        <v>0</v>
      </c>
      <c r="Q252" t="str">
        <f>IFERROR(INDEX(Работы!$J$2:$J$6000,MATCH($C252,Работы!$A$2:$A$6000,0)),"")</f>
        <v>типовая</v>
      </c>
      <c r="R252" t="s">
        <v>92</v>
      </c>
      <c r="T252" t="str">
        <f>IF(AND($P252&gt;0,$R252="да"),MAX($T$1:$T251)+1,"")</f>
        <v/>
      </c>
    </row>
    <row r="253" spans="1:20" ht="28.8" x14ac:dyDescent="0.3">
      <c r="A253" t="str">
        <f>IFERROR(INDEX(Работы!$D$2:$D$6000,MATCH($C253,Работы!$A$2:$A$6000,0)),"")</f>
        <v>Р3</v>
      </c>
      <c r="B253" t="str">
        <f>IFERROR(INDEX(Работы!$F$2:$F$6000,MATCH($C253,Работы!$A$2:$A$6000,0)),"")</f>
        <v>2</v>
      </c>
      <c r="C253" t="str">
        <f>IFERROR(INDEX(Работы!$A$2:$A$6000,252),"")</f>
        <v>РАБ.Р3.2.004</v>
      </c>
      <c r="D253" s="8" t="str">
        <f>IFERROR(INDEX(Работы!$B$2:$B$6000,MATCH($C253,Работы!$A$2:$A$6000,0)),"")</f>
        <v>Оклейка стеклянных перегородок декоративной пленкой (перфорированной) с фоторисунком</v>
      </c>
      <c r="E253" t="str">
        <f>IFERROR(INDEX(Работы!$C$2:$C$6000,MATCH($C253,Работы!$A$2:$A$6000,0)),"")</f>
        <v>м2</v>
      </c>
      <c r="F253">
        <f>IFERROR(INDEX(Работы!$G$2:$G$6000,MATCH($C253,Работы!$A$2:$A$6000,0)),"")</f>
        <v>0</v>
      </c>
      <c r="G253" t="str">
        <f>IFERROR(INDEX(Работы!$K$2:$K$6000,MATCH($C253,Работы!$A$2:$A$6000,0)),"")</f>
        <v>S_стены</v>
      </c>
      <c r="H253" s="9"/>
      <c r="I253" s="9"/>
      <c r="J253" s="8" t="str">
        <f>IFERROR(INDEX(Материалы!$B$2:$B$9000,MATCH($I253,Материалы!$A$2:$A$9000,0)),"")</f>
        <v/>
      </c>
      <c r="K253" t="str">
        <f>IF($I253="","",IF($F253=IFERROR(INDEX(Материалы!$G$2:$G$9000,MATCH($I253,Материалы!$A$2:$A$9000,0)),""),"OK","!! не та группа"))</f>
        <v/>
      </c>
      <c r="L253" s="10">
        <f>IFERROR(INDEX(Работы!$H$2:$H$6000,MATCH($C253,Работы!$A$2:$A$6000,0))*(1-ДисконтТендер),0)</f>
        <v>1650</v>
      </c>
      <c r="M253" s="10">
        <f>IF($I253="",0,IFERROR(INDEX(Материалы!$I$2:$I$9000,MATCH($I253,Материалы!$A$2:$A$9000,0))*IF(INDEX(Материалы!$J$2:$J$9000,MATCH($I253,Материалы!$A$2:$A$9000,0))="USD",КурсUSD,IF(INDEX(Материалы!$J$2:$J$9000,MATCH($I253,Материалы!$A$2:$A$9000,0))="EUR",КурсEUR,1))*INDEX(Материалы!$K$2:$K$9000,MATCH($I253,Материалы!$A$2:$A$9000,0))*(1+IFERROR(INDEX(Работы!$I$2:$I$6000,MATCH($C253,Работы!$A$2:$A$6000,0))/100,0))*(1-ДисконтТендер),0))</f>
        <v>0</v>
      </c>
      <c r="N253" s="10">
        <f t="shared" si="9"/>
        <v>0</v>
      </c>
      <c r="O253" s="10">
        <f t="shared" si="10"/>
        <v>0</v>
      </c>
      <c r="P253" s="10">
        <f t="shared" si="11"/>
        <v>0</v>
      </c>
      <c r="Q253" t="str">
        <f>IFERROR(INDEX(Работы!$J$2:$J$6000,MATCH($C253,Работы!$A$2:$A$6000,0)),"")</f>
        <v>типовая</v>
      </c>
      <c r="R253" t="s">
        <v>92</v>
      </c>
      <c r="T253" t="str">
        <f>IF(AND($P253&gt;0,$R253="да"),MAX($T$1:$T252)+1,"")</f>
        <v/>
      </c>
    </row>
    <row r="254" spans="1:20" x14ac:dyDescent="0.3">
      <c r="A254" t="str">
        <f>IFERROR(INDEX(Работы!$D$2:$D$6000,MATCH($C254,Работы!$A$2:$A$6000,0)),"")</f>
        <v>Р3</v>
      </c>
      <c r="B254" t="str">
        <f>IFERROR(INDEX(Работы!$F$2:$F$6000,MATCH($C254,Работы!$A$2:$A$6000,0)),"")</f>
        <v>2</v>
      </c>
      <c r="C254" t="str">
        <f>IFERROR(INDEX(Работы!$A$2:$A$6000,253),"")</f>
        <v>РАБ.Р3.2.005</v>
      </c>
      <c r="D254" s="8" t="str">
        <f>IFERROR(INDEX(Работы!$B$2:$B$6000,MATCH($C254,Работы!$A$2:$A$6000,0)),"")</f>
        <v>Монтаж стеклянной перегородки</v>
      </c>
      <c r="E254" t="str">
        <f>IFERROR(INDEX(Работы!$C$2:$C$6000,MATCH($C254,Работы!$A$2:$A$6000,0)),"")</f>
        <v>м2</v>
      </c>
      <c r="F254" t="str">
        <f>IFERROR(INDEX(Работы!$G$2:$G$6000,MATCH($C254,Работы!$A$2:$A$6000,0)),"")</f>
        <v>ПЕРЕГ.СТ</v>
      </c>
      <c r="G254" t="str">
        <f>IFERROR(INDEX(Работы!$K$2:$K$6000,MATCH($C254,Работы!$A$2:$A$6000,0)),"")</f>
        <v>S_стены</v>
      </c>
      <c r="H254" s="9"/>
      <c r="I254" s="9"/>
      <c r="J254" s="8" t="str">
        <f>IFERROR(INDEX(Материалы!$B$2:$B$9000,MATCH($I254,Материалы!$A$2:$A$9000,0)),"")</f>
        <v/>
      </c>
      <c r="K254" t="str">
        <f>IF($I254="","",IF($F254=IFERROR(INDEX(Материалы!$G$2:$G$9000,MATCH($I254,Материалы!$A$2:$A$9000,0)),""),"OK","!! не та группа"))</f>
        <v/>
      </c>
      <c r="L254" s="10">
        <f>IFERROR(INDEX(Работы!$H$2:$H$6000,MATCH($C254,Работы!$A$2:$A$6000,0))*(1-ДисконтТендер),0)</f>
        <v>5637.6</v>
      </c>
      <c r="M254" s="10">
        <f>IF($I254="",0,IFERROR(INDEX(Материалы!$I$2:$I$9000,MATCH($I254,Материалы!$A$2:$A$9000,0))*IF(INDEX(Материалы!$J$2:$J$9000,MATCH($I254,Материалы!$A$2:$A$9000,0))="USD",КурсUSD,IF(INDEX(Материалы!$J$2:$J$9000,MATCH($I254,Материалы!$A$2:$A$9000,0))="EUR",КурсEUR,1))*INDEX(Материалы!$K$2:$K$9000,MATCH($I254,Материалы!$A$2:$A$9000,0))*(1+IFERROR(INDEX(Работы!$I$2:$I$6000,MATCH($C254,Работы!$A$2:$A$6000,0))/100,0))*(1-ДисконтТендер),0))</f>
        <v>0</v>
      </c>
      <c r="N254" s="10">
        <f t="shared" si="9"/>
        <v>0</v>
      </c>
      <c r="O254" s="10">
        <f t="shared" si="10"/>
        <v>0</v>
      </c>
      <c r="P254" s="10">
        <f t="shared" si="11"/>
        <v>0</v>
      </c>
      <c r="Q254" t="str">
        <f>IFERROR(INDEX(Работы!$J$2:$J$6000,MATCH($C254,Работы!$A$2:$A$6000,0)),"")</f>
        <v>типовая</v>
      </c>
      <c r="R254" t="s">
        <v>92</v>
      </c>
      <c r="T254" t="str">
        <f>IF(AND($P254&gt;0,$R254="да"),MAX($T$1:$T253)+1,"")</f>
        <v/>
      </c>
    </row>
    <row r="255" spans="1:20" x14ac:dyDescent="0.3">
      <c r="A255" t="str">
        <f>IFERROR(INDEX(Работы!$D$2:$D$6000,MATCH($C255,Работы!$A$2:$A$6000,0)),"")</f>
        <v>Р3</v>
      </c>
      <c r="B255" t="str">
        <f>IFERROR(INDEX(Работы!$F$2:$F$6000,MATCH($C255,Работы!$A$2:$A$6000,0)),"")</f>
        <v>2</v>
      </c>
      <c r="C255" t="str">
        <f>IFERROR(INDEX(Работы!$A$2:$A$6000,254),"")</f>
        <v>РАБ.Р3.2.006</v>
      </c>
      <c r="D255" s="8" t="str">
        <f>IFERROR(INDEX(Работы!$B$2:$B$6000,MATCH($C255,Работы!$A$2:$A$6000,0)),"")</f>
        <v>Устройство фальшпола</v>
      </c>
      <c r="E255" t="str">
        <f>IFERROR(INDEX(Работы!$C$2:$C$6000,MATCH($C255,Работы!$A$2:$A$6000,0)),"")</f>
        <v>м2</v>
      </c>
      <c r="F255" t="str">
        <f>IFERROR(INDEX(Работы!$G$2:$G$6000,MATCH($C255,Работы!$A$2:$A$6000,0)),"")</f>
        <v>ФАЛЬШПОЛ</v>
      </c>
      <c r="G255" t="str">
        <f>IFERROR(INDEX(Работы!$K$2:$K$6000,MATCH($C255,Работы!$A$2:$A$6000,0)),"")</f>
        <v>S_пол</v>
      </c>
      <c r="H255" s="9"/>
      <c r="I255" s="9"/>
      <c r="J255" s="8" t="str">
        <f>IFERROR(INDEX(Материалы!$B$2:$B$9000,MATCH($I255,Материалы!$A$2:$A$9000,0)),"")</f>
        <v/>
      </c>
      <c r="K255" t="str">
        <f>IF($I255="","",IF($F255=IFERROR(INDEX(Материалы!$G$2:$G$9000,MATCH($I255,Материалы!$A$2:$A$9000,0)),""),"OK","!! не та группа"))</f>
        <v/>
      </c>
      <c r="L255" s="10">
        <f>IFERROR(INDEX(Работы!$H$2:$H$6000,MATCH($C255,Работы!$A$2:$A$6000,0))*(1-ДисконтТендер),0)</f>
        <v>8143.2</v>
      </c>
      <c r="M255" s="10">
        <f>IF($I255="",0,IFERROR(INDEX(Материалы!$I$2:$I$9000,MATCH($I255,Материалы!$A$2:$A$9000,0))*IF(INDEX(Материалы!$J$2:$J$9000,MATCH($I255,Материалы!$A$2:$A$9000,0))="USD",КурсUSD,IF(INDEX(Материалы!$J$2:$J$9000,MATCH($I255,Материалы!$A$2:$A$9000,0))="EUR",КурсEUR,1))*INDEX(Материалы!$K$2:$K$9000,MATCH($I255,Материалы!$A$2:$A$9000,0))*(1+IFERROR(INDEX(Работы!$I$2:$I$6000,MATCH($C255,Работы!$A$2:$A$6000,0))/100,0))*(1-ДисконтТендер),0))</f>
        <v>0</v>
      </c>
      <c r="N255" s="10">
        <f t="shared" si="9"/>
        <v>0</v>
      </c>
      <c r="O255" s="10">
        <f t="shared" si="10"/>
        <v>0</v>
      </c>
      <c r="P255" s="10">
        <f t="shared" si="11"/>
        <v>0</v>
      </c>
      <c r="Q255" t="str">
        <f>IFERROR(INDEX(Работы!$J$2:$J$6000,MATCH($C255,Работы!$A$2:$A$6000,0)),"")</f>
        <v>типовая</v>
      </c>
      <c r="R255" t="s">
        <v>92</v>
      </c>
      <c r="T255" t="str">
        <f>IF(AND($P255&gt;0,$R255="да"),MAX($T$1:$T254)+1,"")</f>
        <v/>
      </c>
    </row>
    <row r="256" spans="1:20" ht="28.8" x14ac:dyDescent="0.3">
      <c r="A256" t="str">
        <f>IFERROR(INDEX(Работы!$D$2:$D$6000,MATCH($C256,Работы!$A$2:$A$6000,0)),"")</f>
        <v>Р3</v>
      </c>
      <c r="B256" t="str">
        <f>IFERROR(INDEX(Работы!$F$2:$F$6000,MATCH($C256,Работы!$A$2:$A$6000,0)),"")</f>
        <v>2</v>
      </c>
      <c r="C256" t="str">
        <f>IFERROR(INDEX(Работы!$A$2:$A$6000,255),"")</f>
        <v>РАБ.Р3.2.007</v>
      </c>
      <c r="D256" s="8" t="str">
        <f>IFERROR(INDEX(Работы!$B$2:$B$6000,MATCH($C256,Работы!$A$2:$A$6000,0)),"")</f>
        <v>Замок для трансформируемой перегородки типа «Т-009 PSS»</v>
      </c>
      <c r="E256" t="str">
        <f>IFERROR(INDEX(Работы!$C$2:$C$6000,MATCH($C256,Работы!$A$2:$A$6000,0)),"")</f>
        <v>шт.</v>
      </c>
      <c r="F256" t="str">
        <f>IFERROR(INDEX(Работы!$G$2:$G$6000,MATCH($C256,Работы!$A$2:$A$6000,0)),"")</f>
        <v>ПЕРЕГ.ТР</v>
      </c>
      <c r="G256" t="str">
        <f>IFERROR(INDEX(Работы!$K$2:$K$6000,MATCH($C256,Работы!$A$2:$A$6000,0)),"")</f>
        <v>S_стены</v>
      </c>
      <c r="H256" s="9"/>
      <c r="I256" s="9"/>
      <c r="J256" s="8" t="str">
        <f>IFERROR(INDEX(Материалы!$B$2:$B$9000,MATCH($I256,Материалы!$A$2:$A$9000,0)),"")</f>
        <v/>
      </c>
      <c r="K256" t="str">
        <f>IF($I256="","",IF($F256=IFERROR(INDEX(Материалы!$G$2:$G$9000,MATCH($I256,Материалы!$A$2:$A$9000,0)),""),"OK","!! не та группа"))</f>
        <v/>
      </c>
      <c r="L256" s="10">
        <f>IFERROR(INDEX(Работы!$H$2:$H$6000,MATCH($C256,Работы!$A$2:$A$6000,0))*(1-ДисконтТендер),0)</f>
        <v>720.36</v>
      </c>
      <c r="M256" s="10">
        <f>IF($I256="",0,IFERROR(INDEX(Материалы!$I$2:$I$9000,MATCH($I256,Материалы!$A$2:$A$9000,0))*IF(INDEX(Материалы!$J$2:$J$9000,MATCH($I256,Материалы!$A$2:$A$9000,0))="USD",КурсUSD,IF(INDEX(Материалы!$J$2:$J$9000,MATCH($I256,Материалы!$A$2:$A$9000,0))="EUR",КурсEUR,1))*INDEX(Материалы!$K$2:$K$9000,MATCH($I256,Материалы!$A$2:$A$9000,0))*(1+IFERROR(INDEX(Работы!$I$2:$I$6000,MATCH($C256,Работы!$A$2:$A$6000,0))/100,0))*(1-ДисконтТендер),0))</f>
        <v>0</v>
      </c>
      <c r="N256" s="10">
        <f t="shared" si="9"/>
        <v>0</v>
      </c>
      <c r="O256" s="10">
        <f t="shared" si="10"/>
        <v>0</v>
      </c>
      <c r="P256" s="10">
        <f t="shared" si="11"/>
        <v>0</v>
      </c>
      <c r="Q256" t="str">
        <f>IFERROR(INDEX(Работы!$J$2:$J$6000,MATCH($C256,Работы!$A$2:$A$6000,0)),"")</f>
        <v>типовая</v>
      </c>
      <c r="R256" t="s">
        <v>92</v>
      </c>
      <c r="T256" t="str">
        <f>IF(AND($P256&gt;0,$R256="да"),MAX($T$1:$T255)+1,"")</f>
        <v/>
      </c>
    </row>
    <row r="257" spans="1:20" x14ac:dyDescent="0.3">
      <c r="A257" t="str">
        <f>IFERROR(INDEX(Работы!$D$2:$D$6000,MATCH($C257,Работы!$A$2:$A$6000,0)),"")</f>
        <v>Р3</v>
      </c>
      <c r="B257" t="str">
        <f>IFERROR(INDEX(Работы!$F$2:$F$6000,MATCH($C257,Работы!$A$2:$A$6000,0)),"")</f>
        <v>2</v>
      </c>
      <c r="C257" t="str">
        <f>IFERROR(INDEX(Работы!$A$2:$A$6000,256),"")</f>
        <v>РАБ.Р3.2.008</v>
      </c>
      <c r="D257" s="8" t="str">
        <f>IFERROR(INDEX(Работы!$B$2:$B$6000,MATCH($C257,Работы!$A$2:$A$6000,0)),"")</f>
        <v>Цилиндр с заверткой для нижнего замка</v>
      </c>
      <c r="E257" t="str">
        <f>IFERROR(INDEX(Работы!$C$2:$C$6000,MATCH($C257,Работы!$A$2:$A$6000,0)),"")</f>
        <v>шт.</v>
      </c>
      <c r="F257">
        <f>IFERROR(INDEX(Работы!$G$2:$G$6000,MATCH($C257,Работы!$A$2:$A$6000,0)),"")</f>
        <v>0</v>
      </c>
      <c r="G257" t="str">
        <f>IFERROR(INDEX(Работы!$K$2:$K$6000,MATCH($C257,Работы!$A$2:$A$6000,0)),"")</f>
        <v>Спецификация</v>
      </c>
      <c r="H257" s="9"/>
      <c r="I257" s="9"/>
      <c r="J257" s="8" t="str">
        <f>IFERROR(INDEX(Материалы!$B$2:$B$9000,MATCH($I257,Материалы!$A$2:$A$9000,0)),"")</f>
        <v/>
      </c>
      <c r="K257" t="str">
        <f>IF($I257="","",IF($F257=IFERROR(INDEX(Материалы!$G$2:$G$9000,MATCH($I257,Материалы!$A$2:$A$9000,0)),""),"OK","!! не та группа"))</f>
        <v/>
      </c>
      <c r="L257" s="10">
        <f>IFERROR(INDEX(Работы!$H$2:$H$6000,MATCH($C257,Работы!$A$2:$A$6000,0))*(1-ДисконтТендер),0)</f>
        <v>250.56</v>
      </c>
      <c r="M257" s="10">
        <f>IF($I257="",0,IFERROR(INDEX(Материалы!$I$2:$I$9000,MATCH($I257,Материалы!$A$2:$A$9000,0))*IF(INDEX(Материалы!$J$2:$J$9000,MATCH($I257,Материалы!$A$2:$A$9000,0))="USD",КурсUSD,IF(INDEX(Материалы!$J$2:$J$9000,MATCH($I257,Материалы!$A$2:$A$9000,0))="EUR",КурсEUR,1))*INDEX(Материалы!$K$2:$K$9000,MATCH($I257,Материалы!$A$2:$A$9000,0))*(1+IFERROR(INDEX(Работы!$I$2:$I$6000,MATCH($C257,Работы!$A$2:$A$6000,0))/100,0))*(1-ДисконтТендер),0))</f>
        <v>0</v>
      </c>
      <c r="N257" s="10">
        <f t="shared" si="9"/>
        <v>0</v>
      </c>
      <c r="O257" s="10">
        <f t="shared" si="10"/>
        <v>0</v>
      </c>
      <c r="P257" s="10">
        <f t="shared" si="11"/>
        <v>0</v>
      </c>
      <c r="Q257" t="str">
        <f>IFERROR(INDEX(Работы!$J$2:$J$6000,MATCH($C257,Работы!$A$2:$A$6000,0)),"")</f>
        <v>типовая</v>
      </c>
      <c r="R257" t="s">
        <v>92</v>
      </c>
      <c r="T257" t="str">
        <f>IF(AND($P257&gt;0,$R257="да"),MAX($T$1:$T256)+1,"")</f>
        <v/>
      </c>
    </row>
    <row r="258" spans="1:20" ht="28.8" x14ac:dyDescent="0.3">
      <c r="A258" t="str">
        <f>IFERROR(INDEX(Работы!$D$2:$D$6000,MATCH($C258,Работы!$A$2:$A$6000,0)),"")</f>
        <v>Р3</v>
      </c>
      <c r="B258" t="str">
        <f>IFERROR(INDEX(Работы!$F$2:$F$6000,MATCH($C258,Работы!$A$2:$A$6000,0)),"")</f>
        <v>3</v>
      </c>
      <c r="C258" t="str">
        <f>IFERROR(INDEX(Работы!$A$2:$A$6000,257),"")</f>
        <v>РАБ.Р3.3.001</v>
      </c>
      <c r="D258" s="8" t="str">
        <f>IFERROR(INDEX(Работы!$B$2:$B$6000,MATCH($C258,Работы!$A$2:$A$6000,0)),"")</f>
        <v>Обработка стен, поврежденных грибком антисептическим раствором за 2 раза</v>
      </c>
      <c r="E258" t="str">
        <f>IFERROR(INDEX(Работы!$C$2:$C$6000,MATCH($C258,Работы!$A$2:$A$6000,0)),"")</f>
        <v>м2</v>
      </c>
      <c r="F258">
        <f>IFERROR(INDEX(Работы!$G$2:$G$6000,MATCH($C258,Работы!$A$2:$A$6000,0)),"")</f>
        <v>0</v>
      </c>
      <c r="G258" t="str">
        <f>IFERROR(INDEX(Работы!$K$2:$K$6000,MATCH($C258,Работы!$A$2:$A$6000,0)),"")</f>
        <v>S_стены</v>
      </c>
      <c r="H258" s="9"/>
      <c r="I258" s="9"/>
      <c r="J258" s="8" t="str">
        <f>IFERROR(INDEX(Материалы!$B$2:$B$9000,MATCH($I258,Материалы!$A$2:$A$9000,0)),"")</f>
        <v/>
      </c>
      <c r="K258" t="str">
        <f>IF($I258="","",IF($F258=IFERROR(INDEX(Материалы!$G$2:$G$9000,MATCH($I258,Материалы!$A$2:$A$9000,0)),""),"OK","!! не та группа"))</f>
        <v/>
      </c>
      <c r="L258" s="10">
        <f>IFERROR(INDEX(Работы!$H$2:$H$6000,MATCH($C258,Работы!$A$2:$A$6000,0))*(1-ДисконтТендер),0)</f>
        <v>87</v>
      </c>
      <c r="M258" s="10">
        <f>IF($I258="",0,IFERROR(INDEX(Материалы!$I$2:$I$9000,MATCH($I258,Материалы!$A$2:$A$9000,0))*IF(INDEX(Материалы!$J$2:$J$9000,MATCH($I258,Материалы!$A$2:$A$9000,0))="USD",КурсUSD,IF(INDEX(Материалы!$J$2:$J$9000,MATCH($I258,Материалы!$A$2:$A$9000,0))="EUR",КурсEUR,1))*INDEX(Материалы!$K$2:$K$9000,MATCH($I258,Материалы!$A$2:$A$9000,0))*(1+IFERROR(INDEX(Работы!$I$2:$I$6000,MATCH($C258,Работы!$A$2:$A$6000,0))/100,0))*(1-ДисконтТендер),0))</f>
        <v>0</v>
      </c>
      <c r="N258" s="10">
        <f t="shared" ref="N258:N321" si="12">IF(AND($R258="да",$H258&lt;&gt;""),ROUND($H258*$L258,2),0)</f>
        <v>0</v>
      </c>
      <c r="O258" s="10">
        <f t="shared" ref="O258:O321" si="13">IF(AND($R258="да",$H258&lt;&gt;""),ROUND($H258*$M258,2),0)</f>
        <v>0</v>
      </c>
      <c r="P258" s="10">
        <f t="shared" ref="P258:P321" si="14">$N258+$O258</f>
        <v>0</v>
      </c>
      <c r="Q258" t="str">
        <f>IFERROR(INDEX(Работы!$J$2:$J$6000,MATCH($C258,Работы!$A$2:$A$6000,0)),"")</f>
        <v>типовая</v>
      </c>
      <c r="R258" t="s">
        <v>92</v>
      </c>
      <c r="T258" t="str">
        <f>IF(AND($P258&gt;0,$R258="да"),MAX($T$1:$T257)+1,"")</f>
        <v/>
      </c>
    </row>
    <row r="259" spans="1:20" ht="28.8" x14ac:dyDescent="0.3">
      <c r="A259" t="str">
        <f>IFERROR(INDEX(Работы!$D$2:$D$6000,MATCH($C259,Работы!$A$2:$A$6000,0)),"")</f>
        <v>Р3</v>
      </c>
      <c r="B259" t="str">
        <f>IFERROR(INDEX(Работы!$F$2:$F$6000,MATCH($C259,Работы!$A$2:$A$6000,0)),"")</f>
        <v>3</v>
      </c>
      <c r="C259" t="str">
        <f>IFERROR(INDEX(Работы!$A$2:$A$6000,258),"")</f>
        <v>РАБ.Р3.3.002</v>
      </c>
      <c r="D259" s="8" t="str">
        <f>IFERROR(INDEX(Работы!$B$2:$B$6000,MATCH($C259,Работы!$A$2:$A$6000,0)),"")</f>
        <v>Шпатлевка швов, саморезов и примыканий стен и перегородок из ГКЛ</v>
      </c>
      <c r="E259" t="str">
        <f>IFERROR(INDEX(Работы!$C$2:$C$6000,MATCH($C259,Работы!$A$2:$A$6000,0)),"")</f>
        <v>м2</v>
      </c>
      <c r="F259">
        <f>IFERROR(INDEX(Работы!$G$2:$G$6000,MATCH($C259,Работы!$A$2:$A$6000,0)),"")</f>
        <v>0</v>
      </c>
      <c r="G259" t="str">
        <f>IFERROR(INDEX(Работы!$K$2:$K$6000,MATCH($C259,Работы!$A$2:$A$6000,0)),"")</f>
        <v>S_поверхность</v>
      </c>
      <c r="H259" s="9"/>
      <c r="I259" s="9"/>
      <c r="J259" s="8" t="str">
        <f>IFERROR(INDEX(Материалы!$B$2:$B$9000,MATCH($I259,Материалы!$A$2:$A$9000,0)),"")</f>
        <v/>
      </c>
      <c r="K259" t="str">
        <f>IF($I259="","",IF($F259=IFERROR(INDEX(Материалы!$G$2:$G$9000,MATCH($I259,Материалы!$A$2:$A$9000,0)),""),"OK","!! не та группа"))</f>
        <v/>
      </c>
      <c r="L259" s="10">
        <f>IFERROR(INDEX(Работы!$H$2:$H$6000,MATCH($C259,Работы!$A$2:$A$6000,0))*(1-ДисконтТендер),0)</f>
        <v>143.55000000000001</v>
      </c>
      <c r="M259" s="10">
        <f>IF($I259="",0,IFERROR(INDEX(Материалы!$I$2:$I$9000,MATCH($I259,Материалы!$A$2:$A$9000,0))*IF(INDEX(Материалы!$J$2:$J$9000,MATCH($I259,Материалы!$A$2:$A$9000,0))="USD",КурсUSD,IF(INDEX(Материалы!$J$2:$J$9000,MATCH($I259,Материалы!$A$2:$A$9000,0))="EUR",КурсEUR,1))*INDEX(Материалы!$K$2:$K$9000,MATCH($I259,Материалы!$A$2:$A$9000,0))*(1+IFERROR(INDEX(Работы!$I$2:$I$6000,MATCH($C259,Работы!$A$2:$A$6000,0))/100,0))*(1-ДисконтТендер),0))</f>
        <v>0</v>
      </c>
      <c r="N259" s="10">
        <f t="shared" si="12"/>
        <v>0</v>
      </c>
      <c r="O259" s="10">
        <f t="shared" si="13"/>
        <v>0</v>
      </c>
      <c r="P259" s="10">
        <f t="shared" si="14"/>
        <v>0</v>
      </c>
      <c r="Q259" t="str">
        <f>IFERROR(INDEX(Работы!$J$2:$J$6000,MATCH($C259,Работы!$A$2:$A$6000,0)),"")</f>
        <v>типовая</v>
      </c>
      <c r="R259" t="s">
        <v>92</v>
      </c>
      <c r="T259" t="str">
        <f>IF(AND($P259&gt;0,$R259="да"),MAX($T$1:$T258)+1,"")</f>
        <v/>
      </c>
    </row>
    <row r="260" spans="1:20" x14ac:dyDescent="0.3">
      <c r="A260" t="str">
        <f>IFERROR(INDEX(Работы!$D$2:$D$6000,MATCH($C260,Работы!$A$2:$A$6000,0)),"")</f>
        <v>Р3</v>
      </c>
      <c r="B260" t="str">
        <f>IFERROR(INDEX(Работы!$F$2:$F$6000,MATCH($C260,Работы!$A$2:$A$6000,0)),"")</f>
        <v>3</v>
      </c>
      <c r="C260" t="str">
        <f>IFERROR(INDEX(Работы!$A$2:$A$6000,259),"")</f>
        <v>РАБ.Р3.3.003</v>
      </c>
      <c r="D260" s="8" t="str">
        <f>IFERROR(INDEX(Работы!$B$2:$B$6000,MATCH($C260,Работы!$A$2:$A$6000,0)),"")</f>
        <v>Шпатлевка стен</v>
      </c>
      <c r="E260" t="str">
        <f>IFERROR(INDEX(Работы!$C$2:$C$6000,MATCH($C260,Работы!$A$2:$A$6000,0)),"")</f>
        <v>м2</v>
      </c>
      <c r="F260">
        <f>IFERROR(INDEX(Работы!$G$2:$G$6000,MATCH($C260,Работы!$A$2:$A$6000,0)),"")</f>
        <v>0</v>
      </c>
      <c r="G260" t="str">
        <f>IFERROR(INDEX(Работы!$K$2:$K$6000,MATCH($C260,Работы!$A$2:$A$6000,0)),"")</f>
        <v>S_поверхность</v>
      </c>
      <c r="H260" s="9"/>
      <c r="I260" s="9"/>
      <c r="J260" s="8" t="str">
        <f>IFERROR(INDEX(Материалы!$B$2:$B$9000,MATCH($I260,Материалы!$A$2:$A$9000,0)),"")</f>
        <v/>
      </c>
      <c r="K260" t="str">
        <f>IF($I260="","",IF($F260=IFERROR(INDEX(Материалы!$G$2:$G$9000,MATCH($I260,Материалы!$A$2:$A$9000,0)),""),"OK","!! не та группа"))</f>
        <v/>
      </c>
      <c r="L260" s="10">
        <f>IFERROR(INDEX(Работы!$H$2:$H$6000,MATCH($C260,Работы!$A$2:$A$6000,0))*(1-ДисконтТендер),0)</f>
        <v>530.66</v>
      </c>
      <c r="M260" s="10">
        <f>IF($I260="",0,IFERROR(INDEX(Материалы!$I$2:$I$9000,MATCH($I260,Материалы!$A$2:$A$9000,0))*IF(INDEX(Материалы!$J$2:$J$9000,MATCH($I260,Материалы!$A$2:$A$9000,0))="USD",КурсUSD,IF(INDEX(Материалы!$J$2:$J$9000,MATCH($I260,Материалы!$A$2:$A$9000,0))="EUR",КурсEUR,1))*INDEX(Материалы!$K$2:$K$9000,MATCH($I260,Материалы!$A$2:$A$9000,0))*(1+IFERROR(INDEX(Работы!$I$2:$I$6000,MATCH($C260,Работы!$A$2:$A$6000,0))/100,0))*(1-ДисконтТендер),0))</f>
        <v>0</v>
      </c>
      <c r="N260" s="10">
        <f t="shared" si="12"/>
        <v>0</v>
      </c>
      <c r="O260" s="10">
        <f t="shared" si="13"/>
        <v>0</v>
      </c>
      <c r="P260" s="10">
        <f t="shared" si="14"/>
        <v>0</v>
      </c>
      <c r="Q260" t="str">
        <f>IFERROR(INDEX(Работы!$J$2:$J$6000,MATCH($C260,Работы!$A$2:$A$6000,0)),"")</f>
        <v>типовая</v>
      </c>
      <c r="R260" t="s">
        <v>92</v>
      </c>
      <c r="T260" t="str">
        <f>IF(AND($P260&gt;0,$R260="да"),MAX($T$1:$T259)+1,"")</f>
        <v/>
      </c>
    </row>
    <row r="261" spans="1:20" x14ac:dyDescent="0.3">
      <c r="A261" t="str">
        <f>IFERROR(INDEX(Работы!$D$2:$D$6000,MATCH($C261,Работы!$A$2:$A$6000,0)),"")</f>
        <v>Р3</v>
      </c>
      <c r="B261" t="str">
        <f>IFERROR(INDEX(Работы!$F$2:$F$6000,MATCH($C261,Работы!$A$2:$A$6000,0)),"")</f>
        <v>3</v>
      </c>
      <c r="C261" t="str">
        <f>IFERROR(INDEX(Работы!$A$2:$A$6000,260),"")</f>
        <v>РАБ.Р3.3.004</v>
      </c>
      <c r="D261" s="8" t="str">
        <f>IFERROR(INDEX(Работы!$B$2:$B$6000,MATCH($C261,Работы!$A$2:$A$6000,0)),"")</f>
        <v>Шпатлевка стен по стеклохолсту</v>
      </c>
      <c r="E261" t="str">
        <f>IFERROR(INDEX(Работы!$C$2:$C$6000,MATCH($C261,Работы!$A$2:$A$6000,0)),"")</f>
        <v>м2</v>
      </c>
      <c r="F261">
        <f>IFERROR(INDEX(Работы!$G$2:$G$6000,MATCH($C261,Работы!$A$2:$A$6000,0)),"")</f>
        <v>0</v>
      </c>
      <c r="G261" t="str">
        <f>IFERROR(INDEX(Работы!$K$2:$K$6000,MATCH($C261,Работы!$A$2:$A$6000,0)),"")</f>
        <v>S_поверхность</v>
      </c>
      <c r="H261" s="9"/>
      <c r="I261" s="9"/>
      <c r="J261" s="8" t="str">
        <f>IFERROR(INDEX(Материалы!$B$2:$B$9000,MATCH($I261,Материалы!$A$2:$A$9000,0)),"")</f>
        <v/>
      </c>
      <c r="K261" t="str">
        <f>IF($I261="","",IF($F261=IFERROR(INDEX(Материалы!$G$2:$G$9000,MATCH($I261,Материалы!$A$2:$A$9000,0)),""),"OK","!! не та группа"))</f>
        <v/>
      </c>
      <c r="L261" s="10">
        <f>IFERROR(INDEX(Работы!$H$2:$H$6000,MATCH($C261,Работы!$A$2:$A$6000,0))*(1-ДисконтТендер),0)</f>
        <v>531.53</v>
      </c>
      <c r="M261" s="10">
        <f>IF($I261="",0,IFERROR(INDEX(Материалы!$I$2:$I$9000,MATCH($I261,Материалы!$A$2:$A$9000,0))*IF(INDEX(Материалы!$J$2:$J$9000,MATCH($I261,Материалы!$A$2:$A$9000,0))="USD",КурсUSD,IF(INDEX(Материалы!$J$2:$J$9000,MATCH($I261,Материалы!$A$2:$A$9000,0))="EUR",КурсEUR,1))*INDEX(Материалы!$K$2:$K$9000,MATCH($I261,Материалы!$A$2:$A$9000,0))*(1+IFERROR(INDEX(Работы!$I$2:$I$6000,MATCH($C261,Работы!$A$2:$A$6000,0))/100,0))*(1-ДисконтТендер),0))</f>
        <v>0</v>
      </c>
      <c r="N261" s="10">
        <f t="shared" si="12"/>
        <v>0</v>
      </c>
      <c r="O261" s="10">
        <f t="shared" si="13"/>
        <v>0</v>
      </c>
      <c r="P261" s="10">
        <f t="shared" si="14"/>
        <v>0</v>
      </c>
      <c r="Q261" t="str">
        <f>IFERROR(INDEX(Работы!$J$2:$J$6000,MATCH($C261,Работы!$A$2:$A$6000,0)),"")</f>
        <v>типовая</v>
      </c>
      <c r="R261" t="s">
        <v>92</v>
      </c>
      <c r="T261" t="str">
        <f>IF(AND($P261&gt;0,$R261="да"),MAX($T$1:$T260)+1,"")</f>
        <v/>
      </c>
    </row>
    <row r="262" spans="1:20" ht="28.8" x14ac:dyDescent="0.3">
      <c r="A262" t="str">
        <f>IFERROR(INDEX(Работы!$D$2:$D$6000,MATCH($C262,Работы!$A$2:$A$6000,0)),"")</f>
        <v>Р3</v>
      </c>
      <c r="B262" t="str">
        <f>IFERROR(INDEX(Работы!$F$2:$F$6000,MATCH($C262,Работы!$A$2:$A$6000,0)),"")</f>
        <v>3</v>
      </c>
      <c r="C262" t="str">
        <f>IFERROR(INDEX(Работы!$A$2:$A$6000,261),"")</f>
        <v>РАБ.Р3.3.005</v>
      </c>
      <c r="D262" s="8" t="str">
        <f>IFERROR(INDEX(Работы!$B$2:$B$6000,MATCH($C262,Работы!$A$2:$A$6000,0)),"")</f>
        <v>Сплошное выравние стен составами "Ветонит" толщиной до 10 мм</v>
      </c>
      <c r="E262" t="str">
        <f>IFERROR(INDEX(Работы!$C$2:$C$6000,MATCH($C262,Работы!$A$2:$A$6000,0)),"")</f>
        <v>м2</v>
      </c>
      <c r="F262">
        <f>IFERROR(INDEX(Работы!$G$2:$G$6000,MATCH($C262,Работы!$A$2:$A$6000,0)),"")</f>
        <v>0</v>
      </c>
      <c r="G262" t="str">
        <f>IFERROR(INDEX(Работы!$K$2:$K$6000,MATCH($C262,Работы!$A$2:$A$6000,0)),"")</f>
        <v>S_поверхность</v>
      </c>
      <c r="H262" s="9"/>
      <c r="I262" s="9"/>
      <c r="J262" s="8" t="str">
        <f>IFERROR(INDEX(Материалы!$B$2:$B$9000,MATCH($I262,Материалы!$A$2:$A$9000,0)),"")</f>
        <v/>
      </c>
      <c r="K262" t="str">
        <f>IF($I262="","",IF($F262=IFERROR(INDEX(Материалы!$G$2:$G$9000,MATCH($I262,Материалы!$A$2:$A$9000,0)),""),"OK","!! не та группа"))</f>
        <v/>
      </c>
      <c r="L262" s="10">
        <f>IFERROR(INDEX(Работы!$H$2:$H$6000,MATCH($C262,Работы!$A$2:$A$6000,0))*(1-ДисконтТендер),0)</f>
        <v>532.4</v>
      </c>
      <c r="M262" s="10">
        <f>IF($I262="",0,IFERROR(INDEX(Материалы!$I$2:$I$9000,MATCH($I262,Материалы!$A$2:$A$9000,0))*IF(INDEX(Материалы!$J$2:$J$9000,MATCH($I262,Материалы!$A$2:$A$9000,0))="USD",КурсUSD,IF(INDEX(Материалы!$J$2:$J$9000,MATCH($I262,Материалы!$A$2:$A$9000,0))="EUR",КурсEUR,1))*INDEX(Материалы!$K$2:$K$9000,MATCH($I262,Материалы!$A$2:$A$9000,0))*(1+IFERROR(INDEX(Работы!$I$2:$I$6000,MATCH($C262,Работы!$A$2:$A$6000,0))/100,0))*(1-ДисконтТендер),0))</f>
        <v>0</v>
      </c>
      <c r="N262" s="10">
        <f t="shared" si="12"/>
        <v>0</v>
      </c>
      <c r="O262" s="10">
        <f t="shared" si="13"/>
        <v>0</v>
      </c>
      <c r="P262" s="10">
        <f t="shared" si="14"/>
        <v>0</v>
      </c>
      <c r="Q262" t="str">
        <f>IFERROR(INDEX(Работы!$J$2:$J$6000,MATCH($C262,Работы!$A$2:$A$6000,0)),"")</f>
        <v>типовая</v>
      </c>
      <c r="R262" t="s">
        <v>92</v>
      </c>
      <c r="T262" t="str">
        <f>IF(AND($P262&gt;0,$R262="да"),MAX($T$1:$T261)+1,"")</f>
        <v/>
      </c>
    </row>
    <row r="263" spans="1:20" ht="28.8" x14ac:dyDescent="0.3">
      <c r="A263" t="str">
        <f>IFERROR(INDEX(Работы!$D$2:$D$6000,MATCH($C263,Работы!$A$2:$A$6000,0)),"")</f>
        <v>Р3</v>
      </c>
      <c r="B263" t="str">
        <f>IFERROR(INDEX(Работы!$F$2:$F$6000,MATCH($C263,Работы!$A$2:$A$6000,0)),"")</f>
        <v>3</v>
      </c>
      <c r="C263" t="str">
        <f>IFERROR(INDEX(Работы!$A$2:$A$6000,262),"")</f>
        <v>РАБ.Р3.3.006</v>
      </c>
      <c r="D263" s="8" t="str">
        <f>IFERROR(INDEX(Работы!$B$2:$B$6000,MATCH($C263,Работы!$A$2:$A$6000,0)),"")</f>
        <v>Грунтовка поверхности стен и перегородок за 2 раза</v>
      </c>
      <c r="E263" t="str">
        <f>IFERROR(INDEX(Работы!$C$2:$C$6000,MATCH($C263,Работы!$A$2:$A$6000,0)),"")</f>
        <v>м2</v>
      </c>
      <c r="F263">
        <f>IFERROR(INDEX(Работы!$G$2:$G$6000,MATCH($C263,Работы!$A$2:$A$6000,0)),"")</f>
        <v>0</v>
      </c>
      <c r="G263" t="str">
        <f>IFERROR(INDEX(Работы!$K$2:$K$6000,MATCH($C263,Работы!$A$2:$A$6000,0)),"")</f>
        <v>S_поверхность</v>
      </c>
      <c r="H263" s="9"/>
      <c r="I263" s="9"/>
      <c r="J263" s="8" t="str">
        <f>IFERROR(INDEX(Материалы!$B$2:$B$9000,MATCH($I263,Материалы!$A$2:$A$9000,0)),"")</f>
        <v/>
      </c>
      <c r="K263" t="str">
        <f>IF($I263="","",IF($F263=IFERROR(INDEX(Материалы!$G$2:$G$9000,MATCH($I263,Материалы!$A$2:$A$9000,0)),""),"OK","!! не та группа"))</f>
        <v/>
      </c>
      <c r="L263" s="10">
        <f>IFERROR(INDEX(Работы!$H$2:$H$6000,MATCH($C263,Работы!$A$2:$A$6000,0))*(1-ДисконтТендер),0)</f>
        <v>75.2</v>
      </c>
      <c r="M263" s="10">
        <f>IF($I263="",0,IFERROR(INDEX(Материалы!$I$2:$I$9000,MATCH($I263,Материалы!$A$2:$A$9000,0))*IF(INDEX(Материалы!$J$2:$J$9000,MATCH($I263,Материалы!$A$2:$A$9000,0))="USD",КурсUSD,IF(INDEX(Материалы!$J$2:$J$9000,MATCH($I263,Материалы!$A$2:$A$9000,0))="EUR",КурсEUR,1))*INDEX(Материалы!$K$2:$K$9000,MATCH($I263,Материалы!$A$2:$A$9000,0))*(1+IFERROR(INDEX(Работы!$I$2:$I$6000,MATCH($C263,Работы!$A$2:$A$6000,0))/100,0))*(1-ДисконтТендер),0))</f>
        <v>0</v>
      </c>
      <c r="N263" s="10">
        <f t="shared" si="12"/>
        <v>0</v>
      </c>
      <c r="O263" s="10">
        <f t="shared" si="13"/>
        <v>0</v>
      </c>
      <c r="P263" s="10">
        <f t="shared" si="14"/>
        <v>0</v>
      </c>
      <c r="Q263" t="str">
        <f>IFERROR(INDEX(Работы!$J$2:$J$6000,MATCH($C263,Работы!$A$2:$A$6000,0)),"")</f>
        <v>типовая</v>
      </c>
      <c r="R263" t="s">
        <v>92</v>
      </c>
      <c r="T263" t="str">
        <f>IF(AND($P263&gt;0,$R263="да"),MAX($T$1:$T262)+1,"")</f>
        <v/>
      </c>
    </row>
    <row r="264" spans="1:20" ht="28.8" x14ac:dyDescent="0.3">
      <c r="A264" t="str">
        <f>IFERROR(INDEX(Работы!$D$2:$D$6000,MATCH($C264,Работы!$A$2:$A$6000,0)),"")</f>
        <v>Р3</v>
      </c>
      <c r="B264" t="str">
        <f>IFERROR(INDEX(Работы!$F$2:$F$6000,MATCH($C264,Работы!$A$2:$A$6000,0)),"")</f>
        <v>3</v>
      </c>
      <c r="C264" t="str">
        <f>IFERROR(INDEX(Работы!$A$2:$A$6000,263),"")</f>
        <v>РАБ.Р3.3.007</v>
      </c>
      <c r="D264" s="8" t="str">
        <f>IFERROR(INDEX(Работы!$B$2:$B$6000,MATCH($C264,Работы!$A$2:$A$6000,0)),"")</f>
        <v>Окраска стен за 2 раза краской Tikkurila EURO 7 (колерованная)</v>
      </c>
      <c r="E264" t="str">
        <f>IFERROR(INDEX(Работы!$C$2:$C$6000,MATCH($C264,Работы!$A$2:$A$6000,0)),"")</f>
        <v>м2</v>
      </c>
      <c r="F264" t="str">
        <f>IFERROR(INDEX(Работы!$G$2:$G$6000,MATCH($C264,Работы!$A$2:$A$6000,0)),"")</f>
        <v>КРАСКА</v>
      </c>
      <c r="G264" t="str">
        <f>IFERROR(INDEX(Работы!$K$2:$K$6000,MATCH($C264,Работы!$A$2:$A$6000,0)),"")</f>
        <v>S_поверхность</v>
      </c>
      <c r="H264" s="9"/>
      <c r="I264" s="9"/>
      <c r="J264" s="8" t="str">
        <f>IFERROR(INDEX(Материалы!$B$2:$B$9000,MATCH($I264,Материалы!$A$2:$A$9000,0)),"")</f>
        <v/>
      </c>
      <c r="K264" t="str">
        <f>IF($I264="","",IF($F264=IFERROR(INDEX(Материалы!$G$2:$G$9000,MATCH($I264,Материалы!$A$2:$A$9000,0)),""),"OK","!! не та группа"))</f>
        <v/>
      </c>
      <c r="L264" s="10">
        <f>IFERROR(INDEX(Работы!$H$2:$H$6000,MATCH($C264,Работы!$A$2:$A$6000,0))*(1-ДисконтТендер),0)</f>
        <v>350</v>
      </c>
      <c r="M264" s="10">
        <f>IF($I264="",0,IFERROR(INDEX(Материалы!$I$2:$I$9000,MATCH($I264,Материалы!$A$2:$A$9000,0))*IF(INDEX(Материалы!$J$2:$J$9000,MATCH($I264,Материалы!$A$2:$A$9000,0))="USD",КурсUSD,IF(INDEX(Материалы!$J$2:$J$9000,MATCH($I264,Материалы!$A$2:$A$9000,0))="EUR",КурсEUR,1))*INDEX(Материалы!$K$2:$K$9000,MATCH($I264,Материалы!$A$2:$A$9000,0))*(1+IFERROR(INDEX(Работы!$I$2:$I$6000,MATCH($C264,Работы!$A$2:$A$6000,0))/100,0))*(1-ДисконтТендер),0))</f>
        <v>0</v>
      </c>
      <c r="N264" s="10">
        <f t="shared" si="12"/>
        <v>0</v>
      </c>
      <c r="O264" s="10">
        <f t="shared" si="13"/>
        <v>0</v>
      </c>
      <c r="P264" s="10">
        <f t="shared" si="14"/>
        <v>0</v>
      </c>
      <c r="Q264" t="str">
        <f>IFERROR(INDEX(Работы!$J$2:$J$6000,MATCH($C264,Работы!$A$2:$A$6000,0)),"")</f>
        <v>типовая</v>
      </c>
      <c r="R264" t="s">
        <v>92</v>
      </c>
      <c r="T264" t="str">
        <f>IF(AND($P264&gt;0,$R264="да"),MAX($T$1:$T263)+1,"")</f>
        <v/>
      </c>
    </row>
    <row r="265" spans="1:20" ht="28.8" x14ac:dyDescent="0.3">
      <c r="A265" t="str">
        <f>IFERROR(INDEX(Работы!$D$2:$D$6000,MATCH($C265,Работы!$A$2:$A$6000,0)),"")</f>
        <v>Р3</v>
      </c>
      <c r="B265" t="str">
        <f>IFERROR(INDEX(Работы!$F$2:$F$6000,MATCH($C265,Работы!$A$2:$A$6000,0)),"")</f>
        <v>3</v>
      </c>
      <c r="C265" t="str">
        <f>IFERROR(INDEX(Работы!$A$2:$A$6000,264),"")</f>
        <v>РАБ.Р3.3.008</v>
      </c>
      <c r="D265" s="8" t="str">
        <f>IFERROR(INDEX(Работы!$B$2:$B$6000,MATCH($C265,Работы!$A$2:$A$6000,0)),"")</f>
        <v>Оклейка стен стеклообоями типа "Паутинка" (нефактурными)</v>
      </c>
      <c r="E265" t="str">
        <f>IFERROR(INDEX(Работы!$C$2:$C$6000,MATCH($C265,Работы!$A$2:$A$6000,0)),"")</f>
        <v>м2</v>
      </c>
      <c r="F265" t="str">
        <f>IFERROR(INDEX(Работы!$G$2:$G$6000,MATCH($C265,Работы!$A$2:$A$6000,0)),"")</f>
        <v>ОБОИ</v>
      </c>
      <c r="G265" t="str">
        <f>IFERROR(INDEX(Работы!$K$2:$K$6000,MATCH($C265,Работы!$A$2:$A$6000,0)),"")</f>
        <v>S_стены</v>
      </c>
      <c r="H265" s="9"/>
      <c r="I265" s="9"/>
      <c r="J265" s="8" t="str">
        <f>IFERROR(INDEX(Материалы!$B$2:$B$9000,MATCH($I265,Материалы!$A$2:$A$9000,0)),"")</f>
        <v/>
      </c>
      <c r="K265" t="str">
        <f>IF($I265="","",IF($F265=IFERROR(INDEX(Материалы!$G$2:$G$9000,MATCH($I265,Материалы!$A$2:$A$9000,0)),""),"OK","!! не та группа"))</f>
        <v/>
      </c>
      <c r="L265" s="10">
        <f>IFERROR(INDEX(Работы!$H$2:$H$6000,MATCH($C265,Работы!$A$2:$A$6000,0))*(1-ДисконтТендер),0)</f>
        <v>220</v>
      </c>
      <c r="M265" s="10">
        <f>IF($I265="",0,IFERROR(INDEX(Материалы!$I$2:$I$9000,MATCH($I265,Материалы!$A$2:$A$9000,0))*IF(INDEX(Материалы!$J$2:$J$9000,MATCH($I265,Материалы!$A$2:$A$9000,0))="USD",КурсUSD,IF(INDEX(Материалы!$J$2:$J$9000,MATCH($I265,Материалы!$A$2:$A$9000,0))="EUR",КурсEUR,1))*INDEX(Материалы!$K$2:$K$9000,MATCH($I265,Материалы!$A$2:$A$9000,0))*(1+IFERROR(INDEX(Работы!$I$2:$I$6000,MATCH($C265,Работы!$A$2:$A$6000,0))/100,0))*(1-ДисконтТендер),0))</f>
        <v>0</v>
      </c>
      <c r="N265" s="10">
        <f t="shared" si="12"/>
        <v>0</v>
      </c>
      <c r="O265" s="10">
        <f t="shared" si="13"/>
        <v>0</v>
      </c>
      <c r="P265" s="10">
        <f t="shared" si="14"/>
        <v>0</v>
      </c>
      <c r="Q265" t="str">
        <f>IFERROR(INDEX(Работы!$J$2:$J$6000,MATCH($C265,Работы!$A$2:$A$6000,0)),"")</f>
        <v>типовая</v>
      </c>
      <c r="R265" t="s">
        <v>92</v>
      </c>
      <c r="T265" t="str">
        <f>IF(AND($P265&gt;0,$R265="да"),MAX($T$1:$T264)+1,"")</f>
        <v/>
      </c>
    </row>
    <row r="266" spans="1:20" ht="28.8" x14ac:dyDescent="0.3">
      <c r="A266" t="str">
        <f>IFERROR(INDEX(Работы!$D$2:$D$6000,MATCH($C266,Работы!$A$2:$A$6000,0)),"")</f>
        <v>Р3</v>
      </c>
      <c r="B266" t="str">
        <f>IFERROR(INDEX(Работы!$F$2:$F$6000,MATCH($C266,Работы!$A$2:$A$6000,0)),"")</f>
        <v>3</v>
      </c>
      <c r="C266" t="str">
        <f>IFERROR(INDEX(Работы!$A$2:$A$6000,265),"")</f>
        <v>РАБ.Р3.3.009</v>
      </c>
      <c r="D266" s="8" t="str">
        <f>IFERROR(INDEX(Работы!$B$2:$B$6000,MATCH($C266,Работы!$A$2:$A$6000,0)),"")</f>
        <v>Ремонт штукатурки стен с расшивкой швов, отдельными местами до 1 м.кв.</v>
      </c>
      <c r="E266" t="str">
        <f>IFERROR(INDEX(Работы!$C$2:$C$6000,MATCH($C266,Работы!$A$2:$A$6000,0)),"")</f>
        <v>м2</v>
      </c>
      <c r="F266">
        <f>IFERROR(INDEX(Работы!$G$2:$G$6000,MATCH($C266,Работы!$A$2:$A$6000,0)),"")</f>
        <v>0</v>
      </c>
      <c r="G266" t="str">
        <f>IFERROR(INDEX(Работы!$K$2:$K$6000,MATCH($C266,Работы!$A$2:$A$6000,0)),"")</f>
        <v>S_поверхность</v>
      </c>
      <c r="H266" s="9"/>
      <c r="I266" s="9"/>
      <c r="J266" s="8" t="str">
        <f>IFERROR(INDEX(Материалы!$B$2:$B$9000,MATCH($I266,Материалы!$A$2:$A$9000,0)),"")</f>
        <v/>
      </c>
      <c r="K266" t="str">
        <f>IF($I266="","",IF($F266=IFERROR(INDEX(Материалы!$G$2:$G$9000,MATCH($I266,Материалы!$A$2:$A$9000,0)),""),"OK","!! не та группа"))</f>
        <v/>
      </c>
      <c r="L266" s="10">
        <f>IFERROR(INDEX(Работы!$H$2:$H$6000,MATCH($C266,Работы!$A$2:$A$6000,0))*(1-ДисконтТендер),0)</f>
        <v>977.08</v>
      </c>
      <c r="M266" s="10">
        <f>IF($I266="",0,IFERROR(INDEX(Материалы!$I$2:$I$9000,MATCH($I266,Материалы!$A$2:$A$9000,0))*IF(INDEX(Материалы!$J$2:$J$9000,MATCH($I266,Материалы!$A$2:$A$9000,0))="USD",КурсUSD,IF(INDEX(Материалы!$J$2:$J$9000,MATCH($I266,Материалы!$A$2:$A$9000,0))="EUR",КурсEUR,1))*INDEX(Материалы!$K$2:$K$9000,MATCH($I266,Материалы!$A$2:$A$9000,0))*(1+IFERROR(INDEX(Работы!$I$2:$I$6000,MATCH($C266,Работы!$A$2:$A$6000,0))/100,0))*(1-ДисконтТендер),0))</f>
        <v>0</v>
      </c>
      <c r="N266" s="10">
        <f t="shared" si="12"/>
        <v>0</v>
      </c>
      <c r="O266" s="10">
        <f t="shared" si="13"/>
        <v>0</v>
      </c>
      <c r="P266" s="10">
        <f t="shared" si="14"/>
        <v>0</v>
      </c>
      <c r="Q266" t="str">
        <f>IFERROR(INDEX(Работы!$J$2:$J$6000,MATCH($C266,Работы!$A$2:$A$6000,0)),"")</f>
        <v>типовая</v>
      </c>
      <c r="R266" t="s">
        <v>92</v>
      </c>
      <c r="T266" t="str">
        <f>IF(AND($P266&gt;0,$R266="да"),MAX($T$1:$T265)+1,"")</f>
        <v/>
      </c>
    </row>
    <row r="267" spans="1:20" ht="28.8" x14ac:dyDescent="0.3">
      <c r="A267" t="str">
        <f>IFERROR(INDEX(Работы!$D$2:$D$6000,MATCH($C267,Работы!$A$2:$A$6000,0)),"")</f>
        <v>Р3</v>
      </c>
      <c r="B267" t="str">
        <f>IFERROR(INDEX(Работы!$F$2:$F$6000,MATCH($C267,Работы!$A$2:$A$6000,0)),"")</f>
        <v>3</v>
      </c>
      <c r="C267" t="str">
        <f>IFERROR(INDEX(Работы!$A$2:$A$6000,266),"")</f>
        <v>РАБ.Р3.3.010</v>
      </c>
      <c r="D267" s="8" t="str">
        <f>IFERROR(INDEX(Работы!$B$2:$B$6000,MATCH($C267,Работы!$A$2:$A$6000,0)),"")</f>
        <v>Облицовка стен керамической плиткой с затиркой швов.</v>
      </c>
      <c r="E267" t="str">
        <f>IFERROR(INDEX(Работы!$C$2:$C$6000,MATCH($C267,Работы!$A$2:$A$6000,0)),"")</f>
        <v>м2</v>
      </c>
      <c r="F267" t="str">
        <f>IFERROR(INDEX(Работы!$G$2:$G$6000,MATCH($C267,Работы!$A$2:$A$6000,0)),"")</f>
        <v>СТЕН.ПЛ</v>
      </c>
      <c r="G267" t="str">
        <f>IFERROR(INDEX(Работы!$K$2:$K$6000,MATCH($C267,Работы!$A$2:$A$6000,0)),"")</f>
        <v>S_стены</v>
      </c>
      <c r="H267" s="9"/>
      <c r="I267" s="9"/>
      <c r="J267" s="8" t="str">
        <f>IFERROR(INDEX(Материалы!$B$2:$B$9000,MATCH($I267,Материалы!$A$2:$A$9000,0)),"")</f>
        <v/>
      </c>
      <c r="K267" t="str">
        <f>IF($I267="","",IF($F267=IFERROR(INDEX(Материалы!$G$2:$G$9000,MATCH($I267,Материалы!$A$2:$A$9000,0)),""),"OK","!! не та группа"))</f>
        <v/>
      </c>
      <c r="L267" s="10">
        <f>IFERROR(INDEX(Работы!$H$2:$H$6000,MATCH($C267,Работы!$A$2:$A$6000,0))*(1-ДисконтТендер),0)</f>
        <v>2307.71</v>
      </c>
      <c r="M267" s="10">
        <f>IF($I267="",0,IFERROR(INDEX(Материалы!$I$2:$I$9000,MATCH($I267,Материалы!$A$2:$A$9000,0))*IF(INDEX(Материалы!$J$2:$J$9000,MATCH($I267,Материалы!$A$2:$A$9000,0))="USD",КурсUSD,IF(INDEX(Материалы!$J$2:$J$9000,MATCH($I267,Материалы!$A$2:$A$9000,0))="EUR",КурсEUR,1))*INDEX(Материалы!$K$2:$K$9000,MATCH($I267,Материалы!$A$2:$A$9000,0))*(1+IFERROR(INDEX(Работы!$I$2:$I$6000,MATCH($C267,Работы!$A$2:$A$6000,0))/100,0))*(1-ДисконтТендер),0))</f>
        <v>0</v>
      </c>
      <c r="N267" s="10">
        <f t="shared" si="12"/>
        <v>0</v>
      </c>
      <c r="O267" s="10">
        <f t="shared" si="13"/>
        <v>0</v>
      </c>
      <c r="P267" s="10">
        <f t="shared" si="14"/>
        <v>0</v>
      </c>
      <c r="Q267" t="str">
        <f>IFERROR(INDEX(Работы!$J$2:$J$6000,MATCH($C267,Работы!$A$2:$A$6000,0)),"")</f>
        <v>типовая</v>
      </c>
      <c r="R267" t="s">
        <v>92</v>
      </c>
      <c r="T267" t="str">
        <f>IF(AND($P267&gt;0,$R267="да"),MAX($T$1:$T266)+1,"")</f>
        <v/>
      </c>
    </row>
    <row r="268" spans="1:20" x14ac:dyDescent="0.3">
      <c r="A268" t="str">
        <f>IFERROR(INDEX(Работы!$D$2:$D$6000,MATCH($C268,Работы!$A$2:$A$6000,0)),"")</f>
        <v>Р3</v>
      </c>
      <c r="B268" t="str">
        <f>IFERROR(INDEX(Работы!$F$2:$F$6000,MATCH($C268,Работы!$A$2:$A$6000,0)),"")</f>
        <v>3</v>
      </c>
      <c r="C268" t="str">
        <f>IFERROR(INDEX(Работы!$A$2:$A$6000,267),"")</f>
        <v>РАБ.Р3.3.011</v>
      </c>
      <c r="D268" s="8" t="str">
        <f>IFERROR(INDEX(Работы!$B$2:$B$6000,MATCH($C268,Работы!$A$2:$A$6000,0)),"")</f>
        <v>Облицовка стен керамической плиткой</v>
      </c>
      <c r="E268" t="str">
        <f>IFERROR(INDEX(Работы!$C$2:$C$6000,MATCH($C268,Работы!$A$2:$A$6000,0)),"")</f>
        <v>м2</v>
      </c>
      <c r="F268" t="str">
        <f>IFERROR(INDEX(Работы!$G$2:$G$6000,MATCH($C268,Работы!$A$2:$A$6000,0)),"")</f>
        <v>СТЕН.ПЛ</v>
      </c>
      <c r="G268" t="str">
        <f>IFERROR(INDEX(Работы!$K$2:$K$6000,MATCH($C268,Работы!$A$2:$A$6000,0)),"")</f>
        <v>S_стены</v>
      </c>
      <c r="H268" s="9"/>
      <c r="I268" s="9"/>
      <c r="J268" s="8" t="str">
        <f>IFERROR(INDEX(Материалы!$B$2:$B$9000,MATCH($I268,Материалы!$A$2:$A$9000,0)),"")</f>
        <v/>
      </c>
      <c r="K268" t="str">
        <f>IF($I268="","",IF($F268=IFERROR(INDEX(Материалы!$G$2:$G$9000,MATCH($I268,Материалы!$A$2:$A$9000,0)),""),"OK","!! не та группа"))</f>
        <v/>
      </c>
      <c r="L268" s="10">
        <f>IFERROR(INDEX(Работы!$H$2:$H$6000,MATCH($C268,Работы!$A$2:$A$6000,0))*(1-ДисконтТендер),0)</f>
        <v>3048.05</v>
      </c>
      <c r="M268" s="10">
        <f>IF($I268="",0,IFERROR(INDEX(Материалы!$I$2:$I$9000,MATCH($I268,Материалы!$A$2:$A$9000,0))*IF(INDEX(Материалы!$J$2:$J$9000,MATCH($I268,Материалы!$A$2:$A$9000,0))="USD",КурсUSD,IF(INDEX(Материалы!$J$2:$J$9000,MATCH($I268,Материалы!$A$2:$A$9000,0))="EUR",КурсEUR,1))*INDEX(Материалы!$K$2:$K$9000,MATCH($I268,Материалы!$A$2:$A$9000,0))*(1+IFERROR(INDEX(Работы!$I$2:$I$6000,MATCH($C268,Работы!$A$2:$A$6000,0))/100,0))*(1-ДисконтТендер),0))</f>
        <v>0</v>
      </c>
      <c r="N268" s="10">
        <f t="shared" si="12"/>
        <v>0</v>
      </c>
      <c r="O268" s="10">
        <f t="shared" si="13"/>
        <v>0</v>
      </c>
      <c r="P268" s="10">
        <f t="shared" si="14"/>
        <v>0</v>
      </c>
      <c r="Q268" t="str">
        <f>IFERROR(INDEX(Работы!$J$2:$J$6000,MATCH($C268,Работы!$A$2:$A$6000,0)),"")</f>
        <v>типовая</v>
      </c>
      <c r="R268" t="s">
        <v>92</v>
      </c>
      <c r="T268" t="str">
        <f>IF(AND($P268&gt;0,$R268="да"),MAX($T$1:$T267)+1,"")</f>
        <v/>
      </c>
    </row>
    <row r="269" spans="1:20" ht="28.8" x14ac:dyDescent="0.3">
      <c r="A269" t="str">
        <f>IFERROR(INDEX(Работы!$D$2:$D$6000,MATCH($C269,Работы!$A$2:$A$6000,0)),"")</f>
        <v>Р3</v>
      </c>
      <c r="B269" t="str">
        <f>IFERROR(INDEX(Работы!$F$2:$F$6000,MATCH($C269,Работы!$A$2:$A$6000,0)),"")</f>
        <v>3</v>
      </c>
      <c r="C269" t="str">
        <f>IFERROR(INDEX(Работы!$A$2:$A$6000,268),"")</f>
        <v>РАБ.Р3.3.012</v>
      </c>
      <c r="D269" s="8" t="str">
        <f>IFERROR(INDEX(Работы!$B$2:$B$6000,MATCH($C269,Работы!$A$2:$A$6000,0)),"")</f>
        <v>Бордюр 500*15 "Szklana T40" коллекциии "Oxford" " Ctramica Konskie" с затиркой швов.</v>
      </c>
      <c r="E269" t="str">
        <f>IFERROR(INDEX(Работы!$C$2:$C$6000,MATCH($C269,Работы!$A$2:$A$6000,0)),"")</f>
        <v>шт.</v>
      </c>
      <c r="F269">
        <f>IFERROR(INDEX(Работы!$G$2:$G$6000,MATCH($C269,Работы!$A$2:$A$6000,0)),"")</f>
        <v>0</v>
      </c>
      <c r="G269" t="str">
        <f>IFERROR(INDEX(Работы!$K$2:$K$6000,MATCH($C269,Работы!$A$2:$A$6000,0)),"")</f>
        <v>Спецификация</v>
      </c>
      <c r="H269" s="9"/>
      <c r="I269" s="9"/>
      <c r="J269" s="8" t="str">
        <f>IFERROR(INDEX(Материалы!$B$2:$B$9000,MATCH($I269,Материалы!$A$2:$A$9000,0)),"")</f>
        <v/>
      </c>
      <c r="K269" t="str">
        <f>IF($I269="","",IF($F269=IFERROR(INDEX(Материалы!$G$2:$G$9000,MATCH($I269,Материалы!$A$2:$A$9000,0)),""),"OK","!! не та группа"))</f>
        <v/>
      </c>
      <c r="L269" s="10">
        <f>IFERROR(INDEX(Работы!$H$2:$H$6000,MATCH($C269,Работы!$A$2:$A$6000,0))*(1-ДисконтТендер),0)</f>
        <v>339.3</v>
      </c>
      <c r="M269" s="10">
        <f>IF($I269="",0,IFERROR(INDEX(Материалы!$I$2:$I$9000,MATCH($I269,Материалы!$A$2:$A$9000,0))*IF(INDEX(Материалы!$J$2:$J$9000,MATCH($I269,Материалы!$A$2:$A$9000,0))="USD",КурсUSD,IF(INDEX(Материалы!$J$2:$J$9000,MATCH($I269,Материалы!$A$2:$A$9000,0))="EUR",КурсEUR,1))*INDEX(Материалы!$K$2:$K$9000,MATCH($I269,Материалы!$A$2:$A$9000,0))*(1+IFERROR(INDEX(Работы!$I$2:$I$6000,MATCH($C269,Работы!$A$2:$A$6000,0))/100,0))*(1-ДисконтТендер),0))</f>
        <v>0</v>
      </c>
      <c r="N269" s="10">
        <f t="shared" si="12"/>
        <v>0</v>
      </c>
      <c r="O269" s="10">
        <f t="shared" si="13"/>
        <v>0</v>
      </c>
      <c r="P269" s="10">
        <f t="shared" si="14"/>
        <v>0</v>
      </c>
      <c r="Q269" t="str">
        <f>IFERROR(INDEX(Работы!$J$2:$J$6000,MATCH($C269,Работы!$A$2:$A$6000,0)),"")</f>
        <v>типовая</v>
      </c>
      <c r="R269" t="s">
        <v>92</v>
      </c>
      <c r="T269" t="str">
        <f>IF(AND($P269&gt;0,$R269="да"),MAX($T$1:$T268)+1,"")</f>
        <v/>
      </c>
    </row>
    <row r="270" spans="1:20" ht="28.8" x14ac:dyDescent="0.3">
      <c r="A270" t="str">
        <f>IFERROR(INDEX(Работы!$D$2:$D$6000,MATCH($C270,Работы!$A$2:$A$6000,0)),"")</f>
        <v>Р3</v>
      </c>
      <c r="B270" t="str">
        <f>IFERROR(INDEX(Работы!$F$2:$F$6000,MATCH($C270,Работы!$A$2:$A$6000,0)),"")</f>
        <v>3</v>
      </c>
      <c r="C270" t="str">
        <f>IFERROR(INDEX(Работы!$A$2:$A$6000,269),"")</f>
        <v>РАБ.Р3.3.013</v>
      </c>
      <c r="D270" s="8" t="str">
        <f>IFERROR(INDEX(Работы!$B$2:$B$6000,MATCH($C270,Работы!$A$2:$A$6000,0)),"")</f>
        <v>Установка пластиковых уголков на наружные углы колонн и стен</v>
      </c>
      <c r="E270" t="str">
        <f>IFERROR(INDEX(Работы!$C$2:$C$6000,MATCH($C270,Работы!$A$2:$A$6000,0)),"")</f>
        <v>м.п.</v>
      </c>
      <c r="F270">
        <f>IFERROR(INDEX(Работы!$G$2:$G$6000,MATCH($C270,Работы!$A$2:$A$6000,0)),"")</f>
        <v>0</v>
      </c>
      <c r="G270" t="str">
        <f>IFERROR(INDEX(Работы!$K$2:$K$6000,MATCH($C270,Работы!$A$2:$A$6000,0)),"")</f>
        <v>S_стены</v>
      </c>
      <c r="H270" s="9"/>
      <c r="I270" s="9"/>
      <c r="J270" s="8" t="str">
        <f>IFERROR(INDEX(Материалы!$B$2:$B$9000,MATCH($I270,Материалы!$A$2:$A$9000,0)),"")</f>
        <v/>
      </c>
      <c r="K270" t="str">
        <f>IF($I270="","",IF($F270=IFERROR(INDEX(Материалы!$G$2:$G$9000,MATCH($I270,Материалы!$A$2:$A$9000,0)),""),"OK","!! не та группа"))</f>
        <v/>
      </c>
      <c r="L270" s="10">
        <f>IFERROR(INDEX(Работы!$H$2:$H$6000,MATCH($C270,Работы!$A$2:$A$6000,0))*(1-ДисконтТендер),0)</f>
        <v>297.58</v>
      </c>
      <c r="M270" s="10">
        <f>IF($I270="",0,IFERROR(INDEX(Материалы!$I$2:$I$9000,MATCH($I270,Материалы!$A$2:$A$9000,0))*IF(INDEX(Материалы!$J$2:$J$9000,MATCH($I270,Материалы!$A$2:$A$9000,0))="USD",КурсUSD,IF(INDEX(Материалы!$J$2:$J$9000,MATCH($I270,Материалы!$A$2:$A$9000,0))="EUR",КурсEUR,1))*INDEX(Материалы!$K$2:$K$9000,MATCH($I270,Материалы!$A$2:$A$9000,0))*(1+IFERROR(INDEX(Работы!$I$2:$I$6000,MATCH($C270,Работы!$A$2:$A$6000,0))/100,0))*(1-ДисконтТендер),0))</f>
        <v>0</v>
      </c>
      <c r="N270" s="10">
        <f t="shared" si="12"/>
        <v>0</v>
      </c>
      <c r="O270" s="10">
        <f t="shared" si="13"/>
        <v>0</v>
      </c>
      <c r="P270" s="10">
        <f t="shared" si="14"/>
        <v>0</v>
      </c>
      <c r="Q270" t="str">
        <f>IFERROR(INDEX(Работы!$J$2:$J$6000,MATCH($C270,Работы!$A$2:$A$6000,0)),"")</f>
        <v>типовая</v>
      </c>
      <c r="R270" t="s">
        <v>92</v>
      </c>
      <c r="T270" t="str">
        <f>IF(AND($P270&gt;0,$R270="да"),MAX($T$1:$T269)+1,"")</f>
        <v/>
      </c>
    </row>
    <row r="271" spans="1:20" x14ac:dyDescent="0.3">
      <c r="A271" t="str">
        <f>IFERROR(INDEX(Работы!$D$2:$D$6000,MATCH($C271,Работы!$A$2:$A$6000,0)),"")</f>
        <v>Р3</v>
      </c>
      <c r="B271" t="str">
        <f>IFERROR(INDEX(Работы!$F$2:$F$6000,MATCH($C271,Работы!$A$2:$A$6000,0)),"")</f>
        <v>3</v>
      </c>
      <c r="C271" t="str">
        <f>IFERROR(INDEX(Работы!$A$2:$A$6000,270),"")</f>
        <v>РАБ.Р3.3.014</v>
      </c>
      <c r="D271" s="8" t="str">
        <f>IFERROR(INDEX(Работы!$B$2:$B$6000,MATCH($C271,Работы!$A$2:$A$6000,0)),"")</f>
        <v>Штукатурка поверхности</v>
      </c>
      <c r="E271" t="str">
        <f>IFERROR(INDEX(Работы!$C$2:$C$6000,MATCH($C271,Работы!$A$2:$A$6000,0)),"")</f>
        <v>м2</v>
      </c>
      <c r="F271">
        <f>IFERROR(INDEX(Работы!$G$2:$G$6000,MATCH($C271,Работы!$A$2:$A$6000,0)),"")</f>
        <v>0</v>
      </c>
      <c r="G271" t="str">
        <f>IFERROR(INDEX(Работы!$K$2:$K$6000,MATCH($C271,Работы!$A$2:$A$6000,0)),"")</f>
        <v>S_поверхность</v>
      </c>
      <c r="H271" s="9"/>
      <c r="I271" s="9"/>
      <c r="J271" s="8" t="str">
        <f>IFERROR(INDEX(Материалы!$B$2:$B$9000,MATCH($I271,Материалы!$A$2:$A$9000,0)),"")</f>
        <v/>
      </c>
      <c r="K271" t="str">
        <f>IF($I271="","",IF($F271=IFERROR(INDEX(Материалы!$G$2:$G$9000,MATCH($I271,Материалы!$A$2:$A$9000,0)),""),"OK","!! не та группа"))</f>
        <v/>
      </c>
      <c r="L271" s="10">
        <f>IFERROR(INDEX(Работы!$H$2:$H$6000,MATCH($C271,Работы!$A$2:$A$6000,0))*(1-ДисконтТендер),0)</f>
        <v>2926</v>
      </c>
      <c r="M271" s="10">
        <f>IF($I271="",0,IFERROR(INDEX(Материалы!$I$2:$I$9000,MATCH($I271,Материалы!$A$2:$A$9000,0))*IF(INDEX(Материалы!$J$2:$J$9000,MATCH($I271,Материалы!$A$2:$A$9000,0))="USD",КурсUSD,IF(INDEX(Материалы!$J$2:$J$9000,MATCH($I271,Материалы!$A$2:$A$9000,0))="EUR",КурсEUR,1))*INDEX(Материалы!$K$2:$K$9000,MATCH($I271,Материалы!$A$2:$A$9000,0))*(1+IFERROR(INDEX(Работы!$I$2:$I$6000,MATCH($C271,Работы!$A$2:$A$6000,0))/100,0))*(1-ДисконтТендер),0))</f>
        <v>0</v>
      </c>
      <c r="N271" s="10">
        <f t="shared" si="12"/>
        <v>0</v>
      </c>
      <c r="O271" s="10">
        <f t="shared" si="13"/>
        <v>0</v>
      </c>
      <c r="P271" s="10">
        <f t="shared" si="14"/>
        <v>0</v>
      </c>
      <c r="Q271" t="str">
        <f>IFERROR(INDEX(Работы!$J$2:$J$6000,MATCH($C271,Работы!$A$2:$A$6000,0)),"")</f>
        <v>типовая</v>
      </c>
      <c r="R271" t="s">
        <v>92</v>
      </c>
      <c r="T271" t="str">
        <f>IF(AND($P271&gt;0,$R271="да"),MAX($T$1:$T270)+1,"")</f>
        <v/>
      </c>
    </row>
    <row r="272" spans="1:20" x14ac:dyDescent="0.3">
      <c r="A272" t="str">
        <f>IFERROR(INDEX(Работы!$D$2:$D$6000,MATCH($C272,Работы!$A$2:$A$6000,0)),"")</f>
        <v>Р3</v>
      </c>
      <c r="B272" t="str">
        <f>IFERROR(INDEX(Работы!$F$2:$F$6000,MATCH($C272,Работы!$A$2:$A$6000,0)),"")</f>
        <v>3</v>
      </c>
      <c r="C272" t="str">
        <f>IFERROR(INDEX(Работы!$A$2:$A$6000,271),"")</f>
        <v>РАБ.Р3.3.015</v>
      </c>
      <c r="D272" s="8" t="str">
        <f>IFERROR(INDEX(Работы!$B$2:$B$6000,MATCH($C272,Работы!$A$2:$A$6000,0)),"")</f>
        <v>Оклейка стен стеклообоями типа "Рогожка"</v>
      </c>
      <c r="E272" t="str">
        <f>IFERROR(INDEX(Работы!$C$2:$C$6000,MATCH($C272,Работы!$A$2:$A$6000,0)),"")</f>
        <v>м2</v>
      </c>
      <c r="F272" t="str">
        <f>IFERROR(INDEX(Работы!$G$2:$G$6000,MATCH($C272,Работы!$A$2:$A$6000,0)),"")</f>
        <v>ОБОИ</v>
      </c>
      <c r="G272" t="str">
        <f>IFERROR(INDEX(Работы!$K$2:$K$6000,MATCH($C272,Работы!$A$2:$A$6000,0)),"")</f>
        <v>S_стены</v>
      </c>
      <c r="H272" s="9"/>
      <c r="I272" s="9"/>
      <c r="J272" s="8" t="str">
        <f>IFERROR(INDEX(Материалы!$B$2:$B$9000,MATCH($I272,Материалы!$A$2:$A$9000,0)),"")</f>
        <v/>
      </c>
      <c r="K272" t="str">
        <f>IF($I272="","",IF($F272=IFERROR(INDEX(Материалы!$G$2:$G$9000,MATCH($I272,Материалы!$A$2:$A$9000,0)),""),"OK","!! не та группа"))</f>
        <v/>
      </c>
      <c r="L272" s="10">
        <f>IFERROR(INDEX(Работы!$H$2:$H$6000,MATCH($C272,Работы!$A$2:$A$6000,0))*(1-ДисконтТендер),0)</f>
        <v>475.02</v>
      </c>
      <c r="M272" s="10">
        <f>IF($I272="",0,IFERROR(INDEX(Материалы!$I$2:$I$9000,MATCH($I272,Материалы!$A$2:$A$9000,0))*IF(INDEX(Материалы!$J$2:$J$9000,MATCH($I272,Материалы!$A$2:$A$9000,0))="USD",КурсUSD,IF(INDEX(Материалы!$J$2:$J$9000,MATCH($I272,Материалы!$A$2:$A$9000,0))="EUR",КурсEUR,1))*INDEX(Материалы!$K$2:$K$9000,MATCH($I272,Материалы!$A$2:$A$9000,0))*(1+IFERROR(INDEX(Работы!$I$2:$I$6000,MATCH($C272,Работы!$A$2:$A$6000,0))/100,0))*(1-ДисконтТендер),0))</f>
        <v>0</v>
      </c>
      <c r="N272" s="10">
        <f t="shared" si="12"/>
        <v>0</v>
      </c>
      <c r="O272" s="10">
        <f t="shared" si="13"/>
        <v>0</v>
      </c>
      <c r="P272" s="10">
        <f t="shared" si="14"/>
        <v>0</v>
      </c>
      <c r="Q272" t="str">
        <f>IFERROR(INDEX(Работы!$J$2:$J$6000,MATCH($C272,Работы!$A$2:$A$6000,0)),"")</f>
        <v>типовая</v>
      </c>
      <c r="R272" t="s">
        <v>92</v>
      </c>
      <c r="T272" t="str">
        <f>IF(AND($P272&gt;0,$R272="да"),MAX($T$1:$T271)+1,"")</f>
        <v/>
      </c>
    </row>
    <row r="273" spans="1:20" ht="43.2" x14ac:dyDescent="0.3">
      <c r="A273" t="str">
        <f>IFERROR(INDEX(Работы!$D$2:$D$6000,MATCH($C273,Работы!$A$2:$A$6000,0)),"")</f>
        <v>Р3</v>
      </c>
      <c r="B273" t="str">
        <f>IFERROR(INDEX(Работы!$F$2:$F$6000,MATCH($C273,Работы!$A$2:$A$6000,0)),"")</f>
        <v>3</v>
      </c>
      <c r="C273" t="str">
        <f>IFERROR(INDEX(Работы!$A$2:$A$6000,272),"")</f>
        <v>РАБ.Р3.3.016</v>
      </c>
      <c r="D273" s="8" t="str">
        <f>IFERROR(INDEX(Работы!$B$2:$B$6000,MATCH($C273,Работы!$A$2:$A$6000,0)),"")</f>
        <v>Декоративные крашенные МДФ ПАНЕЛИ 20ММ, ЦВЕТ RAL 7040, Швы - черный, П-образный профиль 10мм</v>
      </c>
      <c r="E273" t="str">
        <f>IFERROR(INDEX(Работы!$C$2:$C$6000,MATCH($C273,Работы!$A$2:$A$6000,0)),"")</f>
        <v>м2</v>
      </c>
      <c r="F273">
        <f>IFERROR(INDEX(Работы!$G$2:$G$6000,MATCH($C273,Работы!$A$2:$A$6000,0)),"")</f>
        <v>0</v>
      </c>
      <c r="G273" t="str">
        <f>IFERROR(INDEX(Работы!$K$2:$K$6000,MATCH($C273,Работы!$A$2:$A$6000,0)),"")</f>
        <v>S_поверхность</v>
      </c>
      <c r="H273" s="9"/>
      <c r="I273" s="9"/>
      <c r="J273" s="8" t="str">
        <f>IFERROR(INDEX(Материалы!$B$2:$B$9000,MATCH($I273,Материалы!$A$2:$A$9000,0)),"")</f>
        <v/>
      </c>
      <c r="K273" t="str">
        <f>IF($I273="","",IF($F273=IFERROR(INDEX(Материалы!$G$2:$G$9000,MATCH($I273,Материалы!$A$2:$A$9000,0)),""),"OK","!! не та группа"))</f>
        <v/>
      </c>
      <c r="L273" s="10">
        <f>IFERROR(INDEX(Работы!$H$2:$H$6000,MATCH($C273,Работы!$A$2:$A$6000,0))*(1-ДисконтТендер),0)</f>
        <v>1289.3399999999999</v>
      </c>
      <c r="M273" s="10">
        <f>IF($I273="",0,IFERROR(INDEX(Материалы!$I$2:$I$9000,MATCH($I273,Материалы!$A$2:$A$9000,0))*IF(INDEX(Материалы!$J$2:$J$9000,MATCH($I273,Материалы!$A$2:$A$9000,0))="USD",КурсUSD,IF(INDEX(Материалы!$J$2:$J$9000,MATCH($I273,Материалы!$A$2:$A$9000,0))="EUR",КурсEUR,1))*INDEX(Материалы!$K$2:$K$9000,MATCH($I273,Материалы!$A$2:$A$9000,0))*(1+IFERROR(INDEX(Работы!$I$2:$I$6000,MATCH($C273,Работы!$A$2:$A$6000,0))/100,0))*(1-ДисконтТендер),0))</f>
        <v>0</v>
      </c>
      <c r="N273" s="10">
        <f t="shared" si="12"/>
        <v>0</v>
      </c>
      <c r="O273" s="10">
        <f t="shared" si="13"/>
        <v>0</v>
      </c>
      <c r="P273" s="10">
        <f t="shared" si="14"/>
        <v>0</v>
      </c>
      <c r="Q273" t="str">
        <f>IFERROR(INDEX(Работы!$J$2:$J$6000,MATCH($C273,Работы!$A$2:$A$6000,0)),"")</f>
        <v>типовая</v>
      </c>
      <c r="R273" t="s">
        <v>92</v>
      </c>
      <c r="T273" t="str">
        <f>IF(AND($P273&gt;0,$R273="да"),MAX($T$1:$T272)+1,"")</f>
        <v/>
      </c>
    </row>
    <row r="274" spans="1:20" ht="28.8" x14ac:dyDescent="0.3">
      <c r="A274" t="str">
        <f>IFERROR(INDEX(Работы!$D$2:$D$6000,MATCH($C274,Работы!$A$2:$A$6000,0)),"")</f>
        <v>Р3</v>
      </c>
      <c r="B274" t="str">
        <f>IFERROR(INDEX(Работы!$F$2:$F$6000,MATCH($C274,Работы!$A$2:$A$6000,0)),"")</f>
        <v>3</v>
      </c>
      <c r="C274" t="str">
        <f>IFERROR(INDEX(Работы!$A$2:$A$6000,273),"")</f>
        <v>РАБ.Р3.3.017</v>
      </c>
      <c r="D274" s="8" t="str">
        <f>IFERROR(INDEX(Работы!$B$2:$B$6000,MATCH($C274,Работы!$A$2:$A$6000,0)),"")</f>
        <v>Аккустическая панель из Войлока, максимальные размери 1200X2400см, клеиться на стену</v>
      </c>
      <c r="E274" t="str">
        <f>IFERROR(INDEX(Работы!$C$2:$C$6000,MATCH($C274,Работы!$A$2:$A$6000,0)),"")</f>
        <v>м2</v>
      </c>
      <c r="F274">
        <f>IFERROR(INDEX(Работы!$G$2:$G$6000,MATCH($C274,Работы!$A$2:$A$6000,0)),"")</f>
        <v>0</v>
      </c>
      <c r="G274" t="str">
        <f>IFERROR(INDEX(Работы!$K$2:$K$6000,MATCH($C274,Работы!$A$2:$A$6000,0)),"")</f>
        <v>S_стены</v>
      </c>
      <c r="H274" s="9"/>
      <c r="I274" s="9"/>
      <c r="J274" s="8" t="str">
        <f>IFERROR(INDEX(Материалы!$B$2:$B$9000,MATCH($I274,Материалы!$A$2:$A$9000,0)),"")</f>
        <v/>
      </c>
      <c r="K274" t="str">
        <f>IF($I274="","",IF($F274=IFERROR(INDEX(Материалы!$G$2:$G$9000,MATCH($I274,Материалы!$A$2:$A$9000,0)),""),"OK","!! не та группа"))</f>
        <v/>
      </c>
      <c r="L274" s="10">
        <f>IFERROR(INDEX(Работы!$H$2:$H$6000,MATCH($C274,Работы!$A$2:$A$6000,0))*(1-ДисконтТендер),0)</f>
        <v>548.05999999999995</v>
      </c>
      <c r="M274" s="10">
        <f>IF($I274="",0,IFERROR(INDEX(Материалы!$I$2:$I$9000,MATCH($I274,Материалы!$A$2:$A$9000,0))*IF(INDEX(Материалы!$J$2:$J$9000,MATCH($I274,Материалы!$A$2:$A$9000,0))="USD",КурсUSD,IF(INDEX(Материалы!$J$2:$J$9000,MATCH($I274,Материалы!$A$2:$A$9000,0))="EUR",КурсEUR,1))*INDEX(Материалы!$K$2:$K$9000,MATCH($I274,Материалы!$A$2:$A$9000,0))*(1+IFERROR(INDEX(Работы!$I$2:$I$6000,MATCH($C274,Работы!$A$2:$A$6000,0))/100,0))*(1-ДисконтТендер),0))</f>
        <v>0</v>
      </c>
      <c r="N274" s="10">
        <f t="shared" si="12"/>
        <v>0</v>
      </c>
      <c r="O274" s="10">
        <f t="shared" si="13"/>
        <v>0</v>
      </c>
      <c r="P274" s="10">
        <f t="shared" si="14"/>
        <v>0</v>
      </c>
      <c r="Q274" t="str">
        <f>IFERROR(INDEX(Работы!$J$2:$J$6000,MATCH($C274,Работы!$A$2:$A$6000,0)),"")</f>
        <v>типовая</v>
      </c>
      <c r="R274" t="s">
        <v>92</v>
      </c>
      <c r="T274" t="str">
        <f>IF(AND($P274&gt;0,$R274="да"),MAX($T$1:$T273)+1,"")</f>
        <v/>
      </c>
    </row>
    <row r="275" spans="1:20" x14ac:dyDescent="0.3">
      <c r="A275" t="str">
        <f>IFERROR(INDEX(Работы!$D$2:$D$6000,MATCH($C275,Работы!$A$2:$A$6000,0)),"")</f>
        <v>Р3</v>
      </c>
      <c r="B275" t="str">
        <f>IFERROR(INDEX(Работы!$F$2:$F$6000,MATCH($C275,Работы!$A$2:$A$6000,0)),"")</f>
        <v>3</v>
      </c>
      <c r="C275" t="str">
        <f>IFERROR(INDEX(Работы!$A$2:$A$6000,274),"")</f>
        <v>РАБ.Р3.3.018</v>
      </c>
      <c r="D275" s="8" t="str">
        <f>IFERROR(INDEX(Работы!$B$2:$B$6000,MATCH($C275,Работы!$A$2:$A$6000,0)),"")</f>
        <v>Оклейка обоями / стеклохолстом</v>
      </c>
      <c r="E275" t="str">
        <f>IFERROR(INDEX(Работы!$C$2:$C$6000,MATCH($C275,Работы!$A$2:$A$6000,0)),"")</f>
        <v>м2</v>
      </c>
      <c r="F275" t="str">
        <f>IFERROR(INDEX(Работы!$G$2:$G$6000,MATCH($C275,Работы!$A$2:$A$6000,0)),"")</f>
        <v>ОБОИ</v>
      </c>
      <c r="G275" t="str">
        <f>IFERROR(INDEX(Работы!$K$2:$K$6000,MATCH($C275,Работы!$A$2:$A$6000,0)),"")</f>
        <v>S_стены</v>
      </c>
      <c r="H275" s="9"/>
      <c r="I275" s="9"/>
      <c r="J275" s="8" t="str">
        <f>IFERROR(INDEX(Материалы!$B$2:$B$9000,MATCH($I275,Материалы!$A$2:$A$9000,0)),"")</f>
        <v/>
      </c>
      <c r="K275" t="str">
        <f>IF($I275="","",IF($F275=IFERROR(INDEX(Материалы!$G$2:$G$9000,MATCH($I275,Материалы!$A$2:$A$9000,0)),""),"OK","!! не та группа"))</f>
        <v/>
      </c>
      <c r="L275" s="10">
        <f>IFERROR(INDEX(Работы!$H$2:$H$6000,MATCH($C275,Работы!$A$2:$A$6000,0))*(1-ДисконтТендер),0)</f>
        <v>1628.64</v>
      </c>
      <c r="M275" s="10">
        <f>IF($I275="",0,IFERROR(INDEX(Материалы!$I$2:$I$9000,MATCH($I275,Материалы!$A$2:$A$9000,0))*IF(INDEX(Материалы!$J$2:$J$9000,MATCH($I275,Материалы!$A$2:$A$9000,0))="USD",КурсUSD,IF(INDEX(Материалы!$J$2:$J$9000,MATCH($I275,Материалы!$A$2:$A$9000,0))="EUR",КурсEUR,1))*INDEX(Материалы!$K$2:$K$9000,MATCH($I275,Материалы!$A$2:$A$9000,0))*(1+IFERROR(INDEX(Работы!$I$2:$I$6000,MATCH($C275,Работы!$A$2:$A$6000,0))/100,0))*(1-ДисконтТендер),0))</f>
        <v>0</v>
      </c>
      <c r="N275" s="10">
        <f t="shared" si="12"/>
        <v>0</v>
      </c>
      <c r="O275" s="10">
        <f t="shared" si="13"/>
        <v>0</v>
      </c>
      <c r="P275" s="10">
        <f t="shared" si="14"/>
        <v>0</v>
      </c>
      <c r="Q275" t="str">
        <f>IFERROR(INDEX(Работы!$J$2:$J$6000,MATCH($C275,Работы!$A$2:$A$6000,0)),"")</f>
        <v>типовая</v>
      </c>
      <c r="R275" t="s">
        <v>92</v>
      </c>
      <c r="T275" t="str">
        <f>IF(AND($P275&gt;0,$R275="да"),MAX($T$1:$T274)+1,"")</f>
        <v/>
      </c>
    </row>
    <row r="276" spans="1:20" ht="43.2" x14ac:dyDescent="0.3">
      <c r="A276" t="str">
        <f>IFERROR(INDEX(Работы!$D$2:$D$6000,MATCH($C276,Работы!$A$2:$A$6000,0)),"")</f>
        <v>Р3</v>
      </c>
      <c r="B276" t="str">
        <f>IFERROR(INDEX(Работы!$F$2:$F$6000,MATCH($C276,Работы!$A$2:$A$6000,0)),"")</f>
        <v>3</v>
      </c>
      <c r="C276" t="str">
        <f>IFERROR(INDEX(Работы!$A$2:$A$6000,275),"")</f>
        <v>РАБ.Р3.3.019</v>
      </c>
      <c r="D276" s="8" t="str">
        <f>IFERROR(INDEX(Работы!$B$2:$B$6000,MATCH($C276,Работы!$A$2:$A$6000,0)),"")</f>
        <v>Оклейка поверхностей стен и перегородок Обои Голландские обои Eijffinger, коллекция Ibiza, артикул 330203</v>
      </c>
      <c r="E276" t="str">
        <f>IFERROR(INDEX(Работы!$C$2:$C$6000,MATCH($C276,Работы!$A$2:$A$6000,0)),"")</f>
        <v>м2</v>
      </c>
      <c r="F276" t="str">
        <f>IFERROR(INDEX(Работы!$G$2:$G$6000,MATCH($C276,Работы!$A$2:$A$6000,0)),"")</f>
        <v>ОБОИ</v>
      </c>
      <c r="G276" t="str">
        <f>IFERROR(INDEX(Работы!$K$2:$K$6000,MATCH($C276,Работы!$A$2:$A$6000,0)),"")</f>
        <v>S_стены</v>
      </c>
      <c r="H276" s="9"/>
      <c r="I276" s="9"/>
      <c r="J276" s="8" t="str">
        <f>IFERROR(INDEX(Материалы!$B$2:$B$9000,MATCH($I276,Материалы!$A$2:$A$9000,0)),"")</f>
        <v/>
      </c>
      <c r="K276" t="str">
        <f>IF($I276="","",IF($F276=IFERROR(INDEX(Материалы!$G$2:$G$9000,MATCH($I276,Материалы!$A$2:$A$9000,0)),""),"OK","!! не та группа"))</f>
        <v/>
      </c>
      <c r="L276" s="10">
        <f>IFERROR(INDEX(Работы!$H$2:$H$6000,MATCH($C276,Работы!$A$2:$A$6000,0))*(1-ДисконтТендер),0)</f>
        <v>474.15</v>
      </c>
      <c r="M276" s="10">
        <f>IF($I276="",0,IFERROR(INDEX(Материалы!$I$2:$I$9000,MATCH($I276,Материалы!$A$2:$A$9000,0))*IF(INDEX(Материалы!$J$2:$J$9000,MATCH($I276,Материалы!$A$2:$A$9000,0))="USD",КурсUSD,IF(INDEX(Материалы!$J$2:$J$9000,MATCH($I276,Материалы!$A$2:$A$9000,0))="EUR",КурсEUR,1))*INDEX(Материалы!$K$2:$K$9000,MATCH($I276,Материалы!$A$2:$A$9000,0))*(1+IFERROR(INDEX(Работы!$I$2:$I$6000,MATCH($C276,Работы!$A$2:$A$6000,0))/100,0))*(1-ДисконтТендер),0))</f>
        <v>0</v>
      </c>
      <c r="N276" s="10">
        <f t="shared" si="12"/>
        <v>0</v>
      </c>
      <c r="O276" s="10">
        <f t="shared" si="13"/>
        <v>0</v>
      </c>
      <c r="P276" s="10">
        <f t="shared" si="14"/>
        <v>0</v>
      </c>
      <c r="Q276" t="str">
        <f>IFERROR(INDEX(Работы!$J$2:$J$6000,MATCH($C276,Работы!$A$2:$A$6000,0)),"")</f>
        <v>типовая</v>
      </c>
      <c r="R276" t="s">
        <v>92</v>
      </c>
      <c r="T276" t="str">
        <f>IF(AND($P276&gt;0,$R276="да"),MAX($T$1:$T275)+1,"")</f>
        <v/>
      </c>
    </row>
    <row r="277" spans="1:20" ht="43.2" x14ac:dyDescent="0.3">
      <c r="A277" t="str">
        <f>IFERROR(INDEX(Работы!$D$2:$D$6000,MATCH($C277,Работы!$A$2:$A$6000,0)),"")</f>
        <v>Р3</v>
      </c>
      <c r="B277" t="str">
        <f>IFERROR(INDEX(Работы!$F$2:$F$6000,MATCH($C277,Работы!$A$2:$A$6000,0)),"")</f>
        <v>3</v>
      </c>
      <c r="C277" t="str">
        <f>IFERROR(INDEX(Работы!$A$2:$A$6000,276),"")</f>
        <v>РАБ.Р3.3.020</v>
      </c>
      <c r="D277" s="8" t="str">
        <f>IFERROR(INDEX(Работы!$B$2:$B$6000,MATCH($C277,Работы!$A$2:$A$6000,0)),"")</f>
        <v>Оклейка поверхностей стен и перегородок бумажными обоями (рисунок обоев выполняется "на заказ")</v>
      </c>
      <c r="E277" t="str">
        <f>IFERROR(INDEX(Работы!$C$2:$C$6000,MATCH($C277,Работы!$A$2:$A$6000,0)),"")</f>
        <v>м2</v>
      </c>
      <c r="F277" t="str">
        <f>IFERROR(INDEX(Работы!$G$2:$G$6000,MATCH($C277,Работы!$A$2:$A$6000,0)),"")</f>
        <v>ОБОИ</v>
      </c>
      <c r="G277" t="str">
        <f>IFERROR(INDEX(Работы!$K$2:$K$6000,MATCH($C277,Работы!$A$2:$A$6000,0)),"")</f>
        <v>S_стены</v>
      </c>
      <c r="H277" s="9"/>
      <c r="I277" s="9"/>
      <c r="J277" s="8" t="str">
        <f>IFERROR(INDEX(Материалы!$B$2:$B$9000,MATCH($I277,Материалы!$A$2:$A$9000,0)),"")</f>
        <v/>
      </c>
      <c r="K277" t="str">
        <f>IF($I277="","",IF($F277=IFERROR(INDEX(Материалы!$G$2:$G$9000,MATCH($I277,Материалы!$A$2:$A$9000,0)),""),"OK","!! не та группа"))</f>
        <v/>
      </c>
      <c r="L277" s="10">
        <f>IFERROR(INDEX(Работы!$H$2:$H$6000,MATCH($C277,Работы!$A$2:$A$6000,0))*(1-ДисконтТендер),0)</f>
        <v>652.5</v>
      </c>
      <c r="M277" s="10">
        <f>IF($I277="",0,IFERROR(INDEX(Материалы!$I$2:$I$9000,MATCH($I277,Материалы!$A$2:$A$9000,0))*IF(INDEX(Материалы!$J$2:$J$9000,MATCH($I277,Материалы!$A$2:$A$9000,0))="USD",КурсUSD,IF(INDEX(Материалы!$J$2:$J$9000,MATCH($I277,Материалы!$A$2:$A$9000,0))="EUR",КурсEUR,1))*INDEX(Материалы!$K$2:$K$9000,MATCH($I277,Материалы!$A$2:$A$9000,0))*(1+IFERROR(INDEX(Работы!$I$2:$I$6000,MATCH($C277,Работы!$A$2:$A$6000,0))/100,0))*(1-ДисконтТендер),0))</f>
        <v>0</v>
      </c>
      <c r="N277" s="10">
        <f t="shared" si="12"/>
        <v>0</v>
      </c>
      <c r="O277" s="10">
        <f t="shared" si="13"/>
        <v>0</v>
      </c>
      <c r="P277" s="10">
        <f t="shared" si="14"/>
        <v>0</v>
      </c>
      <c r="Q277" t="str">
        <f>IFERROR(INDEX(Работы!$J$2:$J$6000,MATCH($C277,Работы!$A$2:$A$6000,0)),"")</f>
        <v>типовая</v>
      </c>
      <c r="R277" t="s">
        <v>92</v>
      </c>
      <c r="T277" t="str">
        <f>IF(AND($P277&gt;0,$R277="да"),MAX($T$1:$T276)+1,"")</f>
        <v/>
      </c>
    </row>
    <row r="278" spans="1:20" ht="72" x14ac:dyDescent="0.3">
      <c r="A278" t="str">
        <f>IFERROR(INDEX(Работы!$D$2:$D$6000,MATCH($C278,Работы!$A$2:$A$6000,0)),"")</f>
        <v>Р3</v>
      </c>
      <c r="B278" t="str">
        <f>IFERROR(INDEX(Работы!$F$2:$F$6000,MATCH($C278,Работы!$A$2:$A$6000,0)),"")</f>
        <v>4</v>
      </c>
      <c r="C278" t="str">
        <f>IFERROR(INDEX(Работы!$A$2:$A$6000,277),"")</f>
        <v>РАБ.Р3.4.001</v>
      </c>
      <c r="D278" s="8" t="str">
        <f>IFERROR(INDEX(Работы!$B$2:$B$6000,MATCH($C278,Работы!$A$2:$A$6000,0)),"")</f>
        <v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v>
      </c>
      <c r="E278" t="str">
        <f>IFERROR(INDEX(Работы!$C$2:$C$6000,MATCH($C278,Работы!$A$2:$A$6000,0)),"")</f>
        <v>шт.</v>
      </c>
      <c r="F278" t="str">
        <f>IFERROR(INDEX(Работы!$G$2:$G$6000,MATCH($C278,Работы!$A$2:$A$6000,0)),"")</f>
        <v>ДВ.АЛ</v>
      </c>
      <c r="G278" t="str">
        <f>IFERROR(INDEX(Работы!$K$2:$K$6000,MATCH($C278,Работы!$A$2:$A$6000,0)),"")</f>
        <v>Спецификация</v>
      </c>
      <c r="H278" s="9"/>
      <c r="I278" s="9"/>
      <c r="J278" s="8" t="str">
        <f>IFERROR(INDEX(Материалы!$B$2:$B$9000,MATCH($I278,Материалы!$A$2:$A$9000,0)),"")</f>
        <v/>
      </c>
      <c r="K278" t="str">
        <f>IF($I278="","",IF($F278=IFERROR(INDEX(Материалы!$G$2:$G$9000,MATCH($I278,Материалы!$A$2:$A$9000,0)),""),"OK","!! не та группа"))</f>
        <v/>
      </c>
      <c r="L278" s="10">
        <f>IFERROR(INDEX(Работы!$H$2:$H$6000,MATCH($C278,Работы!$A$2:$A$6000,0))*(1-ДисконтТендер),0)</f>
        <v>5781.74</v>
      </c>
      <c r="M278" s="10">
        <f>IF($I278="",0,IFERROR(INDEX(Материалы!$I$2:$I$9000,MATCH($I278,Материалы!$A$2:$A$9000,0))*IF(INDEX(Материалы!$J$2:$J$9000,MATCH($I278,Материалы!$A$2:$A$9000,0))="USD",КурсUSD,IF(INDEX(Материалы!$J$2:$J$9000,MATCH($I278,Материалы!$A$2:$A$9000,0))="EUR",КурсEUR,1))*INDEX(Материалы!$K$2:$K$9000,MATCH($I278,Материалы!$A$2:$A$9000,0))*(1+IFERROR(INDEX(Работы!$I$2:$I$6000,MATCH($C278,Работы!$A$2:$A$6000,0))/100,0))*(1-ДисконтТендер),0))</f>
        <v>0</v>
      </c>
      <c r="N278" s="10">
        <f t="shared" si="12"/>
        <v>0</v>
      </c>
      <c r="O278" s="10">
        <f t="shared" si="13"/>
        <v>0</v>
      </c>
      <c r="P278" s="10">
        <f t="shared" si="14"/>
        <v>0</v>
      </c>
      <c r="Q278" t="str">
        <f>IFERROR(INDEX(Работы!$J$2:$J$6000,MATCH($C278,Работы!$A$2:$A$6000,0)),"")</f>
        <v>типовая</v>
      </c>
      <c r="R278" t="s">
        <v>92</v>
      </c>
      <c r="T278" t="str">
        <f>IF(AND($P278&gt;0,$R278="да"),MAX($T$1:$T277)+1,"")</f>
        <v/>
      </c>
    </row>
    <row r="279" spans="1:20" ht="72" x14ac:dyDescent="0.3">
      <c r="A279" t="str">
        <f>IFERROR(INDEX(Работы!$D$2:$D$6000,MATCH($C279,Работы!$A$2:$A$6000,0)),"")</f>
        <v>Р3</v>
      </c>
      <c r="B279" t="str">
        <f>IFERROR(INDEX(Работы!$F$2:$F$6000,MATCH($C279,Работы!$A$2:$A$6000,0)),"")</f>
        <v>4</v>
      </c>
      <c r="C279" t="str">
        <f>IFERROR(INDEX(Работы!$A$2:$A$6000,278),"")</f>
        <v>РАБ.Р3.4.002</v>
      </c>
      <c r="D279" s="8" t="str">
        <f>IFERROR(INDEX(Работы!$B$2:$B$6000,MATCH($C279,Работы!$A$2:$A$6000,0)),"")</f>
        <v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v>
      </c>
      <c r="E279" t="str">
        <f>IFERROR(INDEX(Работы!$C$2:$C$6000,MATCH($C279,Работы!$A$2:$A$6000,0)),"")</f>
        <v>шт.</v>
      </c>
      <c r="F279" t="str">
        <f>IFERROR(INDEX(Работы!$G$2:$G$6000,MATCH($C279,Работы!$A$2:$A$6000,0)),"")</f>
        <v>ДВ.АЛ</v>
      </c>
      <c r="G279" t="str">
        <f>IFERROR(INDEX(Работы!$K$2:$K$6000,MATCH($C279,Работы!$A$2:$A$6000,0)),"")</f>
        <v>Спецификация</v>
      </c>
      <c r="H279" s="9"/>
      <c r="I279" s="9"/>
      <c r="J279" s="8" t="str">
        <f>IFERROR(INDEX(Материалы!$B$2:$B$9000,MATCH($I279,Материалы!$A$2:$A$9000,0)),"")</f>
        <v/>
      </c>
      <c r="K279" t="str">
        <f>IF($I279="","",IF($F279=IFERROR(INDEX(Материалы!$G$2:$G$9000,MATCH($I279,Материалы!$A$2:$A$9000,0)),""),"OK","!! не та группа"))</f>
        <v/>
      </c>
      <c r="L279" s="10">
        <f>IFERROR(INDEX(Работы!$H$2:$H$6000,MATCH($C279,Работы!$A$2:$A$6000,0))*(1-ДисконтТендер),0)</f>
        <v>7892.64</v>
      </c>
      <c r="M279" s="10">
        <f>IF($I279="",0,IFERROR(INDEX(Материалы!$I$2:$I$9000,MATCH($I279,Материалы!$A$2:$A$9000,0))*IF(INDEX(Материалы!$J$2:$J$9000,MATCH($I279,Материалы!$A$2:$A$9000,0))="USD",КурсUSD,IF(INDEX(Материалы!$J$2:$J$9000,MATCH($I279,Материалы!$A$2:$A$9000,0))="EUR",КурсEUR,1))*INDEX(Материалы!$K$2:$K$9000,MATCH($I279,Материалы!$A$2:$A$9000,0))*(1+IFERROR(INDEX(Работы!$I$2:$I$6000,MATCH($C279,Работы!$A$2:$A$6000,0))/100,0))*(1-ДисконтТендер),0))</f>
        <v>0</v>
      </c>
      <c r="N279" s="10">
        <f t="shared" si="12"/>
        <v>0</v>
      </c>
      <c r="O279" s="10">
        <f t="shared" si="13"/>
        <v>0</v>
      </c>
      <c r="P279" s="10">
        <f t="shared" si="14"/>
        <v>0</v>
      </c>
      <c r="Q279" t="str">
        <f>IFERROR(INDEX(Работы!$J$2:$J$6000,MATCH($C279,Работы!$A$2:$A$6000,0)),"")</f>
        <v>типовая</v>
      </c>
      <c r="R279" t="s">
        <v>92</v>
      </c>
      <c r="T279" t="str">
        <f>IF(AND($P279&gt;0,$R279="да"),MAX($T$1:$T278)+1,"")</f>
        <v/>
      </c>
    </row>
    <row r="280" spans="1:20" ht="72" x14ac:dyDescent="0.3">
      <c r="A280" t="str">
        <f>IFERROR(INDEX(Работы!$D$2:$D$6000,MATCH($C280,Работы!$A$2:$A$6000,0)),"")</f>
        <v>Р3</v>
      </c>
      <c r="B280" t="str">
        <f>IFERROR(INDEX(Работы!$F$2:$F$6000,MATCH($C280,Работы!$A$2:$A$6000,0)),"")</f>
        <v>4</v>
      </c>
      <c r="C280" t="str">
        <f>IFERROR(INDEX(Работы!$A$2:$A$6000,279),"")</f>
        <v>РАБ.Р3.4.003</v>
      </c>
      <c r="D280" s="8" t="str">
        <f>IFERROR(INDEX(Работы!$B$2:$B$6000,MATCH($C280,Работы!$A$2:$A$6000,0)),"")</f>
        <v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v>
      </c>
      <c r="E280" t="str">
        <f>IFERROR(INDEX(Работы!$C$2:$C$6000,MATCH($C280,Работы!$A$2:$A$6000,0)),"")</f>
        <v>шт.</v>
      </c>
      <c r="F280" t="str">
        <f>IFERROR(INDEX(Работы!$G$2:$G$6000,MATCH($C280,Работы!$A$2:$A$6000,0)),"")</f>
        <v>ДВ.АЛ</v>
      </c>
      <c r="G280" t="str">
        <f>IFERROR(INDEX(Работы!$K$2:$K$6000,MATCH($C280,Работы!$A$2:$A$6000,0)),"")</f>
        <v>Спецификация</v>
      </c>
      <c r="H280" s="9"/>
      <c r="I280" s="9"/>
      <c r="J280" s="8" t="str">
        <f>IFERROR(INDEX(Материалы!$B$2:$B$9000,MATCH($I280,Материалы!$A$2:$A$9000,0)),"")</f>
        <v/>
      </c>
      <c r="K280" t="str">
        <f>IF($I280="","",IF($F280=IFERROR(INDEX(Материалы!$G$2:$G$9000,MATCH($I280,Материалы!$A$2:$A$9000,0)),""),"OK","!! не та группа"))</f>
        <v/>
      </c>
      <c r="L280" s="10">
        <f>IFERROR(INDEX(Работы!$H$2:$H$6000,MATCH($C280,Работы!$A$2:$A$6000,0))*(1-ДисконтТендер),0)</f>
        <v>9900</v>
      </c>
      <c r="M280" s="10">
        <f>IF($I280="",0,IFERROR(INDEX(Материалы!$I$2:$I$9000,MATCH($I280,Материалы!$A$2:$A$9000,0))*IF(INDEX(Материалы!$J$2:$J$9000,MATCH($I280,Материалы!$A$2:$A$9000,0))="USD",КурсUSD,IF(INDEX(Материалы!$J$2:$J$9000,MATCH($I280,Материалы!$A$2:$A$9000,0))="EUR",КурсEUR,1))*INDEX(Материалы!$K$2:$K$9000,MATCH($I280,Материалы!$A$2:$A$9000,0))*(1+IFERROR(INDEX(Работы!$I$2:$I$6000,MATCH($C280,Работы!$A$2:$A$6000,0))/100,0))*(1-ДисконтТендер),0))</f>
        <v>0</v>
      </c>
      <c r="N280" s="10">
        <f t="shared" si="12"/>
        <v>0</v>
      </c>
      <c r="O280" s="10">
        <f t="shared" si="13"/>
        <v>0</v>
      </c>
      <c r="P280" s="10">
        <f t="shared" si="14"/>
        <v>0</v>
      </c>
      <c r="Q280" t="str">
        <f>IFERROR(INDEX(Работы!$J$2:$J$6000,MATCH($C280,Работы!$A$2:$A$6000,0)),"")</f>
        <v>типовая</v>
      </c>
      <c r="R280" t="s">
        <v>92</v>
      </c>
      <c r="T280" t="str">
        <f>IF(AND($P280&gt;0,$R280="да"),MAX($T$1:$T279)+1,"")</f>
        <v/>
      </c>
    </row>
    <row r="281" spans="1:20" x14ac:dyDescent="0.3">
      <c r="A281" t="str">
        <f>IFERROR(INDEX(Работы!$D$2:$D$6000,MATCH($C281,Работы!$A$2:$A$6000,0)),"")</f>
        <v>Р3</v>
      </c>
      <c r="B281" t="str">
        <f>IFERROR(INDEX(Работы!$F$2:$F$6000,MATCH($C281,Работы!$A$2:$A$6000,0)),"")</f>
        <v>4</v>
      </c>
      <c r="C281" t="str">
        <f>IFERROR(INDEX(Работы!$A$2:$A$6000,280),"")</f>
        <v>РАБ.Р3.4.004</v>
      </c>
      <c r="D281" s="8" t="str">
        <f>IFERROR(INDEX(Работы!$B$2:$B$6000,MATCH($C281,Работы!$A$2:$A$6000,0)),"")</f>
        <v>Монтаж дверного блока / дверных приборов</v>
      </c>
      <c r="E281" t="str">
        <f>IFERROR(INDEX(Работы!$C$2:$C$6000,MATCH($C281,Работы!$A$2:$A$6000,0)),"")</f>
        <v>шт.</v>
      </c>
      <c r="F281" t="str">
        <f>IFERROR(INDEX(Работы!$G$2:$G$6000,MATCH($C281,Работы!$A$2:$A$6000,0)),"")</f>
        <v>ДВ</v>
      </c>
      <c r="G281" t="str">
        <f>IFERROR(INDEX(Работы!$K$2:$K$6000,MATCH($C281,Работы!$A$2:$A$6000,0)),"")</f>
        <v>Спецификация</v>
      </c>
      <c r="H281" s="9"/>
      <c r="I281" s="9"/>
      <c r="J281" s="8" t="str">
        <f>IFERROR(INDEX(Материалы!$B$2:$B$9000,MATCH($I281,Материалы!$A$2:$A$9000,0)),"")</f>
        <v/>
      </c>
      <c r="K281" t="str">
        <f>IF($I281="","",IF($F281=IFERROR(INDEX(Материалы!$G$2:$G$9000,MATCH($I281,Материалы!$A$2:$A$9000,0)),""),"OK","!! не та группа"))</f>
        <v/>
      </c>
      <c r="L281" s="10">
        <f>IFERROR(INDEX(Работы!$H$2:$H$6000,MATCH($C281,Работы!$A$2:$A$6000,0))*(1-ДисконтТендер),0)</f>
        <v>1280.1300000000001</v>
      </c>
      <c r="M281" s="10">
        <f>IF($I281="",0,IFERROR(INDEX(Материалы!$I$2:$I$9000,MATCH($I281,Материалы!$A$2:$A$9000,0))*IF(INDEX(Материалы!$J$2:$J$9000,MATCH($I281,Материалы!$A$2:$A$9000,0))="USD",КурсUSD,IF(INDEX(Материалы!$J$2:$J$9000,MATCH($I281,Материалы!$A$2:$A$9000,0))="EUR",КурсEUR,1))*INDEX(Материалы!$K$2:$K$9000,MATCH($I281,Материалы!$A$2:$A$9000,0))*(1+IFERROR(INDEX(Работы!$I$2:$I$6000,MATCH($C281,Работы!$A$2:$A$6000,0))/100,0))*(1-ДисконтТендер),0))</f>
        <v>0</v>
      </c>
      <c r="N281" s="10">
        <f t="shared" si="12"/>
        <v>0</v>
      </c>
      <c r="O281" s="10">
        <f t="shared" si="13"/>
        <v>0</v>
      </c>
      <c r="P281" s="10">
        <f t="shared" si="14"/>
        <v>0</v>
      </c>
      <c r="Q281" t="str">
        <f>IFERROR(INDEX(Работы!$J$2:$J$6000,MATCH($C281,Работы!$A$2:$A$6000,0)),"")</f>
        <v>типовая</v>
      </c>
      <c r="R281" t="s">
        <v>92</v>
      </c>
      <c r="T281" t="str">
        <f>IF(AND($P281&gt;0,$R281="да"),MAX($T$1:$T280)+1,"")</f>
        <v/>
      </c>
    </row>
    <row r="282" spans="1:20" x14ac:dyDescent="0.3">
      <c r="A282" t="str">
        <f>IFERROR(INDEX(Работы!$D$2:$D$6000,MATCH($C282,Работы!$A$2:$A$6000,0)),"")</f>
        <v>Р3</v>
      </c>
      <c r="B282" t="str">
        <f>IFERROR(INDEX(Работы!$F$2:$F$6000,MATCH($C282,Работы!$A$2:$A$6000,0)),"")</f>
        <v>4</v>
      </c>
      <c r="C282" t="str">
        <f>IFERROR(INDEX(Работы!$A$2:$A$6000,281),"")</f>
        <v>РАБ.Р3.4.005</v>
      </c>
      <c r="D282" s="8" t="str">
        <f>IFERROR(INDEX(Работы!$B$2:$B$6000,MATCH($C282,Работы!$A$2:$A$6000,0)),"")</f>
        <v>Монтаж дверного блока / дверных приборов</v>
      </c>
      <c r="E282" t="str">
        <f>IFERROR(INDEX(Работы!$C$2:$C$6000,MATCH($C282,Работы!$A$2:$A$6000,0)),"")</f>
        <v>шт.</v>
      </c>
      <c r="F282" t="str">
        <f>IFERROR(INDEX(Работы!$G$2:$G$6000,MATCH($C282,Работы!$A$2:$A$6000,0)),"")</f>
        <v>ДВ</v>
      </c>
      <c r="G282" t="str">
        <f>IFERROR(INDEX(Работы!$K$2:$K$6000,MATCH($C282,Работы!$A$2:$A$6000,0)),"")</f>
        <v>Спецификация</v>
      </c>
      <c r="H282" s="9"/>
      <c r="I282" s="9"/>
      <c r="J282" s="8" t="str">
        <f>IFERROR(INDEX(Материалы!$B$2:$B$9000,MATCH($I282,Материалы!$A$2:$A$9000,0)),"")</f>
        <v/>
      </c>
      <c r="K282" t="str">
        <f>IF($I282="","",IF($F282=IFERROR(INDEX(Материалы!$G$2:$G$9000,MATCH($I282,Материалы!$A$2:$A$9000,0)),""),"OK","!! не та группа"))</f>
        <v/>
      </c>
      <c r="L282" s="10">
        <f>IFERROR(INDEX(Работы!$H$2:$H$6000,MATCH($C282,Работы!$A$2:$A$6000,0))*(1-ДисконтТендер),0)</f>
        <v>10648.8</v>
      </c>
      <c r="M282" s="10">
        <f>IF($I282="",0,IFERROR(INDEX(Материалы!$I$2:$I$9000,MATCH($I282,Материалы!$A$2:$A$9000,0))*IF(INDEX(Материалы!$J$2:$J$9000,MATCH($I282,Материалы!$A$2:$A$9000,0))="USD",КурсUSD,IF(INDEX(Материалы!$J$2:$J$9000,MATCH($I282,Материалы!$A$2:$A$9000,0))="EUR",КурсEUR,1))*INDEX(Материалы!$K$2:$K$9000,MATCH($I282,Материалы!$A$2:$A$9000,0))*(1+IFERROR(INDEX(Работы!$I$2:$I$6000,MATCH($C282,Работы!$A$2:$A$6000,0))/100,0))*(1-ДисконтТендер),0))</f>
        <v>0</v>
      </c>
      <c r="N282" s="10">
        <f t="shared" si="12"/>
        <v>0</v>
      </c>
      <c r="O282" s="10">
        <f t="shared" si="13"/>
        <v>0</v>
      </c>
      <c r="P282" s="10">
        <f t="shared" si="14"/>
        <v>0</v>
      </c>
      <c r="Q282" t="str">
        <f>IFERROR(INDEX(Работы!$J$2:$J$6000,MATCH($C282,Работы!$A$2:$A$6000,0)),"")</f>
        <v>типовая</v>
      </c>
      <c r="R282" t="s">
        <v>92</v>
      </c>
      <c r="T282" t="str">
        <f>IF(AND($P282&gt;0,$R282="да"),MAX($T$1:$T281)+1,"")</f>
        <v/>
      </c>
    </row>
    <row r="283" spans="1:20" ht="57.6" x14ac:dyDescent="0.3">
      <c r="A283" t="str">
        <f>IFERROR(INDEX(Работы!$D$2:$D$6000,MATCH($C283,Работы!$A$2:$A$6000,0)),"")</f>
        <v>Р3</v>
      </c>
      <c r="B283" t="str">
        <f>IFERROR(INDEX(Работы!$F$2:$F$6000,MATCH($C283,Работы!$A$2:$A$6000,0)),"")</f>
        <v>4</v>
      </c>
      <c r="C283" t="str">
        <f>IFERROR(INDEX(Работы!$A$2:$A$6000,282),"")</f>
        <v>РАБ.Р3.4.006</v>
      </c>
      <c r="D283" s="8" t="str">
        <f>IFERROR(INDEX(Работы!$B$2:$B$6000,MATCH($C283,Работы!$A$2:$A$6000,0)),"")</f>
        <v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v>
      </c>
      <c r="E283" t="str">
        <f>IFERROR(INDEX(Работы!$C$2:$C$6000,MATCH($C283,Работы!$A$2:$A$6000,0)),"")</f>
        <v>шт.</v>
      </c>
      <c r="F283" t="str">
        <f>IFERROR(INDEX(Работы!$G$2:$G$6000,MATCH($C283,Работы!$A$2:$A$6000,0)),"")</f>
        <v>КРАСКА</v>
      </c>
      <c r="G283" t="str">
        <f>IFERROR(INDEX(Работы!$K$2:$K$6000,MATCH($C283,Работы!$A$2:$A$6000,0)),"")</f>
        <v>S_поверхность</v>
      </c>
      <c r="H283" s="9"/>
      <c r="I283" s="9"/>
      <c r="J283" s="8" t="str">
        <f>IFERROR(INDEX(Материалы!$B$2:$B$9000,MATCH($I283,Материалы!$A$2:$A$9000,0)),"")</f>
        <v/>
      </c>
      <c r="K283" t="str">
        <f>IF($I283="","",IF($F283=IFERROR(INDEX(Материалы!$G$2:$G$9000,MATCH($I283,Материалы!$A$2:$A$9000,0)),""),"OK","!! не та группа"))</f>
        <v/>
      </c>
      <c r="L283" s="10">
        <f>IFERROR(INDEX(Работы!$H$2:$H$6000,MATCH($C283,Работы!$A$2:$A$6000,0))*(1-ДисконтТендер),0)</f>
        <v>13154.4</v>
      </c>
      <c r="M283" s="10">
        <f>IF($I283="",0,IFERROR(INDEX(Материалы!$I$2:$I$9000,MATCH($I283,Материалы!$A$2:$A$9000,0))*IF(INDEX(Материалы!$J$2:$J$9000,MATCH($I283,Материалы!$A$2:$A$9000,0))="USD",КурсUSD,IF(INDEX(Материалы!$J$2:$J$9000,MATCH($I283,Материалы!$A$2:$A$9000,0))="EUR",КурсEUR,1))*INDEX(Материалы!$K$2:$K$9000,MATCH($I283,Материалы!$A$2:$A$9000,0))*(1+IFERROR(INDEX(Работы!$I$2:$I$6000,MATCH($C283,Работы!$A$2:$A$6000,0))/100,0))*(1-ДисконтТендер),0))</f>
        <v>0</v>
      </c>
      <c r="N283" s="10">
        <f t="shared" si="12"/>
        <v>0</v>
      </c>
      <c r="O283" s="10">
        <f t="shared" si="13"/>
        <v>0</v>
      </c>
      <c r="P283" s="10">
        <f t="shared" si="14"/>
        <v>0</v>
      </c>
      <c r="Q283" t="str">
        <f>IFERROR(INDEX(Работы!$J$2:$J$6000,MATCH($C283,Работы!$A$2:$A$6000,0)),"")</f>
        <v>типовая</v>
      </c>
      <c r="R283" t="s">
        <v>92</v>
      </c>
      <c r="T283" t="str">
        <f>IF(AND($P283&gt;0,$R283="да"),MAX($T$1:$T282)+1,"")</f>
        <v/>
      </c>
    </row>
    <row r="284" spans="1:20" ht="43.2" x14ac:dyDescent="0.3">
      <c r="A284" t="str">
        <f>IFERROR(INDEX(Работы!$D$2:$D$6000,MATCH($C284,Работы!$A$2:$A$6000,0)),"")</f>
        <v>Р3</v>
      </c>
      <c r="B284" t="str">
        <f>IFERROR(INDEX(Работы!$F$2:$F$6000,MATCH($C284,Работы!$A$2:$A$6000,0)),"")</f>
        <v>4</v>
      </c>
      <c r="C284" t="str">
        <f>IFERROR(INDEX(Работы!$A$2:$A$6000,283),"")</f>
        <v>РАБ.Р3.4.007</v>
      </c>
      <c r="D284" s="8" t="str">
        <f>IFERROR(INDEX(Работы!$B$2:$B$6000,MATCH($C284,Работы!$A$2:$A$6000,0)),"")</f>
        <v>Доводчик на рабочую створку NOTEDO DC-025-095 (со скользящим каналом). Доводчик на паразитную створку NOTEDO DC-070 (паук)</v>
      </c>
      <c r="E284" t="str">
        <f>IFERROR(INDEX(Работы!$C$2:$C$6000,MATCH($C284,Работы!$A$2:$A$6000,0)),"")</f>
        <v>шт.</v>
      </c>
      <c r="F284" t="str">
        <f>IFERROR(INDEX(Работы!$G$2:$G$6000,MATCH($C284,Работы!$A$2:$A$6000,0)),"")</f>
        <v>ДВ</v>
      </c>
      <c r="G284" t="str">
        <f>IFERROR(INDEX(Работы!$K$2:$K$6000,MATCH($C284,Работы!$A$2:$A$6000,0)),"")</f>
        <v>Спецификация</v>
      </c>
      <c r="H284" s="9"/>
      <c r="I284" s="9"/>
      <c r="J284" s="8" t="str">
        <f>IFERROR(INDEX(Материалы!$B$2:$B$9000,MATCH($I284,Материалы!$A$2:$A$9000,0)),"")</f>
        <v/>
      </c>
      <c r="K284" t="str">
        <f>IF($I284="","",IF($F284=IFERROR(INDEX(Материалы!$G$2:$G$9000,MATCH($I284,Материалы!$A$2:$A$9000,0)),""),"OK","!! не та группа"))</f>
        <v/>
      </c>
      <c r="L284" s="10">
        <f>IFERROR(INDEX(Работы!$H$2:$H$6000,MATCH($C284,Работы!$A$2:$A$6000,0))*(1-ДисконтТендер),0)</f>
        <v>1315.44</v>
      </c>
      <c r="M284" s="10">
        <f>IF($I284="",0,IFERROR(INDEX(Материалы!$I$2:$I$9000,MATCH($I284,Материалы!$A$2:$A$9000,0))*IF(INDEX(Материалы!$J$2:$J$9000,MATCH($I284,Материалы!$A$2:$A$9000,0))="USD",КурсUSD,IF(INDEX(Материалы!$J$2:$J$9000,MATCH($I284,Материалы!$A$2:$A$9000,0))="EUR",КурсEUR,1))*INDEX(Материалы!$K$2:$K$9000,MATCH($I284,Материалы!$A$2:$A$9000,0))*(1+IFERROR(INDEX(Работы!$I$2:$I$6000,MATCH($C284,Работы!$A$2:$A$6000,0))/100,0))*(1-ДисконтТендер),0))</f>
        <v>0</v>
      </c>
      <c r="N284" s="10">
        <f t="shared" si="12"/>
        <v>0</v>
      </c>
      <c r="O284" s="10">
        <f t="shared" si="13"/>
        <v>0</v>
      </c>
      <c r="P284" s="10">
        <f t="shared" si="14"/>
        <v>0</v>
      </c>
      <c r="Q284" t="str">
        <f>IFERROR(INDEX(Работы!$J$2:$J$6000,MATCH($C284,Работы!$A$2:$A$6000,0)),"")</f>
        <v>типовая</v>
      </c>
      <c r="R284" t="s">
        <v>92</v>
      </c>
      <c r="T284" t="str">
        <f>IF(AND($P284&gt;0,$R284="да"),MAX($T$1:$T283)+1,"")</f>
        <v/>
      </c>
    </row>
    <row r="285" spans="1:20" ht="28.8" x14ac:dyDescent="0.3">
      <c r="A285" t="str">
        <f>IFERROR(INDEX(Работы!$D$2:$D$6000,MATCH($C285,Работы!$A$2:$A$6000,0)),"")</f>
        <v>Р3</v>
      </c>
      <c r="B285" t="str">
        <f>IFERROR(INDEX(Работы!$F$2:$F$6000,MATCH($C285,Работы!$A$2:$A$6000,0)),"")</f>
        <v>4</v>
      </c>
      <c r="C285" t="str">
        <f>IFERROR(INDEX(Работы!$A$2:$A$6000,284),"")</f>
        <v>РАБ.Р3.4.008</v>
      </c>
      <c r="D285" s="8" t="str">
        <f>IFERROR(INDEX(Работы!$B$2:$B$6000,MATCH($C285,Работы!$A$2:$A$6000,0)),"")</f>
        <v>Установка металлической двери-решетчатой гармошки с замком 900х2100 мм (запасной выход)</v>
      </c>
      <c r="E285" t="str">
        <f>IFERROR(INDEX(Работы!$C$2:$C$6000,MATCH($C285,Работы!$A$2:$A$6000,0)),"")</f>
        <v>шт.</v>
      </c>
      <c r="F285" t="str">
        <f>IFERROR(INDEX(Работы!$G$2:$G$6000,MATCH($C285,Работы!$A$2:$A$6000,0)),"")</f>
        <v>ДВ.БР</v>
      </c>
      <c r="G285" t="str">
        <f>IFERROR(INDEX(Работы!$K$2:$K$6000,MATCH($C285,Работы!$A$2:$A$6000,0)),"")</f>
        <v>Спецификация</v>
      </c>
      <c r="H285" s="9"/>
      <c r="I285" s="9"/>
      <c r="J285" s="8" t="str">
        <f>IFERROR(INDEX(Материалы!$B$2:$B$9000,MATCH($I285,Материалы!$A$2:$A$9000,0)),"")</f>
        <v/>
      </c>
      <c r="K285" t="str">
        <f>IF($I285="","",IF($F285=IFERROR(INDEX(Материалы!$G$2:$G$9000,MATCH($I285,Материалы!$A$2:$A$9000,0)),""),"OK","!! не та группа"))</f>
        <v/>
      </c>
      <c r="L285" s="10">
        <f>IFERROR(INDEX(Работы!$H$2:$H$6000,MATCH($C285,Работы!$A$2:$A$6000,0))*(1-ДисконтТендер),0)</f>
        <v>11901.6</v>
      </c>
      <c r="M285" s="10">
        <f>IF($I285="",0,IFERROR(INDEX(Материалы!$I$2:$I$9000,MATCH($I285,Материалы!$A$2:$A$9000,0))*IF(INDEX(Материалы!$J$2:$J$9000,MATCH($I285,Материалы!$A$2:$A$9000,0))="USD",КурсUSD,IF(INDEX(Материалы!$J$2:$J$9000,MATCH($I285,Материалы!$A$2:$A$9000,0))="EUR",КурсEUR,1))*INDEX(Материалы!$K$2:$K$9000,MATCH($I285,Материалы!$A$2:$A$9000,0))*(1+IFERROR(INDEX(Работы!$I$2:$I$6000,MATCH($C285,Работы!$A$2:$A$6000,0))/100,0))*(1-ДисконтТендер),0))</f>
        <v>0</v>
      </c>
      <c r="N285" s="10">
        <f t="shared" si="12"/>
        <v>0</v>
      </c>
      <c r="O285" s="10">
        <f t="shared" si="13"/>
        <v>0</v>
      </c>
      <c r="P285" s="10">
        <f t="shared" si="14"/>
        <v>0</v>
      </c>
      <c r="Q285" t="str">
        <f>IFERROR(INDEX(Работы!$J$2:$J$6000,MATCH($C285,Работы!$A$2:$A$6000,0)),"")</f>
        <v>нетиповая</v>
      </c>
      <c r="R285" t="s">
        <v>92</v>
      </c>
      <c r="T285" t="str">
        <f>IF(AND($P285&gt;0,$R285="да"),MAX($T$1:$T284)+1,"")</f>
        <v/>
      </c>
    </row>
    <row r="286" spans="1:20" x14ac:dyDescent="0.3">
      <c r="A286" t="str">
        <f>IFERROR(INDEX(Работы!$D$2:$D$6000,MATCH($C286,Работы!$A$2:$A$6000,0)),"")</f>
        <v>Р3</v>
      </c>
      <c r="B286" t="str">
        <f>IFERROR(INDEX(Работы!$F$2:$F$6000,MATCH($C286,Работы!$A$2:$A$6000,0)),"")</f>
        <v>4</v>
      </c>
      <c r="C286" t="str">
        <f>IFERROR(INDEX(Работы!$A$2:$A$6000,285),"")</f>
        <v>РАБ.Р3.4.009</v>
      </c>
      <c r="D286" s="8" t="str">
        <f>IFERROR(INDEX(Работы!$B$2:$B$6000,MATCH($C286,Работы!$A$2:$A$6000,0)),"")</f>
        <v>Монтаж дверного блока стеклянного</v>
      </c>
      <c r="E286" t="str">
        <f>IFERROR(INDEX(Работы!$C$2:$C$6000,MATCH($C286,Работы!$A$2:$A$6000,0)),"")</f>
        <v>шт.</v>
      </c>
      <c r="F286" t="str">
        <f>IFERROR(INDEX(Работы!$G$2:$G$6000,MATCH($C286,Работы!$A$2:$A$6000,0)),"")</f>
        <v>ДВ.СТ</v>
      </c>
      <c r="G286" t="str">
        <f>IFERROR(INDEX(Работы!$K$2:$K$6000,MATCH($C286,Работы!$A$2:$A$6000,0)),"")</f>
        <v>Спецификация</v>
      </c>
      <c r="H286" s="9"/>
      <c r="I286" s="9"/>
      <c r="J286" s="8" t="str">
        <f>IFERROR(INDEX(Материалы!$B$2:$B$9000,MATCH($I286,Материалы!$A$2:$A$9000,0)),"")</f>
        <v/>
      </c>
      <c r="K286" t="str">
        <f>IF($I286="","",IF($F286=IFERROR(INDEX(Материалы!$G$2:$G$9000,MATCH($I286,Материалы!$A$2:$A$9000,0)),""),"OK","!! не та группа"))</f>
        <v/>
      </c>
      <c r="L286" s="10">
        <f>IFERROR(INDEX(Работы!$H$2:$H$6000,MATCH($C286,Работы!$A$2:$A$6000,0))*(1-ДисконтТендер),0)</f>
        <v>9350</v>
      </c>
      <c r="M286" s="10">
        <f>IF($I286="",0,IFERROR(INDEX(Материалы!$I$2:$I$9000,MATCH($I286,Материалы!$A$2:$A$9000,0))*IF(INDEX(Материалы!$J$2:$J$9000,MATCH($I286,Материалы!$A$2:$A$9000,0))="USD",КурсUSD,IF(INDEX(Материалы!$J$2:$J$9000,MATCH($I286,Материалы!$A$2:$A$9000,0))="EUR",КурсEUR,1))*INDEX(Материалы!$K$2:$K$9000,MATCH($I286,Материалы!$A$2:$A$9000,0))*(1+IFERROR(INDEX(Работы!$I$2:$I$6000,MATCH($C286,Работы!$A$2:$A$6000,0))/100,0))*(1-ДисконтТендер),0))</f>
        <v>0</v>
      </c>
      <c r="N286" s="10">
        <f t="shared" si="12"/>
        <v>0</v>
      </c>
      <c r="O286" s="10">
        <f t="shared" si="13"/>
        <v>0</v>
      </c>
      <c r="P286" s="10">
        <f t="shared" si="14"/>
        <v>0</v>
      </c>
      <c r="Q286" t="str">
        <f>IFERROR(INDEX(Работы!$J$2:$J$6000,MATCH($C286,Работы!$A$2:$A$6000,0)),"")</f>
        <v>типовая</v>
      </c>
      <c r="R286" t="s">
        <v>92</v>
      </c>
      <c r="T286" t="str">
        <f>IF(AND($P286&gt;0,$R286="да"),MAX($T$1:$T285)+1,"")</f>
        <v/>
      </c>
    </row>
    <row r="287" spans="1:20" ht="72" x14ac:dyDescent="0.3">
      <c r="A287" t="str">
        <f>IFERROR(INDEX(Работы!$D$2:$D$6000,MATCH($C287,Работы!$A$2:$A$6000,0)),"")</f>
        <v>Р3</v>
      </c>
      <c r="B287" t="str">
        <f>IFERROR(INDEX(Работы!$F$2:$F$6000,MATCH($C287,Работы!$A$2:$A$6000,0)),"")</f>
        <v>4</v>
      </c>
      <c r="C287" t="str">
        <f>IFERROR(INDEX(Работы!$A$2:$A$6000,286),"")</f>
        <v>РАБ.Р3.4.010</v>
      </c>
      <c r="D287" s="8" t="str">
        <f>IFERROR(INDEX(Работы!$B$2:$B$6000,MATCH($C287,Работы!$A$2:$A$6000,0)),"")</f>
        <v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v>
      </c>
      <c r="E287" t="str">
        <f>IFERROR(INDEX(Работы!$C$2:$C$6000,MATCH($C287,Работы!$A$2:$A$6000,0)),"")</f>
        <v>шт.</v>
      </c>
      <c r="F287" t="str">
        <f>IFERROR(INDEX(Работы!$G$2:$G$6000,MATCH($C287,Работы!$A$2:$A$6000,0)),"")</f>
        <v>ДВ.СТ</v>
      </c>
      <c r="G287" t="str">
        <f>IFERROR(INDEX(Работы!$K$2:$K$6000,MATCH($C287,Работы!$A$2:$A$6000,0)),"")</f>
        <v>Спецификация</v>
      </c>
      <c r="H287" s="9"/>
      <c r="I287" s="9"/>
      <c r="J287" s="8" t="str">
        <f>IFERROR(INDEX(Материалы!$B$2:$B$9000,MATCH($I287,Материалы!$A$2:$A$9000,0)),"")</f>
        <v/>
      </c>
      <c r="K287" t="str">
        <f>IF($I287="","",IF($F287=IFERROR(INDEX(Материалы!$G$2:$G$9000,MATCH($I287,Материалы!$A$2:$A$9000,0)),""),"OK","!! не та группа"))</f>
        <v/>
      </c>
      <c r="L287" s="10">
        <f>IFERROR(INDEX(Работы!$H$2:$H$6000,MATCH($C287,Работы!$A$2:$A$6000,0))*(1-ДисконтТендер),0)</f>
        <v>12069.75</v>
      </c>
      <c r="M287" s="10">
        <f>IF($I287="",0,IFERROR(INDEX(Материалы!$I$2:$I$9000,MATCH($I287,Материалы!$A$2:$A$9000,0))*IF(INDEX(Материалы!$J$2:$J$9000,MATCH($I287,Материалы!$A$2:$A$9000,0))="USD",КурсUSD,IF(INDEX(Материалы!$J$2:$J$9000,MATCH($I287,Материалы!$A$2:$A$9000,0))="EUR",КурсEUR,1))*INDEX(Материалы!$K$2:$K$9000,MATCH($I287,Материалы!$A$2:$A$9000,0))*(1+IFERROR(INDEX(Работы!$I$2:$I$6000,MATCH($C287,Работы!$A$2:$A$6000,0))/100,0))*(1-ДисконтТендер),0))</f>
        <v>0</v>
      </c>
      <c r="N287" s="10">
        <f t="shared" si="12"/>
        <v>0</v>
      </c>
      <c r="O287" s="10">
        <f t="shared" si="13"/>
        <v>0</v>
      </c>
      <c r="P287" s="10">
        <f t="shared" si="14"/>
        <v>0</v>
      </c>
      <c r="Q287" t="str">
        <f>IFERROR(INDEX(Работы!$J$2:$J$6000,MATCH($C287,Работы!$A$2:$A$6000,0)),"")</f>
        <v>типовая</v>
      </c>
      <c r="R287" t="s">
        <v>92</v>
      </c>
      <c r="T287" t="str">
        <f>IF(AND($P287&gt;0,$R287="да"),MAX($T$1:$T286)+1,"")</f>
        <v/>
      </c>
    </row>
    <row r="288" spans="1:20" ht="72" x14ac:dyDescent="0.3">
      <c r="A288" t="str">
        <f>IFERROR(INDEX(Работы!$D$2:$D$6000,MATCH($C288,Работы!$A$2:$A$6000,0)),"")</f>
        <v>Р3</v>
      </c>
      <c r="B288" t="str">
        <f>IFERROR(INDEX(Работы!$F$2:$F$6000,MATCH($C288,Работы!$A$2:$A$6000,0)),"")</f>
        <v>4</v>
      </c>
      <c r="C288" t="str">
        <f>IFERROR(INDEX(Работы!$A$2:$A$6000,287),"")</f>
        <v>РАБ.Р3.4.011</v>
      </c>
      <c r="D288" s="8" t="str">
        <f>IFERROR(INDEX(Работы!$B$2:$B$6000,MATCH($C288,Работы!$A$2:$A$6000,0)),"")</f>
        <v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v>
      </c>
      <c r="E288" t="str">
        <f>IFERROR(INDEX(Работы!$C$2:$C$6000,MATCH($C288,Работы!$A$2:$A$6000,0)),"")</f>
        <v>шт.</v>
      </c>
      <c r="F288" t="str">
        <f>IFERROR(INDEX(Работы!$G$2:$G$6000,MATCH($C288,Работы!$A$2:$A$6000,0)),"")</f>
        <v>ДВ.АЛ</v>
      </c>
      <c r="G288" t="str">
        <f>IFERROR(INDEX(Работы!$K$2:$K$6000,MATCH($C288,Работы!$A$2:$A$6000,0)),"")</f>
        <v>Спецификация</v>
      </c>
      <c r="H288" s="9"/>
      <c r="I288" s="9"/>
      <c r="J288" s="8" t="str">
        <f>IFERROR(INDEX(Материалы!$B$2:$B$9000,MATCH($I288,Материалы!$A$2:$A$9000,0)),"")</f>
        <v/>
      </c>
      <c r="K288" t="str">
        <f>IF($I288="","",IF($F288=IFERROR(INDEX(Материалы!$G$2:$G$9000,MATCH($I288,Материалы!$A$2:$A$9000,0)),""),"OK","!! не та группа"))</f>
        <v/>
      </c>
      <c r="L288" s="10">
        <f>IFERROR(INDEX(Работы!$H$2:$H$6000,MATCH($C288,Работы!$A$2:$A$6000,0))*(1-ДисконтТендер),0)</f>
        <v>11000</v>
      </c>
      <c r="M288" s="10">
        <f>IF($I288="",0,IFERROR(INDEX(Материалы!$I$2:$I$9000,MATCH($I288,Материалы!$A$2:$A$9000,0))*IF(INDEX(Материалы!$J$2:$J$9000,MATCH($I288,Материалы!$A$2:$A$9000,0))="USD",КурсUSD,IF(INDEX(Материалы!$J$2:$J$9000,MATCH($I288,Материалы!$A$2:$A$9000,0))="EUR",КурсEUR,1))*INDEX(Материалы!$K$2:$K$9000,MATCH($I288,Материалы!$A$2:$A$9000,0))*(1+IFERROR(INDEX(Работы!$I$2:$I$6000,MATCH($C288,Работы!$A$2:$A$6000,0))/100,0))*(1-ДисконтТендер),0))</f>
        <v>0</v>
      </c>
      <c r="N288" s="10">
        <f t="shared" si="12"/>
        <v>0</v>
      </c>
      <c r="O288" s="10">
        <f t="shared" si="13"/>
        <v>0</v>
      </c>
      <c r="P288" s="10">
        <f t="shared" si="14"/>
        <v>0</v>
      </c>
      <c r="Q288" t="str">
        <f>IFERROR(INDEX(Работы!$J$2:$J$6000,MATCH($C288,Работы!$A$2:$A$6000,0)),"")</f>
        <v>типовая</v>
      </c>
      <c r="R288" t="s">
        <v>92</v>
      </c>
      <c r="T288" t="str">
        <f>IF(AND($P288&gt;0,$R288="да"),MAX($T$1:$T287)+1,"")</f>
        <v/>
      </c>
    </row>
    <row r="289" spans="1:20" x14ac:dyDescent="0.3">
      <c r="A289" t="str">
        <f>IFERROR(INDEX(Работы!$D$2:$D$6000,MATCH($C289,Работы!$A$2:$A$6000,0)),"")</f>
        <v>Р3</v>
      </c>
      <c r="B289" t="str">
        <f>IFERROR(INDEX(Работы!$F$2:$F$6000,MATCH($C289,Работы!$A$2:$A$6000,0)),"")</f>
        <v>4</v>
      </c>
      <c r="C289" t="str">
        <f>IFERROR(INDEX(Работы!$A$2:$A$6000,288),"")</f>
        <v>РАБ.Р3.4.012</v>
      </c>
      <c r="D289" s="8" t="str">
        <f>IFERROR(INDEX(Работы!$B$2:$B$6000,MATCH($C289,Работы!$A$2:$A$6000,0)),"")</f>
        <v>Монтаж дверного блока противопожарного</v>
      </c>
      <c r="E289" t="str">
        <f>IFERROR(INDEX(Работы!$C$2:$C$6000,MATCH($C289,Работы!$A$2:$A$6000,0)),"")</f>
        <v>шт.</v>
      </c>
      <c r="F289" t="str">
        <f>IFERROR(INDEX(Работы!$G$2:$G$6000,MATCH($C289,Работы!$A$2:$A$6000,0)),"")</f>
        <v>ДВ.ПП</v>
      </c>
      <c r="G289" t="str">
        <f>IFERROR(INDEX(Работы!$K$2:$K$6000,MATCH($C289,Работы!$A$2:$A$6000,0)),"")</f>
        <v>Спецификация</v>
      </c>
      <c r="H289" s="9"/>
      <c r="I289" s="9"/>
      <c r="J289" s="8" t="str">
        <f>IFERROR(INDEX(Материалы!$B$2:$B$9000,MATCH($I289,Материалы!$A$2:$A$9000,0)),"")</f>
        <v/>
      </c>
      <c r="K289" t="str">
        <f>IF($I289="","",IF($F289=IFERROR(INDEX(Материалы!$G$2:$G$9000,MATCH($I289,Материалы!$A$2:$A$9000,0)),""),"OK","!! не та группа"))</f>
        <v/>
      </c>
      <c r="L289" s="10">
        <f>IFERROR(INDEX(Работы!$H$2:$H$6000,MATCH($C289,Работы!$A$2:$A$6000,0))*(1-ДисконтТендер),0)</f>
        <v>11880</v>
      </c>
      <c r="M289" s="10">
        <f>IF($I289="",0,IFERROR(INDEX(Материалы!$I$2:$I$9000,MATCH($I289,Материалы!$A$2:$A$9000,0))*IF(INDEX(Материалы!$J$2:$J$9000,MATCH($I289,Материалы!$A$2:$A$9000,0))="USD",КурсUSD,IF(INDEX(Материалы!$J$2:$J$9000,MATCH($I289,Материалы!$A$2:$A$9000,0))="EUR",КурсEUR,1))*INDEX(Материалы!$K$2:$K$9000,MATCH($I289,Материалы!$A$2:$A$9000,0))*(1+IFERROR(INDEX(Работы!$I$2:$I$6000,MATCH($C289,Работы!$A$2:$A$6000,0))/100,0))*(1-ДисконтТендер),0))</f>
        <v>0</v>
      </c>
      <c r="N289" s="10">
        <f t="shared" si="12"/>
        <v>0</v>
      </c>
      <c r="O289" s="10">
        <f t="shared" si="13"/>
        <v>0</v>
      </c>
      <c r="P289" s="10">
        <f t="shared" si="14"/>
        <v>0</v>
      </c>
      <c r="Q289" t="str">
        <f>IFERROR(INDEX(Работы!$J$2:$J$6000,MATCH($C289,Работы!$A$2:$A$6000,0)),"")</f>
        <v>типовая</v>
      </c>
      <c r="R289" t="s">
        <v>92</v>
      </c>
      <c r="T289" t="str">
        <f>IF(AND($P289&gt;0,$R289="да"),MAX($T$1:$T288)+1,"")</f>
        <v/>
      </c>
    </row>
    <row r="290" spans="1:20" x14ac:dyDescent="0.3">
      <c r="A290" t="str">
        <f>IFERROR(INDEX(Работы!$D$2:$D$6000,MATCH($C290,Работы!$A$2:$A$6000,0)),"")</f>
        <v>Р3</v>
      </c>
      <c r="B290" t="str">
        <f>IFERROR(INDEX(Работы!$F$2:$F$6000,MATCH($C290,Работы!$A$2:$A$6000,0)),"")</f>
        <v>4</v>
      </c>
      <c r="C290" t="str">
        <f>IFERROR(INDEX(Работы!$A$2:$A$6000,289),"")</f>
        <v>РАБ.Р3.4.013</v>
      </c>
      <c r="D290" s="8" t="str">
        <f>IFERROR(INDEX(Работы!$B$2:$B$6000,MATCH($C290,Работы!$A$2:$A$6000,0)),"")</f>
        <v>Монтаж дверного блока противопожарного</v>
      </c>
      <c r="E290" t="str">
        <f>IFERROR(INDEX(Работы!$C$2:$C$6000,MATCH($C290,Работы!$A$2:$A$6000,0)),"")</f>
        <v>шт.</v>
      </c>
      <c r="F290" t="str">
        <f>IFERROR(INDEX(Работы!$G$2:$G$6000,MATCH($C290,Работы!$A$2:$A$6000,0)),"")</f>
        <v>ДВ.ПП</v>
      </c>
      <c r="G290" t="str">
        <f>IFERROR(INDEX(Работы!$K$2:$K$6000,MATCH($C290,Работы!$A$2:$A$6000,0)),"")</f>
        <v>Спецификация</v>
      </c>
      <c r="H290" s="9"/>
      <c r="I290" s="9"/>
      <c r="J290" s="8" t="str">
        <f>IFERROR(INDEX(Материалы!$B$2:$B$9000,MATCH($I290,Материалы!$A$2:$A$9000,0)),"")</f>
        <v/>
      </c>
      <c r="K290" t="str">
        <f>IF($I290="","",IF($F290=IFERROR(INDEX(Материалы!$G$2:$G$9000,MATCH($I290,Материалы!$A$2:$A$9000,0)),""),"OK","!! не та группа"))</f>
        <v/>
      </c>
      <c r="L290" s="10">
        <f>IFERROR(INDEX(Работы!$H$2:$H$6000,MATCH($C290,Работы!$A$2:$A$6000,0))*(1-ДисконтТендер),0)</f>
        <v>13750</v>
      </c>
      <c r="M290" s="10">
        <f>IF($I290="",0,IFERROR(INDEX(Материалы!$I$2:$I$9000,MATCH($I290,Материалы!$A$2:$A$9000,0))*IF(INDEX(Материалы!$J$2:$J$9000,MATCH($I290,Материалы!$A$2:$A$9000,0))="USD",КурсUSD,IF(INDEX(Материалы!$J$2:$J$9000,MATCH($I290,Материалы!$A$2:$A$9000,0))="EUR",КурсEUR,1))*INDEX(Материалы!$K$2:$K$9000,MATCH($I290,Материалы!$A$2:$A$9000,0))*(1+IFERROR(INDEX(Работы!$I$2:$I$6000,MATCH($C290,Работы!$A$2:$A$6000,0))/100,0))*(1-ДисконтТендер),0))</f>
        <v>0</v>
      </c>
      <c r="N290" s="10">
        <f t="shared" si="12"/>
        <v>0</v>
      </c>
      <c r="O290" s="10">
        <f t="shared" si="13"/>
        <v>0</v>
      </c>
      <c r="P290" s="10">
        <f t="shared" si="14"/>
        <v>0</v>
      </c>
      <c r="Q290" t="str">
        <f>IFERROR(INDEX(Работы!$J$2:$J$6000,MATCH($C290,Работы!$A$2:$A$6000,0)),"")</f>
        <v>типовая</v>
      </c>
      <c r="R290" t="s">
        <v>92</v>
      </c>
      <c r="T290" t="str">
        <f>IF(AND($P290&gt;0,$R290="да"),MAX($T$1:$T289)+1,"")</f>
        <v/>
      </c>
    </row>
    <row r="291" spans="1:20" ht="57.6" x14ac:dyDescent="0.3">
      <c r="A291" t="str">
        <f>IFERROR(INDEX(Работы!$D$2:$D$6000,MATCH($C291,Работы!$A$2:$A$6000,0)),"")</f>
        <v>Р3</v>
      </c>
      <c r="B291" t="str">
        <f>IFERROR(INDEX(Работы!$F$2:$F$6000,MATCH($C291,Работы!$A$2:$A$6000,0)),"")</f>
        <v>4</v>
      </c>
      <c r="C291" t="str">
        <f>IFERROR(INDEX(Работы!$A$2:$A$6000,290),"")</f>
        <v>РАБ.Р3.4.014</v>
      </c>
      <c r="D291" s="8" t="str">
        <f>IFERROR(INDEX(Работы!$B$2:$B$6000,MATCH($C291,Работы!$A$2:$A$6000,0)),"")</f>
        <v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v>
      </c>
      <c r="E291" t="str">
        <f>IFERROR(INDEX(Работы!$C$2:$C$6000,MATCH($C291,Работы!$A$2:$A$6000,0)),"")</f>
        <v>шт.</v>
      </c>
      <c r="F291" t="str">
        <f>IFERROR(INDEX(Работы!$G$2:$G$6000,MATCH($C291,Работы!$A$2:$A$6000,0)),"")</f>
        <v>ДВ</v>
      </c>
      <c r="G291" t="str">
        <f>IFERROR(INDEX(Работы!$K$2:$K$6000,MATCH($C291,Работы!$A$2:$A$6000,0)),"")</f>
        <v>Спецификация</v>
      </c>
      <c r="H291" s="9"/>
      <c r="I291" s="9"/>
      <c r="J291" s="8" t="str">
        <f>IFERROR(INDEX(Материалы!$B$2:$B$9000,MATCH($I291,Материалы!$A$2:$A$9000,0)),"")</f>
        <v/>
      </c>
      <c r="K291" t="str">
        <f>IF($I291="","",IF($F291=IFERROR(INDEX(Материалы!$G$2:$G$9000,MATCH($I291,Материалы!$A$2:$A$9000,0)),""),"OK","!! не та группа"))</f>
        <v/>
      </c>
      <c r="L291" s="10">
        <f>IFERROR(INDEX(Работы!$H$2:$H$6000,MATCH($C291,Работы!$A$2:$A$6000,0))*(1-ДисконтТендер),0)</f>
        <v>1503.36</v>
      </c>
      <c r="M291" s="10">
        <f>IF($I291="",0,IFERROR(INDEX(Материалы!$I$2:$I$9000,MATCH($I291,Материалы!$A$2:$A$9000,0))*IF(INDEX(Материалы!$J$2:$J$9000,MATCH($I291,Материалы!$A$2:$A$9000,0))="USD",КурсUSD,IF(INDEX(Материалы!$J$2:$J$9000,MATCH($I291,Материалы!$A$2:$A$9000,0))="EUR",КурсEUR,1))*INDEX(Материалы!$K$2:$K$9000,MATCH($I291,Материалы!$A$2:$A$9000,0))*(1+IFERROR(INDEX(Работы!$I$2:$I$6000,MATCH($C291,Работы!$A$2:$A$6000,0))/100,0))*(1-ДисконтТендер),0))</f>
        <v>0</v>
      </c>
      <c r="N291" s="10">
        <f t="shared" si="12"/>
        <v>0</v>
      </c>
      <c r="O291" s="10">
        <f t="shared" si="13"/>
        <v>0</v>
      </c>
      <c r="P291" s="10">
        <f t="shared" si="14"/>
        <v>0</v>
      </c>
      <c r="Q291" t="str">
        <f>IFERROR(INDEX(Работы!$J$2:$J$6000,MATCH($C291,Работы!$A$2:$A$6000,0)),"")</f>
        <v>типовая</v>
      </c>
      <c r="R291" t="s">
        <v>92</v>
      </c>
      <c r="T291" t="str">
        <f>IF(AND($P291&gt;0,$R291="да"),MAX($T$1:$T290)+1,"")</f>
        <v/>
      </c>
    </row>
    <row r="292" spans="1:20" ht="43.2" x14ac:dyDescent="0.3">
      <c r="A292" t="str">
        <f>IFERROR(INDEX(Работы!$D$2:$D$6000,MATCH($C292,Работы!$A$2:$A$6000,0)),"")</f>
        <v>Р3</v>
      </c>
      <c r="B292" t="str">
        <f>IFERROR(INDEX(Работы!$F$2:$F$6000,MATCH($C292,Работы!$A$2:$A$6000,0)),"")</f>
        <v>4</v>
      </c>
      <c r="C292" t="str">
        <f>IFERROR(INDEX(Работы!$A$2:$A$6000,291),"")</f>
        <v>РАБ.Р3.4.015</v>
      </c>
      <c r="D292" s="8" t="str">
        <f>IFERROR(INDEX(Работы!$B$2:$B$6000,MATCH($C292,Работы!$A$2:$A$6000,0)),"")</f>
        <v>Комплект антипаника Doorlock на активную створку DL PD800FR-BAR (или аналог по согласованию заказчика)</v>
      </c>
      <c r="E292" t="str">
        <f>IFERROR(INDEX(Работы!$C$2:$C$6000,MATCH($C292,Работы!$A$2:$A$6000,0)),"")</f>
        <v>шт.</v>
      </c>
      <c r="F292">
        <f>IFERROR(INDEX(Работы!$G$2:$G$6000,MATCH($C292,Работы!$A$2:$A$6000,0)),"")</f>
        <v>0</v>
      </c>
      <c r="G292" t="str">
        <f>IFERROR(INDEX(Работы!$K$2:$K$6000,MATCH($C292,Работы!$A$2:$A$6000,0)),"")</f>
        <v>S_общая</v>
      </c>
      <c r="H292" s="9"/>
      <c r="I292" s="9"/>
      <c r="J292" s="8" t="str">
        <f>IFERROR(INDEX(Материалы!$B$2:$B$9000,MATCH($I292,Материалы!$A$2:$A$9000,0)),"")</f>
        <v/>
      </c>
      <c r="K292" t="str">
        <f>IF($I292="","",IF($F292=IFERROR(INDEX(Материалы!$G$2:$G$9000,MATCH($I292,Материалы!$A$2:$A$9000,0)),""),"OK","!! не та группа"))</f>
        <v/>
      </c>
      <c r="L292" s="10">
        <f>IFERROR(INDEX(Работы!$H$2:$H$6000,MATCH($C292,Работы!$A$2:$A$6000,0))*(1-ДисконтТендер),0)</f>
        <v>2192.4</v>
      </c>
      <c r="M292" s="10">
        <f>IF($I292="",0,IFERROR(INDEX(Материалы!$I$2:$I$9000,MATCH($I292,Материалы!$A$2:$A$9000,0))*IF(INDEX(Материалы!$J$2:$J$9000,MATCH($I292,Материалы!$A$2:$A$9000,0))="USD",КурсUSD,IF(INDEX(Материалы!$J$2:$J$9000,MATCH($I292,Материалы!$A$2:$A$9000,0))="EUR",КурсEUR,1))*INDEX(Материалы!$K$2:$K$9000,MATCH($I292,Материалы!$A$2:$A$9000,0))*(1+IFERROR(INDEX(Работы!$I$2:$I$6000,MATCH($C292,Работы!$A$2:$A$6000,0))/100,0))*(1-ДисконтТендер),0))</f>
        <v>0</v>
      </c>
      <c r="N292" s="10">
        <f t="shared" si="12"/>
        <v>0</v>
      </c>
      <c r="O292" s="10">
        <f t="shared" si="13"/>
        <v>0</v>
      </c>
      <c r="P292" s="10">
        <f t="shared" si="14"/>
        <v>0</v>
      </c>
      <c r="Q292" t="str">
        <f>IFERROR(INDEX(Работы!$J$2:$J$6000,MATCH($C292,Работы!$A$2:$A$6000,0)),"")</f>
        <v>типовая</v>
      </c>
      <c r="R292" t="s">
        <v>92</v>
      </c>
      <c r="T292" t="str">
        <f>IF(AND($P292&gt;0,$R292="да"),MAX($T$1:$T291)+1,"")</f>
        <v/>
      </c>
    </row>
    <row r="293" spans="1:20" x14ac:dyDescent="0.3">
      <c r="A293" t="str">
        <f>IFERROR(INDEX(Работы!$D$2:$D$6000,MATCH($C293,Работы!$A$2:$A$6000,0)),"")</f>
        <v>Р3</v>
      </c>
      <c r="B293" t="str">
        <f>IFERROR(INDEX(Работы!$F$2:$F$6000,MATCH($C293,Работы!$A$2:$A$6000,0)),"")</f>
        <v>4</v>
      </c>
      <c r="C293" t="str">
        <f>IFERROR(INDEX(Работы!$A$2:$A$6000,292),"")</f>
        <v>РАБ.Р3.4.016</v>
      </c>
      <c r="D293" s="8" t="str">
        <f>IFERROR(INDEX(Работы!$B$2:$B$6000,MATCH($C293,Работы!$A$2:$A$6000,0)),"")</f>
        <v>Монтаж дверного блока деревянного</v>
      </c>
      <c r="E293" t="str">
        <f>IFERROR(INDEX(Работы!$C$2:$C$6000,MATCH($C293,Работы!$A$2:$A$6000,0)),"")</f>
        <v>шт.</v>
      </c>
      <c r="F293" t="str">
        <f>IFERROR(INDEX(Работы!$G$2:$G$6000,MATCH($C293,Работы!$A$2:$A$6000,0)),"")</f>
        <v>ДВ.ДЕР</v>
      </c>
      <c r="G293" t="str">
        <f>IFERROR(INDEX(Работы!$K$2:$K$6000,MATCH($C293,Работы!$A$2:$A$6000,0)),"")</f>
        <v>Спецификация</v>
      </c>
      <c r="H293" s="9"/>
      <c r="I293" s="9"/>
      <c r="J293" s="8" t="str">
        <f>IFERROR(INDEX(Материалы!$B$2:$B$9000,MATCH($I293,Материалы!$A$2:$A$9000,0)),"")</f>
        <v/>
      </c>
      <c r="K293" t="str">
        <f>IF($I293="","",IF($F293=IFERROR(INDEX(Материалы!$G$2:$G$9000,MATCH($I293,Материалы!$A$2:$A$9000,0)),""),"OK","!! не та группа"))</f>
        <v/>
      </c>
      <c r="L293" s="10">
        <f>IFERROR(INDEX(Работы!$H$2:$H$6000,MATCH($C293,Работы!$A$2:$A$6000,0))*(1-ДисконтТендер),0)</f>
        <v>7297.56</v>
      </c>
      <c r="M293" s="10">
        <f>IF($I293="",0,IFERROR(INDEX(Материалы!$I$2:$I$9000,MATCH($I293,Материалы!$A$2:$A$9000,0))*IF(INDEX(Материалы!$J$2:$J$9000,MATCH($I293,Материалы!$A$2:$A$9000,0))="USD",КурсUSD,IF(INDEX(Материалы!$J$2:$J$9000,MATCH($I293,Материалы!$A$2:$A$9000,0))="EUR",КурсEUR,1))*INDEX(Материалы!$K$2:$K$9000,MATCH($I293,Материалы!$A$2:$A$9000,0))*(1+IFERROR(INDEX(Работы!$I$2:$I$6000,MATCH($C293,Работы!$A$2:$A$6000,0))/100,0))*(1-ДисконтТендер),0))</f>
        <v>0</v>
      </c>
      <c r="N293" s="10">
        <f t="shared" si="12"/>
        <v>0</v>
      </c>
      <c r="O293" s="10">
        <f t="shared" si="13"/>
        <v>0</v>
      </c>
      <c r="P293" s="10">
        <f t="shared" si="14"/>
        <v>0</v>
      </c>
      <c r="Q293" t="str">
        <f>IFERROR(INDEX(Работы!$J$2:$J$6000,MATCH($C293,Работы!$A$2:$A$6000,0)),"")</f>
        <v>типовая</v>
      </c>
      <c r="R293" t="s">
        <v>92</v>
      </c>
      <c r="T293" t="str">
        <f>IF(AND($P293&gt;0,$R293="да"),MAX($T$1:$T292)+1,"")</f>
        <v/>
      </c>
    </row>
    <row r="294" spans="1:20" ht="28.8" x14ac:dyDescent="0.3">
      <c r="A294" t="str">
        <f>IFERROR(INDEX(Работы!$D$2:$D$6000,MATCH($C294,Работы!$A$2:$A$6000,0)),"")</f>
        <v>Р3</v>
      </c>
      <c r="B294" t="str">
        <f>IFERROR(INDEX(Работы!$F$2:$F$6000,MATCH($C294,Работы!$A$2:$A$6000,0)),"")</f>
        <v>4</v>
      </c>
      <c r="C294" t="str">
        <f>IFERROR(INDEX(Работы!$A$2:$A$6000,293),"")</f>
        <v>РАБ.Р3.4.017</v>
      </c>
      <c r="D294" s="8" t="str">
        <f>IFERROR(INDEX(Работы!$B$2:$B$6000,MATCH($C294,Работы!$A$2:$A$6000,0)),"")</f>
        <v>Установка стопора дверного Standers, 3.5х3.2 см, нержавеющая сталь</v>
      </c>
      <c r="E294" t="str">
        <f>IFERROR(INDEX(Работы!$C$2:$C$6000,MATCH($C294,Работы!$A$2:$A$6000,0)),"")</f>
        <v>шт.</v>
      </c>
      <c r="F294" t="str">
        <f>IFERROR(INDEX(Работы!$G$2:$G$6000,MATCH($C294,Работы!$A$2:$A$6000,0)),"")</f>
        <v>ДВ</v>
      </c>
      <c r="G294" t="str">
        <f>IFERROR(INDEX(Работы!$K$2:$K$6000,MATCH($C294,Работы!$A$2:$A$6000,0)),"")</f>
        <v>Спецификация</v>
      </c>
      <c r="H294" s="9"/>
      <c r="I294" s="9"/>
      <c r="J294" s="8" t="str">
        <f>IFERROR(INDEX(Материалы!$B$2:$B$9000,MATCH($I294,Материалы!$A$2:$A$9000,0)),"")</f>
        <v/>
      </c>
      <c r="K294" t="str">
        <f>IF($I294="","",IF($F294=IFERROR(INDEX(Материалы!$G$2:$G$9000,MATCH($I294,Материалы!$A$2:$A$9000,0)),""),"OK","!! не та группа"))</f>
        <v/>
      </c>
      <c r="L294" s="10">
        <f>IFERROR(INDEX(Работы!$H$2:$H$6000,MATCH($C294,Работы!$A$2:$A$6000,0))*(1-ДисконтТендер),0)</f>
        <v>224.46</v>
      </c>
      <c r="M294" s="10">
        <f>IF($I294="",0,IFERROR(INDEX(Материалы!$I$2:$I$9000,MATCH($I294,Материалы!$A$2:$A$9000,0))*IF(INDEX(Материалы!$J$2:$J$9000,MATCH($I294,Материалы!$A$2:$A$9000,0))="USD",КурсUSD,IF(INDEX(Материалы!$J$2:$J$9000,MATCH($I294,Материалы!$A$2:$A$9000,0))="EUR",КурсEUR,1))*INDEX(Материалы!$K$2:$K$9000,MATCH($I294,Материалы!$A$2:$A$9000,0))*(1+IFERROR(INDEX(Работы!$I$2:$I$6000,MATCH($C294,Работы!$A$2:$A$6000,0))/100,0))*(1-ДисконтТендер),0))</f>
        <v>0</v>
      </c>
      <c r="N294" s="10">
        <f t="shared" si="12"/>
        <v>0</v>
      </c>
      <c r="O294" s="10">
        <f t="shared" si="13"/>
        <v>0</v>
      </c>
      <c r="P294" s="10">
        <f t="shared" si="14"/>
        <v>0</v>
      </c>
      <c r="Q294" t="str">
        <f>IFERROR(INDEX(Работы!$J$2:$J$6000,MATCH($C294,Работы!$A$2:$A$6000,0)),"")</f>
        <v>типовая</v>
      </c>
      <c r="R294" t="s">
        <v>92</v>
      </c>
      <c r="T294" t="str">
        <f>IF(AND($P294&gt;0,$R294="да"),MAX($T$1:$T293)+1,"")</f>
        <v/>
      </c>
    </row>
    <row r="295" spans="1:20" ht="28.8" x14ac:dyDescent="0.3">
      <c r="A295" t="str">
        <f>IFERROR(INDEX(Работы!$D$2:$D$6000,MATCH($C295,Работы!$A$2:$A$6000,0)),"")</f>
        <v>Р3</v>
      </c>
      <c r="B295" t="str">
        <f>IFERROR(INDEX(Работы!$F$2:$F$6000,MATCH($C295,Работы!$A$2:$A$6000,0)),"")</f>
        <v>4</v>
      </c>
      <c r="C295" t="str">
        <f>IFERROR(INDEX(Работы!$A$2:$A$6000,294),"")</f>
        <v>РАБ.Р3.4.018</v>
      </c>
      <c r="D295" s="8" t="str">
        <f>IFERROR(INDEX(Работы!$B$2:$B$6000,MATCH($C295,Работы!$A$2:$A$6000,0)),"")</f>
        <v>Монтаж оконного блока / светопрозрачной конструкции</v>
      </c>
      <c r="E295" t="str">
        <f>IFERROR(INDEX(Работы!$C$2:$C$6000,MATCH($C295,Работы!$A$2:$A$6000,0)),"")</f>
        <v>м2</v>
      </c>
      <c r="F295" t="str">
        <f>IFERROR(INDEX(Работы!$G$2:$G$6000,MATCH($C295,Работы!$A$2:$A$6000,0)),"")</f>
        <v>ОКНО</v>
      </c>
      <c r="G295" t="str">
        <f>IFERROR(INDEX(Работы!$K$2:$K$6000,MATCH($C295,Работы!$A$2:$A$6000,0)),"")</f>
        <v>S_проёмы</v>
      </c>
      <c r="H295" s="9"/>
      <c r="I295" s="9"/>
      <c r="J295" s="8" t="str">
        <f>IFERROR(INDEX(Материалы!$B$2:$B$9000,MATCH($I295,Материалы!$A$2:$A$9000,0)),"")</f>
        <v/>
      </c>
      <c r="K295" t="str">
        <f>IF($I295="","",IF($F295=IFERROR(INDEX(Материалы!$G$2:$G$9000,MATCH($I295,Материалы!$A$2:$A$9000,0)),""),"OK","!! не та группа"))</f>
        <v/>
      </c>
      <c r="L295" s="10">
        <f>IFERROR(INDEX(Работы!$H$2:$H$6000,MATCH($C295,Работы!$A$2:$A$6000,0))*(1-ДисконтТендер),0)</f>
        <v>2750</v>
      </c>
      <c r="M295" s="10">
        <f>IF($I295="",0,IFERROR(INDEX(Материалы!$I$2:$I$9000,MATCH($I295,Материалы!$A$2:$A$9000,0))*IF(INDEX(Материалы!$J$2:$J$9000,MATCH($I295,Материалы!$A$2:$A$9000,0))="USD",КурсUSD,IF(INDEX(Материалы!$J$2:$J$9000,MATCH($I295,Материалы!$A$2:$A$9000,0))="EUR",КурсEUR,1))*INDEX(Материалы!$K$2:$K$9000,MATCH($I295,Материалы!$A$2:$A$9000,0))*(1+IFERROR(INDEX(Работы!$I$2:$I$6000,MATCH($C295,Работы!$A$2:$A$6000,0))/100,0))*(1-ДисконтТендер),0))</f>
        <v>0</v>
      </c>
      <c r="N295" s="10">
        <f t="shared" si="12"/>
        <v>0</v>
      </c>
      <c r="O295" s="10">
        <f t="shared" si="13"/>
        <v>0</v>
      </c>
      <c r="P295" s="10">
        <f t="shared" si="14"/>
        <v>0</v>
      </c>
      <c r="Q295" t="str">
        <f>IFERROR(INDEX(Работы!$J$2:$J$6000,MATCH($C295,Работы!$A$2:$A$6000,0)),"")</f>
        <v>типовая</v>
      </c>
      <c r="R295" t="s">
        <v>92</v>
      </c>
      <c r="T295" t="str">
        <f>IF(AND($P295&gt;0,$R295="да"),MAX($T$1:$T294)+1,"")</f>
        <v/>
      </c>
    </row>
    <row r="296" spans="1:20" x14ac:dyDescent="0.3">
      <c r="A296" t="str">
        <f>IFERROR(INDEX(Работы!$D$2:$D$6000,MATCH($C296,Работы!$A$2:$A$6000,0)),"")</f>
        <v>Р3</v>
      </c>
      <c r="B296" t="str">
        <f>IFERROR(INDEX(Работы!$F$2:$F$6000,MATCH($C296,Работы!$A$2:$A$6000,0)),"")</f>
        <v>4</v>
      </c>
      <c r="C296" t="str">
        <f>IFERROR(INDEX(Работы!$A$2:$A$6000,295),"")</f>
        <v>РАБ.Р3.4.019</v>
      </c>
      <c r="D296" s="8" t="str">
        <f>IFERROR(INDEX(Работы!$B$2:$B$6000,MATCH($C296,Работы!$A$2:$A$6000,0)),"")</f>
        <v>Окраска поверхности</v>
      </c>
      <c r="E296" t="str">
        <f>IFERROR(INDEX(Работы!$C$2:$C$6000,MATCH($C296,Работы!$A$2:$A$6000,0)),"")</f>
        <v>м2</v>
      </c>
      <c r="F296" t="str">
        <f>IFERROR(INDEX(Работы!$G$2:$G$6000,MATCH($C296,Работы!$A$2:$A$6000,0)),"")</f>
        <v>КРАСКА</v>
      </c>
      <c r="G296" t="str">
        <f>IFERROR(INDEX(Работы!$K$2:$K$6000,MATCH($C296,Работы!$A$2:$A$6000,0)),"")</f>
        <v>S_поверхность</v>
      </c>
      <c r="H296" s="9"/>
      <c r="I296" s="9"/>
      <c r="J296" s="8" t="str">
        <f>IFERROR(INDEX(Материалы!$B$2:$B$9000,MATCH($I296,Материалы!$A$2:$A$9000,0)),"")</f>
        <v/>
      </c>
      <c r="K296" t="str">
        <f>IF($I296="","",IF($F296=IFERROR(INDEX(Материалы!$G$2:$G$9000,MATCH($I296,Материалы!$A$2:$A$9000,0)),""),"OK","!! не та группа"))</f>
        <v/>
      </c>
      <c r="L296" s="10">
        <f>IFERROR(INDEX(Работы!$H$2:$H$6000,MATCH($C296,Работы!$A$2:$A$6000,0))*(1-ДисконтТендер),0)</f>
        <v>1252.8</v>
      </c>
      <c r="M296" s="10">
        <f>IF($I296="",0,IFERROR(INDEX(Материалы!$I$2:$I$9000,MATCH($I296,Материалы!$A$2:$A$9000,0))*IF(INDEX(Материалы!$J$2:$J$9000,MATCH($I296,Материалы!$A$2:$A$9000,0))="USD",КурсUSD,IF(INDEX(Материалы!$J$2:$J$9000,MATCH($I296,Материалы!$A$2:$A$9000,0))="EUR",КурсEUR,1))*INDEX(Материалы!$K$2:$K$9000,MATCH($I296,Материалы!$A$2:$A$9000,0))*(1+IFERROR(INDEX(Работы!$I$2:$I$6000,MATCH($C296,Работы!$A$2:$A$6000,0))/100,0))*(1-ДисконтТендер),0))</f>
        <v>0</v>
      </c>
      <c r="N296" s="10">
        <f t="shared" si="12"/>
        <v>0</v>
      </c>
      <c r="O296" s="10">
        <f t="shared" si="13"/>
        <v>0</v>
      </c>
      <c r="P296" s="10">
        <f t="shared" si="14"/>
        <v>0</v>
      </c>
      <c r="Q296" t="str">
        <f>IFERROR(INDEX(Работы!$J$2:$J$6000,MATCH($C296,Работы!$A$2:$A$6000,0)),"")</f>
        <v>типовая</v>
      </c>
      <c r="R296" t="s">
        <v>92</v>
      </c>
      <c r="T296" t="str">
        <f>IF(AND($P296&gt;0,$R296="да"),MAX($T$1:$T295)+1,"")</f>
        <v/>
      </c>
    </row>
    <row r="297" spans="1:20" x14ac:dyDescent="0.3">
      <c r="A297" t="str">
        <f>IFERROR(INDEX(Работы!$D$2:$D$6000,MATCH($C297,Работы!$A$2:$A$6000,0)),"")</f>
        <v>Р3</v>
      </c>
      <c r="B297" t="str">
        <f>IFERROR(INDEX(Работы!$F$2:$F$6000,MATCH($C297,Работы!$A$2:$A$6000,0)),"")</f>
        <v>4</v>
      </c>
      <c r="C297" t="str">
        <f>IFERROR(INDEX(Работы!$A$2:$A$6000,296),"")</f>
        <v>РАБ.Р3.4.020</v>
      </c>
      <c r="D297" s="8" t="str">
        <f>IFERROR(INDEX(Работы!$B$2:$B$6000,MATCH($C297,Работы!$A$2:$A$6000,0)),"")</f>
        <v>Установка рулонных штор</v>
      </c>
      <c r="E297" t="str">
        <f>IFERROR(INDEX(Работы!$C$2:$C$6000,MATCH($C297,Работы!$A$2:$A$6000,0)),"")</f>
        <v>м2</v>
      </c>
      <c r="F297" t="str">
        <f>IFERROR(INDEX(Работы!$G$2:$G$6000,MATCH($C297,Работы!$A$2:$A$6000,0)),"")</f>
        <v>ЖАЛЮЗИ</v>
      </c>
      <c r="G297" t="str">
        <f>IFERROR(INDEX(Работы!$K$2:$K$6000,MATCH($C297,Работы!$A$2:$A$6000,0)),"")</f>
        <v>S_проёмы</v>
      </c>
      <c r="H297" s="9"/>
      <c r="I297" s="9"/>
      <c r="J297" s="8" t="str">
        <f>IFERROR(INDEX(Материалы!$B$2:$B$9000,MATCH($I297,Материалы!$A$2:$A$9000,0)),"")</f>
        <v/>
      </c>
      <c r="K297" t="str">
        <f>IF($I297="","",IF($F297=IFERROR(INDEX(Материалы!$G$2:$G$9000,MATCH($I297,Материалы!$A$2:$A$9000,0)),""),"OK","!! не та группа"))</f>
        <v/>
      </c>
      <c r="L297" s="10">
        <f>IFERROR(INDEX(Работы!$H$2:$H$6000,MATCH($C297,Работы!$A$2:$A$6000,0))*(1-ДисконтТендер),0)</f>
        <v>220</v>
      </c>
      <c r="M297" s="10">
        <f>IF($I297="",0,IFERROR(INDEX(Материалы!$I$2:$I$9000,MATCH($I297,Материалы!$A$2:$A$9000,0))*IF(INDEX(Материалы!$J$2:$J$9000,MATCH($I297,Материалы!$A$2:$A$9000,0))="USD",КурсUSD,IF(INDEX(Материалы!$J$2:$J$9000,MATCH($I297,Материалы!$A$2:$A$9000,0))="EUR",КурсEUR,1))*INDEX(Материалы!$K$2:$K$9000,MATCH($I297,Материалы!$A$2:$A$9000,0))*(1+IFERROR(INDEX(Работы!$I$2:$I$6000,MATCH($C297,Работы!$A$2:$A$6000,0))/100,0))*(1-ДисконтТендер),0))</f>
        <v>0</v>
      </c>
      <c r="N297" s="10">
        <f t="shared" si="12"/>
        <v>0</v>
      </c>
      <c r="O297" s="10">
        <f t="shared" si="13"/>
        <v>0</v>
      </c>
      <c r="P297" s="10">
        <f t="shared" si="14"/>
        <v>0</v>
      </c>
      <c r="Q297" t="str">
        <f>IFERROR(INDEX(Работы!$J$2:$J$6000,MATCH($C297,Работы!$A$2:$A$6000,0)),"")</f>
        <v>типовая</v>
      </c>
      <c r="R297" t="s">
        <v>92</v>
      </c>
      <c r="T297" t="str">
        <f>IF(AND($P297&gt;0,$R297="да"),MAX($T$1:$T296)+1,"")</f>
        <v/>
      </c>
    </row>
    <row r="298" spans="1:20" x14ac:dyDescent="0.3">
      <c r="A298" t="str">
        <f>IFERROR(INDEX(Работы!$D$2:$D$6000,MATCH($C298,Работы!$A$2:$A$6000,0)),"")</f>
        <v>Р3</v>
      </c>
      <c r="B298" t="str">
        <f>IFERROR(INDEX(Работы!$F$2:$F$6000,MATCH($C298,Работы!$A$2:$A$6000,0)),"")</f>
        <v>4</v>
      </c>
      <c r="C298" t="str">
        <f>IFERROR(INDEX(Работы!$A$2:$A$6000,297),"")</f>
        <v>РАБ.Р3.4.021</v>
      </c>
      <c r="D298" s="8" t="str">
        <f>IFERROR(INDEX(Работы!$B$2:$B$6000,MATCH($C298,Работы!$A$2:$A$6000,0)),"")</f>
        <v>Установка жалюзи вертикальных серии Line</v>
      </c>
      <c r="E298" t="str">
        <f>IFERROR(INDEX(Работы!$C$2:$C$6000,MATCH($C298,Работы!$A$2:$A$6000,0)),"")</f>
        <v>м2</v>
      </c>
      <c r="F298" t="str">
        <f>IFERROR(INDEX(Работы!$G$2:$G$6000,MATCH($C298,Работы!$A$2:$A$6000,0)),"")</f>
        <v>ЖАЛЮЗИ</v>
      </c>
      <c r="G298" t="str">
        <f>IFERROR(INDEX(Работы!$K$2:$K$6000,MATCH($C298,Работы!$A$2:$A$6000,0)),"")</f>
        <v>S_проёмы</v>
      </c>
      <c r="H298" s="9"/>
      <c r="I298" s="9"/>
      <c r="J298" s="8" t="str">
        <f>IFERROR(INDEX(Материалы!$B$2:$B$9000,MATCH($I298,Материалы!$A$2:$A$9000,0)),"")</f>
        <v/>
      </c>
      <c r="K298" t="str">
        <f>IF($I298="","",IF($F298=IFERROR(INDEX(Материалы!$G$2:$G$9000,MATCH($I298,Материалы!$A$2:$A$9000,0)),""),"OK","!! не та группа"))</f>
        <v/>
      </c>
      <c r="L298" s="10">
        <f>IFERROR(INDEX(Работы!$H$2:$H$6000,MATCH($C298,Работы!$A$2:$A$6000,0))*(1-ДисконтТендер),0)</f>
        <v>330</v>
      </c>
      <c r="M298" s="10">
        <f>IF($I298="",0,IFERROR(INDEX(Материалы!$I$2:$I$9000,MATCH($I298,Материалы!$A$2:$A$9000,0))*IF(INDEX(Материалы!$J$2:$J$9000,MATCH($I298,Материалы!$A$2:$A$9000,0))="USD",КурсUSD,IF(INDEX(Материалы!$J$2:$J$9000,MATCH($I298,Материалы!$A$2:$A$9000,0))="EUR",КурсEUR,1))*INDEX(Материалы!$K$2:$K$9000,MATCH($I298,Материалы!$A$2:$A$9000,0))*(1+IFERROR(INDEX(Работы!$I$2:$I$6000,MATCH($C298,Работы!$A$2:$A$6000,0))/100,0))*(1-ДисконтТендер),0))</f>
        <v>0</v>
      </c>
      <c r="N298" s="10">
        <f t="shared" si="12"/>
        <v>0</v>
      </c>
      <c r="O298" s="10">
        <f t="shared" si="13"/>
        <v>0</v>
      </c>
      <c r="P298" s="10">
        <f t="shared" si="14"/>
        <v>0</v>
      </c>
      <c r="Q298" t="str">
        <f>IFERROR(INDEX(Работы!$J$2:$J$6000,MATCH($C298,Работы!$A$2:$A$6000,0)),"")</f>
        <v>типовая</v>
      </c>
      <c r="R298" t="s">
        <v>92</v>
      </c>
      <c r="T298" t="str">
        <f>IF(AND($P298&gt;0,$R298="да"),MAX($T$1:$T297)+1,"")</f>
        <v/>
      </c>
    </row>
    <row r="299" spans="1:20" x14ac:dyDescent="0.3">
      <c r="A299" t="str">
        <f>IFERROR(INDEX(Работы!$D$2:$D$6000,MATCH($C299,Работы!$A$2:$A$6000,0)),"")</f>
        <v>Р3</v>
      </c>
      <c r="B299" t="str">
        <f>IFERROR(INDEX(Работы!$F$2:$F$6000,MATCH($C299,Работы!$A$2:$A$6000,0)),"")</f>
        <v>4</v>
      </c>
      <c r="C299" t="str">
        <f>IFERROR(INDEX(Работы!$A$2:$A$6000,298),"")</f>
        <v>РАБ.Р3.4.022</v>
      </c>
      <c r="D299" s="8" t="str">
        <f>IFERROR(INDEX(Работы!$B$2:$B$6000,MATCH($C299,Работы!$A$2:$A$6000,0)),"")</f>
        <v>Установка подоконной доски</v>
      </c>
      <c r="E299" t="str">
        <f>IFERROR(INDEX(Работы!$C$2:$C$6000,MATCH($C299,Работы!$A$2:$A$6000,0)),"")</f>
        <v>м.п.</v>
      </c>
      <c r="F299" t="str">
        <f>IFERROR(INDEX(Работы!$G$2:$G$6000,MATCH($C299,Работы!$A$2:$A$6000,0)),"")</f>
        <v>ПОДОК</v>
      </c>
      <c r="G299" t="str">
        <f>IFERROR(INDEX(Работы!$K$2:$K$6000,MATCH($C299,Работы!$A$2:$A$6000,0)),"")</f>
        <v>Погонаж</v>
      </c>
      <c r="H299" s="9"/>
      <c r="I299" s="9"/>
      <c r="J299" s="8" t="str">
        <f>IFERROR(INDEX(Материалы!$B$2:$B$9000,MATCH($I299,Материалы!$A$2:$A$9000,0)),"")</f>
        <v/>
      </c>
      <c r="K299" t="str">
        <f>IF($I299="","",IF($F299=IFERROR(INDEX(Материалы!$G$2:$G$9000,MATCH($I299,Материалы!$A$2:$A$9000,0)),""),"OK","!! не та группа"))</f>
        <v/>
      </c>
      <c r="L299" s="10">
        <f>IFERROR(INDEX(Работы!$H$2:$H$6000,MATCH($C299,Работы!$A$2:$A$6000,0))*(1-ДисконтТендер),0)</f>
        <v>888.25</v>
      </c>
      <c r="M299" s="10">
        <f>IF($I299="",0,IFERROR(INDEX(Материалы!$I$2:$I$9000,MATCH($I299,Материалы!$A$2:$A$9000,0))*IF(INDEX(Материалы!$J$2:$J$9000,MATCH($I299,Материалы!$A$2:$A$9000,0))="USD",КурсUSD,IF(INDEX(Материалы!$J$2:$J$9000,MATCH($I299,Материалы!$A$2:$A$9000,0))="EUR",КурсEUR,1))*INDEX(Материалы!$K$2:$K$9000,MATCH($I299,Материалы!$A$2:$A$9000,0))*(1+IFERROR(INDEX(Работы!$I$2:$I$6000,MATCH($C299,Работы!$A$2:$A$6000,0))/100,0))*(1-ДисконтТендер),0))</f>
        <v>0</v>
      </c>
      <c r="N299" s="10">
        <f t="shared" si="12"/>
        <v>0</v>
      </c>
      <c r="O299" s="10">
        <f t="shared" si="13"/>
        <v>0</v>
      </c>
      <c r="P299" s="10">
        <f t="shared" si="14"/>
        <v>0</v>
      </c>
      <c r="Q299" t="str">
        <f>IFERROR(INDEX(Работы!$J$2:$J$6000,MATCH($C299,Работы!$A$2:$A$6000,0)),"")</f>
        <v>типовая</v>
      </c>
      <c r="R299" t="s">
        <v>92</v>
      </c>
      <c r="T299" t="str">
        <f>IF(AND($P299&gt;0,$R299="да"),MAX($T$1:$T298)+1,"")</f>
        <v/>
      </c>
    </row>
    <row r="300" spans="1:20" x14ac:dyDescent="0.3">
      <c r="A300" t="str">
        <f>IFERROR(INDEX(Работы!$D$2:$D$6000,MATCH($C300,Работы!$A$2:$A$6000,0)),"")</f>
        <v>Р3</v>
      </c>
      <c r="B300" t="str">
        <f>IFERROR(INDEX(Работы!$F$2:$F$6000,MATCH($C300,Работы!$A$2:$A$6000,0)),"")</f>
        <v>4</v>
      </c>
      <c r="C300" t="str">
        <f>IFERROR(INDEX(Работы!$A$2:$A$6000,299),"")</f>
        <v>РАБ.Р3.4.023</v>
      </c>
      <c r="D300" s="8" t="str">
        <f>IFERROR(INDEX(Работы!$B$2:$B$6000,MATCH($C300,Работы!$A$2:$A$6000,0)),"")</f>
        <v>Установка оконных отливов с окраской по RAL</v>
      </c>
      <c r="E300" t="str">
        <f>IFERROR(INDEX(Работы!$C$2:$C$6000,MATCH($C300,Работы!$A$2:$A$6000,0)),"")</f>
        <v>м.п.</v>
      </c>
      <c r="F300" t="str">
        <f>IFERROR(INDEX(Работы!$G$2:$G$6000,MATCH($C300,Работы!$A$2:$A$6000,0)),"")</f>
        <v>КРАСКА</v>
      </c>
      <c r="G300" t="str">
        <f>IFERROR(INDEX(Работы!$K$2:$K$6000,MATCH($C300,Работы!$A$2:$A$6000,0)),"")</f>
        <v>S_поверхность</v>
      </c>
      <c r="H300" s="9"/>
      <c r="I300" s="9"/>
      <c r="J300" s="8" t="str">
        <f>IFERROR(INDEX(Материалы!$B$2:$B$9000,MATCH($I300,Материалы!$A$2:$A$9000,0)),"")</f>
        <v/>
      </c>
      <c r="K300" t="str">
        <f>IF($I300="","",IF($F300=IFERROR(INDEX(Материалы!$G$2:$G$9000,MATCH($I300,Материалы!$A$2:$A$9000,0)),""),"OK","!! не та группа"))</f>
        <v/>
      </c>
      <c r="L300" s="10">
        <f>IFERROR(INDEX(Работы!$H$2:$H$6000,MATCH($C300,Работы!$A$2:$A$6000,0))*(1-ДисконтТендер),0)</f>
        <v>599.39</v>
      </c>
      <c r="M300" s="10">
        <f>IF($I300="",0,IFERROR(INDEX(Материалы!$I$2:$I$9000,MATCH($I300,Материалы!$A$2:$A$9000,0))*IF(INDEX(Материалы!$J$2:$J$9000,MATCH($I300,Материалы!$A$2:$A$9000,0))="USD",КурсUSD,IF(INDEX(Материалы!$J$2:$J$9000,MATCH($I300,Материалы!$A$2:$A$9000,0))="EUR",КурсEUR,1))*INDEX(Материалы!$K$2:$K$9000,MATCH($I300,Материалы!$A$2:$A$9000,0))*(1+IFERROR(INDEX(Работы!$I$2:$I$6000,MATCH($C300,Работы!$A$2:$A$6000,0))/100,0))*(1-ДисконтТендер),0))</f>
        <v>0</v>
      </c>
      <c r="N300" s="10">
        <f t="shared" si="12"/>
        <v>0</v>
      </c>
      <c r="O300" s="10">
        <f t="shared" si="13"/>
        <v>0</v>
      </c>
      <c r="P300" s="10">
        <f t="shared" si="14"/>
        <v>0</v>
      </c>
      <c r="Q300" t="str">
        <f>IFERROR(INDEX(Работы!$J$2:$J$6000,MATCH($C300,Работы!$A$2:$A$6000,0)),"")</f>
        <v>типовая</v>
      </c>
      <c r="R300" t="s">
        <v>92</v>
      </c>
      <c r="T300" t="str">
        <f>IF(AND($P300&gt;0,$R300="да"),MAX($T$1:$T299)+1,"")</f>
        <v/>
      </c>
    </row>
    <row r="301" spans="1:20" ht="28.8" x14ac:dyDescent="0.3">
      <c r="A301" t="str">
        <f>IFERROR(INDEX(Работы!$D$2:$D$6000,MATCH($C301,Работы!$A$2:$A$6000,0)),"")</f>
        <v>Р3</v>
      </c>
      <c r="B301" t="str">
        <f>IFERROR(INDEX(Работы!$F$2:$F$6000,MATCH($C301,Работы!$A$2:$A$6000,0)),"")</f>
        <v>4</v>
      </c>
      <c r="C301" t="str">
        <f>IFERROR(INDEX(Работы!$A$2:$A$6000,300),"")</f>
        <v>РАБ.Р3.4.024</v>
      </c>
      <c r="D301" s="8" t="str">
        <f>IFERROR(INDEX(Работы!$B$2:$B$6000,MATCH($C301,Работы!$A$2:$A$6000,0)),"")</f>
        <v>Оклейка окон, стеклянных поверхностей дверных полотен пленкой класса защиты А3</v>
      </c>
      <c r="E301" t="str">
        <f>IFERROR(INDEX(Работы!$C$2:$C$6000,MATCH($C301,Работы!$A$2:$A$6000,0)),"")</f>
        <v>м2</v>
      </c>
      <c r="F301" t="str">
        <f>IFERROR(INDEX(Работы!$G$2:$G$6000,MATCH($C301,Работы!$A$2:$A$6000,0)),"")</f>
        <v>ПЛЁНКА</v>
      </c>
      <c r="G301" t="str">
        <f>IFERROR(INDEX(Работы!$K$2:$K$6000,MATCH($C301,Работы!$A$2:$A$6000,0)),"")</f>
        <v>S_поверхность</v>
      </c>
      <c r="H301" s="9"/>
      <c r="I301" s="9"/>
      <c r="J301" s="8" t="str">
        <f>IFERROR(INDEX(Материалы!$B$2:$B$9000,MATCH($I301,Материалы!$A$2:$A$9000,0)),"")</f>
        <v/>
      </c>
      <c r="K301" t="str">
        <f>IF($I301="","",IF($F301=IFERROR(INDEX(Материалы!$G$2:$G$9000,MATCH($I301,Материалы!$A$2:$A$9000,0)),""),"OK","!! не та группа"))</f>
        <v/>
      </c>
      <c r="L301" s="10">
        <f>IFERROR(INDEX(Работы!$H$2:$H$6000,MATCH($C301,Работы!$A$2:$A$6000,0))*(1-ДисконтТендер),0)</f>
        <v>2000</v>
      </c>
      <c r="M301" s="10">
        <f>IF($I301="",0,IFERROR(INDEX(Материалы!$I$2:$I$9000,MATCH($I301,Материалы!$A$2:$A$9000,0))*IF(INDEX(Материалы!$J$2:$J$9000,MATCH($I301,Материалы!$A$2:$A$9000,0))="USD",КурсUSD,IF(INDEX(Материалы!$J$2:$J$9000,MATCH($I301,Материалы!$A$2:$A$9000,0))="EUR",КурсEUR,1))*INDEX(Материалы!$K$2:$K$9000,MATCH($I301,Материалы!$A$2:$A$9000,0))*(1+IFERROR(INDEX(Работы!$I$2:$I$6000,MATCH($C301,Работы!$A$2:$A$6000,0))/100,0))*(1-ДисконтТендер),0))</f>
        <v>0</v>
      </c>
      <c r="N301" s="10">
        <f t="shared" si="12"/>
        <v>0</v>
      </c>
      <c r="O301" s="10">
        <f t="shared" si="13"/>
        <v>0</v>
      </c>
      <c r="P301" s="10">
        <f t="shared" si="14"/>
        <v>0</v>
      </c>
      <c r="Q301" t="str">
        <f>IFERROR(INDEX(Работы!$J$2:$J$6000,MATCH($C301,Работы!$A$2:$A$6000,0)),"")</f>
        <v>типовая</v>
      </c>
      <c r="R301" t="s">
        <v>92</v>
      </c>
      <c r="T301" t="str">
        <f>IF(AND($P301&gt;0,$R301="да"),MAX($T$1:$T300)+1,"")</f>
        <v/>
      </c>
    </row>
    <row r="302" spans="1:20" ht="28.8" x14ac:dyDescent="0.3">
      <c r="A302" t="str">
        <f>IFERROR(INDEX(Работы!$D$2:$D$6000,MATCH($C302,Работы!$A$2:$A$6000,0)),"")</f>
        <v>Р3</v>
      </c>
      <c r="B302" t="str">
        <f>IFERROR(INDEX(Работы!$F$2:$F$6000,MATCH($C302,Работы!$A$2:$A$6000,0)),"")</f>
        <v>4</v>
      </c>
      <c r="C302" t="str">
        <f>IFERROR(INDEX(Работы!$A$2:$A$6000,301),"")</f>
        <v>РАБ.Р3.4.025</v>
      </c>
      <c r="D302" s="8" t="str">
        <f>IFERROR(INDEX(Работы!$B$2:$B$6000,MATCH($C302,Работы!$A$2:$A$6000,0)),"")</f>
        <v>Оклейка окон, стеклянных поверхностей дверных полотен пленкой класса защиты А1</v>
      </c>
      <c r="E302" t="str">
        <f>IFERROR(INDEX(Работы!$C$2:$C$6000,MATCH($C302,Работы!$A$2:$A$6000,0)),"")</f>
        <v>м2</v>
      </c>
      <c r="F302" t="str">
        <f>IFERROR(INDEX(Работы!$G$2:$G$6000,MATCH($C302,Работы!$A$2:$A$6000,0)),"")</f>
        <v>ПЛЁНКА</v>
      </c>
      <c r="G302" t="str">
        <f>IFERROR(INDEX(Работы!$K$2:$K$6000,MATCH($C302,Работы!$A$2:$A$6000,0)),"")</f>
        <v>S_поверхность</v>
      </c>
      <c r="H302" s="9"/>
      <c r="I302" s="9"/>
      <c r="J302" s="8" t="str">
        <f>IFERROR(INDEX(Материалы!$B$2:$B$9000,MATCH($I302,Материалы!$A$2:$A$9000,0)),"")</f>
        <v/>
      </c>
      <c r="K302" t="str">
        <f>IF($I302="","",IF($F302=IFERROR(INDEX(Материалы!$G$2:$G$9000,MATCH($I302,Материалы!$A$2:$A$9000,0)),""),"OK","!! не та группа"))</f>
        <v/>
      </c>
      <c r="L302" s="10">
        <f>IFERROR(INDEX(Работы!$H$2:$H$6000,MATCH($C302,Работы!$A$2:$A$6000,0))*(1-ДисконтТендер),0)</f>
        <v>1450</v>
      </c>
      <c r="M302" s="10">
        <f>IF($I302="",0,IFERROR(INDEX(Материалы!$I$2:$I$9000,MATCH($I302,Материалы!$A$2:$A$9000,0))*IF(INDEX(Материалы!$J$2:$J$9000,MATCH($I302,Материалы!$A$2:$A$9000,0))="USD",КурсUSD,IF(INDEX(Материалы!$J$2:$J$9000,MATCH($I302,Материалы!$A$2:$A$9000,0))="EUR",КурсEUR,1))*INDEX(Материалы!$K$2:$K$9000,MATCH($I302,Материалы!$A$2:$A$9000,0))*(1+IFERROR(INDEX(Работы!$I$2:$I$6000,MATCH($C302,Работы!$A$2:$A$6000,0))/100,0))*(1-ДисконтТендер),0))</f>
        <v>0</v>
      </c>
      <c r="N302" s="10">
        <f t="shared" si="12"/>
        <v>0</v>
      </c>
      <c r="O302" s="10">
        <f t="shared" si="13"/>
        <v>0</v>
      </c>
      <c r="P302" s="10">
        <f t="shared" si="14"/>
        <v>0</v>
      </c>
      <c r="Q302" t="str">
        <f>IFERROR(INDEX(Работы!$J$2:$J$6000,MATCH($C302,Работы!$A$2:$A$6000,0)),"")</f>
        <v>типовая</v>
      </c>
      <c r="R302" t="s">
        <v>92</v>
      </c>
      <c r="T302" t="str">
        <f>IF(AND($P302&gt;0,$R302="да"),MAX($T$1:$T301)+1,"")</f>
        <v/>
      </c>
    </row>
    <row r="303" spans="1:20" ht="28.8" x14ac:dyDescent="0.3">
      <c r="A303" t="str">
        <f>IFERROR(INDEX(Работы!$D$2:$D$6000,MATCH($C303,Работы!$A$2:$A$6000,0)),"")</f>
        <v>Р3</v>
      </c>
      <c r="B303" t="str">
        <f>IFERROR(INDEX(Работы!$F$2:$F$6000,MATCH($C303,Работы!$A$2:$A$6000,0)),"")</f>
        <v>4</v>
      </c>
      <c r="C303" t="str">
        <f>IFERROR(INDEX(Работы!$A$2:$A$6000,302),"")</f>
        <v>РАБ.Р3.4.026</v>
      </c>
      <c r="D303" s="8" t="str">
        <f>IFERROR(INDEX(Работы!$B$2:$B$6000,MATCH($C303,Работы!$A$2:$A$6000,0)),"")</f>
        <v>Монтаж оконного блока / светопрозрачной конструкции</v>
      </c>
      <c r="E303" t="str">
        <f>IFERROR(INDEX(Работы!$C$2:$C$6000,MATCH($C303,Работы!$A$2:$A$6000,0)),"")</f>
        <v>м2</v>
      </c>
      <c r="F303" t="str">
        <f>IFERROR(INDEX(Работы!$G$2:$G$6000,MATCH($C303,Работы!$A$2:$A$6000,0)),"")</f>
        <v>ОКНО</v>
      </c>
      <c r="G303" t="str">
        <f>IFERROR(INDEX(Работы!$K$2:$K$6000,MATCH($C303,Работы!$A$2:$A$6000,0)),"")</f>
        <v>S_проёмы</v>
      </c>
      <c r="H303" s="9"/>
      <c r="I303" s="9"/>
      <c r="J303" s="8" t="str">
        <f>IFERROR(INDEX(Материалы!$B$2:$B$9000,MATCH($I303,Материалы!$A$2:$A$9000,0)),"")</f>
        <v/>
      </c>
      <c r="K303" t="str">
        <f>IF($I303="","",IF($F303=IFERROR(INDEX(Материалы!$G$2:$G$9000,MATCH($I303,Материалы!$A$2:$A$9000,0)),""),"OK","!! не та группа"))</f>
        <v/>
      </c>
      <c r="L303" s="10">
        <f>IFERROR(INDEX(Работы!$H$2:$H$6000,MATCH($C303,Работы!$A$2:$A$6000,0))*(1-ДисконтТендер),0)</f>
        <v>4384.8</v>
      </c>
      <c r="M303" s="10">
        <f>IF($I303="",0,IFERROR(INDEX(Материалы!$I$2:$I$9000,MATCH($I303,Материалы!$A$2:$A$9000,0))*IF(INDEX(Материалы!$J$2:$J$9000,MATCH($I303,Материалы!$A$2:$A$9000,0))="USD",КурсUSD,IF(INDEX(Материалы!$J$2:$J$9000,MATCH($I303,Материалы!$A$2:$A$9000,0))="EUR",КурсEUR,1))*INDEX(Материалы!$K$2:$K$9000,MATCH($I303,Материалы!$A$2:$A$9000,0))*(1+IFERROR(INDEX(Работы!$I$2:$I$6000,MATCH($C303,Работы!$A$2:$A$6000,0))/100,0))*(1-ДисконтТендер),0))</f>
        <v>0</v>
      </c>
      <c r="N303" s="10">
        <f t="shared" si="12"/>
        <v>0</v>
      </c>
      <c r="O303" s="10">
        <f t="shared" si="13"/>
        <v>0</v>
      </c>
      <c r="P303" s="10">
        <f t="shared" si="14"/>
        <v>0</v>
      </c>
      <c r="Q303" t="str">
        <f>IFERROR(INDEX(Работы!$J$2:$J$6000,MATCH($C303,Работы!$A$2:$A$6000,0)),"")</f>
        <v>типовая</v>
      </c>
      <c r="R303" t="s">
        <v>92</v>
      </c>
      <c r="T303" t="str">
        <f>IF(AND($P303&gt;0,$R303="да"),MAX($T$1:$T302)+1,"")</f>
        <v/>
      </c>
    </row>
    <row r="304" spans="1:20" ht="28.8" x14ac:dyDescent="0.3">
      <c r="A304" t="str">
        <f>IFERROR(INDEX(Работы!$D$2:$D$6000,MATCH($C304,Работы!$A$2:$A$6000,0)),"")</f>
        <v>Р3</v>
      </c>
      <c r="B304" t="str">
        <f>IFERROR(INDEX(Работы!$F$2:$F$6000,MATCH($C304,Работы!$A$2:$A$6000,0)),"")</f>
        <v>4</v>
      </c>
      <c r="C304" t="str">
        <f>IFERROR(INDEX(Работы!$A$2:$A$6000,303),"")</f>
        <v>РАБ.Р3.4.027</v>
      </c>
      <c r="D304" s="8" t="str">
        <f>IFERROR(INDEX(Работы!$B$2:$B$6000,MATCH($C304,Работы!$A$2:$A$6000,0)),"")</f>
        <v>Механизм открывания фрамуги естественного проветривания (дистанционный, ручной)</v>
      </c>
      <c r="E304" t="str">
        <f>IFERROR(INDEX(Работы!$C$2:$C$6000,MATCH($C304,Работы!$A$2:$A$6000,0)),"")</f>
        <v>шт.</v>
      </c>
      <c r="F304">
        <f>IFERROR(INDEX(Работы!$G$2:$G$6000,MATCH($C304,Работы!$A$2:$A$6000,0)),"")</f>
        <v>0</v>
      </c>
      <c r="G304" t="str">
        <f>IFERROR(INDEX(Работы!$K$2:$K$6000,MATCH($C304,Работы!$A$2:$A$6000,0)),"")</f>
        <v>Спецификация</v>
      </c>
      <c r="H304" s="9"/>
      <c r="I304" s="9"/>
      <c r="J304" s="8" t="str">
        <f>IFERROR(INDEX(Материалы!$B$2:$B$9000,MATCH($I304,Материалы!$A$2:$A$9000,0)),"")</f>
        <v/>
      </c>
      <c r="K304" t="str">
        <f>IF($I304="","",IF($F304=IFERROR(INDEX(Материалы!$G$2:$G$9000,MATCH($I304,Материалы!$A$2:$A$9000,0)),""),"OK","!! не та группа"))</f>
        <v/>
      </c>
      <c r="L304" s="10">
        <f>IFERROR(INDEX(Работы!$H$2:$H$6000,MATCH($C304,Работы!$A$2:$A$6000,0))*(1-ДисконтТендер),0)</f>
        <v>3758.4</v>
      </c>
      <c r="M304" s="10">
        <f>IF($I304="",0,IFERROR(INDEX(Материалы!$I$2:$I$9000,MATCH($I304,Материалы!$A$2:$A$9000,0))*IF(INDEX(Материалы!$J$2:$J$9000,MATCH($I304,Материалы!$A$2:$A$9000,0))="USD",КурсUSD,IF(INDEX(Материалы!$J$2:$J$9000,MATCH($I304,Материалы!$A$2:$A$9000,0))="EUR",КурсEUR,1))*INDEX(Материалы!$K$2:$K$9000,MATCH($I304,Материалы!$A$2:$A$9000,0))*(1+IFERROR(INDEX(Работы!$I$2:$I$6000,MATCH($C304,Работы!$A$2:$A$6000,0))/100,0))*(1-ДисконтТендер),0))</f>
        <v>0</v>
      </c>
      <c r="N304" s="10">
        <f t="shared" si="12"/>
        <v>0</v>
      </c>
      <c r="O304" s="10">
        <f t="shared" si="13"/>
        <v>0</v>
      </c>
      <c r="P304" s="10">
        <f t="shared" si="14"/>
        <v>0</v>
      </c>
      <c r="Q304" t="str">
        <f>IFERROR(INDEX(Работы!$J$2:$J$6000,MATCH($C304,Работы!$A$2:$A$6000,0)),"")</f>
        <v>типовая</v>
      </c>
      <c r="R304" t="s">
        <v>92</v>
      </c>
      <c r="T304" t="str">
        <f>IF(AND($P304&gt;0,$R304="да"),MAX($T$1:$T303)+1,"")</f>
        <v/>
      </c>
    </row>
    <row r="305" spans="1:20" ht="57.6" x14ac:dyDescent="0.3">
      <c r="A305" t="str">
        <f>IFERROR(INDEX(Работы!$D$2:$D$6000,MATCH($C305,Работы!$A$2:$A$6000,0)),"")</f>
        <v>Р3</v>
      </c>
      <c r="B305" t="str">
        <f>IFERROR(INDEX(Работы!$F$2:$F$6000,MATCH($C305,Работы!$A$2:$A$6000,0)),"")</f>
        <v>5</v>
      </c>
      <c r="C305" t="str">
        <f>IFERROR(INDEX(Работы!$A$2:$A$6000,304),"")</f>
        <v>РАБ.Р3.5.001</v>
      </c>
      <c r="D305" s="8" t="str">
        <f>IFERROR(INDEX(Работы!$B$2:$B$6000,MATCH($C305,Работы!$A$2:$A$6000,0)),"")</f>
        <v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v>
      </c>
      <c r="E305" t="str">
        <f>IFERROR(INDEX(Работы!$C$2:$C$6000,MATCH($C305,Работы!$A$2:$A$6000,0)),"")</f>
        <v>м2</v>
      </c>
      <c r="F305" t="str">
        <f>IFERROR(INDEX(Работы!$G$2:$G$6000,MATCH($C305,Работы!$A$2:$A$6000,0)),"")</f>
        <v>ПОТОЛОК</v>
      </c>
      <c r="G305" t="str">
        <f>IFERROR(INDEX(Работы!$K$2:$K$6000,MATCH($C305,Работы!$A$2:$A$6000,0)),"")</f>
        <v>S_потолок</v>
      </c>
      <c r="H305" s="9"/>
      <c r="I305" s="9"/>
      <c r="J305" s="8" t="str">
        <f>IFERROR(INDEX(Материалы!$B$2:$B$9000,MATCH($I305,Материалы!$A$2:$A$9000,0)),"")</f>
        <v/>
      </c>
      <c r="K305" t="str">
        <f>IF($I305="","",IF($F305=IFERROR(INDEX(Материалы!$G$2:$G$9000,MATCH($I305,Материалы!$A$2:$A$9000,0)),""),"OK","!! не та группа"))</f>
        <v/>
      </c>
      <c r="L305" s="10">
        <f>IFERROR(INDEX(Работы!$H$2:$H$6000,MATCH($C305,Работы!$A$2:$A$6000,0))*(1-ДисконтТендер),0)</f>
        <v>609.83000000000004</v>
      </c>
      <c r="M305" s="10">
        <f>IF($I305="",0,IFERROR(INDEX(Материалы!$I$2:$I$9000,MATCH($I305,Материалы!$A$2:$A$9000,0))*IF(INDEX(Материалы!$J$2:$J$9000,MATCH($I305,Материалы!$A$2:$A$9000,0))="USD",КурсUSD,IF(INDEX(Материалы!$J$2:$J$9000,MATCH($I305,Материалы!$A$2:$A$9000,0))="EUR",КурсEUR,1))*INDEX(Материалы!$K$2:$K$9000,MATCH($I305,Материалы!$A$2:$A$9000,0))*(1+IFERROR(INDEX(Работы!$I$2:$I$6000,MATCH($C305,Работы!$A$2:$A$6000,0))/100,0))*(1-ДисконтТендер),0))</f>
        <v>0</v>
      </c>
      <c r="N305" s="10">
        <f t="shared" si="12"/>
        <v>0</v>
      </c>
      <c r="O305" s="10">
        <f t="shared" si="13"/>
        <v>0</v>
      </c>
      <c r="P305" s="10">
        <f t="shared" si="14"/>
        <v>0</v>
      </c>
      <c r="Q305" t="str">
        <f>IFERROR(INDEX(Работы!$J$2:$J$6000,MATCH($C305,Работы!$A$2:$A$6000,0)),"")</f>
        <v>типовая</v>
      </c>
      <c r="R305" t="s">
        <v>92</v>
      </c>
      <c r="T305" t="str">
        <f>IF(AND($P305&gt;0,$R305="да"),MAX($T$1:$T304)+1,"")</f>
        <v/>
      </c>
    </row>
    <row r="306" spans="1:20" ht="57.6" x14ac:dyDescent="0.3">
      <c r="A306" t="str">
        <f>IFERROR(INDEX(Работы!$D$2:$D$6000,MATCH($C306,Работы!$A$2:$A$6000,0)),"")</f>
        <v>Р3</v>
      </c>
      <c r="B306" t="str">
        <f>IFERROR(INDEX(Работы!$F$2:$F$6000,MATCH($C306,Работы!$A$2:$A$6000,0)),"")</f>
        <v>5</v>
      </c>
      <c r="C306" t="str">
        <f>IFERROR(INDEX(Работы!$A$2:$A$6000,305),"")</f>
        <v>РАБ.Р3.5.002</v>
      </c>
      <c r="D306" s="8" t="str">
        <f>IFERROR(INDEX(Работы!$B$2:$B$6000,MATCH($C306,Работы!$A$2:$A$6000,0)),"")</f>
        <v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v>
      </c>
      <c r="E306" t="str">
        <f>IFERROR(INDEX(Работы!$C$2:$C$6000,MATCH($C306,Работы!$A$2:$A$6000,0)),"")</f>
        <v>м2</v>
      </c>
      <c r="F306" t="str">
        <f>IFERROR(INDEX(Работы!$G$2:$G$6000,MATCH($C306,Работы!$A$2:$A$6000,0)),"")</f>
        <v>ПОТОЛОК</v>
      </c>
      <c r="G306" t="str">
        <f>IFERROR(INDEX(Работы!$K$2:$K$6000,MATCH($C306,Работы!$A$2:$A$6000,0)),"")</f>
        <v>S_потолок</v>
      </c>
      <c r="H306" s="9"/>
      <c r="I306" s="9"/>
      <c r="J306" s="8" t="str">
        <f>IFERROR(INDEX(Материалы!$B$2:$B$9000,MATCH($I306,Материалы!$A$2:$A$9000,0)),"")</f>
        <v/>
      </c>
      <c r="K306" t="str">
        <f>IF($I306="","",IF($F306=IFERROR(INDEX(Материалы!$G$2:$G$9000,MATCH($I306,Материалы!$A$2:$A$9000,0)),""),"OK","!! не та группа"))</f>
        <v/>
      </c>
      <c r="L306" s="10">
        <f>IFERROR(INDEX(Работы!$H$2:$H$6000,MATCH($C306,Работы!$A$2:$A$6000,0))*(1-ДисконтТендер),0)</f>
        <v>610.70000000000005</v>
      </c>
      <c r="M306" s="10">
        <f>IF($I306="",0,IFERROR(INDEX(Материалы!$I$2:$I$9000,MATCH($I306,Материалы!$A$2:$A$9000,0))*IF(INDEX(Материалы!$J$2:$J$9000,MATCH($I306,Материалы!$A$2:$A$9000,0))="USD",КурсUSD,IF(INDEX(Материалы!$J$2:$J$9000,MATCH($I306,Материалы!$A$2:$A$9000,0))="EUR",КурсEUR,1))*INDEX(Материалы!$K$2:$K$9000,MATCH($I306,Материалы!$A$2:$A$9000,0))*(1+IFERROR(INDEX(Работы!$I$2:$I$6000,MATCH($C306,Работы!$A$2:$A$6000,0))/100,0))*(1-ДисконтТендер),0))</f>
        <v>0</v>
      </c>
      <c r="N306" s="10">
        <f t="shared" si="12"/>
        <v>0</v>
      </c>
      <c r="O306" s="10">
        <f t="shared" si="13"/>
        <v>0</v>
      </c>
      <c r="P306" s="10">
        <f t="shared" si="14"/>
        <v>0</v>
      </c>
      <c r="Q306" t="str">
        <f>IFERROR(INDEX(Работы!$J$2:$J$6000,MATCH($C306,Работы!$A$2:$A$6000,0)),"")</f>
        <v>типовая</v>
      </c>
      <c r="R306" t="s">
        <v>92</v>
      </c>
      <c r="T306" t="str">
        <f>IF(AND($P306&gt;0,$R306="да"),MAX($T$1:$T305)+1,"")</f>
        <v/>
      </c>
    </row>
    <row r="307" spans="1:20" ht="57.6" x14ac:dyDescent="0.3">
      <c r="A307" t="str">
        <f>IFERROR(INDEX(Работы!$D$2:$D$6000,MATCH($C307,Работы!$A$2:$A$6000,0)),"")</f>
        <v>Р3</v>
      </c>
      <c r="B307" t="str">
        <f>IFERROR(INDEX(Работы!$F$2:$F$6000,MATCH($C307,Работы!$A$2:$A$6000,0)),"")</f>
        <v>5</v>
      </c>
      <c r="C307" t="str">
        <f>IFERROR(INDEX(Работы!$A$2:$A$6000,306),"")</f>
        <v>РАБ.Р3.5.003</v>
      </c>
      <c r="D307" s="8" t="str">
        <f>IFERROR(INDEX(Работы!$B$2:$B$6000,MATCH($C307,Работы!$A$2:$A$6000,0)),"")</f>
        <v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v>
      </c>
      <c r="E307" t="str">
        <f>IFERROR(INDEX(Работы!$C$2:$C$6000,MATCH($C307,Работы!$A$2:$A$6000,0)),"")</f>
        <v>м2</v>
      </c>
      <c r="F307" t="str">
        <f>IFERROR(INDEX(Работы!$G$2:$G$6000,MATCH($C307,Работы!$A$2:$A$6000,0)),"")</f>
        <v>ПОТОЛОК</v>
      </c>
      <c r="G307" t="str">
        <f>IFERROR(INDEX(Работы!$K$2:$K$6000,MATCH($C307,Работы!$A$2:$A$6000,0)),"")</f>
        <v>S_потолок</v>
      </c>
      <c r="H307" s="9"/>
      <c r="I307" s="9"/>
      <c r="J307" s="8" t="str">
        <f>IFERROR(INDEX(Материалы!$B$2:$B$9000,MATCH($I307,Материалы!$A$2:$A$9000,0)),"")</f>
        <v/>
      </c>
      <c r="K307" t="str">
        <f>IF($I307="","",IF($F307=IFERROR(INDEX(Материалы!$G$2:$G$9000,MATCH($I307,Материалы!$A$2:$A$9000,0)),""),"OK","!! не та группа"))</f>
        <v/>
      </c>
      <c r="L307" s="10">
        <f>IFERROR(INDEX(Работы!$H$2:$H$6000,MATCH($C307,Работы!$A$2:$A$6000,0))*(1-ДисконтТендер),0)</f>
        <v>611.57000000000005</v>
      </c>
      <c r="M307" s="10">
        <f>IF($I307="",0,IFERROR(INDEX(Материалы!$I$2:$I$9000,MATCH($I307,Материалы!$A$2:$A$9000,0))*IF(INDEX(Материалы!$J$2:$J$9000,MATCH($I307,Материалы!$A$2:$A$9000,0))="USD",КурсUSD,IF(INDEX(Материалы!$J$2:$J$9000,MATCH($I307,Материалы!$A$2:$A$9000,0))="EUR",КурсEUR,1))*INDEX(Материалы!$K$2:$K$9000,MATCH($I307,Материалы!$A$2:$A$9000,0))*(1+IFERROR(INDEX(Работы!$I$2:$I$6000,MATCH($C307,Работы!$A$2:$A$6000,0))/100,0))*(1-ДисконтТендер),0))</f>
        <v>0</v>
      </c>
      <c r="N307" s="10">
        <f t="shared" si="12"/>
        <v>0</v>
      </c>
      <c r="O307" s="10">
        <f t="shared" si="13"/>
        <v>0</v>
      </c>
      <c r="P307" s="10">
        <f t="shared" si="14"/>
        <v>0</v>
      </c>
      <c r="Q307" t="str">
        <f>IFERROR(INDEX(Работы!$J$2:$J$6000,MATCH($C307,Работы!$A$2:$A$6000,0)),"")</f>
        <v>типовая</v>
      </c>
      <c r="R307" t="s">
        <v>92</v>
      </c>
      <c r="T307" t="str">
        <f>IF(AND($P307&gt;0,$R307="да"),MAX($T$1:$T306)+1,"")</f>
        <v/>
      </c>
    </row>
    <row r="308" spans="1:20" x14ac:dyDescent="0.3">
      <c r="A308" t="str">
        <f>IFERROR(INDEX(Работы!$D$2:$D$6000,MATCH($C308,Работы!$A$2:$A$6000,0)),"")</f>
        <v>Р3</v>
      </c>
      <c r="B308" t="str">
        <f>IFERROR(INDEX(Работы!$F$2:$F$6000,MATCH($C308,Работы!$A$2:$A$6000,0)),"")</f>
        <v>5</v>
      </c>
      <c r="C308" t="str">
        <f>IFERROR(INDEX(Работы!$A$2:$A$6000,307),"")</f>
        <v>РАБ.Р3.5.004</v>
      </c>
      <c r="D308" s="8" t="str">
        <f>IFERROR(INDEX(Работы!$B$2:$B$6000,MATCH($C308,Работы!$A$2:$A$6000,0)),"")</f>
        <v>Замена потолочных плит OWA «Sinfonia»</v>
      </c>
      <c r="E308" t="str">
        <f>IFERROR(INDEX(Работы!$C$2:$C$6000,MATCH($C308,Работы!$A$2:$A$6000,0)),"")</f>
        <v>м2</v>
      </c>
      <c r="F308">
        <f>IFERROR(INDEX(Работы!$G$2:$G$6000,MATCH($C308,Работы!$A$2:$A$6000,0)),"")</f>
        <v>0</v>
      </c>
      <c r="G308" t="str">
        <f>IFERROR(INDEX(Работы!$K$2:$K$6000,MATCH($C308,Работы!$A$2:$A$6000,0)),"")</f>
        <v>S_поверхность</v>
      </c>
      <c r="H308" s="9"/>
      <c r="I308" s="9"/>
      <c r="J308" s="8" t="str">
        <f>IFERROR(INDEX(Материалы!$B$2:$B$9000,MATCH($I308,Материалы!$A$2:$A$9000,0)),"")</f>
        <v/>
      </c>
      <c r="K308" t="str">
        <f>IF($I308="","",IF($F308=IFERROR(INDEX(Материалы!$G$2:$G$9000,MATCH($I308,Материалы!$A$2:$A$9000,0)),""),"OK","!! не та группа"))</f>
        <v/>
      </c>
      <c r="L308" s="10">
        <f>IFERROR(INDEX(Работы!$H$2:$H$6000,MATCH($C308,Работы!$A$2:$A$6000,0))*(1-ДисконтТендер),0)</f>
        <v>326.25</v>
      </c>
      <c r="M308" s="10">
        <f>IF($I308="",0,IFERROR(INDEX(Материалы!$I$2:$I$9000,MATCH($I308,Материалы!$A$2:$A$9000,0))*IF(INDEX(Материалы!$J$2:$J$9000,MATCH($I308,Материалы!$A$2:$A$9000,0))="USD",КурсUSD,IF(INDEX(Материалы!$J$2:$J$9000,MATCH($I308,Материалы!$A$2:$A$9000,0))="EUR",КурсEUR,1))*INDEX(Материалы!$K$2:$K$9000,MATCH($I308,Материалы!$A$2:$A$9000,0))*(1+IFERROR(INDEX(Работы!$I$2:$I$6000,MATCH($C308,Работы!$A$2:$A$6000,0))/100,0))*(1-ДисконтТендер),0))</f>
        <v>0</v>
      </c>
      <c r="N308" s="10">
        <f t="shared" si="12"/>
        <v>0</v>
      </c>
      <c r="O308" s="10">
        <f t="shared" si="13"/>
        <v>0</v>
      </c>
      <c r="P308" s="10">
        <f t="shared" si="14"/>
        <v>0</v>
      </c>
      <c r="Q308" t="str">
        <f>IFERROR(INDEX(Работы!$J$2:$J$6000,MATCH($C308,Работы!$A$2:$A$6000,0)),"")</f>
        <v>типовая</v>
      </c>
      <c r="R308" t="s">
        <v>92</v>
      </c>
      <c r="T308" t="str">
        <f>IF(AND($P308&gt;0,$R308="да"),MAX($T$1:$T307)+1,"")</f>
        <v/>
      </c>
    </row>
    <row r="309" spans="1:20" ht="43.2" x14ac:dyDescent="0.3">
      <c r="A309" t="str">
        <f>IFERROR(INDEX(Работы!$D$2:$D$6000,MATCH($C309,Работы!$A$2:$A$6000,0)),"")</f>
        <v>Р3</v>
      </c>
      <c r="B309" t="str">
        <f>IFERROR(INDEX(Работы!$F$2:$F$6000,MATCH($C309,Работы!$A$2:$A$6000,0)),"")</f>
        <v>5</v>
      </c>
      <c r="C309" t="str">
        <f>IFERROR(INDEX(Работы!$A$2:$A$6000,308),"")</f>
        <v>РАБ.Р3.5.005</v>
      </c>
      <c r="D309" s="8" t="str">
        <f>IFERROR(INDEX(Работы!$B$2:$B$6000,MATCH($C309,Работы!$A$2:$A$6000,0)),"")</f>
        <v>Устройство подвесных потолков: одноуровневых из ГКЛ по металлическому каркасу, крепление подвесов металлическим крепежным элементом.</v>
      </c>
      <c r="E309" t="str">
        <f>IFERROR(INDEX(Работы!$C$2:$C$6000,MATCH($C309,Работы!$A$2:$A$6000,0)),"")</f>
        <v>м2</v>
      </c>
      <c r="F309" t="str">
        <f>IFERROR(INDEX(Работы!$G$2:$G$6000,MATCH($C309,Работы!$A$2:$A$6000,0)),"")</f>
        <v>ПОТОЛОК</v>
      </c>
      <c r="G309" t="str">
        <f>IFERROR(INDEX(Работы!$K$2:$K$6000,MATCH($C309,Работы!$A$2:$A$6000,0)),"")</f>
        <v>S_потолок</v>
      </c>
      <c r="H309" s="9"/>
      <c r="I309" s="9"/>
      <c r="J309" s="8" t="str">
        <f>IFERROR(INDEX(Материалы!$B$2:$B$9000,MATCH($I309,Материалы!$A$2:$A$9000,0)),"")</f>
        <v/>
      </c>
      <c r="K309" t="str">
        <f>IF($I309="","",IF($F309=IFERROR(INDEX(Материалы!$G$2:$G$9000,MATCH($I309,Материалы!$A$2:$A$9000,0)),""),"OK","!! не та группа"))</f>
        <v/>
      </c>
      <c r="L309" s="10">
        <f>IFERROR(INDEX(Работы!$H$2:$H$6000,MATCH($C309,Работы!$A$2:$A$6000,0))*(1-ДисконтТендер),0)</f>
        <v>1934.01</v>
      </c>
      <c r="M309" s="10">
        <f>IF($I309="",0,IFERROR(INDEX(Материалы!$I$2:$I$9000,MATCH($I309,Материалы!$A$2:$A$9000,0))*IF(INDEX(Материалы!$J$2:$J$9000,MATCH($I309,Материалы!$A$2:$A$9000,0))="USD",КурсUSD,IF(INDEX(Материалы!$J$2:$J$9000,MATCH($I309,Материалы!$A$2:$A$9000,0))="EUR",КурсEUR,1))*INDEX(Материалы!$K$2:$K$9000,MATCH($I309,Материалы!$A$2:$A$9000,0))*(1+IFERROR(INDEX(Работы!$I$2:$I$6000,MATCH($C309,Работы!$A$2:$A$6000,0))/100,0))*(1-ДисконтТендер),0))</f>
        <v>0</v>
      </c>
      <c r="N309" s="10">
        <f t="shared" si="12"/>
        <v>0</v>
      </c>
      <c r="O309" s="10">
        <f t="shared" si="13"/>
        <v>0</v>
      </c>
      <c r="P309" s="10">
        <f t="shared" si="14"/>
        <v>0</v>
      </c>
      <c r="Q309" t="str">
        <f>IFERROR(INDEX(Работы!$J$2:$J$6000,MATCH($C309,Работы!$A$2:$A$6000,0)),"")</f>
        <v>типовая</v>
      </c>
      <c r="R309" t="s">
        <v>92</v>
      </c>
      <c r="T309" t="str">
        <f>IF(AND($P309&gt;0,$R309="да"),MAX($T$1:$T308)+1,"")</f>
        <v/>
      </c>
    </row>
    <row r="310" spans="1:20" x14ac:dyDescent="0.3">
      <c r="A310" t="str">
        <f>IFERROR(INDEX(Работы!$D$2:$D$6000,MATCH($C310,Работы!$A$2:$A$6000,0)),"")</f>
        <v>Р3</v>
      </c>
      <c r="B310" t="str">
        <f>IFERROR(INDEX(Работы!$F$2:$F$6000,MATCH($C310,Работы!$A$2:$A$6000,0)),"")</f>
        <v>5</v>
      </c>
      <c r="C310" t="str">
        <f>IFERROR(INDEX(Работы!$A$2:$A$6000,309),"")</f>
        <v>РАБ.Р3.5.006</v>
      </c>
      <c r="D310" s="8" t="str">
        <f>IFERROR(INDEX(Работы!$B$2:$B$6000,MATCH($C310,Работы!$A$2:$A$6000,0)),"")</f>
        <v>Устройство подвесного потолка</v>
      </c>
      <c r="E310" t="str">
        <f>IFERROR(INDEX(Работы!$C$2:$C$6000,MATCH($C310,Работы!$A$2:$A$6000,0)),"")</f>
        <v>м2</v>
      </c>
      <c r="F310" t="str">
        <f>IFERROR(INDEX(Работы!$G$2:$G$6000,MATCH($C310,Работы!$A$2:$A$6000,0)),"")</f>
        <v>ПОТОЛОК</v>
      </c>
      <c r="G310" t="str">
        <f>IFERROR(INDEX(Работы!$K$2:$K$6000,MATCH($C310,Работы!$A$2:$A$6000,0)),"")</f>
        <v>S_потолок</v>
      </c>
      <c r="H310" s="9"/>
      <c r="I310" s="9"/>
      <c r="J310" s="8" t="str">
        <f>IFERROR(INDEX(Материалы!$B$2:$B$9000,MATCH($I310,Материалы!$A$2:$A$9000,0)),"")</f>
        <v/>
      </c>
      <c r="K310" t="str">
        <f>IF($I310="","",IF($F310=IFERROR(INDEX(Материалы!$G$2:$G$9000,MATCH($I310,Материалы!$A$2:$A$9000,0)),""),"OK","!! не та группа"))</f>
        <v/>
      </c>
      <c r="L310" s="10">
        <f>IFERROR(INDEX(Работы!$H$2:$H$6000,MATCH($C310,Работы!$A$2:$A$6000,0))*(1-ДисконтТендер),0)</f>
        <v>2035.8</v>
      </c>
      <c r="M310" s="10">
        <f>IF($I310="",0,IFERROR(INDEX(Материалы!$I$2:$I$9000,MATCH($I310,Материалы!$A$2:$A$9000,0))*IF(INDEX(Материалы!$J$2:$J$9000,MATCH($I310,Материалы!$A$2:$A$9000,0))="USD",КурсUSD,IF(INDEX(Материалы!$J$2:$J$9000,MATCH($I310,Материалы!$A$2:$A$9000,0))="EUR",КурсEUR,1))*INDEX(Материалы!$K$2:$K$9000,MATCH($I310,Материалы!$A$2:$A$9000,0))*(1+IFERROR(INDEX(Работы!$I$2:$I$6000,MATCH($C310,Работы!$A$2:$A$6000,0))/100,0))*(1-ДисконтТендер),0))</f>
        <v>0</v>
      </c>
      <c r="N310" s="10">
        <f t="shared" si="12"/>
        <v>0</v>
      </c>
      <c r="O310" s="10">
        <f t="shared" si="13"/>
        <v>0</v>
      </c>
      <c r="P310" s="10">
        <f t="shared" si="14"/>
        <v>0</v>
      </c>
      <c r="Q310" t="str">
        <f>IFERROR(INDEX(Работы!$J$2:$J$6000,MATCH($C310,Работы!$A$2:$A$6000,0)),"")</f>
        <v>типовая</v>
      </c>
      <c r="R310" t="s">
        <v>92</v>
      </c>
      <c r="T310" t="str">
        <f>IF(AND($P310&gt;0,$R310="да"),MAX($T$1:$T309)+1,"")</f>
        <v/>
      </c>
    </row>
    <row r="311" spans="1:20" x14ac:dyDescent="0.3">
      <c r="A311" t="str">
        <f>IFERROR(INDEX(Работы!$D$2:$D$6000,MATCH($C311,Работы!$A$2:$A$6000,0)),"")</f>
        <v>Р3</v>
      </c>
      <c r="B311" t="str">
        <f>IFERROR(INDEX(Работы!$F$2:$F$6000,MATCH($C311,Работы!$A$2:$A$6000,0)),"")</f>
        <v>5</v>
      </c>
      <c r="C311" t="str">
        <f>IFERROR(INDEX(Работы!$A$2:$A$6000,310),"")</f>
        <v>РАБ.Р3.5.007</v>
      </c>
      <c r="D311" s="8" t="str">
        <f>IFERROR(INDEX(Работы!$B$2:$B$6000,MATCH($C311,Работы!$A$2:$A$6000,0)),"")</f>
        <v>Устройство подвесного потолка</v>
      </c>
      <c r="E311" t="str">
        <f>IFERROR(INDEX(Работы!$C$2:$C$6000,MATCH($C311,Работы!$A$2:$A$6000,0)),"")</f>
        <v>м2</v>
      </c>
      <c r="F311" t="str">
        <f>IFERROR(INDEX(Работы!$G$2:$G$6000,MATCH($C311,Работы!$A$2:$A$6000,0)),"")</f>
        <v>ПОТОЛОК</v>
      </c>
      <c r="G311" t="str">
        <f>IFERROR(INDEX(Работы!$K$2:$K$6000,MATCH($C311,Работы!$A$2:$A$6000,0)),"")</f>
        <v>S_потолок</v>
      </c>
      <c r="H311" s="9"/>
      <c r="I311" s="9"/>
      <c r="J311" s="8" t="str">
        <f>IFERROR(INDEX(Материалы!$B$2:$B$9000,MATCH($I311,Материалы!$A$2:$A$9000,0)),"")</f>
        <v/>
      </c>
      <c r="K311" t="str">
        <f>IF($I311="","",IF($F311=IFERROR(INDEX(Материалы!$G$2:$G$9000,MATCH($I311,Материалы!$A$2:$A$9000,0)),""),"OK","!! не та группа"))</f>
        <v/>
      </c>
      <c r="L311" s="10">
        <f>IFERROR(INDEX(Работы!$H$2:$H$6000,MATCH($C311,Работы!$A$2:$A$6000,0))*(1-ДисконтТендер),0)</f>
        <v>660</v>
      </c>
      <c r="M311" s="10">
        <f>IF($I311="",0,IFERROR(INDEX(Материалы!$I$2:$I$9000,MATCH($I311,Материалы!$A$2:$A$9000,0))*IF(INDEX(Материалы!$J$2:$J$9000,MATCH($I311,Материалы!$A$2:$A$9000,0))="USD",КурсUSD,IF(INDEX(Материалы!$J$2:$J$9000,MATCH($I311,Материалы!$A$2:$A$9000,0))="EUR",КурсEUR,1))*INDEX(Материалы!$K$2:$K$9000,MATCH($I311,Материалы!$A$2:$A$9000,0))*(1+IFERROR(INDEX(Работы!$I$2:$I$6000,MATCH($C311,Работы!$A$2:$A$6000,0))/100,0))*(1-ДисконтТендер),0))</f>
        <v>0</v>
      </c>
      <c r="N311" s="10">
        <f t="shared" si="12"/>
        <v>0</v>
      </c>
      <c r="O311" s="10">
        <f t="shared" si="13"/>
        <v>0</v>
      </c>
      <c r="P311" s="10">
        <f t="shared" si="14"/>
        <v>0</v>
      </c>
      <c r="Q311" t="str">
        <f>IFERROR(INDEX(Работы!$J$2:$J$6000,MATCH($C311,Работы!$A$2:$A$6000,0)),"")</f>
        <v>типовая</v>
      </c>
      <c r="R311" t="s">
        <v>92</v>
      </c>
      <c r="T311" t="str">
        <f>IF(AND($P311&gt;0,$R311="да"),MAX($T$1:$T310)+1,"")</f>
        <v/>
      </c>
    </row>
    <row r="312" spans="1:20" x14ac:dyDescent="0.3">
      <c r="A312" t="str">
        <f>IFERROR(INDEX(Работы!$D$2:$D$6000,MATCH($C312,Работы!$A$2:$A$6000,0)),"")</f>
        <v>Р3</v>
      </c>
      <c r="B312" t="str">
        <f>IFERROR(INDEX(Работы!$F$2:$F$6000,MATCH($C312,Работы!$A$2:$A$6000,0)),"")</f>
        <v>5</v>
      </c>
      <c r="C312" t="str">
        <f>IFERROR(INDEX(Работы!$A$2:$A$6000,311),"")</f>
        <v>РАБ.Р3.5.008</v>
      </c>
      <c r="D312" s="8" t="str">
        <f>IFERROR(INDEX(Работы!$B$2:$B$6000,MATCH($C312,Работы!$A$2:$A$6000,0)),"")</f>
        <v>Реечный потолок, кубообразная рейка 30х70мм</v>
      </c>
      <c r="E312" t="str">
        <f>IFERROR(INDEX(Работы!$C$2:$C$6000,MATCH($C312,Работы!$A$2:$A$6000,0)),"")</f>
        <v>м2</v>
      </c>
      <c r="F312" t="str">
        <f>IFERROR(INDEX(Работы!$G$2:$G$6000,MATCH($C312,Работы!$A$2:$A$6000,0)),"")</f>
        <v>ПОТОЛОК</v>
      </c>
      <c r="G312" t="str">
        <f>IFERROR(INDEX(Работы!$K$2:$K$6000,MATCH($C312,Работы!$A$2:$A$6000,0)),"")</f>
        <v>S_потолок</v>
      </c>
      <c r="H312" s="9"/>
      <c r="I312" s="9"/>
      <c r="J312" s="8" t="str">
        <f>IFERROR(INDEX(Материалы!$B$2:$B$9000,MATCH($I312,Материалы!$A$2:$A$9000,0)),"")</f>
        <v/>
      </c>
      <c r="K312" t="str">
        <f>IF($I312="","",IF($F312=IFERROR(INDEX(Материалы!$G$2:$G$9000,MATCH($I312,Материалы!$A$2:$A$9000,0)),""),"OK","!! не та группа"))</f>
        <v/>
      </c>
      <c r="L312" s="10">
        <f>IFERROR(INDEX(Работы!$H$2:$H$6000,MATCH($C312,Работы!$A$2:$A$6000,0))*(1-ДисконтТендер),0)</f>
        <v>890.14</v>
      </c>
      <c r="M312" s="10">
        <f>IF($I312="",0,IFERROR(INDEX(Материалы!$I$2:$I$9000,MATCH($I312,Материалы!$A$2:$A$9000,0))*IF(INDEX(Материалы!$J$2:$J$9000,MATCH($I312,Материалы!$A$2:$A$9000,0))="USD",КурсUSD,IF(INDEX(Материалы!$J$2:$J$9000,MATCH($I312,Материалы!$A$2:$A$9000,0))="EUR",КурсEUR,1))*INDEX(Материалы!$K$2:$K$9000,MATCH($I312,Материалы!$A$2:$A$9000,0))*(1+IFERROR(INDEX(Работы!$I$2:$I$6000,MATCH($C312,Работы!$A$2:$A$6000,0))/100,0))*(1-ДисконтТендер),0))</f>
        <v>0</v>
      </c>
      <c r="N312" s="10">
        <f t="shared" si="12"/>
        <v>0</v>
      </c>
      <c r="O312" s="10">
        <f t="shared" si="13"/>
        <v>0</v>
      </c>
      <c r="P312" s="10">
        <f t="shared" si="14"/>
        <v>0</v>
      </c>
      <c r="Q312" t="str">
        <f>IFERROR(INDEX(Работы!$J$2:$J$6000,MATCH($C312,Работы!$A$2:$A$6000,0)),"")</f>
        <v>типовая</v>
      </c>
      <c r="R312" t="s">
        <v>92</v>
      </c>
      <c r="T312" t="str">
        <f>IF(AND($P312&gt;0,$R312="да"),MAX($T$1:$T311)+1,"")</f>
        <v/>
      </c>
    </row>
    <row r="313" spans="1:20" x14ac:dyDescent="0.3">
      <c r="A313" t="str">
        <f>IFERROR(INDEX(Работы!$D$2:$D$6000,MATCH($C313,Работы!$A$2:$A$6000,0)),"")</f>
        <v>Р3</v>
      </c>
      <c r="B313" t="str">
        <f>IFERROR(INDEX(Работы!$F$2:$F$6000,MATCH($C313,Работы!$A$2:$A$6000,0)),"")</f>
        <v>5</v>
      </c>
      <c r="C313" t="str">
        <f>IFERROR(INDEX(Работы!$A$2:$A$6000,312),"")</f>
        <v>РАБ.Р3.5.009</v>
      </c>
      <c r="D313" s="8" t="str">
        <f>IFERROR(INDEX(Работы!$B$2:$B$6000,MATCH($C313,Работы!$A$2:$A$6000,0)),"")</f>
        <v>Маркерное белое стекло цвет: RAL 9010</v>
      </c>
      <c r="E313" t="str">
        <f>IFERROR(INDEX(Работы!$C$2:$C$6000,MATCH($C313,Работы!$A$2:$A$6000,0)),"")</f>
        <v>м2</v>
      </c>
      <c r="F313">
        <f>IFERROR(INDEX(Работы!$G$2:$G$6000,MATCH($C313,Работы!$A$2:$A$6000,0)),"")</f>
        <v>0</v>
      </c>
      <c r="G313" t="str">
        <f>IFERROR(INDEX(Работы!$K$2:$K$6000,MATCH($C313,Работы!$A$2:$A$6000,0)),"")</f>
        <v>S_поверхность</v>
      </c>
      <c r="H313" s="9"/>
      <c r="I313" s="9"/>
      <c r="J313" s="8" t="str">
        <f>IFERROR(INDEX(Материалы!$B$2:$B$9000,MATCH($I313,Материалы!$A$2:$A$9000,0)),"")</f>
        <v/>
      </c>
      <c r="K313" t="str">
        <f>IF($I313="","",IF($F313=IFERROR(INDEX(Материалы!$G$2:$G$9000,MATCH($I313,Материалы!$A$2:$A$9000,0)),""),"OK","!! не та группа"))</f>
        <v/>
      </c>
      <c r="L313" s="10">
        <f>IFERROR(INDEX(Работы!$H$2:$H$6000,MATCH($C313,Работы!$A$2:$A$6000,0))*(1-ДисконтТендер),0)</f>
        <v>2239.38</v>
      </c>
      <c r="M313" s="10">
        <f>IF($I313="",0,IFERROR(INDEX(Материалы!$I$2:$I$9000,MATCH($I313,Материалы!$A$2:$A$9000,0))*IF(INDEX(Материалы!$J$2:$J$9000,MATCH($I313,Материалы!$A$2:$A$9000,0))="USD",КурсUSD,IF(INDEX(Материалы!$J$2:$J$9000,MATCH($I313,Материалы!$A$2:$A$9000,0))="EUR",КурсEUR,1))*INDEX(Материалы!$K$2:$K$9000,MATCH($I313,Материалы!$A$2:$A$9000,0))*(1+IFERROR(INDEX(Работы!$I$2:$I$6000,MATCH($C313,Работы!$A$2:$A$6000,0))/100,0))*(1-ДисконтТендер),0))</f>
        <v>0</v>
      </c>
      <c r="N313" s="10">
        <f t="shared" si="12"/>
        <v>0</v>
      </c>
      <c r="O313" s="10">
        <f t="shared" si="13"/>
        <v>0</v>
      </c>
      <c r="P313" s="10">
        <f t="shared" si="14"/>
        <v>0</v>
      </c>
      <c r="Q313" t="str">
        <f>IFERROR(INDEX(Работы!$J$2:$J$6000,MATCH($C313,Работы!$A$2:$A$6000,0)),"")</f>
        <v>типовая</v>
      </c>
      <c r="R313" t="s">
        <v>92</v>
      </c>
      <c r="T313" t="str">
        <f>IF(AND($P313&gt;0,$R313="да"),MAX($T$1:$T312)+1,"")</f>
        <v/>
      </c>
    </row>
    <row r="314" spans="1:20" x14ac:dyDescent="0.3">
      <c r="A314" t="str">
        <f>IFERROR(INDEX(Работы!$D$2:$D$6000,MATCH($C314,Работы!$A$2:$A$6000,0)),"")</f>
        <v>Р3</v>
      </c>
      <c r="B314" t="str">
        <f>IFERROR(INDEX(Работы!$F$2:$F$6000,MATCH($C314,Работы!$A$2:$A$6000,0)),"")</f>
        <v>5</v>
      </c>
      <c r="C314" t="str">
        <f>IFERROR(INDEX(Работы!$A$2:$A$6000,313),"")</f>
        <v>РАБ.Р3.5.010</v>
      </c>
      <c r="D314" s="8" t="str">
        <f>IFERROR(INDEX(Работы!$B$2:$B$6000,MATCH($C314,Работы!$A$2:$A$6000,0)),"")</f>
        <v>Облицовка деревяных потолков ГКЛО</v>
      </c>
      <c r="E314" t="str">
        <f>IFERROR(INDEX(Работы!$C$2:$C$6000,MATCH($C314,Работы!$A$2:$A$6000,0)),"")</f>
        <v>м2</v>
      </c>
      <c r="F314" t="str">
        <f>IFERROR(INDEX(Работы!$G$2:$G$6000,MATCH($C314,Работы!$A$2:$A$6000,0)),"")</f>
        <v>ПОТОЛОК</v>
      </c>
      <c r="G314" t="str">
        <f>IFERROR(INDEX(Работы!$K$2:$K$6000,MATCH($C314,Работы!$A$2:$A$6000,0)),"")</f>
        <v>S_потолок</v>
      </c>
      <c r="H314" s="9"/>
      <c r="I314" s="9"/>
      <c r="J314" s="8" t="str">
        <f>IFERROR(INDEX(Материалы!$B$2:$B$9000,MATCH($I314,Материалы!$A$2:$A$9000,0)),"")</f>
        <v/>
      </c>
      <c r="K314" t="str">
        <f>IF($I314="","",IF($F314=IFERROR(INDEX(Материалы!$G$2:$G$9000,MATCH($I314,Материалы!$A$2:$A$9000,0)),""),"OK","!! не та группа"))</f>
        <v/>
      </c>
      <c r="L314" s="10">
        <f>IFERROR(INDEX(Работы!$H$2:$H$6000,MATCH($C314,Работы!$A$2:$A$6000,0))*(1-ДисконтТендер),0)</f>
        <v>622.01</v>
      </c>
      <c r="M314" s="10">
        <f>IF($I314="",0,IFERROR(INDEX(Материалы!$I$2:$I$9000,MATCH($I314,Материалы!$A$2:$A$9000,0))*IF(INDEX(Материалы!$J$2:$J$9000,MATCH($I314,Материалы!$A$2:$A$9000,0))="USD",КурсUSD,IF(INDEX(Материалы!$J$2:$J$9000,MATCH($I314,Материалы!$A$2:$A$9000,0))="EUR",КурсEUR,1))*INDEX(Материалы!$K$2:$K$9000,MATCH($I314,Материалы!$A$2:$A$9000,0))*(1+IFERROR(INDEX(Работы!$I$2:$I$6000,MATCH($C314,Работы!$A$2:$A$6000,0))/100,0))*(1-ДисконтТендер),0))</f>
        <v>0</v>
      </c>
      <c r="N314" s="10">
        <f t="shared" si="12"/>
        <v>0</v>
      </c>
      <c r="O314" s="10">
        <f t="shared" si="13"/>
        <v>0</v>
      </c>
      <c r="P314" s="10">
        <f t="shared" si="14"/>
        <v>0</v>
      </c>
      <c r="Q314" t="str">
        <f>IFERROR(INDEX(Работы!$J$2:$J$6000,MATCH($C314,Работы!$A$2:$A$6000,0)),"")</f>
        <v>типовая</v>
      </c>
      <c r="R314" t="s">
        <v>92</v>
      </c>
      <c r="T314" t="str">
        <f>IF(AND($P314&gt;0,$R314="да"),MAX($T$1:$T313)+1,"")</f>
        <v/>
      </c>
    </row>
    <row r="315" spans="1:20" ht="28.8" x14ac:dyDescent="0.3">
      <c r="A315" t="str">
        <f>IFERROR(INDEX(Работы!$D$2:$D$6000,MATCH($C315,Работы!$A$2:$A$6000,0)),"")</f>
        <v>Р3</v>
      </c>
      <c r="B315" t="str">
        <f>IFERROR(INDEX(Работы!$F$2:$F$6000,MATCH($C315,Работы!$A$2:$A$6000,0)),"")</f>
        <v>5</v>
      </c>
      <c r="C315" t="str">
        <f>IFERROR(INDEX(Работы!$A$2:$A$6000,314),"")</f>
        <v>РАБ.Р3.5.011</v>
      </c>
      <c r="D315" s="8" t="str">
        <f>IFERROR(INDEX(Работы!$B$2:$B$6000,MATCH($C315,Работы!$A$2:$A$6000,0)),"")</f>
        <v>Штукатурка потолка цемено-песчаным раствором толщ. до 20 мм.</v>
      </c>
      <c r="E315" t="str">
        <f>IFERROR(INDEX(Работы!$C$2:$C$6000,MATCH($C315,Работы!$A$2:$A$6000,0)),"")</f>
        <v>м2</v>
      </c>
      <c r="F315">
        <f>IFERROR(INDEX(Работы!$G$2:$G$6000,MATCH($C315,Работы!$A$2:$A$6000,0)),"")</f>
        <v>0</v>
      </c>
      <c r="G315" t="str">
        <f>IFERROR(INDEX(Работы!$K$2:$K$6000,MATCH($C315,Работы!$A$2:$A$6000,0)),"")</f>
        <v>S_поверхность</v>
      </c>
      <c r="H315" s="9"/>
      <c r="I315" s="9"/>
      <c r="J315" s="8" t="str">
        <f>IFERROR(INDEX(Материалы!$B$2:$B$9000,MATCH($I315,Материалы!$A$2:$A$9000,0)),"")</f>
        <v/>
      </c>
      <c r="K315" t="str">
        <f>IF($I315="","",IF($F315=IFERROR(INDEX(Материалы!$G$2:$G$9000,MATCH($I315,Материалы!$A$2:$A$9000,0)),""),"OK","!! не та группа"))</f>
        <v/>
      </c>
      <c r="L315" s="10">
        <f>IFERROR(INDEX(Работы!$H$2:$H$6000,MATCH($C315,Работы!$A$2:$A$6000,0))*(1-ДисконтТендер),0)</f>
        <v>1196.25</v>
      </c>
      <c r="M315" s="10">
        <f>IF($I315="",0,IFERROR(INDEX(Материалы!$I$2:$I$9000,MATCH($I315,Материалы!$A$2:$A$9000,0))*IF(INDEX(Материалы!$J$2:$J$9000,MATCH($I315,Материалы!$A$2:$A$9000,0))="USD",КурсUSD,IF(INDEX(Материалы!$J$2:$J$9000,MATCH($I315,Материалы!$A$2:$A$9000,0))="EUR",КурсEUR,1))*INDEX(Материалы!$K$2:$K$9000,MATCH($I315,Материалы!$A$2:$A$9000,0))*(1+IFERROR(INDEX(Работы!$I$2:$I$6000,MATCH($C315,Работы!$A$2:$A$6000,0))/100,0))*(1-ДисконтТендер),0))</f>
        <v>0</v>
      </c>
      <c r="N315" s="10">
        <f t="shared" si="12"/>
        <v>0</v>
      </c>
      <c r="O315" s="10">
        <f t="shared" si="13"/>
        <v>0</v>
      </c>
      <c r="P315" s="10">
        <f t="shared" si="14"/>
        <v>0</v>
      </c>
      <c r="Q315" t="str">
        <f>IFERROR(INDEX(Работы!$J$2:$J$6000,MATCH($C315,Работы!$A$2:$A$6000,0)),"")</f>
        <v>типовая</v>
      </c>
      <c r="R315" t="s">
        <v>92</v>
      </c>
      <c r="T315" t="str">
        <f>IF(AND($P315&gt;0,$R315="да"),MAX($T$1:$T314)+1,"")</f>
        <v/>
      </c>
    </row>
    <row r="316" spans="1:20" ht="28.8" x14ac:dyDescent="0.3">
      <c r="A316" t="str">
        <f>IFERROR(INDEX(Работы!$D$2:$D$6000,MATCH($C316,Работы!$A$2:$A$6000,0)),"")</f>
        <v>Р3</v>
      </c>
      <c r="B316" t="str">
        <f>IFERROR(INDEX(Работы!$F$2:$F$6000,MATCH($C316,Работы!$A$2:$A$6000,0)),"")</f>
        <v>5</v>
      </c>
      <c r="C316" t="str">
        <f>IFERROR(INDEX(Работы!$A$2:$A$6000,315),"")</f>
        <v>РАБ.Р3.5.012</v>
      </c>
      <c r="D316" s="8" t="str">
        <f>IFERROR(INDEX(Работы!$B$2:$B$6000,MATCH($C316,Работы!$A$2:$A$6000,0)),"")</f>
        <v>Устройство тепло- и звукоизоляции перекрытия минеральной ватой с устройством пароизоляции</v>
      </c>
      <c r="E316" t="str">
        <f>IFERROR(INDEX(Работы!$C$2:$C$6000,MATCH($C316,Работы!$A$2:$A$6000,0)),"")</f>
        <v>м2</v>
      </c>
      <c r="F316" t="str">
        <f>IFERROR(INDEX(Работы!$G$2:$G$6000,MATCH($C316,Работы!$A$2:$A$6000,0)),"")</f>
        <v>ИЗОЛ</v>
      </c>
      <c r="G316" t="str">
        <f>IFERROR(INDEX(Работы!$K$2:$K$6000,MATCH($C316,Работы!$A$2:$A$6000,0)),"")</f>
        <v>S_поверхность</v>
      </c>
      <c r="H316" s="9"/>
      <c r="I316" s="9"/>
      <c r="J316" s="8" t="str">
        <f>IFERROR(INDEX(Материалы!$B$2:$B$9000,MATCH($I316,Материалы!$A$2:$A$9000,0)),"")</f>
        <v/>
      </c>
      <c r="K316" t="str">
        <f>IF($I316="","",IF($F316=IFERROR(INDEX(Материалы!$G$2:$G$9000,MATCH($I316,Материалы!$A$2:$A$9000,0)),""),"OK","!! не та группа"))</f>
        <v/>
      </c>
      <c r="L316" s="10">
        <f>IFERROR(INDEX(Работы!$H$2:$H$6000,MATCH($C316,Работы!$A$2:$A$6000,0))*(1-ДисконтТендер),0)</f>
        <v>134.85</v>
      </c>
      <c r="M316" s="10">
        <f>IF($I316="",0,IFERROR(INDEX(Материалы!$I$2:$I$9000,MATCH($I316,Материалы!$A$2:$A$9000,0))*IF(INDEX(Материалы!$J$2:$J$9000,MATCH($I316,Материалы!$A$2:$A$9000,0))="USD",КурсUSD,IF(INDEX(Материалы!$J$2:$J$9000,MATCH($I316,Материалы!$A$2:$A$9000,0))="EUR",КурсEUR,1))*INDEX(Материалы!$K$2:$K$9000,MATCH($I316,Материалы!$A$2:$A$9000,0))*(1+IFERROR(INDEX(Работы!$I$2:$I$6000,MATCH($C316,Работы!$A$2:$A$6000,0))/100,0))*(1-ДисконтТендер),0))</f>
        <v>0</v>
      </c>
      <c r="N316" s="10">
        <f t="shared" si="12"/>
        <v>0</v>
      </c>
      <c r="O316" s="10">
        <f t="shared" si="13"/>
        <v>0</v>
      </c>
      <c r="P316" s="10">
        <f t="shared" si="14"/>
        <v>0</v>
      </c>
      <c r="Q316" t="str">
        <f>IFERROR(INDEX(Работы!$J$2:$J$6000,MATCH($C316,Работы!$A$2:$A$6000,0)),"")</f>
        <v>типовая</v>
      </c>
      <c r="R316" t="s">
        <v>92</v>
      </c>
      <c r="T316" t="str">
        <f>IF(AND($P316&gt;0,$R316="да"),MAX($T$1:$T315)+1,"")</f>
        <v/>
      </c>
    </row>
    <row r="317" spans="1:20" x14ac:dyDescent="0.3">
      <c r="A317" t="str">
        <f>IFERROR(INDEX(Работы!$D$2:$D$6000,MATCH($C317,Работы!$A$2:$A$6000,0)),"")</f>
        <v>Р3</v>
      </c>
      <c r="B317" t="str">
        <f>IFERROR(INDEX(Работы!$F$2:$F$6000,MATCH($C317,Работы!$A$2:$A$6000,0)),"")</f>
        <v>5</v>
      </c>
      <c r="C317" t="str">
        <f>IFERROR(INDEX(Работы!$A$2:$A$6000,316),"")</f>
        <v>РАБ.Р3.5.013</v>
      </c>
      <c r="D317" s="8" t="str">
        <f>IFERROR(INDEX(Работы!$B$2:$B$6000,MATCH($C317,Работы!$A$2:$A$6000,0)),"")</f>
        <v>Шпатлевка потолка</v>
      </c>
      <c r="E317" t="str">
        <f>IFERROR(INDEX(Работы!$C$2:$C$6000,MATCH($C317,Работы!$A$2:$A$6000,0)),"")</f>
        <v>м2</v>
      </c>
      <c r="F317">
        <f>IFERROR(INDEX(Работы!$G$2:$G$6000,MATCH($C317,Работы!$A$2:$A$6000,0)),"")</f>
        <v>0</v>
      </c>
      <c r="G317" t="str">
        <f>IFERROR(INDEX(Работы!$K$2:$K$6000,MATCH($C317,Работы!$A$2:$A$6000,0)),"")</f>
        <v>S_поверхность</v>
      </c>
      <c r="H317" s="9"/>
      <c r="I317" s="9"/>
      <c r="J317" s="8" t="str">
        <f>IFERROR(INDEX(Материалы!$B$2:$B$9000,MATCH($I317,Материалы!$A$2:$A$9000,0)),"")</f>
        <v/>
      </c>
      <c r="K317" t="str">
        <f>IF($I317="","",IF($F317=IFERROR(INDEX(Материалы!$G$2:$G$9000,MATCH($I317,Материалы!$A$2:$A$9000,0)),""),"OK","!! не та группа"))</f>
        <v/>
      </c>
      <c r="L317" s="10">
        <f>IFERROR(INDEX(Работы!$H$2:$H$6000,MATCH($C317,Работы!$A$2:$A$6000,0))*(1-ДисконтТендер),0)</f>
        <v>625.49</v>
      </c>
      <c r="M317" s="10">
        <f>IF($I317="",0,IFERROR(INDEX(Материалы!$I$2:$I$9000,MATCH($I317,Материалы!$A$2:$A$9000,0))*IF(INDEX(Материалы!$J$2:$J$9000,MATCH($I317,Материалы!$A$2:$A$9000,0))="USD",КурсUSD,IF(INDEX(Материалы!$J$2:$J$9000,MATCH($I317,Материалы!$A$2:$A$9000,0))="EUR",КурсEUR,1))*INDEX(Материалы!$K$2:$K$9000,MATCH($I317,Материалы!$A$2:$A$9000,0))*(1+IFERROR(INDEX(Работы!$I$2:$I$6000,MATCH($C317,Работы!$A$2:$A$6000,0))/100,0))*(1-ДисконтТендер),0))</f>
        <v>0</v>
      </c>
      <c r="N317" s="10">
        <f t="shared" si="12"/>
        <v>0</v>
      </c>
      <c r="O317" s="10">
        <f t="shared" si="13"/>
        <v>0</v>
      </c>
      <c r="P317" s="10">
        <f t="shared" si="14"/>
        <v>0</v>
      </c>
      <c r="Q317" t="str">
        <f>IFERROR(INDEX(Работы!$J$2:$J$6000,MATCH($C317,Работы!$A$2:$A$6000,0)),"")</f>
        <v>типовая</v>
      </c>
      <c r="R317" t="s">
        <v>92</v>
      </c>
      <c r="T317" t="str">
        <f>IF(AND($P317&gt;0,$R317="да"),MAX($T$1:$T316)+1,"")</f>
        <v/>
      </c>
    </row>
    <row r="318" spans="1:20" x14ac:dyDescent="0.3">
      <c r="A318" t="str">
        <f>IFERROR(INDEX(Работы!$D$2:$D$6000,MATCH($C318,Работы!$A$2:$A$6000,0)),"")</f>
        <v>Р3</v>
      </c>
      <c r="B318" t="str">
        <f>IFERROR(INDEX(Работы!$F$2:$F$6000,MATCH($C318,Работы!$A$2:$A$6000,0)),"")</f>
        <v>5</v>
      </c>
      <c r="C318" t="str">
        <f>IFERROR(INDEX(Работы!$A$2:$A$6000,317),"")</f>
        <v>РАБ.Р3.5.014</v>
      </c>
      <c r="D318" s="8" t="str">
        <f>IFERROR(INDEX(Работы!$B$2:$B$6000,MATCH($C318,Работы!$A$2:$A$6000,0)),"")</f>
        <v>Грунтовка потолка за два раза</v>
      </c>
      <c r="E318" t="str">
        <f>IFERROR(INDEX(Работы!$C$2:$C$6000,MATCH($C318,Работы!$A$2:$A$6000,0)),"")</f>
        <v>м2</v>
      </c>
      <c r="F318">
        <f>IFERROR(INDEX(Работы!$G$2:$G$6000,MATCH($C318,Работы!$A$2:$A$6000,0)),"")</f>
        <v>0</v>
      </c>
      <c r="G318" t="str">
        <f>IFERROR(INDEX(Работы!$K$2:$K$6000,MATCH($C318,Работы!$A$2:$A$6000,0)),"")</f>
        <v>S_поверхность</v>
      </c>
      <c r="H318" s="9"/>
      <c r="I318" s="9"/>
      <c r="J318" s="8" t="str">
        <f>IFERROR(INDEX(Материалы!$B$2:$B$9000,MATCH($I318,Материалы!$A$2:$A$9000,0)),"")</f>
        <v/>
      </c>
      <c r="K318" t="str">
        <f>IF($I318="","",IF($F318=IFERROR(INDEX(Материалы!$G$2:$G$9000,MATCH($I318,Материалы!$A$2:$A$9000,0)),""),"OK","!! не та группа"))</f>
        <v/>
      </c>
      <c r="L318" s="10">
        <f>IFERROR(INDEX(Работы!$H$2:$H$6000,MATCH($C318,Работы!$A$2:$A$6000,0))*(1-ДисконтТендер),0)</f>
        <v>105.33</v>
      </c>
      <c r="M318" s="10">
        <f>IF($I318="",0,IFERROR(INDEX(Материалы!$I$2:$I$9000,MATCH($I318,Материалы!$A$2:$A$9000,0))*IF(INDEX(Материалы!$J$2:$J$9000,MATCH($I318,Материалы!$A$2:$A$9000,0))="USD",КурсUSD,IF(INDEX(Материалы!$J$2:$J$9000,MATCH($I318,Материалы!$A$2:$A$9000,0))="EUR",КурсEUR,1))*INDEX(Материалы!$K$2:$K$9000,MATCH($I318,Материалы!$A$2:$A$9000,0))*(1+IFERROR(INDEX(Работы!$I$2:$I$6000,MATCH($C318,Работы!$A$2:$A$6000,0))/100,0))*(1-ДисконтТендер),0))</f>
        <v>0</v>
      </c>
      <c r="N318" s="10">
        <f t="shared" si="12"/>
        <v>0</v>
      </c>
      <c r="O318" s="10">
        <f t="shared" si="13"/>
        <v>0</v>
      </c>
      <c r="P318" s="10">
        <f t="shared" si="14"/>
        <v>0</v>
      </c>
      <c r="Q318" t="str">
        <f>IFERROR(INDEX(Работы!$J$2:$J$6000,MATCH($C318,Работы!$A$2:$A$6000,0)),"")</f>
        <v>типовая</v>
      </c>
      <c r="R318" t="s">
        <v>92</v>
      </c>
      <c r="T318" t="str">
        <f>IF(AND($P318&gt;0,$R318="да"),MAX($T$1:$T317)+1,"")</f>
        <v/>
      </c>
    </row>
    <row r="319" spans="1:20" ht="28.8" x14ac:dyDescent="0.3">
      <c r="A319" t="str">
        <f>IFERROR(INDEX(Работы!$D$2:$D$6000,MATCH($C319,Работы!$A$2:$A$6000,0)),"")</f>
        <v>Р3</v>
      </c>
      <c r="B319" t="str">
        <f>IFERROR(INDEX(Работы!$F$2:$F$6000,MATCH($C319,Работы!$A$2:$A$6000,0)),"")</f>
        <v>5</v>
      </c>
      <c r="C319" t="str">
        <f>IFERROR(INDEX(Работы!$A$2:$A$6000,318),"")</f>
        <v>РАБ.Р3.5.015</v>
      </c>
      <c r="D319" s="8" t="str">
        <f>IFERROR(INDEX(Работы!$B$2:$B$6000,MATCH($C319,Работы!$A$2:$A$6000,0)),"")</f>
        <v>Оклейка потолков стеклообоями типа "Паутинка" (не фактурные)</v>
      </c>
      <c r="E319" t="str">
        <f>IFERROR(INDEX(Работы!$C$2:$C$6000,MATCH($C319,Работы!$A$2:$A$6000,0)),"")</f>
        <v>м2</v>
      </c>
      <c r="F319" t="str">
        <f>IFERROR(INDEX(Работы!$G$2:$G$6000,MATCH($C319,Работы!$A$2:$A$6000,0)),"")</f>
        <v>ОБОИ</v>
      </c>
      <c r="G319" t="str">
        <f>IFERROR(INDEX(Работы!$K$2:$K$6000,MATCH($C319,Работы!$A$2:$A$6000,0)),"")</f>
        <v>S_стены</v>
      </c>
      <c r="H319" s="9"/>
      <c r="I319" s="9"/>
      <c r="J319" s="8" t="str">
        <f>IFERROR(INDEX(Материалы!$B$2:$B$9000,MATCH($I319,Материалы!$A$2:$A$9000,0)),"")</f>
        <v/>
      </c>
      <c r="K319" t="str">
        <f>IF($I319="","",IF($F319=IFERROR(INDEX(Материалы!$G$2:$G$9000,MATCH($I319,Материалы!$A$2:$A$9000,0)),""),"OK","!! не та группа"))</f>
        <v/>
      </c>
      <c r="L319" s="10">
        <f>IFERROR(INDEX(Работы!$H$2:$H$6000,MATCH($C319,Работы!$A$2:$A$6000,0))*(1-ДисконтТендер),0)</f>
        <v>232</v>
      </c>
      <c r="M319" s="10">
        <f>IF($I319="",0,IFERROR(INDEX(Материалы!$I$2:$I$9000,MATCH($I319,Материалы!$A$2:$A$9000,0))*IF(INDEX(Материалы!$J$2:$J$9000,MATCH($I319,Материалы!$A$2:$A$9000,0))="USD",КурсUSD,IF(INDEX(Материалы!$J$2:$J$9000,MATCH($I319,Материалы!$A$2:$A$9000,0))="EUR",КурсEUR,1))*INDEX(Материалы!$K$2:$K$9000,MATCH($I319,Материалы!$A$2:$A$9000,0))*(1+IFERROR(INDEX(Работы!$I$2:$I$6000,MATCH($C319,Работы!$A$2:$A$6000,0))/100,0))*(1-ДисконтТендер),0))</f>
        <v>0</v>
      </c>
      <c r="N319" s="10">
        <f t="shared" si="12"/>
        <v>0</v>
      </c>
      <c r="O319" s="10">
        <f t="shared" si="13"/>
        <v>0</v>
      </c>
      <c r="P319" s="10">
        <f t="shared" si="14"/>
        <v>0</v>
      </c>
      <c r="Q319" t="str">
        <f>IFERROR(INDEX(Работы!$J$2:$J$6000,MATCH($C319,Работы!$A$2:$A$6000,0)),"")</f>
        <v>типовая</v>
      </c>
      <c r="R319" t="s">
        <v>92</v>
      </c>
      <c r="T319" t="str">
        <f>IF(AND($P319&gt;0,$R319="да"),MAX($T$1:$T318)+1,"")</f>
        <v/>
      </c>
    </row>
    <row r="320" spans="1:20" x14ac:dyDescent="0.3">
      <c r="A320" t="str">
        <f>IFERROR(INDEX(Работы!$D$2:$D$6000,MATCH($C320,Работы!$A$2:$A$6000,0)),"")</f>
        <v>Р3</v>
      </c>
      <c r="B320" t="str">
        <f>IFERROR(INDEX(Работы!$F$2:$F$6000,MATCH($C320,Работы!$A$2:$A$6000,0)),"")</f>
        <v>5</v>
      </c>
      <c r="C320" t="str">
        <f>IFERROR(INDEX(Работы!$A$2:$A$6000,319),"")</f>
        <v>РАБ.Р3.5.016</v>
      </c>
      <c r="D320" s="8" t="str">
        <f>IFERROR(INDEX(Работы!$B$2:$B$6000,MATCH($C320,Работы!$A$2:$A$6000,0)),"")</f>
        <v>Окраска поверхности</v>
      </c>
      <c r="E320" t="str">
        <f>IFERROR(INDEX(Работы!$C$2:$C$6000,MATCH($C320,Работы!$A$2:$A$6000,0)),"")</f>
        <v>м2</v>
      </c>
      <c r="F320" t="str">
        <f>IFERROR(INDEX(Работы!$G$2:$G$6000,MATCH($C320,Работы!$A$2:$A$6000,0)),"")</f>
        <v>КРАСКА</v>
      </c>
      <c r="G320" t="str">
        <f>IFERROR(INDEX(Работы!$K$2:$K$6000,MATCH($C320,Работы!$A$2:$A$6000,0)),"")</f>
        <v>S_поверхность</v>
      </c>
      <c r="H320" s="9"/>
      <c r="I320" s="9"/>
      <c r="J320" s="8" t="str">
        <f>IFERROR(INDEX(Материалы!$B$2:$B$9000,MATCH($I320,Материалы!$A$2:$A$9000,0)),"")</f>
        <v/>
      </c>
      <c r="K320" t="str">
        <f>IF($I320="","",IF($F320=IFERROR(INDEX(Материалы!$G$2:$G$9000,MATCH($I320,Материалы!$A$2:$A$9000,0)),""),"OK","!! не та группа"))</f>
        <v/>
      </c>
      <c r="L320" s="10">
        <f>IFERROR(INDEX(Работы!$H$2:$H$6000,MATCH($C320,Работы!$A$2:$A$6000,0))*(1-ДисконтТендер),0)</f>
        <v>393.67</v>
      </c>
      <c r="M320" s="10">
        <f>IF($I320="",0,IFERROR(INDEX(Материалы!$I$2:$I$9000,MATCH($I320,Материалы!$A$2:$A$9000,0))*IF(INDEX(Материалы!$J$2:$J$9000,MATCH($I320,Материалы!$A$2:$A$9000,0))="USD",КурсUSD,IF(INDEX(Материалы!$J$2:$J$9000,MATCH($I320,Материалы!$A$2:$A$9000,0))="EUR",КурсEUR,1))*INDEX(Материалы!$K$2:$K$9000,MATCH($I320,Материалы!$A$2:$A$9000,0))*(1+IFERROR(INDEX(Работы!$I$2:$I$6000,MATCH($C320,Работы!$A$2:$A$6000,0))/100,0))*(1-ДисконтТендер),0))</f>
        <v>0</v>
      </c>
      <c r="N320" s="10">
        <f t="shared" si="12"/>
        <v>0</v>
      </c>
      <c r="O320" s="10">
        <f t="shared" si="13"/>
        <v>0</v>
      </c>
      <c r="P320" s="10">
        <f t="shared" si="14"/>
        <v>0</v>
      </c>
      <c r="Q320" t="str">
        <f>IFERROR(INDEX(Работы!$J$2:$J$6000,MATCH($C320,Работы!$A$2:$A$6000,0)),"")</f>
        <v>типовая</v>
      </c>
      <c r="R320" t="s">
        <v>92</v>
      </c>
      <c r="T320" t="str">
        <f>IF(AND($P320&gt;0,$R320="да"),MAX($T$1:$T319)+1,"")</f>
        <v/>
      </c>
    </row>
    <row r="321" spans="1:20" ht="43.2" x14ac:dyDescent="0.3">
      <c r="A321" t="str">
        <f>IFERROR(INDEX(Работы!$D$2:$D$6000,MATCH($C321,Работы!$A$2:$A$6000,0)),"")</f>
        <v>Р3</v>
      </c>
      <c r="B321" t="str">
        <f>IFERROR(INDEX(Работы!$F$2:$F$6000,MATCH($C321,Работы!$A$2:$A$6000,0)),"")</f>
        <v>5</v>
      </c>
      <c r="C321" t="str">
        <f>IFERROR(INDEX(Работы!$A$2:$A$6000,320),"")</f>
        <v>РАБ.Р3.5.017</v>
      </c>
      <c r="D321" s="8" t="str">
        <f>IFERROR(INDEX(Работы!$B$2:$B$6000,MATCH($C321,Работы!$A$2:$A$6000,0)),"")</f>
        <v>Потолочный акустический остров 1195*1530*40мм цвет: белый, форма под заказ (форма яйцо)в комплекте с подвесами</v>
      </c>
      <c r="E321" t="str">
        <f>IFERROR(INDEX(Работы!$C$2:$C$6000,MATCH($C321,Работы!$A$2:$A$6000,0)),"")</f>
        <v>шт.</v>
      </c>
      <c r="F321">
        <f>IFERROR(INDEX(Работы!$G$2:$G$6000,MATCH($C321,Работы!$A$2:$A$6000,0)),"")</f>
        <v>0</v>
      </c>
      <c r="G321" t="str">
        <f>IFERROR(INDEX(Работы!$K$2:$K$6000,MATCH($C321,Работы!$A$2:$A$6000,0)),"")</f>
        <v>Спецификация</v>
      </c>
      <c r="H321" s="9"/>
      <c r="I321" s="9"/>
      <c r="J321" s="8" t="str">
        <f>IFERROR(INDEX(Материалы!$B$2:$B$9000,MATCH($I321,Материалы!$A$2:$A$9000,0)),"")</f>
        <v/>
      </c>
      <c r="K321" t="str">
        <f>IF($I321="","",IF($F321=IFERROR(INDEX(Материалы!$G$2:$G$9000,MATCH($I321,Материалы!$A$2:$A$9000,0)),""),"OK","!! не та группа"))</f>
        <v/>
      </c>
      <c r="L321" s="10">
        <f>IFERROR(INDEX(Работы!$H$2:$H$6000,MATCH($C321,Работы!$A$2:$A$6000,0))*(1-ДисконтТендер),0)</f>
        <v>1480.74</v>
      </c>
      <c r="M321" s="10">
        <f>IF($I321="",0,IFERROR(INDEX(Материалы!$I$2:$I$9000,MATCH($I321,Материалы!$A$2:$A$9000,0))*IF(INDEX(Материалы!$J$2:$J$9000,MATCH($I321,Материалы!$A$2:$A$9000,0))="USD",КурсUSD,IF(INDEX(Материалы!$J$2:$J$9000,MATCH($I321,Материалы!$A$2:$A$9000,0))="EUR",КурсEUR,1))*INDEX(Материалы!$K$2:$K$9000,MATCH($I321,Материалы!$A$2:$A$9000,0))*(1+IFERROR(INDEX(Работы!$I$2:$I$6000,MATCH($C321,Работы!$A$2:$A$6000,0))/100,0))*(1-ДисконтТендер),0))</f>
        <v>0</v>
      </c>
      <c r="N321" s="10">
        <f t="shared" si="12"/>
        <v>0</v>
      </c>
      <c r="O321" s="10">
        <f t="shared" si="13"/>
        <v>0</v>
      </c>
      <c r="P321" s="10">
        <f t="shared" si="14"/>
        <v>0</v>
      </c>
      <c r="Q321" t="str">
        <f>IFERROR(INDEX(Работы!$J$2:$J$6000,MATCH($C321,Работы!$A$2:$A$6000,0)),"")</f>
        <v>типовая</v>
      </c>
      <c r="R321" t="s">
        <v>92</v>
      </c>
      <c r="T321" t="str">
        <f>IF(AND($P321&gt;0,$R321="да"),MAX($T$1:$T320)+1,"")</f>
        <v/>
      </c>
    </row>
    <row r="322" spans="1:20" ht="43.2" x14ac:dyDescent="0.3">
      <c r="A322" t="str">
        <f>IFERROR(INDEX(Работы!$D$2:$D$6000,MATCH($C322,Работы!$A$2:$A$6000,0)),"")</f>
        <v>Р3</v>
      </c>
      <c r="B322" t="str">
        <f>IFERROR(INDEX(Работы!$F$2:$F$6000,MATCH($C322,Работы!$A$2:$A$6000,0)),"")</f>
        <v>5</v>
      </c>
      <c r="C322" t="str">
        <f>IFERROR(INDEX(Работы!$A$2:$A$6000,321),"")</f>
        <v>РАБ.Р3.5.018</v>
      </c>
      <c r="D322" s="8" t="str">
        <f>IFERROR(INDEX(Работы!$B$2:$B$6000,MATCH($C322,Работы!$A$2:$A$6000,0)),"")</f>
        <v>Потолочный акустический остров цвет: белый, форма круг D=750мм, толщ. 40мм, в комплекте с подвесами</v>
      </c>
      <c r="E322" t="str">
        <f>IFERROR(INDEX(Работы!$C$2:$C$6000,MATCH($C322,Работы!$A$2:$A$6000,0)),"")</f>
        <v>шт.</v>
      </c>
      <c r="F322">
        <f>IFERROR(INDEX(Работы!$G$2:$G$6000,MATCH($C322,Работы!$A$2:$A$6000,0)),"")</f>
        <v>0</v>
      </c>
      <c r="G322" t="str">
        <f>IFERROR(INDEX(Работы!$K$2:$K$6000,MATCH($C322,Работы!$A$2:$A$6000,0)),"")</f>
        <v>Спецификация</v>
      </c>
      <c r="H322" s="9"/>
      <c r="I322" s="9"/>
      <c r="J322" s="8" t="str">
        <f>IFERROR(INDEX(Материалы!$B$2:$B$9000,MATCH($I322,Материалы!$A$2:$A$9000,0)),"")</f>
        <v/>
      </c>
      <c r="K322" t="str">
        <f>IF($I322="","",IF($F322=IFERROR(INDEX(Материалы!$G$2:$G$9000,MATCH($I322,Материалы!$A$2:$A$9000,0)),""),"OK","!! не та группа"))</f>
        <v/>
      </c>
      <c r="L322" s="10">
        <f>IFERROR(INDEX(Работы!$H$2:$H$6000,MATCH($C322,Работы!$A$2:$A$6000,0))*(1-ДисконтТендер),0)</f>
        <v>1378.95</v>
      </c>
      <c r="M322" s="10">
        <f>IF($I322="",0,IFERROR(INDEX(Материалы!$I$2:$I$9000,MATCH($I322,Материалы!$A$2:$A$9000,0))*IF(INDEX(Материалы!$J$2:$J$9000,MATCH($I322,Материалы!$A$2:$A$9000,0))="USD",КурсUSD,IF(INDEX(Материалы!$J$2:$J$9000,MATCH($I322,Материалы!$A$2:$A$9000,0))="EUR",КурсEUR,1))*INDEX(Материалы!$K$2:$K$9000,MATCH($I322,Материалы!$A$2:$A$9000,0))*(1+IFERROR(INDEX(Работы!$I$2:$I$6000,MATCH($C322,Работы!$A$2:$A$6000,0))/100,0))*(1-ДисконтТендер),0))</f>
        <v>0</v>
      </c>
      <c r="N322" s="10">
        <f t="shared" ref="N322:N385" si="15">IF(AND($R322="да",$H322&lt;&gt;""),ROUND($H322*$L322,2),0)</f>
        <v>0</v>
      </c>
      <c r="O322" s="10">
        <f t="shared" ref="O322:O385" si="16">IF(AND($R322="да",$H322&lt;&gt;""),ROUND($H322*$M322,2),0)</f>
        <v>0</v>
      </c>
      <c r="P322" s="10">
        <f t="shared" ref="P322:P385" si="17">$N322+$O322</f>
        <v>0</v>
      </c>
      <c r="Q322" t="str">
        <f>IFERROR(INDEX(Работы!$J$2:$J$6000,MATCH($C322,Работы!$A$2:$A$6000,0)),"")</f>
        <v>типовая</v>
      </c>
      <c r="R322" t="s">
        <v>92</v>
      </c>
      <c r="T322" t="str">
        <f>IF(AND($P322&gt;0,$R322="да"),MAX($T$1:$T321)+1,"")</f>
        <v/>
      </c>
    </row>
    <row r="323" spans="1:20" ht="43.2" x14ac:dyDescent="0.3">
      <c r="A323" t="str">
        <f>IFERROR(INDEX(Работы!$D$2:$D$6000,MATCH($C323,Работы!$A$2:$A$6000,0)),"")</f>
        <v>Р3</v>
      </c>
      <c r="B323" t="str">
        <f>IFERROR(INDEX(Работы!$F$2:$F$6000,MATCH($C323,Работы!$A$2:$A$6000,0)),"")</f>
        <v>5</v>
      </c>
      <c r="C323" t="str">
        <f>IFERROR(INDEX(Работы!$A$2:$A$6000,322),"")</f>
        <v>РАБ.Р3.5.019</v>
      </c>
      <c r="D323" s="8" t="str">
        <f>IFERROR(INDEX(Работы!$B$2:$B$6000,MATCH($C323,Работы!$A$2:$A$6000,0)),"")</f>
        <v>Подготовка и обеспылевание потолка поверхности и коммуникаций под покраску . (воздуховоды, лотки эл. и т.д.)</v>
      </c>
      <c r="E323" t="str">
        <f>IFERROR(INDEX(Работы!$C$2:$C$6000,MATCH($C323,Работы!$A$2:$A$6000,0)),"")</f>
        <v>м2</v>
      </c>
      <c r="F323">
        <f>IFERROR(INDEX(Работы!$G$2:$G$6000,MATCH($C323,Работы!$A$2:$A$6000,0)),"")</f>
        <v>0</v>
      </c>
      <c r="G323" t="str">
        <f>IFERROR(INDEX(Работы!$K$2:$K$6000,MATCH($C323,Работы!$A$2:$A$6000,0)),"")</f>
        <v>S_поверхность</v>
      </c>
      <c r="H323" s="9"/>
      <c r="I323" s="9"/>
      <c r="J323" s="8" t="str">
        <f>IFERROR(INDEX(Материалы!$B$2:$B$9000,MATCH($I323,Материалы!$A$2:$A$9000,0)),"")</f>
        <v/>
      </c>
      <c r="K323" t="str">
        <f>IF($I323="","",IF($F323=IFERROR(INDEX(Материалы!$G$2:$G$9000,MATCH($I323,Материалы!$A$2:$A$9000,0)),""),"OK","!! не та группа"))</f>
        <v/>
      </c>
      <c r="L323" s="10">
        <f>IFERROR(INDEX(Работы!$H$2:$H$6000,MATCH($C323,Работы!$A$2:$A$6000,0))*(1-ДисконтТендер),0)</f>
        <v>217.5</v>
      </c>
      <c r="M323" s="10">
        <f>IF($I323="",0,IFERROR(INDEX(Материалы!$I$2:$I$9000,MATCH($I323,Материалы!$A$2:$A$9000,0))*IF(INDEX(Материалы!$J$2:$J$9000,MATCH($I323,Материалы!$A$2:$A$9000,0))="USD",КурсUSD,IF(INDEX(Материалы!$J$2:$J$9000,MATCH($I323,Материалы!$A$2:$A$9000,0))="EUR",КурсEUR,1))*INDEX(Материалы!$K$2:$K$9000,MATCH($I323,Материалы!$A$2:$A$9000,0))*(1+IFERROR(INDEX(Работы!$I$2:$I$6000,MATCH($C323,Работы!$A$2:$A$6000,0))/100,0))*(1-ДисконтТендер),0))</f>
        <v>0</v>
      </c>
      <c r="N323" s="10">
        <f t="shared" si="15"/>
        <v>0</v>
      </c>
      <c r="O323" s="10">
        <f t="shared" si="16"/>
        <v>0</v>
      </c>
      <c r="P323" s="10">
        <f t="shared" si="17"/>
        <v>0</v>
      </c>
      <c r="Q323" t="str">
        <f>IFERROR(INDEX(Работы!$J$2:$J$6000,MATCH($C323,Работы!$A$2:$A$6000,0)),"")</f>
        <v>типовая</v>
      </c>
      <c r="R323" t="s">
        <v>92</v>
      </c>
      <c r="T323" t="str">
        <f>IF(AND($P323&gt;0,$R323="да"),MAX($T$1:$T322)+1,"")</f>
        <v/>
      </c>
    </row>
    <row r="324" spans="1:20" ht="57.6" x14ac:dyDescent="0.3">
      <c r="A324" t="str">
        <f>IFERROR(INDEX(Работы!$D$2:$D$6000,MATCH($C324,Работы!$A$2:$A$6000,0)),"")</f>
        <v>Р3</v>
      </c>
      <c r="B324" t="str">
        <f>IFERROR(INDEX(Работы!$F$2:$F$6000,MATCH($C324,Работы!$A$2:$A$6000,0)),"")</f>
        <v>5</v>
      </c>
      <c r="C324" t="str">
        <f>IFERROR(INDEX(Работы!$A$2:$A$6000,323),"")</f>
        <v>РАБ.Р3.5.020</v>
      </c>
      <c r="D324" s="8" t="str">
        <f>IFERROR(INDEX(Работы!$B$2:$B$6000,MATCH($C324,Работы!$A$2:$A$6000,0)),"")</f>
        <v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v>
      </c>
      <c r="E324" t="str">
        <f>IFERROR(INDEX(Работы!$C$2:$C$6000,MATCH($C324,Работы!$A$2:$A$6000,0)),"")</f>
        <v>м2</v>
      </c>
      <c r="F324">
        <f>IFERROR(INDEX(Работы!$G$2:$G$6000,MATCH($C324,Работы!$A$2:$A$6000,0)),"")</f>
        <v>0</v>
      </c>
      <c r="G324" t="str">
        <f>IFERROR(INDEX(Работы!$K$2:$K$6000,MATCH($C324,Работы!$A$2:$A$6000,0)),"")</f>
        <v>S_поверхность</v>
      </c>
      <c r="H324" s="9"/>
      <c r="I324" s="9"/>
      <c r="J324" s="8" t="str">
        <f>IFERROR(INDEX(Материалы!$B$2:$B$9000,MATCH($I324,Материалы!$A$2:$A$9000,0)),"")</f>
        <v/>
      </c>
      <c r="K324" t="str">
        <f>IF($I324="","",IF($F324=IFERROR(INDEX(Материалы!$G$2:$G$9000,MATCH($I324,Материалы!$A$2:$A$9000,0)),""),"OK","!! не та группа"))</f>
        <v/>
      </c>
      <c r="L324" s="10">
        <f>IFERROR(INDEX(Работы!$H$2:$H$6000,MATCH($C324,Работы!$A$2:$A$6000,0))*(1-ДисконтТендер),0)</f>
        <v>516.78</v>
      </c>
      <c r="M324" s="10">
        <f>IF($I324="",0,IFERROR(INDEX(Материалы!$I$2:$I$9000,MATCH($I324,Материалы!$A$2:$A$9000,0))*IF(INDEX(Материалы!$J$2:$J$9000,MATCH($I324,Материалы!$A$2:$A$9000,0))="USD",КурсUSD,IF(INDEX(Материалы!$J$2:$J$9000,MATCH($I324,Материалы!$A$2:$A$9000,0))="EUR",КурсEUR,1))*INDEX(Материалы!$K$2:$K$9000,MATCH($I324,Материалы!$A$2:$A$9000,0))*(1+IFERROR(INDEX(Работы!$I$2:$I$6000,MATCH($C324,Работы!$A$2:$A$6000,0))/100,0))*(1-ДисконтТендер),0))</f>
        <v>0</v>
      </c>
      <c r="N324" s="10">
        <f t="shared" si="15"/>
        <v>0</v>
      </c>
      <c r="O324" s="10">
        <f t="shared" si="16"/>
        <v>0</v>
      </c>
      <c r="P324" s="10">
        <f t="shared" si="17"/>
        <v>0</v>
      </c>
      <c r="Q324" t="str">
        <f>IFERROR(INDEX(Работы!$J$2:$J$6000,MATCH($C324,Работы!$A$2:$A$6000,0)),"")</f>
        <v>типовая</v>
      </c>
      <c r="R324" t="s">
        <v>92</v>
      </c>
      <c r="T324" t="str">
        <f>IF(AND($P324&gt;0,$R324="да"),MAX($T$1:$T323)+1,"")</f>
        <v/>
      </c>
    </row>
    <row r="325" spans="1:20" ht="43.2" x14ac:dyDescent="0.3">
      <c r="A325" t="str">
        <f>IFERROR(INDEX(Работы!$D$2:$D$6000,MATCH($C325,Работы!$A$2:$A$6000,0)),"")</f>
        <v>Р3</v>
      </c>
      <c r="B325" t="str">
        <f>IFERROR(INDEX(Работы!$F$2:$F$6000,MATCH($C325,Работы!$A$2:$A$6000,0)),"")</f>
        <v>5</v>
      </c>
      <c r="C325" t="str">
        <f>IFERROR(INDEX(Работы!$A$2:$A$6000,324),"")</f>
        <v>РАБ.Р3.5.021</v>
      </c>
      <c r="D325" s="8" t="str">
        <f>IFERROR(INDEX(Работы!$B$2:$B$6000,MATCH($C325,Работы!$A$2:$A$6000,0)),"")</f>
        <v>Устройство потолков реечных алюминиевых, крепление подвесов металлическим крепежным элементом.</v>
      </c>
      <c r="E325" t="str">
        <f>IFERROR(INDEX(Работы!$C$2:$C$6000,MATCH($C325,Работы!$A$2:$A$6000,0)),"")</f>
        <v>м2</v>
      </c>
      <c r="F325" t="str">
        <f>IFERROR(INDEX(Работы!$G$2:$G$6000,MATCH($C325,Работы!$A$2:$A$6000,0)),"")</f>
        <v>ПОТОЛОК</v>
      </c>
      <c r="G325" t="str">
        <f>IFERROR(INDEX(Работы!$K$2:$K$6000,MATCH($C325,Работы!$A$2:$A$6000,0)),"")</f>
        <v>S_потолок</v>
      </c>
      <c r="H325" s="9"/>
      <c r="I325" s="9"/>
      <c r="J325" s="8" t="str">
        <f>IFERROR(INDEX(Материалы!$B$2:$B$9000,MATCH($I325,Материалы!$A$2:$A$9000,0)),"")</f>
        <v/>
      </c>
      <c r="K325" t="str">
        <f>IF($I325="","",IF($F325=IFERROR(INDEX(Материалы!$G$2:$G$9000,MATCH($I325,Материалы!$A$2:$A$9000,0)),""),"OK","!! не та группа"))</f>
        <v/>
      </c>
      <c r="L325" s="10">
        <f>IFERROR(INDEX(Работы!$H$2:$H$6000,MATCH($C325,Работы!$A$2:$A$6000,0))*(1-ДисконтТендер),0)</f>
        <v>1581.22</v>
      </c>
      <c r="M325" s="10">
        <f>IF($I325="",0,IFERROR(INDEX(Материалы!$I$2:$I$9000,MATCH($I325,Материалы!$A$2:$A$9000,0))*IF(INDEX(Материалы!$J$2:$J$9000,MATCH($I325,Материалы!$A$2:$A$9000,0))="USD",КурсUSD,IF(INDEX(Материалы!$J$2:$J$9000,MATCH($I325,Материалы!$A$2:$A$9000,0))="EUR",КурсEUR,1))*INDEX(Материалы!$K$2:$K$9000,MATCH($I325,Материалы!$A$2:$A$9000,0))*(1+IFERROR(INDEX(Работы!$I$2:$I$6000,MATCH($C325,Работы!$A$2:$A$6000,0))/100,0))*(1-ДисконтТендер),0))</f>
        <v>0</v>
      </c>
      <c r="N325" s="10">
        <f t="shared" si="15"/>
        <v>0</v>
      </c>
      <c r="O325" s="10">
        <f t="shared" si="16"/>
        <v>0</v>
      </c>
      <c r="P325" s="10">
        <f t="shared" si="17"/>
        <v>0</v>
      </c>
      <c r="Q325" t="str">
        <f>IFERROR(INDEX(Работы!$J$2:$J$6000,MATCH($C325,Работы!$A$2:$A$6000,0)),"")</f>
        <v>типовая</v>
      </c>
      <c r="R325" t="s">
        <v>92</v>
      </c>
      <c r="T325" t="str">
        <f>IF(AND($P325&gt;0,$R325="да"),MAX($T$1:$T324)+1,"")</f>
        <v/>
      </c>
    </row>
    <row r="326" spans="1:20" x14ac:dyDescent="0.3">
      <c r="A326" t="str">
        <f>IFERROR(INDEX(Работы!$D$2:$D$6000,MATCH($C326,Работы!$A$2:$A$6000,0)),"")</f>
        <v>Р3</v>
      </c>
      <c r="B326" t="str">
        <f>IFERROR(INDEX(Работы!$F$2:$F$6000,MATCH($C326,Работы!$A$2:$A$6000,0)),"")</f>
        <v>5</v>
      </c>
      <c r="C326" t="str">
        <f>IFERROR(INDEX(Работы!$A$2:$A$6000,325),"")</f>
        <v>РАБ.Р3.5.022</v>
      </c>
      <c r="D326" s="8" t="str">
        <f>IFERROR(INDEX(Работы!$B$2:$B$6000,MATCH($C326,Работы!$A$2:$A$6000,0)),"")</f>
        <v>Замена потолочных плит Армстронг</v>
      </c>
      <c r="E326" t="str">
        <f>IFERROR(INDEX(Работы!$C$2:$C$6000,MATCH($C326,Работы!$A$2:$A$6000,0)),"")</f>
        <v>м2</v>
      </c>
      <c r="F326" t="str">
        <f>IFERROR(INDEX(Работы!$G$2:$G$6000,MATCH($C326,Работы!$A$2:$A$6000,0)),"")</f>
        <v>ПОТОЛОК</v>
      </c>
      <c r="G326" t="str">
        <f>IFERROR(INDEX(Работы!$K$2:$K$6000,MATCH($C326,Работы!$A$2:$A$6000,0)),"")</f>
        <v>S_потолок</v>
      </c>
      <c r="H326" s="9"/>
      <c r="I326" s="9"/>
      <c r="J326" s="8" t="str">
        <f>IFERROR(INDEX(Материалы!$B$2:$B$9000,MATCH($I326,Материалы!$A$2:$A$9000,0)),"")</f>
        <v/>
      </c>
      <c r="K326" t="str">
        <f>IF($I326="","",IF($F326=IFERROR(INDEX(Материалы!$G$2:$G$9000,MATCH($I326,Материалы!$A$2:$A$9000,0)),""),"OK","!! не та группа"))</f>
        <v/>
      </c>
      <c r="L326" s="10">
        <f>IFERROR(INDEX(Работы!$H$2:$H$6000,MATCH($C326,Работы!$A$2:$A$6000,0))*(1-ДисконтТендер),0)</f>
        <v>221.85</v>
      </c>
      <c r="M326" s="10">
        <f>IF($I326="",0,IFERROR(INDEX(Материалы!$I$2:$I$9000,MATCH($I326,Материалы!$A$2:$A$9000,0))*IF(INDEX(Материалы!$J$2:$J$9000,MATCH($I326,Материалы!$A$2:$A$9000,0))="USD",КурсUSD,IF(INDEX(Материалы!$J$2:$J$9000,MATCH($I326,Материалы!$A$2:$A$9000,0))="EUR",КурсEUR,1))*INDEX(Материалы!$K$2:$K$9000,MATCH($I326,Материалы!$A$2:$A$9000,0))*(1+IFERROR(INDEX(Работы!$I$2:$I$6000,MATCH($C326,Работы!$A$2:$A$6000,0))/100,0))*(1-ДисконтТендер),0))</f>
        <v>0</v>
      </c>
      <c r="N326" s="10">
        <f t="shared" si="15"/>
        <v>0</v>
      </c>
      <c r="O326" s="10">
        <f t="shared" si="16"/>
        <v>0</v>
      </c>
      <c r="P326" s="10">
        <f t="shared" si="17"/>
        <v>0</v>
      </c>
      <c r="Q326" t="str">
        <f>IFERROR(INDEX(Работы!$J$2:$J$6000,MATCH($C326,Работы!$A$2:$A$6000,0)),"")</f>
        <v>типовая</v>
      </c>
      <c r="R326" t="s">
        <v>92</v>
      </c>
      <c r="T326" t="str">
        <f>IF(AND($P326&gt;0,$R326="да"),MAX($T$1:$T325)+1,"")</f>
        <v/>
      </c>
    </row>
    <row r="327" spans="1:20" x14ac:dyDescent="0.3">
      <c r="A327" t="str">
        <f>IFERROR(INDEX(Работы!$D$2:$D$6000,MATCH($C327,Работы!$A$2:$A$6000,0)),"")</f>
        <v>Р3</v>
      </c>
      <c r="B327" t="str">
        <f>IFERROR(INDEX(Работы!$F$2:$F$6000,MATCH($C327,Работы!$A$2:$A$6000,0)),"")</f>
        <v>5</v>
      </c>
      <c r="C327" t="str">
        <f>IFERROR(INDEX(Работы!$A$2:$A$6000,326),"")</f>
        <v>РАБ.Р3.5.023</v>
      </c>
      <c r="D327" s="8" t="str">
        <f>IFERROR(INDEX(Работы!$B$2:$B$6000,MATCH($C327,Работы!$A$2:$A$6000,0)),"")</f>
        <v>Запенивание швов между плитами</v>
      </c>
      <c r="E327" t="str">
        <f>IFERROR(INDEX(Работы!$C$2:$C$6000,MATCH($C327,Работы!$A$2:$A$6000,0)),"")</f>
        <v>м.п.</v>
      </c>
      <c r="F327">
        <f>IFERROR(INDEX(Работы!$G$2:$G$6000,MATCH($C327,Работы!$A$2:$A$6000,0)),"")</f>
        <v>0</v>
      </c>
      <c r="G327" t="str">
        <f>IFERROR(INDEX(Работы!$K$2:$K$6000,MATCH($C327,Работы!$A$2:$A$6000,0)),"")</f>
        <v>Погонаж</v>
      </c>
      <c r="H327" s="9"/>
      <c r="I327" s="9"/>
      <c r="J327" s="8" t="str">
        <f>IFERROR(INDEX(Материалы!$B$2:$B$9000,MATCH($I327,Материалы!$A$2:$A$9000,0)),"")</f>
        <v/>
      </c>
      <c r="K327" t="str">
        <f>IF($I327="","",IF($F327=IFERROR(INDEX(Материалы!$G$2:$G$9000,MATCH($I327,Материалы!$A$2:$A$9000,0)),""),"OK","!! не та группа"))</f>
        <v/>
      </c>
      <c r="L327" s="10">
        <f>IFERROR(INDEX(Работы!$H$2:$H$6000,MATCH($C327,Работы!$A$2:$A$6000,0))*(1-ДисконтТендер),0)</f>
        <v>302.08999999999997</v>
      </c>
      <c r="M327" s="10">
        <f>IF($I327="",0,IFERROR(INDEX(Материалы!$I$2:$I$9000,MATCH($I327,Материалы!$A$2:$A$9000,0))*IF(INDEX(Материалы!$J$2:$J$9000,MATCH($I327,Материалы!$A$2:$A$9000,0))="USD",КурсUSD,IF(INDEX(Материалы!$J$2:$J$9000,MATCH($I327,Материалы!$A$2:$A$9000,0))="EUR",КурсEUR,1))*INDEX(Материалы!$K$2:$K$9000,MATCH($I327,Материалы!$A$2:$A$9000,0))*(1+IFERROR(INDEX(Работы!$I$2:$I$6000,MATCH($C327,Работы!$A$2:$A$6000,0))/100,0))*(1-ДисконтТендер),0))</f>
        <v>0</v>
      </c>
      <c r="N327" s="10">
        <f t="shared" si="15"/>
        <v>0</v>
      </c>
      <c r="O327" s="10">
        <f t="shared" si="16"/>
        <v>0</v>
      </c>
      <c r="P327" s="10">
        <f t="shared" si="17"/>
        <v>0</v>
      </c>
      <c r="Q327" t="str">
        <f>IFERROR(INDEX(Работы!$J$2:$J$6000,MATCH($C327,Работы!$A$2:$A$6000,0)),"")</f>
        <v>типовая</v>
      </c>
      <c r="R327" t="s">
        <v>92</v>
      </c>
      <c r="T327" t="str">
        <f>IF(AND($P327&gt;0,$R327="да"),MAX($T$1:$T326)+1,"")</f>
        <v/>
      </c>
    </row>
    <row r="328" spans="1:20" x14ac:dyDescent="0.3">
      <c r="A328" t="str">
        <f>IFERROR(INDEX(Работы!$D$2:$D$6000,MATCH($C328,Работы!$A$2:$A$6000,0)),"")</f>
        <v>Р3</v>
      </c>
      <c r="B328" t="str">
        <f>IFERROR(INDEX(Работы!$F$2:$F$6000,MATCH($C328,Работы!$A$2:$A$6000,0)),"")</f>
        <v>6</v>
      </c>
      <c r="C328" t="str">
        <f>IFERROR(INDEX(Работы!$A$2:$A$6000,327),"")</f>
        <v>РАБ.Р3.6.001</v>
      </c>
      <c r="D328" s="8" t="str">
        <f>IFERROR(INDEX(Работы!$B$2:$B$6000,MATCH($C328,Работы!$A$2:$A$6000,0)),"")</f>
        <v>Р3.6.1.0 Основание пола</v>
      </c>
      <c r="E328" t="str">
        <f>IFERROR(INDEX(Работы!$C$2:$C$6000,MATCH($C328,Работы!$A$2:$A$6000,0)),"")</f>
        <v>шт</v>
      </c>
      <c r="F328">
        <f>IFERROR(INDEX(Работы!$G$2:$G$6000,MATCH($C328,Работы!$A$2:$A$6000,0)),"")</f>
        <v>0</v>
      </c>
      <c r="G328" t="str">
        <f>IFERROR(INDEX(Работы!$K$2:$K$6000,MATCH($C328,Работы!$A$2:$A$6000,0)),"")</f>
        <v>S_пол</v>
      </c>
      <c r="H328" s="9"/>
      <c r="I328" s="9"/>
      <c r="J328" s="8" t="str">
        <f>IFERROR(INDEX(Материалы!$B$2:$B$9000,MATCH($I328,Материалы!$A$2:$A$9000,0)),"")</f>
        <v/>
      </c>
      <c r="K328" t="str">
        <f>IF($I328="","",IF($F328=IFERROR(INDEX(Материалы!$G$2:$G$9000,MATCH($I328,Материалы!$A$2:$A$9000,0)),""),"OK","!! не та группа"))</f>
        <v/>
      </c>
      <c r="L328" s="10">
        <f>IFERROR(INDEX(Работы!$H$2:$H$6000,MATCH($C328,Работы!$A$2:$A$6000,0))*(1-ДисконтТендер),0)</f>
        <v>0</v>
      </c>
      <c r="M328" s="10">
        <f>IF($I328="",0,IFERROR(INDEX(Материалы!$I$2:$I$9000,MATCH($I328,Материалы!$A$2:$A$9000,0))*IF(INDEX(Материалы!$J$2:$J$9000,MATCH($I328,Материалы!$A$2:$A$9000,0))="USD",КурсUSD,IF(INDEX(Материалы!$J$2:$J$9000,MATCH($I328,Материалы!$A$2:$A$9000,0))="EUR",КурсEUR,1))*INDEX(Материалы!$K$2:$K$9000,MATCH($I328,Материалы!$A$2:$A$9000,0))*(1+IFERROR(INDEX(Работы!$I$2:$I$6000,MATCH($C328,Работы!$A$2:$A$6000,0))/100,0))*(1-ДисконтТендер),0))</f>
        <v>0</v>
      </c>
      <c r="N328" s="10">
        <f t="shared" si="15"/>
        <v>0</v>
      </c>
      <c r="O328" s="10">
        <f t="shared" si="16"/>
        <v>0</v>
      </c>
      <c r="P328" s="10">
        <f t="shared" si="17"/>
        <v>0</v>
      </c>
      <c r="Q328" t="str">
        <f>IFERROR(INDEX(Работы!$J$2:$J$6000,MATCH($C328,Работы!$A$2:$A$6000,0)),"")</f>
        <v>типовая</v>
      </c>
      <c r="R328" t="s">
        <v>92</v>
      </c>
      <c r="T328" t="str">
        <f>IF(AND($P328&gt;0,$R328="да"),MAX($T$1:$T327)+1,"")</f>
        <v/>
      </c>
    </row>
    <row r="329" spans="1:20" x14ac:dyDescent="0.3">
      <c r="A329" t="str">
        <f>IFERROR(INDEX(Работы!$D$2:$D$6000,MATCH($C329,Работы!$A$2:$A$6000,0)),"")</f>
        <v>Р3</v>
      </c>
      <c r="B329" t="str">
        <f>IFERROR(INDEX(Работы!$F$2:$F$6000,MATCH($C329,Работы!$A$2:$A$6000,0)),"")</f>
        <v>6</v>
      </c>
      <c r="C329" t="str">
        <f>IFERROR(INDEX(Работы!$A$2:$A$6000,328),"")</f>
        <v>РАБ.Р3.6.002</v>
      </c>
      <c r="D329" s="8" t="str">
        <f>IFERROR(INDEX(Работы!$B$2:$B$6000,MATCH($C329,Работы!$A$2:$A$6000,0)),"")</f>
        <v>Устройство подсыпки пола из керамзита</v>
      </c>
      <c r="E329" t="str">
        <f>IFERROR(INDEX(Работы!$C$2:$C$6000,MATCH($C329,Работы!$A$2:$A$6000,0)),"")</f>
        <v>м3</v>
      </c>
      <c r="F329">
        <f>IFERROR(INDEX(Работы!$G$2:$G$6000,MATCH($C329,Работы!$A$2:$A$6000,0)),"")</f>
        <v>0</v>
      </c>
      <c r="G329" t="str">
        <f>IFERROR(INDEX(Работы!$K$2:$K$6000,MATCH($C329,Работы!$A$2:$A$6000,0)),"")</f>
        <v>S_пол</v>
      </c>
      <c r="H329" s="9"/>
      <c r="I329" s="9"/>
      <c r="J329" s="8" t="str">
        <f>IFERROR(INDEX(Материалы!$B$2:$B$9000,MATCH($I329,Материалы!$A$2:$A$9000,0)),"")</f>
        <v/>
      </c>
      <c r="K329" t="str">
        <f>IF($I329="","",IF($F329=IFERROR(INDEX(Материалы!$G$2:$G$9000,MATCH($I329,Материалы!$A$2:$A$9000,0)),""),"OK","!! не та группа"))</f>
        <v/>
      </c>
      <c r="L329" s="10">
        <f>IFERROR(INDEX(Работы!$H$2:$H$6000,MATCH($C329,Работы!$A$2:$A$6000,0))*(1-ДисконтТендер),0)</f>
        <v>1306.25</v>
      </c>
      <c r="M329" s="10">
        <f>IF($I329="",0,IFERROR(INDEX(Материалы!$I$2:$I$9000,MATCH($I329,Материалы!$A$2:$A$9000,0))*IF(INDEX(Материалы!$J$2:$J$9000,MATCH($I329,Материалы!$A$2:$A$9000,0))="USD",КурсUSD,IF(INDEX(Материалы!$J$2:$J$9000,MATCH($I329,Материалы!$A$2:$A$9000,0))="EUR",КурсEUR,1))*INDEX(Материалы!$K$2:$K$9000,MATCH($I329,Материалы!$A$2:$A$9000,0))*(1+IFERROR(INDEX(Работы!$I$2:$I$6000,MATCH($C329,Работы!$A$2:$A$6000,0))/100,0))*(1-ДисконтТендер),0))</f>
        <v>0</v>
      </c>
      <c r="N329" s="10">
        <f t="shared" si="15"/>
        <v>0</v>
      </c>
      <c r="O329" s="10">
        <f t="shared" si="16"/>
        <v>0</v>
      </c>
      <c r="P329" s="10">
        <f t="shared" si="17"/>
        <v>0</v>
      </c>
      <c r="Q329" t="str">
        <f>IFERROR(INDEX(Работы!$J$2:$J$6000,MATCH($C329,Работы!$A$2:$A$6000,0)),"")</f>
        <v>типовая</v>
      </c>
      <c r="R329" t="s">
        <v>92</v>
      </c>
      <c r="T329" t="str">
        <f>IF(AND($P329&gt;0,$R329="да"),MAX($T$1:$T328)+1,"")</f>
        <v/>
      </c>
    </row>
    <row r="330" spans="1:20" ht="28.8" x14ac:dyDescent="0.3">
      <c r="A330" t="str">
        <f>IFERROR(INDEX(Работы!$D$2:$D$6000,MATCH($C330,Работы!$A$2:$A$6000,0)),"")</f>
        <v>Р3</v>
      </c>
      <c r="B330" t="str">
        <f>IFERROR(INDEX(Работы!$F$2:$F$6000,MATCH($C330,Работы!$A$2:$A$6000,0)),"")</f>
        <v>6</v>
      </c>
      <c r="C330" t="str">
        <f>IFERROR(INDEX(Работы!$A$2:$A$6000,329),"")</f>
        <v>РАБ.Р3.6.003</v>
      </c>
      <c r="D330" s="8" t="str">
        <f>IFERROR(INDEX(Работы!$B$2:$B$6000,MATCH($C330,Работы!$A$2:$A$6000,0)),"")</f>
        <v>Устройство стяжек цементно-песчаных толщиной 20 мм (добавляется на каждые 20 мм стяжки)</v>
      </c>
      <c r="E330" t="str">
        <f>IFERROR(INDEX(Работы!$C$2:$C$6000,MATCH($C330,Работы!$A$2:$A$6000,0)),"")</f>
        <v>м2</v>
      </c>
      <c r="F330">
        <f>IFERROR(INDEX(Работы!$G$2:$G$6000,MATCH($C330,Работы!$A$2:$A$6000,0)),"")</f>
        <v>0</v>
      </c>
      <c r="G330" t="str">
        <f>IFERROR(INDEX(Работы!$K$2:$K$6000,MATCH($C330,Работы!$A$2:$A$6000,0)),"")</f>
        <v>S_пол</v>
      </c>
      <c r="H330" s="9"/>
      <c r="I330" s="9"/>
      <c r="J330" s="8" t="str">
        <f>IFERROR(INDEX(Материалы!$B$2:$B$9000,MATCH($I330,Материалы!$A$2:$A$9000,0)),"")</f>
        <v/>
      </c>
      <c r="K330" t="str">
        <f>IF($I330="","",IF($F330=IFERROR(INDEX(Материалы!$G$2:$G$9000,MATCH($I330,Материалы!$A$2:$A$9000,0)),""),"OK","!! не та группа"))</f>
        <v/>
      </c>
      <c r="L330" s="10">
        <f>IFERROR(INDEX(Работы!$H$2:$H$6000,MATCH($C330,Работы!$A$2:$A$6000,0))*(1-ДисконтТендер),0)</f>
        <v>652.5</v>
      </c>
      <c r="M330" s="10">
        <f>IF($I330="",0,IFERROR(INDEX(Материалы!$I$2:$I$9000,MATCH($I330,Материалы!$A$2:$A$9000,0))*IF(INDEX(Материалы!$J$2:$J$9000,MATCH($I330,Материалы!$A$2:$A$9000,0))="USD",КурсUSD,IF(INDEX(Материалы!$J$2:$J$9000,MATCH($I330,Материалы!$A$2:$A$9000,0))="EUR",КурсEUR,1))*INDEX(Материалы!$K$2:$K$9000,MATCH($I330,Материалы!$A$2:$A$9000,0))*(1+IFERROR(INDEX(Работы!$I$2:$I$6000,MATCH($C330,Работы!$A$2:$A$6000,0))/100,0))*(1-ДисконтТендер),0))</f>
        <v>0</v>
      </c>
      <c r="N330" s="10">
        <f t="shared" si="15"/>
        <v>0</v>
      </c>
      <c r="O330" s="10">
        <f t="shared" si="16"/>
        <v>0</v>
      </c>
      <c r="P330" s="10">
        <f t="shared" si="17"/>
        <v>0</v>
      </c>
      <c r="Q330" t="str">
        <f>IFERROR(INDEX(Работы!$J$2:$J$6000,MATCH($C330,Работы!$A$2:$A$6000,0)),"")</f>
        <v>типовая</v>
      </c>
      <c r="R330" t="s">
        <v>92</v>
      </c>
      <c r="T330" t="str">
        <f>IF(AND($P330&gt;0,$R330="да"),MAX($T$1:$T329)+1,"")</f>
        <v/>
      </c>
    </row>
    <row r="331" spans="1:20" ht="43.2" x14ac:dyDescent="0.3">
      <c r="A331" t="str">
        <f>IFERROR(INDEX(Работы!$D$2:$D$6000,MATCH($C331,Работы!$A$2:$A$6000,0)),"")</f>
        <v>Р3</v>
      </c>
      <c r="B331" t="str">
        <f>IFERROR(INDEX(Работы!$F$2:$F$6000,MATCH($C331,Работы!$A$2:$A$6000,0)),"")</f>
        <v>6</v>
      </c>
      <c r="C331" t="str">
        <f>IFERROR(INDEX(Работы!$A$2:$A$6000,330),"")</f>
        <v>РАБ.Р3.6.004</v>
      </c>
      <c r="D331" s="8" t="str">
        <f>IFERROR(INDEX(Работы!$B$2:$B$6000,MATCH($C331,Работы!$A$2:$A$6000,0)),"")</f>
        <v>Устройство стяжек цементно-песчаных толщиной более 50 мм (добавляется на каждые 50 мм стяжки)</v>
      </c>
      <c r="E331" t="str">
        <f>IFERROR(INDEX(Работы!$C$2:$C$6000,MATCH($C331,Работы!$A$2:$A$6000,0)),"")</f>
        <v>м2</v>
      </c>
      <c r="F331">
        <f>IFERROR(INDEX(Работы!$G$2:$G$6000,MATCH($C331,Работы!$A$2:$A$6000,0)),"")</f>
        <v>0</v>
      </c>
      <c r="G331" t="str">
        <f>IFERROR(INDEX(Работы!$K$2:$K$6000,MATCH($C331,Работы!$A$2:$A$6000,0)),"")</f>
        <v>S_пол</v>
      </c>
      <c r="H331" s="9"/>
      <c r="I331" s="9"/>
      <c r="J331" s="8" t="str">
        <f>IFERROR(INDEX(Материалы!$B$2:$B$9000,MATCH($I331,Материалы!$A$2:$A$9000,0)),"")</f>
        <v/>
      </c>
      <c r="K331" t="str">
        <f>IF($I331="","",IF($F331=IFERROR(INDEX(Материалы!$G$2:$G$9000,MATCH($I331,Материалы!$A$2:$A$9000,0)),""),"OK","!! не та группа"))</f>
        <v/>
      </c>
      <c r="L331" s="10">
        <f>IFERROR(INDEX(Работы!$H$2:$H$6000,MATCH($C331,Работы!$A$2:$A$6000,0))*(1-ДисконтТендер),0)</f>
        <v>761.25</v>
      </c>
      <c r="M331" s="10">
        <f>IF($I331="",0,IFERROR(INDEX(Материалы!$I$2:$I$9000,MATCH($I331,Материалы!$A$2:$A$9000,0))*IF(INDEX(Материалы!$J$2:$J$9000,MATCH($I331,Материалы!$A$2:$A$9000,0))="USD",КурсUSD,IF(INDEX(Материалы!$J$2:$J$9000,MATCH($I331,Материалы!$A$2:$A$9000,0))="EUR",КурсEUR,1))*INDEX(Материалы!$K$2:$K$9000,MATCH($I331,Материалы!$A$2:$A$9000,0))*(1+IFERROR(INDEX(Работы!$I$2:$I$6000,MATCH($C331,Работы!$A$2:$A$6000,0))/100,0))*(1-ДисконтТендер),0))</f>
        <v>0</v>
      </c>
      <c r="N331" s="10">
        <f t="shared" si="15"/>
        <v>0</v>
      </c>
      <c r="O331" s="10">
        <f t="shared" si="16"/>
        <v>0</v>
      </c>
      <c r="P331" s="10">
        <f t="shared" si="17"/>
        <v>0</v>
      </c>
      <c r="Q331" t="str">
        <f>IFERROR(INDEX(Работы!$J$2:$J$6000,MATCH($C331,Работы!$A$2:$A$6000,0)),"")</f>
        <v>типовая</v>
      </c>
      <c r="R331" t="s">
        <v>92</v>
      </c>
      <c r="T331" t="str">
        <f>IF(AND($P331&gt;0,$R331="да"),MAX($T$1:$T330)+1,"")</f>
        <v/>
      </c>
    </row>
    <row r="332" spans="1:20" ht="28.8" x14ac:dyDescent="0.3">
      <c r="A332" t="str">
        <f>IFERROR(INDEX(Работы!$D$2:$D$6000,MATCH($C332,Работы!$A$2:$A$6000,0)),"")</f>
        <v>Р3</v>
      </c>
      <c r="B332" t="str">
        <f>IFERROR(INDEX(Работы!$F$2:$F$6000,MATCH($C332,Работы!$A$2:$A$6000,0)),"")</f>
        <v>6</v>
      </c>
      <c r="C332" t="str">
        <f>IFERROR(INDEX(Работы!$A$2:$A$6000,331),"")</f>
        <v>РАБ.Р3.6.005</v>
      </c>
      <c r="D332" s="8" t="str">
        <f>IFERROR(INDEX(Работы!$B$2:$B$6000,MATCH($C332,Работы!$A$2:$A$6000,0)),"")</f>
        <v>Устройство самовыравнивающейся стяжки типа Vetonit (толщина 5 мм)</v>
      </c>
      <c r="E332" t="str">
        <f>IFERROR(INDEX(Работы!$C$2:$C$6000,MATCH($C332,Работы!$A$2:$A$6000,0)),"")</f>
        <v>м2</v>
      </c>
      <c r="F332">
        <f>IFERROR(INDEX(Работы!$G$2:$G$6000,MATCH($C332,Работы!$A$2:$A$6000,0)),"")</f>
        <v>0</v>
      </c>
      <c r="G332" t="str">
        <f>IFERROR(INDEX(Работы!$K$2:$K$6000,MATCH($C332,Работы!$A$2:$A$6000,0)),"")</f>
        <v>S_пол</v>
      </c>
      <c r="H332" s="9"/>
      <c r="I332" s="9"/>
      <c r="J332" s="8" t="str">
        <f>IFERROR(INDEX(Материалы!$B$2:$B$9000,MATCH($I332,Материалы!$A$2:$A$9000,0)),"")</f>
        <v/>
      </c>
      <c r="K332" t="str">
        <f>IF($I332="","",IF($F332=IFERROR(INDEX(Материалы!$G$2:$G$9000,MATCH($I332,Материалы!$A$2:$A$9000,0)),""),"OK","!! не та группа"))</f>
        <v/>
      </c>
      <c r="L332" s="10">
        <f>IFERROR(INDEX(Работы!$H$2:$H$6000,MATCH($C332,Работы!$A$2:$A$6000,0))*(1-ДисконтТендер),0)</f>
        <v>634.67999999999995</v>
      </c>
      <c r="M332" s="10">
        <f>IF($I332="",0,IFERROR(INDEX(Материалы!$I$2:$I$9000,MATCH($I332,Материалы!$A$2:$A$9000,0))*IF(INDEX(Материалы!$J$2:$J$9000,MATCH($I332,Материалы!$A$2:$A$9000,0))="USD",КурсUSD,IF(INDEX(Материалы!$J$2:$J$9000,MATCH($I332,Материалы!$A$2:$A$9000,0))="EUR",КурсEUR,1))*INDEX(Материалы!$K$2:$K$9000,MATCH($I332,Материалы!$A$2:$A$9000,0))*(1+IFERROR(INDEX(Работы!$I$2:$I$6000,MATCH($C332,Работы!$A$2:$A$6000,0))/100,0))*(1-ДисконтТендер),0))</f>
        <v>0</v>
      </c>
      <c r="N332" s="10">
        <f t="shared" si="15"/>
        <v>0</v>
      </c>
      <c r="O332" s="10">
        <f t="shared" si="16"/>
        <v>0</v>
      </c>
      <c r="P332" s="10">
        <f t="shared" si="17"/>
        <v>0</v>
      </c>
      <c r="Q332" t="str">
        <f>IFERROR(INDEX(Работы!$J$2:$J$6000,MATCH($C332,Работы!$A$2:$A$6000,0)),"")</f>
        <v>типовая</v>
      </c>
      <c r="R332" t="s">
        <v>92</v>
      </c>
      <c r="T332" t="str">
        <f>IF(AND($P332&gt;0,$R332="да"),MAX($T$1:$T331)+1,"")</f>
        <v/>
      </c>
    </row>
    <row r="333" spans="1:20" ht="28.8" x14ac:dyDescent="0.3">
      <c r="A333" t="str">
        <f>IFERROR(INDEX(Работы!$D$2:$D$6000,MATCH($C333,Работы!$A$2:$A$6000,0)),"")</f>
        <v>Р3</v>
      </c>
      <c r="B333" t="str">
        <f>IFERROR(INDEX(Работы!$F$2:$F$6000,MATCH($C333,Работы!$A$2:$A$6000,0)),"")</f>
        <v>6</v>
      </c>
      <c r="C333" t="str">
        <f>IFERROR(INDEX(Работы!$A$2:$A$6000,332),"")</f>
        <v>РАБ.Р3.6.006</v>
      </c>
      <c r="D333" s="8" t="str">
        <f>IFERROR(INDEX(Работы!$B$2:$B$6000,MATCH($C333,Работы!$A$2:$A$6000,0)),"")</f>
        <v>Укладка дорожной металлической сетки 100х100 диаметром 4мм</v>
      </c>
      <c r="E333" t="str">
        <f>IFERROR(INDEX(Работы!$C$2:$C$6000,MATCH($C333,Работы!$A$2:$A$6000,0)),"")</f>
        <v>м2</v>
      </c>
      <c r="F333">
        <f>IFERROR(INDEX(Работы!$G$2:$G$6000,MATCH($C333,Работы!$A$2:$A$6000,0)),"")</f>
        <v>0</v>
      </c>
      <c r="G333" t="str">
        <f>IFERROR(INDEX(Работы!$K$2:$K$6000,MATCH($C333,Работы!$A$2:$A$6000,0)),"")</f>
        <v>S_поверхность</v>
      </c>
      <c r="H333" s="9"/>
      <c r="I333" s="9"/>
      <c r="J333" s="8" t="str">
        <f>IFERROR(INDEX(Материалы!$B$2:$B$9000,MATCH($I333,Материалы!$A$2:$A$9000,0)),"")</f>
        <v/>
      </c>
      <c r="K333" t="str">
        <f>IF($I333="","",IF($F333=IFERROR(INDEX(Материалы!$G$2:$G$9000,MATCH($I333,Материалы!$A$2:$A$9000,0)),""),"OK","!! не та группа"))</f>
        <v/>
      </c>
      <c r="L333" s="10">
        <f>IFERROR(INDEX(Работы!$H$2:$H$6000,MATCH($C333,Работы!$A$2:$A$6000,0))*(1-ДисконтТендер),0)</f>
        <v>172.26</v>
      </c>
      <c r="M333" s="10">
        <f>IF($I333="",0,IFERROR(INDEX(Материалы!$I$2:$I$9000,MATCH($I333,Материалы!$A$2:$A$9000,0))*IF(INDEX(Материалы!$J$2:$J$9000,MATCH($I333,Материалы!$A$2:$A$9000,0))="USD",КурсUSD,IF(INDEX(Материалы!$J$2:$J$9000,MATCH($I333,Материалы!$A$2:$A$9000,0))="EUR",КурсEUR,1))*INDEX(Материалы!$K$2:$K$9000,MATCH($I333,Материалы!$A$2:$A$9000,0))*(1+IFERROR(INDEX(Работы!$I$2:$I$6000,MATCH($C333,Работы!$A$2:$A$6000,0))/100,0))*(1-ДисконтТендер),0))</f>
        <v>0</v>
      </c>
      <c r="N333" s="10">
        <f t="shared" si="15"/>
        <v>0</v>
      </c>
      <c r="O333" s="10">
        <f t="shared" si="16"/>
        <v>0</v>
      </c>
      <c r="P333" s="10">
        <f t="shared" si="17"/>
        <v>0</v>
      </c>
      <c r="Q333" t="str">
        <f>IFERROR(INDEX(Работы!$J$2:$J$6000,MATCH($C333,Работы!$A$2:$A$6000,0)),"")</f>
        <v>типовая</v>
      </c>
      <c r="R333" t="s">
        <v>92</v>
      </c>
      <c r="T333" t="str">
        <f>IF(AND($P333&gt;0,$R333="да"),MAX($T$1:$T332)+1,"")</f>
        <v/>
      </c>
    </row>
    <row r="334" spans="1:20" x14ac:dyDescent="0.3">
      <c r="A334" t="str">
        <f>IFERROR(INDEX(Работы!$D$2:$D$6000,MATCH($C334,Работы!$A$2:$A$6000,0)),"")</f>
        <v>Р3</v>
      </c>
      <c r="B334" t="str">
        <f>IFERROR(INDEX(Работы!$F$2:$F$6000,MATCH($C334,Работы!$A$2:$A$6000,0)),"")</f>
        <v>6</v>
      </c>
      <c r="C334" t="str">
        <f>IFERROR(INDEX(Работы!$A$2:$A$6000,333),"")</f>
        <v>РАБ.Р3.6.007</v>
      </c>
      <c r="D334" s="8" t="str">
        <f>IFERROR(INDEX(Работы!$B$2:$B$6000,MATCH($C334,Работы!$A$2:$A$6000,0)),"")</f>
        <v>Грунтовка пола за два раза</v>
      </c>
      <c r="E334" t="str">
        <f>IFERROR(INDEX(Работы!$C$2:$C$6000,MATCH($C334,Работы!$A$2:$A$6000,0)),"")</f>
        <v>м2</v>
      </c>
      <c r="F334">
        <f>IFERROR(INDEX(Работы!$G$2:$G$6000,MATCH($C334,Работы!$A$2:$A$6000,0)),"")</f>
        <v>0</v>
      </c>
      <c r="G334" t="str">
        <f>IFERROR(INDEX(Работы!$K$2:$K$6000,MATCH($C334,Работы!$A$2:$A$6000,0)),"")</f>
        <v>S_поверхность</v>
      </c>
      <c r="H334" s="9"/>
      <c r="I334" s="9"/>
      <c r="J334" s="8" t="str">
        <f>IFERROR(INDEX(Материалы!$B$2:$B$9000,MATCH($I334,Материалы!$A$2:$A$9000,0)),"")</f>
        <v/>
      </c>
      <c r="K334" t="str">
        <f>IF($I334="","",IF($F334=IFERROR(INDEX(Материалы!$G$2:$G$9000,MATCH($I334,Материалы!$A$2:$A$9000,0)),""),"OK","!! не та группа"))</f>
        <v/>
      </c>
      <c r="L334" s="10">
        <f>IFERROR(INDEX(Работы!$H$2:$H$6000,MATCH($C334,Работы!$A$2:$A$6000,0))*(1-ДисконтТендер),0)</f>
        <v>65.25</v>
      </c>
      <c r="M334" s="10">
        <f>IF($I334="",0,IFERROR(INDEX(Материалы!$I$2:$I$9000,MATCH($I334,Материалы!$A$2:$A$9000,0))*IF(INDEX(Материалы!$J$2:$J$9000,MATCH($I334,Материалы!$A$2:$A$9000,0))="USD",КурсUSD,IF(INDEX(Материалы!$J$2:$J$9000,MATCH($I334,Материалы!$A$2:$A$9000,0))="EUR",КурсEUR,1))*INDEX(Материалы!$K$2:$K$9000,MATCH($I334,Материалы!$A$2:$A$9000,0))*(1+IFERROR(INDEX(Работы!$I$2:$I$6000,MATCH($C334,Работы!$A$2:$A$6000,0))/100,0))*(1-ДисконтТендер),0))</f>
        <v>0</v>
      </c>
      <c r="N334" s="10">
        <f t="shared" si="15"/>
        <v>0</v>
      </c>
      <c r="O334" s="10">
        <f t="shared" si="16"/>
        <v>0</v>
      </c>
      <c r="P334" s="10">
        <f t="shared" si="17"/>
        <v>0</v>
      </c>
      <c r="Q334" t="str">
        <f>IFERROR(INDEX(Работы!$J$2:$J$6000,MATCH($C334,Работы!$A$2:$A$6000,0)),"")</f>
        <v>типовая</v>
      </c>
      <c r="R334" t="s">
        <v>92</v>
      </c>
      <c r="T334" t="str">
        <f>IF(AND($P334&gt;0,$R334="да"),MAX($T$1:$T333)+1,"")</f>
        <v/>
      </c>
    </row>
    <row r="335" spans="1:20" ht="28.8" x14ac:dyDescent="0.3">
      <c r="A335" t="str">
        <f>IFERROR(INDEX(Работы!$D$2:$D$6000,MATCH($C335,Работы!$A$2:$A$6000,0)),"")</f>
        <v>Р3</v>
      </c>
      <c r="B335" t="str">
        <f>IFERROR(INDEX(Работы!$F$2:$F$6000,MATCH($C335,Работы!$A$2:$A$6000,0)),"")</f>
        <v>6</v>
      </c>
      <c r="C335" t="str">
        <f>IFERROR(INDEX(Работы!$A$2:$A$6000,334),"")</f>
        <v>РАБ.Р3.6.008</v>
      </c>
      <c r="D335" s="8" t="str">
        <f>IFERROR(INDEX(Работы!$B$2:$B$6000,MATCH($C335,Работы!$A$2:$A$6000,0)),"")</f>
        <v>Обработка поверхности составом "Бетоноконтакт"</v>
      </c>
      <c r="E335" t="str">
        <f>IFERROR(INDEX(Работы!$C$2:$C$6000,MATCH($C335,Работы!$A$2:$A$6000,0)),"")</f>
        <v>м2</v>
      </c>
      <c r="F335">
        <f>IFERROR(INDEX(Работы!$G$2:$G$6000,MATCH($C335,Работы!$A$2:$A$6000,0)),"")</f>
        <v>0</v>
      </c>
      <c r="G335" t="str">
        <f>IFERROR(INDEX(Работы!$K$2:$K$6000,MATCH($C335,Работы!$A$2:$A$6000,0)),"")</f>
        <v>S_поверхность</v>
      </c>
      <c r="H335" s="9"/>
      <c r="I335" s="9"/>
      <c r="J335" s="8" t="str">
        <f>IFERROR(INDEX(Материалы!$B$2:$B$9000,MATCH($I335,Материалы!$A$2:$A$9000,0)),"")</f>
        <v/>
      </c>
      <c r="K335" t="str">
        <f>IF($I335="","",IF($F335=IFERROR(INDEX(Материалы!$G$2:$G$9000,MATCH($I335,Материалы!$A$2:$A$9000,0)),""),"OK","!! не та группа"))</f>
        <v/>
      </c>
      <c r="L335" s="10">
        <f>IFERROR(INDEX(Работы!$H$2:$H$6000,MATCH($C335,Работы!$A$2:$A$6000,0))*(1-ДисконтТендер),0)</f>
        <v>81.430000000000007</v>
      </c>
      <c r="M335" s="10">
        <f>IF($I335="",0,IFERROR(INDEX(Материалы!$I$2:$I$9000,MATCH($I335,Материалы!$A$2:$A$9000,0))*IF(INDEX(Материалы!$J$2:$J$9000,MATCH($I335,Материалы!$A$2:$A$9000,0))="USD",КурсUSD,IF(INDEX(Материалы!$J$2:$J$9000,MATCH($I335,Материалы!$A$2:$A$9000,0))="EUR",КурсEUR,1))*INDEX(Материалы!$K$2:$K$9000,MATCH($I335,Материалы!$A$2:$A$9000,0))*(1+IFERROR(INDEX(Работы!$I$2:$I$6000,MATCH($C335,Работы!$A$2:$A$6000,0))/100,0))*(1-ДисконтТендер),0))</f>
        <v>0</v>
      </c>
      <c r="N335" s="10">
        <f t="shared" si="15"/>
        <v>0</v>
      </c>
      <c r="O335" s="10">
        <f t="shared" si="16"/>
        <v>0</v>
      </c>
      <c r="P335" s="10">
        <f t="shared" si="17"/>
        <v>0</v>
      </c>
      <c r="Q335" t="str">
        <f>IFERROR(INDEX(Работы!$J$2:$J$6000,MATCH($C335,Работы!$A$2:$A$6000,0)),"")</f>
        <v>типовая</v>
      </c>
      <c r="R335" t="s">
        <v>92</v>
      </c>
      <c r="T335" t="str">
        <f>IF(AND($P335&gt;0,$R335="да"),MAX($T$1:$T334)+1,"")</f>
        <v/>
      </c>
    </row>
    <row r="336" spans="1:20" ht="28.8" x14ac:dyDescent="0.3">
      <c r="A336" t="str">
        <f>IFERROR(INDEX(Работы!$D$2:$D$6000,MATCH($C336,Работы!$A$2:$A$6000,0)),"")</f>
        <v>Р3</v>
      </c>
      <c r="B336" t="str">
        <f>IFERROR(INDEX(Работы!$F$2:$F$6000,MATCH($C336,Работы!$A$2:$A$6000,0)),"")</f>
        <v>6</v>
      </c>
      <c r="C336" t="str">
        <f>IFERROR(INDEX(Работы!$A$2:$A$6000,335),"")</f>
        <v>РАБ.Р3.6.009</v>
      </c>
      <c r="D336" s="8" t="str">
        <f>IFERROR(INDEX(Работы!$B$2:$B$6000,MATCH($C336,Работы!$A$2:$A$6000,0)),"")</f>
        <v>Устройство горизонтальной обмазочной гидроизоляции с захлестом на стены на 15см</v>
      </c>
      <c r="E336" t="str">
        <f>IFERROR(INDEX(Работы!$C$2:$C$6000,MATCH($C336,Работы!$A$2:$A$6000,0)),"")</f>
        <v>м2</v>
      </c>
      <c r="F336">
        <f>IFERROR(INDEX(Работы!$G$2:$G$6000,MATCH($C336,Работы!$A$2:$A$6000,0)),"")</f>
        <v>0</v>
      </c>
      <c r="G336" t="str">
        <f>IFERROR(INDEX(Работы!$K$2:$K$6000,MATCH($C336,Работы!$A$2:$A$6000,0)),"")</f>
        <v>S_стены</v>
      </c>
      <c r="H336" s="9"/>
      <c r="I336" s="9"/>
      <c r="J336" s="8" t="str">
        <f>IFERROR(INDEX(Материалы!$B$2:$B$9000,MATCH($I336,Материалы!$A$2:$A$9000,0)),"")</f>
        <v/>
      </c>
      <c r="K336" t="str">
        <f>IF($I336="","",IF($F336=IFERROR(INDEX(Материалы!$G$2:$G$9000,MATCH($I336,Материалы!$A$2:$A$9000,0)),""),"OK","!! не та группа"))</f>
        <v/>
      </c>
      <c r="L336" s="10">
        <f>IFERROR(INDEX(Работы!$H$2:$H$6000,MATCH($C336,Работы!$A$2:$A$6000,0))*(1-ДисконтТендер),0)</f>
        <v>478.5</v>
      </c>
      <c r="M336" s="10">
        <f>IF($I336="",0,IFERROR(INDEX(Материалы!$I$2:$I$9000,MATCH($I336,Материалы!$A$2:$A$9000,0))*IF(INDEX(Материалы!$J$2:$J$9000,MATCH($I336,Материалы!$A$2:$A$9000,0))="USD",КурсUSD,IF(INDEX(Материалы!$J$2:$J$9000,MATCH($I336,Материалы!$A$2:$A$9000,0))="EUR",КурсEUR,1))*INDEX(Материалы!$K$2:$K$9000,MATCH($I336,Материалы!$A$2:$A$9000,0))*(1+IFERROR(INDEX(Работы!$I$2:$I$6000,MATCH($C336,Работы!$A$2:$A$6000,0))/100,0))*(1-ДисконтТендер),0))</f>
        <v>0</v>
      </c>
      <c r="N336" s="10">
        <f t="shared" si="15"/>
        <v>0</v>
      </c>
      <c r="O336" s="10">
        <f t="shared" si="16"/>
        <v>0</v>
      </c>
      <c r="P336" s="10">
        <f t="shared" si="17"/>
        <v>0</v>
      </c>
      <c r="Q336" t="str">
        <f>IFERROR(INDEX(Работы!$J$2:$J$6000,MATCH($C336,Работы!$A$2:$A$6000,0)),"")</f>
        <v>типовая</v>
      </c>
      <c r="R336" t="s">
        <v>92</v>
      </c>
      <c r="T336" t="str">
        <f>IF(AND($P336&gt;0,$R336="да"),MAX($T$1:$T335)+1,"")</f>
        <v/>
      </c>
    </row>
    <row r="337" spans="1:20" ht="43.2" x14ac:dyDescent="0.3">
      <c r="A337" t="str">
        <f>IFERROR(INDEX(Работы!$D$2:$D$6000,MATCH($C337,Работы!$A$2:$A$6000,0)),"")</f>
        <v>Р3</v>
      </c>
      <c r="B337" t="str">
        <f>IFERROR(INDEX(Работы!$F$2:$F$6000,MATCH($C337,Работы!$A$2:$A$6000,0)),"")</f>
        <v>6</v>
      </c>
      <c r="C337" t="str">
        <f>IFERROR(INDEX(Работы!$A$2:$A$6000,336),"")</f>
        <v>РАБ.Р3.6.010</v>
      </c>
      <c r="D337" s="8" t="str">
        <f>IFERROR(INDEX(Работы!$B$2:$B$6000,MATCH($C337,Работы!$A$2:$A$6000,0)),"")</f>
        <v>Подготовка под устройство гидроизоляции (просушка, шлифовка адгезионная, локальный ремонт)</v>
      </c>
      <c r="E337" t="str">
        <f>IFERROR(INDEX(Работы!$C$2:$C$6000,MATCH($C337,Работы!$A$2:$A$6000,0)),"")</f>
        <v>м2</v>
      </c>
      <c r="F337">
        <f>IFERROR(INDEX(Работы!$G$2:$G$6000,MATCH($C337,Работы!$A$2:$A$6000,0)),"")</f>
        <v>0</v>
      </c>
      <c r="G337" t="str">
        <f>IFERROR(INDEX(Работы!$K$2:$K$6000,MATCH($C337,Работы!$A$2:$A$6000,0)),"")</f>
        <v>S_поверхность</v>
      </c>
      <c r="H337" s="9"/>
      <c r="I337" s="9"/>
      <c r="J337" s="8" t="str">
        <f>IFERROR(INDEX(Материалы!$B$2:$B$9000,MATCH($I337,Материалы!$A$2:$A$9000,0)),"")</f>
        <v/>
      </c>
      <c r="K337" t="str">
        <f>IF($I337="","",IF($F337=IFERROR(INDEX(Материалы!$G$2:$G$9000,MATCH($I337,Материалы!$A$2:$A$9000,0)),""),"OK","!! не та группа"))</f>
        <v/>
      </c>
      <c r="L337" s="10">
        <f>IFERROR(INDEX(Работы!$H$2:$H$6000,MATCH($C337,Работы!$A$2:$A$6000,0))*(1-ДисконтТендер),0)</f>
        <v>0</v>
      </c>
      <c r="M337" s="10">
        <f>IF($I337="",0,IFERROR(INDEX(Материалы!$I$2:$I$9000,MATCH($I337,Материалы!$A$2:$A$9000,0))*IF(INDEX(Материалы!$J$2:$J$9000,MATCH($I337,Материалы!$A$2:$A$9000,0))="USD",КурсUSD,IF(INDEX(Материалы!$J$2:$J$9000,MATCH($I337,Материалы!$A$2:$A$9000,0))="EUR",КурсEUR,1))*INDEX(Материалы!$K$2:$K$9000,MATCH($I337,Материалы!$A$2:$A$9000,0))*(1+IFERROR(INDEX(Работы!$I$2:$I$6000,MATCH($C337,Работы!$A$2:$A$6000,0))/100,0))*(1-ДисконтТендер),0))</f>
        <v>0</v>
      </c>
      <c r="N337" s="10">
        <f t="shared" si="15"/>
        <v>0</v>
      </c>
      <c r="O337" s="10">
        <f t="shared" si="16"/>
        <v>0</v>
      </c>
      <c r="P337" s="10">
        <f t="shared" si="17"/>
        <v>0</v>
      </c>
      <c r="Q337" t="str">
        <f>IFERROR(INDEX(Работы!$J$2:$J$6000,MATCH($C337,Работы!$A$2:$A$6000,0)),"")</f>
        <v>типовая</v>
      </c>
      <c r="R337" t="s">
        <v>92</v>
      </c>
      <c r="T337" t="str">
        <f>IF(AND($P337&gt;0,$R337="да"),MAX($T$1:$T336)+1,"")</f>
        <v/>
      </c>
    </row>
    <row r="338" spans="1:20" ht="28.8" x14ac:dyDescent="0.3">
      <c r="A338" t="str">
        <f>IFERROR(INDEX(Работы!$D$2:$D$6000,MATCH($C338,Работы!$A$2:$A$6000,0)),"")</f>
        <v>Р3</v>
      </c>
      <c r="B338" t="str">
        <f>IFERROR(INDEX(Работы!$F$2:$F$6000,MATCH($C338,Работы!$A$2:$A$6000,0)),"")</f>
        <v>6</v>
      </c>
      <c r="C338" t="str">
        <f>IFERROR(INDEX(Работы!$A$2:$A$6000,337),"")</f>
        <v>РАБ.Р3.6.011</v>
      </c>
      <c r="D338" s="8" t="str">
        <f>IFERROR(INDEX(Работы!$B$2:$B$6000,MATCH($C338,Работы!$A$2:$A$6000,0)),"")</f>
        <v>Нанесение обмазочной гидроизоляции на пол в 2 слоя</v>
      </c>
      <c r="E338" t="str">
        <f>IFERROR(INDEX(Работы!$C$2:$C$6000,MATCH($C338,Работы!$A$2:$A$6000,0)),"")</f>
        <v>м2</v>
      </c>
      <c r="F338">
        <f>IFERROR(INDEX(Работы!$G$2:$G$6000,MATCH($C338,Работы!$A$2:$A$6000,0)),"")</f>
        <v>0</v>
      </c>
      <c r="G338" t="str">
        <f>IFERROR(INDEX(Работы!$K$2:$K$6000,MATCH($C338,Работы!$A$2:$A$6000,0)),"")</f>
        <v>S_пол</v>
      </c>
      <c r="H338" s="9"/>
      <c r="I338" s="9"/>
      <c r="J338" s="8" t="str">
        <f>IFERROR(INDEX(Материалы!$B$2:$B$9000,MATCH($I338,Материалы!$A$2:$A$9000,0)),"")</f>
        <v/>
      </c>
      <c r="K338" t="str">
        <f>IF($I338="","",IF($F338=IFERROR(INDEX(Материалы!$G$2:$G$9000,MATCH($I338,Материалы!$A$2:$A$9000,0)),""),"OK","!! не та группа"))</f>
        <v/>
      </c>
      <c r="L338" s="10">
        <f>IFERROR(INDEX(Работы!$H$2:$H$6000,MATCH($C338,Работы!$A$2:$A$6000,0))*(1-ДисконтТендер),0)</f>
        <v>0</v>
      </c>
      <c r="M338" s="10">
        <f>IF($I338="",0,IFERROR(INDEX(Материалы!$I$2:$I$9000,MATCH($I338,Материалы!$A$2:$A$9000,0))*IF(INDEX(Материалы!$J$2:$J$9000,MATCH($I338,Материалы!$A$2:$A$9000,0))="USD",КурсUSD,IF(INDEX(Материалы!$J$2:$J$9000,MATCH($I338,Материалы!$A$2:$A$9000,0))="EUR",КурсEUR,1))*INDEX(Материалы!$K$2:$K$9000,MATCH($I338,Материалы!$A$2:$A$9000,0))*(1+IFERROR(INDEX(Работы!$I$2:$I$6000,MATCH($C338,Работы!$A$2:$A$6000,0))/100,0))*(1-ДисконтТендер),0))</f>
        <v>0</v>
      </c>
      <c r="N338" s="10">
        <f t="shared" si="15"/>
        <v>0</v>
      </c>
      <c r="O338" s="10">
        <f t="shared" si="16"/>
        <v>0</v>
      </c>
      <c r="P338" s="10">
        <f t="shared" si="17"/>
        <v>0</v>
      </c>
      <c r="Q338" t="str">
        <f>IFERROR(INDEX(Работы!$J$2:$J$6000,MATCH($C338,Работы!$A$2:$A$6000,0)),"")</f>
        <v>типовая</v>
      </c>
      <c r="R338" t="s">
        <v>92</v>
      </c>
      <c r="T338" t="str">
        <f>IF(AND($P338&gt;0,$R338="да"),MAX($T$1:$T337)+1,"")</f>
        <v/>
      </c>
    </row>
    <row r="339" spans="1:20" ht="28.8" x14ac:dyDescent="0.3">
      <c r="A339" t="str">
        <f>IFERROR(INDEX(Работы!$D$2:$D$6000,MATCH($C339,Работы!$A$2:$A$6000,0)),"")</f>
        <v>Р3</v>
      </c>
      <c r="B339" t="str">
        <f>IFERROR(INDEX(Работы!$F$2:$F$6000,MATCH($C339,Работы!$A$2:$A$6000,0)),"")</f>
        <v>6</v>
      </c>
      <c r="C339" t="str">
        <f>IFERROR(INDEX(Работы!$A$2:$A$6000,338),"")</f>
        <v>РАБ.Р3.6.012</v>
      </c>
      <c r="D339" s="8" t="str">
        <f>IFERROR(INDEX(Работы!$B$2:$B$6000,MATCH($C339,Работы!$A$2:$A$6000,0)),"")</f>
        <v>Нанесение обмазочной гидроизоляции на стены 3 слоя на высоту до 0,5 метров</v>
      </c>
      <c r="E339" t="str">
        <f>IFERROR(INDEX(Работы!$C$2:$C$6000,MATCH($C339,Работы!$A$2:$A$6000,0)),"")</f>
        <v>м2</v>
      </c>
      <c r="F339">
        <f>IFERROR(INDEX(Работы!$G$2:$G$6000,MATCH($C339,Работы!$A$2:$A$6000,0)),"")</f>
        <v>0</v>
      </c>
      <c r="G339" t="str">
        <f>IFERROR(INDEX(Работы!$K$2:$K$6000,MATCH($C339,Работы!$A$2:$A$6000,0)),"")</f>
        <v>S_стены</v>
      </c>
      <c r="H339" s="9"/>
      <c r="I339" s="9"/>
      <c r="J339" s="8" t="str">
        <f>IFERROR(INDEX(Материалы!$B$2:$B$9000,MATCH($I339,Материалы!$A$2:$A$9000,0)),"")</f>
        <v/>
      </c>
      <c r="K339" t="str">
        <f>IF($I339="","",IF($F339=IFERROR(INDEX(Материалы!$G$2:$G$9000,MATCH($I339,Материалы!$A$2:$A$9000,0)),""),"OK","!! не та группа"))</f>
        <v/>
      </c>
      <c r="L339" s="10">
        <f>IFERROR(INDEX(Работы!$H$2:$H$6000,MATCH($C339,Работы!$A$2:$A$6000,0))*(1-ДисконтТендер),0)</f>
        <v>0</v>
      </c>
      <c r="M339" s="10">
        <f>IF($I339="",0,IFERROR(INDEX(Материалы!$I$2:$I$9000,MATCH($I339,Материалы!$A$2:$A$9000,0))*IF(INDEX(Материалы!$J$2:$J$9000,MATCH($I339,Материалы!$A$2:$A$9000,0))="USD",КурсUSD,IF(INDEX(Материалы!$J$2:$J$9000,MATCH($I339,Материалы!$A$2:$A$9000,0))="EUR",КурсEUR,1))*INDEX(Материалы!$K$2:$K$9000,MATCH($I339,Материалы!$A$2:$A$9000,0))*(1+IFERROR(INDEX(Работы!$I$2:$I$6000,MATCH($C339,Работы!$A$2:$A$6000,0))/100,0))*(1-ДисконтТендер),0))</f>
        <v>0</v>
      </c>
      <c r="N339" s="10">
        <f t="shared" si="15"/>
        <v>0</v>
      </c>
      <c r="O339" s="10">
        <f t="shared" si="16"/>
        <v>0</v>
      </c>
      <c r="P339" s="10">
        <f t="shared" si="17"/>
        <v>0</v>
      </c>
      <c r="Q339" t="str">
        <f>IFERROR(INDEX(Работы!$J$2:$J$6000,MATCH($C339,Работы!$A$2:$A$6000,0)),"")</f>
        <v>типовая</v>
      </c>
      <c r="R339" t="s">
        <v>92</v>
      </c>
      <c r="T339" t="str">
        <f>IF(AND($P339&gt;0,$R339="да"),MAX($T$1:$T338)+1,"")</f>
        <v/>
      </c>
    </row>
    <row r="340" spans="1:20" x14ac:dyDescent="0.3">
      <c r="A340" t="str">
        <f>IFERROR(INDEX(Работы!$D$2:$D$6000,MATCH($C340,Работы!$A$2:$A$6000,0)),"")</f>
        <v>Р3</v>
      </c>
      <c r="B340" t="str">
        <f>IFERROR(INDEX(Работы!$F$2:$F$6000,MATCH($C340,Работы!$A$2:$A$6000,0)),"")</f>
        <v>6</v>
      </c>
      <c r="C340" t="str">
        <f>IFERROR(INDEX(Работы!$A$2:$A$6000,339),"")</f>
        <v>РАБ.Р3.6.013</v>
      </c>
      <c r="D340" s="8" t="str">
        <f>IFERROR(INDEX(Работы!$B$2:$B$6000,MATCH($C340,Работы!$A$2:$A$6000,0)),"")</f>
        <v>Укладка ПВХ плёнки 400 мкм</v>
      </c>
      <c r="E340" t="str">
        <f>IFERROR(INDEX(Работы!$C$2:$C$6000,MATCH($C340,Работы!$A$2:$A$6000,0)),"")</f>
        <v>м2</v>
      </c>
      <c r="F340">
        <f>IFERROR(INDEX(Работы!$G$2:$G$6000,MATCH($C340,Работы!$A$2:$A$6000,0)),"")</f>
        <v>0</v>
      </c>
      <c r="G340" t="str">
        <f>IFERROR(INDEX(Работы!$K$2:$K$6000,MATCH($C340,Работы!$A$2:$A$6000,0)),"")</f>
        <v>S_поверхность</v>
      </c>
      <c r="H340" s="9"/>
      <c r="I340" s="9"/>
      <c r="J340" s="8" t="str">
        <f>IFERROR(INDEX(Материалы!$B$2:$B$9000,MATCH($I340,Материалы!$A$2:$A$9000,0)),"")</f>
        <v/>
      </c>
      <c r="K340" t="str">
        <f>IF($I340="","",IF($F340=IFERROR(INDEX(Материалы!$G$2:$G$9000,MATCH($I340,Материалы!$A$2:$A$9000,0)),""),"OK","!! не та группа"))</f>
        <v/>
      </c>
      <c r="L340" s="10">
        <f>IFERROR(INDEX(Работы!$H$2:$H$6000,MATCH($C340,Работы!$A$2:$A$6000,0))*(1-ДисконтТендер),0)</f>
        <v>0</v>
      </c>
      <c r="M340" s="10">
        <f>IF($I340="",0,IFERROR(INDEX(Материалы!$I$2:$I$9000,MATCH($I340,Материалы!$A$2:$A$9000,0))*IF(INDEX(Материалы!$J$2:$J$9000,MATCH($I340,Материалы!$A$2:$A$9000,0))="USD",КурсUSD,IF(INDEX(Материалы!$J$2:$J$9000,MATCH($I340,Материалы!$A$2:$A$9000,0))="EUR",КурсEUR,1))*INDEX(Материалы!$K$2:$K$9000,MATCH($I340,Материалы!$A$2:$A$9000,0))*(1+IFERROR(INDEX(Работы!$I$2:$I$6000,MATCH($C340,Работы!$A$2:$A$6000,0))/100,0))*(1-ДисконтТендер),0))</f>
        <v>0</v>
      </c>
      <c r="N340" s="10">
        <f t="shared" si="15"/>
        <v>0</v>
      </c>
      <c r="O340" s="10">
        <f t="shared" si="16"/>
        <v>0</v>
      </c>
      <c r="P340" s="10">
        <f t="shared" si="17"/>
        <v>0</v>
      </c>
      <c r="Q340" t="str">
        <f>IFERROR(INDEX(Работы!$J$2:$J$6000,MATCH($C340,Работы!$A$2:$A$6000,0)),"")</f>
        <v>типовая</v>
      </c>
      <c r="R340" t="s">
        <v>92</v>
      </c>
      <c r="T340" t="str">
        <f>IF(AND($P340&gt;0,$R340="да"),MAX($T$1:$T339)+1,"")</f>
        <v/>
      </c>
    </row>
    <row r="341" spans="1:20" ht="57.6" x14ac:dyDescent="0.3">
      <c r="A341" t="str">
        <f>IFERROR(INDEX(Работы!$D$2:$D$6000,MATCH($C341,Работы!$A$2:$A$6000,0)),"")</f>
        <v>Р3</v>
      </c>
      <c r="B341" t="str">
        <f>IFERROR(INDEX(Работы!$F$2:$F$6000,MATCH($C341,Работы!$A$2:$A$6000,0)),"")</f>
        <v>6</v>
      </c>
      <c r="C341" t="str">
        <f>IFERROR(INDEX(Работы!$A$2:$A$6000,340),"")</f>
        <v>РАБ.Р3.6.014</v>
      </c>
      <c r="D341" s="8" t="str">
        <f>IFERROR(INDEX(Работы!$B$2:$B$6000,MATCH($C341,Работы!$A$2:$A$6000,0)),"")</f>
        <v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v>
      </c>
      <c r="E341" t="str">
        <f>IFERROR(INDEX(Работы!$C$2:$C$6000,MATCH($C341,Работы!$A$2:$A$6000,0)),"")</f>
        <v>м3</v>
      </c>
      <c r="F341">
        <f>IFERROR(INDEX(Работы!$G$2:$G$6000,MATCH($C341,Работы!$A$2:$A$6000,0)),"")</f>
        <v>0</v>
      </c>
      <c r="G341" t="str">
        <f>IFERROR(INDEX(Работы!$K$2:$K$6000,MATCH($C341,Работы!$A$2:$A$6000,0)),"")</f>
        <v>Расчёт</v>
      </c>
      <c r="H341" s="9"/>
      <c r="I341" s="9"/>
      <c r="J341" s="8" t="str">
        <f>IFERROR(INDEX(Материалы!$B$2:$B$9000,MATCH($I341,Материалы!$A$2:$A$9000,0)),"")</f>
        <v/>
      </c>
      <c r="K341" t="str">
        <f>IF($I341="","",IF($F341=IFERROR(INDEX(Материалы!$G$2:$G$9000,MATCH($I341,Материалы!$A$2:$A$9000,0)),""),"OK","!! не та группа"))</f>
        <v/>
      </c>
      <c r="L341" s="10">
        <f>IFERROR(INDEX(Работы!$H$2:$H$6000,MATCH($C341,Работы!$A$2:$A$6000,0))*(1-ДисконтТендер),0)</f>
        <v>0</v>
      </c>
      <c r="M341" s="10">
        <f>IF($I341="",0,IFERROR(INDEX(Материалы!$I$2:$I$9000,MATCH($I341,Материалы!$A$2:$A$9000,0))*IF(INDEX(Материалы!$J$2:$J$9000,MATCH($I341,Материалы!$A$2:$A$9000,0))="USD",КурсUSD,IF(INDEX(Материалы!$J$2:$J$9000,MATCH($I341,Материалы!$A$2:$A$9000,0))="EUR",КурсEUR,1))*INDEX(Материалы!$K$2:$K$9000,MATCH($I341,Материалы!$A$2:$A$9000,0))*(1+IFERROR(INDEX(Работы!$I$2:$I$6000,MATCH($C341,Работы!$A$2:$A$6000,0))/100,0))*(1-ДисконтТендер),0))</f>
        <v>0</v>
      </c>
      <c r="N341" s="10">
        <f t="shared" si="15"/>
        <v>0</v>
      </c>
      <c r="O341" s="10">
        <f t="shared" si="16"/>
        <v>0</v>
      </c>
      <c r="P341" s="10">
        <f t="shared" si="17"/>
        <v>0</v>
      </c>
      <c r="Q341" t="str">
        <f>IFERROR(INDEX(Работы!$J$2:$J$6000,MATCH($C341,Работы!$A$2:$A$6000,0)),"")</f>
        <v>нетиповая</v>
      </c>
      <c r="R341" t="s">
        <v>92</v>
      </c>
      <c r="T341" t="str">
        <f>IF(AND($P341&gt;0,$R341="да"),MAX($T$1:$T340)+1,"")</f>
        <v/>
      </c>
    </row>
    <row r="342" spans="1:20" ht="28.8" x14ac:dyDescent="0.3">
      <c r="A342" t="str">
        <f>IFERROR(INDEX(Работы!$D$2:$D$6000,MATCH($C342,Работы!$A$2:$A$6000,0)),"")</f>
        <v>Р3</v>
      </c>
      <c r="B342" t="str">
        <f>IFERROR(INDEX(Работы!$F$2:$F$6000,MATCH($C342,Работы!$A$2:$A$6000,0)),"")</f>
        <v>6</v>
      </c>
      <c r="C342" t="str">
        <f>IFERROR(INDEX(Работы!$A$2:$A$6000,341),"")</f>
        <v>РАБ.Р3.6.015</v>
      </c>
      <c r="D342" s="8" t="str">
        <f>IFERROR(INDEX(Работы!$B$2:$B$6000,MATCH($C342,Работы!$A$2:$A$6000,0)),"")</f>
        <v>Затирка бетоноотделочными машинами с внесением сухого упрочнителя 4 кг/м2</v>
      </c>
      <c r="E342" t="str">
        <f>IFERROR(INDEX(Работы!$C$2:$C$6000,MATCH($C342,Работы!$A$2:$A$6000,0)),"")</f>
        <v>м2</v>
      </c>
      <c r="F342" t="str">
        <f>IFERROR(INDEX(Работы!$G$2:$G$6000,MATCH($C342,Работы!$A$2:$A$6000,0)),"")</f>
        <v>ПОЛ.НАЛ</v>
      </c>
      <c r="G342" t="str">
        <f>IFERROR(INDEX(Работы!$K$2:$K$6000,MATCH($C342,Работы!$A$2:$A$6000,0)),"")</f>
        <v>S_пол</v>
      </c>
      <c r="H342" s="9"/>
      <c r="I342" s="9"/>
      <c r="J342" s="8" t="str">
        <f>IFERROR(INDEX(Материалы!$B$2:$B$9000,MATCH($I342,Материалы!$A$2:$A$9000,0)),"")</f>
        <v/>
      </c>
      <c r="K342" t="str">
        <f>IF($I342="","",IF($F342=IFERROR(INDEX(Материалы!$G$2:$G$9000,MATCH($I342,Материалы!$A$2:$A$9000,0)),""),"OK","!! не та группа"))</f>
        <v/>
      </c>
      <c r="L342" s="10">
        <f>IFERROR(INDEX(Работы!$H$2:$H$6000,MATCH($C342,Работы!$A$2:$A$6000,0))*(1-ДисконтТендер),0)</f>
        <v>0</v>
      </c>
      <c r="M342" s="10">
        <f>IF($I342="",0,IFERROR(INDEX(Материалы!$I$2:$I$9000,MATCH($I342,Материалы!$A$2:$A$9000,0))*IF(INDEX(Материалы!$J$2:$J$9000,MATCH($I342,Материалы!$A$2:$A$9000,0))="USD",КурсUSD,IF(INDEX(Материалы!$J$2:$J$9000,MATCH($I342,Материалы!$A$2:$A$9000,0))="EUR",КурсEUR,1))*INDEX(Материалы!$K$2:$K$9000,MATCH($I342,Материалы!$A$2:$A$9000,0))*(1+IFERROR(INDEX(Работы!$I$2:$I$6000,MATCH($C342,Работы!$A$2:$A$6000,0))/100,0))*(1-ДисконтТендер),0))</f>
        <v>0</v>
      </c>
      <c r="N342" s="10">
        <f t="shared" si="15"/>
        <v>0</v>
      </c>
      <c r="O342" s="10">
        <f t="shared" si="16"/>
        <v>0</v>
      </c>
      <c r="P342" s="10">
        <f t="shared" si="17"/>
        <v>0</v>
      </c>
      <c r="Q342" t="str">
        <f>IFERROR(INDEX(Работы!$J$2:$J$6000,MATCH($C342,Работы!$A$2:$A$6000,0)),"")</f>
        <v>типовая</v>
      </c>
      <c r="R342" t="s">
        <v>92</v>
      </c>
      <c r="T342" t="str">
        <f>IF(AND($P342&gt;0,$R342="да"),MAX($T$1:$T341)+1,"")</f>
        <v/>
      </c>
    </row>
    <row r="343" spans="1:20" ht="43.2" x14ac:dyDescent="0.3">
      <c r="A343" t="str">
        <f>IFERROR(INDEX(Работы!$D$2:$D$6000,MATCH($C343,Работы!$A$2:$A$6000,0)),"")</f>
        <v>Р3</v>
      </c>
      <c r="B343" t="str">
        <f>IFERROR(INDEX(Работы!$F$2:$F$6000,MATCH($C343,Работы!$A$2:$A$6000,0)),"")</f>
        <v>6</v>
      </c>
      <c r="C343" t="str">
        <f>IFERROR(INDEX(Работы!$A$2:$A$6000,342),"")</f>
        <v>РАБ.Р3.6.016</v>
      </c>
      <c r="D343" s="8" t="str">
        <f>IFERROR(INDEX(Работы!$B$2:$B$6000,MATCH($C343,Работы!$A$2:$A$6000,0)),"")</f>
        <v>Шлифовка поверхности пола, нанесение жидкого упрочнителя и полировка до степени от 50 до 1500 грит</v>
      </c>
      <c r="E343" t="str">
        <f>IFERROR(INDEX(Работы!$C$2:$C$6000,MATCH($C343,Работы!$A$2:$A$6000,0)),"")</f>
        <v>м2</v>
      </c>
      <c r="F343" t="str">
        <f>IFERROR(INDEX(Работы!$G$2:$G$6000,MATCH($C343,Работы!$A$2:$A$6000,0)),"")</f>
        <v>ПОЛ.НАЛ</v>
      </c>
      <c r="G343" t="str">
        <f>IFERROR(INDEX(Работы!$K$2:$K$6000,MATCH($C343,Работы!$A$2:$A$6000,0)),"")</f>
        <v>S_пол</v>
      </c>
      <c r="H343" s="9"/>
      <c r="I343" s="9"/>
      <c r="J343" s="8" t="str">
        <f>IFERROR(INDEX(Материалы!$B$2:$B$9000,MATCH($I343,Материалы!$A$2:$A$9000,0)),"")</f>
        <v/>
      </c>
      <c r="K343" t="str">
        <f>IF($I343="","",IF($F343=IFERROR(INDEX(Материалы!$G$2:$G$9000,MATCH($I343,Материалы!$A$2:$A$9000,0)),""),"OK","!! не та группа"))</f>
        <v/>
      </c>
      <c r="L343" s="10">
        <f>IFERROR(INDEX(Работы!$H$2:$H$6000,MATCH($C343,Работы!$A$2:$A$6000,0))*(1-ДисконтТендер),0)</f>
        <v>0</v>
      </c>
      <c r="M343" s="10">
        <f>IF($I343="",0,IFERROR(INDEX(Материалы!$I$2:$I$9000,MATCH($I343,Материалы!$A$2:$A$9000,0))*IF(INDEX(Материалы!$J$2:$J$9000,MATCH($I343,Материалы!$A$2:$A$9000,0))="USD",КурсUSD,IF(INDEX(Материалы!$J$2:$J$9000,MATCH($I343,Материалы!$A$2:$A$9000,0))="EUR",КурсEUR,1))*INDEX(Материалы!$K$2:$K$9000,MATCH($I343,Материалы!$A$2:$A$9000,0))*(1+IFERROR(INDEX(Работы!$I$2:$I$6000,MATCH($C343,Работы!$A$2:$A$6000,0))/100,0))*(1-ДисконтТендер),0))</f>
        <v>0</v>
      </c>
      <c r="N343" s="10">
        <f t="shared" si="15"/>
        <v>0</v>
      </c>
      <c r="O343" s="10">
        <f t="shared" si="16"/>
        <v>0</v>
      </c>
      <c r="P343" s="10">
        <f t="shared" si="17"/>
        <v>0</v>
      </c>
      <c r="Q343" t="str">
        <f>IFERROR(INDEX(Работы!$J$2:$J$6000,MATCH($C343,Работы!$A$2:$A$6000,0)),"")</f>
        <v>типовая</v>
      </c>
      <c r="R343" t="s">
        <v>92</v>
      </c>
      <c r="T343" t="str">
        <f>IF(AND($P343&gt;0,$R343="да"),MAX($T$1:$T342)+1,"")</f>
        <v/>
      </c>
    </row>
    <row r="344" spans="1:20" x14ac:dyDescent="0.3">
      <c r="A344" t="str">
        <f>IFERROR(INDEX(Работы!$D$2:$D$6000,MATCH($C344,Работы!$A$2:$A$6000,0)),"")</f>
        <v>Р3</v>
      </c>
      <c r="B344" t="str">
        <f>IFERROR(INDEX(Работы!$F$2:$F$6000,MATCH($C344,Работы!$A$2:$A$6000,0)),"")</f>
        <v>6</v>
      </c>
      <c r="C344" t="str">
        <f>IFERROR(INDEX(Работы!$A$2:$A$6000,343),"")</f>
        <v>РАБ.Р3.6.017</v>
      </c>
      <c r="D344" s="8" t="str">
        <f>IFERROR(INDEX(Работы!$B$2:$B$6000,MATCH($C344,Работы!$A$2:$A$6000,0)),"")</f>
        <v>Нарезка швов и гермитизация шаг швов 3х3м</v>
      </c>
      <c r="E344" t="str">
        <f>IFERROR(INDEX(Работы!$C$2:$C$6000,MATCH($C344,Работы!$A$2:$A$6000,0)),"")</f>
        <v>м2</v>
      </c>
      <c r="F344">
        <f>IFERROR(INDEX(Работы!$G$2:$G$6000,MATCH($C344,Работы!$A$2:$A$6000,0)),"")</f>
        <v>0</v>
      </c>
      <c r="G344" t="str">
        <f>IFERROR(INDEX(Работы!$K$2:$K$6000,MATCH($C344,Работы!$A$2:$A$6000,0)),"")</f>
        <v>S_поверхность</v>
      </c>
      <c r="H344" s="9"/>
      <c r="I344" s="9"/>
      <c r="J344" s="8" t="str">
        <f>IFERROR(INDEX(Материалы!$B$2:$B$9000,MATCH($I344,Материалы!$A$2:$A$9000,0)),"")</f>
        <v/>
      </c>
      <c r="K344" t="str">
        <f>IF($I344="","",IF($F344=IFERROR(INDEX(Материалы!$G$2:$G$9000,MATCH($I344,Материалы!$A$2:$A$9000,0)),""),"OK","!! не та группа"))</f>
        <v/>
      </c>
      <c r="L344" s="10">
        <f>IFERROR(INDEX(Работы!$H$2:$H$6000,MATCH($C344,Работы!$A$2:$A$6000,0))*(1-ДисконтТендер),0)</f>
        <v>0</v>
      </c>
      <c r="M344" s="10">
        <f>IF($I344="",0,IFERROR(INDEX(Материалы!$I$2:$I$9000,MATCH($I344,Материалы!$A$2:$A$9000,0))*IF(INDEX(Материалы!$J$2:$J$9000,MATCH($I344,Материалы!$A$2:$A$9000,0))="USD",КурсUSD,IF(INDEX(Материалы!$J$2:$J$9000,MATCH($I344,Материалы!$A$2:$A$9000,0))="EUR",КурсEUR,1))*INDEX(Материалы!$K$2:$K$9000,MATCH($I344,Материалы!$A$2:$A$9000,0))*(1+IFERROR(INDEX(Работы!$I$2:$I$6000,MATCH($C344,Работы!$A$2:$A$6000,0))/100,0))*(1-ДисконтТендер),0))</f>
        <v>0</v>
      </c>
      <c r="N344" s="10">
        <f t="shared" si="15"/>
        <v>0</v>
      </c>
      <c r="O344" s="10">
        <f t="shared" si="16"/>
        <v>0</v>
      </c>
      <c r="P344" s="10">
        <f t="shared" si="17"/>
        <v>0</v>
      </c>
      <c r="Q344" t="str">
        <f>IFERROR(INDEX(Работы!$J$2:$J$6000,MATCH($C344,Работы!$A$2:$A$6000,0)),"")</f>
        <v>типовая</v>
      </c>
      <c r="R344" t="s">
        <v>92</v>
      </c>
      <c r="T344" t="str">
        <f>IF(AND($P344&gt;0,$R344="да"),MAX($T$1:$T343)+1,"")</f>
        <v/>
      </c>
    </row>
    <row r="345" spans="1:20" ht="43.2" x14ac:dyDescent="0.3">
      <c r="A345" t="str">
        <f>IFERROR(INDEX(Работы!$D$2:$D$6000,MATCH($C345,Работы!$A$2:$A$6000,0)),"")</f>
        <v>Р3</v>
      </c>
      <c r="B345" t="str">
        <f>IFERROR(INDEX(Работы!$F$2:$F$6000,MATCH($C345,Работы!$A$2:$A$6000,0)),"")</f>
        <v>6</v>
      </c>
      <c r="C345" t="str">
        <f>IFERROR(INDEX(Работы!$A$2:$A$6000,344),"")</f>
        <v>РАБ.Р3.6.018</v>
      </c>
      <c r="D345" s="8" t="str">
        <f>IFERROR(INDEX(Работы!$B$2:$B$6000,MATCH($C345,Работы!$A$2:$A$6000,0)),"")</f>
        <v>Разметка стоянок под автомобили ( нанесение пластиковой разметки по праковочным местам с утройством колесоотбойников)</v>
      </c>
      <c r="E345" t="str">
        <f>IFERROR(INDEX(Работы!$C$2:$C$6000,MATCH($C345,Работы!$A$2:$A$6000,0)),"")</f>
        <v>м2</v>
      </c>
      <c r="F345">
        <f>IFERROR(INDEX(Работы!$G$2:$G$6000,MATCH($C345,Работы!$A$2:$A$6000,0)),"")</f>
        <v>0</v>
      </c>
      <c r="G345" t="str">
        <f>IFERROR(INDEX(Работы!$K$2:$K$6000,MATCH($C345,Работы!$A$2:$A$6000,0)),"")</f>
        <v>S_поверхность</v>
      </c>
      <c r="H345" s="9"/>
      <c r="I345" s="9"/>
      <c r="J345" s="8" t="str">
        <f>IFERROR(INDEX(Материалы!$B$2:$B$9000,MATCH($I345,Материалы!$A$2:$A$9000,0)),"")</f>
        <v/>
      </c>
      <c r="K345" t="str">
        <f>IF($I345="","",IF($F345=IFERROR(INDEX(Материалы!$G$2:$G$9000,MATCH($I345,Материалы!$A$2:$A$9000,0)),""),"OK","!! не та группа"))</f>
        <v/>
      </c>
      <c r="L345" s="10">
        <f>IFERROR(INDEX(Работы!$H$2:$H$6000,MATCH($C345,Работы!$A$2:$A$6000,0))*(1-ДисконтТендер),0)</f>
        <v>0</v>
      </c>
      <c r="M345" s="10">
        <f>IF($I345="",0,IFERROR(INDEX(Материалы!$I$2:$I$9000,MATCH($I345,Материалы!$A$2:$A$9000,0))*IF(INDEX(Материалы!$J$2:$J$9000,MATCH($I345,Материалы!$A$2:$A$9000,0))="USD",КурсUSD,IF(INDEX(Материалы!$J$2:$J$9000,MATCH($I345,Материалы!$A$2:$A$9000,0))="EUR",КурсEUR,1))*INDEX(Материалы!$K$2:$K$9000,MATCH($I345,Материалы!$A$2:$A$9000,0))*(1+IFERROR(INDEX(Работы!$I$2:$I$6000,MATCH($C345,Работы!$A$2:$A$6000,0))/100,0))*(1-ДисконтТендер),0))</f>
        <v>0</v>
      </c>
      <c r="N345" s="10">
        <f t="shared" si="15"/>
        <v>0</v>
      </c>
      <c r="O345" s="10">
        <f t="shared" si="16"/>
        <v>0</v>
      </c>
      <c r="P345" s="10">
        <f t="shared" si="17"/>
        <v>0</v>
      </c>
      <c r="Q345" t="str">
        <f>IFERROR(INDEX(Работы!$J$2:$J$6000,MATCH($C345,Работы!$A$2:$A$6000,0)),"")</f>
        <v>типовая</v>
      </c>
      <c r="R345" t="s">
        <v>92</v>
      </c>
      <c r="T345" t="str">
        <f>IF(AND($P345&gt;0,$R345="да"),MAX($T$1:$T344)+1,"")</f>
        <v/>
      </c>
    </row>
    <row r="346" spans="1:20" x14ac:dyDescent="0.3">
      <c r="A346" t="str">
        <f>IFERROR(INDEX(Работы!$D$2:$D$6000,MATCH($C346,Работы!$A$2:$A$6000,0)),"")</f>
        <v>Р3</v>
      </c>
      <c r="B346" t="str">
        <f>IFERROR(INDEX(Работы!$F$2:$F$6000,MATCH($C346,Работы!$A$2:$A$6000,0)),"")</f>
        <v>6</v>
      </c>
      <c r="C346" t="str">
        <f>IFERROR(INDEX(Работы!$A$2:$A$6000,345),"")</f>
        <v>РАБ.Р3.6.019</v>
      </c>
      <c r="D346" s="8" t="str">
        <f>IFERROR(INDEX(Работы!$B$2:$B$6000,MATCH($C346,Работы!$A$2:$A$6000,0)),"")</f>
        <v>Монтаж иньекционного пакера</v>
      </c>
      <c r="E346" t="str">
        <f>IFERROR(INDEX(Работы!$C$2:$C$6000,MATCH($C346,Работы!$A$2:$A$6000,0)),"")</f>
        <v>шт.</v>
      </c>
      <c r="F346">
        <f>IFERROR(INDEX(Работы!$G$2:$G$6000,MATCH($C346,Работы!$A$2:$A$6000,0)),"")</f>
        <v>0</v>
      </c>
      <c r="G346" t="str">
        <f>IFERROR(INDEX(Работы!$K$2:$K$6000,MATCH($C346,Работы!$A$2:$A$6000,0)),"")</f>
        <v>Спецификация</v>
      </c>
      <c r="H346" s="9"/>
      <c r="I346" s="9"/>
      <c r="J346" s="8" t="str">
        <f>IFERROR(INDEX(Материалы!$B$2:$B$9000,MATCH($I346,Материалы!$A$2:$A$9000,0)),"")</f>
        <v/>
      </c>
      <c r="K346" t="str">
        <f>IF($I346="","",IF($F346=IFERROR(INDEX(Материалы!$G$2:$G$9000,MATCH($I346,Материалы!$A$2:$A$9000,0)),""),"OK","!! не та группа"))</f>
        <v/>
      </c>
      <c r="L346" s="10">
        <f>IFERROR(INDEX(Работы!$H$2:$H$6000,MATCH($C346,Работы!$A$2:$A$6000,0))*(1-ДисконтТендер),0)</f>
        <v>0</v>
      </c>
      <c r="M346" s="10">
        <f>IF($I346="",0,IFERROR(INDEX(Материалы!$I$2:$I$9000,MATCH($I346,Материалы!$A$2:$A$9000,0))*IF(INDEX(Материалы!$J$2:$J$9000,MATCH($I346,Материалы!$A$2:$A$9000,0))="USD",КурсUSD,IF(INDEX(Материалы!$J$2:$J$9000,MATCH($I346,Материалы!$A$2:$A$9000,0))="EUR",КурсEUR,1))*INDEX(Материалы!$K$2:$K$9000,MATCH($I346,Материалы!$A$2:$A$9000,0))*(1+IFERROR(INDEX(Работы!$I$2:$I$6000,MATCH($C346,Работы!$A$2:$A$6000,0))/100,0))*(1-ДисконтТендер),0))</f>
        <v>0</v>
      </c>
      <c r="N346" s="10">
        <f t="shared" si="15"/>
        <v>0</v>
      </c>
      <c r="O346" s="10">
        <f t="shared" si="16"/>
        <v>0</v>
      </c>
      <c r="P346" s="10">
        <f t="shared" si="17"/>
        <v>0</v>
      </c>
      <c r="Q346" t="str">
        <f>IFERROR(INDEX(Работы!$J$2:$J$6000,MATCH($C346,Работы!$A$2:$A$6000,0)),"")</f>
        <v>типовая</v>
      </c>
      <c r="R346" t="s">
        <v>92</v>
      </c>
      <c r="T346" t="str">
        <f>IF(AND($P346&gt;0,$R346="да"),MAX($T$1:$T345)+1,"")</f>
        <v/>
      </c>
    </row>
    <row r="347" spans="1:20" x14ac:dyDescent="0.3">
      <c r="A347" t="str">
        <f>IFERROR(INDEX(Работы!$D$2:$D$6000,MATCH($C347,Работы!$A$2:$A$6000,0)),"")</f>
        <v>Р3</v>
      </c>
      <c r="B347" t="str">
        <f>IFERROR(INDEX(Работы!$F$2:$F$6000,MATCH($C347,Работы!$A$2:$A$6000,0)),"")</f>
        <v>6</v>
      </c>
      <c r="C347" t="str">
        <f>IFERROR(INDEX(Работы!$A$2:$A$6000,346),"")</f>
        <v>РАБ.Р3.6.020</v>
      </c>
      <c r="D347" s="8" t="str">
        <f>IFERROR(INDEX(Работы!$B$2:$B$6000,MATCH($C347,Работы!$A$2:$A$6000,0)),"")</f>
        <v>Монтаж гидропломбы</v>
      </c>
      <c r="E347" t="str">
        <f>IFERROR(INDEX(Работы!$C$2:$C$6000,MATCH($C347,Работы!$A$2:$A$6000,0)),"")</f>
        <v>м.п.</v>
      </c>
      <c r="F347">
        <f>IFERROR(INDEX(Работы!$G$2:$G$6000,MATCH($C347,Работы!$A$2:$A$6000,0)),"")</f>
        <v>0</v>
      </c>
      <c r="G347" t="str">
        <f>IFERROR(INDEX(Работы!$K$2:$K$6000,MATCH($C347,Работы!$A$2:$A$6000,0)),"")</f>
        <v>Погонаж</v>
      </c>
      <c r="H347" s="9"/>
      <c r="I347" s="9"/>
      <c r="J347" s="8" t="str">
        <f>IFERROR(INDEX(Материалы!$B$2:$B$9000,MATCH($I347,Материалы!$A$2:$A$9000,0)),"")</f>
        <v/>
      </c>
      <c r="K347" t="str">
        <f>IF($I347="","",IF($F347=IFERROR(INDEX(Материалы!$G$2:$G$9000,MATCH($I347,Материалы!$A$2:$A$9000,0)),""),"OK","!! не та группа"))</f>
        <v/>
      </c>
      <c r="L347" s="10">
        <f>IFERROR(INDEX(Работы!$H$2:$H$6000,MATCH($C347,Работы!$A$2:$A$6000,0))*(1-ДисконтТендер),0)</f>
        <v>0</v>
      </c>
      <c r="M347" s="10">
        <f>IF($I347="",0,IFERROR(INDEX(Материалы!$I$2:$I$9000,MATCH($I347,Материалы!$A$2:$A$9000,0))*IF(INDEX(Материалы!$J$2:$J$9000,MATCH($I347,Материалы!$A$2:$A$9000,0))="USD",КурсUSD,IF(INDEX(Материалы!$J$2:$J$9000,MATCH($I347,Материалы!$A$2:$A$9000,0))="EUR",КурсEUR,1))*INDEX(Материалы!$K$2:$K$9000,MATCH($I347,Материалы!$A$2:$A$9000,0))*(1+IFERROR(INDEX(Работы!$I$2:$I$6000,MATCH($C347,Работы!$A$2:$A$6000,0))/100,0))*(1-ДисконтТендер),0))</f>
        <v>0</v>
      </c>
      <c r="N347" s="10">
        <f t="shared" si="15"/>
        <v>0</v>
      </c>
      <c r="O347" s="10">
        <f t="shared" si="16"/>
        <v>0</v>
      </c>
      <c r="P347" s="10">
        <f t="shared" si="17"/>
        <v>0</v>
      </c>
      <c r="Q347" t="str">
        <f>IFERROR(INDEX(Работы!$J$2:$J$6000,MATCH($C347,Работы!$A$2:$A$6000,0)),"")</f>
        <v>типовая</v>
      </c>
      <c r="R347" t="s">
        <v>92</v>
      </c>
      <c r="T347" t="str">
        <f>IF(AND($P347&gt;0,$R347="да"),MAX($T$1:$T346)+1,"")</f>
        <v/>
      </c>
    </row>
    <row r="348" spans="1:20" x14ac:dyDescent="0.3">
      <c r="A348" t="str">
        <f>IFERROR(INDEX(Работы!$D$2:$D$6000,MATCH($C348,Работы!$A$2:$A$6000,0)),"")</f>
        <v>Р3</v>
      </c>
      <c r="B348" t="str">
        <f>IFERROR(INDEX(Работы!$F$2:$F$6000,MATCH($C348,Работы!$A$2:$A$6000,0)),"")</f>
        <v>6</v>
      </c>
      <c r="C348" t="str">
        <f>IFERROR(INDEX(Работы!$A$2:$A$6000,347),"")</f>
        <v>РАБ.Р3.6.021</v>
      </c>
      <c r="D348" s="8" t="str">
        <f>IFERROR(INDEX(Работы!$B$2:$B$6000,MATCH($C348,Работы!$A$2:$A$6000,0)),"")</f>
        <v>Устройство каркаса из бруса 100*200</v>
      </c>
      <c r="E348" t="str">
        <f>IFERROR(INDEX(Работы!$C$2:$C$6000,MATCH($C348,Работы!$A$2:$A$6000,0)),"")</f>
        <v>м3</v>
      </c>
      <c r="F348">
        <f>IFERROR(INDEX(Работы!$G$2:$G$6000,MATCH($C348,Работы!$A$2:$A$6000,0)),"")</f>
        <v>0</v>
      </c>
      <c r="G348" t="str">
        <f>IFERROR(INDEX(Работы!$K$2:$K$6000,MATCH($C348,Работы!$A$2:$A$6000,0)),"")</f>
        <v>Расчёт</v>
      </c>
      <c r="H348" s="9"/>
      <c r="I348" s="9"/>
      <c r="J348" s="8" t="str">
        <f>IFERROR(INDEX(Материалы!$B$2:$B$9000,MATCH($I348,Материалы!$A$2:$A$9000,0)),"")</f>
        <v/>
      </c>
      <c r="K348" t="str">
        <f>IF($I348="","",IF($F348=IFERROR(INDEX(Материалы!$G$2:$G$9000,MATCH($I348,Материалы!$A$2:$A$9000,0)),""),"OK","!! не та группа"))</f>
        <v/>
      </c>
      <c r="L348" s="10">
        <f>IFERROR(INDEX(Работы!$H$2:$H$6000,MATCH($C348,Работы!$A$2:$A$6000,0))*(1-ДисконтТендер),0)</f>
        <v>7464.6</v>
      </c>
      <c r="M348" s="10">
        <f>IF($I348="",0,IFERROR(INDEX(Материалы!$I$2:$I$9000,MATCH($I348,Материалы!$A$2:$A$9000,0))*IF(INDEX(Материалы!$J$2:$J$9000,MATCH($I348,Материалы!$A$2:$A$9000,0))="USD",КурсUSD,IF(INDEX(Материалы!$J$2:$J$9000,MATCH($I348,Материалы!$A$2:$A$9000,0))="EUR",КурсEUR,1))*INDEX(Материалы!$K$2:$K$9000,MATCH($I348,Материалы!$A$2:$A$9000,0))*(1+IFERROR(INDEX(Работы!$I$2:$I$6000,MATCH($C348,Работы!$A$2:$A$6000,0))/100,0))*(1-ДисконтТендер),0))</f>
        <v>0</v>
      </c>
      <c r="N348" s="10">
        <f t="shared" si="15"/>
        <v>0</v>
      </c>
      <c r="O348" s="10">
        <f t="shared" si="16"/>
        <v>0</v>
      </c>
      <c r="P348" s="10">
        <f t="shared" si="17"/>
        <v>0</v>
      </c>
      <c r="Q348" t="str">
        <f>IFERROR(INDEX(Работы!$J$2:$J$6000,MATCH($C348,Работы!$A$2:$A$6000,0)),"")</f>
        <v>типовая</v>
      </c>
      <c r="R348" t="s">
        <v>92</v>
      </c>
      <c r="T348" t="str">
        <f>IF(AND($P348&gt;0,$R348="да"),MAX($T$1:$T347)+1,"")</f>
        <v/>
      </c>
    </row>
    <row r="349" spans="1:20" x14ac:dyDescent="0.3">
      <c r="A349" t="str">
        <f>IFERROR(INDEX(Работы!$D$2:$D$6000,MATCH($C349,Работы!$A$2:$A$6000,0)),"")</f>
        <v>Р3</v>
      </c>
      <c r="B349" t="str">
        <f>IFERROR(INDEX(Работы!$F$2:$F$6000,MATCH($C349,Работы!$A$2:$A$6000,0)),"")</f>
        <v>6</v>
      </c>
      <c r="C349" t="str">
        <f>IFERROR(INDEX(Работы!$A$2:$A$6000,348),"")</f>
        <v>РАБ.Р3.6.022</v>
      </c>
      <c r="D349" s="8" t="str">
        <f>IFERROR(INDEX(Работы!$B$2:$B$6000,MATCH($C349,Работы!$A$2:$A$6000,0)),"")</f>
        <v>Устройство лаг 75*75</v>
      </c>
      <c r="E349" t="str">
        <f>IFERROR(INDEX(Работы!$C$2:$C$6000,MATCH($C349,Работы!$A$2:$A$6000,0)),"")</f>
        <v>м.п.</v>
      </c>
      <c r="F349">
        <f>IFERROR(INDEX(Работы!$G$2:$G$6000,MATCH($C349,Работы!$A$2:$A$6000,0)),"")</f>
        <v>0</v>
      </c>
      <c r="G349" t="str">
        <f>IFERROR(INDEX(Работы!$K$2:$K$6000,MATCH($C349,Работы!$A$2:$A$6000,0)),"")</f>
        <v>Погонаж</v>
      </c>
      <c r="H349" s="9"/>
      <c r="I349" s="9"/>
      <c r="J349" s="8" t="str">
        <f>IFERROR(INDEX(Материалы!$B$2:$B$9000,MATCH($I349,Материалы!$A$2:$A$9000,0)),"")</f>
        <v/>
      </c>
      <c r="K349" t="str">
        <f>IF($I349="","",IF($F349=IFERROR(INDEX(Материалы!$G$2:$G$9000,MATCH($I349,Материалы!$A$2:$A$9000,0)),""),"OK","!! не та группа"))</f>
        <v/>
      </c>
      <c r="L349" s="10">
        <f>IFERROR(INDEX(Работы!$H$2:$H$6000,MATCH($C349,Работы!$A$2:$A$6000,0))*(1-ДисконтТендер),0)</f>
        <v>407.16</v>
      </c>
      <c r="M349" s="10">
        <f>IF($I349="",0,IFERROR(INDEX(Материалы!$I$2:$I$9000,MATCH($I349,Материалы!$A$2:$A$9000,0))*IF(INDEX(Материалы!$J$2:$J$9000,MATCH($I349,Материалы!$A$2:$A$9000,0))="USD",КурсUSD,IF(INDEX(Материалы!$J$2:$J$9000,MATCH($I349,Материалы!$A$2:$A$9000,0))="EUR",КурсEUR,1))*INDEX(Материалы!$K$2:$K$9000,MATCH($I349,Материалы!$A$2:$A$9000,0))*(1+IFERROR(INDEX(Работы!$I$2:$I$6000,MATCH($C349,Работы!$A$2:$A$6000,0))/100,0))*(1-ДисконтТендер),0))</f>
        <v>0</v>
      </c>
      <c r="N349" s="10">
        <f t="shared" si="15"/>
        <v>0</v>
      </c>
      <c r="O349" s="10">
        <f t="shared" si="16"/>
        <v>0</v>
      </c>
      <c r="P349" s="10">
        <f t="shared" si="17"/>
        <v>0</v>
      </c>
      <c r="Q349" t="str">
        <f>IFERROR(INDEX(Работы!$J$2:$J$6000,MATCH($C349,Работы!$A$2:$A$6000,0)),"")</f>
        <v>типовая</v>
      </c>
      <c r="R349" t="s">
        <v>92</v>
      </c>
      <c r="T349" t="str">
        <f>IF(AND($P349&gt;0,$R349="да"),MAX($T$1:$T348)+1,"")</f>
        <v/>
      </c>
    </row>
    <row r="350" spans="1:20" x14ac:dyDescent="0.3">
      <c r="A350" t="str">
        <f>IFERROR(INDEX(Работы!$D$2:$D$6000,MATCH($C350,Работы!$A$2:$A$6000,0)),"")</f>
        <v>Р3</v>
      </c>
      <c r="B350" t="str">
        <f>IFERROR(INDEX(Работы!$F$2:$F$6000,MATCH($C350,Работы!$A$2:$A$6000,0)),"")</f>
        <v>6</v>
      </c>
      <c r="C350" t="str">
        <f>IFERROR(INDEX(Работы!$A$2:$A$6000,349),"")</f>
        <v>РАБ.Р3.6.023</v>
      </c>
      <c r="D350" s="8" t="str">
        <f>IFERROR(INDEX(Работы!$B$2:$B$6000,MATCH($C350,Работы!$A$2:$A$6000,0)),"")</f>
        <v>Устройство пола в кассу из фанеры 1500*1500*12</v>
      </c>
      <c r="E350" t="str">
        <f>IFERROR(INDEX(Работы!$C$2:$C$6000,MATCH($C350,Работы!$A$2:$A$6000,0)),"")</f>
        <v>м2</v>
      </c>
      <c r="F350">
        <f>IFERROR(INDEX(Работы!$G$2:$G$6000,MATCH($C350,Работы!$A$2:$A$6000,0)),"")</f>
        <v>0</v>
      </c>
      <c r="G350" t="str">
        <f>IFERROR(INDEX(Работы!$K$2:$K$6000,MATCH($C350,Работы!$A$2:$A$6000,0)),"")</f>
        <v>S_пол</v>
      </c>
      <c r="H350" s="9"/>
      <c r="I350" s="9"/>
      <c r="J350" s="8" t="str">
        <f>IFERROR(INDEX(Материалы!$B$2:$B$9000,MATCH($I350,Материалы!$A$2:$A$9000,0)),"")</f>
        <v/>
      </c>
      <c r="K350" t="str">
        <f>IF($I350="","",IF($F350=IFERROR(INDEX(Материалы!$G$2:$G$9000,MATCH($I350,Материалы!$A$2:$A$9000,0)),""),"OK","!! не та группа"))</f>
        <v/>
      </c>
      <c r="L350" s="10">
        <f>IFERROR(INDEX(Работы!$H$2:$H$6000,MATCH($C350,Работы!$A$2:$A$6000,0))*(1-ДисконтТендер),0)</f>
        <v>646.37</v>
      </c>
      <c r="M350" s="10">
        <f>IF($I350="",0,IFERROR(INDEX(Материалы!$I$2:$I$9000,MATCH($I350,Материалы!$A$2:$A$9000,0))*IF(INDEX(Материалы!$J$2:$J$9000,MATCH($I350,Материалы!$A$2:$A$9000,0))="USD",КурсUSD,IF(INDEX(Материалы!$J$2:$J$9000,MATCH($I350,Материалы!$A$2:$A$9000,0))="EUR",КурсEUR,1))*INDEX(Материалы!$K$2:$K$9000,MATCH($I350,Материалы!$A$2:$A$9000,0))*(1+IFERROR(INDEX(Работы!$I$2:$I$6000,MATCH($C350,Работы!$A$2:$A$6000,0))/100,0))*(1-ДисконтТендер),0))</f>
        <v>0</v>
      </c>
      <c r="N350" s="10">
        <f t="shared" si="15"/>
        <v>0</v>
      </c>
      <c r="O350" s="10">
        <f t="shared" si="16"/>
        <v>0</v>
      </c>
      <c r="P350" s="10">
        <f t="shared" si="17"/>
        <v>0</v>
      </c>
      <c r="Q350" t="str">
        <f>IFERROR(INDEX(Работы!$J$2:$J$6000,MATCH($C350,Работы!$A$2:$A$6000,0)),"")</f>
        <v>типовая</v>
      </c>
      <c r="R350" t="s">
        <v>92</v>
      </c>
      <c r="T350" t="str">
        <f>IF(AND($P350&gt;0,$R350="да"),MAX($T$1:$T349)+1,"")</f>
        <v/>
      </c>
    </row>
    <row r="351" spans="1:20" ht="57.6" x14ac:dyDescent="0.3">
      <c r="A351" t="str">
        <f>IFERROR(INDEX(Работы!$D$2:$D$6000,MATCH($C351,Работы!$A$2:$A$6000,0)),"")</f>
        <v>Р3</v>
      </c>
      <c r="B351" t="str">
        <f>IFERROR(INDEX(Работы!$F$2:$F$6000,MATCH($C351,Работы!$A$2:$A$6000,0)),"")</f>
        <v>6</v>
      </c>
      <c r="C351" t="str">
        <f>IFERROR(INDEX(Работы!$A$2:$A$6000,350),"")</f>
        <v>РАБ.Р3.6.024</v>
      </c>
      <c r="D351" s="8" t="str">
        <f>IFERROR(INDEX(Работы!$B$2:$B$6000,MATCH($C351,Работы!$A$2:$A$6000,0)),"")</f>
        <v>Устройство ЖБ перекрытий ( профлист Н100 по металлокаркасу с армированием и заливкой бетоном) толщиной 220 мм. и несущей способностью не менее 800 кг.м2.</v>
      </c>
      <c r="E351" t="str">
        <f>IFERROR(INDEX(Работы!$C$2:$C$6000,MATCH($C351,Работы!$A$2:$A$6000,0)),"")</f>
        <v>м2</v>
      </c>
      <c r="F351" t="str">
        <f>IFERROR(INDEX(Работы!$G$2:$G$6000,MATCH($C351,Работы!$A$2:$A$6000,0)),"")</f>
        <v>АРМ.УКР</v>
      </c>
      <c r="G351" t="str">
        <f>IFERROR(INDEX(Работы!$K$2:$K$6000,MATCH($C351,Работы!$A$2:$A$6000,0)),"")</f>
        <v>S_поверхность</v>
      </c>
      <c r="H351" s="9"/>
      <c r="I351" s="9"/>
      <c r="J351" s="8" t="str">
        <f>IFERROR(INDEX(Материалы!$B$2:$B$9000,MATCH($I351,Материалы!$A$2:$A$9000,0)),"")</f>
        <v/>
      </c>
      <c r="K351" t="str">
        <f>IF($I351="","",IF($F351=IFERROR(INDEX(Материалы!$G$2:$G$9000,MATCH($I351,Материалы!$A$2:$A$9000,0)),""),"OK","!! не та группа"))</f>
        <v/>
      </c>
      <c r="L351" s="10">
        <f>IFERROR(INDEX(Работы!$H$2:$H$6000,MATCH($C351,Работы!$A$2:$A$6000,0))*(1-ДисконтТендер),0)</f>
        <v>8160.6</v>
      </c>
      <c r="M351" s="10">
        <f>IF($I351="",0,IFERROR(INDEX(Материалы!$I$2:$I$9000,MATCH($I351,Материалы!$A$2:$A$9000,0))*IF(INDEX(Материалы!$J$2:$J$9000,MATCH($I351,Материалы!$A$2:$A$9000,0))="USD",КурсUSD,IF(INDEX(Материалы!$J$2:$J$9000,MATCH($I351,Материалы!$A$2:$A$9000,0))="EUR",КурсEUR,1))*INDEX(Материалы!$K$2:$K$9000,MATCH($I351,Материалы!$A$2:$A$9000,0))*(1+IFERROR(INDEX(Работы!$I$2:$I$6000,MATCH($C351,Работы!$A$2:$A$6000,0))/100,0))*(1-ДисконтТендер),0))</f>
        <v>0</v>
      </c>
      <c r="N351" s="10">
        <f t="shared" si="15"/>
        <v>0</v>
      </c>
      <c r="O351" s="10">
        <f t="shared" si="16"/>
        <v>0</v>
      </c>
      <c r="P351" s="10">
        <f t="shared" si="17"/>
        <v>0</v>
      </c>
      <c r="Q351" t="str">
        <f>IFERROR(INDEX(Работы!$J$2:$J$6000,MATCH($C351,Работы!$A$2:$A$6000,0)),"")</f>
        <v>типовая</v>
      </c>
      <c r="R351" t="s">
        <v>92</v>
      </c>
      <c r="T351" t="str">
        <f>IF(AND($P351&gt;0,$R351="да"),MAX($T$1:$T350)+1,"")</f>
        <v/>
      </c>
    </row>
    <row r="352" spans="1:20" x14ac:dyDescent="0.3">
      <c r="A352" t="str">
        <f>IFERROR(INDEX(Работы!$D$2:$D$6000,MATCH($C352,Работы!$A$2:$A$6000,0)),"")</f>
        <v>Р3</v>
      </c>
      <c r="B352" t="str">
        <f>IFERROR(INDEX(Работы!$F$2:$F$6000,MATCH($C352,Работы!$A$2:$A$6000,0)),"")</f>
        <v>6</v>
      </c>
      <c r="C352" t="str">
        <f>IFERROR(INDEX(Работы!$A$2:$A$6000,351),"")</f>
        <v>РАБ.Р3.6.025</v>
      </c>
      <c r="D352" s="8" t="str">
        <f>IFERROR(INDEX(Работы!$B$2:$B$6000,MATCH($C352,Работы!$A$2:$A$6000,0)),"")</f>
        <v>Р3.6.1.0 Покрытие пола</v>
      </c>
      <c r="E352" t="str">
        <f>IFERROR(INDEX(Работы!$C$2:$C$6000,MATCH($C352,Работы!$A$2:$A$6000,0)),"")</f>
        <v>шт</v>
      </c>
      <c r="F352">
        <f>IFERROR(INDEX(Работы!$G$2:$G$6000,MATCH($C352,Работы!$A$2:$A$6000,0)),"")</f>
        <v>0</v>
      </c>
      <c r="G352" t="str">
        <f>IFERROR(INDEX(Работы!$K$2:$K$6000,MATCH($C352,Работы!$A$2:$A$6000,0)),"")</f>
        <v>S_пол</v>
      </c>
      <c r="H352" s="9"/>
      <c r="I352" s="9"/>
      <c r="J352" s="8" t="str">
        <f>IFERROR(INDEX(Материалы!$B$2:$B$9000,MATCH($I352,Материалы!$A$2:$A$9000,0)),"")</f>
        <v/>
      </c>
      <c r="K352" t="str">
        <f>IF($I352="","",IF($F352=IFERROR(INDEX(Материалы!$G$2:$G$9000,MATCH($I352,Материалы!$A$2:$A$9000,0)),""),"OK","!! не та группа"))</f>
        <v/>
      </c>
      <c r="L352" s="10">
        <f>IFERROR(INDEX(Работы!$H$2:$H$6000,MATCH($C352,Работы!$A$2:$A$6000,0))*(1-ДисконтТендер),0)</f>
        <v>0</v>
      </c>
      <c r="M352" s="10">
        <f>IF($I352="",0,IFERROR(INDEX(Материалы!$I$2:$I$9000,MATCH($I352,Материалы!$A$2:$A$9000,0))*IF(INDEX(Материалы!$J$2:$J$9000,MATCH($I352,Материалы!$A$2:$A$9000,0))="USD",КурсUSD,IF(INDEX(Материалы!$J$2:$J$9000,MATCH($I352,Материалы!$A$2:$A$9000,0))="EUR",КурсEUR,1))*INDEX(Материалы!$K$2:$K$9000,MATCH($I352,Материалы!$A$2:$A$9000,0))*(1+IFERROR(INDEX(Работы!$I$2:$I$6000,MATCH($C352,Работы!$A$2:$A$6000,0))/100,0))*(1-ДисконтТендер),0))</f>
        <v>0</v>
      </c>
      <c r="N352" s="10">
        <f t="shared" si="15"/>
        <v>0</v>
      </c>
      <c r="O352" s="10">
        <f t="shared" si="16"/>
        <v>0</v>
      </c>
      <c r="P352" s="10">
        <f t="shared" si="17"/>
        <v>0</v>
      </c>
      <c r="Q352" t="str">
        <f>IFERROR(INDEX(Работы!$J$2:$J$6000,MATCH($C352,Работы!$A$2:$A$6000,0)),"")</f>
        <v>типовая</v>
      </c>
      <c r="R352" t="s">
        <v>92</v>
      </c>
      <c r="T352" t="str">
        <f>IF(AND($P352&gt;0,$R352="да"),MAX($T$1:$T351)+1,"")</f>
        <v/>
      </c>
    </row>
    <row r="353" spans="1:20" x14ac:dyDescent="0.3">
      <c r="A353" t="str">
        <f>IFERROR(INDEX(Работы!$D$2:$D$6000,MATCH($C353,Работы!$A$2:$A$6000,0)),"")</f>
        <v>Р3</v>
      </c>
      <c r="B353" t="str">
        <f>IFERROR(INDEX(Работы!$F$2:$F$6000,MATCH($C353,Работы!$A$2:$A$6000,0)),"")</f>
        <v>6</v>
      </c>
      <c r="C353" t="str">
        <f>IFERROR(INDEX(Работы!$A$2:$A$6000,352),"")</f>
        <v>РАБ.Р3.6.026</v>
      </c>
      <c r="D353" s="8" t="str">
        <f>IFERROR(INDEX(Работы!$B$2:$B$6000,MATCH($C353,Работы!$A$2:$A$6000,0)),"")</f>
        <v>Облицовка пола керамогранитом / плиткой</v>
      </c>
      <c r="E353" t="str">
        <f>IFERROR(INDEX(Работы!$C$2:$C$6000,MATCH($C353,Работы!$A$2:$A$6000,0)),"")</f>
        <v>м2</v>
      </c>
      <c r="F353" t="str">
        <f>IFERROR(INDEX(Работы!$G$2:$G$6000,MATCH($C353,Работы!$A$2:$A$6000,0)),"")</f>
        <v>ПОЛ.КГ</v>
      </c>
      <c r="G353" t="str">
        <f>IFERROR(INDEX(Работы!$K$2:$K$6000,MATCH($C353,Работы!$A$2:$A$6000,0)),"")</f>
        <v>S_пол</v>
      </c>
      <c r="H353" s="9"/>
      <c r="I353" s="9"/>
      <c r="J353" s="8" t="str">
        <f>IFERROR(INDEX(Материалы!$B$2:$B$9000,MATCH($I353,Материалы!$A$2:$A$9000,0)),"")</f>
        <v/>
      </c>
      <c r="K353" t="str">
        <f>IF($I353="","",IF($F353=IFERROR(INDEX(Материалы!$G$2:$G$9000,MATCH($I353,Материалы!$A$2:$A$9000,0)),""),"OK","!! не та группа"))</f>
        <v/>
      </c>
      <c r="L353" s="10">
        <f>IFERROR(INDEX(Работы!$H$2:$H$6000,MATCH($C353,Работы!$A$2:$A$6000,0))*(1-ДисконтТендер),0)</f>
        <v>3048.05</v>
      </c>
      <c r="M353" s="10">
        <f>IF($I353="",0,IFERROR(INDEX(Материалы!$I$2:$I$9000,MATCH($I353,Материалы!$A$2:$A$9000,0))*IF(INDEX(Материалы!$J$2:$J$9000,MATCH($I353,Материалы!$A$2:$A$9000,0))="USD",КурсUSD,IF(INDEX(Материалы!$J$2:$J$9000,MATCH($I353,Материалы!$A$2:$A$9000,0))="EUR",КурсEUR,1))*INDEX(Материалы!$K$2:$K$9000,MATCH($I353,Материалы!$A$2:$A$9000,0))*(1+IFERROR(INDEX(Работы!$I$2:$I$6000,MATCH($C353,Работы!$A$2:$A$6000,0))/100,0))*(1-ДисконтТендер),0))</f>
        <v>0</v>
      </c>
      <c r="N353" s="10">
        <f t="shared" si="15"/>
        <v>0</v>
      </c>
      <c r="O353" s="10">
        <f t="shared" si="16"/>
        <v>0</v>
      </c>
      <c r="P353" s="10">
        <f t="shared" si="17"/>
        <v>0</v>
      </c>
      <c r="Q353" t="str">
        <f>IFERROR(INDEX(Работы!$J$2:$J$6000,MATCH($C353,Работы!$A$2:$A$6000,0)),"")</f>
        <v>типовая</v>
      </c>
      <c r="R353" t="s">
        <v>92</v>
      </c>
      <c r="T353" t="str">
        <f>IF(AND($P353&gt;0,$R353="да"),MAX($T$1:$T352)+1,"")</f>
        <v/>
      </c>
    </row>
    <row r="354" spans="1:20" x14ac:dyDescent="0.3">
      <c r="A354" t="str">
        <f>IFERROR(INDEX(Работы!$D$2:$D$6000,MATCH($C354,Работы!$A$2:$A$6000,0)),"")</f>
        <v>Р3</v>
      </c>
      <c r="B354" t="str">
        <f>IFERROR(INDEX(Работы!$F$2:$F$6000,MATCH($C354,Работы!$A$2:$A$6000,0)),"")</f>
        <v>6</v>
      </c>
      <c r="C354" t="str">
        <f>IFERROR(INDEX(Работы!$A$2:$A$6000,353),"")</f>
        <v>РАБ.Р3.6.027</v>
      </c>
      <c r="D354" s="8" t="str">
        <f>IFERROR(INDEX(Работы!$B$2:$B$6000,MATCH($C354,Работы!$A$2:$A$6000,0)),"")</f>
        <v>Установка плинтуса</v>
      </c>
      <c r="E354" t="str">
        <f>IFERROR(INDEX(Работы!$C$2:$C$6000,MATCH($C354,Работы!$A$2:$A$6000,0)),"")</f>
        <v>м.п.</v>
      </c>
      <c r="F354" t="str">
        <f>IFERROR(INDEX(Работы!$G$2:$G$6000,MATCH($C354,Работы!$A$2:$A$6000,0)),"")</f>
        <v>ПЛИНТ</v>
      </c>
      <c r="G354" t="str">
        <f>IFERROR(INDEX(Работы!$K$2:$K$6000,MATCH($C354,Работы!$A$2:$A$6000,0)),"")</f>
        <v>Периметр_пола</v>
      </c>
      <c r="H354" s="9"/>
      <c r="I354" s="9"/>
      <c r="J354" s="8" t="str">
        <f>IFERROR(INDEX(Материалы!$B$2:$B$9000,MATCH($I354,Материалы!$A$2:$A$9000,0)),"")</f>
        <v/>
      </c>
      <c r="K354" t="str">
        <f>IF($I354="","",IF($F354=IFERROR(INDEX(Материалы!$G$2:$G$9000,MATCH($I354,Материалы!$A$2:$A$9000,0)),""),"OK","!! не та группа"))</f>
        <v/>
      </c>
      <c r="L354" s="10">
        <f>IFERROR(INDEX(Работы!$H$2:$H$6000,MATCH($C354,Работы!$A$2:$A$6000,0))*(1-ДисконтТендер),0)</f>
        <v>297.58</v>
      </c>
      <c r="M354" s="10">
        <f>IF($I354="",0,IFERROR(INDEX(Материалы!$I$2:$I$9000,MATCH($I354,Материалы!$A$2:$A$9000,0))*IF(INDEX(Материалы!$J$2:$J$9000,MATCH($I354,Материалы!$A$2:$A$9000,0))="USD",КурсUSD,IF(INDEX(Материалы!$J$2:$J$9000,MATCH($I354,Материалы!$A$2:$A$9000,0))="EUR",КурсEUR,1))*INDEX(Материалы!$K$2:$K$9000,MATCH($I354,Материалы!$A$2:$A$9000,0))*(1+IFERROR(INDEX(Работы!$I$2:$I$6000,MATCH($C354,Работы!$A$2:$A$6000,0))/100,0))*(1-ДисконтТендер),0))</f>
        <v>0</v>
      </c>
      <c r="N354" s="10">
        <f t="shared" si="15"/>
        <v>0</v>
      </c>
      <c r="O354" s="10">
        <f t="shared" si="16"/>
        <v>0</v>
      </c>
      <c r="P354" s="10">
        <f t="shared" si="17"/>
        <v>0</v>
      </c>
      <c r="Q354" t="str">
        <f>IFERROR(INDEX(Работы!$J$2:$J$6000,MATCH($C354,Работы!$A$2:$A$6000,0)),"")</f>
        <v>типовая</v>
      </c>
      <c r="R354" t="s">
        <v>92</v>
      </c>
      <c r="T354" t="str">
        <f>IF(AND($P354&gt;0,$R354="да"),MAX($T$1:$T353)+1,"")</f>
        <v/>
      </c>
    </row>
    <row r="355" spans="1:20" ht="43.2" x14ac:dyDescent="0.3">
      <c r="A355" t="str">
        <f>IFERROR(INDEX(Работы!$D$2:$D$6000,MATCH($C355,Работы!$A$2:$A$6000,0)),"")</f>
        <v>Р3</v>
      </c>
      <c r="B355" t="str">
        <f>IFERROR(INDEX(Работы!$F$2:$F$6000,MATCH($C355,Работы!$A$2:$A$6000,0)),"")</f>
        <v>6</v>
      </c>
      <c r="C355" t="str">
        <f>IFERROR(INDEX(Работы!$A$2:$A$6000,354),"")</f>
        <v>РАБ.Р3.6.028</v>
      </c>
      <c r="D355" s="8" t="str">
        <f>IFERROR(INDEX(Работы!$B$2:$B$6000,MATCH($C355,Работы!$A$2:$A$6000,0)),"")</f>
        <v>Устройство плинтусов из керамогранита h=40 мм с установкой раскладки из пластика на торец в цвет плинтуса с затиркой швовов</v>
      </c>
      <c r="E355" t="str">
        <f>IFERROR(INDEX(Работы!$C$2:$C$6000,MATCH($C355,Работы!$A$2:$A$6000,0)),"")</f>
        <v>м.п.</v>
      </c>
      <c r="F355" t="str">
        <f>IFERROR(INDEX(Работы!$G$2:$G$6000,MATCH($C355,Работы!$A$2:$A$6000,0)),"")</f>
        <v>ПЛИНТ</v>
      </c>
      <c r="G355" t="str">
        <f>IFERROR(INDEX(Работы!$K$2:$K$6000,MATCH($C355,Работы!$A$2:$A$6000,0)),"")</f>
        <v>Периметр_пола</v>
      </c>
      <c r="H355" s="9"/>
      <c r="I355" s="9"/>
      <c r="J355" s="8" t="str">
        <f>IFERROR(INDEX(Материалы!$B$2:$B$9000,MATCH($I355,Материалы!$A$2:$A$9000,0)),"")</f>
        <v/>
      </c>
      <c r="K355" t="str">
        <f>IF($I355="","",IF($F355=IFERROR(INDEX(Материалы!$G$2:$G$9000,MATCH($I355,Материалы!$A$2:$A$9000,0)),""),"OK","!! не та группа"))</f>
        <v/>
      </c>
      <c r="L355" s="10">
        <f>IFERROR(INDEX(Работы!$H$2:$H$6000,MATCH($C355,Работы!$A$2:$A$6000,0))*(1-ДисконтТендер),0)</f>
        <v>330.6</v>
      </c>
      <c r="M355" s="10">
        <f>IF($I355="",0,IFERROR(INDEX(Материалы!$I$2:$I$9000,MATCH($I355,Материалы!$A$2:$A$9000,0))*IF(INDEX(Материалы!$J$2:$J$9000,MATCH($I355,Материалы!$A$2:$A$9000,0))="USD",КурсUSD,IF(INDEX(Материалы!$J$2:$J$9000,MATCH($I355,Материалы!$A$2:$A$9000,0))="EUR",КурсEUR,1))*INDEX(Материалы!$K$2:$K$9000,MATCH($I355,Материалы!$A$2:$A$9000,0))*(1+IFERROR(INDEX(Работы!$I$2:$I$6000,MATCH($C355,Работы!$A$2:$A$6000,0))/100,0))*(1-ДисконтТендер),0))</f>
        <v>0</v>
      </c>
      <c r="N355" s="10">
        <f t="shared" si="15"/>
        <v>0</v>
      </c>
      <c r="O355" s="10">
        <f t="shared" si="16"/>
        <v>0</v>
      </c>
      <c r="P355" s="10">
        <f t="shared" si="17"/>
        <v>0</v>
      </c>
      <c r="Q355" t="str">
        <f>IFERROR(INDEX(Работы!$J$2:$J$6000,MATCH($C355,Работы!$A$2:$A$6000,0)),"")</f>
        <v>типовая</v>
      </c>
      <c r="R355" t="s">
        <v>92</v>
      </c>
      <c r="T355" t="str">
        <f>IF(AND($P355&gt;0,$R355="да"),MAX($T$1:$T354)+1,"")</f>
        <v/>
      </c>
    </row>
    <row r="356" spans="1:20" ht="28.8" x14ac:dyDescent="0.3">
      <c r="A356" t="str">
        <f>IFERROR(INDEX(Работы!$D$2:$D$6000,MATCH($C356,Работы!$A$2:$A$6000,0)),"")</f>
        <v>Р3</v>
      </c>
      <c r="B356" t="str">
        <f>IFERROR(INDEX(Работы!$F$2:$F$6000,MATCH($C356,Работы!$A$2:$A$6000,0)),"")</f>
        <v>6</v>
      </c>
      <c r="C356" t="str">
        <f>IFERROR(INDEX(Работы!$A$2:$A$6000,355),"")</f>
        <v>РАБ.Р3.6.029</v>
      </c>
      <c r="D356" s="8" t="str">
        <f>IFERROR(INDEX(Работы!$B$2:$B$6000,MATCH($C356,Работы!$A$2:$A$6000,0)),"")</f>
        <v>Устройство покрытия пола из модульной плитки (ковролин / ПВХ / линолеум)</v>
      </c>
      <c r="E356" t="str">
        <f>IFERROR(INDEX(Работы!$C$2:$C$6000,MATCH($C356,Работы!$A$2:$A$6000,0)),"")</f>
        <v>м2</v>
      </c>
      <c r="F356" t="str">
        <f>IFERROR(INDEX(Работы!$G$2:$G$6000,MATCH($C356,Работы!$A$2:$A$6000,0)),"")</f>
        <v>ПОЛ.МОД</v>
      </c>
      <c r="G356" t="str">
        <f>IFERROR(INDEX(Работы!$K$2:$K$6000,MATCH($C356,Работы!$A$2:$A$6000,0)),"")</f>
        <v>S_пол</v>
      </c>
      <c r="H356" s="9"/>
      <c r="I356" s="9"/>
      <c r="J356" s="8" t="str">
        <f>IFERROR(INDEX(Материалы!$B$2:$B$9000,MATCH($I356,Материалы!$A$2:$A$9000,0)),"")</f>
        <v/>
      </c>
      <c r="K356" t="str">
        <f>IF($I356="","",IF($F356=IFERROR(INDEX(Материалы!$G$2:$G$9000,MATCH($I356,Материалы!$A$2:$A$9000,0)),""),"OK","!! не та группа"))</f>
        <v/>
      </c>
      <c r="L356" s="10">
        <f>IFERROR(INDEX(Работы!$H$2:$H$6000,MATCH($C356,Работы!$A$2:$A$6000,0))*(1-ДисконтТендер),0)</f>
        <v>535.91999999999996</v>
      </c>
      <c r="M356" s="10">
        <f>IF($I356="",0,IFERROR(INDEX(Материалы!$I$2:$I$9000,MATCH($I356,Материалы!$A$2:$A$9000,0))*IF(INDEX(Материалы!$J$2:$J$9000,MATCH($I356,Материалы!$A$2:$A$9000,0))="USD",КурсUSD,IF(INDEX(Материалы!$J$2:$J$9000,MATCH($I356,Материалы!$A$2:$A$9000,0))="EUR",КурсEUR,1))*INDEX(Материалы!$K$2:$K$9000,MATCH($I356,Материалы!$A$2:$A$9000,0))*(1+IFERROR(INDEX(Работы!$I$2:$I$6000,MATCH($C356,Работы!$A$2:$A$6000,0))/100,0))*(1-ДисконтТендер),0))</f>
        <v>0</v>
      </c>
      <c r="N356" s="10">
        <f t="shared" si="15"/>
        <v>0</v>
      </c>
      <c r="O356" s="10">
        <f t="shared" si="16"/>
        <v>0</v>
      </c>
      <c r="P356" s="10">
        <f t="shared" si="17"/>
        <v>0</v>
      </c>
      <c r="Q356" t="str">
        <f>IFERROR(INDEX(Работы!$J$2:$J$6000,MATCH($C356,Работы!$A$2:$A$6000,0)),"")</f>
        <v>типовая</v>
      </c>
      <c r="R356" t="s">
        <v>92</v>
      </c>
      <c r="T356" t="str">
        <f>IF(AND($P356&gt;0,$R356="да"),MAX($T$1:$T355)+1,"")</f>
        <v/>
      </c>
    </row>
    <row r="357" spans="1:20" ht="43.2" x14ac:dyDescent="0.3">
      <c r="A357" t="str">
        <f>IFERROR(INDEX(Работы!$D$2:$D$6000,MATCH($C357,Работы!$A$2:$A$6000,0)),"")</f>
        <v>Р3</v>
      </c>
      <c r="B357" t="str">
        <f>IFERROR(INDEX(Работы!$F$2:$F$6000,MATCH($C357,Работы!$A$2:$A$6000,0)),"")</f>
        <v>6</v>
      </c>
      <c r="C357" t="str">
        <f>IFERROR(INDEX(Работы!$A$2:$A$6000,356),"")</f>
        <v>РАБ.Р3.6.030</v>
      </c>
      <c r="D357" s="8" t="str">
        <f>IFERROR(INDEX(Работы!$B$2:$B$6000,MATCH($C357,Работы!$A$2:$A$6000,0)),"")</f>
        <v>Устройство плинтусов из керамогранита h=100 мм с установкой раскладки из пластика на торец в цвет плинтуса с затиркой швовов</v>
      </c>
      <c r="E357" t="str">
        <f>IFERROR(INDEX(Работы!$C$2:$C$6000,MATCH($C357,Работы!$A$2:$A$6000,0)),"")</f>
        <v>м.п.</v>
      </c>
      <c r="F357" t="str">
        <f>IFERROR(INDEX(Работы!$G$2:$G$6000,MATCH($C357,Работы!$A$2:$A$6000,0)),"")</f>
        <v>ПЛИНТ</v>
      </c>
      <c r="G357" t="str">
        <f>IFERROR(INDEX(Работы!$K$2:$K$6000,MATCH($C357,Работы!$A$2:$A$6000,0)),"")</f>
        <v>Периметр_пола</v>
      </c>
      <c r="H357" s="9"/>
      <c r="I357" s="9"/>
      <c r="J357" s="8" t="str">
        <f>IFERROR(INDEX(Материалы!$B$2:$B$9000,MATCH($I357,Материалы!$A$2:$A$9000,0)),"")</f>
        <v/>
      </c>
      <c r="K357" t="str">
        <f>IF($I357="","",IF($F357=IFERROR(INDEX(Материалы!$G$2:$G$9000,MATCH($I357,Материалы!$A$2:$A$9000,0)),""),"OK","!! не та группа"))</f>
        <v/>
      </c>
      <c r="L357" s="10">
        <f>IFERROR(INDEX(Работы!$H$2:$H$6000,MATCH($C357,Работы!$A$2:$A$6000,0))*(1-ДисконтТендер),0)</f>
        <v>387.15</v>
      </c>
      <c r="M357" s="10">
        <f>IF($I357="",0,IFERROR(INDEX(Материалы!$I$2:$I$9000,MATCH($I357,Материалы!$A$2:$A$9000,0))*IF(INDEX(Материалы!$J$2:$J$9000,MATCH($I357,Материалы!$A$2:$A$9000,0))="USD",КурсUSD,IF(INDEX(Материалы!$J$2:$J$9000,MATCH($I357,Материалы!$A$2:$A$9000,0))="EUR",КурсEUR,1))*INDEX(Материалы!$K$2:$K$9000,MATCH($I357,Материалы!$A$2:$A$9000,0))*(1+IFERROR(INDEX(Работы!$I$2:$I$6000,MATCH($C357,Работы!$A$2:$A$6000,0))/100,0))*(1-ДисконтТендер),0))</f>
        <v>0</v>
      </c>
      <c r="N357" s="10">
        <f t="shared" si="15"/>
        <v>0</v>
      </c>
      <c r="O357" s="10">
        <f t="shared" si="16"/>
        <v>0</v>
      </c>
      <c r="P357" s="10">
        <f t="shared" si="17"/>
        <v>0</v>
      </c>
      <c r="Q357" t="str">
        <f>IFERROR(INDEX(Работы!$J$2:$J$6000,MATCH($C357,Работы!$A$2:$A$6000,0)),"")</f>
        <v>типовая</v>
      </c>
      <c r="R357" t="s">
        <v>92</v>
      </c>
      <c r="T357" t="str">
        <f>IF(AND($P357&gt;0,$R357="да"),MAX($T$1:$T356)+1,"")</f>
        <v/>
      </c>
    </row>
    <row r="358" spans="1:20" ht="28.8" x14ac:dyDescent="0.3">
      <c r="A358" t="str">
        <f>IFERROR(INDEX(Работы!$D$2:$D$6000,MATCH($C358,Работы!$A$2:$A$6000,0)),"")</f>
        <v>Р3</v>
      </c>
      <c r="B358" t="str">
        <f>IFERROR(INDEX(Работы!$F$2:$F$6000,MATCH($C358,Работы!$A$2:$A$6000,0)),"")</f>
        <v>6</v>
      </c>
      <c r="C358" t="str">
        <f>IFERROR(INDEX(Работы!$A$2:$A$6000,357),"")</f>
        <v>РАБ.Р3.6.031</v>
      </c>
      <c r="D358" s="8" t="str">
        <f>IFERROR(INDEX(Работы!$B$2:$B$6000,MATCH($C358,Работы!$A$2:$A$6000,0)),"")</f>
        <v>Затирка швов поверхности пола, плитка керамическая</v>
      </c>
      <c r="E358" t="str">
        <f>IFERROR(INDEX(Работы!$C$2:$C$6000,MATCH($C358,Работы!$A$2:$A$6000,0)),"")</f>
        <v>м2</v>
      </c>
      <c r="F358" t="str">
        <f>IFERROR(INDEX(Работы!$G$2:$G$6000,MATCH($C358,Работы!$A$2:$A$6000,0)),"")</f>
        <v>ПОЛ.КГ</v>
      </c>
      <c r="G358" t="str">
        <f>IFERROR(INDEX(Работы!$K$2:$K$6000,MATCH($C358,Работы!$A$2:$A$6000,0)),"")</f>
        <v>S_пол</v>
      </c>
      <c r="H358" s="9"/>
      <c r="I358" s="9"/>
      <c r="J358" s="8" t="str">
        <f>IFERROR(INDEX(Материалы!$B$2:$B$9000,MATCH($I358,Материалы!$A$2:$A$9000,0)),"")</f>
        <v/>
      </c>
      <c r="K358" t="str">
        <f>IF($I358="","",IF($F358=IFERROR(INDEX(Материалы!$G$2:$G$9000,MATCH($I358,Материалы!$A$2:$A$9000,0)),""),"OK","!! не та группа"))</f>
        <v/>
      </c>
      <c r="L358" s="10">
        <f>IFERROR(INDEX(Работы!$H$2:$H$6000,MATCH($C358,Работы!$A$2:$A$6000,0))*(1-ДисконтТендер),0)</f>
        <v>221.85</v>
      </c>
      <c r="M358" s="10">
        <f>IF($I358="",0,IFERROR(INDEX(Материалы!$I$2:$I$9000,MATCH($I358,Материалы!$A$2:$A$9000,0))*IF(INDEX(Материалы!$J$2:$J$9000,MATCH($I358,Материалы!$A$2:$A$9000,0))="USD",КурсUSD,IF(INDEX(Материалы!$J$2:$J$9000,MATCH($I358,Материалы!$A$2:$A$9000,0))="EUR",КурсEUR,1))*INDEX(Материалы!$K$2:$K$9000,MATCH($I358,Материалы!$A$2:$A$9000,0))*(1+IFERROR(INDEX(Работы!$I$2:$I$6000,MATCH($C358,Работы!$A$2:$A$6000,0))/100,0))*(1-ДисконтТендер),0))</f>
        <v>0</v>
      </c>
      <c r="N358" s="10">
        <f t="shared" si="15"/>
        <v>0</v>
      </c>
      <c r="O358" s="10">
        <f t="shared" si="16"/>
        <v>0</v>
      </c>
      <c r="P358" s="10">
        <f t="shared" si="17"/>
        <v>0</v>
      </c>
      <c r="Q358" t="str">
        <f>IFERROR(INDEX(Работы!$J$2:$J$6000,MATCH($C358,Работы!$A$2:$A$6000,0)),"")</f>
        <v>типовая</v>
      </c>
      <c r="R358" t="s">
        <v>92</v>
      </c>
      <c r="T358" t="str">
        <f>IF(AND($P358&gt;0,$R358="да"),MAX($T$1:$T357)+1,"")</f>
        <v/>
      </c>
    </row>
    <row r="359" spans="1:20" ht="28.8" x14ac:dyDescent="0.3">
      <c r="A359" t="str">
        <f>IFERROR(INDEX(Работы!$D$2:$D$6000,MATCH($C359,Работы!$A$2:$A$6000,0)),"")</f>
        <v>Р3</v>
      </c>
      <c r="B359" t="str">
        <f>IFERROR(INDEX(Работы!$F$2:$F$6000,MATCH($C359,Работы!$A$2:$A$6000,0)),"")</f>
        <v>6</v>
      </c>
      <c r="C359" t="str">
        <f>IFERROR(INDEX(Работы!$A$2:$A$6000,358),"")</f>
        <v>РАБ.Р3.6.032</v>
      </c>
      <c r="D359" s="8" t="str">
        <f>IFERROR(INDEX(Работы!$B$2:$B$6000,MATCH($C359,Работы!$A$2:$A$6000,0)),"")</f>
        <v>Устройство полов из ПВХ-плитки Gerflor Creation 70 CLIFTON 0556</v>
      </c>
      <c r="E359" t="str">
        <f>IFERROR(INDEX(Работы!$C$2:$C$6000,MATCH($C359,Работы!$A$2:$A$6000,0)),"")</f>
        <v>м2</v>
      </c>
      <c r="F359" t="str">
        <f>IFERROR(INDEX(Работы!$G$2:$G$6000,MATCH($C359,Работы!$A$2:$A$6000,0)),"")</f>
        <v>ПОЛ.КГ</v>
      </c>
      <c r="G359" t="str">
        <f>IFERROR(INDEX(Работы!$K$2:$K$6000,MATCH($C359,Работы!$A$2:$A$6000,0)),"")</f>
        <v>S_пол</v>
      </c>
      <c r="H359" s="9"/>
      <c r="I359" s="9"/>
      <c r="J359" s="8" t="str">
        <f>IFERROR(INDEX(Материалы!$B$2:$B$9000,MATCH($I359,Материалы!$A$2:$A$9000,0)),"")</f>
        <v/>
      </c>
      <c r="K359" t="str">
        <f>IF($I359="","",IF($F359=IFERROR(INDEX(Материалы!$G$2:$G$9000,MATCH($I359,Материалы!$A$2:$A$9000,0)),""),"OK","!! не та группа"))</f>
        <v/>
      </c>
      <c r="L359" s="10">
        <f>IFERROR(INDEX(Работы!$H$2:$H$6000,MATCH($C359,Работы!$A$2:$A$6000,0))*(1-ДисконтТендер),0)</f>
        <v>543.75</v>
      </c>
      <c r="M359" s="10">
        <f>IF($I359="",0,IFERROR(INDEX(Материалы!$I$2:$I$9000,MATCH($I359,Материалы!$A$2:$A$9000,0))*IF(INDEX(Материалы!$J$2:$J$9000,MATCH($I359,Материалы!$A$2:$A$9000,0))="USD",КурсUSD,IF(INDEX(Материалы!$J$2:$J$9000,MATCH($I359,Материалы!$A$2:$A$9000,0))="EUR",КурсEUR,1))*INDEX(Материалы!$K$2:$K$9000,MATCH($I359,Материалы!$A$2:$A$9000,0))*(1+IFERROR(INDEX(Работы!$I$2:$I$6000,MATCH($C359,Работы!$A$2:$A$6000,0))/100,0))*(1-ДисконтТендер),0))</f>
        <v>0</v>
      </c>
      <c r="N359" s="10">
        <f t="shared" si="15"/>
        <v>0</v>
      </c>
      <c r="O359" s="10">
        <f t="shared" si="16"/>
        <v>0</v>
      </c>
      <c r="P359" s="10">
        <f t="shared" si="17"/>
        <v>0</v>
      </c>
      <c r="Q359" t="str">
        <f>IFERROR(INDEX(Работы!$J$2:$J$6000,MATCH($C359,Работы!$A$2:$A$6000,0)),"")</f>
        <v>типовая</v>
      </c>
      <c r="R359" t="s">
        <v>92</v>
      </c>
      <c r="T359" t="str">
        <f>IF(AND($P359&gt;0,$R359="да"),MAX($T$1:$T358)+1,"")</f>
        <v/>
      </c>
    </row>
    <row r="360" spans="1:20" x14ac:dyDescent="0.3">
      <c r="A360" t="str">
        <f>IFERROR(INDEX(Работы!$D$2:$D$6000,MATCH($C360,Работы!$A$2:$A$6000,0)),"")</f>
        <v>Р3</v>
      </c>
      <c r="B360" t="str">
        <f>IFERROR(INDEX(Работы!$F$2:$F$6000,MATCH($C360,Работы!$A$2:$A$6000,0)),"")</f>
        <v>6</v>
      </c>
      <c r="C360" t="str">
        <f>IFERROR(INDEX(Работы!$A$2:$A$6000,359),"")</f>
        <v>РАБ.Р3.6.033</v>
      </c>
      <c r="D360" s="8" t="str">
        <f>IFERROR(INDEX(Работы!$B$2:$B$6000,MATCH($C360,Работы!$A$2:$A$6000,0)),"")</f>
        <v>Устройство плинтусов пластиковых</v>
      </c>
      <c r="E360" t="str">
        <f>IFERROR(INDEX(Работы!$C$2:$C$6000,MATCH($C360,Работы!$A$2:$A$6000,0)),"")</f>
        <v>м.п.</v>
      </c>
      <c r="F360" t="str">
        <f>IFERROR(INDEX(Работы!$G$2:$G$6000,MATCH($C360,Работы!$A$2:$A$6000,0)),"")</f>
        <v>ПЛИНТ</v>
      </c>
      <c r="G360" t="str">
        <f>IFERROR(INDEX(Работы!$K$2:$K$6000,MATCH($C360,Работы!$A$2:$A$6000,0)),"")</f>
        <v>Периметр_пола</v>
      </c>
      <c r="H360" s="9"/>
      <c r="I360" s="9"/>
      <c r="J360" s="8" t="str">
        <f>IFERROR(INDEX(Материалы!$B$2:$B$9000,MATCH($I360,Материалы!$A$2:$A$9000,0)),"")</f>
        <v/>
      </c>
      <c r="K360" t="str">
        <f>IF($I360="","",IF($F360=IFERROR(INDEX(Материалы!$G$2:$G$9000,MATCH($I360,Материалы!$A$2:$A$9000,0)),""),"OK","!! не та группа"))</f>
        <v/>
      </c>
      <c r="L360" s="10">
        <f>IFERROR(INDEX(Работы!$H$2:$H$6000,MATCH($C360,Работы!$A$2:$A$6000,0))*(1-ДисконтТендер),0)</f>
        <v>339.3</v>
      </c>
      <c r="M360" s="10">
        <f>IF($I360="",0,IFERROR(INDEX(Материалы!$I$2:$I$9000,MATCH($I360,Материалы!$A$2:$A$9000,0))*IF(INDEX(Материалы!$J$2:$J$9000,MATCH($I360,Материалы!$A$2:$A$9000,0))="USD",КурсUSD,IF(INDEX(Материалы!$J$2:$J$9000,MATCH($I360,Материалы!$A$2:$A$9000,0))="EUR",КурсEUR,1))*INDEX(Материалы!$K$2:$K$9000,MATCH($I360,Материалы!$A$2:$A$9000,0))*(1+IFERROR(INDEX(Работы!$I$2:$I$6000,MATCH($C360,Работы!$A$2:$A$6000,0))/100,0))*(1-ДисконтТендер),0))</f>
        <v>0</v>
      </c>
      <c r="N360" s="10">
        <f t="shared" si="15"/>
        <v>0</v>
      </c>
      <c r="O360" s="10">
        <f t="shared" si="16"/>
        <v>0</v>
      </c>
      <c r="P360" s="10">
        <f t="shared" si="17"/>
        <v>0</v>
      </c>
      <c r="Q360" t="str">
        <f>IFERROR(INDEX(Работы!$J$2:$J$6000,MATCH($C360,Работы!$A$2:$A$6000,0)),"")</f>
        <v>типовая</v>
      </c>
      <c r="R360" t="s">
        <v>92</v>
      </c>
      <c r="T360" t="str">
        <f>IF(AND($P360&gt;0,$R360="да"),MAX($T$1:$T359)+1,"")</f>
        <v/>
      </c>
    </row>
    <row r="361" spans="1:20" ht="28.8" x14ac:dyDescent="0.3">
      <c r="A361" t="str">
        <f>IFERROR(INDEX(Работы!$D$2:$D$6000,MATCH($C361,Работы!$A$2:$A$6000,0)),"")</f>
        <v>Р3</v>
      </c>
      <c r="B361" t="str">
        <f>IFERROR(INDEX(Работы!$F$2:$F$6000,MATCH($C361,Работы!$A$2:$A$6000,0)),"")</f>
        <v>6</v>
      </c>
      <c r="C361" t="str">
        <f>IFERROR(INDEX(Работы!$A$2:$A$6000,360),"")</f>
        <v>РАБ.Р3.6.034</v>
      </c>
      <c r="D361" s="8" t="str">
        <f>IFERROR(INDEX(Работы!$B$2:$B$6000,MATCH($C361,Работы!$A$2:$A$6000,0)),"")</f>
        <v>Устройство плинтусов пластиковых с ковровым заполнением высотой 55 мм</v>
      </c>
      <c r="E361" t="str">
        <f>IFERROR(INDEX(Работы!$C$2:$C$6000,MATCH($C361,Работы!$A$2:$A$6000,0)),"")</f>
        <v>м.п.</v>
      </c>
      <c r="F361" t="str">
        <f>IFERROR(INDEX(Работы!$G$2:$G$6000,MATCH($C361,Работы!$A$2:$A$6000,0)),"")</f>
        <v>ПЛИНТ</v>
      </c>
      <c r="G361" t="str">
        <f>IFERROR(INDEX(Работы!$K$2:$K$6000,MATCH($C361,Работы!$A$2:$A$6000,0)),"")</f>
        <v>Периметр_пола</v>
      </c>
      <c r="H361" s="9"/>
      <c r="I361" s="9"/>
      <c r="J361" s="8" t="str">
        <f>IFERROR(INDEX(Материалы!$B$2:$B$9000,MATCH($I361,Материалы!$A$2:$A$9000,0)),"")</f>
        <v/>
      </c>
      <c r="K361" t="str">
        <f>IF($I361="","",IF($F361=IFERROR(INDEX(Материалы!$G$2:$G$9000,MATCH($I361,Материалы!$A$2:$A$9000,0)),""),"OK","!! не та группа"))</f>
        <v/>
      </c>
      <c r="L361" s="10">
        <f>IFERROR(INDEX(Работы!$H$2:$H$6000,MATCH($C361,Работы!$A$2:$A$6000,0))*(1-ДисконтТендер),0)</f>
        <v>380.02</v>
      </c>
      <c r="M361" s="10">
        <f>IF($I361="",0,IFERROR(INDEX(Материалы!$I$2:$I$9000,MATCH($I361,Материалы!$A$2:$A$9000,0))*IF(INDEX(Материалы!$J$2:$J$9000,MATCH($I361,Материалы!$A$2:$A$9000,0))="USD",КурсUSD,IF(INDEX(Материалы!$J$2:$J$9000,MATCH($I361,Материалы!$A$2:$A$9000,0))="EUR",КурсEUR,1))*INDEX(Материалы!$K$2:$K$9000,MATCH($I361,Материалы!$A$2:$A$9000,0))*(1+IFERROR(INDEX(Работы!$I$2:$I$6000,MATCH($C361,Работы!$A$2:$A$6000,0))/100,0))*(1-ДисконтТендер),0))</f>
        <v>0</v>
      </c>
      <c r="N361" s="10">
        <f t="shared" si="15"/>
        <v>0</v>
      </c>
      <c r="O361" s="10">
        <f t="shared" si="16"/>
        <v>0</v>
      </c>
      <c r="P361" s="10">
        <f t="shared" si="17"/>
        <v>0</v>
      </c>
      <c r="Q361" t="str">
        <f>IFERROR(INDEX(Работы!$J$2:$J$6000,MATCH($C361,Работы!$A$2:$A$6000,0)),"")</f>
        <v>типовая</v>
      </c>
      <c r="R361" t="s">
        <v>92</v>
      </c>
      <c r="T361" t="str">
        <f>IF(AND($P361&gt;0,$R361="да"),MAX($T$1:$T360)+1,"")</f>
        <v/>
      </c>
    </row>
    <row r="362" spans="1:20" ht="43.2" x14ac:dyDescent="0.3">
      <c r="A362" t="str">
        <f>IFERROR(INDEX(Работы!$D$2:$D$6000,MATCH($C362,Работы!$A$2:$A$6000,0)),"")</f>
        <v>Р3</v>
      </c>
      <c r="B362" t="str">
        <f>IFERROR(INDEX(Работы!$F$2:$F$6000,MATCH($C362,Работы!$A$2:$A$6000,0)),"")</f>
        <v>6</v>
      </c>
      <c r="C362" t="str">
        <f>IFERROR(INDEX(Работы!$A$2:$A$6000,361),"")</f>
        <v>РАБ.Р3.6.035</v>
      </c>
      <c r="D362" s="8" t="str">
        <f>IFERROR(INDEX(Работы!$B$2:$B$6000,MATCH($C362,Работы!$A$2:$A$6000,0)),"")</f>
        <v>Устройство покрытия пола из полу коммерческого линолеума типа "Таркет" цвет согласовать с Заказчиком</v>
      </c>
      <c r="E362" t="str">
        <f>IFERROR(INDEX(Работы!$C$2:$C$6000,MATCH($C362,Работы!$A$2:$A$6000,0)),"")</f>
        <v>м2</v>
      </c>
      <c r="F362" t="str">
        <f>IFERROR(INDEX(Работы!$G$2:$G$6000,MATCH($C362,Работы!$A$2:$A$6000,0)),"")</f>
        <v>ПОЛ.МОД</v>
      </c>
      <c r="G362" t="str">
        <f>IFERROR(INDEX(Работы!$K$2:$K$6000,MATCH($C362,Работы!$A$2:$A$6000,0)),"")</f>
        <v>S_пол</v>
      </c>
      <c r="H362" s="9"/>
      <c r="I362" s="9"/>
      <c r="J362" s="8" t="str">
        <f>IFERROR(INDEX(Материалы!$B$2:$B$9000,MATCH($I362,Материалы!$A$2:$A$9000,0)),"")</f>
        <v/>
      </c>
      <c r="K362" t="str">
        <f>IF($I362="","",IF($F362=IFERROR(INDEX(Материалы!$G$2:$G$9000,MATCH($I362,Материалы!$A$2:$A$9000,0)),""),"OK","!! не та группа"))</f>
        <v/>
      </c>
      <c r="L362" s="10">
        <f>IFERROR(INDEX(Работы!$H$2:$H$6000,MATCH($C362,Работы!$A$2:$A$6000,0))*(1-ДисконтТендер),0)</f>
        <v>406.29</v>
      </c>
      <c r="M362" s="10">
        <f>IF($I362="",0,IFERROR(INDEX(Материалы!$I$2:$I$9000,MATCH($I362,Материалы!$A$2:$A$9000,0))*IF(INDEX(Материалы!$J$2:$J$9000,MATCH($I362,Материалы!$A$2:$A$9000,0))="USD",КурсUSD,IF(INDEX(Материалы!$J$2:$J$9000,MATCH($I362,Материалы!$A$2:$A$9000,0))="EUR",КурсEUR,1))*INDEX(Материалы!$K$2:$K$9000,MATCH($I362,Материалы!$A$2:$A$9000,0))*(1+IFERROR(INDEX(Работы!$I$2:$I$6000,MATCH($C362,Работы!$A$2:$A$6000,0))/100,0))*(1-ДисконтТендер),0))</f>
        <v>0</v>
      </c>
      <c r="N362" s="10">
        <f t="shared" si="15"/>
        <v>0</v>
      </c>
      <c r="O362" s="10">
        <f t="shared" si="16"/>
        <v>0</v>
      </c>
      <c r="P362" s="10">
        <f t="shared" si="17"/>
        <v>0</v>
      </c>
      <c r="Q362" t="str">
        <f>IFERROR(INDEX(Работы!$J$2:$J$6000,MATCH($C362,Работы!$A$2:$A$6000,0)),"")</f>
        <v>типовая</v>
      </c>
      <c r="R362" t="s">
        <v>92</v>
      </c>
      <c r="T362" t="str">
        <f>IF(AND($P362&gt;0,$R362="да"),MAX($T$1:$T361)+1,"")</f>
        <v/>
      </c>
    </row>
    <row r="363" spans="1:20" ht="43.2" x14ac:dyDescent="0.3">
      <c r="A363" t="str">
        <f>IFERROR(INDEX(Работы!$D$2:$D$6000,MATCH($C363,Работы!$A$2:$A$6000,0)),"")</f>
        <v>Р3</v>
      </c>
      <c r="B363" t="str">
        <f>IFERROR(INDEX(Работы!$F$2:$F$6000,MATCH($C363,Работы!$A$2:$A$6000,0)),"")</f>
        <v>6</v>
      </c>
      <c r="C363" t="str">
        <f>IFERROR(INDEX(Работы!$A$2:$A$6000,362),"")</f>
        <v>РАБ.Р3.6.036</v>
      </c>
      <c r="D363" s="8" t="str">
        <f>IFERROR(INDEX(Работы!$B$2:$B$6000,MATCH($C363,Работы!$A$2:$A$6000,0)),"")</f>
        <v>Установка плинтуса алюминиевого Metal Line 90 h=40мм, покраска, черный матовый, гнущийся по радиусу</v>
      </c>
      <c r="E363" t="str">
        <f>IFERROR(INDEX(Работы!$C$2:$C$6000,MATCH($C363,Работы!$A$2:$A$6000,0)),"")</f>
        <v>м.п.</v>
      </c>
      <c r="F363" t="str">
        <f>IFERROR(INDEX(Работы!$G$2:$G$6000,MATCH($C363,Работы!$A$2:$A$6000,0)),"")</f>
        <v>ПЛИНТ</v>
      </c>
      <c r="G363" t="str">
        <f>IFERROR(INDEX(Работы!$K$2:$K$6000,MATCH($C363,Работы!$A$2:$A$6000,0)),"")</f>
        <v>Периметр_пола</v>
      </c>
      <c r="H363" s="9"/>
      <c r="I363" s="9"/>
      <c r="J363" s="8" t="str">
        <f>IFERROR(INDEX(Материалы!$B$2:$B$9000,MATCH($I363,Материалы!$A$2:$A$9000,0)),"")</f>
        <v/>
      </c>
      <c r="K363" t="str">
        <f>IF($I363="","",IF($F363=IFERROR(INDEX(Материалы!$G$2:$G$9000,MATCH($I363,Материалы!$A$2:$A$9000,0)),""),"OK","!! не та группа"))</f>
        <v/>
      </c>
      <c r="L363" s="10">
        <f>IFERROR(INDEX(Работы!$H$2:$H$6000,MATCH($C363,Работы!$A$2:$A$6000,0))*(1-ДисконтТендер),0)</f>
        <v>317.55</v>
      </c>
      <c r="M363" s="10">
        <f>IF($I363="",0,IFERROR(INDEX(Материалы!$I$2:$I$9000,MATCH($I363,Материалы!$A$2:$A$9000,0))*IF(INDEX(Материалы!$J$2:$J$9000,MATCH($I363,Материалы!$A$2:$A$9000,0))="USD",КурсUSD,IF(INDEX(Материалы!$J$2:$J$9000,MATCH($I363,Материалы!$A$2:$A$9000,0))="EUR",КурсEUR,1))*INDEX(Материалы!$K$2:$K$9000,MATCH($I363,Материалы!$A$2:$A$9000,0))*(1+IFERROR(INDEX(Работы!$I$2:$I$6000,MATCH($C363,Работы!$A$2:$A$6000,0))/100,0))*(1-ДисконтТендер),0))</f>
        <v>0</v>
      </c>
      <c r="N363" s="10">
        <f t="shared" si="15"/>
        <v>0</v>
      </c>
      <c r="O363" s="10">
        <f t="shared" si="16"/>
        <v>0</v>
      </c>
      <c r="P363" s="10">
        <f t="shared" si="17"/>
        <v>0</v>
      </c>
      <c r="Q363" t="str">
        <f>IFERROR(INDEX(Работы!$J$2:$J$6000,MATCH($C363,Работы!$A$2:$A$6000,0)),"")</f>
        <v>типовая</v>
      </c>
      <c r="R363" t="s">
        <v>92</v>
      </c>
      <c r="T363" t="str">
        <f>IF(AND($P363&gt;0,$R363="да"),MAX($T$1:$T362)+1,"")</f>
        <v/>
      </c>
    </row>
    <row r="364" spans="1:20" ht="28.8" x14ac:dyDescent="0.3">
      <c r="A364" t="str">
        <f>IFERROR(INDEX(Работы!$D$2:$D$6000,MATCH($C364,Работы!$A$2:$A$6000,0)),"")</f>
        <v>Р3</v>
      </c>
      <c r="B364" t="str">
        <f>IFERROR(INDEX(Работы!$F$2:$F$6000,MATCH($C364,Работы!$A$2:$A$6000,0)),"")</f>
        <v>6</v>
      </c>
      <c r="C364" t="str">
        <f>IFERROR(INDEX(Работы!$A$2:$A$6000,363),"")</f>
        <v>РАБ.Р3.6.037</v>
      </c>
      <c r="D364" s="8" t="str">
        <f>IFERROR(INDEX(Работы!$B$2:$B$6000,MATCH($C364,Работы!$A$2:$A$6000,0)),"")</f>
        <v>Установка плинтуса алюминиевого h80 мм, Fezard 2500*80*10 c соединителями и углами или аналог.</v>
      </c>
      <c r="E364" t="str">
        <f>IFERROR(INDEX(Работы!$C$2:$C$6000,MATCH($C364,Работы!$A$2:$A$6000,0)),"")</f>
        <v>м.п.</v>
      </c>
      <c r="F364" t="str">
        <f>IFERROR(INDEX(Работы!$G$2:$G$6000,MATCH($C364,Работы!$A$2:$A$6000,0)),"")</f>
        <v>ПЛИНТ</v>
      </c>
      <c r="G364" t="str">
        <f>IFERROR(INDEX(Работы!$K$2:$K$6000,MATCH($C364,Работы!$A$2:$A$6000,0)),"")</f>
        <v>Периметр_пола</v>
      </c>
      <c r="H364" s="9"/>
      <c r="I364" s="9"/>
      <c r="J364" s="8" t="str">
        <f>IFERROR(INDEX(Материалы!$B$2:$B$9000,MATCH($I364,Материалы!$A$2:$A$9000,0)),"")</f>
        <v/>
      </c>
      <c r="K364" t="str">
        <f>IF($I364="","",IF($F364=IFERROR(INDEX(Материалы!$G$2:$G$9000,MATCH($I364,Материалы!$A$2:$A$9000,0)),""),"OK","!! не та группа"))</f>
        <v/>
      </c>
      <c r="L364" s="10">
        <f>IFERROR(INDEX(Работы!$H$2:$H$6000,MATCH($C364,Работы!$A$2:$A$6000,0))*(1-ДисконтТендер),0)</f>
        <v>434.3</v>
      </c>
      <c r="M364" s="10">
        <f>IF($I364="",0,IFERROR(INDEX(Материалы!$I$2:$I$9000,MATCH($I364,Материалы!$A$2:$A$9000,0))*IF(INDEX(Материалы!$J$2:$J$9000,MATCH($I364,Материалы!$A$2:$A$9000,0))="USD",КурсUSD,IF(INDEX(Материалы!$J$2:$J$9000,MATCH($I364,Материалы!$A$2:$A$9000,0))="EUR",КурсEUR,1))*INDEX(Материалы!$K$2:$K$9000,MATCH($I364,Материалы!$A$2:$A$9000,0))*(1+IFERROR(INDEX(Работы!$I$2:$I$6000,MATCH($C364,Работы!$A$2:$A$6000,0))/100,0))*(1-ДисконтТендер),0))</f>
        <v>0</v>
      </c>
      <c r="N364" s="10">
        <f t="shared" si="15"/>
        <v>0</v>
      </c>
      <c r="O364" s="10">
        <f t="shared" si="16"/>
        <v>0</v>
      </c>
      <c r="P364" s="10">
        <f t="shared" si="17"/>
        <v>0</v>
      </c>
      <c r="Q364" t="str">
        <f>IFERROR(INDEX(Работы!$J$2:$J$6000,MATCH($C364,Работы!$A$2:$A$6000,0)),"")</f>
        <v>типовая</v>
      </c>
      <c r="R364" t="s">
        <v>92</v>
      </c>
      <c r="T364" t="str">
        <f>IF(AND($P364&gt;0,$R364="да"),MAX($T$1:$T363)+1,"")</f>
        <v/>
      </c>
    </row>
    <row r="365" spans="1:20" ht="28.8" x14ac:dyDescent="0.3">
      <c r="A365" t="str">
        <f>IFERROR(INDEX(Работы!$D$2:$D$6000,MATCH($C365,Работы!$A$2:$A$6000,0)),"")</f>
        <v>Р3</v>
      </c>
      <c r="B365" t="str">
        <f>IFERROR(INDEX(Работы!$F$2:$F$6000,MATCH($C365,Работы!$A$2:$A$6000,0)),"")</f>
        <v>6</v>
      </c>
      <c r="C365" t="str">
        <f>IFERROR(INDEX(Работы!$A$2:$A$6000,364),"")</f>
        <v>РАБ.Р3.6.038</v>
      </c>
      <c r="D365" s="8" t="str">
        <f>IFERROR(INDEX(Работы!$B$2:$B$6000,MATCH($C365,Работы!$A$2:$A$6000,0)),"")</f>
        <v>Устройство ниши в покрытии из керамогранита для укладки грязезащитного коврика</v>
      </c>
      <c r="E365" t="str">
        <f>IFERROR(INDEX(Работы!$C$2:$C$6000,MATCH($C365,Работы!$A$2:$A$6000,0)),"")</f>
        <v>м2</v>
      </c>
      <c r="F365" t="str">
        <f>IFERROR(INDEX(Работы!$G$2:$G$6000,MATCH($C365,Работы!$A$2:$A$6000,0)),"")</f>
        <v>ПОЛ.КГ</v>
      </c>
      <c r="G365" t="str">
        <f>IFERROR(INDEX(Работы!$K$2:$K$6000,MATCH($C365,Работы!$A$2:$A$6000,0)),"")</f>
        <v>Спецификация</v>
      </c>
      <c r="H365" s="9"/>
      <c r="I365" s="9"/>
      <c r="J365" s="8" t="str">
        <f>IFERROR(INDEX(Материалы!$B$2:$B$9000,MATCH($I365,Материалы!$A$2:$A$9000,0)),"")</f>
        <v/>
      </c>
      <c r="K365" t="str">
        <f>IF($I365="","",IF($F365=IFERROR(INDEX(Материалы!$G$2:$G$9000,MATCH($I365,Материалы!$A$2:$A$9000,0)),""),"OK","!! не та группа"))</f>
        <v/>
      </c>
      <c r="L365" s="10">
        <f>IFERROR(INDEX(Работы!$H$2:$H$6000,MATCH($C365,Работы!$A$2:$A$6000,0))*(1-ДисконтТендер),0)</f>
        <v>3262.5</v>
      </c>
      <c r="M365" s="10">
        <f>IF($I365="",0,IFERROR(INDEX(Материалы!$I$2:$I$9000,MATCH($I365,Материалы!$A$2:$A$9000,0))*IF(INDEX(Материалы!$J$2:$J$9000,MATCH($I365,Материалы!$A$2:$A$9000,0))="USD",КурсUSD,IF(INDEX(Материалы!$J$2:$J$9000,MATCH($I365,Материалы!$A$2:$A$9000,0))="EUR",КурсEUR,1))*INDEX(Материалы!$K$2:$K$9000,MATCH($I365,Материалы!$A$2:$A$9000,0))*(1+IFERROR(INDEX(Работы!$I$2:$I$6000,MATCH($C365,Работы!$A$2:$A$6000,0))/100,0))*(1-ДисконтТендер),0))</f>
        <v>0</v>
      </c>
      <c r="N365" s="10">
        <f t="shared" si="15"/>
        <v>0</v>
      </c>
      <c r="O365" s="10">
        <f t="shared" si="16"/>
        <v>0</v>
      </c>
      <c r="P365" s="10">
        <f t="shared" si="17"/>
        <v>0</v>
      </c>
      <c r="Q365" t="str">
        <f>IFERROR(INDEX(Работы!$J$2:$J$6000,MATCH($C365,Работы!$A$2:$A$6000,0)),"")</f>
        <v>типовая</v>
      </c>
      <c r="R365" t="s">
        <v>92</v>
      </c>
      <c r="T365" t="str">
        <f>IF(AND($P365&gt;0,$R365="да"),MAX($T$1:$T364)+1,"")</f>
        <v/>
      </c>
    </row>
    <row r="366" spans="1:20" ht="28.8" x14ac:dyDescent="0.3">
      <c r="A366" t="str">
        <f>IFERROR(INDEX(Работы!$D$2:$D$6000,MATCH($C366,Работы!$A$2:$A$6000,0)),"")</f>
        <v>Р3</v>
      </c>
      <c r="B366" t="str">
        <f>IFERROR(INDEX(Работы!$F$2:$F$6000,MATCH($C366,Работы!$A$2:$A$6000,0)),"")</f>
        <v>6</v>
      </c>
      <c r="C366" t="str">
        <f>IFERROR(INDEX(Работы!$A$2:$A$6000,365),"")</f>
        <v>РАБ.Р3.6.039</v>
      </c>
      <c r="D366" s="8" t="str">
        <f>IFERROR(INDEX(Работы!$B$2:$B$6000,MATCH($C366,Работы!$A$2:$A$6000,0)),"")</f>
        <v>Монтаж грязезащитного коврика СИТИТОП Сити резина + текстиль + скребок)</v>
      </c>
      <c r="E366" t="str">
        <f>IFERROR(INDEX(Работы!$C$2:$C$6000,MATCH($C366,Работы!$A$2:$A$6000,0)),"")</f>
        <v>м2</v>
      </c>
      <c r="F366">
        <f>IFERROR(INDEX(Работы!$G$2:$G$6000,MATCH($C366,Работы!$A$2:$A$6000,0)),"")</f>
        <v>0</v>
      </c>
      <c r="G366" t="str">
        <f>IFERROR(INDEX(Работы!$K$2:$K$6000,MATCH($C366,Работы!$A$2:$A$6000,0)),"")</f>
        <v>Спецификация</v>
      </c>
      <c r="H366" s="9"/>
      <c r="I366" s="9"/>
      <c r="J366" s="8" t="str">
        <f>IFERROR(INDEX(Материалы!$B$2:$B$9000,MATCH($I366,Материалы!$A$2:$A$9000,0)),"")</f>
        <v/>
      </c>
      <c r="K366" t="str">
        <f>IF($I366="","",IF($F366=IFERROR(INDEX(Материалы!$G$2:$G$9000,MATCH($I366,Материалы!$A$2:$A$9000,0)),""),"OK","!! не та группа"))</f>
        <v/>
      </c>
      <c r="L366" s="10">
        <f>IFERROR(INDEX(Работы!$H$2:$H$6000,MATCH($C366,Работы!$A$2:$A$6000,0))*(1-ДисконтТендер),0)</f>
        <v>1746.09</v>
      </c>
      <c r="M366" s="10">
        <f>IF($I366="",0,IFERROR(INDEX(Материалы!$I$2:$I$9000,MATCH($I366,Материалы!$A$2:$A$9000,0))*IF(INDEX(Материалы!$J$2:$J$9000,MATCH($I366,Материалы!$A$2:$A$9000,0))="USD",КурсUSD,IF(INDEX(Материалы!$J$2:$J$9000,MATCH($I366,Материалы!$A$2:$A$9000,0))="EUR",КурсEUR,1))*INDEX(Материалы!$K$2:$K$9000,MATCH($I366,Материалы!$A$2:$A$9000,0))*(1+IFERROR(INDEX(Работы!$I$2:$I$6000,MATCH($C366,Работы!$A$2:$A$6000,0))/100,0))*(1-ДисконтТендер),0))</f>
        <v>0</v>
      </c>
      <c r="N366" s="10">
        <f t="shared" si="15"/>
        <v>0</v>
      </c>
      <c r="O366" s="10">
        <f t="shared" si="16"/>
        <v>0</v>
      </c>
      <c r="P366" s="10">
        <f t="shared" si="17"/>
        <v>0</v>
      </c>
      <c r="Q366" t="str">
        <f>IFERROR(INDEX(Работы!$J$2:$J$6000,MATCH($C366,Работы!$A$2:$A$6000,0)),"")</f>
        <v>типовая</v>
      </c>
      <c r="R366" t="s">
        <v>92</v>
      </c>
      <c r="T366" t="str">
        <f>IF(AND($P366&gt;0,$R366="да"),MAX($T$1:$T365)+1,"")</f>
        <v/>
      </c>
    </row>
    <row r="367" spans="1:20" ht="28.8" x14ac:dyDescent="0.3">
      <c r="A367" t="str">
        <f>IFERROR(INDEX(Работы!$D$2:$D$6000,MATCH($C367,Работы!$A$2:$A$6000,0)),"")</f>
        <v>Р3</v>
      </c>
      <c r="B367" t="str">
        <f>IFERROR(INDEX(Работы!$F$2:$F$6000,MATCH($C367,Работы!$A$2:$A$6000,0)),"")</f>
        <v>6</v>
      </c>
      <c r="C367" t="str">
        <f>IFERROR(INDEX(Работы!$A$2:$A$6000,366),"")</f>
        <v>РАБ.Р3.6.040</v>
      </c>
      <c r="D367" s="8" t="str">
        <f>IFERROR(INDEX(Работы!$B$2:$B$6000,MATCH($C367,Работы!$A$2:$A$6000,0)),"")</f>
        <v>Устройство штроб в цементно-песчаной стяжке пола</v>
      </c>
      <c r="E367" t="str">
        <f>IFERROR(INDEX(Работы!$C$2:$C$6000,MATCH($C367,Работы!$A$2:$A$6000,0)),"")</f>
        <v>м.п.</v>
      </c>
      <c r="F367">
        <f>IFERROR(INDEX(Работы!$G$2:$G$6000,MATCH($C367,Работы!$A$2:$A$6000,0)),"")</f>
        <v>0</v>
      </c>
      <c r="G367" t="str">
        <f>IFERROR(INDEX(Работы!$K$2:$K$6000,MATCH($C367,Работы!$A$2:$A$6000,0)),"")</f>
        <v>S_пол</v>
      </c>
      <c r="H367" s="9"/>
      <c r="I367" s="9"/>
      <c r="J367" s="8" t="str">
        <f>IFERROR(INDEX(Материалы!$B$2:$B$9000,MATCH($I367,Материалы!$A$2:$A$9000,0)),"")</f>
        <v/>
      </c>
      <c r="K367" t="str">
        <f>IF($I367="","",IF($F367=IFERROR(INDEX(Материалы!$G$2:$G$9000,MATCH($I367,Материалы!$A$2:$A$9000,0)),""),"OK","!! не та группа"))</f>
        <v/>
      </c>
      <c r="L367" s="10">
        <f>IFERROR(INDEX(Работы!$H$2:$H$6000,MATCH($C367,Работы!$A$2:$A$6000,0))*(1-ДисконтТендер),0)</f>
        <v>616.1</v>
      </c>
      <c r="M367" s="10">
        <f>IF($I367="",0,IFERROR(INDEX(Материалы!$I$2:$I$9000,MATCH($I367,Материалы!$A$2:$A$9000,0))*IF(INDEX(Материалы!$J$2:$J$9000,MATCH($I367,Материалы!$A$2:$A$9000,0))="USD",КурсUSD,IF(INDEX(Материалы!$J$2:$J$9000,MATCH($I367,Материалы!$A$2:$A$9000,0))="EUR",КурсEUR,1))*INDEX(Материалы!$K$2:$K$9000,MATCH($I367,Материалы!$A$2:$A$9000,0))*(1+IFERROR(INDEX(Работы!$I$2:$I$6000,MATCH($C367,Работы!$A$2:$A$6000,0))/100,0))*(1-ДисконтТендер),0))</f>
        <v>0</v>
      </c>
      <c r="N367" s="10">
        <f t="shared" si="15"/>
        <v>0</v>
      </c>
      <c r="O367" s="10">
        <f t="shared" si="16"/>
        <v>0</v>
      </c>
      <c r="P367" s="10">
        <f t="shared" si="17"/>
        <v>0</v>
      </c>
      <c r="Q367" t="str">
        <f>IFERROR(INDEX(Работы!$J$2:$J$6000,MATCH($C367,Работы!$A$2:$A$6000,0)),"")</f>
        <v>типовая</v>
      </c>
      <c r="R367" t="s">
        <v>92</v>
      </c>
      <c r="T367" t="str">
        <f>IF(AND($P367&gt;0,$R367="да"),MAX($T$1:$T366)+1,"")</f>
        <v/>
      </c>
    </row>
    <row r="368" spans="1:20" x14ac:dyDescent="0.3">
      <c r="A368" t="str">
        <f>IFERROR(INDEX(Работы!$D$2:$D$6000,MATCH($C368,Работы!$A$2:$A$6000,0)),"")</f>
        <v>Р3</v>
      </c>
      <c r="B368" t="str">
        <f>IFERROR(INDEX(Работы!$F$2:$F$6000,MATCH($C368,Работы!$A$2:$A$6000,0)),"")</f>
        <v>6</v>
      </c>
      <c r="C368" t="str">
        <f>IFERROR(INDEX(Работы!$A$2:$A$6000,367),"")</f>
        <v>РАБ.Р3.6.041</v>
      </c>
      <c r="D368" s="8" t="str">
        <f>IFERROR(INDEX(Работы!$B$2:$B$6000,MATCH($C368,Работы!$A$2:$A$6000,0)),"")</f>
        <v>Заделка штроб в полу цементно-песчаным р-ром</v>
      </c>
      <c r="E368" t="str">
        <f>IFERROR(INDEX(Работы!$C$2:$C$6000,MATCH($C368,Работы!$A$2:$A$6000,0)),"")</f>
        <v>м.п.</v>
      </c>
      <c r="F368">
        <f>IFERROR(INDEX(Работы!$G$2:$G$6000,MATCH($C368,Работы!$A$2:$A$6000,0)),"")</f>
        <v>0</v>
      </c>
      <c r="G368" t="str">
        <f>IFERROR(INDEX(Работы!$K$2:$K$6000,MATCH($C368,Работы!$A$2:$A$6000,0)),"")</f>
        <v>S_пол</v>
      </c>
      <c r="H368" s="9"/>
      <c r="I368" s="9"/>
      <c r="J368" s="8" t="str">
        <f>IFERROR(INDEX(Материалы!$B$2:$B$9000,MATCH($I368,Материалы!$A$2:$A$9000,0)),"")</f>
        <v/>
      </c>
      <c r="K368" t="str">
        <f>IF($I368="","",IF($F368=IFERROR(INDEX(Материалы!$G$2:$G$9000,MATCH($I368,Материалы!$A$2:$A$9000,0)),""),"OK","!! не та группа"))</f>
        <v/>
      </c>
      <c r="L368" s="10">
        <f>IFERROR(INDEX(Работы!$H$2:$H$6000,MATCH($C368,Работы!$A$2:$A$6000,0))*(1-ДисконтТендер),0)</f>
        <v>528.39</v>
      </c>
      <c r="M368" s="10">
        <f>IF($I368="",0,IFERROR(INDEX(Материалы!$I$2:$I$9000,MATCH($I368,Материалы!$A$2:$A$9000,0))*IF(INDEX(Материалы!$J$2:$J$9000,MATCH($I368,Материалы!$A$2:$A$9000,0))="USD",КурсUSD,IF(INDEX(Материалы!$J$2:$J$9000,MATCH($I368,Материалы!$A$2:$A$9000,0))="EUR",КурсEUR,1))*INDEX(Материалы!$K$2:$K$9000,MATCH($I368,Материалы!$A$2:$A$9000,0))*(1+IFERROR(INDEX(Работы!$I$2:$I$6000,MATCH($C368,Работы!$A$2:$A$6000,0))/100,0))*(1-ДисконтТендер),0))</f>
        <v>0</v>
      </c>
      <c r="N368" s="10">
        <f t="shared" si="15"/>
        <v>0</v>
      </c>
      <c r="O368" s="10">
        <f t="shared" si="16"/>
        <v>0</v>
      </c>
      <c r="P368" s="10">
        <f t="shared" si="17"/>
        <v>0</v>
      </c>
      <c r="Q368" t="str">
        <f>IFERROR(INDEX(Работы!$J$2:$J$6000,MATCH($C368,Работы!$A$2:$A$6000,0)),"")</f>
        <v>типовая</v>
      </c>
      <c r="R368" t="s">
        <v>92</v>
      </c>
      <c r="T368" t="str">
        <f>IF(AND($P368&gt;0,$R368="да"),MAX($T$1:$T367)+1,"")</f>
        <v/>
      </c>
    </row>
    <row r="369" spans="1:20" ht="28.8" x14ac:dyDescent="0.3">
      <c r="A369" t="str">
        <f>IFERROR(INDEX(Работы!$D$2:$D$6000,MATCH($C369,Работы!$A$2:$A$6000,0)),"")</f>
        <v>Р3</v>
      </c>
      <c r="B369" t="str">
        <f>IFERROR(INDEX(Работы!$F$2:$F$6000,MATCH($C369,Работы!$A$2:$A$6000,0)),"")</f>
        <v>6</v>
      </c>
      <c r="C369" t="str">
        <f>IFERROR(INDEX(Работы!$A$2:$A$6000,368),"")</f>
        <v>РАБ.Р3.6.042</v>
      </c>
      <c r="D369" s="8" t="str">
        <f>IFERROR(INDEX(Работы!$B$2:$B$6000,MATCH($C369,Работы!$A$2:$A$6000,0)),"")</f>
        <v>Укрытие полов листами ДВП на время производства работ</v>
      </c>
      <c r="E369" t="str">
        <f>IFERROR(INDEX(Работы!$C$2:$C$6000,MATCH($C369,Работы!$A$2:$A$6000,0)),"")</f>
        <v>м2</v>
      </c>
      <c r="F369">
        <f>IFERROR(INDEX(Работы!$G$2:$G$6000,MATCH($C369,Работы!$A$2:$A$6000,0)),"")</f>
        <v>0</v>
      </c>
      <c r="G369" t="str">
        <f>IFERROR(INDEX(Работы!$K$2:$K$6000,MATCH($C369,Работы!$A$2:$A$6000,0)),"")</f>
        <v>S_пол</v>
      </c>
      <c r="H369" s="9"/>
      <c r="I369" s="9"/>
      <c r="J369" s="8" t="str">
        <f>IFERROR(INDEX(Материалы!$B$2:$B$9000,MATCH($I369,Материалы!$A$2:$A$9000,0)),"")</f>
        <v/>
      </c>
      <c r="K369" t="str">
        <f>IF($I369="","",IF($F369=IFERROR(INDEX(Материалы!$G$2:$G$9000,MATCH($I369,Материалы!$A$2:$A$9000,0)),""),"OK","!! не та группа"))</f>
        <v/>
      </c>
      <c r="L369" s="10">
        <f>IFERROR(INDEX(Работы!$H$2:$H$6000,MATCH($C369,Работы!$A$2:$A$6000,0))*(1-ДисконтТендер),0)</f>
        <v>95.7</v>
      </c>
      <c r="M369" s="10">
        <f>IF($I369="",0,IFERROR(INDEX(Материалы!$I$2:$I$9000,MATCH($I369,Материалы!$A$2:$A$9000,0))*IF(INDEX(Материалы!$J$2:$J$9000,MATCH($I369,Материалы!$A$2:$A$9000,0))="USD",КурсUSD,IF(INDEX(Материалы!$J$2:$J$9000,MATCH($I369,Материалы!$A$2:$A$9000,0))="EUR",КурсEUR,1))*INDEX(Материалы!$K$2:$K$9000,MATCH($I369,Материалы!$A$2:$A$9000,0))*(1+IFERROR(INDEX(Работы!$I$2:$I$6000,MATCH($C369,Работы!$A$2:$A$6000,0))/100,0))*(1-ДисконтТендер),0))</f>
        <v>0</v>
      </c>
      <c r="N369" s="10">
        <f t="shared" si="15"/>
        <v>0</v>
      </c>
      <c r="O369" s="10">
        <f t="shared" si="16"/>
        <v>0</v>
      </c>
      <c r="P369" s="10">
        <f t="shared" si="17"/>
        <v>0</v>
      </c>
      <c r="Q369" t="str">
        <f>IFERROR(INDEX(Работы!$J$2:$J$6000,MATCH($C369,Работы!$A$2:$A$6000,0)),"")</f>
        <v>типовая</v>
      </c>
      <c r="R369" t="s">
        <v>92</v>
      </c>
      <c r="T369" t="str">
        <f>IF(AND($P369&gt;0,$R369="да"),MAX($T$1:$T368)+1,"")</f>
        <v/>
      </c>
    </row>
    <row r="370" spans="1:20" ht="28.8" x14ac:dyDescent="0.3">
      <c r="A370" t="str">
        <f>IFERROR(INDEX(Работы!$D$2:$D$6000,MATCH($C370,Работы!$A$2:$A$6000,0)),"")</f>
        <v>Р3</v>
      </c>
      <c r="B370" t="str">
        <f>IFERROR(INDEX(Работы!$F$2:$F$6000,MATCH($C370,Работы!$A$2:$A$6000,0)),"")</f>
        <v>6</v>
      </c>
      <c r="C370" t="str">
        <f>IFERROR(INDEX(Работы!$A$2:$A$6000,369),"")</f>
        <v>РАБ.Р3.6.043</v>
      </c>
      <c r="D370" s="8" t="str">
        <f>IFERROR(INDEX(Работы!$B$2:$B$6000,MATCH($C370,Работы!$A$2:$A$6000,0)),"")</f>
        <v>Укрытие полов пленкой полиэтиленовой 200 мкм на время производства работ</v>
      </c>
      <c r="E370" t="str">
        <f>IFERROR(INDEX(Работы!$C$2:$C$6000,MATCH($C370,Работы!$A$2:$A$6000,0)),"")</f>
        <v>м2</v>
      </c>
      <c r="F370">
        <f>IFERROR(INDEX(Работы!$G$2:$G$6000,MATCH($C370,Работы!$A$2:$A$6000,0)),"")</f>
        <v>0</v>
      </c>
      <c r="G370" t="str">
        <f>IFERROR(INDEX(Работы!$K$2:$K$6000,MATCH($C370,Работы!$A$2:$A$6000,0)),"")</f>
        <v>S_пол</v>
      </c>
      <c r="H370" s="9"/>
      <c r="I370" s="9"/>
      <c r="J370" s="8" t="str">
        <f>IFERROR(INDEX(Материалы!$B$2:$B$9000,MATCH($I370,Материалы!$A$2:$A$9000,0)),"")</f>
        <v/>
      </c>
      <c r="K370" t="str">
        <f>IF($I370="","",IF($F370=IFERROR(INDEX(Материалы!$G$2:$G$9000,MATCH($I370,Материалы!$A$2:$A$9000,0)),""),"OK","!! не та группа"))</f>
        <v/>
      </c>
      <c r="L370" s="10">
        <f>IFERROR(INDEX(Работы!$H$2:$H$6000,MATCH($C370,Работы!$A$2:$A$6000,0))*(1-ДисконтТендер),0)</f>
        <v>67.86</v>
      </c>
      <c r="M370" s="10">
        <f>IF($I370="",0,IFERROR(INDEX(Материалы!$I$2:$I$9000,MATCH($I370,Материалы!$A$2:$A$9000,0))*IF(INDEX(Материалы!$J$2:$J$9000,MATCH($I370,Материалы!$A$2:$A$9000,0))="USD",КурсUSD,IF(INDEX(Материалы!$J$2:$J$9000,MATCH($I370,Материалы!$A$2:$A$9000,0))="EUR",КурсEUR,1))*INDEX(Материалы!$K$2:$K$9000,MATCH($I370,Материалы!$A$2:$A$9000,0))*(1+IFERROR(INDEX(Работы!$I$2:$I$6000,MATCH($C370,Работы!$A$2:$A$6000,0))/100,0))*(1-ДисконтТендер),0))</f>
        <v>0</v>
      </c>
      <c r="N370" s="10">
        <f t="shared" si="15"/>
        <v>0</v>
      </c>
      <c r="O370" s="10">
        <f t="shared" si="16"/>
        <v>0</v>
      </c>
      <c r="P370" s="10">
        <f t="shared" si="17"/>
        <v>0</v>
      </c>
      <c r="Q370" t="str">
        <f>IFERROR(INDEX(Работы!$J$2:$J$6000,MATCH($C370,Работы!$A$2:$A$6000,0)),"")</f>
        <v>типовая</v>
      </c>
      <c r="R370" t="s">
        <v>92</v>
      </c>
      <c r="T370" t="str">
        <f>IF(AND($P370&gt;0,$R370="да"),MAX($T$1:$T369)+1,"")</f>
        <v/>
      </c>
    </row>
    <row r="371" spans="1:20" x14ac:dyDescent="0.3">
      <c r="A371" t="str">
        <f>IFERROR(INDEX(Работы!$D$2:$D$6000,MATCH($C371,Работы!$A$2:$A$6000,0)),"")</f>
        <v>Р3</v>
      </c>
      <c r="B371" t="str">
        <f>IFERROR(INDEX(Работы!$F$2:$F$6000,MATCH($C371,Работы!$A$2:$A$6000,0)),"")</f>
        <v>6</v>
      </c>
      <c r="C371" t="str">
        <f>IFERROR(INDEX(Работы!$A$2:$A$6000,370),"")</f>
        <v>РАБ.Р3.6.044</v>
      </c>
      <c r="D371" s="8" t="str">
        <f>IFERROR(INDEX(Работы!$B$2:$B$6000,MATCH($C371,Работы!$A$2:$A$6000,0)),"")</f>
        <v>Устройство фальшпола</v>
      </c>
      <c r="E371" t="str">
        <f>IFERROR(INDEX(Работы!$C$2:$C$6000,MATCH($C371,Работы!$A$2:$A$6000,0)),"")</f>
        <v>м2</v>
      </c>
      <c r="F371" t="str">
        <f>IFERROR(INDEX(Работы!$G$2:$G$6000,MATCH($C371,Работы!$A$2:$A$6000,0)),"")</f>
        <v>ФАЛЬШПОЛ</v>
      </c>
      <c r="G371" t="str">
        <f>IFERROR(INDEX(Работы!$K$2:$K$6000,MATCH($C371,Работы!$A$2:$A$6000,0)),"")</f>
        <v>S_пол</v>
      </c>
      <c r="H371" s="9"/>
      <c r="I371" s="9"/>
      <c r="J371" s="8" t="str">
        <f>IFERROR(INDEX(Материалы!$B$2:$B$9000,MATCH($I371,Материалы!$A$2:$A$9000,0)),"")</f>
        <v/>
      </c>
      <c r="K371" t="str">
        <f>IF($I371="","",IF($F371=IFERROR(INDEX(Материалы!$G$2:$G$9000,MATCH($I371,Материалы!$A$2:$A$9000,0)),""),"OK","!! не та группа"))</f>
        <v/>
      </c>
      <c r="L371" s="10">
        <f>IFERROR(INDEX(Работы!$H$2:$H$6000,MATCH($C371,Работы!$A$2:$A$6000,0))*(1-ДисконтТендер),0)</f>
        <v>1287</v>
      </c>
      <c r="M371" s="10">
        <f>IF($I371="",0,IFERROR(INDEX(Материалы!$I$2:$I$9000,MATCH($I371,Материалы!$A$2:$A$9000,0))*IF(INDEX(Материалы!$J$2:$J$9000,MATCH($I371,Материалы!$A$2:$A$9000,0))="USD",КурсUSD,IF(INDEX(Материалы!$J$2:$J$9000,MATCH($I371,Материалы!$A$2:$A$9000,0))="EUR",КурсEUR,1))*INDEX(Материалы!$K$2:$K$9000,MATCH($I371,Материалы!$A$2:$A$9000,0))*(1+IFERROR(INDEX(Работы!$I$2:$I$6000,MATCH($C371,Работы!$A$2:$A$6000,0))/100,0))*(1-ДисконтТендер),0))</f>
        <v>0</v>
      </c>
      <c r="N371" s="10">
        <f t="shared" si="15"/>
        <v>0</v>
      </c>
      <c r="O371" s="10">
        <f t="shared" si="16"/>
        <v>0</v>
      </c>
      <c r="P371" s="10">
        <f t="shared" si="17"/>
        <v>0</v>
      </c>
      <c r="Q371" t="str">
        <f>IFERROR(INDEX(Работы!$J$2:$J$6000,MATCH($C371,Работы!$A$2:$A$6000,0)),"")</f>
        <v>типовая</v>
      </c>
      <c r="R371" t="s">
        <v>92</v>
      </c>
      <c r="T371" t="str">
        <f>IF(AND($P371&gt;0,$R371="да"),MAX($T$1:$T370)+1,"")</f>
        <v/>
      </c>
    </row>
    <row r="372" spans="1:20" ht="43.2" x14ac:dyDescent="0.3">
      <c r="A372" t="str">
        <f>IFERROR(INDEX(Работы!$D$2:$D$6000,MATCH($C372,Работы!$A$2:$A$6000,0)),"")</f>
        <v>Р3</v>
      </c>
      <c r="B372" t="str">
        <f>IFERROR(INDEX(Работы!$F$2:$F$6000,MATCH($C372,Работы!$A$2:$A$6000,0)),"")</f>
        <v>6</v>
      </c>
      <c r="C372" t="str">
        <f>IFERROR(INDEX(Работы!$A$2:$A$6000,371),"")</f>
        <v>РАБ.Р3.6.045</v>
      </c>
      <c r="D372" s="8" t="str">
        <f>IFERROR(INDEX(Работы!$B$2:$B$6000,MATCH($C372,Работы!$A$2:$A$6000,0)),"")</f>
        <v>антистатическим покрытием) ANKER тип BRIKK N28ST/PVC Emerald Plus 5092, с учетом подрезки 10%</v>
      </c>
      <c r="E372" t="str">
        <f>IFERROR(INDEX(Работы!$C$2:$C$6000,MATCH($C372,Работы!$A$2:$A$6000,0)),"")</f>
        <v>м2</v>
      </c>
      <c r="F372">
        <f>IFERROR(INDEX(Работы!$G$2:$G$6000,MATCH($C372,Работы!$A$2:$A$6000,0)),"")</f>
        <v>0</v>
      </c>
      <c r="G372" t="str">
        <f>IFERROR(INDEX(Работы!$K$2:$K$6000,MATCH($C372,Работы!$A$2:$A$6000,0)),"")</f>
        <v>S_поверхность</v>
      </c>
      <c r="H372" s="9"/>
      <c r="I372" s="9"/>
      <c r="J372" s="8" t="str">
        <f>IFERROR(INDEX(Материалы!$B$2:$B$9000,MATCH($I372,Материалы!$A$2:$A$9000,0)),"")</f>
        <v/>
      </c>
      <c r="K372" t="str">
        <f>IF($I372="","",IF($F372=IFERROR(INDEX(Материалы!$G$2:$G$9000,MATCH($I372,Материалы!$A$2:$A$9000,0)),""),"OK","!! не та группа"))</f>
        <v/>
      </c>
      <c r="L372" s="10">
        <f>IFERROR(INDEX(Работы!$H$2:$H$6000,MATCH($C372,Работы!$A$2:$A$6000,0))*(1-ДисконтТендер),0)</f>
        <v>165</v>
      </c>
      <c r="M372" s="10">
        <f>IF($I372="",0,IFERROR(INDEX(Материалы!$I$2:$I$9000,MATCH($I372,Материалы!$A$2:$A$9000,0))*IF(INDEX(Материалы!$J$2:$J$9000,MATCH($I372,Материалы!$A$2:$A$9000,0))="USD",КурсUSD,IF(INDEX(Материалы!$J$2:$J$9000,MATCH($I372,Материалы!$A$2:$A$9000,0))="EUR",КурсEUR,1))*INDEX(Материалы!$K$2:$K$9000,MATCH($I372,Материалы!$A$2:$A$9000,0))*(1+IFERROR(INDEX(Работы!$I$2:$I$6000,MATCH($C372,Работы!$A$2:$A$6000,0))/100,0))*(1-ДисконтТендер),0))</f>
        <v>0</v>
      </c>
      <c r="N372" s="10">
        <f t="shared" si="15"/>
        <v>0</v>
      </c>
      <c r="O372" s="10">
        <f t="shared" si="16"/>
        <v>0</v>
      </c>
      <c r="P372" s="10">
        <f t="shared" si="17"/>
        <v>0</v>
      </c>
      <c r="Q372" t="str">
        <f>IFERROR(INDEX(Работы!$J$2:$J$6000,MATCH($C372,Работы!$A$2:$A$6000,0)),"")</f>
        <v>типовая</v>
      </c>
      <c r="R372" t="s">
        <v>92</v>
      </c>
      <c r="T372" t="str">
        <f>IF(AND($P372&gt;0,$R372="да"),MAX($T$1:$T371)+1,"")</f>
        <v/>
      </c>
    </row>
    <row r="373" spans="1:20" ht="28.8" x14ac:dyDescent="0.3">
      <c r="A373" t="str">
        <f>IFERROR(INDEX(Работы!$D$2:$D$6000,MATCH($C373,Работы!$A$2:$A$6000,0)),"")</f>
        <v>Р3</v>
      </c>
      <c r="B373" t="str">
        <f>IFERROR(INDEX(Работы!$F$2:$F$6000,MATCH($C373,Работы!$A$2:$A$6000,0)),"")</f>
        <v>6</v>
      </c>
      <c r="C373" t="str">
        <f>IFERROR(INDEX(Работы!$A$2:$A$6000,372),"")</f>
        <v>РАБ.Р3.6.046</v>
      </c>
      <c r="D373" s="8" t="str">
        <f>IFERROR(INDEX(Работы!$B$2:$B$6000,MATCH($C373,Работы!$A$2:$A$6000,0)),"")</f>
        <v>Устройство противоскользящих уголков на ступени</v>
      </c>
      <c r="E373" t="str">
        <f>IFERROR(INDEX(Работы!$C$2:$C$6000,MATCH($C373,Работы!$A$2:$A$6000,0)),"")</f>
        <v>м.п.</v>
      </c>
      <c r="F373">
        <f>IFERROR(INDEX(Работы!$G$2:$G$6000,MATCH($C373,Работы!$A$2:$A$6000,0)),"")</f>
        <v>0</v>
      </c>
      <c r="G373" t="str">
        <f>IFERROR(INDEX(Работы!$K$2:$K$6000,MATCH($C373,Работы!$A$2:$A$6000,0)),"")</f>
        <v>Погонаж</v>
      </c>
      <c r="H373" s="9"/>
      <c r="I373" s="9"/>
      <c r="J373" s="8" t="str">
        <f>IFERROR(INDEX(Материалы!$B$2:$B$9000,MATCH($I373,Материалы!$A$2:$A$9000,0)),"")</f>
        <v/>
      </c>
      <c r="K373" t="str">
        <f>IF($I373="","",IF($F373=IFERROR(INDEX(Материалы!$G$2:$G$9000,MATCH($I373,Материалы!$A$2:$A$9000,0)),""),"OK","!! не та группа"))</f>
        <v/>
      </c>
      <c r="L373" s="10">
        <f>IFERROR(INDEX(Работы!$H$2:$H$6000,MATCH($C373,Работы!$A$2:$A$6000,0))*(1-ДисконтТендер),0)</f>
        <v>393.59</v>
      </c>
      <c r="M373" s="10">
        <f>IF($I373="",0,IFERROR(INDEX(Материалы!$I$2:$I$9000,MATCH($I373,Материалы!$A$2:$A$9000,0))*IF(INDEX(Материалы!$J$2:$J$9000,MATCH($I373,Материалы!$A$2:$A$9000,0))="USD",КурсUSD,IF(INDEX(Материалы!$J$2:$J$9000,MATCH($I373,Материалы!$A$2:$A$9000,0))="EUR",КурсEUR,1))*INDEX(Материалы!$K$2:$K$9000,MATCH($I373,Материалы!$A$2:$A$9000,0))*(1+IFERROR(INDEX(Работы!$I$2:$I$6000,MATCH($C373,Работы!$A$2:$A$6000,0))/100,0))*(1-ДисконтТендер),0))</f>
        <v>0</v>
      </c>
      <c r="N373" s="10">
        <f t="shared" si="15"/>
        <v>0</v>
      </c>
      <c r="O373" s="10">
        <f t="shared" si="16"/>
        <v>0</v>
      </c>
      <c r="P373" s="10">
        <f t="shared" si="17"/>
        <v>0</v>
      </c>
      <c r="Q373" t="str">
        <f>IFERROR(INDEX(Работы!$J$2:$J$6000,MATCH($C373,Работы!$A$2:$A$6000,0)),"")</f>
        <v>типовая</v>
      </c>
      <c r="R373" t="s">
        <v>92</v>
      </c>
      <c r="T373" t="str">
        <f>IF(AND($P373&gt;0,$R373="да"),MAX($T$1:$T372)+1,"")</f>
        <v/>
      </c>
    </row>
    <row r="374" spans="1:20" ht="28.8" x14ac:dyDescent="0.3">
      <c r="A374" t="str">
        <f>IFERROR(INDEX(Работы!$D$2:$D$6000,MATCH($C374,Работы!$A$2:$A$6000,0)),"")</f>
        <v>Р3</v>
      </c>
      <c r="B374" t="str">
        <f>IFERROR(INDEX(Работы!$F$2:$F$6000,MATCH($C374,Работы!$A$2:$A$6000,0)),"")</f>
        <v>6</v>
      </c>
      <c r="C374" t="str">
        <f>IFERROR(INDEX(Работы!$A$2:$A$6000,373),"")</f>
        <v>РАБ.Р3.6.047</v>
      </c>
      <c r="D374" s="8" t="str">
        <f>IFERROR(INDEX(Работы!$B$2:$B$6000,MATCH($C374,Работы!$A$2:$A$6000,0)),"")</f>
        <v>Укладка паркетной доски 200*2000 Solid Floor Piraness</v>
      </c>
      <c r="E374" t="str">
        <f>IFERROR(INDEX(Работы!$C$2:$C$6000,MATCH($C374,Работы!$A$2:$A$6000,0)),"")</f>
        <v>м2</v>
      </c>
      <c r="F374" t="str">
        <f>IFERROR(INDEX(Работы!$G$2:$G$6000,MATCH($C374,Работы!$A$2:$A$6000,0)),"")</f>
        <v>ПОЛ.ДОСК</v>
      </c>
      <c r="G374" t="str">
        <f>IFERROR(INDEX(Работы!$K$2:$K$6000,MATCH($C374,Работы!$A$2:$A$6000,0)),"")</f>
        <v>S_пол</v>
      </c>
      <c r="H374" s="9"/>
      <c r="I374" s="9"/>
      <c r="J374" s="8" t="str">
        <f>IFERROR(INDEX(Материалы!$B$2:$B$9000,MATCH($I374,Материалы!$A$2:$A$9000,0)),"")</f>
        <v/>
      </c>
      <c r="K374" t="str">
        <f>IF($I374="","",IF($F374=IFERROR(INDEX(Материалы!$G$2:$G$9000,MATCH($I374,Материалы!$A$2:$A$9000,0)),""),"OK","!! не та группа"))</f>
        <v/>
      </c>
      <c r="L374" s="10">
        <f>IFERROR(INDEX(Работы!$H$2:$H$6000,MATCH($C374,Работы!$A$2:$A$6000,0))*(1-ДисконтТендер),0)</f>
        <v>2030.58</v>
      </c>
      <c r="M374" s="10">
        <f>IF($I374="",0,IFERROR(INDEX(Материалы!$I$2:$I$9000,MATCH($I374,Материалы!$A$2:$A$9000,0))*IF(INDEX(Материалы!$J$2:$J$9000,MATCH($I374,Материалы!$A$2:$A$9000,0))="USD",КурсUSD,IF(INDEX(Материалы!$J$2:$J$9000,MATCH($I374,Материалы!$A$2:$A$9000,0))="EUR",КурсEUR,1))*INDEX(Материалы!$K$2:$K$9000,MATCH($I374,Материалы!$A$2:$A$9000,0))*(1+IFERROR(INDEX(Работы!$I$2:$I$6000,MATCH($C374,Работы!$A$2:$A$6000,0))/100,0))*(1-ДисконтТендер),0))</f>
        <v>0</v>
      </c>
      <c r="N374" s="10">
        <f t="shared" si="15"/>
        <v>0</v>
      </c>
      <c r="O374" s="10">
        <f t="shared" si="16"/>
        <v>0</v>
      </c>
      <c r="P374" s="10">
        <f t="shared" si="17"/>
        <v>0</v>
      </c>
      <c r="Q374" t="str">
        <f>IFERROR(INDEX(Работы!$J$2:$J$6000,MATCH($C374,Работы!$A$2:$A$6000,0)),"")</f>
        <v>типовая</v>
      </c>
      <c r="R374" t="s">
        <v>92</v>
      </c>
      <c r="T374" t="str">
        <f>IF(AND($P374&gt;0,$R374="да"),MAX($T$1:$T373)+1,"")</f>
        <v/>
      </c>
    </row>
    <row r="375" spans="1:20" ht="43.2" x14ac:dyDescent="0.3">
      <c r="A375" t="str">
        <f>IFERROR(INDEX(Работы!$D$2:$D$6000,MATCH($C375,Работы!$A$2:$A$6000,0)),"")</f>
        <v>Р3</v>
      </c>
      <c r="B375" t="str">
        <f>IFERROR(INDEX(Работы!$F$2:$F$6000,MATCH($C375,Работы!$A$2:$A$6000,0)),"")</f>
        <v>6</v>
      </c>
      <c r="C375" t="str">
        <f>IFERROR(INDEX(Работы!$A$2:$A$6000,374),"")</f>
        <v>РАБ.Р3.6.048</v>
      </c>
      <c r="D375" s="8" t="str">
        <f>IFERROR(INDEX(Работы!$B$2:$B$6000,MATCH($C375,Работы!$A$2:$A$6000,0)),"")</f>
        <v>Шлифовка бетонного основания мозаично-шлифовальными машинами с алмазными сегментами</v>
      </c>
      <c r="E375" t="str">
        <f>IFERROR(INDEX(Работы!$C$2:$C$6000,MATCH($C375,Работы!$A$2:$A$6000,0)),"")</f>
        <v>м2</v>
      </c>
      <c r="F375">
        <f>IFERROR(INDEX(Работы!$G$2:$G$6000,MATCH($C375,Работы!$A$2:$A$6000,0)),"")</f>
        <v>0</v>
      </c>
      <c r="G375" t="str">
        <f>IFERROR(INDEX(Работы!$K$2:$K$6000,MATCH($C375,Работы!$A$2:$A$6000,0)),"")</f>
        <v>S_поверхность</v>
      </c>
      <c r="H375" s="9"/>
      <c r="I375" s="9"/>
      <c r="J375" s="8" t="str">
        <f>IFERROR(INDEX(Материалы!$B$2:$B$9000,MATCH($I375,Материалы!$A$2:$A$9000,0)),"")</f>
        <v/>
      </c>
      <c r="K375" t="str">
        <f>IF($I375="","",IF($F375=IFERROR(INDEX(Материалы!$G$2:$G$9000,MATCH($I375,Материалы!$A$2:$A$9000,0)),""),"OK","!! не та группа"))</f>
        <v/>
      </c>
      <c r="L375" s="10">
        <f>IFERROR(INDEX(Работы!$H$2:$H$6000,MATCH($C375,Работы!$A$2:$A$6000,0))*(1-ДисконтТендер),0)</f>
        <v>4438.46</v>
      </c>
      <c r="M375" s="10">
        <f>IF($I375="",0,IFERROR(INDEX(Материалы!$I$2:$I$9000,MATCH($I375,Материалы!$A$2:$A$9000,0))*IF(INDEX(Материалы!$J$2:$J$9000,MATCH($I375,Материалы!$A$2:$A$9000,0))="USD",КурсUSD,IF(INDEX(Материалы!$J$2:$J$9000,MATCH($I375,Материалы!$A$2:$A$9000,0))="EUR",КурсEUR,1))*INDEX(Материалы!$K$2:$K$9000,MATCH($I375,Материалы!$A$2:$A$9000,0))*(1+IFERROR(INDEX(Работы!$I$2:$I$6000,MATCH($C375,Работы!$A$2:$A$6000,0))/100,0))*(1-ДисконтТендер),0))</f>
        <v>0</v>
      </c>
      <c r="N375" s="10">
        <f t="shared" si="15"/>
        <v>0</v>
      </c>
      <c r="O375" s="10">
        <f t="shared" si="16"/>
        <v>0</v>
      </c>
      <c r="P375" s="10">
        <f t="shared" si="17"/>
        <v>0</v>
      </c>
      <c r="Q375" t="str">
        <f>IFERROR(INDEX(Работы!$J$2:$J$6000,MATCH($C375,Работы!$A$2:$A$6000,0)),"")</f>
        <v>типовая</v>
      </c>
      <c r="R375" t="s">
        <v>92</v>
      </c>
      <c r="T375" t="str">
        <f>IF(AND($P375&gt;0,$R375="да"),MAX($T$1:$T374)+1,"")</f>
        <v/>
      </c>
    </row>
    <row r="376" spans="1:20" ht="43.2" x14ac:dyDescent="0.3">
      <c r="A376" t="str">
        <f>IFERROR(INDEX(Работы!$D$2:$D$6000,MATCH($C376,Работы!$A$2:$A$6000,0)),"")</f>
        <v>Р3</v>
      </c>
      <c r="B376" t="str">
        <f>IFERROR(INDEX(Работы!$F$2:$F$6000,MATCH($C376,Работы!$A$2:$A$6000,0)),"")</f>
        <v>6</v>
      </c>
      <c r="C376" t="str">
        <f>IFERROR(INDEX(Работы!$A$2:$A$6000,375),"")</f>
        <v>РАБ.Р3.6.049</v>
      </c>
      <c r="D376" s="8" t="str">
        <f>IFERROR(INDEX(Работы!$B$2:$B$6000,MATCH($C376,Работы!$A$2:$A$6000,0)),"")</f>
        <v>Выравнивание бетонного основания полимерными компаундами с кварцевым песком, толщиной до 4 мм</v>
      </c>
      <c r="E376" t="str">
        <f>IFERROR(INDEX(Работы!$C$2:$C$6000,MATCH($C376,Работы!$A$2:$A$6000,0)),"")</f>
        <v>м2</v>
      </c>
      <c r="F376">
        <f>IFERROR(INDEX(Работы!$G$2:$G$6000,MATCH($C376,Работы!$A$2:$A$6000,0)),"")</f>
        <v>0</v>
      </c>
      <c r="G376" t="str">
        <f>IFERROR(INDEX(Работы!$K$2:$K$6000,MATCH($C376,Работы!$A$2:$A$6000,0)),"")</f>
        <v>S_пол</v>
      </c>
      <c r="H376" s="9"/>
      <c r="I376" s="9"/>
      <c r="J376" s="8" t="str">
        <f>IFERROR(INDEX(Материалы!$B$2:$B$9000,MATCH($I376,Материалы!$A$2:$A$9000,0)),"")</f>
        <v/>
      </c>
      <c r="K376" t="str">
        <f>IF($I376="","",IF($F376=IFERROR(INDEX(Материалы!$G$2:$G$9000,MATCH($I376,Материалы!$A$2:$A$9000,0)),""),"OK","!! не та группа"))</f>
        <v/>
      </c>
      <c r="L376" s="10">
        <f>IFERROR(INDEX(Работы!$H$2:$H$6000,MATCH($C376,Работы!$A$2:$A$6000,0))*(1-ДисконтТендер),0)</f>
        <v>1900.08</v>
      </c>
      <c r="M376" s="10">
        <f>IF($I376="",0,IFERROR(INDEX(Материалы!$I$2:$I$9000,MATCH($I376,Материалы!$A$2:$A$9000,0))*IF(INDEX(Материалы!$J$2:$J$9000,MATCH($I376,Материалы!$A$2:$A$9000,0))="USD",КурсUSD,IF(INDEX(Материалы!$J$2:$J$9000,MATCH($I376,Материалы!$A$2:$A$9000,0))="EUR",КурсEUR,1))*INDEX(Материалы!$K$2:$K$9000,MATCH($I376,Материалы!$A$2:$A$9000,0))*(1+IFERROR(INDEX(Работы!$I$2:$I$6000,MATCH($C376,Работы!$A$2:$A$6000,0))/100,0))*(1-ДисконтТендер),0))</f>
        <v>0</v>
      </c>
      <c r="N376" s="10">
        <f t="shared" si="15"/>
        <v>0</v>
      </c>
      <c r="O376" s="10">
        <f t="shared" si="16"/>
        <v>0</v>
      </c>
      <c r="P376" s="10">
        <f t="shared" si="17"/>
        <v>0</v>
      </c>
      <c r="Q376" t="str">
        <f>IFERROR(INDEX(Работы!$J$2:$J$6000,MATCH($C376,Работы!$A$2:$A$6000,0)),"")</f>
        <v>типовая</v>
      </c>
      <c r="R376" t="s">
        <v>92</v>
      </c>
      <c r="T376" t="str">
        <f>IF(AND($P376&gt;0,$R376="да"),MAX($T$1:$T375)+1,"")</f>
        <v/>
      </c>
    </row>
    <row r="377" spans="1:20" x14ac:dyDescent="0.3">
      <c r="A377" t="str">
        <f>IFERROR(INDEX(Работы!$D$2:$D$6000,MATCH($C377,Работы!$A$2:$A$6000,0)),"")</f>
        <v>Р3</v>
      </c>
      <c r="B377" t="str">
        <f>IFERROR(INDEX(Работы!$F$2:$F$6000,MATCH($C377,Работы!$A$2:$A$6000,0)),"")</f>
        <v>6</v>
      </c>
      <c r="C377" t="str">
        <f>IFERROR(INDEX(Работы!$A$2:$A$6000,376),"")</f>
        <v>РАБ.Р3.6.050</v>
      </c>
      <c r="D377" s="8" t="str">
        <f>IFERROR(INDEX(Работы!$B$2:$B$6000,MATCH($C377,Работы!$A$2:$A$6000,0)),"")</f>
        <v>Устройство полимерного наливного пола FEIDAL</v>
      </c>
      <c r="E377" t="str">
        <f>IFERROR(INDEX(Работы!$C$2:$C$6000,MATCH($C377,Работы!$A$2:$A$6000,0)),"")</f>
        <v>м2</v>
      </c>
      <c r="F377" t="str">
        <f>IFERROR(INDEX(Работы!$G$2:$G$6000,MATCH($C377,Работы!$A$2:$A$6000,0)),"")</f>
        <v>ПОЛ.НАЛ</v>
      </c>
      <c r="G377" t="str">
        <f>IFERROR(INDEX(Работы!$K$2:$K$6000,MATCH($C377,Работы!$A$2:$A$6000,0)),"")</f>
        <v>S_пол</v>
      </c>
      <c r="H377" s="9"/>
      <c r="I377" s="9"/>
      <c r="J377" s="8" t="str">
        <f>IFERROR(INDEX(Материалы!$B$2:$B$9000,MATCH($I377,Материалы!$A$2:$A$9000,0)),"")</f>
        <v/>
      </c>
      <c r="K377" t="str">
        <f>IF($I377="","",IF($F377=IFERROR(INDEX(Материалы!$G$2:$G$9000,MATCH($I377,Материалы!$A$2:$A$9000,0)),""),"OK","!! не та группа"))</f>
        <v/>
      </c>
      <c r="L377" s="10">
        <f>IFERROR(INDEX(Работы!$H$2:$H$6000,MATCH($C377,Работы!$A$2:$A$6000,0))*(1-ДисконтТендер),0)</f>
        <v>2015.27</v>
      </c>
      <c r="M377" s="10">
        <f>IF($I377="",0,IFERROR(INDEX(Материалы!$I$2:$I$9000,MATCH($I377,Материалы!$A$2:$A$9000,0))*IF(INDEX(Материалы!$J$2:$J$9000,MATCH($I377,Материалы!$A$2:$A$9000,0))="USD",КурсUSD,IF(INDEX(Материалы!$J$2:$J$9000,MATCH($I377,Материалы!$A$2:$A$9000,0))="EUR",КурсEUR,1))*INDEX(Материалы!$K$2:$K$9000,MATCH($I377,Материалы!$A$2:$A$9000,0))*(1+IFERROR(INDEX(Работы!$I$2:$I$6000,MATCH($C377,Работы!$A$2:$A$6000,0))/100,0))*(1-ДисконтТендер),0))</f>
        <v>0</v>
      </c>
      <c r="N377" s="10">
        <f t="shared" si="15"/>
        <v>0</v>
      </c>
      <c r="O377" s="10">
        <f t="shared" si="16"/>
        <v>0</v>
      </c>
      <c r="P377" s="10">
        <f t="shared" si="17"/>
        <v>0</v>
      </c>
      <c r="Q377" t="str">
        <f>IFERROR(INDEX(Работы!$J$2:$J$6000,MATCH($C377,Работы!$A$2:$A$6000,0)),"")</f>
        <v>типовая</v>
      </c>
      <c r="R377" t="s">
        <v>92</v>
      </c>
      <c r="T377" t="str">
        <f>IF(AND($P377&gt;0,$R377="да"),MAX($T$1:$T376)+1,"")</f>
        <v/>
      </c>
    </row>
    <row r="378" spans="1:20" x14ac:dyDescent="0.3">
      <c r="A378" t="str">
        <f>IFERROR(INDEX(Работы!$D$2:$D$6000,MATCH($C378,Работы!$A$2:$A$6000,0)),"")</f>
        <v>Р3</v>
      </c>
      <c r="B378" t="str">
        <f>IFERROR(INDEX(Работы!$F$2:$F$6000,MATCH($C378,Работы!$A$2:$A$6000,0)),"")</f>
        <v>6</v>
      </c>
      <c r="C378" t="str">
        <f>IFERROR(INDEX(Работы!$A$2:$A$6000,377),"")</f>
        <v>РАБ.Р3.6.051</v>
      </c>
      <c r="D378" s="8" t="str">
        <f>IFERROR(INDEX(Работы!$B$2:$B$6000,MATCH($C378,Работы!$A$2:$A$6000,0)),"")</f>
        <v>Устройство антистатического контура</v>
      </c>
      <c r="E378" t="str">
        <f>IFERROR(INDEX(Работы!$C$2:$C$6000,MATCH($C378,Работы!$A$2:$A$6000,0)),"")</f>
        <v>м2</v>
      </c>
      <c r="F378">
        <f>IFERROR(INDEX(Работы!$G$2:$G$6000,MATCH($C378,Работы!$A$2:$A$6000,0)),"")</f>
        <v>0</v>
      </c>
      <c r="G378" t="str">
        <f>IFERROR(INDEX(Работы!$K$2:$K$6000,MATCH($C378,Работы!$A$2:$A$6000,0)),"")</f>
        <v>S_поверхность</v>
      </c>
      <c r="H378" s="9"/>
      <c r="I378" s="9"/>
      <c r="J378" s="8" t="str">
        <f>IFERROR(INDEX(Материалы!$B$2:$B$9000,MATCH($I378,Материалы!$A$2:$A$9000,0)),"")</f>
        <v/>
      </c>
      <c r="K378" t="str">
        <f>IF($I378="","",IF($F378=IFERROR(INDEX(Материалы!$G$2:$G$9000,MATCH($I378,Материалы!$A$2:$A$9000,0)),""),"OK","!! не та группа"))</f>
        <v/>
      </c>
      <c r="L378" s="10">
        <f>IFERROR(INDEX(Работы!$H$2:$H$6000,MATCH($C378,Работы!$A$2:$A$6000,0))*(1-ДисконтТендер),0)</f>
        <v>475.02</v>
      </c>
      <c r="M378" s="10">
        <f>IF($I378="",0,IFERROR(INDEX(Материалы!$I$2:$I$9000,MATCH($I378,Материалы!$A$2:$A$9000,0))*IF(INDEX(Материалы!$J$2:$J$9000,MATCH($I378,Материалы!$A$2:$A$9000,0))="USD",КурсUSD,IF(INDEX(Материалы!$J$2:$J$9000,MATCH($I378,Материалы!$A$2:$A$9000,0))="EUR",КурсEUR,1))*INDEX(Материалы!$K$2:$K$9000,MATCH($I378,Материалы!$A$2:$A$9000,0))*(1+IFERROR(INDEX(Работы!$I$2:$I$6000,MATCH($C378,Работы!$A$2:$A$6000,0))/100,0))*(1-ДисконтТендер),0))</f>
        <v>0</v>
      </c>
      <c r="N378" s="10">
        <f t="shared" si="15"/>
        <v>0</v>
      </c>
      <c r="O378" s="10">
        <f t="shared" si="16"/>
        <v>0</v>
      </c>
      <c r="P378" s="10">
        <f t="shared" si="17"/>
        <v>0</v>
      </c>
      <c r="Q378" t="str">
        <f>IFERROR(INDEX(Работы!$J$2:$J$6000,MATCH($C378,Работы!$A$2:$A$6000,0)),"")</f>
        <v>типовая</v>
      </c>
      <c r="R378" t="s">
        <v>92</v>
      </c>
      <c r="T378" t="str">
        <f>IF(AND($P378&gt;0,$R378="да"),MAX($T$1:$T377)+1,"")</f>
        <v/>
      </c>
    </row>
    <row r="379" spans="1:20" x14ac:dyDescent="0.3">
      <c r="A379" t="str">
        <f>IFERROR(INDEX(Работы!$D$2:$D$6000,MATCH($C379,Работы!$A$2:$A$6000,0)),"")</f>
        <v>Р3</v>
      </c>
      <c r="B379" t="str">
        <f>IFERROR(INDEX(Работы!$F$2:$F$6000,MATCH($C379,Работы!$A$2:$A$6000,0)),"")</f>
        <v>7</v>
      </c>
      <c r="C379" t="str">
        <f>IFERROR(INDEX(Работы!$A$2:$A$6000,378),"")</f>
        <v>РАБ.Р3.7.001</v>
      </c>
      <c r="D379" s="8" t="str">
        <f>IFERROR(INDEX(Работы!$B$2:$B$6000,MATCH($C379,Работы!$A$2:$A$6000,0)),"")</f>
        <v>Монтаж дверного блока бронированного</v>
      </c>
      <c r="E379" t="str">
        <f>IFERROR(INDEX(Работы!$C$2:$C$6000,MATCH($C379,Работы!$A$2:$A$6000,0)),"")</f>
        <v>шт.</v>
      </c>
      <c r="F379" t="str">
        <f>IFERROR(INDEX(Работы!$G$2:$G$6000,MATCH($C379,Работы!$A$2:$A$6000,0)),"")</f>
        <v>ДВ.БР</v>
      </c>
      <c r="G379" t="str">
        <f>IFERROR(INDEX(Работы!$K$2:$K$6000,MATCH($C379,Работы!$A$2:$A$6000,0)),"")</f>
        <v>Спецификация</v>
      </c>
      <c r="H379" s="9"/>
      <c r="I379" s="9"/>
      <c r="J379" s="8" t="str">
        <f>IFERROR(INDEX(Материалы!$B$2:$B$9000,MATCH($I379,Материалы!$A$2:$A$9000,0)),"")</f>
        <v/>
      </c>
      <c r="K379" t="str">
        <f>IF($I379="","",IF($F379=IFERROR(INDEX(Материалы!$G$2:$G$9000,MATCH($I379,Материалы!$A$2:$A$9000,0)),""),"OK","!! не та группа"))</f>
        <v/>
      </c>
      <c r="L379" s="10">
        <f>IFERROR(INDEX(Работы!$H$2:$H$6000,MATCH($C379,Работы!$A$2:$A$6000,0))*(1-ДисконтТендер),0)</f>
        <v>8143.2</v>
      </c>
      <c r="M379" s="10">
        <f>IF($I379="",0,IFERROR(INDEX(Материалы!$I$2:$I$9000,MATCH($I379,Материалы!$A$2:$A$9000,0))*IF(INDEX(Материалы!$J$2:$J$9000,MATCH($I379,Материалы!$A$2:$A$9000,0))="USD",КурсUSD,IF(INDEX(Материалы!$J$2:$J$9000,MATCH($I379,Материалы!$A$2:$A$9000,0))="EUR",КурсEUR,1))*INDEX(Материалы!$K$2:$K$9000,MATCH($I379,Материалы!$A$2:$A$9000,0))*(1+IFERROR(INDEX(Работы!$I$2:$I$6000,MATCH($C379,Работы!$A$2:$A$6000,0))/100,0))*(1-ДисконтТендер),0))</f>
        <v>0</v>
      </c>
      <c r="N379" s="10">
        <f t="shared" si="15"/>
        <v>0</v>
      </c>
      <c r="O379" s="10">
        <f t="shared" si="16"/>
        <v>0</v>
      </c>
      <c r="P379" s="10">
        <f t="shared" si="17"/>
        <v>0</v>
      </c>
      <c r="Q379" t="str">
        <f>IFERROR(INDEX(Работы!$J$2:$J$6000,MATCH($C379,Работы!$A$2:$A$6000,0)),"")</f>
        <v>типовая</v>
      </c>
      <c r="R379" t="s">
        <v>92</v>
      </c>
      <c r="T379" t="str">
        <f>IF(AND($P379&gt;0,$R379="да"),MAX($T$1:$T378)+1,"")</f>
        <v/>
      </c>
    </row>
    <row r="380" spans="1:20" x14ac:dyDescent="0.3">
      <c r="A380" t="str">
        <f>IFERROR(INDEX(Работы!$D$2:$D$6000,MATCH($C380,Работы!$A$2:$A$6000,0)),"")</f>
        <v>Р3</v>
      </c>
      <c r="B380" t="str">
        <f>IFERROR(INDEX(Работы!$F$2:$F$6000,MATCH($C380,Работы!$A$2:$A$6000,0)),"")</f>
        <v>7</v>
      </c>
      <c r="C380" t="str">
        <f>IFERROR(INDEX(Работы!$A$2:$A$6000,379),"")</f>
        <v>РАБ.Р3.7.002</v>
      </c>
      <c r="D380" s="8" t="str">
        <f>IFERROR(INDEX(Работы!$B$2:$B$6000,MATCH($C380,Работы!$A$2:$A$6000,0)),"")</f>
        <v>Монтаж дверного блока бронированного</v>
      </c>
      <c r="E380" t="str">
        <f>IFERROR(INDEX(Работы!$C$2:$C$6000,MATCH($C380,Работы!$A$2:$A$6000,0)),"")</f>
        <v>шт.</v>
      </c>
      <c r="F380" t="str">
        <f>IFERROR(INDEX(Работы!$G$2:$G$6000,MATCH($C380,Работы!$A$2:$A$6000,0)),"")</f>
        <v>ДВ.БР</v>
      </c>
      <c r="G380" t="str">
        <f>IFERROR(INDEX(Работы!$K$2:$K$6000,MATCH($C380,Работы!$A$2:$A$6000,0)),"")</f>
        <v>Спецификация</v>
      </c>
      <c r="H380" s="9"/>
      <c r="I380" s="9"/>
      <c r="J380" s="8" t="str">
        <f>IFERROR(INDEX(Материалы!$B$2:$B$9000,MATCH($I380,Материалы!$A$2:$A$9000,0)),"")</f>
        <v/>
      </c>
      <c r="K380" t="str">
        <f>IF($I380="","",IF($F380=IFERROR(INDEX(Материалы!$G$2:$G$9000,MATCH($I380,Материалы!$A$2:$A$9000,0)),""),"OK","!! не та группа"))</f>
        <v/>
      </c>
      <c r="L380" s="10">
        <f>IFERROR(INDEX(Работы!$H$2:$H$6000,MATCH($C380,Работы!$A$2:$A$6000,0))*(1-ДисконтТендер),0)</f>
        <v>13154.4</v>
      </c>
      <c r="M380" s="10">
        <f>IF($I380="",0,IFERROR(INDEX(Материалы!$I$2:$I$9000,MATCH($I380,Материалы!$A$2:$A$9000,0))*IF(INDEX(Материалы!$J$2:$J$9000,MATCH($I380,Материалы!$A$2:$A$9000,0))="USD",КурсUSD,IF(INDEX(Материалы!$J$2:$J$9000,MATCH($I380,Материалы!$A$2:$A$9000,0))="EUR",КурсEUR,1))*INDEX(Материалы!$K$2:$K$9000,MATCH($I380,Материалы!$A$2:$A$9000,0))*(1+IFERROR(INDEX(Работы!$I$2:$I$6000,MATCH($C380,Работы!$A$2:$A$6000,0))/100,0))*(1-ДисконтТендер),0))</f>
        <v>0</v>
      </c>
      <c r="N380" s="10">
        <f t="shared" si="15"/>
        <v>0</v>
      </c>
      <c r="O380" s="10">
        <f t="shared" si="16"/>
        <v>0</v>
      </c>
      <c r="P380" s="10">
        <f t="shared" si="17"/>
        <v>0</v>
      </c>
      <c r="Q380" t="str">
        <f>IFERROR(INDEX(Работы!$J$2:$J$6000,MATCH($C380,Работы!$A$2:$A$6000,0)),"")</f>
        <v>типовая</v>
      </c>
      <c r="R380" t="s">
        <v>92</v>
      </c>
      <c r="T380" t="str">
        <f>IF(AND($P380&gt;0,$R380="да"),MAX($T$1:$T379)+1,"")</f>
        <v/>
      </c>
    </row>
    <row r="381" spans="1:20" ht="43.2" x14ac:dyDescent="0.3">
      <c r="A381" t="str">
        <f>IFERROR(INDEX(Работы!$D$2:$D$6000,MATCH($C381,Работы!$A$2:$A$6000,0)),"")</f>
        <v>Р3</v>
      </c>
      <c r="B381" t="str">
        <f>IFERROR(INDEX(Работы!$F$2:$F$6000,MATCH($C381,Работы!$A$2:$A$6000,0)),"")</f>
        <v>7</v>
      </c>
      <c r="C381" t="str">
        <f>IFERROR(INDEX(Работы!$A$2:$A$6000,380),"")</f>
        <v>РАБ.Р3.7.003</v>
      </c>
      <c r="D381" s="8" t="str">
        <f>IFERROR(INDEX(Работы!$B$2:$B$6000,MATCH($C381,Работы!$A$2:$A$6000,0)),"")</f>
        <v>Дверной блок 5-го класса устойчивости к взлому с решетчатой дверью . 2 замка СИ600 900х2100 мм по раме.</v>
      </c>
      <c r="E381" t="str">
        <f>IFERROR(INDEX(Работы!$C$2:$C$6000,MATCH($C381,Работы!$A$2:$A$6000,0)),"")</f>
        <v>шт.</v>
      </c>
      <c r="F381" t="str">
        <f>IFERROR(INDEX(Работы!$G$2:$G$6000,MATCH($C381,Работы!$A$2:$A$6000,0)),"")</f>
        <v>ДВ.БР</v>
      </c>
      <c r="G381" t="str">
        <f>IFERROR(INDEX(Работы!$K$2:$K$6000,MATCH($C381,Работы!$A$2:$A$6000,0)),"")</f>
        <v>Спецификация</v>
      </c>
      <c r="H381" s="9"/>
      <c r="I381" s="9"/>
      <c r="J381" s="8" t="str">
        <f>IFERROR(INDEX(Материалы!$B$2:$B$9000,MATCH($I381,Материалы!$A$2:$A$9000,0)),"")</f>
        <v/>
      </c>
      <c r="K381" t="str">
        <f>IF($I381="","",IF($F381=IFERROR(INDEX(Материалы!$G$2:$G$9000,MATCH($I381,Материалы!$A$2:$A$9000,0)),""),"OK","!! не та группа"))</f>
        <v/>
      </c>
      <c r="L381" s="10">
        <f>IFERROR(INDEX(Работы!$H$2:$H$6000,MATCH($C381,Работы!$A$2:$A$6000,0))*(1-ДисконтТендер),0)</f>
        <v>25056</v>
      </c>
      <c r="M381" s="10">
        <f>IF($I381="",0,IFERROR(INDEX(Материалы!$I$2:$I$9000,MATCH($I381,Материалы!$A$2:$A$9000,0))*IF(INDEX(Материалы!$J$2:$J$9000,MATCH($I381,Материалы!$A$2:$A$9000,0))="USD",КурсUSD,IF(INDEX(Материалы!$J$2:$J$9000,MATCH($I381,Материалы!$A$2:$A$9000,0))="EUR",КурсEUR,1))*INDEX(Материалы!$K$2:$K$9000,MATCH($I381,Материалы!$A$2:$A$9000,0))*(1+IFERROR(INDEX(Работы!$I$2:$I$6000,MATCH($C381,Работы!$A$2:$A$6000,0))/100,0))*(1-ДисконтТендер),0))</f>
        <v>0</v>
      </c>
      <c r="N381" s="10">
        <f t="shared" si="15"/>
        <v>0</v>
      </c>
      <c r="O381" s="10">
        <f t="shared" si="16"/>
        <v>0</v>
      </c>
      <c r="P381" s="10">
        <f t="shared" si="17"/>
        <v>0</v>
      </c>
      <c r="Q381" t="str">
        <f>IFERROR(INDEX(Работы!$J$2:$J$6000,MATCH($C381,Работы!$A$2:$A$6000,0)),"")</f>
        <v>типовая</v>
      </c>
      <c r="R381" t="s">
        <v>92</v>
      </c>
      <c r="T381" t="str">
        <f>IF(AND($P381&gt;0,$R381="да"),MAX($T$1:$T380)+1,"")</f>
        <v/>
      </c>
    </row>
    <row r="382" spans="1:20" ht="28.8" x14ac:dyDescent="0.3">
      <c r="A382" t="str">
        <f>IFERROR(INDEX(Работы!$D$2:$D$6000,MATCH($C382,Работы!$A$2:$A$6000,0)),"")</f>
        <v>Р3</v>
      </c>
      <c r="B382" t="str">
        <f>IFERROR(INDEX(Работы!$F$2:$F$6000,MATCH($C382,Работы!$A$2:$A$6000,0)),"")</f>
        <v>7</v>
      </c>
      <c r="C382" t="str">
        <f>IFERROR(INDEX(Работы!$A$2:$A$6000,381),"")</f>
        <v>РАБ.Р3.7.004</v>
      </c>
      <c r="D382" s="8" t="str">
        <f>IFERROR(INDEX(Работы!$B$2:$B$6000,MATCH($C382,Работы!$A$2:$A$6000,0)),"")</f>
        <v>Установка доводчиков на бронированных металлических дверях</v>
      </c>
      <c r="E382" t="str">
        <f>IFERROR(INDEX(Работы!$C$2:$C$6000,MATCH($C382,Работы!$A$2:$A$6000,0)),"")</f>
        <v>шт.</v>
      </c>
      <c r="F382" t="str">
        <f>IFERROR(INDEX(Работы!$G$2:$G$6000,MATCH($C382,Работы!$A$2:$A$6000,0)),"")</f>
        <v>ДВ</v>
      </c>
      <c r="G382" t="str">
        <f>IFERROR(INDEX(Работы!$K$2:$K$6000,MATCH($C382,Работы!$A$2:$A$6000,0)),"")</f>
        <v>Спецификация</v>
      </c>
      <c r="H382" s="9"/>
      <c r="I382" s="9"/>
      <c r="J382" s="8" t="str">
        <f>IFERROR(INDEX(Материалы!$B$2:$B$9000,MATCH($I382,Материалы!$A$2:$A$9000,0)),"")</f>
        <v/>
      </c>
      <c r="K382" t="str">
        <f>IF($I382="","",IF($F382=IFERROR(INDEX(Материалы!$G$2:$G$9000,MATCH($I382,Материалы!$A$2:$A$9000,0)),""),"OK","!! не та группа"))</f>
        <v/>
      </c>
      <c r="L382" s="10">
        <f>IFERROR(INDEX(Работы!$H$2:$H$6000,MATCH($C382,Работы!$A$2:$A$6000,0))*(1-ДисконтТендер),0)</f>
        <v>1879.2</v>
      </c>
      <c r="M382" s="10">
        <f>IF($I382="",0,IFERROR(INDEX(Материалы!$I$2:$I$9000,MATCH($I382,Материалы!$A$2:$A$9000,0))*IF(INDEX(Материалы!$J$2:$J$9000,MATCH($I382,Материалы!$A$2:$A$9000,0))="USD",КурсUSD,IF(INDEX(Материалы!$J$2:$J$9000,MATCH($I382,Материалы!$A$2:$A$9000,0))="EUR",КурсEUR,1))*INDEX(Материалы!$K$2:$K$9000,MATCH($I382,Материалы!$A$2:$A$9000,0))*(1+IFERROR(INDEX(Работы!$I$2:$I$6000,MATCH($C382,Работы!$A$2:$A$6000,0))/100,0))*(1-ДисконтТендер),0))</f>
        <v>0</v>
      </c>
      <c r="N382" s="10">
        <f t="shared" si="15"/>
        <v>0</v>
      </c>
      <c r="O382" s="10">
        <f t="shared" si="16"/>
        <v>0</v>
      </c>
      <c r="P382" s="10">
        <f t="shared" si="17"/>
        <v>0</v>
      </c>
      <c r="Q382" t="str">
        <f>IFERROR(INDEX(Работы!$J$2:$J$6000,MATCH($C382,Работы!$A$2:$A$6000,0)),"")</f>
        <v>типовая</v>
      </c>
      <c r="R382" t="s">
        <v>92</v>
      </c>
      <c r="T382" t="str">
        <f>IF(AND($P382&gt;0,$R382="да"),MAX($T$1:$T381)+1,"")</f>
        <v/>
      </c>
    </row>
    <row r="383" spans="1:20" ht="43.2" x14ac:dyDescent="0.3">
      <c r="A383" t="str">
        <f>IFERROR(INDEX(Работы!$D$2:$D$6000,MATCH($C383,Работы!$A$2:$A$6000,0)),"")</f>
        <v>Р3</v>
      </c>
      <c r="B383" t="str">
        <f>IFERROR(INDEX(Работы!$F$2:$F$6000,MATCH($C383,Работы!$A$2:$A$6000,0)),"")</f>
        <v>7</v>
      </c>
      <c r="C383" t="str">
        <f>IFERROR(INDEX(Работы!$A$2:$A$6000,382),"")</f>
        <v>РАБ.Р3.7.005</v>
      </c>
      <c r="D383" s="8" t="str">
        <f>IFERROR(INDEX(Работы!$B$2:$B$6000,MATCH($C383,Работы!$A$2:$A$6000,0)),"")</f>
        <v>Укрепление стен, перегородок и потолка арматурой или прутом диаметром 10 мм, ячейкой 150х150 мм с анкерным креплением из арматуры</v>
      </c>
      <c r="E383" t="str">
        <f>IFERROR(INDEX(Работы!$C$2:$C$6000,MATCH($C383,Работы!$A$2:$A$6000,0)),"")</f>
        <v>м2</v>
      </c>
      <c r="F383" t="str">
        <f>IFERROR(INDEX(Работы!$G$2:$G$6000,MATCH($C383,Работы!$A$2:$A$6000,0)),"")</f>
        <v>АРМ.УКР</v>
      </c>
      <c r="G383" t="str">
        <f>IFERROR(INDEX(Работы!$K$2:$K$6000,MATCH($C383,Работы!$A$2:$A$6000,0)),"")</f>
        <v>S_поверхность</v>
      </c>
      <c r="H383" s="9"/>
      <c r="I383" s="9"/>
      <c r="J383" s="8" t="str">
        <f>IFERROR(INDEX(Материалы!$B$2:$B$9000,MATCH($I383,Материалы!$A$2:$A$9000,0)),"")</f>
        <v/>
      </c>
      <c r="K383" t="str">
        <f>IF($I383="","",IF($F383=IFERROR(INDEX(Материалы!$G$2:$G$9000,MATCH($I383,Материалы!$A$2:$A$9000,0)),""),"OK","!! не та группа"))</f>
        <v/>
      </c>
      <c r="L383" s="10">
        <f>IFERROR(INDEX(Работы!$H$2:$H$6000,MATCH($C383,Работы!$A$2:$A$6000,0))*(1-ДисконтТендер),0)</f>
        <v>600.5</v>
      </c>
      <c r="M383" s="10">
        <f>IF($I383="",0,IFERROR(INDEX(Материалы!$I$2:$I$9000,MATCH($I383,Материалы!$A$2:$A$9000,0))*IF(INDEX(Материалы!$J$2:$J$9000,MATCH($I383,Материалы!$A$2:$A$9000,0))="USD",КурсUSD,IF(INDEX(Материалы!$J$2:$J$9000,MATCH($I383,Материалы!$A$2:$A$9000,0))="EUR",КурсEUR,1))*INDEX(Материалы!$K$2:$K$9000,MATCH($I383,Материалы!$A$2:$A$9000,0))*(1+IFERROR(INDEX(Работы!$I$2:$I$6000,MATCH($C383,Работы!$A$2:$A$6000,0))/100,0))*(1-ДисконтТендер),0))</f>
        <v>0</v>
      </c>
      <c r="N383" s="10">
        <f t="shared" si="15"/>
        <v>0</v>
      </c>
      <c r="O383" s="10">
        <f t="shared" si="16"/>
        <v>0</v>
      </c>
      <c r="P383" s="10">
        <f t="shared" si="17"/>
        <v>0</v>
      </c>
      <c r="Q383" t="str">
        <f>IFERROR(INDEX(Работы!$J$2:$J$6000,MATCH($C383,Работы!$A$2:$A$6000,0)),"")</f>
        <v>типовая</v>
      </c>
      <c r="R383" t="s">
        <v>92</v>
      </c>
      <c r="T383" t="str">
        <f>IF(AND($P383&gt;0,$R383="да"),MAX($T$1:$T382)+1,"")</f>
        <v/>
      </c>
    </row>
    <row r="384" spans="1:20" ht="43.2" x14ac:dyDescent="0.3">
      <c r="A384" t="str">
        <f>IFERROR(INDEX(Работы!$D$2:$D$6000,MATCH($C384,Работы!$A$2:$A$6000,0)),"")</f>
        <v>Р3</v>
      </c>
      <c r="B384" t="str">
        <f>IFERROR(INDEX(Работы!$F$2:$F$6000,MATCH($C384,Работы!$A$2:$A$6000,0)),"")</f>
        <v>7</v>
      </c>
      <c r="C384" t="str">
        <f>IFERROR(INDEX(Работы!$A$2:$A$6000,383),"")</f>
        <v>РАБ.Р3.7.006</v>
      </c>
      <c r="D384" s="8" t="str">
        <f>IFERROR(INDEX(Работы!$B$2:$B$6000,MATCH($C384,Работы!$A$2:$A$6000,0)),"")</f>
        <v>Укрепление стен, перегородок и потолка арматурой или прутом диаметром 10 мм, ячейкой 100х100 мм с анкерным креплением из арматуры</v>
      </c>
      <c r="E384" t="str">
        <f>IFERROR(INDEX(Работы!$C$2:$C$6000,MATCH($C384,Работы!$A$2:$A$6000,0)),"")</f>
        <v>м2</v>
      </c>
      <c r="F384" t="str">
        <f>IFERROR(INDEX(Работы!$G$2:$G$6000,MATCH($C384,Работы!$A$2:$A$6000,0)),"")</f>
        <v>АРМ.УКР</v>
      </c>
      <c r="G384" t="str">
        <f>IFERROR(INDEX(Работы!$K$2:$K$6000,MATCH($C384,Работы!$A$2:$A$6000,0)),"")</f>
        <v>S_поверхность</v>
      </c>
      <c r="H384" s="9"/>
      <c r="I384" s="9"/>
      <c r="J384" s="8" t="str">
        <f>IFERROR(INDEX(Материалы!$B$2:$B$9000,MATCH($I384,Материалы!$A$2:$A$9000,0)),"")</f>
        <v/>
      </c>
      <c r="K384" t="str">
        <f>IF($I384="","",IF($F384=IFERROR(INDEX(Материалы!$G$2:$G$9000,MATCH($I384,Материалы!$A$2:$A$9000,0)),""),"OK","!! не та группа"))</f>
        <v/>
      </c>
      <c r="L384" s="10">
        <f>IFERROR(INDEX(Работы!$H$2:$H$6000,MATCH($C384,Работы!$A$2:$A$6000,0))*(1-ДисконтТендер),0)</f>
        <v>814.32</v>
      </c>
      <c r="M384" s="10">
        <f>IF($I384="",0,IFERROR(INDEX(Материалы!$I$2:$I$9000,MATCH($I384,Материалы!$A$2:$A$9000,0))*IF(INDEX(Материалы!$J$2:$J$9000,MATCH($I384,Материалы!$A$2:$A$9000,0))="USD",КурсUSD,IF(INDEX(Материалы!$J$2:$J$9000,MATCH($I384,Материалы!$A$2:$A$9000,0))="EUR",КурсEUR,1))*INDEX(Материалы!$K$2:$K$9000,MATCH($I384,Материалы!$A$2:$A$9000,0))*(1+IFERROR(INDEX(Работы!$I$2:$I$6000,MATCH($C384,Работы!$A$2:$A$6000,0))/100,0))*(1-ДисконтТендер),0))</f>
        <v>0</v>
      </c>
      <c r="N384" s="10">
        <f t="shared" si="15"/>
        <v>0</v>
      </c>
      <c r="O384" s="10">
        <f t="shared" si="16"/>
        <v>0</v>
      </c>
      <c r="P384" s="10">
        <f t="shared" si="17"/>
        <v>0</v>
      </c>
      <c r="Q384" t="str">
        <f>IFERROR(INDEX(Работы!$J$2:$J$6000,MATCH($C384,Работы!$A$2:$A$6000,0)),"")</f>
        <v>типовая</v>
      </c>
      <c r="R384" t="s">
        <v>92</v>
      </c>
      <c r="T384" t="str">
        <f>IF(AND($P384&gt;0,$R384="да"),MAX($T$1:$T383)+1,"")</f>
        <v/>
      </c>
    </row>
    <row r="385" spans="1:20" ht="43.2" x14ac:dyDescent="0.3">
      <c r="A385" t="str">
        <f>IFERROR(INDEX(Работы!$D$2:$D$6000,MATCH($C385,Работы!$A$2:$A$6000,0)),"")</f>
        <v>Р3</v>
      </c>
      <c r="B385" t="str">
        <f>IFERROR(INDEX(Работы!$F$2:$F$6000,MATCH($C385,Работы!$A$2:$A$6000,0)),"")</f>
        <v>7</v>
      </c>
      <c r="C385" t="str">
        <f>IFERROR(INDEX(Работы!$A$2:$A$6000,384),"")</f>
        <v>РАБ.Р3.7.007</v>
      </c>
      <c r="D385" s="8" t="str">
        <f>IFERROR(INDEX(Работы!$B$2:$B$6000,MATCH($C385,Работы!$A$2:$A$6000,0)),"")</f>
        <v>Укрепление стен, перегородок и потолка арматурой или прутом диаметром 12 мм, ячейкой 150х150 мм с анкерным креплением из арматуры</v>
      </c>
      <c r="E385" t="str">
        <f>IFERROR(INDEX(Работы!$C$2:$C$6000,MATCH($C385,Работы!$A$2:$A$6000,0)),"")</f>
        <v>м2</v>
      </c>
      <c r="F385" t="str">
        <f>IFERROR(INDEX(Работы!$G$2:$G$6000,MATCH($C385,Работы!$A$2:$A$6000,0)),"")</f>
        <v>АРМ.УКР</v>
      </c>
      <c r="G385" t="str">
        <f>IFERROR(INDEX(Работы!$K$2:$K$6000,MATCH($C385,Работы!$A$2:$A$6000,0)),"")</f>
        <v>S_поверхность</v>
      </c>
      <c r="H385" s="9"/>
      <c r="I385" s="9"/>
      <c r="J385" s="8" t="str">
        <f>IFERROR(INDEX(Материалы!$B$2:$B$9000,MATCH($I385,Материалы!$A$2:$A$9000,0)),"")</f>
        <v/>
      </c>
      <c r="K385" t="str">
        <f>IF($I385="","",IF($F385=IFERROR(INDEX(Материалы!$G$2:$G$9000,MATCH($I385,Материалы!$A$2:$A$9000,0)),""),"OK","!! не та группа"))</f>
        <v/>
      </c>
      <c r="L385" s="10">
        <f>IFERROR(INDEX(Работы!$H$2:$H$6000,MATCH($C385,Работы!$A$2:$A$6000,0))*(1-ДисконтТендер),0)</f>
        <v>597.11</v>
      </c>
      <c r="M385" s="10">
        <f>IF($I385="",0,IFERROR(INDEX(Материалы!$I$2:$I$9000,MATCH($I385,Материалы!$A$2:$A$9000,0))*IF(INDEX(Материалы!$J$2:$J$9000,MATCH($I385,Материалы!$A$2:$A$9000,0))="USD",КурсUSD,IF(INDEX(Материалы!$J$2:$J$9000,MATCH($I385,Материалы!$A$2:$A$9000,0))="EUR",КурсEUR,1))*INDEX(Материалы!$K$2:$K$9000,MATCH($I385,Материалы!$A$2:$A$9000,0))*(1+IFERROR(INDEX(Работы!$I$2:$I$6000,MATCH($C385,Работы!$A$2:$A$6000,0))/100,0))*(1-ДисконтТендер),0))</f>
        <v>0</v>
      </c>
      <c r="N385" s="10">
        <f t="shared" si="15"/>
        <v>0</v>
      </c>
      <c r="O385" s="10">
        <f t="shared" si="16"/>
        <v>0</v>
      </c>
      <c r="P385" s="10">
        <f t="shared" si="17"/>
        <v>0</v>
      </c>
      <c r="Q385" t="str">
        <f>IFERROR(INDEX(Работы!$J$2:$J$6000,MATCH($C385,Работы!$A$2:$A$6000,0)),"")</f>
        <v>типовая</v>
      </c>
      <c r="R385" t="s">
        <v>92</v>
      </c>
      <c r="T385" t="str">
        <f>IF(AND($P385&gt;0,$R385="да"),MAX($T$1:$T384)+1,"")</f>
        <v/>
      </c>
    </row>
    <row r="386" spans="1:20" ht="57.6" x14ac:dyDescent="0.3">
      <c r="A386" t="str">
        <f>IFERROR(INDEX(Работы!$D$2:$D$6000,MATCH($C386,Работы!$A$2:$A$6000,0)),"")</f>
        <v>Р3</v>
      </c>
      <c r="B386" t="str">
        <f>IFERROR(INDEX(Работы!$F$2:$F$6000,MATCH($C386,Работы!$A$2:$A$6000,0)),"")</f>
        <v>7</v>
      </c>
      <c r="C386" t="str">
        <f>IFERROR(INDEX(Работы!$A$2:$A$6000,385),"")</f>
        <v>РАБ.Р3.7.008</v>
      </c>
      <c r="D386" s="8" t="str">
        <f>IFERROR(INDEX(Работы!$B$2:$B$6000,MATCH($C386,Работы!$A$2:$A$6000,0)),"")</f>
        <v>Укрепление стен, перегородок и потолка арматурой или прутом диаметром 16 мм, ячейкой 150х150 мм (по 2 классу на взлом) с анкерным креплением из арматуры</v>
      </c>
      <c r="E386" t="str">
        <f>IFERROR(INDEX(Работы!$C$2:$C$6000,MATCH($C386,Работы!$A$2:$A$6000,0)),"")</f>
        <v>м2</v>
      </c>
      <c r="F386" t="str">
        <f>IFERROR(INDEX(Работы!$G$2:$G$6000,MATCH($C386,Работы!$A$2:$A$6000,0)),"")</f>
        <v>АРМ.УКР</v>
      </c>
      <c r="G386" t="str">
        <f>IFERROR(INDEX(Работы!$K$2:$K$6000,MATCH($C386,Работы!$A$2:$A$6000,0)),"")</f>
        <v>S_поверхность</v>
      </c>
      <c r="H386" s="9"/>
      <c r="I386" s="9"/>
      <c r="J386" s="8" t="str">
        <f>IFERROR(INDEX(Материалы!$B$2:$B$9000,MATCH($I386,Материалы!$A$2:$A$9000,0)),"")</f>
        <v/>
      </c>
      <c r="K386" t="str">
        <f>IF($I386="","",IF($F386=IFERROR(INDEX(Материалы!$G$2:$G$9000,MATCH($I386,Материалы!$A$2:$A$9000,0)),""),"OK","!! не та группа"))</f>
        <v/>
      </c>
      <c r="L386" s="10">
        <f>IFERROR(INDEX(Работы!$H$2:$H$6000,MATCH($C386,Работы!$A$2:$A$6000,0))*(1-ДисконтТендер),0)</f>
        <v>583.73</v>
      </c>
      <c r="M386" s="10">
        <f>IF($I386="",0,IFERROR(INDEX(Материалы!$I$2:$I$9000,MATCH($I386,Материалы!$A$2:$A$9000,0))*IF(INDEX(Материалы!$J$2:$J$9000,MATCH($I386,Материалы!$A$2:$A$9000,0))="USD",КурсUSD,IF(INDEX(Материалы!$J$2:$J$9000,MATCH($I386,Материалы!$A$2:$A$9000,0))="EUR",КурсEUR,1))*INDEX(Материалы!$K$2:$K$9000,MATCH($I386,Материалы!$A$2:$A$9000,0))*(1+IFERROR(INDEX(Работы!$I$2:$I$6000,MATCH($C386,Работы!$A$2:$A$6000,0))/100,0))*(1-ДисконтТендер),0))</f>
        <v>0</v>
      </c>
      <c r="N386" s="10">
        <f t="shared" ref="N386:N449" si="18">IF(AND($R386="да",$H386&lt;&gt;""),ROUND($H386*$L386,2),0)</f>
        <v>0</v>
      </c>
      <c r="O386" s="10">
        <f t="shared" ref="O386:O449" si="19">IF(AND($R386="да",$H386&lt;&gt;""),ROUND($H386*$M386,2),0)</f>
        <v>0</v>
      </c>
      <c r="P386" s="10">
        <f t="shared" ref="P386:P449" si="20">$N386+$O386</f>
        <v>0</v>
      </c>
      <c r="Q386" t="str">
        <f>IFERROR(INDEX(Работы!$J$2:$J$6000,MATCH($C386,Работы!$A$2:$A$6000,0)),"")</f>
        <v>типовая</v>
      </c>
      <c r="R386" t="s">
        <v>92</v>
      </c>
      <c r="T386" t="str">
        <f>IF(AND($P386&gt;0,$R386="да"),MAX($T$1:$T385)+1,"")</f>
        <v/>
      </c>
    </row>
    <row r="387" spans="1:20" ht="28.8" x14ac:dyDescent="0.3">
      <c r="A387" t="str">
        <f>IFERROR(INDEX(Работы!$D$2:$D$6000,MATCH($C387,Работы!$A$2:$A$6000,0)),"")</f>
        <v>Р3</v>
      </c>
      <c r="B387" t="str">
        <f>IFERROR(INDEX(Работы!$F$2:$F$6000,MATCH($C387,Работы!$A$2:$A$6000,0)),"")</f>
        <v>7</v>
      </c>
      <c r="C387" t="str">
        <f>IFERROR(INDEX(Работы!$A$2:$A$6000,386),"")</f>
        <v>РАБ.Р3.7.009</v>
      </c>
      <c r="D387" s="8" t="str">
        <f>IFERROR(INDEX(Работы!$B$2:$B$6000,MATCH($C387,Работы!$A$2:$A$6000,0)),"")</f>
        <v>Бронестекло ПУз-Бр3 (1000*1000 мм. Видимая часть). По раме 1090х1090 мм без учета лотка.</v>
      </c>
      <c r="E387" t="str">
        <f>IFERROR(INDEX(Работы!$C$2:$C$6000,MATCH($C387,Работы!$A$2:$A$6000,0)),"")</f>
        <v>шт.</v>
      </c>
      <c r="F387" t="str">
        <f>IFERROR(INDEX(Работы!$G$2:$G$6000,MATCH($C387,Работы!$A$2:$A$6000,0)),"")</f>
        <v>БРОНЯ</v>
      </c>
      <c r="G387" t="str">
        <f>IFERROR(INDEX(Работы!$K$2:$K$6000,MATCH($C387,Работы!$A$2:$A$6000,0)),"")</f>
        <v>Спецификация</v>
      </c>
      <c r="H387" s="9"/>
      <c r="I387" s="9"/>
      <c r="J387" s="8" t="str">
        <f>IFERROR(INDEX(Материалы!$B$2:$B$9000,MATCH($I387,Материалы!$A$2:$A$9000,0)),"")</f>
        <v/>
      </c>
      <c r="K387" t="str">
        <f>IF($I387="","",IF($F387=IFERROR(INDEX(Материалы!$G$2:$G$9000,MATCH($I387,Материалы!$A$2:$A$9000,0)),""),"OK","!! не та группа"))</f>
        <v/>
      </c>
      <c r="L387" s="10">
        <f>IFERROR(INDEX(Работы!$H$2:$H$6000,MATCH($C387,Работы!$A$2:$A$6000,0))*(1-ДисконтТендер),0)</f>
        <v>6890.4</v>
      </c>
      <c r="M387" s="10">
        <f>IF($I387="",0,IFERROR(INDEX(Материалы!$I$2:$I$9000,MATCH($I387,Материалы!$A$2:$A$9000,0))*IF(INDEX(Материалы!$J$2:$J$9000,MATCH($I387,Материалы!$A$2:$A$9000,0))="USD",КурсUSD,IF(INDEX(Материалы!$J$2:$J$9000,MATCH($I387,Материалы!$A$2:$A$9000,0))="EUR",КурсEUR,1))*INDEX(Материалы!$K$2:$K$9000,MATCH($I387,Материалы!$A$2:$A$9000,0))*(1+IFERROR(INDEX(Работы!$I$2:$I$6000,MATCH($C387,Работы!$A$2:$A$6000,0))/100,0))*(1-ДисконтТендер),0))</f>
        <v>0</v>
      </c>
      <c r="N387" s="10">
        <f t="shared" si="18"/>
        <v>0</v>
      </c>
      <c r="O387" s="10">
        <f t="shared" si="19"/>
        <v>0</v>
      </c>
      <c r="P387" s="10">
        <f t="shared" si="20"/>
        <v>0</v>
      </c>
      <c r="Q387" t="str">
        <f>IFERROR(INDEX(Работы!$J$2:$J$6000,MATCH($C387,Работы!$A$2:$A$6000,0)),"")</f>
        <v>типовая</v>
      </c>
      <c r="R387" t="s">
        <v>92</v>
      </c>
      <c r="T387" t="str">
        <f>IF(AND($P387&gt;0,$R387="да"),MAX($T$1:$T386)+1,"")</f>
        <v/>
      </c>
    </row>
    <row r="388" spans="1:20" ht="72" x14ac:dyDescent="0.3">
      <c r="A388" t="str">
        <f>IFERROR(INDEX(Работы!$D$2:$D$6000,MATCH($C388,Работы!$A$2:$A$6000,0)),"")</f>
        <v>Р3</v>
      </c>
      <c r="B388" t="str">
        <f>IFERROR(INDEX(Работы!$F$2:$F$6000,MATCH($C388,Работы!$A$2:$A$6000,0)),"")</f>
        <v>7</v>
      </c>
      <c r="C388" t="str">
        <f>IFERROR(INDEX(Работы!$A$2:$A$6000,387),"")</f>
        <v>РАБ.Р3.7.010</v>
      </c>
      <c r="D388" s="8" t="str">
        <f>IFERROR(INDEX(Работы!$B$2:$B$6000,MATCH($C388,Работы!$A$2:$A$6000,0)),"")</f>
        <v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v>
      </c>
      <c r="E388" t="str">
        <f>IFERROR(INDEX(Работы!$C$2:$C$6000,MATCH($C388,Работы!$A$2:$A$6000,0)),"")</f>
        <v>шт.</v>
      </c>
      <c r="F388" t="str">
        <f>IFERROR(INDEX(Работы!$G$2:$G$6000,MATCH($C388,Работы!$A$2:$A$6000,0)),"")</f>
        <v>КРАСКА</v>
      </c>
      <c r="G388" t="str">
        <f>IFERROR(INDEX(Работы!$K$2:$K$6000,MATCH($C388,Работы!$A$2:$A$6000,0)),"")</f>
        <v>S_поверхность</v>
      </c>
      <c r="H388" s="9"/>
      <c r="I388" s="9"/>
      <c r="J388" s="8" t="str">
        <f>IFERROR(INDEX(Материалы!$B$2:$B$9000,MATCH($I388,Материалы!$A$2:$A$9000,0)),"")</f>
        <v/>
      </c>
      <c r="K388" t="str">
        <f>IF($I388="","",IF($F388=IFERROR(INDEX(Материалы!$G$2:$G$9000,MATCH($I388,Материалы!$A$2:$A$9000,0)),""),"OK","!! не та группа"))</f>
        <v/>
      </c>
      <c r="L388" s="10">
        <f>IFERROR(INDEX(Работы!$H$2:$H$6000,MATCH($C388,Работы!$A$2:$A$6000,0))*(1-ДисконтТендер),0)</f>
        <v>4384.8</v>
      </c>
      <c r="M388" s="10">
        <f>IF($I388="",0,IFERROR(INDEX(Материалы!$I$2:$I$9000,MATCH($I388,Материалы!$A$2:$A$9000,0))*IF(INDEX(Материалы!$J$2:$J$9000,MATCH($I388,Материалы!$A$2:$A$9000,0))="USD",КурсUSD,IF(INDEX(Материалы!$J$2:$J$9000,MATCH($I388,Материалы!$A$2:$A$9000,0))="EUR",КурсEUR,1))*INDEX(Материалы!$K$2:$K$9000,MATCH($I388,Материалы!$A$2:$A$9000,0))*(1+IFERROR(INDEX(Работы!$I$2:$I$6000,MATCH($C388,Работы!$A$2:$A$6000,0))/100,0))*(1-ДисконтТендер),0))</f>
        <v>0</v>
      </c>
      <c r="N388" s="10">
        <f t="shared" si="18"/>
        <v>0</v>
      </c>
      <c r="O388" s="10">
        <f t="shared" si="19"/>
        <v>0</v>
      </c>
      <c r="P388" s="10">
        <f t="shared" si="20"/>
        <v>0</v>
      </c>
      <c r="Q388" t="str">
        <f>IFERROR(INDEX(Работы!$J$2:$J$6000,MATCH($C388,Работы!$A$2:$A$6000,0)),"")</f>
        <v>типовая</v>
      </c>
      <c r="R388" t="s">
        <v>92</v>
      </c>
      <c r="T388" t="str">
        <f>IF(AND($P388&gt;0,$R388="да"),MAX($T$1:$T387)+1,"")</f>
        <v/>
      </c>
    </row>
    <row r="389" spans="1:20" ht="72" x14ac:dyDescent="0.3">
      <c r="A389" t="str">
        <f>IFERROR(INDEX(Работы!$D$2:$D$6000,MATCH($C389,Работы!$A$2:$A$6000,0)),"")</f>
        <v>Р3</v>
      </c>
      <c r="B389" t="str">
        <f>IFERROR(INDEX(Работы!$F$2:$F$6000,MATCH($C389,Работы!$A$2:$A$6000,0)),"")</f>
        <v>7</v>
      </c>
      <c r="C389" t="str">
        <f>IFERROR(INDEX(Работы!$A$2:$A$6000,388),"")</f>
        <v>РАБ.Р3.7.011</v>
      </c>
      <c r="D389" s="8" t="str">
        <f>IFERROR(INDEX(Работы!$B$2:$B$6000,MATCH($C389,Работы!$A$2:$A$6000,0)),"")</f>
        <v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v>
      </c>
      <c r="E389" t="str">
        <f>IFERROR(INDEX(Работы!$C$2:$C$6000,MATCH($C389,Работы!$A$2:$A$6000,0)),"")</f>
        <v>шт</v>
      </c>
      <c r="F389" t="str">
        <f>IFERROR(INDEX(Работы!$G$2:$G$6000,MATCH($C389,Работы!$A$2:$A$6000,0)),"")</f>
        <v>КРАСКА</v>
      </c>
      <c r="G389" t="str">
        <f>IFERROR(INDEX(Работы!$K$2:$K$6000,MATCH($C389,Работы!$A$2:$A$6000,0)),"")</f>
        <v>S_поверхность</v>
      </c>
      <c r="H389" s="9"/>
      <c r="I389" s="9"/>
      <c r="J389" s="8" t="str">
        <f>IFERROR(INDEX(Материалы!$B$2:$B$9000,MATCH($I389,Материалы!$A$2:$A$9000,0)),"")</f>
        <v/>
      </c>
      <c r="K389" t="str">
        <f>IF($I389="","",IF($F389=IFERROR(INDEX(Материалы!$G$2:$G$9000,MATCH($I389,Материалы!$A$2:$A$9000,0)),""),"OK","!! не та группа"))</f>
        <v/>
      </c>
      <c r="L389" s="10">
        <f>IFERROR(INDEX(Работы!$H$2:$H$6000,MATCH($C389,Работы!$A$2:$A$6000,0))*(1-ДисконтТендер),0)</f>
        <v>8207.66</v>
      </c>
      <c r="M389" s="10">
        <f>IF($I389="",0,IFERROR(INDEX(Материалы!$I$2:$I$9000,MATCH($I389,Материалы!$A$2:$A$9000,0))*IF(INDEX(Материалы!$J$2:$J$9000,MATCH($I389,Материалы!$A$2:$A$9000,0))="USD",КурсUSD,IF(INDEX(Материалы!$J$2:$J$9000,MATCH($I389,Материалы!$A$2:$A$9000,0))="EUR",КурсEUR,1))*INDEX(Материалы!$K$2:$K$9000,MATCH($I389,Материалы!$A$2:$A$9000,0))*(1+IFERROR(INDEX(Работы!$I$2:$I$6000,MATCH($C389,Работы!$A$2:$A$6000,0))/100,0))*(1-ДисконтТендер),0))</f>
        <v>0</v>
      </c>
      <c r="N389" s="10">
        <f t="shared" si="18"/>
        <v>0</v>
      </c>
      <c r="O389" s="10">
        <f t="shared" si="19"/>
        <v>0</v>
      </c>
      <c r="P389" s="10">
        <f t="shared" si="20"/>
        <v>0</v>
      </c>
      <c r="Q389" t="str">
        <f>IFERROR(INDEX(Работы!$J$2:$J$6000,MATCH($C389,Работы!$A$2:$A$6000,0)),"")</f>
        <v>типовая</v>
      </c>
      <c r="R389" t="s">
        <v>92</v>
      </c>
      <c r="T389" t="str">
        <f>IF(AND($P389&gt;0,$R389="да"),MAX($T$1:$T388)+1,"")</f>
        <v/>
      </c>
    </row>
    <row r="390" spans="1:20" ht="72" x14ac:dyDescent="0.3">
      <c r="A390" t="str">
        <f>IFERROR(INDEX(Работы!$D$2:$D$6000,MATCH($C390,Работы!$A$2:$A$6000,0)),"")</f>
        <v>Р3</v>
      </c>
      <c r="B390" t="str">
        <f>IFERROR(INDEX(Работы!$F$2:$F$6000,MATCH($C390,Работы!$A$2:$A$6000,0)),"")</f>
        <v>7</v>
      </c>
      <c r="C390" t="str">
        <f>IFERROR(INDEX(Работы!$A$2:$A$6000,389),"")</f>
        <v>РАБ.Р3.7.012</v>
      </c>
      <c r="D390" s="8" t="str">
        <f>IFERROR(INDEX(Работы!$B$2:$B$6000,MATCH($C390,Работы!$A$2:$A$6000,0)),"")</f>
        <v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v>
      </c>
      <c r="E390" t="str">
        <f>IFERROR(INDEX(Работы!$C$2:$C$6000,MATCH($C390,Работы!$A$2:$A$6000,0)),"")</f>
        <v>шт.</v>
      </c>
      <c r="F390" t="str">
        <f>IFERROR(INDEX(Работы!$G$2:$G$6000,MATCH($C390,Работы!$A$2:$A$6000,0)),"")</f>
        <v>КРАСКА</v>
      </c>
      <c r="G390" t="str">
        <f>IFERROR(INDEX(Работы!$K$2:$K$6000,MATCH($C390,Работы!$A$2:$A$6000,0)),"")</f>
        <v>S_поверхность</v>
      </c>
      <c r="H390" s="9"/>
      <c r="I390" s="9"/>
      <c r="J390" s="8" t="str">
        <f>IFERROR(INDEX(Материалы!$B$2:$B$9000,MATCH($I390,Материалы!$A$2:$A$9000,0)),"")</f>
        <v/>
      </c>
      <c r="K390" t="str">
        <f>IF($I390="","",IF($F390=IFERROR(INDEX(Материалы!$G$2:$G$9000,MATCH($I390,Материалы!$A$2:$A$9000,0)),""),"OK","!! не та группа"))</f>
        <v/>
      </c>
      <c r="L390" s="10">
        <f>IFERROR(INDEX(Работы!$H$2:$H$6000,MATCH($C390,Работы!$A$2:$A$6000,0))*(1-ДисконтТендер),0)</f>
        <v>9396</v>
      </c>
      <c r="M390" s="10">
        <f>IF($I390="",0,IFERROR(INDEX(Материалы!$I$2:$I$9000,MATCH($I390,Материалы!$A$2:$A$9000,0))*IF(INDEX(Материалы!$J$2:$J$9000,MATCH($I390,Материалы!$A$2:$A$9000,0))="USD",КурсUSD,IF(INDEX(Материалы!$J$2:$J$9000,MATCH($I390,Материалы!$A$2:$A$9000,0))="EUR",КурсEUR,1))*INDEX(Материалы!$K$2:$K$9000,MATCH($I390,Материалы!$A$2:$A$9000,0))*(1+IFERROR(INDEX(Работы!$I$2:$I$6000,MATCH($C390,Работы!$A$2:$A$6000,0))/100,0))*(1-ДисконтТендер),0))</f>
        <v>0</v>
      </c>
      <c r="N390" s="10">
        <f t="shared" si="18"/>
        <v>0</v>
      </c>
      <c r="O390" s="10">
        <f t="shared" si="19"/>
        <v>0</v>
      </c>
      <c r="P390" s="10">
        <f t="shared" si="20"/>
        <v>0</v>
      </c>
      <c r="Q390" t="str">
        <f>IFERROR(INDEX(Работы!$J$2:$J$6000,MATCH($C390,Работы!$A$2:$A$6000,0)),"")</f>
        <v>типовая</v>
      </c>
      <c r="R390" t="s">
        <v>92</v>
      </c>
      <c r="T390" t="str">
        <f>IF(AND($P390&gt;0,$R390="да"),MAX($T$1:$T389)+1,"")</f>
        <v/>
      </c>
    </row>
    <row r="391" spans="1:20" ht="72" x14ac:dyDescent="0.3">
      <c r="A391" t="str">
        <f>IFERROR(INDEX(Работы!$D$2:$D$6000,MATCH($C391,Работы!$A$2:$A$6000,0)),"")</f>
        <v>Р3</v>
      </c>
      <c r="B391" t="str">
        <f>IFERROR(INDEX(Работы!$F$2:$F$6000,MATCH($C391,Работы!$A$2:$A$6000,0)),"")</f>
        <v>7</v>
      </c>
      <c r="C391" t="str">
        <f>IFERROR(INDEX(Работы!$A$2:$A$6000,390),"")</f>
        <v>РАБ.Р3.7.013</v>
      </c>
      <c r="D391" s="8" t="str">
        <f>IFERROR(INDEX(Работы!$B$2:$B$6000,MATCH($C391,Работы!$A$2:$A$6000,0)),"")</f>
        <v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v>
      </c>
      <c r="E391" t="str">
        <f>IFERROR(INDEX(Работы!$C$2:$C$6000,MATCH($C391,Работы!$A$2:$A$6000,0)),"")</f>
        <v>шт</v>
      </c>
      <c r="F391" t="str">
        <f>IFERROR(INDEX(Работы!$G$2:$G$6000,MATCH($C391,Работы!$A$2:$A$6000,0)),"")</f>
        <v>КРАСКА</v>
      </c>
      <c r="G391" t="str">
        <f>IFERROR(INDEX(Работы!$K$2:$K$6000,MATCH($C391,Работы!$A$2:$A$6000,0)),"")</f>
        <v>S_поверхность</v>
      </c>
      <c r="H391" s="9"/>
      <c r="I391" s="9"/>
      <c r="J391" s="8" t="str">
        <f>IFERROR(INDEX(Материалы!$B$2:$B$9000,MATCH($I391,Материалы!$A$2:$A$9000,0)),"")</f>
        <v/>
      </c>
      <c r="K391" t="str">
        <f>IF($I391="","",IF($F391=IFERROR(INDEX(Материалы!$G$2:$G$9000,MATCH($I391,Материалы!$A$2:$A$9000,0)),""),"OK","!! не та группа"))</f>
        <v/>
      </c>
      <c r="L391" s="10">
        <f>IFERROR(INDEX(Работы!$H$2:$H$6000,MATCH($C391,Работы!$A$2:$A$6000,0))*(1-ДисконтТендер),0)</f>
        <v>8769.6</v>
      </c>
      <c r="M391" s="10">
        <f>IF($I391="",0,IFERROR(INDEX(Материалы!$I$2:$I$9000,MATCH($I391,Материалы!$A$2:$A$9000,0))*IF(INDEX(Материалы!$J$2:$J$9000,MATCH($I391,Материалы!$A$2:$A$9000,0))="USD",КурсUSD,IF(INDEX(Материалы!$J$2:$J$9000,MATCH($I391,Материалы!$A$2:$A$9000,0))="EUR",КурсEUR,1))*INDEX(Материалы!$K$2:$K$9000,MATCH($I391,Материалы!$A$2:$A$9000,0))*(1+IFERROR(INDEX(Работы!$I$2:$I$6000,MATCH($C391,Работы!$A$2:$A$6000,0))/100,0))*(1-ДисконтТендер),0))</f>
        <v>0</v>
      </c>
      <c r="N391" s="10">
        <f t="shared" si="18"/>
        <v>0</v>
      </c>
      <c r="O391" s="10">
        <f t="shared" si="19"/>
        <v>0</v>
      </c>
      <c r="P391" s="10">
        <f t="shared" si="20"/>
        <v>0</v>
      </c>
      <c r="Q391" t="str">
        <f>IFERROR(INDEX(Работы!$J$2:$J$6000,MATCH($C391,Работы!$A$2:$A$6000,0)),"")</f>
        <v>типовая</v>
      </c>
      <c r="R391" t="s">
        <v>92</v>
      </c>
      <c r="T391" t="str">
        <f>IF(AND($P391&gt;0,$R391="да"),MAX($T$1:$T390)+1,"")</f>
        <v/>
      </c>
    </row>
    <row r="392" spans="1:20" x14ac:dyDescent="0.3">
      <c r="A392" t="str">
        <f>IFERROR(INDEX(Работы!$D$2:$D$6000,MATCH($C392,Работы!$A$2:$A$6000,0)),"")</f>
        <v>Р3</v>
      </c>
      <c r="B392" t="str">
        <f>IFERROR(INDEX(Работы!$F$2:$F$6000,MATCH($C392,Работы!$A$2:$A$6000,0)),"")</f>
        <v>7</v>
      </c>
      <c r="C392" t="str">
        <f>IFERROR(INDEX(Работы!$A$2:$A$6000,391),"")</f>
        <v>РАБ.Р3.7.014</v>
      </c>
      <c r="D392" s="8" t="str">
        <f>IFERROR(INDEX(Работы!$B$2:$B$6000,MATCH($C392,Работы!$A$2:$A$6000,0)),"")</f>
        <v>Монтаж переговорного устройство DD-205T</v>
      </c>
      <c r="E392" t="str">
        <f>IFERROR(INDEX(Работы!$C$2:$C$6000,MATCH($C392,Работы!$A$2:$A$6000,0)),"")</f>
        <v>шт.</v>
      </c>
      <c r="F392" t="str">
        <f>IFERROR(INDEX(Работы!$G$2:$G$6000,MATCH($C392,Работы!$A$2:$A$6000,0)),"")</f>
        <v>БРОНЯ</v>
      </c>
      <c r="G392" t="str">
        <f>IFERROR(INDEX(Работы!$K$2:$K$6000,MATCH($C392,Работы!$A$2:$A$6000,0)),"")</f>
        <v>Спецификация</v>
      </c>
      <c r="H392" s="9"/>
      <c r="I392" s="9"/>
      <c r="J392" s="8" t="str">
        <f>IFERROR(INDEX(Материалы!$B$2:$B$9000,MATCH($I392,Материалы!$A$2:$A$9000,0)),"")</f>
        <v/>
      </c>
      <c r="K392" t="str">
        <f>IF($I392="","",IF($F392=IFERROR(INDEX(Материалы!$G$2:$G$9000,MATCH($I392,Материалы!$A$2:$A$9000,0)),""),"OK","!! не та группа"))</f>
        <v/>
      </c>
      <c r="L392" s="10">
        <f>IFERROR(INDEX(Работы!$H$2:$H$6000,MATCH($C392,Работы!$A$2:$A$6000,0))*(1-ДисконтТендер),0)</f>
        <v>1711.97</v>
      </c>
      <c r="M392" s="10">
        <f>IF($I392="",0,IFERROR(INDEX(Материалы!$I$2:$I$9000,MATCH($I392,Материалы!$A$2:$A$9000,0))*IF(INDEX(Материалы!$J$2:$J$9000,MATCH($I392,Материалы!$A$2:$A$9000,0))="USD",КурсUSD,IF(INDEX(Материалы!$J$2:$J$9000,MATCH($I392,Материалы!$A$2:$A$9000,0))="EUR",КурсEUR,1))*INDEX(Материалы!$K$2:$K$9000,MATCH($I392,Материалы!$A$2:$A$9000,0))*(1+IFERROR(INDEX(Работы!$I$2:$I$6000,MATCH($C392,Работы!$A$2:$A$6000,0))/100,0))*(1-ДисконтТендер),0))</f>
        <v>0</v>
      </c>
      <c r="N392" s="10">
        <f t="shared" si="18"/>
        <v>0</v>
      </c>
      <c r="O392" s="10">
        <f t="shared" si="19"/>
        <v>0</v>
      </c>
      <c r="P392" s="10">
        <f t="shared" si="20"/>
        <v>0</v>
      </c>
      <c r="Q392" t="str">
        <f>IFERROR(INDEX(Работы!$J$2:$J$6000,MATCH($C392,Работы!$A$2:$A$6000,0)),"")</f>
        <v>типовая</v>
      </c>
      <c r="R392" t="s">
        <v>92</v>
      </c>
      <c r="T392" t="str">
        <f>IF(AND($P392&gt;0,$R392="да"),MAX($T$1:$T391)+1,"")</f>
        <v/>
      </c>
    </row>
    <row r="393" spans="1:20" x14ac:dyDescent="0.3">
      <c r="A393" t="str">
        <f>IFERROR(INDEX(Работы!$D$2:$D$6000,MATCH($C393,Работы!$A$2:$A$6000,0)),"")</f>
        <v>Р3</v>
      </c>
      <c r="B393" t="str">
        <f>IFERROR(INDEX(Работы!$F$2:$F$6000,MATCH($C393,Работы!$A$2:$A$6000,0)),"")</f>
        <v>7</v>
      </c>
      <c r="C393" t="str">
        <f>IFERROR(INDEX(Работы!$A$2:$A$6000,392),"")</f>
        <v>РАБ.Р3.7.015</v>
      </c>
      <c r="D393" s="8" t="str">
        <f>IFERROR(INDEX(Работы!$B$2:$B$6000,MATCH($C393,Работы!$A$2:$A$6000,0)),"")</f>
        <v>Окраска поверхности</v>
      </c>
      <c r="E393" t="str">
        <f>IFERROR(INDEX(Работы!$C$2:$C$6000,MATCH($C393,Работы!$A$2:$A$6000,0)),"")</f>
        <v>м2</v>
      </c>
      <c r="F393" t="str">
        <f>IFERROR(INDEX(Работы!$G$2:$G$6000,MATCH($C393,Работы!$A$2:$A$6000,0)),"")</f>
        <v>КРАСКА</v>
      </c>
      <c r="G393" t="str">
        <f>IFERROR(INDEX(Работы!$K$2:$K$6000,MATCH($C393,Работы!$A$2:$A$6000,0)),"")</f>
        <v>S_поверхность</v>
      </c>
      <c r="H393" s="9"/>
      <c r="I393" s="9"/>
      <c r="J393" s="8" t="str">
        <f>IFERROR(INDEX(Материалы!$B$2:$B$9000,MATCH($I393,Материалы!$A$2:$A$9000,0)),"")</f>
        <v/>
      </c>
      <c r="K393" t="str">
        <f>IF($I393="","",IF($F393=IFERROR(INDEX(Материалы!$G$2:$G$9000,MATCH($I393,Материалы!$A$2:$A$9000,0)),""),"OK","!! не та группа"))</f>
        <v/>
      </c>
      <c r="L393" s="10">
        <f>IFERROR(INDEX(Работы!$H$2:$H$6000,MATCH($C393,Работы!$A$2:$A$6000,0))*(1-ДисконтТендер),0)</f>
        <v>3908.74</v>
      </c>
      <c r="M393" s="10">
        <f>IF($I393="",0,IFERROR(INDEX(Материалы!$I$2:$I$9000,MATCH($I393,Материалы!$A$2:$A$9000,0))*IF(INDEX(Материалы!$J$2:$J$9000,MATCH($I393,Материалы!$A$2:$A$9000,0))="USD",КурсUSD,IF(INDEX(Материалы!$J$2:$J$9000,MATCH($I393,Материалы!$A$2:$A$9000,0))="EUR",КурсEUR,1))*INDEX(Материалы!$K$2:$K$9000,MATCH($I393,Материалы!$A$2:$A$9000,0))*(1+IFERROR(INDEX(Работы!$I$2:$I$6000,MATCH($C393,Работы!$A$2:$A$6000,0))/100,0))*(1-ДисконтТендер),0))</f>
        <v>0</v>
      </c>
      <c r="N393" s="10">
        <f t="shared" si="18"/>
        <v>0</v>
      </c>
      <c r="O393" s="10">
        <f t="shared" si="19"/>
        <v>0</v>
      </c>
      <c r="P393" s="10">
        <f t="shared" si="20"/>
        <v>0</v>
      </c>
      <c r="Q393" t="str">
        <f>IFERROR(INDEX(Работы!$J$2:$J$6000,MATCH($C393,Работы!$A$2:$A$6000,0)),"")</f>
        <v>типовая</v>
      </c>
      <c r="R393" t="s">
        <v>92</v>
      </c>
      <c r="T393" t="str">
        <f>IF(AND($P393&gt;0,$R393="да"),MAX($T$1:$T392)+1,"")</f>
        <v/>
      </c>
    </row>
    <row r="394" spans="1:20" ht="43.2" x14ac:dyDescent="0.3">
      <c r="A394" t="str">
        <f>IFERROR(INDEX(Работы!$D$2:$D$6000,MATCH($C394,Работы!$A$2:$A$6000,0)),"")</f>
        <v>Р3</v>
      </c>
      <c r="B394" t="str">
        <f>IFERROR(INDEX(Работы!$F$2:$F$6000,MATCH($C394,Работы!$A$2:$A$6000,0)),"")</f>
        <v>7</v>
      </c>
      <c r="C394" t="str">
        <f>IFERROR(INDEX(Работы!$A$2:$A$6000,393),"")</f>
        <v>РАБ.Р3.7.016</v>
      </c>
      <c r="D394" s="8" t="str">
        <f>IFERROR(INDEX(Работы!$B$2:$B$6000,MATCH($C394,Работы!$A$2:$A$6000,0)),"")</f>
        <v>Панели защитные, стеновые V класс взломостойкости, сварное соединение, бетонно-заливная. Покраска грунт</v>
      </c>
      <c r="E394" t="str">
        <f>IFERROR(INDEX(Работы!$C$2:$C$6000,MATCH($C394,Работы!$A$2:$A$6000,0)),"")</f>
        <v>м2</v>
      </c>
      <c r="F394" t="str">
        <f>IFERROR(INDEX(Работы!$G$2:$G$6000,MATCH($C394,Работы!$A$2:$A$6000,0)),"")</f>
        <v>КРАСКА</v>
      </c>
      <c r="G394" t="str">
        <f>IFERROR(INDEX(Работы!$K$2:$K$6000,MATCH($C394,Работы!$A$2:$A$6000,0)),"")</f>
        <v>S_поверхность</v>
      </c>
      <c r="H394" s="9"/>
      <c r="I394" s="9"/>
      <c r="J394" s="8" t="str">
        <f>IFERROR(INDEX(Материалы!$B$2:$B$9000,MATCH($I394,Материалы!$A$2:$A$9000,0)),"")</f>
        <v/>
      </c>
      <c r="K394" t="str">
        <f>IF($I394="","",IF($F394=IFERROR(INDEX(Материалы!$G$2:$G$9000,MATCH($I394,Материалы!$A$2:$A$9000,0)),""),"OK","!! не та группа"))</f>
        <v/>
      </c>
      <c r="L394" s="10">
        <f>IFERROR(INDEX(Работы!$H$2:$H$6000,MATCH($C394,Работы!$A$2:$A$6000,0))*(1-ДисконтТендер),0)</f>
        <v>5345.28</v>
      </c>
      <c r="M394" s="10">
        <f>IF($I394="",0,IFERROR(INDEX(Материалы!$I$2:$I$9000,MATCH($I394,Материалы!$A$2:$A$9000,0))*IF(INDEX(Материалы!$J$2:$J$9000,MATCH($I394,Материалы!$A$2:$A$9000,0))="USD",КурсUSD,IF(INDEX(Материалы!$J$2:$J$9000,MATCH($I394,Материалы!$A$2:$A$9000,0))="EUR",КурсEUR,1))*INDEX(Материалы!$K$2:$K$9000,MATCH($I394,Материалы!$A$2:$A$9000,0))*(1+IFERROR(INDEX(Работы!$I$2:$I$6000,MATCH($C394,Работы!$A$2:$A$6000,0))/100,0))*(1-ДисконтТендер),0))</f>
        <v>0</v>
      </c>
      <c r="N394" s="10">
        <f t="shared" si="18"/>
        <v>0</v>
      </c>
      <c r="O394" s="10">
        <f t="shared" si="19"/>
        <v>0</v>
      </c>
      <c r="P394" s="10">
        <f t="shared" si="20"/>
        <v>0</v>
      </c>
      <c r="Q394" t="str">
        <f>IFERROR(INDEX(Работы!$J$2:$J$6000,MATCH($C394,Работы!$A$2:$A$6000,0)),"")</f>
        <v>типовая</v>
      </c>
      <c r="R394" t="s">
        <v>92</v>
      </c>
      <c r="T394" t="str">
        <f>IF(AND($P394&gt;0,$R394="да"),MAX($T$1:$T393)+1,"")</f>
        <v/>
      </c>
    </row>
    <row r="395" spans="1:20" x14ac:dyDescent="0.3">
      <c r="A395" t="str">
        <f>IFERROR(INDEX(Работы!$D$2:$D$6000,MATCH($C395,Работы!$A$2:$A$6000,0)),"")</f>
        <v>Р3</v>
      </c>
      <c r="B395" t="str">
        <f>IFERROR(INDEX(Работы!$F$2:$F$6000,MATCH($C395,Работы!$A$2:$A$6000,0)),"")</f>
        <v>8</v>
      </c>
      <c r="C395" t="str">
        <f>IFERROR(INDEX(Работы!$A$2:$A$6000,394),"")</f>
        <v>РАБ.Р3.8.001</v>
      </c>
      <c r="D395" s="8" t="str">
        <f>IFERROR(INDEX(Работы!$B$2:$B$6000,MATCH($C395,Работы!$A$2:$A$6000,0)),"")</f>
        <v>Мобилизация обьекта (более 300 кв.м.)</v>
      </c>
      <c r="E395" t="str">
        <f>IFERROR(INDEX(Работы!$C$2:$C$6000,MATCH($C395,Работы!$A$2:$A$6000,0)),"")</f>
        <v>обьект</v>
      </c>
      <c r="F395">
        <f>IFERROR(INDEX(Работы!$G$2:$G$6000,MATCH($C395,Работы!$A$2:$A$6000,0)),"")</f>
        <v>0</v>
      </c>
      <c r="G395" t="str">
        <f>IFERROR(INDEX(Работы!$K$2:$K$6000,MATCH($C395,Работы!$A$2:$A$6000,0)),"")</f>
        <v>Спецификация</v>
      </c>
      <c r="H395" s="9"/>
      <c r="I395" s="9"/>
      <c r="J395" s="8" t="str">
        <f>IFERROR(INDEX(Материалы!$B$2:$B$9000,MATCH($I395,Материалы!$A$2:$A$9000,0)),"")</f>
        <v/>
      </c>
      <c r="K395" t="str">
        <f>IF($I395="","",IF($F395=IFERROR(INDEX(Материалы!$G$2:$G$9000,MATCH($I395,Материалы!$A$2:$A$9000,0)),""),"OK","!! не та группа"))</f>
        <v/>
      </c>
      <c r="L395" s="10">
        <f>IFERROR(INDEX(Работы!$H$2:$H$6000,MATCH($C395,Работы!$A$2:$A$6000,0))*(1-ДисконтТендер),0)</f>
        <v>0</v>
      </c>
      <c r="M395" s="10">
        <f>IF($I395="",0,IFERROR(INDEX(Материалы!$I$2:$I$9000,MATCH($I395,Материалы!$A$2:$A$9000,0))*IF(INDEX(Материалы!$J$2:$J$9000,MATCH($I395,Материалы!$A$2:$A$9000,0))="USD",КурсUSD,IF(INDEX(Материалы!$J$2:$J$9000,MATCH($I395,Материалы!$A$2:$A$9000,0))="EUR",КурсEUR,1))*INDEX(Материалы!$K$2:$K$9000,MATCH($I395,Материалы!$A$2:$A$9000,0))*(1+IFERROR(INDEX(Работы!$I$2:$I$6000,MATCH($C395,Работы!$A$2:$A$6000,0))/100,0))*(1-ДисконтТендер),0))</f>
        <v>0</v>
      </c>
      <c r="N395" s="10">
        <f t="shared" si="18"/>
        <v>0</v>
      </c>
      <c r="O395" s="10">
        <f t="shared" si="19"/>
        <v>0</v>
      </c>
      <c r="P395" s="10">
        <f t="shared" si="20"/>
        <v>0</v>
      </c>
      <c r="Q395" t="str">
        <f>IFERROR(INDEX(Работы!$J$2:$J$6000,MATCH($C395,Работы!$A$2:$A$6000,0)),"")</f>
        <v>типовая</v>
      </c>
      <c r="R395" t="s">
        <v>92</v>
      </c>
      <c r="T395" t="str">
        <f>IF(AND($P395&gt;0,$R395="да"),MAX($T$1:$T394)+1,"")</f>
        <v/>
      </c>
    </row>
    <row r="396" spans="1:20" x14ac:dyDescent="0.3">
      <c r="A396" t="str">
        <f>IFERROR(INDEX(Работы!$D$2:$D$6000,MATCH($C396,Работы!$A$2:$A$6000,0)),"")</f>
        <v>Р3</v>
      </c>
      <c r="B396" t="str">
        <f>IFERROR(INDEX(Работы!$F$2:$F$6000,MATCH($C396,Работы!$A$2:$A$6000,0)),"")</f>
        <v>8</v>
      </c>
      <c r="C396" t="str">
        <f>IFERROR(INDEX(Работы!$A$2:$A$6000,395),"")</f>
        <v>РАБ.Р3.8.002</v>
      </c>
      <c r="D396" s="8" t="str">
        <f>IFERROR(INDEX(Работы!$B$2:$B$6000,MATCH($C396,Работы!$A$2:$A$6000,0)),"")</f>
        <v>Мобилизация обьекта (менее 300 кв.м.)</v>
      </c>
      <c r="E396" t="str">
        <f>IFERROR(INDEX(Работы!$C$2:$C$6000,MATCH($C396,Работы!$A$2:$A$6000,0)),"")</f>
        <v>обьект</v>
      </c>
      <c r="F396">
        <f>IFERROR(INDEX(Работы!$G$2:$G$6000,MATCH($C396,Работы!$A$2:$A$6000,0)),"")</f>
        <v>0</v>
      </c>
      <c r="G396" t="str">
        <f>IFERROR(INDEX(Работы!$K$2:$K$6000,MATCH($C396,Работы!$A$2:$A$6000,0)),"")</f>
        <v>Спецификация</v>
      </c>
      <c r="H396" s="9"/>
      <c r="I396" s="9"/>
      <c r="J396" s="8" t="str">
        <f>IFERROR(INDEX(Материалы!$B$2:$B$9000,MATCH($I396,Материалы!$A$2:$A$9000,0)),"")</f>
        <v/>
      </c>
      <c r="K396" t="str">
        <f>IF($I396="","",IF($F396=IFERROR(INDEX(Материалы!$G$2:$G$9000,MATCH($I396,Материалы!$A$2:$A$9000,0)),""),"OK","!! не та группа"))</f>
        <v/>
      </c>
      <c r="L396" s="10">
        <f>IFERROR(INDEX(Работы!$H$2:$H$6000,MATCH($C396,Работы!$A$2:$A$6000,0))*(1-ДисконтТендер),0)</f>
        <v>0</v>
      </c>
      <c r="M396" s="10">
        <f>IF($I396="",0,IFERROR(INDEX(Материалы!$I$2:$I$9000,MATCH($I396,Материалы!$A$2:$A$9000,0))*IF(INDEX(Материалы!$J$2:$J$9000,MATCH($I396,Материалы!$A$2:$A$9000,0))="USD",КурсUSD,IF(INDEX(Материалы!$J$2:$J$9000,MATCH($I396,Материалы!$A$2:$A$9000,0))="EUR",КурсEUR,1))*INDEX(Материалы!$K$2:$K$9000,MATCH($I396,Материалы!$A$2:$A$9000,0))*(1+IFERROR(INDEX(Работы!$I$2:$I$6000,MATCH($C396,Работы!$A$2:$A$6000,0))/100,0))*(1-ДисконтТендер),0))</f>
        <v>0</v>
      </c>
      <c r="N396" s="10">
        <f t="shared" si="18"/>
        <v>0</v>
      </c>
      <c r="O396" s="10">
        <f t="shared" si="19"/>
        <v>0</v>
      </c>
      <c r="P396" s="10">
        <f t="shared" si="20"/>
        <v>0</v>
      </c>
      <c r="Q396" t="str">
        <f>IFERROR(INDEX(Работы!$J$2:$J$6000,MATCH($C396,Работы!$A$2:$A$6000,0)),"")</f>
        <v>типовая</v>
      </c>
      <c r="R396" t="s">
        <v>92</v>
      </c>
      <c r="T396" t="str">
        <f>IF(AND($P396&gt;0,$R396="да"),MAX($T$1:$T395)+1,"")</f>
        <v/>
      </c>
    </row>
    <row r="397" spans="1:20" ht="72" x14ac:dyDescent="0.3">
      <c r="A397" t="str">
        <f>IFERROR(INDEX(Работы!$D$2:$D$6000,MATCH($C397,Работы!$A$2:$A$6000,0)),"")</f>
        <v>Р3</v>
      </c>
      <c r="B397" t="str">
        <f>IFERROR(INDEX(Работы!$F$2:$F$6000,MATCH($C397,Работы!$A$2:$A$6000,0)),"")</f>
        <v>8</v>
      </c>
      <c r="C397" t="str">
        <f>IFERROR(INDEX(Работы!$A$2:$A$6000,396),"")</f>
        <v>РАБ.Р3.8.003</v>
      </c>
      <c r="D397" s="8" t="str">
        <f>IFERROR(INDEX(Работы!$B$2:$B$6000,MATCH($C397,Работы!$A$2:$A$6000,0)),"")</f>
        <v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v>
      </c>
      <c r="E397" t="str">
        <f>IFERROR(INDEX(Работы!$C$2:$C$6000,MATCH($C397,Работы!$A$2:$A$6000,0)),"")</f>
        <v>м2</v>
      </c>
      <c r="F397">
        <f>IFERROR(INDEX(Работы!$G$2:$G$6000,MATCH($C397,Работы!$A$2:$A$6000,0)),"")</f>
        <v>0</v>
      </c>
      <c r="G397" t="str">
        <f>IFERROR(INDEX(Работы!$K$2:$K$6000,MATCH($C397,Работы!$A$2:$A$6000,0)),"")</f>
        <v>S_поверхность</v>
      </c>
      <c r="H397" s="9"/>
      <c r="I397" s="9"/>
      <c r="J397" s="8" t="str">
        <f>IFERROR(INDEX(Материалы!$B$2:$B$9000,MATCH($I397,Материалы!$A$2:$A$9000,0)),"")</f>
        <v/>
      </c>
      <c r="K397" t="str">
        <f>IF($I397="","",IF($F397=IFERROR(INDEX(Материалы!$G$2:$G$9000,MATCH($I397,Материалы!$A$2:$A$9000,0)),""),"OK","!! не та группа"))</f>
        <v/>
      </c>
      <c r="L397" s="10">
        <f>IFERROR(INDEX(Работы!$H$2:$H$6000,MATCH($C397,Работы!$A$2:$A$6000,0))*(1-ДисконтТендер),0)</f>
        <v>718.58</v>
      </c>
      <c r="M397" s="10">
        <f>IF($I397="",0,IFERROR(INDEX(Материалы!$I$2:$I$9000,MATCH($I397,Материалы!$A$2:$A$9000,0))*IF(INDEX(Материалы!$J$2:$J$9000,MATCH($I397,Материалы!$A$2:$A$9000,0))="USD",КурсUSD,IF(INDEX(Материалы!$J$2:$J$9000,MATCH($I397,Материалы!$A$2:$A$9000,0))="EUR",КурсEUR,1))*INDEX(Материалы!$K$2:$K$9000,MATCH($I397,Материалы!$A$2:$A$9000,0))*(1+IFERROR(INDEX(Работы!$I$2:$I$6000,MATCH($C397,Работы!$A$2:$A$6000,0))/100,0))*(1-ДисконтТендер),0))</f>
        <v>0</v>
      </c>
      <c r="N397" s="10">
        <f t="shared" si="18"/>
        <v>0</v>
      </c>
      <c r="O397" s="10">
        <f t="shared" si="19"/>
        <v>0</v>
      </c>
      <c r="P397" s="10">
        <f t="shared" si="20"/>
        <v>0</v>
      </c>
      <c r="Q397" t="str">
        <f>IFERROR(INDEX(Работы!$J$2:$J$6000,MATCH($C397,Работы!$A$2:$A$6000,0)),"")</f>
        <v>нетиповая</v>
      </c>
      <c r="R397" t="s">
        <v>92</v>
      </c>
      <c r="T397" t="str">
        <f>IF(AND($P397&gt;0,$R397="да"),MAX($T$1:$T396)+1,"")</f>
        <v/>
      </c>
    </row>
    <row r="398" spans="1:20" x14ac:dyDescent="0.3">
      <c r="A398" t="str">
        <f>IFERROR(INDEX(Работы!$D$2:$D$6000,MATCH($C398,Работы!$A$2:$A$6000,0)),"")</f>
        <v>Р3</v>
      </c>
      <c r="B398" t="str">
        <f>IFERROR(INDEX(Работы!$F$2:$F$6000,MATCH($C398,Работы!$A$2:$A$6000,0)),"")</f>
        <v>8</v>
      </c>
      <c r="C398" t="str">
        <f>IFERROR(INDEX(Работы!$A$2:$A$6000,397),"")</f>
        <v>РАБ.Р3.8.004</v>
      </c>
      <c r="D398" s="8" t="str">
        <f>IFERROR(INDEX(Работы!$B$2:$B$6000,MATCH($C398,Работы!$A$2:$A$6000,0)),"")</f>
        <v>Грунтовка поверхности</v>
      </c>
      <c r="E398" t="str">
        <f>IFERROR(INDEX(Работы!$C$2:$C$6000,MATCH($C398,Работы!$A$2:$A$6000,0)),"")</f>
        <v>м2</v>
      </c>
      <c r="F398">
        <f>IFERROR(INDEX(Работы!$G$2:$G$6000,MATCH($C398,Работы!$A$2:$A$6000,0)),"")</f>
        <v>0</v>
      </c>
      <c r="G398" t="str">
        <f>IFERROR(INDEX(Работы!$K$2:$K$6000,MATCH($C398,Работы!$A$2:$A$6000,0)),"")</f>
        <v>S_поверхность</v>
      </c>
      <c r="H398" s="9"/>
      <c r="I398" s="9"/>
      <c r="J398" s="8" t="str">
        <f>IFERROR(INDEX(Материалы!$B$2:$B$9000,MATCH($I398,Материалы!$A$2:$A$9000,0)),"")</f>
        <v/>
      </c>
      <c r="K398" t="str">
        <f>IF($I398="","",IF($F398=IFERROR(INDEX(Материалы!$G$2:$G$9000,MATCH($I398,Материалы!$A$2:$A$9000,0)),""),"OK","!! не та группа"))</f>
        <v/>
      </c>
      <c r="L398" s="10">
        <f>IFERROR(INDEX(Работы!$H$2:$H$6000,MATCH($C398,Работы!$A$2:$A$6000,0))*(1-ДисконтТендер),0)</f>
        <v>1503.36</v>
      </c>
      <c r="M398" s="10">
        <f>IF($I398="",0,IFERROR(INDEX(Материалы!$I$2:$I$9000,MATCH($I398,Материалы!$A$2:$A$9000,0))*IF(INDEX(Материалы!$J$2:$J$9000,MATCH($I398,Материалы!$A$2:$A$9000,0))="USD",КурсUSD,IF(INDEX(Материалы!$J$2:$J$9000,MATCH($I398,Материалы!$A$2:$A$9000,0))="EUR",КурсEUR,1))*INDEX(Материалы!$K$2:$K$9000,MATCH($I398,Материалы!$A$2:$A$9000,0))*(1+IFERROR(INDEX(Работы!$I$2:$I$6000,MATCH($C398,Работы!$A$2:$A$6000,0))/100,0))*(1-ДисконтТендер),0))</f>
        <v>0</v>
      </c>
      <c r="N398" s="10">
        <f t="shared" si="18"/>
        <v>0</v>
      </c>
      <c r="O398" s="10">
        <f t="shared" si="19"/>
        <v>0</v>
      </c>
      <c r="P398" s="10">
        <f t="shared" si="20"/>
        <v>0</v>
      </c>
      <c r="Q398" t="str">
        <f>IFERROR(INDEX(Работы!$J$2:$J$6000,MATCH($C398,Работы!$A$2:$A$6000,0)),"")</f>
        <v>типовая</v>
      </c>
      <c r="R398" t="s">
        <v>92</v>
      </c>
      <c r="T398" t="str">
        <f>IF(AND($P398&gt;0,$R398="да"),MAX($T$1:$T397)+1,"")</f>
        <v/>
      </c>
    </row>
    <row r="399" spans="1:20" ht="72" x14ac:dyDescent="0.3">
      <c r="A399" t="str">
        <f>IFERROR(INDEX(Работы!$D$2:$D$6000,MATCH($C399,Работы!$A$2:$A$6000,0)),"")</f>
        <v>Р3</v>
      </c>
      <c r="B399" t="str">
        <f>IFERROR(INDEX(Работы!$F$2:$F$6000,MATCH($C399,Работы!$A$2:$A$6000,0)),"")</f>
        <v>8</v>
      </c>
      <c r="C399" t="str">
        <f>IFERROR(INDEX(Работы!$A$2:$A$6000,398),"")</f>
        <v>РАБ.Р3.8.005</v>
      </c>
      <c r="D399" s="8" t="str">
        <f>IFERROR(INDEX(Работы!$B$2:$B$6000,MATCH($C399,Работы!$A$2:$A$6000,0)),"")</f>
        <v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v>
      </c>
      <c r="E399" t="str">
        <f>IFERROR(INDEX(Работы!$C$2:$C$6000,MATCH($C399,Работы!$A$2:$A$6000,0)),"")</f>
        <v>м2</v>
      </c>
      <c r="F399">
        <f>IFERROR(INDEX(Работы!$G$2:$G$6000,MATCH($C399,Работы!$A$2:$A$6000,0)),"")</f>
        <v>0</v>
      </c>
      <c r="G399" t="str">
        <f>IFERROR(INDEX(Работы!$K$2:$K$6000,MATCH($C399,Работы!$A$2:$A$6000,0)),"")</f>
        <v>S_поверхность</v>
      </c>
      <c r="H399" s="9"/>
      <c r="I399" s="9"/>
      <c r="J399" s="8" t="str">
        <f>IFERROR(INDEX(Материалы!$B$2:$B$9000,MATCH($I399,Материалы!$A$2:$A$9000,0)),"")</f>
        <v/>
      </c>
      <c r="K399" t="str">
        <f>IF($I399="","",IF($F399=IFERROR(INDEX(Материалы!$G$2:$G$9000,MATCH($I399,Материалы!$A$2:$A$9000,0)),""),"OK","!! не та группа"))</f>
        <v/>
      </c>
      <c r="L399" s="10">
        <f>IFERROR(INDEX(Работы!$H$2:$H$6000,MATCH($C399,Работы!$A$2:$A$6000,0))*(1-ДисконтТендер),0)</f>
        <v>2100</v>
      </c>
      <c r="M399" s="10">
        <f>IF($I399="",0,IFERROR(INDEX(Материалы!$I$2:$I$9000,MATCH($I399,Материалы!$A$2:$A$9000,0))*IF(INDEX(Материалы!$J$2:$J$9000,MATCH($I399,Материалы!$A$2:$A$9000,0))="USD",КурсUSD,IF(INDEX(Материалы!$J$2:$J$9000,MATCH($I399,Материалы!$A$2:$A$9000,0))="EUR",КурсEUR,1))*INDEX(Материалы!$K$2:$K$9000,MATCH($I399,Материалы!$A$2:$A$9000,0))*(1+IFERROR(INDEX(Работы!$I$2:$I$6000,MATCH($C399,Работы!$A$2:$A$6000,0))/100,0))*(1-ДисконтТендер),0))</f>
        <v>0</v>
      </c>
      <c r="N399" s="10">
        <f t="shared" si="18"/>
        <v>0</v>
      </c>
      <c r="O399" s="10">
        <f t="shared" si="19"/>
        <v>0</v>
      </c>
      <c r="P399" s="10">
        <f t="shared" si="20"/>
        <v>0</v>
      </c>
      <c r="Q399" t="str">
        <f>IFERROR(INDEX(Работы!$J$2:$J$6000,MATCH($C399,Работы!$A$2:$A$6000,0)),"")</f>
        <v>нетиповая</v>
      </c>
      <c r="R399" t="s">
        <v>92</v>
      </c>
      <c r="T399" t="str">
        <f>IF(AND($P399&gt;0,$R399="да"),MAX($T$1:$T398)+1,"")</f>
        <v/>
      </c>
    </row>
    <row r="400" spans="1:20" ht="28.8" x14ac:dyDescent="0.3">
      <c r="A400" t="str">
        <f>IFERROR(INDEX(Работы!$D$2:$D$6000,MATCH($C400,Работы!$A$2:$A$6000,0)),"")</f>
        <v>Р3</v>
      </c>
      <c r="B400" t="str">
        <f>IFERROR(INDEX(Работы!$F$2:$F$6000,MATCH($C400,Работы!$A$2:$A$6000,0)),"")</f>
        <v>8</v>
      </c>
      <c r="C400" t="str">
        <f>IFERROR(INDEX(Работы!$A$2:$A$6000,399),"")</f>
        <v>РАБ.Р3.8.006</v>
      </c>
      <c r="D400" s="8" t="str">
        <f>IFERROR(INDEX(Работы!$B$2:$B$6000,MATCH($C400,Работы!$A$2:$A$6000,0)),"")</f>
        <v>Масляная окраска стальных труб с учетом подготовки</v>
      </c>
      <c r="E400" t="str">
        <f>IFERROR(INDEX(Работы!$C$2:$C$6000,MATCH($C400,Работы!$A$2:$A$6000,0)),"")</f>
        <v>м2</v>
      </c>
      <c r="F400" t="str">
        <f>IFERROR(INDEX(Работы!$G$2:$G$6000,MATCH($C400,Работы!$A$2:$A$6000,0)),"")</f>
        <v>КРАСКА</v>
      </c>
      <c r="G400" t="str">
        <f>IFERROR(INDEX(Работы!$K$2:$K$6000,MATCH($C400,Работы!$A$2:$A$6000,0)),"")</f>
        <v>S_поверхность</v>
      </c>
      <c r="H400" s="9"/>
      <c r="I400" s="9"/>
      <c r="J400" s="8" t="str">
        <f>IFERROR(INDEX(Материалы!$B$2:$B$9000,MATCH($I400,Материалы!$A$2:$A$9000,0)),"")</f>
        <v/>
      </c>
      <c r="K400" t="str">
        <f>IF($I400="","",IF($F400=IFERROR(INDEX(Материалы!$G$2:$G$9000,MATCH($I400,Материалы!$A$2:$A$9000,0)),""),"OK","!! не та группа"))</f>
        <v/>
      </c>
      <c r="L400" s="10">
        <f>IFERROR(INDEX(Работы!$H$2:$H$6000,MATCH($C400,Работы!$A$2:$A$6000,0))*(1-ДисконтТендер),0)</f>
        <v>382.8</v>
      </c>
      <c r="M400" s="10">
        <f>IF($I400="",0,IFERROR(INDEX(Материалы!$I$2:$I$9000,MATCH($I400,Материалы!$A$2:$A$9000,0))*IF(INDEX(Материалы!$J$2:$J$9000,MATCH($I400,Материалы!$A$2:$A$9000,0))="USD",КурсUSD,IF(INDEX(Материалы!$J$2:$J$9000,MATCH($I400,Материалы!$A$2:$A$9000,0))="EUR",КурсEUR,1))*INDEX(Материалы!$K$2:$K$9000,MATCH($I400,Материалы!$A$2:$A$9000,0))*(1+IFERROR(INDEX(Работы!$I$2:$I$6000,MATCH($C400,Работы!$A$2:$A$6000,0))/100,0))*(1-ДисконтТендер),0))</f>
        <v>0</v>
      </c>
      <c r="N400" s="10">
        <f t="shared" si="18"/>
        <v>0</v>
      </c>
      <c r="O400" s="10">
        <f t="shared" si="19"/>
        <v>0</v>
      </c>
      <c r="P400" s="10">
        <f t="shared" si="20"/>
        <v>0</v>
      </c>
      <c r="Q400" t="str">
        <f>IFERROR(INDEX(Работы!$J$2:$J$6000,MATCH($C400,Работы!$A$2:$A$6000,0)),"")</f>
        <v>типовая</v>
      </c>
      <c r="R400" t="s">
        <v>92</v>
      </c>
      <c r="T400" t="str">
        <f>IF(AND($P400&gt;0,$R400="да"),MAX($T$1:$T399)+1,"")</f>
        <v/>
      </c>
    </row>
    <row r="401" spans="1:20" ht="28.8" x14ac:dyDescent="0.3">
      <c r="A401" t="str">
        <f>IFERROR(INDEX(Работы!$D$2:$D$6000,MATCH($C401,Работы!$A$2:$A$6000,0)),"")</f>
        <v>Р3</v>
      </c>
      <c r="B401" t="str">
        <f>IFERROR(INDEX(Работы!$F$2:$F$6000,MATCH($C401,Работы!$A$2:$A$6000,0)),"")</f>
        <v>8</v>
      </c>
      <c r="C401" t="str">
        <f>IFERROR(INDEX(Работы!$A$2:$A$6000,400),"")</f>
        <v>РАБ.Р3.8.007</v>
      </c>
      <c r="D401" s="8" t="str">
        <f>IFERROR(INDEX(Работы!$B$2:$B$6000,MATCH($C401,Работы!$A$2:$A$6000,0)),"")</f>
        <v>Устройство ограждения из нержавеющей стали (стойка и поручень)</v>
      </c>
      <c r="E401" t="str">
        <f>IFERROR(INDEX(Работы!$C$2:$C$6000,MATCH($C401,Работы!$A$2:$A$6000,0)),"")</f>
        <v>м.п.</v>
      </c>
      <c r="F401">
        <f>IFERROR(INDEX(Работы!$G$2:$G$6000,MATCH($C401,Работы!$A$2:$A$6000,0)),"")</f>
        <v>0</v>
      </c>
      <c r="G401" t="str">
        <f>IFERROR(INDEX(Работы!$K$2:$K$6000,MATCH($C401,Работы!$A$2:$A$6000,0)),"")</f>
        <v>Погонаж</v>
      </c>
      <c r="H401" s="9"/>
      <c r="I401" s="9"/>
      <c r="J401" s="8" t="str">
        <f>IFERROR(INDEX(Материалы!$B$2:$B$9000,MATCH($I401,Материалы!$A$2:$A$9000,0)),"")</f>
        <v/>
      </c>
      <c r="K401" t="str">
        <f>IF($I401="","",IF($F401=IFERROR(INDEX(Материалы!$G$2:$G$9000,MATCH($I401,Материалы!$A$2:$A$9000,0)),""),"OK","!! не та группа"))</f>
        <v/>
      </c>
      <c r="L401" s="10">
        <f>IFERROR(INDEX(Работы!$H$2:$H$6000,MATCH($C401,Работы!$A$2:$A$6000,0))*(1-ДисконтТендер),0)</f>
        <v>2612.5</v>
      </c>
      <c r="M401" s="10">
        <f>IF($I401="",0,IFERROR(INDEX(Материалы!$I$2:$I$9000,MATCH($I401,Материалы!$A$2:$A$9000,0))*IF(INDEX(Материалы!$J$2:$J$9000,MATCH($I401,Материалы!$A$2:$A$9000,0))="USD",КурсUSD,IF(INDEX(Материалы!$J$2:$J$9000,MATCH($I401,Материалы!$A$2:$A$9000,0))="EUR",КурсEUR,1))*INDEX(Материалы!$K$2:$K$9000,MATCH($I401,Материалы!$A$2:$A$9000,0))*(1+IFERROR(INDEX(Работы!$I$2:$I$6000,MATCH($C401,Работы!$A$2:$A$6000,0))/100,0))*(1-ДисконтТендер),0))</f>
        <v>0</v>
      </c>
      <c r="N401" s="10">
        <f t="shared" si="18"/>
        <v>0</v>
      </c>
      <c r="O401" s="10">
        <f t="shared" si="19"/>
        <v>0</v>
      </c>
      <c r="P401" s="10">
        <f t="shared" si="20"/>
        <v>0</v>
      </c>
      <c r="Q401" t="str">
        <f>IFERROR(INDEX(Работы!$J$2:$J$6000,MATCH($C401,Работы!$A$2:$A$6000,0)),"")</f>
        <v>типовая</v>
      </c>
      <c r="R401" t="s">
        <v>92</v>
      </c>
      <c r="T401" t="str">
        <f>IF(AND($P401&gt;0,$R401="да"),MAX($T$1:$T400)+1,"")</f>
        <v/>
      </c>
    </row>
    <row r="402" spans="1:20" ht="28.8" x14ac:dyDescent="0.3">
      <c r="A402" t="str">
        <f>IFERROR(INDEX(Работы!$D$2:$D$6000,MATCH($C402,Работы!$A$2:$A$6000,0)),"")</f>
        <v>Р3</v>
      </c>
      <c r="B402" t="str">
        <f>IFERROR(INDEX(Работы!$F$2:$F$6000,MATCH($C402,Работы!$A$2:$A$6000,0)),"")</f>
        <v>8</v>
      </c>
      <c r="C402" t="str">
        <f>IFERROR(INDEX(Работы!$A$2:$A$6000,401),"")</f>
        <v>РАБ.Р3.8.008</v>
      </c>
      <c r="D402" s="8" t="str">
        <f>IFERROR(INDEX(Работы!$B$2:$B$6000,MATCH($C402,Работы!$A$2:$A$6000,0)),"")</f>
        <v>Установка отбойной доски из ламинированного ДСП, шириной до 600мм</v>
      </c>
      <c r="E402" t="str">
        <f>IFERROR(INDEX(Работы!$C$2:$C$6000,MATCH($C402,Работы!$A$2:$A$6000,0)),"")</f>
        <v>м.п.</v>
      </c>
      <c r="F402">
        <f>IFERROR(INDEX(Работы!$G$2:$G$6000,MATCH($C402,Работы!$A$2:$A$6000,0)),"")</f>
        <v>0</v>
      </c>
      <c r="G402" t="str">
        <f>IFERROR(INDEX(Работы!$K$2:$K$6000,MATCH($C402,Работы!$A$2:$A$6000,0)),"")</f>
        <v>Спецификация</v>
      </c>
      <c r="H402" s="9"/>
      <c r="I402" s="9"/>
      <c r="J402" s="8" t="str">
        <f>IFERROR(INDEX(Материалы!$B$2:$B$9000,MATCH($I402,Материалы!$A$2:$A$9000,0)),"")</f>
        <v/>
      </c>
      <c r="K402" t="str">
        <f>IF($I402="","",IF($F402=IFERROR(INDEX(Материалы!$G$2:$G$9000,MATCH($I402,Материалы!$A$2:$A$9000,0)),""),"OK","!! не та группа"))</f>
        <v/>
      </c>
      <c r="L402" s="10">
        <f>IFERROR(INDEX(Работы!$H$2:$H$6000,MATCH($C402,Работы!$A$2:$A$6000,0))*(1-ДисконтТендер),0)</f>
        <v>670.77</v>
      </c>
      <c r="M402" s="10">
        <f>IF($I402="",0,IFERROR(INDEX(Материалы!$I$2:$I$9000,MATCH($I402,Материалы!$A$2:$A$9000,0))*IF(INDEX(Материалы!$J$2:$J$9000,MATCH($I402,Материалы!$A$2:$A$9000,0))="USD",КурсUSD,IF(INDEX(Материалы!$J$2:$J$9000,MATCH($I402,Материалы!$A$2:$A$9000,0))="EUR",КурсEUR,1))*INDEX(Материалы!$K$2:$K$9000,MATCH($I402,Материалы!$A$2:$A$9000,0))*(1+IFERROR(INDEX(Работы!$I$2:$I$6000,MATCH($C402,Работы!$A$2:$A$6000,0))/100,0))*(1-ДисконтТендер),0))</f>
        <v>0</v>
      </c>
      <c r="N402" s="10">
        <f t="shared" si="18"/>
        <v>0</v>
      </c>
      <c r="O402" s="10">
        <f t="shared" si="19"/>
        <v>0</v>
      </c>
      <c r="P402" s="10">
        <f t="shared" si="20"/>
        <v>0</v>
      </c>
      <c r="Q402" t="str">
        <f>IFERROR(INDEX(Работы!$J$2:$J$6000,MATCH($C402,Работы!$A$2:$A$6000,0)),"")</f>
        <v>типовая</v>
      </c>
      <c r="R402" t="s">
        <v>92</v>
      </c>
      <c r="T402" t="str">
        <f>IF(AND($P402&gt;0,$R402="да"),MAX($T$1:$T401)+1,"")</f>
        <v/>
      </c>
    </row>
    <row r="403" spans="1:20" x14ac:dyDescent="0.3">
      <c r="A403" t="str">
        <f>IFERROR(INDEX(Работы!$D$2:$D$6000,MATCH($C403,Работы!$A$2:$A$6000,0)),"")</f>
        <v>Р3</v>
      </c>
      <c r="B403" t="str">
        <f>IFERROR(INDEX(Работы!$F$2:$F$6000,MATCH($C403,Работы!$A$2:$A$6000,0)),"")</f>
        <v>8</v>
      </c>
      <c r="C403" t="str">
        <f>IFERROR(INDEX(Работы!$A$2:$A$6000,402),"")</f>
        <v>РАБ.Р3.8.009</v>
      </c>
      <c r="D403" s="8" t="str">
        <f>IFERROR(INDEX(Работы!$B$2:$B$6000,MATCH($C403,Работы!$A$2:$A$6000,0)),"")</f>
        <v>Установка рольставни с электроприводом</v>
      </c>
      <c r="E403" t="str">
        <f>IFERROR(INDEX(Работы!$C$2:$C$6000,MATCH($C403,Работы!$A$2:$A$6000,0)),"")</f>
        <v>м2</v>
      </c>
      <c r="F403" t="str">
        <f>IFERROR(INDEX(Работы!$G$2:$G$6000,MATCH($C403,Работы!$A$2:$A$6000,0)),"")</f>
        <v>ЖАЛЮЗИ</v>
      </c>
      <c r="G403" t="str">
        <f>IFERROR(INDEX(Работы!$K$2:$K$6000,MATCH($C403,Работы!$A$2:$A$6000,0)),"")</f>
        <v>Спецификация</v>
      </c>
      <c r="H403" s="9"/>
      <c r="I403" s="9"/>
      <c r="J403" s="8" t="str">
        <f>IFERROR(INDEX(Материалы!$B$2:$B$9000,MATCH($I403,Материалы!$A$2:$A$9000,0)),"")</f>
        <v/>
      </c>
      <c r="K403" t="str">
        <f>IF($I403="","",IF($F403=IFERROR(INDEX(Материалы!$G$2:$G$9000,MATCH($I403,Материалы!$A$2:$A$9000,0)),""),"OK","!! не та группа"))</f>
        <v/>
      </c>
      <c r="L403" s="10">
        <f>IFERROR(INDEX(Работы!$H$2:$H$6000,MATCH($C403,Работы!$A$2:$A$6000,0))*(1-ДисконтТендер),0)</f>
        <v>2505.6</v>
      </c>
      <c r="M403" s="10">
        <f>IF($I403="",0,IFERROR(INDEX(Материалы!$I$2:$I$9000,MATCH($I403,Материалы!$A$2:$A$9000,0))*IF(INDEX(Материалы!$J$2:$J$9000,MATCH($I403,Материалы!$A$2:$A$9000,0))="USD",КурсUSD,IF(INDEX(Материалы!$J$2:$J$9000,MATCH($I403,Материалы!$A$2:$A$9000,0))="EUR",КурсEUR,1))*INDEX(Материалы!$K$2:$K$9000,MATCH($I403,Материалы!$A$2:$A$9000,0))*(1+IFERROR(INDEX(Работы!$I$2:$I$6000,MATCH($C403,Работы!$A$2:$A$6000,0))/100,0))*(1-ДисконтТендер),0))</f>
        <v>0</v>
      </c>
      <c r="N403" s="10">
        <f t="shared" si="18"/>
        <v>0</v>
      </c>
      <c r="O403" s="10">
        <f t="shared" si="19"/>
        <v>0</v>
      </c>
      <c r="P403" s="10">
        <f t="shared" si="20"/>
        <v>0</v>
      </c>
      <c r="Q403" t="str">
        <f>IFERROR(INDEX(Работы!$J$2:$J$6000,MATCH($C403,Работы!$A$2:$A$6000,0)),"")</f>
        <v>типовая</v>
      </c>
      <c r="R403" t="s">
        <v>92</v>
      </c>
      <c r="T403" t="str">
        <f>IF(AND($P403&gt;0,$R403="да"),MAX($T$1:$T402)+1,"")</f>
        <v/>
      </c>
    </row>
    <row r="404" spans="1:20" x14ac:dyDescent="0.3">
      <c r="A404" t="str">
        <f>IFERROR(INDEX(Работы!$D$2:$D$6000,MATCH($C404,Работы!$A$2:$A$6000,0)),"")</f>
        <v>Р3</v>
      </c>
      <c r="B404" t="str">
        <f>IFERROR(INDEX(Работы!$F$2:$F$6000,MATCH($C404,Работы!$A$2:$A$6000,0)),"")</f>
        <v>8</v>
      </c>
      <c r="C404" t="str">
        <f>IFERROR(INDEX(Работы!$A$2:$A$6000,403),"")</f>
        <v>РАБ.Р3.8.010</v>
      </c>
      <c r="D404" s="8" t="str">
        <f>IFERROR(INDEX(Работы!$B$2:$B$6000,MATCH($C404,Работы!$A$2:$A$6000,0)),"")</f>
        <v>Установка алюминиевой рольставни</v>
      </c>
      <c r="E404" t="str">
        <f>IFERROR(INDEX(Работы!$C$2:$C$6000,MATCH($C404,Работы!$A$2:$A$6000,0)),"")</f>
        <v>м2</v>
      </c>
      <c r="F404" t="str">
        <f>IFERROR(INDEX(Работы!$G$2:$G$6000,MATCH($C404,Работы!$A$2:$A$6000,0)),"")</f>
        <v>ЖАЛЮЗИ</v>
      </c>
      <c r="G404" t="str">
        <f>IFERROR(INDEX(Работы!$K$2:$K$6000,MATCH($C404,Работы!$A$2:$A$6000,0)),"")</f>
        <v>Спецификация</v>
      </c>
      <c r="H404" s="9"/>
      <c r="I404" s="9"/>
      <c r="J404" s="8" t="str">
        <f>IFERROR(INDEX(Материалы!$B$2:$B$9000,MATCH($I404,Материалы!$A$2:$A$9000,0)),"")</f>
        <v/>
      </c>
      <c r="K404" t="str">
        <f>IF($I404="","",IF($F404=IFERROR(INDEX(Материалы!$G$2:$G$9000,MATCH($I404,Материалы!$A$2:$A$9000,0)),""),"OK","!! не та группа"))</f>
        <v/>
      </c>
      <c r="L404" s="10">
        <f>IFERROR(INDEX(Работы!$H$2:$H$6000,MATCH($C404,Работы!$A$2:$A$6000,0))*(1-ДисконтТендер),0)</f>
        <v>1879.2</v>
      </c>
      <c r="M404" s="10">
        <f>IF($I404="",0,IFERROR(INDEX(Материалы!$I$2:$I$9000,MATCH($I404,Материалы!$A$2:$A$9000,0))*IF(INDEX(Материалы!$J$2:$J$9000,MATCH($I404,Материалы!$A$2:$A$9000,0))="USD",КурсUSD,IF(INDEX(Материалы!$J$2:$J$9000,MATCH($I404,Материалы!$A$2:$A$9000,0))="EUR",КурсEUR,1))*INDEX(Материалы!$K$2:$K$9000,MATCH($I404,Материалы!$A$2:$A$9000,0))*(1+IFERROR(INDEX(Работы!$I$2:$I$6000,MATCH($C404,Работы!$A$2:$A$6000,0))/100,0))*(1-ДисконтТендер),0))</f>
        <v>0</v>
      </c>
      <c r="N404" s="10">
        <f t="shared" si="18"/>
        <v>0</v>
      </c>
      <c r="O404" s="10">
        <f t="shared" si="19"/>
        <v>0</v>
      </c>
      <c r="P404" s="10">
        <f t="shared" si="20"/>
        <v>0</v>
      </c>
      <c r="Q404" t="str">
        <f>IFERROR(INDEX(Работы!$J$2:$J$6000,MATCH($C404,Работы!$A$2:$A$6000,0)),"")</f>
        <v>типовая</v>
      </c>
      <c r="R404" t="s">
        <v>92</v>
      </c>
      <c r="T404" t="str">
        <f>IF(AND($P404&gt;0,$R404="да"),MAX($T$1:$T403)+1,"")</f>
        <v/>
      </c>
    </row>
    <row r="405" spans="1:20" x14ac:dyDescent="0.3">
      <c r="A405" t="str">
        <f>IFERROR(INDEX(Работы!$D$2:$D$6000,MATCH($C405,Работы!$A$2:$A$6000,0)),"")</f>
        <v>Р3</v>
      </c>
      <c r="B405" t="str">
        <f>IFERROR(INDEX(Работы!$F$2:$F$6000,MATCH($C405,Работы!$A$2:$A$6000,0)),"")</f>
        <v>8</v>
      </c>
      <c r="C405" t="str">
        <f>IFERROR(INDEX(Работы!$A$2:$A$6000,404),"")</f>
        <v>РАБ.Р3.8.011</v>
      </c>
      <c r="D405" s="8" t="str">
        <f>IFERROR(INDEX(Работы!$B$2:$B$6000,MATCH($C405,Работы!$A$2:$A$6000,0)),"")</f>
        <v>Заливка бетона М150</v>
      </c>
      <c r="E405" t="str">
        <f>IFERROR(INDEX(Работы!$C$2:$C$6000,MATCH($C405,Работы!$A$2:$A$6000,0)),"")</f>
        <v>м3</v>
      </c>
      <c r="F405">
        <f>IFERROR(INDEX(Работы!$G$2:$G$6000,MATCH($C405,Работы!$A$2:$A$6000,0)),"")</f>
        <v>0</v>
      </c>
      <c r="G405" t="str">
        <f>IFERROR(INDEX(Работы!$K$2:$K$6000,MATCH($C405,Работы!$A$2:$A$6000,0)),"")</f>
        <v>Расчёт</v>
      </c>
      <c r="H405" s="9"/>
      <c r="I405" s="9"/>
      <c r="J405" s="8" t="str">
        <f>IFERROR(INDEX(Материалы!$B$2:$B$9000,MATCH($I405,Материалы!$A$2:$A$9000,0)),"")</f>
        <v/>
      </c>
      <c r="K405" t="str">
        <f>IF($I405="","",IF($F405=IFERROR(INDEX(Материалы!$G$2:$G$9000,MATCH($I405,Материалы!$A$2:$A$9000,0)),""),"OK","!! не та группа"))</f>
        <v/>
      </c>
      <c r="L405" s="10">
        <f>IFERROR(INDEX(Работы!$H$2:$H$6000,MATCH($C405,Работы!$A$2:$A$6000,0))*(1-ДисконтТендер),0)</f>
        <v>2035.2</v>
      </c>
      <c r="M405" s="10">
        <f>IF($I405="",0,IFERROR(INDEX(Материалы!$I$2:$I$9000,MATCH($I405,Материалы!$A$2:$A$9000,0))*IF(INDEX(Материалы!$J$2:$J$9000,MATCH($I405,Материалы!$A$2:$A$9000,0))="USD",КурсUSD,IF(INDEX(Материалы!$J$2:$J$9000,MATCH($I405,Материалы!$A$2:$A$9000,0))="EUR",КурсEUR,1))*INDEX(Материалы!$K$2:$K$9000,MATCH($I405,Материалы!$A$2:$A$9000,0))*(1+IFERROR(INDEX(Работы!$I$2:$I$6000,MATCH($C405,Работы!$A$2:$A$6000,0))/100,0))*(1-ДисконтТендер),0))</f>
        <v>0</v>
      </c>
      <c r="N405" s="10">
        <f t="shared" si="18"/>
        <v>0</v>
      </c>
      <c r="O405" s="10">
        <f t="shared" si="19"/>
        <v>0</v>
      </c>
      <c r="P405" s="10">
        <f t="shared" si="20"/>
        <v>0</v>
      </c>
      <c r="Q405" t="str">
        <f>IFERROR(INDEX(Работы!$J$2:$J$6000,MATCH($C405,Работы!$A$2:$A$6000,0)),"")</f>
        <v>типовая</v>
      </c>
      <c r="R405" t="s">
        <v>92</v>
      </c>
      <c r="T405" t="str">
        <f>IF(AND($P405&gt;0,$R405="да"),MAX($T$1:$T404)+1,"")</f>
        <v/>
      </c>
    </row>
    <row r="406" spans="1:20" x14ac:dyDescent="0.3">
      <c r="A406" t="str">
        <f>IFERROR(INDEX(Работы!$D$2:$D$6000,MATCH($C406,Работы!$A$2:$A$6000,0)),"")</f>
        <v>Р3</v>
      </c>
      <c r="B406" t="str">
        <f>IFERROR(INDEX(Работы!$F$2:$F$6000,MATCH($C406,Работы!$A$2:$A$6000,0)),"")</f>
        <v>8</v>
      </c>
      <c r="C406" t="str">
        <f>IFERROR(INDEX(Работы!$A$2:$A$6000,405),"")</f>
        <v>РАБ.Р3.8.012</v>
      </c>
      <c r="D406" s="8" t="str">
        <f>IFERROR(INDEX(Работы!$B$2:$B$6000,MATCH($C406,Работы!$A$2:$A$6000,0)),"")</f>
        <v>Монтаж металлического листа толщ. 4 мм</v>
      </c>
      <c r="E406" t="str">
        <f>IFERROR(INDEX(Работы!$C$2:$C$6000,MATCH($C406,Работы!$A$2:$A$6000,0)),"")</f>
        <v>м2</v>
      </c>
      <c r="F406">
        <f>IFERROR(INDEX(Работы!$G$2:$G$6000,MATCH($C406,Работы!$A$2:$A$6000,0)),"")</f>
        <v>0</v>
      </c>
      <c r="G406" t="str">
        <f>IFERROR(INDEX(Работы!$K$2:$K$6000,MATCH($C406,Работы!$A$2:$A$6000,0)),"")</f>
        <v>S_поверхность</v>
      </c>
      <c r="H406" s="9"/>
      <c r="I406" s="9"/>
      <c r="J406" s="8" t="str">
        <f>IFERROR(INDEX(Материалы!$B$2:$B$9000,MATCH($I406,Материалы!$A$2:$A$9000,0)),"")</f>
        <v/>
      </c>
      <c r="K406" t="str">
        <f>IF($I406="","",IF($F406=IFERROR(INDEX(Материалы!$G$2:$G$9000,MATCH($I406,Материалы!$A$2:$A$9000,0)),""),"OK","!! не та группа"))</f>
        <v/>
      </c>
      <c r="L406" s="10">
        <f>IFERROR(INDEX(Работы!$H$2:$H$6000,MATCH($C406,Работы!$A$2:$A$6000,0))*(1-ДисконтТендер),0)</f>
        <v>962.5</v>
      </c>
      <c r="M406" s="10">
        <f>IF($I406="",0,IFERROR(INDEX(Материалы!$I$2:$I$9000,MATCH($I406,Материалы!$A$2:$A$9000,0))*IF(INDEX(Материалы!$J$2:$J$9000,MATCH($I406,Материалы!$A$2:$A$9000,0))="USD",КурсUSD,IF(INDEX(Материалы!$J$2:$J$9000,MATCH($I406,Материалы!$A$2:$A$9000,0))="EUR",КурсEUR,1))*INDEX(Материалы!$K$2:$K$9000,MATCH($I406,Материалы!$A$2:$A$9000,0))*(1+IFERROR(INDEX(Работы!$I$2:$I$6000,MATCH($C406,Работы!$A$2:$A$6000,0))/100,0))*(1-ДисконтТендер),0))</f>
        <v>0</v>
      </c>
      <c r="N406" s="10">
        <f t="shared" si="18"/>
        <v>0</v>
      </c>
      <c r="O406" s="10">
        <f t="shared" si="19"/>
        <v>0</v>
      </c>
      <c r="P406" s="10">
        <f t="shared" si="20"/>
        <v>0</v>
      </c>
      <c r="Q406" t="str">
        <f>IFERROR(INDEX(Работы!$J$2:$J$6000,MATCH($C406,Работы!$A$2:$A$6000,0)),"")</f>
        <v>типовая</v>
      </c>
      <c r="R406" t="s">
        <v>92</v>
      </c>
      <c r="T406" t="str">
        <f>IF(AND($P406&gt;0,$R406="да"),MAX($T$1:$T405)+1,"")</f>
        <v/>
      </c>
    </row>
    <row r="407" spans="1:20" x14ac:dyDescent="0.3">
      <c r="A407" t="str">
        <f>IFERROR(INDEX(Работы!$D$2:$D$6000,MATCH($C407,Работы!$A$2:$A$6000,0)),"")</f>
        <v>Р3</v>
      </c>
      <c r="B407" t="str">
        <f>IFERROR(INDEX(Работы!$F$2:$F$6000,MATCH($C407,Работы!$A$2:$A$6000,0)),"")</f>
        <v>8</v>
      </c>
      <c r="C407" t="str">
        <f>IFERROR(INDEX(Работы!$A$2:$A$6000,406),"")</f>
        <v>РАБ.Р3.8.013</v>
      </c>
      <c r="D407" s="8" t="str">
        <f>IFERROR(INDEX(Работы!$B$2:$B$6000,MATCH($C407,Работы!$A$2:$A$6000,0)),"")</f>
        <v>Изготовление и монтаж металлоконструкций</v>
      </c>
      <c r="E407" t="str">
        <f>IFERROR(INDEX(Работы!$C$2:$C$6000,MATCH($C407,Работы!$A$2:$A$6000,0)),"")</f>
        <v>тн.</v>
      </c>
      <c r="F407">
        <f>IFERROR(INDEX(Работы!$G$2:$G$6000,MATCH($C407,Работы!$A$2:$A$6000,0)),"")</f>
        <v>0</v>
      </c>
      <c r="G407" t="str">
        <f>IFERROR(INDEX(Работы!$K$2:$K$6000,MATCH($C407,Работы!$A$2:$A$6000,0)),"")</f>
        <v>Расчёт</v>
      </c>
      <c r="H407" s="9"/>
      <c r="I407" s="9"/>
      <c r="J407" s="8" t="str">
        <f>IFERROR(INDEX(Материалы!$B$2:$B$9000,MATCH($I407,Материалы!$A$2:$A$9000,0)),"")</f>
        <v/>
      </c>
      <c r="K407" t="str">
        <f>IF($I407="","",IF($F407=IFERROR(INDEX(Материалы!$G$2:$G$9000,MATCH($I407,Материалы!$A$2:$A$9000,0)),""),"OK","!! не та группа"))</f>
        <v/>
      </c>
      <c r="L407" s="10">
        <f>IFERROR(INDEX(Работы!$H$2:$H$6000,MATCH($C407,Работы!$A$2:$A$6000,0))*(1-ДисконтТендер),0)</f>
        <v>125280</v>
      </c>
      <c r="M407" s="10">
        <f>IF($I407="",0,IFERROR(INDEX(Материалы!$I$2:$I$9000,MATCH($I407,Материалы!$A$2:$A$9000,0))*IF(INDEX(Материалы!$J$2:$J$9000,MATCH($I407,Материалы!$A$2:$A$9000,0))="USD",КурсUSD,IF(INDEX(Материалы!$J$2:$J$9000,MATCH($I407,Материалы!$A$2:$A$9000,0))="EUR",КурсEUR,1))*INDEX(Материалы!$K$2:$K$9000,MATCH($I407,Материалы!$A$2:$A$9000,0))*(1+IFERROR(INDEX(Работы!$I$2:$I$6000,MATCH($C407,Работы!$A$2:$A$6000,0))/100,0))*(1-ДисконтТендер),0))</f>
        <v>0</v>
      </c>
      <c r="N407" s="10">
        <f t="shared" si="18"/>
        <v>0</v>
      </c>
      <c r="O407" s="10">
        <f t="shared" si="19"/>
        <v>0</v>
      </c>
      <c r="P407" s="10">
        <f t="shared" si="20"/>
        <v>0</v>
      </c>
      <c r="Q407" t="str">
        <f>IFERROR(INDEX(Работы!$J$2:$J$6000,MATCH($C407,Работы!$A$2:$A$6000,0)),"")</f>
        <v>типовая</v>
      </c>
      <c r="R407" t="s">
        <v>92</v>
      </c>
      <c r="T407" t="str">
        <f>IF(AND($P407&gt;0,$R407="да"),MAX($T$1:$T406)+1,"")</f>
        <v/>
      </c>
    </row>
    <row r="408" spans="1:20" ht="43.2" x14ac:dyDescent="0.3">
      <c r="A408" t="str">
        <f>IFERROR(INDEX(Работы!$D$2:$D$6000,MATCH($C408,Работы!$A$2:$A$6000,0)),"")</f>
        <v>Р3</v>
      </c>
      <c r="B408" t="str">
        <f>IFERROR(INDEX(Работы!$F$2:$F$6000,MATCH($C408,Работы!$A$2:$A$6000,0)),"")</f>
        <v>8</v>
      </c>
      <c r="C408" t="str">
        <f>IFERROR(INDEX(Работы!$A$2:$A$6000,407),"")</f>
        <v>РАБ.Р3.8.014</v>
      </c>
      <c r="D408" s="8" t="str">
        <f>IFERROR(INDEX(Работы!$B$2:$B$6000,MATCH($C408,Работы!$A$2:$A$6000,0)),"")</f>
        <v>Устройство технологических проходов над помещениями из профильной трубы и просечной сетки.</v>
      </c>
      <c r="E408" t="str">
        <f>IFERROR(INDEX(Работы!$C$2:$C$6000,MATCH($C408,Работы!$A$2:$A$6000,0)),"")</f>
        <v>м2</v>
      </c>
      <c r="F408">
        <f>IFERROR(INDEX(Работы!$G$2:$G$6000,MATCH($C408,Работы!$A$2:$A$6000,0)),"")</f>
        <v>0</v>
      </c>
      <c r="G408" t="str">
        <f>IFERROR(INDEX(Работы!$K$2:$K$6000,MATCH($C408,Работы!$A$2:$A$6000,0)),"")</f>
        <v>Погонаж</v>
      </c>
      <c r="H408" s="9"/>
      <c r="I408" s="9"/>
      <c r="J408" s="8" t="str">
        <f>IFERROR(INDEX(Материалы!$B$2:$B$9000,MATCH($I408,Материалы!$A$2:$A$9000,0)),"")</f>
        <v/>
      </c>
      <c r="K408" t="str">
        <f>IF($I408="","",IF($F408=IFERROR(INDEX(Материалы!$G$2:$G$9000,MATCH($I408,Материалы!$A$2:$A$9000,0)),""),"OK","!! не та группа"))</f>
        <v/>
      </c>
      <c r="L408" s="10">
        <f>IFERROR(INDEX(Работы!$H$2:$H$6000,MATCH($C408,Работы!$A$2:$A$6000,0))*(1-ДисконтТендер),0)</f>
        <v>2860</v>
      </c>
      <c r="M408" s="10">
        <f>IF($I408="",0,IFERROR(INDEX(Материалы!$I$2:$I$9000,MATCH($I408,Материалы!$A$2:$A$9000,0))*IF(INDEX(Материалы!$J$2:$J$9000,MATCH($I408,Материалы!$A$2:$A$9000,0))="USD",КурсUSD,IF(INDEX(Материалы!$J$2:$J$9000,MATCH($I408,Материалы!$A$2:$A$9000,0))="EUR",КурсEUR,1))*INDEX(Материалы!$K$2:$K$9000,MATCH($I408,Материалы!$A$2:$A$9000,0))*(1+IFERROR(INDEX(Работы!$I$2:$I$6000,MATCH($C408,Работы!$A$2:$A$6000,0))/100,0))*(1-ДисконтТендер),0))</f>
        <v>0</v>
      </c>
      <c r="N408" s="10">
        <f t="shared" si="18"/>
        <v>0</v>
      </c>
      <c r="O408" s="10">
        <f t="shared" si="19"/>
        <v>0</v>
      </c>
      <c r="P408" s="10">
        <f t="shared" si="20"/>
        <v>0</v>
      </c>
      <c r="Q408" t="str">
        <f>IFERROR(INDEX(Работы!$J$2:$J$6000,MATCH($C408,Работы!$A$2:$A$6000,0)),"")</f>
        <v>типовая</v>
      </c>
      <c r="R408" t="s">
        <v>92</v>
      </c>
      <c r="T408" t="str">
        <f>IF(AND($P408&gt;0,$R408="да"),MAX($T$1:$T407)+1,"")</f>
        <v/>
      </c>
    </row>
    <row r="409" spans="1:20" x14ac:dyDescent="0.3">
      <c r="A409" t="str">
        <f>IFERROR(INDEX(Работы!$D$2:$D$6000,MATCH($C409,Работы!$A$2:$A$6000,0)),"")</f>
        <v>Р3</v>
      </c>
      <c r="B409" t="str">
        <f>IFERROR(INDEX(Работы!$F$2:$F$6000,MATCH($C409,Работы!$A$2:$A$6000,0)),"")</f>
        <v>8</v>
      </c>
      <c r="C409" t="str">
        <f>IFERROR(INDEX(Работы!$A$2:$A$6000,408),"")</f>
        <v>РАБ.Р3.8.015</v>
      </c>
      <c r="D409" s="8" t="str">
        <f>IFERROR(INDEX(Работы!$B$2:$B$6000,MATCH($C409,Работы!$A$2:$A$6000,0)),"")</f>
        <v>Монтаж мобильных лесов или тура</v>
      </c>
      <c r="E409" t="str">
        <f>IFERROR(INDEX(Работы!$C$2:$C$6000,MATCH($C409,Работы!$A$2:$A$6000,0)),"")</f>
        <v>м2</v>
      </c>
      <c r="F409">
        <f>IFERROR(INDEX(Работы!$G$2:$G$6000,MATCH($C409,Работы!$A$2:$A$6000,0)),"")</f>
        <v>0</v>
      </c>
      <c r="G409" t="str">
        <f>IFERROR(INDEX(Работы!$K$2:$K$6000,MATCH($C409,Работы!$A$2:$A$6000,0)),"")</f>
        <v>S_поверхность</v>
      </c>
      <c r="H409" s="9"/>
      <c r="I409" s="9"/>
      <c r="J409" s="8" t="str">
        <f>IFERROR(INDEX(Материалы!$B$2:$B$9000,MATCH($I409,Материалы!$A$2:$A$9000,0)),"")</f>
        <v/>
      </c>
      <c r="K409" t="str">
        <f>IF($I409="","",IF($F409=IFERROR(INDEX(Материалы!$G$2:$G$9000,MATCH($I409,Материалы!$A$2:$A$9000,0)),""),"OK","!! не та группа"))</f>
        <v/>
      </c>
      <c r="L409" s="10">
        <f>IFERROR(INDEX(Работы!$H$2:$H$6000,MATCH($C409,Работы!$A$2:$A$6000,0))*(1-ДисконтТендер),0)</f>
        <v>371.49</v>
      </c>
      <c r="M409" s="10">
        <f>IF($I409="",0,IFERROR(INDEX(Материалы!$I$2:$I$9000,MATCH($I409,Материалы!$A$2:$A$9000,0))*IF(INDEX(Материалы!$J$2:$J$9000,MATCH($I409,Материалы!$A$2:$A$9000,0))="USD",КурсUSD,IF(INDEX(Материалы!$J$2:$J$9000,MATCH($I409,Материалы!$A$2:$A$9000,0))="EUR",КурсEUR,1))*INDEX(Материалы!$K$2:$K$9000,MATCH($I409,Материалы!$A$2:$A$9000,0))*(1+IFERROR(INDEX(Работы!$I$2:$I$6000,MATCH($C409,Работы!$A$2:$A$6000,0))/100,0))*(1-ДисконтТендер),0))</f>
        <v>0</v>
      </c>
      <c r="N409" s="10">
        <f t="shared" si="18"/>
        <v>0</v>
      </c>
      <c r="O409" s="10">
        <f t="shared" si="19"/>
        <v>0</v>
      </c>
      <c r="P409" s="10">
        <f t="shared" si="20"/>
        <v>0</v>
      </c>
      <c r="Q409" t="str">
        <f>IFERROR(INDEX(Работы!$J$2:$J$6000,MATCH($C409,Работы!$A$2:$A$6000,0)),"")</f>
        <v>типовая</v>
      </c>
      <c r="R409" t="s">
        <v>92</v>
      </c>
      <c r="T409" t="str">
        <f>IF(AND($P409&gt;0,$R409="да"),MAX($T$1:$T408)+1,"")</f>
        <v/>
      </c>
    </row>
    <row r="410" spans="1:20" ht="28.8" x14ac:dyDescent="0.3">
      <c r="A410" t="str">
        <f>IFERROR(INDEX(Работы!$D$2:$D$6000,MATCH($C410,Работы!$A$2:$A$6000,0)),"")</f>
        <v>Р3</v>
      </c>
      <c r="B410" t="str">
        <f>IFERROR(INDEX(Работы!$F$2:$F$6000,MATCH($C410,Работы!$A$2:$A$6000,0)),"")</f>
        <v>8</v>
      </c>
      <c r="C410" t="str">
        <f>IFERROR(INDEX(Работы!$A$2:$A$6000,409),"")</f>
        <v>РАБ.Р3.8.016</v>
      </c>
      <c r="D410" s="8" t="str">
        <f>IFERROR(INDEX(Работы!$B$2:$B$6000,MATCH($C410,Работы!$A$2:$A$6000,0)),"")</f>
        <v>Укрытие мебели и перегородок пленкой полиэтиленовой на время производства работ</v>
      </c>
      <c r="E410" t="str">
        <f>IFERROR(INDEX(Работы!$C$2:$C$6000,MATCH($C410,Работы!$A$2:$A$6000,0)),"")</f>
        <v>м2</v>
      </c>
      <c r="F410">
        <f>IFERROR(INDEX(Работы!$G$2:$G$6000,MATCH($C410,Работы!$A$2:$A$6000,0)),"")</f>
        <v>0</v>
      </c>
      <c r="G410" t="str">
        <f>IFERROR(INDEX(Работы!$K$2:$K$6000,MATCH($C410,Работы!$A$2:$A$6000,0)),"")</f>
        <v>S_пол</v>
      </c>
      <c r="H410" s="9"/>
      <c r="I410" s="9"/>
      <c r="J410" s="8" t="str">
        <f>IFERROR(INDEX(Материалы!$B$2:$B$9000,MATCH($I410,Материалы!$A$2:$A$9000,0)),"")</f>
        <v/>
      </c>
      <c r="K410" t="str">
        <f>IF($I410="","",IF($F410=IFERROR(INDEX(Материалы!$G$2:$G$9000,MATCH($I410,Материалы!$A$2:$A$9000,0)),""),"OK","!! не та группа"))</f>
        <v/>
      </c>
      <c r="L410" s="10">
        <f>IFERROR(INDEX(Работы!$H$2:$H$6000,MATCH($C410,Работы!$A$2:$A$6000,0))*(1-ДисконтТендер),0)</f>
        <v>63.95</v>
      </c>
      <c r="M410" s="10">
        <f>IF($I410="",0,IFERROR(INDEX(Материалы!$I$2:$I$9000,MATCH($I410,Материалы!$A$2:$A$9000,0))*IF(INDEX(Материалы!$J$2:$J$9000,MATCH($I410,Материалы!$A$2:$A$9000,0))="USD",КурсUSD,IF(INDEX(Материалы!$J$2:$J$9000,MATCH($I410,Материалы!$A$2:$A$9000,0))="EUR",КурсEUR,1))*INDEX(Материалы!$K$2:$K$9000,MATCH($I410,Материалы!$A$2:$A$9000,0))*(1+IFERROR(INDEX(Работы!$I$2:$I$6000,MATCH($C410,Работы!$A$2:$A$6000,0))/100,0))*(1-ДисконтТендер),0))</f>
        <v>0</v>
      </c>
      <c r="N410" s="10">
        <f t="shared" si="18"/>
        <v>0</v>
      </c>
      <c r="O410" s="10">
        <f t="shared" si="19"/>
        <v>0</v>
      </c>
      <c r="P410" s="10">
        <f t="shared" si="20"/>
        <v>0</v>
      </c>
      <c r="Q410" t="str">
        <f>IFERROR(INDEX(Работы!$J$2:$J$6000,MATCH($C410,Работы!$A$2:$A$6000,0)),"")</f>
        <v>типовая</v>
      </c>
      <c r="R410" t="s">
        <v>92</v>
      </c>
      <c r="T410" t="str">
        <f>IF(AND($P410&gt;0,$R410="да"),MAX($T$1:$T409)+1,"")</f>
        <v/>
      </c>
    </row>
    <row r="411" spans="1:20" x14ac:dyDescent="0.3">
      <c r="A411" t="str">
        <f>IFERROR(INDEX(Работы!$D$2:$D$6000,MATCH($C411,Работы!$A$2:$A$6000,0)),"")</f>
        <v>Р3</v>
      </c>
      <c r="B411" t="str">
        <f>IFERROR(INDEX(Работы!$F$2:$F$6000,MATCH($C411,Работы!$A$2:$A$6000,0)),"")</f>
        <v>8</v>
      </c>
      <c r="C411" t="str">
        <f>IFERROR(INDEX(Работы!$A$2:$A$6000,410),"")</f>
        <v>РАБ.Р3.8.017</v>
      </c>
      <c r="D411" s="8" t="str">
        <f>IFERROR(INDEX(Работы!$B$2:$B$6000,MATCH($C411,Работы!$A$2:$A$6000,0)),"")</f>
        <v>Монтаж экрана из поликарбоната.</v>
      </c>
      <c r="E411" t="str">
        <f>IFERROR(INDEX(Работы!$C$2:$C$6000,MATCH($C411,Работы!$A$2:$A$6000,0)),"")</f>
        <v>м2</v>
      </c>
      <c r="F411">
        <f>IFERROR(INDEX(Работы!$G$2:$G$6000,MATCH($C411,Работы!$A$2:$A$6000,0)),"")</f>
        <v>0</v>
      </c>
      <c r="G411" t="str">
        <f>IFERROR(INDEX(Работы!$K$2:$K$6000,MATCH($C411,Работы!$A$2:$A$6000,0)),"")</f>
        <v>S_пол</v>
      </c>
      <c r="H411" s="9"/>
      <c r="I411" s="9"/>
      <c r="J411" s="8" t="str">
        <f>IFERROR(INDEX(Материалы!$B$2:$B$9000,MATCH($I411,Материалы!$A$2:$A$9000,0)),"")</f>
        <v/>
      </c>
      <c r="K411" t="str">
        <f>IF($I411="","",IF($F411=IFERROR(INDEX(Материалы!$G$2:$G$9000,MATCH($I411,Материалы!$A$2:$A$9000,0)),""),"OK","!! не та группа"))</f>
        <v/>
      </c>
      <c r="L411" s="10">
        <f>IFERROR(INDEX(Работы!$H$2:$H$6000,MATCH($C411,Работы!$A$2:$A$6000,0))*(1-ДисконтТендер),0)</f>
        <v>626.4</v>
      </c>
      <c r="M411" s="10">
        <f>IF($I411="",0,IFERROR(INDEX(Материалы!$I$2:$I$9000,MATCH($I411,Материалы!$A$2:$A$9000,0))*IF(INDEX(Материалы!$J$2:$J$9000,MATCH($I411,Материалы!$A$2:$A$9000,0))="USD",КурсUSD,IF(INDEX(Материалы!$J$2:$J$9000,MATCH($I411,Материалы!$A$2:$A$9000,0))="EUR",КурсEUR,1))*INDEX(Материалы!$K$2:$K$9000,MATCH($I411,Материалы!$A$2:$A$9000,0))*(1+IFERROR(INDEX(Работы!$I$2:$I$6000,MATCH($C411,Работы!$A$2:$A$6000,0))/100,0))*(1-ДисконтТендер),0))</f>
        <v>0</v>
      </c>
      <c r="N411" s="10">
        <f t="shared" si="18"/>
        <v>0</v>
      </c>
      <c r="O411" s="10">
        <f t="shared" si="19"/>
        <v>0</v>
      </c>
      <c r="P411" s="10">
        <f t="shared" si="20"/>
        <v>0</v>
      </c>
      <c r="Q411" t="str">
        <f>IFERROR(INDEX(Работы!$J$2:$J$6000,MATCH($C411,Работы!$A$2:$A$6000,0)),"")</f>
        <v>типовая</v>
      </c>
      <c r="R411" t="s">
        <v>92</v>
      </c>
      <c r="T411" t="str">
        <f>IF(AND($P411&gt;0,$R411="да"),MAX($T$1:$T410)+1,"")</f>
        <v/>
      </c>
    </row>
    <row r="412" spans="1:20" x14ac:dyDescent="0.3">
      <c r="A412" t="str">
        <f>IFERROR(INDEX(Работы!$D$2:$D$6000,MATCH($C412,Работы!$A$2:$A$6000,0)),"")</f>
        <v>Р3</v>
      </c>
      <c r="B412" t="str">
        <f>IFERROR(INDEX(Работы!$F$2:$F$6000,MATCH($C412,Работы!$A$2:$A$6000,0)),"")</f>
        <v>8</v>
      </c>
      <c r="C412" t="str">
        <f>IFERROR(INDEX(Работы!$A$2:$A$6000,411),"")</f>
        <v>РАБ.Р3.8.018</v>
      </c>
      <c r="D412" s="8" t="str">
        <f>IFERROR(INDEX(Работы!$B$2:$B$6000,MATCH($C412,Работы!$A$2:$A$6000,0)),"")</f>
        <v>Лючки ревизии потайные</v>
      </c>
      <c r="E412" t="str">
        <f>IFERROR(INDEX(Работы!$C$2:$C$6000,MATCH($C412,Работы!$A$2:$A$6000,0)),"")</f>
        <v>шт.</v>
      </c>
      <c r="F412">
        <f>IFERROR(INDEX(Работы!$G$2:$G$6000,MATCH($C412,Работы!$A$2:$A$6000,0)),"")</f>
        <v>0</v>
      </c>
      <c r="G412" t="str">
        <f>IFERROR(INDEX(Работы!$K$2:$K$6000,MATCH($C412,Работы!$A$2:$A$6000,0)),"")</f>
        <v>Спецификация</v>
      </c>
      <c r="H412" s="9"/>
      <c r="I412" s="9"/>
      <c r="J412" s="8" t="str">
        <f>IFERROR(INDEX(Материалы!$B$2:$B$9000,MATCH($I412,Материалы!$A$2:$A$9000,0)),"")</f>
        <v/>
      </c>
      <c r="K412" t="str">
        <f>IF($I412="","",IF($F412=IFERROR(INDEX(Материалы!$G$2:$G$9000,MATCH($I412,Материалы!$A$2:$A$9000,0)),""),"OK","!! не та группа"))</f>
        <v/>
      </c>
      <c r="L412" s="10">
        <f>IFERROR(INDEX(Работы!$H$2:$H$6000,MATCH($C412,Работы!$A$2:$A$6000,0))*(1-ДисконтТендер),0)</f>
        <v>730.76</v>
      </c>
      <c r="M412" s="10">
        <f>IF($I412="",0,IFERROR(INDEX(Материалы!$I$2:$I$9000,MATCH($I412,Материалы!$A$2:$A$9000,0))*IF(INDEX(Материалы!$J$2:$J$9000,MATCH($I412,Материалы!$A$2:$A$9000,0))="USD",КурсUSD,IF(INDEX(Материалы!$J$2:$J$9000,MATCH($I412,Материалы!$A$2:$A$9000,0))="EUR",КурсEUR,1))*INDEX(Материалы!$K$2:$K$9000,MATCH($I412,Материалы!$A$2:$A$9000,0))*(1+IFERROR(INDEX(Работы!$I$2:$I$6000,MATCH($C412,Работы!$A$2:$A$6000,0))/100,0))*(1-ДисконтТендер),0))</f>
        <v>0</v>
      </c>
      <c r="N412" s="10">
        <f t="shared" si="18"/>
        <v>0</v>
      </c>
      <c r="O412" s="10">
        <f t="shared" si="19"/>
        <v>0</v>
      </c>
      <c r="P412" s="10">
        <f t="shared" si="20"/>
        <v>0</v>
      </c>
      <c r="Q412" t="str">
        <f>IFERROR(INDEX(Работы!$J$2:$J$6000,MATCH($C412,Работы!$A$2:$A$6000,0)),"")</f>
        <v>типовая</v>
      </c>
      <c r="R412" t="s">
        <v>92</v>
      </c>
      <c r="T412" t="str">
        <f>IF(AND($P412&gt;0,$R412="да"),MAX($T$1:$T411)+1,"")</f>
        <v/>
      </c>
    </row>
    <row r="413" spans="1:20" x14ac:dyDescent="0.3">
      <c r="A413" t="str">
        <f>IFERROR(INDEX(Работы!$D$2:$D$6000,MATCH($C413,Работы!$A$2:$A$6000,0)),"")</f>
        <v>Р3</v>
      </c>
      <c r="B413" t="str">
        <f>IFERROR(INDEX(Работы!$F$2:$F$6000,MATCH($C413,Работы!$A$2:$A$6000,0)),"")</f>
        <v>8</v>
      </c>
      <c r="C413" t="str">
        <f>IFERROR(INDEX(Работы!$A$2:$A$6000,412),"")</f>
        <v>РАБ.Р3.8.019</v>
      </c>
      <c r="D413" s="8" t="str">
        <f>IFERROR(INDEX(Работы!$B$2:$B$6000,MATCH($C413,Работы!$A$2:$A$6000,0)),"")</f>
        <v>Окраска по металлу с учетом подготовки</v>
      </c>
      <c r="E413" t="str">
        <f>IFERROR(INDEX(Работы!$C$2:$C$6000,MATCH($C413,Работы!$A$2:$A$6000,0)),"")</f>
        <v>м2</v>
      </c>
      <c r="F413" t="str">
        <f>IFERROR(INDEX(Работы!$G$2:$G$6000,MATCH($C413,Работы!$A$2:$A$6000,0)),"")</f>
        <v>КРАСКА</v>
      </c>
      <c r="G413" t="str">
        <f>IFERROR(INDEX(Работы!$K$2:$K$6000,MATCH($C413,Работы!$A$2:$A$6000,0)),"")</f>
        <v>S_поверхность</v>
      </c>
      <c r="H413" s="9"/>
      <c r="I413" s="9"/>
      <c r="J413" s="8" t="str">
        <f>IFERROR(INDEX(Материалы!$B$2:$B$9000,MATCH($I413,Материалы!$A$2:$A$9000,0)),"")</f>
        <v/>
      </c>
      <c r="K413" t="str">
        <f>IF($I413="","",IF($F413=IFERROR(INDEX(Материалы!$G$2:$G$9000,MATCH($I413,Материалы!$A$2:$A$9000,0)),""),"OK","!! не та группа"))</f>
        <v/>
      </c>
      <c r="L413" s="10">
        <f>IFERROR(INDEX(Работы!$H$2:$H$6000,MATCH($C413,Работы!$A$2:$A$6000,0))*(1-ДисконтТендер),0)</f>
        <v>381.78</v>
      </c>
      <c r="M413" s="10">
        <f>IF($I413="",0,IFERROR(INDEX(Материалы!$I$2:$I$9000,MATCH($I413,Материалы!$A$2:$A$9000,0))*IF(INDEX(Материалы!$J$2:$J$9000,MATCH($I413,Материалы!$A$2:$A$9000,0))="USD",КурсUSD,IF(INDEX(Материалы!$J$2:$J$9000,MATCH($I413,Материалы!$A$2:$A$9000,0))="EUR",КурсEUR,1))*INDEX(Материалы!$K$2:$K$9000,MATCH($I413,Материалы!$A$2:$A$9000,0))*(1+IFERROR(INDEX(Работы!$I$2:$I$6000,MATCH($C413,Работы!$A$2:$A$6000,0))/100,0))*(1-ДисконтТендер),0))</f>
        <v>0</v>
      </c>
      <c r="N413" s="10">
        <f t="shared" si="18"/>
        <v>0</v>
      </c>
      <c r="O413" s="10">
        <f t="shared" si="19"/>
        <v>0</v>
      </c>
      <c r="P413" s="10">
        <f t="shared" si="20"/>
        <v>0</v>
      </c>
      <c r="Q413" t="str">
        <f>IFERROR(INDEX(Работы!$J$2:$J$6000,MATCH($C413,Работы!$A$2:$A$6000,0)),"")</f>
        <v>типовая</v>
      </c>
      <c r="R413" t="s">
        <v>92</v>
      </c>
      <c r="T413" t="str">
        <f>IF(AND($P413&gt;0,$R413="да"),MAX($T$1:$T412)+1,"")</f>
        <v/>
      </c>
    </row>
    <row r="414" spans="1:20" ht="28.8" x14ac:dyDescent="0.3">
      <c r="A414" t="str">
        <f>IFERROR(INDEX(Работы!$D$2:$D$6000,MATCH($C414,Работы!$A$2:$A$6000,0)),"")</f>
        <v>Р3</v>
      </c>
      <c r="B414" t="str">
        <f>IFERROR(INDEX(Работы!$F$2:$F$6000,MATCH($C414,Работы!$A$2:$A$6000,0)),"")</f>
        <v>8</v>
      </c>
      <c r="C414" t="str">
        <f>IFERROR(INDEX(Работы!$A$2:$A$6000,413),"")</f>
        <v>РАБ.Р3.8.020</v>
      </c>
      <c r="D414" s="8" t="str">
        <f>IFERROR(INDEX(Работы!$B$2:$B$6000,MATCH($C414,Работы!$A$2:$A$6000,0)),"")</f>
        <v>Пробивка отверстий в ЖБ плитах перекрытия толщиной до 250 мм.</v>
      </c>
      <c r="E414" t="str">
        <f>IFERROR(INDEX(Работы!$C$2:$C$6000,MATCH($C414,Работы!$A$2:$A$6000,0)),"")</f>
        <v>м2</v>
      </c>
      <c r="F414">
        <f>IFERROR(INDEX(Работы!$G$2:$G$6000,MATCH($C414,Работы!$A$2:$A$6000,0)),"")</f>
        <v>0</v>
      </c>
      <c r="G414" t="str">
        <f>IFERROR(INDEX(Работы!$K$2:$K$6000,MATCH($C414,Работы!$A$2:$A$6000,0)),"")</f>
        <v>S_поверхность</v>
      </c>
      <c r="H414" s="9"/>
      <c r="I414" s="9"/>
      <c r="J414" s="8" t="str">
        <f>IFERROR(INDEX(Материалы!$B$2:$B$9000,MATCH($I414,Материалы!$A$2:$A$9000,0)),"")</f>
        <v/>
      </c>
      <c r="K414" t="str">
        <f>IF($I414="","",IF($F414=IFERROR(INDEX(Материалы!$G$2:$G$9000,MATCH($I414,Материалы!$A$2:$A$9000,0)),""),"OK","!! не та группа"))</f>
        <v/>
      </c>
      <c r="L414" s="10">
        <f>IFERROR(INDEX(Работы!$H$2:$H$6000,MATCH($C414,Работы!$A$2:$A$6000,0))*(1-ДисконтТендер),0)</f>
        <v>11400.52</v>
      </c>
      <c r="M414" s="10">
        <f>IF($I414="",0,IFERROR(INDEX(Материалы!$I$2:$I$9000,MATCH($I414,Материалы!$A$2:$A$9000,0))*IF(INDEX(Материалы!$J$2:$J$9000,MATCH($I414,Материалы!$A$2:$A$9000,0))="USD",КурсUSD,IF(INDEX(Материалы!$J$2:$J$9000,MATCH($I414,Материалы!$A$2:$A$9000,0))="EUR",КурсEUR,1))*INDEX(Материалы!$K$2:$K$9000,MATCH($I414,Материалы!$A$2:$A$9000,0))*(1+IFERROR(INDEX(Работы!$I$2:$I$6000,MATCH($C414,Работы!$A$2:$A$6000,0))/100,0))*(1-ДисконтТендер),0))</f>
        <v>0</v>
      </c>
      <c r="N414" s="10">
        <f t="shared" si="18"/>
        <v>0</v>
      </c>
      <c r="O414" s="10">
        <f t="shared" si="19"/>
        <v>0</v>
      </c>
      <c r="P414" s="10">
        <f t="shared" si="20"/>
        <v>0</v>
      </c>
      <c r="Q414" t="str">
        <f>IFERROR(INDEX(Работы!$J$2:$J$6000,MATCH($C414,Работы!$A$2:$A$6000,0)),"")</f>
        <v>типовая</v>
      </c>
      <c r="R414" t="s">
        <v>92</v>
      </c>
      <c r="T414" t="str">
        <f>IF(AND($P414&gt;0,$R414="да"),MAX($T$1:$T413)+1,"")</f>
        <v/>
      </c>
    </row>
    <row r="415" spans="1:20" ht="28.8" x14ac:dyDescent="0.3">
      <c r="A415" t="str">
        <f>IFERROR(INDEX(Работы!$D$2:$D$6000,MATCH($C415,Работы!$A$2:$A$6000,0)),"")</f>
        <v>Р3</v>
      </c>
      <c r="B415" t="str">
        <f>IFERROR(INDEX(Работы!$F$2:$F$6000,MATCH($C415,Работы!$A$2:$A$6000,0)),"")</f>
        <v>8</v>
      </c>
      <c r="C415" t="str">
        <f>IFERROR(INDEX(Работы!$A$2:$A$6000,414),"")</f>
        <v>РАБ.Р3.8.021</v>
      </c>
      <c r="D415" s="8" t="str">
        <f>IFERROR(INDEX(Работы!$B$2:$B$6000,MATCH($C415,Работы!$A$2:$A$6000,0)),"")</f>
        <v>Обшивка стен листовой нержавеющей сталью толщиной 1 мм.</v>
      </c>
      <c r="E415" t="str">
        <f>IFERROR(INDEX(Работы!$C$2:$C$6000,MATCH($C415,Работы!$A$2:$A$6000,0)),"")</f>
        <v>м2</v>
      </c>
      <c r="F415">
        <f>IFERROR(INDEX(Работы!$G$2:$G$6000,MATCH($C415,Работы!$A$2:$A$6000,0)),"")</f>
        <v>0</v>
      </c>
      <c r="G415" t="str">
        <f>IFERROR(INDEX(Работы!$K$2:$K$6000,MATCH($C415,Работы!$A$2:$A$6000,0)),"")</f>
        <v>S_стены</v>
      </c>
      <c r="H415" s="9"/>
      <c r="I415" s="9"/>
      <c r="J415" s="8" t="str">
        <f>IFERROR(INDEX(Материалы!$B$2:$B$9000,MATCH($I415,Материалы!$A$2:$A$9000,0)),"")</f>
        <v/>
      </c>
      <c r="K415" t="str">
        <f>IF($I415="","",IF($F415=IFERROR(INDEX(Материалы!$G$2:$G$9000,MATCH($I415,Материалы!$A$2:$A$9000,0)),""),"OK","!! не та группа"))</f>
        <v/>
      </c>
      <c r="L415" s="10">
        <f>IFERROR(INDEX(Работы!$H$2:$H$6000,MATCH($C415,Работы!$A$2:$A$6000,0))*(1-ДисконтТендер),0)</f>
        <v>669.87</v>
      </c>
      <c r="M415" s="10">
        <f>IF($I415="",0,IFERROR(INDEX(Материалы!$I$2:$I$9000,MATCH($I415,Материалы!$A$2:$A$9000,0))*IF(INDEX(Материалы!$J$2:$J$9000,MATCH($I415,Материалы!$A$2:$A$9000,0))="USD",КурсUSD,IF(INDEX(Материалы!$J$2:$J$9000,MATCH($I415,Материалы!$A$2:$A$9000,0))="EUR",КурсEUR,1))*INDEX(Материалы!$K$2:$K$9000,MATCH($I415,Материалы!$A$2:$A$9000,0))*(1+IFERROR(INDEX(Работы!$I$2:$I$6000,MATCH($C415,Работы!$A$2:$A$6000,0))/100,0))*(1-ДисконтТендер),0))</f>
        <v>0</v>
      </c>
      <c r="N415" s="10">
        <f t="shared" si="18"/>
        <v>0</v>
      </c>
      <c r="O415" s="10">
        <f t="shared" si="19"/>
        <v>0</v>
      </c>
      <c r="P415" s="10">
        <f t="shared" si="20"/>
        <v>0</v>
      </c>
      <c r="Q415" t="str">
        <f>IFERROR(INDEX(Работы!$J$2:$J$6000,MATCH($C415,Работы!$A$2:$A$6000,0)),"")</f>
        <v>типовая</v>
      </c>
      <c r="R415" t="s">
        <v>92</v>
      </c>
      <c r="T415" t="str">
        <f>IF(AND($P415&gt;0,$R415="да"),MAX($T$1:$T414)+1,"")</f>
        <v/>
      </c>
    </row>
    <row r="416" spans="1:20" x14ac:dyDescent="0.3">
      <c r="A416" t="str">
        <f>IFERROR(INDEX(Работы!$D$2:$D$6000,MATCH($C416,Работы!$A$2:$A$6000,0)),"")</f>
        <v>Р3</v>
      </c>
      <c r="B416" t="str">
        <f>IFERROR(INDEX(Работы!$F$2:$F$6000,MATCH($C416,Работы!$A$2:$A$6000,0)),"")</f>
        <v>8</v>
      </c>
      <c r="C416" t="str">
        <f>IFERROR(INDEX(Работы!$A$2:$A$6000,415),"")</f>
        <v>РАБ.Р3.8.022</v>
      </c>
      <c r="D416" s="8" t="str">
        <f>IFERROR(INDEX(Работы!$B$2:$B$6000,MATCH($C416,Работы!$A$2:$A$6000,0)),"")</f>
        <v>Обшивка каркаса лестничного марша ГКЛВ</v>
      </c>
      <c r="E416" t="str">
        <f>IFERROR(INDEX(Работы!$C$2:$C$6000,MATCH($C416,Работы!$A$2:$A$6000,0)),"")</f>
        <v>м2</v>
      </c>
      <c r="F416" t="str">
        <f>IFERROR(INDEX(Работы!$G$2:$G$6000,MATCH($C416,Работы!$A$2:$A$6000,0)),"")</f>
        <v>ГКЛ</v>
      </c>
      <c r="G416" t="str">
        <f>IFERROR(INDEX(Работы!$K$2:$K$6000,MATCH($C416,Работы!$A$2:$A$6000,0)),"")</f>
        <v>S_стены</v>
      </c>
      <c r="H416" s="9"/>
      <c r="I416" s="9"/>
      <c r="J416" s="8" t="str">
        <f>IFERROR(INDEX(Материалы!$B$2:$B$9000,MATCH($I416,Материалы!$A$2:$A$9000,0)),"")</f>
        <v/>
      </c>
      <c r="K416" t="str">
        <f>IF($I416="","",IF($F416=IFERROR(INDEX(Материалы!$G$2:$G$9000,MATCH($I416,Материалы!$A$2:$A$9000,0)),""),"OK","!! не та группа"))</f>
        <v/>
      </c>
      <c r="L416" s="10">
        <f>IFERROR(INDEX(Работы!$H$2:$H$6000,MATCH($C416,Работы!$A$2:$A$6000,0))*(1-ДисконтТендер),0)</f>
        <v>736.85</v>
      </c>
      <c r="M416" s="10">
        <f>IF($I416="",0,IFERROR(INDEX(Материалы!$I$2:$I$9000,MATCH($I416,Материалы!$A$2:$A$9000,0))*IF(INDEX(Материалы!$J$2:$J$9000,MATCH($I416,Материалы!$A$2:$A$9000,0))="USD",КурсUSD,IF(INDEX(Материалы!$J$2:$J$9000,MATCH($I416,Материалы!$A$2:$A$9000,0))="EUR",КурсEUR,1))*INDEX(Материалы!$K$2:$K$9000,MATCH($I416,Материалы!$A$2:$A$9000,0))*(1+IFERROR(INDEX(Работы!$I$2:$I$6000,MATCH($C416,Работы!$A$2:$A$6000,0))/100,0))*(1-ДисконтТендер),0))</f>
        <v>0</v>
      </c>
      <c r="N416" s="10">
        <f t="shared" si="18"/>
        <v>0</v>
      </c>
      <c r="O416" s="10">
        <f t="shared" si="19"/>
        <v>0</v>
      </c>
      <c r="P416" s="10">
        <f t="shared" si="20"/>
        <v>0</v>
      </c>
      <c r="Q416" t="str">
        <f>IFERROR(INDEX(Работы!$J$2:$J$6000,MATCH($C416,Работы!$A$2:$A$6000,0)),"")</f>
        <v>типовая</v>
      </c>
      <c r="R416" t="s">
        <v>92</v>
      </c>
      <c r="T416" t="str">
        <f>IF(AND($P416&gt;0,$R416="да"),MAX($T$1:$T415)+1,"")</f>
        <v/>
      </c>
    </row>
    <row r="417" spans="1:20" ht="43.2" x14ac:dyDescent="0.3">
      <c r="A417" t="str">
        <f>IFERROR(INDEX(Работы!$D$2:$D$6000,MATCH($C417,Работы!$A$2:$A$6000,0)),"")</f>
        <v>Р3</v>
      </c>
      <c r="B417" t="str">
        <f>IFERROR(INDEX(Работы!$F$2:$F$6000,MATCH($C417,Работы!$A$2:$A$6000,0)),"")</f>
        <v>8</v>
      </c>
      <c r="C417" t="str">
        <f>IFERROR(INDEX(Работы!$A$2:$A$6000,416),"")</f>
        <v>РАБ.Р3.8.023</v>
      </c>
      <c r="D417" s="8" t="str">
        <f>IFERROR(INDEX(Работы!$B$2:$B$6000,MATCH($C417,Работы!$A$2:$A$6000,0)),"")</f>
        <v>Устройство каркаса лестничного марша под крепление сэндвич- панелей из металоконструкций</v>
      </c>
      <c r="E417" t="str">
        <f>IFERROR(INDEX(Работы!$C$2:$C$6000,MATCH($C417,Работы!$A$2:$A$6000,0)),"")</f>
        <v>тн.</v>
      </c>
      <c r="F417">
        <f>IFERROR(INDEX(Работы!$G$2:$G$6000,MATCH($C417,Работы!$A$2:$A$6000,0)),"")</f>
        <v>0</v>
      </c>
      <c r="G417" t="str">
        <f>IFERROR(INDEX(Работы!$K$2:$K$6000,MATCH($C417,Работы!$A$2:$A$6000,0)),"")</f>
        <v>Расчёт</v>
      </c>
      <c r="H417" s="9"/>
      <c r="I417" s="9"/>
      <c r="J417" s="8" t="str">
        <f>IFERROR(INDEX(Материалы!$B$2:$B$9000,MATCH($I417,Материалы!$A$2:$A$9000,0)),"")</f>
        <v/>
      </c>
      <c r="K417" t="str">
        <f>IF($I417="","",IF($F417=IFERROR(INDEX(Материалы!$G$2:$G$9000,MATCH($I417,Материалы!$A$2:$A$9000,0)),""),"OK","!! не та группа"))</f>
        <v/>
      </c>
      <c r="L417" s="10">
        <f>IFERROR(INDEX(Работы!$H$2:$H$6000,MATCH($C417,Работы!$A$2:$A$6000,0))*(1-ДисконтТендер),0)</f>
        <v>93960</v>
      </c>
      <c r="M417" s="10">
        <f>IF($I417="",0,IFERROR(INDEX(Материалы!$I$2:$I$9000,MATCH($I417,Материалы!$A$2:$A$9000,0))*IF(INDEX(Материалы!$J$2:$J$9000,MATCH($I417,Материалы!$A$2:$A$9000,0))="USD",КурсUSD,IF(INDEX(Материалы!$J$2:$J$9000,MATCH($I417,Материалы!$A$2:$A$9000,0))="EUR",КурсEUR,1))*INDEX(Материалы!$K$2:$K$9000,MATCH($I417,Материалы!$A$2:$A$9000,0))*(1+IFERROR(INDEX(Работы!$I$2:$I$6000,MATCH($C417,Работы!$A$2:$A$6000,0))/100,0))*(1-ДисконтТендер),0))</f>
        <v>0</v>
      </c>
      <c r="N417" s="10">
        <f t="shared" si="18"/>
        <v>0</v>
      </c>
      <c r="O417" s="10">
        <f t="shared" si="19"/>
        <v>0</v>
      </c>
      <c r="P417" s="10">
        <f t="shared" si="20"/>
        <v>0</v>
      </c>
      <c r="Q417" t="str">
        <f>IFERROR(INDEX(Работы!$J$2:$J$6000,MATCH($C417,Работы!$A$2:$A$6000,0)),"")</f>
        <v>типовая</v>
      </c>
      <c r="R417" t="s">
        <v>92</v>
      </c>
      <c r="T417" t="str">
        <f>IF(AND($P417&gt;0,$R417="да"),MAX($T$1:$T416)+1,"")</f>
        <v/>
      </c>
    </row>
    <row r="418" spans="1:20" ht="28.8" x14ac:dyDescent="0.3">
      <c r="A418" t="str">
        <f>IFERROR(INDEX(Работы!$D$2:$D$6000,MATCH($C418,Работы!$A$2:$A$6000,0)),"")</f>
        <v>Р3</v>
      </c>
      <c r="B418" t="str">
        <f>IFERROR(INDEX(Работы!$F$2:$F$6000,MATCH($C418,Работы!$A$2:$A$6000,0)),"")</f>
        <v>8</v>
      </c>
      <c r="C418" t="str">
        <f>IFERROR(INDEX(Работы!$A$2:$A$6000,417),"")</f>
        <v>РАБ.Р3.8.024</v>
      </c>
      <c r="D418" s="8" t="str">
        <f>IFERROR(INDEX(Работы!$B$2:$B$6000,MATCH($C418,Работы!$A$2:$A$6000,0)),"")</f>
        <v>Обшивка каркаса лестничного марша сэндвич - панелями Ruukki ( RE 90)</v>
      </c>
      <c r="E418" t="str">
        <f>IFERROR(INDEX(Работы!$C$2:$C$6000,MATCH($C418,Работы!$A$2:$A$6000,0)),"")</f>
        <v>м2</v>
      </c>
      <c r="F418">
        <f>IFERROR(INDEX(Работы!$G$2:$G$6000,MATCH($C418,Работы!$A$2:$A$6000,0)),"")</f>
        <v>0</v>
      </c>
      <c r="G418" t="str">
        <f>IFERROR(INDEX(Работы!$K$2:$K$6000,MATCH($C418,Работы!$A$2:$A$6000,0)),"")</f>
        <v>S_поверхность</v>
      </c>
      <c r="H418" s="9"/>
      <c r="I418" s="9"/>
      <c r="J418" s="8" t="str">
        <f>IFERROR(INDEX(Материалы!$B$2:$B$9000,MATCH($I418,Материалы!$A$2:$A$9000,0)),"")</f>
        <v/>
      </c>
      <c r="K418" t="str">
        <f>IF($I418="","",IF($F418=IFERROR(INDEX(Материалы!$G$2:$G$9000,MATCH($I418,Материалы!$A$2:$A$9000,0)),""),"OK","!! не та группа"))</f>
        <v/>
      </c>
      <c r="L418" s="10">
        <f>IFERROR(INDEX(Работы!$H$2:$H$6000,MATCH($C418,Работы!$A$2:$A$6000,0))*(1-ДисконтТендер),0)</f>
        <v>738.59</v>
      </c>
      <c r="M418" s="10">
        <f>IF($I418="",0,IFERROR(INDEX(Материалы!$I$2:$I$9000,MATCH($I418,Материалы!$A$2:$A$9000,0))*IF(INDEX(Материалы!$J$2:$J$9000,MATCH($I418,Материалы!$A$2:$A$9000,0))="USD",КурсUSD,IF(INDEX(Материалы!$J$2:$J$9000,MATCH($I418,Материалы!$A$2:$A$9000,0))="EUR",КурсEUR,1))*INDEX(Материалы!$K$2:$K$9000,MATCH($I418,Материалы!$A$2:$A$9000,0))*(1+IFERROR(INDEX(Работы!$I$2:$I$6000,MATCH($C418,Работы!$A$2:$A$6000,0))/100,0))*(1-ДисконтТендер),0))</f>
        <v>0</v>
      </c>
      <c r="N418" s="10">
        <f t="shared" si="18"/>
        <v>0</v>
      </c>
      <c r="O418" s="10">
        <f t="shared" si="19"/>
        <v>0</v>
      </c>
      <c r="P418" s="10">
        <f t="shared" si="20"/>
        <v>0</v>
      </c>
      <c r="Q418" t="str">
        <f>IFERROR(INDEX(Работы!$J$2:$J$6000,MATCH($C418,Работы!$A$2:$A$6000,0)),"")</f>
        <v>типовая</v>
      </c>
      <c r="R418" t="s">
        <v>92</v>
      </c>
      <c r="T418" t="str">
        <f>IF(AND($P418&gt;0,$R418="да"),MAX($T$1:$T417)+1,"")</f>
        <v/>
      </c>
    </row>
    <row r="419" spans="1:20" ht="28.8" x14ac:dyDescent="0.3">
      <c r="A419" t="str">
        <f>IFERROR(INDEX(Работы!$D$2:$D$6000,MATCH($C419,Работы!$A$2:$A$6000,0)),"")</f>
        <v>Р3</v>
      </c>
      <c r="B419" t="str">
        <f>IFERROR(INDEX(Работы!$F$2:$F$6000,MATCH($C419,Работы!$A$2:$A$6000,0)),"")</f>
        <v>8</v>
      </c>
      <c r="C419" t="str">
        <f>IFERROR(INDEX(Работы!$A$2:$A$6000,418),"")</f>
        <v>РАБ.Р3.8.025</v>
      </c>
      <c r="D419" s="8" t="str">
        <f>IFERROR(INDEX(Работы!$B$2:$B$6000,MATCH($C419,Работы!$A$2:$A$6000,0)),"")</f>
        <v>Заделка рустов в фундаментных блоках примыканий стена-пол смесью типа "Gidro S2"</v>
      </c>
      <c r="E419" t="str">
        <f>IFERROR(INDEX(Работы!$C$2:$C$6000,MATCH($C419,Работы!$A$2:$A$6000,0)),"")</f>
        <v>м.п.</v>
      </c>
      <c r="F419">
        <f>IFERROR(INDEX(Работы!$G$2:$G$6000,MATCH($C419,Работы!$A$2:$A$6000,0)),"")</f>
        <v>0</v>
      </c>
      <c r="G419" t="str">
        <f>IFERROR(INDEX(Работы!$K$2:$K$6000,MATCH($C419,Работы!$A$2:$A$6000,0)),"")</f>
        <v>S_пол</v>
      </c>
      <c r="H419" s="9"/>
      <c r="I419" s="9"/>
      <c r="J419" s="8" t="str">
        <f>IFERROR(INDEX(Материалы!$B$2:$B$9000,MATCH($I419,Материалы!$A$2:$A$9000,0)),"")</f>
        <v/>
      </c>
      <c r="K419" t="str">
        <f>IF($I419="","",IF($F419=IFERROR(INDEX(Материалы!$G$2:$G$9000,MATCH($I419,Материалы!$A$2:$A$9000,0)),""),"OK","!! не та группа"))</f>
        <v/>
      </c>
      <c r="L419" s="10">
        <f>IFERROR(INDEX(Работы!$H$2:$H$6000,MATCH($C419,Работы!$A$2:$A$6000,0))*(1-ДисконтТендер),0)</f>
        <v>281.88</v>
      </c>
      <c r="M419" s="10">
        <f>IF($I419="",0,IFERROR(INDEX(Материалы!$I$2:$I$9000,MATCH($I419,Материалы!$A$2:$A$9000,0))*IF(INDEX(Материалы!$J$2:$J$9000,MATCH($I419,Материалы!$A$2:$A$9000,0))="USD",КурсUSD,IF(INDEX(Материалы!$J$2:$J$9000,MATCH($I419,Материалы!$A$2:$A$9000,0))="EUR",КурсEUR,1))*INDEX(Материалы!$K$2:$K$9000,MATCH($I419,Материалы!$A$2:$A$9000,0))*(1+IFERROR(INDEX(Работы!$I$2:$I$6000,MATCH($C419,Работы!$A$2:$A$6000,0))/100,0))*(1-ДисконтТендер),0))</f>
        <v>0</v>
      </c>
      <c r="N419" s="10">
        <f t="shared" si="18"/>
        <v>0</v>
      </c>
      <c r="O419" s="10">
        <f t="shared" si="19"/>
        <v>0</v>
      </c>
      <c r="P419" s="10">
        <f t="shared" si="20"/>
        <v>0</v>
      </c>
      <c r="Q419" t="str">
        <f>IFERROR(INDEX(Работы!$J$2:$J$6000,MATCH($C419,Работы!$A$2:$A$6000,0)),"")</f>
        <v>типовая</v>
      </c>
      <c r="R419" t="s">
        <v>92</v>
      </c>
      <c r="T419" t="str">
        <f>IF(AND($P419&gt;0,$R419="да"),MAX($T$1:$T418)+1,"")</f>
        <v/>
      </c>
    </row>
    <row r="420" spans="1:20" ht="28.8" x14ac:dyDescent="0.3">
      <c r="A420" t="str">
        <f>IFERROR(INDEX(Работы!$D$2:$D$6000,MATCH($C420,Работы!$A$2:$A$6000,0)),"")</f>
        <v>Р3</v>
      </c>
      <c r="B420" t="str">
        <f>IFERROR(INDEX(Работы!$F$2:$F$6000,MATCH($C420,Работы!$A$2:$A$6000,0)),"")</f>
        <v>8</v>
      </c>
      <c r="C420" t="str">
        <f>IFERROR(INDEX(Работы!$A$2:$A$6000,419),"")</f>
        <v>РАБ.Р3.8.026</v>
      </c>
      <c r="D420" s="8" t="str">
        <f>IFERROR(INDEX(Работы!$B$2:$B$6000,MATCH($C420,Работы!$A$2:$A$6000,0)),"")</f>
        <v>Обработка поверхности стен составом "Gidro +" 2 раза</v>
      </c>
      <c r="E420" t="str">
        <f>IFERROR(INDEX(Работы!$C$2:$C$6000,MATCH($C420,Работы!$A$2:$A$6000,0)),"")</f>
        <v>м2</v>
      </c>
      <c r="F420">
        <f>IFERROR(INDEX(Работы!$G$2:$G$6000,MATCH($C420,Работы!$A$2:$A$6000,0)),"")</f>
        <v>0</v>
      </c>
      <c r="G420" t="str">
        <f>IFERROR(INDEX(Работы!$K$2:$K$6000,MATCH($C420,Работы!$A$2:$A$6000,0)),"")</f>
        <v>S_стены</v>
      </c>
      <c r="H420" s="9"/>
      <c r="I420" s="9"/>
      <c r="J420" s="8" t="str">
        <f>IFERROR(INDEX(Материалы!$B$2:$B$9000,MATCH($I420,Материалы!$A$2:$A$9000,0)),"")</f>
        <v/>
      </c>
      <c r="K420" t="str">
        <f>IF($I420="","",IF($F420=IFERROR(INDEX(Материалы!$G$2:$G$9000,MATCH($I420,Материалы!$A$2:$A$9000,0)),""),"OK","!! не та группа"))</f>
        <v/>
      </c>
      <c r="L420" s="10">
        <f>IFERROR(INDEX(Работы!$H$2:$H$6000,MATCH($C420,Работы!$A$2:$A$6000,0))*(1-ДисконтТендер),0)</f>
        <v>516.26</v>
      </c>
      <c r="M420" s="10">
        <f>IF($I420="",0,IFERROR(INDEX(Материалы!$I$2:$I$9000,MATCH($I420,Материалы!$A$2:$A$9000,0))*IF(INDEX(Материалы!$J$2:$J$9000,MATCH($I420,Материалы!$A$2:$A$9000,0))="USD",КурсUSD,IF(INDEX(Материалы!$J$2:$J$9000,MATCH($I420,Материалы!$A$2:$A$9000,0))="EUR",КурсEUR,1))*INDEX(Материалы!$K$2:$K$9000,MATCH($I420,Материалы!$A$2:$A$9000,0))*(1+IFERROR(INDEX(Работы!$I$2:$I$6000,MATCH($C420,Работы!$A$2:$A$6000,0))/100,0))*(1-ДисконтТендер),0))</f>
        <v>0</v>
      </c>
      <c r="N420" s="10">
        <f t="shared" si="18"/>
        <v>0</v>
      </c>
      <c r="O420" s="10">
        <f t="shared" si="19"/>
        <v>0</v>
      </c>
      <c r="P420" s="10">
        <f t="shared" si="20"/>
        <v>0</v>
      </c>
      <c r="Q420" t="str">
        <f>IFERROR(INDEX(Работы!$J$2:$J$6000,MATCH($C420,Работы!$A$2:$A$6000,0)),"")</f>
        <v>типовая</v>
      </c>
      <c r="R420" t="s">
        <v>92</v>
      </c>
      <c r="T420" t="str">
        <f>IF(AND($P420&gt;0,$R420="да"),MAX($T$1:$T419)+1,"")</f>
        <v/>
      </c>
    </row>
    <row r="421" spans="1:20" ht="28.8" x14ac:dyDescent="0.3">
      <c r="A421" t="str">
        <f>IFERROR(INDEX(Работы!$D$2:$D$6000,MATCH($C421,Работы!$A$2:$A$6000,0)),"")</f>
        <v>Р3</v>
      </c>
      <c r="B421" t="str">
        <f>IFERROR(INDEX(Работы!$F$2:$F$6000,MATCH($C421,Работы!$A$2:$A$6000,0)),"")</f>
        <v>8</v>
      </c>
      <c r="C421" t="str">
        <f>IFERROR(INDEX(Работы!$A$2:$A$6000,420),"")</f>
        <v>РАБ.Р3.8.027</v>
      </c>
      <c r="D421" s="8" t="str">
        <f>IFERROR(INDEX(Работы!$B$2:$B$6000,MATCH($C421,Работы!$A$2:$A$6000,0)),"")</f>
        <v>Установка конвекционных решеток из ПВХ 600*900 мм</v>
      </c>
      <c r="E421" t="str">
        <f>IFERROR(INDEX(Работы!$C$2:$C$6000,MATCH($C421,Работы!$A$2:$A$6000,0)),"")</f>
        <v>шт.</v>
      </c>
      <c r="F421">
        <f>IFERROR(INDEX(Работы!$G$2:$G$6000,MATCH($C421,Работы!$A$2:$A$6000,0)),"")</f>
        <v>0</v>
      </c>
      <c r="G421" t="str">
        <f>IFERROR(INDEX(Работы!$K$2:$K$6000,MATCH($C421,Работы!$A$2:$A$6000,0)),"")</f>
        <v>Спецификация</v>
      </c>
      <c r="H421" s="9"/>
      <c r="I421" s="9"/>
      <c r="J421" s="8" t="str">
        <f>IFERROR(INDEX(Материалы!$B$2:$B$9000,MATCH($I421,Материалы!$A$2:$A$9000,0)),"")</f>
        <v/>
      </c>
      <c r="K421" t="str">
        <f>IF($I421="","",IF($F421=IFERROR(INDEX(Материалы!$G$2:$G$9000,MATCH($I421,Материалы!$A$2:$A$9000,0)),""),"OK","!! не та группа"))</f>
        <v/>
      </c>
      <c r="L421" s="10">
        <f>IFERROR(INDEX(Работы!$H$2:$H$6000,MATCH($C421,Работы!$A$2:$A$6000,0))*(1-ДисконтТендер),0)</f>
        <v>741.2</v>
      </c>
      <c r="M421" s="10">
        <f>IF($I421="",0,IFERROR(INDEX(Материалы!$I$2:$I$9000,MATCH($I421,Материалы!$A$2:$A$9000,0))*IF(INDEX(Материалы!$J$2:$J$9000,MATCH($I421,Материалы!$A$2:$A$9000,0))="USD",КурсUSD,IF(INDEX(Материалы!$J$2:$J$9000,MATCH($I421,Материалы!$A$2:$A$9000,0))="EUR",КурсEUR,1))*INDEX(Материалы!$K$2:$K$9000,MATCH($I421,Материалы!$A$2:$A$9000,0))*(1+IFERROR(INDEX(Работы!$I$2:$I$6000,MATCH($C421,Работы!$A$2:$A$6000,0))/100,0))*(1-ДисконтТендер),0))</f>
        <v>0</v>
      </c>
      <c r="N421" s="10">
        <f t="shared" si="18"/>
        <v>0</v>
      </c>
      <c r="O421" s="10">
        <f t="shared" si="19"/>
        <v>0</v>
      </c>
      <c r="P421" s="10">
        <f t="shared" si="20"/>
        <v>0</v>
      </c>
      <c r="Q421" t="str">
        <f>IFERROR(INDEX(Работы!$J$2:$J$6000,MATCH($C421,Работы!$A$2:$A$6000,0)),"")</f>
        <v>типовая</v>
      </c>
      <c r="R421" t="s">
        <v>92</v>
      </c>
      <c r="T421" t="str">
        <f>IF(AND($P421&gt;0,$R421="да"),MAX($T$1:$T420)+1,"")</f>
        <v/>
      </c>
    </row>
    <row r="422" spans="1:20" x14ac:dyDescent="0.3">
      <c r="A422" t="str">
        <f>IFERROR(INDEX(Работы!$D$2:$D$6000,MATCH($C422,Работы!$A$2:$A$6000,0)),"")</f>
        <v>Р3</v>
      </c>
      <c r="B422" t="str">
        <f>IFERROR(INDEX(Работы!$F$2:$F$6000,MATCH($C422,Работы!$A$2:$A$6000,0)),"")</f>
        <v>8</v>
      </c>
      <c r="C422" t="str">
        <f>IFERROR(INDEX(Работы!$A$2:$A$6000,421),"")</f>
        <v>РАБ.Р3.8.028</v>
      </c>
      <c r="D422" s="8" t="str">
        <f>IFERROR(INDEX(Работы!$B$2:$B$6000,MATCH($C422,Работы!$A$2:$A$6000,0)),"")</f>
        <v>Армирование площадки арматурой АIII</v>
      </c>
      <c r="E422" t="str">
        <f>IFERROR(INDEX(Работы!$C$2:$C$6000,MATCH($C422,Работы!$A$2:$A$6000,0)),"")</f>
        <v>тн.</v>
      </c>
      <c r="F422" t="str">
        <f>IFERROR(INDEX(Работы!$G$2:$G$6000,MATCH($C422,Работы!$A$2:$A$6000,0)),"")</f>
        <v>АРМ.УКР</v>
      </c>
      <c r="G422" t="str">
        <f>IFERROR(INDEX(Работы!$K$2:$K$6000,MATCH($C422,Работы!$A$2:$A$6000,0)),"")</f>
        <v>S_поверхность</v>
      </c>
      <c r="H422" s="9"/>
      <c r="I422" s="9"/>
      <c r="J422" s="8" t="str">
        <f>IFERROR(INDEX(Материалы!$B$2:$B$9000,MATCH($I422,Материалы!$A$2:$A$9000,0)),"")</f>
        <v/>
      </c>
      <c r="K422" t="str">
        <f>IF($I422="","",IF($F422=IFERROR(INDEX(Материалы!$G$2:$G$9000,MATCH($I422,Материалы!$A$2:$A$9000,0)),""),"OK","!! не та группа"))</f>
        <v/>
      </c>
      <c r="L422" s="10">
        <f>IFERROR(INDEX(Работы!$H$2:$H$6000,MATCH($C422,Работы!$A$2:$A$6000,0))*(1-ДисконтТендер),0)</f>
        <v>10875.13</v>
      </c>
      <c r="M422" s="10">
        <f>IF($I422="",0,IFERROR(INDEX(Материалы!$I$2:$I$9000,MATCH($I422,Материалы!$A$2:$A$9000,0))*IF(INDEX(Материалы!$J$2:$J$9000,MATCH($I422,Материалы!$A$2:$A$9000,0))="USD",КурсUSD,IF(INDEX(Материалы!$J$2:$J$9000,MATCH($I422,Материалы!$A$2:$A$9000,0))="EUR",КурсEUR,1))*INDEX(Материалы!$K$2:$K$9000,MATCH($I422,Материалы!$A$2:$A$9000,0))*(1+IFERROR(INDEX(Работы!$I$2:$I$6000,MATCH($C422,Работы!$A$2:$A$6000,0))/100,0))*(1-ДисконтТендер),0))</f>
        <v>0</v>
      </c>
      <c r="N422" s="10">
        <f t="shared" si="18"/>
        <v>0</v>
      </c>
      <c r="O422" s="10">
        <f t="shared" si="19"/>
        <v>0</v>
      </c>
      <c r="P422" s="10">
        <f t="shared" si="20"/>
        <v>0</v>
      </c>
      <c r="Q422" t="str">
        <f>IFERROR(INDEX(Работы!$J$2:$J$6000,MATCH($C422,Работы!$A$2:$A$6000,0)),"")</f>
        <v>типовая</v>
      </c>
      <c r="R422" t="s">
        <v>92</v>
      </c>
      <c r="T422" t="str">
        <f>IF(AND($P422&gt;0,$R422="да"),MAX($T$1:$T421)+1,"")</f>
        <v/>
      </c>
    </row>
    <row r="423" spans="1:20" x14ac:dyDescent="0.3">
      <c r="A423" t="str">
        <f>IFERROR(INDEX(Работы!$D$2:$D$6000,MATCH($C423,Работы!$A$2:$A$6000,0)),"")</f>
        <v>Р3</v>
      </c>
      <c r="B423" t="str">
        <f>IFERROR(INDEX(Работы!$F$2:$F$6000,MATCH($C423,Работы!$A$2:$A$6000,0)),"")</f>
        <v>8</v>
      </c>
      <c r="C423" t="str">
        <f>IFERROR(INDEX(Работы!$A$2:$A$6000,422),"")</f>
        <v>РАБ.Р3.8.029</v>
      </c>
      <c r="D423" s="8" t="str">
        <f>IFERROR(INDEX(Работы!$B$2:$B$6000,MATCH($C423,Работы!$A$2:$A$6000,0)),"")</f>
        <v>Монтаж наборных ступеней ЛС 13-14</v>
      </c>
      <c r="E423" t="str">
        <f>IFERROR(INDEX(Работы!$C$2:$C$6000,MATCH($C423,Работы!$A$2:$A$6000,0)),"")</f>
        <v>шт.</v>
      </c>
      <c r="F423">
        <f>IFERROR(INDEX(Работы!$G$2:$G$6000,MATCH($C423,Работы!$A$2:$A$6000,0)),"")</f>
        <v>0</v>
      </c>
      <c r="G423" t="str">
        <f>IFERROR(INDEX(Работы!$K$2:$K$6000,MATCH($C423,Работы!$A$2:$A$6000,0)),"")</f>
        <v>Спецификация</v>
      </c>
      <c r="H423" s="9"/>
      <c r="I423" s="9"/>
      <c r="J423" s="8" t="str">
        <f>IFERROR(INDEX(Материалы!$B$2:$B$9000,MATCH($I423,Материалы!$A$2:$A$9000,0)),"")</f>
        <v/>
      </c>
      <c r="K423" t="str">
        <f>IF($I423="","",IF($F423=IFERROR(INDEX(Материалы!$G$2:$G$9000,MATCH($I423,Материалы!$A$2:$A$9000,0)),""),"OK","!! не та группа"))</f>
        <v/>
      </c>
      <c r="L423" s="10">
        <f>IFERROR(INDEX(Работы!$H$2:$H$6000,MATCH($C423,Работы!$A$2:$A$6000,0))*(1-ДисконтТендер),0)</f>
        <v>1127.52</v>
      </c>
      <c r="M423" s="10">
        <f>IF($I423="",0,IFERROR(INDEX(Материалы!$I$2:$I$9000,MATCH($I423,Материалы!$A$2:$A$9000,0))*IF(INDEX(Материалы!$J$2:$J$9000,MATCH($I423,Материалы!$A$2:$A$9000,0))="USD",КурсUSD,IF(INDEX(Материалы!$J$2:$J$9000,MATCH($I423,Материалы!$A$2:$A$9000,0))="EUR",КурсEUR,1))*INDEX(Материалы!$K$2:$K$9000,MATCH($I423,Материалы!$A$2:$A$9000,0))*(1+IFERROR(INDEX(Работы!$I$2:$I$6000,MATCH($C423,Работы!$A$2:$A$6000,0))/100,0))*(1-ДисконтТендер),0))</f>
        <v>0</v>
      </c>
      <c r="N423" s="10">
        <f t="shared" si="18"/>
        <v>0</v>
      </c>
      <c r="O423" s="10">
        <f t="shared" si="19"/>
        <v>0</v>
      </c>
      <c r="P423" s="10">
        <f t="shared" si="20"/>
        <v>0</v>
      </c>
      <c r="Q423" t="str">
        <f>IFERROR(INDEX(Работы!$J$2:$J$6000,MATCH($C423,Работы!$A$2:$A$6000,0)),"")</f>
        <v>типовая</v>
      </c>
      <c r="R423" t="s">
        <v>92</v>
      </c>
      <c r="T423" t="str">
        <f>IF(AND($P423&gt;0,$R423="да"),MAX($T$1:$T422)+1,"")</f>
        <v/>
      </c>
    </row>
    <row r="424" spans="1:20" ht="57.6" x14ac:dyDescent="0.3">
      <c r="A424" t="str">
        <f>IFERROR(INDEX(Работы!$D$2:$D$6000,MATCH($C424,Работы!$A$2:$A$6000,0)),"")</f>
        <v>Р3</v>
      </c>
      <c r="B424" t="str">
        <f>IFERROR(INDEX(Работы!$F$2:$F$6000,MATCH($C424,Работы!$A$2:$A$6000,0)),"")</f>
        <v>8</v>
      </c>
      <c r="C424" t="str">
        <f>IFERROR(INDEX(Работы!$A$2:$A$6000,423),"")</f>
        <v>РАБ.Р3.8.030</v>
      </c>
      <c r="D424" s="8" t="str">
        <f>IFERROR(INDEX(Работы!$B$2:$B$6000,MATCH($C424,Работы!$A$2:$A$6000,0)),"")</f>
        <v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v>
      </c>
      <c r="E424" t="str">
        <f>IFERROR(INDEX(Работы!$C$2:$C$6000,MATCH($C424,Работы!$A$2:$A$6000,0)),"")</f>
        <v>м.п.</v>
      </c>
      <c r="F424">
        <f>IFERROR(INDEX(Работы!$G$2:$G$6000,MATCH($C424,Работы!$A$2:$A$6000,0)),"")</f>
        <v>0</v>
      </c>
      <c r="G424" t="str">
        <f>IFERROR(INDEX(Работы!$K$2:$K$6000,MATCH($C424,Работы!$A$2:$A$6000,0)),"")</f>
        <v>S_пол</v>
      </c>
      <c r="H424" s="9"/>
      <c r="I424" s="9"/>
      <c r="J424" s="8" t="str">
        <f>IFERROR(INDEX(Материалы!$B$2:$B$9000,MATCH($I424,Материалы!$A$2:$A$9000,0)),"")</f>
        <v/>
      </c>
      <c r="K424" t="str">
        <f>IF($I424="","",IF($F424=IFERROR(INDEX(Материалы!$G$2:$G$9000,MATCH($I424,Материалы!$A$2:$A$9000,0)),""),"OK","!! не та группа"))</f>
        <v/>
      </c>
      <c r="L424" s="10">
        <f>IFERROR(INDEX(Работы!$H$2:$H$6000,MATCH($C424,Работы!$A$2:$A$6000,0))*(1-ДисконтТендер),0)</f>
        <v>1697</v>
      </c>
      <c r="M424" s="10">
        <f>IF($I424="",0,IFERROR(INDEX(Материалы!$I$2:$I$9000,MATCH($I424,Материалы!$A$2:$A$9000,0))*IF(INDEX(Материалы!$J$2:$J$9000,MATCH($I424,Материалы!$A$2:$A$9000,0))="USD",КурсUSD,IF(INDEX(Материалы!$J$2:$J$9000,MATCH($I424,Материалы!$A$2:$A$9000,0))="EUR",КурсEUR,1))*INDEX(Материалы!$K$2:$K$9000,MATCH($I424,Материалы!$A$2:$A$9000,0))*(1+IFERROR(INDEX(Работы!$I$2:$I$6000,MATCH($C424,Работы!$A$2:$A$6000,0))/100,0))*(1-ДисконтТендер),0))</f>
        <v>0</v>
      </c>
      <c r="N424" s="10">
        <f t="shared" si="18"/>
        <v>0</v>
      </c>
      <c r="O424" s="10">
        <f t="shared" si="19"/>
        <v>0</v>
      </c>
      <c r="P424" s="10">
        <f t="shared" si="20"/>
        <v>0</v>
      </c>
      <c r="Q424" t="str">
        <f>IFERROR(INDEX(Работы!$J$2:$J$6000,MATCH($C424,Работы!$A$2:$A$6000,0)),"")</f>
        <v>типовая</v>
      </c>
      <c r="R424" t="s">
        <v>92</v>
      </c>
      <c r="T424" t="str">
        <f>IF(AND($P424&gt;0,$R424="да"),MAX($T$1:$T423)+1,"")</f>
        <v/>
      </c>
    </row>
    <row r="425" spans="1:20" ht="43.2" x14ac:dyDescent="0.3">
      <c r="A425" t="str">
        <f>IFERROR(INDEX(Работы!$D$2:$D$6000,MATCH($C425,Работы!$A$2:$A$6000,0)),"")</f>
        <v>Р3</v>
      </c>
      <c r="B425" t="str">
        <f>IFERROR(INDEX(Работы!$F$2:$F$6000,MATCH($C425,Работы!$A$2:$A$6000,0)),"")</f>
        <v>8</v>
      </c>
      <c r="C425" t="str">
        <f>IFERROR(INDEX(Работы!$A$2:$A$6000,424),"")</f>
        <v>РАБ.Р3.8.031</v>
      </c>
      <c r="D425" s="8" t="str">
        <f>IFERROR(INDEX(Работы!$B$2:$B$6000,MATCH($C425,Работы!$A$2:$A$6000,0)),"")</f>
        <v>Установка подъемно трансформируемого устройства (ПТУ - 001) с радиоуправляемым пультом и доплнительным ограждением</v>
      </c>
      <c r="E425" t="str">
        <f>IFERROR(INDEX(Работы!$C$2:$C$6000,MATCH($C425,Работы!$A$2:$A$6000,0)),"")</f>
        <v>шт.</v>
      </c>
      <c r="F425">
        <f>IFERROR(INDEX(Работы!$G$2:$G$6000,MATCH($C425,Работы!$A$2:$A$6000,0)),"")</f>
        <v>0</v>
      </c>
      <c r="G425" t="str">
        <f>IFERROR(INDEX(Работы!$K$2:$K$6000,MATCH($C425,Работы!$A$2:$A$6000,0)),"")</f>
        <v>Спецификация</v>
      </c>
      <c r="H425" s="9"/>
      <c r="I425" s="9"/>
      <c r="J425" s="8" t="str">
        <f>IFERROR(INDEX(Материалы!$B$2:$B$9000,MATCH($I425,Материалы!$A$2:$A$9000,0)),"")</f>
        <v/>
      </c>
      <c r="K425" t="str">
        <f>IF($I425="","",IF($F425=IFERROR(INDEX(Материалы!$G$2:$G$9000,MATCH($I425,Материалы!$A$2:$A$9000,0)),""),"OK","!! не та группа"))</f>
        <v/>
      </c>
      <c r="L425" s="10">
        <f>IFERROR(INDEX(Работы!$H$2:$H$6000,MATCH($C425,Работы!$A$2:$A$6000,0))*(1-ДисконтТендер),0)</f>
        <v>20044.8</v>
      </c>
      <c r="M425" s="10">
        <f>IF($I425="",0,IFERROR(INDEX(Материалы!$I$2:$I$9000,MATCH($I425,Материалы!$A$2:$A$9000,0))*IF(INDEX(Материалы!$J$2:$J$9000,MATCH($I425,Материалы!$A$2:$A$9000,0))="USD",КурсUSD,IF(INDEX(Материалы!$J$2:$J$9000,MATCH($I425,Материалы!$A$2:$A$9000,0))="EUR",КурсEUR,1))*INDEX(Материалы!$K$2:$K$9000,MATCH($I425,Материалы!$A$2:$A$9000,0))*(1+IFERROR(INDEX(Работы!$I$2:$I$6000,MATCH($C425,Работы!$A$2:$A$6000,0))/100,0))*(1-ДисконтТендер),0))</f>
        <v>0</v>
      </c>
      <c r="N425" s="10">
        <f t="shared" si="18"/>
        <v>0</v>
      </c>
      <c r="O425" s="10">
        <f t="shared" si="19"/>
        <v>0</v>
      </c>
      <c r="P425" s="10">
        <f t="shared" si="20"/>
        <v>0</v>
      </c>
      <c r="Q425" t="str">
        <f>IFERROR(INDEX(Работы!$J$2:$J$6000,MATCH($C425,Работы!$A$2:$A$6000,0)),"")</f>
        <v>типовая</v>
      </c>
      <c r="R425" t="s">
        <v>92</v>
      </c>
      <c r="T425" t="str">
        <f>IF(AND($P425&gt;0,$R425="да"),MAX($T$1:$T424)+1,"")</f>
        <v/>
      </c>
    </row>
    <row r="426" spans="1:20" ht="28.8" x14ac:dyDescent="0.3">
      <c r="A426" t="str">
        <f>IFERROR(INDEX(Работы!$D$2:$D$6000,MATCH($C426,Работы!$A$2:$A$6000,0)),"")</f>
        <v>Р4</v>
      </c>
      <c r="B426" t="str">
        <f>IFERROR(INDEX(Работы!$F$2:$F$6000,MATCH($C426,Работы!$A$2:$A$6000,0)),"")</f>
        <v>1</v>
      </c>
      <c r="C426" t="str">
        <f>IFERROR(INDEX(Работы!$A$2:$A$6000,425),"")</f>
        <v>РАБ.Р4.1.001</v>
      </c>
      <c r="D426" s="8" t="str">
        <f>IFERROR(INDEX(Работы!$B$2:$B$6000,MATCH($C426,Работы!$A$2:$A$6000,0)),"")</f>
        <v>Частичный ремонт цементно-песчаной стяжки под устройсво рулонной кровли толщиной 50 мм</v>
      </c>
      <c r="E426" t="str">
        <f>IFERROR(INDEX(Работы!$C$2:$C$6000,MATCH($C426,Работы!$A$2:$A$6000,0)),"")</f>
        <v>м2</v>
      </c>
      <c r="F426">
        <f>IFERROR(INDEX(Работы!$G$2:$G$6000,MATCH($C426,Работы!$A$2:$A$6000,0)),"")</f>
        <v>0</v>
      </c>
      <c r="G426" t="str">
        <f>IFERROR(INDEX(Работы!$K$2:$K$6000,MATCH($C426,Работы!$A$2:$A$6000,0)),"")</f>
        <v>S_пол</v>
      </c>
      <c r="H426" s="9"/>
      <c r="I426" s="9"/>
      <c r="J426" s="8" t="str">
        <f>IFERROR(INDEX(Материалы!$B$2:$B$9000,MATCH($I426,Материалы!$A$2:$A$9000,0)),"")</f>
        <v/>
      </c>
      <c r="K426" t="str">
        <f>IF($I426="","",IF($F426=IFERROR(INDEX(Материалы!$G$2:$G$9000,MATCH($I426,Материалы!$A$2:$A$9000,0)),""),"OK","!! не та группа"))</f>
        <v/>
      </c>
      <c r="L426" s="10">
        <f>IFERROR(INDEX(Работы!$H$2:$H$6000,MATCH($C426,Работы!$A$2:$A$6000,0))*(1-ДисконтТендер),0)</f>
        <v>365.88</v>
      </c>
      <c r="M426" s="10">
        <f>IF($I426="",0,IFERROR(INDEX(Материалы!$I$2:$I$9000,MATCH($I426,Материалы!$A$2:$A$9000,0))*IF(INDEX(Материалы!$J$2:$J$9000,MATCH($I426,Материалы!$A$2:$A$9000,0))="USD",КурсUSD,IF(INDEX(Материалы!$J$2:$J$9000,MATCH($I426,Материалы!$A$2:$A$9000,0))="EUR",КурсEUR,1))*INDEX(Материалы!$K$2:$K$9000,MATCH($I426,Материалы!$A$2:$A$9000,0))*(1+IFERROR(INDEX(Работы!$I$2:$I$6000,MATCH($C426,Работы!$A$2:$A$6000,0))/100,0))*(1-ДисконтТендер),0))</f>
        <v>0</v>
      </c>
      <c r="N426" s="10">
        <f t="shared" si="18"/>
        <v>0</v>
      </c>
      <c r="O426" s="10">
        <f t="shared" si="19"/>
        <v>0</v>
      </c>
      <c r="P426" s="10">
        <f t="shared" si="20"/>
        <v>0</v>
      </c>
      <c r="Q426" t="str">
        <f>IFERROR(INDEX(Работы!$J$2:$J$6000,MATCH($C426,Работы!$A$2:$A$6000,0)),"")</f>
        <v>нетиповая</v>
      </c>
      <c r="R426" t="s">
        <v>92</v>
      </c>
      <c r="T426" t="str">
        <f>IF(AND($P426&gt;0,$R426="да"),MAX($T$1:$T425)+1,"")</f>
        <v/>
      </c>
    </row>
    <row r="427" spans="1:20" ht="43.2" x14ac:dyDescent="0.3">
      <c r="A427" t="str">
        <f>IFERROR(INDEX(Работы!$D$2:$D$6000,MATCH($C427,Работы!$A$2:$A$6000,0)),"")</f>
        <v>Р4</v>
      </c>
      <c r="B427" t="str">
        <f>IFERROR(INDEX(Работы!$F$2:$F$6000,MATCH($C427,Работы!$A$2:$A$6000,0)),"")</f>
        <v>1</v>
      </c>
      <c r="C427" t="str">
        <f>IFERROR(INDEX(Работы!$A$2:$A$6000,426),"")</f>
        <v>РАБ.Р4.1.002</v>
      </c>
      <c r="D427" s="8" t="str">
        <f>IFERROR(INDEX(Работы!$B$2:$B$6000,MATCH($C427,Работы!$A$2:$A$6000,0)),"")</f>
        <v>Устройство рулонной мягкой кровли в 2 слоя с нахлестом на поребрик (мастика, стеклогидроизол, газовая горелка)</v>
      </c>
      <c r="E427" t="str">
        <f>IFERROR(INDEX(Работы!$C$2:$C$6000,MATCH($C427,Работы!$A$2:$A$6000,0)),"")</f>
        <v>м2</v>
      </c>
      <c r="F427">
        <f>IFERROR(INDEX(Работы!$G$2:$G$6000,MATCH($C427,Работы!$A$2:$A$6000,0)),"")</f>
        <v>0</v>
      </c>
      <c r="G427" t="str">
        <f>IFERROR(INDEX(Работы!$K$2:$K$6000,MATCH($C427,Работы!$A$2:$A$6000,0)),"")</f>
        <v>S_фасад</v>
      </c>
      <c r="H427" s="9"/>
      <c r="I427" s="9"/>
      <c r="J427" s="8" t="str">
        <f>IFERROR(INDEX(Материалы!$B$2:$B$9000,MATCH($I427,Материалы!$A$2:$A$9000,0)),"")</f>
        <v/>
      </c>
      <c r="K427" t="str">
        <f>IF($I427="","",IF($F427=IFERROR(INDEX(Материалы!$G$2:$G$9000,MATCH($I427,Материалы!$A$2:$A$9000,0)),""),"OK","!! не та группа"))</f>
        <v/>
      </c>
      <c r="L427" s="10">
        <f>IFERROR(INDEX(Работы!$H$2:$H$6000,MATCH($C427,Работы!$A$2:$A$6000,0))*(1-ДисконтТендер),0)</f>
        <v>1000</v>
      </c>
      <c r="M427" s="10">
        <f>IF($I427="",0,IFERROR(INDEX(Материалы!$I$2:$I$9000,MATCH($I427,Материалы!$A$2:$A$9000,0))*IF(INDEX(Материалы!$J$2:$J$9000,MATCH($I427,Материалы!$A$2:$A$9000,0))="USD",КурсUSD,IF(INDEX(Материалы!$J$2:$J$9000,MATCH($I427,Материалы!$A$2:$A$9000,0))="EUR",КурсEUR,1))*INDEX(Материалы!$K$2:$K$9000,MATCH($I427,Материалы!$A$2:$A$9000,0))*(1+IFERROR(INDEX(Работы!$I$2:$I$6000,MATCH($C427,Работы!$A$2:$A$6000,0))/100,0))*(1-ДисконтТендер),0))</f>
        <v>0</v>
      </c>
      <c r="N427" s="10">
        <f t="shared" si="18"/>
        <v>0</v>
      </c>
      <c r="O427" s="10">
        <f t="shared" si="19"/>
        <v>0</v>
      </c>
      <c r="P427" s="10">
        <f t="shared" si="20"/>
        <v>0</v>
      </c>
      <c r="Q427" t="str">
        <f>IFERROR(INDEX(Работы!$J$2:$J$6000,MATCH($C427,Работы!$A$2:$A$6000,0)),"")</f>
        <v>нетиповая</v>
      </c>
      <c r="R427" t="s">
        <v>92</v>
      </c>
      <c r="T427" t="str">
        <f>IF(AND($P427&gt;0,$R427="да"),MAX($T$1:$T426)+1,"")</f>
        <v/>
      </c>
    </row>
    <row r="428" spans="1:20" ht="28.8" x14ac:dyDescent="0.3">
      <c r="A428" t="str">
        <f>IFERROR(INDEX(Работы!$D$2:$D$6000,MATCH($C428,Работы!$A$2:$A$6000,0)),"")</f>
        <v>Р4</v>
      </c>
      <c r="B428" t="str">
        <f>IFERROR(INDEX(Работы!$F$2:$F$6000,MATCH($C428,Работы!$A$2:$A$6000,0)),"")</f>
        <v>1</v>
      </c>
      <c r="C428" t="str">
        <f>IFERROR(INDEX(Работы!$A$2:$A$6000,427),"")</f>
        <v>РАБ.Р4.1.003</v>
      </c>
      <c r="D428" s="8" t="str">
        <f>IFERROR(INDEX(Работы!$B$2:$B$6000,MATCH($C428,Работы!$A$2:$A$6000,0)),"")</f>
        <v>Устройство примыкания (шва) между кровлей и стеной</v>
      </c>
      <c r="E428" t="str">
        <f>IFERROR(INDEX(Работы!$C$2:$C$6000,MATCH($C428,Работы!$A$2:$A$6000,0)),"")</f>
        <v>м.п.</v>
      </c>
      <c r="F428">
        <f>IFERROR(INDEX(Работы!$G$2:$G$6000,MATCH($C428,Работы!$A$2:$A$6000,0)),"")</f>
        <v>0</v>
      </c>
      <c r="G428" t="str">
        <f>IFERROR(INDEX(Работы!$K$2:$K$6000,MATCH($C428,Работы!$A$2:$A$6000,0)),"")</f>
        <v>S_фасад</v>
      </c>
      <c r="H428" s="9"/>
      <c r="I428" s="9"/>
      <c r="J428" s="8" t="str">
        <f>IFERROR(INDEX(Материалы!$B$2:$B$9000,MATCH($I428,Материалы!$A$2:$A$9000,0)),"")</f>
        <v/>
      </c>
      <c r="K428" t="str">
        <f>IF($I428="","",IF($F428=IFERROR(INDEX(Материалы!$G$2:$G$9000,MATCH($I428,Материалы!$A$2:$A$9000,0)),""),"OK","!! не та группа"))</f>
        <v/>
      </c>
      <c r="L428" s="10">
        <f>IFERROR(INDEX(Работы!$H$2:$H$6000,MATCH($C428,Работы!$A$2:$A$6000,0))*(1-ДисконтТендер),0)</f>
        <v>640</v>
      </c>
      <c r="M428" s="10">
        <f>IF($I428="",0,IFERROR(INDEX(Материалы!$I$2:$I$9000,MATCH($I428,Материалы!$A$2:$A$9000,0))*IF(INDEX(Материалы!$J$2:$J$9000,MATCH($I428,Материалы!$A$2:$A$9000,0))="USD",КурсUSD,IF(INDEX(Материалы!$J$2:$J$9000,MATCH($I428,Материалы!$A$2:$A$9000,0))="EUR",КурсEUR,1))*INDEX(Материалы!$K$2:$K$9000,MATCH($I428,Материалы!$A$2:$A$9000,0))*(1+IFERROR(INDEX(Работы!$I$2:$I$6000,MATCH($C428,Работы!$A$2:$A$6000,0))/100,0))*(1-ДисконтТендер),0))</f>
        <v>0</v>
      </c>
      <c r="N428" s="10">
        <f t="shared" si="18"/>
        <v>0</v>
      </c>
      <c r="O428" s="10">
        <f t="shared" si="19"/>
        <v>0</v>
      </c>
      <c r="P428" s="10">
        <f t="shared" si="20"/>
        <v>0</v>
      </c>
      <c r="Q428" t="str">
        <f>IFERROR(INDEX(Работы!$J$2:$J$6000,MATCH($C428,Работы!$A$2:$A$6000,0)),"")</f>
        <v>нетиповая</v>
      </c>
      <c r="R428" t="s">
        <v>92</v>
      </c>
      <c r="T428" t="str">
        <f>IF(AND($P428&gt;0,$R428="да"),MAX($T$1:$T427)+1,"")</f>
        <v/>
      </c>
    </row>
    <row r="429" spans="1:20" ht="28.8" x14ac:dyDescent="0.3">
      <c r="A429" t="str">
        <f>IFERROR(INDEX(Работы!$D$2:$D$6000,MATCH($C429,Работы!$A$2:$A$6000,0)),"")</f>
        <v>Р4</v>
      </c>
      <c r="B429" t="str">
        <f>IFERROR(INDEX(Работы!$F$2:$F$6000,MATCH($C429,Работы!$A$2:$A$6000,0)),"")</f>
        <v>1</v>
      </c>
      <c r="C429" t="str">
        <f>IFERROR(INDEX(Работы!$A$2:$A$6000,428),"")</f>
        <v>РАБ.Р4.1.004</v>
      </c>
      <c r="D429" s="8" t="str">
        <f>IFERROR(INDEX(Работы!$B$2:$B$6000,MATCH($C429,Работы!$A$2:$A$6000,0)),"")</f>
        <v>Устройство кровли из профлиста, металлочерепицы по деревянной обрешетке</v>
      </c>
      <c r="E429" t="str">
        <f>IFERROR(INDEX(Работы!$C$2:$C$6000,MATCH($C429,Работы!$A$2:$A$6000,0)),"")</f>
        <v>м2</v>
      </c>
      <c r="F429">
        <f>IFERROR(INDEX(Работы!$G$2:$G$6000,MATCH($C429,Работы!$A$2:$A$6000,0)),"")</f>
        <v>0</v>
      </c>
      <c r="G429" t="str">
        <f>IFERROR(INDEX(Работы!$K$2:$K$6000,MATCH($C429,Работы!$A$2:$A$6000,0)),"")</f>
        <v>S_фасад</v>
      </c>
      <c r="H429" s="9"/>
      <c r="I429" s="9"/>
      <c r="J429" s="8" t="str">
        <f>IFERROR(INDEX(Материалы!$B$2:$B$9000,MATCH($I429,Материалы!$A$2:$A$9000,0)),"")</f>
        <v/>
      </c>
      <c r="K429" t="str">
        <f>IF($I429="","",IF($F429=IFERROR(INDEX(Материалы!$G$2:$G$9000,MATCH($I429,Материалы!$A$2:$A$9000,0)),""),"OK","!! не та группа"))</f>
        <v/>
      </c>
      <c r="L429" s="10">
        <f>IFERROR(INDEX(Работы!$H$2:$H$6000,MATCH($C429,Работы!$A$2:$A$6000,0))*(1-ДисконтТендер),0)</f>
        <v>1289.3399999999999</v>
      </c>
      <c r="M429" s="10">
        <f>IF($I429="",0,IFERROR(INDEX(Материалы!$I$2:$I$9000,MATCH($I429,Материалы!$A$2:$A$9000,0))*IF(INDEX(Материалы!$J$2:$J$9000,MATCH($I429,Материалы!$A$2:$A$9000,0))="USD",КурсUSD,IF(INDEX(Материалы!$J$2:$J$9000,MATCH($I429,Материалы!$A$2:$A$9000,0))="EUR",КурсEUR,1))*INDEX(Материалы!$K$2:$K$9000,MATCH($I429,Материалы!$A$2:$A$9000,0))*(1+IFERROR(INDEX(Работы!$I$2:$I$6000,MATCH($C429,Работы!$A$2:$A$6000,0))/100,0))*(1-ДисконтТендер),0))</f>
        <v>0</v>
      </c>
      <c r="N429" s="10">
        <f t="shared" si="18"/>
        <v>0</v>
      </c>
      <c r="O429" s="10">
        <f t="shared" si="19"/>
        <v>0</v>
      </c>
      <c r="P429" s="10">
        <f t="shared" si="20"/>
        <v>0</v>
      </c>
      <c r="Q429" t="str">
        <f>IFERROR(INDEX(Работы!$J$2:$J$6000,MATCH($C429,Работы!$A$2:$A$6000,0)),"")</f>
        <v>нетиповая</v>
      </c>
      <c r="R429" t="s">
        <v>92</v>
      </c>
      <c r="T429" t="str">
        <f>IF(AND($P429&gt;0,$R429="да"),MAX($T$1:$T428)+1,"")</f>
        <v/>
      </c>
    </row>
    <row r="430" spans="1:20" ht="28.8" x14ac:dyDescent="0.3">
      <c r="A430" t="str">
        <f>IFERROR(INDEX(Работы!$D$2:$D$6000,MATCH($C430,Работы!$A$2:$A$6000,0)),"")</f>
        <v>Р4</v>
      </c>
      <c r="B430" t="str">
        <f>IFERROR(INDEX(Работы!$F$2:$F$6000,MATCH($C430,Работы!$A$2:$A$6000,0)),"")</f>
        <v>1</v>
      </c>
      <c r="C430" t="str">
        <f>IFERROR(INDEX(Работы!$A$2:$A$6000,429),"")</f>
        <v>РАБ.Р4.1.005</v>
      </c>
      <c r="D430" s="8" t="str">
        <f>IFERROR(INDEX(Работы!$B$2:$B$6000,MATCH($C430,Работы!$A$2:$A$6000,0)),"")</f>
        <v>Грунтовка битумной мастикой примыканий и поверхности ремонтируемой кровли</v>
      </c>
      <c r="E430" t="str">
        <f>IFERROR(INDEX(Работы!$C$2:$C$6000,MATCH($C430,Работы!$A$2:$A$6000,0)),"")</f>
        <v>м2</v>
      </c>
      <c r="F430">
        <f>IFERROR(INDEX(Работы!$G$2:$G$6000,MATCH($C430,Работы!$A$2:$A$6000,0)),"")</f>
        <v>0</v>
      </c>
      <c r="G430" t="str">
        <f>IFERROR(INDEX(Работы!$K$2:$K$6000,MATCH($C430,Работы!$A$2:$A$6000,0)),"")</f>
        <v>S_поверхность</v>
      </c>
      <c r="H430" s="9"/>
      <c r="I430" s="9"/>
      <c r="J430" s="8" t="str">
        <f>IFERROR(INDEX(Материалы!$B$2:$B$9000,MATCH($I430,Материалы!$A$2:$A$9000,0)),"")</f>
        <v/>
      </c>
      <c r="K430" t="str">
        <f>IF($I430="","",IF($F430=IFERROR(INDEX(Материалы!$G$2:$G$9000,MATCH($I430,Материалы!$A$2:$A$9000,0)),""),"OK","!! не та группа"))</f>
        <v/>
      </c>
      <c r="L430" s="10">
        <f>IFERROR(INDEX(Работы!$H$2:$H$6000,MATCH($C430,Работы!$A$2:$A$6000,0))*(1-ДисконтТендер),0)</f>
        <v>547.04999999999995</v>
      </c>
      <c r="M430" s="10">
        <f>IF($I430="",0,IFERROR(INDEX(Материалы!$I$2:$I$9000,MATCH($I430,Материалы!$A$2:$A$9000,0))*IF(INDEX(Материалы!$J$2:$J$9000,MATCH($I430,Материалы!$A$2:$A$9000,0))="USD",КурсUSD,IF(INDEX(Материалы!$J$2:$J$9000,MATCH($I430,Материалы!$A$2:$A$9000,0))="EUR",КурсEUR,1))*INDEX(Материалы!$K$2:$K$9000,MATCH($I430,Материалы!$A$2:$A$9000,0))*(1+IFERROR(INDEX(Работы!$I$2:$I$6000,MATCH($C430,Работы!$A$2:$A$6000,0))/100,0))*(1-ДисконтТендер),0))</f>
        <v>0</v>
      </c>
      <c r="N430" s="10">
        <f t="shared" si="18"/>
        <v>0</v>
      </c>
      <c r="O430" s="10">
        <f t="shared" si="19"/>
        <v>0</v>
      </c>
      <c r="P430" s="10">
        <f t="shared" si="20"/>
        <v>0</v>
      </c>
      <c r="Q430" t="str">
        <f>IFERROR(INDEX(Работы!$J$2:$J$6000,MATCH($C430,Работы!$A$2:$A$6000,0)),"")</f>
        <v>нетиповая</v>
      </c>
      <c r="R430" t="s">
        <v>92</v>
      </c>
      <c r="T430" t="str">
        <f>IF(AND($P430&gt;0,$R430="да"),MAX($T$1:$T429)+1,"")</f>
        <v/>
      </c>
    </row>
    <row r="431" spans="1:20" ht="28.8" x14ac:dyDescent="0.3">
      <c r="A431" t="str">
        <f>IFERROR(INDEX(Работы!$D$2:$D$6000,MATCH($C431,Работы!$A$2:$A$6000,0)),"")</f>
        <v>Р4</v>
      </c>
      <c r="B431" t="str">
        <f>IFERROR(INDEX(Работы!$F$2:$F$6000,MATCH($C431,Работы!$A$2:$A$6000,0)),"")</f>
        <v>1</v>
      </c>
      <c r="C431" t="str">
        <f>IFERROR(INDEX(Работы!$A$2:$A$6000,430),"")</f>
        <v>РАБ.Р4.1.006</v>
      </c>
      <c r="D431" s="8" t="str">
        <f>IFERROR(INDEX(Работы!$B$2:$B$6000,MATCH($C431,Работы!$A$2:$A$6000,0)),"")</f>
        <v>Монтаж водоотводных воронок с грязеуловителями</v>
      </c>
      <c r="E431" t="str">
        <f>IFERROR(INDEX(Работы!$C$2:$C$6000,MATCH($C431,Работы!$A$2:$A$6000,0)),"")</f>
        <v>шт.</v>
      </c>
      <c r="F431">
        <f>IFERROR(INDEX(Работы!$G$2:$G$6000,MATCH($C431,Работы!$A$2:$A$6000,0)),"")</f>
        <v>0</v>
      </c>
      <c r="G431" t="str">
        <f>IFERROR(INDEX(Работы!$K$2:$K$6000,MATCH($C431,Работы!$A$2:$A$6000,0)),"")</f>
        <v>Спецификация</v>
      </c>
      <c r="H431" s="9"/>
      <c r="I431" s="9"/>
      <c r="J431" s="8" t="str">
        <f>IFERROR(INDEX(Материалы!$B$2:$B$9000,MATCH($I431,Материалы!$A$2:$A$9000,0)),"")</f>
        <v/>
      </c>
      <c r="K431" t="str">
        <f>IF($I431="","",IF($F431=IFERROR(INDEX(Материалы!$G$2:$G$9000,MATCH($I431,Материалы!$A$2:$A$9000,0)),""),"OK","!! не та группа"))</f>
        <v/>
      </c>
      <c r="L431" s="10">
        <f>IFERROR(INDEX(Работы!$H$2:$H$6000,MATCH($C431,Работы!$A$2:$A$6000,0))*(1-ДисконтТендер),0)</f>
        <v>752.51</v>
      </c>
      <c r="M431" s="10">
        <f>IF($I431="",0,IFERROR(INDEX(Материалы!$I$2:$I$9000,MATCH($I431,Материалы!$A$2:$A$9000,0))*IF(INDEX(Материалы!$J$2:$J$9000,MATCH($I431,Материалы!$A$2:$A$9000,0))="USD",КурсUSD,IF(INDEX(Материалы!$J$2:$J$9000,MATCH($I431,Материалы!$A$2:$A$9000,0))="EUR",КурсEUR,1))*INDEX(Материалы!$K$2:$K$9000,MATCH($I431,Материалы!$A$2:$A$9000,0))*(1+IFERROR(INDEX(Работы!$I$2:$I$6000,MATCH($C431,Работы!$A$2:$A$6000,0))/100,0))*(1-ДисконтТендер),0))</f>
        <v>0</v>
      </c>
      <c r="N431" s="10">
        <f t="shared" si="18"/>
        <v>0</v>
      </c>
      <c r="O431" s="10">
        <f t="shared" si="19"/>
        <v>0</v>
      </c>
      <c r="P431" s="10">
        <f t="shared" si="20"/>
        <v>0</v>
      </c>
      <c r="Q431" t="str">
        <f>IFERROR(INDEX(Работы!$J$2:$J$6000,MATCH($C431,Работы!$A$2:$A$6000,0)),"")</f>
        <v>нетиповая</v>
      </c>
      <c r="R431" t="s">
        <v>92</v>
      </c>
      <c r="T431" t="str">
        <f>IF(AND($P431&gt;0,$R431="да"),MAX($T$1:$T430)+1,"")</f>
        <v/>
      </c>
    </row>
    <row r="432" spans="1:20" x14ac:dyDescent="0.3">
      <c r="A432" t="str">
        <f>IFERROR(INDEX(Работы!$D$2:$D$6000,MATCH($C432,Работы!$A$2:$A$6000,0)),"")</f>
        <v>Р4</v>
      </c>
      <c r="B432" t="str">
        <f>IFERROR(INDEX(Работы!$F$2:$F$6000,MATCH($C432,Работы!$A$2:$A$6000,0)),"")</f>
        <v>1</v>
      </c>
      <c r="C432" t="str">
        <f>IFERROR(INDEX(Работы!$A$2:$A$6000,431),"")</f>
        <v>РАБ.Р4.1.007</v>
      </c>
      <c r="D432" s="8" t="str">
        <f>IFERROR(INDEX(Работы!$B$2:$B$6000,MATCH($C432,Работы!$A$2:$A$6000,0)),"")</f>
        <v>Заделка стыков морозоустойчивым герметиком</v>
      </c>
      <c r="E432" t="str">
        <f>IFERROR(INDEX(Работы!$C$2:$C$6000,MATCH($C432,Работы!$A$2:$A$6000,0)),"")</f>
        <v>м.п.</v>
      </c>
      <c r="F432">
        <f>IFERROR(INDEX(Работы!$G$2:$G$6000,MATCH($C432,Работы!$A$2:$A$6000,0)),"")</f>
        <v>0</v>
      </c>
      <c r="G432" t="str">
        <f>IFERROR(INDEX(Работы!$K$2:$K$6000,MATCH($C432,Работы!$A$2:$A$6000,0)),"")</f>
        <v>Погонаж</v>
      </c>
      <c r="H432" s="9"/>
      <c r="I432" s="9"/>
      <c r="J432" s="8" t="str">
        <f>IFERROR(INDEX(Материалы!$B$2:$B$9000,MATCH($I432,Материалы!$A$2:$A$9000,0)),"")</f>
        <v/>
      </c>
      <c r="K432" t="str">
        <f>IF($I432="","",IF($F432=IFERROR(INDEX(Материалы!$G$2:$G$9000,MATCH($I432,Материалы!$A$2:$A$9000,0)),""),"OK","!! не та группа"))</f>
        <v/>
      </c>
      <c r="L432" s="10">
        <f>IFERROR(INDEX(Работы!$H$2:$H$6000,MATCH($C432,Работы!$A$2:$A$6000,0))*(1-ДисконтТендер),0)</f>
        <v>203.58</v>
      </c>
      <c r="M432" s="10">
        <f>IF($I432="",0,IFERROR(INDEX(Материалы!$I$2:$I$9000,MATCH($I432,Материалы!$A$2:$A$9000,0))*IF(INDEX(Материалы!$J$2:$J$9000,MATCH($I432,Материалы!$A$2:$A$9000,0))="USD",КурсUSD,IF(INDEX(Материалы!$J$2:$J$9000,MATCH($I432,Материалы!$A$2:$A$9000,0))="EUR",КурсEUR,1))*INDEX(Материалы!$K$2:$K$9000,MATCH($I432,Материалы!$A$2:$A$9000,0))*(1+IFERROR(INDEX(Работы!$I$2:$I$6000,MATCH($C432,Работы!$A$2:$A$6000,0))/100,0))*(1-ДисконтТендер),0))</f>
        <v>0</v>
      </c>
      <c r="N432" s="10">
        <f t="shared" si="18"/>
        <v>0</v>
      </c>
      <c r="O432" s="10">
        <f t="shared" si="19"/>
        <v>0</v>
      </c>
      <c r="P432" s="10">
        <f t="shared" si="20"/>
        <v>0</v>
      </c>
      <c r="Q432" t="str">
        <f>IFERROR(INDEX(Работы!$J$2:$J$6000,MATCH($C432,Работы!$A$2:$A$6000,0)),"")</f>
        <v>нетиповая</v>
      </c>
      <c r="R432" t="s">
        <v>92</v>
      </c>
      <c r="T432" t="str">
        <f>IF(AND($P432&gt;0,$R432="да"),MAX($T$1:$T431)+1,"")</f>
        <v/>
      </c>
    </row>
    <row r="433" spans="1:20" ht="28.8" x14ac:dyDescent="0.3">
      <c r="A433" t="str">
        <f>IFERROR(INDEX(Работы!$D$2:$D$6000,MATCH($C433,Работы!$A$2:$A$6000,0)),"")</f>
        <v>Р4</v>
      </c>
      <c r="B433" t="str">
        <f>IFERROR(INDEX(Работы!$F$2:$F$6000,MATCH($C433,Работы!$A$2:$A$6000,0)),"")</f>
        <v>1</v>
      </c>
      <c r="C433" t="str">
        <f>IFERROR(INDEX(Работы!$A$2:$A$6000,432),"")</f>
        <v>РАБ.Р4.1.008</v>
      </c>
      <c r="D433" s="8" t="str">
        <f>IFERROR(INDEX(Работы!$B$2:$B$6000,MATCH($C433,Работы!$A$2:$A$6000,0)),"")</f>
        <v>Ревизия кровли и водосточных систем с подготовкой акта</v>
      </c>
      <c r="E433" t="str">
        <f>IFERROR(INDEX(Работы!$C$2:$C$6000,MATCH($C433,Работы!$A$2:$A$6000,0)),"")</f>
        <v>м2</v>
      </c>
      <c r="F433">
        <f>IFERROR(INDEX(Работы!$G$2:$G$6000,MATCH($C433,Работы!$A$2:$A$6000,0)),"")</f>
        <v>0</v>
      </c>
      <c r="G433" t="str">
        <f>IFERROR(INDEX(Работы!$K$2:$K$6000,MATCH($C433,Работы!$A$2:$A$6000,0)),"")</f>
        <v>S_фасад</v>
      </c>
      <c r="H433" s="9"/>
      <c r="I433" s="9"/>
      <c r="J433" s="8" t="str">
        <f>IFERROR(INDEX(Материалы!$B$2:$B$9000,MATCH($I433,Материалы!$A$2:$A$9000,0)),"")</f>
        <v/>
      </c>
      <c r="K433" t="str">
        <f>IF($I433="","",IF($F433=IFERROR(INDEX(Материалы!$G$2:$G$9000,MATCH($I433,Материалы!$A$2:$A$9000,0)),""),"OK","!! не та группа"))</f>
        <v/>
      </c>
      <c r="L433" s="10">
        <f>IFERROR(INDEX(Работы!$H$2:$H$6000,MATCH($C433,Работы!$A$2:$A$6000,0))*(1-ДисконтТендер),0)</f>
        <v>135.72</v>
      </c>
      <c r="M433" s="10">
        <f>IF($I433="",0,IFERROR(INDEX(Материалы!$I$2:$I$9000,MATCH($I433,Материалы!$A$2:$A$9000,0))*IF(INDEX(Материалы!$J$2:$J$9000,MATCH($I433,Материалы!$A$2:$A$9000,0))="USD",КурсUSD,IF(INDEX(Материалы!$J$2:$J$9000,MATCH($I433,Материалы!$A$2:$A$9000,0))="EUR",КурсEUR,1))*INDEX(Материалы!$K$2:$K$9000,MATCH($I433,Материалы!$A$2:$A$9000,0))*(1+IFERROR(INDEX(Работы!$I$2:$I$6000,MATCH($C433,Работы!$A$2:$A$6000,0))/100,0))*(1-ДисконтТендер),0))</f>
        <v>0</v>
      </c>
      <c r="N433" s="10">
        <f t="shared" si="18"/>
        <v>0</v>
      </c>
      <c r="O433" s="10">
        <f t="shared" si="19"/>
        <v>0</v>
      </c>
      <c r="P433" s="10">
        <f t="shared" si="20"/>
        <v>0</v>
      </c>
      <c r="Q433" t="str">
        <f>IFERROR(INDEX(Работы!$J$2:$J$6000,MATCH($C433,Работы!$A$2:$A$6000,0)),"")</f>
        <v>нетиповая</v>
      </c>
      <c r="R433" t="s">
        <v>92</v>
      </c>
      <c r="T433" t="str">
        <f>IF(AND($P433&gt;0,$R433="да"),MAX($T$1:$T432)+1,"")</f>
        <v/>
      </c>
    </row>
    <row r="434" spans="1:20" ht="43.2" x14ac:dyDescent="0.3">
      <c r="A434" t="str">
        <f>IFERROR(INDEX(Работы!$D$2:$D$6000,MATCH($C434,Работы!$A$2:$A$6000,0)),"")</f>
        <v>Р4</v>
      </c>
      <c r="B434" t="str">
        <f>IFERROR(INDEX(Работы!$F$2:$F$6000,MATCH($C434,Работы!$A$2:$A$6000,0)),"")</f>
        <v>1</v>
      </c>
      <c r="C434" t="str">
        <f>IFERROR(INDEX(Работы!$A$2:$A$6000,433),"")</f>
        <v>РАБ.Р4.1.009</v>
      </c>
      <c r="D434" s="8" t="str">
        <f>IFERROR(INDEX(Работы!$B$2:$B$6000,MATCH($C434,Работы!$A$2:$A$6000,0)),"")</f>
        <v>Устройство мелких покрытий (брандмауэры, парапеты, свесы и т.р.) из листовой оцинкованной стали</v>
      </c>
      <c r="E434" t="str">
        <f>IFERROR(INDEX(Работы!$C$2:$C$6000,MATCH($C434,Работы!$A$2:$A$6000,0)),"")</f>
        <v>м2</v>
      </c>
      <c r="F434">
        <f>IFERROR(INDEX(Работы!$G$2:$G$6000,MATCH($C434,Работы!$A$2:$A$6000,0)),"")</f>
        <v>0</v>
      </c>
      <c r="G434" t="str">
        <f>IFERROR(INDEX(Работы!$K$2:$K$6000,MATCH($C434,Работы!$A$2:$A$6000,0)),"")</f>
        <v>S_поверхность</v>
      </c>
      <c r="H434" s="9"/>
      <c r="I434" s="9"/>
      <c r="J434" s="8" t="str">
        <f>IFERROR(INDEX(Материалы!$B$2:$B$9000,MATCH($I434,Материалы!$A$2:$A$9000,0)),"")</f>
        <v/>
      </c>
      <c r="K434" t="str">
        <f>IF($I434="","",IF($F434=IFERROR(INDEX(Материалы!$G$2:$G$9000,MATCH($I434,Материалы!$A$2:$A$9000,0)),""),"OK","!! не та группа"))</f>
        <v/>
      </c>
      <c r="L434" s="10">
        <f>IFERROR(INDEX(Работы!$H$2:$H$6000,MATCH($C434,Работы!$A$2:$A$6000,0))*(1-ДисконтТендер),0)</f>
        <v>755.12</v>
      </c>
      <c r="M434" s="10">
        <f>IF($I434="",0,IFERROR(INDEX(Материалы!$I$2:$I$9000,MATCH($I434,Материалы!$A$2:$A$9000,0))*IF(INDEX(Материалы!$J$2:$J$9000,MATCH($I434,Материалы!$A$2:$A$9000,0))="USD",КурсUSD,IF(INDEX(Материалы!$J$2:$J$9000,MATCH($I434,Материалы!$A$2:$A$9000,0))="EUR",КурсEUR,1))*INDEX(Материалы!$K$2:$K$9000,MATCH($I434,Материалы!$A$2:$A$9000,0))*(1+IFERROR(INDEX(Работы!$I$2:$I$6000,MATCH($C434,Работы!$A$2:$A$6000,0))/100,0))*(1-ДисконтТендер),0))</f>
        <v>0</v>
      </c>
      <c r="N434" s="10">
        <f t="shared" si="18"/>
        <v>0</v>
      </c>
      <c r="O434" s="10">
        <f t="shared" si="19"/>
        <v>0</v>
      </c>
      <c r="P434" s="10">
        <f t="shared" si="20"/>
        <v>0</v>
      </c>
      <c r="Q434" t="str">
        <f>IFERROR(INDEX(Работы!$J$2:$J$6000,MATCH($C434,Работы!$A$2:$A$6000,0)),"")</f>
        <v>нетиповая</v>
      </c>
      <c r="R434" t="s">
        <v>92</v>
      </c>
      <c r="T434" t="str">
        <f>IF(AND($P434&gt;0,$R434="да"),MAX($T$1:$T433)+1,"")</f>
        <v/>
      </c>
    </row>
    <row r="435" spans="1:20" x14ac:dyDescent="0.3">
      <c r="A435" t="str">
        <f>IFERROR(INDEX(Работы!$D$2:$D$6000,MATCH($C435,Работы!$A$2:$A$6000,0)),"")</f>
        <v>Р4</v>
      </c>
      <c r="B435" t="str">
        <f>IFERROR(INDEX(Работы!$F$2:$F$6000,MATCH($C435,Работы!$A$2:$A$6000,0)),"")</f>
        <v>1</v>
      </c>
      <c r="C435" t="str">
        <f>IFERROR(INDEX(Работы!$A$2:$A$6000,434),"")</f>
        <v>РАБ.Р4.1.010</v>
      </c>
      <c r="D435" s="8" t="str">
        <f>IFERROR(INDEX(Работы!$B$2:$B$6000,MATCH($C435,Работы!$A$2:$A$6000,0)),"")</f>
        <v>Подъем материалов на крышу здания</v>
      </c>
      <c r="E435" t="str">
        <f>IFERROR(INDEX(Работы!$C$2:$C$6000,MATCH($C435,Работы!$A$2:$A$6000,0)),"")</f>
        <v>тн.</v>
      </c>
      <c r="F435">
        <f>IFERROR(INDEX(Работы!$G$2:$G$6000,MATCH($C435,Работы!$A$2:$A$6000,0)),"")</f>
        <v>0</v>
      </c>
      <c r="G435" t="str">
        <f>IFERROR(INDEX(Работы!$K$2:$K$6000,MATCH($C435,Работы!$A$2:$A$6000,0)),"")</f>
        <v>Спецификация</v>
      </c>
      <c r="H435" s="9"/>
      <c r="I435" s="9"/>
      <c r="J435" s="8" t="str">
        <f>IFERROR(INDEX(Материалы!$B$2:$B$9000,MATCH($I435,Материалы!$A$2:$A$9000,0)),"")</f>
        <v/>
      </c>
      <c r="K435" t="str">
        <f>IF($I435="","",IF($F435=IFERROR(INDEX(Материалы!$G$2:$G$9000,MATCH($I435,Материалы!$A$2:$A$9000,0)),""),"OK","!! не та группа"))</f>
        <v/>
      </c>
      <c r="L435" s="10">
        <f>IFERROR(INDEX(Работы!$H$2:$H$6000,MATCH($C435,Работы!$A$2:$A$6000,0))*(1-ДисконтТендер),0)</f>
        <v>11296.84</v>
      </c>
      <c r="M435" s="10">
        <f>IF($I435="",0,IFERROR(INDEX(Материалы!$I$2:$I$9000,MATCH($I435,Материалы!$A$2:$A$9000,0))*IF(INDEX(Материалы!$J$2:$J$9000,MATCH($I435,Материалы!$A$2:$A$9000,0))="USD",КурсUSD,IF(INDEX(Материалы!$J$2:$J$9000,MATCH($I435,Материалы!$A$2:$A$9000,0))="EUR",КурсEUR,1))*INDEX(Материалы!$K$2:$K$9000,MATCH($I435,Материалы!$A$2:$A$9000,0))*(1+IFERROR(INDEX(Работы!$I$2:$I$6000,MATCH($C435,Работы!$A$2:$A$6000,0))/100,0))*(1-ДисконтТендер),0))</f>
        <v>0</v>
      </c>
      <c r="N435" s="10">
        <f t="shared" si="18"/>
        <v>0</v>
      </c>
      <c r="O435" s="10">
        <f t="shared" si="19"/>
        <v>0</v>
      </c>
      <c r="P435" s="10">
        <f t="shared" si="20"/>
        <v>0</v>
      </c>
      <c r="Q435" t="str">
        <f>IFERROR(INDEX(Работы!$J$2:$J$6000,MATCH($C435,Работы!$A$2:$A$6000,0)),"")</f>
        <v>нетиповая</v>
      </c>
      <c r="R435" t="s">
        <v>92</v>
      </c>
      <c r="T435" t="str">
        <f>IF(AND($P435&gt;0,$R435="да"),MAX($T$1:$T434)+1,"")</f>
        <v/>
      </c>
    </row>
    <row r="436" spans="1:20" x14ac:dyDescent="0.3">
      <c r="A436" t="str">
        <f>IFERROR(INDEX(Работы!$D$2:$D$6000,MATCH($C436,Работы!$A$2:$A$6000,0)),"")</f>
        <v>Р4</v>
      </c>
      <c r="B436" t="str">
        <f>IFERROR(INDEX(Работы!$F$2:$F$6000,MATCH($C436,Работы!$A$2:$A$6000,0)),"")</f>
        <v>1</v>
      </c>
      <c r="C436" t="str">
        <f>IFERROR(INDEX(Работы!$A$2:$A$6000,435),"")</f>
        <v>РАБ.Р4.1.011</v>
      </c>
      <c r="D436" s="8" t="str">
        <f>IFERROR(INDEX(Работы!$B$2:$B$6000,MATCH($C436,Работы!$A$2:$A$6000,0)),"")</f>
        <v>Устройство фартука из оцинкованной стали</v>
      </c>
      <c r="E436" t="str">
        <f>IFERROR(INDEX(Работы!$C$2:$C$6000,MATCH($C436,Работы!$A$2:$A$6000,0)),"")</f>
        <v>м.п.</v>
      </c>
      <c r="F436">
        <f>IFERROR(INDEX(Работы!$G$2:$G$6000,MATCH($C436,Работы!$A$2:$A$6000,0)),"")</f>
        <v>0</v>
      </c>
      <c r="G436" t="str">
        <f>IFERROR(INDEX(Работы!$K$2:$K$6000,MATCH($C436,Работы!$A$2:$A$6000,0)),"")</f>
        <v>Погонаж</v>
      </c>
      <c r="H436" s="9"/>
      <c r="I436" s="9"/>
      <c r="J436" s="8" t="str">
        <f>IFERROR(INDEX(Материалы!$B$2:$B$9000,MATCH($I436,Материалы!$A$2:$A$9000,0)),"")</f>
        <v/>
      </c>
      <c r="K436" t="str">
        <f>IF($I436="","",IF($F436=IFERROR(INDEX(Материалы!$G$2:$G$9000,MATCH($I436,Материалы!$A$2:$A$9000,0)),""),"OK","!! не та группа"))</f>
        <v/>
      </c>
      <c r="L436" s="10">
        <f>IFERROR(INDEX(Работы!$H$2:$H$6000,MATCH($C436,Работы!$A$2:$A$6000,0))*(1-ДисконтТендер),0)</f>
        <v>610.74</v>
      </c>
      <c r="M436" s="10">
        <f>IF($I436="",0,IFERROR(INDEX(Материалы!$I$2:$I$9000,MATCH($I436,Материалы!$A$2:$A$9000,0))*IF(INDEX(Материалы!$J$2:$J$9000,MATCH($I436,Материалы!$A$2:$A$9000,0))="USD",КурсUSD,IF(INDEX(Материалы!$J$2:$J$9000,MATCH($I436,Материалы!$A$2:$A$9000,0))="EUR",КурсEUR,1))*INDEX(Материалы!$K$2:$K$9000,MATCH($I436,Материалы!$A$2:$A$9000,0))*(1+IFERROR(INDEX(Работы!$I$2:$I$6000,MATCH($C436,Работы!$A$2:$A$6000,0))/100,0))*(1-ДисконтТендер),0))</f>
        <v>0</v>
      </c>
      <c r="N436" s="10">
        <f t="shared" si="18"/>
        <v>0</v>
      </c>
      <c r="O436" s="10">
        <f t="shared" si="19"/>
        <v>0</v>
      </c>
      <c r="P436" s="10">
        <f t="shared" si="20"/>
        <v>0</v>
      </c>
      <c r="Q436" t="str">
        <f>IFERROR(INDEX(Работы!$J$2:$J$6000,MATCH($C436,Работы!$A$2:$A$6000,0)),"")</f>
        <v>нетиповая</v>
      </c>
      <c r="R436" t="s">
        <v>92</v>
      </c>
      <c r="T436" t="str">
        <f>IF(AND($P436&gt;0,$R436="да"),MAX($T$1:$T435)+1,"")</f>
        <v/>
      </c>
    </row>
    <row r="437" spans="1:20" ht="28.8" x14ac:dyDescent="0.3">
      <c r="A437" t="str">
        <f>IFERROR(INDEX(Работы!$D$2:$D$6000,MATCH($C437,Работы!$A$2:$A$6000,0)),"")</f>
        <v>Р4</v>
      </c>
      <c r="B437" t="str">
        <f>IFERROR(INDEX(Работы!$F$2:$F$6000,MATCH($C437,Работы!$A$2:$A$6000,0)),"")</f>
        <v>1</v>
      </c>
      <c r="C437" t="str">
        <f>IFERROR(INDEX(Работы!$A$2:$A$6000,436),"")</f>
        <v>РАБ.Р4.1.012</v>
      </c>
      <c r="D437" s="8" t="str">
        <f>IFERROR(INDEX(Работы!$B$2:$B$6000,MATCH($C437,Работы!$A$2:$A$6000,0)),"")</f>
        <v>Устройство эл подогрева воронок и кровли вокруг низ не менее 1 п.м от воронки</v>
      </c>
      <c r="E437" t="str">
        <f>IFERROR(INDEX(Работы!$C$2:$C$6000,MATCH($C437,Работы!$A$2:$A$6000,0)),"")</f>
        <v>компл.</v>
      </c>
      <c r="F437">
        <f>IFERROR(INDEX(Работы!$G$2:$G$6000,MATCH($C437,Работы!$A$2:$A$6000,0)),"")</f>
        <v>0</v>
      </c>
      <c r="G437" t="str">
        <f>IFERROR(INDEX(Работы!$K$2:$K$6000,MATCH($C437,Работы!$A$2:$A$6000,0)),"")</f>
        <v>S_фасад</v>
      </c>
      <c r="H437" s="9"/>
      <c r="I437" s="9"/>
      <c r="J437" s="8" t="str">
        <f>IFERROR(INDEX(Материалы!$B$2:$B$9000,MATCH($I437,Материалы!$A$2:$A$9000,0)),"")</f>
        <v/>
      </c>
      <c r="K437" t="str">
        <f>IF($I437="","",IF($F437=IFERROR(INDEX(Материалы!$G$2:$G$9000,MATCH($I437,Материалы!$A$2:$A$9000,0)),""),"OK","!! не та группа"))</f>
        <v/>
      </c>
      <c r="L437" s="10">
        <f>IFERROR(INDEX(Работы!$H$2:$H$6000,MATCH($C437,Работы!$A$2:$A$6000,0))*(1-ДисконтТендер),0)</f>
        <v>12325.63</v>
      </c>
      <c r="M437" s="10">
        <f>IF($I437="",0,IFERROR(INDEX(Материалы!$I$2:$I$9000,MATCH($I437,Материалы!$A$2:$A$9000,0))*IF(INDEX(Материалы!$J$2:$J$9000,MATCH($I437,Материалы!$A$2:$A$9000,0))="USD",КурсUSD,IF(INDEX(Материалы!$J$2:$J$9000,MATCH($I437,Материалы!$A$2:$A$9000,0))="EUR",КурсEUR,1))*INDEX(Материалы!$K$2:$K$9000,MATCH($I437,Материалы!$A$2:$A$9000,0))*(1+IFERROR(INDEX(Работы!$I$2:$I$6000,MATCH($C437,Работы!$A$2:$A$6000,0))/100,0))*(1-ДисконтТендер),0))</f>
        <v>0</v>
      </c>
      <c r="N437" s="10">
        <f t="shared" si="18"/>
        <v>0</v>
      </c>
      <c r="O437" s="10">
        <f t="shared" si="19"/>
        <v>0</v>
      </c>
      <c r="P437" s="10">
        <f t="shared" si="20"/>
        <v>0</v>
      </c>
      <c r="Q437" t="str">
        <f>IFERROR(INDEX(Работы!$J$2:$J$6000,MATCH($C437,Работы!$A$2:$A$6000,0)),"")</f>
        <v>нетиповая</v>
      </c>
      <c r="R437" t="s">
        <v>92</v>
      </c>
      <c r="T437" t="str">
        <f>IF(AND($P437&gt;0,$R437="да"),MAX($T$1:$T436)+1,"")</f>
        <v/>
      </c>
    </row>
    <row r="438" spans="1:20" ht="43.2" x14ac:dyDescent="0.3">
      <c r="A438" t="str">
        <f>IFERROR(INDEX(Работы!$D$2:$D$6000,MATCH($C438,Работы!$A$2:$A$6000,0)),"")</f>
        <v>Р4</v>
      </c>
      <c r="B438" t="str">
        <f>IFERROR(INDEX(Работы!$F$2:$F$6000,MATCH($C438,Работы!$A$2:$A$6000,0)),"")</f>
        <v>2</v>
      </c>
      <c r="C438" t="str">
        <f>IFERROR(INDEX(Работы!$A$2:$A$6000,437),"")</f>
        <v>РАБ.Р4.2.001</v>
      </c>
      <c r="D438" s="8" t="str">
        <f>IFERROR(INDEX(Работы!$B$2:$B$6000,MATCH($C438,Работы!$A$2:$A$6000,0)),"")</f>
        <v>Устройство основания под штукатурку из металлической сетки по кирпичным и бетонным поверхностям</v>
      </c>
      <c r="E438" t="str">
        <f>IFERROR(INDEX(Работы!$C$2:$C$6000,MATCH($C438,Работы!$A$2:$A$6000,0)),"")</f>
        <v>м2</v>
      </c>
      <c r="F438">
        <f>IFERROR(INDEX(Работы!$G$2:$G$6000,MATCH($C438,Работы!$A$2:$A$6000,0)),"")</f>
        <v>0</v>
      </c>
      <c r="G438" t="str">
        <f>IFERROR(INDEX(Работы!$K$2:$K$6000,MATCH($C438,Работы!$A$2:$A$6000,0)),"")</f>
        <v>S_поверхность</v>
      </c>
      <c r="H438" s="9"/>
      <c r="I438" s="9"/>
      <c r="J438" s="8" t="str">
        <f>IFERROR(INDEX(Материалы!$B$2:$B$9000,MATCH($I438,Материалы!$A$2:$A$9000,0)),"")</f>
        <v/>
      </c>
      <c r="K438" t="str">
        <f>IF($I438="","",IF($F438=IFERROR(INDEX(Материалы!$G$2:$G$9000,MATCH($I438,Материалы!$A$2:$A$9000,0)),""),"OK","!! не та группа"))</f>
        <v/>
      </c>
      <c r="L438" s="10">
        <f>IFERROR(INDEX(Работы!$H$2:$H$6000,MATCH($C438,Работы!$A$2:$A$6000,0))*(1-ДисконтТендер),0)</f>
        <v>339.3</v>
      </c>
      <c r="M438" s="10">
        <f>IF($I438="",0,IFERROR(INDEX(Материалы!$I$2:$I$9000,MATCH($I438,Материалы!$A$2:$A$9000,0))*IF(INDEX(Материалы!$J$2:$J$9000,MATCH($I438,Материалы!$A$2:$A$9000,0))="USD",КурсUSD,IF(INDEX(Материалы!$J$2:$J$9000,MATCH($I438,Материалы!$A$2:$A$9000,0))="EUR",КурсEUR,1))*INDEX(Материалы!$K$2:$K$9000,MATCH($I438,Материалы!$A$2:$A$9000,0))*(1+IFERROR(INDEX(Работы!$I$2:$I$6000,MATCH($C438,Работы!$A$2:$A$6000,0))/100,0))*(1-ДисконтТендер),0))</f>
        <v>0</v>
      </c>
      <c r="N438" s="10">
        <f t="shared" si="18"/>
        <v>0</v>
      </c>
      <c r="O438" s="10">
        <f t="shared" si="19"/>
        <v>0</v>
      </c>
      <c r="P438" s="10">
        <f t="shared" si="20"/>
        <v>0</v>
      </c>
      <c r="Q438" t="str">
        <f>IFERROR(INDEX(Работы!$J$2:$J$6000,MATCH($C438,Работы!$A$2:$A$6000,0)),"")</f>
        <v>нетиповая</v>
      </c>
      <c r="R438" t="s">
        <v>92</v>
      </c>
      <c r="T438" t="str">
        <f>IF(AND($P438&gt;0,$R438="да"),MAX($T$1:$T437)+1,"")</f>
        <v/>
      </c>
    </row>
    <row r="439" spans="1:20" ht="43.2" x14ac:dyDescent="0.3">
      <c r="A439" t="str">
        <f>IFERROR(INDEX(Работы!$D$2:$D$6000,MATCH($C439,Работы!$A$2:$A$6000,0)),"")</f>
        <v>Р4</v>
      </c>
      <c r="B439" t="str">
        <f>IFERROR(INDEX(Работы!$F$2:$F$6000,MATCH($C439,Работы!$A$2:$A$6000,0)),"")</f>
        <v>2</v>
      </c>
      <c r="C439" t="str">
        <f>IFERROR(INDEX(Работы!$A$2:$A$6000,438),"")</f>
        <v>РАБ.Р4.2.002</v>
      </c>
      <c r="D439" s="8" t="str">
        <f>IFERROR(INDEX(Работы!$B$2:$B$6000,MATCH($C439,Работы!$A$2:$A$6000,0)),"")</f>
        <v>Штукатурка фасада по сетке морозоустройчивыми смесями с устройством "рисунка" согласно архитектуры фасада здания</v>
      </c>
      <c r="E439" t="str">
        <f>IFERROR(INDEX(Работы!$C$2:$C$6000,MATCH($C439,Работы!$A$2:$A$6000,0)),"")</f>
        <v>м2</v>
      </c>
      <c r="F439">
        <f>IFERROR(INDEX(Работы!$G$2:$G$6000,MATCH($C439,Работы!$A$2:$A$6000,0)),"")</f>
        <v>0</v>
      </c>
      <c r="G439" t="str">
        <f>IFERROR(INDEX(Работы!$K$2:$K$6000,MATCH($C439,Работы!$A$2:$A$6000,0)),"")</f>
        <v>S_поверхность</v>
      </c>
      <c r="H439" s="9"/>
      <c r="I439" s="9"/>
      <c r="J439" s="8" t="str">
        <f>IFERROR(INDEX(Материалы!$B$2:$B$9000,MATCH($I439,Материалы!$A$2:$A$9000,0)),"")</f>
        <v/>
      </c>
      <c r="K439" t="str">
        <f>IF($I439="","",IF($F439=IFERROR(INDEX(Материалы!$G$2:$G$9000,MATCH($I439,Материалы!$A$2:$A$9000,0)),""),"OK","!! не та группа"))</f>
        <v/>
      </c>
      <c r="L439" s="10">
        <f>IFERROR(INDEX(Работы!$H$2:$H$6000,MATCH($C439,Работы!$A$2:$A$6000,0))*(1-ДисконтТендер),0)</f>
        <v>1000</v>
      </c>
      <c r="M439" s="10">
        <f>IF($I439="",0,IFERROR(INDEX(Материалы!$I$2:$I$9000,MATCH($I439,Материалы!$A$2:$A$9000,0))*IF(INDEX(Материалы!$J$2:$J$9000,MATCH($I439,Материалы!$A$2:$A$9000,0))="USD",КурсUSD,IF(INDEX(Материалы!$J$2:$J$9000,MATCH($I439,Материалы!$A$2:$A$9000,0))="EUR",КурсEUR,1))*INDEX(Материалы!$K$2:$K$9000,MATCH($I439,Материалы!$A$2:$A$9000,0))*(1+IFERROR(INDEX(Работы!$I$2:$I$6000,MATCH($C439,Работы!$A$2:$A$6000,0))/100,0))*(1-ДисконтТендер),0))</f>
        <v>0</v>
      </c>
      <c r="N439" s="10">
        <f t="shared" si="18"/>
        <v>0</v>
      </c>
      <c r="O439" s="10">
        <f t="shared" si="19"/>
        <v>0</v>
      </c>
      <c r="P439" s="10">
        <f t="shared" si="20"/>
        <v>0</v>
      </c>
      <c r="Q439" t="str">
        <f>IFERROR(INDEX(Работы!$J$2:$J$6000,MATCH($C439,Работы!$A$2:$A$6000,0)),"")</f>
        <v>нетиповая</v>
      </c>
      <c r="R439" t="s">
        <v>92</v>
      </c>
      <c r="T439" t="str">
        <f>IF(AND($P439&gt;0,$R439="да"),MAX($T$1:$T438)+1,"")</f>
        <v/>
      </c>
    </row>
    <row r="440" spans="1:20" ht="43.2" x14ac:dyDescent="0.3">
      <c r="A440" t="str">
        <f>IFERROR(INDEX(Работы!$D$2:$D$6000,MATCH($C440,Работы!$A$2:$A$6000,0)),"")</f>
        <v>Р4</v>
      </c>
      <c r="B440" t="str">
        <f>IFERROR(INDEX(Работы!$F$2:$F$6000,MATCH($C440,Работы!$A$2:$A$6000,0)),"")</f>
        <v>2</v>
      </c>
      <c r="C440" t="str">
        <f>IFERROR(INDEX(Работы!$A$2:$A$6000,439),"")</f>
        <v>РАБ.Р4.2.003</v>
      </c>
      <c r="D440" s="8" t="str">
        <f>IFERROR(INDEX(Работы!$B$2:$B$6000,MATCH($C440,Работы!$A$2:$A$6000,0)),"")</f>
        <v>Ремонт штукатурки гладких фасадов по камню и бетону цементно-известковым раствором толщиной слоя до 20 мм</v>
      </c>
      <c r="E440" t="str">
        <f>IFERROR(INDEX(Работы!$C$2:$C$6000,MATCH($C440,Работы!$A$2:$A$6000,0)),"")</f>
        <v>м2</v>
      </c>
      <c r="F440">
        <f>IFERROR(INDEX(Работы!$G$2:$G$6000,MATCH($C440,Работы!$A$2:$A$6000,0)),"")</f>
        <v>0</v>
      </c>
      <c r="G440" t="str">
        <f>IFERROR(INDEX(Работы!$K$2:$K$6000,MATCH($C440,Работы!$A$2:$A$6000,0)),"")</f>
        <v>S_поверхность</v>
      </c>
      <c r="H440" s="9"/>
      <c r="I440" s="9"/>
      <c r="J440" s="8" t="str">
        <f>IFERROR(INDEX(Материалы!$B$2:$B$9000,MATCH($I440,Материалы!$A$2:$A$9000,0)),"")</f>
        <v/>
      </c>
      <c r="K440" t="str">
        <f>IF($I440="","",IF($F440=IFERROR(INDEX(Материалы!$G$2:$G$9000,MATCH($I440,Материалы!$A$2:$A$9000,0)),""),"OK","!! не та группа"))</f>
        <v/>
      </c>
      <c r="L440" s="10">
        <f>IFERROR(INDEX(Работы!$H$2:$H$6000,MATCH($C440,Работы!$A$2:$A$6000,0))*(1-ДисконтТендер),0)</f>
        <v>761.21</v>
      </c>
      <c r="M440" s="10">
        <f>IF($I440="",0,IFERROR(INDEX(Материалы!$I$2:$I$9000,MATCH($I440,Материалы!$A$2:$A$9000,0))*IF(INDEX(Материалы!$J$2:$J$9000,MATCH($I440,Материалы!$A$2:$A$9000,0))="USD",КурсUSD,IF(INDEX(Материалы!$J$2:$J$9000,MATCH($I440,Материалы!$A$2:$A$9000,0))="EUR",КурсEUR,1))*INDEX(Материалы!$K$2:$K$9000,MATCH($I440,Материалы!$A$2:$A$9000,0))*(1+IFERROR(INDEX(Работы!$I$2:$I$6000,MATCH($C440,Работы!$A$2:$A$6000,0))/100,0))*(1-ДисконтТендер),0))</f>
        <v>0</v>
      </c>
      <c r="N440" s="10">
        <f t="shared" si="18"/>
        <v>0</v>
      </c>
      <c r="O440" s="10">
        <f t="shared" si="19"/>
        <v>0</v>
      </c>
      <c r="P440" s="10">
        <f t="shared" si="20"/>
        <v>0</v>
      </c>
      <c r="Q440" t="str">
        <f>IFERROR(INDEX(Работы!$J$2:$J$6000,MATCH($C440,Работы!$A$2:$A$6000,0)),"")</f>
        <v>нетиповая</v>
      </c>
      <c r="R440" t="s">
        <v>92</v>
      </c>
      <c r="T440" t="str">
        <f>IF(AND($P440&gt;0,$R440="да"),MAX($T$1:$T439)+1,"")</f>
        <v/>
      </c>
    </row>
    <row r="441" spans="1:20" ht="28.8" x14ac:dyDescent="0.3">
      <c r="A441" t="str">
        <f>IFERROR(INDEX(Работы!$D$2:$D$6000,MATCH($C441,Работы!$A$2:$A$6000,0)),"")</f>
        <v>Р4</v>
      </c>
      <c r="B441" t="str">
        <f>IFERROR(INDEX(Работы!$F$2:$F$6000,MATCH($C441,Работы!$A$2:$A$6000,0)),"")</f>
        <v>2</v>
      </c>
      <c r="C441" t="str">
        <f>IFERROR(INDEX(Работы!$A$2:$A$6000,440),"")</f>
        <v>РАБ.Р4.2.004</v>
      </c>
      <c r="D441" s="8" t="str">
        <f>IFERROR(INDEX(Работы!$B$2:$B$6000,MATCH($C441,Работы!$A$2:$A$6000,0)),"")</f>
        <v>Частичный ремонт фасада (расшивка и заделка трещин на штукарке, шпатлевка выбоин, сколов)</v>
      </c>
      <c r="E441" t="str">
        <f>IFERROR(INDEX(Работы!$C$2:$C$6000,MATCH($C441,Работы!$A$2:$A$6000,0)),"")</f>
        <v>м2</v>
      </c>
      <c r="F441">
        <f>IFERROR(INDEX(Работы!$G$2:$G$6000,MATCH($C441,Работы!$A$2:$A$6000,0)),"")</f>
        <v>0</v>
      </c>
      <c r="G441" t="str">
        <f>IFERROR(INDEX(Работы!$K$2:$K$6000,MATCH($C441,Работы!$A$2:$A$6000,0)),"")</f>
        <v>S_поверхность</v>
      </c>
      <c r="H441" s="9"/>
      <c r="I441" s="9"/>
      <c r="J441" s="8" t="str">
        <f>IFERROR(INDEX(Материалы!$B$2:$B$9000,MATCH($I441,Материалы!$A$2:$A$9000,0)),"")</f>
        <v/>
      </c>
      <c r="K441" t="str">
        <f>IF($I441="","",IF($F441=IFERROR(INDEX(Материалы!$G$2:$G$9000,MATCH($I441,Материалы!$A$2:$A$9000,0)),""),"OK","!! не та группа"))</f>
        <v/>
      </c>
      <c r="L441" s="10">
        <f>IFERROR(INDEX(Работы!$H$2:$H$6000,MATCH($C441,Работы!$A$2:$A$6000,0))*(1-ДисконтТендер),0)</f>
        <v>762.08</v>
      </c>
      <c r="M441" s="10">
        <f>IF($I441="",0,IFERROR(INDEX(Материалы!$I$2:$I$9000,MATCH($I441,Материалы!$A$2:$A$9000,0))*IF(INDEX(Материалы!$J$2:$J$9000,MATCH($I441,Материалы!$A$2:$A$9000,0))="USD",КурсUSD,IF(INDEX(Материалы!$J$2:$J$9000,MATCH($I441,Материалы!$A$2:$A$9000,0))="EUR",КурсEUR,1))*INDEX(Материалы!$K$2:$K$9000,MATCH($I441,Материалы!$A$2:$A$9000,0))*(1+IFERROR(INDEX(Работы!$I$2:$I$6000,MATCH($C441,Работы!$A$2:$A$6000,0))/100,0))*(1-ДисконтТендер),0))</f>
        <v>0</v>
      </c>
      <c r="N441" s="10">
        <f t="shared" si="18"/>
        <v>0</v>
      </c>
      <c r="O441" s="10">
        <f t="shared" si="19"/>
        <v>0</v>
      </c>
      <c r="P441" s="10">
        <f t="shared" si="20"/>
        <v>0</v>
      </c>
      <c r="Q441" t="str">
        <f>IFERROR(INDEX(Работы!$J$2:$J$6000,MATCH($C441,Работы!$A$2:$A$6000,0)),"")</f>
        <v>нетиповая</v>
      </c>
      <c r="R441" t="s">
        <v>92</v>
      </c>
      <c r="T441" t="str">
        <f>IF(AND($P441&gt;0,$R441="да"),MAX($T$1:$T440)+1,"")</f>
        <v/>
      </c>
    </row>
    <row r="442" spans="1:20" ht="28.8" x14ac:dyDescent="0.3">
      <c r="A442" t="str">
        <f>IFERROR(INDEX(Работы!$D$2:$D$6000,MATCH($C442,Работы!$A$2:$A$6000,0)),"")</f>
        <v>Р4</v>
      </c>
      <c r="B442" t="str">
        <f>IFERROR(INDEX(Работы!$F$2:$F$6000,MATCH($C442,Работы!$A$2:$A$6000,0)),"")</f>
        <v>2</v>
      </c>
      <c r="C442" t="str">
        <f>IFERROR(INDEX(Работы!$A$2:$A$6000,441),"")</f>
        <v>РАБ.Р4.2.005</v>
      </c>
      <c r="D442" s="8" t="str">
        <f>IFERROR(INDEX(Работы!$B$2:$B$6000,MATCH($C442,Работы!$A$2:$A$6000,0)),"")</f>
        <v>Грунтовка фасада глубопроникающей грунтовкой за два раза</v>
      </c>
      <c r="E442" t="str">
        <f>IFERROR(INDEX(Работы!$C$2:$C$6000,MATCH($C442,Работы!$A$2:$A$6000,0)),"")</f>
        <v>м2</v>
      </c>
      <c r="F442">
        <f>IFERROR(INDEX(Работы!$G$2:$G$6000,MATCH($C442,Работы!$A$2:$A$6000,0)),"")</f>
        <v>0</v>
      </c>
      <c r="G442" t="str">
        <f>IFERROR(INDEX(Работы!$K$2:$K$6000,MATCH($C442,Работы!$A$2:$A$6000,0)),"")</f>
        <v>S_поверхность</v>
      </c>
      <c r="H442" s="9"/>
      <c r="I442" s="9"/>
      <c r="J442" s="8" t="str">
        <f>IFERROR(INDEX(Материалы!$B$2:$B$9000,MATCH($I442,Материалы!$A$2:$A$9000,0)),"")</f>
        <v/>
      </c>
      <c r="K442" t="str">
        <f>IF($I442="","",IF($F442=IFERROR(INDEX(Материалы!$G$2:$G$9000,MATCH($I442,Материалы!$A$2:$A$9000,0)),""),"OK","!! не та группа"))</f>
        <v/>
      </c>
      <c r="L442" s="10">
        <f>IFERROR(INDEX(Работы!$H$2:$H$6000,MATCH($C442,Работы!$A$2:$A$6000,0))*(1-ДисконтТендер),0)</f>
        <v>75.2</v>
      </c>
      <c r="M442" s="10">
        <f>IF($I442="",0,IFERROR(INDEX(Материалы!$I$2:$I$9000,MATCH($I442,Материалы!$A$2:$A$9000,0))*IF(INDEX(Материалы!$J$2:$J$9000,MATCH($I442,Материалы!$A$2:$A$9000,0))="USD",КурсUSD,IF(INDEX(Материалы!$J$2:$J$9000,MATCH($I442,Материалы!$A$2:$A$9000,0))="EUR",КурсEUR,1))*INDEX(Материалы!$K$2:$K$9000,MATCH($I442,Материалы!$A$2:$A$9000,0))*(1+IFERROR(INDEX(Работы!$I$2:$I$6000,MATCH($C442,Работы!$A$2:$A$6000,0))/100,0))*(1-ДисконтТендер),0))</f>
        <v>0</v>
      </c>
      <c r="N442" s="10">
        <f t="shared" si="18"/>
        <v>0</v>
      </c>
      <c r="O442" s="10">
        <f t="shared" si="19"/>
        <v>0</v>
      </c>
      <c r="P442" s="10">
        <f t="shared" si="20"/>
        <v>0</v>
      </c>
      <c r="Q442" t="str">
        <f>IFERROR(INDEX(Работы!$J$2:$J$6000,MATCH($C442,Работы!$A$2:$A$6000,0)),"")</f>
        <v>нетиповая</v>
      </c>
      <c r="R442" t="s">
        <v>92</v>
      </c>
      <c r="T442" t="str">
        <f>IF(AND($P442&gt;0,$R442="да"),MAX($T$1:$T441)+1,"")</f>
        <v/>
      </c>
    </row>
    <row r="443" spans="1:20" x14ac:dyDescent="0.3">
      <c r="A443" t="str">
        <f>IFERROR(INDEX(Работы!$D$2:$D$6000,MATCH($C443,Работы!$A$2:$A$6000,0)),"")</f>
        <v>Р4</v>
      </c>
      <c r="B443" t="str">
        <f>IFERROR(INDEX(Работы!$F$2:$F$6000,MATCH($C443,Работы!$A$2:$A$6000,0)),"")</f>
        <v>2</v>
      </c>
      <c r="C443" t="str">
        <f>IFERROR(INDEX(Работы!$A$2:$A$6000,442),"")</f>
        <v>РАБ.Р4.2.006</v>
      </c>
      <c r="D443" s="8" t="str">
        <f>IFERROR(INDEX(Работы!$B$2:$B$6000,MATCH($C443,Работы!$A$2:$A$6000,0)),"")</f>
        <v>Шпатлевка фасада смесями Vetonit VH</v>
      </c>
      <c r="E443" t="str">
        <f>IFERROR(INDEX(Работы!$C$2:$C$6000,MATCH($C443,Работы!$A$2:$A$6000,0)),"")</f>
        <v>м2</v>
      </c>
      <c r="F443">
        <f>IFERROR(INDEX(Работы!$G$2:$G$6000,MATCH($C443,Работы!$A$2:$A$6000,0)),"")</f>
        <v>0</v>
      </c>
      <c r="G443" t="str">
        <f>IFERROR(INDEX(Работы!$K$2:$K$6000,MATCH($C443,Работы!$A$2:$A$6000,0)),"")</f>
        <v>S_поверхность</v>
      </c>
      <c r="H443" s="9"/>
      <c r="I443" s="9"/>
      <c r="J443" s="8" t="str">
        <f>IFERROR(INDEX(Материалы!$B$2:$B$9000,MATCH($I443,Материалы!$A$2:$A$9000,0)),"")</f>
        <v/>
      </c>
      <c r="K443" t="str">
        <f>IF($I443="","",IF($F443=IFERROR(INDEX(Материалы!$G$2:$G$9000,MATCH($I443,Материалы!$A$2:$A$9000,0)),""),"OK","!! не та группа"))</f>
        <v/>
      </c>
      <c r="L443" s="10">
        <f>IFERROR(INDEX(Работы!$H$2:$H$6000,MATCH($C443,Работы!$A$2:$A$6000,0))*(1-ДисконтТендер),0)</f>
        <v>763.82</v>
      </c>
      <c r="M443" s="10">
        <f>IF($I443="",0,IFERROR(INDEX(Материалы!$I$2:$I$9000,MATCH($I443,Материалы!$A$2:$A$9000,0))*IF(INDEX(Материалы!$J$2:$J$9000,MATCH($I443,Материалы!$A$2:$A$9000,0))="USD",КурсUSD,IF(INDEX(Материалы!$J$2:$J$9000,MATCH($I443,Материалы!$A$2:$A$9000,0))="EUR",КурсEUR,1))*INDEX(Материалы!$K$2:$K$9000,MATCH($I443,Материалы!$A$2:$A$9000,0))*(1+IFERROR(INDEX(Работы!$I$2:$I$6000,MATCH($C443,Работы!$A$2:$A$6000,0))/100,0))*(1-ДисконтТендер),0))</f>
        <v>0</v>
      </c>
      <c r="N443" s="10">
        <f t="shared" si="18"/>
        <v>0</v>
      </c>
      <c r="O443" s="10">
        <f t="shared" si="19"/>
        <v>0</v>
      </c>
      <c r="P443" s="10">
        <f t="shared" si="20"/>
        <v>0</v>
      </c>
      <c r="Q443" t="str">
        <f>IFERROR(INDEX(Работы!$J$2:$J$6000,MATCH($C443,Работы!$A$2:$A$6000,0)),"")</f>
        <v>нетиповая</v>
      </c>
      <c r="R443" t="s">
        <v>92</v>
      </c>
      <c r="T443" t="str">
        <f>IF(AND($P443&gt;0,$R443="да"),MAX($T$1:$T442)+1,"")</f>
        <v/>
      </c>
    </row>
    <row r="444" spans="1:20" x14ac:dyDescent="0.3">
      <c r="A444" t="str">
        <f>IFERROR(INDEX(Работы!$D$2:$D$6000,MATCH($C444,Работы!$A$2:$A$6000,0)),"")</f>
        <v>Р4</v>
      </c>
      <c r="B444" t="str">
        <f>IFERROR(INDEX(Работы!$F$2:$F$6000,MATCH($C444,Работы!$A$2:$A$6000,0)),"")</f>
        <v>2</v>
      </c>
      <c r="C444" t="str">
        <f>IFERROR(INDEX(Работы!$A$2:$A$6000,443),"")</f>
        <v>РАБ.Р4.2.007</v>
      </c>
      <c r="D444" s="8" t="str">
        <f>IFERROR(INDEX(Работы!$B$2:$B$6000,MATCH($C444,Работы!$A$2:$A$6000,0)),"")</f>
        <v>Окраска поверхности</v>
      </c>
      <c r="E444" t="str">
        <f>IFERROR(INDEX(Работы!$C$2:$C$6000,MATCH($C444,Работы!$A$2:$A$6000,0)),"")</f>
        <v>м2</v>
      </c>
      <c r="F444" t="str">
        <f>IFERROR(INDEX(Работы!$G$2:$G$6000,MATCH($C444,Работы!$A$2:$A$6000,0)),"")</f>
        <v>КРАСКА</v>
      </c>
      <c r="G444" t="str">
        <f>IFERROR(INDEX(Работы!$K$2:$K$6000,MATCH($C444,Работы!$A$2:$A$6000,0)),"")</f>
        <v>S_поверхность</v>
      </c>
      <c r="H444" s="9"/>
      <c r="I444" s="9"/>
      <c r="J444" s="8" t="str">
        <f>IFERROR(INDEX(Материалы!$B$2:$B$9000,MATCH($I444,Материалы!$A$2:$A$9000,0)),"")</f>
        <v/>
      </c>
      <c r="K444" t="str">
        <f>IF($I444="","",IF($F444=IFERROR(INDEX(Материалы!$G$2:$G$9000,MATCH($I444,Материалы!$A$2:$A$9000,0)),""),"OK","!! не та группа"))</f>
        <v/>
      </c>
      <c r="L444" s="10">
        <f>IFERROR(INDEX(Работы!$H$2:$H$6000,MATCH($C444,Работы!$A$2:$A$6000,0))*(1-ДисконтТендер),0)</f>
        <v>746.46</v>
      </c>
      <c r="M444" s="10">
        <f>IF($I444="",0,IFERROR(INDEX(Материалы!$I$2:$I$9000,MATCH($I444,Материалы!$A$2:$A$9000,0))*IF(INDEX(Материалы!$J$2:$J$9000,MATCH($I444,Материалы!$A$2:$A$9000,0))="USD",КурсUSD,IF(INDEX(Материалы!$J$2:$J$9000,MATCH($I444,Материалы!$A$2:$A$9000,0))="EUR",КурсEUR,1))*INDEX(Материалы!$K$2:$K$9000,MATCH($I444,Материалы!$A$2:$A$9000,0))*(1+IFERROR(INDEX(Работы!$I$2:$I$6000,MATCH($C444,Работы!$A$2:$A$6000,0))/100,0))*(1-ДисконтТендер),0))</f>
        <v>0</v>
      </c>
      <c r="N444" s="10">
        <f t="shared" si="18"/>
        <v>0</v>
      </c>
      <c r="O444" s="10">
        <f t="shared" si="19"/>
        <v>0</v>
      </c>
      <c r="P444" s="10">
        <f t="shared" si="20"/>
        <v>0</v>
      </c>
      <c r="Q444" t="str">
        <f>IFERROR(INDEX(Работы!$J$2:$J$6000,MATCH($C444,Работы!$A$2:$A$6000,0)),"")</f>
        <v>нетиповая</v>
      </c>
      <c r="R444" t="s">
        <v>92</v>
      </c>
      <c r="T444" t="str">
        <f>IF(AND($P444&gt;0,$R444="да"),MAX($T$1:$T443)+1,"")</f>
        <v/>
      </c>
    </row>
    <row r="445" spans="1:20" x14ac:dyDescent="0.3">
      <c r="A445" t="str">
        <f>IFERROR(INDEX(Работы!$D$2:$D$6000,MATCH($C445,Работы!$A$2:$A$6000,0)),"")</f>
        <v>Р4</v>
      </c>
      <c r="B445" t="str">
        <f>IFERROR(INDEX(Работы!$F$2:$F$6000,MATCH($C445,Работы!$A$2:$A$6000,0)),"")</f>
        <v>2</v>
      </c>
      <c r="C445" t="str">
        <f>IFERROR(INDEX(Работы!$A$2:$A$6000,444),"")</f>
        <v>РАБ.Р4.2.008</v>
      </c>
      <c r="D445" s="8" t="str">
        <f>IFERROR(INDEX(Работы!$B$2:$B$6000,MATCH($C445,Работы!$A$2:$A$6000,0)),"")</f>
        <v>Установка и разборка лесов</v>
      </c>
      <c r="E445" t="str">
        <f>IFERROR(INDEX(Работы!$C$2:$C$6000,MATCH($C445,Работы!$A$2:$A$6000,0)),"")</f>
        <v>м2</v>
      </c>
      <c r="F445">
        <f>IFERROR(INDEX(Работы!$G$2:$G$6000,MATCH($C445,Работы!$A$2:$A$6000,0)),"")</f>
        <v>0</v>
      </c>
      <c r="G445" t="str">
        <f>IFERROR(INDEX(Работы!$K$2:$K$6000,MATCH($C445,Работы!$A$2:$A$6000,0)),"")</f>
        <v>Спецификация</v>
      </c>
      <c r="H445" s="9"/>
      <c r="I445" s="9"/>
      <c r="J445" s="8" t="str">
        <f>IFERROR(INDEX(Материалы!$B$2:$B$9000,MATCH($I445,Материалы!$A$2:$A$9000,0)),"")</f>
        <v/>
      </c>
      <c r="K445" t="str">
        <f>IF($I445="","",IF($F445=IFERROR(INDEX(Материалы!$G$2:$G$9000,MATCH($I445,Материалы!$A$2:$A$9000,0)),""),"OK","!! не та группа"))</f>
        <v/>
      </c>
      <c r="L445" s="10">
        <f>IFERROR(INDEX(Работы!$H$2:$H$6000,MATCH($C445,Работы!$A$2:$A$6000,0))*(1-ДисконтТендер),0)</f>
        <v>475.02</v>
      </c>
      <c r="M445" s="10">
        <f>IF($I445="",0,IFERROR(INDEX(Материалы!$I$2:$I$9000,MATCH($I445,Материалы!$A$2:$A$9000,0))*IF(INDEX(Материалы!$J$2:$J$9000,MATCH($I445,Материалы!$A$2:$A$9000,0))="USD",КурсUSD,IF(INDEX(Материалы!$J$2:$J$9000,MATCH($I445,Материалы!$A$2:$A$9000,0))="EUR",КурсEUR,1))*INDEX(Материалы!$K$2:$K$9000,MATCH($I445,Материалы!$A$2:$A$9000,0))*(1+IFERROR(INDEX(Работы!$I$2:$I$6000,MATCH($C445,Работы!$A$2:$A$6000,0))/100,0))*(1-ДисконтТендер),0))</f>
        <v>0</v>
      </c>
      <c r="N445" s="10">
        <f t="shared" si="18"/>
        <v>0</v>
      </c>
      <c r="O445" s="10">
        <f t="shared" si="19"/>
        <v>0</v>
      </c>
      <c r="P445" s="10">
        <f t="shared" si="20"/>
        <v>0</v>
      </c>
      <c r="Q445" t="str">
        <f>IFERROR(INDEX(Работы!$J$2:$J$6000,MATCH($C445,Работы!$A$2:$A$6000,0)),"")</f>
        <v>нетиповая</v>
      </c>
      <c r="R445" t="s">
        <v>92</v>
      </c>
      <c r="T445" t="str">
        <f>IF(AND($P445&gt;0,$R445="да"),MAX($T$1:$T444)+1,"")</f>
        <v/>
      </c>
    </row>
    <row r="446" spans="1:20" ht="28.8" x14ac:dyDescent="0.3">
      <c r="A446" t="str">
        <f>IFERROR(INDEX(Работы!$D$2:$D$6000,MATCH($C446,Работы!$A$2:$A$6000,0)),"")</f>
        <v>Р4</v>
      </c>
      <c r="B446" t="str">
        <f>IFERROR(INDEX(Работы!$F$2:$F$6000,MATCH($C446,Работы!$A$2:$A$6000,0)),"")</f>
        <v>2</v>
      </c>
      <c r="C446" t="str">
        <f>IFERROR(INDEX(Работы!$A$2:$A$6000,445),"")</f>
        <v>РАБ.Р4.2.009</v>
      </c>
      <c r="D446" s="8" t="str">
        <f>IFERROR(INDEX(Работы!$B$2:$B$6000,MATCH($C446,Работы!$A$2:$A$6000,0)),"")</f>
        <v>Монтаж фасада из композитных панелей "Алюкобонд" с подсистемой без утеплителя</v>
      </c>
      <c r="E446" t="str">
        <f>IFERROR(INDEX(Работы!$C$2:$C$6000,MATCH($C446,Работы!$A$2:$A$6000,0)),"")</f>
        <v>м2</v>
      </c>
      <c r="F446">
        <f>IFERROR(INDEX(Работы!$G$2:$G$6000,MATCH($C446,Работы!$A$2:$A$6000,0)),"")</f>
        <v>0</v>
      </c>
      <c r="G446" t="str">
        <f>IFERROR(INDEX(Работы!$K$2:$K$6000,MATCH($C446,Работы!$A$2:$A$6000,0)),"")</f>
        <v>S_поверхность</v>
      </c>
      <c r="H446" s="9"/>
      <c r="I446" s="9"/>
      <c r="J446" s="8" t="str">
        <f>IFERROR(INDEX(Материалы!$B$2:$B$9000,MATCH($I446,Материалы!$A$2:$A$9000,0)),"")</f>
        <v/>
      </c>
      <c r="K446" t="str">
        <f>IF($I446="","",IF($F446=IFERROR(INDEX(Материалы!$G$2:$G$9000,MATCH($I446,Материалы!$A$2:$A$9000,0)),""),"OK","!! не та группа"))</f>
        <v/>
      </c>
      <c r="L446" s="10">
        <f>IFERROR(INDEX(Работы!$H$2:$H$6000,MATCH($C446,Работы!$A$2:$A$6000,0))*(1-ДисконтТендер),0)</f>
        <v>4500</v>
      </c>
      <c r="M446" s="10">
        <f>IF($I446="",0,IFERROR(INDEX(Материалы!$I$2:$I$9000,MATCH($I446,Материалы!$A$2:$A$9000,0))*IF(INDEX(Материалы!$J$2:$J$9000,MATCH($I446,Материалы!$A$2:$A$9000,0))="USD",КурсUSD,IF(INDEX(Материалы!$J$2:$J$9000,MATCH($I446,Материалы!$A$2:$A$9000,0))="EUR",КурсEUR,1))*INDEX(Материалы!$K$2:$K$9000,MATCH($I446,Материалы!$A$2:$A$9000,0))*(1+IFERROR(INDEX(Работы!$I$2:$I$6000,MATCH($C446,Работы!$A$2:$A$6000,0))/100,0))*(1-ДисконтТендер),0))</f>
        <v>0</v>
      </c>
      <c r="N446" s="10">
        <f t="shared" si="18"/>
        <v>0</v>
      </c>
      <c r="O446" s="10">
        <f t="shared" si="19"/>
        <v>0</v>
      </c>
      <c r="P446" s="10">
        <f t="shared" si="20"/>
        <v>0</v>
      </c>
      <c r="Q446" t="str">
        <f>IFERROR(INDEX(Работы!$J$2:$J$6000,MATCH($C446,Работы!$A$2:$A$6000,0)),"")</f>
        <v>нетиповая</v>
      </c>
      <c r="R446" t="s">
        <v>92</v>
      </c>
      <c r="T446" t="str">
        <f>IF(AND($P446&gt;0,$R446="да"),MAX($T$1:$T445)+1,"")</f>
        <v/>
      </c>
    </row>
    <row r="447" spans="1:20" ht="57.6" x14ac:dyDescent="0.3">
      <c r="A447" t="str">
        <f>IFERROR(INDEX(Работы!$D$2:$D$6000,MATCH($C447,Работы!$A$2:$A$6000,0)),"")</f>
        <v>Р4</v>
      </c>
      <c r="B447" t="str">
        <f>IFERROR(INDEX(Работы!$F$2:$F$6000,MATCH($C447,Работы!$A$2:$A$6000,0)),"")</f>
        <v>2</v>
      </c>
      <c r="C447" t="str">
        <f>IFERROR(INDEX(Работы!$A$2:$A$6000,446),"")</f>
        <v>РАБ.Р4.2.010</v>
      </c>
      <c r="D447" s="8" t="str">
        <f>IFERROR(INDEX(Работы!$B$2:$B$6000,MATCH($C447,Работы!$A$2:$A$6000,0)),"")</f>
        <v>Монтаж фасада из композитных панелей "Алюкобонд" с подсистемой с утеплителем 100 мм. и ветровлагозащиткая мембраной (негорючая).</v>
      </c>
      <c r="E447" t="str">
        <f>IFERROR(INDEX(Работы!$C$2:$C$6000,MATCH($C447,Работы!$A$2:$A$6000,0)),"")</f>
        <v>м2</v>
      </c>
      <c r="F447">
        <f>IFERROR(INDEX(Работы!$G$2:$G$6000,MATCH($C447,Работы!$A$2:$A$6000,0)),"")</f>
        <v>0</v>
      </c>
      <c r="G447" t="str">
        <f>IFERROR(INDEX(Работы!$K$2:$K$6000,MATCH($C447,Работы!$A$2:$A$6000,0)),"")</f>
        <v>S_поверхность</v>
      </c>
      <c r="H447" s="9"/>
      <c r="I447" s="9"/>
      <c r="J447" s="8" t="str">
        <f>IFERROR(INDEX(Материалы!$B$2:$B$9000,MATCH($I447,Материалы!$A$2:$A$9000,0)),"")</f>
        <v/>
      </c>
      <c r="K447" t="str">
        <f>IF($I447="","",IF($F447=IFERROR(INDEX(Материалы!$G$2:$G$9000,MATCH($I447,Материалы!$A$2:$A$9000,0)),""),"OK","!! не та группа"))</f>
        <v/>
      </c>
      <c r="L447" s="10">
        <f>IFERROR(INDEX(Работы!$H$2:$H$6000,MATCH($C447,Работы!$A$2:$A$6000,0))*(1-ДисконтТендер),0)</f>
        <v>5500</v>
      </c>
      <c r="M447" s="10">
        <f>IF($I447="",0,IFERROR(INDEX(Материалы!$I$2:$I$9000,MATCH($I447,Материалы!$A$2:$A$9000,0))*IF(INDEX(Материалы!$J$2:$J$9000,MATCH($I447,Материалы!$A$2:$A$9000,0))="USD",КурсUSD,IF(INDEX(Материалы!$J$2:$J$9000,MATCH($I447,Материалы!$A$2:$A$9000,0))="EUR",КурсEUR,1))*INDEX(Материалы!$K$2:$K$9000,MATCH($I447,Материалы!$A$2:$A$9000,0))*(1+IFERROR(INDEX(Работы!$I$2:$I$6000,MATCH($C447,Работы!$A$2:$A$6000,0))/100,0))*(1-ДисконтТендер),0))</f>
        <v>0</v>
      </c>
      <c r="N447" s="10">
        <f t="shared" si="18"/>
        <v>0</v>
      </c>
      <c r="O447" s="10">
        <f t="shared" si="19"/>
        <v>0</v>
      </c>
      <c r="P447" s="10">
        <f t="shared" si="20"/>
        <v>0</v>
      </c>
      <c r="Q447" t="str">
        <f>IFERROR(INDEX(Работы!$J$2:$J$6000,MATCH($C447,Работы!$A$2:$A$6000,0)),"")</f>
        <v>нетиповая</v>
      </c>
      <c r="R447" t="s">
        <v>92</v>
      </c>
      <c r="T447" t="str">
        <f>IF(AND($P447&gt;0,$R447="да"),MAX($T$1:$T446)+1,"")</f>
        <v/>
      </c>
    </row>
    <row r="448" spans="1:20" ht="28.8" x14ac:dyDescent="0.3">
      <c r="A448" t="str">
        <f>IFERROR(INDEX(Работы!$D$2:$D$6000,MATCH($C448,Работы!$A$2:$A$6000,0)),"")</f>
        <v>Р4</v>
      </c>
      <c r="B448" t="str">
        <f>IFERROR(INDEX(Работы!$F$2:$F$6000,MATCH($C448,Работы!$A$2:$A$6000,0)),"")</f>
        <v>2</v>
      </c>
      <c r="C448" t="str">
        <f>IFERROR(INDEX(Работы!$A$2:$A$6000,447),"")</f>
        <v>РАБ.Р4.2.011</v>
      </c>
      <c r="D448" s="8" t="str">
        <f>IFERROR(INDEX(Работы!$B$2:$B$6000,MATCH($C448,Работы!$A$2:$A$6000,0)),"")</f>
        <v>Монтаж фасада из кассетного профиля (оцинкованный лист окрашенный) без утеплителя</v>
      </c>
      <c r="E448" t="str">
        <f>IFERROR(INDEX(Работы!$C$2:$C$6000,MATCH($C448,Работы!$A$2:$A$6000,0)),"")</f>
        <v>м2</v>
      </c>
      <c r="F448" t="str">
        <f>IFERROR(INDEX(Работы!$G$2:$G$6000,MATCH($C448,Работы!$A$2:$A$6000,0)),"")</f>
        <v>КРАСКА</v>
      </c>
      <c r="G448" t="str">
        <f>IFERROR(INDEX(Работы!$K$2:$K$6000,MATCH($C448,Работы!$A$2:$A$6000,0)),"")</f>
        <v>S_поверхность</v>
      </c>
      <c r="H448" s="9"/>
      <c r="I448" s="9"/>
      <c r="J448" s="8" t="str">
        <f>IFERROR(INDEX(Материалы!$B$2:$B$9000,MATCH($I448,Материалы!$A$2:$A$9000,0)),"")</f>
        <v/>
      </c>
      <c r="K448" t="str">
        <f>IF($I448="","",IF($F448=IFERROR(INDEX(Материалы!$G$2:$G$9000,MATCH($I448,Материалы!$A$2:$A$9000,0)),""),"OK","!! не та группа"))</f>
        <v/>
      </c>
      <c r="L448" s="10">
        <f>IFERROR(INDEX(Работы!$H$2:$H$6000,MATCH($C448,Работы!$A$2:$A$6000,0))*(1-ДисконтТендер),0)</f>
        <v>3393</v>
      </c>
      <c r="M448" s="10">
        <f>IF($I448="",0,IFERROR(INDEX(Материалы!$I$2:$I$9000,MATCH($I448,Материалы!$A$2:$A$9000,0))*IF(INDEX(Материалы!$J$2:$J$9000,MATCH($I448,Материалы!$A$2:$A$9000,0))="USD",КурсUSD,IF(INDEX(Материалы!$J$2:$J$9000,MATCH($I448,Материалы!$A$2:$A$9000,0))="EUR",КурсEUR,1))*INDEX(Материалы!$K$2:$K$9000,MATCH($I448,Материалы!$A$2:$A$9000,0))*(1+IFERROR(INDEX(Работы!$I$2:$I$6000,MATCH($C448,Работы!$A$2:$A$6000,0))/100,0))*(1-ДисконтТендер),0))</f>
        <v>0</v>
      </c>
      <c r="N448" s="10">
        <f t="shared" si="18"/>
        <v>0</v>
      </c>
      <c r="O448" s="10">
        <f t="shared" si="19"/>
        <v>0</v>
      </c>
      <c r="P448" s="10">
        <f t="shared" si="20"/>
        <v>0</v>
      </c>
      <c r="Q448" t="str">
        <f>IFERROR(INDEX(Работы!$J$2:$J$6000,MATCH($C448,Работы!$A$2:$A$6000,0)),"")</f>
        <v>нетиповая</v>
      </c>
      <c r="R448" t="s">
        <v>92</v>
      </c>
      <c r="T448" t="str">
        <f>IF(AND($P448&gt;0,$R448="да"),MAX($T$1:$T447)+1,"")</f>
        <v/>
      </c>
    </row>
    <row r="449" spans="1:20" ht="28.8" x14ac:dyDescent="0.3">
      <c r="A449" t="str">
        <f>IFERROR(INDEX(Работы!$D$2:$D$6000,MATCH($C449,Работы!$A$2:$A$6000,0)),"")</f>
        <v>Р4</v>
      </c>
      <c r="B449" t="str">
        <f>IFERROR(INDEX(Работы!$F$2:$F$6000,MATCH($C449,Работы!$A$2:$A$6000,0)),"")</f>
        <v>2</v>
      </c>
      <c r="C449" t="str">
        <f>IFERROR(INDEX(Работы!$A$2:$A$6000,448),"")</f>
        <v>РАБ.Р4.2.012</v>
      </c>
      <c r="D449" s="8" t="str">
        <f>IFERROR(INDEX(Работы!$B$2:$B$6000,MATCH($C449,Работы!$A$2:$A$6000,0)),"")</f>
        <v>Монтаж фасада из кассетного профиля (оцинкованный лист окрашенный) с утеплением</v>
      </c>
      <c r="E449" t="str">
        <f>IFERROR(INDEX(Работы!$C$2:$C$6000,MATCH($C449,Работы!$A$2:$A$6000,0)),"")</f>
        <v>м2</v>
      </c>
      <c r="F449" t="str">
        <f>IFERROR(INDEX(Работы!$G$2:$G$6000,MATCH($C449,Работы!$A$2:$A$6000,0)),"")</f>
        <v>КРАСКА</v>
      </c>
      <c r="G449" t="str">
        <f>IFERROR(INDEX(Работы!$K$2:$K$6000,MATCH($C449,Работы!$A$2:$A$6000,0)),"")</f>
        <v>S_поверхность</v>
      </c>
      <c r="H449" s="9"/>
      <c r="I449" s="9"/>
      <c r="J449" s="8" t="str">
        <f>IFERROR(INDEX(Материалы!$B$2:$B$9000,MATCH($I449,Материалы!$A$2:$A$9000,0)),"")</f>
        <v/>
      </c>
      <c r="K449" t="str">
        <f>IF($I449="","",IF($F449=IFERROR(INDEX(Материалы!$G$2:$G$9000,MATCH($I449,Материалы!$A$2:$A$9000,0)),""),"OK","!! не та группа"))</f>
        <v/>
      </c>
      <c r="L449" s="10">
        <f>IFERROR(INDEX(Работы!$H$2:$H$6000,MATCH($C449,Работы!$A$2:$A$6000,0))*(1-ДисконтТендер),0)</f>
        <v>4071.6</v>
      </c>
      <c r="M449" s="10">
        <f>IF($I449="",0,IFERROR(INDEX(Материалы!$I$2:$I$9000,MATCH($I449,Материалы!$A$2:$A$9000,0))*IF(INDEX(Материалы!$J$2:$J$9000,MATCH($I449,Материалы!$A$2:$A$9000,0))="USD",КурсUSD,IF(INDEX(Материалы!$J$2:$J$9000,MATCH($I449,Материалы!$A$2:$A$9000,0))="EUR",КурсEUR,1))*INDEX(Материалы!$K$2:$K$9000,MATCH($I449,Материалы!$A$2:$A$9000,0))*(1+IFERROR(INDEX(Работы!$I$2:$I$6000,MATCH($C449,Работы!$A$2:$A$6000,0))/100,0))*(1-ДисконтТендер),0))</f>
        <v>0</v>
      </c>
      <c r="N449" s="10">
        <f t="shared" si="18"/>
        <v>0</v>
      </c>
      <c r="O449" s="10">
        <f t="shared" si="19"/>
        <v>0</v>
      </c>
      <c r="P449" s="10">
        <f t="shared" si="20"/>
        <v>0</v>
      </c>
      <c r="Q449" t="str">
        <f>IFERROR(INDEX(Работы!$J$2:$J$6000,MATCH($C449,Работы!$A$2:$A$6000,0)),"")</f>
        <v>нетиповая</v>
      </c>
      <c r="R449" t="s">
        <v>92</v>
      </c>
      <c r="T449" t="str">
        <f>IF(AND($P449&gt;0,$R449="да"),MAX($T$1:$T448)+1,"")</f>
        <v/>
      </c>
    </row>
    <row r="450" spans="1:20" ht="28.8" x14ac:dyDescent="0.3">
      <c r="A450" t="str">
        <f>IFERROR(INDEX(Работы!$D$2:$D$6000,MATCH($C450,Работы!$A$2:$A$6000,0)),"")</f>
        <v>Р4</v>
      </c>
      <c r="B450" t="str">
        <f>IFERROR(INDEX(Работы!$F$2:$F$6000,MATCH($C450,Работы!$A$2:$A$6000,0)),"")</f>
        <v>2</v>
      </c>
      <c r="C450" t="str">
        <f>IFERROR(INDEX(Работы!$A$2:$A$6000,449),"")</f>
        <v>РАБ.Р4.2.013</v>
      </c>
      <c r="D450" s="8" t="str">
        <f>IFERROR(INDEX(Работы!$B$2:$B$6000,MATCH($C450,Работы!$A$2:$A$6000,0)),"")</f>
        <v>Изоляция покрытий теплоизоляционными матами URSA</v>
      </c>
      <c r="E450" t="str">
        <f>IFERROR(INDEX(Работы!$C$2:$C$6000,MATCH($C450,Работы!$A$2:$A$6000,0)),"")</f>
        <v>м3</v>
      </c>
      <c r="F450">
        <f>IFERROR(INDEX(Работы!$G$2:$G$6000,MATCH($C450,Работы!$A$2:$A$6000,0)),"")</f>
        <v>0</v>
      </c>
      <c r="G450" t="str">
        <f>IFERROR(INDEX(Работы!$K$2:$K$6000,MATCH($C450,Работы!$A$2:$A$6000,0)),"")</f>
        <v>Расчёт</v>
      </c>
      <c r="H450" s="9"/>
      <c r="I450" s="9"/>
      <c r="J450" s="8" t="str">
        <f>IFERROR(INDEX(Материалы!$B$2:$B$9000,MATCH($I450,Материалы!$A$2:$A$9000,0)),"")</f>
        <v/>
      </c>
      <c r="K450" t="str">
        <f>IF($I450="","",IF($F450=IFERROR(INDEX(Материалы!$G$2:$G$9000,MATCH($I450,Материалы!$A$2:$A$9000,0)),""),"OK","!! не та группа"))</f>
        <v/>
      </c>
      <c r="L450" s="10">
        <f>IFERROR(INDEX(Работы!$H$2:$H$6000,MATCH($C450,Работы!$A$2:$A$6000,0))*(1-ДисконтТендер),0)</f>
        <v>3725.76</v>
      </c>
      <c r="M450" s="10">
        <f>IF($I450="",0,IFERROR(INDEX(Материалы!$I$2:$I$9000,MATCH($I450,Материалы!$A$2:$A$9000,0))*IF(INDEX(Материалы!$J$2:$J$9000,MATCH($I450,Материалы!$A$2:$A$9000,0))="USD",КурсUSD,IF(INDEX(Материалы!$J$2:$J$9000,MATCH($I450,Материалы!$A$2:$A$9000,0))="EUR",КурсEUR,1))*INDEX(Материалы!$K$2:$K$9000,MATCH($I450,Материалы!$A$2:$A$9000,0))*(1+IFERROR(INDEX(Работы!$I$2:$I$6000,MATCH($C450,Работы!$A$2:$A$6000,0))/100,0))*(1-ДисконтТендер),0))</f>
        <v>0</v>
      </c>
      <c r="N450" s="10">
        <f t="shared" ref="N450:N513" si="21">IF(AND($R450="да",$H450&lt;&gt;""),ROUND($H450*$L450,2),0)</f>
        <v>0</v>
      </c>
      <c r="O450" s="10">
        <f t="shared" ref="O450:O513" si="22">IF(AND($R450="да",$H450&lt;&gt;""),ROUND($H450*$M450,2),0)</f>
        <v>0</v>
      </c>
      <c r="P450" s="10">
        <f t="shared" ref="P450:P513" si="23">$N450+$O450</f>
        <v>0</v>
      </c>
      <c r="Q450" t="str">
        <f>IFERROR(INDEX(Работы!$J$2:$J$6000,MATCH($C450,Работы!$A$2:$A$6000,0)),"")</f>
        <v>нетиповая</v>
      </c>
      <c r="R450" t="s">
        <v>92</v>
      </c>
      <c r="T450" t="str">
        <f>IF(AND($P450&gt;0,$R450="да"),MAX($T$1:$T449)+1,"")</f>
        <v/>
      </c>
    </row>
    <row r="451" spans="1:20" ht="72" x14ac:dyDescent="0.3">
      <c r="A451" t="str">
        <f>IFERROR(INDEX(Работы!$D$2:$D$6000,MATCH($C451,Работы!$A$2:$A$6000,0)),"")</f>
        <v>Р4</v>
      </c>
      <c r="B451" t="str">
        <f>IFERROR(INDEX(Работы!$F$2:$F$6000,MATCH($C451,Работы!$A$2:$A$6000,0)),"")</f>
        <v>2</v>
      </c>
      <c r="C451" t="str">
        <f>IFERROR(INDEX(Работы!$A$2:$A$6000,450),"")</f>
        <v>РАБ.Р4.2.014</v>
      </c>
      <c r="D451" s="8" t="str">
        <f>IFERROR(INDEX(Работы!$B$2:$B$6000,MATCH($C451,Работы!$A$2:$A$6000,0)),"")</f>
        <v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v>
      </c>
      <c r="E451" t="str">
        <f>IFERROR(INDEX(Работы!$C$2:$C$6000,MATCH($C451,Работы!$A$2:$A$6000,0)),"")</f>
        <v>м2</v>
      </c>
      <c r="F451">
        <f>IFERROR(INDEX(Работы!$G$2:$G$6000,MATCH($C451,Работы!$A$2:$A$6000,0)),"")</f>
        <v>0</v>
      </c>
      <c r="G451" t="str">
        <f>IFERROR(INDEX(Работы!$K$2:$K$6000,MATCH($C451,Работы!$A$2:$A$6000,0)),"")</f>
        <v>S_фасад</v>
      </c>
      <c r="H451" s="9"/>
      <c r="I451" s="9"/>
      <c r="J451" s="8" t="str">
        <f>IFERROR(INDEX(Материалы!$B$2:$B$9000,MATCH($I451,Материалы!$A$2:$A$9000,0)),"")</f>
        <v/>
      </c>
      <c r="K451" t="str">
        <f>IF($I451="","",IF($F451=IFERROR(INDEX(Материалы!$G$2:$G$9000,MATCH($I451,Материалы!$A$2:$A$9000,0)),""),"OK","!! не та группа"))</f>
        <v/>
      </c>
      <c r="L451" s="10">
        <f>IFERROR(INDEX(Работы!$H$2:$H$6000,MATCH($C451,Работы!$A$2:$A$6000,0))*(1-ДисконтТендер),0)</f>
        <v>3500</v>
      </c>
      <c r="M451" s="10">
        <f>IF($I451="",0,IFERROR(INDEX(Материалы!$I$2:$I$9000,MATCH($I451,Материалы!$A$2:$A$9000,0))*IF(INDEX(Материалы!$J$2:$J$9000,MATCH($I451,Материалы!$A$2:$A$9000,0))="USD",КурсUSD,IF(INDEX(Материалы!$J$2:$J$9000,MATCH($I451,Материалы!$A$2:$A$9000,0))="EUR",КурсEUR,1))*INDEX(Материалы!$K$2:$K$9000,MATCH($I451,Материалы!$A$2:$A$9000,0))*(1+IFERROR(INDEX(Работы!$I$2:$I$6000,MATCH($C451,Работы!$A$2:$A$6000,0))/100,0))*(1-ДисконтТендер),0))</f>
        <v>0</v>
      </c>
      <c r="N451" s="10">
        <f t="shared" si="21"/>
        <v>0</v>
      </c>
      <c r="O451" s="10">
        <f t="shared" si="22"/>
        <v>0</v>
      </c>
      <c r="P451" s="10">
        <f t="shared" si="23"/>
        <v>0</v>
      </c>
      <c r="Q451" t="str">
        <f>IFERROR(INDEX(Работы!$J$2:$J$6000,MATCH($C451,Работы!$A$2:$A$6000,0)),"")</f>
        <v>нетиповая</v>
      </c>
      <c r="R451" t="s">
        <v>92</v>
      </c>
      <c r="T451" t="str">
        <f>IF(AND($P451&gt;0,$R451="да"),MAX($T$1:$T450)+1,"")</f>
        <v/>
      </c>
    </row>
    <row r="452" spans="1:20" ht="43.2" x14ac:dyDescent="0.3">
      <c r="A452" t="str">
        <f>IFERROR(INDEX(Работы!$D$2:$D$6000,MATCH($C452,Работы!$A$2:$A$6000,0)),"")</f>
        <v>Р4</v>
      </c>
      <c r="B452" t="str">
        <f>IFERROR(INDEX(Работы!$F$2:$F$6000,MATCH($C452,Работы!$A$2:$A$6000,0)),"")</f>
        <v>2</v>
      </c>
      <c r="C452" t="str">
        <f>IFERROR(INDEX(Работы!$A$2:$A$6000,451),"")</f>
        <v>РАБ.Р4.2.015</v>
      </c>
      <c r="D452" s="8" t="str">
        <f>IFERROR(INDEX(Работы!$B$2:$B$6000,MATCH($C452,Работы!$A$2:$A$6000,0)),"")</f>
        <v>Облицовка оконных и дверных откосов планкой из оцинкованной стали с полимерным покрытием с устройством водоотлива и наличником.</v>
      </c>
      <c r="E452" t="str">
        <f>IFERROR(INDEX(Работы!$C$2:$C$6000,MATCH($C452,Работы!$A$2:$A$6000,0)),"")</f>
        <v>м2</v>
      </c>
      <c r="F452">
        <f>IFERROR(INDEX(Работы!$G$2:$G$6000,MATCH($C452,Работы!$A$2:$A$6000,0)),"")</f>
        <v>0</v>
      </c>
      <c r="G452" t="str">
        <f>IFERROR(INDEX(Работы!$K$2:$K$6000,MATCH($C452,Работы!$A$2:$A$6000,0)),"")</f>
        <v>S_пол</v>
      </c>
      <c r="H452" s="9"/>
      <c r="I452" s="9"/>
      <c r="J452" s="8" t="str">
        <f>IFERROR(INDEX(Материалы!$B$2:$B$9000,MATCH($I452,Материалы!$A$2:$A$9000,0)),"")</f>
        <v/>
      </c>
      <c r="K452" t="str">
        <f>IF($I452="","",IF($F452=IFERROR(INDEX(Материалы!$G$2:$G$9000,MATCH($I452,Материалы!$A$2:$A$9000,0)),""),"OK","!! не та группа"))</f>
        <v/>
      </c>
      <c r="L452" s="10">
        <f>IFERROR(INDEX(Работы!$H$2:$H$6000,MATCH($C452,Работы!$A$2:$A$6000,0))*(1-ДисконтТендер),0)</f>
        <v>771.65</v>
      </c>
      <c r="M452" s="10">
        <f>IF($I452="",0,IFERROR(INDEX(Материалы!$I$2:$I$9000,MATCH($I452,Материалы!$A$2:$A$9000,0))*IF(INDEX(Материалы!$J$2:$J$9000,MATCH($I452,Материалы!$A$2:$A$9000,0))="USD",КурсUSD,IF(INDEX(Материалы!$J$2:$J$9000,MATCH($I452,Материалы!$A$2:$A$9000,0))="EUR",КурсEUR,1))*INDEX(Материалы!$K$2:$K$9000,MATCH($I452,Материалы!$A$2:$A$9000,0))*(1+IFERROR(INDEX(Работы!$I$2:$I$6000,MATCH($C452,Работы!$A$2:$A$6000,0))/100,0))*(1-ДисконтТендер),0))</f>
        <v>0</v>
      </c>
      <c r="N452" s="10">
        <f t="shared" si="21"/>
        <v>0</v>
      </c>
      <c r="O452" s="10">
        <f t="shared" si="22"/>
        <v>0</v>
      </c>
      <c r="P452" s="10">
        <f t="shared" si="23"/>
        <v>0</v>
      </c>
      <c r="Q452" t="str">
        <f>IFERROR(INDEX(Работы!$J$2:$J$6000,MATCH($C452,Работы!$A$2:$A$6000,0)),"")</f>
        <v>нетиповая</v>
      </c>
      <c r="R452" t="s">
        <v>92</v>
      </c>
      <c r="T452" t="str">
        <f>IF(AND($P452&gt;0,$R452="да"),MAX($T$1:$T451)+1,"")</f>
        <v/>
      </c>
    </row>
    <row r="453" spans="1:20" x14ac:dyDescent="0.3">
      <c r="A453" t="str">
        <f>IFERROR(INDEX(Работы!$D$2:$D$6000,MATCH($C453,Работы!$A$2:$A$6000,0)),"")</f>
        <v>Р4</v>
      </c>
      <c r="B453" t="str">
        <f>IFERROR(INDEX(Работы!$F$2:$F$6000,MATCH($C453,Работы!$A$2:$A$6000,0)),"")</f>
        <v>2</v>
      </c>
      <c r="C453" t="str">
        <f>IFERROR(INDEX(Работы!$A$2:$A$6000,452),"")</f>
        <v>РАБ.Р4.2.016</v>
      </c>
      <c r="D453" s="8" t="str">
        <f>IFERROR(INDEX(Работы!$B$2:$B$6000,MATCH($C453,Работы!$A$2:$A$6000,0)),"")</f>
        <v>Устройство пароизоляции</v>
      </c>
      <c r="E453" t="str">
        <f>IFERROR(INDEX(Работы!$C$2:$C$6000,MATCH($C453,Работы!$A$2:$A$6000,0)),"")</f>
        <v>м2</v>
      </c>
      <c r="F453">
        <f>IFERROR(INDEX(Работы!$G$2:$G$6000,MATCH($C453,Работы!$A$2:$A$6000,0)),"")</f>
        <v>0</v>
      </c>
      <c r="G453" t="str">
        <f>IFERROR(INDEX(Работы!$K$2:$K$6000,MATCH($C453,Работы!$A$2:$A$6000,0)),"")</f>
        <v>S_поверхность</v>
      </c>
      <c r="H453" s="9"/>
      <c r="I453" s="9"/>
      <c r="J453" s="8" t="str">
        <f>IFERROR(INDEX(Материалы!$B$2:$B$9000,MATCH($I453,Материалы!$A$2:$A$9000,0)),"")</f>
        <v/>
      </c>
      <c r="K453" t="str">
        <f>IF($I453="","",IF($F453=IFERROR(INDEX(Материалы!$G$2:$G$9000,MATCH($I453,Материалы!$A$2:$A$9000,0)),""),"OK","!! не та группа"))</f>
        <v/>
      </c>
      <c r="L453" s="10">
        <f>IFERROR(INDEX(Работы!$H$2:$H$6000,MATCH($C453,Работы!$A$2:$A$6000,0))*(1-ДисконтТендер),0)</f>
        <v>350</v>
      </c>
      <c r="M453" s="10">
        <f>IF($I453="",0,IFERROR(INDEX(Материалы!$I$2:$I$9000,MATCH($I453,Материалы!$A$2:$A$9000,0))*IF(INDEX(Материалы!$J$2:$J$9000,MATCH($I453,Материалы!$A$2:$A$9000,0))="USD",КурсUSD,IF(INDEX(Материалы!$J$2:$J$9000,MATCH($I453,Материалы!$A$2:$A$9000,0))="EUR",КурсEUR,1))*INDEX(Материалы!$K$2:$K$9000,MATCH($I453,Материалы!$A$2:$A$9000,0))*(1+IFERROR(INDEX(Работы!$I$2:$I$6000,MATCH($C453,Работы!$A$2:$A$6000,0))/100,0))*(1-ДисконтТендер),0))</f>
        <v>0</v>
      </c>
      <c r="N453" s="10">
        <f t="shared" si="21"/>
        <v>0</v>
      </c>
      <c r="O453" s="10">
        <f t="shared" si="22"/>
        <v>0</v>
      </c>
      <c r="P453" s="10">
        <f t="shared" si="23"/>
        <v>0</v>
      </c>
      <c r="Q453" t="str">
        <f>IFERROR(INDEX(Работы!$J$2:$J$6000,MATCH($C453,Работы!$A$2:$A$6000,0)),"")</f>
        <v>нетиповая</v>
      </c>
      <c r="R453" t="s">
        <v>92</v>
      </c>
      <c r="T453" t="str">
        <f>IF(AND($P453&gt;0,$R453="да"),MAX($T$1:$T452)+1,"")</f>
        <v/>
      </c>
    </row>
    <row r="454" spans="1:20" ht="28.8" x14ac:dyDescent="0.3">
      <c r="A454" t="str">
        <f>IFERROR(INDEX(Работы!$D$2:$D$6000,MATCH($C454,Работы!$A$2:$A$6000,0)),"")</f>
        <v>Р4</v>
      </c>
      <c r="B454" t="str">
        <f>IFERROR(INDEX(Работы!$F$2:$F$6000,MATCH($C454,Работы!$A$2:$A$6000,0)),"")</f>
        <v>2</v>
      </c>
      <c r="C454" t="str">
        <f>IFERROR(INDEX(Работы!$A$2:$A$6000,453),"")</f>
        <v>РАБ.Р4.2.017</v>
      </c>
      <c r="D454" s="8" t="str">
        <f>IFERROR(INDEX(Работы!$B$2:$B$6000,MATCH($C454,Работы!$A$2:$A$6000,0)),"")</f>
        <v>Очистка фасада от пыли грязи, навесных и монтажных элементов</v>
      </c>
      <c r="E454" t="str">
        <f>IFERROR(INDEX(Работы!$C$2:$C$6000,MATCH($C454,Работы!$A$2:$A$6000,0)),"")</f>
        <v>компл.</v>
      </c>
      <c r="F454">
        <f>IFERROR(INDEX(Работы!$G$2:$G$6000,MATCH($C454,Работы!$A$2:$A$6000,0)),"")</f>
        <v>0</v>
      </c>
      <c r="G454" t="str">
        <f>IFERROR(INDEX(Работы!$K$2:$K$6000,MATCH($C454,Работы!$A$2:$A$6000,0)),"")</f>
        <v>S_фасад</v>
      </c>
      <c r="H454" s="9"/>
      <c r="I454" s="9"/>
      <c r="J454" s="8" t="str">
        <f>IFERROR(INDEX(Материалы!$B$2:$B$9000,MATCH($I454,Материалы!$A$2:$A$9000,0)),"")</f>
        <v/>
      </c>
      <c r="K454" t="str">
        <f>IF($I454="","",IF($F454=IFERROR(INDEX(Материалы!$G$2:$G$9000,MATCH($I454,Материалы!$A$2:$A$9000,0)),""),"OK","!! не та группа"))</f>
        <v/>
      </c>
      <c r="L454" s="10">
        <f>IFERROR(INDEX(Работы!$H$2:$H$6000,MATCH($C454,Работы!$A$2:$A$6000,0))*(1-ДисконтТендер),0)</f>
        <v>36442.949999999997</v>
      </c>
      <c r="M454" s="10">
        <f>IF($I454="",0,IFERROR(INDEX(Материалы!$I$2:$I$9000,MATCH($I454,Материалы!$A$2:$A$9000,0))*IF(INDEX(Материалы!$J$2:$J$9000,MATCH($I454,Материалы!$A$2:$A$9000,0))="USD",КурсUSD,IF(INDEX(Материалы!$J$2:$J$9000,MATCH($I454,Материалы!$A$2:$A$9000,0))="EUR",КурсEUR,1))*INDEX(Материалы!$K$2:$K$9000,MATCH($I454,Материалы!$A$2:$A$9000,0))*(1+IFERROR(INDEX(Работы!$I$2:$I$6000,MATCH($C454,Работы!$A$2:$A$6000,0))/100,0))*(1-ДисконтТендер),0))</f>
        <v>0</v>
      </c>
      <c r="N454" s="10">
        <f t="shared" si="21"/>
        <v>0</v>
      </c>
      <c r="O454" s="10">
        <f t="shared" si="22"/>
        <v>0</v>
      </c>
      <c r="P454" s="10">
        <f t="shared" si="23"/>
        <v>0</v>
      </c>
      <c r="Q454" t="str">
        <f>IFERROR(INDEX(Работы!$J$2:$J$6000,MATCH($C454,Работы!$A$2:$A$6000,0)),"")</f>
        <v>нетиповая</v>
      </c>
      <c r="R454" t="s">
        <v>92</v>
      </c>
      <c r="T454" t="str">
        <f>IF(AND($P454&gt;0,$R454="да"),MAX($T$1:$T453)+1,"")</f>
        <v/>
      </c>
    </row>
    <row r="455" spans="1:20" ht="28.8" x14ac:dyDescent="0.3">
      <c r="A455" t="str">
        <f>IFERROR(INDEX(Работы!$D$2:$D$6000,MATCH($C455,Работы!$A$2:$A$6000,0)),"")</f>
        <v>Р4</v>
      </c>
      <c r="B455" t="str">
        <f>IFERROR(INDEX(Работы!$F$2:$F$6000,MATCH($C455,Работы!$A$2:$A$6000,0)),"")</f>
        <v>2</v>
      </c>
      <c r="C455" t="str">
        <f>IFERROR(INDEX(Работы!$A$2:$A$6000,454),"")</f>
        <v>РАБ.Р4.2.018</v>
      </c>
      <c r="D455" s="8" t="str">
        <f>IFERROR(INDEX(Работы!$B$2:$B$6000,MATCH($C455,Работы!$A$2:$A$6000,0)),"")</f>
        <v>Облицовка ступеней крыльца керамогранитом 300х300 мм.</v>
      </c>
      <c r="E455" t="str">
        <f>IFERROR(INDEX(Работы!$C$2:$C$6000,MATCH($C455,Работы!$A$2:$A$6000,0)),"")</f>
        <v>м2</v>
      </c>
      <c r="F455">
        <f>IFERROR(INDEX(Работы!$G$2:$G$6000,MATCH($C455,Работы!$A$2:$A$6000,0)),"")</f>
        <v>0</v>
      </c>
      <c r="G455" t="str">
        <f>IFERROR(INDEX(Работы!$K$2:$K$6000,MATCH($C455,Работы!$A$2:$A$6000,0)),"")</f>
        <v>S_фасад</v>
      </c>
      <c r="H455" s="9"/>
      <c r="I455" s="9"/>
      <c r="J455" s="8" t="str">
        <f>IFERROR(INDEX(Материалы!$B$2:$B$9000,MATCH($I455,Материалы!$A$2:$A$9000,0)),"")</f>
        <v/>
      </c>
      <c r="K455" t="str">
        <f>IF($I455="","",IF($F455=IFERROR(INDEX(Материалы!$G$2:$G$9000,MATCH($I455,Материалы!$A$2:$A$9000,0)),""),"OK","!! не та группа"))</f>
        <v/>
      </c>
      <c r="L455" s="10">
        <f>IFERROR(INDEX(Работы!$H$2:$H$6000,MATCH($C455,Работы!$A$2:$A$6000,0))*(1-ДисконтТендер),0)</f>
        <v>3048.05</v>
      </c>
      <c r="M455" s="10">
        <f>IF($I455="",0,IFERROR(INDEX(Материалы!$I$2:$I$9000,MATCH($I455,Материалы!$A$2:$A$9000,0))*IF(INDEX(Материалы!$J$2:$J$9000,MATCH($I455,Материалы!$A$2:$A$9000,0))="USD",КурсUSD,IF(INDEX(Материалы!$J$2:$J$9000,MATCH($I455,Материалы!$A$2:$A$9000,0))="EUR",КурсEUR,1))*INDEX(Материалы!$K$2:$K$9000,MATCH($I455,Материалы!$A$2:$A$9000,0))*(1+IFERROR(INDEX(Работы!$I$2:$I$6000,MATCH($C455,Работы!$A$2:$A$6000,0))/100,0))*(1-ДисконтТендер),0))</f>
        <v>0</v>
      </c>
      <c r="N455" s="10">
        <f t="shared" si="21"/>
        <v>0</v>
      </c>
      <c r="O455" s="10">
        <f t="shared" si="22"/>
        <v>0</v>
      </c>
      <c r="P455" s="10">
        <f t="shared" si="23"/>
        <v>0</v>
      </c>
      <c r="Q455" t="str">
        <f>IFERROR(INDEX(Работы!$J$2:$J$6000,MATCH($C455,Работы!$A$2:$A$6000,0)),"")</f>
        <v>нетиповая</v>
      </c>
      <c r="R455" t="s">
        <v>92</v>
      </c>
      <c r="T455" t="str">
        <f>IF(AND($P455&gt;0,$R455="да"),MAX($T$1:$T454)+1,"")</f>
        <v/>
      </c>
    </row>
    <row r="456" spans="1:20" x14ac:dyDescent="0.3">
      <c r="A456" t="str">
        <f>IFERROR(INDEX(Работы!$D$2:$D$6000,MATCH($C456,Работы!$A$2:$A$6000,0)),"")</f>
        <v>Р4</v>
      </c>
      <c r="B456" t="str">
        <f>IFERROR(INDEX(Работы!$F$2:$F$6000,MATCH($C456,Работы!$A$2:$A$6000,0)),"")</f>
        <v>2</v>
      </c>
      <c r="C456" t="str">
        <f>IFERROR(INDEX(Работы!$A$2:$A$6000,455),"")</f>
        <v>РАБ.Р4.2.019</v>
      </c>
      <c r="D456" s="8" t="str">
        <f>IFERROR(INDEX(Работы!$B$2:$B$6000,MATCH($C456,Работы!$A$2:$A$6000,0)),"")</f>
        <v>Облицовка крыльца клинкерной плиткой</v>
      </c>
      <c r="E456" t="str">
        <f>IFERROR(INDEX(Работы!$C$2:$C$6000,MATCH($C456,Работы!$A$2:$A$6000,0)),"")</f>
        <v>м2</v>
      </c>
      <c r="F456">
        <f>IFERROR(INDEX(Работы!$G$2:$G$6000,MATCH($C456,Работы!$A$2:$A$6000,0)),"")</f>
        <v>0</v>
      </c>
      <c r="G456" t="str">
        <f>IFERROR(INDEX(Работы!$K$2:$K$6000,MATCH($C456,Работы!$A$2:$A$6000,0)),"")</f>
        <v>S_фасад</v>
      </c>
      <c r="H456" s="9"/>
      <c r="I456" s="9"/>
      <c r="J456" s="8" t="str">
        <f>IFERROR(INDEX(Материалы!$B$2:$B$9000,MATCH($I456,Материалы!$A$2:$A$9000,0)),"")</f>
        <v/>
      </c>
      <c r="K456" t="str">
        <f>IF($I456="","",IF($F456=IFERROR(INDEX(Материалы!$G$2:$G$9000,MATCH($I456,Материалы!$A$2:$A$9000,0)),""),"OK","!! не та группа"))</f>
        <v/>
      </c>
      <c r="L456" s="10">
        <f>IFERROR(INDEX(Работы!$H$2:$H$6000,MATCH($C456,Работы!$A$2:$A$6000,0))*(1-ДисконтТендер),0)</f>
        <v>3048</v>
      </c>
      <c r="M456" s="10">
        <f>IF($I456="",0,IFERROR(INDEX(Материалы!$I$2:$I$9000,MATCH($I456,Материалы!$A$2:$A$9000,0))*IF(INDEX(Материалы!$J$2:$J$9000,MATCH($I456,Материалы!$A$2:$A$9000,0))="USD",КурсUSD,IF(INDEX(Материалы!$J$2:$J$9000,MATCH($I456,Материалы!$A$2:$A$9000,0))="EUR",КурсEUR,1))*INDEX(Материалы!$K$2:$K$9000,MATCH($I456,Материалы!$A$2:$A$9000,0))*(1+IFERROR(INDEX(Работы!$I$2:$I$6000,MATCH($C456,Работы!$A$2:$A$6000,0))/100,0))*(1-ДисконтТендер),0))</f>
        <v>0</v>
      </c>
      <c r="N456" s="10">
        <f t="shared" si="21"/>
        <v>0</v>
      </c>
      <c r="O456" s="10">
        <f t="shared" si="22"/>
        <v>0</v>
      </c>
      <c r="P456" s="10">
        <f t="shared" si="23"/>
        <v>0</v>
      </c>
      <c r="Q456" t="str">
        <f>IFERROR(INDEX(Работы!$J$2:$J$6000,MATCH($C456,Работы!$A$2:$A$6000,0)),"")</f>
        <v>нетиповая</v>
      </c>
      <c r="R456" t="s">
        <v>92</v>
      </c>
      <c r="T456" t="str">
        <f>IF(AND($P456&gt;0,$R456="да"),MAX($T$1:$T455)+1,"")</f>
        <v/>
      </c>
    </row>
    <row r="457" spans="1:20" ht="43.2" x14ac:dyDescent="0.3">
      <c r="A457" t="str">
        <f>IFERROR(INDEX(Работы!$D$2:$D$6000,MATCH($C457,Работы!$A$2:$A$6000,0)),"")</f>
        <v>Р4</v>
      </c>
      <c r="B457" t="str">
        <f>IFERROR(INDEX(Работы!$F$2:$F$6000,MATCH($C457,Работы!$A$2:$A$6000,0)),"")</f>
        <v>2</v>
      </c>
      <c r="C457" t="str">
        <f>IFERROR(INDEX(Работы!$A$2:$A$6000,456),"")</f>
        <v>РАБ.Р4.2.020</v>
      </c>
      <c r="D457" s="8" t="str">
        <f>IFERROR(INDEX(Работы!$B$2:$B$6000,MATCH($C457,Работы!$A$2:$A$6000,0)),"")</f>
        <v>Крепление Г-образных алюминиевых с резиновой вставкой противоскользящик порогов на ступени-25*45</v>
      </c>
      <c r="E457" t="str">
        <f>IFERROR(INDEX(Работы!$C$2:$C$6000,MATCH($C457,Работы!$A$2:$A$6000,0)),"")</f>
        <v>м.п.</v>
      </c>
      <c r="F457">
        <f>IFERROR(INDEX(Работы!$G$2:$G$6000,MATCH($C457,Работы!$A$2:$A$6000,0)),"")</f>
        <v>0</v>
      </c>
      <c r="G457" t="str">
        <f>IFERROR(INDEX(Работы!$K$2:$K$6000,MATCH($C457,Работы!$A$2:$A$6000,0)),"")</f>
        <v>Погонаж</v>
      </c>
      <c r="H457" s="9"/>
      <c r="I457" s="9"/>
      <c r="J457" s="8" t="str">
        <f>IFERROR(INDEX(Материалы!$B$2:$B$9000,MATCH($I457,Материалы!$A$2:$A$9000,0)),"")</f>
        <v/>
      </c>
      <c r="K457" t="str">
        <f>IF($I457="","",IF($F457=IFERROR(INDEX(Материалы!$G$2:$G$9000,MATCH($I457,Материалы!$A$2:$A$9000,0)),""),"OK","!! не та группа"))</f>
        <v/>
      </c>
      <c r="L457" s="10">
        <f>IFERROR(INDEX(Работы!$H$2:$H$6000,MATCH($C457,Работы!$A$2:$A$6000,0))*(1-ДисконтТендер),0)</f>
        <v>451.35</v>
      </c>
      <c r="M457" s="10">
        <f>IF($I457="",0,IFERROR(INDEX(Материалы!$I$2:$I$9000,MATCH($I457,Материалы!$A$2:$A$9000,0))*IF(INDEX(Материалы!$J$2:$J$9000,MATCH($I457,Материалы!$A$2:$A$9000,0))="USD",КурсUSD,IF(INDEX(Материалы!$J$2:$J$9000,MATCH($I457,Материалы!$A$2:$A$9000,0))="EUR",КурсEUR,1))*INDEX(Материалы!$K$2:$K$9000,MATCH($I457,Материалы!$A$2:$A$9000,0))*(1+IFERROR(INDEX(Работы!$I$2:$I$6000,MATCH($C457,Работы!$A$2:$A$6000,0))/100,0))*(1-ДисконтТендер),0))</f>
        <v>0</v>
      </c>
      <c r="N457" s="10">
        <f t="shared" si="21"/>
        <v>0</v>
      </c>
      <c r="O457" s="10">
        <f t="shared" si="22"/>
        <v>0</v>
      </c>
      <c r="P457" s="10">
        <f t="shared" si="23"/>
        <v>0</v>
      </c>
      <c r="Q457" t="str">
        <f>IFERROR(INDEX(Работы!$J$2:$J$6000,MATCH($C457,Работы!$A$2:$A$6000,0)),"")</f>
        <v>нетиповая</v>
      </c>
      <c r="R457" t="s">
        <v>92</v>
      </c>
      <c r="T457" t="str">
        <f>IF(AND($P457&gt;0,$R457="да"),MAX($T$1:$T456)+1,"")</f>
        <v/>
      </c>
    </row>
    <row r="458" spans="1:20" ht="28.8" x14ac:dyDescent="0.3">
      <c r="A458" t="str">
        <f>IFERROR(INDEX(Работы!$D$2:$D$6000,MATCH($C458,Работы!$A$2:$A$6000,0)),"")</f>
        <v>Р4</v>
      </c>
      <c r="B458" t="str">
        <f>IFERROR(INDEX(Работы!$F$2:$F$6000,MATCH($C458,Работы!$A$2:$A$6000,0)),"")</f>
        <v>2</v>
      </c>
      <c r="C458" t="str">
        <f>IFERROR(INDEX(Работы!$A$2:$A$6000,457),"")</f>
        <v>РАБ.Р4.2.021</v>
      </c>
      <c r="D458" s="8" t="str">
        <f>IFERROR(INDEX(Работы!$B$2:$B$6000,MATCH($C458,Работы!$A$2:$A$6000,0)),"")</f>
        <v>Устройство козырьков на основе профтрубы (с грунтовкой и покраской) из поликарбоната</v>
      </c>
      <c r="E458" t="str">
        <f>IFERROR(INDEX(Работы!$C$2:$C$6000,MATCH($C458,Работы!$A$2:$A$6000,0)),"")</f>
        <v>м2</v>
      </c>
      <c r="F458">
        <f>IFERROR(INDEX(Работы!$G$2:$G$6000,MATCH($C458,Работы!$A$2:$A$6000,0)),"")</f>
        <v>0</v>
      </c>
      <c r="G458" t="str">
        <f>IFERROR(INDEX(Работы!$K$2:$K$6000,MATCH($C458,Работы!$A$2:$A$6000,0)),"")</f>
        <v>S_поверхность</v>
      </c>
      <c r="H458" s="9"/>
      <c r="I458" s="9"/>
      <c r="J458" s="8" t="str">
        <f>IFERROR(INDEX(Материалы!$B$2:$B$9000,MATCH($I458,Материалы!$A$2:$A$9000,0)),"")</f>
        <v/>
      </c>
      <c r="K458" t="str">
        <f>IF($I458="","",IF($F458=IFERROR(INDEX(Материалы!$G$2:$G$9000,MATCH($I458,Материалы!$A$2:$A$9000,0)),""),"OK","!! не та группа"))</f>
        <v/>
      </c>
      <c r="L458" s="10">
        <f>IFERROR(INDEX(Работы!$H$2:$H$6000,MATCH($C458,Работы!$A$2:$A$6000,0))*(1-ДисконтТендер),0)</f>
        <v>2035.8</v>
      </c>
      <c r="M458" s="10">
        <f>IF($I458="",0,IFERROR(INDEX(Материалы!$I$2:$I$9000,MATCH($I458,Материалы!$A$2:$A$9000,0))*IF(INDEX(Материалы!$J$2:$J$9000,MATCH($I458,Материалы!$A$2:$A$9000,0))="USD",КурсUSD,IF(INDEX(Материалы!$J$2:$J$9000,MATCH($I458,Материалы!$A$2:$A$9000,0))="EUR",КурсEUR,1))*INDEX(Материалы!$K$2:$K$9000,MATCH($I458,Материалы!$A$2:$A$9000,0))*(1+IFERROR(INDEX(Работы!$I$2:$I$6000,MATCH($C458,Работы!$A$2:$A$6000,0))/100,0))*(1-ДисконтТендер),0))</f>
        <v>0</v>
      </c>
      <c r="N458" s="10">
        <f t="shared" si="21"/>
        <v>0</v>
      </c>
      <c r="O458" s="10">
        <f t="shared" si="22"/>
        <v>0</v>
      </c>
      <c r="P458" s="10">
        <f t="shared" si="23"/>
        <v>0</v>
      </c>
      <c r="Q458" t="str">
        <f>IFERROR(INDEX(Работы!$J$2:$J$6000,MATCH($C458,Работы!$A$2:$A$6000,0)),"")</f>
        <v>нетиповая</v>
      </c>
      <c r="R458" t="s">
        <v>92</v>
      </c>
      <c r="T458" t="str">
        <f>IF(AND($P458&gt;0,$R458="да"),MAX($T$1:$T457)+1,"")</f>
        <v/>
      </c>
    </row>
    <row r="459" spans="1:20" x14ac:dyDescent="0.3">
      <c r="A459" t="str">
        <f>IFERROR(INDEX(Работы!$D$2:$D$6000,MATCH($C459,Работы!$A$2:$A$6000,0)),"")</f>
        <v>Р4</v>
      </c>
      <c r="B459" t="str">
        <f>IFERROR(INDEX(Работы!$F$2:$F$6000,MATCH($C459,Работы!$A$2:$A$6000,0)),"")</f>
        <v>2</v>
      </c>
      <c r="C459" t="str">
        <f>IFERROR(INDEX(Работы!$A$2:$A$6000,458),"")</f>
        <v>РАБ.Р4.2.022</v>
      </c>
      <c r="D459" s="8" t="str">
        <f>IFERROR(INDEX(Работы!$B$2:$B$6000,MATCH($C459,Работы!$A$2:$A$6000,0)),"")</f>
        <v>Монтаж ветрозащиты (пароизоляции) негорючей</v>
      </c>
      <c r="E459" t="str">
        <f>IFERROR(INDEX(Работы!$C$2:$C$6000,MATCH($C459,Работы!$A$2:$A$6000,0)),"")</f>
        <v>м.п.</v>
      </c>
      <c r="F459">
        <f>IFERROR(INDEX(Работы!$G$2:$G$6000,MATCH($C459,Работы!$A$2:$A$6000,0)),"")</f>
        <v>0</v>
      </c>
      <c r="G459" t="str">
        <f>IFERROR(INDEX(Работы!$K$2:$K$6000,MATCH($C459,Работы!$A$2:$A$6000,0)),"")</f>
        <v>Спецификация</v>
      </c>
      <c r="H459" s="9"/>
      <c r="I459" s="9"/>
      <c r="J459" s="8" t="str">
        <f>IFERROR(INDEX(Материалы!$B$2:$B$9000,MATCH($I459,Материалы!$A$2:$A$9000,0)),"")</f>
        <v/>
      </c>
      <c r="K459" t="str">
        <f>IF($I459="","",IF($F459=IFERROR(INDEX(Материалы!$G$2:$G$9000,MATCH($I459,Материалы!$A$2:$A$9000,0)),""),"OK","!! не та группа"))</f>
        <v/>
      </c>
      <c r="L459" s="10">
        <f>IFERROR(INDEX(Работы!$H$2:$H$6000,MATCH($C459,Работы!$A$2:$A$6000,0))*(1-ДисконтТендер),0)</f>
        <v>217.5</v>
      </c>
      <c r="M459" s="10">
        <f>IF($I459="",0,IFERROR(INDEX(Материалы!$I$2:$I$9000,MATCH($I459,Материалы!$A$2:$A$9000,0))*IF(INDEX(Материалы!$J$2:$J$9000,MATCH($I459,Материалы!$A$2:$A$9000,0))="USD",КурсUSD,IF(INDEX(Материалы!$J$2:$J$9000,MATCH($I459,Материалы!$A$2:$A$9000,0))="EUR",КурсEUR,1))*INDEX(Материалы!$K$2:$K$9000,MATCH($I459,Материалы!$A$2:$A$9000,0))*(1+IFERROR(INDEX(Работы!$I$2:$I$6000,MATCH($C459,Работы!$A$2:$A$6000,0))/100,0))*(1-ДисконтТендер),0))</f>
        <v>0</v>
      </c>
      <c r="N459" s="10">
        <f t="shared" si="21"/>
        <v>0</v>
      </c>
      <c r="O459" s="10">
        <f t="shared" si="22"/>
        <v>0</v>
      </c>
      <c r="P459" s="10">
        <f t="shared" si="23"/>
        <v>0</v>
      </c>
      <c r="Q459" t="str">
        <f>IFERROR(INDEX(Работы!$J$2:$J$6000,MATCH($C459,Работы!$A$2:$A$6000,0)),"")</f>
        <v>нетиповая</v>
      </c>
      <c r="R459" t="s">
        <v>92</v>
      </c>
      <c r="T459" t="str">
        <f>IF(AND($P459&gt;0,$R459="да"),MAX($T$1:$T458)+1,"")</f>
        <v/>
      </c>
    </row>
    <row r="460" spans="1:20" ht="28.8" x14ac:dyDescent="0.3">
      <c r="A460" t="str">
        <f>IFERROR(INDEX(Работы!$D$2:$D$6000,MATCH($C460,Работы!$A$2:$A$6000,0)),"")</f>
        <v>Р4</v>
      </c>
      <c r="B460" t="str">
        <f>IFERROR(INDEX(Работы!$F$2:$F$6000,MATCH($C460,Работы!$A$2:$A$6000,0)),"")</f>
        <v>2</v>
      </c>
      <c r="C460" t="str">
        <f>IFERROR(INDEX(Работы!$A$2:$A$6000,459),"")</f>
        <v>РАБ.Р4.2.023</v>
      </c>
      <c r="D460" s="8" t="str">
        <f>IFERROR(INDEX(Работы!$B$2:$B$6000,MATCH($C460,Работы!$A$2:$A$6000,0)),"")</f>
        <v>Козырёк из триплекса на подвесах, габариты 1000*1500</v>
      </c>
      <c r="E460" t="str">
        <f>IFERROR(INDEX(Работы!$C$2:$C$6000,MATCH($C460,Работы!$A$2:$A$6000,0)),"")</f>
        <v>шт.</v>
      </c>
      <c r="F460">
        <f>IFERROR(INDEX(Работы!$G$2:$G$6000,MATCH($C460,Работы!$A$2:$A$6000,0)),"")</f>
        <v>0</v>
      </c>
      <c r="G460" t="str">
        <f>IFERROR(INDEX(Работы!$K$2:$K$6000,MATCH($C460,Работы!$A$2:$A$6000,0)),"")</f>
        <v>S_фасад</v>
      </c>
      <c r="H460" s="9"/>
      <c r="I460" s="9"/>
      <c r="J460" s="8" t="str">
        <f>IFERROR(INDEX(Материалы!$B$2:$B$9000,MATCH($I460,Материалы!$A$2:$A$9000,0)),"")</f>
        <v/>
      </c>
      <c r="K460" t="str">
        <f>IF($I460="","",IF($F460=IFERROR(INDEX(Материалы!$G$2:$G$9000,MATCH($I460,Материалы!$A$2:$A$9000,0)),""),"OK","!! не та группа"))</f>
        <v/>
      </c>
      <c r="L460" s="10">
        <f>IFERROR(INDEX(Работы!$H$2:$H$6000,MATCH($C460,Работы!$A$2:$A$6000,0))*(1-ДисконтТендер),0)</f>
        <v>45000</v>
      </c>
      <c r="M460" s="10">
        <f>IF($I460="",0,IFERROR(INDEX(Материалы!$I$2:$I$9000,MATCH($I460,Материалы!$A$2:$A$9000,0))*IF(INDEX(Материалы!$J$2:$J$9000,MATCH($I460,Материалы!$A$2:$A$9000,0))="USD",КурсUSD,IF(INDEX(Материалы!$J$2:$J$9000,MATCH($I460,Материалы!$A$2:$A$9000,0))="EUR",КурсEUR,1))*INDEX(Материалы!$K$2:$K$9000,MATCH($I460,Материалы!$A$2:$A$9000,0))*(1+IFERROR(INDEX(Работы!$I$2:$I$6000,MATCH($C460,Работы!$A$2:$A$6000,0))/100,0))*(1-ДисконтТендер),0))</f>
        <v>0</v>
      </c>
      <c r="N460" s="10">
        <f t="shared" si="21"/>
        <v>0</v>
      </c>
      <c r="O460" s="10">
        <f t="shared" si="22"/>
        <v>0</v>
      </c>
      <c r="P460" s="10">
        <f t="shared" si="23"/>
        <v>0</v>
      </c>
      <c r="Q460" t="str">
        <f>IFERROR(INDEX(Работы!$J$2:$J$6000,MATCH($C460,Работы!$A$2:$A$6000,0)),"")</f>
        <v>нетиповая</v>
      </c>
      <c r="R460" t="s">
        <v>92</v>
      </c>
      <c r="T460" t="str">
        <f>IF(AND($P460&gt;0,$R460="да"),MAX($T$1:$T459)+1,"")</f>
        <v/>
      </c>
    </row>
    <row r="461" spans="1:20" ht="28.8" x14ac:dyDescent="0.3">
      <c r="A461" t="str">
        <f>IFERROR(INDEX(Работы!$D$2:$D$6000,MATCH($C461,Работы!$A$2:$A$6000,0)),"")</f>
        <v>Р4</v>
      </c>
      <c r="B461" t="str">
        <f>IFERROR(INDEX(Работы!$F$2:$F$6000,MATCH($C461,Работы!$A$2:$A$6000,0)),"")</f>
        <v>2</v>
      </c>
      <c r="C461" t="str">
        <f>IFERROR(INDEX(Работы!$A$2:$A$6000,460),"")</f>
        <v>РАБ.Р4.2.024</v>
      </c>
      <c r="D461" s="8" t="str">
        <f>IFERROR(INDEX(Работы!$B$2:$B$6000,MATCH($C461,Работы!$A$2:$A$6000,0)),"")</f>
        <v>Козырёк из триплекса на подвесах, габариты 1000*2000</v>
      </c>
      <c r="E461" t="str">
        <f>IFERROR(INDEX(Работы!$C$2:$C$6000,MATCH($C461,Работы!$A$2:$A$6000,0)),"")</f>
        <v>шт.</v>
      </c>
      <c r="F461">
        <f>IFERROR(INDEX(Работы!$G$2:$G$6000,MATCH($C461,Работы!$A$2:$A$6000,0)),"")</f>
        <v>0</v>
      </c>
      <c r="G461" t="str">
        <f>IFERROR(INDEX(Работы!$K$2:$K$6000,MATCH($C461,Работы!$A$2:$A$6000,0)),"")</f>
        <v>S_фасад</v>
      </c>
      <c r="H461" s="9"/>
      <c r="I461" s="9"/>
      <c r="J461" s="8" t="str">
        <f>IFERROR(INDEX(Материалы!$B$2:$B$9000,MATCH($I461,Материалы!$A$2:$A$9000,0)),"")</f>
        <v/>
      </c>
      <c r="K461" t="str">
        <f>IF($I461="","",IF($F461=IFERROR(INDEX(Материалы!$G$2:$G$9000,MATCH($I461,Материалы!$A$2:$A$9000,0)),""),"OK","!! не та группа"))</f>
        <v/>
      </c>
      <c r="L461" s="10">
        <f>IFERROR(INDEX(Работы!$H$2:$H$6000,MATCH($C461,Работы!$A$2:$A$6000,0))*(1-ДисконтТендер),0)</f>
        <v>53000</v>
      </c>
      <c r="M461" s="10">
        <f>IF($I461="",0,IFERROR(INDEX(Материалы!$I$2:$I$9000,MATCH($I461,Материалы!$A$2:$A$9000,0))*IF(INDEX(Материалы!$J$2:$J$9000,MATCH($I461,Материалы!$A$2:$A$9000,0))="USD",КурсUSD,IF(INDEX(Материалы!$J$2:$J$9000,MATCH($I461,Материалы!$A$2:$A$9000,0))="EUR",КурсEUR,1))*INDEX(Материалы!$K$2:$K$9000,MATCH($I461,Материалы!$A$2:$A$9000,0))*(1+IFERROR(INDEX(Работы!$I$2:$I$6000,MATCH($C461,Работы!$A$2:$A$6000,0))/100,0))*(1-ДисконтТендер),0))</f>
        <v>0</v>
      </c>
      <c r="N461" s="10">
        <f t="shared" si="21"/>
        <v>0</v>
      </c>
      <c r="O461" s="10">
        <f t="shared" si="22"/>
        <v>0</v>
      </c>
      <c r="P461" s="10">
        <f t="shared" si="23"/>
        <v>0</v>
      </c>
      <c r="Q461" t="str">
        <f>IFERROR(INDEX(Работы!$J$2:$J$6000,MATCH($C461,Работы!$A$2:$A$6000,0)),"")</f>
        <v>нетиповая</v>
      </c>
      <c r="R461" t="s">
        <v>92</v>
      </c>
      <c r="T461" t="str">
        <f>IF(AND($P461&gt;0,$R461="да"),MAX($T$1:$T460)+1,"")</f>
        <v/>
      </c>
    </row>
    <row r="462" spans="1:20" ht="28.8" x14ac:dyDescent="0.3">
      <c r="A462" t="str">
        <f>IFERROR(INDEX(Работы!$D$2:$D$6000,MATCH($C462,Работы!$A$2:$A$6000,0)),"")</f>
        <v>Р4</v>
      </c>
      <c r="B462" t="str">
        <f>IFERROR(INDEX(Работы!$F$2:$F$6000,MATCH($C462,Работы!$A$2:$A$6000,0)),"")</f>
        <v>2</v>
      </c>
      <c r="C462" t="str">
        <f>IFERROR(INDEX(Работы!$A$2:$A$6000,461),"")</f>
        <v>РАБ.Р4.2.025</v>
      </c>
      <c r="D462" s="8" t="str">
        <f>IFERROR(INDEX(Работы!$B$2:$B$6000,MATCH($C462,Работы!$A$2:$A$6000,0)),"")</f>
        <v>Козырёк из триплекса на подвесах, габариты 1000*1000</v>
      </c>
      <c r="E462" t="str">
        <f>IFERROR(INDEX(Работы!$C$2:$C$6000,MATCH($C462,Работы!$A$2:$A$6000,0)),"")</f>
        <v>шт.</v>
      </c>
      <c r="F462">
        <f>IFERROR(INDEX(Работы!$G$2:$G$6000,MATCH($C462,Работы!$A$2:$A$6000,0)),"")</f>
        <v>0</v>
      </c>
      <c r="G462" t="str">
        <f>IFERROR(INDEX(Работы!$K$2:$K$6000,MATCH($C462,Работы!$A$2:$A$6000,0)),"")</f>
        <v>S_фасад</v>
      </c>
      <c r="H462" s="9"/>
      <c r="I462" s="9"/>
      <c r="J462" s="8" t="str">
        <f>IFERROR(INDEX(Материалы!$B$2:$B$9000,MATCH($I462,Материалы!$A$2:$A$9000,0)),"")</f>
        <v/>
      </c>
      <c r="K462" t="str">
        <f>IF($I462="","",IF($F462=IFERROR(INDEX(Материалы!$G$2:$G$9000,MATCH($I462,Материалы!$A$2:$A$9000,0)),""),"OK","!! не та группа"))</f>
        <v/>
      </c>
      <c r="L462" s="10">
        <f>IFERROR(INDEX(Работы!$H$2:$H$6000,MATCH($C462,Работы!$A$2:$A$6000,0))*(1-ДисконтТендер),0)</f>
        <v>30000</v>
      </c>
      <c r="M462" s="10">
        <f>IF($I462="",0,IFERROR(INDEX(Материалы!$I$2:$I$9000,MATCH($I462,Материалы!$A$2:$A$9000,0))*IF(INDEX(Материалы!$J$2:$J$9000,MATCH($I462,Материалы!$A$2:$A$9000,0))="USD",КурсUSD,IF(INDEX(Материалы!$J$2:$J$9000,MATCH($I462,Материалы!$A$2:$A$9000,0))="EUR",КурсEUR,1))*INDEX(Материалы!$K$2:$K$9000,MATCH($I462,Материалы!$A$2:$A$9000,0))*(1+IFERROR(INDEX(Работы!$I$2:$I$6000,MATCH($C462,Работы!$A$2:$A$6000,0))/100,0))*(1-ДисконтТендер),0))</f>
        <v>0</v>
      </c>
      <c r="N462" s="10">
        <f t="shared" si="21"/>
        <v>0</v>
      </c>
      <c r="O462" s="10">
        <f t="shared" si="22"/>
        <v>0</v>
      </c>
      <c r="P462" s="10">
        <f t="shared" si="23"/>
        <v>0</v>
      </c>
      <c r="Q462" t="str">
        <f>IFERROR(INDEX(Работы!$J$2:$J$6000,MATCH($C462,Работы!$A$2:$A$6000,0)),"")</f>
        <v>нетиповая</v>
      </c>
      <c r="R462" t="s">
        <v>92</v>
      </c>
      <c r="T462" t="str">
        <f>IF(AND($P462&gt;0,$R462="да"),MAX($T$1:$T461)+1,"")</f>
        <v/>
      </c>
    </row>
    <row r="463" spans="1:20" ht="43.2" x14ac:dyDescent="0.3">
      <c r="A463" t="str">
        <f>IFERROR(INDEX(Работы!$D$2:$D$6000,MATCH($C463,Работы!$A$2:$A$6000,0)),"")</f>
        <v>Р4</v>
      </c>
      <c r="B463" t="str">
        <f>IFERROR(INDEX(Работы!$F$2:$F$6000,MATCH($C463,Работы!$A$2:$A$6000,0)),"")</f>
        <v>3</v>
      </c>
      <c r="C463" t="str">
        <f>IFERROR(INDEX(Работы!$A$2:$A$6000,462),"")</f>
        <v>РАБ.Р4.3.001</v>
      </c>
      <c r="D463" s="8" t="str">
        <f>IFERROR(INDEX(Работы!$B$2:$B$6000,MATCH($C463,Работы!$A$2:$A$6000,0)),"")</f>
        <v>Устройство каркаса из бруса (брус 100х50, 50х50, доска 150х15, саморезы, скобы, гвозди) с последующим демантажом</v>
      </c>
      <c r="E463" t="str">
        <f>IFERROR(INDEX(Работы!$C$2:$C$6000,MATCH($C463,Работы!$A$2:$A$6000,0)),"")</f>
        <v>м3</v>
      </c>
      <c r="F463">
        <f>IFERROR(INDEX(Работы!$G$2:$G$6000,MATCH($C463,Работы!$A$2:$A$6000,0)),"")</f>
        <v>0</v>
      </c>
      <c r="G463" t="str">
        <f>IFERROR(INDEX(Работы!$K$2:$K$6000,MATCH($C463,Работы!$A$2:$A$6000,0)),"")</f>
        <v>Расчёт</v>
      </c>
      <c r="H463" s="9"/>
      <c r="I463" s="9"/>
      <c r="J463" s="8" t="str">
        <f>IFERROR(INDEX(Материалы!$B$2:$B$9000,MATCH($I463,Материалы!$A$2:$A$9000,0)),"")</f>
        <v/>
      </c>
      <c r="K463" t="str">
        <f>IF($I463="","",IF($F463=IFERROR(INDEX(Материалы!$G$2:$G$9000,MATCH($I463,Материалы!$A$2:$A$9000,0)),""),"OK","!! не та группа"))</f>
        <v/>
      </c>
      <c r="L463" s="10">
        <f>IFERROR(INDEX(Работы!$H$2:$H$6000,MATCH($C463,Работы!$A$2:$A$6000,0))*(1-ДисконтТендер),0)</f>
        <v>4853.8500000000004</v>
      </c>
      <c r="M463" s="10">
        <f>IF($I463="",0,IFERROR(INDEX(Материалы!$I$2:$I$9000,MATCH($I463,Материалы!$A$2:$A$9000,0))*IF(INDEX(Материалы!$J$2:$J$9000,MATCH($I463,Материалы!$A$2:$A$9000,0))="USD",КурсUSD,IF(INDEX(Материалы!$J$2:$J$9000,MATCH($I463,Материалы!$A$2:$A$9000,0))="EUR",КурсEUR,1))*INDEX(Материалы!$K$2:$K$9000,MATCH($I463,Материалы!$A$2:$A$9000,0))*(1+IFERROR(INDEX(Работы!$I$2:$I$6000,MATCH($C463,Работы!$A$2:$A$6000,0))/100,0))*(1-ДисконтТендер),0))</f>
        <v>0</v>
      </c>
      <c r="N463" s="10">
        <f t="shared" si="21"/>
        <v>0</v>
      </c>
      <c r="O463" s="10">
        <f t="shared" si="22"/>
        <v>0</v>
      </c>
      <c r="P463" s="10">
        <f t="shared" si="23"/>
        <v>0</v>
      </c>
      <c r="Q463" t="str">
        <f>IFERROR(INDEX(Работы!$J$2:$J$6000,MATCH($C463,Работы!$A$2:$A$6000,0)),"")</f>
        <v>нетиповая</v>
      </c>
      <c r="R463" t="s">
        <v>92</v>
      </c>
      <c r="T463" t="str">
        <f>IF(AND($P463&gt;0,$R463="да"),MAX($T$1:$T462)+1,"")</f>
        <v/>
      </c>
    </row>
    <row r="464" spans="1:20" ht="28.8" x14ac:dyDescent="0.3">
      <c r="A464" t="str">
        <f>IFERROR(INDEX(Работы!$D$2:$D$6000,MATCH($C464,Работы!$A$2:$A$6000,0)),"")</f>
        <v>Р4</v>
      </c>
      <c r="B464" t="str">
        <f>IFERROR(INDEX(Работы!$F$2:$F$6000,MATCH($C464,Работы!$A$2:$A$6000,0)),"")</f>
        <v>3</v>
      </c>
      <c r="C464" t="str">
        <f>IFERROR(INDEX(Работы!$A$2:$A$6000,463),"")</f>
        <v>РАБ.Р4.3.002</v>
      </c>
      <c r="D464" s="8" t="str">
        <f>IFERROR(INDEX(Работы!$B$2:$B$6000,MATCH($C464,Работы!$A$2:$A$6000,0)),"")</f>
        <v>Устройство защитного шатра из полиэтиленовой пленкой до 100 мкр., с последующим демонтажом</v>
      </c>
      <c r="E464" t="str">
        <f>IFERROR(INDEX(Работы!$C$2:$C$6000,MATCH($C464,Работы!$A$2:$A$6000,0)),"")</f>
        <v>м2</v>
      </c>
      <c r="F464">
        <f>IFERROR(INDEX(Работы!$G$2:$G$6000,MATCH($C464,Работы!$A$2:$A$6000,0)),"")</f>
        <v>0</v>
      </c>
      <c r="G464" t="str">
        <f>IFERROR(INDEX(Работы!$K$2:$K$6000,MATCH($C464,Работы!$A$2:$A$6000,0)),"")</f>
        <v>S_пол</v>
      </c>
      <c r="H464" s="9"/>
      <c r="I464" s="9"/>
      <c r="J464" s="8" t="str">
        <f>IFERROR(INDEX(Материалы!$B$2:$B$9000,MATCH($I464,Материалы!$A$2:$A$9000,0)),"")</f>
        <v/>
      </c>
      <c r="K464" t="str">
        <f>IF($I464="","",IF($F464=IFERROR(INDEX(Материалы!$G$2:$G$9000,MATCH($I464,Материалы!$A$2:$A$9000,0)),""),"OK","!! не та группа"))</f>
        <v/>
      </c>
      <c r="L464" s="10">
        <f>IFERROR(INDEX(Работы!$H$2:$H$6000,MATCH($C464,Работы!$A$2:$A$6000,0))*(1-ДисконтТендер),0)</f>
        <v>788.18</v>
      </c>
      <c r="M464" s="10">
        <f>IF($I464="",0,IFERROR(INDEX(Материалы!$I$2:$I$9000,MATCH($I464,Материалы!$A$2:$A$9000,0))*IF(INDEX(Материалы!$J$2:$J$9000,MATCH($I464,Материалы!$A$2:$A$9000,0))="USD",КурсUSD,IF(INDEX(Материалы!$J$2:$J$9000,MATCH($I464,Материалы!$A$2:$A$9000,0))="EUR",КурсEUR,1))*INDEX(Материалы!$K$2:$K$9000,MATCH($I464,Материалы!$A$2:$A$9000,0))*(1+IFERROR(INDEX(Работы!$I$2:$I$6000,MATCH($C464,Работы!$A$2:$A$6000,0))/100,0))*(1-ДисконтТендер),0))</f>
        <v>0</v>
      </c>
      <c r="N464" s="10">
        <f t="shared" si="21"/>
        <v>0</v>
      </c>
      <c r="O464" s="10">
        <f t="shared" si="22"/>
        <v>0</v>
      </c>
      <c r="P464" s="10">
        <f t="shared" si="23"/>
        <v>0</v>
      </c>
      <c r="Q464" t="str">
        <f>IFERROR(INDEX(Работы!$J$2:$J$6000,MATCH($C464,Работы!$A$2:$A$6000,0)),"")</f>
        <v>нетиповая</v>
      </c>
      <c r="R464" t="s">
        <v>92</v>
      </c>
      <c r="T464" t="str">
        <f>IF(AND($P464&gt;0,$R464="да"),MAX($T$1:$T463)+1,"")</f>
        <v/>
      </c>
    </row>
    <row r="465" spans="1:20" ht="43.2" x14ac:dyDescent="0.3">
      <c r="A465" t="str">
        <f>IFERROR(INDEX(Работы!$D$2:$D$6000,MATCH($C465,Работы!$A$2:$A$6000,0)),"")</f>
        <v>Р4</v>
      </c>
      <c r="B465" t="str">
        <f>IFERROR(INDEX(Работы!$F$2:$F$6000,MATCH($C465,Работы!$A$2:$A$6000,0)),"")</f>
        <v>3</v>
      </c>
      <c r="C465" t="str">
        <f>IFERROR(INDEX(Работы!$A$2:$A$6000,464),"")</f>
        <v>РАБ.Р4.3.003</v>
      </c>
      <c r="D465" s="8" t="str">
        <f>IFERROR(INDEX(Работы!$B$2:$B$6000,MATCH($C465,Работы!$A$2:$A$6000,0)),"")</f>
        <v>Устройство защитного полотна из сетки строительной фасадной (зеленая мелкоячеистая) с последующим демантажом</v>
      </c>
      <c r="E465" t="str">
        <f>IFERROR(INDEX(Работы!$C$2:$C$6000,MATCH($C465,Работы!$A$2:$A$6000,0)),"")</f>
        <v>м2</v>
      </c>
      <c r="F465">
        <f>IFERROR(INDEX(Работы!$G$2:$G$6000,MATCH($C465,Работы!$A$2:$A$6000,0)),"")</f>
        <v>0</v>
      </c>
      <c r="G465" t="str">
        <f>IFERROR(INDEX(Работы!$K$2:$K$6000,MATCH($C465,Работы!$A$2:$A$6000,0)),"")</f>
        <v>S_пол</v>
      </c>
      <c r="H465" s="9"/>
      <c r="I465" s="9"/>
      <c r="J465" s="8" t="str">
        <f>IFERROR(INDEX(Материалы!$B$2:$B$9000,MATCH($I465,Материалы!$A$2:$A$9000,0)),"")</f>
        <v/>
      </c>
      <c r="K465" t="str">
        <f>IF($I465="","",IF($F465=IFERROR(INDEX(Материалы!$G$2:$G$9000,MATCH($I465,Материалы!$A$2:$A$9000,0)),""),"OK","!! не та группа"))</f>
        <v/>
      </c>
      <c r="L465" s="10">
        <f>IFERROR(INDEX(Работы!$H$2:$H$6000,MATCH($C465,Работы!$A$2:$A$6000,0))*(1-ДисконтТендер),0)</f>
        <v>522.34</v>
      </c>
      <c r="M465" s="10">
        <f>IF($I465="",0,IFERROR(INDEX(Материалы!$I$2:$I$9000,MATCH($I465,Материалы!$A$2:$A$9000,0))*IF(INDEX(Материалы!$J$2:$J$9000,MATCH($I465,Материалы!$A$2:$A$9000,0))="USD",КурсUSD,IF(INDEX(Материалы!$J$2:$J$9000,MATCH($I465,Материалы!$A$2:$A$9000,0))="EUR",КурсEUR,1))*INDEX(Материалы!$K$2:$K$9000,MATCH($I465,Материалы!$A$2:$A$9000,0))*(1+IFERROR(INDEX(Работы!$I$2:$I$6000,MATCH($C465,Работы!$A$2:$A$6000,0))/100,0))*(1-ДисконтТендер),0))</f>
        <v>0</v>
      </c>
      <c r="N465" s="10">
        <f t="shared" si="21"/>
        <v>0</v>
      </c>
      <c r="O465" s="10">
        <f t="shared" si="22"/>
        <v>0</v>
      </c>
      <c r="P465" s="10">
        <f t="shared" si="23"/>
        <v>0</v>
      </c>
      <c r="Q465" t="str">
        <f>IFERROR(INDEX(Работы!$J$2:$J$6000,MATCH($C465,Работы!$A$2:$A$6000,0)),"")</f>
        <v>нетиповая</v>
      </c>
      <c r="R465" t="s">
        <v>92</v>
      </c>
      <c r="T465" t="str">
        <f>IF(AND($P465&gt;0,$R465="да"),MAX($T$1:$T464)+1,"")</f>
        <v/>
      </c>
    </row>
    <row r="466" spans="1:20" ht="28.8" x14ac:dyDescent="0.3">
      <c r="A466" t="str">
        <f>IFERROR(INDEX(Работы!$D$2:$D$6000,MATCH($C466,Работы!$A$2:$A$6000,0)),"")</f>
        <v>Р4</v>
      </c>
      <c r="B466" t="str">
        <f>IFERROR(INDEX(Работы!$F$2:$F$6000,MATCH($C466,Работы!$A$2:$A$6000,0)),"")</f>
        <v>3</v>
      </c>
      <c r="C466" t="str">
        <f>IFERROR(INDEX(Работы!$A$2:$A$6000,465),"")</f>
        <v>РАБ.Р4.3.004</v>
      </c>
      <c r="D466" s="8" t="str">
        <f>IFERROR(INDEX(Работы!$B$2:$B$6000,MATCH($C466,Работы!$A$2:$A$6000,0)),"")</f>
        <v>Отопление временных конструкций в зимний период (электрическая пушка)</v>
      </c>
      <c r="E466" t="str">
        <f>IFERROR(INDEX(Работы!$C$2:$C$6000,MATCH($C466,Работы!$A$2:$A$6000,0)),"")</f>
        <v>м/час</v>
      </c>
      <c r="F466">
        <f>IFERROR(INDEX(Работы!$G$2:$G$6000,MATCH($C466,Работы!$A$2:$A$6000,0)),"")</f>
        <v>0</v>
      </c>
      <c r="G466" t="str">
        <f>IFERROR(INDEX(Работы!$K$2:$K$6000,MATCH($C466,Работы!$A$2:$A$6000,0)),"")</f>
        <v>Расчёт</v>
      </c>
      <c r="H466" s="9"/>
      <c r="I466" s="9"/>
      <c r="J466" s="8" t="str">
        <f>IFERROR(INDEX(Материалы!$B$2:$B$9000,MATCH($I466,Материалы!$A$2:$A$9000,0)),"")</f>
        <v/>
      </c>
      <c r="K466" t="str">
        <f>IF($I466="","",IF($F466=IFERROR(INDEX(Материалы!$G$2:$G$9000,MATCH($I466,Материалы!$A$2:$A$9000,0)),""),"OK","!! не та группа"))</f>
        <v/>
      </c>
      <c r="L466" s="10">
        <f>IFERROR(INDEX(Работы!$H$2:$H$6000,MATCH($C466,Работы!$A$2:$A$6000,0))*(1-ДисконтТендер),0)</f>
        <v>95.7</v>
      </c>
      <c r="M466" s="10">
        <f>IF($I466="",0,IFERROR(INDEX(Материалы!$I$2:$I$9000,MATCH($I466,Материалы!$A$2:$A$9000,0))*IF(INDEX(Материалы!$J$2:$J$9000,MATCH($I466,Материалы!$A$2:$A$9000,0))="USD",КурсUSD,IF(INDEX(Материалы!$J$2:$J$9000,MATCH($I466,Материалы!$A$2:$A$9000,0))="EUR",КурсEUR,1))*INDEX(Материалы!$K$2:$K$9000,MATCH($I466,Материалы!$A$2:$A$9000,0))*(1+IFERROR(INDEX(Работы!$I$2:$I$6000,MATCH($C466,Работы!$A$2:$A$6000,0))/100,0))*(1-ДисконтТендер),0))</f>
        <v>0</v>
      </c>
      <c r="N466" s="10">
        <f t="shared" si="21"/>
        <v>0</v>
      </c>
      <c r="O466" s="10">
        <f t="shared" si="22"/>
        <v>0</v>
      </c>
      <c r="P466" s="10">
        <f t="shared" si="23"/>
        <v>0</v>
      </c>
      <c r="Q466" t="str">
        <f>IFERROR(INDEX(Работы!$J$2:$J$6000,MATCH($C466,Работы!$A$2:$A$6000,0)),"")</f>
        <v>нетиповая</v>
      </c>
      <c r="R466" t="s">
        <v>92</v>
      </c>
      <c r="T466" t="str">
        <f>IF(AND($P466&gt;0,$R466="да"),MAX($T$1:$T465)+1,"")</f>
        <v/>
      </c>
    </row>
    <row r="467" spans="1:20" ht="28.8" x14ac:dyDescent="0.3">
      <c r="A467" t="str">
        <f>IFERROR(INDEX(Работы!$D$2:$D$6000,MATCH($C467,Работы!$A$2:$A$6000,0)),"")</f>
        <v>Р4</v>
      </c>
      <c r="B467" t="str">
        <f>IFERROR(INDEX(Работы!$F$2:$F$6000,MATCH($C467,Работы!$A$2:$A$6000,0)),"")</f>
        <v>3</v>
      </c>
      <c r="C467" t="str">
        <f>IFERROR(INDEX(Работы!$A$2:$A$6000,466),"")</f>
        <v>РАБ.Р4.3.005</v>
      </c>
      <c r="D467" s="8" t="str">
        <f>IFERROR(INDEX(Работы!$B$2:$B$6000,MATCH($C467,Работы!$A$2:$A$6000,0)),"")</f>
        <v>Отопление временных конструкций в зимний период (дизельная пушка)</v>
      </c>
      <c r="E467" t="str">
        <f>IFERROR(INDEX(Работы!$C$2:$C$6000,MATCH($C467,Работы!$A$2:$A$6000,0)),"")</f>
        <v>м/час</v>
      </c>
      <c r="F467">
        <f>IFERROR(INDEX(Работы!$G$2:$G$6000,MATCH($C467,Работы!$A$2:$A$6000,0)),"")</f>
        <v>0</v>
      </c>
      <c r="G467" t="str">
        <f>IFERROR(INDEX(Работы!$K$2:$K$6000,MATCH($C467,Работы!$A$2:$A$6000,0)),"")</f>
        <v>Расчёт</v>
      </c>
      <c r="H467" s="9"/>
      <c r="I467" s="9"/>
      <c r="J467" s="8" t="str">
        <f>IFERROR(INDEX(Материалы!$B$2:$B$9000,MATCH($I467,Материалы!$A$2:$A$9000,0)),"")</f>
        <v/>
      </c>
      <c r="K467" t="str">
        <f>IF($I467="","",IF($F467=IFERROR(INDEX(Материалы!$G$2:$G$9000,MATCH($I467,Материалы!$A$2:$A$9000,0)),""),"OK","!! не та группа"))</f>
        <v/>
      </c>
      <c r="L467" s="10">
        <f>IFERROR(INDEX(Работы!$H$2:$H$6000,MATCH($C467,Работы!$A$2:$A$6000,0))*(1-ДисконтТендер),0)</f>
        <v>169.65</v>
      </c>
      <c r="M467" s="10">
        <f>IF($I467="",0,IFERROR(INDEX(Материалы!$I$2:$I$9000,MATCH($I467,Материалы!$A$2:$A$9000,0))*IF(INDEX(Материалы!$J$2:$J$9000,MATCH($I467,Материалы!$A$2:$A$9000,0))="USD",КурсUSD,IF(INDEX(Материалы!$J$2:$J$9000,MATCH($I467,Материалы!$A$2:$A$9000,0))="EUR",КурсEUR,1))*INDEX(Материалы!$K$2:$K$9000,MATCH($I467,Материалы!$A$2:$A$9000,0))*(1+IFERROR(INDEX(Работы!$I$2:$I$6000,MATCH($C467,Работы!$A$2:$A$6000,0))/100,0))*(1-ДисконтТендер),0))</f>
        <v>0</v>
      </c>
      <c r="N467" s="10">
        <f t="shared" si="21"/>
        <v>0</v>
      </c>
      <c r="O467" s="10">
        <f t="shared" si="22"/>
        <v>0</v>
      </c>
      <c r="P467" s="10">
        <f t="shared" si="23"/>
        <v>0</v>
      </c>
      <c r="Q467" t="str">
        <f>IFERROR(INDEX(Работы!$J$2:$J$6000,MATCH($C467,Работы!$A$2:$A$6000,0)),"")</f>
        <v>нетиповая</v>
      </c>
      <c r="R467" t="s">
        <v>92</v>
      </c>
      <c r="T467" t="str">
        <f>IF(AND($P467&gt;0,$R467="да"),MAX($T$1:$T466)+1,"")</f>
        <v/>
      </c>
    </row>
    <row r="468" spans="1:20" ht="28.8" x14ac:dyDescent="0.3">
      <c r="A468" t="str">
        <f>IFERROR(INDEX(Работы!$D$2:$D$6000,MATCH($C468,Работы!$A$2:$A$6000,0)),"")</f>
        <v>Р4</v>
      </c>
      <c r="B468" t="str">
        <f>IFERROR(INDEX(Работы!$F$2:$F$6000,MATCH($C468,Работы!$A$2:$A$6000,0)),"")</f>
        <v>3</v>
      </c>
      <c r="C468" t="str">
        <f>IFERROR(INDEX(Работы!$A$2:$A$6000,467),"")</f>
        <v>РАБ.Р4.3.006</v>
      </c>
      <c r="D468" s="8" t="str">
        <f>IFERROR(INDEX(Работы!$B$2:$B$6000,MATCH($C468,Работы!$A$2:$A$6000,0)),"")</f>
        <v>Отопление временных конструкций в зимний период (газовая пушка)</v>
      </c>
      <c r="E468" t="str">
        <f>IFERROR(INDEX(Работы!$C$2:$C$6000,MATCH($C468,Работы!$A$2:$A$6000,0)),"")</f>
        <v>м/час</v>
      </c>
      <c r="F468">
        <f>IFERROR(INDEX(Работы!$G$2:$G$6000,MATCH($C468,Работы!$A$2:$A$6000,0)),"")</f>
        <v>0</v>
      </c>
      <c r="G468" t="str">
        <f>IFERROR(INDEX(Работы!$K$2:$K$6000,MATCH($C468,Работы!$A$2:$A$6000,0)),"")</f>
        <v>Расчёт</v>
      </c>
      <c r="H468" s="9"/>
      <c r="I468" s="9"/>
      <c r="J468" s="8" t="str">
        <f>IFERROR(INDEX(Материалы!$B$2:$B$9000,MATCH($I468,Материалы!$A$2:$A$9000,0)),"")</f>
        <v/>
      </c>
      <c r="K468" t="str">
        <f>IF($I468="","",IF($F468=IFERROR(INDEX(Материалы!$G$2:$G$9000,MATCH($I468,Материалы!$A$2:$A$9000,0)),""),"OK","!! не та группа"))</f>
        <v/>
      </c>
      <c r="L468" s="10">
        <f>IFERROR(INDEX(Работы!$H$2:$H$6000,MATCH($C468,Работы!$A$2:$A$6000,0))*(1-ДисконтТендер),0)</f>
        <v>140.35</v>
      </c>
      <c r="M468" s="10">
        <f>IF($I468="",0,IFERROR(INDEX(Материалы!$I$2:$I$9000,MATCH($I468,Материалы!$A$2:$A$9000,0))*IF(INDEX(Материалы!$J$2:$J$9000,MATCH($I468,Материалы!$A$2:$A$9000,0))="USD",КурсUSD,IF(INDEX(Материалы!$J$2:$J$9000,MATCH($I468,Материалы!$A$2:$A$9000,0))="EUR",КурсEUR,1))*INDEX(Материалы!$K$2:$K$9000,MATCH($I468,Материалы!$A$2:$A$9000,0))*(1+IFERROR(INDEX(Работы!$I$2:$I$6000,MATCH($C468,Работы!$A$2:$A$6000,0))/100,0))*(1-ДисконтТендер),0))</f>
        <v>0</v>
      </c>
      <c r="N468" s="10">
        <f t="shared" si="21"/>
        <v>0</v>
      </c>
      <c r="O468" s="10">
        <f t="shared" si="22"/>
        <v>0</v>
      </c>
      <c r="P468" s="10">
        <f t="shared" si="23"/>
        <v>0</v>
      </c>
      <c r="Q468" t="str">
        <f>IFERROR(INDEX(Работы!$J$2:$J$6000,MATCH($C468,Работы!$A$2:$A$6000,0)),"")</f>
        <v>нетиповая</v>
      </c>
      <c r="R468" t="s">
        <v>92</v>
      </c>
      <c r="T468" t="str">
        <f>IF(AND($P468&gt;0,$R468="да"),MAX($T$1:$T467)+1,"")</f>
        <v/>
      </c>
    </row>
    <row r="469" spans="1:20" x14ac:dyDescent="0.3">
      <c r="A469" t="str">
        <f>IFERROR(INDEX(Работы!$D$2:$D$6000,MATCH($C469,Работы!$A$2:$A$6000,0)),"")</f>
        <v>Р4</v>
      </c>
      <c r="B469" t="str">
        <f>IFERROR(INDEX(Работы!$F$2:$F$6000,MATCH($C469,Работы!$A$2:$A$6000,0)),"")</f>
        <v>5</v>
      </c>
      <c r="C469" t="str">
        <f>IFERROR(INDEX(Работы!$A$2:$A$6000,468),"")</f>
        <v>РАБ.Р4.5.001</v>
      </c>
      <c r="D469" s="8" t="str">
        <f>IFERROR(INDEX(Работы!$B$2:$B$6000,MATCH($C469,Работы!$A$2:$A$6000,0)),"")</f>
        <v>Разработка грунта вручную</v>
      </c>
      <c r="E469" t="str">
        <f>IFERROR(INDEX(Работы!$C$2:$C$6000,MATCH($C469,Работы!$A$2:$A$6000,0)),"")</f>
        <v>м2</v>
      </c>
      <c r="F469">
        <f>IFERROR(INDEX(Работы!$G$2:$G$6000,MATCH($C469,Работы!$A$2:$A$6000,0)),"")</f>
        <v>0</v>
      </c>
      <c r="G469" t="str">
        <f>IFERROR(INDEX(Работы!$K$2:$K$6000,MATCH($C469,Работы!$A$2:$A$6000,0)),"")</f>
        <v>S_поверхность</v>
      </c>
      <c r="H469" s="9"/>
      <c r="I469" s="9"/>
      <c r="J469" s="8" t="str">
        <f>IFERROR(INDEX(Материалы!$B$2:$B$9000,MATCH($I469,Материалы!$A$2:$A$9000,0)),"")</f>
        <v/>
      </c>
      <c r="K469" t="str">
        <f>IF($I469="","",IF($F469=IFERROR(INDEX(Материалы!$G$2:$G$9000,MATCH($I469,Материалы!$A$2:$A$9000,0)),""),"OK","!! не та группа"))</f>
        <v/>
      </c>
      <c r="L469" s="10">
        <f>IFERROR(INDEX(Работы!$H$2:$H$6000,MATCH($C469,Работы!$A$2:$A$6000,0))*(1-ДисконтТендер),0)</f>
        <v>2035.8</v>
      </c>
      <c r="M469" s="10">
        <f>IF($I469="",0,IFERROR(INDEX(Материалы!$I$2:$I$9000,MATCH($I469,Материалы!$A$2:$A$9000,0))*IF(INDEX(Материалы!$J$2:$J$9000,MATCH($I469,Материалы!$A$2:$A$9000,0))="USD",КурсUSD,IF(INDEX(Материалы!$J$2:$J$9000,MATCH($I469,Материалы!$A$2:$A$9000,0))="EUR",КурсEUR,1))*INDEX(Материалы!$K$2:$K$9000,MATCH($I469,Материалы!$A$2:$A$9000,0))*(1+IFERROR(INDEX(Работы!$I$2:$I$6000,MATCH($C469,Работы!$A$2:$A$6000,0))/100,0))*(1-ДисконтТендер),0))</f>
        <v>0</v>
      </c>
      <c r="N469" s="10">
        <f t="shared" si="21"/>
        <v>0</v>
      </c>
      <c r="O469" s="10">
        <f t="shared" si="22"/>
        <v>0</v>
      </c>
      <c r="P469" s="10">
        <f t="shared" si="23"/>
        <v>0</v>
      </c>
      <c r="Q469" t="str">
        <f>IFERROR(INDEX(Работы!$J$2:$J$6000,MATCH($C469,Работы!$A$2:$A$6000,0)),"")</f>
        <v>нетиповая</v>
      </c>
      <c r="R469" t="s">
        <v>92</v>
      </c>
      <c r="T469" t="str">
        <f>IF(AND($P469&gt;0,$R469="да"),MAX($T$1:$T468)+1,"")</f>
        <v/>
      </c>
    </row>
    <row r="470" spans="1:20" x14ac:dyDescent="0.3">
      <c r="A470" t="str">
        <f>IFERROR(INDEX(Работы!$D$2:$D$6000,MATCH($C470,Работы!$A$2:$A$6000,0)),"")</f>
        <v>Р4</v>
      </c>
      <c r="B470" t="str">
        <f>IFERROR(INDEX(Работы!$F$2:$F$6000,MATCH($C470,Работы!$A$2:$A$6000,0)),"")</f>
        <v>5</v>
      </c>
      <c r="C470" t="str">
        <f>IFERROR(INDEX(Работы!$A$2:$A$6000,469),"")</f>
        <v>РАБ.Р4.5.002</v>
      </c>
      <c r="D470" s="8" t="str">
        <f>IFERROR(INDEX(Работы!$B$2:$B$6000,MATCH($C470,Работы!$A$2:$A$6000,0)),"")</f>
        <v>Обратная засыпка грунта вручную</v>
      </c>
      <c r="E470" t="str">
        <f>IFERROR(INDEX(Работы!$C$2:$C$6000,MATCH($C470,Работы!$A$2:$A$6000,0)),"")</f>
        <v>м3</v>
      </c>
      <c r="F470">
        <f>IFERROR(INDEX(Работы!$G$2:$G$6000,MATCH($C470,Работы!$A$2:$A$6000,0)),"")</f>
        <v>0</v>
      </c>
      <c r="G470" t="str">
        <f>IFERROR(INDEX(Работы!$K$2:$K$6000,MATCH($C470,Работы!$A$2:$A$6000,0)),"")</f>
        <v>Расчёт</v>
      </c>
      <c r="H470" s="9"/>
      <c r="I470" s="9"/>
      <c r="J470" s="8" t="str">
        <f>IFERROR(INDEX(Материалы!$B$2:$B$9000,MATCH($I470,Материалы!$A$2:$A$9000,0)),"")</f>
        <v/>
      </c>
      <c r="K470" t="str">
        <f>IF($I470="","",IF($F470=IFERROR(INDEX(Материалы!$G$2:$G$9000,MATCH($I470,Материалы!$A$2:$A$9000,0)),""),"OK","!! не та группа"))</f>
        <v/>
      </c>
      <c r="L470" s="10">
        <f>IFERROR(INDEX(Работы!$H$2:$H$6000,MATCH($C470,Работы!$A$2:$A$6000,0))*(1-ДисконтТендер),0)</f>
        <v>1173.8699999999999</v>
      </c>
      <c r="M470" s="10">
        <f>IF($I470="",0,IFERROR(INDEX(Материалы!$I$2:$I$9000,MATCH($I470,Материалы!$A$2:$A$9000,0))*IF(INDEX(Материалы!$J$2:$J$9000,MATCH($I470,Материалы!$A$2:$A$9000,0))="USD",КурсUSD,IF(INDEX(Материалы!$J$2:$J$9000,MATCH($I470,Материалы!$A$2:$A$9000,0))="EUR",КурсEUR,1))*INDEX(Материалы!$K$2:$K$9000,MATCH($I470,Материалы!$A$2:$A$9000,0))*(1+IFERROR(INDEX(Работы!$I$2:$I$6000,MATCH($C470,Работы!$A$2:$A$6000,0))/100,0))*(1-ДисконтТендер),0))</f>
        <v>0</v>
      </c>
      <c r="N470" s="10">
        <f t="shared" si="21"/>
        <v>0</v>
      </c>
      <c r="O470" s="10">
        <f t="shared" si="22"/>
        <v>0</v>
      </c>
      <c r="P470" s="10">
        <f t="shared" si="23"/>
        <v>0</v>
      </c>
      <c r="Q470" t="str">
        <f>IFERROR(INDEX(Работы!$J$2:$J$6000,MATCH($C470,Работы!$A$2:$A$6000,0)),"")</f>
        <v>нетиповая</v>
      </c>
      <c r="R470" t="s">
        <v>92</v>
      </c>
      <c r="T470" t="str">
        <f>IF(AND($P470&gt;0,$R470="да"),MAX($T$1:$T469)+1,"")</f>
        <v/>
      </c>
    </row>
    <row r="471" spans="1:20" ht="28.8" x14ac:dyDescent="0.3">
      <c r="A471" t="str">
        <f>IFERROR(INDEX(Работы!$D$2:$D$6000,MATCH($C471,Работы!$A$2:$A$6000,0)),"")</f>
        <v>Р4</v>
      </c>
      <c r="B471" t="str">
        <f>IFERROR(INDEX(Работы!$F$2:$F$6000,MATCH($C471,Работы!$A$2:$A$6000,0)),"")</f>
        <v>5</v>
      </c>
      <c r="C471" t="str">
        <f>IFERROR(INDEX(Работы!$A$2:$A$6000,470),"")</f>
        <v>РАБ.Р4.5.003</v>
      </c>
      <c r="D471" s="8" t="str">
        <f>IFERROR(INDEX(Работы!$B$2:$B$6000,MATCH($C471,Работы!$A$2:$A$6000,0)),"")</f>
        <v>Подготовка подстилающих слоев вручную с уплотнением</v>
      </c>
      <c r="E471" t="str">
        <f>IFERROR(INDEX(Работы!$C$2:$C$6000,MATCH($C471,Работы!$A$2:$A$6000,0)),"")</f>
        <v>м3</v>
      </c>
      <c r="F471">
        <f>IFERROR(INDEX(Работы!$G$2:$G$6000,MATCH($C471,Работы!$A$2:$A$6000,0)),"")</f>
        <v>0</v>
      </c>
      <c r="G471" t="str">
        <f>IFERROR(INDEX(Работы!$K$2:$K$6000,MATCH($C471,Работы!$A$2:$A$6000,0)),"")</f>
        <v>Расчёт</v>
      </c>
      <c r="H471" s="9"/>
      <c r="I471" s="9"/>
      <c r="J471" s="8" t="str">
        <f>IFERROR(INDEX(Материалы!$B$2:$B$9000,MATCH($I471,Материалы!$A$2:$A$9000,0)),"")</f>
        <v/>
      </c>
      <c r="K471" t="str">
        <f>IF($I471="","",IF($F471=IFERROR(INDEX(Материалы!$G$2:$G$9000,MATCH($I471,Материалы!$A$2:$A$9000,0)),""),"OK","!! не та группа"))</f>
        <v/>
      </c>
      <c r="L471" s="10">
        <f>IFERROR(INDEX(Работы!$H$2:$H$6000,MATCH($C471,Работы!$A$2:$A$6000,0))*(1-ДисконтТендер),0)</f>
        <v>1839.5</v>
      </c>
      <c r="M471" s="10">
        <f>IF($I471="",0,IFERROR(INDEX(Материалы!$I$2:$I$9000,MATCH($I471,Материалы!$A$2:$A$9000,0))*IF(INDEX(Материалы!$J$2:$J$9000,MATCH($I471,Материалы!$A$2:$A$9000,0))="USD",КурсUSD,IF(INDEX(Материалы!$J$2:$J$9000,MATCH($I471,Материалы!$A$2:$A$9000,0))="EUR",КурсEUR,1))*INDEX(Материалы!$K$2:$K$9000,MATCH($I471,Материалы!$A$2:$A$9000,0))*(1+IFERROR(INDEX(Работы!$I$2:$I$6000,MATCH($C471,Работы!$A$2:$A$6000,0))/100,0))*(1-ДисконтТендер),0))</f>
        <v>0</v>
      </c>
      <c r="N471" s="10">
        <f t="shared" si="21"/>
        <v>0</v>
      </c>
      <c r="O471" s="10">
        <f t="shared" si="22"/>
        <v>0</v>
      </c>
      <c r="P471" s="10">
        <f t="shared" si="23"/>
        <v>0</v>
      </c>
      <c r="Q471" t="str">
        <f>IFERROR(INDEX(Работы!$J$2:$J$6000,MATCH($C471,Работы!$A$2:$A$6000,0)),"")</f>
        <v>нетиповая</v>
      </c>
      <c r="R471" t="s">
        <v>92</v>
      </c>
      <c r="T471" t="str">
        <f>IF(AND($P471&gt;0,$R471="да"),MAX($T$1:$T470)+1,"")</f>
        <v/>
      </c>
    </row>
    <row r="472" spans="1:20" ht="28.8" x14ac:dyDescent="0.3">
      <c r="A472" t="str">
        <f>IFERROR(INDEX(Работы!$D$2:$D$6000,MATCH($C472,Работы!$A$2:$A$6000,0)),"")</f>
        <v>Р4</v>
      </c>
      <c r="B472" t="str">
        <f>IFERROR(INDEX(Работы!$F$2:$F$6000,MATCH($C472,Работы!$A$2:$A$6000,0)),"")</f>
        <v>5</v>
      </c>
      <c r="C472" t="str">
        <f>IFERROR(INDEX(Работы!$A$2:$A$6000,471),"")</f>
        <v>РАБ.Р4.5.004</v>
      </c>
      <c r="D472" s="8" t="str">
        <f>IFERROR(INDEX(Работы!$B$2:$B$6000,MATCH($C472,Работы!$A$2:$A$6000,0)),"")</f>
        <v>Установка подъемно секционных ворот автоматических 3000Х3000 мм</v>
      </c>
      <c r="E472" t="str">
        <f>IFERROR(INDEX(Работы!$C$2:$C$6000,MATCH($C472,Работы!$A$2:$A$6000,0)),"")</f>
        <v>шт.</v>
      </c>
      <c r="F472">
        <f>IFERROR(INDEX(Работы!$G$2:$G$6000,MATCH($C472,Работы!$A$2:$A$6000,0)),"")</f>
        <v>0</v>
      </c>
      <c r="G472" t="str">
        <f>IFERROR(INDEX(Работы!$K$2:$K$6000,MATCH($C472,Работы!$A$2:$A$6000,0)),"")</f>
        <v>Спецификация</v>
      </c>
      <c r="H472" s="9"/>
      <c r="I472" s="9"/>
      <c r="J472" s="8" t="str">
        <f>IFERROR(INDEX(Материалы!$B$2:$B$9000,MATCH($I472,Материалы!$A$2:$A$9000,0)),"")</f>
        <v/>
      </c>
      <c r="K472" t="str">
        <f>IF($I472="","",IF($F472=IFERROR(INDEX(Материалы!$G$2:$G$9000,MATCH($I472,Материалы!$A$2:$A$9000,0)),""),"OK","!! не та группа"))</f>
        <v/>
      </c>
      <c r="L472" s="10">
        <f>IFERROR(INDEX(Работы!$H$2:$H$6000,MATCH($C472,Работы!$A$2:$A$6000,0))*(1-ДисконтТендер),0)</f>
        <v>24429.599999999999</v>
      </c>
      <c r="M472" s="10">
        <f>IF($I472="",0,IFERROR(INDEX(Материалы!$I$2:$I$9000,MATCH($I472,Материалы!$A$2:$A$9000,0))*IF(INDEX(Материалы!$J$2:$J$9000,MATCH($I472,Материалы!$A$2:$A$9000,0))="USD",КурсUSD,IF(INDEX(Материалы!$J$2:$J$9000,MATCH($I472,Материалы!$A$2:$A$9000,0))="EUR",КурсEUR,1))*INDEX(Материалы!$K$2:$K$9000,MATCH($I472,Материалы!$A$2:$A$9000,0))*(1+IFERROR(INDEX(Работы!$I$2:$I$6000,MATCH($C472,Работы!$A$2:$A$6000,0))/100,0))*(1-ДисконтТендер),0))</f>
        <v>0</v>
      </c>
      <c r="N472" s="10">
        <f t="shared" si="21"/>
        <v>0</v>
      </c>
      <c r="O472" s="10">
        <f t="shared" si="22"/>
        <v>0</v>
      </c>
      <c r="P472" s="10">
        <f t="shared" si="23"/>
        <v>0</v>
      </c>
      <c r="Q472" t="str">
        <f>IFERROR(INDEX(Работы!$J$2:$J$6000,MATCH($C472,Работы!$A$2:$A$6000,0)),"")</f>
        <v>нетиповая</v>
      </c>
      <c r="R472" t="s">
        <v>92</v>
      </c>
      <c r="T472" t="str">
        <f>IF(AND($P472&gt;0,$R472="да"),MAX($T$1:$T471)+1,"")</f>
        <v/>
      </c>
    </row>
    <row r="473" spans="1:20" ht="28.8" x14ac:dyDescent="0.3">
      <c r="A473" t="str">
        <f>IFERROR(INDEX(Работы!$D$2:$D$6000,MATCH($C473,Работы!$A$2:$A$6000,0)),"")</f>
        <v>Р4</v>
      </c>
      <c r="B473" t="str">
        <f>IFERROR(INDEX(Работы!$F$2:$F$6000,MATCH($C473,Работы!$A$2:$A$6000,0)),"")</f>
        <v>5</v>
      </c>
      <c r="C473" t="str">
        <f>IFERROR(INDEX(Работы!$A$2:$A$6000,472),"")</f>
        <v>РАБ.Р4.5.005</v>
      </c>
      <c r="D473" s="8" t="str">
        <f>IFERROR(INDEX(Работы!$B$2:$B$6000,MATCH($C473,Работы!$A$2:$A$6000,0)),"")</f>
        <v>Установка подъемно секционных ворот автоматических 4500Х3000 мм</v>
      </c>
      <c r="E473" t="str">
        <f>IFERROR(INDEX(Работы!$C$2:$C$6000,MATCH($C473,Работы!$A$2:$A$6000,0)),"")</f>
        <v>шт.</v>
      </c>
      <c r="F473">
        <f>IFERROR(INDEX(Работы!$G$2:$G$6000,MATCH($C473,Работы!$A$2:$A$6000,0)),"")</f>
        <v>0</v>
      </c>
      <c r="G473" t="str">
        <f>IFERROR(INDEX(Работы!$K$2:$K$6000,MATCH($C473,Работы!$A$2:$A$6000,0)),"")</f>
        <v>Спецификация</v>
      </c>
      <c r="H473" s="9"/>
      <c r="I473" s="9"/>
      <c r="J473" s="8" t="str">
        <f>IFERROR(INDEX(Материалы!$B$2:$B$9000,MATCH($I473,Материалы!$A$2:$A$9000,0)),"")</f>
        <v/>
      </c>
      <c r="K473" t="str">
        <f>IF($I473="","",IF($F473=IFERROR(INDEX(Материалы!$G$2:$G$9000,MATCH($I473,Материалы!$A$2:$A$9000,0)),""),"OK","!! не та группа"))</f>
        <v/>
      </c>
      <c r="L473" s="10">
        <f>IFERROR(INDEX(Работы!$H$2:$H$6000,MATCH($C473,Работы!$A$2:$A$6000,0))*(1-ДисконтТендер),0)</f>
        <v>28112.05</v>
      </c>
      <c r="M473" s="10">
        <f>IF($I473="",0,IFERROR(INDEX(Материалы!$I$2:$I$9000,MATCH($I473,Материалы!$A$2:$A$9000,0))*IF(INDEX(Материалы!$J$2:$J$9000,MATCH($I473,Материалы!$A$2:$A$9000,0))="USD",КурсUSD,IF(INDEX(Материалы!$J$2:$J$9000,MATCH($I473,Материалы!$A$2:$A$9000,0))="EUR",КурсEUR,1))*INDEX(Материалы!$K$2:$K$9000,MATCH($I473,Материалы!$A$2:$A$9000,0))*(1+IFERROR(INDEX(Работы!$I$2:$I$6000,MATCH($C473,Работы!$A$2:$A$6000,0))/100,0))*(1-ДисконтТендер),0))</f>
        <v>0</v>
      </c>
      <c r="N473" s="10">
        <f t="shared" si="21"/>
        <v>0</v>
      </c>
      <c r="O473" s="10">
        <f t="shared" si="22"/>
        <v>0</v>
      </c>
      <c r="P473" s="10">
        <f t="shared" si="23"/>
        <v>0</v>
      </c>
      <c r="Q473" t="str">
        <f>IFERROR(INDEX(Работы!$J$2:$J$6000,MATCH($C473,Работы!$A$2:$A$6000,0)),"")</f>
        <v>нетиповая</v>
      </c>
      <c r="R473" t="s">
        <v>92</v>
      </c>
      <c r="T473" t="str">
        <f>IF(AND($P473&gt;0,$R473="да"),MAX($T$1:$T472)+1,"")</f>
        <v/>
      </c>
    </row>
    <row r="474" spans="1:20" ht="28.8" x14ac:dyDescent="0.3">
      <c r="A474" t="str">
        <f>IFERROR(INDEX(Работы!$D$2:$D$6000,MATCH($C474,Работы!$A$2:$A$6000,0)),"")</f>
        <v>Р4</v>
      </c>
      <c r="B474" t="str">
        <f>IFERROR(INDEX(Работы!$F$2:$F$6000,MATCH($C474,Работы!$A$2:$A$6000,0)),"")</f>
        <v>5</v>
      </c>
      <c r="C474" t="str">
        <f>IFERROR(INDEX(Работы!$A$2:$A$6000,473),"")</f>
        <v>РАБ.Р4.5.006</v>
      </c>
      <c r="D474" s="8" t="str">
        <f>IFERROR(INDEX(Работы!$B$2:$B$6000,MATCH($C474,Работы!$A$2:$A$6000,0)),"")</f>
        <v>Установка автоматического шлагбаума GARD 4000-кр</v>
      </c>
      <c r="E474" t="str">
        <f>IFERROR(INDEX(Работы!$C$2:$C$6000,MATCH($C474,Работы!$A$2:$A$6000,0)),"")</f>
        <v>шт.</v>
      </c>
      <c r="F474">
        <f>IFERROR(INDEX(Работы!$G$2:$G$6000,MATCH($C474,Работы!$A$2:$A$6000,0)),"")</f>
        <v>0</v>
      </c>
      <c r="G474" t="str">
        <f>IFERROR(INDEX(Работы!$K$2:$K$6000,MATCH($C474,Работы!$A$2:$A$6000,0)),"")</f>
        <v>Спецификация</v>
      </c>
      <c r="H474" s="9"/>
      <c r="I474" s="9"/>
      <c r="J474" s="8" t="str">
        <f>IFERROR(INDEX(Материалы!$B$2:$B$9000,MATCH($I474,Материалы!$A$2:$A$9000,0)),"")</f>
        <v/>
      </c>
      <c r="K474" t="str">
        <f>IF($I474="","",IF($F474=IFERROR(INDEX(Материалы!$G$2:$G$9000,MATCH($I474,Материалы!$A$2:$A$9000,0)),""),"OK","!! не та группа"))</f>
        <v/>
      </c>
      <c r="L474" s="10">
        <f>IFERROR(INDEX(Работы!$H$2:$H$6000,MATCH($C474,Работы!$A$2:$A$6000,0))*(1-ДисконтТендер),0)</f>
        <v>28501.200000000001</v>
      </c>
      <c r="M474" s="10">
        <f>IF($I474="",0,IFERROR(INDEX(Материалы!$I$2:$I$9000,MATCH($I474,Материалы!$A$2:$A$9000,0))*IF(INDEX(Материалы!$J$2:$J$9000,MATCH($I474,Материалы!$A$2:$A$9000,0))="USD",КурсUSD,IF(INDEX(Материалы!$J$2:$J$9000,MATCH($I474,Материалы!$A$2:$A$9000,0))="EUR",КурсEUR,1))*INDEX(Материалы!$K$2:$K$9000,MATCH($I474,Материалы!$A$2:$A$9000,0))*(1+IFERROR(INDEX(Работы!$I$2:$I$6000,MATCH($C474,Работы!$A$2:$A$6000,0))/100,0))*(1-ДисконтТендер),0))</f>
        <v>0</v>
      </c>
      <c r="N474" s="10">
        <f t="shared" si="21"/>
        <v>0</v>
      </c>
      <c r="O474" s="10">
        <f t="shared" si="22"/>
        <v>0</v>
      </c>
      <c r="P474" s="10">
        <f t="shared" si="23"/>
        <v>0</v>
      </c>
      <c r="Q474" t="str">
        <f>IFERROR(INDEX(Работы!$J$2:$J$6000,MATCH($C474,Работы!$A$2:$A$6000,0)),"")</f>
        <v>нетиповая</v>
      </c>
      <c r="R474" t="s">
        <v>92</v>
      </c>
      <c r="T474" t="str">
        <f>IF(AND($P474&gt;0,$R474="да"),MAX($T$1:$T473)+1,"")</f>
        <v/>
      </c>
    </row>
    <row r="475" spans="1:20" ht="43.2" x14ac:dyDescent="0.3">
      <c r="A475" t="str">
        <f>IFERROR(INDEX(Работы!$D$2:$D$6000,MATCH($C475,Работы!$A$2:$A$6000,0)),"")</f>
        <v>Р4</v>
      </c>
      <c r="B475" t="str">
        <f>IFERROR(INDEX(Работы!$F$2:$F$6000,MATCH($C475,Работы!$A$2:$A$6000,0)),"")</f>
        <v>5</v>
      </c>
      <c r="C475" t="str">
        <f>IFERROR(INDEX(Работы!$A$2:$A$6000,474),"")</f>
        <v>РАБ.Р4.5.007</v>
      </c>
      <c r="D475" s="8" t="str">
        <f>IFERROR(INDEX(Работы!$B$2:$B$6000,MATCH($C475,Работы!$A$2:$A$6000,0)),"")</f>
        <v>Устройство ограждения прилегающей территории ( Н - 2м. Проф-труба 60Х40 мм. с шагом 100 мм. Порошковая окраска - цвет черный).</v>
      </c>
      <c r="E475" t="str">
        <f>IFERROR(INDEX(Работы!$C$2:$C$6000,MATCH($C475,Работы!$A$2:$A$6000,0)),"")</f>
        <v>м.п.</v>
      </c>
      <c r="F475" t="str">
        <f>IFERROR(INDEX(Работы!$G$2:$G$6000,MATCH($C475,Работы!$A$2:$A$6000,0)),"")</f>
        <v>КРАСКА</v>
      </c>
      <c r="G475" t="str">
        <f>IFERROR(INDEX(Работы!$K$2:$K$6000,MATCH($C475,Работы!$A$2:$A$6000,0)),"")</f>
        <v>S_поверхность</v>
      </c>
      <c r="H475" s="9"/>
      <c r="I475" s="9"/>
      <c r="J475" s="8" t="str">
        <f>IFERROR(INDEX(Материалы!$B$2:$B$9000,MATCH($I475,Материалы!$A$2:$A$9000,0)),"")</f>
        <v/>
      </c>
      <c r="K475" t="str">
        <f>IF($I475="","",IF($F475=IFERROR(INDEX(Материалы!$G$2:$G$9000,MATCH($I475,Материалы!$A$2:$A$9000,0)),""),"OK","!! не та группа"))</f>
        <v/>
      </c>
      <c r="L475" s="10">
        <f>IFERROR(INDEX(Работы!$H$2:$H$6000,MATCH($C475,Работы!$A$2:$A$6000,0))*(1-ДисконтТендер),0)</f>
        <v>6571.11</v>
      </c>
      <c r="M475" s="10">
        <f>IF($I475="",0,IFERROR(INDEX(Материалы!$I$2:$I$9000,MATCH($I475,Материалы!$A$2:$A$9000,0))*IF(INDEX(Материалы!$J$2:$J$9000,MATCH($I475,Материалы!$A$2:$A$9000,0))="USD",КурсUSD,IF(INDEX(Материалы!$J$2:$J$9000,MATCH($I475,Материалы!$A$2:$A$9000,0))="EUR",КурсEUR,1))*INDEX(Материалы!$K$2:$K$9000,MATCH($I475,Материалы!$A$2:$A$9000,0))*(1+IFERROR(INDEX(Работы!$I$2:$I$6000,MATCH($C475,Работы!$A$2:$A$6000,0))/100,0))*(1-ДисконтТендер),0))</f>
        <v>0</v>
      </c>
      <c r="N475" s="10">
        <f t="shared" si="21"/>
        <v>0</v>
      </c>
      <c r="O475" s="10">
        <f t="shared" si="22"/>
        <v>0</v>
      </c>
      <c r="P475" s="10">
        <f t="shared" si="23"/>
        <v>0</v>
      </c>
      <c r="Q475" t="str">
        <f>IFERROR(INDEX(Работы!$J$2:$J$6000,MATCH($C475,Работы!$A$2:$A$6000,0)),"")</f>
        <v>нетиповая</v>
      </c>
      <c r="R475" t="s">
        <v>92</v>
      </c>
      <c r="T475" t="str">
        <f>IF(AND($P475&gt;0,$R475="да"),MAX($T$1:$T474)+1,"")</f>
        <v/>
      </c>
    </row>
    <row r="476" spans="1:20" x14ac:dyDescent="0.3">
      <c r="A476" t="str">
        <f>IFERROR(INDEX(Работы!$D$2:$D$6000,MATCH($C476,Работы!$A$2:$A$6000,0)),"")</f>
        <v>Р4</v>
      </c>
      <c r="B476" t="str">
        <f>IFERROR(INDEX(Работы!$F$2:$F$6000,MATCH($C476,Работы!$A$2:$A$6000,0)),"")</f>
        <v>5</v>
      </c>
      <c r="C476" t="str">
        <f>IFERROR(INDEX(Работы!$A$2:$A$6000,475),"")</f>
        <v>РАБ.Р4.5.008</v>
      </c>
      <c r="D476" s="8" t="str">
        <f>IFERROR(INDEX(Работы!$B$2:$B$6000,MATCH($C476,Работы!$A$2:$A$6000,0)),"")</f>
        <v>Разметка стоянок под автомобили</v>
      </c>
      <c r="E476" t="str">
        <f>IFERROR(INDEX(Работы!$C$2:$C$6000,MATCH($C476,Работы!$A$2:$A$6000,0)),"")</f>
        <v>м2</v>
      </c>
      <c r="F476">
        <f>IFERROR(INDEX(Работы!$G$2:$G$6000,MATCH($C476,Работы!$A$2:$A$6000,0)),"")</f>
        <v>0</v>
      </c>
      <c r="G476" t="str">
        <f>IFERROR(INDEX(Работы!$K$2:$K$6000,MATCH($C476,Работы!$A$2:$A$6000,0)),"")</f>
        <v>S_поверхность</v>
      </c>
      <c r="H476" s="9"/>
      <c r="I476" s="9"/>
      <c r="J476" s="8" t="str">
        <f>IFERROR(INDEX(Материалы!$B$2:$B$9000,MATCH($I476,Материалы!$A$2:$A$9000,0)),"")</f>
        <v/>
      </c>
      <c r="K476" t="str">
        <f>IF($I476="","",IF($F476=IFERROR(INDEX(Материалы!$G$2:$G$9000,MATCH($I476,Материалы!$A$2:$A$9000,0)),""),"OK","!! не та группа"))</f>
        <v/>
      </c>
      <c r="L476" s="10">
        <f>IFERROR(INDEX(Работы!$H$2:$H$6000,MATCH($C476,Работы!$A$2:$A$6000,0))*(1-ДисконтТендер),0)</f>
        <v>746.46</v>
      </c>
      <c r="M476" s="10">
        <f>IF($I476="",0,IFERROR(INDEX(Материалы!$I$2:$I$9000,MATCH($I476,Материалы!$A$2:$A$9000,0))*IF(INDEX(Материалы!$J$2:$J$9000,MATCH($I476,Материалы!$A$2:$A$9000,0))="USD",КурсUSD,IF(INDEX(Материалы!$J$2:$J$9000,MATCH($I476,Материалы!$A$2:$A$9000,0))="EUR",КурсEUR,1))*INDEX(Материалы!$K$2:$K$9000,MATCH($I476,Материалы!$A$2:$A$9000,0))*(1+IFERROR(INDEX(Работы!$I$2:$I$6000,MATCH($C476,Работы!$A$2:$A$6000,0))/100,0))*(1-ДисконтТендер),0))</f>
        <v>0</v>
      </c>
      <c r="N476" s="10">
        <f t="shared" si="21"/>
        <v>0</v>
      </c>
      <c r="O476" s="10">
        <f t="shared" si="22"/>
        <v>0</v>
      </c>
      <c r="P476" s="10">
        <f t="shared" si="23"/>
        <v>0</v>
      </c>
      <c r="Q476" t="str">
        <f>IFERROR(INDEX(Работы!$J$2:$J$6000,MATCH($C476,Работы!$A$2:$A$6000,0)),"")</f>
        <v>нетиповая</v>
      </c>
      <c r="R476" t="s">
        <v>92</v>
      </c>
      <c r="T476" t="str">
        <f>IF(AND($P476&gt;0,$R476="да"),MAX($T$1:$T475)+1,"")</f>
        <v/>
      </c>
    </row>
    <row r="477" spans="1:20" ht="28.8" x14ac:dyDescent="0.3">
      <c r="A477" t="str">
        <f>IFERROR(INDEX(Работы!$D$2:$D$6000,MATCH($C477,Работы!$A$2:$A$6000,0)),"")</f>
        <v>Р4</v>
      </c>
      <c r="B477" t="str">
        <f>IFERROR(INDEX(Работы!$F$2:$F$6000,MATCH($C477,Работы!$A$2:$A$6000,0)),"")</f>
        <v>5</v>
      </c>
      <c r="C477" t="str">
        <f>IFERROR(INDEX(Работы!$A$2:$A$6000,476),"")</f>
        <v>РАБ.Р4.5.009</v>
      </c>
      <c r="D477" s="8" t="str">
        <f>IFERROR(INDEX(Работы!$B$2:$B$6000,MATCH($C477,Работы!$A$2:$A$6000,0)),"")</f>
        <v>Облицовка фасада профлистом крашенным по RAL</v>
      </c>
      <c r="E477" t="str">
        <f>IFERROR(INDEX(Работы!$C$2:$C$6000,MATCH($C477,Работы!$A$2:$A$6000,0)),"")</f>
        <v>м2</v>
      </c>
      <c r="F477">
        <f>IFERROR(INDEX(Работы!$G$2:$G$6000,MATCH($C477,Работы!$A$2:$A$6000,0)),"")</f>
        <v>0</v>
      </c>
      <c r="G477" t="str">
        <f>IFERROR(INDEX(Работы!$K$2:$K$6000,MATCH($C477,Работы!$A$2:$A$6000,0)),"")</f>
        <v>S_фасад</v>
      </c>
      <c r="H477" s="9"/>
      <c r="I477" s="9"/>
      <c r="J477" s="8" t="str">
        <f>IFERROR(INDEX(Материалы!$B$2:$B$9000,MATCH($I477,Материалы!$A$2:$A$9000,0)),"")</f>
        <v/>
      </c>
      <c r="K477" t="str">
        <f>IF($I477="","",IF($F477=IFERROR(INDEX(Материалы!$G$2:$G$9000,MATCH($I477,Материалы!$A$2:$A$9000,0)),""),"OK","!! не та группа"))</f>
        <v/>
      </c>
      <c r="L477" s="10">
        <f>IFERROR(INDEX(Работы!$H$2:$H$6000,MATCH($C477,Работы!$A$2:$A$6000,0))*(1-ДисконтТендер),0)</f>
        <v>800.36</v>
      </c>
      <c r="M477" s="10">
        <f>IF($I477="",0,IFERROR(INDEX(Материалы!$I$2:$I$9000,MATCH($I477,Материалы!$A$2:$A$9000,0))*IF(INDEX(Материалы!$J$2:$J$9000,MATCH($I477,Материалы!$A$2:$A$9000,0))="USD",КурсUSD,IF(INDEX(Материалы!$J$2:$J$9000,MATCH($I477,Материалы!$A$2:$A$9000,0))="EUR",КурсEUR,1))*INDEX(Материалы!$K$2:$K$9000,MATCH($I477,Материалы!$A$2:$A$9000,0))*(1+IFERROR(INDEX(Работы!$I$2:$I$6000,MATCH($C477,Работы!$A$2:$A$6000,0))/100,0))*(1-ДисконтТендер),0))</f>
        <v>0</v>
      </c>
      <c r="N477" s="10">
        <f t="shared" si="21"/>
        <v>0</v>
      </c>
      <c r="O477" s="10">
        <f t="shared" si="22"/>
        <v>0</v>
      </c>
      <c r="P477" s="10">
        <f t="shared" si="23"/>
        <v>0</v>
      </c>
      <c r="Q477" t="str">
        <f>IFERROR(INDEX(Работы!$J$2:$J$6000,MATCH($C477,Работы!$A$2:$A$6000,0)),"")</f>
        <v>нетиповая</v>
      </c>
      <c r="R477" t="s">
        <v>92</v>
      </c>
      <c r="T477" t="str">
        <f>IF(AND($P477&gt;0,$R477="да"),MAX($T$1:$T476)+1,"")</f>
        <v/>
      </c>
    </row>
    <row r="478" spans="1:20" x14ac:dyDescent="0.3">
      <c r="A478" t="str">
        <f>IFERROR(INDEX(Работы!$D$2:$D$6000,MATCH($C478,Работы!$A$2:$A$6000,0)),"")</f>
        <v>Р4</v>
      </c>
      <c r="B478" t="str">
        <f>IFERROR(INDEX(Работы!$F$2:$F$6000,MATCH($C478,Работы!$A$2:$A$6000,0)),"")</f>
        <v>5</v>
      </c>
      <c r="C478" t="str">
        <f>IFERROR(INDEX(Работы!$A$2:$A$6000,477),"")</f>
        <v>РАБ.Р4.5.010</v>
      </c>
      <c r="D478" s="8" t="str">
        <f>IFERROR(INDEX(Работы!$B$2:$B$6000,MATCH($C478,Работы!$A$2:$A$6000,0)),"")</f>
        <v>Устройство приямков</v>
      </c>
      <c r="E478" t="str">
        <f>IFERROR(INDEX(Работы!$C$2:$C$6000,MATCH($C478,Работы!$A$2:$A$6000,0)),"")</f>
        <v>шт.</v>
      </c>
      <c r="F478">
        <f>IFERROR(INDEX(Работы!$G$2:$G$6000,MATCH($C478,Работы!$A$2:$A$6000,0)),"")</f>
        <v>0</v>
      </c>
      <c r="G478" t="str">
        <f>IFERROR(INDEX(Работы!$K$2:$K$6000,MATCH($C478,Работы!$A$2:$A$6000,0)),"")</f>
        <v>Спецификация</v>
      </c>
      <c r="H478" s="9"/>
      <c r="I478" s="9"/>
      <c r="J478" s="8" t="str">
        <f>IFERROR(INDEX(Материалы!$B$2:$B$9000,MATCH($I478,Материалы!$A$2:$A$9000,0)),"")</f>
        <v/>
      </c>
      <c r="K478" t="str">
        <f>IF($I478="","",IF($F478=IFERROR(INDEX(Материалы!$G$2:$G$9000,MATCH($I478,Материалы!$A$2:$A$9000,0)),""),"OK","!! не та группа"))</f>
        <v/>
      </c>
      <c r="L478" s="10">
        <f>IFERROR(INDEX(Работы!$H$2:$H$6000,MATCH($C478,Работы!$A$2:$A$6000,0))*(1-ДисконтТендер),0)</f>
        <v>1850.12</v>
      </c>
      <c r="M478" s="10">
        <f>IF($I478="",0,IFERROR(INDEX(Материалы!$I$2:$I$9000,MATCH($I478,Материалы!$A$2:$A$9000,0))*IF(INDEX(Материалы!$J$2:$J$9000,MATCH($I478,Материалы!$A$2:$A$9000,0))="USD",КурсUSD,IF(INDEX(Материалы!$J$2:$J$9000,MATCH($I478,Материалы!$A$2:$A$9000,0))="EUR",КурсEUR,1))*INDEX(Материалы!$K$2:$K$9000,MATCH($I478,Материалы!$A$2:$A$9000,0))*(1+IFERROR(INDEX(Работы!$I$2:$I$6000,MATCH($C478,Работы!$A$2:$A$6000,0))/100,0))*(1-ДисконтТендер),0))</f>
        <v>0</v>
      </c>
      <c r="N478" s="10">
        <f t="shared" si="21"/>
        <v>0</v>
      </c>
      <c r="O478" s="10">
        <f t="shared" si="22"/>
        <v>0</v>
      </c>
      <c r="P478" s="10">
        <f t="shared" si="23"/>
        <v>0</v>
      </c>
      <c r="Q478" t="str">
        <f>IFERROR(INDEX(Работы!$J$2:$J$6000,MATCH($C478,Работы!$A$2:$A$6000,0)),"")</f>
        <v>нетиповая</v>
      </c>
      <c r="R478" t="s">
        <v>92</v>
      </c>
      <c r="T478" t="str">
        <f>IF(AND($P478&gt;0,$R478="да"),MAX($T$1:$T477)+1,"")</f>
        <v/>
      </c>
    </row>
    <row r="479" spans="1:20" x14ac:dyDescent="0.3">
      <c r="A479" t="str">
        <f>IFERROR(INDEX(Работы!$D$2:$D$6000,MATCH($C479,Работы!$A$2:$A$6000,0)),"")</f>
        <v>Р4</v>
      </c>
      <c r="B479" t="str">
        <f>IFERROR(INDEX(Работы!$F$2:$F$6000,MATCH($C479,Работы!$A$2:$A$6000,0)),"")</f>
        <v>5</v>
      </c>
      <c r="C479" t="str">
        <f>IFERROR(INDEX(Работы!$A$2:$A$6000,478),"")</f>
        <v>РАБ.Р4.5.011</v>
      </c>
      <c r="D479" s="8" t="str">
        <f>IFERROR(INDEX(Работы!$B$2:$B$6000,MATCH($C479,Работы!$A$2:$A$6000,0)),"")</f>
        <v>Укладка геотекстиля</v>
      </c>
      <c r="E479" t="str">
        <f>IFERROR(INDEX(Работы!$C$2:$C$6000,MATCH($C479,Работы!$A$2:$A$6000,0)),"")</f>
        <v>м2</v>
      </c>
      <c r="F479">
        <f>IFERROR(INDEX(Работы!$G$2:$G$6000,MATCH($C479,Работы!$A$2:$A$6000,0)),"")</f>
        <v>0</v>
      </c>
      <c r="G479" t="str">
        <f>IFERROR(INDEX(Работы!$K$2:$K$6000,MATCH($C479,Работы!$A$2:$A$6000,0)),"")</f>
        <v>S_поверхность</v>
      </c>
      <c r="H479" s="9"/>
      <c r="I479" s="9"/>
      <c r="J479" s="8" t="str">
        <f>IFERROR(INDEX(Материалы!$B$2:$B$9000,MATCH($I479,Материалы!$A$2:$A$9000,0)),"")</f>
        <v/>
      </c>
      <c r="K479" t="str">
        <f>IF($I479="","",IF($F479=IFERROR(INDEX(Материалы!$G$2:$G$9000,MATCH($I479,Материалы!$A$2:$A$9000,0)),""),"OK","!! не та группа"))</f>
        <v/>
      </c>
      <c r="L479" s="10">
        <f>IFERROR(INDEX(Работы!$H$2:$H$6000,MATCH($C479,Работы!$A$2:$A$6000,0))*(1-ДисконтТендер),0)</f>
        <v>452.96</v>
      </c>
      <c r="M479" s="10">
        <f>IF($I479="",0,IFERROR(INDEX(Материалы!$I$2:$I$9000,MATCH($I479,Материалы!$A$2:$A$9000,0))*IF(INDEX(Материалы!$J$2:$J$9000,MATCH($I479,Материалы!$A$2:$A$9000,0))="USD",КурсUSD,IF(INDEX(Материалы!$J$2:$J$9000,MATCH($I479,Материалы!$A$2:$A$9000,0))="EUR",КурсEUR,1))*INDEX(Материалы!$K$2:$K$9000,MATCH($I479,Материалы!$A$2:$A$9000,0))*(1+IFERROR(INDEX(Работы!$I$2:$I$6000,MATCH($C479,Работы!$A$2:$A$6000,0))/100,0))*(1-ДисконтТендер),0))</f>
        <v>0</v>
      </c>
      <c r="N479" s="10">
        <f t="shared" si="21"/>
        <v>0</v>
      </c>
      <c r="O479" s="10">
        <f t="shared" si="22"/>
        <v>0</v>
      </c>
      <c r="P479" s="10">
        <f t="shared" si="23"/>
        <v>0</v>
      </c>
      <c r="Q479" t="str">
        <f>IFERROR(INDEX(Работы!$J$2:$J$6000,MATCH($C479,Работы!$A$2:$A$6000,0)),"")</f>
        <v>нетиповая</v>
      </c>
      <c r="R479" t="s">
        <v>92</v>
      </c>
      <c r="T479" t="str">
        <f>IF(AND($P479&gt;0,$R479="да"),MAX($T$1:$T478)+1,"")</f>
        <v/>
      </c>
    </row>
    <row r="480" spans="1:20" ht="28.8" x14ac:dyDescent="0.3">
      <c r="A480" t="str">
        <f>IFERROR(INDEX(Работы!$D$2:$D$6000,MATCH($C480,Работы!$A$2:$A$6000,0)),"")</f>
        <v>Р4</v>
      </c>
      <c r="B480" t="str">
        <f>IFERROR(INDEX(Работы!$F$2:$F$6000,MATCH($C480,Работы!$A$2:$A$6000,0)),"")</f>
        <v>5</v>
      </c>
      <c r="C480" t="str">
        <f>IFERROR(INDEX(Работы!$A$2:$A$6000,479),"")</f>
        <v>РАБ.Р4.5.012</v>
      </c>
      <c r="D480" s="8" t="str">
        <f>IFERROR(INDEX(Работы!$B$2:$B$6000,MATCH($C480,Работы!$A$2:$A$6000,0)),"")</f>
        <v>Укладка тротуарной плитки (толщину и цвет согласовать с заказчиком)</v>
      </c>
      <c r="E480" t="str">
        <f>IFERROR(INDEX(Работы!$C$2:$C$6000,MATCH($C480,Работы!$A$2:$A$6000,0)),"")</f>
        <v>м2</v>
      </c>
      <c r="F480">
        <f>IFERROR(INDEX(Работы!$G$2:$G$6000,MATCH($C480,Работы!$A$2:$A$6000,0)),"")</f>
        <v>0</v>
      </c>
      <c r="G480" t="str">
        <f>IFERROR(INDEX(Работы!$K$2:$K$6000,MATCH($C480,Работы!$A$2:$A$6000,0)),"")</f>
        <v>S_поверхность</v>
      </c>
      <c r="H480" s="9"/>
      <c r="I480" s="9"/>
      <c r="J480" s="8" t="str">
        <f>IFERROR(INDEX(Материалы!$B$2:$B$9000,MATCH($I480,Материалы!$A$2:$A$9000,0)),"")</f>
        <v/>
      </c>
      <c r="K480" t="str">
        <f>IF($I480="","",IF($F480=IFERROR(INDEX(Материалы!$G$2:$G$9000,MATCH($I480,Материалы!$A$2:$A$9000,0)),""),"OK","!! не та группа"))</f>
        <v/>
      </c>
      <c r="L480" s="10">
        <f>IFERROR(INDEX(Работы!$H$2:$H$6000,MATCH($C480,Работы!$A$2:$A$6000,0))*(1-ДисконтТендер),0)</f>
        <v>3048</v>
      </c>
      <c r="M480" s="10">
        <f>IF($I480="",0,IFERROR(INDEX(Материалы!$I$2:$I$9000,MATCH($I480,Материалы!$A$2:$A$9000,0))*IF(INDEX(Материалы!$J$2:$J$9000,MATCH($I480,Материалы!$A$2:$A$9000,0))="USD",КурсUSD,IF(INDEX(Материалы!$J$2:$J$9000,MATCH($I480,Материалы!$A$2:$A$9000,0))="EUR",КурсEUR,1))*INDEX(Материалы!$K$2:$K$9000,MATCH($I480,Материалы!$A$2:$A$9000,0))*(1+IFERROR(INDEX(Работы!$I$2:$I$6000,MATCH($C480,Работы!$A$2:$A$6000,0))/100,0))*(1-ДисконтТендер),0))</f>
        <v>0</v>
      </c>
      <c r="N480" s="10">
        <f t="shared" si="21"/>
        <v>0</v>
      </c>
      <c r="O480" s="10">
        <f t="shared" si="22"/>
        <v>0</v>
      </c>
      <c r="P480" s="10">
        <f t="shared" si="23"/>
        <v>0</v>
      </c>
      <c r="Q480" t="str">
        <f>IFERROR(INDEX(Работы!$J$2:$J$6000,MATCH($C480,Работы!$A$2:$A$6000,0)),"")</f>
        <v>нетиповая</v>
      </c>
      <c r="R480" t="s">
        <v>92</v>
      </c>
      <c r="T480" t="str">
        <f>IF(AND($P480&gt;0,$R480="да"),MAX($T$1:$T479)+1,"")</f>
        <v/>
      </c>
    </row>
    <row r="481" spans="1:20" x14ac:dyDescent="0.3">
      <c r="A481" t="str">
        <f>IFERROR(INDEX(Работы!$D$2:$D$6000,MATCH($C481,Работы!$A$2:$A$6000,0)),"")</f>
        <v>Р4</v>
      </c>
      <c r="B481" t="str">
        <f>IFERROR(INDEX(Работы!$F$2:$F$6000,MATCH($C481,Работы!$A$2:$A$6000,0)),"")</f>
        <v>5</v>
      </c>
      <c r="C481" t="str">
        <f>IFERROR(INDEX(Работы!$A$2:$A$6000,480),"")</f>
        <v>РАБ.Р4.5.013</v>
      </c>
      <c r="D481" s="8" t="str">
        <f>IFERROR(INDEX(Работы!$B$2:$B$6000,MATCH($C481,Работы!$A$2:$A$6000,0)),"")</f>
        <v>Устройство бордюра тротуарного</v>
      </c>
      <c r="E481" t="str">
        <f>IFERROR(INDEX(Работы!$C$2:$C$6000,MATCH($C481,Работы!$A$2:$A$6000,0)),"")</f>
        <v>м.п.</v>
      </c>
      <c r="F481">
        <f>IFERROR(INDEX(Работы!$G$2:$G$6000,MATCH($C481,Работы!$A$2:$A$6000,0)),"")</f>
        <v>0</v>
      </c>
      <c r="G481" t="str">
        <f>IFERROR(INDEX(Работы!$K$2:$K$6000,MATCH($C481,Работы!$A$2:$A$6000,0)),"")</f>
        <v>Погонаж</v>
      </c>
      <c r="H481" s="9"/>
      <c r="I481" s="9"/>
      <c r="J481" s="8" t="str">
        <f>IFERROR(INDEX(Материалы!$B$2:$B$9000,MATCH($I481,Материалы!$A$2:$A$9000,0)),"")</f>
        <v/>
      </c>
      <c r="K481" t="str">
        <f>IF($I481="","",IF($F481=IFERROR(INDEX(Материалы!$G$2:$G$9000,MATCH($I481,Материалы!$A$2:$A$9000,0)),""),"OK","!! не та группа"))</f>
        <v/>
      </c>
      <c r="L481" s="10">
        <f>IFERROR(INDEX(Работы!$H$2:$H$6000,MATCH($C481,Работы!$A$2:$A$6000,0))*(1-ДисконтТендер),0)</f>
        <v>1500</v>
      </c>
      <c r="M481" s="10">
        <f>IF($I481="",0,IFERROR(INDEX(Материалы!$I$2:$I$9000,MATCH($I481,Материалы!$A$2:$A$9000,0))*IF(INDEX(Материалы!$J$2:$J$9000,MATCH($I481,Материалы!$A$2:$A$9000,0))="USD",КурсUSD,IF(INDEX(Материалы!$J$2:$J$9000,MATCH($I481,Материалы!$A$2:$A$9000,0))="EUR",КурсEUR,1))*INDEX(Материалы!$K$2:$K$9000,MATCH($I481,Материалы!$A$2:$A$9000,0))*(1+IFERROR(INDEX(Работы!$I$2:$I$6000,MATCH($C481,Работы!$A$2:$A$6000,0))/100,0))*(1-ДисконтТендер),0))</f>
        <v>0</v>
      </c>
      <c r="N481" s="10">
        <f t="shared" si="21"/>
        <v>0</v>
      </c>
      <c r="O481" s="10">
        <f t="shared" si="22"/>
        <v>0</v>
      </c>
      <c r="P481" s="10">
        <f t="shared" si="23"/>
        <v>0</v>
      </c>
      <c r="Q481" t="str">
        <f>IFERROR(INDEX(Работы!$J$2:$J$6000,MATCH($C481,Работы!$A$2:$A$6000,0)),"")</f>
        <v>нетиповая</v>
      </c>
      <c r="R481" t="s">
        <v>92</v>
      </c>
      <c r="T481" t="str">
        <f>IF(AND($P481&gt;0,$R481="да"),MAX($T$1:$T480)+1,"")</f>
        <v/>
      </c>
    </row>
    <row r="482" spans="1:20" x14ac:dyDescent="0.3">
      <c r="A482" t="str">
        <f>IFERROR(INDEX(Работы!$D$2:$D$6000,MATCH($C482,Работы!$A$2:$A$6000,0)),"")</f>
        <v>Р4</v>
      </c>
      <c r="B482" t="str">
        <f>IFERROR(INDEX(Работы!$F$2:$F$6000,MATCH($C482,Работы!$A$2:$A$6000,0)),"")</f>
        <v>5</v>
      </c>
      <c r="C482" t="str">
        <f>IFERROR(INDEX(Работы!$A$2:$A$6000,481),"")</f>
        <v>РАБ.Р4.5.014</v>
      </c>
      <c r="D482" s="8" t="str">
        <f>IFERROR(INDEX(Работы!$B$2:$B$6000,MATCH($C482,Работы!$A$2:$A$6000,0)),"")</f>
        <v>Устройство асфальтового покрытия</v>
      </c>
      <c r="E482" t="str">
        <f>IFERROR(INDEX(Работы!$C$2:$C$6000,MATCH($C482,Работы!$A$2:$A$6000,0)),"")</f>
        <v>м2</v>
      </c>
      <c r="F482">
        <f>IFERROR(INDEX(Работы!$G$2:$G$6000,MATCH($C482,Работы!$A$2:$A$6000,0)),"")</f>
        <v>0</v>
      </c>
      <c r="G482" t="str">
        <f>IFERROR(INDEX(Работы!$K$2:$K$6000,MATCH($C482,Работы!$A$2:$A$6000,0)),"")</f>
        <v>S_поверхность</v>
      </c>
      <c r="H482" s="9"/>
      <c r="I482" s="9"/>
      <c r="J482" s="8" t="str">
        <f>IFERROR(INDEX(Материалы!$B$2:$B$9000,MATCH($I482,Материалы!$A$2:$A$9000,0)),"")</f>
        <v/>
      </c>
      <c r="K482" t="str">
        <f>IF($I482="","",IF($F482=IFERROR(INDEX(Материалы!$G$2:$G$9000,MATCH($I482,Материалы!$A$2:$A$9000,0)),""),"OK","!! не та группа"))</f>
        <v/>
      </c>
      <c r="L482" s="10">
        <f>IFERROR(INDEX(Работы!$H$2:$H$6000,MATCH($C482,Работы!$A$2:$A$6000,0))*(1-ДисконтТендер),0)</f>
        <v>2000</v>
      </c>
      <c r="M482" s="10">
        <f>IF($I482="",0,IFERROR(INDEX(Материалы!$I$2:$I$9000,MATCH($I482,Материалы!$A$2:$A$9000,0))*IF(INDEX(Материалы!$J$2:$J$9000,MATCH($I482,Материалы!$A$2:$A$9000,0))="USD",КурсUSD,IF(INDEX(Материалы!$J$2:$J$9000,MATCH($I482,Материалы!$A$2:$A$9000,0))="EUR",КурсEUR,1))*INDEX(Материалы!$K$2:$K$9000,MATCH($I482,Материалы!$A$2:$A$9000,0))*(1+IFERROR(INDEX(Работы!$I$2:$I$6000,MATCH($C482,Работы!$A$2:$A$6000,0))/100,0))*(1-ДисконтТендер),0))</f>
        <v>0</v>
      </c>
      <c r="N482" s="10">
        <f t="shared" si="21"/>
        <v>0</v>
      </c>
      <c r="O482" s="10">
        <f t="shared" si="22"/>
        <v>0</v>
      </c>
      <c r="P482" s="10">
        <f t="shared" si="23"/>
        <v>0</v>
      </c>
      <c r="Q482" t="str">
        <f>IFERROR(INDEX(Работы!$J$2:$J$6000,MATCH($C482,Работы!$A$2:$A$6000,0)),"")</f>
        <v>нетиповая</v>
      </c>
      <c r="R482" t="s">
        <v>92</v>
      </c>
      <c r="T482" t="str">
        <f>IF(AND($P482&gt;0,$R482="да"),MAX($T$1:$T481)+1,"")</f>
        <v/>
      </c>
    </row>
    <row r="483" spans="1:20" ht="72" x14ac:dyDescent="0.3">
      <c r="A483" t="str">
        <f>IFERROR(INDEX(Работы!$D$2:$D$6000,MATCH($C483,Работы!$A$2:$A$6000,0)),"")</f>
        <v>Р4</v>
      </c>
      <c r="B483" t="str">
        <f>IFERROR(INDEX(Работы!$F$2:$F$6000,MATCH($C483,Работы!$A$2:$A$6000,0)),"")</f>
        <v>5</v>
      </c>
      <c r="C483" t="str">
        <f>IFERROR(INDEX(Работы!$A$2:$A$6000,482),"")</f>
        <v>РАБ.Р4.5.015</v>
      </c>
      <c r="D483" s="8" t="str">
        <f>IFERROR(INDEX(Работы!$B$2:$B$6000,MATCH($C483,Работы!$A$2:$A$6000,0)),"")</f>
        <v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v>
      </c>
      <c r="E483" t="str">
        <f>IFERROR(INDEX(Работы!$C$2:$C$6000,MATCH($C483,Работы!$A$2:$A$6000,0)),"")</f>
        <v>м.п.</v>
      </c>
      <c r="F483">
        <f>IFERROR(INDEX(Работы!$G$2:$G$6000,MATCH($C483,Работы!$A$2:$A$6000,0)),"")</f>
        <v>0</v>
      </c>
      <c r="G483" t="str">
        <f>IFERROR(INDEX(Работы!$K$2:$K$6000,MATCH($C483,Работы!$A$2:$A$6000,0)),"")</f>
        <v>Спецификация</v>
      </c>
      <c r="H483" s="9"/>
      <c r="I483" s="9"/>
      <c r="J483" s="8" t="str">
        <f>IFERROR(INDEX(Материалы!$B$2:$B$9000,MATCH($I483,Материалы!$A$2:$A$9000,0)),"")</f>
        <v/>
      </c>
      <c r="K483" t="str">
        <f>IF($I483="","",IF($F483=IFERROR(INDEX(Материалы!$G$2:$G$9000,MATCH($I483,Материалы!$A$2:$A$9000,0)),""),"OK","!! не та группа"))</f>
        <v/>
      </c>
      <c r="L483" s="10">
        <f>IFERROR(INDEX(Работы!$H$2:$H$6000,MATCH($C483,Работы!$A$2:$A$6000,0))*(1-ДисконтТендер),0)</f>
        <v>16286.4</v>
      </c>
      <c r="M483" s="10">
        <f>IF($I483="",0,IFERROR(INDEX(Материалы!$I$2:$I$9000,MATCH($I483,Материалы!$A$2:$A$9000,0))*IF(INDEX(Материалы!$J$2:$J$9000,MATCH($I483,Материалы!$A$2:$A$9000,0))="USD",КурсUSD,IF(INDEX(Материалы!$J$2:$J$9000,MATCH($I483,Материалы!$A$2:$A$9000,0))="EUR",КурсEUR,1))*INDEX(Материалы!$K$2:$K$9000,MATCH($I483,Материалы!$A$2:$A$9000,0))*(1+IFERROR(INDEX(Работы!$I$2:$I$6000,MATCH($C483,Работы!$A$2:$A$6000,0))/100,0))*(1-ДисконтТендер),0))</f>
        <v>0</v>
      </c>
      <c r="N483" s="10">
        <f t="shared" si="21"/>
        <v>0</v>
      </c>
      <c r="O483" s="10">
        <f t="shared" si="22"/>
        <v>0</v>
      </c>
      <c r="P483" s="10">
        <f t="shared" si="23"/>
        <v>0</v>
      </c>
      <c r="Q483" t="str">
        <f>IFERROR(INDEX(Работы!$J$2:$J$6000,MATCH($C483,Работы!$A$2:$A$6000,0)),"")</f>
        <v>нетиповая</v>
      </c>
      <c r="R483" t="s">
        <v>92</v>
      </c>
      <c r="T483" t="str">
        <f>IF(AND($P483&gt;0,$R483="да"),MAX($T$1:$T482)+1,"")</f>
        <v/>
      </c>
    </row>
    <row r="484" spans="1:20" ht="28.8" x14ac:dyDescent="0.3">
      <c r="A484" t="str">
        <f>IFERROR(INDEX(Работы!$D$2:$D$6000,MATCH($C484,Работы!$A$2:$A$6000,0)),"")</f>
        <v>Р5</v>
      </c>
      <c r="B484" t="str">
        <f>IFERROR(INDEX(Работы!$F$2:$F$6000,MATCH($C484,Работы!$A$2:$A$6000,0)),"")</f>
        <v>1</v>
      </c>
      <c r="C484" t="str">
        <f>IFERROR(INDEX(Работы!$A$2:$A$6000,483),"")</f>
        <v>РАБ.Р5.1.001</v>
      </c>
      <c r="D484" s="8" t="str">
        <f>IFERROR(INDEX(Работы!$B$2:$B$6000,MATCH($C484,Работы!$A$2:$A$6000,0)),"")</f>
        <v>Установка пожарного шкафа в комлекте с пожарным рукавом 20 м и огнетушителем</v>
      </c>
      <c r="E484" t="str">
        <f>IFERROR(INDEX(Работы!$C$2:$C$6000,MATCH($C484,Работы!$A$2:$A$6000,0)),"")</f>
        <v>компл.</v>
      </c>
      <c r="F484">
        <f>IFERROR(INDEX(Работы!$G$2:$G$6000,MATCH($C484,Работы!$A$2:$A$6000,0)),"")</f>
        <v>0</v>
      </c>
      <c r="G484" t="str">
        <f>IFERROR(INDEX(Работы!$K$2:$K$6000,MATCH($C484,Работы!$A$2:$A$6000,0)),"")</f>
        <v>Спецификация</v>
      </c>
      <c r="H484" s="9"/>
      <c r="I484" s="9"/>
      <c r="J484" s="8" t="str">
        <f>IFERROR(INDEX(Материалы!$B$2:$B$9000,MATCH($I484,Материалы!$A$2:$A$9000,0)),"")</f>
        <v/>
      </c>
      <c r="K484" t="str">
        <f>IF($I484="","",IF($F484=IFERROR(INDEX(Материалы!$G$2:$G$9000,MATCH($I484,Материалы!$A$2:$A$9000,0)),""),"OK","!! не та группа"))</f>
        <v/>
      </c>
      <c r="L484" s="10">
        <f>IFERROR(INDEX(Работы!$H$2:$H$6000,MATCH($C484,Работы!$A$2:$A$6000,0))*(1-ДисконтТендер),0)</f>
        <v>6297.41</v>
      </c>
      <c r="M484" s="10">
        <f>IF($I484="",0,IFERROR(INDEX(Материалы!$I$2:$I$9000,MATCH($I484,Материалы!$A$2:$A$9000,0))*IF(INDEX(Материалы!$J$2:$J$9000,MATCH($I484,Материалы!$A$2:$A$9000,0))="USD",КурсUSD,IF(INDEX(Материалы!$J$2:$J$9000,MATCH($I484,Материалы!$A$2:$A$9000,0))="EUR",КурсEUR,1))*INDEX(Материалы!$K$2:$K$9000,MATCH($I484,Материалы!$A$2:$A$9000,0))*(1+IFERROR(INDEX(Работы!$I$2:$I$6000,MATCH($C484,Работы!$A$2:$A$6000,0))/100,0))*(1-ДисконтТендер),0))</f>
        <v>0</v>
      </c>
      <c r="N484" s="10">
        <f t="shared" si="21"/>
        <v>0</v>
      </c>
      <c r="O484" s="10">
        <f t="shared" si="22"/>
        <v>0</v>
      </c>
      <c r="P484" s="10">
        <f t="shared" si="23"/>
        <v>0</v>
      </c>
      <c r="Q484" t="str">
        <f>IFERROR(INDEX(Работы!$J$2:$J$6000,MATCH($C484,Работы!$A$2:$A$6000,0)),"")</f>
        <v>типовая</v>
      </c>
      <c r="R484" t="s">
        <v>92</v>
      </c>
      <c r="T484" t="str">
        <f>IF(AND($P484&gt;0,$R484="да"),MAX($T$1:$T483)+1,"")</f>
        <v/>
      </c>
    </row>
    <row r="485" spans="1:20" ht="43.2" x14ac:dyDescent="0.3">
      <c r="A485" t="str">
        <f>IFERROR(INDEX(Работы!$D$2:$D$6000,MATCH($C485,Работы!$A$2:$A$6000,0)),"")</f>
        <v>Р5</v>
      </c>
      <c r="B485" t="str">
        <f>IFERROR(INDEX(Работы!$F$2:$F$6000,MATCH($C485,Работы!$A$2:$A$6000,0)),"")</f>
        <v>1</v>
      </c>
      <c r="C485" t="str">
        <f>IFERROR(INDEX(Работы!$A$2:$A$6000,484),"")</f>
        <v>РАБ.Р5.1.002</v>
      </c>
      <c r="D485" s="8" t="str">
        <f>IFERROR(INDEX(Работы!$B$2:$B$6000,MATCH($C485,Работы!$A$2:$A$6000,0)),"")</f>
        <v>Установка пожарного шкафа двойного в комлекте с пожарными рукавами 20м- 2шт. и огнетушителями-2шт. ШПК-03-12</v>
      </c>
      <c r="E485" t="str">
        <f>IFERROR(INDEX(Работы!$C$2:$C$6000,MATCH($C485,Работы!$A$2:$A$6000,0)),"")</f>
        <v>компл.</v>
      </c>
      <c r="F485">
        <f>IFERROR(INDEX(Работы!$G$2:$G$6000,MATCH($C485,Работы!$A$2:$A$6000,0)),"")</f>
        <v>0</v>
      </c>
      <c r="G485" t="str">
        <f>IFERROR(INDEX(Работы!$K$2:$K$6000,MATCH($C485,Работы!$A$2:$A$6000,0)),"")</f>
        <v>Спецификация</v>
      </c>
      <c r="H485" s="9"/>
      <c r="I485" s="9"/>
      <c r="J485" s="8" t="str">
        <f>IFERROR(INDEX(Материалы!$B$2:$B$9000,MATCH($I485,Материалы!$A$2:$A$9000,0)),"")</f>
        <v/>
      </c>
      <c r="K485" t="str">
        <f>IF($I485="","",IF($F485=IFERROR(INDEX(Материалы!$G$2:$G$9000,MATCH($I485,Материалы!$A$2:$A$9000,0)),""),"OK","!! не та группа"))</f>
        <v/>
      </c>
      <c r="L485" s="10">
        <f>IFERROR(INDEX(Работы!$H$2:$H$6000,MATCH($C485,Работы!$A$2:$A$6000,0))*(1-ДисконтТендер),0)</f>
        <v>6965.22</v>
      </c>
      <c r="M485" s="10">
        <f>IF($I485="",0,IFERROR(INDEX(Материалы!$I$2:$I$9000,MATCH($I485,Материалы!$A$2:$A$9000,0))*IF(INDEX(Материалы!$J$2:$J$9000,MATCH($I485,Материалы!$A$2:$A$9000,0))="USD",КурсUSD,IF(INDEX(Материалы!$J$2:$J$9000,MATCH($I485,Материалы!$A$2:$A$9000,0))="EUR",КурсEUR,1))*INDEX(Материалы!$K$2:$K$9000,MATCH($I485,Материалы!$A$2:$A$9000,0))*(1+IFERROR(INDEX(Работы!$I$2:$I$6000,MATCH($C485,Работы!$A$2:$A$6000,0))/100,0))*(1-ДисконтТендер),0))</f>
        <v>0</v>
      </c>
      <c r="N485" s="10">
        <f t="shared" si="21"/>
        <v>0</v>
      </c>
      <c r="O485" s="10">
        <f t="shared" si="22"/>
        <v>0</v>
      </c>
      <c r="P485" s="10">
        <f t="shared" si="23"/>
        <v>0</v>
      </c>
      <c r="Q485" t="str">
        <f>IFERROR(INDEX(Работы!$J$2:$J$6000,MATCH($C485,Работы!$A$2:$A$6000,0)),"")</f>
        <v>типовая</v>
      </c>
      <c r="R485" t="s">
        <v>92</v>
      </c>
      <c r="T485" t="str">
        <f>IF(AND($P485&gt;0,$R485="да"),MAX($T$1:$T484)+1,"")</f>
        <v/>
      </c>
    </row>
    <row r="486" spans="1:20" x14ac:dyDescent="0.3">
      <c r="A486" t="str">
        <f>IFERROR(INDEX(Работы!$D$2:$D$6000,MATCH($C486,Работы!$A$2:$A$6000,0)),"")</f>
        <v>Р5</v>
      </c>
      <c r="B486" t="str">
        <f>IFERROR(INDEX(Работы!$F$2:$F$6000,MATCH($C486,Работы!$A$2:$A$6000,0)),"")</f>
        <v>1</v>
      </c>
      <c r="C486" t="str">
        <f>IFERROR(INDEX(Работы!$A$2:$A$6000,485),"")</f>
        <v>РАБ.Р5.1.003</v>
      </c>
      <c r="D486" s="8" t="str">
        <f>IFERROR(INDEX(Работы!$B$2:$B$6000,MATCH($C486,Работы!$A$2:$A$6000,0)),"")</f>
        <v>Врезка в существующий пожарный водопрвод</v>
      </c>
      <c r="E486" t="str">
        <f>IFERROR(INDEX(Работы!$C$2:$C$6000,MATCH($C486,Работы!$A$2:$A$6000,0)),"")</f>
        <v>шт.</v>
      </c>
      <c r="F486">
        <f>IFERROR(INDEX(Работы!$G$2:$G$6000,MATCH($C486,Работы!$A$2:$A$6000,0)),"")</f>
        <v>0</v>
      </c>
      <c r="G486" t="str">
        <f>IFERROR(INDEX(Работы!$K$2:$K$6000,MATCH($C486,Работы!$A$2:$A$6000,0)),"")</f>
        <v>Спецификация</v>
      </c>
      <c r="H486" s="9"/>
      <c r="I486" s="9"/>
      <c r="J486" s="8" t="str">
        <f>IFERROR(INDEX(Материалы!$B$2:$B$9000,MATCH($I486,Материалы!$A$2:$A$9000,0)),"")</f>
        <v/>
      </c>
      <c r="K486" t="str">
        <f>IF($I486="","",IF($F486=IFERROR(INDEX(Материалы!$G$2:$G$9000,MATCH($I486,Материалы!$A$2:$A$9000,0)),""),"OK","!! не та группа"))</f>
        <v/>
      </c>
      <c r="L486" s="10">
        <f>IFERROR(INDEX(Работы!$H$2:$H$6000,MATCH($C486,Работы!$A$2:$A$6000,0))*(1-ДисконтТендер),0)</f>
        <v>11629.56</v>
      </c>
      <c r="M486" s="10">
        <f>IF($I486="",0,IFERROR(INDEX(Материалы!$I$2:$I$9000,MATCH($I486,Материалы!$A$2:$A$9000,0))*IF(INDEX(Материалы!$J$2:$J$9000,MATCH($I486,Материалы!$A$2:$A$9000,0))="USD",КурсUSD,IF(INDEX(Материалы!$J$2:$J$9000,MATCH($I486,Материалы!$A$2:$A$9000,0))="EUR",КурсEUR,1))*INDEX(Материалы!$K$2:$K$9000,MATCH($I486,Материалы!$A$2:$A$9000,0))*(1+IFERROR(INDEX(Работы!$I$2:$I$6000,MATCH($C486,Работы!$A$2:$A$6000,0))/100,0))*(1-ДисконтТендер),0))</f>
        <v>0</v>
      </c>
      <c r="N486" s="10">
        <f t="shared" si="21"/>
        <v>0</v>
      </c>
      <c r="O486" s="10">
        <f t="shared" si="22"/>
        <v>0</v>
      </c>
      <c r="P486" s="10">
        <f t="shared" si="23"/>
        <v>0</v>
      </c>
      <c r="Q486" t="str">
        <f>IFERROR(INDEX(Работы!$J$2:$J$6000,MATCH($C486,Работы!$A$2:$A$6000,0)),"")</f>
        <v>типовая</v>
      </c>
      <c r="R486" t="s">
        <v>92</v>
      </c>
      <c r="T486" t="str">
        <f>IF(AND($P486&gt;0,$R486="да"),MAX($T$1:$T485)+1,"")</f>
        <v/>
      </c>
    </row>
    <row r="487" spans="1:20" x14ac:dyDescent="0.3">
      <c r="A487" t="str">
        <f>IFERROR(INDEX(Работы!$D$2:$D$6000,MATCH($C487,Работы!$A$2:$A$6000,0)),"")</f>
        <v>Р5</v>
      </c>
      <c r="B487" t="str">
        <f>IFERROR(INDEX(Работы!$F$2:$F$6000,MATCH($C487,Работы!$A$2:$A$6000,0)),"")</f>
        <v>1</v>
      </c>
      <c r="C487" t="str">
        <f>IFERROR(INDEX(Работы!$A$2:$A$6000,486),"")</f>
        <v>РАБ.Р5.1.004</v>
      </c>
      <c r="D487" s="8" t="str">
        <f>IFERROR(INDEX(Работы!$B$2:$B$6000,MATCH($C487,Работы!$A$2:$A$6000,0)),"")</f>
        <v>Установка пожарных кранов</v>
      </c>
      <c r="E487" t="str">
        <f>IFERROR(INDEX(Работы!$C$2:$C$6000,MATCH($C487,Работы!$A$2:$A$6000,0)),"")</f>
        <v>шт.</v>
      </c>
      <c r="F487" t="str">
        <f>IFERROR(INDEX(Работы!$G$2:$G$6000,MATCH($C487,Работы!$A$2:$A$6000,0)),"")</f>
        <v>АРМ.ОВ</v>
      </c>
      <c r="G487" t="str">
        <f>IFERROR(INDEX(Работы!$K$2:$K$6000,MATCH($C487,Работы!$A$2:$A$6000,0)),"")</f>
        <v>Спецификация</v>
      </c>
      <c r="H487" s="9"/>
      <c r="I487" s="9"/>
      <c r="J487" s="8" t="str">
        <f>IFERROR(INDEX(Материалы!$B$2:$B$9000,MATCH($I487,Материалы!$A$2:$A$9000,0)),"")</f>
        <v/>
      </c>
      <c r="K487" t="str">
        <f>IF($I487="","",IF($F487=IFERROR(INDEX(Материалы!$G$2:$G$9000,MATCH($I487,Материалы!$A$2:$A$9000,0)),""),"OK","!! не та группа"))</f>
        <v/>
      </c>
      <c r="L487" s="10">
        <f>IFERROR(INDEX(Работы!$H$2:$H$6000,MATCH($C487,Работы!$A$2:$A$6000,0))*(1-ДисконтТендер),0)</f>
        <v>2612.5</v>
      </c>
      <c r="M487" s="10">
        <f>IF($I487="",0,IFERROR(INDEX(Материалы!$I$2:$I$9000,MATCH($I487,Материалы!$A$2:$A$9000,0))*IF(INDEX(Материалы!$J$2:$J$9000,MATCH($I487,Материалы!$A$2:$A$9000,0))="USD",КурсUSD,IF(INDEX(Материалы!$J$2:$J$9000,MATCH($I487,Материалы!$A$2:$A$9000,0))="EUR",КурсEUR,1))*INDEX(Материалы!$K$2:$K$9000,MATCH($I487,Материалы!$A$2:$A$9000,0))*(1+IFERROR(INDEX(Работы!$I$2:$I$6000,MATCH($C487,Работы!$A$2:$A$6000,0))/100,0))*(1-ДисконтТендер),0))</f>
        <v>0</v>
      </c>
      <c r="N487" s="10">
        <f t="shared" si="21"/>
        <v>0</v>
      </c>
      <c r="O487" s="10">
        <f t="shared" si="22"/>
        <v>0</v>
      </c>
      <c r="P487" s="10">
        <f t="shared" si="23"/>
        <v>0</v>
      </c>
      <c r="Q487" t="str">
        <f>IFERROR(INDEX(Работы!$J$2:$J$6000,MATCH($C487,Работы!$A$2:$A$6000,0)),"")</f>
        <v>типовая</v>
      </c>
      <c r="R487" t="s">
        <v>92</v>
      </c>
      <c r="T487" t="str">
        <f>IF(AND($P487&gt;0,$R487="да"),MAX($T$1:$T486)+1,"")</f>
        <v/>
      </c>
    </row>
    <row r="488" spans="1:20" x14ac:dyDescent="0.3">
      <c r="A488" t="str">
        <f>IFERROR(INDEX(Работы!$D$2:$D$6000,MATCH($C488,Работы!$A$2:$A$6000,0)),"")</f>
        <v>Р5</v>
      </c>
      <c r="B488" t="str">
        <f>IFERROR(INDEX(Работы!$F$2:$F$6000,MATCH($C488,Работы!$A$2:$A$6000,0)),"")</f>
        <v>1</v>
      </c>
      <c r="C488" t="str">
        <f>IFERROR(INDEX(Работы!$A$2:$A$6000,487),"")</f>
        <v>РАБ.Р5.1.005</v>
      </c>
      <c r="D488" s="8" t="str">
        <f>IFERROR(INDEX(Работы!$B$2:$B$6000,MATCH($C488,Работы!$A$2:$A$6000,0)),"")</f>
        <v>Монтаж трубы электросварной д 50 мм</v>
      </c>
      <c r="E488" t="str">
        <f>IFERROR(INDEX(Работы!$C$2:$C$6000,MATCH($C488,Работы!$A$2:$A$6000,0)),"")</f>
        <v>м.п.</v>
      </c>
      <c r="F488" t="str">
        <f>IFERROR(INDEX(Работы!$G$2:$G$6000,MATCH($C488,Работы!$A$2:$A$6000,0)),"")</f>
        <v>ТРУБА.ОВ</v>
      </c>
      <c r="G488" t="str">
        <f>IFERROR(INDEX(Работы!$K$2:$K$6000,MATCH($C488,Работы!$A$2:$A$6000,0)),"")</f>
        <v>Погонаж</v>
      </c>
      <c r="H488" s="9"/>
      <c r="I488" s="9"/>
      <c r="J488" s="8" t="str">
        <f>IFERROR(INDEX(Материалы!$B$2:$B$9000,MATCH($I488,Материалы!$A$2:$A$9000,0)),"")</f>
        <v/>
      </c>
      <c r="K488" t="str">
        <f>IF($I488="","",IF($F488=IFERROR(INDEX(Материалы!$G$2:$G$9000,MATCH($I488,Материалы!$A$2:$A$9000,0)),""),"OK","!! не та группа"))</f>
        <v/>
      </c>
      <c r="L488" s="10">
        <f>IFERROR(INDEX(Работы!$H$2:$H$6000,MATCH($C488,Работы!$A$2:$A$6000,0))*(1-ДисконтТендер),0)</f>
        <v>1017.01</v>
      </c>
      <c r="M488" s="10">
        <f>IF($I488="",0,IFERROR(INDEX(Материалы!$I$2:$I$9000,MATCH($I488,Материалы!$A$2:$A$9000,0))*IF(INDEX(Материалы!$J$2:$J$9000,MATCH($I488,Материалы!$A$2:$A$9000,0))="USD",КурсUSD,IF(INDEX(Материалы!$J$2:$J$9000,MATCH($I488,Материалы!$A$2:$A$9000,0))="EUR",КурсEUR,1))*INDEX(Материалы!$K$2:$K$9000,MATCH($I488,Материалы!$A$2:$A$9000,0))*(1+IFERROR(INDEX(Работы!$I$2:$I$6000,MATCH($C488,Работы!$A$2:$A$6000,0))/100,0))*(1-ДисконтТендер),0))</f>
        <v>0</v>
      </c>
      <c r="N488" s="10">
        <f t="shared" si="21"/>
        <v>0</v>
      </c>
      <c r="O488" s="10">
        <f t="shared" si="22"/>
        <v>0</v>
      </c>
      <c r="P488" s="10">
        <f t="shared" si="23"/>
        <v>0</v>
      </c>
      <c r="Q488" t="str">
        <f>IFERROR(INDEX(Работы!$J$2:$J$6000,MATCH($C488,Работы!$A$2:$A$6000,0)),"")</f>
        <v>типовая</v>
      </c>
      <c r="R488" t="s">
        <v>92</v>
      </c>
      <c r="T488" t="str">
        <f>IF(AND($P488&gt;0,$R488="да"),MAX($T$1:$T487)+1,"")</f>
        <v/>
      </c>
    </row>
    <row r="489" spans="1:20" ht="28.8" x14ac:dyDescent="0.3">
      <c r="A489" t="str">
        <f>IFERROR(INDEX(Работы!$D$2:$D$6000,MATCH($C489,Работы!$A$2:$A$6000,0)),"")</f>
        <v>Р5</v>
      </c>
      <c r="B489" t="str">
        <f>IFERROR(INDEX(Работы!$F$2:$F$6000,MATCH($C489,Работы!$A$2:$A$6000,0)),"")</f>
        <v>2</v>
      </c>
      <c r="C489" t="str">
        <f>IFERROR(INDEX(Работы!$A$2:$A$6000,488),"")</f>
        <v>РАБ.Р5.2.001</v>
      </c>
      <c r="D489" s="8" t="str">
        <f>IFERROR(INDEX(Работы!$B$2:$B$6000,MATCH($C489,Работы!$A$2:$A$6000,0)),"")</f>
        <v>Установка Крючка для вещей и одежды. Merida MHW31 матовый</v>
      </c>
      <c r="E489" t="str">
        <f>IFERROR(INDEX(Работы!$C$2:$C$6000,MATCH($C489,Работы!$A$2:$A$6000,0)),"")</f>
        <v>шт.</v>
      </c>
      <c r="F489">
        <f>IFERROR(INDEX(Работы!$G$2:$G$6000,MATCH($C489,Работы!$A$2:$A$6000,0)),"")</f>
        <v>0</v>
      </c>
      <c r="G489" t="str">
        <f>IFERROR(INDEX(Работы!$K$2:$K$6000,MATCH($C489,Работы!$A$2:$A$6000,0)),"")</f>
        <v>Спецификация</v>
      </c>
      <c r="H489" s="9"/>
      <c r="I489" s="9"/>
      <c r="J489" s="8" t="str">
        <f>IFERROR(INDEX(Материалы!$B$2:$B$9000,MATCH($I489,Материалы!$A$2:$A$9000,0)),"")</f>
        <v/>
      </c>
      <c r="K489" t="str">
        <f>IF($I489="","",IF($F489=IFERROR(INDEX(Материалы!$G$2:$G$9000,MATCH($I489,Материалы!$A$2:$A$9000,0)),""),"OK","!! не та группа"))</f>
        <v/>
      </c>
      <c r="L489" s="10">
        <f>IFERROR(INDEX(Работы!$H$2:$H$6000,MATCH($C489,Работы!$A$2:$A$6000,0))*(1-ДисконтТендер),0)</f>
        <v>574.20000000000005</v>
      </c>
      <c r="M489" s="10">
        <f>IF($I489="",0,IFERROR(INDEX(Материалы!$I$2:$I$9000,MATCH($I489,Материалы!$A$2:$A$9000,0))*IF(INDEX(Материалы!$J$2:$J$9000,MATCH($I489,Материалы!$A$2:$A$9000,0))="USD",КурсUSD,IF(INDEX(Материалы!$J$2:$J$9000,MATCH($I489,Материалы!$A$2:$A$9000,0))="EUR",КурсEUR,1))*INDEX(Материалы!$K$2:$K$9000,MATCH($I489,Материалы!$A$2:$A$9000,0))*(1+IFERROR(INDEX(Работы!$I$2:$I$6000,MATCH($C489,Работы!$A$2:$A$6000,0))/100,0))*(1-ДисконтТендер),0))</f>
        <v>0</v>
      </c>
      <c r="N489" s="10">
        <f t="shared" si="21"/>
        <v>0</v>
      </c>
      <c r="O489" s="10">
        <f t="shared" si="22"/>
        <v>0</v>
      </c>
      <c r="P489" s="10">
        <f t="shared" si="23"/>
        <v>0</v>
      </c>
      <c r="Q489" t="str">
        <f>IFERROR(INDEX(Работы!$J$2:$J$6000,MATCH($C489,Работы!$A$2:$A$6000,0)),"")</f>
        <v>типовая</v>
      </c>
      <c r="R489" t="s">
        <v>92</v>
      </c>
      <c r="T489" t="str">
        <f>IF(AND($P489&gt;0,$R489="да"),MAX($T$1:$T488)+1,"")</f>
        <v/>
      </c>
    </row>
    <row r="490" spans="1:20" ht="43.2" x14ac:dyDescent="0.3">
      <c r="A490" t="str">
        <f>IFERROR(INDEX(Работы!$D$2:$D$6000,MATCH($C490,Работы!$A$2:$A$6000,0)),"")</f>
        <v>Р5</v>
      </c>
      <c r="B490" t="str">
        <f>IFERROR(INDEX(Работы!$F$2:$F$6000,MATCH($C490,Работы!$A$2:$A$6000,0)),"")</f>
        <v>2</v>
      </c>
      <c r="C490" t="str">
        <f>IFERROR(INDEX(Работы!$A$2:$A$6000,489),"")</f>
        <v>РАБ.Р5.2.002</v>
      </c>
      <c r="D490" s="8" t="str">
        <f>IFERROR(INDEX(Работы!$B$2:$B$6000,MATCH($C490,Работы!$A$2:$A$6000,0)),"")</f>
        <v>Установка корзины для использованных бумажных полотенец на 27 литров. Merida KSM 101. Матовый.</v>
      </c>
      <c r="E490" t="str">
        <f>IFERROR(INDEX(Работы!$C$2:$C$6000,MATCH($C490,Работы!$A$2:$A$6000,0)),"")</f>
        <v>шт.</v>
      </c>
      <c r="F490">
        <f>IFERROR(INDEX(Работы!$G$2:$G$6000,MATCH($C490,Работы!$A$2:$A$6000,0)),"")</f>
        <v>0</v>
      </c>
      <c r="G490" t="str">
        <f>IFERROR(INDEX(Работы!$K$2:$K$6000,MATCH($C490,Работы!$A$2:$A$6000,0)),"")</f>
        <v>S_пол</v>
      </c>
      <c r="H490" s="9"/>
      <c r="I490" s="9"/>
      <c r="J490" s="8" t="str">
        <f>IFERROR(INDEX(Материалы!$B$2:$B$9000,MATCH($I490,Материалы!$A$2:$A$9000,0)),"")</f>
        <v/>
      </c>
      <c r="K490" t="str">
        <f>IF($I490="","",IF($F490=IFERROR(INDEX(Материалы!$G$2:$G$9000,MATCH($I490,Материалы!$A$2:$A$9000,0)),""),"OK","!! не та группа"))</f>
        <v/>
      </c>
      <c r="L490" s="10">
        <f>IFERROR(INDEX(Работы!$H$2:$H$6000,MATCH($C490,Работы!$A$2:$A$6000,0))*(1-ДисконтТендер),0)</f>
        <v>543.16</v>
      </c>
      <c r="M490" s="10">
        <f>IF($I490="",0,IFERROR(INDEX(Материалы!$I$2:$I$9000,MATCH($I490,Материалы!$A$2:$A$9000,0))*IF(INDEX(Материалы!$J$2:$J$9000,MATCH($I490,Материалы!$A$2:$A$9000,0))="USD",КурсUSD,IF(INDEX(Материалы!$J$2:$J$9000,MATCH($I490,Материалы!$A$2:$A$9000,0))="EUR",КурсEUR,1))*INDEX(Материалы!$K$2:$K$9000,MATCH($I490,Материалы!$A$2:$A$9000,0))*(1+IFERROR(INDEX(Работы!$I$2:$I$6000,MATCH($C490,Работы!$A$2:$A$6000,0))/100,0))*(1-ДисконтТендер),0))</f>
        <v>0</v>
      </c>
      <c r="N490" s="10">
        <f t="shared" si="21"/>
        <v>0</v>
      </c>
      <c r="O490" s="10">
        <f t="shared" si="22"/>
        <v>0</v>
      </c>
      <c r="P490" s="10">
        <f t="shared" si="23"/>
        <v>0</v>
      </c>
      <c r="Q490" t="str">
        <f>IFERROR(INDEX(Работы!$J$2:$J$6000,MATCH($C490,Работы!$A$2:$A$6000,0)),"")</f>
        <v>типовая</v>
      </c>
      <c r="R490" t="s">
        <v>92</v>
      </c>
      <c r="T490" t="str">
        <f>IF(AND($P490&gt;0,$R490="да"),MAX($T$1:$T489)+1,"")</f>
        <v/>
      </c>
    </row>
    <row r="491" spans="1:20" ht="28.8" x14ac:dyDescent="0.3">
      <c r="A491" t="str">
        <f>IFERROR(INDEX(Работы!$D$2:$D$6000,MATCH($C491,Работы!$A$2:$A$6000,0)),"")</f>
        <v>Р5</v>
      </c>
      <c r="B491" t="str">
        <f>IFERROR(INDEX(Работы!$F$2:$F$6000,MATCH($C491,Работы!$A$2:$A$6000,0)),"")</f>
        <v>2</v>
      </c>
      <c r="C491" t="str">
        <f>IFERROR(INDEX(Работы!$A$2:$A$6000,490),"")</f>
        <v>РАБ.Р5.2.003</v>
      </c>
      <c r="D491" s="8" t="str">
        <f>IFERROR(INDEX(Работы!$B$2:$B$6000,MATCH($C491,Работы!$A$2:$A$6000,0)),"")</f>
        <v>Установка щетки санитарной. Merida TAS02 (364747). Матовый.</v>
      </c>
      <c r="E491" t="str">
        <f>IFERROR(INDEX(Работы!$C$2:$C$6000,MATCH($C491,Работы!$A$2:$A$6000,0)),"")</f>
        <v>шт.</v>
      </c>
      <c r="F491">
        <f>IFERROR(INDEX(Работы!$G$2:$G$6000,MATCH($C491,Работы!$A$2:$A$6000,0)),"")</f>
        <v>0</v>
      </c>
      <c r="G491" t="str">
        <f>IFERROR(INDEX(Работы!$K$2:$K$6000,MATCH($C491,Работы!$A$2:$A$6000,0)),"")</f>
        <v>Спецификация</v>
      </c>
      <c r="H491" s="9"/>
      <c r="I491" s="9"/>
      <c r="J491" s="8" t="str">
        <f>IFERROR(INDEX(Материалы!$B$2:$B$9000,MATCH($I491,Материалы!$A$2:$A$9000,0)),"")</f>
        <v/>
      </c>
      <c r="K491" t="str">
        <f>IF($I491="","",IF($F491=IFERROR(INDEX(Материалы!$G$2:$G$9000,MATCH($I491,Материалы!$A$2:$A$9000,0)),""),"OK","!! не та группа"))</f>
        <v/>
      </c>
      <c r="L491" s="10">
        <f>IFERROR(INDEX(Работы!$H$2:$H$6000,MATCH($C491,Работы!$A$2:$A$6000,0))*(1-ДисконтТендер),0)</f>
        <v>626.4</v>
      </c>
      <c r="M491" s="10">
        <f>IF($I491="",0,IFERROR(INDEX(Материалы!$I$2:$I$9000,MATCH($I491,Материалы!$A$2:$A$9000,0))*IF(INDEX(Материалы!$J$2:$J$9000,MATCH($I491,Материалы!$A$2:$A$9000,0))="USD",КурсUSD,IF(INDEX(Материалы!$J$2:$J$9000,MATCH($I491,Материалы!$A$2:$A$9000,0))="EUR",КурсEUR,1))*INDEX(Материалы!$K$2:$K$9000,MATCH($I491,Материалы!$A$2:$A$9000,0))*(1+IFERROR(INDEX(Работы!$I$2:$I$6000,MATCH($C491,Работы!$A$2:$A$6000,0))/100,0))*(1-ДисконтТендер),0))</f>
        <v>0</v>
      </c>
      <c r="N491" s="10">
        <f t="shared" si="21"/>
        <v>0</v>
      </c>
      <c r="O491" s="10">
        <f t="shared" si="22"/>
        <v>0</v>
      </c>
      <c r="P491" s="10">
        <f t="shared" si="23"/>
        <v>0</v>
      </c>
      <c r="Q491" t="str">
        <f>IFERROR(INDEX(Работы!$J$2:$J$6000,MATCH($C491,Работы!$A$2:$A$6000,0)),"")</f>
        <v>типовая</v>
      </c>
      <c r="R491" t="s">
        <v>92</v>
      </c>
      <c r="T491" t="str">
        <f>IF(AND($P491&gt;0,$R491="да"),MAX($T$1:$T490)+1,"")</f>
        <v/>
      </c>
    </row>
    <row r="492" spans="1:20" ht="28.8" x14ac:dyDescent="0.3">
      <c r="A492" t="str">
        <f>IFERROR(INDEX(Работы!$D$2:$D$6000,MATCH($C492,Работы!$A$2:$A$6000,0)),"")</f>
        <v>Р5</v>
      </c>
      <c r="B492" t="str">
        <f>IFERROR(INDEX(Работы!$F$2:$F$6000,MATCH($C492,Работы!$A$2:$A$6000,0)),"")</f>
        <v>2</v>
      </c>
      <c r="C492" t="str">
        <f>IFERROR(INDEX(Работы!$A$2:$A$6000,491),"")</f>
        <v>РАБ.Р5.2.004</v>
      </c>
      <c r="D492" s="8" t="str">
        <f>IFERROR(INDEX(Работы!$B$2:$B$6000,MATCH($C492,Работы!$A$2:$A$6000,0)),"")</f>
        <v>Ревизия и установка Люстр заказчика (без стоимости люстры) с заменой ламп</v>
      </c>
      <c r="E492" t="str">
        <f>IFERROR(INDEX(Работы!$C$2:$C$6000,MATCH($C492,Работы!$A$2:$A$6000,0)),"")</f>
        <v>шт.</v>
      </c>
      <c r="F492">
        <f>IFERROR(INDEX(Работы!$G$2:$G$6000,MATCH($C492,Работы!$A$2:$A$6000,0)),"")</f>
        <v>0</v>
      </c>
      <c r="G492" t="str">
        <f>IFERROR(INDEX(Работы!$K$2:$K$6000,MATCH($C492,Работы!$A$2:$A$6000,0)),"")</f>
        <v>Спецификация</v>
      </c>
      <c r="H492" s="9"/>
      <c r="I492" s="9"/>
      <c r="J492" s="8" t="str">
        <f>IFERROR(INDEX(Материалы!$B$2:$B$9000,MATCH($I492,Материалы!$A$2:$A$9000,0)),"")</f>
        <v/>
      </c>
      <c r="K492" t="str">
        <f>IF($I492="","",IF($F492=IFERROR(INDEX(Материалы!$G$2:$G$9000,MATCH($I492,Материалы!$A$2:$A$9000,0)),""),"OK","!! не та группа"))</f>
        <v/>
      </c>
      <c r="L492" s="10">
        <f>IFERROR(INDEX(Работы!$H$2:$H$6000,MATCH($C492,Работы!$A$2:$A$6000,0))*(1-ДисконтТендер),0)</f>
        <v>10450</v>
      </c>
      <c r="M492" s="10">
        <f>IF($I492="",0,IFERROR(INDEX(Материалы!$I$2:$I$9000,MATCH($I492,Материалы!$A$2:$A$9000,0))*IF(INDEX(Материалы!$J$2:$J$9000,MATCH($I492,Материалы!$A$2:$A$9000,0))="USD",КурсUSD,IF(INDEX(Материалы!$J$2:$J$9000,MATCH($I492,Материалы!$A$2:$A$9000,0))="EUR",КурсEUR,1))*INDEX(Материалы!$K$2:$K$9000,MATCH($I492,Материалы!$A$2:$A$9000,0))*(1+IFERROR(INDEX(Работы!$I$2:$I$6000,MATCH($C492,Работы!$A$2:$A$6000,0))/100,0))*(1-ДисконтТендер),0))</f>
        <v>0</v>
      </c>
      <c r="N492" s="10">
        <f t="shared" si="21"/>
        <v>0</v>
      </c>
      <c r="O492" s="10">
        <f t="shared" si="22"/>
        <v>0</v>
      </c>
      <c r="P492" s="10">
        <f t="shared" si="23"/>
        <v>0</v>
      </c>
      <c r="Q492" t="str">
        <f>IFERROR(INDEX(Работы!$J$2:$J$6000,MATCH($C492,Работы!$A$2:$A$6000,0)),"")</f>
        <v>типовая</v>
      </c>
      <c r="R492" t="s">
        <v>92</v>
      </c>
      <c r="T492" t="str">
        <f>IF(AND($P492&gt;0,$R492="да"),MAX($T$1:$T491)+1,"")</f>
        <v/>
      </c>
    </row>
    <row r="493" spans="1:20" x14ac:dyDescent="0.3">
      <c r="A493" t="str">
        <f>IFERROR(INDEX(Работы!$D$2:$D$6000,MATCH($C493,Работы!$A$2:$A$6000,0)),"")</f>
        <v>Р5</v>
      </c>
      <c r="B493" t="str">
        <f>IFERROR(INDEX(Работы!$F$2:$F$6000,MATCH($C493,Работы!$A$2:$A$6000,0)),"")</f>
        <v>3</v>
      </c>
      <c r="C493" t="str">
        <f>IFERROR(INDEX(Работы!$A$2:$A$6000,492),"")</f>
        <v>РАБ.Р5.3.001</v>
      </c>
      <c r="D493" s="8" t="str">
        <f>IFERROR(INDEX(Работы!$B$2:$B$6000,MATCH($C493,Работы!$A$2:$A$6000,0)),"")</f>
        <v>Установка унитаза / писсуара / инсталляции</v>
      </c>
      <c r="E493" t="str">
        <f>IFERROR(INDEX(Работы!$C$2:$C$6000,MATCH($C493,Работы!$A$2:$A$6000,0)),"")</f>
        <v>шт.</v>
      </c>
      <c r="F493" t="str">
        <f>IFERROR(INDEX(Работы!$G$2:$G$6000,MATCH($C493,Работы!$A$2:$A$6000,0)),"")</f>
        <v>СТП.УНИТ</v>
      </c>
      <c r="G493" t="str">
        <f>IFERROR(INDEX(Работы!$K$2:$K$6000,MATCH($C493,Работы!$A$2:$A$6000,0)),"")</f>
        <v>Спецификация</v>
      </c>
      <c r="H493" s="9"/>
      <c r="I493" s="9"/>
      <c r="J493" s="8" t="str">
        <f>IFERROR(INDEX(Материалы!$B$2:$B$9000,MATCH($I493,Материалы!$A$2:$A$9000,0)),"")</f>
        <v/>
      </c>
      <c r="K493" t="str">
        <f>IF($I493="","",IF($F493=IFERROR(INDEX(Материалы!$G$2:$G$9000,MATCH($I493,Материалы!$A$2:$A$9000,0)),""),"OK","!! не та группа"))</f>
        <v/>
      </c>
      <c r="L493" s="10">
        <f>IFERROR(INDEX(Работы!$H$2:$H$6000,MATCH($C493,Работы!$A$2:$A$6000,0))*(1-ДисконтТендер),0)</f>
        <v>4284.5</v>
      </c>
      <c r="M493" s="10">
        <f>IF($I493="",0,IFERROR(INDEX(Материалы!$I$2:$I$9000,MATCH($I493,Материалы!$A$2:$A$9000,0))*IF(INDEX(Материалы!$J$2:$J$9000,MATCH($I493,Материалы!$A$2:$A$9000,0))="USD",КурсUSD,IF(INDEX(Материалы!$J$2:$J$9000,MATCH($I493,Материалы!$A$2:$A$9000,0))="EUR",КурсEUR,1))*INDEX(Материалы!$K$2:$K$9000,MATCH($I493,Материалы!$A$2:$A$9000,0))*(1+IFERROR(INDEX(Работы!$I$2:$I$6000,MATCH($C493,Работы!$A$2:$A$6000,0))/100,0))*(1-ДисконтТендер),0))</f>
        <v>0</v>
      </c>
      <c r="N493" s="10">
        <f t="shared" si="21"/>
        <v>0</v>
      </c>
      <c r="O493" s="10">
        <f t="shared" si="22"/>
        <v>0</v>
      </c>
      <c r="P493" s="10">
        <f t="shared" si="23"/>
        <v>0</v>
      </c>
      <c r="Q493" t="str">
        <f>IFERROR(INDEX(Работы!$J$2:$J$6000,MATCH($C493,Работы!$A$2:$A$6000,0)),"")</f>
        <v>типовая</v>
      </c>
      <c r="R493" t="s">
        <v>92</v>
      </c>
      <c r="T493" t="str">
        <f>IF(AND($P493&gt;0,$R493="да"),MAX($T$1:$T492)+1,"")</f>
        <v/>
      </c>
    </row>
    <row r="494" spans="1:20" x14ac:dyDescent="0.3">
      <c r="A494" t="str">
        <f>IFERROR(INDEX(Работы!$D$2:$D$6000,MATCH($C494,Работы!$A$2:$A$6000,0)),"")</f>
        <v>Р5</v>
      </c>
      <c r="B494" t="str">
        <f>IFERROR(INDEX(Работы!$F$2:$F$6000,MATCH($C494,Работы!$A$2:$A$6000,0)),"")</f>
        <v>3</v>
      </c>
      <c r="C494" t="str">
        <f>IFERROR(INDEX(Работы!$A$2:$A$6000,493),"")</f>
        <v>РАБ.Р5.3.002</v>
      </c>
      <c r="D494" s="8" t="str">
        <f>IFERROR(INDEX(Работы!$B$2:$B$6000,MATCH($C494,Работы!$A$2:$A$6000,0)),"")</f>
        <v>Установка умывальника / раковины / мойки</v>
      </c>
      <c r="E494" t="str">
        <f>IFERROR(INDEX(Работы!$C$2:$C$6000,MATCH($C494,Работы!$A$2:$A$6000,0)),"")</f>
        <v>шт.</v>
      </c>
      <c r="F494" t="str">
        <f>IFERROR(INDEX(Работы!$G$2:$G$6000,MATCH($C494,Работы!$A$2:$A$6000,0)),"")</f>
        <v>СТП.РАК</v>
      </c>
      <c r="G494" t="str">
        <f>IFERROR(INDEX(Работы!$K$2:$K$6000,MATCH($C494,Работы!$A$2:$A$6000,0)),"")</f>
        <v>Спецификация</v>
      </c>
      <c r="H494" s="9"/>
      <c r="I494" s="9"/>
      <c r="J494" s="8" t="str">
        <f>IFERROR(INDEX(Материалы!$B$2:$B$9000,MATCH($I494,Материалы!$A$2:$A$9000,0)),"")</f>
        <v/>
      </c>
      <c r="K494" t="str">
        <f>IF($I494="","",IF($F494=IFERROR(INDEX(Материалы!$G$2:$G$9000,MATCH($I494,Материалы!$A$2:$A$9000,0)),""),"OK","!! не та группа"))</f>
        <v/>
      </c>
      <c r="L494" s="10">
        <f>IFERROR(INDEX(Работы!$H$2:$H$6000,MATCH($C494,Работы!$A$2:$A$6000,0))*(1-ДисконтТендер),0)</f>
        <v>7837.5</v>
      </c>
      <c r="M494" s="10">
        <f>IF($I494="",0,IFERROR(INDEX(Материалы!$I$2:$I$9000,MATCH($I494,Материалы!$A$2:$A$9000,0))*IF(INDEX(Материалы!$J$2:$J$9000,MATCH($I494,Материалы!$A$2:$A$9000,0))="USD",КурсUSD,IF(INDEX(Материалы!$J$2:$J$9000,MATCH($I494,Материалы!$A$2:$A$9000,0))="EUR",КурсEUR,1))*INDEX(Материалы!$K$2:$K$9000,MATCH($I494,Материалы!$A$2:$A$9000,0))*(1+IFERROR(INDEX(Работы!$I$2:$I$6000,MATCH($C494,Работы!$A$2:$A$6000,0))/100,0))*(1-ДисконтТендер),0))</f>
        <v>0</v>
      </c>
      <c r="N494" s="10">
        <f t="shared" si="21"/>
        <v>0</v>
      </c>
      <c r="O494" s="10">
        <f t="shared" si="22"/>
        <v>0</v>
      </c>
      <c r="P494" s="10">
        <f t="shared" si="23"/>
        <v>0</v>
      </c>
      <c r="Q494" t="str">
        <f>IFERROR(INDEX(Работы!$J$2:$J$6000,MATCH($C494,Работы!$A$2:$A$6000,0)),"")</f>
        <v>типовая</v>
      </c>
      <c r="R494" t="s">
        <v>92</v>
      </c>
      <c r="T494" t="str">
        <f>IF(AND($P494&gt;0,$R494="да"),MAX($T$1:$T493)+1,"")</f>
        <v/>
      </c>
    </row>
    <row r="495" spans="1:20" x14ac:dyDescent="0.3">
      <c r="A495" t="str">
        <f>IFERROR(INDEX(Работы!$D$2:$D$6000,MATCH($C495,Работы!$A$2:$A$6000,0)),"")</f>
        <v>Р5</v>
      </c>
      <c r="B495" t="str">
        <f>IFERROR(INDEX(Работы!$F$2:$F$6000,MATCH($C495,Работы!$A$2:$A$6000,0)),"")</f>
        <v>3</v>
      </c>
      <c r="C495" t="str">
        <f>IFERROR(INDEX(Работы!$A$2:$A$6000,494),"")</f>
        <v>РАБ.Р5.3.003</v>
      </c>
      <c r="D495" s="8" t="str">
        <f>IFERROR(INDEX(Работы!$B$2:$B$6000,MATCH($C495,Работы!$A$2:$A$6000,0)),"")</f>
        <v>Установка умывальника / раковины / мойки</v>
      </c>
      <c r="E495" t="str">
        <f>IFERROR(INDEX(Работы!$C$2:$C$6000,MATCH($C495,Работы!$A$2:$A$6000,0)),"")</f>
        <v>шт.</v>
      </c>
      <c r="F495" t="str">
        <f>IFERROR(INDEX(Работы!$G$2:$G$6000,MATCH($C495,Работы!$A$2:$A$6000,0)),"")</f>
        <v>СТП.РАК</v>
      </c>
      <c r="G495" t="str">
        <f>IFERROR(INDEX(Работы!$K$2:$K$6000,MATCH($C495,Работы!$A$2:$A$6000,0)),"")</f>
        <v>Спецификация</v>
      </c>
      <c r="H495" s="9"/>
      <c r="I495" s="9"/>
      <c r="J495" s="8" t="str">
        <f>IFERROR(INDEX(Материалы!$B$2:$B$9000,MATCH($I495,Материалы!$A$2:$A$9000,0)),"")</f>
        <v/>
      </c>
      <c r="K495" t="str">
        <f>IF($I495="","",IF($F495=IFERROR(INDEX(Материалы!$G$2:$G$9000,MATCH($I495,Материалы!$A$2:$A$9000,0)),""),"OK","!! не та группа"))</f>
        <v/>
      </c>
      <c r="L495" s="10">
        <f>IFERROR(INDEX(Работы!$H$2:$H$6000,MATCH($C495,Работы!$A$2:$A$6000,0))*(1-ДисконтТендер),0)</f>
        <v>6688</v>
      </c>
      <c r="M495" s="10">
        <f>IF($I495="",0,IFERROR(INDEX(Материалы!$I$2:$I$9000,MATCH($I495,Материалы!$A$2:$A$9000,0))*IF(INDEX(Материалы!$J$2:$J$9000,MATCH($I495,Материалы!$A$2:$A$9000,0))="USD",КурсUSD,IF(INDEX(Материалы!$J$2:$J$9000,MATCH($I495,Материалы!$A$2:$A$9000,0))="EUR",КурсEUR,1))*INDEX(Материалы!$K$2:$K$9000,MATCH($I495,Материалы!$A$2:$A$9000,0))*(1+IFERROR(INDEX(Работы!$I$2:$I$6000,MATCH($C495,Работы!$A$2:$A$6000,0))/100,0))*(1-ДисконтТендер),0))</f>
        <v>0</v>
      </c>
      <c r="N495" s="10">
        <f t="shared" si="21"/>
        <v>0</v>
      </c>
      <c r="O495" s="10">
        <f t="shared" si="22"/>
        <v>0</v>
      </c>
      <c r="P495" s="10">
        <f t="shared" si="23"/>
        <v>0</v>
      </c>
      <c r="Q495" t="str">
        <f>IFERROR(INDEX(Работы!$J$2:$J$6000,MATCH($C495,Работы!$A$2:$A$6000,0)),"")</f>
        <v>типовая</v>
      </c>
      <c r="R495" t="s">
        <v>92</v>
      </c>
      <c r="T495" t="str">
        <f>IF(AND($P495&gt;0,$R495="да"),MAX($T$1:$T494)+1,"")</f>
        <v/>
      </c>
    </row>
    <row r="496" spans="1:20" ht="28.8" x14ac:dyDescent="0.3">
      <c r="A496" t="str">
        <f>IFERROR(INDEX(Работы!$D$2:$D$6000,MATCH($C496,Работы!$A$2:$A$6000,0)),"")</f>
        <v>Р5</v>
      </c>
      <c r="B496" t="str">
        <f>IFERROR(INDEX(Работы!$F$2:$F$6000,MATCH($C496,Работы!$A$2:$A$6000,0)),"")</f>
        <v>3</v>
      </c>
      <c r="C496" t="str">
        <f>IFERROR(INDEX(Работы!$A$2:$A$6000,495),"")</f>
        <v>РАБ.Р5.3.004</v>
      </c>
      <c r="D496" s="8" t="str">
        <f>IFERROR(INDEX(Работы!$B$2:$B$6000,MATCH($C496,Работы!$A$2:$A$6000,0)),"")</f>
        <v>Установка системы инсталяции Geberit Duofix UP320 111.300.00.5</v>
      </c>
      <c r="E496" t="str">
        <f>IFERROR(INDEX(Работы!$C$2:$C$6000,MATCH($C496,Работы!$A$2:$A$6000,0)),"")</f>
        <v>шт.</v>
      </c>
      <c r="F496">
        <f>IFERROR(INDEX(Работы!$G$2:$G$6000,MATCH($C496,Работы!$A$2:$A$6000,0)),"")</f>
        <v>0</v>
      </c>
      <c r="G496" t="str">
        <f>IFERROR(INDEX(Работы!$K$2:$K$6000,MATCH($C496,Работы!$A$2:$A$6000,0)),"")</f>
        <v>Спецификация</v>
      </c>
      <c r="H496" s="9"/>
      <c r="I496" s="9"/>
      <c r="J496" s="8" t="str">
        <f>IFERROR(INDEX(Материалы!$B$2:$B$9000,MATCH($I496,Материалы!$A$2:$A$9000,0)),"")</f>
        <v/>
      </c>
      <c r="K496" t="str">
        <f>IF($I496="","",IF($F496=IFERROR(INDEX(Материалы!$G$2:$G$9000,MATCH($I496,Материалы!$A$2:$A$9000,0)),""),"OK","!! не та группа"))</f>
        <v/>
      </c>
      <c r="L496" s="10">
        <f>IFERROR(INDEX(Работы!$H$2:$H$6000,MATCH($C496,Работы!$A$2:$A$6000,0))*(1-ДисконтТендер),0)</f>
        <v>4186.88</v>
      </c>
      <c r="M496" s="10">
        <f>IF($I496="",0,IFERROR(INDEX(Материалы!$I$2:$I$9000,MATCH($I496,Материалы!$A$2:$A$9000,0))*IF(INDEX(Материалы!$J$2:$J$9000,MATCH($I496,Материалы!$A$2:$A$9000,0))="USD",КурсUSD,IF(INDEX(Материалы!$J$2:$J$9000,MATCH($I496,Материалы!$A$2:$A$9000,0))="EUR",КурсEUR,1))*INDEX(Материалы!$K$2:$K$9000,MATCH($I496,Материалы!$A$2:$A$9000,0))*(1+IFERROR(INDEX(Работы!$I$2:$I$6000,MATCH($C496,Работы!$A$2:$A$6000,0))/100,0))*(1-ДисконтТендер),0))</f>
        <v>0</v>
      </c>
      <c r="N496" s="10">
        <f t="shared" si="21"/>
        <v>0</v>
      </c>
      <c r="O496" s="10">
        <f t="shared" si="22"/>
        <v>0</v>
      </c>
      <c r="P496" s="10">
        <f t="shared" si="23"/>
        <v>0</v>
      </c>
      <c r="Q496" t="str">
        <f>IFERROR(INDEX(Работы!$J$2:$J$6000,MATCH($C496,Работы!$A$2:$A$6000,0)),"")</f>
        <v>типовая</v>
      </c>
      <c r="R496" t="s">
        <v>92</v>
      </c>
      <c r="T496" t="str">
        <f>IF(AND($P496&gt;0,$R496="да"),MAX($T$1:$T495)+1,"")</f>
        <v/>
      </c>
    </row>
    <row r="497" spans="1:20" x14ac:dyDescent="0.3">
      <c r="A497" t="str">
        <f>IFERROR(INDEX(Работы!$D$2:$D$6000,MATCH($C497,Работы!$A$2:$A$6000,0)),"")</f>
        <v>Р5</v>
      </c>
      <c r="B497" t="str">
        <f>IFERROR(INDEX(Работы!$F$2:$F$6000,MATCH($C497,Работы!$A$2:$A$6000,0)),"")</f>
        <v>3</v>
      </c>
      <c r="C497" t="str">
        <f>IFERROR(INDEX(Работы!$A$2:$A$6000,496),"")</f>
        <v>РАБ.Р5.3.005</v>
      </c>
      <c r="D497" s="8" t="str">
        <f>IFERROR(INDEX(Работы!$B$2:$B$6000,MATCH($C497,Работы!$A$2:$A$6000,0)),"")</f>
        <v>Установка унитаза / писсуара / инсталляции</v>
      </c>
      <c r="E497" t="str">
        <f>IFERROR(INDEX(Работы!$C$2:$C$6000,MATCH($C497,Работы!$A$2:$A$6000,0)),"")</f>
        <v>шт.</v>
      </c>
      <c r="F497" t="str">
        <f>IFERROR(INDEX(Работы!$G$2:$G$6000,MATCH($C497,Работы!$A$2:$A$6000,0)),"")</f>
        <v>СТП.УНИТ</v>
      </c>
      <c r="G497" t="str">
        <f>IFERROR(INDEX(Работы!$K$2:$K$6000,MATCH($C497,Работы!$A$2:$A$6000,0)),"")</f>
        <v>Спецификация</v>
      </c>
      <c r="H497" s="9"/>
      <c r="I497" s="9"/>
      <c r="J497" s="8" t="str">
        <f>IFERROR(INDEX(Материалы!$B$2:$B$9000,MATCH($I497,Материалы!$A$2:$A$9000,0)),"")</f>
        <v/>
      </c>
      <c r="K497" t="str">
        <f>IF($I497="","",IF($F497=IFERROR(INDEX(Материалы!$G$2:$G$9000,MATCH($I497,Материалы!$A$2:$A$9000,0)),""),"OK","!! не та группа"))</f>
        <v/>
      </c>
      <c r="L497" s="10">
        <f>IFERROR(INDEX(Работы!$H$2:$H$6000,MATCH($C497,Работы!$A$2:$A$6000,0))*(1-ДисконтТендер),0)</f>
        <v>5575.08</v>
      </c>
      <c r="M497" s="10">
        <f>IF($I497="",0,IFERROR(INDEX(Материалы!$I$2:$I$9000,MATCH($I497,Материалы!$A$2:$A$9000,0))*IF(INDEX(Материалы!$J$2:$J$9000,MATCH($I497,Материалы!$A$2:$A$9000,0))="USD",КурсUSD,IF(INDEX(Материалы!$J$2:$J$9000,MATCH($I497,Материалы!$A$2:$A$9000,0))="EUR",КурсEUR,1))*INDEX(Материалы!$K$2:$K$9000,MATCH($I497,Материалы!$A$2:$A$9000,0))*(1+IFERROR(INDEX(Работы!$I$2:$I$6000,MATCH($C497,Работы!$A$2:$A$6000,0))/100,0))*(1-ДисконтТендер),0))</f>
        <v>0</v>
      </c>
      <c r="N497" s="10">
        <f t="shared" si="21"/>
        <v>0</v>
      </c>
      <c r="O497" s="10">
        <f t="shared" si="22"/>
        <v>0</v>
      </c>
      <c r="P497" s="10">
        <f t="shared" si="23"/>
        <v>0</v>
      </c>
      <c r="Q497" t="str">
        <f>IFERROR(INDEX(Работы!$J$2:$J$6000,MATCH($C497,Работы!$A$2:$A$6000,0)),"")</f>
        <v>типовая</v>
      </c>
      <c r="R497" t="s">
        <v>92</v>
      </c>
      <c r="T497" t="str">
        <f>IF(AND($P497&gt;0,$R497="да"),MAX($T$1:$T496)+1,"")</f>
        <v/>
      </c>
    </row>
    <row r="498" spans="1:20" x14ac:dyDescent="0.3">
      <c r="A498" t="str">
        <f>IFERROR(INDEX(Работы!$D$2:$D$6000,MATCH($C498,Работы!$A$2:$A$6000,0)),"")</f>
        <v>Р5</v>
      </c>
      <c r="B498" t="str">
        <f>IFERROR(INDEX(Работы!$F$2:$F$6000,MATCH($C498,Работы!$A$2:$A$6000,0)),"")</f>
        <v>3</v>
      </c>
      <c r="C498" t="str">
        <f>IFERROR(INDEX(Работы!$A$2:$A$6000,497),"")</f>
        <v>РАБ.Р5.3.006</v>
      </c>
      <c r="D498" s="8" t="str">
        <f>IFERROR(INDEX(Работы!$B$2:$B$6000,MATCH($C498,Работы!$A$2:$A$6000,0)),"")</f>
        <v>Установка смесителя / водоразборной арматуры</v>
      </c>
      <c r="E498" t="str">
        <f>IFERROR(INDEX(Работы!$C$2:$C$6000,MATCH($C498,Работы!$A$2:$A$6000,0)),"")</f>
        <v>шт.</v>
      </c>
      <c r="F498" t="str">
        <f>IFERROR(INDEX(Работы!$G$2:$G$6000,MATCH($C498,Работы!$A$2:$A$6000,0)),"")</f>
        <v>СТП.СМЕС</v>
      </c>
      <c r="G498" t="str">
        <f>IFERROR(INDEX(Работы!$K$2:$K$6000,MATCH($C498,Работы!$A$2:$A$6000,0)),"")</f>
        <v>Спецификация</v>
      </c>
      <c r="H498" s="9"/>
      <c r="I498" s="9"/>
      <c r="J498" s="8" t="str">
        <f>IFERROR(INDEX(Материалы!$B$2:$B$9000,MATCH($I498,Материалы!$A$2:$A$9000,0)),"")</f>
        <v/>
      </c>
      <c r="K498" t="str">
        <f>IF($I498="","",IF($F498=IFERROR(INDEX(Материалы!$G$2:$G$9000,MATCH($I498,Материалы!$A$2:$A$9000,0)),""),"OK","!! не та группа"))</f>
        <v/>
      </c>
      <c r="L498" s="10">
        <f>IFERROR(INDEX(Работы!$H$2:$H$6000,MATCH($C498,Работы!$A$2:$A$6000,0))*(1-ДисконтТендер),0)</f>
        <v>1809.6</v>
      </c>
      <c r="M498" s="10">
        <f>IF($I498="",0,IFERROR(INDEX(Материалы!$I$2:$I$9000,MATCH($I498,Материалы!$A$2:$A$9000,0))*IF(INDEX(Материалы!$J$2:$J$9000,MATCH($I498,Материалы!$A$2:$A$9000,0))="USD",КурсUSD,IF(INDEX(Материалы!$J$2:$J$9000,MATCH($I498,Материалы!$A$2:$A$9000,0))="EUR",КурсEUR,1))*INDEX(Материалы!$K$2:$K$9000,MATCH($I498,Материалы!$A$2:$A$9000,0))*(1+IFERROR(INDEX(Работы!$I$2:$I$6000,MATCH($C498,Работы!$A$2:$A$6000,0))/100,0))*(1-ДисконтТендер),0))</f>
        <v>0</v>
      </c>
      <c r="N498" s="10">
        <f t="shared" si="21"/>
        <v>0</v>
      </c>
      <c r="O498" s="10">
        <f t="shared" si="22"/>
        <v>0</v>
      </c>
      <c r="P498" s="10">
        <f t="shared" si="23"/>
        <v>0</v>
      </c>
      <c r="Q498" t="str">
        <f>IFERROR(INDEX(Работы!$J$2:$J$6000,MATCH($C498,Работы!$A$2:$A$6000,0)),"")</f>
        <v>типовая</v>
      </c>
      <c r="R498" t="s">
        <v>92</v>
      </c>
      <c r="T498" t="str">
        <f>IF(AND($P498&gt;0,$R498="да"),MAX($T$1:$T497)+1,"")</f>
        <v/>
      </c>
    </row>
    <row r="499" spans="1:20" x14ac:dyDescent="0.3">
      <c r="A499" t="str">
        <f>IFERROR(INDEX(Работы!$D$2:$D$6000,MATCH($C499,Работы!$A$2:$A$6000,0)),"")</f>
        <v>Р5</v>
      </c>
      <c r="B499" t="str">
        <f>IFERROR(INDEX(Работы!$F$2:$F$6000,MATCH($C499,Работы!$A$2:$A$6000,0)),"")</f>
        <v>3</v>
      </c>
      <c r="C499" t="str">
        <f>IFERROR(INDEX(Работы!$A$2:$A$6000,498),"")</f>
        <v>РАБ.Р5.3.007</v>
      </c>
      <c r="D499" s="8" t="str">
        <f>IFERROR(INDEX(Работы!$B$2:$B$6000,MATCH($C499,Работы!$A$2:$A$6000,0)),"")</f>
        <v>Установка умывальника / раковины / мойки</v>
      </c>
      <c r="E499" t="str">
        <f>IFERROR(INDEX(Работы!$C$2:$C$6000,MATCH($C499,Работы!$A$2:$A$6000,0)),"")</f>
        <v>шт.</v>
      </c>
      <c r="F499" t="str">
        <f>IFERROR(INDEX(Работы!$G$2:$G$6000,MATCH($C499,Работы!$A$2:$A$6000,0)),"")</f>
        <v>СТП.РАК</v>
      </c>
      <c r="G499" t="str">
        <f>IFERROR(INDEX(Работы!$K$2:$K$6000,MATCH($C499,Работы!$A$2:$A$6000,0)),"")</f>
        <v>Спецификация</v>
      </c>
      <c r="H499" s="9"/>
      <c r="I499" s="9"/>
      <c r="J499" s="8" t="str">
        <f>IFERROR(INDEX(Материалы!$B$2:$B$9000,MATCH($I499,Материалы!$A$2:$A$9000,0)),"")</f>
        <v/>
      </c>
      <c r="K499" t="str">
        <f>IF($I499="","",IF($F499=IFERROR(INDEX(Материалы!$G$2:$G$9000,MATCH($I499,Материалы!$A$2:$A$9000,0)),""),"OK","!! не та группа"))</f>
        <v/>
      </c>
      <c r="L499" s="10">
        <f>IFERROR(INDEX(Работы!$H$2:$H$6000,MATCH($C499,Работы!$A$2:$A$6000,0))*(1-ДисконтТендер),0)</f>
        <v>500</v>
      </c>
      <c r="M499" s="10">
        <f>IF($I499="",0,IFERROR(INDEX(Материалы!$I$2:$I$9000,MATCH($I499,Материалы!$A$2:$A$9000,0))*IF(INDEX(Материалы!$J$2:$J$9000,MATCH($I499,Материалы!$A$2:$A$9000,0))="USD",КурсUSD,IF(INDEX(Материалы!$J$2:$J$9000,MATCH($I499,Материалы!$A$2:$A$9000,0))="EUR",КурсEUR,1))*INDEX(Материалы!$K$2:$K$9000,MATCH($I499,Материалы!$A$2:$A$9000,0))*(1+IFERROR(INDEX(Работы!$I$2:$I$6000,MATCH($C499,Работы!$A$2:$A$6000,0))/100,0))*(1-ДисконтТендер),0))</f>
        <v>0</v>
      </c>
      <c r="N499" s="10">
        <f t="shared" si="21"/>
        <v>0</v>
      </c>
      <c r="O499" s="10">
        <f t="shared" si="22"/>
        <v>0</v>
      </c>
      <c r="P499" s="10">
        <f t="shared" si="23"/>
        <v>0</v>
      </c>
      <c r="Q499" t="str">
        <f>IFERROR(INDEX(Работы!$J$2:$J$6000,MATCH($C499,Работы!$A$2:$A$6000,0)),"")</f>
        <v>типовая</v>
      </c>
      <c r="R499" t="s">
        <v>92</v>
      </c>
      <c r="T499" t="str">
        <f>IF(AND($P499&gt;0,$R499="да"),MAX($T$1:$T498)+1,"")</f>
        <v/>
      </c>
    </row>
    <row r="500" spans="1:20" ht="28.8" x14ac:dyDescent="0.3">
      <c r="A500" t="str">
        <f>IFERROR(INDEX(Работы!$D$2:$D$6000,MATCH($C500,Работы!$A$2:$A$6000,0)),"")</f>
        <v>Р5</v>
      </c>
      <c r="B500" t="str">
        <f>IFERROR(INDEX(Работы!$F$2:$F$6000,MATCH($C500,Работы!$A$2:$A$6000,0)),"")</f>
        <v>3</v>
      </c>
      <c r="C500" t="str">
        <f>IFERROR(INDEX(Работы!$A$2:$A$6000,499),"")</f>
        <v>РАБ.Р5.3.008</v>
      </c>
      <c r="D500" s="8" t="str">
        <f>IFERROR(INDEX(Работы!$B$2:$B$6000,MATCH($C500,Работы!$A$2:$A$6000,0)),"")</f>
        <v>Установка смесителя для раковины Damixa Jupiter 770230001 с гигиеническим душем, хром</v>
      </c>
      <c r="E500" t="str">
        <f>IFERROR(INDEX(Работы!$C$2:$C$6000,MATCH($C500,Работы!$A$2:$A$6000,0)),"")</f>
        <v>шт.</v>
      </c>
      <c r="F500" t="str">
        <f>IFERROR(INDEX(Работы!$G$2:$G$6000,MATCH($C500,Работы!$A$2:$A$6000,0)),"")</f>
        <v>СТП.РАК</v>
      </c>
      <c r="G500" t="str">
        <f>IFERROR(INDEX(Работы!$K$2:$K$6000,MATCH($C500,Работы!$A$2:$A$6000,0)),"")</f>
        <v>Спецификация</v>
      </c>
      <c r="H500" s="9"/>
      <c r="I500" s="9"/>
      <c r="J500" s="8" t="str">
        <f>IFERROR(INDEX(Материалы!$B$2:$B$9000,MATCH($I500,Материалы!$A$2:$A$9000,0)),"")</f>
        <v/>
      </c>
      <c r="K500" t="str">
        <f>IF($I500="","",IF($F500=IFERROR(INDEX(Материалы!$G$2:$G$9000,MATCH($I500,Материалы!$A$2:$A$9000,0)),""),"OK","!! не та группа"))</f>
        <v/>
      </c>
      <c r="L500" s="10">
        <f>IFERROR(INDEX(Работы!$H$2:$H$6000,MATCH($C500,Работы!$A$2:$A$6000,0))*(1-ДисконтТендер),0)</f>
        <v>2035.8</v>
      </c>
      <c r="M500" s="10">
        <f>IF($I500="",0,IFERROR(INDEX(Материалы!$I$2:$I$9000,MATCH($I500,Материалы!$A$2:$A$9000,0))*IF(INDEX(Материалы!$J$2:$J$9000,MATCH($I500,Материалы!$A$2:$A$9000,0))="USD",КурсUSD,IF(INDEX(Материалы!$J$2:$J$9000,MATCH($I500,Материалы!$A$2:$A$9000,0))="EUR",КурсEUR,1))*INDEX(Материалы!$K$2:$K$9000,MATCH($I500,Материалы!$A$2:$A$9000,0))*(1+IFERROR(INDEX(Работы!$I$2:$I$6000,MATCH($C500,Работы!$A$2:$A$6000,0))/100,0))*(1-ДисконтТендер),0))</f>
        <v>0</v>
      </c>
      <c r="N500" s="10">
        <f t="shared" si="21"/>
        <v>0</v>
      </c>
      <c r="O500" s="10">
        <f t="shared" si="22"/>
        <v>0</v>
      </c>
      <c r="P500" s="10">
        <f t="shared" si="23"/>
        <v>0</v>
      </c>
      <c r="Q500" t="str">
        <f>IFERROR(INDEX(Работы!$J$2:$J$6000,MATCH($C500,Работы!$A$2:$A$6000,0)),"")</f>
        <v>типовая</v>
      </c>
      <c r="R500" t="s">
        <v>92</v>
      </c>
      <c r="T500" t="str">
        <f>IF(AND($P500&gt;0,$R500="да"),MAX($T$1:$T499)+1,"")</f>
        <v/>
      </c>
    </row>
    <row r="501" spans="1:20" x14ac:dyDescent="0.3">
      <c r="A501" t="str">
        <f>IFERROR(INDEX(Работы!$D$2:$D$6000,MATCH($C501,Работы!$A$2:$A$6000,0)),"")</f>
        <v>Р5</v>
      </c>
      <c r="B501" t="str">
        <f>IFERROR(INDEX(Работы!$F$2:$F$6000,MATCH($C501,Работы!$A$2:$A$6000,0)),"")</f>
        <v>3</v>
      </c>
      <c r="C501" t="str">
        <f>IFERROR(INDEX(Работы!$A$2:$A$6000,500),"")</f>
        <v>РАБ.Р5.3.009</v>
      </c>
      <c r="D501" s="8" t="str">
        <f>IFERROR(INDEX(Работы!$B$2:$B$6000,MATCH($C501,Работы!$A$2:$A$6000,0)),"")</f>
        <v>Установка смесителя / водоразборной арматуры</v>
      </c>
      <c r="E501" t="str">
        <f>IFERROR(INDEX(Работы!$C$2:$C$6000,MATCH($C501,Работы!$A$2:$A$6000,0)),"")</f>
        <v>шт.</v>
      </c>
      <c r="F501" t="str">
        <f>IFERROR(INDEX(Работы!$G$2:$G$6000,MATCH($C501,Работы!$A$2:$A$6000,0)),"")</f>
        <v>СТП.СМЕС</v>
      </c>
      <c r="G501" t="str">
        <f>IFERROR(INDEX(Работы!$K$2:$K$6000,MATCH($C501,Работы!$A$2:$A$6000,0)),"")</f>
        <v>Спецификация</v>
      </c>
      <c r="H501" s="9"/>
      <c r="I501" s="9"/>
      <c r="J501" s="8" t="str">
        <f>IFERROR(INDEX(Материалы!$B$2:$B$9000,MATCH($I501,Материалы!$A$2:$A$9000,0)),"")</f>
        <v/>
      </c>
      <c r="K501" t="str">
        <f>IF($I501="","",IF($F501=IFERROR(INDEX(Материалы!$G$2:$G$9000,MATCH($I501,Материалы!$A$2:$A$9000,0)),""),"OK","!! не та группа"))</f>
        <v/>
      </c>
      <c r="L501" s="10">
        <f>IFERROR(INDEX(Работы!$H$2:$H$6000,MATCH($C501,Работы!$A$2:$A$6000,0))*(1-ДисконтТендер),0)</f>
        <v>2239.38</v>
      </c>
      <c r="M501" s="10">
        <f>IF($I501="",0,IFERROR(INDEX(Материалы!$I$2:$I$9000,MATCH($I501,Материалы!$A$2:$A$9000,0))*IF(INDEX(Материалы!$J$2:$J$9000,MATCH($I501,Материалы!$A$2:$A$9000,0))="USD",КурсUSD,IF(INDEX(Материалы!$J$2:$J$9000,MATCH($I501,Материалы!$A$2:$A$9000,0))="EUR",КурсEUR,1))*INDEX(Материалы!$K$2:$K$9000,MATCH($I501,Материалы!$A$2:$A$9000,0))*(1+IFERROR(INDEX(Работы!$I$2:$I$6000,MATCH($C501,Работы!$A$2:$A$6000,0))/100,0))*(1-ДисконтТендер),0))</f>
        <v>0</v>
      </c>
      <c r="N501" s="10">
        <f t="shared" si="21"/>
        <v>0</v>
      </c>
      <c r="O501" s="10">
        <f t="shared" si="22"/>
        <v>0</v>
      </c>
      <c r="P501" s="10">
        <f t="shared" si="23"/>
        <v>0</v>
      </c>
      <c r="Q501" t="str">
        <f>IFERROR(INDEX(Работы!$J$2:$J$6000,MATCH($C501,Работы!$A$2:$A$6000,0)),"")</f>
        <v>типовая</v>
      </c>
      <c r="R501" t="s">
        <v>92</v>
      </c>
      <c r="T501" t="str">
        <f>IF(AND($P501&gt;0,$R501="да"),MAX($T$1:$T500)+1,"")</f>
        <v/>
      </c>
    </row>
    <row r="502" spans="1:20" ht="57.6" x14ac:dyDescent="0.3">
      <c r="A502" t="str">
        <f>IFERROR(INDEX(Работы!$D$2:$D$6000,MATCH($C502,Работы!$A$2:$A$6000,0)),"")</f>
        <v>Р5</v>
      </c>
      <c r="B502" t="str">
        <f>IFERROR(INDEX(Работы!$F$2:$F$6000,MATCH($C502,Работы!$A$2:$A$6000,0)),"")</f>
        <v>3</v>
      </c>
      <c r="C502" t="str">
        <f>IFERROR(INDEX(Работы!$A$2:$A$6000,501),"")</f>
        <v>РАБ.Р5.3.010</v>
      </c>
      <c r="D502" s="8" t="str">
        <f>IFERROR(INDEX(Работы!$B$2:$B$6000,MATCH($C502,Работы!$A$2:$A$6000,0)),"")</f>
        <v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v>
      </c>
      <c r="E502" t="str">
        <f>IFERROR(INDEX(Работы!$C$2:$C$6000,MATCH($C502,Работы!$A$2:$A$6000,0)),"")</f>
        <v>компл.</v>
      </c>
      <c r="F502" t="str">
        <f>IFERROR(INDEX(Работы!$G$2:$G$6000,MATCH($C502,Работы!$A$2:$A$6000,0)),"")</f>
        <v>АРМ.ОВ</v>
      </c>
      <c r="G502" t="str">
        <f>IFERROR(INDEX(Работы!$K$2:$K$6000,MATCH($C502,Работы!$A$2:$A$6000,0)),"")</f>
        <v>Спецификация</v>
      </c>
      <c r="H502" s="9"/>
      <c r="I502" s="9"/>
      <c r="J502" s="8" t="str">
        <f>IFERROR(INDEX(Материалы!$B$2:$B$9000,MATCH($I502,Материалы!$A$2:$A$9000,0)),"")</f>
        <v/>
      </c>
      <c r="K502" t="str">
        <f>IF($I502="","",IF($F502=IFERROR(INDEX(Материалы!$G$2:$G$9000,MATCH($I502,Материалы!$A$2:$A$9000,0)),""),"OK","!! не та группа"))</f>
        <v/>
      </c>
      <c r="L502" s="10">
        <f>IFERROR(INDEX(Работы!$H$2:$H$6000,MATCH($C502,Работы!$A$2:$A$6000,0))*(1-ДисконтТендер),0)</f>
        <v>7419.36</v>
      </c>
      <c r="M502" s="10">
        <f>IF($I502="",0,IFERROR(INDEX(Материалы!$I$2:$I$9000,MATCH($I502,Материалы!$A$2:$A$9000,0))*IF(INDEX(Материалы!$J$2:$J$9000,MATCH($I502,Материалы!$A$2:$A$9000,0))="USD",КурсUSD,IF(INDEX(Материалы!$J$2:$J$9000,MATCH($I502,Материалы!$A$2:$A$9000,0))="EUR",КурсEUR,1))*INDEX(Материалы!$K$2:$K$9000,MATCH($I502,Материалы!$A$2:$A$9000,0))*(1+IFERROR(INDEX(Работы!$I$2:$I$6000,MATCH($C502,Работы!$A$2:$A$6000,0))/100,0))*(1-ДисконтТендер),0))</f>
        <v>0</v>
      </c>
      <c r="N502" s="10">
        <f t="shared" si="21"/>
        <v>0</v>
      </c>
      <c r="O502" s="10">
        <f t="shared" si="22"/>
        <v>0</v>
      </c>
      <c r="P502" s="10">
        <f t="shared" si="23"/>
        <v>0</v>
      </c>
      <c r="Q502" t="str">
        <f>IFERROR(INDEX(Работы!$J$2:$J$6000,MATCH($C502,Работы!$A$2:$A$6000,0)),"")</f>
        <v>типовая</v>
      </c>
      <c r="R502" t="s">
        <v>92</v>
      </c>
      <c r="T502" t="str">
        <f>IF(AND($P502&gt;0,$R502="да"),MAX($T$1:$T501)+1,"")</f>
        <v/>
      </c>
    </row>
    <row r="503" spans="1:20" ht="28.8" x14ac:dyDescent="0.3">
      <c r="A503" t="str">
        <f>IFERROR(INDEX(Работы!$D$2:$D$6000,MATCH($C503,Работы!$A$2:$A$6000,0)),"")</f>
        <v>Р5</v>
      </c>
      <c r="B503" t="str">
        <f>IFERROR(INDEX(Работы!$F$2:$F$6000,MATCH($C503,Работы!$A$2:$A$6000,0)),"")</f>
        <v>3</v>
      </c>
      <c r="C503" t="str">
        <f>IFERROR(INDEX(Работы!$A$2:$A$6000,502),"")</f>
        <v>РАБ.Р5.3.011</v>
      </c>
      <c r="D503" s="8" t="str">
        <f>IFERROR(INDEX(Работы!$B$2:$B$6000,MATCH($C503,Работы!$A$2:$A$6000,0)),"")</f>
        <v>Монтаж трубопровода (отопление / водоснабжение)</v>
      </c>
      <c r="E503" t="str">
        <f>IFERROR(INDEX(Работы!$C$2:$C$6000,MATCH($C503,Работы!$A$2:$A$6000,0)),"")</f>
        <v>м.п.</v>
      </c>
      <c r="F503" t="str">
        <f>IFERROR(INDEX(Работы!$G$2:$G$6000,MATCH($C503,Работы!$A$2:$A$6000,0)),"")</f>
        <v>ТРУБА.ОВ</v>
      </c>
      <c r="G503" t="str">
        <f>IFERROR(INDEX(Работы!$K$2:$K$6000,MATCH($C503,Работы!$A$2:$A$6000,0)),"")</f>
        <v>Погонаж</v>
      </c>
      <c r="H503" s="9"/>
      <c r="I503" s="9"/>
      <c r="J503" s="8" t="str">
        <f>IFERROR(INDEX(Материалы!$B$2:$B$9000,MATCH($I503,Материалы!$A$2:$A$9000,0)),"")</f>
        <v/>
      </c>
      <c r="K503" t="str">
        <f>IF($I503="","",IF($F503=IFERROR(INDEX(Материалы!$G$2:$G$9000,MATCH($I503,Материалы!$A$2:$A$9000,0)),""),"OK","!! не та группа"))</f>
        <v/>
      </c>
      <c r="L503" s="10">
        <f>IFERROR(INDEX(Работы!$H$2:$H$6000,MATCH($C503,Работы!$A$2:$A$6000,0))*(1-ДисконтТендер),0)</f>
        <v>551.22</v>
      </c>
      <c r="M503" s="10">
        <f>IF($I503="",0,IFERROR(INDEX(Материалы!$I$2:$I$9000,MATCH($I503,Материалы!$A$2:$A$9000,0))*IF(INDEX(Материалы!$J$2:$J$9000,MATCH($I503,Материалы!$A$2:$A$9000,0))="USD",КурсUSD,IF(INDEX(Материалы!$J$2:$J$9000,MATCH($I503,Материалы!$A$2:$A$9000,0))="EUR",КурсEUR,1))*INDEX(Материалы!$K$2:$K$9000,MATCH($I503,Материалы!$A$2:$A$9000,0))*(1+IFERROR(INDEX(Работы!$I$2:$I$6000,MATCH($C503,Работы!$A$2:$A$6000,0))/100,0))*(1-ДисконтТендер),0))</f>
        <v>0</v>
      </c>
      <c r="N503" s="10">
        <f t="shared" si="21"/>
        <v>0</v>
      </c>
      <c r="O503" s="10">
        <f t="shared" si="22"/>
        <v>0</v>
      </c>
      <c r="P503" s="10">
        <f t="shared" si="23"/>
        <v>0</v>
      </c>
      <c r="Q503" t="str">
        <f>IFERROR(INDEX(Работы!$J$2:$J$6000,MATCH($C503,Работы!$A$2:$A$6000,0)),"")</f>
        <v>типовая</v>
      </c>
      <c r="R503" t="s">
        <v>92</v>
      </c>
      <c r="T503" t="str">
        <f>IF(AND($P503&gt;0,$R503="да"),MAX($T$1:$T502)+1,"")</f>
        <v/>
      </c>
    </row>
    <row r="504" spans="1:20" ht="28.8" x14ac:dyDescent="0.3">
      <c r="A504" t="str">
        <f>IFERROR(INDEX(Работы!$D$2:$D$6000,MATCH($C504,Работы!$A$2:$A$6000,0)),"")</f>
        <v>Р5</v>
      </c>
      <c r="B504" t="str">
        <f>IFERROR(INDEX(Работы!$F$2:$F$6000,MATCH($C504,Работы!$A$2:$A$6000,0)),"")</f>
        <v>3</v>
      </c>
      <c r="C504" t="str">
        <f>IFERROR(INDEX(Работы!$A$2:$A$6000,503),"")</f>
        <v>РАБ.Р5.3.012</v>
      </c>
      <c r="D504" s="8" t="str">
        <f>IFERROR(INDEX(Работы!$B$2:$B$6000,MATCH($C504,Работы!$A$2:$A$6000,0)),"")</f>
        <v>Монтаж арматуры и фасонных частей (ВК / отопление)</v>
      </c>
      <c r="E504" t="str">
        <f>IFERROR(INDEX(Работы!$C$2:$C$6000,MATCH($C504,Работы!$A$2:$A$6000,0)),"")</f>
        <v>шт.</v>
      </c>
      <c r="F504" t="str">
        <f>IFERROR(INDEX(Работы!$G$2:$G$6000,MATCH($C504,Работы!$A$2:$A$6000,0)),"")</f>
        <v>АРМ.ОВ</v>
      </c>
      <c r="G504" t="str">
        <f>IFERROR(INDEX(Работы!$K$2:$K$6000,MATCH($C504,Работы!$A$2:$A$6000,0)),"")</f>
        <v>Спецификация</v>
      </c>
      <c r="H504" s="9"/>
      <c r="I504" s="9"/>
      <c r="J504" s="8" t="str">
        <f>IFERROR(INDEX(Материалы!$B$2:$B$9000,MATCH($I504,Материалы!$A$2:$A$9000,0)),"")</f>
        <v/>
      </c>
      <c r="K504" t="str">
        <f>IF($I504="","",IF($F504=IFERROR(INDEX(Материалы!$G$2:$G$9000,MATCH($I504,Материалы!$A$2:$A$9000,0)),""),"OK","!! не та группа"))</f>
        <v/>
      </c>
      <c r="L504" s="10">
        <f>IFERROR(INDEX(Работы!$H$2:$H$6000,MATCH($C504,Работы!$A$2:$A$6000,0))*(1-ДисконтТендер),0)</f>
        <v>886.23</v>
      </c>
      <c r="M504" s="10">
        <f>IF($I504="",0,IFERROR(INDEX(Материалы!$I$2:$I$9000,MATCH($I504,Материалы!$A$2:$A$9000,0))*IF(INDEX(Материалы!$J$2:$J$9000,MATCH($I504,Материалы!$A$2:$A$9000,0))="USD",КурсUSD,IF(INDEX(Материалы!$J$2:$J$9000,MATCH($I504,Материалы!$A$2:$A$9000,0))="EUR",КурсEUR,1))*INDEX(Материалы!$K$2:$K$9000,MATCH($I504,Материалы!$A$2:$A$9000,0))*(1+IFERROR(INDEX(Работы!$I$2:$I$6000,MATCH($C504,Работы!$A$2:$A$6000,0))/100,0))*(1-ДисконтТендер),0))</f>
        <v>0</v>
      </c>
      <c r="N504" s="10">
        <f t="shared" si="21"/>
        <v>0</v>
      </c>
      <c r="O504" s="10">
        <f t="shared" si="22"/>
        <v>0</v>
      </c>
      <c r="P504" s="10">
        <f t="shared" si="23"/>
        <v>0</v>
      </c>
      <c r="Q504" t="str">
        <f>IFERROR(INDEX(Работы!$J$2:$J$6000,MATCH($C504,Работы!$A$2:$A$6000,0)),"")</f>
        <v>типовая</v>
      </c>
      <c r="R504" t="s">
        <v>92</v>
      </c>
      <c r="T504" t="str">
        <f>IF(AND($P504&gt;0,$R504="да"),MAX($T$1:$T503)+1,"")</f>
        <v/>
      </c>
    </row>
    <row r="505" spans="1:20" ht="28.8" x14ac:dyDescent="0.3">
      <c r="A505" t="str">
        <f>IFERROR(INDEX(Работы!$D$2:$D$6000,MATCH($C505,Работы!$A$2:$A$6000,0)),"")</f>
        <v>Р5</v>
      </c>
      <c r="B505" t="str">
        <f>IFERROR(INDEX(Работы!$F$2:$F$6000,MATCH($C505,Работы!$A$2:$A$6000,0)),"")</f>
        <v>3</v>
      </c>
      <c r="C505" t="str">
        <f>IFERROR(INDEX(Работы!$A$2:$A$6000,504),"")</f>
        <v>РАБ.Р5.3.013</v>
      </c>
      <c r="D505" s="8" t="str">
        <f>IFERROR(INDEX(Работы!$B$2:$B$6000,MATCH($C505,Работы!$A$2:$A$6000,0)),"")</f>
        <v>Монтаж трубопроводов канализации из полипропиленовых труб диаметром 50 мм</v>
      </c>
      <c r="E505" t="str">
        <f>IFERROR(INDEX(Работы!$C$2:$C$6000,MATCH($C505,Работы!$A$2:$A$6000,0)),"")</f>
        <v>м.п.</v>
      </c>
      <c r="F505" t="str">
        <f>IFERROR(INDEX(Работы!$G$2:$G$6000,MATCH($C505,Работы!$A$2:$A$6000,0)),"")</f>
        <v>ТРУБА.ОВ</v>
      </c>
      <c r="G505" t="str">
        <f>IFERROR(INDEX(Работы!$K$2:$K$6000,MATCH($C505,Работы!$A$2:$A$6000,0)),"")</f>
        <v>Погонаж</v>
      </c>
      <c r="H505" s="9"/>
      <c r="I505" s="9"/>
      <c r="J505" s="8" t="str">
        <f>IFERROR(INDEX(Материалы!$B$2:$B$9000,MATCH($I505,Материалы!$A$2:$A$9000,0)),"")</f>
        <v/>
      </c>
      <c r="K505" t="str">
        <f>IF($I505="","",IF($F505=IFERROR(INDEX(Материалы!$G$2:$G$9000,MATCH($I505,Материалы!$A$2:$A$9000,0)),""),"OK","!! не та группа"))</f>
        <v/>
      </c>
      <c r="L505" s="10">
        <f>IFERROR(INDEX(Работы!$H$2:$H$6000,MATCH($C505,Работы!$A$2:$A$6000,0))*(1-ДисконтТендер),0)</f>
        <v>610.74</v>
      </c>
      <c r="M505" s="10">
        <f>IF($I505="",0,IFERROR(INDEX(Материалы!$I$2:$I$9000,MATCH($I505,Материалы!$A$2:$A$9000,0))*IF(INDEX(Материалы!$J$2:$J$9000,MATCH($I505,Материалы!$A$2:$A$9000,0))="USD",КурсUSD,IF(INDEX(Материалы!$J$2:$J$9000,MATCH($I505,Материалы!$A$2:$A$9000,0))="EUR",КурсEUR,1))*INDEX(Материалы!$K$2:$K$9000,MATCH($I505,Материалы!$A$2:$A$9000,0))*(1+IFERROR(INDEX(Работы!$I$2:$I$6000,MATCH($C505,Работы!$A$2:$A$6000,0))/100,0))*(1-ДисконтТендер),0))</f>
        <v>0</v>
      </c>
      <c r="N505" s="10">
        <f t="shared" si="21"/>
        <v>0</v>
      </c>
      <c r="O505" s="10">
        <f t="shared" si="22"/>
        <v>0</v>
      </c>
      <c r="P505" s="10">
        <f t="shared" si="23"/>
        <v>0</v>
      </c>
      <c r="Q505" t="str">
        <f>IFERROR(INDEX(Работы!$J$2:$J$6000,MATCH($C505,Работы!$A$2:$A$6000,0)),"")</f>
        <v>типовая</v>
      </c>
      <c r="R505" t="s">
        <v>92</v>
      </c>
      <c r="T505" t="str">
        <f>IF(AND($P505&gt;0,$R505="да"),MAX($T$1:$T504)+1,"")</f>
        <v/>
      </c>
    </row>
    <row r="506" spans="1:20" ht="43.2" x14ac:dyDescent="0.3">
      <c r="A506" t="str">
        <f>IFERROR(INDEX(Работы!$D$2:$D$6000,MATCH($C506,Работы!$A$2:$A$6000,0)),"")</f>
        <v>Р5</v>
      </c>
      <c r="B506" t="str">
        <f>IFERROR(INDEX(Работы!$F$2:$F$6000,MATCH($C506,Работы!$A$2:$A$6000,0)),"")</f>
        <v>3</v>
      </c>
      <c r="C506" t="str">
        <f>IFERROR(INDEX(Работы!$A$2:$A$6000,505),"")</f>
        <v>РАБ.Р5.3.014</v>
      </c>
      <c r="D506" s="8" t="str">
        <f>IFERROR(INDEX(Работы!$B$2:$B$6000,MATCH($C506,Работы!$A$2:$A$6000,0)),"")</f>
        <v>Прокладка канализации Ду50 (Труба канализационная чугунная безраструбная Duker SML Ду50)</v>
      </c>
      <c r="E506" t="str">
        <f>IFERROR(INDEX(Работы!$C$2:$C$6000,MATCH($C506,Работы!$A$2:$A$6000,0)),"")</f>
        <v>м.п.</v>
      </c>
      <c r="F506" t="str">
        <f>IFERROR(INDEX(Работы!$G$2:$G$6000,MATCH($C506,Работы!$A$2:$A$6000,0)),"")</f>
        <v>ТРУБА.ОВ</v>
      </c>
      <c r="G506" t="str">
        <f>IFERROR(INDEX(Работы!$K$2:$K$6000,MATCH($C506,Работы!$A$2:$A$6000,0)),"")</f>
        <v>Погонаж</v>
      </c>
      <c r="H506" s="9"/>
      <c r="I506" s="9"/>
      <c r="J506" s="8" t="str">
        <f>IFERROR(INDEX(Материалы!$B$2:$B$9000,MATCH($I506,Материалы!$A$2:$A$9000,0)),"")</f>
        <v/>
      </c>
      <c r="K506" t="str">
        <f>IF($I506="","",IF($F506=IFERROR(INDEX(Материалы!$G$2:$G$9000,MATCH($I506,Материалы!$A$2:$A$9000,0)),""),"OK","!! не та группа"))</f>
        <v/>
      </c>
      <c r="L506" s="10">
        <f>IFERROR(INDEX(Работы!$H$2:$H$6000,MATCH($C506,Работы!$A$2:$A$6000,0))*(1-ДисконтТендер),0)</f>
        <v>2149.84</v>
      </c>
      <c r="M506" s="10">
        <f>IF($I506="",0,IFERROR(INDEX(Материалы!$I$2:$I$9000,MATCH($I506,Материалы!$A$2:$A$9000,0))*IF(INDEX(Материалы!$J$2:$J$9000,MATCH($I506,Материалы!$A$2:$A$9000,0))="USD",КурсUSD,IF(INDEX(Материалы!$J$2:$J$9000,MATCH($I506,Материалы!$A$2:$A$9000,0))="EUR",КурсEUR,1))*INDEX(Материалы!$K$2:$K$9000,MATCH($I506,Материалы!$A$2:$A$9000,0))*(1+IFERROR(INDEX(Работы!$I$2:$I$6000,MATCH($C506,Работы!$A$2:$A$6000,0))/100,0))*(1-ДисконтТендер),0))</f>
        <v>0</v>
      </c>
      <c r="N506" s="10">
        <f t="shared" si="21"/>
        <v>0</v>
      </c>
      <c r="O506" s="10">
        <f t="shared" si="22"/>
        <v>0</v>
      </c>
      <c r="P506" s="10">
        <f t="shared" si="23"/>
        <v>0</v>
      </c>
      <c r="Q506" t="str">
        <f>IFERROR(INDEX(Работы!$J$2:$J$6000,MATCH($C506,Работы!$A$2:$A$6000,0)),"")</f>
        <v>типовая</v>
      </c>
      <c r="R506" t="s">
        <v>92</v>
      </c>
      <c r="T506" t="str">
        <f>IF(AND($P506&gt;0,$R506="да"),MAX($T$1:$T505)+1,"")</f>
        <v/>
      </c>
    </row>
    <row r="507" spans="1:20" ht="43.2" x14ac:dyDescent="0.3">
      <c r="A507" t="str">
        <f>IFERROR(INDEX(Работы!$D$2:$D$6000,MATCH($C507,Работы!$A$2:$A$6000,0)),"")</f>
        <v>Р5</v>
      </c>
      <c r="B507" t="str">
        <f>IFERROR(INDEX(Работы!$F$2:$F$6000,MATCH($C507,Работы!$A$2:$A$6000,0)),"")</f>
        <v>3</v>
      </c>
      <c r="C507" t="str">
        <f>IFERROR(INDEX(Работы!$A$2:$A$6000,506),"")</f>
        <v>РАБ.Р5.3.015</v>
      </c>
      <c r="D507" s="8" t="str">
        <f>IFERROR(INDEX(Работы!$B$2:$B$6000,MATCH($C507,Работы!$A$2:$A$6000,0)),"")</f>
        <v>Прокладка канализации Ду50 скрыто в штробах и коробах (Труба канализационная раструбная ПНД Ду50)</v>
      </c>
      <c r="E507" t="str">
        <f>IFERROR(INDEX(Работы!$C$2:$C$6000,MATCH($C507,Работы!$A$2:$A$6000,0)),"")</f>
        <v>м.п.</v>
      </c>
      <c r="F507" t="str">
        <f>IFERROR(INDEX(Работы!$G$2:$G$6000,MATCH($C507,Работы!$A$2:$A$6000,0)),"")</f>
        <v>ТРУБА.ОВ</v>
      </c>
      <c r="G507" t="str">
        <f>IFERROR(INDEX(Работы!$K$2:$K$6000,MATCH($C507,Работы!$A$2:$A$6000,0)),"")</f>
        <v>Погонаж</v>
      </c>
      <c r="H507" s="9"/>
      <c r="I507" s="9"/>
      <c r="J507" s="8" t="str">
        <f>IFERROR(INDEX(Материалы!$B$2:$B$9000,MATCH($I507,Материалы!$A$2:$A$9000,0)),"")</f>
        <v/>
      </c>
      <c r="K507" t="str">
        <f>IF($I507="","",IF($F507=IFERROR(INDEX(Материалы!$G$2:$G$9000,MATCH($I507,Материалы!$A$2:$A$9000,0)),""),"OK","!! не та группа"))</f>
        <v/>
      </c>
      <c r="L507" s="10">
        <f>IFERROR(INDEX(Работы!$H$2:$H$6000,MATCH($C507,Работы!$A$2:$A$6000,0))*(1-ДисконтТендер),0)</f>
        <v>561.9</v>
      </c>
      <c r="M507" s="10">
        <f>IF($I507="",0,IFERROR(INDEX(Материалы!$I$2:$I$9000,MATCH($I507,Материалы!$A$2:$A$9000,0))*IF(INDEX(Материалы!$J$2:$J$9000,MATCH($I507,Материалы!$A$2:$A$9000,0))="USD",КурсUSD,IF(INDEX(Материалы!$J$2:$J$9000,MATCH($I507,Материалы!$A$2:$A$9000,0))="EUR",КурсEUR,1))*INDEX(Материалы!$K$2:$K$9000,MATCH($I507,Материалы!$A$2:$A$9000,0))*(1+IFERROR(INDEX(Работы!$I$2:$I$6000,MATCH($C507,Работы!$A$2:$A$6000,0))/100,0))*(1-ДисконтТендер),0))</f>
        <v>0</v>
      </c>
      <c r="N507" s="10">
        <f t="shared" si="21"/>
        <v>0</v>
      </c>
      <c r="O507" s="10">
        <f t="shared" si="22"/>
        <v>0</v>
      </c>
      <c r="P507" s="10">
        <f t="shared" si="23"/>
        <v>0</v>
      </c>
      <c r="Q507" t="str">
        <f>IFERROR(INDEX(Работы!$J$2:$J$6000,MATCH($C507,Работы!$A$2:$A$6000,0)),"")</f>
        <v>типовая</v>
      </c>
      <c r="R507" t="s">
        <v>92</v>
      </c>
      <c r="T507" t="str">
        <f>IF(AND($P507&gt;0,$R507="да"),MAX($T$1:$T506)+1,"")</f>
        <v/>
      </c>
    </row>
    <row r="508" spans="1:20" ht="28.8" x14ac:dyDescent="0.3">
      <c r="A508" t="str">
        <f>IFERROR(INDEX(Работы!$D$2:$D$6000,MATCH($C508,Работы!$A$2:$A$6000,0)),"")</f>
        <v>Р5</v>
      </c>
      <c r="B508" t="str">
        <f>IFERROR(INDEX(Работы!$F$2:$F$6000,MATCH($C508,Работы!$A$2:$A$6000,0)),"")</f>
        <v>3</v>
      </c>
      <c r="C508" t="str">
        <f>IFERROR(INDEX(Работы!$A$2:$A$6000,507),"")</f>
        <v>РАБ.Р5.3.016</v>
      </c>
      <c r="D508" s="8" t="str">
        <f>IFERROR(INDEX(Работы!$B$2:$B$6000,MATCH($C508,Работы!$A$2:$A$6000,0)),"")</f>
        <v>Монтаж трубопроводов канализации из полипропиленовых труб диаметром 110 мм</v>
      </c>
      <c r="E508" t="str">
        <f>IFERROR(INDEX(Работы!$C$2:$C$6000,MATCH($C508,Работы!$A$2:$A$6000,0)),"")</f>
        <v>м.п.</v>
      </c>
      <c r="F508" t="str">
        <f>IFERROR(INDEX(Работы!$G$2:$G$6000,MATCH($C508,Работы!$A$2:$A$6000,0)),"")</f>
        <v>ТРУБА.ОВ</v>
      </c>
      <c r="G508" t="str">
        <f>IFERROR(INDEX(Работы!$K$2:$K$6000,MATCH($C508,Работы!$A$2:$A$6000,0)),"")</f>
        <v>Погонаж</v>
      </c>
      <c r="H508" s="9"/>
      <c r="I508" s="9"/>
      <c r="J508" s="8" t="str">
        <f>IFERROR(INDEX(Материалы!$B$2:$B$9000,MATCH($I508,Материалы!$A$2:$A$9000,0)),"")</f>
        <v/>
      </c>
      <c r="K508" t="str">
        <f>IF($I508="","",IF($F508=IFERROR(INDEX(Материалы!$G$2:$G$9000,MATCH($I508,Материалы!$A$2:$A$9000,0)),""),"OK","!! не та группа"))</f>
        <v/>
      </c>
      <c r="L508" s="10">
        <f>IFERROR(INDEX(Работы!$H$2:$H$6000,MATCH($C508,Работы!$A$2:$A$6000,0))*(1-ДисконтТендер),0)</f>
        <v>746.46</v>
      </c>
      <c r="M508" s="10">
        <f>IF($I508="",0,IFERROR(INDEX(Материалы!$I$2:$I$9000,MATCH($I508,Материалы!$A$2:$A$9000,0))*IF(INDEX(Материалы!$J$2:$J$9000,MATCH($I508,Материалы!$A$2:$A$9000,0))="USD",КурсUSD,IF(INDEX(Материалы!$J$2:$J$9000,MATCH($I508,Материалы!$A$2:$A$9000,0))="EUR",КурсEUR,1))*INDEX(Материалы!$K$2:$K$9000,MATCH($I508,Материалы!$A$2:$A$9000,0))*(1+IFERROR(INDEX(Работы!$I$2:$I$6000,MATCH($C508,Работы!$A$2:$A$6000,0))/100,0))*(1-ДисконтТендер),0))</f>
        <v>0</v>
      </c>
      <c r="N508" s="10">
        <f t="shared" si="21"/>
        <v>0</v>
      </c>
      <c r="O508" s="10">
        <f t="shared" si="22"/>
        <v>0</v>
      </c>
      <c r="P508" s="10">
        <f t="shared" si="23"/>
        <v>0</v>
      </c>
      <c r="Q508" t="str">
        <f>IFERROR(INDEX(Работы!$J$2:$J$6000,MATCH($C508,Работы!$A$2:$A$6000,0)),"")</f>
        <v>типовая</v>
      </c>
      <c r="R508" t="s">
        <v>92</v>
      </c>
      <c r="T508" t="str">
        <f>IF(AND($P508&gt;0,$R508="да"),MAX($T$1:$T507)+1,"")</f>
        <v/>
      </c>
    </row>
    <row r="509" spans="1:20" x14ac:dyDescent="0.3">
      <c r="A509" t="str">
        <f>IFERROR(INDEX(Работы!$D$2:$D$6000,MATCH($C509,Работы!$A$2:$A$6000,0)),"")</f>
        <v>Р5</v>
      </c>
      <c r="B509" t="str">
        <f>IFERROR(INDEX(Работы!$F$2:$F$6000,MATCH($C509,Работы!$A$2:$A$6000,0)),"")</f>
        <v>3</v>
      </c>
      <c r="C509" t="str">
        <f>IFERROR(INDEX(Работы!$A$2:$A$6000,508),"")</f>
        <v>РАБ.Р5.3.017</v>
      </c>
      <c r="D509" s="8" t="str">
        <f>IFERROR(INDEX(Работы!$B$2:$B$6000,MATCH($C509,Работы!$A$2:$A$6000,0)),"")</f>
        <v>Подводка гибкая сантехническая</v>
      </c>
      <c r="E509" t="str">
        <f>IFERROR(INDEX(Работы!$C$2:$C$6000,MATCH($C509,Работы!$A$2:$A$6000,0)),"")</f>
        <v>шт.</v>
      </c>
      <c r="F509">
        <f>IFERROR(INDEX(Работы!$G$2:$G$6000,MATCH($C509,Работы!$A$2:$A$6000,0)),"")</f>
        <v>0</v>
      </c>
      <c r="G509" t="str">
        <f>IFERROR(INDEX(Работы!$K$2:$K$6000,MATCH($C509,Работы!$A$2:$A$6000,0)),"")</f>
        <v>Спецификация</v>
      </c>
      <c r="H509" s="9"/>
      <c r="I509" s="9"/>
      <c r="J509" s="8" t="str">
        <f>IFERROR(INDEX(Материалы!$B$2:$B$9000,MATCH($I509,Материалы!$A$2:$A$9000,0)),"")</f>
        <v/>
      </c>
      <c r="K509" t="str">
        <f>IF($I509="","",IF($F509=IFERROR(INDEX(Материалы!$G$2:$G$9000,MATCH($I509,Материалы!$A$2:$A$9000,0)),""),"OK","!! не та группа"))</f>
        <v/>
      </c>
      <c r="L509" s="10">
        <f>IFERROR(INDEX(Работы!$H$2:$H$6000,MATCH($C509,Работы!$A$2:$A$6000,0))*(1-ДисконтТендер),0)</f>
        <v>539.75</v>
      </c>
      <c r="M509" s="10">
        <f>IF($I509="",0,IFERROR(INDEX(Материалы!$I$2:$I$9000,MATCH($I509,Материалы!$A$2:$A$9000,0))*IF(INDEX(Материалы!$J$2:$J$9000,MATCH($I509,Материалы!$A$2:$A$9000,0))="USD",КурсUSD,IF(INDEX(Материалы!$J$2:$J$9000,MATCH($I509,Материалы!$A$2:$A$9000,0))="EUR",КурсEUR,1))*INDEX(Материалы!$K$2:$K$9000,MATCH($I509,Материалы!$A$2:$A$9000,0))*(1+IFERROR(INDEX(Работы!$I$2:$I$6000,MATCH($C509,Работы!$A$2:$A$6000,0))/100,0))*(1-ДисконтТендер),0))</f>
        <v>0</v>
      </c>
      <c r="N509" s="10">
        <f t="shared" si="21"/>
        <v>0</v>
      </c>
      <c r="O509" s="10">
        <f t="shared" si="22"/>
        <v>0</v>
      </c>
      <c r="P509" s="10">
        <f t="shared" si="23"/>
        <v>0</v>
      </c>
      <c r="Q509" t="str">
        <f>IFERROR(INDEX(Работы!$J$2:$J$6000,MATCH($C509,Работы!$A$2:$A$6000,0)),"")</f>
        <v>типовая</v>
      </c>
      <c r="R509" t="s">
        <v>92</v>
      </c>
      <c r="T509" t="str">
        <f>IF(AND($P509&gt;0,$R509="да"),MAX($T$1:$T508)+1,"")</f>
        <v/>
      </c>
    </row>
    <row r="510" spans="1:20" ht="57.6" x14ac:dyDescent="0.3">
      <c r="A510" t="str">
        <f>IFERROR(INDEX(Работы!$D$2:$D$6000,MATCH($C510,Работы!$A$2:$A$6000,0)),"")</f>
        <v>Р5</v>
      </c>
      <c r="B510" t="str">
        <f>IFERROR(INDEX(Работы!$F$2:$F$6000,MATCH($C510,Работы!$A$2:$A$6000,0)),"")</f>
        <v>3</v>
      </c>
      <c r="C510" t="str">
        <f>IFERROR(INDEX(Работы!$A$2:$A$6000,509),"")</f>
        <v>РАБ.Р5.3.018</v>
      </c>
      <c r="D510" s="8" t="str">
        <f>IFERROR(INDEX(Работы!$B$2:$B$6000,MATCH($C510,Работы!$A$2:$A$6000,0)),"")</f>
        <v>Прокладка сетей холодного и горячего водопровода ДУ15 в подвале открыто (Труба водопроводная сшитый полипропилен + Изоляция Thermoflex Ду 15)</v>
      </c>
      <c r="E510" t="str">
        <f>IFERROR(INDEX(Работы!$C$2:$C$6000,MATCH($C510,Работы!$A$2:$A$6000,0)),"")</f>
        <v>м.п.</v>
      </c>
      <c r="F510">
        <f>IFERROR(INDEX(Работы!$G$2:$G$6000,MATCH($C510,Работы!$A$2:$A$6000,0)),"")</f>
        <v>0</v>
      </c>
      <c r="G510" t="str">
        <f>IFERROR(INDEX(Работы!$K$2:$K$6000,MATCH($C510,Работы!$A$2:$A$6000,0)),"")</f>
        <v>S_пол</v>
      </c>
      <c r="H510" s="9"/>
      <c r="I510" s="9"/>
      <c r="J510" s="8" t="str">
        <f>IFERROR(INDEX(Материалы!$B$2:$B$9000,MATCH($I510,Материалы!$A$2:$A$9000,0)),"")</f>
        <v/>
      </c>
      <c r="K510" t="str">
        <f>IF($I510="","",IF($F510=IFERROR(INDEX(Материалы!$G$2:$G$9000,MATCH($I510,Материалы!$A$2:$A$9000,0)),""),"OK","!! не та группа"))</f>
        <v/>
      </c>
      <c r="L510" s="10">
        <f>IFERROR(INDEX(Работы!$H$2:$H$6000,MATCH($C510,Работы!$A$2:$A$6000,0))*(1-ДисконтТендер),0)</f>
        <v>829.44</v>
      </c>
      <c r="M510" s="10">
        <f>IF($I510="",0,IFERROR(INDEX(Материалы!$I$2:$I$9000,MATCH($I510,Материалы!$A$2:$A$9000,0))*IF(INDEX(Материалы!$J$2:$J$9000,MATCH($I510,Материалы!$A$2:$A$9000,0))="USD",КурсUSD,IF(INDEX(Материалы!$J$2:$J$9000,MATCH($I510,Материалы!$A$2:$A$9000,0))="EUR",КурсEUR,1))*INDEX(Материалы!$K$2:$K$9000,MATCH($I510,Материалы!$A$2:$A$9000,0))*(1+IFERROR(INDEX(Работы!$I$2:$I$6000,MATCH($C510,Работы!$A$2:$A$6000,0))/100,0))*(1-ДисконтТендер),0))</f>
        <v>0</v>
      </c>
      <c r="N510" s="10">
        <f t="shared" si="21"/>
        <v>0</v>
      </c>
      <c r="O510" s="10">
        <f t="shared" si="22"/>
        <v>0</v>
      </c>
      <c r="P510" s="10">
        <f t="shared" si="23"/>
        <v>0</v>
      </c>
      <c r="Q510" t="str">
        <f>IFERROR(INDEX(Работы!$J$2:$J$6000,MATCH($C510,Работы!$A$2:$A$6000,0)),"")</f>
        <v>типовая</v>
      </c>
      <c r="R510" t="s">
        <v>92</v>
      </c>
      <c r="T510" t="str">
        <f>IF(AND($P510&gt;0,$R510="да"),MAX($T$1:$T509)+1,"")</f>
        <v/>
      </c>
    </row>
    <row r="511" spans="1:20" x14ac:dyDescent="0.3">
      <c r="A511" t="str">
        <f>IFERROR(INDEX(Работы!$D$2:$D$6000,MATCH($C511,Работы!$A$2:$A$6000,0)),"")</f>
        <v>Р5</v>
      </c>
      <c r="B511" t="str">
        <f>IFERROR(INDEX(Работы!$F$2:$F$6000,MATCH($C511,Работы!$A$2:$A$6000,0)),"")</f>
        <v>3</v>
      </c>
      <c r="C511" t="str">
        <f>IFERROR(INDEX(Работы!$A$2:$A$6000,510),"")</f>
        <v>РАБ.Р5.3.019</v>
      </c>
      <c r="D511" s="8" t="str">
        <f>IFERROR(INDEX(Работы!$B$2:$B$6000,MATCH($C511,Работы!$A$2:$A$6000,0)),"")</f>
        <v>Изоляция Thermoflex Ду 32</v>
      </c>
      <c r="E511" t="str">
        <f>IFERROR(INDEX(Работы!$C$2:$C$6000,MATCH($C511,Работы!$A$2:$A$6000,0)),"")</f>
        <v>м.п.</v>
      </c>
      <c r="F511">
        <f>IFERROR(INDEX(Работы!$G$2:$G$6000,MATCH($C511,Работы!$A$2:$A$6000,0)),"")</f>
        <v>0</v>
      </c>
      <c r="G511" t="str">
        <f>IFERROR(INDEX(Работы!$K$2:$K$6000,MATCH($C511,Работы!$A$2:$A$6000,0)),"")</f>
        <v>Погонаж</v>
      </c>
      <c r="H511" s="9"/>
      <c r="I511" s="9"/>
      <c r="J511" s="8" t="str">
        <f>IFERROR(INDEX(Материалы!$B$2:$B$9000,MATCH($I511,Материалы!$A$2:$A$9000,0)),"")</f>
        <v/>
      </c>
      <c r="K511" t="str">
        <f>IF($I511="","",IF($F511=IFERROR(INDEX(Материалы!$G$2:$G$9000,MATCH($I511,Материалы!$A$2:$A$9000,0)),""),"OK","!! не та группа"))</f>
        <v/>
      </c>
      <c r="L511" s="10">
        <f>IFERROR(INDEX(Работы!$H$2:$H$6000,MATCH($C511,Работы!$A$2:$A$6000,0))*(1-ДисконтТендер),0)</f>
        <v>278.23</v>
      </c>
      <c r="M511" s="10">
        <f>IF($I511="",0,IFERROR(INDEX(Материалы!$I$2:$I$9000,MATCH($I511,Материалы!$A$2:$A$9000,0))*IF(INDEX(Материалы!$J$2:$J$9000,MATCH($I511,Материалы!$A$2:$A$9000,0))="USD",КурсUSD,IF(INDEX(Материалы!$J$2:$J$9000,MATCH($I511,Материалы!$A$2:$A$9000,0))="EUR",КурсEUR,1))*INDEX(Материалы!$K$2:$K$9000,MATCH($I511,Материалы!$A$2:$A$9000,0))*(1+IFERROR(INDEX(Работы!$I$2:$I$6000,MATCH($C511,Работы!$A$2:$A$6000,0))/100,0))*(1-ДисконтТендер),0))</f>
        <v>0</v>
      </c>
      <c r="N511" s="10">
        <f t="shared" si="21"/>
        <v>0</v>
      </c>
      <c r="O511" s="10">
        <f t="shared" si="22"/>
        <v>0</v>
      </c>
      <c r="P511" s="10">
        <f t="shared" si="23"/>
        <v>0</v>
      </c>
      <c r="Q511" t="str">
        <f>IFERROR(INDEX(Работы!$J$2:$J$6000,MATCH($C511,Работы!$A$2:$A$6000,0)),"")</f>
        <v>типовая</v>
      </c>
      <c r="R511" t="s">
        <v>92</v>
      </c>
      <c r="T511" t="str">
        <f>IF(AND($P511&gt;0,$R511="да"),MAX($T$1:$T510)+1,"")</f>
        <v/>
      </c>
    </row>
    <row r="512" spans="1:20" ht="28.8" x14ac:dyDescent="0.3">
      <c r="A512" t="str">
        <f>IFERROR(INDEX(Работы!$D$2:$D$6000,MATCH($C512,Работы!$A$2:$A$6000,0)),"")</f>
        <v>Р5</v>
      </c>
      <c r="B512" t="str">
        <f>IFERROR(INDEX(Работы!$F$2:$F$6000,MATCH($C512,Работы!$A$2:$A$6000,0)),"")</f>
        <v>3</v>
      </c>
      <c r="C512" t="str">
        <f>IFERROR(INDEX(Работы!$A$2:$A$6000,511),"")</f>
        <v>РАБ.Р5.3.020</v>
      </c>
      <c r="D512" s="8" t="str">
        <f>IFERROR(INDEX(Работы!$B$2:$B$6000,MATCH($C512,Работы!$A$2:$A$6000,0)),"")</f>
        <v>Проход стояков 2хДу15 через перекрытие в гильзах</v>
      </c>
      <c r="E512" t="str">
        <f>IFERROR(INDEX(Работы!$C$2:$C$6000,MATCH($C512,Работы!$A$2:$A$6000,0)),"")</f>
        <v>шт.</v>
      </c>
      <c r="F512" t="str">
        <f>IFERROR(INDEX(Работы!$G$2:$G$6000,MATCH($C512,Работы!$A$2:$A$6000,0)),"")</f>
        <v>ТРУБА.ОВ</v>
      </c>
      <c r="G512" t="str">
        <f>IFERROR(INDEX(Работы!$K$2:$K$6000,MATCH($C512,Работы!$A$2:$A$6000,0)),"")</f>
        <v>Погонаж</v>
      </c>
      <c r="H512" s="9"/>
      <c r="I512" s="9"/>
      <c r="J512" s="8" t="str">
        <f>IFERROR(INDEX(Материалы!$B$2:$B$9000,MATCH($I512,Материалы!$A$2:$A$9000,0)),"")</f>
        <v/>
      </c>
      <c r="K512" t="str">
        <f>IF($I512="","",IF($F512=IFERROR(INDEX(Материалы!$G$2:$G$9000,MATCH($I512,Материалы!$A$2:$A$9000,0)),""),"OK","!! не та группа"))</f>
        <v/>
      </c>
      <c r="L512" s="10">
        <f>IFERROR(INDEX(Работы!$H$2:$H$6000,MATCH($C512,Работы!$A$2:$A$6000,0))*(1-ДисконтТендер),0)</f>
        <v>531.71</v>
      </c>
      <c r="M512" s="10">
        <f>IF($I512="",0,IFERROR(INDEX(Материалы!$I$2:$I$9000,MATCH($I512,Материалы!$A$2:$A$9000,0))*IF(INDEX(Материалы!$J$2:$J$9000,MATCH($I512,Материалы!$A$2:$A$9000,0))="USD",КурсUSD,IF(INDEX(Материалы!$J$2:$J$9000,MATCH($I512,Материалы!$A$2:$A$9000,0))="EUR",КурсEUR,1))*INDEX(Материалы!$K$2:$K$9000,MATCH($I512,Материалы!$A$2:$A$9000,0))*(1+IFERROR(INDEX(Работы!$I$2:$I$6000,MATCH($C512,Работы!$A$2:$A$6000,0))/100,0))*(1-ДисконтТендер),0))</f>
        <v>0</v>
      </c>
      <c r="N512" s="10">
        <f t="shared" si="21"/>
        <v>0</v>
      </c>
      <c r="O512" s="10">
        <f t="shared" si="22"/>
        <v>0</v>
      </c>
      <c r="P512" s="10">
        <f t="shared" si="23"/>
        <v>0</v>
      </c>
      <c r="Q512" t="str">
        <f>IFERROR(INDEX(Работы!$J$2:$J$6000,MATCH($C512,Работы!$A$2:$A$6000,0)),"")</f>
        <v>типовая</v>
      </c>
      <c r="R512" t="s">
        <v>92</v>
      </c>
      <c r="T512" t="str">
        <f>IF(AND($P512&gt;0,$R512="да"),MAX($T$1:$T511)+1,"")</f>
        <v/>
      </c>
    </row>
    <row r="513" spans="1:20" ht="28.8" x14ac:dyDescent="0.3">
      <c r="A513" t="str">
        <f>IFERROR(INDEX(Работы!$D$2:$D$6000,MATCH($C513,Работы!$A$2:$A$6000,0)),"")</f>
        <v>Р5</v>
      </c>
      <c r="B513" t="str">
        <f>IFERROR(INDEX(Работы!$F$2:$F$6000,MATCH($C513,Работы!$A$2:$A$6000,0)),"")</f>
        <v>3</v>
      </c>
      <c r="C513" t="str">
        <f>IFERROR(INDEX(Работы!$A$2:$A$6000,512),"")</f>
        <v>РАБ.Р5.3.021</v>
      </c>
      <c r="D513" s="8" t="str">
        <f>IFERROR(INDEX(Работы!$B$2:$B$6000,MATCH($C513,Работы!$A$2:$A$6000,0)),"")</f>
        <v>Установка счетчиков на горячее и холодное водоснабжение</v>
      </c>
      <c r="E513" t="str">
        <f>IFERROR(INDEX(Работы!$C$2:$C$6000,MATCH($C513,Работы!$A$2:$A$6000,0)),"")</f>
        <v>шт.</v>
      </c>
      <c r="F513">
        <f>IFERROR(INDEX(Работы!$G$2:$G$6000,MATCH($C513,Работы!$A$2:$A$6000,0)),"")</f>
        <v>0</v>
      </c>
      <c r="G513" t="str">
        <f>IFERROR(INDEX(Работы!$K$2:$K$6000,MATCH($C513,Работы!$A$2:$A$6000,0)),"")</f>
        <v>Спецификация</v>
      </c>
      <c r="H513" s="9"/>
      <c r="I513" s="9"/>
      <c r="J513" s="8" t="str">
        <f>IFERROR(INDEX(Материалы!$B$2:$B$9000,MATCH($I513,Материалы!$A$2:$A$9000,0)),"")</f>
        <v/>
      </c>
      <c r="K513" t="str">
        <f>IF($I513="","",IF($F513=IFERROR(INDEX(Материалы!$G$2:$G$9000,MATCH($I513,Материалы!$A$2:$A$9000,0)),""),"OK","!! не та группа"))</f>
        <v/>
      </c>
      <c r="L513" s="10">
        <f>IFERROR(INDEX(Работы!$H$2:$H$6000,MATCH($C513,Работы!$A$2:$A$6000,0))*(1-ДисконтТендер),0)</f>
        <v>844.73</v>
      </c>
      <c r="M513" s="10">
        <f>IF($I513="",0,IFERROR(INDEX(Материалы!$I$2:$I$9000,MATCH($I513,Материалы!$A$2:$A$9000,0))*IF(INDEX(Материалы!$J$2:$J$9000,MATCH($I513,Материалы!$A$2:$A$9000,0))="USD",КурсUSD,IF(INDEX(Материалы!$J$2:$J$9000,MATCH($I513,Материалы!$A$2:$A$9000,0))="EUR",КурсEUR,1))*INDEX(Материалы!$K$2:$K$9000,MATCH($I513,Материалы!$A$2:$A$9000,0))*(1+IFERROR(INDEX(Работы!$I$2:$I$6000,MATCH($C513,Работы!$A$2:$A$6000,0))/100,0))*(1-ДисконтТендер),0))</f>
        <v>0</v>
      </c>
      <c r="N513" s="10">
        <f t="shared" si="21"/>
        <v>0</v>
      </c>
      <c r="O513" s="10">
        <f t="shared" si="22"/>
        <v>0</v>
      </c>
      <c r="P513" s="10">
        <f t="shared" si="23"/>
        <v>0</v>
      </c>
      <c r="Q513" t="str">
        <f>IFERROR(INDEX(Работы!$J$2:$J$6000,MATCH($C513,Работы!$A$2:$A$6000,0)),"")</f>
        <v>типовая</v>
      </c>
      <c r="R513" t="s">
        <v>92</v>
      </c>
      <c r="T513" t="str">
        <f>IF(AND($P513&gt;0,$R513="да"),MAX($T$1:$T512)+1,"")</f>
        <v/>
      </c>
    </row>
    <row r="514" spans="1:20" x14ac:dyDescent="0.3">
      <c r="A514" t="str">
        <f>IFERROR(INDEX(Работы!$D$2:$D$6000,MATCH($C514,Работы!$A$2:$A$6000,0)),"")</f>
        <v>Р5</v>
      </c>
      <c r="B514" t="str">
        <f>IFERROR(INDEX(Работы!$F$2:$F$6000,MATCH($C514,Работы!$A$2:$A$6000,0)),"")</f>
        <v>3</v>
      </c>
      <c r="C514" t="str">
        <f>IFERROR(INDEX(Работы!$A$2:$A$6000,513),"")</f>
        <v>РАБ.Р5.3.022</v>
      </c>
      <c r="D514" s="8" t="str">
        <f>IFERROR(INDEX(Работы!$B$2:$B$6000,MATCH($C514,Работы!$A$2:$A$6000,0)),"")</f>
        <v>Врезка в существующие сети ГВС/ХВС</v>
      </c>
      <c r="E514" t="str">
        <f>IFERROR(INDEX(Работы!$C$2:$C$6000,MATCH($C514,Работы!$A$2:$A$6000,0)),"")</f>
        <v>компл.</v>
      </c>
      <c r="F514">
        <f>IFERROR(INDEX(Работы!$G$2:$G$6000,MATCH($C514,Работы!$A$2:$A$6000,0)),"")</f>
        <v>0</v>
      </c>
      <c r="G514" t="str">
        <f>IFERROR(INDEX(Работы!$K$2:$K$6000,MATCH($C514,Работы!$A$2:$A$6000,0)),"")</f>
        <v>Спецификация</v>
      </c>
      <c r="H514" s="9"/>
      <c r="I514" s="9"/>
      <c r="J514" s="8" t="str">
        <f>IFERROR(INDEX(Материалы!$B$2:$B$9000,MATCH($I514,Материалы!$A$2:$A$9000,0)),"")</f>
        <v/>
      </c>
      <c r="K514" t="str">
        <f>IF($I514="","",IF($F514=IFERROR(INDEX(Материалы!$G$2:$G$9000,MATCH($I514,Материалы!$A$2:$A$9000,0)),""),"OK","!! не та группа"))</f>
        <v/>
      </c>
      <c r="L514" s="10">
        <f>IFERROR(INDEX(Работы!$H$2:$H$6000,MATCH($C514,Работы!$A$2:$A$6000,0))*(1-ДисконтТендер),0)</f>
        <v>3681.58</v>
      </c>
      <c r="M514" s="10">
        <f>IF($I514="",0,IFERROR(INDEX(Материалы!$I$2:$I$9000,MATCH($I514,Материалы!$A$2:$A$9000,0))*IF(INDEX(Материалы!$J$2:$J$9000,MATCH($I514,Материалы!$A$2:$A$9000,0))="USD",КурсUSD,IF(INDEX(Материалы!$J$2:$J$9000,MATCH($I514,Материалы!$A$2:$A$9000,0))="EUR",КурсEUR,1))*INDEX(Материалы!$K$2:$K$9000,MATCH($I514,Материалы!$A$2:$A$9000,0))*(1+IFERROR(INDEX(Работы!$I$2:$I$6000,MATCH($C514,Работы!$A$2:$A$6000,0))/100,0))*(1-ДисконтТендер),0))</f>
        <v>0</v>
      </c>
      <c r="N514" s="10">
        <f t="shared" ref="N514:N577" si="24">IF(AND($R514="да",$H514&lt;&gt;""),ROUND($H514*$L514,2),0)</f>
        <v>0</v>
      </c>
      <c r="O514" s="10">
        <f t="shared" ref="O514:O577" si="25">IF(AND($R514="да",$H514&lt;&gt;""),ROUND($H514*$M514,2),0)</f>
        <v>0</v>
      </c>
      <c r="P514" s="10">
        <f t="shared" ref="P514:P577" si="26">$N514+$O514</f>
        <v>0</v>
      </c>
      <c r="Q514" t="str">
        <f>IFERROR(INDEX(Работы!$J$2:$J$6000,MATCH($C514,Работы!$A$2:$A$6000,0)),"")</f>
        <v>типовая</v>
      </c>
      <c r="R514" t="s">
        <v>92</v>
      </c>
      <c r="T514" t="str">
        <f>IF(AND($P514&gt;0,$R514="да"),MAX($T$1:$T513)+1,"")</f>
        <v/>
      </c>
    </row>
    <row r="515" spans="1:20" x14ac:dyDescent="0.3">
      <c r="A515" t="str">
        <f>IFERROR(INDEX(Работы!$D$2:$D$6000,MATCH($C515,Работы!$A$2:$A$6000,0)),"")</f>
        <v>Р5</v>
      </c>
      <c r="B515" t="str">
        <f>IFERROR(INDEX(Работы!$F$2:$F$6000,MATCH($C515,Работы!$A$2:$A$6000,0)),"")</f>
        <v>3</v>
      </c>
      <c r="C515" t="str">
        <f>IFERROR(INDEX(Работы!$A$2:$A$6000,514),"")</f>
        <v>РАБ.Р5.3.023</v>
      </c>
      <c r="D515" s="8" t="str">
        <f>IFERROR(INDEX(Работы!$B$2:$B$6000,MATCH($C515,Работы!$A$2:$A$6000,0)),"")</f>
        <v>Врезка в существующие сети канализации</v>
      </c>
      <c r="E515" t="str">
        <f>IFERROR(INDEX(Работы!$C$2:$C$6000,MATCH($C515,Работы!$A$2:$A$6000,0)),"")</f>
        <v>компл.</v>
      </c>
      <c r="F515">
        <f>IFERROR(INDEX(Работы!$G$2:$G$6000,MATCH($C515,Работы!$A$2:$A$6000,0)),"")</f>
        <v>0</v>
      </c>
      <c r="G515" t="str">
        <f>IFERROR(INDEX(Работы!$K$2:$K$6000,MATCH($C515,Работы!$A$2:$A$6000,0)),"")</f>
        <v>Спецификация</v>
      </c>
      <c r="H515" s="9"/>
      <c r="I515" s="9"/>
      <c r="J515" s="8" t="str">
        <f>IFERROR(INDEX(Материалы!$B$2:$B$9000,MATCH($I515,Материалы!$A$2:$A$9000,0)),"")</f>
        <v/>
      </c>
      <c r="K515" t="str">
        <f>IF($I515="","",IF($F515=IFERROR(INDEX(Материалы!$G$2:$G$9000,MATCH($I515,Материалы!$A$2:$A$9000,0)),""),"OK","!! не та группа"))</f>
        <v/>
      </c>
      <c r="L515" s="10">
        <f>IFERROR(INDEX(Работы!$H$2:$H$6000,MATCH($C515,Работы!$A$2:$A$6000,0))*(1-ДисконтТендер),0)</f>
        <v>5225</v>
      </c>
      <c r="M515" s="10">
        <f>IF($I515="",0,IFERROR(INDEX(Материалы!$I$2:$I$9000,MATCH($I515,Материалы!$A$2:$A$9000,0))*IF(INDEX(Материалы!$J$2:$J$9000,MATCH($I515,Материалы!$A$2:$A$9000,0))="USD",КурсUSD,IF(INDEX(Материалы!$J$2:$J$9000,MATCH($I515,Материалы!$A$2:$A$9000,0))="EUR",КурсEUR,1))*INDEX(Материалы!$K$2:$K$9000,MATCH($I515,Материалы!$A$2:$A$9000,0))*(1+IFERROR(INDEX(Работы!$I$2:$I$6000,MATCH($C515,Работы!$A$2:$A$6000,0))/100,0))*(1-ДисконтТендер),0))</f>
        <v>0</v>
      </c>
      <c r="N515" s="10">
        <f t="shared" si="24"/>
        <v>0</v>
      </c>
      <c r="O515" s="10">
        <f t="shared" si="25"/>
        <v>0</v>
      </c>
      <c r="P515" s="10">
        <f t="shared" si="26"/>
        <v>0</v>
      </c>
      <c r="Q515" t="str">
        <f>IFERROR(INDEX(Работы!$J$2:$J$6000,MATCH($C515,Работы!$A$2:$A$6000,0)),"")</f>
        <v>типовая</v>
      </c>
      <c r="R515" t="s">
        <v>92</v>
      </c>
      <c r="T515" t="str">
        <f>IF(AND($P515&gt;0,$R515="да"),MAX($T$1:$T514)+1,"")</f>
        <v/>
      </c>
    </row>
    <row r="516" spans="1:20" x14ac:dyDescent="0.3">
      <c r="A516" t="str">
        <f>IFERROR(INDEX(Работы!$D$2:$D$6000,MATCH($C516,Работы!$A$2:$A$6000,0)),"")</f>
        <v>Р5</v>
      </c>
      <c r="B516" t="str">
        <f>IFERROR(INDEX(Работы!$F$2:$F$6000,MATCH($C516,Работы!$A$2:$A$6000,0)),"")</f>
        <v>3</v>
      </c>
      <c r="C516" t="str">
        <f>IFERROR(INDEX(Работы!$A$2:$A$6000,515),"")</f>
        <v>РАБ.Р5.3.024</v>
      </c>
      <c r="D516" s="8" t="str">
        <f>IFERROR(INDEX(Работы!$B$2:$B$6000,MATCH($C516,Работы!$A$2:$A$6000,0)),"")</f>
        <v>Установка водонагревателя</v>
      </c>
      <c r="E516" t="str">
        <f>IFERROR(INDEX(Работы!$C$2:$C$6000,MATCH($C516,Работы!$A$2:$A$6000,0)),"")</f>
        <v>шт.</v>
      </c>
      <c r="F516" t="str">
        <f>IFERROR(INDEX(Работы!$G$2:$G$6000,MATCH($C516,Работы!$A$2:$A$6000,0)),"")</f>
        <v>СТП.ВН</v>
      </c>
      <c r="G516" t="str">
        <f>IFERROR(INDEX(Работы!$K$2:$K$6000,MATCH($C516,Работы!$A$2:$A$6000,0)),"")</f>
        <v>Спецификация</v>
      </c>
      <c r="H516" s="9"/>
      <c r="I516" s="9"/>
      <c r="J516" s="8" t="str">
        <f>IFERROR(INDEX(Материалы!$B$2:$B$9000,MATCH($I516,Материалы!$A$2:$A$9000,0)),"")</f>
        <v/>
      </c>
      <c r="K516" t="str">
        <f>IF($I516="","",IF($F516=IFERROR(INDEX(Материалы!$G$2:$G$9000,MATCH($I516,Материалы!$A$2:$A$9000,0)),""),"OK","!! не та группа"))</f>
        <v/>
      </c>
      <c r="L516" s="10">
        <f>IFERROR(INDEX(Работы!$H$2:$H$6000,MATCH($C516,Работы!$A$2:$A$6000,0))*(1-ДисконтТендер),0)</f>
        <v>3544.73</v>
      </c>
      <c r="M516" s="10">
        <f>IF($I516="",0,IFERROR(INDEX(Материалы!$I$2:$I$9000,MATCH($I516,Материалы!$A$2:$A$9000,0))*IF(INDEX(Материалы!$J$2:$J$9000,MATCH($I516,Материалы!$A$2:$A$9000,0))="USD",КурсUSD,IF(INDEX(Материалы!$J$2:$J$9000,MATCH($I516,Материалы!$A$2:$A$9000,0))="EUR",КурсEUR,1))*INDEX(Материалы!$K$2:$K$9000,MATCH($I516,Материалы!$A$2:$A$9000,0))*(1+IFERROR(INDEX(Работы!$I$2:$I$6000,MATCH($C516,Работы!$A$2:$A$6000,0))/100,0))*(1-ДисконтТендер),0))</f>
        <v>0</v>
      </c>
      <c r="N516" s="10">
        <f t="shared" si="24"/>
        <v>0</v>
      </c>
      <c r="O516" s="10">
        <f t="shared" si="25"/>
        <v>0</v>
      </c>
      <c r="P516" s="10">
        <f t="shared" si="26"/>
        <v>0</v>
      </c>
      <c r="Q516" t="str">
        <f>IFERROR(INDEX(Работы!$J$2:$J$6000,MATCH($C516,Работы!$A$2:$A$6000,0)),"")</f>
        <v>типовая</v>
      </c>
      <c r="R516" t="s">
        <v>92</v>
      </c>
      <c r="T516" t="str">
        <f>IF(AND($P516&gt;0,$R516="да"),MAX($T$1:$T515)+1,"")</f>
        <v/>
      </c>
    </row>
    <row r="517" spans="1:20" x14ac:dyDescent="0.3">
      <c r="A517" t="str">
        <f>IFERROR(INDEX(Работы!$D$2:$D$6000,MATCH($C517,Работы!$A$2:$A$6000,0)),"")</f>
        <v>Р5</v>
      </c>
      <c r="B517" t="str">
        <f>IFERROR(INDEX(Работы!$F$2:$F$6000,MATCH($C517,Работы!$A$2:$A$6000,0)),"")</f>
        <v>3</v>
      </c>
      <c r="C517" t="str">
        <f>IFERROR(INDEX(Работы!$A$2:$A$6000,516),"")</f>
        <v>РАБ.Р5.3.025</v>
      </c>
      <c r="D517" s="8" t="str">
        <f>IFERROR(INDEX(Работы!$B$2:$B$6000,MATCH($C517,Работы!$A$2:$A$6000,0)),"")</f>
        <v>Капельная воронка HL 21</v>
      </c>
      <c r="E517" t="str">
        <f>IFERROR(INDEX(Работы!$C$2:$C$6000,MATCH($C517,Работы!$A$2:$A$6000,0)),"")</f>
        <v>шт.</v>
      </c>
      <c r="F517">
        <f>IFERROR(INDEX(Работы!$G$2:$G$6000,MATCH($C517,Работы!$A$2:$A$6000,0)),"")</f>
        <v>0</v>
      </c>
      <c r="G517" t="str">
        <f>IFERROR(INDEX(Работы!$K$2:$K$6000,MATCH($C517,Работы!$A$2:$A$6000,0)),"")</f>
        <v>Спецификация</v>
      </c>
      <c r="H517" s="9"/>
      <c r="I517" s="9"/>
      <c r="J517" s="8" t="str">
        <f>IFERROR(INDEX(Материалы!$B$2:$B$9000,MATCH($I517,Материалы!$A$2:$A$9000,0)),"")</f>
        <v/>
      </c>
      <c r="K517" t="str">
        <f>IF($I517="","",IF($F517=IFERROR(INDEX(Материалы!$G$2:$G$9000,MATCH($I517,Материалы!$A$2:$A$9000,0)),""),"OK","!! не та группа"))</f>
        <v/>
      </c>
      <c r="L517" s="10">
        <f>IFERROR(INDEX(Работы!$H$2:$H$6000,MATCH($C517,Работы!$A$2:$A$6000,0))*(1-ДисконтТендер),0)</f>
        <v>678.6</v>
      </c>
      <c r="M517" s="10">
        <f>IF($I517="",0,IFERROR(INDEX(Материалы!$I$2:$I$9000,MATCH($I517,Материалы!$A$2:$A$9000,0))*IF(INDEX(Материалы!$J$2:$J$9000,MATCH($I517,Материалы!$A$2:$A$9000,0))="USD",КурсUSD,IF(INDEX(Материалы!$J$2:$J$9000,MATCH($I517,Материалы!$A$2:$A$9000,0))="EUR",КурсEUR,1))*INDEX(Материалы!$K$2:$K$9000,MATCH($I517,Материалы!$A$2:$A$9000,0))*(1+IFERROR(INDEX(Работы!$I$2:$I$6000,MATCH($C517,Работы!$A$2:$A$6000,0))/100,0))*(1-ДисконтТендер),0))</f>
        <v>0</v>
      </c>
      <c r="N517" s="10">
        <f t="shared" si="24"/>
        <v>0</v>
      </c>
      <c r="O517" s="10">
        <f t="shared" si="25"/>
        <v>0</v>
      </c>
      <c r="P517" s="10">
        <f t="shared" si="26"/>
        <v>0</v>
      </c>
      <c r="Q517" t="str">
        <f>IFERROR(INDEX(Работы!$J$2:$J$6000,MATCH($C517,Работы!$A$2:$A$6000,0)),"")</f>
        <v>типовая</v>
      </c>
      <c r="R517" t="s">
        <v>92</v>
      </c>
      <c r="T517" t="str">
        <f>IF(AND($P517&gt;0,$R517="да"),MAX($T$1:$T516)+1,"")</f>
        <v/>
      </c>
    </row>
    <row r="518" spans="1:20" x14ac:dyDescent="0.3">
      <c r="A518" t="str">
        <f>IFERROR(INDEX(Работы!$D$2:$D$6000,MATCH($C518,Работы!$A$2:$A$6000,0)),"")</f>
        <v>Р5</v>
      </c>
      <c r="B518" t="str">
        <f>IFERROR(INDEX(Работы!$F$2:$F$6000,MATCH($C518,Работы!$A$2:$A$6000,0)),"")</f>
        <v>3</v>
      </c>
      <c r="C518" t="str">
        <f>IFERROR(INDEX(Работы!$A$2:$A$6000,517),"")</f>
        <v>РАБ.Р5.3.026</v>
      </c>
      <c r="D518" s="8" t="str">
        <f>IFERROR(INDEX(Работы!$B$2:$B$6000,MATCH($C518,Работы!$A$2:$A$6000,0)),"")</f>
        <v>Ревизия системы водоснабжения и канализации</v>
      </c>
      <c r="E518" t="str">
        <f>IFERROR(INDEX(Работы!$C$2:$C$6000,MATCH($C518,Работы!$A$2:$A$6000,0)),"")</f>
        <v>компл.</v>
      </c>
      <c r="F518">
        <f>IFERROR(INDEX(Работы!$G$2:$G$6000,MATCH($C518,Работы!$A$2:$A$6000,0)),"")</f>
        <v>0</v>
      </c>
      <c r="G518" t="str">
        <f>IFERROR(INDEX(Работы!$K$2:$K$6000,MATCH($C518,Работы!$A$2:$A$6000,0)),"")</f>
        <v>Спецификация</v>
      </c>
      <c r="H518" s="9"/>
      <c r="I518" s="9"/>
      <c r="J518" s="8" t="str">
        <f>IFERROR(INDEX(Материалы!$B$2:$B$9000,MATCH($I518,Материалы!$A$2:$A$9000,0)),"")</f>
        <v/>
      </c>
      <c r="K518" t="str">
        <f>IF($I518="","",IF($F518=IFERROR(INDEX(Материалы!$G$2:$G$9000,MATCH($I518,Материалы!$A$2:$A$9000,0)),""),"OK","!! не та группа"))</f>
        <v/>
      </c>
      <c r="L518" s="10">
        <f>IFERROR(INDEX(Работы!$H$2:$H$6000,MATCH($C518,Работы!$A$2:$A$6000,0))*(1-ДисконтТендер),0)</f>
        <v>6457.67</v>
      </c>
      <c r="M518" s="10">
        <f>IF($I518="",0,IFERROR(INDEX(Материалы!$I$2:$I$9000,MATCH($I518,Материалы!$A$2:$A$9000,0))*IF(INDEX(Материалы!$J$2:$J$9000,MATCH($I518,Материалы!$A$2:$A$9000,0))="USD",КурсUSD,IF(INDEX(Материалы!$J$2:$J$9000,MATCH($I518,Материалы!$A$2:$A$9000,0))="EUR",КурсEUR,1))*INDEX(Материалы!$K$2:$K$9000,MATCH($I518,Материалы!$A$2:$A$9000,0))*(1+IFERROR(INDEX(Работы!$I$2:$I$6000,MATCH($C518,Работы!$A$2:$A$6000,0))/100,0))*(1-ДисконтТендер),0))</f>
        <v>0</v>
      </c>
      <c r="N518" s="10">
        <f t="shared" si="24"/>
        <v>0</v>
      </c>
      <c r="O518" s="10">
        <f t="shared" si="25"/>
        <v>0</v>
      </c>
      <c r="P518" s="10">
        <f t="shared" si="26"/>
        <v>0</v>
      </c>
      <c r="Q518" t="str">
        <f>IFERROR(INDEX(Работы!$J$2:$J$6000,MATCH($C518,Работы!$A$2:$A$6000,0)),"")</f>
        <v>типовая</v>
      </c>
      <c r="R518" t="s">
        <v>92</v>
      </c>
      <c r="T518" t="str">
        <f>IF(AND($P518&gt;0,$R518="да"),MAX($T$1:$T517)+1,"")</f>
        <v/>
      </c>
    </row>
    <row r="519" spans="1:20" ht="43.2" x14ac:dyDescent="0.3">
      <c r="A519" t="str">
        <f>IFERROR(INDEX(Работы!$D$2:$D$6000,MATCH($C519,Работы!$A$2:$A$6000,0)),"")</f>
        <v>Р5</v>
      </c>
      <c r="B519" t="str">
        <f>IFERROR(INDEX(Работы!$F$2:$F$6000,MATCH($C519,Работы!$A$2:$A$6000,0)),"")</f>
        <v>3</v>
      </c>
      <c r="C519" t="str">
        <f>IFERROR(INDEX(Работы!$A$2:$A$6000,518),"")</f>
        <v>РАБ.Р5.3.027</v>
      </c>
      <c r="D519" s="8" t="str">
        <f>IFERROR(INDEX(Работы!$B$2:$B$6000,MATCH($C519,Работы!$A$2:$A$6000,0)),"")</f>
        <v>Установка душевой кабины River Neva 90/18 (сидение, зеркало, полки, душевая лейка, смеситель)</v>
      </c>
      <c r="E519" t="str">
        <f>IFERROR(INDEX(Работы!$C$2:$C$6000,MATCH($C519,Работы!$A$2:$A$6000,0)),"")</f>
        <v>шт.</v>
      </c>
      <c r="F519" t="str">
        <f>IFERROR(INDEX(Работы!$G$2:$G$6000,MATCH($C519,Работы!$A$2:$A$6000,0)),"")</f>
        <v>СТП.СМЕС</v>
      </c>
      <c r="G519" t="str">
        <f>IFERROR(INDEX(Работы!$K$2:$K$6000,MATCH($C519,Работы!$A$2:$A$6000,0)),"")</f>
        <v>Спецификация</v>
      </c>
      <c r="H519" s="9"/>
      <c r="I519" s="9"/>
      <c r="J519" s="8" t="str">
        <f>IFERROR(INDEX(Материалы!$B$2:$B$9000,MATCH($I519,Материалы!$A$2:$A$9000,0)),"")</f>
        <v/>
      </c>
      <c r="K519" t="str">
        <f>IF($I519="","",IF($F519=IFERROR(INDEX(Материалы!$G$2:$G$9000,MATCH($I519,Материалы!$A$2:$A$9000,0)),""),"OK","!! не та группа"))</f>
        <v/>
      </c>
      <c r="L519" s="10">
        <f>IFERROR(INDEX(Работы!$H$2:$H$6000,MATCH($C519,Работы!$A$2:$A$6000,0))*(1-ДисконтТендер),0)</f>
        <v>16720</v>
      </c>
      <c r="M519" s="10">
        <f>IF($I519="",0,IFERROR(INDEX(Материалы!$I$2:$I$9000,MATCH($I519,Материалы!$A$2:$A$9000,0))*IF(INDEX(Материалы!$J$2:$J$9000,MATCH($I519,Материалы!$A$2:$A$9000,0))="USD",КурсUSD,IF(INDEX(Материалы!$J$2:$J$9000,MATCH($I519,Материалы!$A$2:$A$9000,0))="EUR",КурсEUR,1))*INDEX(Материалы!$K$2:$K$9000,MATCH($I519,Материалы!$A$2:$A$9000,0))*(1+IFERROR(INDEX(Работы!$I$2:$I$6000,MATCH($C519,Работы!$A$2:$A$6000,0))/100,0))*(1-ДисконтТендер),0))</f>
        <v>0</v>
      </c>
      <c r="N519" s="10">
        <f t="shared" si="24"/>
        <v>0</v>
      </c>
      <c r="O519" s="10">
        <f t="shared" si="25"/>
        <v>0</v>
      </c>
      <c r="P519" s="10">
        <f t="shared" si="26"/>
        <v>0</v>
      </c>
      <c r="Q519" t="str">
        <f>IFERROR(INDEX(Работы!$J$2:$J$6000,MATCH($C519,Работы!$A$2:$A$6000,0)),"")</f>
        <v>типовая</v>
      </c>
      <c r="R519" t="s">
        <v>92</v>
      </c>
      <c r="T519" t="str">
        <f>IF(AND($P519&gt;0,$R519="да"),MAX($T$1:$T518)+1,"")</f>
        <v/>
      </c>
    </row>
    <row r="520" spans="1:20" x14ac:dyDescent="0.3">
      <c r="A520" t="str">
        <f>IFERROR(INDEX(Работы!$D$2:$D$6000,MATCH($C520,Работы!$A$2:$A$6000,0)),"")</f>
        <v>Р5</v>
      </c>
      <c r="B520" t="str">
        <f>IFERROR(INDEX(Работы!$F$2:$F$6000,MATCH($C520,Работы!$A$2:$A$6000,0)),"")</f>
        <v>3</v>
      </c>
      <c r="C520" t="str">
        <f>IFERROR(INDEX(Работы!$A$2:$A$6000,519),"")</f>
        <v>РАБ.Р5.3.028</v>
      </c>
      <c r="D520" s="8" t="str">
        <f>IFERROR(INDEX(Работы!$B$2:$B$6000,MATCH($C520,Работы!$A$2:$A$6000,0)),"")</f>
        <v>Сололифт Grundfos Sololift</v>
      </c>
      <c r="E520" t="str">
        <f>IFERROR(INDEX(Работы!$C$2:$C$6000,MATCH($C520,Работы!$A$2:$A$6000,0)),"")</f>
        <v>шт.</v>
      </c>
      <c r="F520">
        <f>IFERROR(INDEX(Работы!$G$2:$G$6000,MATCH($C520,Работы!$A$2:$A$6000,0)),"")</f>
        <v>0</v>
      </c>
      <c r="G520" t="str">
        <f>IFERROR(INDEX(Работы!$K$2:$K$6000,MATCH($C520,Работы!$A$2:$A$6000,0)),"")</f>
        <v>Спецификация</v>
      </c>
      <c r="H520" s="9"/>
      <c r="I520" s="9"/>
      <c r="J520" s="8" t="str">
        <f>IFERROR(INDEX(Материалы!$B$2:$B$9000,MATCH($I520,Материалы!$A$2:$A$9000,0)),"")</f>
        <v/>
      </c>
      <c r="K520" t="str">
        <f>IF($I520="","",IF($F520=IFERROR(INDEX(Материалы!$G$2:$G$9000,MATCH($I520,Материалы!$A$2:$A$9000,0)),""),"OK","!! не та группа"))</f>
        <v/>
      </c>
      <c r="L520" s="10">
        <f>IFERROR(INDEX(Работы!$H$2:$H$6000,MATCH($C520,Работы!$A$2:$A$6000,0))*(1-ДисконтТендер),0)</f>
        <v>4950</v>
      </c>
      <c r="M520" s="10">
        <f>IF($I520="",0,IFERROR(INDEX(Материалы!$I$2:$I$9000,MATCH($I520,Материалы!$A$2:$A$9000,0))*IF(INDEX(Материалы!$J$2:$J$9000,MATCH($I520,Материалы!$A$2:$A$9000,0))="USD",КурсUSD,IF(INDEX(Материалы!$J$2:$J$9000,MATCH($I520,Материалы!$A$2:$A$9000,0))="EUR",КурсEUR,1))*INDEX(Материалы!$K$2:$K$9000,MATCH($I520,Материалы!$A$2:$A$9000,0))*(1+IFERROR(INDEX(Работы!$I$2:$I$6000,MATCH($C520,Работы!$A$2:$A$6000,0))/100,0))*(1-ДисконтТендер),0))</f>
        <v>0</v>
      </c>
      <c r="N520" s="10">
        <f t="shared" si="24"/>
        <v>0</v>
      </c>
      <c r="O520" s="10">
        <f t="shared" si="25"/>
        <v>0</v>
      </c>
      <c r="P520" s="10">
        <f t="shared" si="26"/>
        <v>0</v>
      </c>
      <c r="Q520" t="str">
        <f>IFERROR(INDEX(Работы!$J$2:$J$6000,MATCH($C520,Работы!$A$2:$A$6000,0)),"")</f>
        <v>нетиповая</v>
      </c>
      <c r="R520" t="s">
        <v>92</v>
      </c>
      <c r="T520" t="str">
        <f>IF(AND($P520&gt;0,$R520="да"),MAX($T$1:$T519)+1,"")</f>
        <v/>
      </c>
    </row>
    <row r="521" spans="1:20" ht="28.8" x14ac:dyDescent="0.3">
      <c r="A521" t="str">
        <f>IFERROR(INDEX(Работы!$D$2:$D$6000,MATCH($C521,Работы!$A$2:$A$6000,0)),"")</f>
        <v>Р5</v>
      </c>
      <c r="B521" t="str">
        <f>IFERROR(INDEX(Работы!$F$2:$F$6000,MATCH($C521,Работы!$A$2:$A$6000,0)),"")</f>
        <v>3</v>
      </c>
      <c r="C521" t="str">
        <f>IFERROR(INDEX(Работы!$A$2:$A$6000,520),"")</f>
        <v>РАБ.Р5.3.029</v>
      </c>
      <c r="D521" s="8" t="str">
        <f>IFERROR(INDEX(Работы!$B$2:$B$6000,MATCH($C521,Работы!$A$2:$A$6000,0)),"")</f>
        <v>Монтаж гигиенического ручного душа Hansgrohe, шланг 1,6м, настенный держатель ( арт.3212800)</v>
      </c>
      <c r="E521" t="str">
        <f>IFERROR(INDEX(Работы!$C$2:$C$6000,MATCH($C521,Работы!$A$2:$A$6000,0)),"")</f>
        <v>шт.</v>
      </c>
      <c r="F521" t="str">
        <f>IFERROR(INDEX(Работы!$G$2:$G$6000,MATCH($C521,Работы!$A$2:$A$6000,0)),"")</f>
        <v>СТП.СМЕС</v>
      </c>
      <c r="G521" t="str">
        <f>IFERROR(INDEX(Работы!$K$2:$K$6000,MATCH($C521,Работы!$A$2:$A$6000,0)),"")</f>
        <v>Спецификация</v>
      </c>
      <c r="H521" s="9"/>
      <c r="I521" s="9"/>
      <c r="J521" s="8" t="str">
        <f>IFERROR(INDEX(Материалы!$B$2:$B$9000,MATCH($I521,Материалы!$A$2:$A$9000,0)),"")</f>
        <v/>
      </c>
      <c r="K521" t="str">
        <f>IF($I521="","",IF($F521=IFERROR(INDEX(Материалы!$G$2:$G$9000,MATCH($I521,Материалы!$A$2:$A$9000,0)),""),"OK","!! не та группа"))</f>
        <v/>
      </c>
      <c r="L521" s="10">
        <f>IFERROR(INDEX(Работы!$H$2:$H$6000,MATCH($C521,Работы!$A$2:$A$6000,0))*(1-ДисконтТендер),0)</f>
        <v>2714.4</v>
      </c>
      <c r="M521" s="10">
        <f>IF($I521="",0,IFERROR(INDEX(Материалы!$I$2:$I$9000,MATCH($I521,Материалы!$A$2:$A$9000,0))*IF(INDEX(Материалы!$J$2:$J$9000,MATCH($I521,Материалы!$A$2:$A$9000,0))="USD",КурсUSD,IF(INDEX(Материалы!$J$2:$J$9000,MATCH($I521,Материалы!$A$2:$A$9000,0))="EUR",КурсEUR,1))*INDEX(Материалы!$K$2:$K$9000,MATCH($I521,Материалы!$A$2:$A$9000,0))*(1+IFERROR(INDEX(Работы!$I$2:$I$6000,MATCH($C521,Работы!$A$2:$A$6000,0))/100,0))*(1-ДисконтТендер),0))</f>
        <v>0</v>
      </c>
      <c r="N521" s="10">
        <f t="shared" si="24"/>
        <v>0</v>
      </c>
      <c r="O521" s="10">
        <f t="shared" si="25"/>
        <v>0</v>
      </c>
      <c r="P521" s="10">
        <f t="shared" si="26"/>
        <v>0</v>
      </c>
      <c r="Q521" t="str">
        <f>IFERROR(INDEX(Работы!$J$2:$J$6000,MATCH($C521,Работы!$A$2:$A$6000,0)),"")</f>
        <v>типовая</v>
      </c>
      <c r="R521" t="s">
        <v>92</v>
      </c>
      <c r="T521" t="str">
        <f>IF(AND($P521&gt;0,$R521="да"),MAX($T$1:$T520)+1,"")</f>
        <v/>
      </c>
    </row>
    <row r="522" spans="1:20" ht="28.8" x14ac:dyDescent="0.3">
      <c r="A522" t="str">
        <f>IFERROR(INDEX(Работы!$D$2:$D$6000,MATCH($C522,Работы!$A$2:$A$6000,0)),"")</f>
        <v>Р5</v>
      </c>
      <c r="B522" t="str">
        <f>IFERROR(INDEX(Работы!$F$2:$F$6000,MATCH($C522,Работы!$A$2:$A$6000,0)),"")</f>
        <v>3</v>
      </c>
      <c r="C522" t="str">
        <f>IFERROR(INDEX(Работы!$A$2:$A$6000,521),"")</f>
        <v>РАБ.Р5.3.030</v>
      </c>
      <c r="D522" s="8" t="str">
        <f>IFERROR(INDEX(Работы!$B$2:$B$6000,MATCH($C522,Работы!$A$2:$A$6000,0)),"")</f>
        <v>Монтаж металлического трубопровода D 110 мм (водоснабжение и канализация)</v>
      </c>
      <c r="E522" t="str">
        <f>IFERROR(INDEX(Работы!$C$2:$C$6000,MATCH($C522,Работы!$A$2:$A$6000,0)),"")</f>
        <v>шт.</v>
      </c>
      <c r="F522" t="str">
        <f>IFERROR(INDEX(Работы!$G$2:$G$6000,MATCH($C522,Работы!$A$2:$A$6000,0)),"")</f>
        <v>ТРУБА.ОВ</v>
      </c>
      <c r="G522" t="str">
        <f>IFERROR(INDEX(Работы!$K$2:$K$6000,MATCH($C522,Работы!$A$2:$A$6000,0)),"")</f>
        <v>Погонаж</v>
      </c>
      <c r="H522" s="9"/>
      <c r="I522" s="9"/>
      <c r="J522" s="8" t="str">
        <f>IFERROR(INDEX(Материалы!$B$2:$B$9000,MATCH($I522,Материалы!$A$2:$A$9000,0)),"")</f>
        <v/>
      </c>
      <c r="K522" t="str">
        <f>IF($I522="","",IF($F522=IFERROR(INDEX(Материалы!$G$2:$G$9000,MATCH($I522,Материалы!$A$2:$A$9000,0)),""),"OK","!! не та группа"))</f>
        <v/>
      </c>
      <c r="L522" s="10">
        <f>IFERROR(INDEX(Работы!$H$2:$H$6000,MATCH($C522,Работы!$A$2:$A$6000,0))*(1-ДисконтТендер),0)</f>
        <v>1492.92</v>
      </c>
      <c r="M522" s="10">
        <f>IF($I522="",0,IFERROR(INDEX(Материалы!$I$2:$I$9000,MATCH($I522,Материалы!$A$2:$A$9000,0))*IF(INDEX(Материалы!$J$2:$J$9000,MATCH($I522,Материалы!$A$2:$A$9000,0))="USD",КурсUSD,IF(INDEX(Материалы!$J$2:$J$9000,MATCH($I522,Материалы!$A$2:$A$9000,0))="EUR",КурсEUR,1))*INDEX(Материалы!$K$2:$K$9000,MATCH($I522,Материалы!$A$2:$A$9000,0))*(1+IFERROR(INDEX(Работы!$I$2:$I$6000,MATCH($C522,Работы!$A$2:$A$6000,0))/100,0))*(1-ДисконтТендер),0))</f>
        <v>0</v>
      </c>
      <c r="N522" s="10">
        <f t="shared" si="24"/>
        <v>0</v>
      </c>
      <c r="O522" s="10">
        <f t="shared" si="25"/>
        <v>0</v>
      </c>
      <c r="P522" s="10">
        <f t="shared" si="26"/>
        <v>0</v>
      </c>
      <c r="Q522" t="str">
        <f>IFERROR(INDEX(Работы!$J$2:$J$6000,MATCH($C522,Работы!$A$2:$A$6000,0)),"")</f>
        <v>типовая</v>
      </c>
      <c r="R522" t="s">
        <v>92</v>
      </c>
      <c r="T522" t="str">
        <f>IF(AND($P522&gt;0,$R522="да"),MAX($T$1:$T521)+1,"")</f>
        <v/>
      </c>
    </row>
    <row r="523" spans="1:20" ht="28.8" x14ac:dyDescent="0.3">
      <c r="A523" t="str">
        <f>IFERROR(INDEX(Работы!$D$2:$D$6000,MATCH($C523,Работы!$A$2:$A$6000,0)),"")</f>
        <v>Р5</v>
      </c>
      <c r="B523" t="str">
        <f>IFERROR(INDEX(Работы!$F$2:$F$6000,MATCH($C523,Работы!$A$2:$A$6000,0)),"")</f>
        <v>3</v>
      </c>
      <c r="C523" t="str">
        <f>IFERROR(INDEX(Работы!$A$2:$A$6000,522),"")</f>
        <v>РАБ.Р5.3.031</v>
      </c>
      <c r="D523" s="8" t="str">
        <f>IFERROR(INDEX(Работы!$B$2:$B$6000,MATCH($C523,Работы!$A$2:$A$6000,0)),"")</f>
        <v>Монтаж трубопровода (отопление / водоснабжение)</v>
      </c>
      <c r="E523" t="str">
        <f>IFERROR(INDEX(Работы!$C$2:$C$6000,MATCH($C523,Работы!$A$2:$A$6000,0)),"")</f>
        <v>шт.</v>
      </c>
      <c r="F523" t="str">
        <f>IFERROR(INDEX(Работы!$G$2:$G$6000,MATCH($C523,Работы!$A$2:$A$6000,0)),"")</f>
        <v>ТРУБА.ОВ</v>
      </c>
      <c r="G523" t="str">
        <f>IFERROR(INDEX(Работы!$K$2:$K$6000,MATCH($C523,Работы!$A$2:$A$6000,0)),"")</f>
        <v>Погонаж</v>
      </c>
      <c r="H523" s="9"/>
      <c r="I523" s="9"/>
      <c r="J523" s="8" t="str">
        <f>IFERROR(INDEX(Материалы!$B$2:$B$9000,MATCH($I523,Материалы!$A$2:$A$9000,0)),"")</f>
        <v/>
      </c>
      <c r="K523" t="str">
        <f>IF($I523="","",IF($F523=IFERROR(INDEX(Материалы!$G$2:$G$9000,MATCH($I523,Материалы!$A$2:$A$9000,0)),""),"OK","!! не та группа"))</f>
        <v/>
      </c>
      <c r="L523" s="10">
        <f>IFERROR(INDEX(Работы!$H$2:$H$6000,MATCH($C523,Работы!$A$2:$A$6000,0))*(1-ДисконтТендер),0)</f>
        <v>1073.8499999999999</v>
      </c>
      <c r="M523" s="10">
        <f>IF($I523="",0,IFERROR(INDEX(Материалы!$I$2:$I$9000,MATCH($I523,Материалы!$A$2:$A$9000,0))*IF(INDEX(Материалы!$J$2:$J$9000,MATCH($I523,Материалы!$A$2:$A$9000,0))="USD",КурсUSD,IF(INDEX(Материалы!$J$2:$J$9000,MATCH($I523,Материалы!$A$2:$A$9000,0))="EUR",КурсEUR,1))*INDEX(Материалы!$K$2:$K$9000,MATCH($I523,Материалы!$A$2:$A$9000,0))*(1+IFERROR(INDEX(Работы!$I$2:$I$6000,MATCH($C523,Работы!$A$2:$A$6000,0))/100,0))*(1-ДисконтТендер),0))</f>
        <v>0</v>
      </c>
      <c r="N523" s="10">
        <f t="shared" si="24"/>
        <v>0</v>
      </c>
      <c r="O523" s="10">
        <f t="shared" si="25"/>
        <v>0</v>
      </c>
      <c r="P523" s="10">
        <f t="shared" si="26"/>
        <v>0</v>
      </c>
      <c r="Q523" t="str">
        <f>IFERROR(INDEX(Работы!$J$2:$J$6000,MATCH($C523,Работы!$A$2:$A$6000,0)),"")</f>
        <v>типовая</v>
      </c>
      <c r="R523" t="s">
        <v>92</v>
      </c>
      <c r="T523" t="str">
        <f>IF(AND($P523&gt;0,$R523="да"),MAX($T$1:$T522)+1,"")</f>
        <v/>
      </c>
    </row>
    <row r="524" spans="1:20" ht="28.8" x14ac:dyDescent="0.3">
      <c r="A524" t="str">
        <f>IFERROR(INDEX(Работы!$D$2:$D$6000,MATCH($C524,Работы!$A$2:$A$6000,0)),"")</f>
        <v>Р5</v>
      </c>
      <c r="B524" t="str">
        <f>IFERROR(INDEX(Работы!$F$2:$F$6000,MATCH($C524,Работы!$A$2:$A$6000,0)),"")</f>
        <v>3</v>
      </c>
      <c r="C524" t="str">
        <f>IFERROR(INDEX(Работы!$A$2:$A$6000,523),"")</f>
        <v>РАБ.Р5.3.032</v>
      </c>
      <c r="D524" s="8" t="str">
        <f>IFERROR(INDEX(Работы!$B$2:$B$6000,MATCH($C524,Работы!$A$2:$A$6000,0)),"")</f>
        <v>Монтаж задвижек 30с64нж Ду100 (водоснабжение и канализация)</v>
      </c>
      <c r="E524" t="str">
        <f>IFERROR(INDEX(Работы!$C$2:$C$6000,MATCH($C524,Работы!$A$2:$A$6000,0)),"")</f>
        <v>шт.</v>
      </c>
      <c r="F524">
        <f>IFERROR(INDEX(Работы!$G$2:$G$6000,MATCH($C524,Работы!$A$2:$A$6000,0)),"")</f>
        <v>0</v>
      </c>
      <c r="G524" t="str">
        <f>IFERROR(INDEX(Работы!$K$2:$K$6000,MATCH($C524,Работы!$A$2:$A$6000,0)),"")</f>
        <v>Спецификация</v>
      </c>
      <c r="H524" s="9"/>
      <c r="I524" s="9"/>
      <c r="J524" s="8" t="str">
        <f>IFERROR(INDEX(Материалы!$B$2:$B$9000,MATCH($I524,Материалы!$A$2:$A$9000,0)),"")</f>
        <v/>
      </c>
      <c r="K524" t="str">
        <f>IF($I524="","",IF($F524=IFERROR(INDEX(Материалы!$G$2:$G$9000,MATCH($I524,Материалы!$A$2:$A$9000,0)),""),"OK","!! не та группа"))</f>
        <v/>
      </c>
      <c r="L524" s="10">
        <f>IFERROR(INDEX(Работы!$H$2:$H$6000,MATCH($C524,Работы!$A$2:$A$6000,0))*(1-ДисконтТендер),0)</f>
        <v>2612.5</v>
      </c>
      <c r="M524" s="10">
        <f>IF($I524="",0,IFERROR(INDEX(Материалы!$I$2:$I$9000,MATCH($I524,Материалы!$A$2:$A$9000,0))*IF(INDEX(Материалы!$J$2:$J$9000,MATCH($I524,Материалы!$A$2:$A$9000,0))="USD",КурсUSD,IF(INDEX(Материалы!$J$2:$J$9000,MATCH($I524,Материалы!$A$2:$A$9000,0))="EUR",КурсEUR,1))*INDEX(Материалы!$K$2:$K$9000,MATCH($I524,Материалы!$A$2:$A$9000,0))*(1+IFERROR(INDEX(Работы!$I$2:$I$6000,MATCH($C524,Работы!$A$2:$A$6000,0))/100,0))*(1-ДисконтТендер),0))</f>
        <v>0</v>
      </c>
      <c r="N524" s="10">
        <f t="shared" si="24"/>
        <v>0</v>
      </c>
      <c r="O524" s="10">
        <f t="shared" si="25"/>
        <v>0</v>
      </c>
      <c r="P524" s="10">
        <f t="shared" si="26"/>
        <v>0</v>
      </c>
      <c r="Q524" t="str">
        <f>IFERROR(INDEX(Работы!$J$2:$J$6000,MATCH($C524,Работы!$A$2:$A$6000,0)),"")</f>
        <v>типовая</v>
      </c>
      <c r="R524" t="s">
        <v>92</v>
      </c>
      <c r="T524" t="str">
        <f>IF(AND($P524&gt;0,$R524="да"),MAX($T$1:$T523)+1,"")</f>
        <v/>
      </c>
    </row>
    <row r="525" spans="1:20" x14ac:dyDescent="0.3">
      <c r="A525" t="str">
        <f>IFERROR(INDEX(Работы!$D$2:$D$6000,MATCH($C525,Работы!$A$2:$A$6000,0)),"")</f>
        <v>Р5</v>
      </c>
      <c r="B525" t="str">
        <f>IFERROR(INDEX(Работы!$F$2:$F$6000,MATCH($C525,Работы!$A$2:$A$6000,0)),"")</f>
        <v>3</v>
      </c>
      <c r="C525" t="str">
        <f>IFERROR(INDEX(Работы!$A$2:$A$6000,524),"")</f>
        <v>РАБ.Р5.3.033</v>
      </c>
      <c r="D525" s="8" t="str">
        <f>IFERROR(INDEX(Работы!$B$2:$B$6000,MATCH($C525,Работы!$A$2:$A$6000,0)),"")</f>
        <v>Монтаж задвижек 30с64нж Ду50</v>
      </c>
      <c r="E525" t="str">
        <f>IFERROR(INDEX(Работы!$C$2:$C$6000,MATCH($C525,Работы!$A$2:$A$6000,0)),"")</f>
        <v>шт.</v>
      </c>
      <c r="F525">
        <f>IFERROR(INDEX(Работы!$G$2:$G$6000,MATCH($C525,Работы!$A$2:$A$6000,0)),"")</f>
        <v>0</v>
      </c>
      <c r="G525" t="str">
        <f>IFERROR(INDEX(Работы!$K$2:$K$6000,MATCH($C525,Работы!$A$2:$A$6000,0)),"")</f>
        <v>Спецификация</v>
      </c>
      <c r="H525" s="9"/>
      <c r="I525" s="9"/>
      <c r="J525" s="8" t="str">
        <f>IFERROR(INDEX(Материалы!$B$2:$B$9000,MATCH($I525,Материалы!$A$2:$A$9000,0)),"")</f>
        <v/>
      </c>
      <c r="K525" t="str">
        <f>IF($I525="","",IF($F525=IFERROR(INDEX(Материалы!$G$2:$G$9000,MATCH($I525,Материалы!$A$2:$A$9000,0)),""),"OK","!! не та группа"))</f>
        <v/>
      </c>
      <c r="L525" s="10">
        <f>IFERROR(INDEX(Работы!$H$2:$H$6000,MATCH($C525,Работы!$A$2:$A$6000,0))*(1-ДисконтТендер),0)</f>
        <v>1945.32</v>
      </c>
      <c r="M525" s="10">
        <f>IF($I525="",0,IFERROR(INDEX(Материалы!$I$2:$I$9000,MATCH($I525,Материалы!$A$2:$A$9000,0))*IF(INDEX(Материалы!$J$2:$J$9000,MATCH($I525,Материалы!$A$2:$A$9000,0))="USD",КурсUSD,IF(INDEX(Материалы!$J$2:$J$9000,MATCH($I525,Материалы!$A$2:$A$9000,0))="EUR",КурсEUR,1))*INDEX(Материалы!$K$2:$K$9000,MATCH($I525,Материалы!$A$2:$A$9000,0))*(1+IFERROR(INDEX(Работы!$I$2:$I$6000,MATCH($C525,Работы!$A$2:$A$6000,0))/100,0))*(1-ДисконтТендер),0))</f>
        <v>0</v>
      </c>
      <c r="N525" s="10">
        <f t="shared" si="24"/>
        <v>0</v>
      </c>
      <c r="O525" s="10">
        <f t="shared" si="25"/>
        <v>0</v>
      </c>
      <c r="P525" s="10">
        <f t="shared" si="26"/>
        <v>0</v>
      </c>
      <c r="Q525" t="str">
        <f>IFERROR(INDEX(Работы!$J$2:$J$6000,MATCH($C525,Работы!$A$2:$A$6000,0)),"")</f>
        <v>типовая</v>
      </c>
      <c r="R525" t="s">
        <v>92</v>
      </c>
      <c r="T525" t="str">
        <f>IF(AND($P525&gt;0,$R525="да"),MAX($T$1:$T524)+1,"")</f>
        <v/>
      </c>
    </row>
    <row r="526" spans="1:20" x14ac:dyDescent="0.3">
      <c r="A526" t="str">
        <f>IFERROR(INDEX(Работы!$D$2:$D$6000,MATCH($C526,Работы!$A$2:$A$6000,0)),"")</f>
        <v>Р5</v>
      </c>
      <c r="B526" t="str">
        <f>IFERROR(INDEX(Работы!$F$2:$F$6000,MATCH($C526,Работы!$A$2:$A$6000,0)),"")</f>
        <v>3</v>
      </c>
      <c r="C526" t="str">
        <f>IFERROR(INDEX(Работы!$A$2:$A$6000,525),"")</f>
        <v>РАБ.Р5.3.034</v>
      </c>
      <c r="D526" s="8" t="str">
        <f>IFERROR(INDEX(Работы!$B$2:$B$6000,MATCH($C526,Работы!$A$2:$A$6000,0)),"")</f>
        <v>Клапан обратный 50 мм</v>
      </c>
      <c r="E526" t="str">
        <f>IFERROR(INDEX(Работы!$C$2:$C$6000,MATCH($C526,Работы!$A$2:$A$6000,0)),"")</f>
        <v>шт.</v>
      </c>
      <c r="F526" t="str">
        <f>IFERROR(INDEX(Работы!$G$2:$G$6000,MATCH($C526,Работы!$A$2:$A$6000,0)),"")</f>
        <v>АРМ.ОВ</v>
      </c>
      <c r="G526" t="str">
        <f>IFERROR(INDEX(Работы!$K$2:$K$6000,MATCH($C526,Работы!$A$2:$A$6000,0)),"")</f>
        <v>Спецификация</v>
      </c>
      <c r="H526" s="9"/>
      <c r="I526" s="9"/>
      <c r="J526" s="8" t="str">
        <f>IFERROR(INDEX(Материалы!$B$2:$B$9000,MATCH($I526,Материалы!$A$2:$A$9000,0)),"")</f>
        <v/>
      </c>
      <c r="K526" t="str">
        <f>IF($I526="","",IF($F526=IFERROR(INDEX(Материалы!$G$2:$G$9000,MATCH($I526,Материалы!$A$2:$A$9000,0)),""),"OK","!! не та группа"))</f>
        <v/>
      </c>
      <c r="L526" s="10">
        <f>IFERROR(INDEX(Работы!$H$2:$H$6000,MATCH($C526,Работы!$A$2:$A$6000,0))*(1-ДисконтТендер),0)</f>
        <v>1933.25</v>
      </c>
      <c r="M526" s="10">
        <f>IF($I526="",0,IFERROR(INDEX(Материалы!$I$2:$I$9000,MATCH($I526,Материалы!$A$2:$A$9000,0))*IF(INDEX(Материалы!$J$2:$J$9000,MATCH($I526,Материалы!$A$2:$A$9000,0))="USD",КурсUSD,IF(INDEX(Материалы!$J$2:$J$9000,MATCH($I526,Материалы!$A$2:$A$9000,0))="EUR",КурсEUR,1))*INDEX(Материалы!$K$2:$K$9000,MATCH($I526,Материалы!$A$2:$A$9000,0))*(1+IFERROR(INDEX(Работы!$I$2:$I$6000,MATCH($C526,Работы!$A$2:$A$6000,0))/100,0))*(1-ДисконтТендер),0))</f>
        <v>0</v>
      </c>
      <c r="N526" s="10">
        <f t="shared" si="24"/>
        <v>0</v>
      </c>
      <c r="O526" s="10">
        <f t="shared" si="25"/>
        <v>0</v>
      </c>
      <c r="P526" s="10">
        <f t="shared" si="26"/>
        <v>0</v>
      </c>
      <c r="Q526" t="str">
        <f>IFERROR(INDEX(Работы!$J$2:$J$6000,MATCH($C526,Работы!$A$2:$A$6000,0)),"")</f>
        <v>типовая</v>
      </c>
      <c r="R526" t="s">
        <v>92</v>
      </c>
      <c r="T526" t="str">
        <f>IF(AND($P526&gt;0,$R526="да"),MAX($T$1:$T525)+1,"")</f>
        <v/>
      </c>
    </row>
    <row r="527" spans="1:20" ht="57.6" x14ac:dyDescent="0.3">
      <c r="A527" t="str">
        <f>IFERROR(INDEX(Работы!$D$2:$D$6000,MATCH($C527,Работы!$A$2:$A$6000,0)),"")</f>
        <v>Р5</v>
      </c>
      <c r="B527" t="str">
        <f>IFERROR(INDEX(Работы!$F$2:$F$6000,MATCH($C527,Работы!$A$2:$A$6000,0)),"")</f>
        <v>3</v>
      </c>
      <c r="C527" t="str">
        <f>IFERROR(INDEX(Работы!$A$2:$A$6000,526),"")</f>
        <v>РАБ.Р5.3.035</v>
      </c>
      <c r="D527" s="8" t="str">
        <f>IFERROR(INDEX(Работы!$B$2:$B$6000,MATCH($C527,Работы!$A$2:$A$6000,0)),"")</f>
        <v>Монтаж Трубы ПВХ для систем наружной канализации ТУ 2248-057-72311668-2007 из ПВХ оранжевого цвета диаметром от 150 мм классом жесткости SN 4</v>
      </c>
      <c r="E527" t="str">
        <f>IFERROR(INDEX(Работы!$C$2:$C$6000,MATCH($C527,Работы!$A$2:$A$6000,0)),"")</f>
        <v>м.п.</v>
      </c>
      <c r="F527" t="str">
        <f>IFERROR(INDEX(Работы!$G$2:$G$6000,MATCH($C527,Работы!$A$2:$A$6000,0)),"")</f>
        <v>ТРУБА.ОВ</v>
      </c>
      <c r="G527" t="str">
        <f>IFERROR(INDEX(Работы!$K$2:$K$6000,MATCH($C527,Работы!$A$2:$A$6000,0)),"")</f>
        <v>Погонаж</v>
      </c>
      <c r="H527" s="9"/>
      <c r="I527" s="9"/>
      <c r="J527" s="8" t="str">
        <f>IFERROR(INDEX(Материалы!$B$2:$B$9000,MATCH($I527,Материалы!$A$2:$A$9000,0)),"")</f>
        <v/>
      </c>
      <c r="K527" t="str">
        <f>IF($I527="","",IF($F527=IFERROR(INDEX(Материалы!$G$2:$G$9000,MATCH($I527,Материалы!$A$2:$A$9000,0)),""),"OK","!! не та группа"))</f>
        <v/>
      </c>
      <c r="L527" s="10">
        <f>IFERROR(INDEX(Работы!$H$2:$H$6000,MATCH($C527,Работы!$A$2:$A$6000,0))*(1-ДисконтТендер),0)</f>
        <v>791.7</v>
      </c>
      <c r="M527" s="10">
        <f>IF($I527="",0,IFERROR(INDEX(Материалы!$I$2:$I$9000,MATCH($I527,Материалы!$A$2:$A$9000,0))*IF(INDEX(Материалы!$J$2:$J$9000,MATCH($I527,Материалы!$A$2:$A$9000,0))="USD",КурсUSD,IF(INDEX(Материалы!$J$2:$J$9000,MATCH($I527,Материалы!$A$2:$A$9000,0))="EUR",КурсEUR,1))*INDEX(Материалы!$K$2:$K$9000,MATCH($I527,Материалы!$A$2:$A$9000,0))*(1+IFERROR(INDEX(Работы!$I$2:$I$6000,MATCH($C527,Работы!$A$2:$A$6000,0))/100,0))*(1-ДисконтТендер),0))</f>
        <v>0</v>
      </c>
      <c r="N527" s="10">
        <f t="shared" si="24"/>
        <v>0</v>
      </c>
      <c r="O527" s="10">
        <f t="shared" si="25"/>
        <v>0</v>
      </c>
      <c r="P527" s="10">
        <f t="shared" si="26"/>
        <v>0</v>
      </c>
      <c r="Q527" t="str">
        <f>IFERROR(INDEX(Работы!$J$2:$J$6000,MATCH($C527,Работы!$A$2:$A$6000,0)),"")</f>
        <v>типовая</v>
      </c>
      <c r="R527" t="s">
        <v>92</v>
      </c>
      <c r="T527" t="str">
        <f>IF(AND($P527&gt;0,$R527="да"),MAX($T$1:$T526)+1,"")</f>
        <v/>
      </c>
    </row>
    <row r="528" spans="1:20" x14ac:dyDescent="0.3">
      <c r="A528" t="str">
        <f>IFERROR(INDEX(Работы!$D$2:$D$6000,MATCH($C528,Работы!$A$2:$A$6000,0)),"")</f>
        <v>Р5</v>
      </c>
      <c r="B528" t="str">
        <f>IFERROR(INDEX(Работы!$F$2:$F$6000,MATCH($C528,Работы!$A$2:$A$6000,0)),"")</f>
        <v>4</v>
      </c>
      <c r="C528" t="str">
        <f>IFERROR(INDEX(Работы!$A$2:$A$6000,527),"")</f>
        <v>РАБ.Р5.4.001</v>
      </c>
      <c r="D528" s="8" t="str">
        <f>IFERROR(INDEX(Работы!$B$2:$B$6000,MATCH($C528,Работы!$A$2:$A$6000,0)),"")</f>
        <v>Перенос оросителя спринклера</v>
      </c>
      <c r="E528" t="str">
        <f>IFERROR(INDEX(Работы!$C$2:$C$6000,MATCH($C528,Работы!$A$2:$A$6000,0)),"")</f>
        <v>шт.</v>
      </c>
      <c r="F528">
        <f>IFERROR(INDEX(Работы!$G$2:$G$6000,MATCH($C528,Работы!$A$2:$A$6000,0)),"")</f>
        <v>0</v>
      </c>
      <c r="G528" t="str">
        <f>IFERROR(INDEX(Работы!$K$2:$K$6000,MATCH($C528,Работы!$A$2:$A$6000,0)),"")</f>
        <v>Спецификация</v>
      </c>
      <c r="H528" s="9"/>
      <c r="I528" s="9"/>
      <c r="J528" s="8" t="str">
        <f>IFERROR(INDEX(Материалы!$B$2:$B$9000,MATCH($I528,Материалы!$A$2:$A$9000,0)),"")</f>
        <v/>
      </c>
      <c r="K528" t="str">
        <f>IF($I528="","",IF($F528=IFERROR(INDEX(Материалы!$G$2:$G$9000,MATCH($I528,Материалы!$A$2:$A$9000,0)),""),"OK","!! не та группа"))</f>
        <v/>
      </c>
      <c r="L528" s="10">
        <f>IFERROR(INDEX(Работы!$H$2:$H$6000,MATCH($C528,Работы!$A$2:$A$6000,0))*(1-ДисконтТендер),0)</f>
        <v>4180</v>
      </c>
      <c r="M528" s="10">
        <f>IF($I528="",0,IFERROR(INDEX(Материалы!$I$2:$I$9000,MATCH($I528,Материалы!$A$2:$A$9000,0))*IF(INDEX(Материалы!$J$2:$J$9000,MATCH($I528,Материалы!$A$2:$A$9000,0))="USD",КурсUSD,IF(INDEX(Материалы!$J$2:$J$9000,MATCH($I528,Материалы!$A$2:$A$9000,0))="EUR",КурсEUR,1))*INDEX(Материалы!$K$2:$K$9000,MATCH($I528,Материалы!$A$2:$A$9000,0))*(1+IFERROR(INDEX(Работы!$I$2:$I$6000,MATCH($C528,Работы!$A$2:$A$6000,0))/100,0))*(1-ДисконтТендер),0))</f>
        <v>0</v>
      </c>
      <c r="N528" s="10">
        <f t="shared" si="24"/>
        <v>0</v>
      </c>
      <c r="O528" s="10">
        <f t="shared" si="25"/>
        <v>0</v>
      </c>
      <c r="P528" s="10">
        <f t="shared" si="26"/>
        <v>0</v>
      </c>
      <c r="Q528" t="str">
        <f>IFERROR(INDEX(Работы!$J$2:$J$6000,MATCH($C528,Работы!$A$2:$A$6000,0)),"")</f>
        <v>типовая</v>
      </c>
      <c r="R528" t="s">
        <v>92</v>
      </c>
      <c r="T528" t="str">
        <f>IF(AND($P528&gt;0,$R528="да"),MAX($T$1:$T527)+1,"")</f>
        <v/>
      </c>
    </row>
    <row r="529" spans="1:20" ht="28.8" x14ac:dyDescent="0.3">
      <c r="A529" t="str">
        <f>IFERROR(INDEX(Работы!$D$2:$D$6000,MATCH($C529,Работы!$A$2:$A$6000,0)),"")</f>
        <v>Р5</v>
      </c>
      <c r="B529" t="str">
        <f>IFERROR(INDEX(Работы!$F$2:$F$6000,MATCH($C529,Работы!$A$2:$A$6000,0)),"")</f>
        <v>4</v>
      </c>
      <c r="C529" t="str">
        <f>IFERROR(INDEX(Работы!$A$2:$A$6000,528),"")</f>
        <v>РАБ.Р5.4.002</v>
      </c>
      <c r="D529" s="8" t="str">
        <f>IFERROR(INDEX(Работы!$B$2:$B$6000,MATCH($C529,Работы!$A$2:$A$6000,0)),"")</f>
        <v>Устройство спринкерной системы пожаротушения ( в том числе гибкие подводки, оросители и т.д)</v>
      </c>
      <c r="E529" t="str">
        <f>IFERROR(INDEX(Работы!$C$2:$C$6000,MATCH($C529,Работы!$A$2:$A$6000,0)),"")</f>
        <v>м2</v>
      </c>
      <c r="F529">
        <f>IFERROR(INDEX(Работы!$G$2:$G$6000,MATCH($C529,Работы!$A$2:$A$6000,0)),"")</f>
        <v>0</v>
      </c>
      <c r="G529" t="str">
        <f>IFERROR(INDEX(Работы!$K$2:$K$6000,MATCH($C529,Работы!$A$2:$A$6000,0)),"")</f>
        <v>S_поверхность</v>
      </c>
      <c r="H529" s="9"/>
      <c r="I529" s="9"/>
      <c r="J529" s="8" t="str">
        <f>IFERROR(INDEX(Материалы!$B$2:$B$9000,MATCH($I529,Материалы!$A$2:$A$9000,0)),"")</f>
        <v/>
      </c>
      <c r="K529" t="str">
        <f>IF($I529="","",IF($F529=IFERROR(INDEX(Материалы!$G$2:$G$9000,MATCH($I529,Материалы!$A$2:$A$9000,0)),""),"OK","!! не та группа"))</f>
        <v/>
      </c>
      <c r="L529" s="10">
        <f>IFERROR(INDEX(Работы!$H$2:$H$6000,MATCH($C529,Работы!$A$2:$A$6000,0))*(1-ДисконтТендер),0)</f>
        <v>2714.4</v>
      </c>
      <c r="M529" s="10">
        <f>IF($I529="",0,IFERROR(INDEX(Материалы!$I$2:$I$9000,MATCH($I529,Материалы!$A$2:$A$9000,0))*IF(INDEX(Материалы!$J$2:$J$9000,MATCH($I529,Материалы!$A$2:$A$9000,0))="USD",КурсUSD,IF(INDEX(Материалы!$J$2:$J$9000,MATCH($I529,Материалы!$A$2:$A$9000,0))="EUR",КурсEUR,1))*INDEX(Материалы!$K$2:$K$9000,MATCH($I529,Материалы!$A$2:$A$9000,0))*(1+IFERROR(INDEX(Работы!$I$2:$I$6000,MATCH($C529,Работы!$A$2:$A$6000,0))/100,0))*(1-ДисконтТендер),0))</f>
        <v>0</v>
      </c>
      <c r="N529" s="10">
        <f t="shared" si="24"/>
        <v>0</v>
      </c>
      <c r="O529" s="10">
        <f t="shared" si="25"/>
        <v>0</v>
      </c>
      <c r="P529" s="10">
        <f t="shared" si="26"/>
        <v>0</v>
      </c>
      <c r="Q529" t="str">
        <f>IFERROR(INDEX(Работы!$J$2:$J$6000,MATCH($C529,Работы!$A$2:$A$6000,0)),"")</f>
        <v>типовая</v>
      </c>
      <c r="R529" t="s">
        <v>92</v>
      </c>
      <c r="T529" t="str">
        <f>IF(AND($P529&gt;0,$R529="да"),MAX($T$1:$T528)+1,"")</f>
        <v/>
      </c>
    </row>
    <row r="530" spans="1:20" x14ac:dyDescent="0.3">
      <c r="A530" t="str">
        <f>IFERROR(INDEX(Работы!$D$2:$D$6000,MATCH($C530,Работы!$A$2:$A$6000,0)),"")</f>
        <v>Р6</v>
      </c>
      <c r="B530" t="str">
        <f>IFERROR(INDEX(Работы!$F$2:$F$6000,MATCH($C530,Работы!$A$2:$A$6000,0)),"")</f>
        <v>1</v>
      </c>
      <c r="C530" t="str">
        <f>IFERROR(INDEX(Работы!$A$2:$A$6000,529),"")</f>
        <v>РАБ.Р6.1.001</v>
      </c>
      <c r="D530" s="8" t="str">
        <f>IFERROR(INDEX(Работы!$B$2:$B$6000,MATCH($C530,Работы!$A$2:$A$6000,0)),"")</f>
        <v>Отключение стояков отопления</v>
      </c>
      <c r="E530" t="str">
        <f>IFERROR(INDEX(Работы!$C$2:$C$6000,MATCH($C530,Работы!$A$2:$A$6000,0)),"")</f>
        <v>шт.</v>
      </c>
      <c r="F530" t="str">
        <f>IFERROR(INDEX(Работы!$G$2:$G$6000,MATCH($C530,Работы!$A$2:$A$6000,0)),"")</f>
        <v>ТРУБА.ОВ</v>
      </c>
      <c r="G530" t="str">
        <f>IFERROR(INDEX(Работы!$K$2:$K$6000,MATCH($C530,Работы!$A$2:$A$6000,0)),"")</f>
        <v>Погонаж</v>
      </c>
      <c r="H530" s="9"/>
      <c r="I530" s="9"/>
      <c r="J530" s="8" t="str">
        <f>IFERROR(INDEX(Материалы!$B$2:$B$9000,MATCH($I530,Материалы!$A$2:$A$9000,0)),"")</f>
        <v/>
      </c>
      <c r="K530" t="str">
        <f>IF($I530="","",IF($F530=IFERROR(INDEX(Материалы!$G$2:$G$9000,MATCH($I530,Материалы!$A$2:$A$9000,0)),""),"OK","!! не та группа"))</f>
        <v/>
      </c>
      <c r="L530" s="10">
        <f>IFERROR(INDEX(Работы!$H$2:$H$6000,MATCH($C530,Работы!$A$2:$A$6000,0))*(1-ДисконтТендер),0)</f>
        <v>2090</v>
      </c>
      <c r="M530" s="10">
        <f>IF($I530="",0,IFERROR(INDEX(Материалы!$I$2:$I$9000,MATCH($I530,Материалы!$A$2:$A$9000,0))*IF(INDEX(Материалы!$J$2:$J$9000,MATCH($I530,Материалы!$A$2:$A$9000,0))="USD",КурсUSD,IF(INDEX(Материалы!$J$2:$J$9000,MATCH($I530,Материалы!$A$2:$A$9000,0))="EUR",КурсEUR,1))*INDEX(Материалы!$K$2:$K$9000,MATCH($I530,Материалы!$A$2:$A$9000,0))*(1+IFERROR(INDEX(Работы!$I$2:$I$6000,MATCH($C530,Работы!$A$2:$A$6000,0))/100,0))*(1-ДисконтТендер),0))</f>
        <v>0</v>
      </c>
      <c r="N530" s="10">
        <f t="shared" si="24"/>
        <v>0</v>
      </c>
      <c r="O530" s="10">
        <f t="shared" si="25"/>
        <v>0</v>
      </c>
      <c r="P530" s="10">
        <f t="shared" si="26"/>
        <v>0</v>
      </c>
      <c r="Q530" t="str">
        <f>IFERROR(INDEX(Работы!$J$2:$J$6000,MATCH($C530,Работы!$A$2:$A$6000,0)),"")</f>
        <v>типовая</v>
      </c>
      <c r="R530" t="s">
        <v>92</v>
      </c>
      <c r="T530" t="str">
        <f>IF(AND($P530&gt;0,$R530="да"),MAX($T$1:$T529)+1,"")</f>
        <v/>
      </c>
    </row>
    <row r="531" spans="1:20" ht="28.8" x14ac:dyDescent="0.3">
      <c r="A531" t="str">
        <f>IFERROR(INDEX(Работы!$D$2:$D$6000,MATCH($C531,Работы!$A$2:$A$6000,0)),"")</f>
        <v>Р6</v>
      </c>
      <c r="B531" t="str">
        <f>IFERROR(INDEX(Работы!$F$2:$F$6000,MATCH($C531,Работы!$A$2:$A$6000,0)),"")</f>
        <v>1</v>
      </c>
      <c r="C531" t="str">
        <f>IFERROR(INDEX(Работы!$A$2:$A$6000,530),"")</f>
        <v>РАБ.Р6.1.002</v>
      </c>
      <c r="D531" s="8" t="str">
        <f>IFERROR(INDEX(Работы!$B$2:$B$6000,MATCH($C531,Работы!$A$2:$A$6000,0)),"")</f>
        <v>Работы на существующих инженерных сетях (отключение / промывка / врезка)</v>
      </c>
      <c r="E531" t="str">
        <f>IFERROR(INDEX(Работы!$C$2:$C$6000,MATCH($C531,Работы!$A$2:$A$6000,0)),"")</f>
        <v>шт.</v>
      </c>
      <c r="F531">
        <f>IFERROR(INDEX(Работы!$G$2:$G$6000,MATCH($C531,Работы!$A$2:$A$6000,0)),"")</f>
        <v>0</v>
      </c>
      <c r="G531" t="str">
        <f>IFERROR(INDEX(Работы!$K$2:$K$6000,MATCH($C531,Работы!$A$2:$A$6000,0)),"")</f>
        <v>Спецификация</v>
      </c>
      <c r="H531" s="9"/>
      <c r="I531" s="9"/>
      <c r="J531" s="8" t="str">
        <f>IFERROR(INDEX(Материалы!$B$2:$B$9000,MATCH($I531,Материалы!$A$2:$A$9000,0)),"")</f>
        <v/>
      </c>
      <c r="K531" t="str">
        <f>IF($I531="","",IF($F531=IFERROR(INDEX(Материалы!$G$2:$G$9000,MATCH($I531,Материалы!$A$2:$A$9000,0)),""),"OK","!! не та группа"))</f>
        <v/>
      </c>
      <c r="L531" s="10">
        <f>IFERROR(INDEX(Работы!$H$2:$H$6000,MATCH($C531,Работы!$A$2:$A$6000,0))*(1-ДисконтТендер),0)</f>
        <v>4702.5</v>
      </c>
      <c r="M531" s="10">
        <f>IF($I531="",0,IFERROR(INDEX(Материалы!$I$2:$I$9000,MATCH($I531,Материалы!$A$2:$A$9000,0))*IF(INDEX(Материалы!$J$2:$J$9000,MATCH($I531,Материалы!$A$2:$A$9000,0))="USD",КурсUSD,IF(INDEX(Материалы!$J$2:$J$9000,MATCH($I531,Материалы!$A$2:$A$9000,0))="EUR",КурсEUR,1))*INDEX(Материалы!$K$2:$K$9000,MATCH($I531,Материалы!$A$2:$A$9000,0))*(1+IFERROR(INDEX(Работы!$I$2:$I$6000,MATCH($C531,Работы!$A$2:$A$6000,0))/100,0))*(1-ДисконтТендер),0))</f>
        <v>0</v>
      </c>
      <c r="N531" s="10">
        <f t="shared" si="24"/>
        <v>0</v>
      </c>
      <c r="O531" s="10">
        <f t="shared" si="25"/>
        <v>0</v>
      </c>
      <c r="P531" s="10">
        <f t="shared" si="26"/>
        <v>0</v>
      </c>
      <c r="Q531" t="str">
        <f>IFERROR(INDEX(Работы!$J$2:$J$6000,MATCH($C531,Работы!$A$2:$A$6000,0)),"")</f>
        <v>типовая</v>
      </c>
      <c r="R531" t="s">
        <v>92</v>
      </c>
      <c r="T531" t="str">
        <f>IF(AND($P531&gt;0,$R531="да"),MAX($T$1:$T530)+1,"")</f>
        <v/>
      </c>
    </row>
    <row r="532" spans="1:20" x14ac:dyDescent="0.3">
      <c r="A532" t="str">
        <f>IFERROR(INDEX(Работы!$D$2:$D$6000,MATCH($C532,Работы!$A$2:$A$6000,0)),"")</f>
        <v>Р6</v>
      </c>
      <c r="B532" t="str">
        <f>IFERROR(INDEX(Работы!$F$2:$F$6000,MATCH($C532,Работы!$A$2:$A$6000,0)),"")</f>
        <v>1</v>
      </c>
      <c r="C532" t="str">
        <f>IFERROR(INDEX(Работы!$A$2:$A$6000,531),"")</f>
        <v>РАБ.Р6.1.003</v>
      </c>
      <c r="D532" s="8" t="str">
        <f>IFERROR(INDEX(Работы!$B$2:$B$6000,MATCH($C532,Работы!$A$2:$A$6000,0)),"")</f>
        <v>Монтаж радиатора отопления</v>
      </c>
      <c r="E532" t="str">
        <f>IFERROR(INDEX(Работы!$C$2:$C$6000,MATCH($C532,Работы!$A$2:$A$6000,0)),"")</f>
        <v>секц.</v>
      </c>
      <c r="F532" t="str">
        <f>IFERROR(INDEX(Работы!$G$2:$G$6000,MATCH($C532,Работы!$A$2:$A$6000,0)),"")</f>
        <v>РАД</v>
      </c>
      <c r="G532" t="str">
        <f>IFERROR(INDEX(Работы!$K$2:$K$6000,MATCH($C532,Работы!$A$2:$A$6000,0)),"")</f>
        <v>Спецификация</v>
      </c>
      <c r="H532" s="9"/>
      <c r="I532" s="9"/>
      <c r="J532" s="8" t="str">
        <f>IFERROR(INDEX(Материалы!$B$2:$B$9000,MATCH($I532,Материалы!$A$2:$A$9000,0)),"")</f>
        <v/>
      </c>
      <c r="K532" t="str">
        <f>IF($I532="","",IF($F532=IFERROR(INDEX(Материалы!$G$2:$G$9000,MATCH($I532,Материалы!$A$2:$A$9000,0)),""),"OK","!! не та группа"))</f>
        <v/>
      </c>
      <c r="L532" s="10">
        <f>IFERROR(INDEX(Работы!$H$2:$H$6000,MATCH($C532,Работы!$A$2:$A$6000,0))*(1-ДисконтТендер),0)</f>
        <v>470.25</v>
      </c>
      <c r="M532" s="10">
        <f>IF($I532="",0,IFERROR(INDEX(Материалы!$I$2:$I$9000,MATCH($I532,Материалы!$A$2:$A$9000,0))*IF(INDEX(Материалы!$J$2:$J$9000,MATCH($I532,Материалы!$A$2:$A$9000,0))="USD",КурсUSD,IF(INDEX(Материалы!$J$2:$J$9000,MATCH($I532,Материалы!$A$2:$A$9000,0))="EUR",КурсEUR,1))*INDEX(Материалы!$K$2:$K$9000,MATCH($I532,Материалы!$A$2:$A$9000,0))*(1+IFERROR(INDEX(Работы!$I$2:$I$6000,MATCH($C532,Работы!$A$2:$A$6000,0))/100,0))*(1-ДисконтТендер),0))</f>
        <v>0</v>
      </c>
      <c r="N532" s="10">
        <f t="shared" si="24"/>
        <v>0</v>
      </c>
      <c r="O532" s="10">
        <f t="shared" si="25"/>
        <v>0</v>
      </c>
      <c r="P532" s="10">
        <f t="shared" si="26"/>
        <v>0</v>
      </c>
      <c r="Q532" t="str">
        <f>IFERROR(INDEX(Работы!$J$2:$J$6000,MATCH($C532,Работы!$A$2:$A$6000,0)),"")</f>
        <v>типовая</v>
      </c>
      <c r="R532" t="s">
        <v>92</v>
      </c>
      <c r="T532" t="str">
        <f>IF(AND($P532&gt;0,$R532="да"),MAX($T$1:$T531)+1,"")</f>
        <v/>
      </c>
    </row>
    <row r="533" spans="1:20" ht="28.8" x14ac:dyDescent="0.3">
      <c r="A533" t="str">
        <f>IFERROR(INDEX(Работы!$D$2:$D$6000,MATCH($C533,Работы!$A$2:$A$6000,0)),"")</f>
        <v>Р6</v>
      </c>
      <c r="B533" t="str">
        <f>IFERROR(INDEX(Работы!$F$2:$F$6000,MATCH($C533,Работы!$A$2:$A$6000,0)),"")</f>
        <v>1</v>
      </c>
      <c r="C533" t="str">
        <f>IFERROR(INDEX(Работы!$A$2:$A$6000,532),"")</f>
        <v>РАБ.Р6.1.004</v>
      </c>
      <c r="D533" s="8" t="str">
        <f>IFERROR(INDEX(Работы!$B$2:$B$6000,MATCH($C533,Работы!$A$2:$A$6000,0)),"")</f>
        <v>Монтаж арматуры и фасонных частей (ВК / отопление)</v>
      </c>
      <c r="E533" t="str">
        <f>IFERROR(INDEX(Работы!$C$2:$C$6000,MATCH($C533,Работы!$A$2:$A$6000,0)),"")</f>
        <v>шт.</v>
      </c>
      <c r="F533" t="str">
        <f>IFERROR(INDEX(Работы!$G$2:$G$6000,MATCH($C533,Работы!$A$2:$A$6000,0)),"")</f>
        <v>АРМ.ОВ</v>
      </c>
      <c r="G533" t="str">
        <f>IFERROR(INDEX(Работы!$K$2:$K$6000,MATCH($C533,Работы!$A$2:$A$6000,0)),"")</f>
        <v>Спецификация</v>
      </c>
      <c r="H533" s="9"/>
      <c r="I533" s="9"/>
      <c r="J533" s="8" t="str">
        <f>IFERROR(INDEX(Материалы!$B$2:$B$9000,MATCH($I533,Материалы!$A$2:$A$9000,0)),"")</f>
        <v/>
      </c>
      <c r="K533" t="str">
        <f>IF($I533="","",IF($F533=IFERROR(INDEX(Материалы!$G$2:$G$9000,MATCH($I533,Материалы!$A$2:$A$9000,0)),""),"OK","!! не та группа"))</f>
        <v/>
      </c>
      <c r="L533" s="10">
        <f>IFERROR(INDEX(Работы!$H$2:$H$6000,MATCH($C533,Работы!$A$2:$A$6000,0))*(1-ДисконтТендер),0)</f>
        <v>588.12</v>
      </c>
      <c r="M533" s="10">
        <f>IF($I533="",0,IFERROR(INDEX(Материалы!$I$2:$I$9000,MATCH($I533,Материалы!$A$2:$A$9000,0))*IF(INDEX(Материалы!$J$2:$J$9000,MATCH($I533,Материалы!$A$2:$A$9000,0))="USD",КурсUSD,IF(INDEX(Материалы!$J$2:$J$9000,MATCH($I533,Материалы!$A$2:$A$9000,0))="EUR",КурсEUR,1))*INDEX(Материалы!$K$2:$K$9000,MATCH($I533,Материалы!$A$2:$A$9000,0))*(1+IFERROR(INDEX(Работы!$I$2:$I$6000,MATCH($C533,Работы!$A$2:$A$6000,0))/100,0))*(1-ДисконтТендер),0))</f>
        <v>0</v>
      </c>
      <c r="N533" s="10">
        <f t="shared" si="24"/>
        <v>0</v>
      </c>
      <c r="O533" s="10">
        <f t="shared" si="25"/>
        <v>0</v>
      </c>
      <c r="P533" s="10">
        <f t="shared" si="26"/>
        <v>0</v>
      </c>
      <c r="Q533" t="str">
        <f>IFERROR(INDEX(Работы!$J$2:$J$6000,MATCH($C533,Работы!$A$2:$A$6000,0)),"")</f>
        <v>типовая</v>
      </c>
      <c r="R533" t="s">
        <v>92</v>
      </c>
      <c r="T533" t="str">
        <f>IF(AND($P533&gt;0,$R533="да"),MAX($T$1:$T532)+1,"")</f>
        <v/>
      </c>
    </row>
    <row r="534" spans="1:20" ht="28.8" x14ac:dyDescent="0.3">
      <c r="A534" t="str">
        <f>IFERROR(INDEX(Работы!$D$2:$D$6000,MATCH($C534,Работы!$A$2:$A$6000,0)),"")</f>
        <v>Р6</v>
      </c>
      <c r="B534" t="str">
        <f>IFERROR(INDEX(Работы!$F$2:$F$6000,MATCH($C534,Работы!$A$2:$A$6000,0)),"")</f>
        <v>1</v>
      </c>
      <c r="C534" t="str">
        <f>IFERROR(INDEX(Работы!$A$2:$A$6000,533),"")</f>
        <v>РАБ.Р6.1.005</v>
      </c>
      <c r="D534" s="8" t="str">
        <f>IFERROR(INDEX(Работы!$B$2:$B$6000,MATCH($C534,Работы!$A$2:$A$6000,0)),"")</f>
        <v>Монтаж комплектующих радиатора (кронштейны, узлы подключения)</v>
      </c>
      <c r="E534" t="str">
        <f>IFERROR(INDEX(Работы!$C$2:$C$6000,MATCH($C534,Работы!$A$2:$A$6000,0)),"")</f>
        <v>компл.</v>
      </c>
      <c r="F534" t="str">
        <f>IFERROR(INDEX(Работы!$G$2:$G$6000,MATCH($C534,Работы!$A$2:$A$6000,0)),"")</f>
        <v>РАД.КОМПЛ</v>
      </c>
      <c r="G534" t="str">
        <f>IFERROR(INDEX(Работы!$K$2:$K$6000,MATCH($C534,Работы!$A$2:$A$6000,0)),"")</f>
        <v>Спецификация</v>
      </c>
      <c r="H534" s="9"/>
      <c r="I534" s="9"/>
      <c r="J534" s="8" t="str">
        <f>IFERROR(INDEX(Материалы!$B$2:$B$9000,MATCH($I534,Материалы!$A$2:$A$9000,0)),"")</f>
        <v/>
      </c>
      <c r="K534" t="str">
        <f>IF($I534="","",IF($F534=IFERROR(INDEX(Материалы!$G$2:$G$9000,MATCH($I534,Материалы!$A$2:$A$9000,0)),""),"OK","!! не та группа"))</f>
        <v/>
      </c>
      <c r="L534" s="10">
        <f>IFERROR(INDEX(Работы!$H$2:$H$6000,MATCH($C534,Работы!$A$2:$A$6000,0))*(1-ДисконтТендер),0)</f>
        <v>271.44</v>
      </c>
      <c r="M534" s="10">
        <f>IF($I534="",0,IFERROR(INDEX(Материалы!$I$2:$I$9000,MATCH($I534,Материалы!$A$2:$A$9000,0))*IF(INDEX(Материалы!$J$2:$J$9000,MATCH($I534,Материалы!$A$2:$A$9000,0))="USD",КурсUSD,IF(INDEX(Материалы!$J$2:$J$9000,MATCH($I534,Материалы!$A$2:$A$9000,0))="EUR",КурсEUR,1))*INDEX(Материалы!$K$2:$K$9000,MATCH($I534,Материалы!$A$2:$A$9000,0))*(1+IFERROR(INDEX(Работы!$I$2:$I$6000,MATCH($C534,Работы!$A$2:$A$6000,0))/100,0))*(1-ДисконтТендер),0))</f>
        <v>0</v>
      </c>
      <c r="N534" s="10">
        <f t="shared" si="24"/>
        <v>0</v>
      </c>
      <c r="O534" s="10">
        <f t="shared" si="25"/>
        <v>0</v>
      </c>
      <c r="P534" s="10">
        <f t="shared" si="26"/>
        <v>0</v>
      </c>
      <c r="Q534" t="str">
        <f>IFERROR(INDEX(Работы!$J$2:$J$6000,MATCH($C534,Работы!$A$2:$A$6000,0)),"")</f>
        <v>типовая</v>
      </c>
      <c r="R534" t="s">
        <v>92</v>
      </c>
      <c r="T534" t="str">
        <f>IF(AND($P534&gt;0,$R534="да"),MAX($T$1:$T533)+1,"")</f>
        <v/>
      </c>
    </row>
    <row r="535" spans="1:20" ht="28.8" x14ac:dyDescent="0.3">
      <c r="A535" t="str">
        <f>IFERROR(INDEX(Работы!$D$2:$D$6000,MATCH($C535,Работы!$A$2:$A$6000,0)),"")</f>
        <v>Р6</v>
      </c>
      <c r="B535" t="str">
        <f>IFERROR(INDEX(Работы!$F$2:$F$6000,MATCH($C535,Работы!$A$2:$A$6000,0)),"")</f>
        <v>1</v>
      </c>
      <c r="C535" t="str">
        <f>IFERROR(INDEX(Работы!$A$2:$A$6000,534),"")</f>
        <v>РАБ.Р6.1.006</v>
      </c>
      <c r="D535" s="8" t="str">
        <f>IFERROR(INDEX(Работы!$B$2:$B$6000,MATCH($C535,Работы!$A$2:$A$6000,0)),"")</f>
        <v>Монтаж комплектующих радиатора (кронштейны, узлы подключения)</v>
      </c>
      <c r="E535" t="str">
        <f>IFERROR(INDEX(Работы!$C$2:$C$6000,MATCH($C535,Работы!$A$2:$A$6000,0)),"")</f>
        <v>компл.</v>
      </c>
      <c r="F535" t="str">
        <f>IFERROR(INDEX(Работы!$G$2:$G$6000,MATCH($C535,Работы!$A$2:$A$6000,0)),"")</f>
        <v>РАД.КОМПЛ</v>
      </c>
      <c r="G535" t="str">
        <f>IFERROR(INDEX(Работы!$K$2:$K$6000,MATCH($C535,Работы!$A$2:$A$6000,0)),"")</f>
        <v>Спецификация</v>
      </c>
      <c r="H535" s="9"/>
      <c r="I535" s="9"/>
      <c r="J535" s="8" t="str">
        <f>IFERROR(INDEX(Материалы!$B$2:$B$9000,MATCH($I535,Материалы!$A$2:$A$9000,0)),"")</f>
        <v/>
      </c>
      <c r="K535" t="str">
        <f>IF($I535="","",IF($F535=IFERROR(INDEX(Материалы!$G$2:$G$9000,MATCH($I535,Материалы!$A$2:$A$9000,0)),""),"OK","!! не та группа"))</f>
        <v/>
      </c>
      <c r="L535" s="10">
        <f>IFERROR(INDEX(Работы!$H$2:$H$6000,MATCH($C535,Работы!$A$2:$A$6000,0))*(1-ДисконтТендер),0)</f>
        <v>305.37</v>
      </c>
      <c r="M535" s="10">
        <f>IF($I535="",0,IFERROR(INDEX(Материалы!$I$2:$I$9000,MATCH($I535,Материалы!$A$2:$A$9000,0))*IF(INDEX(Материалы!$J$2:$J$9000,MATCH($I535,Материалы!$A$2:$A$9000,0))="USD",КурсUSD,IF(INDEX(Материалы!$J$2:$J$9000,MATCH($I535,Материалы!$A$2:$A$9000,0))="EUR",КурсEUR,1))*INDEX(Материалы!$K$2:$K$9000,MATCH($I535,Материалы!$A$2:$A$9000,0))*(1+IFERROR(INDEX(Работы!$I$2:$I$6000,MATCH($C535,Работы!$A$2:$A$6000,0))/100,0))*(1-ДисконтТендер),0))</f>
        <v>0</v>
      </c>
      <c r="N535" s="10">
        <f t="shared" si="24"/>
        <v>0</v>
      </c>
      <c r="O535" s="10">
        <f t="shared" si="25"/>
        <v>0</v>
      </c>
      <c r="P535" s="10">
        <f t="shared" si="26"/>
        <v>0</v>
      </c>
      <c r="Q535" t="str">
        <f>IFERROR(INDEX(Работы!$J$2:$J$6000,MATCH($C535,Работы!$A$2:$A$6000,0)),"")</f>
        <v>типовая</v>
      </c>
      <c r="R535" t="s">
        <v>92</v>
      </c>
      <c r="T535" t="str">
        <f>IF(AND($P535&gt;0,$R535="да"),MAX($T$1:$T534)+1,"")</f>
        <v/>
      </c>
    </row>
    <row r="536" spans="1:20" ht="43.2" x14ac:dyDescent="0.3">
      <c r="A536" t="str">
        <f>IFERROR(INDEX(Работы!$D$2:$D$6000,MATCH($C536,Работы!$A$2:$A$6000,0)),"")</f>
        <v>Р6</v>
      </c>
      <c r="B536" t="str">
        <f>IFERROR(INDEX(Работы!$F$2:$F$6000,MATCH($C536,Работы!$A$2:$A$6000,0)),"")</f>
        <v>1</v>
      </c>
      <c r="C536" t="str">
        <f>IFERROR(INDEX(Работы!$A$2:$A$6000,535),"")</f>
        <v>РАБ.Р6.1.007</v>
      </c>
      <c r="D536" s="8" t="str">
        <f>IFERROR(INDEX(Работы!$B$2:$B$6000,MATCH($C536,Работы!$A$2:$A$6000,0)),"")</f>
        <v>Наценка на радиатор с нп Комплектация для радиатора с НП ( клапан термостатический с комплектующими , монтажный комплект</v>
      </c>
      <c r="E536" t="str">
        <f>IFERROR(INDEX(Работы!$C$2:$C$6000,MATCH($C536,Работы!$A$2:$A$6000,0)),"")</f>
        <v>компл.</v>
      </c>
      <c r="F536" t="str">
        <f>IFERROR(INDEX(Работы!$G$2:$G$6000,MATCH($C536,Работы!$A$2:$A$6000,0)),"")</f>
        <v>РАД</v>
      </c>
      <c r="G536" t="str">
        <f>IFERROR(INDEX(Работы!$K$2:$K$6000,MATCH($C536,Работы!$A$2:$A$6000,0)),"")</f>
        <v>Спецификация</v>
      </c>
      <c r="H536" s="9"/>
      <c r="I536" s="9"/>
      <c r="J536" s="8" t="str">
        <f>IFERROR(INDEX(Материалы!$B$2:$B$9000,MATCH($I536,Материалы!$A$2:$A$9000,0)),"")</f>
        <v/>
      </c>
      <c r="K536" t="str">
        <f>IF($I536="","",IF($F536=IFERROR(INDEX(Материалы!$G$2:$G$9000,MATCH($I536,Материалы!$A$2:$A$9000,0)),""),"OK","!! не та группа"))</f>
        <v/>
      </c>
      <c r="L536" s="10">
        <f>IFERROR(INDEX(Работы!$H$2:$H$6000,MATCH($C536,Работы!$A$2:$A$6000,0))*(1-ДисконтТендер),0)</f>
        <v>0</v>
      </c>
      <c r="M536" s="10">
        <f>IF($I536="",0,IFERROR(INDEX(Материалы!$I$2:$I$9000,MATCH($I536,Материалы!$A$2:$A$9000,0))*IF(INDEX(Материалы!$J$2:$J$9000,MATCH($I536,Материалы!$A$2:$A$9000,0))="USD",КурсUSD,IF(INDEX(Материалы!$J$2:$J$9000,MATCH($I536,Материалы!$A$2:$A$9000,0))="EUR",КурсEUR,1))*INDEX(Материалы!$K$2:$K$9000,MATCH($I536,Материалы!$A$2:$A$9000,0))*(1+IFERROR(INDEX(Работы!$I$2:$I$6000,MATCH($C536,Работы!$A$2:$A$6000,0))/100,0))*(1-ДисконтТендер),0))</f>
        <v>0</v>
      </c>
      <c r="N536" s="10">
        <f t="shared" si="24"/>
        <v>0</v>
      </c>
      <c r="O536" s="10">
        <f t="shared" si="25"/>
        <v>0</v>
      </c>
      <c r="P536" s="10">
        <f t="shared" si="26"/>
        <v>0</v>
      </c>
      <c r="Q536" t="str">
        <f>IFERROR(INDEX(Работы!$J$2:$J$6000,MATCH($C536,Работы!$A$2:$A$6000,0)),"")</f>
        <v>типовая</v>
      </c>
      <c r="R536" t="s">
        <v>92</v>
      </c>
      <c r="T536" t="str">
        <f>IF(AND($P536&gt;0,$R536="да"),MAX($T$1:$T535)+1,"")</f>
        <v/>
      </c>
    </row>
    <row r="537" spans="1:20" x14ac:dyDescent="0.3">
      <c r="A537" t="str">
        <f>IFERROR(INDEX(Работы!$D$2:$D$6000,MATCH($C537,Работы!$A$2:$A$6000,0)),"")</f>
        <v>Р6</v>
      </c>
      <c r="B537" t="str">
        <f>IFERROR(INDEX(Работы!$F$2:$F$6000,MATCH($C537,Работы!$A$2:$A$6000,0)),"")</f>
        <v>1</v>
      </c>
      <c r="C537" t="str">
        <f>IFERROR(INDEX(Работы!$A$2:$A$6000,536),"")</f>
        <v>РАБ.Р6.1.008</v>
      </c>
      <c r="D537" s="8" t="str">
        <f>IFERROR(INDEX(Работы!$B$2:$B$6000,MATCH($C537,Работы!$A$2:$A$6000,0)),"")</f>
        <v>Монтаж радиатора отопления</v>
      </c>
      <c r="E537" t="str">
        <f>IFERROR(INDEX(Работы!$C$2:$C$6000,MATCH($C537,Работы!$A$2:$A$6000,0)),"")</f>
        <v>шт.</v>
      </c>
      <c r="F537" t="str">
        <f>IFERROR(INDEX(Работы!$G$2:$G$6000,MATCH($C537,Работы!$A$2:$A$6000,0)),"")</f>
        <v>РАД</v>
      </c>
      <c r="G537" t="str">
        <f>IFERROR(INDEX(Работы!$K$2:$K$6000,MATCH($C537,Работы!$A$2:$A$6000,0)),"")</f>
        <v>Спецификация</v>
      </c>
      <c r="H537" s="9"/>
      <c r="I537" s="9"/>
      <c r="J537" s="8" t="str">
        <f>IFERROR(INDEX(Материалы!$B$2:$B$9000,MATCH($I537,Материалы!$A$2:$A$9000,0)),"")</f>
        <v/>
      </c>
      <c r="K537" t="str">
        <f>IF($I537="","",IF($F537=IFERROR(INDEX(Материалы!$G$2:$G$9000,MATCH($I537,Материалы!$A$2:$A$9000,0)),""),"OK","!! не та группа"))</f>
        <v/>
      </c>
      <c r="L537" s="10">
        <f>IFERROR(INDEX(Работы!$H$2:$H$6000,MATCH($C537,Работы!$A$2:$A$6000,0))*(1-ДисконтТендер),0)</f>
        <v>1881</v>
      </c>
      <c r="M537" s="10">
        <f>IF($I537="",0,IFERROR(INDEX(Материалы!$I$2:$I$9000,MATCH($I537,Материалы!$A$2:$A$9000,0))*IF(INDEX(Материалы!$J$2:$J$9000,MATCH($I537,Материалы!$A$2:$A$9000,0))="USD",КурсUSD,IF(INDEX(Материалы!$J$2:$J$9000,MATCH($I537,Материалы!$A$2:$A$9000,0))="EUR",КурсEUR,1))*INDEX(Материалы!$K$2:$K$9000,MATCH($I537,Материалы!$A$2:$A$9000,0))*(1+IFERROR(INDEX(Работы!$I$2:$I$6000,MATCH($C537,Работы!$A$2:$A$6000,0))/100,0))*(1-ДисконтТендер),0))</f>
        <v>0</v>
      </c>
      <c r="N537" s="10">
        <f t="shared" si="24"/>
        <v>0</v>
      </c>
      <c r="O537" s="10">
        <f t="shared" si="25"/>
        <v>0</v>
      </c>
      <c r="P537" s="10">
        <f t="shared" si="26"/>
        <v>0</v>
      </c>
      <c r="Q537" t="str">
        <f>IFERROR(INDEX(Работы!$J$2:$J$6000,MATCH($C537,Работы!$A$2:$A$6000,0)),"")</f>
        <v>типовая</v>
      </c>
      <c r="R537" t="s">
        <v>92</v>
      </c>
      <c r="T537" t="str">
        <f>IF(AND($P537&gt;0,$R537="да"),MAX($T$1:$T536)+1,"")</f>
        <v/>
      </c>
    </row>
    <row r="538" spans="1:20" x14ac:dyDescent="0.3">
      <c r="A538" t="str">
        <f>IFERROR(INDEX(Работы!$D$2:$D$6000,MATCH($C538,Работы!$A$2:$A$6000,0)),"")</f>
        <v>Р6</v>
      </c>
      <c r="B538" t="str">
        <f>IFERROR(INDEX(Работы!$F$2:$F$6000,MATCH($C538,Работы!$A$2:$A$6000,0)),"")</f>
        <v>1</v>
      </c>
      <c r="C538" t="str">
        <f>IFERROR(INDEX(Работы!$A$2:$A$6000,537),"")</f>
        <v>РАБ.Р6.1.009</v>
      </c>
      <c r="D538" s="8" t="str">
        <f>IFERROR(INDEX(Работы!$B$2:$B$6000,MATCH($C538,Работы!$A$2:$A$6000,0)),"")</f>
        <v>Монтаж радиатора отопления</v>
      </c>
      <c r="E538" t="str">
        <f>IFERROR(INDEX(Работы!$C$2:$C$6000,MATCH($C538,Работы!$A$2:$A$6000,0)),"")</f>
        <v>шт.</v>
      </c>
      <c r="F538" t="str">
        <f>IFERROR(INDEX(Работы!$G$2:$G$6000,MATCH($C538,Работы!$A$2:$A$6000,0)),"")</f>
        <v>РАД</v>
      </c>
      <c r="G538" t="str">
        <f>IFERROR(INDEX(Работы!$K$2:$K$6000,MATCH($C538,Работы!$A$2:$A$6000,0)),"")</f>
        <v>Спецификация</v>
      </c>
      <c r="H538" s="9"/>
      <c r="I538" s="9"/>
      <c r="J538" s="8" t="str">
        <f>IFERROR(INDEX(Материалы!$B$2:$B$9000,MATCH($I538,Материалы!$A$2:$A$9000,0)),"")</f>
        <v/>
      </c>
      <c r="K538" t="str">
        <f>IF($I538="","",IF($F538=IFERROR(INDEX(Материалы!$G$2:$G$9000,MATCH($I538,Материалы!$A$2:$A$9000,0)),""),"OK","!! не та группа"))</f>
        <v/>
      </c>
      <c r="L538" s="10">
        <f>IFERROR(INDEX(Работы!$H$2:$H$6000,MATCH($C538,Работы!$A$2:$A$6000,0))*(1-ДисконтТендер),0)</f>
        <v>2351.25</v>
      </c>
      <c r="M538" s="10">
        <f>IF($I538="",0,IFERROR(INDEX(Материалы!$I$2:$I$9000,MATCH($I538,Материалы!$A$2:$A$9000,0))*IF(INDEX(Материалы!$J$2:$J$9000,MATCH($I538,Материалы!$A$2:$A$9000,0))="USD",КурсUSD,IF(INDEX(Материалы!$J$2:$J$9000,MATCH($I538,Материалы!$A$2:$A$9000,0))="EUR",КурсEUR,1))*INDEX(Материалы!$K$2:$K$9000,MATCH($I538,Материалы!$A$2:$A$9000,0))*(1+IFERROR(INDEX(Работы!$I$2:$I$6000,MATCH($C538,Работы!$A$2:$A$6000,0))/100,0))*(1-ДисконтТендер),0))</f>
        <v>0</v>
      </c>
      <c r="N538" s="10">
        <f t="shared" si="24"/>
        <v>0</v>
      </c>
      <c r="O538" s="10">
        <f t="shared" si="25"/>
        <v>0</v>
      </c>
      <c r="P538" s="10">
        <f t="shared" si="26"/>
        <v>0</v>
      </c>
      <c r="Q538" t="str">
        <f>IFERROR(INDEX(Работы!$J$2:$J$6000,MATCH($C538,Работы!$A$2:$A$6000,0)),"")</f>
        <v>типовая</v>
      </c>
      <c r="R538" t="s">
        <v>92</v>
      </c>
      <c r="T538" t="str">
        <f>IF(AND($P538&gt;0,$R538="да"),MAX($T$1:$T537)+1,"")</f>
        <v/>
      </c>
    </row>
    <row r="539" spans="1:20" x14ac:dyDescent="0.3">
      <c r="A539" t="str">
        <f>IFERROR(INDEX(Работы!$D$2:$D$6000,MATCH($C539,Работы!$A$2:$A$6000,0)),"")</f>
        <v>Р6</v>
      </c>
      <c r="B539" t="str">
        <f>IFERROR(INDEX(Работы!$F$2:$F$6000,MATCH($C539,Работы!$A$2:$A$6000,0)),"")</f>
        <v>1</v>
      </c>
      <c r="C539" t="str">
        <f>IFERROR(INDEX(Работы!$A$2:$A$6000,538),"")</f>
        <v>РАБ.Р6.1.010</v>
      </c>
      <c r="D539" s="8" t="str">
        <f>IFERROR(INDEX(Работы!$B$2:$B$6000,MATCH($C539,Работы!$A$2:$A$6000,0)),"")</f>
        <v>Монтаж радиатора отопления</v>
      </c>
      <c r="E539" t="str">
        <f>IFERROR(INDEX(Работы!$C$2:$C$6000,MATCH($C539,Работы!$A$2:$A$6000,0)),"")</f>
        <v>шт.</v>
      </c>
      <c r="F539" t="str">
        <f>IFERROR(INDEX(Работы!$G$2:$G$6000,MATCH($C539,Работы!$A$2:$A$6000,0)),"")</f>
        <v>РАД</v>
      </c>
      <c r="G539" t="str">
        <f>IFERROR(INDEX(Работы!$K$2:$K$6000,MATCH($C539,Работы!$A$2:$A$6000,0)),"")</f>
        <v>Спецификация</v>
      </c>
      <c r="H539" s="9"/>
      <c r="I539" s="9"/>
      <c r="J539" s="8" t="str">
        <f>IFERROR(INDEX(Материалы!$B$2:$B$9000,MATCH($I539,Материалы!$A$2:$A$9000,0)),"")</f>
        <v/>
      </c>
      <c r="K539" t="str">
        <f>IF($I539="","",IF($F539=IFERROR(INDEX(Материалы!$G$2:$G$9000,MATCH($I539,Материалы!$A$2:$A$9000,0)),""),"OK","!! не та группа"))</f>
        <v/>
      </c>
      <c r="L539" s="10">
        <f>IFERROR(INDEX(Работы!$H$2:$H$6000,MATCH($C539,Работы!$A$2:$A$6000,0))*(1-ДисконтТендер),0)</f>
        <v>2821.5</v>
      </c>
      <c r="M539" s="10">
        <f>IF($I539="",0,IFERROR(INDEX(Материалы!$I$2:$I$9000,MATCH($I539,Материалы!$A$2:$A$9000,0))*IF(INDEX(Материалы!$J$2:$J$9000,MATCH($I539,Материалы!$A$2:$A$9000,0))="USD",КурсUSD,IF(INDEX(Материалы!$J$2:$J$9000,MATCH($I539,Материалы!$A$2:$A$9000,0))="EUR",КурсEUR,1))*INDEX(Материалы!$K$2:$K$9000,MATCH($I539,Материалы!$A$2:$A$9000,0))*(1+IFERROR(INDEX(Работы!$I$2:$I$6000,MATCH($C539,Работы!$A$2:$A$6000,0))/100,0))*(1-ДисконтТендер),0))</f>
        <v>0</v>
      </c>
      <c r="N539" s="10">
        <f t="shared" si="24"/>
        <v>0</v>
      </c>
      <c r="O539" s="10">
        <f t="shared" si="25"/>
        <v>0</v>
      </c>
      <c r="P539" s="10">
        <f t="shared" si="26"/>
        <v>0</v>
      </c>
      <c r="Q539" t="str">
        <f>IFERROR(INDEX(Работы!$J$2:$J$6000,MATCH($C539,Работы!$A$2:$A$6000,0)),"")</f>
        <v>типовая</v>
      </c>
      <c r="R539" t="s">
        <v>92</v>
      </c>
      <c r="T539" t="str">
        <f>IF(AND($P539&gt;0,$R539="да"),MAX($T$1:$T538)+1,"")</f>
        <v/>
      </c>
    </row>
    <row r="540" spans="1:20" x14ac:dyDescent="0.3">
      <c r="A540" t="str">
        <f>IFERROR(INDEX(Работы!$D$2:$D$6000,MATCH($C540,Работы!$A$2:$A$6000,0)),"")</f>
        <v>Р6</v>
      </c>
      <c r="B540" t="str">
        <f>IFERROR(INDEX(Работы!$F$2:$F$6000,MATCH($C540,Работы!$A$2:$A$6000,0)),"")</f>
        <v>1</v>
      </c>
      <c r="C540" t="str">
        <f>IFERROR(INDEX(Работы!$A$2:$A$6000,539),"")</f>
        <v>РАБ.Р6.1.011</v>
      </c>
      <c r="D540" s="8" t="str">
        <f>IFERROR(INDEX(Работы!$B$2:$B$6000,MATCH($C540,Работы!$A$2:$A$6000,0)),"")</f>
        <v>Монтаж радиатора отопления</v>
      </c>
      <c r="E540" t="str">
        <f>IFERROR(INDEX(Работы!$C$2:$C$6000,MATCH($C540,Работы!$A$2:$A$6000,0)),"")</f>
        <v>шт.</v>
      </c>
      <c r="F540" t="str">
        <f>IFERROR(INDEX(Работы!$G$2:$G$6000,MATCH($C540,Работы!$A$2:$A$6000,0)),"")</f>
        <v>РАД</v>
      </c>
      <c r="G540" t="str">
        <f>IFERROR(INDEX(Работы!$K$2:$K$6000,MATCH($C540,Работы!$A$2:$A$6000,0)),"")</f>
        <v>Спецификация</v>
      </c>
      <c r="H540" s="9"/>
      <c r="I540" s="9"/>
      <c r="J540" s="8" t="str">
        <f>IFERROR(INDEX(Материалы!$B$2:$B$9000,MATCH($I540,Материалы!$A$2:$A$9000,0)),"")</f>
        <v/>
      </c>
      <c r="K540" t="str">
        <f>IF($I540="","",IF($F540=IFERROR(INDEX(Материалы!$G$2:$G$9000,MATCH($I540,Материалы!$A$2:$A$9000,0)),""),"OK","!! не та группа"))</f>
        <v/>
      </c>
      <c r="L540" s="10">
        <f>IFERROR(INDEX(Работы!$H$2:$H$6000,MATCH($C540,Работы!$A$2:$A$6000,0))*(1-ДисконтТендер),0)</f>
        <v>3291.75</v>
      </c>
      <c r="M540" s="10">
        <f>IF($I540="",0,IFERROR(INDEX(Материалы!$I$2:$I$9000,MATCH($I540,Материалы!$A$2:$A$9000,0))*IF(INDEX(Материалы!$J$2:$J$9000,MATCH($I540,Материалы!$A$2:$A$9000,0))="USD",КурсUSD,IF(INDEX(Материалы!$J$2:$J$9000,MATCH($I540,Материалы!$A$2:$A$9000,0))="EUR",КурсEUR,1))*INDEX(Материалы!$K$2:$K$9000,MATCH($I540,Материалы!$A$2:$A$9000,0))*(1+IFERROR(INDEX(Работы!$I$2:$I$6000,MATCH($C540,Работы!$A$2:$A$6000,0))/100,0))*(1-ДисконтТендер),0))</f>
        <v>0</v>
      </c>
      <c r="N540" s="10">
        <f t="shared" si="24"/>
        <v>0</v>
      </c>
      <c r="O540" s="10">
        <f t="shared" si="25"/>
        <v>0</v>
      </c>
      <c r="P540" s="10">
        <f t="shared" si="26"/>
        <v>0</v>
      </c>
      <c r="Q540" t="str">
        <f>IFERROR(INDEX(Работы!$J$2:$J$6000,MATCH($C540,Работы!$A$2:$A$6000,0)),"")</f>
        <v>типовая</v>
      </c>
      <c r="R540" t="s">
        <v>92</v>
      </c>
      <c r="T540" t="str">
        <f>IF(AND($P540&gt;0,$R540="да"),MAX($T$1:$T539)+1,"")</f>
        <v/>
      </c>
    </row>
    <row r="541" spans="1:20" x14ac:dyDescent="0.3">
      <c r="A541" t="str">
        <f>IFERROR(INDEX(Работы!$D$2:$D$6000,MATCH($C541,Работы!$A$2:$A$6000,0)),"")</f>
        <v>Р6</v>
      </c>
      <c r="B541" t="str">
        <f>IFERROR(INDEX(Работы!$F$2:$F$6000,MATCH($C541,Работы!$A$2:$A$6000,0)),"")</f>
        <v>1</v>
      </c>
      <c r="C541" t="str">
        <f>IFERROR(INDEX(Работы!$A$2:$A$6000,540),"")</f>
        <v>РАБ.Р6.1.012</v>
      </c>
      <c r="D541" s="8" t="str">
        <f>IFERROR(INDEX(Работы!$B$2:$B$6000,MATCH($C541,Работы!$A$2:$A$6000,0)),"")</f>
        <v>Монтаж радиатора отопления</v>
      </c>
      <c r="E541" t="str">
        <f>IFERROR(INDEX(Работы!$C$2:$C$6000,MATCH($C541,Работы!$A$2:$A$6000,0)),"")</f>
        <v>шт.</v>
      </c>
      <c r="F541" t="str">
        <f>IFERROR(INDEX(Работы!$G$2:$G$6000,MATCH($C541,Работы!$A$2:$A$6000,0)),"")</f>
        <v>РАД</v>
      </c>
      <c r="G541" t="str">
        <f>IFERROR(INDEX(Работы!$K$2:$K$6000,MATCH($C541,Работы!$A$2:$A$6000,0)),"")</f>
        <v>Спецификация</v>
      </c>
      <c r="H541" s="9"/>
      <c r="I541" s="9"/>
      <c r="J541" s="8" t="str">
        <f>IFERROR(INDEX(Материалы!$B$2:$B$9000,MATCH($I541,Материалы!$A$2:$A$9000,0)),"")</f>
        <v/>
      </c>
      <c r="K541" t="str">
        <f>IF($I541="","",IF($F541=IFERROR(INDEX(Материалы!$G$2:$G$9000,MATCH($I541,Материалы!$A$2:$A$9000,0)),""),"OK","!! не та группа"))</f>
        <v/>
      </c>
      <c r="L541" s="10">
        <f>IFERROR(INDEX(Работы!$H$2:$H$6000,MATCH($C541,Работы!$A$2:$A$6000,0))*(1-ДисконтТендер),0)</f>
        <v>3762</v>
      </c>
      <c r="M541" s="10">
        <f>IF($I541="",0,IFERROR(INDEX(Материалы!$I$2:$I$9000,MATCH($I541,Материалы!$A$2:$A$9000,0))*IF(INDEX(Материалы!$J$2:$J$9000,MATCH($I541,Материалы!$A$2:$A$9000,0))="USD",КурсUSD,IF(INDEX(Материалы!$J$2:$J$9000,MATCH($I541,Материалы!$A$2:$A$9000,0))="EUR",КурсEUR,1))*INDEX(Материалы!$K$2:$K$9000,MATCH($I541,Материалы!$A$2:$A$9000,0))*(1+IFERROR(INDEX(Работы!$I$2:$I$6000,MATCH($C541,Работы!$A$2:$A$6000,0))/100,0))*(1-ДисконтТендер),0))</f>
        <v>0</v>
      </c>
      <c r="N541" s="10">
        <f t="shared" si="24"/>
        <v>0</v>
      </c>
      <c r="O541" s="10">
        <f t="shared" si="25"/>
        <v>0</v>
      </c>
      <c r="P541" s="10">
        <f t="shared" si="26"/>
        <v>0</v>
      </c>
      <c r="Q541" t="str">
        <f>IFERROR(INDEX(Работы!$J$2:$J$6000,MATCH($C541,Работы!$A$2:$A$6000,0)),"")</f>
        <v>типовая</v>
      </c>
      <c r="R541" t="s">
        <v>92</v>
      </c>
      <c r="T541" t="str">
        <f>IF(AND($P541&gt;0,$R541="да"),MAX($T$1:$T540)+1,"")</f>
        <v/>
      </c>
    </row>
    <row r="542" spans="1:20" x14ac:dyDescent="0.3">
      <c r="A542" t="str">
        <f>IFERROR(INDEX(Работы!$D$2:$D$6000,MATCH($C542,Работы!$A$2:$A$6000,0)),"")</f>
        <v>Р6</v>
      </c>
      <c r="B542" t="str">
        <f>IFERROR(INDEX(Работы!$F$2:$F$6000,MATCH($C542,Работы!$A$2:$A$6000,0)),"")</f>
        <v>1</v>
      </c>
      <c r="C542" t="str">
        <f>IFERROR(INDEX(Работы!$A$2:$A$6000,541),"")</f>
        <v>РАБ.Р6.1.013</v>
      </c>
      <c r="D542" s="8" t="str">
        <f>IFERROR(INDEX(Работы!$B$2:$B$6000,MATCH($C542,Работы!$A$2:$A$6000,0)),"")</f>
        <v>Монтаж радиатора отопления</v>
      </c>
      <c r="E542" t="str">
        <f>IFERROR(INDEX(Работы!$C$2:$C$6000,MATCH($C542,Работы!$A$2:$A$6000,0)),"")</f>
        <v>шт.</v>
      </c>
      <c r="F542" t="str">
        <f>IFERROR(INDEX(Работы!$G$2:$G$6000,MATCH($C542,Работы!$A$2:$A$6000,0)),"")</f>
        <v>РАД</v>
      </c>
      <c r="G542" t="str">
        <f>IFERROR(INDEX(Работы!$K$2:$K$6000,MATCH($C542,Работы!$A$2:$A$6000,0)),"")</f>
        <v>Спецификация</v>
      </c>
      <c r="H542" s="9"/>
      <c r="I542" s="9"/>
      <c r="J542" s="8" t="str">
        <f>IFERROR(INDEX(Материалы!$B$2:$B$9000,MATCH($I542,Материалы!$A$2:$A$9000,0)),"")</f>
        <v/>
      </c>
      <c r="K542" t="str">
        <f>IF($I542="","",IF($F542=IFERROR(INDEX(Материалы!$G$2:$G$9000,MATCH($I542,Материалы!$A$2:$A$9000,0)),""),"OK","!! не та группа"))</f>
        <v/>
      </c>
      <c r="L542" s="10">
        <f>IFERROR(INDEX(Работы!$H$2:$H$6000,MATCH($C542,Работы!$A$2:$A$6000,0))*(1-ДисконтТендер),0)</f>
        <v>4232.25</v>
      </c>
      <c r="M542" s="10">
        <f>IF($I542="",0,IFERROR(INDEX(Материалы!$I$2:$I$9000,MATCH($I542,Материалы!$A$2:$A$9000,0))*IF(INDEX(Материалы!$J$2:$J$9000,MATCH($I542,Материалы!$A$2:$A$9000,0))="USD",КурсUSD,IF(INDEX(Материалы!$J$2:$J$9000,MATCH($I542,Материалы!$A$2:$A$9000,0))="EUR",КурсEUR,1))*INDEX(Материалы!$K$2:$K$9000,MATCH($I542,Материалы!$A$2:$A$9000,0))*(1+IFERROR(INDEX(Работы!$I$2:$I$6000,MATCH($C542,Работы!$A$2:$A$6000,0))/100,0))*(1-ДисконтТендер),0))</f>
        <v>0</v>
      </c>
      <c r="N542" s="10">
        <f t="shared" si="24"/>
        <v>0</v>
      </c>
      <c r="O542" s="10">
        <f t="shared" si="25"/>
        <v>0</v>
      </c>
      <c r="P542" s="10">
        <f t="shared" si="26"/>
        <v>0</v>
      </c>
      <c r="Q542" t="str">
        <f>IFERROR(INDEX(Работы!$J$2:$J$6000,MATCH($C542,Работы!$A$2:$A$6000,0)),"")</f>
        <v>типовая</v>
      </c>
      <c r="R542" t="s">
        <v>92</v>
      </c>
      <c r="T542" t="str">
        <f>IF(AND($P542&gt;0,$R542="да"),MAX($T$1:$T541)+1,"")</f>
        <v/>
      </c>
    </row>
    <row r="543" spans="1:20" x14ac:dyDescent="0.3">
      <c r="A543" t="str">
        <f>IFERROR(INDEX(Работы!$D$2:$D$6000,MATCH($C543,Работы!$A$2:$A$6000,0)),"")</f>
        <v>Р6</v>
      </c>
      <c r="B543" t="str">
        <f>IFERROR(INDEX(Работы!$F$2:$F$6000,MATCH($C543,Работы!$A$2:$A$6000,0)),"")</f>
        <v>1</v>
      </c>
      <c r="C543" t="str">
        <f>IFERROR(INDEX(Работы!$A$2:$A$6000,542),"")</f>
        <v>РАБ.Р6.1.014</v>
      </c>
      <c r="D543" s="8" t="str">
        <f>IFERROR(INDEX(Работы!$B$2:$B$6000,MATCH($C543,Работы!$A$2:$A$6000,0)),"")</f>
        <v>Монтаж радиатора отопления</v>
      </c>
      <c r="E543" t="str">
        <f>IFERROR(INDEX(Работы!$C$2:$C$6000,MATCH($C543,Работы!$A$2:$A$6000,0)),"")</f>
        <v>шт.</v>
      </c>
      <c r="F543" t="str">
        <f>IFERROR(INDEX(Работы!$G$2:$G$6000,MATCH($C543,Работы!$A$2:$A$6000,0)),"")</f>
        <v>РАД</v>
      </c>
      <c r="G543" t="str">
        <f>IFERROR(INDEX(Работы!$K$2:$K$6000,MATCH($C543,Работы!$A$2:$A$6000,0)),"")</f>
        <v>Спецификация</v>
      </c>
      <c r="H543" s="9"/>
      <c r="I543" s="9"/>
      <c r="J543" s="8" t="str">
        <f>IFERROR(INDEX(Материалы!$B$2:$B$9000,MATCH($I543,Материалы!$A$2:$A$9000,0)),"")</f>
        <v/>
      </c>
      <c r="K543" t="str">
        <f>IF($I543="","",IF($F543=IFERROR(INDEX(Материалы!$G$2:$G$9000,MATCH($I543,Материалы!$A$2:$A$9000,0)),""),"OK","!! не та группа"))</f>
        <v/>
      </c>
      <c r="L543" s="10">
        <f>IFERROR(INDEX(Работы!$H$2:$H$6000,MATCH($C543,Работы!$A$2:$A$6000,0))*(1-ДисконтТендер),0)</f>
        <v>5172.75</v>
      </c>
      <c r="M543" s="10">
        <f>IF($I543="",0,IFERROR(INDEX(Материалы!$I$2:$I$9000,MATCH($I543,Материалы!$A$2:$A$9000,0))*IF(INDEX(Материалы!$J$2:$J$9000,MATCH($I543,Материалы!$A$2:$A$9000,0))="USD",КурсUSD,IF(INDEX(Материалы!$J$2:$J$9000,MATCH($I543,Материалы!$A$2:$A$9000,0))="EUR",КурсEUR,1))*INDEX(Материалы!$K$2:$K$9000,MATCH($I543,Материалы!$A$2:$A$9000,0))*(1+IFERROR(INDEX(Работы!$I$2:$I$6000,MATCH($C543,Работы!$A$2:$A$6000,0))/100,0))*(1-ДисконтТендер),0))</f>
        <v>0</v>
      </c>
      <c r="N543" s="10">
        <f t="shared" si="24"/>
        <v>0</v>
      </c>
      <c r="O543" s="10">
        <f t="shared" si="25"/>
        <v>0</v>
      </c>
      <c r="P543" s="10">
        <f t="shared" si="26"/>
        <v>0</v>
      </c>
      <c r="Q543" t="str">
        <f>IFERROR(INDEX(Работы!$J$2:$J$6000,MATCH($C543,Работы!$A$2:$A$6000,0)),"")</f>
        <v>типовая</v>
      </c>
      <c r="R543" t="s">
        <v>92</v>
      </c>
      <c r="T543" t="str">
        <f>IF(AND($P543&gt;0,$R543="да"),MAX($T$1:$T542)+1,"")</f>
        <v/>
      </c>
    </row>
    <row r="544" spans="1:20" x14ac:dyDescent="0.3">
      <c r="A544" t="str">
        <f>IFERROR(INDEX(Работы!$D$2:$D$6000,MATCH($C544,Работы!$A$2:$A$6000,0)),"")</f>
        <v>Р6</v>
      </c>
      <c r="B544" t="str">
        <f>IFERROR(INDEX(Работы!$F$2:$F$6000,MATCH($C544,Работы!$A$2:$A$6000,0)),"")</f>
        <v>1</v>
      </c>
      <c r="C544" t="str">
        <f>IFERROR(INDEX(Работы!$A$2:$A$6000,543),"")</f>
        <v>РАБ.Р6.1.015</v>
      </c>
      <c r="D544" s="8" t="str">
        <f>IFERROR(INDEX(Работы!$B$2:$B$6000,MATCH($C544,Работы!$A$2:$A$6000,0)),"")</f>
        <v>Монтаж радиатора отопления</v>
      </c>
      <c r="E544" t="str">
        <f>IFERROR(INDEX(Работы!$C$2:$C$6000,MATCH($C544,Работы!$A$2:$A$6000,0)),"")</f>
        <v>шт.</v>
      </c>
      <c r="F544" t="str">
        <f>IFERROR(INDEX(Работы!$G$2:$G$6000,MATCH($C544,Работы!$A$2:$A$6000,0)),"")</f>
        <v>РАД</v>
      </c>
      <c r="G544" t="str">
        <f>IFERROR(INDEX(Работы!$K$2:$K$6000,MATCH($C544,Работы!$A$2:$A$6000,0)),"")</f>
        <v>Спецификация</v>
      </c>
      <c r="H544" s="9"/>
      <c r="I544" s="9"/>
      <c r="J544" s="8" t="str">
        <f>IFERROR(INDEX(Материалы!$B$2:$B$9000,MATCH($I544,Материалы!$A$2:$A$9000,0)),"")</f>
        <v/>
      </c>
      <c r="K544" t="str">
        <f>IF($I544="","",IF($F544=IFERROR(INDEX(Материалы!$G$2:$G$9000,MATCH($I544,Материалы!$A$2:$A$9000,0)),""),"OK","!! не та группа"))</f>
        <v/>
      </c>
      <c r="L544" s="10">
        <f>IFERROR(INDEX(Работы!$H$2:$H$6000,MATCH($C544,Работы!$A$2:$A$6000,0))*(1-ДисконтТендер),0)</f>
        <v>5643</v>
      </c>
      <c r="M544" s="10">
        <f>IF($I544="",0,IFERROR(INDEX(Материалы!$I$2:$I$9000,MATCH($I544,Материалы!$A$2:$A$9000,0))*IF(INDEX(Материалы!$J$2:$J$9000,MATCH($I544,Материалы!$A$2:$A$9000,0))="USD",КурсUSD,IF(INDEX(Материалы!$J$2:$J$9000,MATCH($I544,Материалы!$A$2:$A$9000,0))="EUR",КурсEUR,1))*INDEX(Материалы!$K$2:$K$9000,MATCH($I544,Материалы!$A$2:$A$9000,0))*(1+IFERROR(INDEX(Работы!$I$2:$I$6000,MATCH($C544,Работы!$A$2:$A$6000,0))/100,0))*(1-ДисконтТендер),0))</f>
        <v>0</v>
      </c>
      <c r="N544" s="10">
        <f t="shared" si="24"/>
        <v>0</v>
      </c>
      <c r="O544" s="10">
        <f t="shared" si="25"/>
        <v>0</v>
      </c>
      <c r="P544" s="10">
        <f t="shared" si="26"/>
        <v>0</v>
      </c>
      <c r="Q544" t="str">
        <f>IFERROR(INDEX(Работы!$J$2:$J$6000,MATCH($C544,Работы!$A$2:$A$6000,0)),"")</f>
        <v>типовая</v>
      </c>
      <c r="R544" t="s">
        <v>92</v>
      </c>
      <c r="T544" t="str">
        <f>IF(AND($P544&gt;0,$R544="да"),MAX($T$1:$T543)+1,"")</f>
        <v/>
      </c>
    </row>
    <row r="545" spans="1:20" x14ac:dyDescent="0.3">
      <c r="A545" t="str">
        <f>IFERROR(INDEX(Работы!$D$2:$D$6000,MATCH($C545,Работы!$A$2:$A$6000,0)),"")</f>
        <v>Р6</v>
      </c>
      <c r="B545" t="str">
        <f>IFERROR(INDEX(Работы!$F$2:$F$6000,MATCH($C545,Работы!$A$2:$A$6000,0)),"")</f>
        <v>1</v>
      </c>
      <c r="C545" t="str">
        <f>IFERROR(INDEX(Работы!$A$2:$A$6000,544),"")</f>
        <v>РАБ.Р6.1.016</v>
      </c>
      <c r="D545" s="8" t="str">
        <f>IFERROR(INDEX(Работы!$B$2:$B$6000,MATCH($C545,Работы!$A$2:$A$6000,0)),"")</f>
        <v>Монтаж радиатора отопления</v>
      </c>
      <c r="E545" t="str">
        <f>IFERROR(INDEX(Работы!$C$2:$C$6000,MATCH($C545,Работы!$A$2:$A$6000,0)),"")</f>
        <v>шт.</v>
      </c>
      <c r="F545" t="str">
        <f>IFERROR(INDEX(Работы!$G$2:$G$6000,MATCH($C545,Работы!$A$2:$A$6000,0)),"")</f>
        <v>РАД</v>
      </c>
      <c r="G545" t="str">
        <f>IFERROR(INDEX(Работы!$K$2:$K$6000,MATCH($C545,Работы!$A$2:$A$6000,0)),"")</f>
        <v>Спецификация</v>
      </c>
      <c r="H545" s="9"/>
      <c r="I545" s="9"/>
      <c r="J545" s="8" t="str">
        <f>IFERROR(INDEX(Материалы!$B$2:$B$9000,MATCH($I545,Материалы!$A$2:$A$9000,0)),"")</f>
        <v/>
      </c>
      <c r="K545" t="str">
        <f>IF($I545="","",IF($F545=IFERROR(INDEX(Материалы!$G$2:$G$9000,MATCH($I545,Материалы!$A$2:$A$9000,0)),""),"OK","!! не та группа"))</f>
        <v/>
      </c>
      <c r="L545" s="10">
        <f>IFERROR(INDEX(Работы!$H$2:$H$6000,MATCH($C545,Работы!$A$2:$A$6000,0))*(1-ДисконтТендер),0)</f>
        <v>6113.25</v>
      </c>
      <c r="M545" s="10">
        <f>IF($I545="",0,IFERROR(INDEX(Материалы!$I$2:$I$9000,MATCH($I545,Материалы!$A$2:$A$9000,0))*IF(INDEX(Материалы!$J$2:$J$9000,MATCH($I545,Материалы!$A$2:$A$9000,0))="USD",КурсUSD,IF(INDEX(Материалы!$J$2:$J$9000,MATCH($I545,Материалы!$A$2:$A$9000,0))="EUR",КурсEUR,1))*INDEX(Материалы!$K$2:$K$9000,MATCH($I545,Материалы!$A$2:$A$9000,0))*(1+IFERROR(INDEX(Работы!$I$2:$I$6000,MATCH($C545,Работы!$A$2:$A$6000,0))/100,0))*(1-ДисконтТендер),0))</f>
        <v>0</v>
      </c>
      <c r="N545" s="10">
        <f t="shared" si="24"/>
        <v>0</v>
      </c>
      <c r="O545" s="10">
        <f t="shared" si="25"/>
        <v>0</v>
      </c>
      <c r="P545" s="10">
        <f t="shared" si="26"/>
        <v>0</v>
      </c>
      <c r="Q545" t="str">
        <f>IFERROR(INDEX(Работы!$J$2:$J$6000,MATCH($C545,Работы!$A$2:$A$6000,0)),"")</f>
        <v>типовая</v>
      </c>
      <c r="R545" t="s">
        <v>92</v>
      </c>
      <c r="T545" t="str">
        <f>IF(AND($P545&gt;0,$R545="да"),MAX($T$1:$T544)+1,"")</f>
        <v/>
      </c>
    </row>
    <row r="546" spans="1:20" x14ac:dyDescent="0.3">
      <c r="A546" t="str">
        <f>IFERROR(INDEX(Работы!$D$2:$D$6000,MATCH($C546,Работы!$A$2:$A$6000,0)),"")</f>
        <v>Р6</v>
      </c>
      <c r="B546" t="str">
        <f>IFERROR(INDEX(Работы!$F$2:$F$6000,MATCH($C546,Работы!$A$2:$A$6000,0)),"")</f>
        <v>1</v>
      </c>
      <c r="C546" t="str">
        <f>IFERROR(INDEX(Работы!$A$2:$A$6000,545),"")</f>
        <v>РАБ.Р6.1.017</v>
      </c>
      <c r="D546" s="8" t="str">
        <f>IFERROR(INDEX(Работы!$B$2:$B$6000,MATCH($C546,Работы!$A$2:$A$6000,0)),"")</f>
        <v>Монтаж радиатора отопления</v>
      </c>
      <c r="E546" t="str">
        <f>IFERROR(INDEX(Работы!$C$2:$C$6000,MATCH($C546,Работы!$A$2:$A$6000,0)),"")</f>
        <v>шт.</v>
      </c>
      <c r="F546" t="str">
        <f>IFERROR(INDEX(Работы!$G$2:$G$6000,MATCH($C546,Работы!$A$2:$A$6000,0)),"")</f>
        <v>РАД</v>
      </c>
      <c r="G546" t="str">
        <f>IFERROR(INDEX(Работы!$K$2:$K$6000,MATCH($C546,Работы!$A$2:$A$6000,0)),"")</f>
        <v>Спецификация</v>
      </c>
      <c r="H546" s="9"/>
      <c r="I546" s="9"/>
      <c r="J546" s="8" t="str">
        <f>IFERROR(INDEX(Материалы!$B$2:$B$9000,MATCH($I546,Материалы!$A$2:$A$9000,0)),"")</f>
        <v/>
      </c>
      <c r="K546" t="str">
        <f>IF($I546="","",IF($F546=IFERROR(INDEX(Материалы!$G$2:$G$9000,MATCH($I546,Материалы!$A$2:$A$9000,0)),""),"OK","!! не та группа"))</f>
        <v/>
      </c>
      <c r="L546" s="10">
        <f>IFERROR(INDEX(Работы!$H$2:$H$6000,MATCH($C546,Работы!$A$2:$A$6000,0))*(1-ДисконтТендер),0)</f>
        <v>6583.5</v>
      </c>
      <c r="M546" s="10">
        <f>IF($I546="",0,IFERROR(INDEX(Материалы!$I$2:$I$9000,MATCH($I546,Материалы!$A$2:$A$9000,0))*IF(INDEX(Материалы!$J$2:$J$9000,MATCH($I546,Материалы!$A$2:$A$9000,0))="USD",КурсUSD,IF(INDEX(Материалы!$J$2:$J$9000,MATCH($I546,Материалы!$A$2:$A$9000,0))="EUR",КурсEUR,1))*INDEX(Материалы!$K$2:$K$9000,MATCH($I546,Материалы!$A$2:$A$9000,0))*(1+IFERROR(INDEX(Работы!$I$2:$I$6000,MATCH($C546,Работы!$A$2:$A$6000,0))/100,0))*(1-ДисконтТендер),0))</f>
        <v>0</v>
      </c>
      <c r="N546" s="10">
        <f t="shared" si="24"/>
        <v>0</v>
      </c>
      <c r="O546" s="10">
        <f t="shared" si="25"/>
        <v>0</v>
      </c>
      <c r="P546" s="10">
        <f t="shared" si="26"/>
        <v>0</v>
      </c>
      <c r="Q546" t="str">
        <f>IFERROR(INDEX(Работы!$J$2:$J$6000,MATCH($C546,Работы!$A$2:$A$6000,0)),"")</f>
        <v>типовая</v>
      </c>
      <c r="R546" t="s">
        <v>92</v>
      </c>
      <c r="T546" t="str">
        <f>IF(AND($P546&gt;0,$R546="да"),MAX($T$1:$T545)+1,"")</f>
        <v/>
      </c>
    </row>
    <row r="547" spans="1:20" ht="28.8" x14ac:dyDescent="0.3">
      <c r="A547" t="str">
        <f>IFERROR(INDEX(Работы!$D$2:$D$6000,MATCH($C547,Работы!$A$2:$A$6000,0)),"")</f>
        <v>Р6</v>
      </c>
      <c r="B547" t="str">
        <f>IFERROR(INDEX(Работы!$F$2:$F$6000,MATCH($C547,Работы!$A$2:$A$6000,0)),"")</f>
        <v>1</v>
      </c>
      <c r="C547" t="str">
        <f>IFERROR(INDEX(Работы!$A$2:$A$6000,546),"")</f>
        <v>РАБ.Р6.1.018</v>
      </c>
      <c r="D547" s="8" t="str">
        <f>IFERROR(INDEX(Работы!$B$2:$B$6000,MATCH($C547,Работы!$A$2:$A$6000,0)),"")</f>
        <v>Циркуляционный насос VALTEC 25-60 (VRS.256.13.0) DN25</v>
      </c>
      <c r="E547" t="str">
        <f>IFERROR(INDEX(Работы!$C$2:$C$6000,MATCH($C547,Работы!$A$2:$A$6000,0)),"")</f>
        <v>шт.</v>
      </c>
      <c r="F547">
        <f>IFERROR(INDEX(Работы!$G$2:$G$6000,MATCH($C547,Работы!$A$2:$A$6000,0)),"")</f>
        <v>0</v>
      </c>
      <c r="G547" t="str">
        <f>IFERROR(INDEX(Работы!$K$2:$K$6000,MATCH($C547,Работы!$A$2:$A$6000,0)),"")</f>
        <v>Спецификация</v>
      </c>
      <c r="H547" s="9"/>
      <c r="I547" s="9"/>
      <c r="J547" s="8" t="str">
        <f>IFERROR(INDEX(Материалы!$B$2:$B$9000,MATCH($I547,Материалы!$A$2:$A$9000,0)),"")</f>
        <v/>
      </c>
      <c r="K547" t="str">
        <f>IF($I547="","",IF($F547=IFERROR(INDEX(Материалы!$G$2:$G$9000,MATCH($I547,Материалы!$A$2:$A$9000,0)),""),"OK","!! не та группа"))</f>
        <v/>
      </c>
      <c r="L547" s="10">
        <f>IFERROR(INDEX(Работы!$H$2:$H$6000,MATCH($C547,Работы!$A$2:$A$6000,0))*(1-ДисконтТендер),0)</f>
        <v>3175.5</v>
      </c>
      <c r="M547" s="10">
        <f>IF($I547="",0,IFERROR(INDEX(Материалы!$I$2:$I$9000,MATCH($I547,Материалы!$A$2:$A$9000,0))*IF(INDEX(Материалы!$J$2:$J$9000,MATCH($I547,Материалы!$A$2:$A$9000,0))="USD",КурсUSD,IF(INDEX(Материалы!$J$2:$J$9000,MATCH($I547,Материалы!$A$2:$A$9000,0))="EUR",КурсEUR,1))*INDEX(Материалы!$K$2:$K$9000,MATCH($I547,Материалы!$A$2:$A$9000,0))*(1+IFERROR(INDEX(Работы!$I$2:$I$6000,MATCH($C547,Работы!$A$2:$A$6000,0))/100,0))*(1-ДисконтТендер),0))</f>
        <v>0</v>
      </c>
      <c r="N547" s="10">
        <f t="shared" si="24"/>
        <v>0</v>
      </c>
      <c r="O547" s="10">
        <f t="shared" si="25"/>
        <v>0</v>
      </c>
      <c r="P547" s="10">
        <f t="shared" si="26"/>
        <v>0</v>
      </c>
      <c r="Q547" t="str">
        <f>IFERROR(INDEX(Работы!$J$2:$J$6000,MATCH($C547,Работы!$A$2:$A$6000,0)),"")</f>
        <v>типовая</v>
      </c>
      <c r="R547" t="s">
        <v>92</v>
      </c>
      <c r="T547" t="str">
        <f>IF(AND($P547&gt;0,$R547="да"),MAX($T$1:$T546)+1,"")</f>
        <v/>
      </c>
    </row>
    <row r="548" spans="1:20" x14ac:dyDescent="0.3">
      <c r="A548" t="str">
        <f>IFERROR(INDEX(Работы!$D$2:$D$6000,MATCH($C548,Работы!$A$2:$A$6000,0)),"")</f>
        <v>Р6</v>
      </c>
      <c r="B548" t="str">
        <f>IFERROR(INDEX(Работы!$F$2:$F$6000,MATCH($C548,Работы!$A$2:$A$6000,0)),"")</f>
        <v>1</v>
      </c>
      <c r="C548" t="str">
        <f>IFERROR(INDEX(Работы!$A$2:$A$6000,547),"")</f>
        <v>РАБ.Р6.1.019</v>
      </c>
      <c r="D548" s="8" t="str">
        <f>IFERROR(INDEX(Работы!$B$2:$B$6000,MATCH($C548,Работы!$A$2:$A$6000,0)),"")</f>
        <v>Монтаж радиатора отопления</v>
      </c>
      <c r="E548" t="str">
        <f>IFERROR(INDEX(Работы!$C$2:$C$6000,MATCH($C548,Работы!$A$2:$A$6000,0)),"")</f>
        <v>шт.</v>
      </c>
      <c r="F548" t="str">
        <f>IFERROR(INDEX(Работы!$G$2:$G$6000,MATCH($C548,Работы!$A$2:$A$6000,0)),"")</f>
        <v>РАД</v>
      </c>
      <c r="G548" t="str">
        <f>IFERROR(INDEX(Работы!$K$2:$K$6000,MATCH($C548,Работы!$A$2:$A$6000,0)),"")</f>
        <v>Спецификация</v>
      </c>
      <c r="H548" s="9"/>
      <c r="I548" s="9"/>
      <c r="J548" s="8" t="str">
        <f>IFERROR(INDEX(Материалы!$B$2:$B$9000,MATCH($I548,Материалы!$A$2:$A$9000,0)),"")</f>
        <v/>
      </c>
      <c r="K548" t="str">
        <f>IF($I548="","",IF($F548=IFERROR(INDEX(Материалы!$G$2:$G$9000,MATCH($I548,Материалы!$A$2:$A$9000,0)),""),"OK","!! не та группа"))</f>
        <v/>
      </c>
      <c r="L548" s="10">
        <f>IFERROR(INDEX(Работы!$H$2:$H$6000,MATCH($C548,Работы!$A$2:$A$6000,0))*(1-ДисконтТендер),0)</f>
        <v>3328.29</v>
      </c>
      <c r="M548" s="10">
        <f>IF($I548="",0,IFERROR(INDEX(Материалы!$I$2:$I$9000,MATCH($I548,Материалы!$A$2:$A$9000,0))*IF(INDEX(Материалы!$J$2:$J$9000,MATCH($I548,Материалы!$A$2:$A$9000,0))="USD",КурсUSD,IF(INDEX(Материалы!$J$2:$J$9000,MATCH($I548,Материалы!$A$2:$A$9000,0))="EUR",КурсEUR,1))*INDEX(Материалы!$K$2:$K$9000,MATCH($I548,Материалы!$A$2:$A$9000,0))*(1+IFERROR(INDEX(Работы!$I$2:$I$6000,MATCH($C548,Работы!$A$2:$A$6000,0))/100,0))*(1-ДисконтТендер),0))</f>
        <v>0</v>
      </c>
      <c r="N548" s="10">
        <f t="shared" si="24"/>
        <v>0</v>
      </c>
      <c r="O548" s="10">
        <f t="shared" si="25"/>
        <v>0</v>
      </c>
      <c r="P548" s="10">
        <f t="shared" si="26"/>
        <v>0</v>
      </c>
      <c r="Q548" t="str">
        <f>IFERROR(INDEX(Работы!$J$2:$J$6000,MATCH($C548,Работы!$A$2:$A$6000,0)),"")</f>
        <v>типовая</v>
      </c>
      <c r="R548" t="s">
        <v>92</v>
      </c>
      <c r="T548" t="str">
        <f>IF(AND($P548&gt;0,$R548="да"),MAX($T$1:$T547)+1,"")</f>
        <v/>
      </c>
    </row>
    <row r="549" spans="1:20" x14ac:dyDescent="0.3">
      <c r="A549" t="str">
        <f>IFERROR(INDEX(Работы!$D$2:$D$6000,MATCH($C549,Работы!$A$2:$A$6000,0)),"")</f>
        <v>Р6</v>
      </c>
      <c r="B549" t="str">
        <f>IFERROR(INDEX(Работы!$F$2:$F$6000,MATCH($C549,Работы!$A$2:$A$6000,0)),"")</f>
        <v>1</v>
      </c>
      <c r="C549" t="str">
        <f>IFERROR(INDEX(Работы!$A$2:$A$6000,548),"")</f>
        <v>РАБ.Р6.1.020</v>
      </c>
      <c r="D549" s="8" t="str">
        <f>IFERROR(INDEX(Работы!$B$2:$B$6000,MATCH($C549,Работы!$A$2:$A$6000,0)),"")</f>
        <v>Монтаж радиатора отопления</v>
      </c>
      <c r="E549" t="str">
        <f>IFERROR(INDEX(Работы!$C$2:$C$6000,MATCH($C549,Работы!$A$2:$A$6000,0)),"")</f>
        <v>шт.</v>
      </c>
      <c r="F549" t="str">
        <f>IFERROR(INDEX(Работы!$G$2:$G$6000,MATCH($C549,Работы!$A$2:$A$6000,0)),"")</f>
        <v>РАД</v>
      </c>
      <c r="G549" t="str">
        <f>IFERROR(INDEX(Работы!$K$2:$K$6000,MATCH($C549,Работы!$A$2:$A$6000,0)),"")</f>
        <v>Спецификация</v>
      </c>
      <c r="H549" s="9"/>
      <c r="I549" s="9"/>
      <c r="J549" s="8" t="str">
        <f>IFERROR(INDEX(Материалы!$B$2:$B$9000,MATCH($I549,Материалы!$A$2:$A$9000,0)),"")</f>
        <v/>
      </c>
      <c r="K549" t="str">
        <f>IF($I549="","",IF($F549=IFERROR(INDEX(Материалы!$G$2:$G$9000,MATCH($I549,Материалы!$A$2:$A$9000,0)),""),"OK","!! не та группа"))</f>
        <v/>
      </c>
      <c r="L549" s="10">
        <f>IFERROR(INDEX(Работы!$H$2:$H$6000,MATCH($C549,Работы!$A$2:$A$6000,0))*(1-ДисконтТендер),0)</f>
        <v>3439.08</v>
      </c>
      <c r="M549" s="10">
        <f>IF($I549="",0,IFERROR(INDEX(Материалы!$I$2:$I$9000,MATCH($I549,Материалы!$A$2:$A$9000,0))*IF(INDEX(Материалы!$J$2:$J$9000,MATCH($I549,Материалы!$A$2:$A$9000,0))="USD",КурсUSD,IF(INDEX(Материалы!$J$2:$J$9000,MATCH($I549,Материалы!$A$2:$A$9000,0))="EUR",КурсEUR,1))*INDEX(Материалы!$K$2:$K$9000,MATCH($I549,Материалы!$A$2:$A$9000,0))*(1+IFERROR(INDEX(Работы!$I$2:$I$6000,MATCH($C549,Работы!$A$2:$A$6000,0))/100,0))*(1-ДисконтТендер),0))</f>
        <v>0</v>
      </c>
      <c r="N549" s="10">
        <f t="shared" si="24"/>
        <v>0</v>
      </c>
      <c r="O549" s="10">
        <f t="shared" si="25"/>
        <v>0</v>
      </c>
      <c r="P549" s="10">
        <f t="shared" si="26"/>
        <v>0</v>
      </c>
      <c r="Q549" t="str">
        <f>IFERROR(INDEX(Работы!$J$2:$J$6000,MATCH($C549,Работы!$A$2:$A$6000,0)),"")</f>
        <v>типовая</v>
      </c>
      <c r="R549" t="s">
        <v>92</v>
      </c>
      <c r="T549" t="str">
        <f>IF(AND($P549&gt;0,$R549="да"),MAX($T$1:$T548)+1,"")</f>
        <v/>
      </c>
    </row>
    <row r="550" spans="1:20" x14ac:dyDescent="0.3">
      <c r="A550" t="str">
        <f>IFERROR(INDEX(Работы!$D$2:$D$6000,MATCH($C550,Работы!$A$2:$A$6000,0)),"")</f>
        <v>Р6</v>
      </c>
      <c r="B550" t="str">
        <f>IFERROR(INDEX(Работы!$F$2:$F$6000,MATCH($C550,Работы!$A$2:$A$6000,0)),"")</f>
        <v>1</v>
      </c>
      <c r="C550" t="str">
        <f>IFERROR(INDEX(Работы!$A$2:$A$6000,549),"")</f>
        <v>РАБ.Р6.1.021</v>
      </c>
      <c r="D550" s="8" t="str">
        <f>IFERROR(INDEX(Работы!$B$2:$B$6000,MATCH($C550,Работы!$A$2:$A$6000,0)),"")</f>
        <v>Монтаж радиатора отопления</v>
      </c>
      <c r="E550" t="str">
        <f>IFERROR(INDEX(Работы!$C$2:$C$6000,MATCH($C550,Работы!$A$2:$A$6000,0)),"")</f>
        <v>шт.</v>
      </c>
      <c r="F550" t="str">
        <f>IFERROR(INDEX(Работы!$G$2:$G$6000,MATCH($C550,Работы!$A$2:$A$6000,0)),"")</f>
        <v>РАД</v>
      </c>
      <c r="G550" t="str">
        <f>IFERROR(INDEX(Работы!$K$2:$K$6000,MATCH($C550,Работы!$A$2:$A$6000,0)),"")</f>
        <v>Спецификация</v>
      </c>
      <c r="H550" s="9"/>
      <c r="I550" s="9"/>
      <c r="J550" s="8" t="str">
        <f>IFERROR(INDEX(Материалы!$B$2:$B$9000,MATCH($I550,Материалы!$A$2:$A$9000,0)),"")</f>
        <v/>
      </c>
      <c r="K550" t="str">
        <f>IF($I550="","",IF($F550=IFERROR(INDEX(Материалы!$G$2:$G$9000,MATCH($I550,Материалы!$A$2:$A$9000,0)),""),"OK","!! не та группа"))</f>
        <v/>
      </c>
      <c r="L550" s="10">
        <f>IFERROR(INDEX(Работы!$H$2:$H$6000,MATCH($C550,Работы!$A$2:$A$6000,0))*(1-ДисконтТендер),0)</f>
        <v>3463.69</v>
      </c>
      <c r="M550" s="10">
        <f>IF($I550="",0,IFERROR(INDEX(Материалы!$I$2:$I$9000,MATCH($I550,Материалы!$A$2:$A$9000,0))*IF(INDEX(Материалы!$J$2:$J$9000,MATCH($I550,Материалы!$A$2:$A$9000,0))="USD",КурсUSD,IF(INDEX(Материалы!$J$2:$J$9000,MATCH($I550,Материалы!$A$2:$A$9000,0))="EUR",КурсEUR,1))*INDEX(Материалы!$K$2:$K$9000,MATCH($I550,Материалы!$A$2:$A$9000,0))*(1+IFERROR(INDEX(Работы!$I$2:$I$6000,MATCH($C550,Работы!$A$2:$A$6000,0))/100,0))*(1-ДисконтТендер),0))</f>
        <v>0</v>
      </c>
      <c r="N550" s="10">
        <f t="shared" si="24"/>
        <v>0</v>
      </c>
      <c r="O550" s="10">
        <f t="shared" si="25"/>
        <v>0</v>
      </c>
      <c r="P550" s="10">
        <f t="shared" si="26"/>
        <v>0</v>
      </c>
      <c r="Q550" t="str">
        <f>IFERROR(INDEX(Работы!$J$2:$J$6000,MATCH($C550,Работы!$A$2:$A$6000,0)),"")</f>
        <v>типовая</v>
      </c>
      <c r="R550" t="s">
        <v>92</v>
      </c>
      <c r="T550" t="str">
        <f>IF(AND($P550&gt;0,$R550="да"),MAX($T$1:$T549)+1,"")</f>
        <v/>
      </c>
    </row>
    <row r="551" spans="1:20" ht="28.8" x14ac:dyDescent="0.3">
      <c r="A551" t="str">
        <f>IFERROR(INDEX(Работы!$D$2:$D$6000,MATCH($C551,Работы!$A$2:$A$6000,0)),"")</f>
        <v>Р6</v>
      </c>
      <c r="B551" t="str">
        <f>IFERROR(INDEX(Работы!$F$2:$F$6000,MATCH($C551,Работы!$A$2:$A$6000,0)),"")</f>
        <v>1</v>
      </c>
      <c r="C551" t="str">
        <f>IFERROR(INDEX(Работы!$A$2:$A$6000,550),"")</f>
        <v>РАБ.Р6.1.022</v>
      </c>
      <c r="D551" s="8" t="str">
        <f>IFERROR(INDEX(Работы!$B$2:$B$6000,MATCH($C551,Работы!$A$2:$A$6000,0)),"")</f>
        <v>Конвектор электрический Ballu с электронным термостатом 500 Вт</v>
      </c>
      <c r="E551" t="str">
        <f>IFERROR(INDEX(Работы!$C$2:$C$6000,MATCH($C551,Работы!$A$2:$A$6000,0)),"")</f>
        <v>шт.</v>
      </c>
      <c r="F551" t="str">
        <f>IFERROR(INDEX(Работы!$G$2:$G$6000,MATCH($C551,Работы!$A$2:$A$6000,0)),"")</f>
        <v>РАД</v>
      </c>
      <c r="G551" t="str">
        <f>IFERROR(INDEX(Работы!$K$2:$K$6000,MATCH($C551,Работы!$A$2:$A$6000,0)),"")</f>
        <v>Спецификация</v>
      </c>
      <c r="H551" s="9"/>
      <c r="I551" s="9"/>
      <c r="J551" s="8" t="str">
        <f>IFERROR(INDEX(Материалы!$B$2:$B$9000,MATCH($I551,Материалы!$A$2:$A$9000,0)),"")</f>
        <v/>
      </c>
      <c r="K551" t="str">
        <f>IF($I551="","",IF($F551=IFERROR(INDEX(Материалы!$G$2:$G$9000,MATCH($I551,Материалы!$A$2:$A$9000,0)),""),"OK","!! не та группа"))</f>
        <v/>
      </c>
      <c r="L551" s="10">
        <f>IFERROR(INDEX(Работы!$H$2:$H$6000,MATCH($C551,Работы!$A$2:$A$6000,0))*(1-ДисконтТендер),0)</f>
        <v>1874.2</v>
      </c>
      <c r="M551" s="10">
        <f>IF($I551="",0,IFERROR(INDEX(Материалы!$I$2:$I$9000,MATCH($I551,Материалы!$A$2:$A$9000,0))*IF(INDEX(Материалы!$J$2:$J$9000,MATCH($I551,Материалы!$A$2:$A$9000,0))="USD",КурсUSD,IF(INDEX(Материалы!$J$2:$J$9000,MATCH($I551,Материалы!$A$2:$A$9000,0))="EUR",КурсEUR,1))*INDEX(Материалы!$K$2:$K$9000,MATCH($I551,Материалы!$A$2:$A$9000,0))*(1+IFERROR(INDEX(Работы!$I$2:$I$6000,MATCH($C551,Работы!$A$2:$A$6000,0))/100,0))*(1-ДисконтТендер),0))</f>
        <v>0</v>
      </c>
      <c r="N551" s="10">
        <f t="shared" si="24"/>
        <v>0</v>
      </c>
      <c r="O551" s="10">
        <f t="shared" si="25"/>
        <v>0</v>
      </c>
      <c r="P551" s="10">
        <f t="shared" si="26"/>
        <v>0</v>
      </c>
      <c r="Q551" t="str">
        <f>IFERROR(INDEX(Работы!$J$2:$J$6000,MATCH($C551,Работы!$A$2:$A$6000,0)),"")</f>
        <v>типовая</v>
      </c>
      <c r="R551" t="s">
        <v>92</v>
      </c>
      <c r="T551" t="str">
        <f>IF(AND($P551&gt;0,$R551="да"),MAX($T$1:$T550)+1,"")</f>
        <v/>
      </c>
    </row>
    <row r="552" spans="1:20" ht="28.8" x14ac:dyDescent="0.3">
      <c r="A552" t="str">
        <f>IFERROR(INDEX(Работы!$D$2:$D$6000,MATCH($C552,Работы!$A$2:$A$6000,0)),"")</f>
        <v>Р6</v>
      </c>
      <c r="B552" t="str">
        <f>IFERROR(INDEX(Работы!$F$2:$F$6000,MATCH($C552,Работы!$A$2:$A$6000,0)),"")</f>
        <v>1</v>
      </c>
      <c r="C552" t="str">
        <f>IFERROR(INDEX(Работы!$A$2:$A$6000,551),"")</f>
        <v>РАБ.Р6.1.023</v>
      </c>
      <c r="D552" s="8" t="str">
        <f>IFERROR(INDEX(Работы!$B$2:$B$6000,MATCH($C552,Работы!$A$2:$A$6000,0)),"")</f>
        <v>Электрический Обогреватель ТеплЭко. (указать типоразмер)</v>
      </c>
      <c r="E552" t="str">
        <f>IFERROR(INDEX(Работы!$C$2:$C$6000,MATCH($C552,Работы!$A$2:$A$6000,0)),"")</f>
        <v>шт.</v>
      </c>
      <c r="F552">
        <f>IFERROR(INDEX(Работы!$G$2:$G$6000,MATCH($C552,Работы!$A$2:$A$6000,0)),"")</f>
        <v>0</v>
      </c>
      <c r="G552" t="str">
        <f>IFERROR(INDEX(Работы!$K$2:$K$6000,MATCH($C552,Работы!$A$2:$A$6000,0)),"")</f>
        <v>Спецификация</v>
      </c>
      <c r="H552" s="9"/>
      <c r="I552" s="9"/>
      <c r="J552" s="8" t="str">
        <f>IFERROR(INDEX(Материалы!$B$2:$B$9000,MATCH($I552,Материалы!$A$2:$A$9000,0)),"")</f>
        <v/>
      </c>
      <c r="K552" t="str">
        <f>IF($I552="","",IF($F552=IFERROR(INDEX(Материалы!$G$2:$G$9000,MATCH($I552,Материалы!$A$2:$A$9000,0)),""),"OK","!! не та группа"))</f>
        <v/>
      </c>
      <c r="L552" s="10">
        <f>IFERROR(INDEX(Работы!$H$2:$H$6000,MATCH($C552,Работы!$A$2:$A$6000,0))*(1-ДисконтТендер),0)</f>
        <v>130.5</v>
      </c>
      <c r="M552" s="10">
        <f>IF($I552="",0,IFERROR(INDEX(Материалы!$I$2:$I$9000,MATCH($I552,Материалы!$A$2:$A$9000,0))*IF(INDEX(Материалы!$J$2:$J$9000,MATCH($I552,Материалы!$A$2:$A$9000,0))="USD",КурсUSD,IF(INDEX(Материалы!$J$2:$J$9000,MATCH($I552,Материалы!$A$2:$A$9000,0))="EUR",КурсEUR,1))*INDEX(Материалы!$K$2:$K$9000,MATCH($I552,Материалы!$A$2:$A$9000,0))*(1+IFERROR(INDEX(Работы!$I$2:$I$6000,MATCH($C552,Работы!$A$2:$A$6000,0))/100,0))*(1-ДисконтТендер),0))</f>
        <v>0</v>
      </c>
      <c r="N552" s="10">
        <f t="shared" si="24"/>
        <v>0</v>
      </c>
      <c r="O552" s="10">
        <f t="shared" si="25"/>
        <v>0</v>
      </c>
      <c r="P552" s="10">
        <f t="shared" si="26"/>
        <v>0</v>
      </c>
      <c r="Q552" t="str">
        <f>IFERROR(INDEX(Работы!$J$2:$J$6000,MATCH($C552,Работы!$A$2:$A$6000,0)),"")</f>
        <v>типовая</v>
      </c>
      <c r="R552" t="s">
        <v>92</v>
      </c>
      <c r="T552" t="str">
        <f>IF(AND($P552&gt;0,$R552="да"),MAX($T$1:$T551)+1,"")</f>
        <v/>
      </c>
    </row>
    <row r="553" spans="1:20" x14ac:dyDescent="0.3">
      <c r="A553" t="str">
        <f>IFERROR(INDEX(Работы!$D$2:$D$6000,MATCH($C553,Работы!$A$2:$A$6000,0)),"")</f>
        <v>Р6</v>
      </c>
      <c r="B553" t="str">
        <f>IFERROR(INDEX(Работы!$F$2:$F$6000,MATCH($C553,Работы!$A$2:$A$6000,0)),"")</f>
        <v>1</v>
      </c>
      <c r="C553" t="str">
        <f>IFERROR(INDEX(Работы!$A$2:$A$6000,552),"")</f>
        <v>РАБ.Р6.1.024</v>
      </c>
      <c r="D553" s="8" t="str">
        <f>IFERROR(INDEX(Работы!$B$2:$B$6000,MATCH($C553,Работы!$A$2:$A$6000,0)),"")</f>
        <v>Монтаж радиатора чугунного Радиаторы МС-140</v>
      </c>
      <c r="E553" t="str">
        <f>IFERROR(INDEX(Работы!$C$2:$C$6000,MATCH($C553,Работы!$A$2:$A$6000,0)),"")</f>
        <v>секц.</v>
      </c>
      <c r="F553" t="str">
        <f>IFERROR(INDEX(Работы!$G$2:$G$6000,MATCH($C553,Работы!$A$2:$A$6000,0)),"")</f>
        <v>РАД</v>
      </c>
      <c r="G553" t="str">
        <f>IFERROR(INDEX(Работы!$K$2:$K$6000,MATCH($C553,Работы!$A$2:$A$6000,0)),"")</f>
        <v>Спецификация</v>
      </c>
      <c r="H553" s="9"/>
      <c r="I553" s="9"/>
      <c r="J553" s="8" t="str">
        <f>IFERROR(INDEX(Материалы!$B$2:$B$9000,MATCH($I553,Материалы!$A$2:$A$9000,0)),"")</f>
        <v/>
      </c>
      <c r="K553" t="str">
        <f>IF($I553="","",IF($F553=IFERROR(INDEX(Материалы!$G$2:$G$9000,MATCH($I553,Материалы!$A$2:$A$9000,0)),""),"OK","!! не та группа"))</f>
        <v/>
      </c>
      <c r="L553" s="10">
        <f>IFERROR(INDEX(Работы!$H$2:$H$6000,MATCH($C553,Работы!$A$2:$A$6000,0))*(1-ДисконтТендер),0)</f>
        <v>887.73</v>
      </c>
      <c r="M553" s="10">
        <f>IF($I553="",0,IFERROR(INDEX(Материалы!$I$2:$I$9000,MATCH($I553,Материалы!$A$2:$A$9000,0))*IF(INDEX(Материалы!$J$2:$J$9000,MATCH($I553,Материалы!$A$2:$A$9000,0))="USD",КурсUSD,IF(INDEX(Материалы!$J$2:$J$9000,MATCH($I553,Материалы!$A$2:$A$9000,0))="EUR",КурсEUR,1))*INDEX(Материалы!$K$2:$K$9000,MATCH($I553,Материалы!$A$2:$A$9000,0))*(1+IFERROR(INDEX(Работы!$I$2:$I$6000,MATCH($C553,Работы!$A$2:$A$6000,0))/100,0))*(1-ДисконтТендер),0))</f>
        <v>0</v>
      </c>
      <c r="N553" s="10">
        <f t="shared" si="24"/>
        <v>0</v>
      </c>
      <c r="O553" s="10">
        <f t="shared" si="25"/>
        <v>0</v>
      </c>
      <c r="P553" s="10">
        <f t="shared" si="26"/>
        <v>0</v>
      </c>
      <c r="Q553" t="str">
        <f>IFERROR(INDEX(Работы!$J$2:$J$6000,MATCH($C553,Работы!$A$2:$A$6000,0)),"")</f>
        <v>типовая</v>
      </c>
      <c r="R553" t="s">
        <v>92</v>
      </c>
      <c r="T553" t="str">
        <f>IF(AND($P553&gt;0,$R553="да"),MAX($T$1:$T552)+1,"")</f>
        <v/>
      </c>
    </row>
    <row r="554" spans="1:20" ht="28.8" x14ac:dyDescent="0.3">
      <c r="A554" t="str">
        <f>IFERROR(INDEX(Работы!$D$2:$D$6000,MATCH($C554,Работы!$A$2:$A$6000,0)),"")</f>
        <v>Р6</v>
      </c>
      <c r="B554" t="str">
        <f>IFERROR(INDEX(Работы!$F$2:$F$6000,MATCH($C554,Работы!$A$2:$A$6000,0)),"")</f>
        <v>1</v>
      </c>
      <c r="C554" t="str">
        <f>IFERROR(INDEX(Работы!$A$2:$A$6000,553),"")</f>
        <v>РАБ.Р6.1.025</v>
      </c>
      <c r="D554" s="8" t="str">
        <f>IFERROR(INDEX(Работы!$B$2:$B$6000,MATCH($C554,Работы!$A$2:$A$6000,0)),"")</f>
        <v>Монтаж трубопровода (отопление / водоснабжение)</v>
      </c>
      <c r="E554" t="str">
        <f>IFERROR(INDEX(Работы!$C$2:$C$6000,MATCH($C554,Работы!$A$2:$A$6000,0)),"")</f>
        <v>м.п.</v>
      </c>
      <c r="F554" t="str">
        <f>IFERROR(INDEX(Работы!$G$2:$G$6000,MATCH($C554,Работы!$A$2:$A$6000,0)),"")</f>
        <v>ТРУБА.ОВ</v>
      </c>
      <c r="G554" t="str">
        <f>IFERROR(INDEX(Работы!$K$2:$K$6000,MATCH($C554,Работы!$A$2:$A$6000,0)),"")</f>
        <v>Погонаж</v>
      </c>
      <c r="H554" s="9"/>
      <c r="I554" s="9"/>
      <c r="J554" s="8" t="str">
        <f>IFERROR(INDEX(Материалы!$B$2:$B$9000,MATCH($I554,Материалы!$A$2:$A$9000,0)),"")</f>
        <v/>
      </c>
      <c r="K554" t="str">
        <f>IF($I554="","",IF($F554=IFERROR(INDEX(Материалы!$G$2:$G$9000,MATCH($I554,Материалы!$A$2:$A$9000,0)),""),"OK","!! не та группа"))</f>
        <v/>
      </c>
      <c r="L554" s="10">
        <f>IFERROR(INDEX(Работы!$H$2:$H$6000,MATCH($C554,Работы!$A$2:$A$6000,0))*(1-ДисконтТендер),0)</f>
        <v>551.22</v>
      </c>
      <c r="M554" s="10">
        <f>IF($I554="",0,IFERROR(INDEX(Материалы!$I$2:$I$9000,MATCH($I554,Материалы!$A$2:$A$9000,0))*IF(INDEX(Материалы!$J$2:$J$9000,MATCH($I554,Материалы!$A$2:$A$9000,0))="USD",КурсUSD,IF(INDEX(Материалы!$J$2:$J$9000,MATCH($I554,Материалы!$A$2:$A$9000,0))="EUR",КурсEUR,1))*INDEX(Материалы!$K$2:$K$9000,MATCH($I554,Материалы!$A$2:$A$9000,0))*(1+IFERROR(INDEX(Работы!$I$2:$I$6000,MATCH($C554,Работы!$A$2:$A$6000,0))/100,0))*(1-ДисконтТендер),0))</f>
        <v>0</v>
      </c>
      <c r="N554" s="10">
        <f t="shared" si="24"/>
        <v>0</v>
      </c>
      <c r="O554" s="10">
        <f t="shared" si="25"/>
        <v>0</v>
      </c>
      <c r="P554" s="10">
        <f t="shared" si="26"/>
        <v>0</v>
      </c>
      <c r="Q554" t="str">
        <f>IFERROR(INDEX(Работы!$J$2:$J$6000,MATCH($C554,Работы!$A$2:$A$6000,0)),"")</f>
        <v>типовая</v>
      </c>
      <c r="R554" t="s">
        <v>92</v>
      </c>
      <c r="T554" t="str">
        <f>IF(AND($P554&gt;0,$R554="да"),MAX($T$1:$T553)+1,"")</f>
        <v/>
      </c>
    </row>
    <row r="555" spans="1:20" x14ac:dyDescent="0.3">
      <c r="A555" t="str">
        <f>IFERROR(INDEX(Работы!$D$2:$D$6000,MATCH($C555,Работы!$A$2:$A$6000,0)),"")</f>
        <v>Р6</v>
      </c>
      <c r="B555" t="str">
        <f>IFERROR(INDEX(Работы!$F$2:$F$6000,MATCH($C555,Работы!$A$2:$A$6000,0)),"")</f>
        <v>1</v>
      </c>
      <c r="C555" t="str">
        <f>IFERROR(INDEX(Работы!$A$2:$A$6000,554),"")</f>
        <v>РАБ.Р6.1.026</v>
      </c>
      <c r="D555" s="8" t="str">
        <f>IFERROR(INDEX(Работы!$B$2:$B$6000,MATCH($C555,Работы!$A$2:$A$6000,0)),"")</f>
        <v>Клапан VALTEC ручной, прямой 3/4 VT.008.LN.05</v>
      </c>
      <c r="E555" t="str">
        <f>IFERROR(INDEX(Работы!$C$2:$C$6000,MATCH($C555,Работы!$A$2:$A$6000,0)),"")</f>
        <v>шт.</v>
      </c>
      <c r="F555" t="str">
        <f>IFERROR(INDEX(Работы!$G$2:$G$6000,MATCH($C555,Работы!$A$2:$A$6000,0)),"")</f>
        <v>АРМ.ОВ</v>
      </c>
      <c r="G555" t="str">
        <f>IFERROR(INDEX(Работы!$K$2:$K$6000,MATCH($C555,Работы!$A$2:$A$6000,0)),"")</f>
        <v>Спецификация</v>
      </c>
      <c r="H555" s="9"/>
      <c r="I555" s="9"/>
      <c r="J555" s="8" t="str">
        <f>IFERROR(INDEX(Материалы!$B$2:$B$9000,MATCH($I555,Материалы!$A$2:$A$9000,0)),"")</f>
        <v/>
      </c>
      <c r="K555" t="str">
        <f>IF($I555="","",IF($F555=IFERROR(INDEX(Материалы!$G$2:$G$9000,MATCH($I555,Материалы!$A$2:$A$9000,0)),""),"OK","!! не та группа"))</f>
        <v/>
      </c>
      <c r="L555" s="10">
        <f>IFERROR(INDEX(Работы!$H$2:$H$6000,MATCH($C555,Работы!$A$2:$A$6000,0))*(1-ДисконтТендер),0)</f>
        <v>886.23</v>
      </c>
      <c r="M555" s="10">
        <f>IF($I555="",0,IFERROR(INDEX(Материалы!$I$2:$I$9000,MATCH($I555,Материалы!$A$2:$A$9000,0))*IF(INDEX(Материалы!$J$2:$J$9000,MATCH($I555,Материалы!$A$2:$A$9000,0))="USD",КурсUSD,IF(INDEX(Материалы!$J$2:$J$9000,MATCH($I555,Материалы!$A$2:$A$9000,0))="EUR",КурсEUR,1))*INDEX(Материалы!$K$2:$K$9000,MATCH($I555,Материалы!$A$2:$A$9000,0))*(1+IFERROR(INDEX(Работы!$I$2:$I$6000,MATCH($C555,Работы!$A$2:$A$6000,0))/100,0))*(1-ДисконтТендер),0))</f>
        <v>0</v>
      </c>
      <c r="N555" s="10">
        <f t="shared" si="24"/>
        <v>0</v>
      </c>
      <c r="O555" s="10">
        <f t="shared" si="25"/>
        <v>0</v>
      </c>
      <c r="P555" s="10">
        <f t="shared" si="26"/>
        <v>0</v>
      </c>
      <c r="Q555" t="str">
        <f>IFERROR(INDEX(Работы!$J$2:$J$6000,MATCH($C555,Работы!$A$2:$A$6000,0)),"")</f>
        <v>типовая</v>
      </c>
      <c r="R555" t="s">
        <v>92</v>
      </c>
      <c r="T555" t="str">
        <f>IF(AND($P555&gt;0,$R555="да"),MAX($T$1:$T554)+1,"")</f>
        <v/>
      </c>
    </row>
    <row r="556" spans="1:20" x14ac:dyDescent="0.3">
      <c r="A556" t="str">
        <f>IFERROR(INDEX(Работы!$D$2:$D$6000,MATCH($C556,Работы!$A$2:$A$6000,0)),"")</f>
        <v>Р6</v>
      </c>
      <c r="B556" t="str">
        <f>IFERROR(INDEX(Работы!$F$2:$F$6000,MATCH($C556,Работы!$A$2:$A$6000,0)),"")</f>
        <v>1</v>
      </c>
      <c r="C556" t="str">
        <f>IFERROR(INDEX(Работы!$A$2:$A$6000,555),"")</f>
        <v>РАБ.Р6.1.027</v>
      </c>
      <c r="D556" s="8" t="str">
        <f>IFERROR(INDEX(Работы!$B$2:$B$6000,MATCH($C556,Работы!$A$2:$A$6000,0)),"")</f>
        <v>Опрессовка системы отопления до 450 м.кв</v>
      </c>
      <c r="E556" t="str">
        <f>IFERROR(INDEX(Работы!$C$2:$C$6000,MATCH($C556,Работы!$A$2:$A$6000,0)),"")</f>
        <v>компл.</v>
      </c>
      <c r="F556">
        <f>IFERROR(INDEX(Работы!$G$2:$G$6000,MATCH($C556,Работы!$A$2:$A$6000,0)),"")</f>
        <v>0</v>
      </c>
      <c r="G556" t="str">
        <f>IFERROR(INDEX(Работы!$K$2:$K$6000,MATCH($C556,Работы!$A$2:$A$6000,0)),"")</f>
        <v>Спецификация</v>
      </c>
      <c r="H556" s="9"/>
      <c r="I556" s="9"/>
      <c r="J556" s="8" t="str">
        <f>IFERROR(INDEX(Материалы!$B$2:$B$9000,MATCH($I556,Материалы!$A$2:$A$9000,0)),"")</f>
        <v/>
      </c>
      <c r="K556" t="str">
        <f>IF($I556="","",IF($F556=IFERROR(INDEX(Материалы!$G$2:$G$9000,MATCH($I556,Материалы!$A$2:$A$9000,0)),""),"OK","!! не та группа"))</f>
        <v/>
      </c>
      <c r="L556" s="10">
        <f>IFERROR(INDEX(Работы!$H$2:$H$6000,MATCH($C556,Работы!$A$2:$A$6000,0))*(1-ДисконтТендер),0)</f>
        <v>33963</v>
      </c>
      <c r="M556" s="10">
        <f>IF($I556="",0,IFERROR(INDEX(Материалы!$I$2:$I$9000,MATCH($I556,Материалы!$A$2:$A$9000,0))*IF(INDEX(Материалы!$J$2:$J$9000,MATCH($I556,Материалы!$A$2:$A$9000,0))="USD",КурсUSD,IF(INDEX(Материалы!$J$2:$J$9000,MATCH($I556,Материалы!$A$2:$A$9000,0))="EUR",КурсEUR,1))*INDEX(Материалы!$K$2:$K$9000,MATCH($I556,Материалы!$A$2:$A$9000,0))*(1+IFERROR(INDEX(Работы!$I$2:$I$6000,MATCH($C556,Работы!$A$2:$A$6000,0))/100,0))*(1-ДисконтТендер),0))</f>
        <v>0</v>
      </c>
      <c r="N556" s="10">
        <f t="shared" si="24"/>
        <v>0</v>
      </c>
      <c r="O556" s="10">
        <f t="shared" si="25"/>
        <v>0</v>
      </c>
      <c r="P556" s="10">
        <f t="shared" si="26"/>
        <v>0</v>
      </c>
      <c r="Q556" t="str">
        <f>IFERROR(INDEX(Работы!$J$2:$J$6000,MATCH($C556,Работы!$A$2:$A$6000,0)),"")</f>
        <v>типовая</v>
      </c>
      <c r="R556" t="s">
        <v>92</v>
      </c>
      <c r="T556" t="str">
        <f>IF(AND($P556&gt;0,$R556="да"),MAX($T$1:$T555)+1,"")</f>
        <v/>
      </c>
    </row>
    <row r="557" spans="1:20" x14ac:dyDescent="0.3">
      <c r="A557" t="str">
        <f>IFERROR(INDEX(Работы!$D$2:$D$6000,MATCH($C557,Работы!$A$2:$A$6000,0)),"")</f>
        <v>Р6</v>
      </c>
      <c r="B557" t="str">
        <f>IFERROR(INDEX(Работы!$F$2:$F$6000,MATCH($C557,Работы!$A$2:$A$6000,0)),"")</f>
        <v>1</v>
      </c>
      <c r="C557" t="str">
        <f>IFERROR(INDEX(Работы!$A$2:$A$6000,556),"")</f>
        <v>РАБ.Р6.1.028</v>
      </c>
      <c r="D557" s="8" t="str">
        <f>IFERROR(INDEX(Работы!$B$2:$B$6000,MATCH($C557,Работы!$A$2:$A$6000,0)),"")</f>
        <v>Опрессовка системы отопления от 450 м.кв</v>
      </c>
      <c r="E557" t="str">
        <f>IFERROR(INDEX(Работы!$C$2:$C$6000,MATCH($C557,Работы!$A$2:$A$6000,0)),"")</f>
        <v>кв.м.площади офиса</v>
      </c>
      <c r="F557">
        <f>IFERROR(INDEX(Работы!$G$2:$G$6000,MATCH($C557,Работы!$A$2:$A$6000,0)),"")</f>
        <v>0</v>
      </c>
      <c r="G557" t="str">
        <f>IFERROR(INDEX(Работы!$K$2:$K$6000,MATCH($C557,Работы!$A$2:$A$6000,0)),"")</f>
        <v>Спецификация</v>
      </c>
      <c r="H557" s="9"/>
      <c r="I557" s="9"/>
      <c r="J557" s="8" t="str">
        <f>IFERROR(INDEX(Материалы!$B$2:$B$9000,MATCH($I557,Материалы!$A$2:$A$9000,0)),"")</f>
        <v/>
      </c>
      <c r="K557" t="str">
        <f>IF($I557="","",IF($F557=IFERROR(INDEX(Материалы!$G$2:$G$9000,MATCH($I557,Материалы!$A$2:$A$9000,0)),""),"OK","!! не та группа"))</f>
        <v/>
      </c>
      <c r="L557" s="10">
        <f>IFERROR(INDEX(Работы!$H$2:$H$6000,MATCH($C557,Работы!$A$2:$A$6000,0))*(1-ДисконтТендер),0)</f>
        <v>113.21</v>
      </c>
      <c r="M557" s="10">
        <f>IF($I557="",0,IFERROR(INDEX(Материалы!$I$2:$I$9000,MATCH($I557,Материалы!$A$2:$A$9000,0))*IF(INDEX(Материалы!$J$2:$J$9000,MATCH($I557,Материалы!$A$2:$A$9000,0))="USD",КурсUSD,IF(INDEX(Материалы!$J$2:$J$9000,MATCH($I557,Материалы!$A$2:$A$9000,0))="EUR",КурсEUR,1))*INDEX(Материалы!$K$2:$K$9000,MATCH($I557,Материалы!$A$2:$A$9000,0))*(1+IFERROR(INDEX(Работы!$I$2:$I$6000,MATCH($C557,Работы!$A$2:$A$6000,0))/100,0))*(1-ДисконтТендер),0))</f>
        <v>0</v>
      </c>
      <c r="N557" s="10">
        <f t="shared" si="24"/>
        <v>0</v>
      </c>
      <c r="O557" s="10">
        <f t="shared" si="25"/>
        <v>0</v>
      </c>
      <c r="P557" s="10">
        <f t="shared" si="26"/>
        <v>0</v>
      </c>
      <c r="Q557" t="str">
        <f>IFERROR(INDEX(Работы!$J$2:$J$6000,MATCH($C557,Работы!$A$2:$A$6000,0)),"")</f>
        <v>типовая</v>
      </c>
      <c r="R557" t="s">
        <v>92</v>
      </c>
      <c r="T557" t="str">
        <f>IF(AND($P557&gt;0,$R557="да"),MAX($T$1:$T556)+1,"")</f>
        <v/>
      </c>
    </row>
    <row r="558" spans="1:20" x14ac:dyDescent="0.3">
      <c r="A558" t="str">
        <f>IFERROR(INDEX(Работы!$D$2:$D$6000,MATCH($C558,Работы!$A$2:$A$6000,0)),"")</f>
        <v>Р6</v>
      </c>
      <c r="B558" t="str">
        <f>IFERROR(INDEX(Работы!$F$2:$F$6000,MATCH($C558,Работы!$A$2:$A$6000,0)),"")</f>
        <v>1</v>
      </c>
      <c r="C558" t="str">
        <f>IFERROR(INDEX(Работы!$A$2:$A$6000,557),"")</f>
        <v>РАБ.Р6.1.029</v>
      </c>
      <c r="D558" s="8" t="str">
        <f>IFERROR(INDEX(Работы!$B$2:$B$6000,MATCH($C558,Работы!$A$2:$A$6000,0)),"")</f>
        <v>Вырезка участка стояковых труб</v>
      </c>
      <c r="E558" t="str">
        <f>IFERROR(INDEX(Работы!$C$2:$C$6000,MATCH($C558,Работы!$A$2:$A$6000,0)),"")</f>
        <v>шт.</v>
      </c>
      <c r="F558" t="str">
        <f>IFERROR(INDEX(Работы!$G$2:$G$6000,MATCH($C558,Работы!$A$2:$A$6000,0)),"")</f>
        <v>ТРУБА.ОВ</v>
      </c>
      <c r="G558" t="str">
        <f>IFERROR(INDEX(Работы!$K$2:$K$6000,MATCH($C558,Работы!$A$2:$A$6000,0)),"")</f>
        <v>Погонаж</v>
      </c>
      <c r="H558" s="9"/>
      <c r="I558" s="9"/>
      <c r="J558" s="8" t="str">
        <f>IFERROR(INDEX(Материалы!$B$2:$B$9000,MATCH($I558,Материалы!$A$2:$A$9000,0)),"")</f>
        <v/>
      </c>
      <c r="K558" t="str">
        <f>IF($I558="","",IF($F558=IFERROR(INDEX(Материалы!$G$2:$G$9000,MATCH($I558,Материалы!$A$2:$A$9000,0)),""),"OK","!! не та группа"))</f>
        <v/>
      </c>
      <c r="L558" s="10">
        <f>IFERROR(INDEX(Работы!$H$2:$H$6000,MATCH($C558,Работы!$A$2:$A$6000,0))*(1-ДисконтТендер),0)</f>
        <v>3053.7</v>
      </c>
      <c r="M558" s="10">
        <f>IF($I558="",0,IFERROR(INDEX(Материалы!$I$2:$I$9000,MATCH($I558,Материалы!$A$2:$A$9000,0))*IF(INDEX(Материалы!$J$2:$J$9000,MATCH($I558,Материалы!$A$2:$A$9000,0))="USD",КурсUSD,IF(INDEX(Материалы!$J$2:$J$9000,MATCH($I558,Материалы!$A$2:$A$9000,0))="EUR",КурсEUR,1))*INDEX(Материалы!$K$2:$K$9000,MATCH($I558,Материалы!$A$2:$A$9000,0))*(1+IFERROR(INDEX(Работы!$I$2:$I$6000,MATCH($C558,Работы!$A$2:$A$6000,0))/100,0))*(1-ДисконтТендер),0))</f>
        <v>0</v>
      </c>
      <c r="N558" s="10">
        <f t="shared" si="24"/>
        <v>0</v>
      </c>
      <c r="O558" s="10">
        <f t="shared" si="25"/>
        <v>0</v>
      </c>
      <c r="P558" s="10">
        <f t="shared" si="26"/>
        <v>0</v>
      </c>
      <c r="Q558" t="str">
        <f>IFERROR(INDEX(Работы!$J$2:$J$6000,MATCH($C558,Работы!$A$2:$A$6000,0)),"")</f>
        <v>типовая</v>
      </c>
      <c r="R558" t="s">
        <v>92</v>
      </c>
      <c r="T558" t="str">
        <f>IF(AND($P558&gt;0,$R558="да"),MAX($T$1:$T557)+1,"")</f>
        <v/>
      </c>
    </row>
    <row r="559" spans="1:20" x14ac:dyDescent="0.3">
      <c r="A559" t="str">
        <f>IFERROR(INDEX(Работы!$D$2:$D$6000,MATCH($C559,Работы!$A$2:$A$6000,0)),"")</f>
        <v>Р6</v>
      </c>
      <c r="B559" t="str">
        <f>IFERROR(INDEX(Работы!$F$2:$F$6000,MATCH($C559,Работы!$A$2:$A$6000,0)),"")</f>
        <v>1</v>
      </c>
      <c r="C559" t="str">
        <f>IFERROR(INDEX(Работы!$A$2:$A$6000,558),"")</f>
        <v>РАБ.Р6.1.030</v>
      </c>
      <c r="D559" s="8" t="str">
        <f>IFERROR(INDEX(Работы!$B$2:$B$6000,MATCH($C559,Работы!$A$2:$A$6000,0)),"")</f>
        <v>Врезка в существующую систему отопления</v>
      </c>
      <c r="E559" t="str">
        <f>IFERROR(INDEX(Работы!$C$2:$C$6000,MATCH($C559,Работы!$A$2:$A$6000,0)),"")</f>
        <v>шт.</v>
      </c>
      <c r="F559">
        <f>IFERROR(INDEX(Работы!$G$2:$G$6000,MATCH($C559,Работы!$A$2:$A$6000,0)),"")</f>
        <v>0</v>
      </c>
      <c r="G559" t="str">
        <f>IFERROR(INDEX(Работы!$K$2:$K$6000,MATCH($C559,Работы!$A$2:$A$6000,0)),"")</f>
        <v>Спецификация</v>
      </c>
      <c r="H559" s="9"/>
      <c r="I559" s="9"/>
      <c r="J559" s="8" t="str">
        <f>IFERROR(INDEX(Материалы!$B$2:$B$9000,MATCH($I559,Материалы!$A$2:$A$9000,0)),"")</f>
        <v/>
      </c>
      <c r="K559" t="str">
        <f>IF($I559="","",IF($F559=IFERROR(INDEX(Материалы!$G$2:$G$9000,MATCH($I559,Материалы!$A$2:$A$9000,0)),""),"OK","!! не та группа"))</f>
        <v/>
      </c>
      <c r="L559" s="10">
        <f>IFERROR(INDEX(Работы!$H$2:$H$6000,MATCH($C559,Работы!$A$2:$A$6000,0))*(1-ДисконтТендер),0)</f>
        <v>6135.33</v>
      </c>
      <c r="M559" s="10">
        <f>IF($I559="",0,IFERROR(INDEX(Материалы!$I$2:$I$9000,MATCH($I559,Материалы!$A$2:$A$9000,0))*IF(INDEX(Материалы!$J$2:$J$9000,MATCH($I559,Материалы!$A$2:$A$9000,0))="USD",КурсUSD,IF(INDEX(Материалы!$J$2:$J$9000,MATCH($I559,Материалы!$A$2:$A$9000,0))="EUR",КурсEUR,1))*INDEX(Материалы!$K$2:$K$9000,MATCH($I559,Материалы!$A$2:$A$9000,0))*(1+IFERROR(INDEX(Работы!$I$2:$I$6000,MATCH($C559,Работы!$A$2:$A$6000,0))/100,0))*(1-ДисконтТендер),0))</f>
        <v>0</v>
      </c>
      <c r="N559" s="10">
        <f t="shared" si="24"/>
        <v>0</v>
      </c>
      <c r="O559" s="10">
        <f t="shared" si="25"/>
        <v>0</v>
      </c>
      <c r="P559" s="10">
        <f t="shared" si="26"/>
        <v>0</v>
      </c>
      <c r="Q559" t="str">
        <f>IFERROR(INDEX(Работы!$J$2:$J$6000,MATCH($C559,Работы!$A$2:$A$6000,0)),"")</f>
        <v>типовая</v>
      </c>
      <c r="R559" t="s">
        <v>92</v>
      </c>
      <c r="T559" t="str">
        <f>IF(AND($P559&gt;0,$R559="да"),MAX($T$1:$T558)+1,"")</f>
        <v/>
      </c>
    </row>
    <row r="560" spans="1:20" ht="28.8" x14ac:dyDescent="0.3">
      <c r="A560" t="str">
        <f>IFERROR(INDEX(Работы!$D$2:$D$6000,MATCH($C560,Работы!$A$2:$A$6000,0)),"")</f>
        <v>Р6</v>
      </c>
      <c r="B560" t="str">
        <f>IFERROR(INDEX(Работы!$F$2:$F$6000,MATCH($C560,Работы!$A$2:$A$6000,0)),"")</f>
        <v>1</v>
      </c>
      <c r="C560" t="str">
        <f>IFERROR(INDEX(Работы!$A$2:$A$6000,559),"")</f>
        <v>РАБ.Р6.1.031</v>
      </c>
      <c r="D560" s="8" t="str">
        <f>IFERROR(INDEX(Работы!$B$2:$B$6000,MATCH($C560,Работы!$A$2:$A$6000,0)),"")</f>
        <v>Установка крестовин стояковых труб (труба 32, отвод 16)</v>
      </c>
      <c r="E560" t="str">
        <f>IFERROR(INDEX(Работы!$C$2:$C$6000,MATCH($C560,Работы!$A$2:$A$6000,0)),"")</f>
        <v>шт.</v>
      </c>
      <c r="F560" t="str">
        <f>IFERROR(INDEX(Работы!$G$2:$G$6000,MATCH($C560,Работы!$A$2:$A$6000,0)),"")</f>
        <v>ТРУБА.ОВ</v>
      </c>
      <c r="G560" t="str">
        <f>IFERROR(INDEX(Работы!$K$2:$K$6000,MATCH($C560,Работы!$A$2:$A$6000,0)),"")</f>
        <v>Погонаж</v>
      </c>
      <c r="H560" s="9"/>
      <c r="I560" s="9"/>
      <c r="J560" s="8" t="str">
        <f>IFERROR(INDEX(Материалы!$B$2:$B$9000,MATCH($I560,Материалы!$A$2:$A$9000,0)),"")</f>
        <v/>
      </c>
      <c r="K560" t="str">
        <f>IF($I560="","",IF($F560=IFERROR(INDEX(Материалы!$G$2:$G$9000,MATCH($I560,Материалы!$A$2:$A$9000,0)),""),"OK","!! не та группа"))</f>
        <v/>
      </c>
      <c r="L560" s="10">
        <f>IFERROR(INDEX(Работы!$H$2:$H$6000,MATCH($C560,Работы!$A$2:$A$6000,0))*(1-ДисконтТендер),0)</f>
        <v>806.66</v>
      </c>
      <c r="M560" s="10">
        <f>IF($I560="",0,IFERROR(INDEX(Материалы!$I$2:$I$9000,MATCH($I560,Материалы!$A$2:$A$9000,0))*IF(INDEX(Материалы!$J$2:$J$9000,MATCH($I560,Материалы!$A$2:$A$9000,0))="USD",КурсUSD,IF(INDEX(Материалы!$J$2:$J$9000,MATCH($I560,Материалы!$A$2:$A$9000,0))="EUR",КурсEUR,1))*INDEX(Материалы!$K$2:$K$9000,MATCH($I560,Материалы!$A$2:$A$9000,0))*(1+IFERROR(INDEX(Работы!$I$2:$I$6000,MATCH($C560,Работы!$A$2:$A$6000,0))/100,0))*(1-ДисконтТендер),0))</f>
        <v>0</v>
      </c>
      <c r="N560" s="10">
        <f t="shared" si="24"/>
        <v>0</v>
      </c>
      <c r="O560" s="10">
        <f t="shared" si="25"/>
        <v>0</v>
      </c>
      <c r="P560" s="10">
        <f t="shared" si="26"/>
        <v>0</v>
      </c>
      <c r="Q560" t="str">
        <f>IFERROR(INDEX(Работы!$J$2:$J$6000,MATCH($C560,Работы!$A$2:$A$6000,0)),"")</f>
        <v>типовая</v>
      </c>
      <c r="R560" t="s">
        <v>92</v>
      </c>
      <c r="T560" t="str">
        <f>IF(AND($P560&gt;0,$R560="да"),MAX($T$1:$T559)+1,"")</f>
        <v/>
      </c>
    </row>
    <row r="561" spans="1:20" ht="28.8" x14ac:dyDescent="0.3">
      <c r="A561" t="str">
        <f>IFERROR(INDEX(Работы!$D$2:$D$6000,MATCH($C561,Работы!$A$2:$A$6000,0)),"")</f>
        <v>Р6</v>
      </c>
      <c r="B561" t="str">
        <f>IFERROR(INDEX(Работы!$F$2:$F$6000,MATCH($C561,Работы!$A$2:$A$6000,0)),"")</f>
        <v>1</v>
      </c>
      <c r="C561" t="str">
        <f>IFERROR(INDEX(Работы!$A$2:$A$6000,560),"")</f>
        <v>РАБ.Р6.1.032</v>
      </c>
      <c r="D561" s="8" t="str">
        <f>IFERROR(INDEX(Работы!$B$2:$B$6000,MATCH($C561,Работы!$A$2:$A$6000,0)),"")</f>
        <v>Монтаж конвекторов электрических NOBO C2F 10 XSC 0,75 кВт с встроенным термостатом R80 XSC</v>
      </c>
      <c r="E561" t="str">
        <f>IFERROR(INDEX(Работы!$C$2:$C$6000,MATCH($C561,Работы!$A$2:$A$6000,0)),"")</f>
        <v>шт.</v>
      </c>
      <c r="F561" t="str">
        <f>IFERROR(INDEX(Работы!$G$2:$G$6000,MATCH($C561,Работы!$A$2:$A$6000,0)),"")</f>
        <v>РАД</v>
      </c>
      <c r="G561" t="str">
        <f>IFERROR(INDEX(Работы!$K$2:$K$6000,MATCH($C561,Работы!$A$2:$A$6000,0)),"")</f>
        <v>Спецификация</v>
      </c>
      <c r="H561" s="9"/>
      <c r="I561" s="9"/>
      <c r="J561" s="8" t="str">
        <f>IFERROR(INDEX(Материалы!$B$2:$B$9000,MATCH($I561,Материалы!$A$2:$A$9000,0)),"")</f>
        <v/>
      </c>
      <c r="K561" t="str">
        <f>IF($I561="","",IF($F561=IFERROR(INDEX(Материалы!$G$2:$G$9000,MATCH($I561,Материалы!$A$2:$A$9000,0)),""),"OK","!! не та группа"))</f>
        <v/>
      </c>
      <c r="L561" s="10">
        <f>IFERROR(INDEX(Работы!$H$2:$H$6000,MATCH($C561,Работы!$A$2:$A$6000,0))*(1-ДисконтТендер),0)</f>
        <v>2578.6799999999998</v>
      </c>
      <c r="M561" s="10">
        <f>IF($I561="",0,IFERROR(INDEX(Материалы!$I$2:$I$9000,MATCH($I561,Материалы!$A$2:$A$9000,0))*IF(INDEX(Материалы!$J$2:$J$9000,MATCH($I561,Материалы!$A$2:$A$9000,0))="USD",КурсUSD,IF(INDEX(Материалы!$J$2:$J$9000,MATCH($I561,Материалы!$A$2:$A$9000,0))="EUR",КурсEUR,1))*INDEX(Материалы!$K$2:$K$9000,MATCH($I561,Материалы!$A$2:$A$9000,0))*(1+IFERROR(INDEX(Работы!$I$2:$I$6000,MATCH($C561,Работы!$A$2:$A$6000,0))/100,0))*(1-ДисконтТендер),0))</f>
        <v>0</v>
      </c>
      <c r="N561" s="10">
        <f t="shared" si="24"/>
        <v>0</v>
      </c>
      <c r="O561" s="10">
        <f t="shared" si="25"/>
        <v>0</v>
      </c>
      <c r="P561" s="10">
        <f t="shared" si="26"/>
        <v>0</v>
      </c>
      <c r="Q561" t="str">
        <f>IFERROR(INDEX(Работы!$J$2:$J$6000,MATCH($C561,Работы!$A$2:$A$6000,0)),"")</f>
        <v>типовая</v>
      </c>
      <c r="R561" t="s">
        <v>92</v>
      </c>
      <c r="T561" t="str">
        <f>IF(AND($P561&gt;0,$R561="да"),MAX($T$1:$T560)+1,"")</f>
        <v/>
      </c>
    </row>
    <row r="562" spans="1:20" ht="28.8" x14ac:dyDescent="0.3">
      <c r="A562" t="str">
        <f>IFERROR(INDEX(Работы!$D$2:$D$6000,MATCH($C562,Работы!$A$2:$A$6000,0)),"")</f>
        <v>Р6</v>
      </c>
      <c r="B562" t="str">
        <f>IFERROR(INDEX(Работы!$F$2:$F$6000,MATCH($C562,Работы!$A$2:$A$6000,0)),"")</f>
        <v>1</v>
      </c>
      <c r="C562" t="str">
        <f>IFERROR(INDEX(Работы!$A$2:$A$6000,561),"")</f>
        <v>РАБ.Р6.1.033</v>
      </c>
      <c r="D562" s="8" t="str">
        <f>IFERROR(INDEX(Работы!$B$2:$B$6000,MATCH($C562,Работы!$A$2:$A$6000,0)),"")</f>
        <v>Монтаж труб отопления из стальных водогазопроводных труб, диаметр до 16мм</v>
      </c>
      <c r="E562" t="str">
        <f>IFERROR(INDEX(Работы!$C$2:$C$6000,MATCH($C562,Работы!$A$2:$A$6000,0)),"")</f>
        <v>м.п.</v>
      </c>
      <c r="F562">
        <f>IFERROR(INDEX(Работы!$G$2:$G$6000,MATCH($C562,Работы!$A$2:$A$6000,0)),"")</f>
        <v>0</v>
      </c>
      <c r="G562" t="str">
        <f>IFERROR(INDEX(Работы!$K$2:$K$6000,MATCH($C562,Работы!$A$2:$A$6000,0)),"")</f>
        <v>Погонаж</v>
      </c>
      <c r="H562" s="9"/>
      <c r="I562" s="9"/>
      <c r="J562" s="8" t="str">
        <f>IFERROR(INDEX(Материалы!$B$2:$B$9000,MATCH($I562,Материалы!$A$2:$A$9000,0)),"")</f>
        <v/>
      </c>
      <c r="K562" t="str">
        <f>IF($I562="","",IF($F562=IFERROR(INDEX(Материалы!$G$2:$G$9000,MATCH($I562,Материалы!$A$2:$A$9000,0)),""),"OK","!! не та группа"))</f>
        <v/>
      </c>
      <c r="L562" s="10">
        <f>IFERROR(INDEX(Работы!$H$2:$H$6000,MATCH($C562,Работы!$A$2:$A$6000,0))*(1-ДисконтТендер),0)</f>
        <v>449.16</v>
      </c>
      <c r="M562" s="10">
        <f>IF($I562="",0,IFERROR(INDEX(Материалы!$I$2:$I$9000,MATCH($I562,Материалы!$A$2:$A$9000,0))*IF(INDEX(Материалы!$J$2:$J$9000,MATCH($I562,Материалы!$A$2:$A$9000,0))="USD",КурсUSD,IF(INDEX(Материалы!$J$2:$J$9000,MATCH($I562,Материалы!$A$2:$A$9000,0))="EUR",КурсEUR,1))*INDEX(Материалы!$K$2:$K$9000,MATCH($I562,Материалы!$A$2:$A$9000,0))*(1+IFERROR(INDEX(Работы!$I$2:$I$6000,MATCH($C562,Работы!$A$2:$A$6000,0))/100,0))*(1-ДисконтТендер),0))</f>
        <v>0</v>
      </c>
      <c r="N562" s="10">
        <f t="shared" si="24"/>
        <v>0</v>
      </c>
      <c r="O562" s="10">
        <f t="shared" si="25"/>
        <v>0</v>
      </c>
      <c r="P562" s="10">
        <f t="shared" si="26"/>
        <v>0</v>
      </c>
      <c r="Q562" t="str">
        <f>IFERROR(INDEX(Работы!$J$2:$J$6000,MATCH($C562,Работы!$A$2:$A$6000,0)),"")</f>
        <v>типовая</v>
      </c>
      <c r="R562" t="s">
        <v>92</v>
      </c>
      <c r="T562" t="str">
        <f>IF(AND($P562&gt;0,$R562="да"),MAX($T$1:$T561)+1,"")</f>
        <v/>
      </c>
    </row>
    <row r="563" spans="1:20" ht="28.8" x14ac:dyDescent="0.3">
      <c r="A563" t="str">
        <f>IFERROR(INDEX(Работы!$D$2:$D$6000,MATCH($C563,Работы!$A$2:$A$6000,0)),"")</f>
        <v>Р6</v>
      </c>
      <c r="B563" t="str">
        <f>IFERROR(INDEX(Работы!$F$2:$F$6000,MATCH($C563,Работы!$A$2:$A$6000,0)),"")</f>
        <v>1</v>
      </c>
      <c r="C563" t="str">
        <f>IFERROR(INDEX(Работы!$A$2:$A$6000,562),"")</f>
        <v>РАБ.Р6.1.034</v>
      </c>
      <c r="D563" s="8" t="str">
        <f>IFERROR(INDEX(Работы!$B$2:$B$6000,MATCH($C563,Работы!$A$2:$A$6000,0)),"")</f>
        <v>Монтаж труб отопления из стальных водогазопроводных труб, диаметр до 25мм</v>
      </c>
      <c r="E563" t="str">
        <f>IFERROR(INDEX(Работы!$C$2:$C$6000,MATCH($C563,Работы!$A$2:$A$6000,0)),"")</f>
        <v>м.п.</v>
      </c>
      <c r="F563">
        <f>IFERROR(INDEX(Работы!$G$2:$G$6000,MATCH($C563,Работы!$A$2:$A$6000,0)),"")</f>
        <v>0</v>
      </c>
      <c r="G563" t="str">
        <f>IFERROR(INDEX(Работы!$K$2:$K$6000,MATCH($C563,Работы!$A$2:$A$6000,0)),"")</f>
        <v>Погонаж</v>
      </c>
      <c r="H563" s="9"/>
      <c r="I563" s="9"/>
      <c r="J563" s="8" t="str">
        <f>IFERROR(INDEX(Материалы!$B$2:$B$9000,MATCH($I563,Материалы!$A$2:$A$9000,0)),"")</f>
        <v/>
      </c>
      <c r="K563" t="str">
        <f>IF($I563="","",IF($F563=IFERROR(INDEX(Материалы!$G$2:$G$9000,MATCH($I563,Материалы!$A$2:$A$9000,0)),""),"OK","!! не та группа"))</f>
        <v/>
      </c>
      <c r="L563" s="10">
        <f>IFERROR(INDEX(Работы!$H$2:$H$6000,MATCH($C563,Работы!$A$2:$A$6000,0))*(1-ДисконтТендер),0)</f>
        <v>467.5</v>
      </c>
      <c r="M563" s="10">
        <f>IF($I563="",0,IFERROR(INDEX(Материалы!$I$2:$I$9000,MATCH($I563,Материалы!$A$2:$A$9000,0))*IF(INDEX(Материалы!$J$2:$J$9000,MATCH($I563,Материалы!$A$2:$A$9000,0))="USD",КурсUSD,IF(INDEX(Материалы!$J$2:$J$9000,MATCH($I563,Материалы!$A$2:$A$9000,0))="EUR",КурсEUR,1))*INDEX(Материалы!$K$2:$K$9000,MATCH($I563,Материалы!$A$2:$A$9000,0))*(1+IFERROR(INDEX(Работы!$I$2:$I$6000,MATCH($C563,Работы!$A$2:$A$6000,0))/100,0))*(1-ДисконтТендер),0))</f>
        <v>0</v>
      </c>
      <c r="N563" s="10">
        <f t="shared" si="24"/>
        <v>0</v>
      </c>
      <c r="O563" s="10">
        <f t="shared" si="25"/>
        <v>0</v>
      </c>
      <c r="P563" s="10">
        <f t="shared" si="26"/>
        <v>0</v>
      </c>
      <c r="Q563" t="str">
        <f>IFERROR(INDEX(Работы!$J$2:$J$6000,MATCH($C563,Работы!$A$2:$A$6000,0)),"")</f>
        <v>типовая</v>
      </c>
      <c r="R563" t="s">
        <v>92</v>
      </c>
      <c r="T563" t="str">
        <f>IF(AND($P563&gt;0,$R563="да"),MAX($T$1:$T562)+1,"")</f>
        <v/>
      </c>
    </row>
    <row r="564" spans="1:20" ht="28.8" x14ac:dyDescent="0.3">
      <c r="A564" t="str">
        <f>IFERROR(INDEX(Работы!$D$2:$D$6000,MATCH($C564,Работы!$A$2:$A$6000,0)),"")</f>
        <v>Р6</v>
      </c>
      <c r="B564" t="str">
        <f>IFERROR(INDEX(Работы!$F$2:$F$6000,MATCH($C564,Работы!$A$2:$A$6000,0)),"")</f>
        <v>1</v>
      </c>
      <c r="C564" t="str">
        <f>IFERROR(INDEX(Работы!$A$2:$A$6000,563),"")</f>
        <v>РАБ.Р6.1.035</v>
      </c>
      <c r="D564" s="8" t="str">
        <f>IFERROR(INDEX(Работы!$B$2:$B$6000,MATCH($C564,Работы!$A$2:$A$6000,0)),"")</f>
        <v>Монтаж труб отопления из стальных водогазопроводных труб, диаметр до 32мм</v>
      </c>
      <c r="E564" t="str">
        <f>IFERROR(INDEX(Работы!$C$2:$C$6000,MATCH($C564,Работы!$A$2:$A$6000,0)),"")</f>
        <v>м.п.</v>
      </c>
      <c r="F564">
        <f>IFERROR(INDEX(Работы!$G$2:$G$6000,MATCH($C564,Работы!$A$2:$A$6000,0)),"")</f>
        <v>0</v>
      </c>
      <c r="G564" t="str">
        <f>IFERROR(INDEX(Работы!$K$2:$K$6000,MATCH($C564,Работы!$A$2:$A$6000,0)),"")</f>
        <v>Погонаж</v>
      </c>
      <c r="H564" s="9"/>
      <c r="I564" s="9"/>
      <c r="J564" s="8" t="str">
        <f>IFERROR(INDEX(Материалы!$B$2:$B$9000,MATCH($I564,Материалы!$A$2:$A$9000,0)),"")</f>
        <v/>
      </c>
      <c r="K564" t="str">
        <f>IF($I564="","",IF($F564=IFERROR(INDEX(Материалы!$G$2:$G$9000,MATCH($I564,Материалы!$A$2:$A$9000,0)),""),"OK","!! не та группа"))</f>
        <v/>
      </c>
      <c r="L564" s="10">
        <f>IFERROR(INDEX(Работы!$H$2:$H$6000,MATCH($C564,Работы!$A$2:$A$6000,0))*(1-ДисконтТендер),0)</f>
        <v>583.6</v>
      </c>
      <c r="M564" s="10">
        <f>IF($I564="",0,IFERROR(INDEX(Материалы!$I$2:$I$9000,MATCH($I564,Материалы!$A$2:$A$9000,0))*IF(INDEX(Материалы!$J$2:$J$9000,MATCH($I564,Материалы!$A$2:$A$9000,0))="USD",КурсUSD,IF(INDEX(Материалы!$J$2:$J$9000,MATCH($I564,Материалы!$A$2:$A$9000,0))="EUR",КурсEUR,1))*INDEX(Материалы!$K$2:$K$9000,MATCH($I564,Материалы!$A$2:$A$9000,0))*(1+IFERROR(INDEX(Работы!$I$2:$I$6000,MATCH($C564,Работы!$A$2:$A$6000,0))/100,0))*(1-ДисконтТендер),0))</f>
        <v>0</v>
      </c>
      <c r="N564" s="10">
        <f t="shared" si="24"/>
        <v>0</v>
      </c>
      <c r="O564" s="10">
        <f t="shared" si="25"/>
        <v>0</v>
      </c>
      <c r="P564" s="10">
        <f t="shared" si="26"/>
        <v>0</v>
      </c>
      <c r="Q564" t="str">
        <f>IFERROR(INDEX(Работы!$J$2:$J$6000,MATCH($C564,Работы!$A$2:$A$6000,0)),"")</f>
        <v>типовая</v>
      </c>
      <c r="R564" t="s">
        <v>92</v>
      </c>
      <c r="T564" t="str">
        <f>IF(AND($P564&gt;0,$R564="да"),MAX($T$1:$T563)+1,"")</f>
        <v/>
      </c>
    </row>
    <row r="565" spans="1:20" x14ac:dyDescent="0.3">
      <c r="A565" t="str">
        <f>IFERROR(INDEX(Работы!$D$2:$D$6000,MATCH($C565,Работы!$A$2:$A$6000,0)),"")</f>
        <v>Р6</v>
      </c>
      <c r="B565" t="str">
        <f>IFERROR(INDEX(Работы!$F$2:$F$6000,MATCH($C565,Работы!$A$2:$A$6000,0)),"")</f>
        <v>1</v>
      </c>
      <c r="C565" t="str">
        <f>IFERROR(INDEX(Работы!$A$2:$A$6000,564),"")</f>
        <v>РАБ.Р6.1.036</v>
      </c>
      <c r="D565" s="8" t="str">
        <f>IFERROR(INDEX(Работы!$B$2:$B$6000,MATCH($C565,Работы!$A$2:$A$6000,0)),"")</f>
        <v>Ревизия отопительных приборов</v>
      </c>
      <c r="E565" t="str">
        <f>IFERROR(INDEX(Работы!$C$2:$C$6000,MATCH($C565,Работы!$A$2:$A$6000,0)),"")</f>
        <v>шт.</v>
      </c>
      <c r="F565" t="str">
        <f>IFERROR(INDEX(Работы!$G$2:$G$6000,MATCH($C565,Работы!$A$2:$A$6000,0)),"")</f>
        <v>РАД</v>
      </c>
      <c r="G565" t="str">
        <f>IFERROR(INDEX(Работы!$K$2:$K$6000,MATCH($C565,Работы!$A$2:$A$6000,0)),"")</f>
        <v>Спецификация</v>
      </c>
      <c r="H565" s="9"/>
      <c r="I565" s="9"/>
      <c r="J565" s="8" t="str">
        <f>IFERROR(INDEX(Материалы!$B$2:$B$9000,MATCH($I565,Материалы!$A$2:$A$9000,0)),"")</f>
        <v/>
      </c>
      <c r="K565" t="str">
        <f>IF($I565="","",IF($F565=IFERROR(INDEX(Материалы!$G$2:$G$9000,MATCH($I565,Материалы!$A$2:$A$9000,0)),""),"OK","!! не та группа"))</f>
        <v/>
      </c>
      <c r="L565" s="10">
        <f>IFERROR(INDEX(Работы!$H$2:$H$6000,MATCH($C565,Работы!$A$2:$A$6000,0))*(1-ДисконтТендер),0)</f>
        <v>3135</v>
      </c>
      <c r="M565" s="10">
        <f>IF($I565="",0,IFERROR(INDEX(Материалы!$I$2:$I$9000,MATCH($I565,Материалы!$A$2:$A$9000,0))*IF(INDEX(Материалы!$J$2:$J$9000,MATCH($I565,Материалы!$A$2:$A$9000,0))="USD",КурсUSD,IF(INDEX(Материалы!$J$2:$J$9000,MATCH($I565,Материалы!$A$2:$A$9000,0))="EUR",КурсEUR,1))*INDEX(Материалы!$K$2:$K$9000,MATCH($I565,Материалы!$A$2:$A$9000,0))*(1+IFERROR(INDEX(Работы!$I$2:$I$6000,MATCH($C565,Работы!$A$2:$A$6000,0))/100,0))*(1-ДисконтТендер),0))</f>
        <v>0</v>
      </c>
      <c r="N565" s="10">
        <f t="shared" si="24"/>
        <v>0</v>
      </c>
      <c r="O565" s="10">
        <f t="shared" si="25"/>
        <v>0</v>
      </c>
      <c r="P565" s="10">
        <f t="shared" si="26"/>
        <v>0</v>
      </c>
      <c r="Q565" t="str">
        <f>IFERROR(INDEX(Работы!$J$2:$J$6000,MATCH($C565,Работы!$A$2:$A$6000,0)),"")</f>
        <v>типовая</v>
      </c>
      <c r="R565" t="s">
        <v>92</v>
      </c>
      <c r="T565" t="str">
        <f>IF(AND($P565&gt;0,$R565="да"),MAX($T$1:$T564)+1,"")</f>
        <v/>
      </c>
    </row>
    <row r="566" spans="1:20" ht="28.8" x14ac:dyDescent="0.3">
      <c r="A566" t="str">
        <f>IFERROR(INDEX(Работы!$D$2:$D$6000,MATCH($C566,Работы!$A$2:$A$6000,0)),"")</f>
        <v>Р6</v>
      </c>
      <c r="B566" t="str">
        <f>IFERROR(INDEX(Работы!$F$2:$F$6000,MATCH($C566,Работы!$A$2:$A$6000,0)),"")</f>
        <v>1</v>
      </c>
      <c r="C566" t="str">
        <f>IFERROR(INDEX(Работы!$A$2:$A$6000,565),"")</f>
        <v>РАБ.Р6.1.037</v>
      </c>
      <c r="D566" s="8" t="str">
        <f>IFERROR(INDEX(Работы!$B$2:$B$6000,MATCH($C566,Работы!$A$2:$A$6000,0)),"")</f>
        <v>Ревизия системы трубопроводов и запорно-регулирующей арматуры</v>
      </c>
      <c r="E566" t="str">
        <f>IFERROR(INDEX(Работы!$C$2:$C$6000,MATCH($C566,Работы!$A$2:$A$6000,0)),"")</f>
        <v>м.п.</v>
      </c>
      <c r="F566" t="str">
        <f>IFERROR(INDEX(Работы!$G$2:$G$6000,MATCH($C566,Работы!$A$2:$A$6000,0)),"")</f>
        <v>ТРУБА.ОВ</v>
      </c>
      <c r="G566" t="str">
        <f>IFERROR(INDEX(Работы!$K$2:$K$6000,MATCH($C566,Работы!$A$2:$A$6000,0)),"")</f>
        <v>Погонаж</v>
      </c>
      <c r="H566" s="9"/>
      <c r="I566" s="9"/>
      <c r="J566" s="8" t="str">
        <f>IFERROR(INDEX(Материалы!$B$2:$B$9000,MATCH($I566,Материалы!$A$2:$A$9000,0)),"")</f>
        <v/>
      </c>
      <c r="K566" t="str">
        <f>IF($I566="","",IF($F566=IFERROR(INDEX(Материалы!$G$2:$G$9000,MATCH($I566,Материалы!$A$2:$A$9000,0)),""),"OK","!! не та группа"))</f>
        <v/>
      </c>
      <c r="L566" s="10">
        <f>IFERROR(INDEX(Работы!$H$2:$H$6000,MATCH($C566,Работы!$A$2:$A$6000,0))*(1-ДисконтТендер),0)</f>
        <v>156.75</v>
      </c>
      <c r="M566" s="10">
        <f>IF($I566="",0,IFERROR(INDEX(Материалы!$I$2:$I$9000,MATCH($I566,Материалы!$A$2:$A$9000,0))*IF(INDEX(Материалы!$J$2:$J$9000,MATCH($I566,Материалы!$A$2:$A$9000,0))="USD",КурсUSD,IF(INDEX(Материалы!$J$2:$J$9000,MATCH($I566,Материалы!$A$2:$A$9000,0))="EUR",КурсEUR,1))*INDEX(Материалы!$K$2:$K$9000,MATCH($I566,Материалы!$A$2:$A$9000,0))*(1+IFERROR(INDEX(Работы!$I$2:$I$6000,MATCH($C566,Работы!$A$2:$A$6000,0))/100,0))*(1-ДисконтТендер),0))</f>
        <v>0</v>
      </c>
      <c r="N566" s="10">
        <f t="shared" si="24"/>
        <v>0</v>
      </c>
      <c r="O566" s="10">
        <f t="shared" si="25"/>
        <v>0</v>
      </c>
      <c r="P566" s="10">
        <f t="shared" si="26"/>
        <v>0</v>
      </c>
      <c r="Q566" t="str">
        <f>IFERROR(INDEX(Работы!$J$2:$J$6000,MATCH($C566,Работы!$A$2:$A$6000,0)),"")</f>
        <v>типовая</v>
      </c>
      <c r="R566" t="s">
        <v>92</v>
      </c>
      <c r="T566" t="str">
        <f>IF(AND($P566&gt;0,$R566="да"),MAX($T$1:$T565)+1,"")</f>
        <v/>
      </c>
    </row>
    <row r="567" spans="1:20" ht="28.8" x14ac:dyDescent="0.3">
      <c r="A567" t="str">
        <f>IFERROR(INDEX(Работы!$D$2:$D$6000,MATCH($C567,Работы!$A$2:$A$6000,0)),"")</f>
        <v>Р6</v>
      </c>
      <c r="B567" t="str">
        <f>IFERROR(INDEX(Работы!$F$2:$F$6000,MATCH($C567,Работы!$A$2:$A$6000,0)),"")</f>
        <v>1</v>
      </c>
      <c r="C567" t="str">
        <f>IFERROR(INDEX(Работы!$A$2:$A$6000,566),"")</f>
        <v>РАБ.Р6.1.038</v>
      </c>
      <c r="D567" s="8" t="str">
        <f>IFERROR(INDEX(Работы!$B$2:$B$6000,MATCH($C567,Работы!$A$2:$A$6000,0)),"")</f>
        <v>Коллектор в сборе универсальный 1" ВР-3/4" НР, 12 выходов</v>
      </c>
      <c r="E567" t="str">
        <f>IFERROR(INDEX(Работы!$C$2:$C$6000,MATCH($C567,Работы!$A$2:$A$6000,0)),"")</f>
        <v>шт.</v>
      </c>
      <c r="F567">
        <f>IFERROR(INDEX(Работы!$G$2:$G$6000,MATCH($C567,Работы!$A$2:$A$6000,0)),"")</f>
        <v>0</v>
      </c>
      <c r="G567" t="str">
        <f>IFERROR(INDEX(Работы!$K$2:$K$6000,MATCH($C567,Работы!$A$2:$A$6000,0)),"")</f>
        <v>Спецификация</v>
      </c>
      <c r="H567" s="9"/>
      <c r="I567" s="9"/>
      <c r="J567" s="8" t="str">
        <f>IFERROR(INDEX(Материалы!$B$2:$B$9000,MATCH($I567,Материалы!$A$2:$A$9000,0)),"")</f>
        <v/>
      </c>
      <c r="K567" t="str">
        <f>IF($I567="","",IF($F567=IFERROR(INDEX(Материалы!$G$2:$G$9000,MATCH($I567,Материалы!$A$2:$A$9000,0)),""),"OK","!! не та группа"))</f>
        <v/>
      </c>
      <c r="L567" s="10">
        <f>IFERROR(INDEX(Работы!$H$2:$H$6000,MATCH($C567,Работы!$A$2:$A$6000,0))*(1-ДисконтТендер),0)</f>
        <v>4177.25</v>
      </c>
      <c r="M567" s="10">
        <f>IF($I567="",0,IFERROR(INDEX(Материалы!$I$2:$I$9000,MATCH($I567,Материалы!$A$2:$A$9000,0))*IF(INDEX(Материалы!$J$2:$J$9000,MATCH($I567,Материалы!$A$2:$A$9000,0))="USD",КурсUSD,IF(INDEX(Материалы!$J$2:$J$9000,MATCH($I567,Материалы!$A$2:$A$9000,0))="EUR",КурсEUR,1))*INDEX(Материалы!$K$2:$K$9000,MATCH($I567,Материалы!$A$2:$A$9000,0))*(1+IFERROR(INDEX(Работы!$I$2:$I$6000,MATCH($C567,Работы!$A$2:$A$6000,0))/100,0))*(1-ДисконтТендер),0))</f>
        <v>0</v>
      </c>
      <c r="N567" s="10">
        <f t="shared" si="24"/>
        <v>0</v>
      </c>
      <c r="O567" s="10">
        <f t="shared" si="25"/>
        <v>0</v>
      </c>
      <c r="P567" s="10">
        <f t="shared" si="26"/>
        <v>0</v>
      </c>
      <c r="Q567" t="str">
        <f>IFERROR(INDEX(Работы!$J$2:$J$6000,MATCH($C567,Работы!$A$2:$A$6000,0)),"")</f>
        <v>типовая</v>
      </c>
      <c r="R567" t="s">
        <v>92</v>
      </c>
      <c r="T567" t="str">
        <f>IF(AND($P567&gt;0,$R567="да"),MAX($T$1:$T566)+1,"")</f>
        <v/>
      </c>
    </row>
    <row r="568" spans="1:20" ht="28.8" x14ac:dyDescent="0.3">
      <c r="A568" t="str">
        <f>IFERROR(INDEX(Работы!$D$2:$D$6000,MATCH($C568,Работы!$A$2:$A$6000,0)),"")</f>
        <v>Р6</v>
      </c>
      <c r="B568" t="str">
        <f>IFERROR(INDEX(Работы!$F$2:$F$6000,MATCH($C568,Работы!$A$2:$A$6000,0)),"")</f>
        <v>1</v>
      </c>
      <c r="C568" t="str">
        <f>IFERROR(INDEX(Работы!$A$2:$A$6000,567),"")</f>
        <v>РАБ.Р6.1.039</v>
      </c>
      <c r="D568" s="8" t="str">
        <f>IFERROR(INDEX(Работы!$B$2:$B$6000,MATCH($C568,Работы!$A$2:$A$6000,0)),"")</f>
        <v>Коллектор в сборе универсальный 1" ВР-3/4" НР, 10 выходов</v>
      </c>
      <c r="E568" t="str">
        <f>IFERROR(INDEX(Работы!$C$2:$C$6000,MATCH($C568,Работы!$A$2:$A$6000,0)),"")</f>
        <v>шт.</v>
      </c>
      <c r="F568">
        <f>IFERROR(INDEX(Работы!$G$2:$G$6000,MATCH($C568,Работы!$A$2:$A$6000,0)),"")</f>
        <v>0</v>
      </c>
      <c r="G568" t="str">
        <f>IFERROR(INDEX(Работы!$K$2:$K$6000,MATCH($C568,Работы!$A$2:$A$6000,0)),"")</f>
        <v>Спецификация</v>
      </c>
      <c r="H568" s="9"/>
      <c r="I568" s="9"/>
      <c r="J568" s="8" t="str">
        <f>IFERROR(INDEX(Материалы!$B$2:$B$9000,MATCH($I568,Материалы!$A$2:$A$9000,0)),"")</f>
        <v/>
      </c>
      <c r="K568" t="str">
        <f>IF($I568="","",IF($F568=IFERROR(INDEX(Материалы!$G$2:$G$9000,MATCH($I568,Материалы!$A$2:$A$9000,0)),""),"OK","!! не та группа"))</f>
        <v/>
      </c>
      <c r="L568" s="10">
        <f>IFERROR(INDEX(Работы!$H$2:$H$6000,MATCH($C568,Работы!$A$2:$A$6000,0))*(1-ДисконтТендер),0)</f>
        <v>4172.6899999999996</v>
      </c>
      <c r="M568" s="10">
        <f>IF($I568="",0,IFERROR(INDEX(Материалы!$I$2:$I$9000,MATCH($I568,Материалы!$A$2:$A$9000,0))*IF(INDEX(Материалы!$J$2:$J$9000,MATCH($I568,Материалы!$A$2:$A$9000,0))="USD",КурсUSD,IF(INDEX(Материалы!$J$2:$J$9000,MATCH($I568,Материалы!$A$2:$A$9000,0))="EUR",КурсEUR,1))*INDEX(Материалы!$K$2:$K$9000,MATCH($I568,Материалы!$A$2:$A$9000,0))*(1+IFERROR(INDEX(Работы!$I$2:$I$6000,MATCH($C568,Работы!$A$2:$A$6000,0))/100,0))*(1-ДисконтТендер),0))</f>
        <v>0</v>
      </c>
      <c r="N568" s="10">
        <f t="shared" si="24"/>
        <v>0</v>
      </c>
      <c r="O568" s="10">
        <f t="shared" si="25"/>
        <v>0</v>
      </c>
      <c r="P568" s="10">
        <f t="shared" si="26"/>
        <v>0</v>
      </c>
      <c r="Q568" t="str">
        <f>IFERROR(INDEX(Работы!$J$2:$J$6000,MATCH($C568,Работы!$A$2:$A$6000,0)),"")</f>
        <v>типовая</v>
      </c>
      <c r="R568" t="s">
        <v>92</v>
      </c>
      <c r="T568" t="str">
        <f>IF(AND($P568&gt;0,$R568="да"),MAX($T$1:$T567)+1,"")</f>
        <v/>
      </c>
    </row>
    <row r="569" spans="1:20" ht="28.8" x14ac:dyDescent="0.3">
      <c r="A569" t="str">
        <f>IFERROR(INDEX(Работы!$D$2:$D$6000,MATCH($C569,Работы!$A$2:$A$6000,0)),"")</f>
        <v>Р6</v>
      </c>
      <c r="B569" t="str">
        <f>IFERROR(INDEX(Работы!$F$2:$F$6000,MATCH($C569,Работы!$A$2:$A$6000,0)),"")</f>
        <v>1</v>
      </c>
      <c r="C569" t="str">
        <f>IFERROR(INDEX(Работы!$A$2:$A$6000,568),"")</f>
        <v>РАБ.Р6.1.040</v>
      </c>
      <c r="D569" s="8" t="str">
        <f>IFERROR(INDEX(Работы!$B$2:$B$6000,MATCH($C569,Работы!$A$2:$A$6000,0)),"")</f>
        <v>Коллектор в сборе универсальный 1" ВР-3/4" НР, 8 выходов</v>
      </c>
      <c r="E569" t="str">
        <f>IFERROR(INDEX(Работы!$C$2:$C$6000,MATCH($C569,Работы!$A$2:$A$6000,0)),"")</f>
        <v>шт.</v>
      </c>
      <c r="F569">
        <f>IFERROR(INDEX(Работы!$G$2:$G$6000,MATCH($C569,Работы!$A$2:$A$6000,0)),"")</f>
        <v>0</v>
      </c>
      <c r="G569" t="str">
        <f>IFERROR(INDEX(Работы!$K$2:$K$6000,MATCH($C569,Работы!$A$2:$A$6000,0)),"")</f>
        <v>Спецификация</v>
      </c>
      <c r="H569" s="9"/>
      <c r="I569" s="9"/>
      <c r="J569" s="8" t="str">
        <f>IFERROR(INDEX(Материалы!$B$2:$B$9000,MATCH($I569,Материалы!$A$2:$A$9000,0)),"")</f>
        <v/>
      </c>
      <c r="K569" t="str">
        <f>IF($I569="","",IF($F569=IFERROR(INDEX(Материалы!$G$2:$G$9000,MATCH($I569,Материалы!$A$2:$A$9000,0)),""),"OK","!! не та группа"))</f>
        <v/>
      </c>
      <c r="L569" s="10">
        <f>IFERROR(INDEX(Работы!$H$2:$H$6000,MATCH($C569,Работы!$A$2:$A$6000,0))*(1-ДисконтТендер),0)</f>
        <v>4153.88</v>
      </c>
      <c r="M569" s="10">
        <f>IF($I569="",0,IFERROR(INDEX(Материалы!$I$2:$I$9000,MATCH($I569,Материалы!$A$2:$A$9000,0))*IF(INDEX(Материалы!$J$2:$J$9000,MATCH($I569,Материалы!$A$2:$A$9000,0))="USD",КурсUSD,IF(INDEX(Материалы!$J$2:$J$9000,MATCH($I569,Материалы!$A$2:$A$9000,0))="EUR",КурсEUR,1))*INDEX(Материалы!$K$2:$K$9000,MATCH($I569,Материалы!$A$2:$A$9000,0))*(1+IFERROR(INDEX(Работы!$I$2:$I$6000,MATCH($C569,Работы!$A$2:$A$6000,0))/100,0))*(1-ДисконтТендер),0))</f>
        <v>0</v>
      </c>
      <c r="N569" s="10">
        <f t="shared" si="24"/>
        <v>0</v>
      </c>
      <c r="O569" s="10">
        <f t="shared" si="25"/>
        <v>0</v>
      </c>
      <c r="P569" s="10">
        <f t="shared" si="26"/>
        <v>0</v>
      </c>
      <c r="Q569" t="str">
        <f>IFERROR(INDEX(Работы!$J$2:$J$6000,MATCH($C569,Работы!$A$2:$A$6000,0)),"")</f>
        <v>типовая</v>
      </c>
      <c r="R569" t="s">
        <v>92</v>
      </c>
      <c r="T569" t="str">
        <f>IF(AND($P569&gt;0,$R569="да"),MAX($T$1:$T568)+1,"")</f>
        <v/>
      </c>
    </row>
    <row r="570" spans="1:20" ht="28.8" x14ac:dyDescent="0.3">
      <c r="A570" t="str">
        <f>IFERROR(INDEX(Работы!$D$2:$D$6000,MATCH($C570,Работы!$A$2:$A$6000,0)),"")</f>
        <v>Р6</v>
      </c>
      <c r="B570" t="str">
        <f>IFERROR(INDEX(Работы!$F$2:$F$6000,MATCH($C570,Работы!$A$2:$A$6000,0)),"")</f>
        <v>1</v>
      </c>
      <c r="C570" t="str">
        <f>IFERROR(INDEX(Работы!$A$2:$A$6000,569),"")</f>
        <v>РАБ.Р6.1.041</v>
      </c>
      <c r="D570" s="8" t="str">
        <f>IFERROR(INDEX(Работы!$B$2:$B$6000,MATCH($C570,Работы!$A$2:$A$6000,0)),"")</f>
        <v>Соединение прямое с внутренней резьбой 16 (накидная гайка, евроконус)</v>
      </c>
      <c r="E570" t="str">
        <f>IFERROR(INDEX(Работы!$C$2:$C$6000,MATCH($C570,Работы!$A$2:$A$6000,0)),"")</f>
        <v>шт.</v>
      </c>
      <c r="F570">
        <f>IFERROR(INDEX(Работы!$G$2:$G$6000,MATCH($C570,Работы!$A$2:$A$6000,0)),"")</f>
        <v>0</v>
      </c>
      <c r="G570" t="str">
        <f>IFERROR(INDEX(Работы!$K$2:$K$6000,MATCH($C570,Работы!$A$2:$A$6000,0)),"")</f>
        <v>Спецификация</v>
      </c>
      <c r="H570" s="9"/>
      <c r="I570" s="9"/>
      <c r="J570" s="8" t="str">
        <f>IFERROR(INDEX(Материалы!$B$2:$B$9000,MATCH($I570,Материалы!$A$2:$A$9000,0)),"")</f>
        <v/>
      </c>
      <c r="K570" t="str">
        <f>IF($I570="","",IF($F570=IFERROR(INDEX(Материалы!$G$2:$G$9000,MATCH($I570,Материалы!$A$2:$A$9000,0)),""),"OK","!! не та группа"))</f>
        <v/>
      </c>
      <c r="L570" s="10">
        <f>IFERROR(INDEX(Работы!$H$2:$H$6000,MATCH($C570,Работы!$A$2:$A$6000,0))*(1-ДисконтТендер),0)</f>
        <v>365.75</v>
      </c>
      <c r="M570" s="10">
        <f>IF($I570="",0,IFERROR(INDEX(Материалы!$I$2:$I$9000,MATCH($I570,Материалы!$A$2:$A$9000,0))*IF(INDEX(Материалы!$J$2:$J$9000,MATCH($I570,Материалы!$A$2:$A$9000,0))="USD",КурсUSD,IF(INDEX(Материалы!$J$2:$J$9000,MATCH($I570,Материалы!$A$2:$A$9000,0))="EUR",КурсEUR,1))*INDEX(Материалы!$K$2:$K$9000,MATCH($I570,Материалы!$A$2:$A$9000,0))*(1+IFERROR(INDEX(Работы!$I$2:$I$6000,MATCH($C570,Работы!$A$2:$A$6000,0))/100,0))*(1-ДисконтТендер),0))</f>
        <v>0</v>
      </c>
      <c r="N570" s="10">
        <f t="shared" si="24"/>
        <v>0</v>
      </c>
      <c r="O570" s="10">
        <f t="shared" si="25"/>
        <v>0</v>
      </c>
      <c r="P570" s="10">
        <f t="shared" si="26"/>
        <v>0</v>
      </c>
      <c r="Q570" t="str">
        <f>IFERROR(INDEX(Работы!$J$2:$J$6000,MATCH($C570,Работы!$A$2:$A$6000,0)),"")</f>
        <v>типовая</v>
      </c>
      <c r="R570" t="s">
        <v>92</v>
      </c>
      <c r="T570" t="str">
        <f>IF(AND($P570&gt;0,$R570="да"),MAX($T$1:$T569)+1,"")</f>
        <v/>
      </c>
    </row>
    <row r="571" spans="1:20" x14ac:dyDescent="0.3">
      <c r="A571" t="str">
        <f>IFERROR(INDEX(Работы!$D$2:$D$6000,MATCH($C571,Работы!$A$2:$A$6000,0)),"")</f>
        <v>Р6</v>
      </c>
      <c r="B571" t="str">
        <f>IFERROR(INDEX(Работы!$F$2:$F$6000,MATCH($C571,Работы!$A$2:$A$6000,0)),"")</f>
        <v>1</v>
      </c>
      <c r="C571" t="str">
        <f>IFERROR(INDEX(Работы!$A$2:$A$6000,570),"")</f>
        <v>РАБ.Р6.1.042</v>
      </c>
      <c r="D571" s="8" t="str">
        <f>IFERROR(INDEX(Работы!$B$2:$B$6000,MATCH($C571,Работы!$A$2:$A$6000,0)),"")</f>
        <v>Монтаж задвижек 30с64нж Ду100 (отопление)</v>
      </c>
      <c r="E571" t="str">
        <f>IFERROR(INDEX(Работы!$C$2:$C$6000,MATCH($C571,Работы!$A$2:$A$6000,0)),"")</f>
        <v>шт.</v>
      </c>
      <c r="F571">
        <f>IFERROR(INDEX(Работы!$G$2:$G$6000,MATCH($C571,Работы!$A$2:$A$6000,0)),"")</f>
        <v>0</v>
      </c>
      <c r="G571" t="str">
        <f>IFERROR(INDEX(Работы!$K$2:$K$6000,MATCH($C571,Работы!$A$2:$A$6000,0)),"")</f>
        <v>Спецификация</v>
      </c>
      <c r="H571" s="9"/>
      <c r="I571" s="9"/>
      <c r="J571" s="8" t="str">
        <f>IFERROR(INDEX(Материалы!$B$2:$B$9000,MATCH($I571,Материалы!$A$2:$A$9000,0)),"")</f>
        <v/>
      </c>
      <c r="K571" t="str">
        <f>IF($I571="","",IF($F571=IFERROR(INDEX(Материалы!$G$2:$G$9000,MATCH($I571,Материалы!$A$2:$A$9000,0)),""),"OK","!! не та группа"))</f>
        <v/>
      </c>
      <c r="L571" s="10">
        <f>IFERROR(INDEX(Работы!$H$2:$H$6000,MATCH($C571,Работы!$A$2:$A$6000,0))*(1-ДисконтТендер),0)</f>
        <v>2646.54</v>
      </c>
      <c r="M571" s="10">
        <f>IF($I571="",0,IFERROR(INDEX(Материалы!$I$2:$I$9000,MATCH($I571,Материалы!$A$2:$A$9000,0))*IF(INDEX(Материалы!$J$2:$J$9000,MATCH($I571,Материалы!$A$2:$A$9000,0))="USD",КурсUSD,IF(INDEX(Материалы!$J$2:$J$9000,MATCH($I571,Материалы!$A$2:$A$9000,0))="EUR",КурсEUR,1))*INDEX(Материалы!$K$2:$K$9000,MATCH($I571,Материалы!$A$2:$A$9000,0))*(1+IFERROR(INDEX(Работы!$I$2:$I$6000,MATCH($C571,Работы!$A$2:$A$6000,0))/100,0))*(1-ДисконтТендер),0))</f>
        <v>0</v>
      </c>
      <c r="N571" s="10">
        <f t="shared" si="24"/>
        <v>0</v>
      </c>
      <c r="O571" s="10">
        <f t="shared" si="25"/>
        <v>0</v>
      </c>
      <c r="P571" s="10">
        <f t="shared" si="26"/>
        <v>0</v>
      </c>
      <c r="Q571" t="str">
        <f>IFERROR(INDEX(Работы!$J$2:$J$6000,MATCH($C571,Работы!$A$2:$A$6000,0)),"")</f>
        <v>типовая</v>
      </c>
      <c r="R571" t="s">
        <v>92</v>
      </c>
      <c r="T571" t="str">
        <f>IF(AND($P571&gt;0,$R571="да"),MAX($T$1:$T570)+1,"")</f>
        <v/>
      </c>
    </row>
    <row r="572" spans="1:20" x14ac:dyDescent="0.3">
      <c r="A572" t="str">
        <f>IFERROR(INDEX(Работы!$D$2:$D$6000,MATCH($C572,Работы!$A$2:$A$6000,0)),"")</f>
        <v>Р6</v>
      </c>
      <c r="B572" t="str">
        <f>IFERROR(INDEX(Работы!$F$2:$F$6000,MATCH($C572,Работы!$A$2:$A$6000,0)),"")</f>
        <v>1</v>
      </c>
      <c r="C572" t="str">
        <f>IFERROR(INDEX(Работы!$A$2:$A$6000,571),"")</f>
        <v>РАБ.Р6.1.043</v>
      </c>
      <c r="D572" s="8" t="str">
        <f>IFERROR(INDEX(Работы!$B$2:$B$6000,MATCH($C572,Работы!$A$2:$A$6000,0)),"")</f>
        <v>Монтаж отводов D 110 мм (отопление)</v>
      </c>
      <c r="E572" t="str">
        <f>IFERROR(INDEX(Работы!$C$2:$C$6000,MATCH($C572,Работы!$A$2:$A$6000,0)),"")</f>
        <v>шт.</v>
      </c>
      <c r="F572" t="str">
        <f>IFERROR(INDEX(Работы!$G$2:$G$6000,MATCH($C572,Работы!$A$2:$A$6000,0)),"")</f>
        <v>АРМ.ОВ</v>
      </c>
      <c r="G572" t="str">
        <f>IFERROR(INDEX(Работы!$K$2:$K$6000,MATCH($C572,Работы!$A$2:$A$6000,0)),"")</f>
        <v>Спецификация</v>
      </c>
      <c r="H572" s="9"/>
      <c r="I572" s="9"/>
      <c r="J572" s="8" t="str">
        <f>IFERROR(INDEX(Материалы!$B$2:$B$9000,MATCH($I572,Материалы!$A$2:$A$9000,0)),"")</f>
        <v/>
      </c>
      <c r="K572" t="str">
        <f>IF($I572="","",IF($F572=IFERROR(INDEX(Материалы!$G$2:$G$9000,MATCH($I572,Материалы!$A$2:$A$9000,0)),""),"OK","!! не та группа"))</f>
        <v/>
      </c>
      <c r="L572" s="10">
        <f>IFERROR(INDEX(Работы!$H$2:$H$6000,MATCH($C572,Работы!$A$2:$A$6000,0))*(1-ДисконтТендер),0)</f>
        <v>542.88</v>
      </c>
      <c r="M572" s="10">
        <f>IF($I572="",0,IFERROR(INDEX(Материалы!$I$2:$I$9000,MATCH($I572,Материалы!$A$2:$A$9000,0))*IF(INDEX(Материалы!$J$2:$J$9000,MATCH($I572,Материалы!$A$2:$A$9000,0))="USD",КурсUSD,IF(INDEX(Материалы!$J$2:$J$9000,MATCH($I572,Материалы!$A$2:$A$9000,0))="EUR",КурсEUR,1))*INDEX(Материалы!$K$2:$K$9000,MATCH($I572,Материалы!$A$2:$A$9000,0))*(1+IFERROR(INDEX(Работы!$I$2:$I$6000,MATCH($C572,Работы!$A$2:$A$6000,0))/100,0))*(1-ДисконтТендер),0))</f>
        <v>0</v>
      </c>
      <c r="N572" s="10">
        <f t="shared" si="24"/>
        <v>0</v>
      </c>
      <c r="O572" s="10">
        <f t="shared" si="25"/>
        <v>0</v>
      </c>
      <c r="P572" s="10">
        <f t="shared" si="26"/>
        <v>0</v>
      </c>
      <c r="Q572" t="str">
        <f>IFERROR(INDEX(Работы!$J$2:$J$6000,MATCH($C572,Работы!$A$2:$A$6000,0)),"")</f>
        <v>типовая</v>
      </c>
      <c r="R572" t="s">
        <v>92</v>
      </c>
      <c r="T572" t="str">
        <f>IF(AND($P572&gt;0,$R572="да"),MAX($T$1:$T571)+1,"")</f>
        <v/>
      </c>
    </row>
    <row r="573" spans="1:20" ht="28.8" x14ac:dyDescent="0.3">
      <c r="A573" t="str">
        <f>IFERROR(INDEX(Работы!$D$2:$D$6000,MATCH($C573,Работы!$A$2:$A$6000,0)),"")</f>
        <v>Р6</v>
      </c>
      <c r="B573" t="str">
        <f>IFERROR(INDEX(Работы!$F$2:$F$6000,MATCH($C573,Работы!$A$2:$A$6000,0)),"")</f>
        <v>1</v>
      </c>
      <c r="C573" t="str">
        <f>IFERROR(INDEX(Работы!$A$2:$A$6000,572),"")</f>
        <v>РАБ.Р6.1.044</v>
      </c>
      <c r="D573" s="8" t="str">
        <f>IFERROR(INDEX(Работы!$B$2:$B$6000,MATCH($C573,Работы!$A$2:$A$6000,0)),"")</f>
        <v>Монтаж металлического трубопровода D 110 мм (отопление)</v>
      </c>
      <c r="E573" t="str">
        <f>IFERROR(INDEX(Работы!$C$2:$C$6000,MATCH($C573,Работы!$A$2:$A$6000,0)),"")</f>
        <v>м.п.</v>
      </c>
      <c r="F573" t="str">
        <f>IFERROR(INDEX(Работы!$G$2:$G$6000,MATCH($C573,Работы!$A$2:$A$6000,0)),"")</f>
        <v>ТРУБА.ОВ</v>
      </c>
      <c r="G573" t="str">
        <f>IFERROR(INDEX(Работы!$K$2:$K$6000,MATCH($C573,Работы!$A$2:$A$6000,0)),"")</f>
        <v>Погонаж</v>
      </c>
      <c r="H573" s="9"/>
      <c r="I573" s="9"/>
      <c r="J573" s="8" t="str">
        <f>IFERROR(INDEX(Материалы!$B$2:$B$9000,MATCH($I573,Материалы!$A$2:$A$9000,0)),"")</f>
        <v/>
      </c>
      <c r="K573" t="str">
        <f>IF($I573="","",IF($F573=IFERROR(INDEX(Материалы!$G$2:$G$9000,MATCH($I573,Материалы!$A$2:$A$9000,0)),""),"OK","!! не та группа"))</f>
        <v/>
      </c>
      <c r="L573" s="10">
        <f>IFERROR(INDEX(Работы!$H$2:$H$6000,MATCH($C573,Работы!$A$2:$A$6000,0))*(1-ДисконтТендер),0)</f>
        <v>1299.72</v>
      </c>
      <c r="M573" s="10">
        <f>IF($I573="",0,IFERROR(INDEX(Материалы!$I$2:$I$9000,MATCH($I573,Материалы!$A$2:$A$9000,0))*IF(INDEX(Материалы!$J$2:$J$9000,MATCH($I573,Материалы!$A$2:$A$9000,0))="USD",КурсUSD,IF(INDEX(Материалы!$J$2:$J$9000,MATCH($I573,Материалы!$A$2:$A$9000,0))="EUR",КурсEUR,1))*INDEX(Материалы!$K$2:$K$9000,MATCH($I573,Материалы!$A$2:$A$9000,0))*(1+IFERROR(INDEX(Работы!$I$2:$I$6000,MATCH($C573,Работы!$A$2:$A$6000,0))/100,0))*(1-ДисконтТендер),0))</f>
        <v>0</v>
      </c>
      <c r="N573" s="10">
        <f t="shared" si="24"/>
        <v>0</v>
      </c>
      <c r="O573" s="10">
        <f t="shared" si="25"/>
        <v>0</v>
      </c>
      <c r="P573" s="10">
        <f t="shared" si="26"/>
        <v>0</v>
      </c>
      <c r="Q573" t="str">
        <f>IFERROR(INDEX(Работы!$J$2:$J$6000,MATCH($C573,Работы!$A$2:$A$6000,0)),"")</f>
        <v>типовая</v>
      </c>
      <c r="R573" t="s">
        <v>92</v>
      </c>
      <c r="T573" t="str">
        <f>IF(AND($P573&gt;0,$R573="да"),MAX($T$1:$T572)+1,"")</f>
        <v/>
      </c>
    </row>
    <row r="574" spans="1:20" x14ac:dyDescent="0.3">
      <c r="A574" t="str">
        <f>IFERROR(INDEX(Работы!$D$2:$D$6000,MATCH($C574,Работы!$A$2:$A$6000,0)),"")</f>
        <v>Р6</v>
      </c>
      <c r="B574" t="str">
        <f>IFERROR(INDEX(Работы!$F$2:$F$6000,MATCH($C574,Работы!$A$2:$A$6000,0)),"")</f>
        <v>1</v>
      </c>
      <c r="C574" t="str">
        <f>IFERROR(INDEX(Работы!$A$2:$A$6000,573),"")</f>
        <v>РАБ.Р6.1.045</v>
      </c>
      <c r="D574" s="8" t="str">
        <f>IFERROR(INDEX(Работы!$B$2:$B$6000,MATCH($C574,Работы!$A$2:$A$6000,0)),"")</f>
        <v>Расходные и крепежные материалы</v>
      </c>
      <c r="E574" t="str">
        <f>IFERROR(INDEX(Работы!$C$2:$C$6000,MATCH($C574,Работы!$A$2:$A$6000,0)),"")</f>
        <v>м2</v>
      </c>
      <c r="F574">
        <f>IFERROR(INDEX(Работы!$G$2:$G$6000,MATCH($C574,Работы!$A$2:$A$6000,0)),"")</f>
        <v>0</v>
      </c>
      <c r="G574" t="str">
        <f>IFERROR(INDEX(Работы!$K$2:$K$6000,MATCH($C574,Работы!$A$2:$A$6000,0)),"")</f>
        <v>Спецификация</v>
      </c>
      <c r="H574" s="9"/>
      <c r="I574" s="9"/>
      <c r="J574" s="8" t="str">
        <f>IFERROR(INDEX(Материалы!$B$2:$B$9000,MATCH($I574,Материалы!$A$2:$A$9000,0)),"")</f>
        <v/>
      </c>
      <c r="K574" t="str">
        <f>IF($I574="","",IF($F574=IFERROR(INDEX(Материалы!$G$2:$G$9000,MATCH($I574,Материалы!$A$2:$A$9000,0)),""),"OK","!! не та группа"))</f>
        <v/>
      </c>
      <c r="L574" s="10">
        <f>IFERROR(INDEX(Работы!$H$2:$H$6000,MATCH($C574,Работы!$A$2:$A$6000,0))*(1-ДисконтТендер),0)</f>
        <v>0</v>
      </c>
      <c r="M574" s="10">
        <f>IF($I574="",0,IFERROR(INDEX(Материалы!$I$2:$I$9000,MATCH($I574,Материалы!$A$2:$A$9000,0))*IF(INDEX(Материалы!$J$2:$J$9000,MATCH($I574,Материалы!$A$2:$A$9000,0))="USD",КурсUSD,IF(INDEX(Материалы!$J$2:$J$9000,MATCH($I574,Материалы!$A$2:$A$9000,0))="EUR",КурсEUR,1))*INDEX(Материалы!$K$2:$K$9000,MATCH($I574,Материалы!$A$2:$A$9000,0))*(1+IFERROR(INDEX(Работы!$I$2:$I$6000,MATCH($C574,Работы!$A$2:$A$6000,0))/100,0))*(1-ДисконтТендер),0))</f>
        <v>0</v>
      </c>
      <c r="N574" s="10">
        <f t="shared" si="24"/>
        <v>0</v>
      </c>
      <c r="O574" s="10">
        <f t="shared" si="25"/>
        <v>0</v>
      </c>
      <c r="P574" s="10">
        <f t="shared" si="26"/>
        <v>0</v>
      </c>
      <c r="Q574" t="str">
        <f>IFERROR(INDEX(Работы!$J$2:$J$6000,MATCH($C574,Работы!$A$2:$A$6000,0)),"")</f>
        <v>типовая</v>
      </c>
      <c r="R574" t="s">
        <v>92</v>
      </c>
      <c r="T574" t="str">
        <f>IF(AND($P574&gt;0,$R574="да"),MAX($T$1:$T573)+1,"")</f>
        <v/>
      </c>
    </row>
    <row r="575" spans="1:20" x14ac:dyDescent="0.3">
      <c r="A575" t="str">
        <f>IFERROR(INDEX(Работы!$D$2:$D$6000,MATCH($C575,Работы!$A$2:$A$6000,0)),"")</f>
        <v>Р6</v>
      </c>
      <c r="B575" t="str">
        <f>IFERROR(INDEX(Работы!$F$2:$F$6000,MATCH($C575,Работы!$A$2:$A$6000,0)),"")</f>
        <v>1</v>
      </c>
      <c r="C575" t="str">
        <f>IFERROR(INDEX(Работы!$A$2:$A$6000,574),"")</f>
        <v>РАБ.Р6.1.046</v>
      </c>
      <c r="D575" s="8" t="str">
        <f>IFERROR(INDEX(Работы!$B$2:$B$6000,MATCH($C575,Работы!$A$2:$A$6000,0)),"")</f>
        <v>Ревизия газовых котлов отопления</v>
      </c>
      <c r="E575" t="str">
        <f>IFERROR(INDEX(Работы!$C$2:$C$6000,MATCH($C575,Работы!$A$2:$A$6000,0)),"")</f>
        <v>компл.</v>
      </c>
      <c r="F575">
        <f>IFERROR(INDEX(Работы!$G$2:$G$6000,MATCH($C575,Работы!$A$2:$A$6000,0)),"")</f>
        <v>0</v>
      </c>
      <c r="G575" t="str">
        <f>IFERROR(INDEX(Работы!$K$2:$K$6000,MATCH($C575,Работы!$A$2:$A$6000,0)),"")</f>
        <v>Спецификация</v>
      </c>
      <c r="H575" s="9"/>
      <c r="I575" s="9"/>
      <c r="J575" s="8" t="str">
        <f>IFERROR(INDEX(Материалы!$B$2:$B$9000,MATCH($I575,Материалы!$A$2:$A$9000,0)),"")</f>
        <v/>
      </c>
      <c r="K575" t="str">
        <f>IF($I575="","",IF($F575=IFERROR(INDEX(Материалы!$G$2:$G$9000,MATCH($I575,Материалы!$A$2:$A$9000,0)),""),"OK","!! не та группа"))</f>
        <v/>
      </c>
      <c r="L575" s="10">
        <f>IFERROR(INDEX(Работы!$H$2:$H$6000,MATCH($C575,Работы!$A$2:$A$6000,0))*(1-ДисконтТендер),0)</f>
        <v>28501.200000000001</v>
      </c>
      <c r="M575" s="10">
        <f>IF($I575="",0,IFERROR(INDEX(Материалы!$I$2:$I$9000,MATCH($I575,Материалы!$A$2:$A$9000,0))*IF(INDEX(Материалы!$J$2:$J$9000,MATCH($I575,Материалы!$A$2:$A$9000,0))="USD",КурсUSD,IF(INDEX(Материалы!$J$2:$J$9000,MATCH($I575,Материалы!$A$2:$A$9000,0))="EUR",КурсEUR,1))*INDEX(Материалы!$K$2:$K$9000,MATCH($I575,Материалы!$A$2:$A$9000,0))*(1+IFERROR(INDEX(Работы!$I$2:$I$6000,MATCH($C575,Работы!$A$2:$A$6000,0))/100,0))*(1-ДисконтТендер),0))</f>
        <v>0</v>
      </c>
      <c r="N575" s="10">
        <f t="shared" si="24"/>
        <v>0</v>
      </c>
      <c r="O575" s="10">
        <f t="shared" si="25"/>
        <v>0</v>
      </c>
      <c r="P575" s="10">
        <f t="shared" si="26"/>
        <v>0</v>
      </c>
      <c r="Q575" t="str">
        <f>IFERROR(INDEX(Работы!$J$2:$J$6000,MATCH($C575,Работы!$A$2:$A$6000,0)),"")</f>
        <v>типовая</v>
      </c>
      <c r="R575" t="s">
        <v>92</v>
      </c>
      <c r="T575" t="str">
        <f>IF(AND($P575&gt;0,$R575="да"),MAX($T$1:$T574)+1,"")</f>
        <v/>
      </c>
    </row>
    <row r="576" spans="1:20" x14ac:dyDescent="0.3">
      <c r="A576" t="str">
        <f>IFERROR(INDEX(Работы!$D$2:$D$6000,MATCH($C576,Работы!$A$2:$A$6000,0)),"")</f>
        <v>Р6</v>
      </c>
      <c r="B576" t="str">
        <f>IFERROR(INDEX(Работы!$F$2:$F$6000,MATCH($C576,Работы!$A$2:$A$6000,0)),"")</f>
        <v>1</v>
      </c>
      <c r="C576" t="str">
        <f>IFERROR(INDEX(Работы!$A$2:$A$6000,575),"")</f>
        <v>РАБ.Р6.1.047</v>
      </c>
      <c r="D576" s="8" t="str">
        <f>IFERROR(INDEX(Работы!$B$2:$B$6000,MATCH($C576,Работы!$A$2:$A$6000,0)),"")</f>
        <v>Установка сантехнического люка доступа</v>
      </c>
      <c r="E576" t="str">
        <f>IFERROR(INDEX(Работы!$C$2:$C$6000,MATCH($C576,Работы!$A$2:$A$6000,0)),"")</f>
        <v>шт.</v>
      </c>
      <c r="F576">
        <f>IFERROR(INDEX(Работы!$G$2:$G$6000,MATCH($C576,Работы!$A$2:$A$6000,0)),"")</f>
        <v>0</v>
      </c>
      <c r="G576" t="str">
        <f>IFERROR(INDEX(Работы!$K$2:$K$6000,MATCH($C576,Работы!$A$2:$A$6000,0)),"")</f>
        <v>Спецификация</v>
      </c>
      <c r="H576" s="9"/>
      <c r="I576" s="9"/>
      <c r="J576" s="8" t="str">
        <f>IFERROR(INDEX(Материалы!$B$2:$B$9000,MATCH($I576,Материалы!$A$2:$A$9000,0)),"")</f>
        <v/>
      </c>
      <c r="K576" t="str">
        <f>IF($I576="","",IF($F576=IFERROR(INDEX(Материалы!$G$2:$G$9000,MATCH($I576,Материалы!$A$2:$A$9000,0)),""),"OK","!! не та группа"))</f>
        <v/>
      </c>
      <c r="L576" s="10">
        <f>IFERROR(INDEX(Работы!$H$2:$H$6000,MATCH($C576,Работы!$A$2:$A$6000,0))*(1-ДисконтТендер),0)</f>
        <v>2171.52</v>
      </c>
      <c r="M576" s="10">
        <f>IF($I576="",0,IFERROR(INDEX(Материалы!$I$2:$I$9000,MATCH($I576,Материалы!$A$2:$A$9000,0))*IF(INDEX(Материалы!$J$2:$J$9000,MATCH($I576,Материалы!$A$2:$A$9000,0))="USD",КурсUSD,IF(INDEX(Материалы!$J$2:$J$9000,MATCH($I576,Материалы!$A$2:$A$9000,0))="EUR",КурсEUR,1))*INDEX(Материалы!$K$2:$K$9000,MATCH($I576,Материалы!$A$2:$A$9000,0))*(1+IFERROR(INDEX(Работы!$I$2:$I$6000,MATCH($C576,Работы!$A$2:$A$6000,0))/100,0))*(1-ДисконтТендер),0))</f>
        <v>0</v>
      </c>
      <c r="N576" s="10">
        <f t="shared" si="24"/>
        <v>0</v>
      </c>
      <c r="O576" s="10">
        <f t="shared" si="25"/>
        <v>0</v>
      </c>
      <c r="P576" s="10">
        <f t="shared" si="26"/>
        <v>0</v>
      </c>
      <c r="Q576" t="str">
        <f>IFERROR(INDEX(Работы!$J$2:$J$6000,MATCH($C576,Работы!$A$2:$A$6000,0)),"")</f>
        <v>типовая</v>
      </c>
      <c r="R576" t="s">
        <v>92</v>
      </c>
      <c r="T576" t="str">
        <f>IF(AND($P576&gt;0,$R576="да"),MAX($T$1:$T575)+1,"")</f>
        <v/>
      </c>
    </row>
    <row r="577" spans="1:20" ht="72" x14ac:dyDescent="0.3">
      <c r="A577" t="str">
        <f>IFERROR(INDEX(Работы!$D$2:$D$6000,MATCH($C577,Работы!$A$2:$A$6000,0)),"")</f>
        <v>Р7</v>
      </c>
      <c r="B577" t="str">
        <f>IFERROR(INDEX(Работы!$F$2:$F$6000,MATCH($C577,Работы!$A$2:$A$6000,0)),"")</f>
        <v>1</v>
      </c>
      <c r="C577" t="str">
        <f>IFERROR(INDEX(Работы!$A$2:$A$6000,576),"")</f>
        <v>РАБ.Р7.1.001</v>
      </c>
      <c r="D577" s="8" t="str">
        <f>IFERROR(INDEX(Работы!$B$2:$B$6000,MATCH($C577,Работы!$A$2:$A$6000,0)),"")</f>
        <v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v>
      </c>
      <c r="E577" t="str">
        <f>IFERROR(INDEX(Работы!$C$2:$C$6000,MATCH($C577,Работы!$A$2:$A$6000,0)),"")</f>
        <v>шт.</v>
      </c>
      <c r="F577" t="str">
        <f>IFERROR(INDEX(Работы!$G$2:$G$6000,MATCH($C577,Работы!$A$2:$A$6000,0)),"")</f>
        <v>ПВУ</v>
      </c>
      <c r="G577" t="str">
        <f>IFERROR(INDEX(Работы!$K$2:$K$6000,MATCH($C577,Работы!$A$2:$A$6000,0)),"")</f>
        <v>Спецификация</v>
      </c>
      <c r="H577" s="9"/>
      <c r="I577" s="9"/>
      <c r="J577" s="8" t="str">
        <f>IFERROR(INDEX(Материалы!$B$2:$B$9000,MATCH($I577,Материалы!$A$2:$A$9000,0)),"")</f>
        <v/>
      </c>
      <c r="K577" t="str">
        <f>IF($I577="","",IF($F577=IFERROR(INDEX(Материалы!$G$2:$G$9000,MATCH($I577,Материалы!$A$2:$A$9000,0)),""),"OK","!! не та группа"))</f>
        <v/>
      </c>
      <c r="L577" s="10">
        <f>IFERROR(INDEX(Работы!$H$2:$H$6000,MATCH($C577,Работы!$A$2:$A$6000,0))*(1-ДисконтТендер),0)</f>
        <v>75324.600000000006</v>
      </c>
      <c r="M577" s="10">
        <f>IF($I577="",0,IFERROR(INDEX(Материалы!$I$2:$I$9000,MATCH($I577,Материалы!$A$2:$A$9000,0))*IF(INDEX(Материалы!$J$2:$J$9000,MATCH($I577,Материалы!$A$2:$A$9000,0))="USD",КурсUSD,IF(INDEX(Материалы!$J$2:$J$9000,MATCH($I577,Материалы!$A$2:$A$9000,0))="EUR",КурсEUR,1))*INDEX(Материалы!$K$2:$K$9000,MATCH($I577,Материалы!$A$2:$A$9000,0))*(1+IFERROR(INDEX(Работы!$I$2:$I$6000,MATCH($C577,Работы!$A$2:$A$6000,0))/100,0))*(1-ДисконтТендер),0))</f>
        <v>0</v>
      </c>
      <c r="N577" s="10">
        <f t="shared" si="24"/>
        <v>0</v>
      </c>
      <c r="O577" s="10">
        <f t="shared" si="25"/>
        <v>0</v>
      </c>
      <c r="P577" s="10">
        <f t="shared" si="26"/>
        <v>0</v>
      </c>
      <c r="Q577" t="str">
        <f>IFERROR(INDEX(Работы!$J$2:$J$6000,MATCH($C577,Работы!$A$2:$A$6000,0)),"")</f>
        <v>типовая</v>
      </c>
      <c r="R577" t="s">
        <v>92</v>
      </c>
      <c r="T577" t="str">
        <f>IF(AND($P577&gt;0,$R577="да"),MAX($T$1:$T576)+1,"")</f>
        <v/>
      </c>
    </row>
    <row r="578" spans="1:20" ht="72" x14ac:dyDescent="0.3">
      <c r="A578" t="str">
        <f>IFERROR(INDEX(Работы!$D$2:$D$6000,MATCH($C578,Работы!$A$2:$A$6000,0)),"")</f>
        <v>Р7</v>
      </c>
      <c r="B578" t="str">
        <f>IFERROR(INDEX(Работы!$F$2:$F$6000,MATCH($C578,Работы!$A$2:$A$6000,0)),"")</f>
        <v>1</v>
      </c>
      <c r="C578" t="str">
        <f>IFERROR(INDEX(Работы!$A$2:$A$6000,577),"")</f>
        <v>РАБ.Р7.1.002</v>
      </c>
      <c r="D578" s="8" t="str">
        <f>IFERROR(INDEX(Работы!$B$2:$B$6000,MATCH($C578,Работы!$A$2:$A$6000,0)),"")</f>
        <v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v>
      </c>
      <c r="E578" t="str">
        <f>IFERROR(INDEX(Работы!$C$2:$C$6000,MATCH($C578,Работы!$A$2:$A$6000,0)),"")</f>
        <v>шт.</v>
      </c>
      <c r="F578" t="str">
        <f>IFERROR(INDEX(Работы!$G$2:$G$6000,MATCH($C578,Работы!$A$2:$A$6000,0)),"")</f>
        <v>ПВУ</v>
      </c>
      <c r="G578" t="str">
        <f>IFERROR(INDEX(Работы!$K$2:$K$6000,MATCH($C578,Работы!$A$2:$A$6000,0)),"")</f>
        <v>Спецификация</v>
      </c>
      <c r="H578" s="9"/>
      <c r="I578" s="9"/>
      <c r="J578" s="8" t="str">
        <f>IFERROR(INDEX(Материалы!$B$2:$B$9000,MATCH($I578,Материалы!$A$2:$A$9000,0)),"")</f>
        <v/>
      </c>
      <c r="K578" t="str">
        <f>IF($I578="","",IF($F578=IFERROR(INDEX(Материалы!$G$2:$G$9000,MATCH($I578,Материалы!$A$2:$A$9000,0)),""),"OK","!! не та группа"))</f>
        <v/>
      </c>
      <c r="L578" s="10">
        <f>IFERROR(INDEX(Работы!$H$2:$H$6000,MATCH($C578,Работы!$A$2:$A$6000,0))*(1-ДисконтТендер),0)</f>
        <v>94777.8</v>
      </c>
      <c r="M578" s="10">
        <f>IF($I578="",0,IFERROR(INDEX(Материалы!$I$2:$I$9000,MATCH($I578,Материалы!$A$2:$A$9000,0))*IF(INDEX(Материалы!$J$2:$J$9000,MATCH($I578,Материалы!$A$2:$A$9000,0))="USD",КурсUSD,IF(INDEX(Материалы!$J$2:$J$9000,MATCH($I578,Материалы!$A$2:$A$9000,0))="EUR",КурсEUR,1))*INDEX(Материалы!$K$2:$K$9000,MATCH($I578,Материалы!$A$2:$A$9000,0))*(1+IFERROR(INDEX(Работы!$I$2:$I$6000,MATCH($C578,Работы!$A$2:$A$6000,0))/100,0))*(1-ДисконтТендер),0))</f>
        <v>0</v>
      </c>
      <c r="N578" s="10">
        <f t="shared" ref="N578:N641" si="27">IF(AND($R578="да",$H578&lt;&gt;""),ROUND($H578*$L578,2),0)</f>
        <v>0</v>
      </c>
      <c r="O578" s="10">
        <f t="shared" ref="O578:O641" si="28">IF(AND($R578="да",$H578&lt;&gt;""),ROUND($H578*$M578,2),0)</f>
        <v>0</v>
      </c>
      <c r="P578" s="10">
        <f t="shared" ref="P578:P641" si="29">$N578+$O578</f>
        <v>0</v>
      </c>
      <c r="Q578" t="str">
        <f>IFERROR(INDEX(Работы!$J$2:$J$6000,MATCH($C578,Работы!$A$2:$A$6000,0)),"")</f>
        <v>типовая</v>
      </c>
      <c r="R578" t="s">
        <v>92</v>
      </c>
      <c r="T578" t="str">
        <f>IF(AND($P578&gt;0,$R578="да"),MAX($T$1:$T577)+1,"")</f>
        <v/>
      </c>
    </row>
    <row r="579" spans="1:20" ht="72" x14ac:dyDescent="0.3">
      <c r="A579" t="str">
        <f>IFERROR(INDEX(Работы!$D$2:$D$6000,MATCH($C579,Работы!$A$2:$A$6000,0)),"")</f>
        <v>Р7</v>
      </c>
      <c r="B579" t="str">
        <f>IFERROR(INDEX(Работы!$F$2:$F$6000,MATCH($C579,Работы!$A$2:$A$6000,0)),"")</f>
        <v>1</v>
      </c>
      <c r="C579" t="str">
        <f>IFERROR(INDEX(Работы!$A$2:$A$6000,578),"")</f>
        <v>РАБ.Р7.1.003</v>
      </c>
      <c r="D579" s="8" t="str">
        <f>IFERROR(INDEX(Работы!$B$2:$B$6000,MATCH($C579,Работы!$A$2:$A$6000,0)),"")</f>
        <v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v>
      </c>
      <c r="E579" t="str">
        <f>IFERROR(INDEX(Работы!$C$2:$C$6000,MATCH($C579,Работы!$A$2:$A$6000,0)),"")</f>
        <v>шт.</v>
      </c>
      <c r="F579" t="str">
        <f>IFERROR(INDEX(Работы!$G$2:$G$6000,MATCH($C579,Работы!$A$2:$A$6000,0)),"")</f>
        <v>ПВУ</v>
      </c>
      <c r="G579" t="str">
        <f>IFERROR(INDEX(Работы!$K$2:$K$6000,MATCH($C579,Работы!$A$2:$A$6000,0)),"")</f>
        <v>Спецификация</v>
      </c>
      <c r="H579" s="9"/>
      <c r="I579" s="9"/>
      <c r="J579" s="8" t="str">
        <f>IFERROR(INDEX(Материалы!$B$2:$B$9000,MATCH($I579,Материалы!$A$2:$A$9000,0)),"")</f>
        <v/>
      </c>
      <c r="K579" t="str">
        <f>IF($I579="","",IF($F579=IFERROR(INDEX(Материалы!$G$2:$G$9000,MATCH($I579,Материалы!$A$2:$A$9000,0)),""),"OK","!! не та группа"))</f>
        <v/>
      </c>
      <c r="L579" s="10">
        <f>IFERROR(INDEX(Работы!$H$2:$H$6000,MATCH($C579,Работы!$A$2:$A$6000,0))*(1-ДисконтТендер),0)</f>
        <v>104278.2</v>
      </c>
      <c r="M579" s="10">
        <f>IF($I579="",0,IFERROR(INDEX(Материалы!$I$2:$I$9000,MATCH($I579,Материалы!$A$2:$A$9000,0))*IF(INDEX(Материалы!$J$2:$J$9000,MATCH($I579,Материалы!$A$2:$A$9000,0))="USD",КурсUSD,IF(INDEX(Материалы!$J$2:$J$9000,MATCH($I579,Материалы!$A$2:$A$9000,0))="EUR",КурсEUR,1))*INDEX(Материалы!$K$2:$K$9000,MATCH($I579,Материалы!$A$2:$A$9000,0))*(1+IFERROR(INDEX(Работы!$I$2:$I$6000,MATCH($C579,Работы!$A$2:$A$6000,0))/100,0))*(1-ДисконтТендер),0))</f>
        <v>0</v>
      </c>
      <c r="N579" s="10">
        <f t="shared" si="27"/>
        <v>0</v>
      </c>
      <c r="O579" s="10">
        <f t="shared" si="28"/>
        <v>0</v>
      </c>
      <c r="P579" s="10">
        <f t="shared" si="29"/>
        <v>0</v>
      </c>
      <c r="Q579" t="str">
        <f>IFERROR(INDEX(Работы!$J$2:$J$6000,MATCH($C579,Работы!$A$2:$A$6000,0)),"")</f>
        <v>типовая</v>
      </c>
      <c r="R579" t="s">
        <v>92</v>
      </c>
      <c r="T579" t="str">
        <f>IF(AND($P579&gt;0,$R579="да"),MAX($T$1:$T578)+1,"")</f>
        <v/>
      </c>
    </row>
    <row r="580" spans="1:20" ht="72" x14ac:dyDescent="0.3">
      <c r="A580" t="str">
        <f>IFERROR(INDEX(Работы!$D$2:$D$6000,MATCH($C580,Работы!$A$2:$A$6000,0)),"")</f>
        <v>Р7</v>
      </c>
      <c r="B580" t="str">
        <f>IFERROR(INDEX(Работы!$F$2:$F$6000,MATCH($C580,Работы!$A$2:$A$6000,0)),"")</f>
        <v>1</v>
      </c>
      <c r="C580" t="str">
        <f>IFERROR(INDEX(Работы!$A$2:$A$6000,579),"")</f>
        <v>РАБ.Р7.1.004</v>
      </c>
      <c r="D580" s="8" t="str">
        <f>IFERROR(INDEX(Работы!$B$2:$B$6000,MATCH($C580,Работы!$A$2:$A$6000,0)),"")</f>
        <v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v>
      </c>
      <c r="E580" t="str">
        <f>IFERROR(INDEX(Работы!$C$2:$C$6000,MATCH($C580,Работы!$A$2:$A$6000,0)),"")</f>
        <v>шт.</v>
      </c>
      <c r="F580" t="str">
        <f>IFERROR(INDEX(Работы!$G$2:$G$6000,MATCH($C580,Работы!$A$2:$A$6000,0)),"")</f>
        <v>ПВУ</v>
      </c>
      <c r="G580" t="str">
        <f>IFERROR(INDEX(Работы!$K$2:$K$6000,MATCH($C580,Работы!$A$2:$A$6000,0)),"")</f>
        <v>Спецификация</v>
      </c>
      <c r="H580" s="9"/>
      <c r="I580" s="9"/>
      <c r="J580" s="8" t="str">
        <f>IFERROR(INDEX(Материалы!$B$2:$B$9000,MATCH($I580,Материалы!$A$2:$A$9000,0)),"")</f>
        <v/>
      </c>
      <c r="K580" t="str">
        <f>IF($I580="","",IF($F580=IFERROR(INDEX(Материалы!$G$2:$G$9000,MATCH($I580,Материалы!$A$2:$A$9000,0)),""),"OK","!! не та группа"))</f>
        <v/>
      </c>
      <c r="L580" s="10">
        <f>IFERROR(INDEX(Работы!$H$2:$H$6000,MATCH($C580,Работы!$A$2:$A$6000,0))*(1-ДисконтТендер),0)</f>
        <v>141375</v>
      </c>
      <c r="M580" s="10">
        <f>IF($I580="",0,IFERROR(INDEX(Материалы!$I$2:$I$9000,MATCH($I580,Материалы!$A$2:$A$9000,0))*IF(INDEX(Материалы!$J$2:$J$9000,MATCH($I580,Материалы!$A$2:$A$9000,0))="USD",КурсUSD,IF(INDEX(Материалы!$J$2:$J$9000,MATCH($I580,Материалы!$A$2:$A$9000,0))="EUR",КурсEUR,1))*INDEX(Материалы!$K$2:$K$9000,MATCH($I580,Материалы!$A$2:$A$9000,0))*(1+IFERROR(INDEX(Работы!$I$2:$I$6000,MATCH($C580,Работы!$A$2:$A$6000,0))/100,0))*(1-ДисконтТендер),0))</f>
        <v>0</v>
      </c>
      <c r="N580" s="10">
        <f t="shared" si="27"/>
        <v>0</v>
      </c>
      <c r="O580" s="10">
        <f t="shared" si="28"/>
        <v>0</v>
      </c>
      <c r="P580" s="10">
        <f t="shared" si="29"/>
        <v>0</v>
      </c>
      <c r="Q580" t="str">
        <f>IFERROR(INDEX(Работы!$J$2:$J$6000,MATCH($C580,Работы!$A$2:$A$6000,0)),"")</f>
        <v>типовая</v>
      </c>
      <c r="R580" t="s">
        <v>92</v>
      </c>
      <c r="T580" t="str">
        <f>IF(AND($P580&gt;0,$R580="да"),MAX($T$1:$T579)+1,"")</f>
        <v/>
      </c>
    </row>
    <row r="581" spans="1:20" ht="72" x14ac:dyDescent="0.3">
      <c r="A581" t="str">
        <f>IFERROR(INDEX(Работы!$D$2:$D$6000,MATCH($C581,Работы!$A$2:$A$6000,0)),"")</f>
        <v>Р7</v>
      </c>
      <c r="B581" t="str">
        <f>IFERROR(INDEX(Работы!$F$2:$F$6000,MATCH($C581,Работы!$A$2:$A$6000,0)),"")</f>
        <v>1</v>
      </c>
      <c r="C581" t="str">
        <f>IFERROR(INDEX(Работы!$A$2:$A$6000,580),"")</f>
        <v>РАБ.Р7.1.005</v>
      </c>
      <c r="D581" s="8" t="str">
        <f>IFERROR(INDEX(Работы!$B$2:$B$6000,MATCH($C581,Работы!$A$2:$A$6000,0)),"")</f>
        <v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v>
      </c>
      <c r="E581" t="str">
        <f>IFERROR(INDEX(Работы!$C$2:$C$6000,MATCH($C581,Работы!$A$2:$A$6000,0)),"")</f>
        <v>шт.</v>
      </c>
      <c r="F581" t="str">
        <f>IFERROR(INDEX(Работы!$G$2:$G$6000,MATCH($C581,Работы!$A$2:$A$6000,0)),"")</f>
        <v>ПВУ</v>
      </c>
      <c r="G581" t="str">
        <f>IFERROR(INDEX(Работы!$K$2:$K$6000,MATCH($C581,Работы!$A$2:$A$6000,0)),"")</f>
        <v>Спецификация</v>
      </c>
      <c r="H581" s="9"/>
      <c r="I581" s="9"/>
      <c r="J581" s="8" t="str">
        <f>IFERROR(INDEX(Материалы!$B$2:$B$9000,MATCH($I581,Материалы!$A$2:$A$9000,0)),"")</f>
        <v/>
      </c>
      <c r="K581" t="str">
        <f>IF($I581="","",IF($F581=IFERROR(INDEX(Материалы!$G$2:$G$9000,MATCH($I581,Материалы!$A$2:$A$9000,0)),""),"OK","!! не та группа"))</f>
        <v/>
      </c>
      <c r="L581" s="10">
        <f>IFERROR(INDEX(Работы!$H$2:$H$6000,MATCH($C581,Работы!$A$2:$A$6000,0))*(1-ДисконтТендер),0)</f>
        <v>162411.6</v>
      </c>
      <c r="M581" s="10">
        <f>IF($I581="",0,IFERROR(INDEX(Материалы!$I$2:$I$9000,MATCH($I581,Материалы!$A$2:$A$9000,0))*IF(INDEX(Материалы!$J$2:$J$9000,MATCH($I581,Материалы!$A$2:$A$9000,0))="USD",КурсUSD,IF(INDEX(Материалы!$J$2:$J$9000,MATCH($I581,Материалы!$A$2:$A$9000,0))="EUR",КурсEUR,1))*INDEX(Материалы!$K$2:$K$9000,MATCH($I581,Материалы!$A$2:$A$9000,0))*(1+IFERROR(INDEX(Работы!$I$2:$I$6000,MATCH($C581,Работы!$A$2:$A$6000,0))/100,0))*(1-ДисконтТендер),0))</f>
        <v>0</v>
      </c>
      <c r="N581" s="10">
        <f t="shared" si="27"/>
        <v>0</v>
      </c>
      <c r="O581" s="10">
        <f t="shared" si="28"/>
        <v>0</v>
      </c>
      <c r="P581" s="10">
        <f t="shared" si="29"/>
        <v>0</v>
      </c>
      <c r="Q581" t="str">
        <f>IFERROR(INDEX(Работы!$J$2:$J$6000,MATCH($C581,Работы!$A$2:$A$6000,0)),"")</f>
        <v>типовая</v>
      </c>
      <c r="R581" t="s">
        <v>92</v>
      </c>
      <c r="T581" t="str">
        <f>IF(AND($P581&gt;0,$R581="да"),MAX($T$1:$T580)+1,"")</f>
        <v/>
      </c>
    </row>
    <row r="582" spans="1:20" ht="28.8" x14ac:dyDescent="0.3">
      <c r="A582" t="str">
        <f>IFERROR(INDEX(Работы!$D$2:$D$6000,MATCH($C582,Работы!$A$2:$A$6000,0)),"")</f>
        <v>Р7</v>
      </c>
      <c r="B582" t="str">
        <f>IFERROR(INDEX(Работы!$F$2:$F$6000,MATCH($C582,Работы!$A$2:$A$6000,0)),"")</f>
        <v>1</v>
      </c>
      <c r="C582" t="str">
        <f>IFERROR(INDEX(Работы!$A$2:$A$6000,581),"")</f>
        <v>РАБ.Р7.1.006</v>
      </c>
      <c r="D582" s="8" t="str">
        <f>IFERROR(INDEX(Работы!$B$2:$B$6000,MATCH($C582,Работы!$A$2:$A$6000,0)),"")</f>
        <v>Компактная воздушно-тепловая завеса КЭВ-3П1154Е с пультом</v>
      </c>
      <c r="E582" t="str">
        <f>IFERROR(INDEX(Работы!$C$2:$C$6000,MATCH($C582,Работы!$A$2:$A$6000,0)),"")</f>
        <v>шт.</v>
      </c>
      <c r="F582" t="str">
        <f>IFERROR(INDEX(Работы!$G$2:$G$6000,MATCH($C582,Работы!$A$2:$A$6000,0)),"")</f>
        <v>ЗАВЕСА</v>
      </c>
      <c r="G582" t="str">
        <f>IFERROR(INDEX(Работы!$K$2:$K$6000,MATCH($C582,Работы!$A$2:$A$6000,0)),"")</f>
        <v>Спецификация</v>
      </c>
      <c r="H582" s="9"/>
      <c r="I582" s="9"/>
      <c r="J582" s="8" t="str">
        <f>IFERROR(INDEX(Материалы!$B$2:$B$9000,MATCH($I582,Материалы!$A$2:$A$9000,0)),"")</f>
        <v/>
      </c>
      <c r="K582" t="str">
        <f>IF($I582="","",IF($F582=IFERROR(INDEX(Материалы!$G$2:$G$9000,MATCH($I582,Материалы!$A$2:$A$9000,0)),""),"OK","!! не та группа"))</f>
        <v/>
      </c>
      <c r="L582" s="10">
        <f>IFERROR(INDEX(Работы!$H$2:$H$6000,MATCH($C582,Работы!$A$2:$A$6000,0))*(1-ДисконтТендер),0)</f>
        <v>9960.67</v>
      </c>
      <c r="M582" s="10">
        <f>IF($I582="",0,IFERROR(INDEX(Материалы!$I$2:$I$9000,MATCH($I582,Материалы!$A$2:$A$9000,0))*IF(INDEX(Материалы!$J$2:$J$9000,MATCH($I582,Материалы!$A$2:$A$9000,0))="USD",КурсUSD,IF(INDEX(Материалы!$J$2:$J$9000,MATCH($I582,Материалы!$A$2:$A$9000,0))="EUR",КурсEUR,1))*INDEX(Материалы!$K$2:$K$9000,MATCH($I582,Материалы!$A$2:$A$9000,0))*(1+IFERROR(INDEX(Работы!$I$2:$I$6000,MATCH($C582,Работы!$A$2:$A$6000,0))/100,0))*(1-ДисконтТендер),0))</f>
        <v>0</v>
      </c>
      <c r="N582" s="10">
        <f t="shared" si="27"/>
        <v>0</v>
      </c>
      <c r="O582" s="10">
        <f t="shared" si="28"/>
        <v>0</v>
      </c>
      <c r="P582" s="10">
        <f t="shared" si="29"/>
        <v>0</v>
      </c>
      <c r="Q582" t="str">
        <f>IFERROR(INDEX(Работы!$J$2:$J$6000,MATCH($C582,Работы!$A$2:$A$6000,0)),"")</f>
        <v>типовая</v>
      </c>
      <c r="R582" t="s">
        <v>92</v>
      </c>
      <c r="T582" t="str">
        <f>IF(AND($P582&gt;0,$R582="да"),MAX($T$1:$T581)+1,"")</f>
        <v/>
      </c>
    </row>
    <row r="583" spans="1:20" x14ac:dyDescent="0.3">
      <c r="A583" t="str">
        <f>IFERROR(INDEX(Работы!$D$2:$D$6000,MATCH($C583,Работы!$A$2:$A$6000,0)),"")</f>
        <v>Р7</v>
      </c>
      <c r="B583" t="str">
        <f>IFERROR(INDEX(Работы!$F$2:$F$6000,MATCH($C583,Работы!$A$2:$A$6000,0)),"")</f>
        <v>1</v>
      </c>
      <c r="C583" t="str">
        <f>IFERROR(INDEX(Работы!$A$2:$A$6000,582),"")</f>
        <v>РАБ.Р7.1.007</v>
      </c>
      <c r="D583" s="8" t="str">
        <f>IFERROR(INDEX(Работы!$B$2:$B$6000,MATCH($C583,Работы!$A$2:$A$6000,0)),"")</f>
        <v>Монтаж тепловой завесы</v>
      </c>
      <c r="E583" t="str">
        <f>IFERROR(INDEX(Работы!$C$2:$C$6000,MATCH($C583,Работы!$A$2:$A$6000,0)),"")</f>
        <v>шт.</v>
      </c>
      <c r="F583" t="str">
        <f>IFERROR(INDEX(Работы!$G$2:$G$6000,MATCH($C583,Работы!$A$2:$A$6000,0)),"")</f>
        <v>ЗАВЕСА</v>
      </c>
      <c r="G583" t="str">
        <f>IFERROR(INDEX(Работы!$K$2:$K$6000,MATCH($C583,Работы!$A$2:$A$6000,0)),"")</f>
        <v>Спецификация</v>
      </c>
      <c r="H583" s="9"/>
      <c r="I583" s="9"/>
      <c r="J583" s="8" t="str">
        <f>IFERROR(INDEX(Материалы!$B$2:$B$9000,MATCH($I583,Материалы!$A$2:$A$9000,0)),"")</f>
        <v/>
      </c>
      <c r="K583" t="str">
        <f>IF($I583="","",IF($F583=IFERROR(INDEX(Материалы!$G$2:$G$9000,MATCH($I583,Материалы!$A$2:$A$9000,0)),""),"OK","!! не та группа"))</f>
        <v/>
      </c>
      <c r="L583" s="10">
        <f>IFERROR(INDEX(Работы!$H$2:$H$6000,MATCH($C583,Работы!$A$2:$A$6000,0))*(1-ДисконтТендер),0)</f>
        <v>11246.67</v>
      </c>
      <c r="M583" s="10">
        <f>IF($I583="",0,IFERROR(INDEX(Материалы!$I$2:$I$9000,MATCH($I583,Материалы!$A$2:$A$9000,0))*IF(INDEX(Материалы!$J$2:$J$9000,MATCH($I583,Материалы!$A$2:$A$9000,0))="USD",КурсUSD,IF(INDEX(Материалы!$J$2:$J$9000,MATCH($I583,Материалы!$A$2:$A$9000,0))="EUR",КурсEUR,1))*INDEX(Материалы!$K$2:$K$9000,MATCH($I583,Материалы!$A$2:$A$9000,0))*(1+IFERROR(INDEX(Работы!$I$2:$I$6000,MATCH($C583,Работы!$A$2:$A$6000,0))/100,0))*(1-ДисконтТендер),0))</f>
        <v>0</v>
      </c>
      <c r="N583" s="10">
        <f t="shared" si="27"/>
        <v>0</v>
      </c>
      <c r="O583" s="10">
        <f t="shared" si="28"/>
        <v>0</v>
      </c>
      <c r="P583" s="10">
        <f t="shared" si="29"/>
        <v>0</v>
      </c>
      <c r="Q583" t="str">
        <f>IFERROR(INDEX(Работы!$J$2:$J$6000,MATCH($C583,Работы!$A$2:$A$6000,0)),"")</f>
        <v>типовая</v>
      </c>
      <c r="R583" t="s">
        <v>92</v>
      </c>
      <c r="T583" t="str">
        <f>IF(AND($P583&gt;0,$R583="да"),MAX($T$1:$T582)+1,"")</f>
        <v/>
      </c>
    </row>
    <row r="584" spans="1:20" ht="28.8" x14ac:dyDescent="0.3">
      <c r="A584" t="str">
        <f>IFERROR(INDEX(Работы!$D$2:$D$6000,MATCH($C584,Работы!$A$2:$A$6000,0)),"")</f>
        <v>Р7</v>
      </c>
      <c r="B584" t="str">
        <f>IFERROR(INDEX(Работы!$F$2:$F$6000,MATCH($C584,Работы!$A$2:$A$6000,0)),"")</f>
        <v>1</v>
      </c>
      <c r="C584" t="str">
        <f>IFERROR(INDEX(Работы!$A$2:$A$6000,583),"")</f>
        <v>РАБ.Р7.1.008</v>
      </c>
      <c r="D584" s="8" t="str">
        <f>IFERROR(INDEX(Работы!$B$2:$B$6000,MATCH($C584,Работы!$A$2:$A$6000,0)),"")</f>
        <v>Приточный очиститель воздуха Тион Бризер 4S Magic</v>
      </c>
      <c r="E584" t="str">
        <f>IFERROR(INDEX(Работы!$C$2:$C$6000,MATCH($C584,Работы!$A$2:$A$6000,0)),"")</f>
        <v>шт.</v>
      </c>
      <c r="F584">
        <f>IFERROR(INDEX(Работы!$G$2:$G$6000,MATCH($C584,Работы!$A$2:$A$6000,0)),"")</f>
        <v>0</v>
      </c>
      <c r="G584" t="str">
        <f>IFERROR(INDEX(Работы!$K$2:$K$6000,MATCH($C584,Работы!$A$2:$A$6000,0)),"")</f>
        <v>Спецификация</v>
      </c>
      <c r="H584" s="9"/>
      <c r="I584" s="9"/>
      <c r="J584" s="8" t="str">
        <f>IFERROR(INDEX(Материалы!$B$2:$B$9000,MATCH($I584,Материалы!$A$2:$A$9000,0)),"")</f>
        <v/>
      </c>
      <c r="K584" t="str">
        <f>IF($I584="","",IF($F584=IFERROR(INDEX(Материалы!$G$2:$G$9000,MATCH($I584,Материалы!$A$2:$A$9000,0)),""),"OK","!! не та группа"))</f>
        <v/>
      </c>
      <c r="L584" s="10">
        <f>IFERROR(INDEX(Работы!$H$2:$H$6000,MATCH($C584,Работы!$A$2:$A$6000,0))*(1-ДисконтТендер),0)</f>
        <v>10540.92</v>
      </c>
      <c r="M584" s="10">
        <f>IF($I584="",0,IFERROR(INDEX(Материалы!$I$2:$I$9000,MATCH($I584,Материалы!$A$2:$A$9000,0))*IF(INDEX(Материалы!$J$2:$J$9000,MATCH($I584,Материалы!$A$2:$A$9000,0))="USD",КурсUSD,IF(INDEX(Материалы!$J$2:$J$9000,MATCH($I584,Материалы!$A$2:$A$9000,0))="EUR",КурсEUR,1))*INDEX(Материалы!$K$2:$K$9000,MATCH($I584,Материалы!$A$2:$A$9000,0))*(1+IFERROR(INDEX(Работы!$I$2:$I$6000,MATCH($C584,Работы!$A$2:$A$6000,0))/100,0))*(1-ДисконтТендер),0))</f>
        <v>0</v>
      </c>
      <c r="N584" s="10">
        <f t="shared" si="27"/>
        <v>0</v>
      </c>
      <c r="O584" s="10">
        <f t="shared" si="28"/>
        <v>0</v>
      </c>
      <c r="P584" s="10">
        <f t="shared" si="29"/>
        <v>0</v>
      </c>
      <c r="Q584" t="str">
        <f>IFERROR(INDEX(Работы!$J$2:$J$6000,MATCH($C584,Работы!$A$2:$A$6000,0)),"")</f>
        <v>типовая</v>
      </c>
      <c r="R584" t="s">
        <v>92</v>
      </c>
      <c r="T584" t="str">
        <f>IF(AND($P584&gt;0,$R584="да"),MAX($T$1:$T583)+1,"")</f>
        <v/>
      </c>
    </row>
    <row r="585" spans="1:20" ht="28.8" x14ac:dyDescent="0.3">
      <c r="A585" t="str">
        <f>IFERROR(INDEX(Работы!$D$2:$D$6000,MATCH($C585,Работы!$A$2:$A$6000,0)),"")</f>
        <v>Р7</v>
      </c>
      <c r="B585" t="str">
        <f>IFERROR(INDEX(Работы!$F$2:$F$6000,MATCH($C585,Работы!$A$2:$A$6000,0)),"")</f>
        <v>1</v>
      </c>
      <c r="C585" t="str">
        <f>IFERROR(INDEX(Работы!$A$2:$A$6000,584),"")</f>
        <v>РАБ.Р7.1.009</v>
      </c>
      <c r="D585" s="8" t="str">
        <f>IFERROR(INDEX(Работы!$B$2:$B$6000,MATCH($C585,Работы!$A$2:$A$6000,0)),"")</f>
        <v>Подставка под ПВУ сборная , усиленная - (уголок металлический, окрашеный)</v>
      </c>
      <c r="E585" t="str">
        <f>IFERROR(INDEX(Работы!$C$2:$C$6000,MATCH($C585,Работы!$A$2:$A$6000,0)),"")</f>
        <v>шт.</v>
      </c>
      <c r="F585" t="str">
        <f>IFERROR(INDEX(Работы!$G$2:$G$6000,MATCH($C585,Работы!$A$2:$A$6000,0)),"")</f>
        <v>ПВУ</v>
      </c>
      <c r="G585" t="str">
        <f>IFERROR(INDEX(Работы!$K$2:$K$6000,MATCH($C585,Работы!$A$2:$A$6000,0)),"")</f>
        <v>Спецификация</v>
      </c>
      <c r="H585" s="9"/>
      <c r="I585" s="9"/>
      <c r="J585" s="8" t="str">
        <f>IFERROR(INDEX(Материалы!$B$2:$B$9000,MATCH($I585,Материалы!$A$2:$A$9000,0)),"")</f>
        <v/>
      </c>
      <c r="K585" t="str">
        <f>IF($I585="","",IF($F585=IFERROR(INDEX(Материалы!$G$2:$G$9000,MATCH($I585,Материалы!$A$2:$A$9000,0)),""),"OK","!! не та группа"))</f>
        <v/>
      </c>
      <c r="L585" s="10">
        <f>IFERROR(INDEX(Работы!$H$2:$H$6000,MATCH($C585,Работы!$A$2:$A$6000,0))*(1-ДисконтТендер),0)</f>
        <v>27500</v>
      </c>
      <c r="M585" s="10">
        <f>IF($I585="",0,IFERROR(INDEX(Материалы!$I$2:$I$9000,MATCH($I585,Материалы!$A$2:$A$9000,0))*IF(INDEX(Материалы!$J$2:$J$9000,MATCH($I585,Материалы!$A$2:$A$9000,0))="USD",КурсUSD,IF(INDEX(Материалы!$J$2:$J$9000,MATCH($I585,Материалы!$A$2:$A$9000,0))="EUR",КурсEUR,1))*INDEX(Материалы!$K$2:$K$9000,MATCH($I585,Материалы!$A$2:$A$9000,0))*(1+IFERROR(INDEX(Работы!$I$2:$I$6000,MATCH($C585,Работы!$A$2:$A$6000,0))/100,0))*(1-ДисконтТендер),0))</f>
        <v>0</v>
      </c>
      <c r="N585" s="10">
        <f t="shared" si="27"/>
        <v>0</v>
      </c>
      <c r="O585" s="10">
        <f t="shared" si="28"/>
        <v>0</v>
      </c>
      <c r="P585" s="10">
        <f t="shared" si="29"/>
        <v>0</v>
      </c>
      <c r="Q585" t="str">
        <f>IFERROR(INDEX(Работы!$J$2:$J$6000,MATCH($C585,Работы!$A$2:$A$6000,0)),"")</f>
        <v>типовая</v>
      </c>
      <c r="R585" t="s">
        <v>92</v>
      </c>
      <c r="T585" t="str">
        <f>IF(AND($P585&gt;0,$R585="да"),MAX($T$1:$T584)+1,"")</f>
        <v/>
      </c>
    </row>
    <row r="586" spans="1:20" x14ac:dyDescent="0.3">
      <c r="A586" t="str">
        <f>IFERROR(INDEX(Работы!$D$2:$D$6000,MATCH($C586,Работы!$A$2:$A$6000,0)),"")</f>
        <v>Р7</v>
      </c>
      <c r="B586" t="str">
        <f>IFERROR(INDEX(Работы!$F$2:$F$6000,MATCH($C586,Работы!$A$2:$A$6000,0)),"")</f>
        <v>1</v>
      </c>
      <c r="C586" t="str">
        <f>IFERROR(INDEX(Работы!$A$2:$A$6000,585),"")</f>
        <v>РАБ.Р7.1.010</v>
      </c>
      <c r="D586" s="8" t="str">
        <f>IFERROR(INDEX(Работы!$B$2:$B$6000,MATCH($C586,Работы!$A$2:$A$6000,0)),"")</f>
        <v>Привод для клапана вентмашины</v>
      </c>
      <c r="E586" t="str">
        <f>IFERROR(INDEX(Работы!$C$2:$C$6000,MATCH($C586,Работы!$A$2:$A$6000,0)),"")</f>
        <v>шт.</v>
      </c>
      <c r="F586" t="str">
        <f>IFERROR(INDEX(Работы!$G$2:$G$6000,MATCH($C586,Работы!$A$2:$A$6000,0)),"")</f>
        <v>ПВУ</v>
      </c>
      <c r="G586" t="str">
        <f>IFERROR(INDEX(Работы!$K$2:$K$6000,MATCH($C586,Работы!$A$2:$A$6000,0)),"")</f>
        <v>Спецификация</v>
      </c>
      <c r="H586" s="9"/>
      <c r="I586" s="9"/>
      <c r="J586" s="8" t="str">
        <f>IFERROR(INDEX(Материалы!$B$2:$B$9000,MATCH($I586,Материалы!$A$2:$A$9000,0)),"")</f>
        <v/>
      </c>
      <c r="K586" t="str">
        <f>IF($I586="","",IF($F586=IFERROR(INDEX(Материалы!$G$2:$G$9000,MATCH($I586,Материалы!$A$2:$A$9000,0)),""),"OK","!! не та группа"))</f>
        <v/>
      </c>
      <c r="L586" s="10">
        <f>IFERROR(INDEX(Работы!$H$2:$H$6000,MATCH($C586,Работы!$A$2:$A$6000,0))*(1-ДисконтТендер),0)</f>
        <v>1890</v>
      </c>
      <c r="M586" s="10">
        <f>IF($I586="",0,IFERROR(INDEX(Материалы!$I$2:$I$9000,MATCH($I586,Материалы!$A$2:$A$9000,0))*IF(INDEX(Материалы!$J$2:$J$9000,MATCH($I586,Материалы!$A$2:$A$9000,0))="USD",КурсUSD,IF(INDEX(Материалы!$J$2:$J$9000,MATCH($I586,Материалы!$A$2:$A$9000,0))="EUR",КурсEUR,1))*INDEX(Материалы!$K$2:$K$9000,MATCH($I586,Материалы!$A$2:$A$9000,0))*(1+IFERROR(INDEX(Работы!$I$2:$I$6000,MATCH($C586,Работы!$A$2:$A$6000,0))/100,0))*(1-ДисконтТендер),0))</f>
        <v>0</v>
      </c>
      <c r="N586" s="10">
        <f t="shared" si="27"/>
        <v>0</v>
      </c>
      <c r="O586" s="10">
        <f t="shared" si="28"/>
        <v>0</v>
      </c>
      <c r="P586" s="10">
        <f t="shared" si="29"/>
        <v>0</v>
      </c>
      <c r="Q586" t="str">
        <f>IFERROR(INDEX(Работы!$J$2:$J$6000,MATCH($C586,Работы!$A$2:$A$6000,0)),"")</f>
        <v>типовая</v>
      </c>
      <c r="R586" t="s">
        <v>92</v>
      </c>
      <c r="T586" t="str">
        <f>IF(AND($P586&gt;0,$R586="да"),MAX($T$1:$T585)+1,"")</f>
        <v/>
      </c>
    </row>
    <row r="587" spans="1:20" x14ac:dyDescent="0.3">
      <c r="A587" t="str">
        <f>IFERROR(INDEX(Работы!$D$2:$D$6000,MATCH($C587,Работы!$A$2:$A$6000,0)),"")</f>
        <v>Р7</v>
      </c>
      <c r="B587" t="str">
        <f>IFERROR(INDEX(Работы!$F$2:$F$6000,MATCH($C587,Работы!$A$2:$A$6000,0)),"")</f>
        <v>1</v>
      </c>
      <c r="C587" t="str">
        <f>IFERROR(INDEX(Работы!$A$2:$A$6000,586),"")</f>
        <v>РАБ.Р7.1.011</v>
      </c>
      <c r="D587" s="8" t="str">
        <f>IFERROR(INDEX(Работы!$B$2:$B$6000,MATCH($C587,Работы!$A$2:$A$6000,0)),"")</f>
        <v>Клапан 600х300 вентмашины</v>
      </c>
      <c r="E587" t="str">
        <f>IFERROR(INDEX(Работы!$C$2:$C$6000,MATCH($C587,Работы!$A$2:$A$6000,0)),"")</f>
        <v>шт.</v>
      </c>
      <c r="F587" t="str">
        <f>IFERROR(INDEX(Работы!$G$2:$G$6000,MATCH($C587,Работы!$A$2:$A$6000,0)),"")</f>
        <v>ПВУ</v>
      </c>
      <c r="G587" t="str">
        <f>IFERROR(INDEX(Работы!$K$2:$K$6000,MATCH($C587,Работы!$A$2:$A$6000,0)),"")</f>
        <v>Спецификация</v>
      </c>
      <c r="H587" s="9"/>
      <c r="I587" s="9"/>
      <c r="J587" s="8" t="str">
        <f>IFERROR(INDEX(Материалы!$B$2:$B$9000,MATCH($I587,Материалы!$A$2:$A$9000,0)),"")</f>
        <v/>
      </c>
      <c r="K587" t="str">
        <f>IF($I587="","",IF($F587=IFERROR(INDEX(Материалы!$G$2:$G$9000,MATCH($I587,Материалы!$A$2:$A$9000,0)),""),"OK","!! не та группа"))</f>
        <v/>
      </c>
      <c r="L587" s="10">
        <f>IFERROR(INDEX(Работы!$H$2:$H$6000,MATCH($C587,Работы!$A$2:$A$6000,0))*(1-ДисконтТендер),0)</f>
        <v>954</v>
      </c>
      <c r="M587" s="10">
        <f>IF($I587="",0,IFERROR(INDEX(Материалы!$I$2:$I$9000,MATCH($I587,Материалы!$A$2:$A$9000,0))*IF(INDEX(Материалы!$J$2:$J$9000,MATCH($I587,Материалы!$A$2:$A$9000,0))="USD",КурсUSD,IF(INDEX(Материалы!$J$2:$J$9000,MATCH($I587,Материалы!$A$2:$A$9000,0))="EUR",КурсEUR,1))*INDEX(Материалы!$K$2:$K$9000,MATCH($I587,Материалы!$A$2:$A$9000,0))*(1+IFERROR(INDEX(Работы!$I$2:$I$6000,MATCH($C587,Работы!$A$2:$A$6000,0))/100,0))*(1-ДисконтТендер),0))</f>
        <v>0</v>
      </c>
      <c r="N587" s="10">
        <f t="shared" si="27"/>
        <v>0</v>
      </c>
      <c r="O587" s="10">
        <f t="shared" si="28"/>
        <v>0</v>
      </c>
      <c r="P587" s="10">
        <f t="shared" si="29"/>
        <v>0</v>
      </c>
      <c r="Q587" t="str">
        <f>IFERROR(INDEX(Работы!$J$2:$J$6000,MATCH($C587,Работы!$A$2:$A$6000,0)),"")</f>
        <v>типовая</v>
      </c>
      <c r="R587" t="s">
        <v>92</v>
      </c>
      <c r="T587" t="str">
        <f>IF(AND($P587&gt;0,$R587="да"),MAX($T$1:$T586)+1,"")</f>
        <v/>
      </c>
    </row>
    <row r="588" spans="1:20" x14ac:dyDescent="0.3">
      <c r="A588" t="str">
        <f>IFERROR(INDEX(Работы!$D$2:$D$6000,MATCH($C588,Работы!$A$2:$A$6000,0)),"")</f>
        <v>Р7</v>
      </c>
      <c r="B588" t="str">
        <f>IFERROR(INDEX(Работы!$F$2:$F$6000,MATCH($C588,Работы!$A$2:$A$6000,0)),"")</f>
        <v>1</v>
      </c>
      <c r="C588" t="str">
        <f>IFERROR(INDEX(Работы!$A$2:$A$6000,587),"")</f>
        <v>РАБ.Р7.1.012</v>
      </c>
      <c r="D588" s="8" t="str">
        <f>IFERROR(INDEX(Работы!$B$2:$B$6000,MATCH($C588,Работы!$A$2:$A$6000,0)),"")</f>
        <v>Клапан 700х400 вентмашины</v>
      </c>
      <c r="E588" t="str">
        <f>IFERROR(INDEX(Работы!$C$2:$C$6000,MATCH($C588,Работы!$A$2:$A$6000,0)),"")</f>
        <v>шт.</v>
      </c>
      <c r="F588" t="str">
        <f>IFERROR(INDEX(Работы!$G$2:$G$6000,MATCH($C588,Работы!$A$2:$A$6000,0)),"")</f>
        <v>ПВУ</v>
      </c>
      <c r="G588" t="str">
        <f>IFERROR(INDEX(Работы!$K$2:$K$6000,MATCH($C588,Работы!$A$2:$A$6000,0)),"")</f>
        <v>Спецификация</v>
      </c>
      <c r="H588" s="9"/>
      <c r="I588" s="9"/>
      <c r="J588" s="8" t="str">
        <f>IFERROR(INDEX(Материалы!$B$2:$B$9000,MATCH($I588,Материалы!$A$2:$A$9000,0)),"")</f>
        <v/>
      </c>
      <c r="K588" t="str">
        <f>IF($I588="","",IF($F588=IFERROR(INDEX(Материалы!$G$2:$G$9000,MATCH($I588,Материалы!$A$2:$A$9000,0)),""),"OK","!! не та группа"))</f>
        <v/>
      </c>
      <c r="L588" s="10">
        <f>IFERROR(INDEX(Работы!$H$2:$H$6000,MATCH($C588,Работы!$A$2:$A$6000,0))*(1-ДисконтТендер),0)</f>
        <v>963</v>
      </c>
      <c r="M588" s="10">
        <f>IF($I588="",0,IFERROR(INDEX(Материалы!$I$2:$I$9000,MATCH($I588,Материалы!$A$2:$A$9000,0))*IF(INDEX(Материалы!$J$2:$J$9000,MATCH($I588,Материалы!$A$2:$A$9000,0))="USD",КурсUSD,IF(INDEX(Материалы!$J$2:$J$9000,MATCH($I588,Материалы!$A$2:$A$9000,0))="EUR",КурсEUR,1))*INDEX(Материалы!$K$2:$K$9000,MATCH($I588,Материалы!$A$2:$A$9000,0))*(1+IFERROR(INDEX(Работы!$I$2:$I$6000,MATCH($C588,Работы!$A$2:$A$6000,0))/100,0))*(1-ДисконтТендер),0))</f>
        <v>0</v>
      </c>
      <c r="N588" s="10">
        <f t="shared" si="27"/>
        <v>0</v>
      </c>
      <c r="O588" s="10">
        <f t="shared" si="28"/>
        <v>0</v>
      </c>
      <c r="P588" s="10">
        <f t="shared" si="29"/>
        <v>0</v>
      </c>
      <c r="Q588" t="str">
        <f>IFERROR(INDEX(Работы!$J$2:$J$6000,MATCH($C588,Работы!$A$2:$A$6000,0)),"")</f>
        <v>типовая</v>
      </c>
      <c r="R588" t="s">
        <v>92</v>
      </c>
      <c r="T588" t="str">
        <f>IF(AND($P588&gt;0,$R588="да"),MAX($T$1:$T587)+1,"")</f>
        <v/>
      </c>
    </row>
    <row r="589" spans="1:20" x14ac:dyDescent="0.3">
      <c r="A589" t="str">
        <f>IFERROR(INDEX(Работы!$D$2:$D$6000,MATCH($C589,Работы!$A$2:$A$6000,0)),"")</f>
        <v>Р7</v>
      </c>
      <c r="B589" t="str">
        <f>IFERROR(INDEX(Работы!$F$2:$F$6000,MATCH($C589,Работы!$A$2:$A$6000,0)),"")</f>
        <v>1</v>
      </c>
      <c r="C589" t="str">
        <f>IFERROR(INDEX(Работы!$A$2:$A$6000,588),"")</f>
        <v>РАБ.Р7.1.013</v>
      </c>
      <c r="D589" s="8" t="str">
        <f>IFERROR(INDEX(Работы!$B$2:$B$6000,MATCH($C589,Работы!$A$2:$A$6000,0)),"")</f>
        <v>Гибкая вставка 600х300 вентмашины</v>
      </c>
      <c r="E589" t="str">
        <f>IFERROR(INDEX(Работы!$C$2:$C$6000,MATCH($C589,Работы!$A$2:$A$6000,0)),"")</f>
        <v>шт.</v>
      </c>
      <c r="F589" t="str">
        <f>IFERROR(INDEX(Работы!$G$2:$G$6000,MATCH($C589,Работы!$A$2:$A$6000,0)),"")</f>
        <v>ПВУ</v>
      </c>
      <c r="G589" t="str">
        <f>IFERROR(INDEX(Работы!$K$2:$K$6000,MATCH($C589,Работы!$A$2:$A$6000,0)),"")</f>
        <v>Спецификация</v>
      </c>
      <c r="H589" s="9"/>
      <c r="I589" s="9"/>
      <c r="J589" s="8" t="str">
        <f>IFERROR(INDEX(Материалы!$B$2:$B$9000,MATCH($I589,Материалы!$A$2:$A$9000,0)),"")</f>
        <v/>
      </c>
      <c r="K589" t="str">
        <f>IF($I589="","",IF($F589=IFERROR(INDEX(Материалы!$G$2:$G$9000,MATCH($I589,Материалы!$A$2:$A$9000,0)),""),"OK","!! не та группа"))</f>
        <v/>
      </c>
      <c r="L589" s="10">
        <f>IFERROR(INDEX(Работы!$H$2:$H$6000,MATCH($C589,Работы!$A$2:$A$6000,0))*(1-ДисконтТендер),0)</f>
        <v>267</v>
      </c>
      <c r="M589" s="10">
        <f>IF($I589="",0,IFERROR(INDEX(Материалы!$I$2:$I$9000,MATCH($I589,Материалы!$A$2:$A$9000,0))*IF(INDEX(Материалы!$J$2:$J$9000,MATCH($I589,Материалы!$A$2:$A$9000,0))="USD",КурсUSD,IF(INDEX(Материалы!$J$2:$J$9000,MATCH($I589,Материалы!$A$2:$A$9000,0))="EUR",КурсEUR,1))*INDEX(Материалы!$K$2:$K$9000,MATCH($I589,Материалы!$A$2:$A$9000,0))*(1+IFERROR(INDEX(Работы!$I$2:$I$6000,MATCH($C589,Работы!$A$2:$A$6000,0))/100,0))*(1-ДисконтТендер),0))</f>
        <v>0</v>
      </c>
      <c r="N589" s="10">
        <f t="shared" si="27"/>
        <v>0</v>
      </c>
      <c r="O589" s="10">
        <f t="shared" si="28"/>
        <v>0</v>
      </c>
      <c r="P589" s="10">
        <f t="shared" si="29"/>
        <v>0</v>
      </c>
      <c r="Q589" t="str">
        <f>IFERROR(INDEX(Работы!$J$2:$J$6000,MATCH($C589,Работы!$A$2:$A$6000,0)),"")</f>
        <v>типовая</v>
      </c>
      <c r="R589" t="s">
        <v>92</v>
      </c>
      <c r="T589" t="str">
        <f>IF(AND($P589&gt;0,$R589="да"),MAX($T$1:$T588)+1,"")</f>
        <v/>
      </c>
    </row>
    <row r="590" spans="1:20" x14ac:dyDescent="0.3">
      <c r="A590" t="str">
        <f>IFERROR(INDEX(Работы!$D$2:$D$6000,MATCH($C590,Работы!$A$2:$A$6000,0)),"")</f>
        <v>Р7</v>
      </c>
      <c r="B590" t="str">
        <f>IFERROR(INDEX(Работы!$F$2:$F$6000,MATCH($C590,Работы!$A$2:$A$6000,0)),"")</f>
        <v>1</v>
      </c>
      <c r="C590" t="str">
        <f>IFERROR(INDEX(Работы!$A$2:$A$6000,589),"")</f>
        <v>РАБ.Р7.1.014</v>
      </c>
      <c r="D590" s="8" t="str">
        <f>IFERROR(INDEX(Работы!$B$2:$B$6000,MATCH($C590,Работы!$A$2:$A$6000,0)),"")</f>
        <v>Гибкая вставка 700х400 вентмашины</v>
      </c>
      <c r="E590" t="str">
        <f>IFERROR(INDEX(Работы!$C$2:$C$6000,MATCH($C590,Работы!$A$2:$A$6000,0)),"")</f>
        <v>шт.</v>
      </c>
      <c r="F590" t="str">
        <f>IFERROR(INDEX(Работы!$G$2:$G$6000,MATCH($C590,Работы!$A$2:$A$6000,0)),"")</f>
        <v>ПВУ</v>
      </c>
      <c r="G590" t="str">
        <f>IFERROR(INDEX(Работы!$K$2:$K$6000,MATCH($C590,Работы!$A$2:$A$6000,0)),"")</f>
        <v>Спецификация</v>
      </c>
      <c r="H590" s="9"/>
      <c r="I590" s="9"/>
      <c r="J590" s="8" t="str">
        <f>IFERROR(INDEX(Материалы!$B$2:$B$9000,MATCH($I590,Материалы!$A$2:$A$9000,0)),"")</f>
        <v/>
      </c>
      <c r="K590" t="str">
        <f>IF($I590="","",IF($F590=IFERROR(INDEX(Материалы!$G$2:$G$9000,MATCH($I590,Материалы!$A$2:$A$9000,0)),""),"OK","!! не та группа"))</f>
        <v/>
      </c>
      <c r="L590" s="10">
        <f>IFERROR(INDEX(Работы!$H$2:$H$6000,MATCH($C590,Работы!$A$2:$A$6000,0))*(1-ДисконтТендер),0)</f>
        <v>289</v>
      </c>
      <c r="M590" s="10">
        <f>IF($I590="",0,IFERROR(INDEX(Материалы!$I$2:$I$9000,MATCH($I590,Материалы!$A$2:$A$9000,0))*IF(INDEX(Материалы!$J$2:$J$9000,MATCH($I590,Материалы!$A$2:$A$9000,0))="USD",КурсUSD,IF(INDEX(Материалы!$J$2:$J$9000,MATCH($I590,Материалы!$A$2:$A$9000,0))="EUR",КурсEUR,1))*INDEX(Материалы!$K$2:$K$9000,MATCH($I590,Материалы!$A$2:$A$9000,0))*(1+IFERROR(INDEX(Работы!$I$2:$I$6000,MATCH($C590,Работы!$A$2:$A$6000,0))/100,0))*(1-ДисконтТендер),0))</f>
        <v>0</v>
      </c>
      <c r="N590" s="10">
        <f t="shared" si="27"/>
        <v>0</v>
      </c>
      <c r="O590" s="10">
        <f t="shared" si="28"/>
        <v>0</v>
      </c>
      <c r="P590" s="10">
        <f t="shared" si="29"/>
        <v>0</v>
      </c>
      <c r="Q590" t="str">
        <f>IFERROR(INDEX(Работы!$J$2:$J$6000,MATCH($C590,Работы!$A$2:$A$6000,0)),"")</f>
        <v>типовая</v>
      </c>
      <c r="R590" t="s">
        <v>92</v>
      </c>
      <c r="T590" t="str">
        <f>IF(AND($P590&gt;0,$R590="да"),MAX($T$1:$T589)+1,"")</f>
        <v/>
      </c>
    </row>
    <row r="591" spans="1:20" x14ac:dyDescent="0.3">
      <c r="A591" t="str">
        <f>IFERROR(INDEX(Работы!$D$2:$D$6000,MATCH($C591,Работы!$A$2:$A$6000,0)),"")</f>
        <v>Р7</v>
      </c>
      <c r="B591" t="str">
        <f>IFERROR(INDEX(Работы!$F$2:$F$6000,MATCH($C591,Работы!$A$2:$A$6000,0)),"")</f>
        <v>1</v>
      </c>
      <c r="C591" t="str">
        <f>IFERROR(INDEX(Работы!$A$2:$A$6000,590),"")</f>
        <v>РАБ.Р7.1.015</v>
      </c>
      <c r="D591" s="8" t="str">
        <f>IFERROR(INDEX(Работы!$B$2:$B$6000,MATCH($C591,Работы!$A$2:$A$6000,0)),"")</f>
        <v>Монтаж вентилятора</v>
      </c>
      <c r="E591" t="str">
        <f>IFERROR(INDEX(Работы!$C$2:$C$6000,MATCH($C591,Работы!$A$2:$A$6000,0)),"")</f>
        <v>шт.</v>
      </c>
      <c r="F591" t="str">
        <f>IFERROR(INDEX(Работы!$G$2:$G$6000,MATCH($C591,Работы!$A$2:$A$6000,0)),"")</f>
        <v>ВЕНТ</v>
      </c>
      <c r="G591" t="str">
        <f>IFERROR(INDEX(Работы!$K$2:$K$6000,MATCH($C591,Работы!$A$2:$A$6000,0)),"")</f>
        <v>Спецификация</v>
      </c>
      <c r="H591" s="9"/>
      <c r="I591" s="9"/>
      <c r="J591" s="8" t="str">
        <f>IFERROR(INDEX(Материалы!$B$2:$B$9000,MATCH($I591,Материалы!$A$2:$A$9000,0)),"")</f>
        <v/>
      </c>
      <c r="K591" t="str">
        <f>IF($I591="","",IF($F591=IFERROR(INDEX(Материалы!$G$2:$G$9000,MATCH($I591,Материалы!$A$2:$A$9000,0)),""),"OK","!! не та группа"))</f>
        <v/>
      </c>
      <c r="L591" s="10">
        <f>IFERROR(INDEX(Работы!$H$2:$H$6000,MATCH($C591,Работы!$A$2:$A$6000,0))*(1-ДисконтТендер),0)</f>
        <v>2205.4499999999998</v>
      </c>
      <c r="M591" s="10">
        <f>IF($I591="",0,IFERROR(INDEX(Материалы!$I$2:$I$9000,MATCH($I591,Материалы!$A$2:$A$9000,0))*IF(INDEX(Материалы!$J$2:$J$9000,MATCH($I591,Материалы!$A$2:$A$9000,0))="USD",КурсUSD,IF(INDEX(Материалы!$J$2:$J$9000,MATCH($I591,Материалы!$A$2:$A$9000,0))="EUR",КурсEUR,1))*INDEX(Материалы!$K$2:$K$9000,MATCH($I591,Материалы!$A$2:$A$9000,0))*(1+IFERROR(INDEX(Работы!$I$2:$I$6000,MATCH($C591,Работы!$A$2:$A$6000,0))/100,0))*(1-ДисконтТендер),0))</f>
        <v>0</v>
      </c>
      <c r="N591" s="10">
        <f t="shared" si="27"/>
        <v>0</v>
      </c>
      <c r="O591" s="10">
        <f t="shared" si="28"/>
        <v>0</v>
      </c>
      <c r="P591" s="10">
        <f t="shared" si="29"/>
        <v>0</v>
      </c>
      <c r="Q591" t="str">
        <f>IFERROR(INDEX(Работы!$J$2:$J$6000,MATCH($C591,Работы!$A$2:$A$6000,0)),"")</f>
        <v>типовая</v>
      </c>
      <c r="R591" t="s">
        <v>92</v>
      </c>
      <c r="T591" t="str">
        <f>IF(AND($P591&gt;0,$R591="да"),MAX($T$1:$T590)+1,"")</f>
        <v/>
      </c>
    </row>
    <row r="592" spans="1:20" x14ac:dyDescent="0.3">
      <c r="A592" t="str">
        <f>IFERROR(INDEX(Работы!$D$2:$D$6000,MATCH($C592,Работы!$A$2:$A$6000,0)),"")</f>
        <v>Р7</v>
      </c>
      <c r="B592" t="str">
        <f>IFERROR(INDEX(Работы!$F$2:$F$6000,MATCH($C592,Работы!$A$2:$A$6000,0)),"")</f>
        <v>1</v>
      </c>
      <c r="C592" t="str">
        <f>IFERROR(INDEX(Работы!$A$2:$A$6000,591),"")</f>
        <v>РАБ.Р7.1.016</v>
      </c>
      <c r="D592" s="8" t="str">
        <f>IFERROR(INDEX(Работы!$B$2:$B$6000,MATCH($C592,Работы!$A$2:$A$6000,0)),"")</f>
        <v>Тепловая завеса Frico с термостатом и пультом</v>
      </c>
      <c r="E592" t="str">
        <f>IFERROR(INDEX(Работы!$C$2:$C$6000,MATCH($C592,Работы!$A$2:$A$6000,0)),"")</f>
        <v>шт.</v>
      </c>
      <c r="F592" t="str">
        <f>IFERROR(INDEX(Работы!$G$2:$G$6000,MATCH($C592,Работы!$A$2:$A$6000,0)),"")</f>
        <v>ЗАВЕСА</v>
      </c>
      <c r="G592" t="str">
        <f>IFERROR(INDEX(Работы!$K$2:$K$6000,MATCH($C592,Работы!$A$2:$A$6000,0)),"")</f>
        <v>Спецификация</v>
      </c>
      <c r="H592" s="9"/>
      <c r="I592" s="9"/>
      <c r="J592" s="8" t="str">
        <f>IFERROR(INDEX(Материалы!$B$2:$B$9000,MATCH($I592,Материалы!$A$2:$A$9000,0)),"")</f>
        <v/>
      </c>
      <c r="K592" t="str">
        <f>IF($I592="","",IF($F592=IFERROR(INDEX(Материалы!$G$2:$G$9000,MATCH($I592,Материалы!$A$2:$A$9000,0)),""),"OK","!! не та группа"))</f>
        <v/>
      </c>
      <c r="L592" s="10">
        <f>IFERROR(INDEX(Работы!$H$2:$H$6000,MATCH($C592,Работы!$A$2:$A$6000,0))*(1-ДисконтТендер),0)</f>
        <v>9499.25</v>
      </c>
      <c r="M592" s="10">
        <f>IF($I592="",0,IFERROR(INDEX(Материалы!$I$2:$I$9000,MATCH($I592,Материалы!$A$2:$A$9000,0))*IF(INDEX(Материалы!$J$2:$J$9000,MATCH($I592,Материалы!$A$2:$A$9000,0))="USD",КурсUSD,IF(INDEX(Материалы!$J$2:$J$9000,MATCH($I592,Материалы!$A$2:$A$9000,0))="EUR",КурсEUR,1))*INDEX(Материалы!$K$2:$K$9000,MATCH($I592,Материалы!$A$2:$A$9000,0))*(1+IFERROR(INDEX(Работы!$I$2:$I$6000,MATCH($C592,Работы!$A$2:$A$6000,0))/100,0))*(1-ДисконтТендер),0))</f>
        <v>0</v>
      </c>
      <c r="N592" s="10">
        <f t="shared" si="27"/>
        <v>0</v>
      </c>
      <c r="O592" s="10">
        <f t="shared" si="28"/>
        <v>0</v>
      </c>
      <c r="P592" s="10">
        <f t="shared" si="29"/>
        <v>0</v>
      </c>
      <c r="Q592" t="str">
        <f>IFERROR(INDEX(Работы!$J$2:$J$6000,MATCH($C592,Работы!$A$2:$A$6000,0)),"")</f>
        <v>типовая</v>
      </c>
      <c r="R592" t="s">
        <v>92</v>
      </c>
      <c r="T592" t="str">
        <f>IF(AND($P592&gt;0,$R592="да"),MAX($T$1:$T591)+1,"")</f>
        <v/>
      </c>
    </row>
    <row r="593" spans="1:20" x14ac:dyDescent="0.3">
      <c r="A593" t="str">
        <f>IFERROR(INDEX(Работы!$D$2:$D$6000,MATCH($C593,Работы!$A$2:$A$6000,0)),"")</f>
        <v>Р7</v>
      </c>
      <c r="B593" t="str">
        <f>IFERROR(INDEX(Работы!$F$2:$F$6000,MATCH($C593,Работы!$A$2:$A$6000,0)),"")</f>
        <v>1</v>
      </c>
      <c r="C593" t="str">
        <f>IFERROR(INDEX(Работы!$A$2:$A$6000,592),"")</f>
        <v>РАБ.Р7.1.017</v>
      </c>
      <c r="D593" s="8" t="str">
        <f>IFERROR(INDEX(Работы!$B$2:$B$6000,MATCH($C593,Работы!$A$2:$A$6000,0)),"")</f>
        <v>Пусконаладочные работы системы вентиляции</v>
      </c>
      <c r="E593" t="str">
        <f>IFERROR(INDEX(Работы!$C$2:$C$6000,MATCH($C593,Работы!$A$2:$A$6000,0)),"")</f>
        <v>кв.м.площади офиса</v>
      </c>
      <c r="F593">
        <f>IFERROR(INDEX(Работы!$G$2:$G$6000,MATCH($C593,Работы!$A$2:$A$6000,0)),"")</f>
        <v>0</v>
      </c>
      <c r="G593" t="str">
        <f>IFERROR(INDEX(Работы!$K$2:$K$6000,MATCH($C593,Работы!$A$2:$A$6000,0)),"")</f>
        <v>Спецификация</v>
      </c>
      <c r="H593" s="9"/>
      <c r="I593" s="9"/>
      <c r="J593" s="8" t="str">
        <f>IFERROR(INDEX(Материалы!$B$2:$B$9000,MATCH($I593,Материалы!$A$2:$A$9000,0)),"")</f>
        <v/>
      </c>
      <c r="K593" t="str">
        <f>IF($I593="","",IF($F593=IFERROR(INDEX(Материалы!$G$2:$G$9000,MATCH($I593,Материалы!$A$2:$A$9000,0)),""),"OK","!! не та группа"))</f>
        <v/>
      </c>
      <c r="L593" s="10">
        <f>IFERROR(INDEX(Работы!$H$2:$H$6000,MATCH($C593,Работы!$A$2:$A$6000,0))*(1-ДисконтТендер),0)</f>
        <v>107</v>
      </c>
      <c r="M593" s="10">
        <f>IF($I593="",0,IFERROR(INDEX(Материалы!$I$2:$I$9000,MATCH($I593,Материалы!$A$2:$A$9000,0))*IF(INDEX(Материалы!$J$2:$J$9000,MATCH($I593,Материалы!$A$2:$A$9000,0))="USD",КурсUSD,IF(INDEX(Материалы!$J$2:$J$9000,MATCH($I593,Материалы!$A$2:$A$9000,0))="EUR",КурсEUR,1))*INDEX(Материалы!$K$2:$K$9000,MATCH($I593,Материалы!$A$2:$A$9000,0))*(1+IFERROR(INDEX(Работы!$I$2:$I$6000,MATCH($C593,Работы!$A$2:$A$6000,0))/100,0))*(1-ДисконтТендер),0))</f>
        <v>0</v>
      </c>
      <c r="N593" s="10">
        <f t="shared" si="27"/>
        <v>0</v>
      </c>
      <c r="O593" s="10">
        <f t="shared" si="28"/>
        <v>0</v>
      </c>
      <c r="P593" s="10">
        <f t="shared" si="29"/>
        <v>0</v>
      </c>
      <c r="Q593" t="str">
        <f>IFERROR(INDEX(Работы!$J$2:$J$6000,MATCH($C593,Работы!$A$2:$A$6000,0)),"")</f>
        <v>типовая</v>
      </c>
      <c r="R593" t="s">
        <v>92</v>
      </c>
      <c r="T593" t="str">
        <f>IF(AND($P593&gt;0,$R593="да"),MAX($T$1:$T592)+1,"")</f>
        <v/>
      </c>
    </row>
    <row r="594" spans="1:20" ht="43.2" x14ac:dyDescent="0.3">
      <c r="A594" t="str">
        <f>IFERROR(INDEX(Работы!$D$2:$D$6000,MATCH($C594,Работы!$A$2:$A$6000,0)),"")</f>
        <v>Р7</v>
      </c>
      <c r="B594" t="str">
        <f>IFERROR(INDEX(Работы!$F$2:$F$6000,MATCH($C594,Работы!$A$2:$A$6000,0)),"")</f>
        <v>1</v>
      </c>
      <c r="C594" t="str">
        <f>IFERROR(INDEX(Работы!$A$2:$A$6000,593),"")</f>
        <v>РАБ.Р7.1.018</v>
      </c>
      <c r="D594" s="8" t="str">
        <f>IFERROR(INDEX(Работы!$B$2:$B$6000,MATCH($C594,Работы!$A$2:$A$6000,0)),"")</f>
        <v>Противопожарный клапан (с электромеханическим приводом Belimo с возвратной пружиной) НО 500*300</v>
      </c>
      <c r="E594" t="str">
        <f>IFERROR(INDEX(Работы!$C$2:$C$6000,MATCH($C594,Работы!$A$2:$A$6000,0)),"")</f>
        <v>шт.</v>
      </c>
      <c r="F594">
        <f>IFERROR(INDEX(Работы!$G$2:$G$6000,MATCH($C594,Работы!$A$2:$A$6000,0)),"")</f>
        <v>0</v>
      </c>
      <c r="G594" t="str">
        <f>IFERROR(INDEX(Работы!$K$2:$K$6000,MATCH($C594,Работы!$A$2:$A$6000,0)),"")</f>
        <v>Спецификация</v>
      </c>
      <c r="H594" s="9"/>
      <c r="I594" s="9"/>
      <c r="J594" s="8" t="str">
        <f>IFERROR(INDEX(Материалы!$B$2:$B$9000,MATCH($I594,Материалы!$A$2:$A$9000,0)),"")</f>
        <v/>
      </c>
      <c r="K594" t="str">
        <f>IF($I594="","",IF($F594=IFERROR(INDEX(Материалы!$G$2:$G$9000,MATCH($I594,Материалы!$A$2:$A$9000,0)),""),"OK","!! не та группа"))</f>
        <v/>
      </c>
      <c r="L594" s="10">
        <f>IFERROR(INDEX(Работы!$H$2:$H$6000,MATCH($C594,Работы!$A$2:$A$6000,0))*(1-ДисконтТендер),0)</f>
        <v>2548.85</v>
      </c>
      <c r="M594" s="10">
        <f>IF($I594="",0,IFERROR(INDEX(Материалы!$I$2:$I$9000,MATCH($I594,Материалы!$A$2:$A$9000,0))*IF(INDEX(Материалы!$J$2:$J$9000,MATCH($I594,Материалы!$A$2:$A$9000,0))="USD",КурсUSD,IF(INDEX(Материалы!$J$2:$J$9000,MATCH($I594,Материалы!$A$2:$A$9000,0))="EUR",КурсEUR,1))*INDEX(Материалы!$K$2:$K$9000,MATCH($I594,Материалы!$A$2:$A$9000,0))*(1+IFERROR(INDEX(Работы!$I$2:$I$6000,MATCH($C594,Работы!$A$2:$A$6000,0))/100,0))*(1-ДисконтТендер),0))</f>
        <v>0</v>
      </c>
      <c r="N594" s="10">
        <f t="shared" si="27"/>
        <v>0</v>
      </c>
      <c r="O594" s="10">
        <f t="shared" si="28"/>
        <v>0</v>
      </c>
      <c r="P594" s="10">
        <f t="shared" si="29"/>
        <v>0</v>
      </c>
      <c r="Q594" t="str">
        <f>IFERROR(INDEX(Работы!$J$2:$J$6000,MATCH($C594,Работы!$A$2:$A$6000,0)),"")</f>
        <v>типовая</v>
      </c>
      <c r="R594" t="s">
        <v>92</v>
      </c>
      <c r="T594" t="str">
        <f>IF(AND($P594&gt;0,$R594="да"),MAX($T$1:$T593)+1,"")</f>
        <v/>
      </c>
    </row>
    <row r="595" spans="1:20" ht="43.2" x14ac:dyDescent="0.3">
      <c r="A595" t="str">
        <f>IFERROR(INDEX(Работы!$D$2:$D$6000,MATCH($C595,Работы!$A$2:$A$6000,0)),"")</f>
        <v>Р7</v>
      </c>
      <c r="B595" t="str">
        <f>IFERROR(INDEX(Работы!$F$2:$F$6000,MATCH($C595,Работы!$A$2:$A$6000,0)),"")</f>
        <v>1</v>
      </c>
      <c r="C595" t="str">
        <f>IFERROR(INDEX(Работы!$A$2:$A$6000,594),"")</f>
        <v>РАБ.Р7.1.019</v>
      </c>
      <c r="D595" s="8" t="str">
        <f>IFERROR(INDEX(Работы!$B$2:$B$6000,MATCH($C595,Работы!$A$2:$A$6000,0)),"")</f>
        <v>Монтаж тепло-шумоизоляции K-FLEX K-Flex Air 25мм самоклеющаяся (или Энергофлекс) воздуховодов согласно ТЗ</v>
      </c>
      <c r="E595" t="str">
        <f>IFERROR(INDEX(Работы!$C$2:$C$6000,MATCH($C595,Работы!$A$2:$A$6000,0)),"")</f>
        <v>м2</v>
      </c>
      <c r="F595" t="str">
        <f>IFERROR(INDEX(Работы!$G$2:$G$6000,MATCH($C595,Работы!$A$2:$A$6000,0)),"")</f>
        <v>ВОЗД</v>
      </c>
      <c r="G595" t="str">
        <f>IFERROR(INDEX(Работы!$K$2:$K$6000,MATCH($C595,Работы!$A$2:$A$6000,0)),"")</f>
        <v>S_поверхность</v>
      </c>
      <c r="H595" s="9"/>
      <c r="I595" s="9"/>
      <c r="J595" s="8" t="str">
        <f>IFERROR(INDEX(Материалы!$B$2:$B$9000,MATCH($I595,Материалы!$A$2:$A$9000,0)),"")</f>
        <v/>
      </c>
      <c r="K595" t="str">
        <f>IF($I595="","",IF($F595=IFERROR(INDEX(Материалы!$G$2:$G$9000,MATCH($I595,Материалы!$A$2:$A$9000,0)),""),"OK","!! не та группа"))</f>
        <v/>
      </c>
      <c r="L595" s="10">
        <f>IFERROR(INDEX(Работы!$H$2:$H$6000,MATCH($C595,Работы!$A$2:$A$6000,0))*(1-ДисконтТендер),0)</f>
        <v>822.99</v>
      </c>
      <c r="M595" s="10">
        <f>IF($I595="",0,IFERROR(INDEX(Материалы!$I$2:$I$9000,MATCH($I595,Материалы!$A$2:$A$9000,0))*IF(INDEX(Материалы!$J$2:$J$9000,MATCH($I595,Материалы!$A$2:$A$9000,0))="USD",КурсUSD,IF(INDEX(Материалы!$J$2:$J$9000,MATCH($I595,Материалы!$A$2:$A$9000,0))="EUR",КурсEUR,1))*INDEX(Материалы!$K$2:$K$9000,MATCH($I595,Материалы!$A$2:$A$9000,0))*(1+IFERROR(INDEX(Работы!$I$2:$I$6000,MATCH($C595,Работы!$A$2:$A$6000,0))/100,0))*(1-ДисконтТендер),0))</f>
        <v>0</v>
      </c>
      <c r="N595" s="10">
        <f t="shared" si="27"/>
        <v>0</v>
      </c>
      <c r="O595" s="10">
        <f t="shared" si="28"/>
        <v>0</v>
      </c>
      <c r="P595" s="10">
        <f t="shared" si="29"/>
        <v>0</v>
      </c>
      <c r="Q595" t="str">
        <f>IFERROR(INDEX(Работы!$J$2:$J$6000,MATCH($C595,Работы!$A$2:$A$6000,0)),"")</f>
        <v>типовая</v>
      </c>
      <c r="R595" t="s">
        <v>92</v>
      </c>
      <c r="T595" t="str">
        <f>IF(AND($P595&gt;0,$R595="да"),MAX($T$1:$T594)+1,"")</f>
        <v/>
      </c>
    </row>
    <row r="596" spans="1:20" ht="43.2" x14ac:dyDescent="0.3">
      <c r="A596" t="str">
        <f>IFERROR(INDEX(Работы!$D$2:$D$6000,MATCH($C596,Работы!$A$2:$A$6000,0)),"")</f>
        <v>Р7</v>
      </c>
      <c r="B596" t="str">
        <f>IFERROR(INDEX(Работы!$F$2:$F$6000,MATCH($C596,Работы!$A$2:$A$6000,0)),"")</f>
        <v>1</v>
      </c>
      <c r="C596" t="str">
        <f>IFERROR(INDEX(Работы!$A$2:$A$6000,595),"")</f>
        <v>РАБ.Р7.1.020</v>
      </c>
      <c r="D596" s="8" t="str">
        <f>IFERROR(INDEX(Работы!$B$2:$B$6000,MATCH($C596,Работы!$A$2:$A$6000,0)),"")</f>
        <v>Монтаж тепло-шумоизоляции K-FLEX K-Flex Air 6мм самоклеющаяся (или Энергофлекс) воздуховодов согласно ТЗ</v>
      </c>
      <c r="E596" t="str">
        <f>IFERROR(INDEX(Работы!$C$2:$C$6000,MATCH($C596,Работы!$A$2:$A$6000,0)),"")</f>
        <v>м2</v>
      </c>
      <c r="F596" t="str">
        <f>IFERROR(INDEX(Работы!$G$2:$G$6000,MATCH($C596,Работы!$A$2:$A$6000,0)),"")</f>
        <v>ВОЗД</v>
      </c>
      <c r="G596" t="str">
        <f>IFERROR(INDEX(Работы!$K$2:$K$6000,MATCH($C596,Работы!$A$2:$A$6000,0)),"")</f>
        <v>S_поверхность</v>
      </c>
      <c r="H596" s="9"/>
      <c r="I596" s="9"/>
      <c r="J596" s="8" t="str">
        <f>IFERROR(INDEX(Материалы!$B$2:$B$9000,MATCH($I596,Материалы!$A$2:$A$9000,0)),"")</f>
        <v/>
      </c>
      <c r="K596" t="str">
        <f>IF($I596="","",IF($F596=IFERROR(INDEX(Материалы!$G$2:$G$9000,MATCH($I596,Материалы!$A$2:$A$9000,0)),""),"OK","!! не та группа"))</f>
        <v/>
      </c>
      <c r="L596" s="10">
        <f>IFERROR(INDEX(Работы!$H$2:$H$6000,MATCH($C596,Работы!$A$2:$A$6000,0))*(1-ДисконтТендер),0)</f>
        <v>250</v>
      </c>
      <c r="M596" s="10">
        <f>IF($I596="",0,IFERROR(INDEX(Материалы!$I$2:$I$9000,MATCH($I596,Материалы!$A$2:$A$9000,0))*IF(INDEX(Материалы!$J$2:$J$9000,MATCH($I596,Материалы!$A$2:$A$9000,0))="USD",КурсUSD,IF(INDEX(Материалы!$J$2:$J$9000,MATCH($I596,Материалы!$A$2:$A$9000,0))="EUR",КурсEUR,1))*INDEX(Материалы!$K$2:$K$9000,MATCH($I596,Материалы!$A$2:$A$9000,0))*(1+IFERROR(INDEX(Работы!$I$2:$I$6000,MATCH($C596,Работы!$A$2:$A$6000,0))/100,0))*(1-ДисконтТендер),0))</f>
        <v>0</v>
      </c>
      <c r="N596" s="10">
        <f t="shared" si="27"/>
        <v>0</v>
      </c>
      <c r="O596" s="10">
        <f t="shared" si="28"/>
        <v>0</v>
      </c>
      <c r="P596" s="10">
        <f t="shared" si="29"/>
        <v>0</v>
      </c>
      <c r="Q596" t="str">
        <f>IFERROR(INDEX(Работы!$J$2:$J$6000,MATCH($C596,Работы!$A$2:$A$6000,0)),"")</f>
        <v>типовая</v>
      </c>
      <c r="R596" t="s">
        <v>92</v>
      </c>
      <c r="T596" t="str">
        <f>IF(AND($P596&gt;0,$R596="да"),MAX($T$1:$T595)+1,"")</f>
        <v/>
      </c>
    </row>
    <row r="597" spans="1:20" ht="28.8" x14ac:dyDescent="0.3">
      <c r="A597" t="str">
        <f>IFERROR(INDEX(Работы!$D$2:$D$6000,MATCH($C597,Работы!$A$2:$A$6000,0)),"")</f>
        <v>Р7</v>
      </c>
      <c r="B597" t="str">
        <f>IFERROR(INDEX(Работы!$F$2:$F$6000,MATCH($C597,Работы!$A$2:$A$6000,0)),"")</f>
        <v>1</v>
      </c>
      <c r="C597" t="str">
        <f>IFERROR(INDEX(Работы!$A$2:$A$6000,596),"")</f>
        <v>РАБ.Р7.1.021</v>
      </c>
      <c r="D597" s="8" t="str">
        <f>IFERROR(INDEX(Работы!$B$2:$B$6000,MATCH($C597,Работы!$A$2:$A$6000,0)),"")</f>
        <v>Монтаж ленты K-FLEX ST Н50х3х15 самоклеющаяся для изоляции стыков.</v>
      </c>
      <c r="E597" t="str">
        <f>IFERROR(INDEX(Работы!$C$2:$C$6000,MATCH($C597,Работы!$A$2:$A$6000,0)),"")</f>
        <v>шт.</v>
      </c>
      <c r="F597">
        <f>IFERROR(INDEX(Работы!$G$2:$G$6000,MATCH($C597,Работы!$A$2:$A$6000,0)),"")</f>
        <v>0</v>
      </c>
      <c r="G597" t="str">
        <f>IFERROR(INDEX(Работы!$K$2:$K$6000,MATCH($C597,Работы!$A$2:$A$6000,0)),"")</f>
        <v>Спецификация</v>
      </c>
      <c r="H597" s="9"/>
      <c r="I597" s="9"/>
      <c r="J597" s="8" t="str">
        <f>IFERROR(INDEX(Материалы!$B$2:$B$9000,MATCH($I597,Материалы!$A$2:$A$9000,0)),"")</f>
        <v/>
      </c>
      <c r="K597" t="str">
        <f>IF($I597="","",IF($F597=IFERROR(INDEX(Материалы!$G$2:$G$9000,MATCH($I597,Материалы!$A$2:$A$9000,0)),""),"OK","!! не та группа"))</f>
        <v/>
      </c>
      <c r="L597" s="10">
        <f>IFERROR(INDEX(Работы!$H$2:$H$6000,MATCH($C597,Работы!$A$2:$A$6000,0))*(1-ДисконтТендер),0)</f>
        <v>339.3</v>
      </c>
      <c r="M597" s="10">
        <f>IF($I597="",0,IFERROR(INDEX(Материалы!$I$2:$I$9000,MATCH($I597,Материалы!$A$2:$A$9000,0))*IF(INDEX(Материалы!$J$2:$J$9000,MATCH($I597,Материалы!$A$2:$A$9000,0))="USD",КурсUSD,IF(INDEX(Материалы!$J$2:$J$9000,MATCH($I597,Материалы!$A$2:$A$9000,0))="EUR",КурсEUR,1))*INDEX(Материалы!$K$2:$K$9000,MATCH($I597,Материалы!$A$2:$A$9000,0))*(1+IFERROR(INDEX(Работы!$I$2:$I$6000,MATCH($C597,Работы!$A$2:$A$6000,0))/100,0))*(1-ДисконтТендер),0))</f>
        <v>0</v>
      </c>
      <c r="N597" s="10">
        <f t="shared" si="27"/>
        <v>0</v>
      </c>
      <c r="O597" s="10">
        <f t="shared" si="28"/>
        <v>0</v>
      </c>
      <c r="P597" s="10">
        <f t="shared" si="29"/>
        <v>0</v>
      </c>
      <c r="Q597" t="str">
        <f>IFERROR(INDEX(Работы!$J$2:$J$6000,MATCH($C597,Работы!$A$2:$A$6000,0)),"")</f>
        <v>типовая</v>
      </c>
      <c r="R597" t="s">
        <v>92</v>
      </c>
      <c r="T597" t="str">
        <f>IF(AND($P597&gt;0,$R597="да"),MAX($T$1:$T596)+1,"")</f>
        <v/>
      </c>
    </row>
    <row r="598" spans="1:20" ht="28.8" x14ac:dyDescent="0.3">
      <c r="A598" t="str">
        <f>IFERROR(INDEX(Работы!$D$2:$D$6000,MATCH($C598,Работы!$A$2:$A$6000,0)),"")</f>
        <v>Р7</v>
      </c>
      <c r="B598" t="str">
        <f>IFERROR(INDEX(Работы!$F$2:$F$6000,MATCH($C598,Работы!$A$2:$A$6000,0)),"")</f>
        <v>1</v>
      </c>
      <c r="C598" t="str">
        <f>IFERROR(INDEX(Работы!$A$2:$A$6000,597),"")</f>
        <v>РАБ.Р7.1.022</v>
      </c>
      <c r="D598" s="8" t="str">
        <f>IFERROR(INDEX(Работы!$B$2:$B$6000,MATCH($C598,Работы!$A$2:$A$6000,0)),"")</f>
        <v>Монтаж теплоизоляции K-FLEX (или Энергофлекс) воздуховодов согласно ТЗ</v>
      </c>
      <c r="E598" t="str">
        <f>IFERROR(INDEX(Работы!$C$2:$C$6000,MATCH($C598,Работы!$A$2:$A$6000,0)),"")</f>
        <v>м2 (по площади помещения)</v>
      </c>
      <c r="F598" t="str">
        <f>IFERROR(INDEX(Работы!$G$2:$G$6000,MATCH($C598,Работы!$A$2:$A$6000,0)),"")</f>
        <v>ВОЗД</v>
      </c>
      <c r="G598" t="str">
        <f>IFERROR(INDEX(Работы!$K$2:$K$6000,MATCH($C598,Работы!$A$2:$A$6000,0)),"")</f>
        <v>S_поверхность</v>
      </c>
      <c r="H598" s="9"/>
      <c r="I598" s="9"/>
      <c r="J598" s="8" t="str">
        <f>IFERROR(INDEX(Материалы!$B$2:$B$9000,MATCH($I598,Материалы!$A$2:$A$9000,0)),"")</f>
        <v/>
      </c>
      <c r="K598" t="str">
        <f>IF($I598="","",IF($F598=IFERROR(INDEX(Материалы!$G$2:$G$9000,MATCH($I598,Материалы!$A$2:$A$9000,0)),""),"OK","!! не та группа"))</f>
        <v/>
      </c>
      <c r="L598" s="10">
        <f>IFERROR(INDEX(Работы!$H$2:$H$6000,MATCH($C598,Работы!$A$2:$A$6000,0))*(1-ДисконтТендер),0)</f>
        <v>499.9</v>
      </c>
      <c r="M598" s="10">
        <f>IF($I598="",0,IFERROR(INDEX(Материалы!$I$2:$I$9000,MATCH($I598,Материалы!$A$2:$A$9000,0))*IF(INDEX(Материалы!$J$2:$J$9000,MATCH($I598,Материалы!$A$2:$A$9000,0))="USD",КурсUSD,IF(INDEX(Материалы!$J$2:$J$9000,MATCH($I598,Материалы!$A$2:$A$9000,0))="EUR",КурсEUR,1))*INDEX(Материалы!$K$2:$K$9000,MATCH($I598,Материалы!$A$2:$A$9000,0))*(1+IFERROR(INDEX(Работы!$I$2:$I$6000,MATCH($C598,Работы!$A$2:$A$6000,0))/100,0))*(1-ДисконтТендер),0))</f>
        <v>0</v>
      </c>
      <c r="N598" s="10">
        <f t="shared" si="27"/>
        <v>0</v>
      </c>
      <c r="O598" s="10">
        <f t="shared" si="28"/>
        <v>0</v>
      </c>
      <c r="P598" s="10">
        <f t="shared" si="29"/>
        <v>0</v>
      </c>
      <c r="Q598" t="str">
        <f>IFERROR(INDEX(Работы!$J$2:$J$6000,MATCH($C598,Работы!$A$2:$A$6000,0)),"")</f>
        <v>типовая</v>
      </c>
      <c r="R598" t="s">
        <v>92</v>
      </c>
      <c r="T598" t="str">
        <f>IF(AND($P598&gt;0,$R598="да"),MAX($T$1:$T597)+1,"")</f>
        <v/>
      </c>
    </row>
    <row r="599" spans="1:20" ht="28.8" x14ac:dyDescent="0.3">
      <c r="A599" t="str">
        <f>IFERROR(INDEX(Работы!$D$2:$D$6000,MATCH($C599,Работы!$A$2:$A$6000,0)),"")</f>
        <v>Р7</v>
      </c>
      <c r="B599" t="str">
        <f>IFERROR(INDEX(Работы!$F$2:$F$6000,MATCH($C599,Работы!$A$2:$A$6000,0)),"")</f>
        <v>1</v>
      </c>
      <c r="C599" t="str">
        <f>IFERROR(INDEX(Работы!$A$2:$A$6000,598),"")</f>
        <v>РАБ.Р7.1.023</v>
      </c>
      <c r="D599" s="8" t="str">
        <f>IFERROR(INDEX(Работы!$B$2:$B$6000,MATCH($C599,Работы!$A$2:$A$6000,0)),"")</f>
        <v>Монтаж воздухораспределителя (решётка / диффузор)</v>
      </c>
      <c r="E599" t="str">
        <f>IFERROR(INDEX(Работы!$C$2:$C$6000,MATCH($C599,Работы!$A$2:$A$6000,0)),"")</f>
        <v>шт.</v>
      </c>
      <c r="F599" t="str">
        <f>IFERROR(INDEX(Работы!$G$2:$G$6000,MATCH($C599,Работы!$A$2:$A$6000,0)),"")</f>
        <v>ВР</v>
      </c>
      <c r="G599" t="str">
        <f>IFERROR(INDEX(Работы!$K$2:$K$6000,MATCH($C599,Работы!$A$2:$A$6000,0)),"")</f>
        <v>Спецификация</v>
      </c>
      <c r="H599" s="9"/>
      <c r="I599" s="9"/>
      <c r="J599" s="8" t="str">
        <f>IFERROR(INDEX(Материалы!$B$2:$B$9000,MATCH($I599,Материалы!$A$2:$A$9000,0)),"")</f>
        <v/>
      </c>
      <c r="K599" t="str">
        <f>IF($I599="","",IF($F599=IFERROR(INDEX(Материалы!$G$2:$G$9000,MATCH($I599,Материалы!$A$2:$A$9000,0)),""),"OK","!! не та группа"))</f>
        <v/>
      </c>
      <c r="L599" s="10">
        <f>IFERROR(INDEX(Работы!$H$2:$H$6000,MATCH($C599,Работы!$A$2:$A$6000,0))*(1-ДисконтТендер),0)</f>
        <v>2973.52</v>
      </c>
      <c r="M599" s="10">
        <f>IF($I599="",0,IFERROR(INDEX(Материалы!$I$2:$I$9000,MATCH($I599,Материалы!$A$2:$A$9000,0))*IF(INDEX(Материалы!$J$2:$J$9000,MATCH($I599,Материалы!$A$2:$A$9000,0))="USD",КурсUSD,IF(INDEX(Материалы!$J$2:$J$9000,MATCH($I599,Материалы!$A$2:$A$9000,0))="EUR",КурсEUR,1))*INDEX(Материалы!$K$2:$K$9000,MATCH($I599,Материалы!$A$2:$A$9000,0))*(1+IFERROR(INDEX(Работы!$I$2:$I$6000,MATCH($C599,Работы!$A$2:$A$6000,0))/100,0))*(1-ДисконтТендер),0))</f>
        <v>0</v>
      </c>
      <c r="N599" s="10">
        <f t="shared" si="27"/>
        <v>0</v>
      </c>
      <c r="O599" s="10">
        <f t="shared" si="28"/>
        <v>0</v>
      </c>
      <c r="P599" s="10">
        <f t="shared" si="29"/>
        <v>0</v>
      </c>
      <c r="Q599" t="str">
        <f>IFERROR(INDEX(Работы!$J$2:$J$6000,MATCH($C599,Работы!$A$2:$A$6000,0)),"")</f>
        <v>типовая</v>
      </c>
      <c r="R599" t="s">
        <v>92</v>
      </c>
      <c r="T599" t="str">
        <f>IF(AND($P599&gt;0,$R599="да"),MAX($T$1:$T598)+1,"")</f>
        <v/>
      </c>
    </row>
    <row r="600" spans="1:20" x14ac:dyDescent="0.3">
      <c r="A600" t="str">
        <f>IFERROR(INDEX(Работы!$D$2:$D$6000,MATCH($C600,Работы!$A$2:$A$6000,0)),"")</f>
        <v>Р7</v>
      </c>
      <c r="B600" t="str">
        <f>IFERROR(INDEX(Работы!$F$2:$F$6000,MATCH($C600,Работы!$A$2:$A$6000,0)),"")</f>
        <v>1</v>
      </c>
      <c r="C600" t="str">
        <f>IFERROR(INDEX(Работы!$A$2:$A$6000,599),"")</f>
        <v>РАБ.Р7.1.024</v>
      </c>
      <c r="D600" s="8" t="str">
        <f>IFERROR(INDEX(Работы!$B$2:$B$6000,MATCH($C600,Работы!$A$2:$A$6000,0)),"")</f>
        <v>Монтаж вентилятора</v>
      </c>
      <c r="E600" t="str">
        <f>IFERROR(INDEX(Работы!$C$2:$C$6000,MATCH($C600,Работы!$A$2:$A$6000,0)),"")</f>
        <v>шт.</v>
      </c>
      <c r="F600" t="str">
        <f>IFERROR(INDEX(Работы!$G$2:$G$6000,MATCH($C600,Работы!$A$2:$A$6000,0)),"")</f>
        <v>ВЕНТ</v>
      </c>
      <c r="G600" t="str">
        <f>IFERROR(INDEX(Работы!$K$2:$K$6000,MATCH($C600,Работы!$A$2:$A$6000,0)),"")</f>
        <v>Спецификация</v>
      </c>
      <c r="H600" s="9"/>
      <c r="I600" s="9"/>
      <c r="J600" s="8" t="str">
        <f>IFERROR(INDEX(Материалы!$B$2:$B$9000,MATCH($I600,Материалы!$A$2:$A$9000,0)),"")</f>
        <v/>
      </c>
      <c r="K600" t="str">
        <f>IF($I600="","",IF($F600=IFERROR(INDEX(Материалы!$G$2:$G$9000,MATCH($I600,Материалы!$A$2:$A$9000,0)),""),"OK","!! не та группа"))</f>
        <v/>
      </c>
      <c r="L600" s="10">
        <f>IFERROR(INDEX(Работы!$H$2:$H$6000,MATCH($C600,Работы!$A$2:$A$6000,0))*(1-ДисконтТендер),0)</f>
        <v>1819.43</v>
      </c>
      <c r="M600" s="10">
        <f>IF($I600="",0,IFERROR(INDEX(Материалы!$I$2:$I$9000,MATCH($I600,Материалы!$A$2:$A$9000,0))*IF(INDEX(Материалы!$J$2:$J$9000,MATCH($I600,Материалы!$A$2:$A$9000,0))="USD",КурсUSD,IF(INDEX(Материалы!$J$2:$J$9000,MATCH($I600,Материалы!$A$2:$A$9000,0))="EUR",КурсEUR,1))*INDEX(Материалы!$K$2:$K$9000,MATCH($I600,Материалы!$A$2:$A$9000,0))*(1+IFERROR(INDEX(Работы!$I$2:$I$6000,MATCH($C600,Работы!$A$2:$A$6000,0))/100,0))*(1-ДисконтТендер),0))</f>
        <v>0</v>
      </c>
      <c r="N600" s="10">
        <f t="shared" si="27"/>
        <v>0</v>
      </c>
      <c r="O600" s="10">
        <f t="shared" si="28"/>
        <v>0</v>
      </c>
      <c r="P600" s="10">
        <f t="shared" si="29"/>
        <v>0</v>
      </c>
      <c r="Q600" t="str">
        <f>IFERROR(INDEX(Работы!$J$2:$J$6000,MATCH($C600,Работы!$A$2:$A$6000,0)),"")</f>
        <v>типовая</v>
      </c>
      <c r="R600" t="s">
        <v>92</v>
      </c>
      <c r="T600" t="str">
        <f>IF(AND($P600&gt;0,$R600="да"),MAX($T$1:$T599)+1,"")</f>
        <v/>
      </c>
    </row>
    <row r="601" spans="1:20" x14ac:dyDescent="0.3">
      <c r="A601" t="str">
        <f>IFERROR(INDEX(Работы!$D$2:$D$6000,MATCH($C601,Работы!$A$2:$A$6000,0)),"")</f>
        <v>Р7</v>
      </c>
      <c r="B601" t="str">
        <f>IFERROR(INDEX(Работы!$F$2:$F$6000,MATCH($C601,Работы!$A$2:$A$6000,0)),"")</f>
        <v>1</v>
      </c>
      <c r="C601" t="str">
        <f>IFERROR(INDEX(Работы!$A$2:$A$6000,600),"")</f>
        <v>РАБ.Р7.1.025</v>
      </c>
      <c r="D601" s="8" t="str">
        <f>IFERROR(INDEX(Работы!$B$2:$B$6000,MATCH($C601,Работы!$A$2:$A$6000,0)),"")</f>
        <v>Монтаж шумоглушителя</v>
      </c>
      <c r="E601" t="str">
        <f>IFERROR(INDEX(Работы!$C$2:$C$6000,MATCH($C601,Работы!$A$2:$A$6000,0)),"")</f>
        <v>шт.</v>
      </c>
      <c r="F601" t="str">
        <f>IFERROR(INDEX(Работы!$G$2:$G$6000,MATCH($C601,Работы!$A$2:$A$6000,0)),"")</f>
        <v>ШГ</v>
      </c>
      <c r="G601" t="str">
        <f>IFERROR(INDEX(Работы!$K$2:$K$6000,MATCH($C601,Работы!$A$2:$A$6000,0)),"")</f>
        <v>Спецификация</v>
      </c>
      <c r="H601" s="9"/>
      <c r="I601" s="9"/>
      <c r="J601" s="8" t="str">
        <f>IFERROR(INDEX(Материалы!$B$2:$B$9000,MATCH($I601,Материалы!$A$2:$A$9000,0)),"")</f>
        <v/>
      </c>
      <c r="K601" t="str">
        <f>IF($I601="","",IF($F601=IFERROR(INDEX(Материалы!$G$2:$G$9000,MATCH($I601,Материалы!$A$2:$A$9000,0)),""),"OK","!! не та группа"))</f>
        <v/>
      </c>
      <c r="L601" s="10">
        <f>IFERROR(INDEX(Работы!$H$2:$H$6000,MATCH($C601,Работы!$A$2:$A$6000,0))*(1-ДисконтТендер),0)</f>
        <v>1000</v>
      </c>
      <c r="M601" s="10">
        <f>IF($I601="",0,IFERROR(INDEX(Материалы!$I$2:$I$9000,MATCH($I601,Материалы!$A$2:$A$9000,0))*IF(INDEX(Материалы!$J$2:$J$9000,MATCH($I601,Материалы!$A$2:$A$9000,0))="USD",КурсUSD,IF(INDEX(Материалы!$J$2:$J$9000,MATCH($I601,Материалы!$A$2:$A$9000,0))="EUR",КурсEUR,1))*INDEX(Материалы!$K$2:$K$9000,MATCH($I601,Материалы!$A$2:$A$9000,0))*(1+IFERROR(INDEX(Работы!$I$2:$I$6000,MATCH($C601,Работы!$A$2:$A$6000,0))/100,0))*(1-ДисконтТендер),0))</f>
        <v>0</v>
      </c>
      <c r="N601" s="10">
        <f t="shared" si="27"/>
        <v>0</v>
      </c>
      <c r="O601" s="10">
        <f t="shared" si="28"/>
        <v>0</v>
      </c>
      <c r="P601" s="10">
        <f t="shared" si="29"/>
        <v>0</v>
      </c>
      <c r="Q601" t="str">
        <f>IFERROR(INDEX(Работы!$J$2:$J$6000,MATCH($C601,Работы!$A$2:$A$6000,0)),"")</f>
        <v>типовая</v>
      </c>
      <c r="R601" t="s">
        <v>92</v>
      </c>
      <c r="T601" t="str">
        <f>IF(AND($P601&gt;0,$R601="да"),MAX($T$1:$T600)+1,"")</f>
        <v/>
      </c>
    </row>
    <row r="602" spans="1:20" x14ac:dyDescent="0.3">
      <c r="A602" t="str">
        <f>IFERROR(INDEX(Работы!$D$2:$D$6000,MATCH($C602,Работы!$A$2:$A$6000,0)),"")</f>
        <v>Р7</v>
      </c>
      <c r="B602" t="str">
        <f>IFERROR(INDEX(Работы!$F$2:$F$6000,MATCH($C602,Работы!$A$2:$A$6000,0)),"")</f>
        <v>1</v>
      </c>
      <c r="C602" t="str">
        <f>IFERROR(INDEX(Работы!$A$2:$A$6000,601),"")</f>
        <v>РАБ.Р7.1.026</v>
      </c>
      <c r="D602" s="8" t="str">
        <f>IFERROR(INDEX(Работы!$B$2:$B$6000,MATCH($C602,Работы!$A$2:$A$6000,0)),"")</f>
        <v>RSK 100, обратный клапан для круглых каналов</v>
      </c>
      <c r="E602" t="str">
        <f>IFERROR(INDEX(Работы!$C$2:$C$6000,MATCH($C602,Работы!$A$2:$A$6000,0)),"")</f>
        <v>шт.</v>
      </c>
      <c r="F602">
        <f>IFERROR(INDEX(Работы!$G$2:$G$6000,MATCH($C602,Работы!$A$2:$A$6000,0)),"")</f>
        <v>0</v>
      </c>
      <c r="G602" t="str">
        <f>IFERROR(INDEX(Работы!$K$2:$K$6000,MATCH($C602,Работы!$A$2:$A$6000,0)),"")</f>
        <v>Спецификация</v>
      </c>
      <c r="H602" s="9"/>
      <c r="I602" s="9"/>
      <c r="J602" s="8" t="str">
        <f>IFERROR(INDEX(Материалы!$B$2:$B$9000,MATCH($I602,Материалы!$A$2:$A$9000,0)),"")</f>
        <v/>
      </c>
      <c r="K602" t="str">
        <f>IF($I602="","",IF($F602=IFERROR(INDEX(Материалы!$G$2:$G$9000,MATCH($I602,Материалы!$A$2:$A$9000,0)),""),"OK","!! не та группа"))</f>
        <v/>
      </c>
      <c r="L602" s="10">
        <f>IFERROR(INDEX(Работы!$H$2:$H$6000,MATCH($C602,Работы!$A$2:$A$6000,0))*(1-ДисконтТендер),0)</f>
        <v>500</v>
      </c>
      <c r="M602" s="10">
        <f>IF($I602="",0,IFERROR(INDEX(Материалы!$I$2:$I$9000,MATCH($I602,Материалы!$A$2:$A$9000,0))*IF(INDEX(Материалы!$J$2:$J$9000,MATCH($I602,Материалы!$A$2:$A$9000,0))="USD",КурсUSD,IF(INDEX(Материалы!$J$2:$J$9000,MATCH($I602,Материалы!$A$2:$A$9000,0))="EUR",КурсEUR,1))*INDEX(Материалы!$K$2:$K$9000,MATCH($I602,Материалы!$A$2:$A$9000,0))*(1+IFERROR(INDEX(Работы!$I$2:$I$6000,MATCH($C602,Работы!$A$2:$A$6000,0))/100,0))*(1-ДисконтТендер),0))</f>
        <v>0</v>
      </c>
      <c r="N602" s="10">
        <f t="shared" si="27"/>
        <v>0</v>
      </c>
      <c r="O602" s="10">
        <f t="shared" si="28"/>
        <v>0</v>
      </c>
      <c r="P602" s="10">
        <f t="shared" si="29"/>
        <v>0</v>
      </c>
      <c r="Q602" t="str">
        <f>IFERROR(INDEX(Работы!$J$2:$J$6000,MATCH($C602,Работы!$A$2:$A$6000,0)),"")</f>
        <v>типовая</v>
      </c>
      <c r="R602" t="s">
        <v>92</v>
      </c>
      <c r="T602" t="str">
        <f>IF(AND($P602&gt;0,$R602="да"),MAX($T$1:$T601)+1,"")</f>
        <v/>
      </c>
    </row>
    <row r="603" spans="1:20" ht="28.8" x14ac:dyDescent="0.3">
      <c r="A603" t="str">
        <f>IFERROR(INDEX(Работы!$D$2:$D$6000,MATCH($C603,Работы!$A$2:$A$6000,0)),"")</f>
        <v>Р7</v>
      </c>
      <c r="B603" t="str">
        <f>IFERROR(INDEX(Работы!$F$2:$F$6000,MATCH($C603,Работы!$A$2:$A$6000,0)),"")</f>
        <v>1</v>
      </c>
      <c r="C603" t="str">
        <f>IFERROR(INDEX(Работы!$A$2:$A$6000,602),"")</f>
        <v>РАБ.Р7.1.027</v>
      </c>
      <c r="D603" s="8" t="str">
        <f>IFERROR(INDEX(Работы!$B$2:$B$6000,MATCH($C603,Работы!$A$2:$A$6000,0)),"")</f>
        <v>Монтаж воздухораспределителя (решётка / диффузор)</v>
      </c>
      <c r="E603" t="str">
        <f>IFERROR(INDEX(Работы!$C$2:$C$6000,MATCH($C603,Работы!$A$2:$A$6000,0)),"")</f>
        <v>шт.</v>
      </c>
      <c r="F603" t="str">
        <f>IFERROR(INDEX(Работы!$G$2:$G$6000,MATCH($C603,Работы!$A$2:$A$6000,0)),"")</f>
        <v>ВР</v>
      </c>
      <c r="G603" t="str">
        <f>IFERROR(INDEX(Работы!$K$2:$K$6000,MATCH($C603,Работы!$A$2:$A$6000,0)),"")</f>
        <v>Спецификация</v>
      </c>
      <c r="H603" s="9"/>
      <c r="I603" s="9"/>
      <c r="J603" s="8" t="str">
        <f>IFERROR(INDEX(Материалы!$B$2:$B$9000,MATCH($I603,Материалы!$A$2:$A$9000,0)),"")</f>
        <v/>
      </c>
      <c r="K603" t="str">
        <f>IF($I603="","",IF($F603=IFERROR(INDEX(Материалы!$G$2:$G$9000,MATCH($I603,Материалы!$A$2:$A$9000,0)),""),"OK","!! не та группа"))</f>
        <v/>
      </c>
      <c r="L603" s="10">
        <f>IFERROR(INDEX(Работы!$H$2:$H$6000,MATCH($C603,Работы!$A$2:$A$6000,0))*(1-ДисконтТендер),0)</f>
        <v>200</v>
      </c>
      <c r="M603" s="10">
        <f>IF($I603="",0,IFERROR(INDEX(Материалы!$I$2:$I$9000,MATCH($I603,Материалы!$A$2:$A$9000,0))*IF(INDEX(Материалы!$J$2:$J$9000,MATCH($I603,Материалы!$A$2:$A$9000,0))="USD",КурсUSD,IF(INDEX(Материалы!$J$2:$J$9000,MATCH($I603,Материалы!$A$2:$A$9000,0))="EUR",КурсEUR,1))*INDEX(Материалы!$K$2:$K$9000,MATCH($I603,Материалы!$A$2:$A$9000,0))*(1+IFERROR(INDEX(Работы!$I$2:$I$6000,MATCH($C603,Работы!$A$2:$A$6000,0))/100,0))*(1-ДисконтТендер),0))</f>
        <v>0</v>
      </c>
      <c r="N603" s="10">
        <f t="shared" si="27"/>
        <v>0</v>
      </c>
      <c r="O603" s="10">
        <f t="shared" si="28"/>
        <v>0</v>
      </c>
      <c r="P603" s="10">
        <f t="shared" si="29"/>
        <v>0</v>
      </c>
      <c r="Q603" t="str">
        <f>IFERROR(INDEX(Работы!$J$2:$J$6000,MATCH($C603,Работы!$A$2:$A$6000,0)),"")</f>
        <v>типовая</v>
      </c>
      <c r="R603" t="s">
        <v>92</v>
      </c>
      <c r="T603" t="str">
        <f>IF(AND($P603&gt;0,$R603="да"),MAX($T$1:$T602)+1,"")</f>
        <v/>
      </c>
    </row>
    <row r="604" spans="1:20" ht="72" x14ac:dyDescent="0.3">
      <c r="A604" t="str">
        <f>IFERROR(INDEX(Работы!$D$2:$D$6000,MATCH($C604,Работы!$A$2:$A$6000,0)),"")</f>
        <v>Р7</v>
      </c>
      <c r="B604" t="str">
        <f>IFERROR(INDEX(Работы!$F$2:$F$6000,MATCH($C604,Работы!$A$2:$A$6000,0)),"")</f>
        <v>1</v>
      </c>
      <c r="C604" t="str">
        <f>IFERROR(INDEX(Работы!$A$2:$A$6000,603),"")</f>
        <v>РАБ.Р7.1.028</v>
      </c>
      <c r="D604" s="8" t="str">
        <f>IFERROR(INDEX(Работы!$B$2:$B$6000,MATCH($C604,Работы!$A$2:$A$6000,0)),"")</f>
        <v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v>
      </c>
      <c r="E604" t="str">
        <f>IFERROR(INDEX(Работы!$C$2:$C$6000,MATCH($C604,Работы!$A$2:$A$6000,0)),"")</f>
        <v>м.п.</v>
      </c>
      <c r="F604" t="str">
        <f>IFERROR(INDEX(Работы!$G$2:$G$6000,MATCH($C604,Работы!$A$2:$A$6000,0)),"")</f>
        <v>ВР</v>
      </c>
      <c r="G604" t="str">
        <f>IFERROR(INDEX(Работы!$K$2:$K$6000,MATCH($C604,Работы!$A$2:$A$6000,0)),"")</f>
        <v>Спецификация</v>
      </c>
      <c r="H604" s="9"/>
      <c r="I604" s="9"/>
      <c r="J604" s="8" t="str">
        <f>IFERROR(INDEX(Материалы!$B$2:$B$9000,MATCH($I604,Материалы!$A$2:$A$9000,0)),"")</f>
        <v/>
      </c>
      <c r="K604" t="str">
        <f>IF($I604="","",IF($F604=IFERROR(INDEX(Материалы!$G$2:$G$9000,MATCH($I604,Материалы!$A$2:$A$9000,0)),""),"OK","!! не та группа"))</f>
        <v/>
      </c>
      <c r="L604" s="10">
        <f>IFERROR(INDEX(Работы!$H$2:$H$6000,MATCH($C604,Работы!$A$2:$A$6000,0))*(1-ДисконтТендер),0)</f>
        <v>1492.92</v>
      </c>
      <c r="M604" s="10">
        <f>IF($I604="",0,IFERROR(INDEX(Материалы!$I$2:$I$9000,MATCH($I604,Материалы!$A$2:$A$9000,0))*IF(INDEX(Материалы!$J$2:$J$9000,MATCH($I604,Материалы!$A$2:$A$9000,0))="USD",КурсUSD,IF(INDEX(Материалы!$J$2:$J$9000,MATCH($I604,Материалы!$A$2:$A$9000,0))="EUR",КурсEUR,1))*INDEX(Материалы!$K$2:$K$9000,MATCH($I604,Материалы!$A$2:$A$9000,0))*(1+IFERROR(INDEX(Работы!$I$2:$I$6000,MATCH($C604,Работы!$A$2:$A$6000,0))/100,0))*(1-ДисконтТендер),0))</f>
        <v>0</v>
      </c>
      <c r="N604" s="10">
        <f t="shared" si="27"/>
        <v>0</v>
      </c>
      <c r="O604" s="10">
        <f t="shared" si="28"/>
        <v>0</v>
      </c>
      <c r="P604" s="10">
        <f t="shared" si="29"/>
        <v>0</v>
      </c>
      <c r="Q604" t="str">
        <f>IFERROR(INDEX(Работы!$J$2:$J$6000,MATCH($C604,Работы!$A$2:$A$6000,0)),"")</f>
        <v>типовая</v>
      </c>
      <c r="R604" t="s">
        <v>92</v>
      </c>
      <c r="T604" t="str">
        <f>IF(AND($P604&gt;0,$R604="да"),MAX($T$1:$T603)+1,"")</f>
        <v/>
      </c>
    </row>
    <row r="605" spans="1:20" ht="72" x14ac:dyDescent="0.3">
      <c r="A605" t="str">
        <f>IFERROR(INDEX(Работы!$D$2:$D$6000,MATCH($C605,Работы!$A$2:$A$6000,0)),"")</f>
        <v>Р7</v>
      </c>
      <c r="B605" t="str">
        <f>IFERROR(INDEX(Работы!$F$2:$F$6000,MATCH($C605,Работы!$A$2:$A$6000,0)),"")</f>
        <v>1</v>
      </c>
      <c r="C605" t="str">
        <f>IFERROR(INDEX(Работы!$A$2:$A$6000,604),"")</f>
        <v>РАБ.Р7.1.029</v>
      </c>
      <c r="D605" s="8" t="str">
        <f>IFERROR(INDEX(Работы!$B$2:$B$6000,MATCH($C605,Работы!$A$2:$A$6000,0)),"")</f>
        <v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v>
      </c>
      <c r="E605" t="str">
        <f>IFERROR(INDEX(Работы!$C$2:$C$6000,MATCH($C605,Работы!$A$2:$A$6000,0)),"")</f>
        <v>кв.м.площади офиса</v>
      </c>
      <c r="F605" t="str">
        <f>IFERROR(INDEX(Работы!$G$2:$G$6000,MATCH($C605,Работы!$A$2:$A$6000,0)),"")</f>
        <v>ВР</v>
      </c>
      <c r="G605" t="str">
        <f>IFERROR(INDEX(Работы!$K$2:$K$6000,MATCH($C605,Работы!$A$2:$A$6000,0)),"")</f>
        <v>Спецификация</v>
      </c>
      <c r="H605" s="9"/>
      <c r="I605" s="9"/>
      <c r="J605" s="8" t="str">
        <f>IFERROR(INDEX(Материалы!$B$2:$B$9000,MATCH($I605,Материалы!$A$2:$A$9000,0)),"")</f>
        <v/>
      </c>
      <c r="K605" t="str">
        <f>IF($I605="","",IF($F605=IFERROR(INDEX(Материалы!$G$2:$G$9000,MATCH($I605,Материалы!$A$2:$A$9000,0)),""),"OK","!! не та группа"))</f>
        <v/>
      </c>
      <c r="L605" s="10">
        <f>IFERROR(INDEX(Работы!$H$2:$H$6000,MATCH($C605,Работы!$A$2:$A$6000,0))*(1-ДисконтТендер),0)</f>
        <v>1764.36</v>
      </c>
      <c r="M605" s="10">
        <f>IF($I605="",0,IFERROR(INDEX(Материалы!$I$2:$I$9000,MATCH($I605,Материалы!$A$2:$A$9000,0))*IF(INDEX(Материалы!$J$2:$J$9000,MATCH($I605,Материалы!$A$2:$A$9000,0))="USD",КурсUSD,IF(INDEX(Материалы!$J$2:$J$9000,MATCH($I605,Материалы!$A$2:$A$9000,0))="EUR",КурсEUR,1))*INDEX(Материалы!$K$2:$K$9000,MATCH($I605,Материалы!$A$2:$A$9000,0))*(1+IFERROR(INDEX(Работы!$I$2:$I$6000,MATCH($C605,Работы!$A$2:$A$6000,0))/100,0))*(1-ДисконтТендер),0))</f>
        <v>0</v>
      </c>
      <c r="N605" s="10">
        <f t="shared" si="27"/>
        <v>0</v>
      </c>
      <c r="O605" s="10">
        <f t="shared" si="28"/>
        <v>0</v>
      </c>
      <c r="P605" s="10">
        <f t="shared" si="29"/>
        <v>0</v>
      </c>
      <c r="Q605" t="str">
        <f>IFERROR(INDEX(Работы!$J$2:$J$6000,MATCH($C605,Работы!$A$2:$A$6000,0)),"")</f>
        <v>типовая</v>
      </c>
      <c r="R605" t="s">
        <v>92</v>
      </c>
      <c r="T605" t="str">
        <f>IF(AND($P605&gt;0,$R605="да"),MAX($T$1:$T604)+1,"")</f>
        <v/>
      </c>
    </row>
    <row r="606" spans="1:20" ht="28.8" x14ac:dyDescent="0.3">
      <c r="A606" t="str">
        <f>IFERROR(INDEX(Работы!$D$2:$D$6000,MATCH($C606,Работы!$A$2:$A$6000,0)),"")</f>
        <v>Р7</v>
      </c>
      <c r="B606" t="str">
        <f>IFERROR(INDEX(Работы!$F$2:$F$6000,MATCH($C606,Работы!$A$2:$A$6000,0)),"")</f>
        <v>2</v>
      </c>
      <c r="C606" t="str">
        <f>IFERROR(INDEX(Работы!$A$2:$A$6000,605),"")</f>
        <v>РАБ.Р7.2.001</v>
      </c>
      <c r="D606" s="8" t="str">
        <f>IFERROR(INDEX(Работы!$B$2:$B$6000,MATCH($C606,Работы!$A$2:$A$6000,0)),"")</f>
        <v>Вентилятор дымоудаления Systemair DVV 400D4-6/F400 в комплекте со щитом автоматики.</v>
      </c>
      <c r="E606" t="str">
        <f>IFERROR(INDEX(Работы!$C$2:$C$6000,MATCH($C606,Работы!$A$2:$A$6000,0)),"")</f>
        <v>шт.</v>
      </c>
      <c r="F606" t="str">
        <f>IFERROR(INDEX(Работы!$G$2:$G$6000,MATCH($C606,Работы!$A$2:$A$6000,0)),"")</f>
        <v>ВЕНТ</v>
      </c>
      <c r="G606" t="str">
        <f>IFERROR(INDEX(Работы!$K$2:$K$6000,MATCH($C606,Работы!$A$2:$A$6000,0)),"")</f>
        <v>Спецификация</v>
      </c>
      <c r="H606" s="9"/>
      <c r="I606" s="9"/>
      <c r="J606" s="8" t="str">
        <f>IFERROR(INDEX(Материалы!$B$2:$B$9000,MATCH($I606,Материалы!$A$2:$A$9000,0)),"")</f>
        <v/>
      </c>
      <c r="K606" t="str">
        <f>IF($I606="","",IF($F606=IFERROR(INDEX(Материалы!$G$2:$G$9000,MATCH($I606,Материалы!$A$2:$A$9000,0)),""),"OK","!! не та группа"))</f>
        <v/>
      </c>
      <c r="L606" s="10">
        <f>IFERROR(INDEX(Работы!$H$2:$H$6000,MATCH($C606,Работы!$A$2:$A$6000,0))*(1-ДисконтТендер),0)</f>
        <v>42299.4</v>
      </c>
      <c r="M606" s="10">
        <f>IF($I606="",0,IFERROR(INDEX(Материалы!$I$2:$I$9000,MATCH($I606,Материалы!$A$2:$A$9000,0))*IF(INDEX(Материалы!$J$2:$J$9000,MATCH($I606,Материалы!$A$2:$A$9000,0))="USD",КурсUSD,IF(INDEX(Материалы!$J$2:$J$9000,MATCH($I606,Материалы!$A$2:$A$9000,0))="EUR",КурсEUR,1))*INDEX(Материалы!$K$2:$K$9000,MATCH($I606,Материалы!$A$2:$A$9000,0))*(1+IFERROR(INDEX(Работы!$I$2:$I$6000,MATCH($C606,Работы!$A$2:$A$6000,0))/100,0))*(1-ДисконтТендер),0))</f>
        <v>0</v>
      </c>
      <c r="N606" s="10">
        <f t="shared" si="27"/>
        <v>0</v>
      </c>
      <c r="O606" s="10">
        <f t="shared" si="28"/>
        <v>0</v>
      </c>
      <c r="P606" s="10">
        <f t="shared" si="29"/>
        <v>0</v>
      </c>
      <c r="Q606" t="str">
        <f>IFERROR(INDEX(Работы!$J$2:$J$6000,MATCH($C606,Работы!$A$2:$A$6000,0)),"")</f>
        <v>типовая</v>
      </c>
      <c r="R606" t="s">
        <v>92</v>
      </c>
      <c r="T606" t="str">
        <f>IF(AND($P606&gt;0,$R606="да"),MAX($T$1:$T605)+1,"")</f>
        <v/>
      </c>
    </row>
    <row r="607" spans="1:20" ht="43.2" x14ac:dyDescent="0.3">
      <c r="A607" t="str">
        <f>IFERROR(INDEX(Работы!$D$2:$D$6000,MATCH($C607,Работы!$A$2:$A$6000,0)),"")</f>
        <v>Р7</v>
      </c>
      <c r="B607" t="str">
        <f>IFERROR(INDEX(Работы!$F$2:$F$6000,MATCH($C607,Работы!$A$2:$A$6000,0)),"")</f>
        <v>2</v>
      </c>
      <c r="C607" t="str">
        <f>IFERROR(INDEX(Работы!$A$2:$A$6000,606),"")</f>
        <v>РАБ.Р7.2.002</v>
      </c>
      <c r="D607" s="8" t="str">
        <f>IFERROR(INDEX(Работы!$B$2:$B$6000,MATCH($C607,Работы!$A$2:$A$6000,0)),"")</f>
        <v>Монтаж матов теплоизоляционных из минеральной ваты, фольгированные S=50мм ISOVER KIM-Light-Al 50 мм</v>
      </c>
      <c r="E607" t="str">
        <f>IFERROR(INDEX(Работы!$C$2:$C$6000,MATCH($C607,Работы!$A$2:$A$6000,0)),"")</f>
        <v>м2</v>
      </c>
      <c r="F607">
        <f>IFERROR(INDEX(Работы!$G$2:$G$6000,MATCH($C607,Работы!$A$2:$A$6000,0)),"")</f>
        <v>0</v>
      </c>
      <c r="G607" t="str">
        <f>IFERROR(INDEX(Работы!$K$2:$K$6000,MATCH($C607,Работы!$A$2:$A$6000,0)),"")</f>
        <v>S_поверхность</v>
      </c>
      <c r="H607" s="9"/>
      <c r="I607" s="9"/>
      <c r="J607" s="8" t="str">
        <f>IFERROR(INDEX(Материалы!$B$2:$B$9000,MATCH($I607,Материалы!$A$2:$A$9000,0)),"")</f>
        <v/>
      </c>
      <c r="K607" t="str">
        <f>IF($I607="","",IF($F607=IFERROR(INDEX(Материалы!$G$2:$G$9000,MATCH($I607,Материалы!$A$2:$A$9000,0)),""),"OK","!! не та группа"))</f>
        <v/>
      </c>
      <c r="L607" s="10">
        <f>IFERROR(INDEX(Работы!$H$2:$H$6000,MATCH($C607,Работы!$A$2:$A$6000,0))*(1-ДисконтТендер),0)</f>
        <v>250</v>
      </c>
      <c r="M607" s="10">
        <f>IF($I607="",0,IFERROR(INDEX(Материалы!$I$2:$I$9000,MATCH($I607,Материалы!$A$2:$A$9000,0))*IF(INDEX(Материалы!$J$2:$J$9000,MATCH($I607,Материалы!$A$2:$A$9000,0))="USD",КурсUSD,IF(INDEX(Материалы!$J$2:$J$9000,MATCH($I607,Материалы!$A$2:$A$9000,0))="EUR",КурсEUR,1))*INDEX(Материалы!$K$2:$K$9000,MATCH($I607,Материалы!$A$2:$A$9000,0))*(1+IFERROR(INDEX(Работы!$I$2:$I$6000,MATCH($C607,Работы!$A$2:$A$6000,0))/100,0))*(1-ДисконтТендер),0))</f>
        <v>0</v>
      </c>
      <c r="N607" s="10">
        <f t="shared" si="27"/>
        <v>0</v>
      </c>
      <c r="O607" s="10">
        <f t="shared" si="28"/>
        <v>0</v>
      </c>
      <c r="P607" s="10">
        <f t="shared" si="29"/>
        <v>0</v>
      </c>
      <c r="Q607" t="str">
        <f>IFERROR(INDEX(Работы!$J$2:$J$6000,MATCH($C607,Работы!$A$2:$A$6000,0)),"")</f>
        <v>типовая</v>
      </c>
      <c r="R607" t="s">
        <v>92</v>
      </c>
      <c r="T607" t="str">
        <f>IF(AND($P607&gt;0,$R607="да"),MAX($T$1:$T606)+1,"")</f>
        <v/>
      </c>
    </row>
    <row r="608" spans="1:20" x14ac:dyDescent="0.3">
      <c r="A608" t="str">
        <f>IFERROR(INDEX(Работы!$D$2:$D$6000,MATCH($C608,Работы!$A$2:$A$6000,0)),"")</f>
        <v>Р7</v>
      </c>
      <c r="B608" t="str">
        <f>IFERROR(INDEX(Работы!$F$2:$F$6000,MATCH($C608,Работы!$A$2:$A$6000,0)),"")</f>
        <v>2</v>
      </c>
      <c r="C608" t="str">
        <f>IFERROR(INDEX(Работы!$A$2:$A$6000,607),"")</f>
        <v>РАБ.Р7.2.003</v>
      </c>
      <c r="D608" s="8" t="str">
        <f>IFERROR(INDEX(Работы!$B$2:$B$6000,MATCH($C608,Работы!$A$2:$A$6000,0)),"")</f>
        <v>Нанесение конструктивной огнезащиты</v>
      </c>
      <c r="E608" t="str">
        <f>IFERROR(INDEX(Работы!$C$2:$C$6000,MATCH($C608,Работы!$A$2:$A$6000,0)),"")</f>
        <v>м2</v>
      </c>
      <c r="F608">
        <f>IFERROR(INDEX(Работы!$G$2:$G$6000,MATCH($C608,Работы!$A$2:$A$6000,0)),"")</f>
        <v>0</v>
      </c>
      <c r="G608" t="str">
        <f>IFERROR(INDEX(Работы!$K$2:$K$6000,MATCH($C608,Работы!$A$2:$A$6000,0)),"")</f>
        <v>S_поверхность</v>
      </c>
      <c r="H608" s="9"/>
      <c r="I608" s="9"/>
      <c r="J608" s="8" t="str">
        <f>IFERROR(INDEX(Материалы!$B$2:$B$9000,MATCH($I608,Материалы!$A$2:$A$9000,0)),"")</f>
        <v/>
      </c>
      <c r="K608" t="str">
        <f>IF($I608="","",IF($F608=IFERROR(INDEX(Материалы!$G$2:$G$9000,MATCH($I608,Материалы!$A$2:$A$9000,0)),""),"OK","!! не та группа"))</f>
        <v/>
      </c>
      <c r="L608" s="10">
        <f>IFERROR(INDEX(Работы!$H$2:$H$6000,MATCH($C608,Работы!$A$2:$A$6000,0))*(1-ДисконтТендер),0)</f>
        <v>350</v>
      </c>
      <c r="M608" s="10">
        <f>IF($I608="",0,IFERROR(INDEX(Материалы!$I$2:$I$9000,MATCH($I608,Материалы!$A$2:$A$9000,0))*IF(INDEX(Материалы!$J$2:$J$9000,MATCH($I608,Материалы!$A$2:$A$9000,0))="USD",КурсUSD,IF(INDEX(Материалы!$J$2:$J$9000,MATCH($I608,Материалы!$A$2:$A$9000,0))="EUR",КурсEUR,1))*INDEX(Материалы!$K$2:$K$9000,MATCH($I608,Материалы!$A$2:$A$9000,0))*(1+IFERROR(INDEX(Работы!$I$2:$I$6000,MATCH($C608,Работы!$A$2:$A$6000,0))/100,0))*(1-ДисконтТендер),0))</f>
        <v>0</v>
      </c>
      <c r="N608" s="10">
        <f t="shared" si="27"/>
        <v>0</v>
      </c>
      <c r="O608" s="10">
        <f t="shared" si="28"/>
        <v>0</v>
      </c>
      <c r="P608" s="10">
        <f t="shared" si="29"/>
        <v>0</v>
      </c>
      <c r="Q608" t="str">
        <f>IFERROR(INDEX(Работы!$J$2:$J$6000,MATCH($C608,Работы!$A$2:$A$6000,0)),"")</f>
        <v>типовая</v>
      </c>
      <c r="R608" t="s">
        <v>92</v>
      </c>
      <c r="T608" t="str">
        <f>IF(AND($P608&gt;0,$R608="да"),MAX($T$1:$T607)+1,"")</f>
        <v/>
      </c>
    </row>
    <row r="609" spans="1:20" ht="57.6" x14ac:dyDescent="0.3">
      <c r="A609" t="str">
        <f>IFERROR(INDEX(Работы!$D$2:$D$6000,MATCH($C609,Работы!$A$2:$A$6000,0)),"")</f>
        <v>Р7</v>
      </c>
      <c r="B609" t="str">
        <f>IFERROR(INDEX(Работы!$F$2:$F$6000,MATCH($C609,Работы!$A$2:$A$6000,0)),"")</f>
        <v>2</v>
      </c>
      <c r="C609" t="str">
        <f>IFERROR(INDEX(Работы!$A$2:$A$6000,608),"")</f>
        <v>РАБ.Р7.2.004</v>
      </c>
      <c r="D609" s="8" t="str">
        <f>IFERROR(INDEX(Работы!$B$2:$B$6000,MATCH($C609,Работы!$A$2:$A$6000,0)),"")</f>
        <v>Клапан противопожарный нормально закрытый, с пределом огнестойкости EI60, реверсивный эл. привод на 220 В в комплекте с декоративной решеткой</v>
      </c>
      <c r="E609" t="str">
        <f>IFERROR(INDEX(Работы!$C$2:$C$6000,MATCH($C609,Работы!$A$2:$A$6000,0)),"")</f>
        <v>шт.</v>
      </c>
      <c r="F609" t="str">
        <f>IFERROR(INDEX(Работы!$G$2:$G$6000,MATCH($C609,Работы!$A$2:$A$6000,0)),"")</f>
        <v>КЛ.ОЗК</v>
      </c>
      <c r="G609" t="str">
        <f>IFERROR(INDEX(Работы!$K$2:$K$6000,MATCH($C609,Работы!$A$2:$A$6000,0)),"")</f>
        <v>Спецификация</v>
      </c>
      <c r="H609" s="9"/>
      <c r="I609" s="9"/>
      <c r="J609" s="8" t="str">
        <f>IFERROR(INDEX(Материалы!$B$2:$B$9000,MATCH($I609,Материалы!$A$2:$A$9000,0)),"")</f>
        <v/>
      </c>
      <c r="K609" t="str">
        <f>IF($I609="","",IF($F609=IFERROR(INDEX(Материалы!$G$2:$G$9000,MATCH($I609,Материалы!$A$2:$A$9000,0)),""),"OK","!! не та группа"))</f>
        <v/>
      </c>
      <c r="L609" s="10">
        <f>IFERROR(INDEX(Работы!$H$2:$H$6000,MATCH($C609,Работы!$A$2:$A$6000,0))*(1-ДисконтТендер),0)</f>
        <v>2548.85</v>
      </c>
      <c r="M609" s="10">
        <f>IF($I609="",0,IFERROR(INDEX(Материалы!$I$2:$I$9000,MATCH($I609,Материалы!$A$2:$A$9000,0))*IF(INDEX(Материалы!$J$2:$J$9000,MATCH($I609,Материалы!$A$2:$A$9000,0))="USD",КурсUSD,IF(INDEX(Материалы!$J$2:$J$9000,MATCH($I609,Материалы!$A$2:$A$9000,0))="EUR",КурсEUR,1))*INDEX(Материалы!$K$2:$K$9000,MATCH($I609,Материалы!$A$2:$A$9000,0))*(1+IFERROR(INDEX(Работы!$I$2:$I$6000,MATCH($C609,Работы!$A$2:$A$6000,0))/100,0))*(1-ДисконтТендер),0))</f>
        <v>0</v>
      </c>
      <c r="N609" s="10">
        <f t="shared" si="27"/>
        <v>0</v>
      </c>
      <c r="O609" s="10">
        <f t="shared" si="28"/>
        <v>0</v>
      </c>
      <c r="P609" s="10">
        <f t="shared" si="29"/>
        <v>0</v>
      </c>
      <c r="Q609" t="str">
        <f>IFERROR(INDEX(Работы!$J$2:$J$6000,MATCH($C609,Работы!$A$2:$A$6000,0)),"")</f>
        <v>типовая</v>
      </c>
      <c r="R609" t="s">
        <v>92</v>
      </c>
      <c r="T609" t="str">
        <f>IF(AND($P609&gt;0,$R609="да"),MAX($T$1:$T608)+1,"")</f>
        <v/>
      </c>
    </row>
    <row r="610" spans="1:20" ht="72" x14ac:dyDescent="0.3">
      <c r="A610" t="str">
        <f>IFERROR(INDEX(Работы!$D$2:$D$6000,MATCH($C610,Работы!$A$2:$A$6000,0)),"")</f>
        <v>Р7</v>
      </c>
      <c r="B610" t="str">
        <f>IFERROR(INDEX(Работы!$F$2:$F$6000,MATCH($C610,Работы!$A$2:$A$6000,0)),"")</f>
        <v>2</v>
      </c>
      <c r="C610" t="str">
        <f>IFERROR(INDEX(Работы!$A$2:$A$6000,609),"")</f>
        <v>РАБ.Р7.2.005</v>
      </c>
      <c r="D610" s="8" t="str">
        <f>IFERROR(INDEX(Работы!$B$2:$B$6000,MATCH($C610,Работы!$A$2:$A$6000,0)),"")</f>
        <v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v>
      </c>
      <c r="E610" t="str">
        <f>IFERROR(INDEX(Работы!$C$2:$C$6000,MATCH($C610,Работы!$A$2:$A$6000,0)),"")</f>
        <v>кв.м.площади офиса</v>
      </c>
      <c r="F610">
        <f>IFERROR(INDEX(Работы!$G$2:$G$6000,MATCH($C610,Работы!$A$2:$A$6000,0)),"")</f>
        <v>0</v>
      </c>
      <c r="G610" t="str">
        <f>IFERROR(INDEX(Работы!$K$2:$K$6000,MATCH($C610,Работы!$A$2:$A$6000,0)),"")</f>
        <v>Спецификация</v>
      </c>
      <c r="H610" s="9"/>
      <c r="I610" s="9"/>
      <c r="J610" s="8" t="str">
        <f>IFERROR(INDEX(Материалы!$B$2:$B$9000,MATCH($I610,Материалы!$A$2:$A$9000,0)),"")</f>
        <v/>
      </c>
      <c r="K610" t="str">
        <f>IF($I610="","",IF($F610=IFERROR(INDEX(Материалы!$G$2:$G$9000,MATCH($I610,Материалы!$A$2:$A$9000,0)),""),"OK","!! не та группа"))</f>
        <v/>
      </c>
      <c r="L610" s="10">
        <f>IFERROR(INDEX(Работы!$H$2:$H$6000,MATCH($C610,Работы!$A$2:$A$6000,0))*(1-ДисконтТендер),0)</f>
        <v>1221.48</v>
      </c>
      <c r="M610" s="10">
        <f>IF($I610="",0,IFERROR(INDEX(Материалы!$I$2:$I$9000,MATCH($I610,Материалы!$A$2:$A$9000,0))*IF(INDEX(Материалы!$J$2:$J$9000,MATCH($I610,Материалы!$A$2:$A$9000,0))="USD",КурсUSD,IF(INDEX(Материалы!$J$2:$J$9000,MATCH($I610,Материалы!$A$2:$A$9000,0))="EUR",КурсEUR,1))*INDEX(Материалы!$K$2:$K$9000,MATCH($I610,Материалы!$A$2:$A$9000,0))*(1+IFERROR(INDEX(Работы!$I$2:$I$6000,MATCH($C610,Работы!$A$2:$A$6000,0))/100,0))*(1-ДисконтТендер),0))</f>
        <v>0</v>
      </c>
      <c r="N610" s="10">
        <f t="shared" si="27"/>
        <v>0</v>
      </c>
      <c r="O610" s="10">
        <f t="shared" si="28"/>
        <v>0</v>
      </c>
      <c r="P610" s="10">
        <f t="shared" si="29"/>
        <v>0</v>
      </c>
      <c r="Q610" t="str">
        <f>IFERROR(INDEX(Работы!$J$2:$J$6000,MATCH($C610,Работы!$A$2:$A$6000,0)),"")</f>
        <v>типовая</v>
      </c>
      <c r="R610" t="s">
        <v>92</v>
      </c>
      <c r="T610" t="str">
        <f>IF(AND($P610&gt;0,$R610="да"),MAX($T$1:$T609)+1,"")</f>
        <v/>
      </c>
    </row>
    <row r="611" spans="1:20" x14ac:dyDescent="0.3">
      <c r="A611" t="str">
        <f>IFERROR(INDEX(Работы!$D$2:$D$6000,MATCH($C611,Работы!$A$2:$A$6000,0)),"")</f>
        <v>Р8</v>
      </c>
      <c r="B611" t="str">
        <f>IFERROR(INDEX(Работы!$F$2:$F$6000,MATCH($C611,Работы!$A$2:$A$6000,0)),"")</f>
        <v>1</v>
      </c>
      <c r="C611" t="str">
        <f>IFERROR(INDEX(Работы!$A$2:$A$6000,610),"")</f>
        <v>РАБ.Р8.1.001</v>
      </c>
      <c r="D611" s="8" t="str">
        <f>IFERROR(INDEX(Работы!$B$2:$B$6000,MATCH($C611,Работы!$A$2:$A$6000,0)),"")</f>
        <v>Монтаж сплит-системы</v>
      </c>
      <c r="E611" t="str">
        <f>IFERROR(INDEX(Работы!$C$2:$C$6000,MATCH($C611,Работы!$A$2:$A$6000,0)),"")</f>
        <v>шт.</v>
      </c>
      <c r="F611" t="str">
        <f>IFERROR(INDEX(Работы!$G$2:$G$6000,MATCH($C611,Работы!$A$2:$A$6000,0)),"")</f>
        <v>СПЛИТ</v>
      </c>
      <c r="G611" t="str">
        <f>IFERROR(INDEX(Работы!$K$2:$K$6000,MATCH($C611,Работы!$A$2:$A$6000,0)),"")</f>
        <v>Спецификация</v>
      </c>
      <c r="H611" s="9"/>
      <c r="I611" s="9"/>
      <c r="J611" s="8" t="str">
        <f>IFERROR(INDEX(Материалы!$B$2:$B$9000,MATCH($I611,Материалы!$A$2:$A$9000,0)),"")</f>
        <v/>
      </c>
      <c r="K611" t="str">
        <f>IF($I611="","",IF($F611=IFERROR(INDEX(Материалы!$G$2:$G$9000,MATCH($I611,Материалы!$A$2:$A$9000,0)),""),"OK","!! не та группа"))</f>
        <v/>
      </c>
      <c r="L611" s="10">
        <f>IFERROR(INDEX(Работы!$H$2:$H$6000,MATCH($C611,Работы!$A$2:$A$6000,0))*(1-ДисконтТендер),0)</f>
        <v>26465.4</v>
      </c>
      <c r="M611" s="10">
        <f>IF($I611="",0,IFERROR(INDEX(Материалы!$I$2:$I$9000,MATCH($I611,Материалы!$A$2:$A$9000,0))*IF(INDEX(Материалы!$J$2:$J$9000,MATCH($I611,Материалы!$A$2:$A$9000,0))="USD",КурсUSD,IF(INDEX(Материалы!$J$2:$J$9000,MATCH($I611,Материалы!$A$2:$A$9000,0))="EUR",КурсEUR,1))*INDEX(Материалы!$K$2:$K$9000,MATCH($I611,Материалы!$A$2:$A$9000,0))*(1+IFERROR(INDEX(Работы!$I$2:$I$6000,MATCH($C611,Работы!$A$2:$A$6000,0))/100,0))*(1-ДисконтТендер),0))</f>
        <v>0</v>
      </c>
      <c r="N611" s="10">
        <f t="shared" si="27"/>
        <v>0</v>
      </c>
      <c r="O611" s="10">
        <f t="shared" si="28"/>
        <v>0</v>
      </c>
      <c r="P611" s="10">
        <f t="shared" si="29"/>
        <v>0</v>
      </c>
      <c r="Q611" t="str">
        <f>IFERROR(INDEX(Работы!$J$2:$J$6000,MATCH($C611,Работы!$A$2:$A$6000,0)),"")</f>
        <v>типовая</v>
      </c>
      <c r="R611" t="s">
        <v>92</v>
      </c>
      <c r="T611" t="str">
        <f>IF(AND($P611&gt;0,$R611="да"),MAX($T$1:$T610)+1,"")</f>
        <v/>
      </c>
    </row>
    <row r="612" spans="1:20" ht="43.2" x14ac:dyDescent="0.3">
      <c r="A612" t="str">
        <f>IFERROR(INDEX(Работы!$D$2:$D$6000,MATCH($C612,Работы!$A$2:$A$6000,0)),"")</f>
        <v>Р8</v>
      </c>
      <c r="B612" t="str">
        <f>IFERROR(INDEX(Работы!$F$2:$F$6000,MATCH($C612,Работы!$A$2:$A$6000,0)),"")</f>
        <v>1</v>
      </c>
      <c r="C612" t="str">
        <f>IFERROR(INDEX(Работы!$A$2:$A$6000,611),"")</f>
        <v>РАБ.Р8.1.002</v>
      </c>
      <c r="D612" s="8" t="str">
        <f>IFERROR(INDEX(Работы!$B$2:$B$6000,MATCH($C612,Работы!$A$2:$A$6000,0)),"")</f>
        <v>СБР02 Проводной контроллер для серверных помещений (Включая Модуль управления кондиционером СБР02-М - 2 шт)</v>
      </c>
      <c r="E612" t="str">
        <f>IFERROR(INDEX(Работы!$C$2:$C$6000,MATCH($C612,Работы!$A$2:$A$6000,0)),"")</f>
        <v>шт.</v>
      </c>
      <c r="F612">
        <f>IFERROR(INDEX(Работы!$G$2:$G$6000,MATCH($C612,Работы!$A$2:$A$6000,0)),"")</f>
        <v>0</v>
      </c>
      <c r="G612" t="str">
        <f>IFERROR(INDEX(Работы!$K$2:$K$6000,MATCH($C612,Работы!$A$2:$A$6000,0)),"")</f>
        <v>Спецификация</v>
      </c>
      <c r="H612" s="9"/>
      <c r="I612" s="9"/>
      <c r="J612" s="8" t="str">
        <f>IFERROR(INDEX(Материалы!$B$2:$B$9000,MATCH($I612,Материалы!$A$2:$A$9000,0)),"")</f>
        <v/>
      </c>
      <c r="K612" t="str">
        <f>IF($I612="","",IF($F612=IFERROR(INDEX(Материалы!$G$2:$G$9000,MATCH($I612,Материалы!$A$2:$A$9000,0)),""),"OK","!! не та группа"))</f>
        <v/>
      </c>
      <c r="L612" s="10">
        <f>IFERROR(INDEX(Работы!$H$2:$H$6000,MATCH($C612,Работы!$A$2:$A$6000,0))*(1-ДисконтТендер),0)</f>
        <v>3754.92</v>
      </c>
      <c r="M612" s="10">
        <f>IF($I612="",0,IFERROR(INDEX(Материалы!$I$2:$I$9000,MATCH($I612,Материалы!$A$2:$A$9000,0))*IF(INDEX(Материалы!$J$2:$J$9000,MATCH($I612,Материалы!$A$2:$A$9000,0))="USD",КурсUSD,IF(INDEX(Материалы!$J$2:$J$9000,MATCH($I612,Материалы!$A$2:$A$9000,0))="EUR",КурсEUR,1))*INDEX(Материалы!$K$2:$K$9000,MATCH($I612,Материалы!$A$2:$A$9000,0))*(1+IFERROR(INDEX(Работы!$I$2:$I$6000,MATCH($C612,Работы!$A$2:$A$6000,0))/100,0))*(1-ДисконтТендер),0))</f>
        <v>0</v>
      </c>
      <c r="N612" s="10">
        <f t="shared" si="27"/>
        <v>0</v>
      </c>
      <c r="O612" s="10">
        <f t="shared" si="28"/>
        <v>0</v>
      </c>
      <c r="P612" s="10">
        <f t="shared" si="29"/>
        <v>0</v>
      </c>
      <c r="Q612" t="str">
        <f>IFERROR(INDEX(Работы!$J$2:$J$6000,MATCH($C612,Работы!$A$2:$A$6000,0)),"")</f>
        <v>типовая</v>
      </c>
      <c r="R612" t="s">
        <v>92</v>
      </c>
      <c r="T612" t="str">
        <f>IF(AND($P612&gt;0,$R612="да"),MAX($T$1:$T611)+1,"")</f>
        <v/>
      </c>
    </row>
    <row r="613" spans="1:20" x14ac:dyDescent="0.3">
      <c r="A613" t="str">
        <f>IFERROR(INDEX(Работы!$D$2:$D$6000,MATCH($C613,Работы!$A$2:$A$6000,0)),"")</f>
        <v>Р8</v>
      </c>
      <c r="B613" t="str">
        <f>IFERROR(INDEX(Работы!$F$2:$F$6000,MATCH($C613,Работы!$A$2:$A$6000,0)),"")</f>
        <v>2</v>
      </c>
      <c r="C613" t="str">
        <f>IFERROR(INDEX(Работы!$A$2:$A$6000,612),"")</f>
        <v>РАБ.Р8.2.001</v>
      </c>
      <c r="D613" s="8" t="str">
        <f>IFERROR(INDEX(Работы!$B$2:$B$6000,MATCH($C613,Работы!$A$2:$A$6000,0)),"")</f>
        <v>Монтаж сплит-системы</v>
      </c>
      <c r="E613" t="str">
        <f>IFERROR(INDEX(Работы!$C$2:$C$6000,MATCH($C613,Работы!$A$2:$A$6000,0)),"")</f>
        <v>шт.</v>
      </c>
      <c r="F613" t="str">
        <f>IFERROR(INDEX(Работы!$G$2:$G$6000,MATCH($C613,Работы!$A$2:$A$6000,0)),"")</f>
        <v>СПЛИТ</v>
      </c>
      <c r="G613" t="str">
        <f>IFERROR(INDEX(Работы!$K$2:$K$6000,MATCH($C613,Работы!$A$2:$A$6000,0)),"")</f>
        <v>Спецификация</v>
      </c>
      <c r="H613" s="9"/>
      <c r="I613" s="9"/>
      <c r="J613" s="8" t="str">
        <f>IFERROR(INDEX(Материалы!$B$2:$B$9000,MATCH($I613,Материалы!$A$2:$A$9000,0)),"")</f>
        <v/>
      </c>
      <c r="K613" t="str">
        <f>IF($I613="","",IF($F613=IFERROR(INDEX(Материалы!$G$2:$G$9000,MATCH($I613,Материалы!$A$2:$A$9000,0)),""),"OK","!! не та группа"))</f>
        <v/>
      </c>
      <c r="L613" s="10">
        <f>IFERROR(INDEX(Работы!$H$2:$H$6000,MATCH($C613,Работы!$A$2:$A$6000,0))*(1-ДисконтТендер),0)</f>
        <v>23696.85</v>
      </c>
      <c r="M613" s="10">
        <f>IF($I613="",0,IFERROR(INDEX(Материалы!$I$2:$I$9000,MATCH($I613,Материалы!$A$2:$A$9000,0))*IF(INDEX(Материалы!$J$2:$J$9000,MATCH($I613,Материалы!$A$2:$A$9000,0))="USD",КурсUSD,IF(INDEX(Материалы!$J$2:$J$9000,MATCH($I613,Материалы!$A$2:$A$9000,0))="EUR",КурсEUR,1))*INDEX(Материалы!$K$2:$K$9000,MATCH($I613,Материалы!$A$2:$A$9000,0))*(1+IFERROR(INDEX(Работы!$I$2:$I$6000,MATCH($C613,Работы!$A$2:$A$6000,0))/100,0))*(1-ДисконтТендер),0))</f>
        <v>0</v>
      </c>
      <c r="N613" s="10">
        <f t="shared" si="27"/>
        <v>0</v>
      </c>
      <c r="O613" s="10">
        <f t="shared" si="28"/>
        <v>0</v>
      </c>
      <c r="P613" s="10">
        <f t="shared" si="29"/>
        <v>0</v>
      </c>
      <c r="Q613" t="str">
        <f>IFERROR(INDEX(Работы!$J$2:$J$6000,MATCH($C613,Работы!$A$2:$A$6000,0)),"")</f>
        <v>типовая</v>
      </c>
      <c r="R613" t="s">
        <v>92</v>
      </c>
      <c r="T613" t="str">
        <f>IF(AND($P613&gt;0,$R613="да"),MAX($T$1:$T612)+1,"")</f>
        <v/>
      </c>
    </row>
    <row r="614" spans="1:20" ht="28.8" x14ac:dyDescent="0.3">
      <c r="A614" t="str">
        <f>IFERROR(INDEX(Работы!$D$2:$D$6000,MATCH($C614,Работы!$A$2:$A$6000,0)),"")</f>
        <v>Р8</v>
      </c>
      <c r="B614" t="str">
        <f>IFERROR(INDEX(Работы!$F$2:$F$6000,MATCH($C614,Работы!$A$2:$A$6000,0)),"")</f>
        <v>2</v>
      </c>
      <c r="C614" t="str">
        <f>IFERROR(INDEX(Работы!$A$2:$A$6000,613),"")</f>
        <v>РАБ.Р8.2.002</v>
      </c>
      <c r="D614" s="8" t="str">
        <f>IFERROR(INDEX(Работы!$B$2:$B$6000,MATCH($C614,Работы!$A$2:$A$6000,0)),"")</f>
        <v>Монтаж приточной / приточно-вытяжной установки</v>
      </c>
      <c r="E614" t="str">
        <f>IFERROR(INDEX(Работы!$C$2:$C$6000,MATCH($C614,Работы!$A$2:$A$6000,0)),"")</f>
        <v>шт.</v>
      </c>
      <c r="F614" t="str">
        <f>IFERROR(INDEX(Работы!$G$2:$G$6000,MATCH($C614,Работы!$A$2:$A$6000,0)),"")</f>
        <v>ПВУ</v>
      </c>
      <c r="G614" t="str">
        <f>IFERROR(INDEX(Работы!$K$2:$K$6000,MATCH($C614,Работы!$A$2:$A$6000,0)),"")</f>
        <v>Спецификация</v>
      </c>
      <c r="H614" s="9"/>
      <c r="I614" s="9"/>
      <c r="J614" s="8" t="str">
        <f>IFERROR(INDEX(Материалы!$B$2:$B$9000,MATCH($I614,Материалы!$A$2:$A$9000,0)),"")</f>
        <v/>
      </c>
      <c r="K614" t="str">
        <f>IF($I614="","",IF($F614=IFERROR(INDEX(Материалы!$G$2:$G$9000,MATCH($I614,Материалы!$A$2:$A$9000,0)),""),"OK","!! не та группа"))</f>
        <v/>
      </c>
      <c r="L614" s="10">
        <f>IFERROR(INDEX(Работы!$H$2:$H$6000,MATCH($C614,Работы!$A$2:$A$6000,0))*(1-ДисконтТендер),0)</f>
        <v>19500.18</v>
      </c>
      <c r="M614" s="10">
        <f>IF($I614="",0,IFERROR(INDEX(Материалы!$I$2:$I$9000,MATCH($I614,Материалы!$A$2:$A$9000,0))*IF(INDEX(Материалы!$J$2:$J$9000,MATCH($I614,Материалы!$A$2:$A$9000,0))="USD",КурсUSD,IF(INDEX(Материалы!$J$2:$J$9000,MATCH($I614,Материалы!$A$2:$A$9000,0))="EUR",КурсEUR,1))*INDEX(Материалы!$K$2:$K$9000,MATCH($I614,Материалы!$A$2:$A$9000,0))*(1+IFERROR(INDEX(Работы!$I$2:$I$6000,MATCH($C614,Работы!$A$2:$A$6000,0))/100,0))*(1-ДисконтТендер),0))</f>
        <v>0</v>
      </c>
      <c r="N614" s="10">
        <f t="shared" si="27"/>
        <v>0</v>
      </c>
      <c r="O614" s="10">
        <f t="shared" si="28"/>
        <v>0</v>
      </c>
      <c r="P614" s="10">
        <f t="shared" si="29"/>
        <v>0</v>
      </c>
      <c r="Q614" t="str">
        <f>IFERROR(INDEX(Работы!$J$2:$J$6000,MATCH($C614,Работы!$A$2:$A$6000,0)),"")</f>
        <v>типовая</v>
      </c>
      <c r="R614" t="s">
        <v>92</v>
      </c>
      <c r="T614" t="str">
        <f>IF(AND($P614&gt;0,$R614="да"),MAX($T$1:$T613)+1,"")</f>
        <v/>
      </c>
    </row>
    <row r="615" spans="1:20" ht="28.8" x14ac:dyDescent="0.3">
      <c r="A615" t="str">
        <f>IFERROR(INDEX(Работы!$D$2:$D$6000,MATCH($C615,Работы!$A$2:$A$6000,0)),"")</f>
        <v>Р8</v>
      </c>
      <c r="B615" t="str">
        <f>IFERROR(INDEX(Работы!$F$2:$F$6000,MATCH($C615,Работы!$A$2:$A$6000,0)),"")</f>
        <v>2</v>
      </c>
      <c r="C615" t="str">
        <f>IFERROR(INDEX(Работы!$A$2:$A$6000,614),"")</f>
        <v>РАБ.Р8.2.003</v>
      </c>
      <c r="D615" s="8" t="str">
        <f>IFERROR(INDEX(Работы!$B$2:$B$6000,MATCH($C615,Работы!$A$2:$A$6000,0)),"")</f>
        <v>Монтаж приточной / приточно-вытяжной установки</v>
      </c>
      <c r="E615" t="str">
        <f>IFERROR(INDEX(Работы!$C$2:$C$6000,MATCH($C615,Работы!$A$2:$A$6000,0)),"")</f>
        <v>шт.</v>
      </c>
      <c r="F615" t="str">
        <f>IFERROR(INDEX(Работы!$G$2:$G$6000,MATCH($C615,Работы!$A$2:$A$6000,0)),"")</f>
        <v>ПВУ</v>
      </c>
      <c r="G615" t="str">
        <f>IFERROR(INDEX(Работы!$K$2:$K$6000,MATCH($C615,Работы!$A$2:$A$6000,0)),"")</f>
        <v>Спецификация</v>
      </c>
      <c r="H615" s="9"/>
      <c r="I615" s="9"/>
      <c r="J615" s="8" t="str">
        <f>IFERROR(INDEX(Материалы!$B$2:$B$9000,MATCH($I615,Материалы!$A$2:$A$9000,0)),"")</f>
        <v/>
      </c>
      <c r="K615" t="str">
        <f>IF($I615="","",IF($F615=IFERROR(INDEX(Материалы!$G$2:$G$9000,MATCH($I615,Материалы!$A$2:$A$9000,0)),""),"OK","!! не та группа"))</f>
        <v/>
      </c>
      <c r="L615" s="10">
        <f>IFERROR(INDEX(Работы!$H$2:$H$6000,MATCH($C615,Работы!$A$2:$A$6000,0))*(1-ДисконтТендер),0)</f>
        <v>20038.87</v>
      </c>
      <c r="M615" s="10">
        <f>IF($I615="",0,IFERROR(INDEX(Материалы!$I$2:$I$9000,MATCH($I615,Материалы!$A$2:$A$9000,0))*IF(INDEX(Материалы!$J$2:$J$9000,MATCH($I615,Материалы!$A$2:$A$9000,0))="USD",КурсUSD,IF(INDEX(Материалы!$J$2:$J$9000,MATCH($I615,Материалы!$A$2:$A$9000,0))="EUR",КурсEUR,1))*INDEX(Материалы!$K$2:$K$9000,MATCH($I615,Материалы!$A$2:$A$9000,0))*(1+IFERROR(INDEX(Работы!$I$2:$I$6000,MATCH($C615,Работы!$A$2:$A$6000,0))/100,0))*(1-ДисконтТендер),0))</f>
        <v>0</v>
      </c>
      <c r="N615" s="10">
        <f t="shared" si="27"/>
        <v>0</v>
      </c>
      <c r="O615" s="10">
        <f t="shared" si="28"/>
        <v>0</v>
      </c>
      <c r="P615" s="10">
        <f t="shared" si="29"/>
        <v>0</v>
      </c>
      <c r="Q615" t="str">
        <f>IFERROR(INDEX(Работы!$J$2:$J$6000,MATCH($C615,Работы!$A$2:$A$6000,0)),"")</f>
        <v>типовая</v>
      </c>
      <c r="R615" t="s">
        <v>92</v>
      </c>
      <c r="T615" t="str">
        <f>IF(AND($P615&gt;0,$R615="да"),MAX($T$1:$T614)+1,"")</f>
        <v/>
      </c>
    </row>
    <row r="616" spans="1:20" ht="43.2" x14ac:dyDescent="0.3">
      <c r="A616" t="str">
        <f>IFERROR(INDEX(Работы!$D$2:$D$6000,MATCH($C616,Работы!$A$2:$A$6000,0)),"")</f>
        <v>Р8</v>
      </c>
      <c r="B616" t="str">
        <f>IFERROR(INDEX(Работы!$F$2:$F$6000,MATCH($C616,Работы!$A$2:$A$6000,0)),"")</f>
        <v>2</v>
      </c>
      <c r="C616" t="str">
        <f>IFERROR(INDEX(Работы!$A$2:$A$6000,615),"")</f>
        <v>РАБ.Р8.2.004</v>
      </c>
      <c r="D616" s="8" t="str">
        <f>IFERROR(INDEX(Работы!$B$2:$B$6000,MATCH($C616,Работы!$A$2:$A$6000,0)),"")</f>
        <v>Канальный кондиционер MDV 48 MDTJ2-48HWN1 / MDOU3-48HN1-L+пульт (либо аналог согласно ТЗ. Замену согласовать с заказчиком)</v>
      </c>
      <c r="E616" t="str">
        <f>IFERROR(INDEX(Работы!$C$2:$C$6000,MATCH($C616,Работы!$A$2:$A$6000,0)),"")</f>
        <v>шт.</v>
      </c>
      <c r="F616" t="str">
        <f>IFERROR(INDEX(Работы!$G$2:$G$6000,MATCH($C616,Работы!$A$2:$A$6000,0)),"")</f>
        <v>ПВУ</v>
      </c>
      <c r="G616" t="str">
        <f>IFERROR(INDEX(Работы!$K$2:$K$6000,MATCH($C616,Работы!$A$2:$A$6000,0)),"")</f>
        <v>Спецификация</v>
      </c>
      <c r="H616" s="9"/>
      <c r="I616" s="9"/>
      <c r="J616" s="8" t="str">
        <f>IFERROR(INDEX(Материалы!$B$2:$B$9000,MATCH($I616,Материалы!$A$2:$A$9000,0)),"")</f>
        <v/>
      </c>
      <c r="K616" t="str">
        <f>IF($I616="","",IF($F616=IFERROR(INDEX(Материалы!$G$2:$G$9000,MATCH($I616,Материалы!$A$2:$A$9000,0)),""),"OK","!! не та группа"))</f>
        <v/>
      </c>
      <c r="L616" s="10">
        <f>IFERROR(INDEX(Работы!$H$2:$H$6000,MATCH($C616,Работы!$A$2:$A$6000,0))*(1-ДисконтТендер),0)</f>
        <v>20362.07</v>
      </c>
      <c r="M616" s="10">
        <f>IF($I616="",0,IFERROR(INDEX(Материалы!$I$2:$I$9000,MATCH($I616,Материалы!$A$2:$A$9000,0))*IF(INDEX(Материалы!$J$2:$J$9000,MATCH($I616,Материалы!$A$2:$A$9000,0))="USD",КурсUSD,IF(INDEX(Материалы!$J$2:$J$9000,MATCH($I616,Материалы!$A$2:$A$9000,0))="EUR",КурсEUR,1))*INDEX(Материалы!$K$2:$K$9000,MATCH($I616,Материалы!$A$2:$A$9000,0))*(1+IFERROR(INDEX(Работы!$I$2:$I$6000,MATCH($C616,Работы!$A$2:$A$6000,0))/100,0))*(1-ДисконтТендер),0))</f>
        <v>0</v>
      </c>
      <c r="N616" s="10">
        <f t="shared" si="27"/>
        <v>0</v>
      </c>
      <c r="O616" s="10">
        <f t="shared" si="28"/>
        <v>0</v>
      </c>
      <c r="P616" s="10">
        <f t="shared" si="29"/>
        <v>0</v>
      </c>
      <c r="Q616" t="str">
        <f>IFERROR(INDEX(Работы!$J$2:$J$6000,MATCH($C616,Работы!$A$2:$A$6000,0)),"")</f>
        <v>типовая</v>
      </c>
      <c r="R616" t="s">
        <v>92</v>
      </c>
      <c r="T616" t="str">
        <f>IF(AND($P616&gt;0,$R616="да"),MAX($T$1:$T615)+1,"")</f>
        <v/>
      </c>
    </row>
    <row r="617" spans="1:20" ht="43.2" x14ac:dyDescent="0.3">
      <c r="A617" t="str">
        <f>IFERROR(INDEX(Работы!$D$2:$D$6000,MATCH($C617,Работы!$A$2:$A$6000,0)),"")</f>
        <v>Р8</v>
      </c>
      <c r="B617" t="str">
        <f>IFERROR(INDEX(Работы!$F$2:$F$6000,MATCH($C617,Работы!$A$2:$A$6000,0)),"")</f>
        <v>2</v>
      </c>
      <c r="C617" t="str">
        <f>IFERROR(INDEX(Работы!$A$2:$A$6000,616),"")</f>
        <v>РАБ.Р8.2.005</v>
      </c>
      <c r="D617" s="8" t="str">
        <f>IFERROR(INDEX(Работы!$B$2:$B$6000,MATCH($C617,Работы!$A$2:$A$6000,0)),"")</f>
        <v>Канальный кондиционер MDV 60 MDTJ2-60HWN1 / MDOU3-60HN1-L+пульт (либо аналог согласно ТЗ. Замену согласовать с заказчиком)</v>
      </c>
      <c r="E617" t="str">
        <f>IFERROR(INDEX(Работы!$C$2:$C$6000,MATCH($C617,Работы!$A$2:$A$6000,0)),"")</f>
        <v>шт.</v>
      </c>
      <c r="F617" t="str">
        <f>IFERROR(INDEX(Работы!$G$2:$G$6000,MATCH($C617,Работы!$A$2:$A$6000,0)),"")</f>
        <v>ПВУ</v>
      </c>
      <c r="G617" t="str">
        <f>IFERROR(INDEX(Работы!$K$2:$K$6000,MATCH($C617,Работы!$A$2:$A$6000,0)),"")</f>
        <v>Спецификация</v>
      </c>
      <c r="H617" s="9"/>
      <c r="I617" s="9"/>
      <c r="J617" s="8" t="str">
        <f>IFERROR(INDEX(Материалы!$B$2:$B$9000,MATCH($I617,Материалы!$A$2:$A$9000,0)),"")</f>
        <v/>
      </c>
      <c r="K617" t="str">
        <f>IF($I617="","",IF($F617=IFERROR(INDEX(Материалы!$G$2:$G$9000,MATCH($I617,Материалы!$A$2:$A$9000,0)),""),"OK","!! не та группа"))</f>
        <v/>
      </c>
      <c r="L617" s="10">
        <f>IFERROR(INDEX(Работы!$H$2:$H$6000,MATCH($C617,Работы!$A$2:$A$6000,0))*(1-ДисконтТендер),0)</f>
        <v>21547.17</v>
      </c>
      <c r="M617" s="10">
        <f>IF($I617="",0,IFERROR(INDEX(Материалы!$I$2:$I$9000,MATCH($I617,Материалы!$A$2:$A$9000,0))*IF(INDEX(Материалы!$J$2:$J$9000,MATCH($I617,Материалы!$A$2:$A$9000,0))="USD",КурсUSD,IF(INDEX(Материалы!$J$2:$J$9000,MATCH($I617,Материалы!$A$2:$A$9000,0))="EUR",КурсEUR,1))*INDEX(Материалы!$K$2:$K$9000,MATCH($I617,Материалы!$A$2:$A$9000,0))*(1+IFERROR(INDEX(Работы!$I$2:$I$6000,MATCH($C617,Работы!$A$2:$A$6000,0))/100,0))*(1-ДисконтТендер),0))</f>
        <v>0</v>
      </c>
      <c r="N617" s="10">
        <f t="shared" si="27"/>
        <v>0</v>
      </c>
      <c r="O617" s="10">
        <f t="shared" si="28"/>
        <v>0</v>
      </c>
      <c r="P617" s="10">
        <f t="shared" si="29"/>
        <v>0</v>
      </c>
      <c r="Q617" t="str">
        <f>IFERROR(INDEX(Работы!$J$2:$J$6000,MATCH($C617,Работы!$A$2:$A$6000,0)),"")</f>
        <v>типовая</v>
      </c>
      <c r="R617" t="s">
        <v>92</v>
      </c>
      <c r="T617" t="str">
        <f>IF(AND($P617&gt;0,$R617="да"),MAX($T$1:$T616)+1,"")</f>
        <v/>
      </c>
    </row>
    <row r="618" spans="1:20" ht="43.2" x14ac:dyDescent="0.3">
      <c r="A618" t="str">
        <f>IFERROR(INDEX(Работы!$D$2:$D$6000,MATCH($C618,Работы!$A$2:$A$6000,0)),"")</f>
        <v>Р8</v>
      </c>
      <c r="B618" t="str">
        <f>IFERROR(INDEX(Работы!$F$2:$F$6000,MATCH($C618,Работы!$A$2:$A$6000,0)),"")</f>
        <v>2</v>
      </c>
      <c r="C618" t="str">
        <f>IFERROR(INDEX(Работы!$A$2:$A$6000,617),"")</f>
        <v>РАБ.Р8.2.006</v>
      </c>
      <c r="D618" s="8" t="str">
        <f>IFERROR(INDEX(Работы!$B$2:$B$6000,MATCH($C618,Работы!$A$2:$A$6000,0)),"")</f>
        <v>Кассетный кондиционер MDV 12 MDCA6-12HRN1 / T-MBQ4-03B / MDOU3-12HN1-L+пульт (либо аналог согласно ТЗ. Замену согласовать с заказчиком)</v>
      </c>
      <c r="E618" t="str">
        <f>IFERROR(INDEX(Работы!$C$2:$C$6000,MATCH($C618,Работы!$A$2:$A$6000,0)),"")</f>
        <v>шт.</v>
      </c>
      <c r="F618" t="str">
        <f>IFERROR(INDEX(Работы!$G$2:$G$6000,MATCH($C618,Работы!$A$2:$A$6000,0)),"")</f>
        <v>СПЛИТ</v>
      </c>
      <c r="G618" t="str">
        <f>IFERROR(INDEX(Работы!$K$2:$K$6000,MATCH($C618,Работы!$A$2:$A$6000,0)),"")</f>
        <v>Спецификация</v>
      </c>
      <c r="H618" s="9"/>
      <c r="I618" s="9"/>
      <c r="J618" s="8" t="str">
        <f>IFERROR(INDEX(Материалы!$B$2:$B$9000,MATCH($I618,Материалы!$A$2:$A$9000,0)),"")</f>
        <v/>
      </c>
      <c r="K618" t="str">
        <f>IF($I618="","",IF($F618=IFERROR(INDEX(Материалы!$G$2:$G$9000,MATCH($I618,Материалы!$A$2:$A$9000,0)),""),"OK","!! не та группа"))</f>
        <v/>
      </c>
      <c r="L618" s="10">
        <f>IFERROR(INDEX(Работы!$H$2:$H$6000,MATCH($C618,Работы!$A$2:$A$6000,0))*(1-ДисконтТендер),0)</f>
        <v>18668.68</v>
      </c>
      <c r="M618" s="10">
        <f>IF($I618="",0,IFERROR(INDEX(Материалы!$I$2:$I$9000,MATCH($I618,Материалы!$A$2:$A$9000,0))*IF(INDEX(Материалы!$J$2:$J$9000,MATCH($I618,Материалы!$A$2:$A$9000,0))="USD",КурсUSD,IF(INDEX(Материалы!$J$2:$J$9000,MATCH($I618,Материалы!$A$2:$A$9000,0))="EUR",КурсEUR,1))*INDEX(Материалы!$K$2:$K$9000,MATCH($I618,Материалы!$A$2:$A$9000,0))*(1+IFERROR(INDEX(Работы!$I$2:$I$6000,MATCH($C618,Работы!$A$2:$A$6000,0))/100,0))*(1-ДисконтТендер),0))</f>
        <v>0</v>
      </c>
      <c r="N618" s="10">
        <f t="shared" si="27"/>
        <v>0</v>
      </c>
      <c r="O618" s="10">
        <f t="shared" si="28"/>
        <v>0</v>
      </c>
      <c r="P618" s="10">
        <f t="shared" si="29"/>
        <v>0</v>
      </c>
      <c r="Q618" t="str">
        <f>IFERROR(INDEX(Работы!$J$2:$J$6000,MATCH($C618,Работы!$A$2:$A$6000,0)),"")</f>
        <v>типовая</v>
      </c>
      <c r="R618" t="s">
        <v>92</v>
      </c>
      <c r="T618" t="str">
        <f>IF(AND($P618&gt;0,$R618="да"),MAX($T$1:$T617)+1,"")</f>
        <v/>
      </c>
    </row>
    <row r="619" spans="1:20" x14ac:dyDescent="0.3">
      <c r="A619" t="str">
        <f>IFERROR(INDEX(Работы!$D$2:$D$6000,MATCH($C619,Работы!$A$2:$A$6000,0)),"")</f>
        <v>Р8</v>
      </c>
      <c r="B619" t="str">
        <f>IFERROR(INDEX(Работы!$F$2:$F$6000,MATCH($C619,Работы!$A$2:$A$6000,0)),"")</f>
        <v>2</v>
      </c>
      <c r="C619" t="str">
        <f>IFERROR(INDEX(Работы!$A$2:$A$6000,618),"")</f>
        <v>РАБ.Р8.2.007</v>
      </c>
      <c r="D619" s="8" t="str">
        <f>IFERROR(INDEX(Работы!$B$2:$B$6000,MATCH($C619,Работы!$A$2:$A$6000,0)),"")</f>
        <v>Монтаж внутреннего блока VRF / мультисплит</v>
      </c>
      <c r="E619" t="str">
        <f>IFERROR(INDEX(Работы!$C$2:$C$6000,MATCH($C619,Работы!$A$2:$A$6000,0)),"")</f>
        <v>шт.</v>
      </c>
      <c r="F619" t="str">
        <f>IFERROR(INDEX(Работы!$G$2:$G$6000,MATCH($C619,Работы!$A$2:$A$6000,0)),"")</f>
        <v>VRF.ВНУТ</v>
      </c>
      <c r="G619" t="str">
        <f>IFERROR(INDEX(Работы!$K$2:$K$6000,MATCH($C619,Работы!$A$2:$A$6000,0)),"")</f>
        <v>Спецификация</v>
      </c>
      <c r="H619" s="9"/>
      <c r="I619" s="9"/>
      <c r="J619" s="8" t="str">
        <f>IFERROR(INDEX(Материалы!$B$2:$B$9000,MATCH($I619,Материалы!$A$2:$A$9000,0)),"")</f>
        <v/>
      </c>
      <c r="K619" t="str">
        <f>IF($I619="","",IF($F619=IFERROR(INDEX(Материалы!$G$2:$G$9000,MATCH($I619,Материалы!$A$2:$A$9000,0)),""),"OK","!! не та группа"))</f>
        <v/>
      </c>
      <c r="L619" s="10">
        <f>IFERROR(INDEX(Работы!$H$2:$H$6000,MATCH($C619,Работы!$A$2:$A$6000,0))*(1-ДисконтТендер),0)</f>
        <v>11164.47</v>
      </c>
      <c r="M619" s="10">
        <f>IF($I619="",0,IFERROR(INDEX(Материалы!$I$2:$I$9000,MATCH($I619,Материалы!$A$2:$A$9000,0))*IF(INDEX(Материалы!$J$2:$J$9000,MATCH($I619,Материалы!$A$2:$A$9000,0))="USD",КурсUSD,IF(INDEX(Материалы!$J$2:$J$9000,MATCH($I619,Материалы!$A$2:$A$9000,0))="EUR",КурсEUR,1))*INDEX(Материалы!$K$2:$K$9000,MATCH($I619,Материалы!$A$2:$A$9000,0))*(1+IFERROR(INDEX(Работы!$I$2:$I$6000,MATCH($C619,Работы!$A$2:$A$6000,0))/100,0))*(1-ДисконтТендер),0))</f>
        <v>0</v>
      </c>
      <c r="N619" s="10">
        <f t="shared" si="27"/>
        <v>0</v>
      </c>
      <c r="O619" s="10">
        <f t="shared" si="28"/>
        <v>0</v>
      </c>
      <c r="P619" s="10">
        <f t="shared" si="29"/>
        <v>0</v>
      </c>
      <c r="Q619" t="str">
        <f>IFERROR(INDEX(Работы!$J$2:$J$6000,MATCH($C619,Работы!$A$2:$A$6000,0)),"")</f>
        <v>типовая</v>
      </c>
      <c r="R619" t="s">
        <v>92</v>
      </c>
      <c r="T619" t="str">
        <f>IF(AND($P619&gt;0,$R619="да"),MAX($T$1:$T618)+1,"")</f>
        <v/>
      </c>
    </row>
    <row r="620" spans="1:20" x14ac:dyDescent="0.3">
      <c r="A620" t="str">
        <f>IFERROR(INDEX(Работы!$D$2:$D$6000,MATCH($C620,Работы!$A$2:$A$6000,0)),"")</f>
        <v>Р8</v>
      </c>
      <c r="B620" t="str">
        <f>IFERROR(INDEX(Работы!$F$2:$F$6000,MATCH($C620,Работы!$A$2:$A$6000,0)),"")</f>
        <v>2</v>
      </c>
      <c r="C620" t="str">
        <f>IFERROR(INDEX(Работы!$A$2:$A$6000,619),"")</f>
        <v>РАБ.Р8.2.008</v>
      </c>
      <c r="D620" s="8" t="str">
        <f>IFERROR(INDEX(Работы!$B$2:$B$6000,MATCH($C620,Работы!$A$2:$A$6000,0)),"")</f>
        <v>Монтаж внутреннего блока VRF / мультисплит</v>
      </c>
      <c r="E620" t="str">
        <f>IFERROR(INDEX(Работы!$C$2:$C$6000,MATCH($C620,Работы!$A$2:$A$6000,0)),"")</f>
        <v>шт.</v>
      </c>
      <c r="F620" t="str">
        <f>IFERROR(INDEX(Работы!$G$2:$G$6000,MATCH($C620,Работы!$A$2:$A$6000,0)),"")</f>
        <v>VRF.ВНУТ</v>
      </c>
      <c r="G620" t="str">
        <f>IFERROR(INDEX(Работы!$K$2:$K$6000,MATCH($C620,Работы!$A$2:$A$6000,0)),"")</f>
        <v>Спецификация</v>
      </c>
      <c r="H620" s="9"/>
      <c r="I620" s="9"/>
      <c r="J620" s="8" t="str">
        <f>IFERROR(INDEX(Материалы!$B$2:$B$9000,MATCH($I620,Материалы!$A$2:$A$9000,0)),"")</f>
        <v/>
      </c>
      <c r="K620" t="str">
        <f>IF($I620="","",IF($F620=IFERROR(INDEX(Материалы!$G$2:$G$9000,MATCH($I620,Материалы!$A$2:$A$9000,0)),""),"OK","!! не та группа"))</f>
        <v/>
      </c>
      <c r="L620" s="10">
        <f>IFERROR(INDEX(Работы!$H$2:$H$6000,MATCH($C620,Работы!$A$2:$A$6000,0))*(1-ДисконтТендер),0)</f>
        <v>13211.43</v>
      </c>
      <c r="M620" s="10">
        <f>IF($I620="",0,IFERROR(INDEX(Материалы!$I$2:$I$9000,MATCH($I620,Материалы!$A$2:$A$9000,0))*IF(INDEX(Материалы!$J$2:$J$9000,MATCH($I620,Материалы!$A$2:$A$9000,0))="USD",КурсUSD,IF(INDEX(Материалы!$J$2:$J$9000,MATCH($I620,Материалы!$A$2:$A$9000,0))="EUR",КурсEUR,1))*INDEX(Материалы!$K$2:$K$9000,MATCH($I620,Материалы!$A$2:$A$9000,0))*(1+IFERROR(INDEX(Работы!$I$2:$I$6000,MATCH($C620,Работы!$A$2:$A$6000,0))/100,0))*(1-ДисконтТендер),0))</f>
        <v>0</v>
      </c>
      <c r="N620" s="10">
        <f t="shared" si="27"/>
        <v>0</v>
      </c>
      <c r="O620" s="10">
        <f t="shared" si="28"/>
        <v>0</v>
      </c>
      <c r="P620" s="10">
        <f t="shared" si="29"/>
        <v>0</v>
      </c>
      <c r="Q620" t="str">
        <f>IFERROR(INDEX(Работы!$J$2:$J$6000,MATCH($C620,Работы!$A$2:$A$6000,0)),"")</f>
        <v>типовая</v>
      </c>
      <c r="R620" t="s">
        <v>92</v>
      </c>
      <c r="T620" t="str">
        <f>IF(AND($P620&gt;0,$R620="да"),MAX($T$1:$T619)+1,"")</f>
        <v/>
      </c>
    </row>
    <row r="621" spans="1:20" x14ac:dyDescent="0.3">
      <c r="A621" t="str">
        <f>IFERROR(INDEX(Работы!$D$2:$D$6000,MATCH($C621,Работы!$A$2:$A$6000,0)),"")</f>
        <v>Р8</v>
      </c>
      <c r="B621" t="str">
        <f>IFERROR(INDEX(Работы!$F$2:$F$6000,MATCH($C621,Работы!$A$2:$A$6000,0)),"")</f>
        <v>2</v>
      </c>
      <c r="C621" t="str">
        <f>IFERROR(INDEX(Работы!$A$2:$A$6000,620),"")</f>
        <v>РАБ.Р8.2.009</v>
      </c>
      <c r="D621" s="8" t="str">
        <f>IFERROR(INDEX(Работы!$B$2:$B$6000,MATCH($C621,Работы!$A$2:$A$6000,0)),"")</f>
        <v>Монтаж внутреннего блока VRF / мультисплит</v>
      </c>
      <c r="E621" t="str">
        <f>IFERROR(INDEX(Работы!$C$2:$C$6000,MATCH($C621,Работы!$A$2:$A$6000,0)),"")</f>
        <v>шт.</v>
      </c>
      <c r="F621" t="str">
        <f>IFERROR(INDEX(Работы!$G$2:$G$6000,MATCH($C621,Работы!$A$2:$A$6000,0)),"")</f>
        <v>VRF.ВНУТ</v>
      </c>
      <c r="G621" t="str">
        <f>IFERROR(INDEX(Работы!$K$2:$K$6000,MATCH($C621,Работы!$A$2:$A$6000,0)),"")</f>
        <v>Спецификация</v>
      </c>
      <c r="H621" s="9"/>
      <c r="I621" s="9"/>
      <c r="J621" s="8" t="str">
        <f>IFERROR(INDEX(Материалы!$B$2:$B$9000,MATCH($I621,Материалы!$A$2:$A$9000,0)),"")</f>
        <v/>
      </c>
      <c r="K621" t="str">
        <f>IF($I621="","",IF($F621=IFERROR(INDEX(Материалы!$G$2:$G$9000,MATCH($I621,Материалы!$A$2:$A$9000,0)),""),"OK","!! не та группа"))</f>
        <v/>
      </c>
      <c r="L621" s="10">
        <f>IFERROR(INDEX(Работы!$H$2:$H$6000,MATCH($C621,Работы!$A$2:$A$6000,0))*(1-ДисконтТендер),0)</f>
        <v>106530.43</v>
      </c>
      <c r="M621" s="10">
        <f>IF($I621="",0,IFERROR(INDEX(Материалы!$I$2:$I$9000,MATCH($I621,Материалы!$A$2:$A$9000,0))*IF(INDEX(Материалы!$J$2:$J$9000,MATCH($I621,Материалы!$A$2:$A$9000,0))="USD",КурсUSD,IF(INDEX(Материалы!$J$2:$J$9000,MATCH($I621,Материалы!$A$2:$A$9000,0))="EUR",КурсEUR,1))*INDEX(Материалы!$K$2:$K$9000,MATCH($I621,Материалы!$A$2:$A$9000,0))*(1+IFERROR(INDEX(Работы!$I$2:$I$6000,MATCH($C621,Работы!$A$2:$A$6000,0))/100,0))*(1-ДисконтТендер),0))</f>
        <v>0</v>
      </c>
      <c r="N621" s="10">
        <f t="shared" si="27"/>
        <v>0</v>
      </c>
      <c r="O621" s="10">
        <f t="shared" si="28"/>
        <v>0</v>
      </c>
      <c r="P621" s="10">
        <f t="shared" si="29"/>
        <v>0</v>
      </c>
      <c r="Q621" t="str">
        <f>IFERROR(INDEX(Работы!$J$2:$J$6000,MATCH($C621,Работы!$A$2:$A$6000,0)),"")</f>
        <v>типовая</v>
      </c>
      <c r="R621" t="s">
        <v>92</v>
      </c>
      <c r="T621" t="str">
        <f>IF(AND($P621&gt;0,$R621="да"),MAX($T$1:$T620)+1,"")</f>
        <v/>
      </c>
    </row>
    <row r="622" spans="1:20" x14ac:dyDescent="0.3">
      <c r="A622" t="str">
        <f>IFERROR(INDEX(Работы!$D$2:$D$6000,MATCH($C622,Работы!$A$2:$A$6000,0)),"")</f>
        <v>Р8</v>
      </c>
      <c r="B622" t="str">
        <f>IFERROR(INDEX(Работы!$F$2:$F$6000,MATCH($C622,Работы!$A$2:$A$6000,0)),"")</f>
        <v>2</v>
      </c>
      <c r="C622" t="str">
        <f>IFERROR(INDEX(Работы!$A$2:$A$6000,621),"")</f>
        <v>РАБ.Р8.2.010</v>
      </c>
      <c r="D622" s="8" t="str">
        <f>IFERROR(INDEX(Работы!$B$2:$B$6000,MATCH($C622,Работы!$A$2:$A$6000,0)),"")</f>
        <v>Разветвитель FQG-B335A</v>
      </c>
      <c r="E622" t="str">
        <f>IFERROR(INDEX(Работы!$C$2:$C$6000,MATCH($C622,Работы!$A$2:$A$6000,0)),"")</f>
        <v>шт.</v>
      </c>
      <c r="F622">
        <f>IFERROR(INDEX(Работы!$G$2:$G$6000,MATCH($C622,Работы!$A$2:$A$6000,0)),"")</f>
        <v>0</v>
      </c>
      <c r="G622" t="str">
        <f>IFERROR(INDEX(Работы!$K$2:$K$6000,MATCH($C622,Работы!$A$2:$A$6000,0)),"")</f>
        <v>Спецификация</v>
      </c>
      <c r="H622" s="9"/>
      <c r="I622" s="9"/>
      <c r="J622" s="8" t="str">
        <f>IFERROR(INDEX(Материалы!$B$2:$B$9000,MATCH($I622,Материалы!$A$2:$A$9000,0)),"")</f>
        <v/>
      </c>
      <c r="K622" t="str">
        <f>IF($I622="","",IF($F622=IFERROR(INDEX(Материалы!$G$2:$G$9000,MATCH($I622,Материалы!$A$2:$A$9000,0)),""),"OK","!! не та группа"))</f>
        <v/>
      </c>
      <c r="L622" s="10">
        <f>IFERROR(INDEX(Работы!$H$2:$H$6000,MATCH($C622,Работы!$A$2:$A$6000,0))*(1-ДисконтТендер),0)</f>
        <v>1039.6099999999999</v>
      </c>
      <c r="M622" s="10">
        <f>IF($I622="",0,IFERROR(INDEX(Материалы!$I$2:$I$9000,MATCH($I622,Материалы!$A$2:$A$9000,0))*IF(INDEX(Материалы!$J$2:$J$9000,MATCH($I622,Материалы!$A$2:$A$9000,0))="USD",КурсUSD,IF(INDEX(Материалы!$J$2:$J$9000,MATCH($I622,Материалы!$A$2:$A$9000,0))="EUR",КурсEUR,1))*INDEX(Материалы!$K$2:$K$9000,MATCH($I622,Материалы!$A$2:$A$9000,0))*(1+IFERROR(INDEX(Работы!$I$2:$I$6000,MATCH($C622,Работы!$A$2:$A$6000,0))/100,0))*(1-ДисконтТендер),0))</f>
        <v>0</v>
      </c>
      <c r="N622" s="10">
        <f t="shared" si="27"/>
        <v>0</v>
      </c>
      <c r="O622" s="10">
        <f t="shared" si="28"/>
        <v>0</v>
      </c>
      <c r="P622" s="10">
        <f t="shared" si="29"/>
        <v>0</v>
      </c>
      <c r="Q622" t="str">
        <f>IFERROR(INDEX(Работы!$J$2:$J$6000,MATCH($C622,Работы!$A$2:$A$6000,0)),"")</f>
        <v>типовая</v>
      </c>
      <c r="R622" t="s">
        <v>92</v>
      </c>
      <c r="T622" t="str">
        <f>IF(AND($P622&gt;0,$R622="да"),MAX($T$1:$T621)+1,"")</f>
        <v/>
      </c>
    </row>
    <row r="623" spans="1:20" x14ac:dyDescent="0.3">
      <c r="A623" t="str">
        <f>IFERROR(INDEX(Работы!$D$2:$D$6000,MATCH($C623,Работы!$A$2:$A$6000,0)),"")</f>
        <v>Р8</v>
      </c>
      <c r="B623" t="str">
        <f>IFERROR(INDEX(Работы!$F$2:$F$6000,MATCH($C623,Работы!$A$2:$A$6000,0)),"")</f>
        <v>2</v>
      </c>
      <c r="C623" t="str">
        <f>IFERROR(INDEX(Работы!$A$2:$A$6000,622),"")</f>
        <v>РАБ.Р8.2.011</v>
      </c>
      <c r="D623" s="8" t="str">
        <f>IFERROR(INDEX(Работы!$B$2:$B$6000,MATCH($C623,Работы!$A$2:$A$6000,0)),"")</f>
        <v>Разветвитель FQG-B506A</v>
      </c>
      <c r="E623" t="str">
        <f>IFERROR(INDEX(Работы!$C$2:$C$6000,MATCH($C623,Работы!$A$2:$A$6000,0)),"")</f>
        <v>шт.</v>
      </c>
      <c r="F623">
        <f>IFERROR(INDEX(Работы!$G$2:$G$6000,MATCH($C623,Работы!$A$2:$A$6000,0)),"")</f>
        <v>0</v>
      </c>
      <c r="G623" t="str">
        <f>IFERROR(INDEX(Работы!$K$2:$K$6000,MATCH($C623,Работы!$A$2:$A$6000,0)),"")</f>
        <v>Спецификация</v>
      </c>
      <c r="H623" s="9"/>
      <c r="I623" s="9"/>
      <c r="J623" s="8" t="str">
        <f>IFERROR(INDEX(Материалы!$B$2:$B$9000,MATCH($I623,Материалы!$A$2:$A$9000,0)),"")</f>
        <v/>
      </c>
      <c r="K623" t="str">
        <f>IF($I623="","",IF($F623=IFERROR(INDEX(Материалы!$G$2:$G$9000,MATCH($I623,Материалы!$A$2:$A$9000,0)),""),"OK","!! не та группа"))</f>
        <v/>
      </c>
      <c r="L623" s="10">
        <f>IFERROR(INDEX(Работы!$H$2:$H$6000,MATCH($C623,Работы!$A$2:$A$6000,0))*(1-ДисконтТендер),0)</f>
        <v>1040.48</v>
      </c>
      <c r="M623" s="10">
        <f>IF($I623="",0,IFERROR(INDEX(Материалы!$I$2:$I$9000,MATCH($I623,Материалы!$A$2:$A$9000,0))*IF(INDEX(Материалы!$J$2:$J$9000,MATCH($I623,Материалы!$A$2:$A$9000,0))="USD",КурсUSD,IF(INDEX(Материалы!$J$2:$J$9000,MATCH($I623,Материалы!$A$2:$A$9000,0))="EUR",КурсEUR,1))*INDEX(Материалы!$K$2:$K$9000,MATCH($I623,Материалы!$A$2:$A$9000,0))*(1+IFERROR(INDEX(Работы!$I$2:$I$6000,MATCH($C623,Работы!$A$2:$A$6000,0))/100,0))*(1-ДисконтТендер),0))</f>
        <v>0</v>
      </c>
      <c r="N623" s="10">
        <f t="shared" si="27"/>
        <v>0</v>
      </c>
      <c r="O623" s="10">
        <f t="shared" si="28"/>
        <v>0</v>
      </c>
      <c r="P623" s="10">
        <f t="shared" si="29"/>
        <v>0</v>
      </c>
      <c r="Q623" t="str">
        <f>IFERROR(INDEX(Работы!$J$2:$J$6000,MATCH($C623,Работы!$A$2:$A$6000,0)),"")</f>
        <v>типовая</v>
      </c>
      <c r="R623" t="s">
        <v>92</v>
      </c>
      <c r="T623" t="str">
        <f>IF(AND($P623&gt;0,$R623="да"),MAX($T$1:$T622)+1,"")</f>
        <v/>
      </c>
    </row>
    <row r="624" spans="1:20" ht="28.8" x14ac:dyDescent="0.3">
      <c r="A624" t="str">
        <f>IFERROR(INDEX(Работы!$D$2:$D$6000,MATCH($C624,Работы!$A$2:$A$6000,0)),"")</f>
        <v>Р8</v>
      </c>
      <c r="B624" t="str">
        <f>IFERROR(INDEX(Работы!$F$2:$F$6000,MATCH($C624,Работы!$A$2:$A$6000,0)),"")</f>
        <v>2</v>
      </c>
      <c r="C624" t="str">
        <f>IFERROR(INDEX(Работы!$A$2:$A$6000,623),"")</f>
        <v>РАБ.Р8.2.012</v>
      </c>
      <c r="D624" s="8" t="str">
        <f>IFERROR(INDEX(Работы!$B$2:$B$6000,MATCH($C624,Работы!$A$2:$A$6000,0)),"")</f>
        <v>Экран для потолочного (кассетного) кондиционера из ударопрочного стекла</v>
      </c>
      <c r="E624" t="str">
        <f>IFERROR(INDEX(Работы!$C$2:$C$6000,MATCH($C624,Работы!$A$2:$A$6000,0)),"")</f>
        <v>шт.</v>
      </c>
      <c r="F624">
        <f>IFERROR(INDEX(Работы!$G$2:$G$6000,MATCH($C624,Работы!$A$2:$A$6000,0)),"")</f>
        <v>0</v>
      </c>
      <c r="G624" t="str">
        <f>IFERROR(INDEX(Работы!$K$2:$K$6000,MATCH($C624,Работы!$A$2:$A$6000,0)),"")</f>
        <v>Спецификация</v>
      </c>
      <c r="H624" s="9"/>
      <c r="I624" s="9"/>
      <c r="J624" s="8" t="str">
        <f>IFERROR(INDEX(Материалы!$B$2:$B$9000,MATCH($I624,Материалы!$A$2:$A$9000,0)),"")</f>
        <v/>
      </c>
      <c r="K624" t="str">
        <f>IF($I624="","",IF($F624=IFERROR(INDEX(Материалы!$G$2:$G$9000,MATCH($I624,Материалы!$A$2:$A$9000,0)),""),"OK","!! не та группа"))</f>
        <v/>
      </c>
      <c r="L624" s="10">
        <f>IFERROR(INDEX(Работы!$H$2:$H$6000,MATCH($C624,Работы!$A$2:$A$6000,0))*(1-ДисконтТендер),0)</f>
        <v>2000</v>
      </c>
      <c r="M624" s="10">
        <f>IF($I624="",0,IFERROR(INDEX(Материалы!$I$2:$I$9000,MATCH($I624,Материалы!$A$2:$A$9000,0))*IF(INDEX(Материалы!$J$2:$J$9000,MATCH($I624,Материалы!$A$2:$A$9000,0))="USD",КурсUSD,IF(INDEX(Материалы!$J$2:$J$9000,MATCH($I624,Материалы!$A$2:$A$9000,0))="EUR",КурсEUR,1))*INDEX(Материалы!$K$2:$K$9000,MATCH($I624,Материалы!$A$2:$A$9000,0))*(1+IFERROR(INDEX(Работы!$I$2:$I$6000,MATCH($C624,Работы!$A$2:$A$6000,0))/100,0))*(1-ДисконтТендер),0))</f>
        <v>0</v>
      </c>
      <c r="N624" s="10">
        <f t="shared" si="27"/>
        <v>0</v>
      </c>
      <c r="O624" s="10">
        <f t="shared" si="28"/>
        <v>0</v>
      </c>
      <c r="P624" s="10">
        <f t="shared" si="29"/>
        <v>0</v>
      </c>
      <c r="Q624" t="str">
        <f>IFERROR(INDEX(Работы!$J$2:$J$6000,MATCH($C624,Работы!$A$2:$A$6000,0)),"")</f>
        <v>типовая</v>
      </c>
      <c r="R624" t="s">
        <v>92</v>
      </c>
      <c r="T624" t="str">
        <f>IF(AND($P624&gt;0,$R624="да"),MAX($T$1:$T623)+1,"")</f>
        <v/>
      </c>
    </row>
    <row r="625" spans="1:20" ht="28.8" x14ac:dyDescent="0.3">
      <c r="A625" t="str">
        <f>IFERROR(INDEX(Работы!$D$2:$D$6000,MATCH($C625,Работы!$A$2:$A$6000,0)),"")</f>
        <v>Р8</v>
      </c>
      <c r="B625" t="str">
        <f>IFERROR(INDEX(Работы!$F$2:$F$6000,MATCH($C625,Работы!$A$2:$A$6000,0)),"")</f>
        <v>2</v>
      </c>
      <c r="C625" t="str">
        <f>IFERROR(INDEX(Работы!$A$2:$A$6000,624),"")</f>
        <v>РАБ.Р8.2.013</v>
      </c>
      <c r="D625" s="8" t="str">
        <f>IFERROR(INDEX(Работы!$B$2:$B$6000,MATCH($C625,Работы!$A$2:$A$6000,0)),"")</f>
        <v>Экран для настенного кондиционера из ударопрочного стекла</v>
      </c>
      <c r="E625" t="str">
        <f>IFERROR(INDEX(Работы!$C$2:$C$6000,MATCH($C625,Работы!$A$2:$A$6000,0)),"")</f>
        <v>шт.</v>
      </c>
      <c r="F625">
        <f>IFERROR(INDEX(Работы!$G$2:$G$6000,MATCH($C625,Работы!$A$2:$A$6000,0)),"")</f>
        <v>0</v>
      </c>
      <c r="G625" t="str">
        <f>IFERROR(INDEX(Работы!$K$2:$K$6000,MATCH($C625,Работы!$A$2:$A$6000,0)),"")</f>
        <v>S_стены</v>
      </c>
      <c r="H625" s="9"/>
      <c r="I625" s="9"/>
      <c r="J625" s="8" t="str">
        <f>IFERROR(INDEX(Материалы!$B$2:$B$9000,MATCH($I625,Материалы!$A$2:$A$9000,0)),"")</f>
        <v/>
      </c>
      <c r="K625" t="str">
        <f>IF($I625="","",IF($F625=IFERROR(INDEX(Материалы!$G$2:$G$9000,MATCH($I625,Материалы!$A$2:$A$9000,0)),""),"OK","!! не та группа"))</f>
        <v/>
      </c>
      <c r="L625" s="10">
        <f>IFERROR(INDEX(Работы!$H$2:$H$6000,MATCH($C625,Работы!$A$2:$A$6000,0))*(1-ДисконтТендер),0)</f>
        <v>1500</v>
      </c>
      <c r="M625" s="10">
        <f>IF($I625="",0,IFERROR(INDEX(Материалы!$I$2:$I$9000,MATCH($I625,Материалы!$A$2:$A$9000,0))*IF(INDEX(Материалы!$J$2:$J$9000,MATCH($I625,Материалы!$A$2:$A$9000,0))="USD",КурсUSD,IF(INDEX(Материалы!$J$2:$J$9000,MATCH($I625,Материалы!$A$2:$A$9000,0))="EUR",КурсEUR,1))*INDEX(Материалы!$K$2:$K$9000,MATCH($I625,Материалы!$A$2:$A$9000,0))*(1+IFERROR(INDEX(Работы!$I$2:$I$6000,MATCH($C625,Работы!$A$2:$A$6000,0))/100,0))*(1-ДисконтТендер),0))</f>
        <v>0</v>
      </c>
      <c r="N625" s="10">
        <f t="shared" si="27"/>
        <v>0</v>
      </c>
      <c r="O625" s="10">
        <f t="shared" si="28"/>
        <v>0</v>
      </c>
      <c r="P625" s="10">
        <f t="shared" si="29"/>
        <v>0</v>
      </c>
      <c r="Q625" t="str">
        <f>IFERROR(INDEX(Работы!$J$2:$J$6000,MATCH($C625,Работы!$A$2:$A$6000,0)),"")</f>
        <v>типовая</v>
      </c>
      <c r="R625" t="s">
        <v>92</v>
      </c>
      <c r="T625" t="str">
        <f>IF(AND($P625&gt;0,$R625="да"),MAX($T$1:$T624)+1,"")</f>
        <v/>
      </c>
    </row>
    <row r="626" spans="1:20" ht="28.8" x14ac:dyDescent="0.3">
      <c r="A626" t="str">
        <f>IFERROR(INDEX(Работы!$D$2:$D$6000,MATCH($C626,Работы!$A$2:$A$6000,0)),"")</f>
        <v>Р8</v>
      </c>
      <c r="B626" t="str">
        <f>IFERROR(INDEX(Работы!$F$2:$F$6000,MATCH($C626,Работы!$A$2:$A$6000,0)),"")</f>
        <v>2</v>
      </c>
      <c r="C626" t="str">
        <f>IFERROR(INDEX(Работы!$A$2:$A$6000,625),"")</f>
        <v>РАБ.Р8.2.014</v>
      </c>
      <c r="D626" s="8" t="str">
        <f>IFERROR(INDEX(Работы!$B$2:$B$6000,MATCH($C626,Работы!$A$2:$A$6000,0)),"")</f>
        <v>Вентиль шаровый под пайку для внутреннего блока</v>
      </c>
      <c r="E626" t="str">
        <f>IFERROR(INDEX(Работы!$C$2:$C$6000,MATCH($C626,Работы!$A$2:$A$6000,0)),"")</f>
        <v>шт.</v>
      </c>
      <c r="F626" t="str">
        <f>IFERROR(INDEX(Работы!$G$2:$G$6000,MATCH($C626,Работы!$A$2:$A$6000,0)),"")</f>
        <v>VRF.ВНУТ</v>
      </c>
      <c r="G626" t="str">
        <f>IFERROR(INDEX(Работы!$K$2:$K$6000,MATCH($C626,Работы!$A$2:$A$6000,0)),"")</f>
        <v>Спецификация</v>
      </c>
      <c r="H626" s="9"/>
      <c r="I626" s="9"/>
      <c r="J626" s="8" t="str">
        <f>IFERROR(INDEX(Материалы!$B$2:$B$9000,MATCH($I626,Материалы!$A$2:$A$9000,0)),"")</f>
        <v/>
      </c>
      <c r="K626" t="str">
        <f>IF($I626="","",IF($F626=IFERROR(INDEX(Материалы!$G$2:$G$9000,MATCH($I626,Материалы!$A$2:$A$9000,0)),""),"OK","!! не та группа"))</f>
        <v/>
      </c>
      <c r="L626" s="10">
        <f>IFERROR(INDEX(Работы!$H$2:$H$6000,MATCH($C626,Работы!$A$2:$A$6000,0))*(1-ДисконтТендер),0)</f>
        <v>750</v>
      </c>
      <c r="M626" s="10">
        <f>IF($I626="",0,IFERROR(INDEX(Материалы!$I$2:$I$9000,MATCH($I626,Материалы!$A$2:$A$9000,0))*IF(INDEX(Материалы!$J$2:$J$9000,MATCH($I626,Материалы!$A$2:$A$9000,0))="USD",КурсUSD,IF(INDEX(Материалы!$J$2:$J$9000,MATCH($I626,Материалы!$A$2:$A$9000,0))="EUR",КурсEUR,1))*INDEX(Материалы!$K$2:$K$9000,MATCH($I626,Материалы!$A$2:$A$9000,0))*(1+IFERROR(INDEX(Работы!$I$2:$I$6000,MATCH($C626,Работы!$A$2:$A$6000,0))/100,0))*(1-ДисконтТендер),0))</f>
        <v>0</v>
      </c>
      <c r="N626" s="10">
        <f t="shared" si="27"/>
        <v>0</v>
      </c>
      <c r="O626" s="10">
        <f t="shared" si="28"/>
        <v>0</v>
      </c>
      <c r="P626" s="10">
        <f t="shared" si="29"/>
        <v>0</v>
      </c>
      <c r="Q626" t="str">
        <f>IFERROR(INDEX(Работы!$J$2:$J$6000,MATCH($C626,Работы!$A$2:$A$6000,0)),"")</f>
        <v>типовая</v>
      </c>
      <c r="R626" t="s">
        <v>92</v>
      </c>
      <c r="T626" t="str">
        <f>IF(AND($P626&gt;0,$R626="да"),MAX($T$1:$T625)+1,"")</f>
        <v/>
      </c>
    </row>
    <row r="627" spans="1:20" ht="28.8" x14ac:dyDescent="0.3">
      <c r="A627" t="str">
        <f>IFERROR(INDEX(Работы!$D$2:$D$6000,MATCH($C627,Работы!$A$2:$A$6000,0)),"")</f>
        <v>Р8</v>
      </c>
      <c r="B627" t="str">
        <f>IFERROR(INDEX(Работы!$F$2:$F$6000,MATCH($C627,Работы!$A$2:$A$6000,0)),"")</f>
        <v>2</v>
      </c>
      <c r="C627" t="str">
        <f>IFERROR(INDEX(Работы!$A$2:$A$6000,626),"")</f>
        <v>РАБ.Р8.2.015</v>
      </c>
      <c r="D627" s="8" t="str">
        <f>IFERROR(INDEX(Работы!$B$2:$B$6000,MATCH($C627,Работы!$A$2:$A$6000,0)),"")</f>
        <v>Регенерация, заправка хладагентом, Фреон R407C, R410A R 32</v>
      </c>
      <c r="E627" t="str">
        <f>IFERROR(INDEX(Работы!$C$2:$C$6000,MATCH($C627,Работы!$A$2:$A$6000,0)),"")</f>
        <v>кг</v>
      </c>
      <c r="F627">
        <f>IFERROR(INDEX(Работы!$G$2:$G$6000,MATCH($C627,Работы!$A$2:$A$6000,0)),"")</f>
        <v>0</v>
      </c>
      <c r="G627" t="str">
        <f>IFERROR(INDEX(Работы!$K$2:$K$6000,MATCH($C627,Работы!$A$2:$A$6000,0)),"")</f>
        <v>Спецификация</v>
      </c>
      <c r="H627" s="9"/>
      <c r="I627" s="9"/>
      <c r="J627" s="8" t="str">
        <f>IFERROR(INDEX(Материалы!$B$2:$B$9000,MATCH($I627,Материалы!$A$2:$A$9000,0)),"")</f>
        <v/>
      </c>
      <c r="K627" t="str">
        <f>IF($I627="","",IF($F627=IFERROR(INDEX(Материалы!$G$2:$G$9000,MATCH($I627,Материалы!$A$2:$A$9000,0)),""),"OK","!! не та группа"))</f>
        <v/>
      </c>
      <c r="L627" s="10">
        <f>IFERROR(INDEX(Работы!$H$2:$H$6000,MATCH($C627,Работы!$A$2:$A$6000,0))*(1-ДисконтТендер),0)</f>
        <v>700</v>
      </c>
      <c r="M627" s="10">
        <f>IF($I627="",0,IFERROR(INDEX(Материалы!$I$2:$I$9000,MATCH($I627,Материалы!$A$2:$A$9000,0))*IF(INDEX(Материалы!$J$2:$J$9000,MATCH($I627,Материалы!$A$2:$A$9000,0))="USD",КурсUSD,IF(INDEX(Материалы!$J$2:$J$9000,MATCH($I627,Материалы!$A$2:$A$9000,0))="EUR",КурсEUR,1))*INDEX(Материалы!$K$2:$K$9000,MATCH($I627,Материалы!$A$2:$A$9000,0))*(1+IFERROR(INDEX(Работы!$I$2:$I$6000,MATCH($C627,Работы!$A$2:$A$6000,0))/100,0))*(1-ДисконтТендер),0))</f>
        <v>0</v>
      </c>
      <c r="N627" s="10">
        <f t="shared" si="27"/>
        <v>0</v>
      </c>
      <c r="O627" s="10">
        <f t="shared" si="28"/>
        <v>0</v>
      </c>
      <c r="P627" s="10">
        <f t="shared" si="29"/>
        <v>0</v>
      </c>
      <c r="Q627" t="str">
        <f>IFERROR(INDEX(Работы!$J$2:$J$6000,MATCH($C627,Работы!$A$2:$A$6000,0)),"")</f>
        <v>типовая</v>
      </c>
      <c r="R627" t="s">
        <v>92</v>
      </c>
      <c r="T627" t="str">
        <f>IF(AND($P627&gt;0,$R627="да"),MAX($T$1:$T626)+1,"")</f>
        <v/>
      </c>
    </row>
    <row r="628" spans="1:20" x14ac:dyDescent="0.3">
      <c r="A628" t="str">
        <f>IFERROR(INDEX(Работы!$D$2:$D$6000,MATCH($C628,Работы!$A$2:$A$6000,0)),"")</f>
        <v>Р8</v>
      </c>
      <c r="B628" t="str">
        <f>IFERROR(INDEX(Работы!$F$2:$F$6000,MATCH($C628,Работы!$A$2:$A$6000,0)),"")</f>
        <v>2</v>
      </c>
      <c r="C628" t="str">
        <f>IFERROR(INDEX(Работы!$A$2:$A$6000,627),"")</f>
        <v>РАБ.Р8.2.016</v>
      </c>
      <c r="D628" s="8" t="str">
        <f>IFERROR(INDEX(Работы!$B$2:$B$6000,MATCH($C628,Работы!$A$2:$A$6000,0)),"")</f>
        <v>Дренажный насос Aqua mini blue, ASPEN</v>
      </c>
      <c r="E628" t="str">
        <f>IFERROR(INDEX(Работы!$C$2:$C$6000,MATCH($C628,Работы!$A$2:$A$6000,0)),"")</f>
        <v>шт.</v>
      </c>
      <c r="F628">
        <f>IFERROR(INDEX(Работы!$G$2:$G$6000,MATCH($C628,Работы!$A$2:$A$6000,0)),"")</f>
        <v>0</v>
      </c>
      <c r="G628" t="str">
        <f>IFERROR(INDEX(Работы!$K$2:$K$6000,MATCH($C628,Работы!$A$2:$A$6000,0)),"")</f>
        <v>Спецификация</v>
      </c>
      <c r="H628" s="9"/>
      <c r="I628" s="9"/>
      <c r="J628" s="8" t="str">
        <f>IFERROR(INDEX(Материалы!$B$2:$B$9000,MATCH($I628,Материалы!$A$2:$A$9000,0)),"")</f>
        <v/>
      </c>
      <c r="K628" t="str">
        <f>IF($I628="","",IF($F628=IFERROR(INDEX(Материалы!$G$2:$G$9000,MATCH($I628,Материалы!$A$2:$A$9000,0)),""),"OK","!! не та группа"))</f>
        <v/>
      </c>
      <c r="L628" s="10">
        <f>IFERROR(INDEX(Работы!$H$2:$H$6000,MATCH($C628,Работы!$A$2:$A$6000,0))*(1-ДисконтТендер),0)</f>
        <v>4293.7</v>
      </c>
      <c r="M628" s="10">
        <f>IF($I628="",0,IFERROR(INDEX(Материалы!$I$2:$I$9000,MATCH($I628,Материалы!$A$2:$A$9000,0))*IF(INDEX(Материалы!$J$2:$J$9000,MATCH($I628,Материалы!$A$2:$A$9000,0))="USD",КурсUSD,IF(INDEX(Материалы!$J$2:$J$9000,MATCH($I628,Материалы!$A$2:$A$9000,0))="EUR",КурсEUR,1))*INDEX(Материалы!$K$2:$K$9000,MATCH($I628,Материалы!$A$2:$A$9000,0))*(1+IFERROR(INDEX(Работы!$I$2:$I$6000,MATCH($C628,Работы!$A$2:$A$6000,0))/100,0))*(1-ДисконтТендер),0))</f>
        <v>0</v>
      </c>
      <c r="N628" s="10">
        <f t="shared" si="27"/>
        <v>0</v>
      </c>
      <c r="O628" s="10">
        <f t="shared" si="28"/>
        <v>0</v>
      </c>
      <c r="P628" s="10">
        <f t="shared" si="29"/>
        <v>0</v>
      </c>
      <c r="Q628" t="str">
        <f>IFERROR(INDEX(Работы!$J$2:$J$6000,MATCH($C628,Работы!$A$2:$A$6000,0)),"")</f>
        <v>типовая</v>
      </c>
      <c r="R628" t="s">
        <v>92</v>
      </c>
      <c r="T628" t="str">
        <f>IF(AND($P628&gt;0,$R628="да"),MAX($T$1:$T627)+1,"")</f>
        <v/>
      </c>
    </row>
    <row r="629" spans="1:20" ht="28.8" x14ac:dyDescent="0.3">
      <c r="A629" t="str">
        <f>IFERROR(INDEX(Работы!$D$2:$D$6000,MATCH($C629,Работы!$A$2:$A$6000,0)),"")</f>
        <v>Р8</v>
      </c>
      <c r="B629" t="str">
        <f>IFERROR(INDEX(Работы!$F$2:$F$6000,MATCH($C629,Работы!$A$2:$A$6000,0)),"")</f>
        <v>2</v>
      </c>
      <c r="C629" t="str">
        <f>IFERROR(INDEX(Работы!$A$2:$A$6000,628),"")</f>
        <v>РАБ.Р8.2.017</v>
      </c>
      <c r="D629" s="8" t="str">
        <f>IFERROR(INDEX(Работы!$B$2:$B$6000,MATCH($C629,Работы!$A$2:$A$6000,0)),"")</f>
        <v>Антивандальные решетки с козырьком для внешних блоков</v>
      </c>
      <c r="E629" t="str">
        <f>IFERROR(INDEX(Работы!$C$2:$C$6000,MATCH($C629,Работы!$A$2:$A$6000,0)),"")</f>
        <v>компл.</v>
      </c>
      <c r="F629">
        <f>IFERROR(INDEX(Работы!$G$2:$G$6000,MATCH($C629,Работы!$A$2:$A$6000,0)),"")</f>
        <v>0</v>
      </c>
      <c r="G629" t="str">
        <f>IFERROR(INDEX(Работы!$K$2:$K$6000,MATCH($C629,Работы!$A$2:$A$6000,0)),"")</f>
        <v>Спецификация</v>
      </c>
      <c r="H629" s="9"/>
      <c r="I629" s="9"/>
      <c r="J629" s="8" t="str">
        <f>IFERROR(INDEX(Материалы!$B$2:$B$9000,MATCH($I629,Материалы!$A$2:$A$9000,0)),"")</f>
        <v/>
      </c>
      <c r="K629" t="str">
        <f>IF($I629="","",IF($F629=IFERROR(INDEX(Материалы!$G$2:$G$9000,MATCH($I629,Материалы!$A$2:$A$9000,0)),""),"OK","!! не та группа"))</f>
        <v/>
      </c>
      <c r="L629" s="10">
        <f>IFERROR(INDEX(Работы!$H$2:$H$6000,MATCH($C629,Работы!$A$2:$A$6000,0))*(1-ДисконтТендер),0)</f>
        <v>1148.3599999999999</v>
      </c>
      <c r="M629" s="10">
        <f>IF($I629="",0,IFERROR(INDEX(Материалы!$I$2:$I$9000,MATCH($I629,Материалы!$A$2:$A$9000,0))*IF(INDEX(Материалы!$J$2:$J$9000,MATCH($I629,Материалы!$A$2:$A$9000,0))="USD",КурсUSD,IF(INDEX(Материалы!$J$2:$J$9000,MATCH($I629,Материалы!$A$2:$A$9000,0))="EUR",КурсEUR,1))*INDEX(Материалы!$K$2:$K$9000,MATCH($I629,Материалы!$A$2:$A$9000,0))*(1+IFERROR(INDEX(Работы!$I$2:$I$6000,MATCH($C629,Работы!$A$2:$A$6000,0))/100,0))*(1-ДисконтТендер),0))</f>
        <v>0</v>
      </c>
      <c r="N629" s="10">
        <f t="shared" si="27"/>
        <v>0</v>
      </c>
      <c r="O629" s="10">
        <f t="shared" si="28"/>
        <v>0</v>
      </c>
      <c r="P629" s="10">
        <f t="shared" si="29"/>
        <v>0</v>
      </c>
      <c r="Q629" t="str">
        <f>IFERROR(INDEX(Работы!$J$2:$J$6000,MATCH($C629,Работы!$A$2:$A$6000,0)),"")</f>
        <v>типовая</v>
      </c>
      <c r="R629" t="s">
        <v>92</v>
      </c>
      <c r="T629" t="str">
        <f>IF(AND($P629&gt;0,$R629="да"),MAX($T$1:$T628)+1,"")</f>
        <v/>
      </c>
    </row>
    <row r="630" spans="1:20" ht="28.8" x14ac:dyDescent="0.3">
      <c r="A630" t="str">
        <f>IFERROR(INDEX(Работы!$D$2:$D$6000,MATCH($C630,Работы!$A$2:$A$6000,0)),"")</f>
        <v>Р8</v>
      </c>
      <c r="B630" t="str">
        <f>IFERROR(INDEX(Работы!$F$2:$F$6000,MATCH($C630,Работы!$A$2:$A$6000,0)),"")</f>
        <v>2</v>
      </c>
      <c r="C630" t="str">
        <f>IFERROR(INDEX(Работы!$A$2:$A$6000,629),"")</f>
        <v>РАБ.Р8.2.018</v>
      </c>
      <c r="D630" s="8" t="str">
        <f>IFERROR(INDEX(Работы!$B$2:$B$6000,MATCH($C630,Работы!$A$2:$A$6000,0)),"")</f>
        <v>Пусконаладочные работы систем кондиционирования</v>
      </c>
      <c r="E630" t="str">
        <f>IFERROR(INDEX(Работы!$C$2:$C$6000,MATCH($C630,Работы!$A$2:$A$6000,0)),"")</f>
        <v>кв.м.площади офиса</v>
      </c>
      <c r="F630">
        <f>IFERROR(INDEX(Работы!$G$2:$G$6000,MATCH($C630,Работы!$A$2:$A$6000,0)),"")</f>
        <v>0</v>
      </c>
      <c r="G630" t="str">
        <f>IFERROR(INDEX(Работы!$K$2:$K$6000,MATCH($C630,Работы!$A$2:$A$6000,0)),"")</f>
        <v>Спецификация</v>
      </c>
      <c r="H630" s="9"/>
      <c r="I630" s="9"/>
      <c r="J630" s="8" t="str">
        <f>IFERROR(INDEX(Материалы!$B$2:$B$9000,MATCH($I630,Материалы!$A$2:$A$9000,0)),"")</f>
        <v/>
      </c>
      <c r="K630" t="str">
        <f>IF($I630="","",IF($F630=IFERROR(INDEX(Материалы!$G$2:$G$9000,MATCH($I630,Материалы!$A$2:$A$9000,0)),""),"OK","!! не та группа"))</f>
        <v/>
      </c>
      <c r="L630" s="10">
        <f>IFERROR(INDEX(Работы!$H$2:$H$6000,MATCH($C630,Работы!$A$2:$A$6000,0))*(1-ДисконтТендер),0)</f>
        <v>96.36</v>
      </c>
      <c r="M630" s="10">
        <f>IF($I630="",0,IFERROR(INDEX(Материалы!$I$2:$I$9000,MATCH($I630,Материалы!$A$2:$A$9000,0))*IF(INDEX(Материалы!$J$2:$J$9000,MATCH($I630,Материалы!$A$2:$A$9000,0))="USD",КурсUSD,IF(INDEX(Материалы!$J$2:$J$9000,MATCH($I630,Материалы!$A$2:$A$9000,0))="EUR",КурсEUR,1))*INDEX(Материалы!$K$2:$K$9000,MATCH($I630,Материалы!$A$2:$A$9000,0))*(1+IFERROR(INDEX(Работы!$I$2:$I$6000,MATCH($C630,Работы!$A$2:$A$6000,0))/100,0))*(1-ДисконтТендер),0))</f>
        <v>0</v>
      </c>
      <c r="N630" s="10">
        <f t="shared" si="27"/>
        <v>0</v>
      </c>
      <c r="O630" s="10">
        <f t="shared" si="28"/>
        <v>0</v>
      </c>
      <c r="P630" s="10">
        <f t="shared" si="29"/>
        <v>0</v>
      </c>
      <c r="Q630" t="str">
        <f>IFERROR(INDEX(Работы!$J$2:$J$6000,MATCH($C630,Работы!$A$2:$A$6000,0)),"")</f>
        <v>типовая</v>
      </c>
      <c r="R630" t="s">
        <v>92</v>
      </c>
      <c r="T630" t="str">
        <f>IF(AND($P630&gt;0,$R630="да"),MAX($T$1:$T629)+1,"")</f>
        <v/>
      </c>
    </row>
    <row r="631" spans="1:20" x14ac:dyDescent="0.3">
      <c r="A631" t="str">
        <f>IFERROR(INDEX(Работы!$D$2:$D$6000,MATCH($C631,Работы!$A$2:$A$6000,0)),"")</f>
        <v>Р8</v>
      </c>
      <c r="B631" t="str">
        <f>IFERROR(INDEX(Работы!$F$2:$F$6000,MATCH($C631,Работы!$A$2:$A$6000,0)),"")</f>
        <v>2</v>
      </c>
      <c r="C631" t="str">
        <f>IFERROR(INDEX(Работы!$A$2:$A$6000,630),"")</f>
        <v>РАБ.Р8.2.019</v>
      </c>
      <c r="D631" s="8" t="str">
        <f>IFERROR(INDEX(Работы!$B$2:$B$6000,MATCH($C631,Работы!$A$2:$A$6000,0)),"")</f>
        <v>Зимний комплект к кондиционерам</v>
      </c>
      <c r="E631" t="str">
        <f>IFERROR(INDEX(Работы!$C$2:$C$6000,MATCH($C631,Работы!$A$2:$A$6000,0)),"")</f>
        <v>шт.</v>
      </c>
      <c r="F631" t="str">
        <f>IFERROR(INDEX(Работы!$G$2:$G$6000,MATCH($C631,Работы!$A$2:$A$6000,0)),"")</f>
        <v>СПЛИТ</v>
      </c>
      <c r="G631" t="str">
        <f>IFERROR(INDEX(Работы!$K$2:$K$6000,MATCH($C631,Работы!$A$2:$A$6000,0)),"")</f>
        <v>Спецификация</v>
      </c>
      <c r="H631" s="9"/>
      <c r="I631" s="9"/>
      <c r="J631" s="8" t="str">
        <f>IFERROR(INDEX(Материалы!$B$2:$B$9000,MATCH($I631,Материалы!$A$2:$A$9000,0)),"")</f>
        <v/>
      </c>
      <c r="K631" t="str">
        <f>IF($I631="","",IF($F631=IFERROR(INDEX(Материалы!$G$2:$G$9000,MATCH($I631,Материалы!$A$2:$A$9000,0)),""),"OK","!! не та группа"))</f>
        <v/>
      </c>
      <c r="L631" s="10">
        <f>IFERROR(INDEX(Работы!$H$2:$H$6000,MATCH($C631,Работы!$A$2:$A$6000,0))*(1-ДисконтТендер),0)</f>
        <v>2200</v>
      </c>
      <c r="M631" s="10">
        <f>IF($I631="",0,IFERROR(INDEX(Материалы!$I$2:$I$9000,MATCH($I631,Материалы!$A$2:$A$9000,0))*IF(INDEX(Материалы!$J$2:$J$9000,MATCH($I631,Материалы!$A$2:$A$9000,0))="USD",КурсUSD,IF(INDEX(Материалы!$J$2:$J$9000,MATCH($I631,Материалы!$A$2:$A$9000,0))="EUR",КурсEUR,1))*INDEX(Материалы!$K$2:$K$9000,MATCH($I631,Материалы!$A$2:$A$9000,0))*(1+IFERROR(INDEX(Работы!$I$2:$I$6000,MATCH($C631,Работы!$A$2:$A$6000,0))/100,0))*(1-ДисконтТендер),0))</f>
        <v>0</v>
      </c>
      <c r="N631" s="10">
        <f t="shared" si="27"/>
        <v>0</v>
      </c>
      <c r="O631" s="10">
        <f t="shared" si="28"/>
        <v>0</v>
      </c>
      <c r="P631" s="10">
        <f t="shared" si="29"/>
        <v>0</v>
      </c>
      <c r="Q631" t="str">
        <f>IFERROR(INDEX(Работы!$J$2:$J$6000,MATCH($C631,Работы!$A$2:$A$6000,0)),"")</f>
        <v>типовая</v>
      </c>
      <c r="R631" t="s">
        <v>92</v>
      </c>
      <c r="T631" t="str">
        <f>IF(AND($P631&gt;0,$R631="да"),MAX($T$1:$T630)+1,"")</f>
        <v/>
      </c>
    </row>
    <row r="632" spans="1:20" x14ac:dyDescent="0.3">
      <c r="A632" t="str">
        <f>IFERROR(INDEX(Работы!$D$2:$D$6000,MATCH($C632,Работы!$A$2:$A$6000,0)),"")</f>
        <v>Р8</v>
      </c>
      <c r="B632" t="str">
        <f>IFERROR(INDEX(Работы!$F$2:$F$6000,MATCH($C632,Работы!$A$2:$A$6000,0)),"")</f>
        <v>2</v>
      </c>
      <c r="C632" t="str">
        <f>IFERROR(INDEX(Работы!$A$2:$A$6000,631),"")</f>
        <v>РАБ.Р8.2.020</v>
      </c>
      <c r="D632" s="8" t="str">
        <f>IFERROR(INDEX(Работы!$B$2:$B$6000,MATCH($C632,Работы!$A$2:$A$6000,0)),"")</f>
        <v>Помпа дренажная Si 1805</v>
      </c>
      <c r="E632" t="str">
        <f>IFERROR(INDEX(Работы!$C$2:$C$6000,MATCH($C632,Работы!$A$2:$A$6000,0)),"")</f>
        <v>шт.</v>
      </c>
      <c r="F632">
        <f>IFERROR(INDEX(Работы!$G$2:$G$6000,MATCH($C632,Работы!$A$2:$A$6000,0)),"")</f>
        <v>0</v>
      </c>
      <c r="G632" t="str">
        <f>IFERROR(INDEX(Работы!$K$2:$K$6000,MATCH($C632,Работы!$A$2:$A$6000,0)),"")</f>
        <v>Спецификация</v>
      </c>
      <c r="H632" s="9"/>
      <c r="I632" s="9"/>
      <c r="J632" s="8" t="str">
        <f>IFERROR(INDEX(Материалы!$B$2:$B$9000,MATCH($I632,Материалы!$A$2:$A$9000,0)),"")</f>
        <v/>
      </c>
      <c r="K632" t="str">
        <f>IF($I632="","",IF($F632=IFERROR(INDEX(Материалы!$G$2:$G$9000,MATCH($I632,Материалы!$A$2:$A$9000,0)),""),"OK","!! не та группа"))</f>
        <v/>
      </c>
      <c r="L632" s="10">
        <f>IFERROR(INDEX(Работы!$H$2:$H$6000,MATCH($C632,Работы!$A$2:$A$6000,0))*(1-ДисконтТендер),0)</f>
        <v>3014.67</v>
      </c>
      <c r="M632" s="10">
        <f>IF($I632="",0,IFERROR(INDEX(Материалы!$I$2:$I$9000,MATCH($I632,Материалы!$A$2:$A$9000,0))*IF(INDEX(Материалы!$J$2:$J$9000,MATCH($I632,Материалы!$A$2:$A$9000,0))="USD",КурсUSD,IF(INDEX(Материалы!$J$2:$J$9000,MATCH($I632,Материалы!$A$2:$A$9000,0))="EUR",КурсEUR,1))*INDEX(Материалы!$K$2:$K$9000,MATCH($I632,Материалы!$A$2:$A$9000,0))*(1+IFERROR(INDEX(Работы!$I$2:$I$6000,MATCH($C632,Работы!$A$2:$A$6000,0))/100,0))*(1-ДисконтТендер),0))</f>
        <v>0</v>
      </c>
      <c r="N632" s="10">
        <f t="shared" si="27"/>
        <v>0</v>
      </c>
      <c r="O632" s="10">
        <f t="shared" si="28"/>
        <v>0</v>
      </c>
      <c r="P632" s="10">
        <f t="shared" si="29"/>
        <v>0</v>
      </c>
      <c r="Q632" t="str">
        <f>IFERROR(INDEX(Работы!$J$2:$J$6000,MATCH($C632,Работы!$A$2:$A$6000,0)),"")</f>
        <v>типовая</v>
      </c>
      <c r="R632" t="s">
        <v>92</v>
      </c>
      <c r="T632" t="str">
        <f>IF(AND($P632&gt;0,$R632="да"),MAX($T$1:$T631)+1,"")</f>
        <v/>
      </c>
    </row>
    <row r="633" spans="1:20" ht="72" x14ac:dyDescent="0.3">
      <c r="A633" t="str">
        <f>IFERROR(INDEX(Работы!$D$2:$D$6000,MATCH($C633,Работы!$A$2:$A$6000,0)),"")</f>
        <v>Р8</v>
      </c>
      <c r="B633" t="str">
        <f>IFERROR(INDEX(Работы!$F$2:$F$6000,MATCH($C633,Работы!$A$2:$A$6000,0)),"")</f>
        <v>2</v>
      </c>
      <c r="C633" t="str">
        <f>IFERROR(INDEX(Работы!$A$2:$A$6000,632),"")</f>
        <v>РАБ.Р8.2.021</v>
      </c>
      <c r="D633" s="8" t="str">
        <f>IFERROR(INDEX(Работы!$B$2:$B$6000,MATCH($C633,Работы!$A$2:$A$6000,0)),"")</f>
        <v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E633" t="str">
        <f>IFERROR(INDEX(Работы!$C$2:$C$6000,MATCH($C633,Работы!$A$2:$A$6000,0)),"")</f>
        <v>м.п.</v>
      </c>
      <c r="F633">
        <f>IFERROR(INDEX(Работы!$G$2:$G$6000,MATCH($C633,Работы!$A$2:$A$6000,0)),"")</f>
        <v>0</v>
      </c>
      <c r="G633" t="str">
        <f>IFERROR(INDEX(Работы!$K$2:$K$6000,MATCH($C633,Работы!$A$2:$A$6000,0)),"")</f>
        <v>Погонаж</v>
      </c>
      <c r="H633" s="9"/>
      <c r="I633" s="9"/>
      <c r="J633" s="8" t="str">
        <f>IFERROR(INDEX(Материалы!$B$2:$B$9000,MATCH($I633,Материалы!$A$2:$A$9000,0)),"")</f>
        <v/>
      </c>
      <c r="K633" t="str">
        <f>IF($I633="","",IF($F633=IFERROR(INDEX(Материалы!$G$2:$G$9000,MATCH($I633,Материалы!$A$2:$A$9000,0)),""),"OK","!! не та группа"))</f>
        <v/>
      </c>
      <c r="L633" s="10">
        <f>IFERROR(INDEX(Работы!$H$2:$H$6000,MATCH($C633,Работы!$A$2:$A$6000,0))*(1-ДисконтТендер),0)</f>
        <v>1562.35</v>
      </c>
      <c r="M633" s="10">
        <f>IF($I633="",0,IFERROR(INDEX(Материалы!$I$2:$I$9000,MATCH($I633,Материалы!$A$2:$A$9000,0))*IF(INDEX(Материалы!$J$2:$J$9000,MATCH($I633,Материалы!$A$2:$A$9000,0))="USD",КурсUSD,IF(INDEX(Материалы!$J$2:$J$9000,MATCH($I633,Материалы!$A$2:$A$9000,0))="EUR",КурсEUR,1))*INDEX(Материалы!$K$2:$K$9000,MATCH($I633,Материалы!$A$2:$A$9000,0))*(1+IFERROR(INDEX(Работы!$I$2:$I$6000,MATCH($C633,Работы!$A$2:$A$6000,0))/100,0))*(1-ДисконтТендер),0))</f>
        <v>0</v>
      </c>
      <c r="N633" s="10">
        <f t="shared" si="27"/>
        <v>0</v>
      </c>
      <c r="O633" s="10">
        <f t="shared" si="28"/>
        <v>0</v>
      </c>
      <c r="P633" s="10">
        <f t="shared" si="29"/>
        <v>0</v>
      </c>
      <c r="Q633" t="str">
        <f>IFERROR(INDEX(Работы!$J$2:$J$6000,MATCH($C633,Работы!$A$2:$A$6000,0)),"")</f>
        <v>типовая</v>
      </c>
      <c r="R633" t="s">
        <v>92</v>
      </c>
      <c r="T633" t="str">
        <f>IF(AND($P633&gt;0,$R633="да"),MAX($T$1:$T632)+1,"")</f>
        <v/>
      </c>
    </row>
    <row r="634" spans="1:20" ht="72" x14ac:dyDescent="0.3">
      <c r="A634" t="str">
        <f>IFERROR(INDEX(Работы!$D$2:$D$6000,MATCH($C634,Работы!$A$2:$A$6000,0)),"")</f>
        <v>Р8</v>
      </c>
      <c r="B634" t="str">
        <f>IFERROR(INDEX(Работы!$F$2:$F$6000,MATCH($C634,Работы!$A$2:$A$6000,0)),"")</f>
        <v>2</v>
      </c>
      <c r="C634" t="str">
        <f>IFERROR(INDEX(Работы!$A$2:$A$6000,633),"")</f>
        <v>РАБ.Р8.2.022</v>
      </c>
      <c r="D634" s="8" t="str">
        <f>IFERROR(INDEX(Работы!$B$2:$B$6000,MATCH($C634,Работы!$A$2:$A$6000,0)),"")</f>
        <v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v>
      </c>
      <c r="E634" t="str">
        <f>IFERROR(INDEX(Работы!$C$2:$C$6000,MATCH($C634,Работы!$A$2:$A$6000,0)),"")</f>
        <v>м.п.</v>
      </c>
      <c r="F634" t="str">
        <f>IFERROR(INDEX(Работы!$G$2:$G$6000,MATCH($C634,Работы!$A$2:$A$6000,0)),"")</f>
        <v>VRF.НАР</v>
      </c>
      <c r="G634" t="str">
        <f>IFERROR(INDEX(Работы!$K$2:$K$6000,MATCH($C634,Работы!$A$2:$A$6000,0)),"")</f>
        <v>Спецификация</v>
      </c>
      <c r="H634" s="9"/>
      <c r="I634" s="9"/>
      <c r="J634" s="8" t="str">
        <f>IFERROR(INDEX(Материалы!$B$2:$B$9000,MATCH($I634,Материалы!$A$2:$A$9000,0)),"")</f>
        <v/>
      </c>
      <c r="K634" t="str">
        <f>IF($I634="","",IF($F634=IFERROR(INDEX(Материалы!$G$2:$G$9000,MATCH($I634,Материалы!$A$2:$A$9000,0)),""),"OK","!! не та группа"))</f>
        <v/>
      </c>
      <c r="L634" s="10">
        <f>IFERROR(INDEX(Работы!$H$2:$H$6000,MATCH($C634,Работы!$A$2:$A$6000,0))*(1-ДисконтТендер),0)</f>
        <v>2500</v>
      </c>
      <c r="M634" s="10">
        <f>IF($I634="",0,IFERROR(INDEX(Материалы!$I$2:$I$9000,MATCH($I634,Материалы!$A$2:$A$9000,0))*IF(INDEX(Материалы!$J$2:$J$9000,MATCH($I634,Материалы!$A$2:$A$9000,0))="USD",КурсUSD,IF(INDEX(Материалы!$J$2:$J$9000,MATCH($I634,Материалы!$A$2:$A$9000,0))="EUR",КурсEUR,1))*INDEX(Материалы!$K$2:$K$9000,MATCH($I634,Материалы!$A$2:$A$9000,0))*(1+IFERROR(INDEX(Работы!$I$2:$I$6000,MATCH($C634,Работы!$A$2:$A$6000,0))/100,0))*(1-ДисконтТендер),0))</f>
        <v>0</v>
      </c>
      <c r="N634" s="10">
        <f t="shared" si="27"/>
        <v>0</v>
      </c>
      <c r="O634" s="10">
        <f t="shared" si="28"/>
        <v>0</v>
      </c>
      <c r="P634" s="10">
        <f t="shared" si="29"/>
        <v>0</v>
      </c>
      <c r="Q634" t="str">
        <f>IFERROR(INDEX(Работы!$J$2:$J$6000,MATCH($C634,Работы!$A$2:$A$6000,0)),"")</f>
        <v>нетиповая</v>
      </c>
      <c r="R634" t="s">
        <v>92</v>
      </c>
      <c r="T634" t="str">
        <f>IF(AND($P634&gt;0,$R634="да"),MAX($T$1:$T633)+1,"")</f>
        <v/>
      </c>
    </row>
    <row r="635" spans="1:20" ht="72" x14ac:dyDescent="0.3">
      <c r="A635" t="str">
        <f>IFERROR(INDEX(Работы!$D$2:$D$6000,MATCH($C635,Работы!$A$2:$A$6000,0)),"")</f>
        <v>Р8</v>
      </c>
      <c r="B635" t="str">
        <f>IFERROR(INDEX(Работы!$F$2:$F$6000,MATCH($C635,Работы!$A$2:$A$6000,0)),"")</f>
        <v>2</v>
      </c>
      <c r="C635" t="str">
        <f>IFERROR(INDEX(Работы!$A$2:$A$6000,634),"")</f>
        <v>РАБ.Р8.2.023</v>
      </c>
      <c r="D635" s="8" t="str">
        <f>IFERROR(INDEX(Работы!$B$2:$B$6000,MATCH($C635,Работы!$A$2:$A$6000,0)),"")</f>
        <v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E635" t="str">
        <f>IFERROR(INDEX(Работы!$C$2:$C$6000,MATCH($C635,Работы!$A$2:$A$6000,0)),"")</f>
        <v>кв.м.площади офиса</v>
      </c>
      <c r="F635">
        <f>IFERROR(INDEX(Работы!$G$2:$G$6000,MATCH($C635,Работы!$A$2:$A$6000,0)),"")</f>
        <v>0</v>
      </c>
      <c r="G635" t="str">
        <f>IFERROR(INDEX(Работы!$K$2:$K$6000,MATCH($C635,Работы!$A$2:$A$6000,0)),"")</f>
        <v>Погонаж</v>
      </c>
      <c r="H635" s="9"/>
      <c r="I635" s="9"/>
      <c r="J635" s="8" t="str">
        <f>IFERROR(INDEX(Материалы!$B$2:$B$9000,MATCH($I635,Материалы!$A$2:$A$9000,0)),"")</f>
        <v/>
      </c>
      <c r="K635" t="str">
        <f>IF($I635="","",IF($F635=IFERROR(INDEX(Материалы!$G$2:$G$9000,MATCH($I635,Материалы!$A$2:$A$9000,0)),""),"OK","!! не та группа"))</f>
        <v/>
      </c>
      <c r="L635" s="10">
        <f>IFERROR(INDEX(Работы!$H$2:$H$6000,MATCH($C635,Работы!$A$2:$A$6000,0))*(1-ДисконтТендер),0)</f>
        <v>2081.64</v>
      </c>
      <c r="M635" s="10">
        <f>IF($I635="",0,IFERROR(INDEX(Материалы!$I$2:$I$9000,MATCH($I635,Материалы!$A$2:$A$9000,0))*IF(INDEX(Материалы!$J$2:$J$9000,MATCH($I635,Материалы!$A$2:$A$9000,0))="USD",КурсUSD,IF(INDEX(Материалы!$J$2:$J$9000,MATCH($I635,Материалы!$A$2:$A$9000,0))="EUR",КурсEUR,1))*INDEX(Материалы!$K$2:$K$9000,MATCH($I635,Материалы!$A$2:$A$9000,0))*(1+IFERROR(INDEX(Работы!$I$2:$I$6000,MATCH($C635,Работы!$A$2:$A$6000,0))/100,0))*(1-ДисконтТендер),0))</f>
        <v>0</v>
      </c>
      <c r="N635" s="10">
        <f t="shared" si="27"/>
        <v>0</v>
      </c>
      <c r="O635" s="10">
        <f t="shared" si="28"/>
        <v>0</v>
      </c>
      <c r="P635" s="10">
        <f t="shared" si="29"/>
        <v>0</v>
      </c>
      <c r="Q635" t="str">
        <f>IFERROR(INDEX(Работы!$J$2:$J$6000,MATCH($C635,Работы!$A$2:$A$6000,0)),"")</f>
        <v>типовая</v>
      </c>
      <c r="R635" t="s">
        <v>92</v>
      </c>
      <c r="T635" t="str">
        <f>IF(AND($P635&gt;0,$R635="да"),MAX($T$1:$T634)+1,"")</f>
        <v/>
      </c>
    </row>
    <row r="636" spans="1:20" x14ac:dyDescent="0.3">
      <c r="A636" t="str">
        <f>IFERROR(INDEX(Работы!$D$2:$D$6000,MATCH($C636,Работы!$A$2:$A$6000,0)),"")</f>
        <v>Р9</v>
      </c>
      <c r="B636" t="str">
        <f>IFERROR(INDEX(Работы!$F$2:$F$6000,MATCH($C636,Работы!$A$2:$A$6000,0)),"")</f>
        <v>1</v>
      </c>
      <c r="C636" t="str">
        <f>IFERROR(INDEX(Работы!$A$2:$A$6000,635),"")</f>
        <v>РАБ.Р9.1.001</v>
      </c>
      <c r="D636" s="8" t="str">
        <f>IFERROR(INDEX(Работы!$B$2:$B$6000,MATCH($C636,Работы!$A$2:$A$6000,0)),"")</f>
        <v>ГРЩ(1)</v>
      </c>
      <c r="E636" t="str">
        <f>IFERROR(INDEX(Работы!$C$2:$C$6000,MATCH($C636,Работы!$A$2:$A$6000,0)),"")</f>
        <v>шт.</v>
      </c>
      <c r="F636" t="str">
        <f>IFERROR(INDEX(Работы!$G$2:$G$6000,MATCH($C636,Работы!$A$2:$A$6000,0)),"")</f>
        <v>ЭЩ</v>
      </c>
      <c r="G636" t="str">
        <f>IFERROR(INDEX(Работы!$K$2:$K$6000,MATCH($C636,Работы!$A$2:$A$6000,0)),"")</f>
        <v>Спецификация</v>
      </c>
      <c r="H636" s="9"/>
      <c r="I636" s="9"/>
      <c r="J636" s="8" t="str">
        <f>IFERROR(INDEX(Материалы!$B$2:$B$9000,MATCH($I636,Материалы!$A$2:$A$9000,0)),"")</f>
        <v/>
      </c>
      <c r="K636" t="str">
        <f>IF($I636="","",IF($F636=IFERROR(INDEX(Материалы!$G$2:$G$9000,MATCH($I636,Материалы!$A$2:$A$9000,0)),""),"OK","!! не та группа"))</f>
        <v/>
      </c>
      <c r="L636" s="10">
        <f>IFERROR(INDEX(Работы!$H$2:$H$6000,MATCH($C636,Работы!$A$2:$A$6000,0))*(1-ДисконтТендер),0)</f>
        <v>7441</v>
      </c>
      <c r="M636" s="10">
        <f>IF($I636="",0,IFERROR(INDEX(Материалы!$I$2:$I$9000,MATCH($I636,Материалы!$A$2:$A$9000,0))*IF(INDEX(Материалы!$J$2:$J$9000,MATCH($I636,Материалы!$A$2:$A$9000,0))="USD",КурсUSD,IF(INDEX(Материалы!$J$2:$J$9000,MATCH($I636,Материалы!$A$2:$A$9000,0))="EUR",КурсEUR,1))*INDEX(Материалы!$K$2:$K$9000,MATCH($I636,Материалы!$A$2:$A$9000,0))*(1+IFERROR(INDEX(Работы!$I$2:$I$6000,MATCH($C636,Работы!$A$2:$A$6000,0))/100,0))*(1-ДисконтТендер),0))</f>
        <v>0</v>
      </c>
      <c r="N636" s="10">
        <f t="shared" si="27"/>
        <v>0</v>
      </c>
      <c r="O636" s="10">
        <f t="shared" si="28"/>
        <v>0</v>
      </c>
      <c r="P636" s="10">
        <f t="shared" si="29"/>
        <v>0</v>
      </c>
      <c r="Q636" t="str">
        <f>IFERROR(INDEX(Работы!$J$2:$J$6000,MATCH($C636,Работы!$A$2:$A$6000,0)),"")</f>
        <v>типовая</v>
      </c>
      <c r="R636" t="s">
        <v>92</v>
      </c>
      <c r="T636" t="str">
        <f>IF(AND($P636&gt;0,$R636="да"),MAX($T$1:$T635)+1,"")</f>
        <v/>
      </c>
    </row>
    <row r="637" spans="1:20" x14ac:dyDescent="0.3">
      <c r="A637" t="str">
        <f>IFERROR(INDEX(Работы!$D$2:$D$6000,MATCH($C637,Работы!$A$2:$A$6000,0)),"")</f>
        <v>Р9</v>
      </c>
      <c r="B637" t="str">
        <f>IFERROR(INDEX(Работы!$F$2:$F$6000,MATCH($C637,Работы!$A$2:$A$6000,0)),"")</f>
        <v>1</v>
      </c>
      <c r="C637" t="str">
        <f>IFERROR(INDEX(Работы!$A$2:$A$6000,636),"")</f>
        <v>РАБ.Р9.1.002</v>
      </c>
      <c r="D637" s="8" t="str">
        <f>IFERROR(INDEX(Работы!$B$2:$B$6000,MATCH($C637,Работы!$A$2:$A$6000,0)),"")</f>
        <v>ГРЩ(2)</v>
      </c>
      <c r="E637" t="str">
        <f>IFERROR(INDEX(Работы!$C$2:$C$6000,MATCH($C637,Работы!$A$2:$A$6000,0)),"")</f>
        <v>шт.</v>
      </c>
      <c r="F637" t="str">
        <f>IFERROR(INDEX(Работы!$G$2:$G$6000,MATCH($C637,Работы!$A$2:$A$6000,0)),"")</f>
        <v>ЭЩ</v>
      </c>
      <c r="G637" t="str">
        <f>IFERROR(INDEX(Работы!$K$2:$K$6000,MATCH($C637,Работы!$A$2:$A$6000,0)),"")</f>
        <v>Спецификация</v>
      </c>
      <c r="H637" s="9"/>
      <c r="I637" s="9"/>
      <c r="J637" s="8" t="str">
        <f>IFERROR(INDEX(Материалы!$B$2:$B$9000,MATCH($I637,Материалы!$A$2:$A$9000,0)),"")</f>
        <v/>
      </c>
      <c r="K637" t="str">
        <f>IF($I637="","",IF($F637=IFERROR(INDEX(Материалы!$G$2:$G$9000,MATCH($I637,Материалы!$A$2:$A$9000,0)),""),"OK","!! не та группа"))</f>
        <v/>
      </c>
      <c r="L637" s="10">
        <f>IFERROR(INDEX(Работы!$H$2:$H$6000,MATCH($C637,Работы!$A$2:$A$6000,0))*(1-ДисконтТендер),0)</f>
        <v>12756</v>
      </c>
      <c r="M637" s="10">
        <f>IF($I637="",0,IFERROR(INDEX(Материалы!$I$2:$I$9000,MATCH($I637,Материалы!$A$2:$A$9000,0))*IF(INDEX(Материалы!$J$2:$J$9000,MATCH($I637,Материалы!$A$2:$A$9000,0))="USD",КурсUSD,IF(INDEX(Материалы!$J$2:$J$9000,MATCH($I637,Материалы!$A$2:$A$9000,0))="EUR",КурсEUR,1))*INDEX(Материалы!$K$2:$K$9000,MATCH($I637,Материалы!$A$2:$A$9000,0))*(1+IFERROR(INDEX(Работы!$I$2:$I$6000,MATCH($C637,Работы!$A$2:$A$6000,0))/100,0))*(1-ДисконтТендер),0))</f>
        <v>0</v>
      </c>
      <c r="N637" s="10">
        <f t="shared" si="27"/>
        <v>0</v>
      </c>
      <c r="O637" s="10">
        <f t="shared" si="28"/>
        <v>0</v>
      </c>
      <c r="P637" s="10">
        <f t="shared" si="29"/>
        <v>0</v>
      </c>
      <c r="Q637" t="str">
        <f>IFERROR(INDEX(Работы!$J$2:$J$6000,MATCH($C637,Работы!$A$2:$A$6000,0)),"")</f>
        <v>типовая</v>
      </c>
      <c r="R637" t="s">
        <v>92</v>
      </c>
      <c r="T637" t="str">
        <f>IF(AND($P637&gt;0,$R637="да"),MAX($T$1:$T636)+1,"")</f>
        <v/>
      </c>
    </row>
    <row r="638" spans="1:20" x14ac:dyDescent="0.3">
      <c r="A638" t="str">
        <f>IFERROR(INDEX(Работы!$D$2:$D$6000,MATCH($C638,Работы!$A$2:$A$6000,0)),"")</f>
        <v>Р9</v>
      </c>
      <c r="B638" t="str">
        <f>IFERROR(INDEX(Работы!$F$2:$F$6000,MATCH($C638,Работы!$A$2:$A$6000,0)),"")</f>
        <v>1</v>
      </c>
      <c r="C638" t="str">
        <f>IFERROR(INDEX(Работы!$A$2:$A$6000,637),"")</f>
        <v>РАБ.Р9.1.003</v>
      </c>
      <c r="D638" s="8" t="str">
        <f>IFERROR(INDEX(Работы!$B$2:$B$6000,MATCH($C638,Работы!$A$2:$A$6000,0)),"")</f>
        <v>ППУ</v>
      </c>
      <c r="E638" t="str">
        <f>IFERROR(INDEX(Работы!$C$2:$C$6000,MATCH($C638,Работы!$A$2:$A$6000,0)),"")</f>
        <v>шт.</v>
      </c>
      <c r="F638" t="str">
        <f>IFERROR(INDEX(Работы!$G$2:$G$6000,MATCH($C638,Работы!$A$2:$A$6000,0)),"")</f>
        <v>ЭЩ</v>
      </c>
      <c r="G638" t="str">
        <f>IFERROR(INDEX(Работы!$K$2:$K$6000,MATCH($C638,Работы!$A$2:$A$6000,0)),"")</f>
        <v>Спецификация</v>
      </c>
      <c r="H638" s="9"/>
      <c r="I638" s="9"/>
      <c r="J638" s="8" t="str">
        <f>IFERROR(INDEX(Материалы!$B$2:$B$9000,MATCH($I638,Материалы!$A$2:$A$9000,0)),"")</f>
        <v/>
      </c>
      <c r="K638" t="str">
        <f>IF($I638="","",IF($F638=IFERROR(INDEX(Материалы!$G$2:$G$9000,MATCH($I638,Материалы!$A$2:$A$9000,0)),""),"OK","!! не та группа"))</f>
        <v/>
      </c>
      <c r="L638" s="10">
        <f>IFERROR(INDEX(Работы!$H$2:$H$6000,MATCH($C638,Работы!$A$2:$A$6000,0))*(1-ДисконтТендер),0)</f>
        <v>7312.35</v>
      </c>
      <c r="M638" s="10">
        <f>IF($I638="",0,IFERROR(INDEX(Материалы!$I$2:$I$9000,MATCH($I638,Материалы!$A$2:$A$9000,0))*IF(INDEX(Материалы!$J$2:$J$9000,MATCH($I638,Материалы!$A$2:$A$9000,0))="USD",КурсUSD,IF(INDEX(Материалы!$J$2:$J$9000,MATCH($I638,Материалы!$A$2:$A$9000,0))="EUR",КурсEUR,1))*INDEX(Материалы!$K$2:$K$9000,MATCH($I638,Материалы!$A$2:$A$9000,0))*(1+IFERROR(INDEX(Работы!$I$2:$I$6000,MATCH($C638,Работы!$A$2:$A$6000,0))/100,0))*(1-ДисконтТендер),0))</f>
        <v>0</v>
      </c>
      <c r="N638" s="10">
        <f t="shared" si="27"/>
        <v>0</v>
      </c>
      <c r="O638" s="10">
        <f t="shared" si="28"/>
        <v>0</v>
      </c>
      <c r="P638" s="10">
        <f t="shared" si="29"/>
        <v>0</v>
      </c>
      <c r="Q638" t="str">
        <f>IFERROR(INDEX(Работы!$J$2:$J$6000,MATCH($C638,Работы!$A$2:$A$6000,0)),"")</f>
        <v>типовая</v>
      </c>
      <c r="R638" t="s">
        <v>92</v>
      </c>
      <c r="T638" t="str">
        <f>IF(AND($P638&gt;0,$R638="да"),MAX($T$1:$T637)+1,"")</f>
        <v/>
      </c>
    </row>
    <row r="639" spans="1:20" x14ac:dyDescent="0.3">
      <c r="A639" t="str">
        <f>IFERROR(INDEX(Работы!$D$2:$D$6000,MATCH($C639,Работы!$A$2:$A$6000,0)),"")</f>
        <v>Р9</v>
      </c>
      <c r="B639" t="str">
        <f>IFERROR(INDEX(Работы!$F$2:$F$6000,MATCH($C639,Работы!$A$2:$A$6000,0)),"")</f>
        <v>2</v>
      </c>
      <c r="C639" t="str">
        <f>IFERROR(INDEX(Работы!$A$2:$A$6000,638),"")</f>
        <v>РАБ.Р9.2.001</v>
      </c>
      <c r="D639" s="8" t="str">
        <f>IFERROR(INDEX(Работы!$B$2:$B$6000,MATCH($C639,Работы!$A$2:$A$6000,0)),"")</f>
        <v>Монтаж щита / бокса</v>
      </c>
      <c r="E639" t="str">
        <f>IFERROR(INDEX(Работы!$C$2:$C$6000,MATCH($C639,Работы!$A$2:$A$6000,0)),"")</f>
        <v>шт.</v>
      </c>
      <c r="F639" t="str">
        <f>IFERROR(INDEX(Работы!$G$2:$G$6000,MATCH($C639,Работы!$A$2:$A$6000,0)),"")</f>
        <v>ЭЩ</v>
      </c>
      <c r="G639" t="str">
        <f>IFERROR(INDEX(Работы!$K$2:$K$6000,MATCH($C639,Работы!$A$2:$A$6000,0)),"")</f>
        <v>Спецификация</v>
      </c>
      <c r="H639" s="9"/>
      <c r="I639" s="9"/>
      <c r="J639" s="8" t="str">
        <f>IFERROR(INDEX(Материалы!$B$2:$B$9000,MATCH($I639,Материалы!$A$2:$A$9000,0)),"")</f>
        <v/>
      </c>
      <c r="K639" t="str">
        <f>IF($I639="","",IF($F639=IFERROR(INDEX(Материалы!$G$2:$G$9000,MATCH($I639,Материалы!$A$2:$A$9000,0)),""),"OK","!! не та группа"))</f>
        <v/>
      </c>
      <c r="L639" s="10">
        <f>IFERROR(INDEX(Работы!$H$2:$H$6000,MATCH($C639,Работы!$A$2:$A$6000,0))*(1-ДисконтТендер),0)</f>
        <v>5261.85</v>
      </c>
      <c r="M639" s="10">
        <f>IF($I639="",0,IFERROR(INDEX(Материалы!$I$2:$I$9000,MATCH($I639,Материалы!$A$2:$A$9000,0))*IF(INDEX(Материалы!$J$2:$J$9000,MATCH($I639,Материалы!$A$2:$A$9000,0))="USD",КурсUSD,IF(INDEX(Материалы!$J$2:$J$9000,MATCH($I639,Материалы!$A$2:$A$9000,0))="EUR",КурсEUR,1))*INDEX(Материалы!$K$2:$K$9000,MATCH($I639,Материалы!$A$2:$A$9000,0))*(1+IFERROR(INDEX(Работы!$I$2:$I$6000,MATCH($C639,Работы!$A$2:$A$6000,0))/100,0))*(1-ДисконтТендер),0))</f>
        <v>0</v>
      </c>
      <c r="N639" s="10">
        <f t="shared" si="27"/>
        <v>0</v>
      </c>
      <c r="O639" s="10">
        <f t="shared" si="28"/>
        <v>0</v>
      </c>
      <c r="P639" s="10">
        <f t="shared" si="29"/>
        <v>0</v>
      </c>
      <c r="Q639" t="str">
        <f>IFERROR(INDEX(Работы!$J$2:$J$6000,MATCH($C639,Работы!$A$2:$A$6000,0)),"")</f>
        <v>типовая</v>
      </c>
      <c r="R639" t="s">
        <v>92</v>
      </c>
      <c r="T639" t="str">
        <f>IF(AND($P639&gt;0,$R639="да"),MAX($T$1:$T638)+1,"")</f>
        <v/>
      </c>
    </row>
    <row r="640" spans="1:20" ht="43.2" x14ac:dyDescent="0.3">
      <c r="A640" t="str">
        <f>IFERROR(INDEX(Работы!$D$2:$D$6000,MATCH($C640,Работы!$A$2:$A$6000,0)),"")</f>
        <v>Р9</v>
      </c>
      <c r="B640" t="str">
        <f>IFERROR(INDEX(Работы!$F$2:$F$6000,MATCH($C640,Работы!$A$2:$A$6000,0)),"")</f>
        <v>2</v>
      </c>
      <c r="C640" t="str">
        <f>IFERROR(INDEX(Работы!$A$2:$A$6000,639),"")</f>
        <v>РАБ.Р9.2.002</v>
      </c>
      <c r="D640" s="8" t="str">
        <f>IFERROR(INDEX(Работы!$B$2:$B$6000,MATCH($C640,Работы!$A$2:$A$6000,0)),"")</f>
        <v>Щит 48 модулей, IP43, ABB или Legrand, с замком в комплекте с DIN-рейками, перемычками, шинами РЕ и N</v>
      </c>
      <c r="E640" t="str">
        <f>IFERROR(INDEX(Работы!$C$2:$C$6000,MATCH($C640,Работы!$A$2:$A$6000,0)),"")</f>
        <v>шт.</v>
      </c>
      <c r="F640" t="str">
        <f>IFERROR(INDEX(Работы!$G$2:$G$6000,MATCH($C640,Работы!$A$2:$A$6000,0)),"")</f>
        <v>ЭЩ</v>
      </c>
      <c r="G640" t="str">
        <f>IFERROR(INDEX(Работы!$K$2:$K$6000,MATCH($C640,Работы!$A$2:$A$6000,0)),"")</f>
        <v>Спецификация</v>
      </c>
      <c r="H640" s="9"/>
      <c r="I640" s="9"/>
      <c r="J640" s="8" t="str">
        <f>IFERROR(INDEX(Материалы!$B$2:$B$9000,MATCH($I640,Материалы!$A$2:$A$9000,0)),"")</f>
        <v/>
      </c>
      <c r="K640" t="str">
        <f>IF($I640="","",IF($F640=IFERROR(INDEX(Материалы!$G$2:$G$9000,MATCH($I640,Материалы!$A$2:$A$9000,0)),""),"OK","!! не та группа"))</f>
        <v/>
      </c>
      <c r="L640" s="10">
        <f>IFERROR(INDEX(Работы!$H$2:$H$6000,MATCH($C640,Работы!$A$2:$A$6000,0))*(1-ДисконтТендер),0)</f>
        <v>6084.32</v>
      </c>
      <c r="M640" s="10">
        <f>IF($I640="",0,IFERROR(INDEX(Материалы!$I$2:$I$9000,MATCH($I640,Материалы!$A$2:$A$9000,0))*IF(INDEX(Материалы!$J$2:$J$9000,MATCH($I640,Материалы!$A$2:$A$9000,0))="USD",КурсUSD,IF(INDEX(Материалы!$J$2:$J$9000,MATCH($I640,Материалы!$A$2:$A$9000,0))="EUR",КурсEUR,1))*INDEX(Материалы!$K$2:$K$9000,MATCH($I640,Материалы!$A$2:$A$9000,0))*(1+IFERROR(INDEX(Работы!$I$2:$I$6000,MATCH($C640,Работы!$A$2:$A$6000,0))/100,0))*(1-ДисконтТендер),0))</f>
        <v>0</v>
      </c>
      <c r="N640" s="10">
        <f t="shared" si="27"/>
        <v>0</v>
      </c>
      <c r="O640" s="10">
        <f t="shared" si="28"/>
        <v>0</v>
      </c>
      <c r="P640" s="10">
        <f t="shared" si="29"/>
        <v>0</v>
      </c>
      <c r="Q640" t="str">
        <f>IFERROR(INDEX(Работы!$J$2:$J$6000,MATCH($C640,Работы!$A$2:$A$6000,0)),"")</f>
        <v>типовая</v>
      </c>
      <c r="R640" t="s">
        <v>92</v>
      </c>
      <c r="T640" t="str">
        <f>IF(AND($P640&gt;0,$R640="да"),MAX($T$1:$T639)+1,"")</f>
        <v/>
      </c>
    </row>
    <row r="641" spans="1:20" ht="43.2" x14ac:dyDescent="0.3">
      <c r="A641" t="str">
        <f>IFERROR(INDEX(Работы!$D$2:$D$6000,MATCH($C641,Работы!$A$2:$A$6000,0)),"")</f>
        <v>Р9</v>
      </c>
      <c r="B641" t="str">
        <f>IFERROR(INDEX(Работы!$F$2:$F$6000,MATCH($C641,Работы!$A$2:$A$6000,0)),"")</f>
        <v>2</v>
      </c>
      <c r="C641" t="str">
        <f>IFERROR(INDEX(Работы!$A$2:$A$6000,640),"")</f>
        <v>РАБ.Р9.2.003</v>
      </c>
      <c r="D641" s="8" t="str">
        <f>IFERROR(INDEX(Работы!$B$2:$B$6000,MATCH($C641,Работы!$A$2:$A$6000,0)),"")</f>
        <v>Щит 72 модулей, IP43, ABB или Legrand, с замком в комплекте с DIN-рейками, перемычками, шинами РЕ и N</v>
      </c>
      <c r="E641" t="str">
        <f>IFERROR(INDEX(Работы!$C$2:$C$6000,MATCH($C641,Работы!$A$2:$A$6000,0)),"")</f>
        <v>шт.</v>
      </c>
      <c r="F641" t="str">
        <f>IFERROR(INDEX(Работы!$G$2:$G$6000,MATCH($C641,Работы!$A$2:$A$6000,0)),"")</f>
        <v>ЭЩ</v>
      </c>
      <c r="G641" t="str">
        <f>IFERROR(INDEX(Работы!$K$2:$K$6000,MATCH($C641,Работы!$A$2:$A$6000,0)),"")</f>
        <v>Спецификация</v>
      </c>
      <c r="H641" s="9"/>
      <c r="I641" s="9"/>
      <c r="J641" s="8" t="str">
        <f>IFERROR(INDEX(Материалы!$B$2:$B$9000,MATCH($I641,Материалы!$A$2:$A$9000,0)),"")</f>
        <v/>
      </c>
      <c r="K641" t="str">
        <f>IF($I641="","",IF($F641=IFERROR(INDEX(Материалы!$G$2:$G$9000,MATCH($I641,Материалы!$A$2:$A$9000,0)),""),"OK","!! не та группа"))</f>
        <v/>
      </c>
      <c r="L641" s="10">
        <f>IFERROR(INDEX(Работы!$H$2:$H$6000,MATCH($C641,Работы!$A$2:$A$6000,0))*(1-ДисконтТендер),0)</f>
        <v>7089.07</v>
      </c>
      <c r="M641" s="10">
        <f>IF($I641="",0,IFERROR(INDEX(Материалы!$I$2:$I$9000,MATCH($I641,Материалы!$A$2:$A$9000,0))*IF(INDEX(Материалы!$J$2:$J$9000,MATCH($I641,Материалы!$A$2:$A$9000,0))="USD",КурсUSD,IF(INDEX(Материалы!$J$2:$J$9000,MATCH($I641,Материалы!$A$2:$A$9000,0))="EUR",КурсEUR,1))*INDEX(Материалы!$K$2:$K$9000,MATCH($I641,Материалы!$A$2:$A$9000,0))*(1+IFERROR(INDEX(Работы!$I$2:$I$6000,MATCH($C641,Работы!$A$2:$A$6000,0))/100,0))*(1-ДисконтТендер),0))</f>
        <v>0</v>
      </c>
      <c r="N641" s="10">
        <f t="shared" si="27"/>
        <v>0</v>
      </c>
      <c r="O641" s="10">
        <f t="shared" si="28"/>
        <v>0</v>
      </c>
      <c r="P641" s="10">
        <f t="shared" si="29"/>
        <v>0</v>
      </c>
      <c r="Q641" t="str">
        <f>IFERROR(INDEX(Работы!$J$2:$J$6000,MATCH($C641,Работы!$A$2:$A$6000,0)),"")</f>
        <v>типовая</v>
      </c>
      <c r="R641" t="s">
        <v>92</v>
      </c>
      <c r="T641" t="str">
        <f>IF(AND($P641&gt;0,$R641="да"),MAX($T$1:$T640)+1,"")</f>
        <v/>
      </c>
    </row>
    <row r="642" spans="1:20" ht="43.2" x14ac:dyDescent="0.3">
      <c r="A642" t="str">
        <f>IFERROR(INDEX(Работы!$D$2:$D$6000,MATCH($C642,Работы!$A$2:$A$6000,0)),"")</f>
        <v>Р9</v>
      </c>
      <c r="B642" t="str">
        <f>IFERROR(INDEX(Работы!$F$2:$F$6000,MATCH($C642,Работы!$A$2:$A$6000,0)),"")</f>
        <v>2</v>
      </c>
      <c r="C642" t="str">
        <f>IFERROR(INDEX(Работы!$A$2:$A$6000,641),"")</f>
        <v>РАБ.Р9.2.004</v>
      </c>
      <c r="D642" s="8" t="str">
        <f>IFERROR(INDEX(Работы!$B$2:$B$6000,MATCH($C642,Работы!$A$2:$A$6000,0)),"")</f>
        <v>Щит 96 модулей, IP43, ABB или Legrand, с замком в комплекте с DIN-рейками, перемычками, шинами РЕ и N</v>
      </c>
      <c r="E642" t="str">
        <f>IFERROR(INDEX(Работы!$C$2:$C$6000,MATCH($C642,Работы!$A$2:$A$6000,0)),"")</f>
        <v>шт.</v>
      </c>
      <c r="F642" t="str">
        <f>IFERROR(INDEX(Работы!$G$2:$G$6000,MATCH($C642,Работы!$A$2:$A$6000,0)),"")</f>
        <v>ЭЩ</v>
      </c>
      <c r="G642" t="str">
        <f>IFERROR(INDEX(Работы!$K$2:$K$6000,MATCH($C642,Работы!$A$2:$A$6000,0)),"")</f>
        <v>Спецификация</v>
      </c>
      <c r="H642" s="9"/>
      <c r="I642" s="9"/>
      <c r="J642" s="8" t="str">
        <f>IFERROR(INDEX(Материалы!$B$2:$B$9000,MATCH($I642,Материалы!$A$2:$A$9000,0)),"")</f>
        <v/>
      </c>
      <c r="K642" t="str">
        <f>IF($I642="","",IF($F642=IFERROR(INDEX(Материалы!$G$2:$G$9000,MATCH($I642,Материалы!$A$2:$A$9000,0)),""),"OK","!! не та группа"))</f>
        <v/>
      </c>
      <c r="L642" s="10">
        <f>IFERROR(INDEX(Работы!$H$2:$H$6000,MATCH($C642,Работы!$A$2:$A$6000,0))*(1-ДисконтТендер),0)</f>
        <v>8484.56</v>
      </c>
      <c r="M642" s="10">
        <f>IF($I642="",0,IFERROR(INDEX(Материалы!$I$2:$I$9000,MATCH($I642,Материалы!$A$2:$A$9000,0))*IF(INDEX(Материалы!$J$2:$J$9000,MATCH($I642,Материалы!$A$2:$A$9000,0))="USD",КурсUSD,IF(INDEX(Материалы!$J$2:$J$9000,MATCH($I642,Материалы!$A$2:$A$9000,0))="EUR",КурсEUR,1))*INDEX(Материалы!$K$2:$K$9000,MATCH($I642,Материалы!$A$2:$A$9000,0))*(1+IFERROR(INDEX(Работы!$I$2:$I$6000,MATCH($C642,Работы!$A$2:$A$6000,0))/100,0))*(1-ДисконтТендер),0))</f>
        <v>0</v>
      </c>
      <c r="N642" s="10">
        <f t="shared" ref="N642:N705" si="30">IF(AND($R642="да",$H642&lt;&gt;""),ROUND($H642*$L642,2),0)</f>
        <v>0</v>
      </c>
      <c r="O642" s="10">
        <f t="shared" ref="O642:O705" si="31">IF(AND($R642="да",$H642&lt;&gt;""),ROUND($H642*$M642,2),0)</f>
        <v>0</v>
      </c>
      <c r="P642" s="10">
        <f t="shared" ref="P642:P705" si="32">$N642+$O642</f>
        <v>0</v>
      </c>
      <c r="Q642" t="str">
        <f>IFERROR(INDEX(Работы!$J$2:$J$6000,MATCH($C642,Работы!$A$2:$A$6000,0)),"")</f>
        <v>типовая</v>
      </c>
      <c r="R642" t="s">
        <v>92</v>
      </c>
      <c r="T642" t="str">
        <f>IF(AND($P642&gt;0,$R642="да"),MAX($T$1:$T641)+1,"")</f>
        <v/>
      </c>
    </row>
    <row r="643" spans="1:20" ht="43.2" x14ac:dyDescent="0.3">
      <c r="A643" t="str">
        <f>IFERROR(INDEX(Работы!$D$2:$D$6000,MATCH($C643,Работы!$A$2:$A$6000,0)),"")</f>
        <v>Р9</v>
      </c>
      <c r="B643" t="str">
        <f>IFERROR(INDEX(Работы!$F$2:$F$6000,MATCH($C643,Работы!$A$2:$A$6000,0)),"")</f>
        <v>2</v>
      </c>
      <c r="C643" t="str">
        <f>IFERROR(INDEX(Работы!$A$2:$A$6000,642),"")</f>
        <v>РАБ.Р9.2.005</v>
      </c>
      <c r="D643" s="8" t="str">
        <f>IFERROR(INDEX(Работы!$B$2:$B$6000,MATCH($C643,Работы!$A$2:$A$6000,0)),"")</f>
        <v>Щит 144 модулей, IP43, ABB или Legrand, с замком в комплекте с DIN-рейками, перемычками, шинами РЕ и N</v>
      </c>
      <c r="E643" t="str">
        <f>IFERROR(INDEX(Работы!$C$2:$C$6000,MATCH($C643,Работы!$A$2:$A$6000,0)),"")</f>
        <v>шт.</v>
      </c>
      <c r="F643" t="str">
        <f>IFERROR(INDEX(Работы!$G$2:$G$6000,MATCH($C643,Работы!$A$2:$A$6000,0)),"")</f>
        <v>ЭЩ</v>
      </c>
      <c r="G643" t="str">
        <f>IFERROR(INDEX(Работы!$K$2:$K$6000,MATCH($C643,Работы!$A$2:$A$6000,0)),"")</f>
        <v>Спецификация</v>
      </c>
      <c r="H643" s="9"/>
      <c r="I643" s="9"/>
      <c r="J643" s="8" t="str">
        <f>IFERROR(INDEX(Материалы!$B$2:$B$9000,MATCH($I643,Материалы!$A$2:$A$9000,0)),"")</f>
        <v/>
      </c>
      <c r="K643" t="str">
        <f>IF($I643="","",IF($F643=IFERROR(INDEX(Материалы!$G$2:$G$9000,MATCH($I643,Материалы!$A$2:$A$9000,0)),""),"OK","!! не та группа"))</f>
        <v/>
      </c>
      <c r="L643" s="10">
        <f>IFERROR(INDEX(Работы!$H$2:$H$6000,MATCH($C643,Работы!$A$2:$A$6000,0))*(1-ДисконтТендер),0)</f>
        <v>13843.23</v>
      </c>
      <c r="M643" s="10">
        <f>IF($I643="",0,IFERROR(INDEX(Материалы!$I$2:$I$9000,MATCH($I643,Материалы!$A$2:$A$9000,0))*IF(INDEX(Материалы!$J$2:$J$9000,MATCH($I643,Материалы!$A$2:$A$9000,0))="USD",КурсUSD,IF(INDEX(Материалы!$J$2:$J$9000,MATCH($I643,Материалы!$A$2:$A$9000,0))="EUR",КурсEUR,1))*INDEX(Материалы!$K$2:$K$9000,MATCH($I643,Материалы!$A$2:$A$9000,0))*(1+IFERROR(INDEX(Работы!$I$2:$I$6000,MATCH($C643,Работы!$A$2:$A$6000,0))/100,0))*(1-ДисконтТендер),0))</f>
        <v>0</v>
      </c>
      <c r="N643" s="10">
        <f t="shared" si="30"/>
        <v>0</v>
      </c>
      <c r="O643" s="10">
        <f t="shared" si="31"/>
        <v>0</v>
      </c>
      <c r="P643" s="10">
        <f t="shared" si="32"/>
        <v>0</v>
      </c>
      <c r="Q643" t="str">
        <f>IFERROR(INDEX(Работы!$J$2:$J$6000,MATCH($C643,Работы!$A$2:$A$6000,0)),"")</f>
        <v>типовая</v>
      </c>
      <c r="R643" t="s">
        <v>92</v>
      </c>
      <c r="T643" t="str">
        <f>IF(AND($P643&gt;0,$R643="да"),MAX($T$1:$T642)+1,"")</f>
        <v/>
      </c>
    </row>
    <row r="644" spans="1:20" ht="43.2" x14ac:dyDescent="0.3">
      <c r="A644" t="str">
        <f>IFERROR(INDEX(Работы!$D$2:$D$6000,MATCH($C644,Работы!$A$2:$A$6000,0)),"")</f>
        <v>Р9</v>
      </c>
      <c r="B644" t="str">
        <f>IFERROR(INDEX(Работы!$F$2:$F$6000,MATCH($C644,Работы!$A$2:$A$6000,0)),"")</f>
        <v>2</v>
      </c>
      <c r="C644" t="str">
        <f>IFERROR(INDEX(Работы!$A$2:$A$6000,643),"")</f>
        <v>РАБ.Р9.2.006</v>
      </c>
      <c r="D644" s="8" t="str">
        <f>IFERROR(INDEX(Работы!$B$2:$B$6000,MATCH($C644,Работы!$A$2:$A$6000,0)),"")</f>
        <v>Щит 168 модулей, IP43, ABB или Legrand, с замком в комплекте с DIN-рейками, перемычками, шинами РЕ и N</v>
      </c>
      <c r="E644" t="str">
        <f>IFERROR(INDEX(Работы!$C$2:$C$6000,MATCH($C644,Работы!$A$2:$A$6000,0)),"")</f>
        <v>шт.</v>
      </c>
      <c r="F644" t="str">
        <f>IFERROR(INDEX(Работы!$G$2:$G$6000,MATCH($C644,Работы!$A$2:$A$6000,0)),"")</f>
        <v>ЭЩ</v>
      </c>
      <c r="G644" t="str">
        <f>IFERROR(INDEX(Работы!$K$2:$K$6000,MATCH($C644,Работы!$A$2:$A$6000,0)),"")</f>
        <v>Спецификация</v>
      </c>
      <c r="H644" s="9"/>
      <c r="I644" s="9"/>
      <c r="J644" s="8" t="str">
        <f>IFERROR(INDEX(Материалы!$B$2:$B$9000,MATCH($I644,Материалы!$A$2:$A$9000,0)),"")</f>
        <v/>
      </c>
      <c r="K644" t="str">
        <f>IF($I644="","",IF($F644=IFERROR(INDEX(Материалы!$G$2:$G$9000,MATCH($I644,Материалы!$A$2:$A$9000,0)),""),"OK","!! не та группа"))</f>
        <v/>
      </c>
      <c r="L644" s="10">
        <f>IFERROR(INDEX(Работы!$H$2:$H$6000,MATCH($C644,Работы!$A$2:$A$6000,0))*(1-ДисконтТендер),0)</f>
        <v>20988.12</v>
      </c>
      <c r="M644" s="10">
        <f>IF($I644="",0,IFERROR(INDEX(Материалы!$I$2:$I$9000,MATCH($I644,Материалы!$A$2:$A$9000,0))*IF(INDEX(Материалы!$J$2:$J$9000,MATCH($I644,Материалы!$A$2:$A$9000,0))="USD",КурсUSD,IF(INDEX(Материалы!$J$2:$J$9000,MATCH($I644,Материалы!$A$2:$A$9000,0))="EUR",КурсEUR,1))*INDEX(Материалы!$K$2:$K$9000,MATCH($I644,Материалы!$A$2:$A$9000,0))*(1+IFERROR(INDEX(Работы!$I$2:$I$6000,MATCH($C644,Работы!$A$2:$A$6000,0))/100,0))*(1-ДисконтТендер),0))</f>
        <v>0</v>
      </c>
      <c r="N644" s="10">
        <f t="shared" si="30"/>
        <v>0</v>
      </c>
      <c r="O644" s="10">
        <f t="shared" si="31"/>
        <v>0</v>
      </c>
      <c r="P644" s="10">
        <f t="shared" si="32"/>
        <v>0</v>
      </c>
      <c r="Q644" t="str">
        <f>IFERROR(INDEX(Работы!$J$2:$J$6000,MATCH($C644,Работы!$A$2:$A$6000,0)),"")</f>
        <v>типовая</v>
      </c>
      <c r="R644" t="s">
        <v>92</v>
      </c>
      <c r="T644" t="str">
        <f>IF(AND($P644&gt;0,$R644="да"),MAX($T$1:$T643)+1,"")</f>
        <v/>
      </c>
    </row>
    <row r="645" spans="1:20" x14ac:dyDescent="0.3">
      <c r="A645" t="str">
        <f>IFERROR(INDEX(Работы!$D$2:$D$6000,MATCH($C645,Работы!$A$2:$A$6000,0)),"")</f>
        <v>Р9</v>
      </c>
      <c r="B645" t="str">
        <f>IFERROR(INDEX(Работы!$F$2:$F$6000,MATCH($C645,Работы!$A$2:$A$6000,0)),"")</f>
        <v>2</v>
      </c>
      <c r="C645" t="str">
        <f>IFERROR(INDEX(Работы!$A$2:$A$6000,644),"")</f>
        <v>РАБ.Р9.2.007</v>
      </c>
      <c r="D645" s="8" t="str">
        <f>IFERROR(INDEX(Работы!$B$2:$B$6000,MATCH($C645,Работы!$A$2:$A$6000,0)),"")</f>
        <v>Щит ППУ 8-12 мод IP 65 красный металлический</v>
      </c>
      <c r="E645" t="str">
        <f>IFERROR(INDEX(Работы!$C$2:$C$6000,MATCH($C645,Работы!$A$2:$A$6000,0)),"")</f>
        <v>шт.</v>
      </c>
      <c r="F645" t="str">
        <f>IFERROR(INDEX(Работы!$G$2:$G$6000,MATCH($C645,Работы!$A$2:$A$6000,0)),"")</f>
        <v>ЭЩ</v>
      </c>
      <c r="G645" t="str">
        <f>IFERROR(INDEX(Работы!$K$2:$K$6000,MATCH($C645,Работы!$A$2:$A$6000,0)),"")</f>
        <v>Спецификация</v>
      </c>
      <c r="H645" s="9"/>
      <c r="I645" s="9"/>
      <c r="J645" s="8" t="str">
        <f>IFERROR(INDEX(Материалы!$B$2:$B$9000,MATCH($I645,Материалы!$A$2:$A$9000,0)),"")</f>
        <v/>
      </c>
      <c r="K645" t="str">
        <f>IF($I645="","",IF($F645=IFERROR(INDEX(Материалы!$G$2:$G$9000,MATCH($I645,Материалы!$A$2:$A$9000,0)),""),"OK","!! не та группа"))</f>
        <v/>
      </c>
      <c r="L645" s="10">
        <f>IFERROR(INDEX(Работы!$H$2:$H$6000,MATCH($C645,Работы!$A$2:$A$6000,0))*(1-ДисконтТендер),0)</f>
        <v>7312.35</v>
      </c>
      <c r="M645" s="10">
        <f>IF($I645="",0,IFERROR(INDEX(Материалы!$I$2:$I$9000,MATCH($I645,Материалы!$A$2:$A$9000,0))*IF(INDEX(Материалы!$J$2:$J$9000,MATCH($I645,Материалы!$A$2:$A$9000,0))="USD",КурсUSD,IF(INDEX(Материалы!$J$2:$J$9000,MATCH($I645,Материалы!$A$2:$A$9000,0))="EUR",КурсEUR,1))*INDEX(Материалы!$K$2:$K$9000,MATCH($I645,Материалы!$A$2:$A$9000,0))*(1+IFERROR(INDEX(Работы!$I$2:$I$6000,MATCH($C645,Работы!$A$2:$A$6000,0))/100,0))*(1-ДисконтТендер),0))</f>
        <v>0</v>
      </c>
      <c r="N645" s="10">
        <f t="shared" si="30"/>
        <v>0</v>
      </c>
      <c r="O645" s="10">
        <f t="shared" si="31"/>
        <v>0</v>
      </c>
      <c r="P645" s="10">
        <f t="shared" si="32"/>
        <v>0</v>
      </c>
      <c r="Q645" t="str">
        <f>IFERROR(INDEX(Работы!$J$2:$J$6000,MATCH($C645,Работы!$A$2:$A$6000,0)),"")</f>
        <v>типовая</v>
      </c>
      <c r="R645" t="s">
        <v>92</v>
      </c>
      <c r="T645" t="str">
        <f>IF(AND($P645&gt;0,$R645="да"),MAX($T$1:$T644)+1,"")</f>
        <v/>
      </c>
    </row>
    <row r="646" spans="1:20" x14ac:dyDescent="0.3">
      <c r="A646" t="str">
        <f>IFERROR(INDEX(Работы!$D$2:$D$6000,MATCH($C646,Работы!$A$2:$A$6000,0)),"")</f>
        <v>Р9</v>
      </c>
      <c r="B646" t="str">
        <f>IFERROR(INDEX(Работы!$F$2:$F$6000,MATCH($C646,Работы!$A$2:$A$6000,0)),"")</f>
        <v>2</v>
      </c>
      <c r="C646" t="str">
        <f>IFERROR(INDEX(Работы!$A$2:$A$6000,645),"")</f>
        <v>РАБ.Р9.2.008</v>
      </c>
      <c r="D646" s="8" t="str">
        <f>IFERROR(INDEX(Работы!$B$2:$B$6000,MATCH($C646,Работы!$A$2:$A$6000,0)),"")</f>
        <v>Автоматический ввод резерва 63А, 380В в сборе</v>
      </c>
      <c r="E646" t="str">
        <f>IFERROR(INDEX(Работы!$C$2:$C$6000,MATCH($C646,Работы!$A$2:$A$6000,0)),"")</f>
        <v>шт.</v>
      </c>
      <c r="F646">
        <f>IFERROR(INDEX(Работы!$G$2:$G$6000,MATCH($C646,Работы!$A$2:$A$6000,0)),"")</f>
        <v>0</v>
      </c>
      <c r="G646" t="str">
        <f>IFERROR(INDEX(Работы!$K$2:$K$6000,MATCH($C646,Работы!$A$2:$A$6000,0)),"")</f>
        <v>Спецификация</v>
      </c>
      <c r="H646" s="9"/>
      <c r="I646" s="9"/>
      <c r="J646" s="8" t="str">
        <f>IFERROR(INDEX(Материалы!$B$2:$B$9000,MATCH($I646,Материалы!$A$2:$A$9000,0)),"")</f>
        <v/>
      </c>
      <c r="K646" t="str">
        <f>IF($I646="","",IF($F646=IFERROR(INDEX(Материалы!$G$2:$G$9000,MATCH($I646,Материалы!$A$2:$A$9000,0)),""),"OK","!! не та группа"))</f>
        <v/>
      </c>
      <c r="L646" s="10">
        <f>IFERROR(INDEX(Работы!$H$2:$H$6000,MATCH($C646,Работы!$A$2:$A$6000,0))*(1-ДисконтТендер),0)</f>
        <v>18264.259999999998</v>
      </c>
      <c r="M646" s="10">
        <f>IF($I646="",0,IFERROR(INDEX(Материалы!$I$2:$I$9000,MATCH($I646,Материалы!$A$2:$A$9000,0))*IF(INDEX(Материалы!$J$2:$J$9000,MATCH($I646,Материалы!$A$2:$A$9000,0))="USD",КурсUSD,IF(INDEX(Материалы!$J$2:$J$9000,MATCH($I646,Материалы!$A$2:$A$9000,0))="EUR",КурсEUR,1))*INDEX(Материалы!$K$2:$K$9000,MATCH($I646,Материалы!$A$2:$A$9000,0))*(1+IFERROR(INDEX(Работы!$I$2:$I$6000,MATCH($C646,Работы!$A$2:$A$6000,0))/100,0))*(1-ДисконтТендер),0))</f>
        <v>0</v>
      </c>
      <c r="N646" s="10">
        <f t="shared" si="30"/>
        <v>0</v>
      </c>
      <c r="O646" s="10">
        <f t="shared" si="31"/>
        <v>0</v>
      </c>
      <c r="P646" s="10">
        <f t="shared" si="32"/>
        <v>0</v>
      </c>
      <c r="Q646" t="str">
        <f>IFERROR(INDEX(Работы!$J$2:$J$6000,MATCH($C646,Работы!$A$2:$A$6000,0)),"")</f>
        <v>типовая</v>
      </c>
      <c r="R646" t="s">
        <v>92</v>
      </c>
      <c r="T646" t="str">
        <f>IF(AND($P646&gt;0,$R646="да"),MAX($T$1:$T645)+1,"")</f>
        <v/>
      </c>
    </row>
    <row r="647" spans="1:20" x14ac:dyDescent="0.3">
      <c r="A647" t="str">
        <f>IFERROR(INDEX(Работы!$D$2:$D$6000,MATCH($C647,Работы!$A$2:$A$6000,0)),"")</f>
        <v>Р9</v>
      </c>
      <c r="B647" t="str">
        <f>IFERROR(INDEX(Работы!$F$2:$F$6000,MATCH($C647,Работы!$A$2:$A$6000,0)),"")</f>
        <v>2</v>
      </c>
      <c r="C647" t="str">
        <f>IFERROR(INDEX(Работы!$A$2:$A$6000,646),"")</f>
        <v>РАБ.Р9.2.009</v>
      </c>
      <c r="D647" s="8" t="str">
        <f>IFERROR(INDEX(Работы!$B$2:$B$6000,MATCH($C647,Работы!$A$2:$A$6000,0)),"")</f>
        <v>Автоматический ввод резерва 80А, 380В в сборе</v>
      </c>
      <c r="E647" t="str">
        <f>IFERROR(INDEX(Работы!$C$2:$C$6000,MATCH($C647,Работы!$A$2:$A$6000,0)),"")</f>
        <v>шт.</v>
      </c>
      <c r="F647">
        <f>IFERROR(INDEX(Работы!$G$2:$G$6000,MATCH($C647,Работы!$A$2:$A$6000,0)),"")</f>
        <v>0</v>
      </c>
      <c r="G647" t="str">
        <f>IFERROR(INDEX(Работы!$K$2:$K$6000,MATCH($C647,Работы!$A$2:$A$6000,0)),"")</f>
        <v>Спецификация</v>
      </c>
      <c r="H647" s="9"/>
      <c r="I647" s="9"/>
      <c r="J647" s="8" t="str">
        <f>IFERROR(INDEX(Материалы!$B$2:$B$9000,MATCH($I647,Материалы!$A$2:$A$9000,0)),"")</f>
        <v/>
      </c>
      <c r="K647" t="str">
        <f>IF($I647="","",IF($F647=IFERROR(INDEX(Материалы!$G$2:$G$9000,MATCH($I647,Материалы!$A$2:$A$9000,0)),""),"OK","!! не та группа"))</f>
        <v/>
      </c>
      <c r="L647" s="10">
        <f>IFERROR(INDEX(Работы!$H$2:$H$6000,MATCH($C647,Работы!$A$2:$A$6000,0))*(1-ДисконтТендер),0)</f>
        <v>31350.799999999999</v>
      </c>
      <c r="M647" s="10">
        <f>IF($I647="",0,IFERROR(INDEX(Материалы!$I$2:$I$9000,MATCH($I647,Материалы!$A$2:$A$9000,0))*IF(INDEX(Материалы!$J$2:$J$9000,MATCH($I647,Материалы!$A$2:$A$9000,0))="USD",КурсUSD,IF(INDEX(Материалы!$J$2:$J$9000,MATCH($I647,Материалы!$A$2:$A$9000,0))="EUR",КурсEUR,1))*INDEX(Материалы!$K$2:$K$9000,MATCH($I647,Материалы!$A$2:$A$9000,0))*(1+IFERROR(INDEX(Работы!$I$2:$I$6000,MATCH($C647,Работы!$A$2:$A$6000,0))/100,0))*(1-ДисконтТендер),0))</f>
        <v>0</v>
      </c>
      <c r="N647" s="10">
        <f t="shared" si="30"/>
        <v>0</v>
      </c>
      <c r="O647" s="10">
        <f t="shared" si="31"/>
        <v>0</v>
      </c>
      <c r="P647" s="10">
        <f t="shared" si="32"/>
        <v>0</v>
      </c>
      <c r="Q647" t="str">
        <f>IFERROR(INDEX(Работы!$J$2:$J$6000,MATCH($C647,Работы!$A$2:$A$6000,0)),"")</f>
        <v>типовая</v>
      </c>
      <c r="R647" t="s">
        <v>92</v>
      </c>
      <c r="T647" t="str">
        <f>IF(AND($P647&gt;0,$R647="да"),MAX($T$1:$T646)+1,"")</f>
        <v/>
      </c>
    </row>
    <row r="648" spans="1:20" x14ac:dyDescent="0.3">
      <c r="A648" t="str">
        <f>IFERROR(INDEX(Работы!$D$2:$D$6000,MATCH($C648,Работы!$A$2:$A$6000,0)),"")</f>
        <v>Р9</v>
      </c>
      <c r="B648" t="str">
        <f>IFERROR(INDEX(Работы!$F$2:$F$6000,MATCH($C648,Работы!$A$2:$A$6000,0)),"")</f>
        <v>2</v>
      </c>
      <c r="C648" t="str">
        <f>IFERROR(INDEX(Работы!$A$2:$A$6000,647),"")</f>
        <v>РАБ.Р9.2.010</v>
      </c>
      <c r="D648" s="8" t="str">
        <f>IFERROR(INDEX(Работы!$B$2:$B$6000,MATCH($C648,Работы!$A$2:$A$6000,0)),"")</f>
        <v>Автоматический ввод резерва 125А, 380В в сборе</v>
      </c>
      <c r="E648" t="str">
        <f>IFERROR(INDEX(Работы!$C$2:$C$6000,MATCH($C648,Работы!$A$2:$A$6000,0)),"")</f>
        <v>шт.</v>
      </c>
      <c r="F648">
        <f>IFERROR(INDEX(Работы!$G$2:$G$6000,MATCH($C648,Работы!$A$2:$A$6000,0)),"")</f>
        <v>0</v>
      </c>
      <c r="G648" t="str">
        <f>IFERROR(INDEX(Работы!$K$2:$K$6000,MATCH($C648,Работы!$A$2:$A$6000,0)),"")</f>
        <v>Спецификация</v>
      </c>
      <c r="H648" s="9"/>
      <c r="I648" s="9"/>
      <c r="J648" s="8" t="str">
        <f>IFERROR(INDEX(Материалы!$B$2:$B$9000,MATCH($I648,Материалы!$A$2:$A$9000,0)),"")</f>
        <v/>
      </c>
      <c r="K648" t="str">
        <f>IF($I648="","",IF($F648=IFERROR(INDEX(Материалы!$G$2:$G$9000,MATCH($I648,Материалы!$A$2:$A$9000,0)),""),"OK","!! не та группа"))</f>
        <v/>
      </c>
      <c r="L648" s="10">
        <f>IFERROR(INDEX(Работы!$H$2:$H$6000,MATCH($C648,Работы!$A$2:$A$6000,0))*(1-ДисконтТендер),0)</f>
        <v>47566.73</v>
      </c>
      <c r="M648" s="10">
        <f>IF($I648="",0,IFERROR(INDEX(Материалы!$I$2:$I$9000,MATCH($I648,Материалы!$A$2:$A$9000,0))*IF(INDEX(Материалы!$J$2:$J$9000,MATCH($I648,Материалы!$A$2:$A$9000,0))="USD",КурсUSD,IF(INDEX(Материалы!$J$2:$J$9000,MATCH($I648,Материалы!$A$2:$A$9000,0))="EUR",КурсEUR,1))*INDEX(Материалы!$K$2:$K$9000,MATCH($I648,Материалы!$A$2:$A$9000,0))*(1+IFERROR(INDEX(Работы!$I$2:$I$6000,MATCH($C648,Работы!$A$2:$A$6000,0))/100,0))*(1-ДисконтТендер),0))</f>
        <v>0</v>
      </c>
      <c r="N648" s="10">
        <f t="shared" si="30"/>
        <v>0</v>
      </c>
      <c r="O648" s="10">
        <f t="shared" si="31"/>
        <v>0</v>
      </c>
      <c r="P648" s="10">
        <f t="shared" si="32"/>
        <v>0</v>
      </c>
      <c r="Q648" t="str">
        <f>IFERROR(INDEX(Работы!$J$2:$J$6000,MATCH($C648,Работы!$A$2:$A$6000,0)),"")</f>
        <v>типовая</v>
      </c>
      <c r="R648" t="s">
        <v>92</v>
      </c>
      <c r="T648" t="str">
        <f>IF(AND($P648&gt;0,$R648="да"),MAX($T$1:$T647)+1,"")</f>
        <v/>
      </c>
    </row>
    <row r="649" spans="1:20" ht="28.8" x14ac:dyDescent="0.3">
      <c r="A649" t="str">
        <f>IFERROR(INDEX(Работы!$D$2:$D$6000,MATCH($C649,Работы!$A$2:$A$6000,0)),"")</f>
        <v>Р9</v>
      </c>
      <c r="B649" t="str">
        <f>IFERROR(INDEX(Работы!$F$2:$F$6000,MATCH($C649,Работы!$A$2:$A$6000,0)),"")</f>
        <v>2</v>
      </c>
      <c r="C649" t="str">
        <f>IFERROR(INDEX(Работы!$A$2:$A$6000,648),"")</f>
        <v>РАБ.Р9.2.011</v>
      </c>
      <c r="D649" s="8" t="str">
        <f>IFERROR(INDEX(Работы!$B$2:$B$6000,MATCH($C649,Работы!$A$2:$A$6000,0)),"")</f>
        <v>Монтаж модульного аппарата (автомат / УЗО / дифавтомат / рубильник)</v>
      </c>
      <c r="E649" t="str">
        <f>IFERROR(INDEX(Работы!$C$2:$C$6000,MATCH($C649,Работы!$A$2:$A$6000,0)),"")</f>
        <v>шт.</v>
      </c>
      <c r="F649" t="str">
        <f>IFERROR(INDEX(Работы!$G$2:$G$6000,MATCH($C649,Работы!$A$2:$A$6000,0)),"")</f>
        <v>ЭА.МОД</v>
      </c>
      <c r="G649" t="str">
        <f>IFERROR(INDEX(Работы!$K$2:$K$6000,MATCH($C649,Работы!$A$2:$A$6000,0)),"")</f>
        <v>Спецификация</v>
      </c>
      <c r="H649" s="9"/>
      <c r="I649" s="9"/>
      <c r="J649" s="8" t="str">
        <f>IFERROR(INDEX(Материалы!$B$2:$B$9000,MATCH($I649,Материалы!$A$2:$A$9000,0)),"")</f>
        <v/>
      </c>
      <c r="K649" t="str">
        <f>IF($I649="","",IF($F649=IFERROR(INDEX(Материалы!$G$2:$G$9000,MATCH($I649,Материалы!$A$2:$A$9000,0)),""),"OK","!! не та группа"))</f>
        <v/>
      </c>
      <c r="L649" s="10">
        <f>IFERROR(INDEX(Работы!$H$2:$H$6000,MATCH($C649,Работы!$A$2:$A$6000,0))*(1-ДисконтТендер),0)</f>
        <v>870</v>
      </c>
      <c r="M649" s="10">
        <f>IF($I649="",0,IFERROR(INDEX(Материалы!$I$2:$I$9000,MATCH($I649,Материалы!$A$2:$A$9000,0))*IF(INDEX(Материалы!$J$2:$J$9000,MATCH($I649,Материалы!$A$2:$A$9000,0))="USD",КурсUSD,IF(INDEX(Материалы!$J$2:$J$9000,MATCH($I649,Материалы!$A$2:$A$9000,0))="EUR",КурсEUR,1))*INDEX(Материалы!$K$2:$K$9000,MATCH($I649,Материалы!$A$2:$A$9000,0))*(1+IFERROR(INDEX(Работы!$I$2:$I$6000,MATCH($C649,Работы!$A$2:$A$6000,0))/100,0))*(1-ДисконтТендер),0))</f>
        <v>0</v>
      </c>
      <c r="N649" s="10">
        <f t="shared" si="30"/>
        <v>0</v>
      </c>
      <c r="O649" s="10">
        <f t="shared" si="31"/>
        <v>0</v>
      </c>
      <c r="P649" s="10">
        <f t="shared" si="32"/>
        <v>0</v>
      </c>
      <c r="Q649" t="str">
        <f>IFERROR(INDEX(Работы!$J$2:$J$6000,MATCH($C649,Работы!$A$2:$A$6000,0)),"")</f>
        <v>типовая</v>
      </c>
      <c r="R649" t="s">
        <v>92</v>
      </c>
      <c r="T649" t="str">
        <f>IF(AND($P649&gt;0,$R649="да"),MAX($T$1:$T648)+1,"")</f>
        <v/>
      </c>
    </row>
    <row r="650" spans="1:20" x14ac:dyDescent="0.3">
      <c r="A650" t="str">
        <f>IFERROR(INDEX(Работы!$D$2:$D$6000,MATCH($C650,Работы!$A$2:$A$6000,0)),"")</f>
        <v>Р9</v>
      </c>
      <c r="B650" t="str">
        <f>IFERROR(INDEX(Работы!$F$2:$F$6000,MATCH($C650,Работы!$A$2:$A$6000,0)),"")</f>
        <v>2</v>
      </c>
      <c r="C650" t="str">
        <f>IFERROR(INDEX(Работы!$A$2:$A$6000,649),"")</f>
        <v>РАБ.Р9.2.012</v>
      </c>
      <c r="D650" s="8" t="str">
        <f>IFERROR(INDEX(Работы!$B$2:$B$6000,MATCH($C650,Работы!$A$2:$A$6000,0)),"")</f>
        <v>Выключатель нагрузки OT45E3, 45А, ABB</v>
      </c>
      <c r="E650" t="str">
        <f>IFERROR(INDEX(Работы!$C$2:$C$6000,MATCH($C650,Работы!$A$2:$A$6000,0)),"")</f>
        <v>шт.</v>
      </c>
      <c r="F650" t="str">
        <f>IFERROR(INDEX(Работы!$G$2:$G$6000,MATCH($C650,Работы!$A$2:$A$6000,0)),"")</f>
        <v>ЭА.МОД</v>
      </c>
      <c r="G650" t="str">
        <f>IFERROR(INDEX(Работы!$K$2:$K$6000,MATCH($C650,Работы!$A$2:$A$6000,0)),"")</f>
        <v>Спецификация</v>
      </c>
      <c r="H650" s="9"/>
      <c r="I650" s="9"/>
      <c r="J650" s="8" t="str">
        <f>IFERROR(INDEX(Материалы!$B$2:$B$9000,MATCH($I650,Материалы!$A$2:$A$9000,0)),"")</f>
        <v/>
      </c>
      <c r="K650" t="str">
        <f>IF($I650="","",IF($F650=IFERROR(INDEX(Материалы!$G$2:$G$9000,MATCH($I650,Материалы!$A$2:$A$9000,0)),""),"OK","!! не та группа"))</f>
        <v/>
      </c>
      <c r="L650" s="10">
        <f>IFERROR(INDEX(Работы!$H$2:$H$6000,MATCH($C650,Работы!$A$2:$A$6000,0))*(1-ДисконтТендер),0)</f>
        <v>916.11</v>
      </c>
      <c r="M650" s="10">
        <f>IF($I650="",0,IFERROR(INDEX(Материалы!$I$2:$I$9000,MATCH($I650,Материалы!$A$2:$A$9000,0))*IF(INDEX(Материалы!$J$2:$J$9000,MATCH($I650,Материалы!$A$2:$A$9000,0))="USD",КурсUSD,IF(INDEX(Материалы!$J$2:$J$9000,MATCH($I650,Материалы!$A$2:$A$9000,0))="EUR",КурсEUR,1))*INDEX(Материалы!$K$2:$K$9000,MATCH($I650,Материалы!$A$2:$A$9000,0))*(1+IFERROR(INDEX(Работы!$I$2:$I$6000,MATCH($C650,Работы!$A$2:$A$6000,0))/100,0))*(1-ДисконтТендер),0))</f>
        <v>0</v>
      </c>
      <c r="N650" s="10">
        <f t="shared" si="30"/>
        <v>0</v>
      </c>
      <c r="O650" s="10">
        <f t="shared" si="31"/>
        <v>0</v>
      </c>
      <c r="P650" s="10">
        <f t="shared" si="32"/>
        <v>0</v>
      </c>
      <c r="Q650" t="str">
        <f>IFERROR(INDEX(Работы!$J$2:$J$6000,MATCH($C650,Работы!$A$2:$A$6000,0)),"")</f>
        <v>типовая</v>
      </c>
      <c r="R650" t="s">
        <v>92</v>
      </c>
      <c r="T650" t="str">
        <f>IF(AND($P650&gt;0,$R650="да"),MAX($T$1:$T649)+1,"")</f>
        <v/>
      </c>
    </row>
    <row r="651" spans="1:20" x14ac:dyDescent="0.3">
      <c r="A651" t="str">
        <f>IFERROR(INDEX(Работы!$D$2:$D$6000,MATCH($C651,Работы!$A$2:$A$6000,0)),"")</f>
        <v>Р9</v>
      </c>
      <c r="B651" t="str">
        <f>IFERROR(INDEX(Работы!$F$2:$F$6000,MATCH($C651,Работы!$A$2:$A$6000,0)),"")</f>
        <v>2</v>
      </c>
      <c r="C651" t="str">
        <f>IFERROR(INDEX(Работы!$A$2:$A$6000,650),"")</f>
        <v>РАБ.Р9.2.013</v>
      </c>
      <c r="D651" s="8" t="str">
        <f>IFERROR(INDEX(Работы!$B$2:$B$6000,MATCH($C651,Работы!$A$2:$A$6000,0)),"")</f>
        <v>Выключатель нагрузки OT63E3, 63А, ABB</v>
      </c>
      <c r="E651" t="str">
        <f>IFERROR(INDEX(Работы!$C$2:$C$6000,MATCH($C651,Работы!$A$2:$A$6000,0)),"")</f>
        <v>шт.</v>
      </c>
      <c r="F651" t="str">
        <f>IFERROR(INDEX(Работы!$G$2:$G$6000,MATCH($C651,Работы!$A$2:$A$6000,0)),"")</f>
        <v>ЭА.МОД</v>
      </c>
      <c r="G651" t="str">
        <f>IFERROR(INDEX(Работы!$K$2:$K$6000,MATCH($C651,Работы!$A$2:$A$6000,0)),"")</f>
        <v>Спецификация</v>
      </c>
      <c r="H651" s="9"/>
      <c r="I651" s="9"/>
      <c r="J651" s="8" t="str">
        <f>IFERROR(INDEX(Материалы!$B$2:$B$9000,MATCH($I651,Материалы!$A$2:$A$9000,0)),"")</f>
        <v/>
      </c>
      <c r="K651" t="str">
        <f>IF($I651="","",IF($F651=IFERROR(INDEX(Материалы!$G$2:$G$9000,MATCH($I651,Материалы!$A$2:$A$9000,0)),""),"OK","!! не та группа"))</f>
        <v/>
      </c>
      <c r="L651" s="10">
        <f>IFERROR(INDEX(Работы!$H$2:$H$6000,MATCH($C651,Работы!$A$2:$A$6000,0))*(1-ДисконтТендер),0)</f>
        <v>1082.6500000000001</v>
      </c>
      <c r="M651" s="10">
        <f>IF($I651="",0,IFERROR(INDEX(Материалы!$I$2:$I$9000,MATCH($I651,Материалы!$A$2:$A$9000,0))*IF(INDEX(Материалы!$J$2:$J$9000,MATCH($I651,Материалы!$A$2:$A$9000,0))="USD",КурсUSD,IF(INDEX(Материалы!$J$2:$J$9000,MATCH($I651,Материалы!$A$2:$A$9000,0))="EUR",КурсEUR,1))*INDEX(Материалы!$K$2:$K$9000,MATCH($I651,Материалы!$A$2:$A$9000,0))*(1+IFERROR(INDEX(Работы!$I$2:$I$6000,MATCH($C651,Работы!$A$2:$A$6000,0))/100,0))*(1-ДисконтТендер),0))</f>
        <v>0</v>
      </c>
      <c r="N651" s="10">
        <f t="shared" si="30"/>
        <v>0</v>
      </c>
      <c r="O651" s="10">
        <f t="shared" si="31"/>
        <v>0</v>
      </c>
      <c r="P651" s="10">
        <f t="shared" si="32"/>
        <v>0</v>
      </c>
      <c r="Q651" t="str">
        <f>IFERROR(INDEX(Работы!$J$2:$J$6000,MATCH($C651,Работы!$A$2:$A$6000,0)),"")</f>
        <v>типовая</v>
      </c>
      <c r="R651" t="s">
        <v>92</v>
      </c>
      <c r="T651" t="str">
        <f>IF(AND($P651&gt;0,$R651="да"),MAX($T$1:$T650)+1,"")</f>
        <v/>
      </c>
    </row>
    <row r="652" spans="1:20" ht="28.8" x14ac:dyDescent="0.3">
      <c r="A652" t="str">
        <f>IFERROR(INDEX(Работы!$D$2:$D$6000,MATCH($C652,Работы!$A$2:$A$6000,0)),"")</f>
        <v>Р9</v>
      </c>
      <c r="B652" t="str">
        <f>IFERROR(INDEX(Работы!$F$2:$F$6000,MATCH($C652,Работы!$A$2:$A$6000,0)),"")</f>
        <v>2</v>
      </c>
      <c r="C652" t="str">
        <f>IFERROR(INDEX(Работы!$A$2:$A$6000,651),"")</f>
        <v>РАБ.Р9.2.014</v>
      </c>
      <c r="D652" s="8" t="str">
        <f>IFERROR(INDEX(Работы!$B$2:$B$6000,MATCH($C652,Работы!$A$2:$A$6000,0)),"")</f>
        <v>Монтаж модульного аппарата (автомат / УЗО / дифавтомат / рубильник)</v>
      </c>
      <c r="E652" t="str">
        <f>IFERROR(INDEX(Работы!$C$2:$C$6000,MATCH($C652,Работы!$A$2:$A$6000,0)),"")</f>
        <v>шт.</v>
      </c>
      <c r="F652" t="str">
        <f>IFERROR(INDEX(Работы!$G$2:$G$6000,MATCH($C652,Работы!$A$2:$A$6000,0)),"")</f>
        <v>ЭА.МОД</v>
      </c>
      <c r="G652" t="str">
        <f>IFERROR(INDEX(Работы!$K$2:$K$6000,MATCH($C652,Работы!$A$2:$A$6000,0)),"")</f>
        <v>Спецификация</v>
      </c>
      <c r="H652" s="9"/>
      <c r="I652" s="9"/>
      <c r="J652" s="8" t="str">
        <f>IFERROR(INDEX(Материалы!$B$2:$B$9000,MATCH($I652,Материалы!$A$2:$A$9000,0)),"")</f>
        <v/>
      </c>
      <c r="K652" t="str">
        <f>IF($I652="","",IF($F652=IFERROR(INDEX(Материалы!$G$2:$G$9000,MATCH($I652,Материалы!$A$2:$A$9000,0)),""),"OK","!! не та группа"))</f>
        <v/>
      </c>
      <c r="L652" s="10">
        <f>IFERROR(INDEX(Работы!$H$2:$H$6000,MATCH($C652,Работы!$A$2:$A$6000,0))*(1-ДисконтТендер),0)</f>
        <v>1785.39</v>
      </c>
      <c r="M652" s="10">
        <f>IF($I652="",0,IFERROR(INDEX(Материалы!$I$2:$I$9000,MATCH($I652,Материалы!$A$2:$A$9000,0))*IF(INDEX(Материалы!$J$2:$J$9000,MATCH($I652,Материалы!$A$2:$A$9000,0))="USD",КурсUSD,IF(INDEX(Материалы!$J$2:$J$9000,MATCH($I652,Материалы!$A$2:$A$9000,0))="EUR",КурсEUR,1))*INDEX(Материалы!$K$2:$K$9000,MATCH($I652,Материалы!$A$2:$A$9000,0))*(1+IFERROR(INDEX(Работы!$I$2:$I$6000,MATCH($C652,Работы!$A$2:$A$6000,0))/100,0))*(1-ДисконтТендер),0))</f>
        <v>0</v>
      </c>
      <c r="N652" s="10">
        <f t="shared" si="30"/>
        <v>0</v>
      </c>
      <c r="O652" s="10">
        <f t="shared" si="31"/>
        <v>0</v>
      </c>
      <c r="P652" s="10">
        <f t="shared" si="32"/>
        <v>0</v>
      </c>
      <c r="Q652" t="str">
        <f>IFERROR(INDEX(Работы!$J$2:$J$6000,MATCH($C652,Работы!$A$2:$A$6000,0)),"")</f>
        <v>типовая</v>
      </c>
      <c r="R652" t="s">
        <v>92</v>
      </c>
      <c r="T652" t="str">
        <f>IF(AND($P652&gt;0,$R652="да"),MAX($T$1:$T651)+1,"")</f>
        <v/>
      </c>
    </row>
    <row r="653" spans="1:20" ht="28.8" x14ac:dyDescent="0.3">
      <c r="A653" t="str">
        <f>IFERROR(INDEX(Работы!$D$2:$D$6000,MATCH($C653,Работы!$A$2:$A$6000,0)),"")</f>
        <v>Р9</v>
      </c>
      <c r="B653" t="str">
        <f>IFERROR(INDEX(Работы!$F$2:$F$6000,MATCH($C653,Работы!$A$2:$A$6000,0)),"")</f>
        <v>2</v>
      </c>
      <c r="C653" t="str">
        <f>IFERROR(INDEX(Работы!$A$2:$A$6000,652),"")</f>
        <v>РАБ.Р9.2.015</v>
      </c>
      <c r="D653" s="8" t="str">
        <f>IFERROR(INDEX(Работы!$B$2:$B$6000,MATCH($C653,Работы!$A$2:$A$6000,0)),"")</f>
        <v>Счетчик электроэнергии, Меркурий 231 АТ 01 (двухтарифный, 3-х фазный, 63А)</v>
      </c>
      <c r="E653" t="str">
        <f>IFERROR(INDEX(Работы!$C$2:$C$6000,MATCH($C653,Работы!$A$2:$A$6000,0)),"")</f>
        <v>шт.</v>
      </c>
      <c r="F653">
        <f>IFERROR(INDEX(Работы!$G$2:$G$6000,MATCH($C653,Работы!$A$2:$A$6000,0)),"")</f>
        <v>0</v>
      </c>
      <c r="G653" t="str">
        <f>IFERROR(INDEX(Работы!$K$2:$K$6000,MATCH($C653,Работы!$A$2:$A$6000,0)),"")</f>
        <v>Спецификация</v>
      </c>
      <c r="H653" s="9"/>
      <c r="I653" s="9"/>
      <c r="J653" s="8" t="str">
        <f>IFERROR(INDEX(Материалы!$B$2:$B$9000,MATCH($I653,Материалы!$A$2:$A$9000,0)),"")</f>
        <v/>
      </c>
      <c r="K653" t="str">
        <f>IF($I653="","",IF($F653=IFERROR(INDEX(Материалы!$G$2:$G$9000,MATCH($I653,Материалы!$A$2:$A$9000,0)),""),"OK","!! не та группа"))</f>
        <v/>
      </c>
      <c r="L653" s="10">
        <f>IFERROR(INDEX(Работы!$H$2:$H$6000,MATCH($C653,Работы!$A$2:$A$6000,0))*(1-ДисконтТендер),0)</f>
        <v>2171.52</v>
      </c>
      <c r="M653" s="10">
        <f>IF($I653="",0,IFERROR(INDEX(Материалы!$I$2:$I$9000,MATCH($I653,Материалы!$A$2:$A$9000,0))*IF(INDEX(Материалы!$J$2:$J$9000,MATCH($I653,Материалы!$A$2:$A$9000,0))="USD",КурсUSD,IF(INDEX(Материалы!$J$2:$J$9000,MATCH($I653,Материалы!$A$2:$A$9000,0))="EUR",КурсEUR,1))*INDEX(Материалы!$K$2:$K$9000,MATCH($I653,Материалы!$A$2:$A$9000,0))*(1+IFERROR(INDEX(Работы!$I$2:$I$6000,MATCH($C653,Работы!$A$2:$A$6000,0))/100,0))*(1-ДисконтТендер),0))</f>
        <v>0</v>
      </c>
      <c r="N653" s="10">
        <f t="shared" si="30"/>
        <v>0</v>
      </c>
      <c r="O653" s="10">
        <f t="shared" si="31"/>
        <v>0</v>
      </c>
      <c r="P653" s="10">
        <f t="shared" si="32"/>
        <v>0</v>
      </c>
      <c r="Q653" t="str">
        <f>IFERROR(INDEX(Работы!$J$2:$J$6000,MATCH($C653,Работы!$A$2:$A$6000,0)),"")</f>
        <v>типовая</v>
      </c>
      <c r="R653" t="s">
        <v>92</v>
      </c>
      <c r="T653" t="str">
        <f>IF(AND($P653&gt;0,$R653="да"),MAX($T$1:$T652)+1,"")</f>
        <v/>
      </c>
    </row>
    <row r="654" spans="1:20" ht="43.2" x14ac:dyDescent="0.3">
      <c r="A654" t="str">
        <f>IFERROR(INDEX(Работы!$D$2:$D$6000,MATCH($C654,Работы!$A$2:$A$6000,0)),"")</f>
        <v>Р9</v>
      </c>
      <c r="B654" t="str">
        <f>IFERROR(INDEX(Работы!$F$2:$F$6000,MATCH($C654,Работы!$A$2:$A$6000,0)),"")</f>
        <v>2</v>
      </c>
      <c r="C654" t="str">
        <f>IFERROR(INDEX(Работы!$A$2:$A$6000,653),"")</f>
        <v>РАБ.Р9.2.016</v>
      </c>
      <c r="D654" s="8" t="str">
        <f>IFERROR(INDEX(Работы!$B$2:$B$6000,MATCH($C654,Работы!$A$2:$A$6000,0)),"")</f>
        <v>Счетчик электроэнергии, Меркурий 231 АТ 01 с трансформаторами тока (двухтарифный, 3-х фазный, 63А)</v>
      </c>
      <c r="E654" t="str">
        <f>IFERROR(INDEX(Работы!$C$2:$C$6000,MATCH($C654,Работы!$A$2:$A$6000,0)),"")</f>
        <v>шт.</v>
      </c>
      <c r="F654">
        <f>IFERROR(INDEX(Работы!$G$2:$G$6000,MATCH($C654,Работы!$A$2:$A$6000,0)),"")</f>
        <v>0</v>
      </c>
      <c r="G654" t="str">
        <f>IFERROR(INDEX(Работы!$K$2:$K$6000,MATCH($C654,Работы!$A$2:$A$6000,0)),"")</f>
        <v>Спецификация</v>
      </c>
      <c r="H654" s="9"/>
      <c r="I654" s="9"/>
      <c r="J654" s="8" t="str">
        <f>IFERROR(INDEX(Материалы!$B$2:$B$9000,MATCH($I654,Материалы!$A$2:$A$9000,0)),"")</f>
        <v/>
      </c>
      <c r="K654" t="str">
        <f>IF($I654="","",IF($F654=IFERROR(INDEX(Материалы!$G$2:$G$9000,MATCH($I654,Материалы!$A$2:$A$9000,0)),""),"OK","!! не та группа"))</f>
        <v/>
      </c>
      <c r="L654" s="10">
        <f>IFERROR(INDEX(Работы!$H$2:$H$6000,MATCH($C654,Работы!$A$2:$A$6000,0))*(1-ДисконтТендер),0)</f>
        <v>3300</v>
      </c>
      <c r="M654" s="10">
        <f>IF($I654="",0,IFERROR(INDEX(Материалы!$I$2:$I$9000,MATCH($I654,Материалы!$A$2:$A$9000,0))*IF(INDEX(Материалы!$J$2:$J$9000,MATCH($I654,Материалы!$A$2:$A$9000,0))="USD",КурсUSD,IF(INDEX(Материалы!$J$2:$J$9000,MATCH($I654,Материалы!$A$2:$A$9000,0))="EUR",КурсEUR,1))*INDEX(Материалы!$K$2:$K$9000,MATCH($I654,Материалы!$A$2:$A$9000,0))*(1+IFERROR(INDEX(Работы!$I$2:$I$6000,MATCH($C654,Работы!$A$2:$A$6000,0))/100,0))*(1-ДисконтТендер),0))</f>
        <v>0</v>
      </c>
      <c r="N654" s="10">
        <f t="shared" si="30"/>
        <v>0</v>
      </c>
      <c r="O654" s="10">
        <f t="shared" si="31"/>
        <v>0</v>
      </c>
      <c r="P654" s="10">
        <f t="shared" si="32"/>
        <v>0</v>
      </c>
      <c r="Q654" t="str">
        <f>IFERROR(INDEX(Работы!$J$2:$J$6000,MATCH($C654,Работы!$A$2:$A$6000,0)),"")</f>
        <v>типовая</v>
      </c>
      <c r="R654" t="s">
        <v>92</v>
      </c>
      <c r="T654" t="str">
        <f>IF(AND($P654&gt;0,$R654="да"),MAX($T$1:$T653)+1,"")</f>
        <v/>
      </c>
    </row>
    <row r="655" spans="1:20" ht="28.8" x14ac:dyDescent="0.3">
      <c r="A655" t="str">
        <f>IFERROR(INDEX(Работы!$D$2:$D$6000,MATCH($C655,Работы!$A$2:$A$6000,0)),"")</f>
        <v>Р9</v>
      </c>
      <c r="B655" t="str">
        <f>IFERROR(INDEX(Работы!$F$2:$F$6000,MATCH($C655,Работы!$A$2:$A$6000,0)),"")</f>
        <v>2</v>
      </c>
      <c r="C655" t="str">
        <f>IFERROR(INDEX(Работы!$A$2:$A$6000,654),"")</f>
        <v>РАБ.Р9.2.017</v>
      </c>
      <c r="D655" s="8" t="str">
        <f>IFERROR(INDEX(Работы!$B$2:$B$6000,MATCH($C655,Работы!$A$2:$A$6000,0)),"")</f>
        <v>Устройство защитного отключения 2пол. тип A 16A 10mA F202 A-16/0,01 ABB</v>
      </c>
      <c r="E655" t="str">
        <f>IFERROR(INDEX(Работы!$C$2:$C$6000,MATCH($C655,Работы!$A$2:$A$6000,0)),"")</f>
        <v>шт.</v>
      </c>
      <c r="F655" t="str">
        <f>IFERROR(INDEX(Работы!$G$2:$G$6000,MATCH($C655,Работы!$A$2:$A$6000,0)),"")</f>
        <v>ЭЩ</v>
      </c>
      <c r="G655" t="str">
        <f>IFERROR(INDEX(Работы!$K$2:$K$6000,MATCH($C655,Работы!$A$2:$A$6000,0)),"")</f>
        <v>Спецификация</v>
      </c>
      <c r="H655" s="9"/>
      <c r="I655" s="9"/>
      <c r="J655" s="8" t="str">
        <f>IFERROR(INDEX(Материалы!$B$2:$B$9000,MATCH($I655,Материалы!$A$2:$A$9000,0)),"")</f>
        <v/>
      </c>
      <c r="K655" t="str">
        <f>IF($I655="","",IF($F655=IFERROR(INDEX(Материалы!$G$2:$G$9000,MATCH($I655,Материалы!$A$2:$A$9000,0)),""),"OK","!! не та группа"))</f>
        <v/>
      </c>
      <c r="L655" s="10">
        <f>IFERROR(INDEX(Работы!$H$2:$H$6000,MATCH($C655,Работы!$A$2:$A$6000,0))*(1-ДисконтТендер),0)</f>
        <v>1050.23</v>
      </c>
      <c r="M655" s="10">
        <f>IF($I655="",0,IFERROR(INDEX(Материалы!$I$2:$I$9000,MATCH($I655,Материалы!$A$2:$A$9000,0))*IF(INDEX(Материалы!$J$2:$J$9000,MATCH($I655,Материалы!$A$2:$A$9000,0))="USD",КурсUSD,IF(INDEX(Материалы!$J$2:$J$9000,MATCH($I655,Материалы!$A$2:$A$9000,0))="EUR",КурсEUR,1))*INDEX(Материалы!$K$2:$K$9000,MATCH($I655,Материалы!$A$2:$A$9000,0))*(1+IFERROR(INDEX(Работы!$I$2:$I$6000,MATCH($C655,Работы!$A$2:$A$6000,0))/100,0))*(1-ДисконтТендер),0))</f>
        <v>0</v>
      </c>
      <c r="N655" s="10">
        <f t="shared" si="30"/>
        <v>0</v>
      </c>
      <c r="O655" s="10">
        <f t="shared" si="31"/>
        <v>0</v>
      </c>
      <c r="P655" s="10">
        <f t="shared" si="32"/>
        <v>0</v>
      </c>
      <c r="Q655" t="str">
        <f>IFERROR(INDEX(Работы!$J$2:$J$6000,MATCH($C655,Работы!$A$2:$A$6000,0)),"")</f>
        <v>типовая</v>
      </c>
      <c r="R655" t="s">
        <v>92</v>
      </c>
      <c r="T655" t="str">
        <f>IF(AND($P655&gt;0,$R655="да"),MAX($T$1:$T654)+1,"")</f>
        <v/>
      </c>
    </row>
    <row r="656" spans="1:20" ht="28.8" x14ac:dyDescent="0.3">
      <c r="A656" t="str">
        <f>IFERROR(INDEX(Работы!$D$2:$D$6000,MATCH($C656,Работы!$A$2:$A$6000,0)),"")</f>
        <v>Р9</v>
      </c>
      <c r="B656" t="str">
        <f>IFERROR(INDEX(Работы!$F$2:$F$6000,MATCH($C656,Работы!$A$2:$A$6000,0)),"")</f>
        <v>2</v>
      </c>
      <c r="C656" t="str">
        <f>IFERROR(INDEX(Работы!$A$2:$A$6000,655),"")</f>
        <v>РАБ.Р9.2.018</v>
      </c>
      <c r="D656" s="8" t="str">
        <f>IFERROR(INDEX(Работы!$B$2:$B$6000,MATCH($C656,Работы!$A$2:$A$6000,0)),"")</f>
        <v>Устройство защитного отключения 2пол. тип A 25A 30mA F202 A-25/0,03 АВВ</v>
      </c>
      <c r="E656" t="str">
        <f>IFERROR(INDEX(Работы!$C$2:$C$6000,MATCH($C656,Работы!$A$2:$A$6000,0)),"")</f>
        <v>шт.</v>
      </c>
      <c r="F656" t="str">
        <f>IFERROR(INDEX(Работы!$G$2:$G$6000,MATCH($C656,Работы!$A$2:$A$6000,0)),"")</f>
        <v>ЭЩ</v>
      </c>
      <c r="G656" t="str">
        <f>IFERROR(INDEX(Работы!$K$2:$K$6000,MATCH($C656,Работы!$A$2:$A$6000,0)),"")</f>
        <v>Спецификация</v>
      </c>
      <c r="H656" s="9"/>
      <c r="I656" s="9"/>
      <c r="J656" s="8" t="str">
        <f>IFERROR(INDEX(Материалы!$B$2:$B$9000,MATCH($I656,Материалы!$A$2:$A$9000,0)),"")</f>
        <v/>
      </c>
      <c r="K656" t="str">
        <f>IF($I656="","",IF($F656=IFERROR(INDEX(Материалы!$G$2:$G$9000,MATCH($I656,Материалы!$A$2:$A$9000,0)),""),"OK","!! не та группа"))</f>
        <v/>
      </c>
      <c r="L656" s="10">
        <f>IFERROR(INDEX(Работы!$H$2:$H$6000,MATCH($C656,Работы!$A$2:$A$6000,0))*(1-ДисконтТендер),0)</f>
        <v>1522.83</v>
      </c>
      <c r="M656" s="10">
        <f>IF($I656="",0,IFERROR(INDEX(Материалы!$I$2:$I$9000,MATCH($I656,Материалы!$A$2:$A$9000,0))*IF(INDEX(Материалы!$J$2:$J$9000,MATCH($I656,Материалы!$A$2:$A$9000,0))="USD",КурсUSD,IF(INDEX(Материалы!$J$2:$J$9000,MATCH($I656,Материалы!$A$2:$A$9000,0))="EUR",КурсEUR,1))*INDEX(Материалы!$K$2:$K$9000,MATCH($I656,Материалы!$A$2:$A$9000,0))*(1+IFERROR(INDEX(Работы!$I$2:$I$6000,MATCH($C656,Работы!$A$2:$A$6000,0))/100,0))*(1-ДисконтТендер),0))</f>
        <v>0</v>
      </c>
      <c r="N656" s="10">
        <f t="shared" si="30"/>
        <v>0</v>
      </c>
      <c r="O656" s="10">
        <f t="shared" si="31"/>
        <v>0</v>
      </c>
      <c r="P656" s="10">
        <f t="shared" si="32"/>
        <v>0</v>
      </c>
      <c r="Q656" t="str">
        <f>IFERROR(INDEX(Работы!$J$2:$J$6000,MATCH($C656,Работы!$A$2:$A$6000,0)),"")</f>
        <v>типовая</v>
      </c>
      <c r="R656" t="s">
        <v>92</v>
      </c>
      <c r="T656" t="str">
        <f>IF(AND($P656&gt;0,$R656="да"),MAX($T$1:$T655)+1,"")</f>
        <v/>
      </c>
    </row>
    <row r="657" spans="1:20" ht="28.8" x14ac:dyDescent="0.3">
      <c r="A657" t="str">
        <f>IFERROR(INDEX(Работы!$D$2:$D$6000,MATCH($C657,Работы!$A$2:$A$6000,0)),"")</f>
        <v>Р9</v>
      </c>
      <c r="B657" t="str">
        <f>IFERROR(INDEX(Работы!$F$2:$F$6000,MATCH($C657,Работы!$A$2:$A$6000,0)),"")</f>
        <v>2</v>
      </c>
      <c r="C657" t="str">
        <f>IFERROR(INDEX(Работы!$A$2:$A$6000,656),"")</f>
        <v>РАБ.Р9.2.019</v>
      </c>
      <c r="D657" s="8" t="str">
        <f>IFERROR(INDEX(Работы!$B$2:$B$6000,MATCH($C657,Работы!$A$2:$A$6000,0)),"")</f>
        <v>Устройство защитного отключения 2пол. тип A 40A 30mA F202 A-40/0,03 АВВ</v>
      </c>
      <c r="E657" t="str">
        <f>IFERROR(INDEX(Работы!$C$2:$C$6000,MATCH($C657,Работы!$A$2:$A$6000,0)),"")</f>
        <v>шт.</v>
      </c>
      <c r="F657" t="str">
        <f>IFERROR(INDEX(Работы!$G$2:$G$6000,MATCH($C657,Работы!$A$2:$A$6000,0)),"")</f>
        <v>ЭЩ</v>
      </c>
      <c r="G657" t="str">
        <f>IFERROR(INDEX(Работы!$K$2:$K$6000,MATCH($C657,Работы!$A$2:$A$6000,0)),"")</f>
        <v>Спецификация</v>
      </c>
      <c r="H657" s="9"/>
      <c r="I657" s="9"/>
      <c r="J657" s="8" t="str">
        <f>IFERROR(INDEX(Материалы!$B$2:$B$9000,MATCH($I657,Материалы!$A$2:$A$9000,0)),"")</f>
        <v/>
      </c>
      <c r="K657" t="str">
        <f>IF($I657="","",IF($F657=IFERROR(INDEX(Материалы!$G$2:$G$9000,MATCH($I657,Материалы!$A$2:$A$9000,0)),""),"OK","!! не та группа"))</f>
        <v/>
      </c>
      <c r="L657" s="10">
        <f>IFERROR(INDEX(Работы!$H$2:$H$6000,MATCH($C657,Работы!$A$2:$A$6000,0))*(1-ДисконтТендер),0)</f>
        <v>1890.41</v>
      </c>
      <c r="M657" s="10">
        <f>IF($I657="",0,IFERROR(INDEX(Материалы!$I$2:$I$9000,MATCH($I657,Материалы!$A$2:$A$9000,0))*IF(INDEX(Материалы!$J$2:$J$9000,MATCH($I657,Материалы!$A$2:$A$9000,0))="USD",КурсUSD,IF(INDEX(Материалы!$J$2:$J$9000,MATCH($I657,Материалы!$A$2:$A$9000,0))="EUR",КурсEUR,1))*INDEX(Материалы!$K$2:$K$9000,MATCH($I657,Материалы!$A$2:$A$9000,0))*(1+IFERROR(INDEX(Работы!$I$2:$I$6000,MATCH($C657,Работы!$A$2:$A$6000,0))/100,0))*(1-ДисконтТендер),0))</f>
        <v>0</v>
      </c>
      <c r="N657" s="10">
        <f t="shared" si="30"/>
        <v>0</v>
      </c>
      <c r="O657" s="10">
        <f t="shared" si="31"/>
        <v>0</v>
      </c>
      <c r="P657" s="10">
        <f t="shared" si="32"/>
        <v>0</v>
      </c>
      <c r="Q657" t="str">
        <f>IFERROR(INDEX(Работы!$J$2:$J$6000,MATCH($C657,Работы!$A$2:$A$6000,0)),"")</f>
        <v>типовая</v>
      </c>
      <c r="R657" t="s">
        <v>92</v>
      </c>
      <c r="T657" t="str">
        <f>IF(AND($P657&gt;0,$R657="да"),MAX($T$1:$T656)+1,"")</f>
        <v/>
      </c>
    </row>
    <row r="658" spans="1:20" ht="28.8" x14ac:dyDescent="0.3">
      <c r="A658" t="str">
        <f>IFERROR(INDEX(Работы!$D$2:$D$6000,MATCH($C658,Работы!$A$2:$A$6000,0)),"")</f>
        <v>Р9</v>
      </c>
      <c r="B658" t="str">
        <f>IFERROR(INDEX(Работы!$F$2:$F$6000,MATCH($C658,Работы!$A$2:$A$6000,0)),"")</f>
        <v>2</v>
      </c>
      <c r="C658" t="str">
        <f>IFERROR(INDEX(Работы!$A$2:$A$6000,657),"")</f>
        <v>РАБ.Р9.2.020</v>
      </c>
      <c r="D658" s="8" t="str">
        <f>IFERROR(INDEX(Работы!$B$2:$B$6000,MATCH($C658,Работы!$A$2:$A$6000,0)),"")</f>
        <v>Устройство защитного отключения 2пол. тип AC 63A 100mA F202 AC-63/0,1 АВВ</v>
      </c>
      <c r="E658" t="str">
        <f>IFERROR(INDEX(Работы!$C$2:$C$6000,MATCH($C658,Работы!$A$2:$A$6000,0)),"")</f>
        <v>шт.</v>
      </c>
      <c r="F658" t="str">
        <f>IFERROR(INDEX(Работы!$G$2:$G$6000,MATCH($C658,Работы!$A$2:$A$6000,0)),"")</f>
        <v>ЭЩ</v>
      </c>
      <c r="G658" t="str">
        <f>IFERROR(INDEX(Работы!$K$2:$K$6000,MATCH($C658,Работы!$A$2:$A$6000,0)),"")</f>
        <v>Спецификация</v>
      </c>
      <c r="H658" s="9"/>
      <c r="I658" s="9"/>
      <c r="J658" s="8" t="str">
        <f>IFERROR(INDEX(Материалы!$B$2:$B$9000,MATCH($I658,Материалы!$A$2:$A$9000,0)),"")</f>
        <v/>
      </c>
      <c r="K658" t="str">
        <f>IF($I658="","",IF($F658=IFERROR(INDEX(Материалы!$G$2:$G$9000,MATCH($I658,Материалы!$A$2:$A$9000,0)),""),"OK","!! не та группа"))</f>
        <v/>
      </c>
      <c r="L658" s="10">
        <f>IFERROR(INDEX(Работы!$H$2:$H$6000,MATCH($C658,Работы!$A$2:$A$6000,0))*(1-ДисконтТендер),0)</f>
        <v>2520.54</v>
      </c>
      <c r="M658" s="10">
        <f>IF($I658="",0,IFERROR(INDEX(Материалы!$I$2:$I$9000,MATCH($I658,Материалы!$A$2:$A$9000,0))*IF(INDEX(Материалы!$J$2:$J$9000,MATCH($I658,Материалы!$A$2:$A$9000,0))="USD",КурсUSD,IF(INDEX(Материалы!$J$2:$J$9000,MATCH($I658,Материалы!$A$2:$A$9000,0))="EUR",КурсEUR,1))*INDEX(Материалы!$K$2:$K$9000,MATCH($I658,Материалы!$A$2:$A$9000,0))*(1+IFERROR(INDEX(Работы!$I$2:$I$6000,MATCH($C658,Работы!$A$2:$A$6000,0))/100,0))*(1-ДисконтТендер),0))</f>
        <v>0</v>
      </c>
      <c r="N658" s="10">
        <f t="shared" si="30"/>
        <v>0</v>
      </c>
      <c r="O658" s="10">
        <f t="shared" si="31"/>
        <v>0</v>
      </c>
      <c r="P658" s="10">
        <f t="shared" si="32"/>
        <v>0</v>
      </c>
      <c r="Q658" t="str">
        <f>IFERROR(INDEX(Работы!$J$2:$J$6000,MATCH($C658,Работы!$A$2:$A$6000,0)),"")</f>
        <v>типовая</v>
      </c>
      <c r="R658" t="s">
        <v>92</v>
      </c>
      <c r="T658" t="str">
        <f>IF(AND($P658&gt;0,$R658="да"),MAX($T$1:$T657)+1,"")</f>
        <v/>
      </c>
    </row>
    <row r="659" spans="1:20" ht="28.8" x14ac:dyDescent="0.3">
      <c r="A659" t="str">
        <f>IFERROR(INDEX(Работы!$D$2:$D$6000,MATCH($C659,Работы!$A$2:$A$6000,0)),"")</f>
        <v>Р9</v>
      </c>
      <c r="B659" t="str">
        <f>IFERROR(INDEX(Работы!$F$2:$F$6000,MATCH($C659,Работы!$A$2:$A$6000,0)),"")</f>
        <v>2</v>
      </c>
      <c r="C659" t="str">
        <f>IFERROR(INDEX(Работы!$A$2:$A$6000,658),"")</f>
        <v>РАБ.Р9.2.021</v>
      </c>
      <c r="D659" s="8" t="str">
        <f>IFERROR(INDEX(Работы!$B$2:$B$6000,MATCH($C659,Работы!$A$2:$A$6000,0)),"")</f>
        <v>Устройство защитного отключения 4пол. F204 AC-40/0,1 ABB</v>
      </c>
      <c r="E659" t="str">
        <f>IFERROR(INDEX(Работы!$C$2:$C$6000,MATCH($C659,Работы!$A$2:$A$6000,0)),"")</f>
        <v>шт.</v>
      </c>
      <c r="F659" t="str">
        <f>IFERROR(INDEX(Работы!$G$2:$G$6000,MATCH($C659,Работы!$A$2:$A$6000,0)),"")</f>
        <v>ЭЩ</v>
      </c>
      <c r="G659" t="str">
        <f>IFERROR(INDEX(Работы!$K$2:$K$6000,MATCH($C659,Работы!$A$2:$A$6000,0)),"")</f>
        <v>Спецификация</v>
      </c>
      <c r="H659" s="9"/>
      <c r="I659" s="9"/>
      <c r="J659" s="8" t="str">
        <f>IFERROR(INDEX(Материалы!$B$2:$B$9000,MATCH($I659,Материалы!$A$2:$A$9000,0)),"")</f>
        <v/>
      </c>
      <c r="K659" t="str">
        <f>IF($I659="","",IF($F659=IFERROR(INDEX(Материалы!$G$2:$G$9000,MATCH($I659,Материалы!$A$2:$A$9000,0)),""),"OK","!! не та группа"))</f>
        <v/>
      </c>
      <c r="L659" s="10">
        <f>IFERROR(INDEX(Работы!$H$2:$H$6000,MATCH($C659,Работы!$A$2:$A$6000,0))*(1-ДисконтТендер),0)</f>
        <v>2152.96</v>
      </c>
      <c r="M659" s="10">
        <f>IF($I659="",0,IFERROR(INDEX(Материалы!$I$2:$I$9000,MATCH($I659,Материалы!$A$2:$A$9000,0))*IF(INDEX(Материалы!$J$2:$J$9000,MATCH($I659,Материалы!$A$2:$A$9000,0))="USD",КурсUSD,IF(INDEX(Материалы!$J$2:$J$9000,MATCH($I659,Материалы!$A$2:$A$9000,0))="EUR",КурсEUR,1))*INDEX(Материалы!$K$2:$K$9000,MATCH($I659,Материалы!$A$2:$A$9000,0))*(1+IFERROR(INDEX(Работы!$I$2:$I$6000,MATCH($C659,Работы!$A$2:$A$6000,0))/100,0))*(1-ДисконтТендер),0))</f>
        <v>0</v>
      </c>
      <c r="N659" s="10">
        <f t="shared" si="30"/>
        <v>0</v>
      </c>
      <c r="O659" s="10">
        <f t="shared" si="31"/>
        <v>0</v>
      </c>
      <c r="P659" s="10">
        <f t="shared" si="32"/>
        <v>0</v>
      </c>
      <c r="Q659" t="str">
        <f>IFERROR(INDEX(Работы!$J$2:$J$6000,MATCH($C659,Работы!$A$2:$A$6000,0)),"")</f>
        <v>типовая</v>
      </c>
      <c r="R659" t="s">
        <v>92</v>
      </c>
      <c r="T659" t="str">
        <f>IF(AND($P659&gt;0,$R659="да"),MAX($T$1:$T658)+1,"")</f>
        <v/>
      </c>
    </row>
    <row r="660" spans="1:20" ht="28.8" x14ac:dyDescent="0.3">
      <c r="A660" t="str">
        <f>IFERROR(INDEX(Работы!$D$2:$D$6000,MATCH($C660,Работы!$A$2:$A$6000,0)),"")</f>
        <v>Р9</v>
      </c>
      <c r="B660" t="str">
        <f>IFERROR(INDEX(Работы!$F$2:$F$6000,MATCH($C660,Работы!$A$2:$A$6000,0)),"")</f>
        <v>2</v>
      </c>
      <c r="C660" t="str">
        <f>IFERROR(INDEX(Работы!$A$2:$A$6000,659),"")</f>
        <v>РАБ.Р9.2.022</v>
      </c>
      <c r="D660" s="8" t="str">
        <f>IFERROR(INDEX(Работы!$B$2:$B$6000,MATCH($C660,Работы!$A$2:$A$6000,0)),"")</f>
        <v>Устройство защитного отключения 4пол. тип A 25A 30mA F204 A-25/0,03 АВВ</v>
      </c>
      <c r="E660" t="str">
        <f>IFERROR(INDEX(Работы!$C$2:$C$6000,MATCH($C660,Работы!$A$2:$A$6000,0)),"")</f>
        <v>шт.</v>
      </c>
      <c r="F660" t="str">
        <f>IFERROR(INDEX(Работы!$G$2:$G$6000,MATCH($C660,Работы!$A$2:$A$6000,0)),"")</f>
        <v>ЭЩ</v>
      </c>
      <c r="G660" t="str">
        <f>IFERROR(INDEX(Работы!$K$2:$K$6000,MATCH($C660,Работы!$A$2:$A$6000,0)),"")</f>
        <v>Спецификация</v>
      </c>
      <c r="H660" s="9"/>
      <c r="I660" s="9"/>
      <c r="J660" s="8" t="str">
        <f>IFERROR(INDEX(Материалы!$B$2:$B$9000,MATCH($I660,Материалы!$A$2:$A$9000,0)),"")</f>
        <v/>
      </c>
      <c r="K660" t="str">
        <f>IF($I660="","",IF($F660=IFERROR(INDEX(Материалы!$G$2:$G$9000,MATCH($I660,Материалы!$A$2:$A$9000,0)),""),"OK","!! не та группа"))</f>
        <v/>
      </c>
      <c r="L660" s="10">
        <f>IFERROR(INDEX(Работы!$H$2:$H$6000,MATCH($C660,Работы!$A$2:$A$6000,0))*(1-ДисконтТендер),0)</f>
        <v>1417.8</v>
      </c>
      <c r="M660" s="10">
        <f>IF($I660="",0,IFERROR(INDEX(Материалы!$I$2:$I$9000,MATCH($I660,Материалы!$A$2:$A$9000,0))*IF(INDEX(Материалы!$J$2:$J$9000,MATCH($I660,Материалы!$A$2:$A$9000,0))="USD",КурсUSD,IF(INDEX(Материалы!$J$2:$J$9000,MATCH($I660,Материалы!$A$2:$A$9000,0))="EUR",КурсEUR,1))*INDEX(Материалы!$K$2:$K$9000,MATCH($I660,Материалы!$A$2:$A$9000,0))*(1+IFERROR(INDEX(Работы!$I$2:$I$6000,MATCH($C660,Работы!$A$2:$A$6000,0))/100,0))*(1-ДисконтТендер),0))</f>
        <v>0</v>
      </c>
      <c r="N660" s="10">
        <f t="shared" si="30"/>
        <v>0</v>
      </c>
      <c r="O660" s="10">
        <f t="shared" si="31"/>
        <v>0</v>
      </c>
      <c r="P660" s="10">
        <f t="shared" si="32"/>
        <v>0</v>
      </c>
      <c r="Q660" t="str">
        <f>IFERROR(INDEX(Работы!$J$2:$J$6000,MATCH($C660,Работы!$A$2:$A$6000,0)),"")</f>
        <v>типовая</v>
      </c>
      <c r="R660" t="s">
        <v>92</v>
      </c>
      <c r="T660" t="str">
        <f>IF(AND($P660&gt;0,$R660="да"),MAX($T$1:$T659)+1,"")</f>
        <v/>
      </c>
    </row>
    <row r="661" spans="1:20" ht="28.8" x14ac:dyDescent="0.3">
      <c r="A661" t="str">
        <f>IFERROR(INDEX(Работы!$D$2:$D$6000,MATCH($C661,Работы!$A$2:$A$6000,0)),"")</f>
        <v>Р9</v>
      </c>
      <c r="B661" t="str">
        <f>IFERROR(INDEX(Работы!$F$2:$F$6000,MATCH($C661,Работы!$A$2:$A$6000,0)),"")</f>
        <v>2</v>
      </c>
      <c r="C661" t="str">
        <f>IFERROR(INDEX(Работы!$A$2:$A$6000,660),"")</f>
        <v>РАБ.Р9.2.023</v>
      </c>
      <c r="D661" s="8" t="str">
        <f>IFERROR(INDEX(Работы!$B$2:$B$6000,MATCH($C661,Работы!$A$2:$A$6000,0)),"")</f>
        <v>Устройство защитного отключения 4пол. тип AC 63A 100mA F204 AC-63/0,1 ABB</v>
      </c>
      <c r="E661" t="str">
        <f>IFERROR(INDEX(Работы!$C$2:$C$6000,MATCH($C661,Работы!$A$2:$A$6000,0)),"")</f>
        <v>шт.</v>
      </c>
      <c r="F661" t="str">
        <f>IFERROR(INDEX(Работы!$G$2:$G$6000,MATCH($C661,Работы!$A$2:$A$6000,0)),"")</f>
        <v>ЭЩ</v>
      </c>
      <c r="G661" t="str">
        <f>IFERROR(INDEX(Работы!$K$2:$K$6000,MATCH($C661,Работы!$A$2:$A$6000,0)),"")</f>
        <v>Спецификация</v>
      </c>
      <c r="H661" s="9"/>
      <c r="I661" s="9"/>
      <c r="J661" s="8" t="str">
        <f>IFERROR(INDEX(Материалы!$B$2:$B$9000,MATCH($I661,Материалы!$A$2:$A$9000,0)),"")</f>
        <v/>
      </c>
      <c r="K661" t="str">
        <f>IF($I661="","",IF($F661=IFERROR(INDEX(Материалы!$G$2:$G$9000,MATCH($I661,Материалы!$A$2:$A$9000,0)),""),"OK","!! не та группа"))</f>
        <v/>
      </c>
      <c r="L661" s="10">
        <f>IFERROR(INDEX(Работы!$H$2:$H$6000,MATCH($C661,Работы!$A$2:$A$6000,0))*(1-ДисконтТендер),0)</f>
        <v>2363.0100000000002</v>
      </c>
      <c r="M661" s="10">
        <f>IF($I661="",0,IFERROR(INDEX(Материалы!$I$2:$I$9000,MATCH($I661,Материалы!$A$2:$A$9000,0))*IF(INDEX(Материалы!$J$2:$J$9000,MATCH($I661,Материалы!$A$2:$A$9000,0))="USD",КурсUSD,IF(INDEX(Материалы!$J$2:$J$9000,MATCH($I661,Материалы!$A$2:$A$9000,0))="EUR",КурсEUR,1))*INDEX(Материалы!$K$2:$K$9000,MATCH($I661,Материалы!$A$2:$A$9000,0))*(1+IFERROR(INDEX(Работы!$I$2:$I$6000,MATCH($C661,Работы!$A$2:$A$6000,0))/100,0))*(1-ДисконтТендер),0))</f>
        <v>0</v>
      </c>
      <c r="N661" s="10">
        <f t="shared" si="30"/>
        <v>0</v>
      </c>
      <c r="O661" s="10">
        <f t="shared" si="31"/>
        <v>0</v>
      </c>
      <c r="P661" s="10">
        <f t="shared" si="32"/>
        <v>0</v>
      </c>
      <c r="Q661" t="str">
        <f>IFERROR(INDEX(Работы!$J$2:$J$6000,MATCH($C661,Работы!$A$2:$A$6000,0)),"")</f>
        <v>типовая</v>
      </c>
      <c r="R661" t="s">
        <v>92</v>
      </c>
      <c r="T661" t="str">
        <f>IF(AND($P661&gt;0,$R661="да"),MAX($T$1:$T660)+1,"")</f>
        <v/>
      </c>
    </row>
    <row r="662" spans="1:20" ht="28.8" x14ac:dyDescent="0.3">
      <c r="A662" t="str">
        <f>IFERROR(INDEX(Работы!$D$2:$D$6000,MATCH($C662,Работы!$A$2:$A$6000,0)),"")</f>
        <v>Р9</v>
      </c>
      <c r="B662" t="str">
        <f>IFERROR(INDEX(Работы!$F$2:$F$6000,MATCH($C662,Работы!$A$2:$A$6000,0)),"")</f>
        <v>2</v>
      </c>
      <c r="C662" t="str">
        <f>IFERROR(INDEX(Работы!$A$2:$A$6000,661),"")</f>
        <v>РАБ.Р9.2.024</v>
      </c>
      <c r="D662" s="8" t="str">
        <f>IFERROR(INDEX(Работы!$B$2:$B$6000,MATCH($C662,Работы!$A$2:$A$6000,0)),"")</f>
        <v>Устройство защитного отключения 4пол. тип AC 80A 300mA F204 AC-80/0,3 ABB</v>
      </c>
      <c r="E662" t="str">
        <f>IFERROR(INDEX(Работы!$C$2:$C$6000,MATCH($C662,Работы!$A$2:$A$6000,0)),"")</f>
        <v>шт.</v>
      </c>
      <c r="F662" t="str">
        <f>IFERROR(INDEX(Работы!$G$2:$G$6000,MATCH($C662,Работы!$A$2:$A$6000,0)),"")</f>
        <v>ЭЩ</v>
      </c>
      <c r="G662" t="str">
        <f>IFERROR(INDEX(Работы!$K$2:$K$6000,MATCH($C662,Работы!$A$2:$A$6000,0)),"")</f>
        <v>Спецификация</v>
      </c>
      <c r="H662" s="9"/>
      <c r="I662" s="9"/>
      <c r="J662" s="8" t="str">
        <f>IFERROR(INDEX(Материалы!$B$2:$B$9000,MATCH($I662,Материалы!$A$2:$A$9000,0)),"")</f>
        <v/>
      </c>
      <c r="K662" t="str">
        <f>IF($I662="","",IF($F662=IFERROR(INDEX(Материалы!$G$2:$G$9000,MATCH($I662,Материалы!$A$2:$A$9000,0)),""),"OK","!! не та группа"))</f>
        <v/>
      </c>
      <c r="L662" s="10">
        <f>IFERROR(INDEX(Работы!$H$2:$H$6000,MATCH($C662,Работы!$A$2:$A$6000,0))*(1-ДисконтТендер),0)</f>
        <v>3833.32</v>
      </c>
      <c r="M662" s="10">
        <f>IF($I662="",0,IFERROR(INDEX(Материалы!$I$2:$I$9000,MATCH($I662,Материалы!$A$2:$A$9000,0))*IF(INDEX(Материалы!$J$2:$J$9000,MATCH($I662,Материалы!$A$2:$A$9000,0))="USD",КурсUSD,IF(INDEX(Материалы!$J$2:$J$9000,MATCH($I662,Материалы!$A$2:$A$9000,0))="EUR",КурсEUR,1))*INDEX(Материалы!$K$2:$K$9000,MATCH($I662,Материалы!$A$2:$A$9000,0))*(1+IFERROR(INDEX(Работы!$I$2:$I$6000,MATCH($C662,Работы!$A$2:$A$6000,0))/100,0))*(1-ДисконтТендер),0))</f>
        <v>0</v>
      </c>
      <c r="N662" s="10">
        <f t="shared" si="30"/>
        <v>0</v>
      </c>
      <c r="O662" s="10">
        <f t="shared" si="31"/>
        <v>0</v>
      </c>
      <c r="P662" s="10">
        <f t="shared" si="32"/>
        <v>0</v>
      </c>
      <c r="Q662" t="str">
        <f>IFERROR(INDEX(Работы!$J$2:$J$6000,MATCH($C662,Работы!$A$2:$A$6000,0)),"")</f>
        <v>типовая</v>
      </c>
      <c r="R662" t="s">
        <v>92</v>
      </c>
      <c r="T662" t="str">
        <f>IF(AND($P662&gt;0,$R662="да"),MAX($T$1:$T661)+1,"")</f>
        <v/>
      </c>
    </row>
    <row r="663" spans="1:20" ht="28.8" x14ac:dyDescent="0.3">
      <c r="A663" t="str">
        <f>IFERROR(INDEX(Работы!$D$2:$D$6000,MATCH($C663,Работы!$A$2:$A$6000,0)),"")</f>
        <v>Р9</v>
      </c>
      <c r="B663" t="str">
        <f>IFERROR(INDEX(Работы!$F$2:$F$6000,MATCH($C663,Работы!$A$2:$A$6000,0)),"")</f>
        <v>2</v>
      </c>
      <c r="C663" t="str">
        <f>IFERROR(INDEX(Работы!$A$2:$A$6000,662),"")</f>
        <v>РАБ.Р9.2.025</v>
      </c>
      <c r="D663" s="8" t="str">
        <f>IFERROR(INDEX(Работы!$B$2:$B$6000,MATCH($C663,Работы!$A$2:$A$6000,0)),"")</f>
        <v>Устройство защитного отключения 4пол. тип AC 100A 300mA F204 AC-100/0,3 ABB</v>
      </c>
      <c r="E663" t="str">
        <f>IFERROR(INDEX(Работы!$C$2:$C$6000,MATCH($C663,Работы!$A$2:$A$6000,0)),"")</f>
        <v>шт.</v>
      </c>
      <c r="F663" t="str">
        <f>IFERROR(INDEX(Работы!$G$2:$G$6000,MATCH($C663,Работы!$A$2:$A$6000,0)),"")</f>
        <v>ЭЩ</v>
      </c>
      <c r="G663" t="str">
        <f>IFERROR(INDEX(Работы!$K$2:$K$6000,MATCH($C663,Работы!$A$2:$A$6000,0)),"")</f>
        <v>Спецификация</v>
      </c>
      <c r="H663" s="9"/>
      <c r="I663" s="9"/>
      <c r="J663" s="8" t="str">
        <f>IFERROR(INDEX(Материалы!$B$2:$B$9000,MATCH($I663,Материалы!$A$2:$A$9000,0)),"")</f>
        <v/>
      </c>
      <c r="K663" t="str">
        <f>IF($I663="","",IF($F663=IFERROR(INDEX(Материалы!$G$2:$G$9000,MATCH($I663,Материалы!$A$2:$A$9000,0)),""),"OK","!! не та группа"))</f>
        <v/>
      </c>
      <c r="L663" s="10">
        <f>IFERROR(INDEX(Работы!$H$2:$H$6000,MATCH($C663,Работы!$A$2:$A$6000,0))*(1-ДисконтТендер),0)</f>
        <v>10659.78</v>
      </c>
      <c r="M663" s="10">
        <f>IF($I663="",0,IFERROR(INDEX(Материалы!$I$2:$I$9000,MATCH($I663,Материалы!$A$2:$A$9000,0))*IF(INDEX(Материалы!$J$2:$J$9000,MATCH($I663,Материалы!$A$2:$A$9000,0))="USD",КурсUSD,IF(INDEX(Материалы!$J$2:$J$9000,MATCH($I663,Материалы!$A$2:$A$9000,0))="EUR",КурсEUR,1))*INDEX(Материалы!$K$2:$K$9000,MATCH($I663,Материалы!$A$2:$A$9000,0))*(1+IFERROR(INDEX(Работы!$I$2:$I$6000,MATCH($C663,Работы!$A$2:$A$6000,0))/100,0))*(1-ДисконтТендер),0))</f>
        <v>0</v>
      </c>
      <c r="N663" s="10">
        <f t="shared" si="30"/>
        <v>0</v>
      </c>
      <c r="O663" s="10">
        <f t="shared" si="31"/>
        <v>0</v>
      </c>
      <c r="P663" s="10">
        <f t="shared" si="32"/>
        <v>0</v>
      </c>
      <c r="Q663" t="str">
        <f>IFERROR(INDEX(Работы!$J$2:$J$6000,MATCH($C663,Работы!$A$2:$A$6000,0)),"")</f>
        <v>типовая</v>
      </c>
      <c r="R663" t="s">
        <v>92</v>
      </c>
      <c r="T663" t="str">
        <f>IF(AND($P663&gt;0,$R663="да"),MAX($T$1:$T662)+1,"")</f>
        <v/>
      </c>
    </row>
    <row r="664" spans="1:20" ht="28.8" x14ac:dyDescent="0.3">
      <c r="A664" t="str">
        <f>IFERROR(INDEX(Работы!$D$2:$D$6000,MATCH($C664,Работы!$A$2:$A$6000,0)),"")</f>
        <v>Р9</v>
      </c>
      <c r="B664" t="str">
        <f>IFERROR(INDEX(Работы!$F$2:$F$6000,MATCH($C664,Работы!$A$2:$A$6000,0)),"")</f>
        <v>2</v>
      </c>
      <c r="C664" t="str">
        <f>IFERROR(INDEX(Работы!$A$2:$A$6000,663),"")</f>
        <v>РАБ.Р9.2.026</v>
      </c>
      <c r="D664" s="8" t="str">
        <f>IFERROR(INDEX(Работы!$B$2:$B$6000,MATCH($C664,Работы!$A$2:$A$6000,0)),"")</f>
        <v>Устройство защитного отключения 4пол. тип AC 125A 300mA F204 AC-125/0,3 ABB</v>
      </c>
      <c r="E664" t="str">
        <f>IFERROR(INDEX(Работы!$C$2:$C$6000,MATCH($C664,Работы!$A$2:$A$6000,0)),"")</f>
        <v>шт.</v>
      </c>
      <c r="F664" t="str">
        <f>IFERROR(INDEX(Работы!$G$2:$G$6000,MATCH($C664,Работы!$A$2:$A$6000,0)),"")</f>
        <v>ЭЩ</v>
      </c>
      <c r="G664" t="str">
        <f>IFERROR(INDEX(Работы!$K$2:$K$6000,MATCH($C664,Работы!$A$2:$A$6000,0)),"")</f>
        <v>Спецификация</v>
      </c>
      <c r="H664" s="9"/>
      <c r="I664" s="9"/>
      <c r="J664" s="8" t="str">
        <f>IFERROR(INDEX(Материалы!$B$2:$B$9000,MATCH($I664,Материалы!$A$2:$A$9000,0)),"")</f>
        <v/>
      </c>
      <c r="K664" t="str">
        <f>IF($I664="","",IF($F664=IFERROR(INDEX(Материалы!$G$2:$G$9000,MATCH($I664,Материалы!$A$2:$A$9000,0)),""),"OK","!! не та группа"))</f>
        <v/>
      </c>
      <c r="L664" s="10">
        <f>IFERROR(INDEX(Работы!$H$2:$H$6000,MATCH($C664,Работы!$A$2:$A$6000,0))*(1-ДисконтТендер),0)</f>
        <v>16908.63</v>
      </c>
      <c r="M664" s="10">
        <f>IF($I664="",0,IFERROR(INDEX(Материалы!$I$2:$I$9000,MATCH($I664,Материалы!$A$2:$A$9000,0))*IF(INDEX(Материалы!$J$2:$J$9000,MATCH($I664,Материалы!$A$2:$A$9000,0))="USD",КурсUSD,IF(INDEX(Материалы!$J$2:$J$9000,MATCH($I664,Материалы!$A$2:$A$9000,0))="EUR",КурсEUR,1))*INDEX(Материалы!$K$2:$K$9000,MATCH($I664,Материалы!$A$2:$A$9000,0))*(1+IFERROR(INDEX(Работы!$I$2:$I$6000,MATCH($C664,Работы!$A$2:$A$6000,0))/100,0))*(1-ДисконтТендер),0))</f>
        <v>0</v>
      </c>
      <c r="N664" s="10">
        <f t="shared" si="30"/>
        <v>0</v>
      </c>
      <c r="O664" s="10">
        <f t="shared" si="31"/>
        <v>0</v>
      </c>
      <c r="P664" s="10">
        <f t="shared" si="32"/>
        <v>0</v>
      </c>
      <c r="Q664" t="str">
        <f>IFERROR(INDEX(Работы!$J$2:$J$6000,MATCH($C664,Работы!$A$2:$A$6000,0)),"")</f>
        <v>типовая</v>
      </c>
      <c r="R664" t="s">
        <v>92</v>
      </c>
      <c r="T664" t="str">
        <f>IF(AND($P664&gt;0,$R664="да"),MAX($T$1:$T663)+1,"")</f>
        <v/>
      </c>
    </row>
    <row r="665" spans="1:20" ht="28.8" x14ac:dyDescent="0.3">
      <c r="A665" t="str">
        <f>IFERROR(INDEX(Работы!$D$2:$D$6000,MATCH($C665,Работы!$A$2:$A$6000,0)),"")</f>
        <v>Р9</v>
      </c>
      <c r="B665" t="str">
        <f>IFERROR(INDEX(Работы!$F$2:$F$6000,MATCH($C665,Работы!$A$2:$A$6000,0)),"")</f>
        <v>2</v>
      </c>
      <c r="C665" t="str">
        <f>IFERROR(INDEX(Работы!$A$2:$A$6000,664),"")</f>
        <v>РАБ.Р9.2.027</v>
      </c>
      <c r="D665" s="8" t="str">
        <f>IFERROR(INDEX(Работы!$B$2:$B$6000,MATCH($C665,Работы!$A$2:$A$6000,0)),"")</f>
        <v>Монтаж модульного аппарата (автомат / УЗО / дифавтомат / рубильник)</v>
      </c>
      <c r="E665" t="str">
        <f>IFERROR(INDEX(Работы!$C$2:$C$6000,MATCH($C665,Работы!$A$2:$A$6000,0)),"")</f>
        <v>шт.</v>
      </c>
      <c r="F665" t="str">
        <f>IFERROR(INDEX(Работы!$G$2:$G$6000,MATCH($C665,Работы!$A$2:$A$6000,0)),"")</f>
        <v>ЭА.МОД</v>
      </c>
      <c r="G665" t="str">
        <f>IFERROR(INDEX(Работы!$K$2:$K$6000,MATCH($C665,Работы!$A$2:$A$6000,0)),"")</f>
        <v>Спецификация</v>
      </c>
      <c r="H665" s="9"/>
      <c r="I665" s="9"/>
      <c r="J665" s="8" t="str">
        <f>IFERROR(INDEX(Материалы!$B$2:$B$9000,MATCH($I665,Материалы!$A$2:$A$9000,0)),"")</f>
        <v/>
      </c>
      <c r="K665" t="str">
        <f>IF($I665="","",IF($F665=IFERROR(INDEX(Материалы!$G$2:$G$9000,MATCH($I665,Материалы!$A$2:$A$9000,0)),""),"OK","!! не та группа"))</f>
        <v/>
      </c>
      <c r="L665" s="10">
        <f>IFERROR(INDEX(Работы!$H$2:$H$6000,MATCH($C665,Работы!$A$2:$A$6000,0))*(1-ДисконтТендер),0)</f>
        <v>287.10000000000002</v>
      </c>
      <c r="M665" s="10">
        <f>IF($I665="",0,IFERROR(INDEX(Материалы!$I$2:$I$9000,MATCH($I665,Материалы!$A$2:$A$9000,0))*IF(INDEX(Материалы!$J$2:$J$9000,MATCH($I665,Материалы!$A$2:$A$9000,0))="USD",КурсUSD,IF(INDEX(Материалы!$J$2:$J$9000,MATCH($I665,Материалы!$A$2:$A$9000,0))="EUR",КурсEUR,1))*INDEX(Материалы!$K$2:$K$9000,MATCH($I665,Материалы!$A$2:$A$9000,0))*(1+IFERROR(INDEX(Работы!$I$2:$I$6000,MATCH($C665,Работы!$A$2:$A$6000,0))/100,0))*(1-ДисконтТендер),0))</f>
        <v>0</v>
      </c>
      <c r="N665" s="10">
        <f t="shared" si="30"/>
        <v>0</v>
      </c>
      <c r="O665" s="10">
        <f t="shared" si="31"/>
        <v>0</v>
      </c>
      <c r="P665" s="10">
        <f t="shared" si="32"/>
        <v>0</v>
      </c>
      <c r="Q665" t="str">
        <f>IFERROR(INDEX(Работы!$J$2:$J$6000,MATCH($C665,Работы!$A$2:$A$6000,0)),"")</f>
        <v>типовая</v>
      </c>
      <c r="R665" t="s">
        <v>92</v>
      </c>
      <c r="T665" t="str">
        <f>IF(AND($P665&gt;0,$R665="да"),MAX($T$1:$T664)+1,"")</f>
        <v/>
      </c>
    </row>
    <row r="666" spans="1:20" ht="28.8" x14ac:dyDescent="0.3">
      <c r="A666" t="str">
        <f>IFERROR(INDEX(Работы!$D$2:$D$6000,MATCH($C666,Работы!$A$2:$A$6000,0)),"")</f>
        <v>Р9</v>
      </c>
      <c r="B666" t="str">
        <f>IFERROR(INDEX(Работы!$F$2:$F$6000,MATCH($C666,Работы!$A$2:$A$6000,0)),"")</f>
        <v>2</v>
      </c>
      <c r="C666" t="str">
        <f>IFERROR(INDEX(Работы!$A$2:$A$6000,665),"")</f>
        <v>РАБ.Р9.2.028</v>
      </c>
      <c r="D666" s="8" t="str">
        <f>IFERROR(INDEX(Работы!$B$2:$B$6000,MATCH($C666,Работы!$A$2:$A$6000,0)),"")</f>
        <v>Монтаж модульного аппарата (автомат / УЗО / дифавтомат / рубильник)</v>
      </c>
      <c r="E666" t="str">
        <f>IFERROR(INDEX(Работы!$C$2:$C$6000,MATCH($C666,Работы!$A$2:$A$6000,0)),"")</f>
        <v>шт.</v>
      </c>
      <c r="F666" t="str">
        <f>IFERROR(INDEX(Работы!$G$2:$G$6000,MATCH($C666,Работы!$A$2:$A$6000,0)),"")</f>
        <v>ЭА.МОД</v>
      </c>
      <c r="G666" t="str">
        <f>IFERROR(INDEX(Работы!$K$2:$K$6000,MATCH($C666,Работы!$A$2:$A$6000,0)),"")</f>
        <v>Спецификация</v>
      </c>
      <c r="H666" s="9"/>
      <c r="I666" s="9"/>
      <c r="J666" s="8" t="str">
        <f>IFERROR(INDEX(Материалы!$B$2:$B$9000,MATCH($I666,Материалы!$A$2:$A$9000,0)),"")</f>
        <v/>
      </c>
      <c r="K666" t="str">
        <f>IF($I666="","",IF($F666=IFERROR(INDEX(Материалы!$G$2:$G$9000,MATCH($I666,Материалы!$A$2:$A$9000,0)),""),"OK","!! не та группа"))</f>
        <v/>
      </c>
      <c r="L666" s="10">
        <f>IFERROR(INDEX(Работы!$H$2:$H$6000,MATCH($C666,Работы!$A$2:$A$6000,0))*(1-ДисконтТендер),0)</f>
        <v>438.48</v>
      </c>
      <c r="M666" s="10">
        <f>IF($I666="",0,IFERROR(INDEX(Материалы!$I$2:$I$9000,MATCH($I666,Материалы!$A$2:$A$9000,0))*IF(INDEX(Материалы!$J$2:$J$9000,MATCH($I666,Материалы!$A$2:$A$9000,0))="USD",КурсUSD,IF(INDEX(Материалы!$J$2:$J$9000,MATCH($I666,Материалы!$A$2:$A$9000,0))="EUR",КурсEUR,1))*INDEX(Материалы!$K$2:$K$9000,MATCH($I666,Материалы!$A$2:$A$9000,0))*(1+IFERROR(INDEX(Работы!$I$2:$I$6000,MATCH($C666,Работы!$A$2:$A$6000,0))/100,0))*(1-ДисконтТендер),0))</f>
        <v>0</v>
      </c>
      <c r="N666" s="10">
        <f t="shared" si="30"/>
        <v>0</v>
      </c>
      <c r="O666" s="10">
        <f t="shared" si="31"/>
        <v>0</v>
      </c>
      <c r="P666" s="10">
        <f t="shared" si="32"/>
        <v>0</v>
      </c>
      <c r="Q666" t="str">
        <f>IFERROR(INDEX(Работы!$J$2:$J$6000,MATCH($C666,Работы!$A$2:$A$6000,0)),"")</f>
        <v>типовая</v>
      </c>
      <c r="R666" t="s">
        <v>92</v>
      </c>
      <c r="T666" t="str">
        <f>IF(AND($P666&gt;0,$R666="да"),MAX($T$1:$T665)+1,"")</f>
        <v/>
      </c>
    </row>
    <row r="667" spans="1:20" ht="28.8" x14ac:dyDescent="0.3">
      <c r="A667" t="str">
        <f>IFERROR(INDEX(Работы!$D$2:$D$6000,MATCH($C667,Работы!$A$2:$A$6000,0)),"")</f>
        <v>Р9</v>
      </c>
      <c r="B667" t="str">
        <f>IFERROR(INDEX(Работы!$F$2:$F$6000,MATCH($C667,Работы!$A$2:$A$6000,0)),"")</f>
        <v>2</v>
      </c>
      <c r="C667" t="str">
        <f>IFERROR(INDEX(Работы!$A$2:$A$6000,666),"")</f>
        <v>РАБ.Р9.2.029</v>
      </c>
      <c r="D667" s="8" t="str">
        <f>IFERROR(INDEX(Работы!$B$2:$B$6000,MATCH($C667,Работы!$A$2:$A$6000,0)),"")</f>
        <v>Монтаж модульного аппарата (автомат / УЗО / дифавтомат / рубильник)</v>
      </c>
      <c r="E667" t="str">
        <f>IFERROR(INDEX(Работы!$C$2:$C$6000,MATCH($C667,Работы!$A$2:$A$6000,0)),"")</f>
        <v>шт.</v>
      </c>
      <c r="F667" t="str">
        <f>IFERROR(INDEX(Работы!$G$2:$G$6000,MATCH($C667,Работы!$A$2:$A$6000,0)),"")</f>
        <v>ЭА.МОД</v>
      </c>
      <c r="G667" t="str">
        <f>IFERROR(INDEX(Работы!$K$2:$K$6000,MATCH($C667,Работы!$A$2:$A$6000,0)),"")</f>
        <v>Спецификация</v>
      </c>
      <c r="H667" s="9"/>
      <c r="I667" s="9"/>
      <c r="J667" s="8" t="str">
        <f>IFERROR(INDEX(Материалы!$B$2:$B$9000,MATCH($I667,Материалы!$A$2:$A$9000,0)),"")</f>
        <v/>
      </c>
      <c r="K667" t="str">
        <f>IF($I667="","",IF($F667=IFERROR(INDEX(Материалы!$G$2:$G$9000,MATCH($I667,Материалы!$A$2:$A$9000,0)),""),"OK","!! не та группа"))</f>
        <v/>
      </c>
      <c r="L667" s="10">
        <f>IFERROR(INDEX(Работы!$H$2:$H$6000,MATCH($C667,Работы!$A$2:$A$6000,0))*(1-ДисконтТендер),0)</f>
        <v>449.79</v>
      </c>
      <c r="M667" s="10">
        <f>IF($I667="",0,IFERROR(INDEX(Материалы!$I$2:$I$9000,MATCH($I667,Материалы!$A$2:$A$9000,0))*IF(INDEX(Материалы!$J$2:$J$9000,MATCH($I667,Материалы!$A$2:$A$9000,0))="USD",КурсUSD,IF(INDEX(Материалы!$J$2:$J$9000,MATCH($I667,Материалы!$A$2:$A$9000,0))="EUR",КурсEUR,1))*INDEX(Материалы!$K$2:$K$9000,MATCH($I667,Материалы!$A$2:$A$9000,0))*(1+IFERROR(INDEX(Работы!$I$2:$I$6000,MATCH($C667,Работы!$A$2:$A$6000,0))/100,0))*(1-ДисконтТендер),0))</f>
        <v>0</v>
      </c>
      <c r="N667" s="10">
        <f t="shared" si="30"/>
        <v>0</v>
      </c>
      <c r="O667" s="10">
        <f t="shared" si="31"/>
        <v>0</v>
      </c>
      <c r="P667" s="10">
        <f t="shared" si="32"/>
        <v>0</v>
      </c>
      <c r="Q667" t="str">
        <f>IFERROR(INDEX(Работы!$J$2:$J$6000,MATCH($C667,Работы!$A$2:$A$6000,0)),"")</f>
        <v>типовая</v>
      </c>
      <c r="R667" t="s">
        <v>92</v>
      </c>
      <c r="T667" t="str">
        <f>IF(AND($P667&gt;0,$R667="да"),MAX($T$1:$T666)+1,"")</f>
        <v/>
      </c>
    </row>
    <row r="668" spans="1:20" ht="28.8" x14ac:dyDescent="0.3">
      <c r="A668" t="str">
        <f>IFERROR(INDEX(Работы!$D$2:$D$6000,MATCH($C668,Работы!$A$2:$A$6000,0)),"")</f>
        <v>Р9</v>
      </c>
      <c r="B668" t="str">
        <f>IFERROR(INDEX(Работы!$F$2:$F$6000,MATCH($C668,Работы!$A$2:$A$6000,0)),"")</f>
        <v>2</v>
      </c>
      <c r="C668" t="str">
        <f>IFERROR(INDEX(Работы!$A$2:$A$6000,667),"")</f>
        <v>РАБ.Р9.2.030</v>
      </c>
      <c r="D668" s="8" t="str">
        <f>IFERROR(INDEX(Работы!$B$2:$B$6000,MATCH($C668,Работы!$A$2:$A$6000,0)),"")</f>
        <v>Монтаж модульного аппарата (автомат / УЗО / дифавтомат / рубильник)</v>
      </c>
      <c r="E668" t="str">
        <f>IFERROR(INDEX(Работы!$C$2:$C$6000,MATCH($C668,Работы!$A$2:$A$6000,0)),"")</f>
        <v>шт.</v>
      </c>
      <c r="F668" t="str">
        <f>IFERROR(INDEX(Работы!$G$2:$G$6000,MATCH($C668,Работы!$A$2:$A$6000,0)),"")</f>
        <v>ЭА.МОД</v>
      </c>
      <c r="G668" t="str">
        <f>IFERROR(INDEX(Работы!$K$2:$K$6000,MATCH($C668,Работы!$A$2:$A$6000,0)),"")</f>
        <v>Спецификация</v>
      </c>
      <c r="H668" s="9"/>
      <c r="I668" s="9"/>
      <c r="J668" s="8" t="str">
        <f>IFERROR(INDEX(Материалы!$B$2:$B$9000,MATCH($I668,Материалы!$A$2:$A$9000,0)),"")</f>
        <v/>
      </c>
      <c r="K668" t="str">
        <f>IF($I668="","",IF($F668=IFERROR(INDEX(Материалы!$G$2:$G$9000,MATCH($I668,Материалы!$A$2:$A$9000,0)),""),"OK","!! не та группа"))</f>
        <v/>
      </c>
      <c r="L668" s="10">
        <f>IFERROR(INDEX(Работы!$H$2:$H$6000,MATCH($C668,Работы!$A$2:$A$6000,0))*(1-ДисконтТендер),0)</f>
        <v>577.62</v>
      </c>
      <c r="M668" s="10">
        <f>IF($I668="",0,IFERROR(INDEX(Материалы!$I$2:$I$9000,MATCH($I668,Материалы!$A$2:$A$9000,0))*IF(INDEX(Материалы!$J$2:$J$9000,MATCH($I668,Материалы!$A$2:$A$9000,0))="USD",КурсUSD,IF(INDEX(Материалы!$J$2:$J$9000,MATCH($I668,Материалы!$A$2:$A$9000,0))="EUR",КурсEUR,1))*INDEX(Материалы!$K$2:$K$9000,MATCH($I668,Материалы!$A$2:$A$9000,0))*(1+IFERROR(INDEX(Работы!$I$2:$I$6000,MATCH($C668,Работы!$A$2:$A$6000,0))/100,0))*(1-ДисконтТендер),0))</f>
        <v>0</v>
      </c>
      <c r="N668" s="10">
        <f t="shared" si="30"/>
        <v>0</v>
      </c>
      <c r="O668" s="10">
        <f t="shared" si="31"/>
        <v>0</v>
      </c>
      <c r="P668" s="10">
        <f t="shared" si="32"/>
        <v>0</v>
      </c>
      <c r="Q668" t="str">
        <f>IFERROR(INDEX(Работы!$J$2:$J$6000,MATCH($C668,Работы!$A$2:$A$6000,0)),"")</f>
        <v>типовая</v>
      </c>
      <c r="R668" t="s">
        <v>92</v>
      </c>
      <c r="T668" t="str">
        <f>IF(AND($P668&gt;0,$R668="да"),MAX($T$1:$T667)+1,"")</f>
        <v/>
      </c>
    </row>
    <row r="669" spans="1:20" ht="28.8" x14ac:dyDescent="0.3">
      <c r="A669" t="str">
        <f>IFERROR(INDEX(Работы!$D$2:$D$6000,MATCH($C669,Работы!$A$2:$A$6000,0)),"")</f>
        <v>Р9</v>
      </c>
      <c r="B669" t="str">
        <f>IFERROR(INDEX(Работы!$F$2:$F$6000,MATCH($C669,Работы!$A$2:$A$6000,0)),"")</f>
        <v>2</v>
      </c>
      <c r="C669" t="str">
        <f>IFERROR(INDEX(Работы!$A$2:$A$6000,668),"")</f>
        <v>РАБ.Р9.2.031</v>
      </c>
      <c r="D669" s="8" t="str">
        <f>IFERROR(INDEX(Работы!$B$2:$B$6000,MATCH($C669,Работы!$A$2:$A$6000,0)),"")</f>
        <v>Монтаж модульного аппарата (автомат / УЗО / дифавтомат / рубильник)</v>
      </c>
      <c r="E669" t="str">
        <f>IFERROR(INDEX(Работы!$C$2:$C$6000,MATCH($C669,Работы!$A$2:$A$6000,0)),"")</f>
        <v>шт.</v>
      </c>
      <c r="F669" t="str">
        <f>IFERROR(INDEX(Работы!$G$2:$G$6000,MATCH($C669,Работы!$A$2:$A$6000,0)),"")</f>
        <v>ЭА.МОД</v>
      </c>
      <c r="G669" t="str">
        <f>IFERROR(INDEX(Работы!$K$2:$K$6000,MATCH($C669,Работы!$A$2:$A$6000,0)),"")</f>
        <v>Спецификация</v>
      </c>
      <c r="H669" s="9"/>
      <c r="I669" s="9"/>
      <c r="J669" s="8" t="str">
        <f>IFERROR(INDEX(Материалы!$B$2:$B$9000,MATCH($I669,Материалы!$A$2:$A$9000,0)),"")</f>
        <v/>
      </c>
      <c r="K669" t="str">
        <f>IF($I669="","",IF($F669=IFERROR(INDEX(Материалы!$G$2:$G$9000,MATCH($I669,Материалы!$A$2:$A$9000,0)),""),"OK","!! не та группа"))</f>
        <v/>
      </c>
      <c r="L669" s="10">
        <f>IFERROR(INDEX(Работы!$H$2:$H$6000,MATCH($C669,Работы!$A$2:$A$6000,0))*(1-ДисконтТендер),0)</f>
        <v>636.41</v>
      </c>
      <c r="M669" s="10">
        <f>IF($I669="",0,IFERROR(INDEX(Материалы!$I$2:$I$9000,MATCH($I669,Материалы!$A$2:$A$9000,0))*IF(INDEX(Материалы!$J$2:$J$9000,MATCH($I669,Материалы!$A$2:$A$9000,0))="USD",КурсUSD,IF(INDEX(Материалы!$J$2:$J$9000,MATCH($I669,Материалы!$A$2:$A$9000,0))="EUR",КурсEUR,1))*INDEX(Материалы!$K$2:$K$9000,MATCH($I669,Материалы!$A$2:$A$9000,0))*(1+IFERROR(INDEX(Работы!$I$2:$I$6000,MATCH($C669,Работы!$A$2:$A$6000,0))/100,0))*(1-ДисконтТендер),0))</f>
        <v>0</v>
      </c>
      <c r="N669" s="10">
        <f t="shared" si="30"/>
        <v>0</v>
      </c>
      <c r="O669" s="10">
        <f t="shared" si="31"/>
        <v>0</v>
      </c>
      <c r="P669" s="10">
        <f t="shared" si="32"/>
        <v>0</v>
      </c>
      <c r="Q669" t="str">
        <f>IFERROR(INDEX(Работы!$J$2:$J$6000,MATCH($C669,Работы!$A$2:$A$6000,0)),"")</f>
        <v>типовая</v>
      </c>
      <c r="R669" t="s">
        <v>92</v>
      </c>
      <c r="T669" t="str">
        <f>IF(AND($P669&gt;0,$R669="да"),MAX($T$1:$T668)+1,"")</f>
        <v/>
      </c>
    </row>
    <row r="670" spans="1:20" ht="28.8" x14ac:dyDescent="0.3">
      <c r="A670" t="str">
        <f>IFERROR(INDEX(Работы!$D$2:$D$6000,MATCH($C670,Работы!$A$2:$A$6000,0)),"")</f>
        <v>Р9</v>
      </c>
      <c r="B670" t="str">
        <f>IFERROR(INDEX(Работы!$F$2:$F$6000,MATCH($C670,Работы!$A$2:$A$6000,0)),"")</f>
        <v>2</v>
      </c>
      <c r="C670" t="str">
        <f>IFERROR(INDEX(Работы!$A$2:$A$6000,669),"")</f>
        <v>РАБ.Р9.2.032</v>
      </c>
      <c r="D670" s="8" t="str">
        <f>IFERROR(INDEX(Работы!$B$2:$B$6000,MATCH($C670,Работы!$A$2:$A$6000,0)),"")</f>
        <v>Монтаж модульного аппарата (автомат / УЗО / дифавтомат / рубильник)</v>
      </c>
      <c r="E670" t="str">
        <f>IFERROR(INDEX(Работы!$C$2:$C$6000,MATCH($C670,Работы!$A$2:$A$6000,0)),"")</f>
        <v>шт.</v>
      </c>
      <c r="F670" t="str">
        <f>IFERROR(INDEX(Работы!$G$2:$G$6000,MATCH($C670,Работы!$A$2:$A$6000,0)),"")</f>
        <v>ЭА.МОД</v>
      </c>
      <c r="G670" t="str">
        <f>IFERROR(INDEX(Работы!$K$2:$K$6000,MATCH($C670,Работы!$A$2:$A$6000,0)),"")</f>
        <v>Спецификация</v>
      </c>
      <c r="H670" s="9"/>
      <c r="I670" s="9"/>
      <c r="J670" s="8" t="str">
        <f>IFERROR(INDEX(Материалы!$B$2:$B$9000,MATCH($I670,Материалы!$A$2:$A$9000,0)),"")</f>
        <v/>
      </c>
      <c r="K670" t="str">
        <f>IF($I670="","",IF($F670=IFERROR(INDEX(Материалы!$G$2:$G$9000,MATCH($I670,Материалы!$A$2:$A$9000,0)),""),"OK","!! не та группа"))</f>
        <v/>
      </c>
      <c r="L670" s="10">
        <f>IFERROR(INDEX(Работы!$H$2:$H$6000,MATCH($C670,Работы!$A$2:$A$6000,0))*(1-ДисконтТендер),0)</f>
        <v>787.67</v>
      </c>
      <c r="M670" s="10">
        <f>IF($I670="",0,IFERROR(INDEX(Материалы!$I$2:$I$9000,MATCH($I670,Материалы!$A$2:$A$9000,0))*IF(INDEX(Материалы!$J$2:$J$9000,MATCH($I670,Материалы!$A$2:$A$9000,0))="USD",КурсUSD,IF(INDEX(Материалы!$J$2:$J$9000,MATCH($I670,Материалы!$A$2:$A$9000,0))="EUR",КурсEUR,1))*INDEX(Материалы!$K$2:$K$9000,MATCH($I670,Материалы!$A$2:$A$9000,0))*(1+IFERROR(INDEX(Работы!$I$2:$I$6000,MATCH($C670,Работы!$A$2:$A$6000,0))/100,0))*(1-ДисконтТендер),0))</f>
        <v>0</v>
      </c>
      <c r="N670" s="10">
        <f t="shared" si="30"/>
        <v>0</v>
      </c>
      <c r="O670" s="10">
        <f t="shared" si="31"/>
        <v>0</v>
      </c>
      <c r="P670" s="10">
        <f t="shared" si="32"/>
        <v>0</v>
      </c>
      <c r="Q670" t="str">
        <f>IFERROR(INDEX(Работы!$J$2:$J$6000,MATCH($C670,Работы!$A$2:$A$6000,0)),"")</f>
        <v>типовая</v>
      </c>
      <c r="R670" t="s">
        <v>92</v>
      </c>
      <c r="T670" t="str">
        <f>IF(AND($P670&gt;0,$R670="да"),MAX($T$1:$T669)+1,"")</f>
        <v/>
      </c>
    </row>
    <row r="671" spans="1:20" ht="28.8" x14ac:dyDescent="0.3">
      <c r="A671" t="str">
        <f>IFERROR(INDEX(Работы!$D$2:$D$6000,MATCH($C671,Работы!$A$2:$A$6000,0)),"")</f>
        <v>Р9</v>
      </c>
      <c r="B671" t="str">
        <f>IFERROR(INDEX(Работы!$F$2:$F$6000,MATCH($C671,Работы!$A$2:$A$6000,0)),"")</f>
        <v>2</v>
      </c>
      <c r="C671" t="str">
        <f>IFERROR(INDEX(Работы!$A$2:$A$6000,670),"")</f>
        <v>РАБ.Р9.2.033</v>
      </c>
      <c r="D671" s="8" t="str">
        <f>IFERROR(INDEX(Работы!$B$2:$B$6000,MATCH($C671,Работы!$A$2:$A$6000,0)),"")</f>
        <v>Монтаж модульного аппарата (автомат / УЗО / дифавтомат / рубильник)</v>
      </c>
      <c r="E671" t="str">
        <f>IFERROR(INDEX(Работы!$C$2:$C$6000,MATCH($C671,Работы!$A$2:$A$6000,0)),"")</f>
        <v>шт.</v>
      </c>
      <c r="F671" t="str">
        <f>IFERROR(INDEX(Работы!$G$2:$G$6000,MATCH($C671,Работы!$A$2:$A$6000,0)),"")</f>
        <v>ЭА.МОД</v>
      </c>
      <c r="G671" t="str">
        <f>IFERROR(INDEX(Работы!$K$2:$K$6000,MATCH($C671,Работы!$A$2:$A$6000,0)),"")</f>
        <v>Спецификация</v>
      </c>
      <c r="H671" s="9"/>
      <c r="I671" s="9"/>
      <c r="J671" s="8" t="str">
        <f>IFERROR(INDEX(Материалы!$B$2:$B$9000,MATCH($I671,Материалы!$A$2:$A$9000,0)),"")</f>
        <v/>
      </c>
      <c r="K671" t="str">
        <f>IF($I671="","",IF($F671=IFERROR(INDEX(Материалы!$G$2:$G$9000,MATCH($I671,Материалы!$A$2:$A$9000,0)),""),"OK","!! не та группа"))</f>
        <v/>
      </c>
      <c r="L671" s="10">
        <f>IFERROR(INDEX(Работы!$H$2:$H$6000,MATCH($C671,Работы!$A$2:$A$6000,0))*(1-ДисконтТендер),0)</f>
        <v>746.46</v>
      </c>
      <c r="M671" s="10">
        <f>IF($I671="",0,IFERROR(INDEX(Материалы!$I$2:$I$9000,MATCH($I671,Материалы!$A$2:$A$9000,0))*IF(INDEX(Материалы!$J$2:$J$9000,MATCH($I671,Материалы!$A$2:$A$9000,0))="USD",КурсUSD,IF(INDEX(Материалы!$J$2:$J$9000,MATCH($I671,Материалы!$A$2:$A$9000,0))="EUR",КурсEUR,1))*INDEX(Материалы!$K$2:$K$9000,MATCH($I671,Материалы!$A$2:$A$9000,0))*(1+IFERROR(INDEX(Работы!$I$2:$I$6000,MATCH($C671,Работы!$A$2:$A$6000,0))/100,0))*(1-ДисконтТендер),0))</f>
        <v>0</v>
      </c>
      <c r="N671" s="10">
        <f t="shared" si="30"/>
        <v>0</v>
      </c>
      <c r="O671" s="10">
        <f t="shared" si="31"/>
        <v>0</v>
      </c>
      <c r="P671" s="10">
        <f t="shared" si="32"/>
        <v>0</v>
      </c>
      <c r="Q671" t="str">
        <f>IFERROR(INDEX(Работы!$J$2:$J$6000,MATCH($C671,Работы!$A$2:$A$6000,0)),"")</f>
        <v>типовая</v>
      </c>
      <c r="R671" t="s">
        <v>92</v>
      </c>
      <c r="T671" t="str">
        <f>IF(AND($P671&gt;0,$R671="да"),MAX($T$1:$T670)+1,"")</f>
        <v/>
      </c>
    </row>
    <row r="672" spans="1:20" ht="28.8" x14ac:dyDescent="0.3">
      <c r="A672" t="str">
        <f>IFERROR(INDEX(Работы!$D$2:$D$6000,MATCH($C672,Работы!$A$2:$A$6000,0)),"")</f>
        <v>Р9</v>
      </c>
      <c r="B672" t="str">
        <f>IFERROR(INDEX(Работы!$F$2:$F$6000,MATCH($C672,Работы!$A$2:$A$6000,0)),"")</f>
        <v>2</v>
      </c>
      <c r="C672" t="str">
        <f>IFERROR(INDEX(Работы!$A$2:$A$6000,671),"")</f>
        <v>РАБ.Р9.2.034</v>
      </c>
      <c r="D672" s="8" t="str">
        <f>IFERROR(INDEX(Работы!$B$2:$B$6000,MATCH($C672,Работы!$A$2:$A$6000,0)),"")</f>
        <v>Монтаж модульного аппарата (автомат / УЗО / дифавтомат / рубильник)</v>
      </c>
      <c r="E672" t="str">
        <f>IFERROR(INDEX(Работы!$C$2:$C$6000,MATCH($C672,Работы!$A$2:$A$6000,0)),"")</f>
        <v>шт.</v>
      </c>
      <c r="F672" t="str">
        <f>IFERROR(INDEX(Работы!$G$2:$G$6000,MATCH($C672,Работы!$A$2:$A$6000,0)),"")</f>
        <v>ЭА.МОД</v>
      </c>
      <c r="G672" t="str">
        <f>IFERROR(INDEX(Работы!$K$2:$K$6000,MATCH($C672,Работы!$A$2:$A$6000,0)),"")</f>
        <v>Спецификация</v>
      </c>
      <c r="H672" s="9"/>
      <c r="I672" s="9"/>
      <c r="J672" s="8" t="str">
        <f>IFERROR(INDEX(Материалы!$B$2:$B$9000,MATCH($I672,Материалы!$A$2:$A$9000,0)),"")</f>
        <v/>
      </c>
      <c r="K672" t="str">
        <f>IF($I672="","",IF($F672=IFERROR(INDEX(Материалы!$G$2:$G$9000,MATCH($I672,Материалы!$A$2:$A$9000,0)),""),"OK","!! не та группа"))</f>
        <v/>
      </c>
      <c r="L672" s="10">
        <f>IFERROR(INDEX(Работы!$H$2:$H$6000,MATCH($C672,Работы!$A$2:$A$6000,0))*(1-ДисконтТендер),0)</f>
        <v>791.7</v>
      </c>
      <c r="M672" s="10">
        <f>IF($I672="",0,IFERROR(INDEX(Материалы!$I$2:$I$9000,MATCH($I672,Материалы!$A$2:$A$9000,0))*IF(INDEX(Материалы!$J$2:$J$9000,MATCH($I672,Материалы!$A$2:$A$9000,0))="USD",КурсUSD,IF(INDEX(Материалы!$J$2:$J$9000,MATCH($I672,Материалы!$A$2:$A$9000,0))="EUR",КурсEUR,1))*INDEX(Материалы!$K$2:$K$9000,MATCH($I672,Материалы!$A$2:$A$9000,0))*(1+IFERROR(INDEX(Работы!$I$2:$I$6000,MATCH($C672,Работы!$A$2:$A$6000,0))/100,0))*(1-ДисконтТендер),0))</f>
        <v>0</v>
      </c>
      <c r="N672" s="10">
        <f t="shared" si="30"/>
        <v>0</v>
      </c>
      <c r="O672" s="10">
        <f t="shared" si="31"/>
        <v>0</v>
      </c>
      <c r="P672" s="10">
        <f t="shared" si="32"/>
        <v>0</v>
      </c>
      <c r="Q672" t="str">
        <f>IFERROR(INDEX(Работы!$J$2:$J$6000,MATCH($C672,Работы!$A$2:$A$6000,0)),"")</f>
        <v>типовая</v>
      </c>
      <c r="R672" t="s">
        <v>92</v>
      </c>
      <c r="T672" t="str">
        <f>IF(AND($P672&gt;0,$R672="да"),MAX($T$1:$T671)+1,"")</f>
        <v/>
      </c>
    </row>
    <row r="673" spans="1:20" ht="28.8" x14ac:dyDescent="0.3">
      <c r="A673" t="str">
        <f>IFERROR(INDEX(Работы!$D$2:$D$6000,MATCH($C673,Работы!$A$2:$A$6000,0)),"")</f>
        <v>Р9</v>
      </c>
      <c r="B673" t="str">
        <f>IFERROR(INDEX(Работы!$F$2:$F$6000,MATCH($C673,Работы!$A$2:$A$6000,0)),"")</f>
        <v>2</v>
      </c>
      <c r="C673" t="str">
        <f>IFERROR(INDEX(Работы!$A$2:$A$6000,672),"")</f>
        <v>РАБ.Р9.2.035</v>
      </c>
      <c r="D673" s="8" t="str">
        <f>IFERROR(INDEX(Работы!$B$2:$B$6000,MATCH($C673,Работы!$A$2:$A$6000,0)),"")</f>
        <v>Монтаж модульного аппарата (автомат / УЗО / дифавтомат / рубильник)</v>
      </c>
      <c r="E673" t="str">
        <f>IFERROR(INDEX(Работы!$C$2:$C$6000,MATCH($C673,Работы!$A$2:$A$6000,0)),"")</f>
        <v>шт.</v>
      </c>
      <c r="F673" t="str">
        <f>IFERROR(INDEX(Работы!$G$2:$G$6000,MATCH($C673,Работы!$A$2:$A$6000,0)),"")</f>
        <v>ЭА.МОД</v>
      </c>
      <c r="G673" t="str">
        <f>IFERROR(INDEX(Работы!$K$2:$K$6000,MATCH($C673,Работы!$A$2:$A$6000,0)),"")</f>
        <v>Спецификация</v>
      </c>
      <c r="H673" s="9"/>
      <c r="I673" s="9"/>
      <c r="J673" s="8" t="str">
        <f>IFERROR(INDEX(Материалы!$B$2:$B$9000,MATCH($I673,Материалы!$A$2:$A$9000,0)),"")</f>
        <v/>
      </c>
      <c r="K673" t="str">
        <f>IF($I673="","",IF($F673=IFERROR(INDEX(Материалы!$G$2:$G$9000,MATCH($I673,Материалы!$A$2:$A$9000,0)),""),"OK","!! не та группа"))</f>
        <v/>
      </c>
      <c r="L673" s="10">
        <f>IFERROR(INDEX(Работы!$H$2:$H$6000,MATCH($C673,Работы!$A$2:$A$6000,0))*(1-ДисконтТендер),0)</f>
        <v>945.21</v>
      </c>
      <c r="M673" s="10">
        <f>IF($I673="",0,IFERROR(INDEX(Материалы!$I$2:$I$9000,MATCH($I673,Материалы!$A$2:$A$9000,0))*IF(INDEX(Материалы!$J$2:$J$9000,MATCH($I673,Материалы!$A$2:$A$9000,0))="USD",КурсUSD,IF(INDEX(Материалы!$J$2:$J$9000,MATCH($I673,Материалы!$A$2:$A$9000,0))="EUR",КурсEUR,1))*INDEX(Материалы!$K$2:$K$9000,MATCH($I673,Материалы!$A$2:$A$9000,0))*(1+IFERROR(INDEX(Работы!$I$2:$I$6000,MATCH($C673,Работы!$A$2:$A$6000,0))/100,0))*(1-ДисконтТендер),0))</f>
        <v>0</v>
      </c>
      <c r="N673" s="10">
        <f t="shared" si="30"/>
        <v>0</v>
      </c>
      <c r="O673" s="10">
        <f t="shared" si="31"/>
        <v>0</v>
      </c>
      <c r="P673" s="10">
        <f t="shared" si="32"/>
        <v>0</v>
      </c>
      <c r="Q673" t="str">
        <f>IFERROR(INDEX(Работы!$J$2:$J$6000,MATCH($C673,Работы!$A$2:$A$6000,0)),"")</f>
        <v>типовая</v>
      </c>
      <c r="R673" t="s">
        <v>92</v>
      </c>
      <c r="T673" t="str">
        <f>IF(AND($P673&gt;0,$R673="да"),MAX($T$1:$T672)+1,"")</f>
        <v/>
      </c>
    </row>
    <row r="674" spans="1:20" ht="28.8" x14ac:dyDescent="0.3">
      <c r="A674" t="str">
        <f>IFERROR(INDEX(Работы!$D$2:$D$6000,MATCH($C674,Работы!$A$2:$A$6000,0)),"")</f>
        <v>Р9</v>
      </c>
      <c r="B674" t="str">
        <f>IFERROR(INDEX(Работы!$F$2:$F$6000,MATCH($C674,Работы!$A$2:$A$6000,0)),"")</f>
        <v>2</v>
      </c>
      <c r="C674" t="str">
        <f>IFERROR(INDEX(Работы!$A$2:$A$6000,673),"")</f>
        <v>РАБ.Р9.2.036</v>
      </c>
      <c r="D674" s="8" t="str">
        <f>IFERROR(INDEX(Работы!$B$2:$B$6000,MATCH($C674,Работы!$A$2:$A$6000,0)),"")</f>
        <v>Монтаж модульного аппарата (автомат / УЗО / дифавтомат / рубильник)</v>
      </c>
      <c r="E674" t="str">
        <f>IFERROR(INDEX(Работы!$C$2:$C$6000,MATCH($C674,Работы!$A$2:$A$6000,0)),"")</f>
        <v>шт.</v>
      </c>
      <c r="F674" t="str">
        <f>IFERROR(INDEX(Работы!$G$2:$G$6000,MATCH($C674,Работы!$A$2:$A$6000,0)),"")</f>
        <v>ЭА.МОД</v>
      </c>
      <c r="G674" t="str">
        <f>IFERROR(INDEX(Работы!$K$2:$K$6000,MATCH($C674,Работы!$A$2:$A$6000,0)),"")</f>
        <v>Спецификация</v>
      </c>
      <c r="H674" s="9"/>
      <c r="I674" s="9"/>
      <c r="J674" s="8" t="str">
        <f>IFERROR(INDEX(Материалы!$B$2:$B$9000,MATCH($I674,Материалы!$A$2:$A$9000,0)),"")</f>
        <v/>
      </c>
      <c r="K674" t="str">
        <f>IF($I674="","",IF($F674=IFERROR(INDEX(Материалы!$G$2:$G$9000,MATCH($I674,Материалы!$A$2:$A$9000,0)),""),"OK","!! не та группа"))</f>
        <v/>
      </c>
      <c r="L674" s="10">
        <f>IFERROR(INDEX(Работы!$H$2:$H$6000,MATCH($C674,Работы!$A$2:$A$6000,0))*(1-ДисконтТендер),0)</f>
        <v>997.71</v>
      </c>
      <c r="M674" s="10">
        <f>IF($I674="",0,IFERROR(INDEX(Материалы!$I$2:$I$9000,MATCH($I674,Материалы!$A$2:$A$9000,0))*IF(INDEX(Материалы!$J$2:$J$9000,MATCH($I674,Материалы!$A$2:$A$9000,0))="USD",КурсUSD,IF(INDEX(Материалы!$J$2:$J$9000,MATCH($I674,Материалы!$A$2:$A$9000,0))="EUR",КурсEUR,1))*INDEX(Материалы!$K$2:$K$9000,MATCH($I674,Материалы!$A$2:$A$9000,0))*(1+IFERROR(INDEX(Работы!$I$2:$I$6000,MATCH($C674,Работы!$A$2:$A$6000,0))/100,0))*(1-ДисконтТендер),0))</f>
        <v>0</v>
      </c>
      <c r="N674" s="10">
        <f t="shared" si="30"/>
        <v>0</v>
      </c>
      <c r="O674" s="10">
        <f t="shared" si="31"/>
        <v>0</v>
      </c>
      <c r="P674" s="10">
        <f t="shared" si="32"/>
        <v>0</v>
      </c>
      <c r="Q674" t="str">
        <f>IFERROR(INDEX(Работы!$J$2:$J$6000,MATCH($C674,Работы!$A$2:$A$6000,0)),"")</f>
        <v>типовая</v>
      </c>
      <c r="R674" t="s">
        <v>92</v>
      </c>
      <c r="T674" t="str">
        <f>IF(AND($P674&gt;0,$R674="да"),MAX($T$1:$T673)+1,"")</f>
        <v/>
      </c>
    </row>
    <row r="675" spans="1:20" ht="28.8" x14ac:dyDescent="0.3">
      <c r="A675" t="str">
        <f>IFERROR(INDEX(Работы!$D$2:$D$6000,MATCH($C675,Работы!$A$2:$A$6000,0)),"")</f>
        <v>Р9</v>
      </c>
      <c r="B675" t="str">
        <f>IFERROR(INDEX(Работы!$F$2:$F$6000,MATCH($C675,Работы!$A$2:$A$6000,0)),"")</f>
        <v>2</v>
      </c>
      <c r="C675" t="str">
        <f>IFERROR(INDEX(Работы!$A$2:$A$6000,674),"")</f>
        <v>РАБ.Р9.2.037</v>
      </c>
      <c r="D675" s="8" t="str">
        <f>IFERROR(INDEX(Работы!$B$2:$B$6000,MATCH($C675,Работы!$A$2:$A$6000,0)),"")</f>
        <v>Монтаж модульного аппарата (автомат / УЗО / дифавтомат / рубильник)</v>
      </c>
      <c r="E675" t="str">
        <f>IFERROR(INDEX(Работы!$C$2:$C$6000,MATCH($C675,Работы!$A$2:$A$6000,0)),"")</f>
        <v>шт.</v>
      </c>
      <c r="F675" t="str">
        <f>IFERROR(INDEX(Работы!$G$2:$G$6000,MATCH($C675,Работы!$A$2:$A$6000,0)),"")</f>
        <v>ЭА.МОД</v>
      </c>
      <c r="G675" t="str">
        <f>IFERROR(INDEX(Работы!$K$2:$K$6000,MATCH($C675,Работы!$A$2:$A$6000,0)),"")</f>
        <v>Спецификация</v>
      </c>
      <c r="H675" s="9"/>
      <c r="I675" s="9"/>
      <c r="J675" s="8" t="str">
        <f>IFERROR(INDEX(Материалы!$B$2:$B$9000,MATCH($I675,Материалы!$A$2:$A$9000,0)),"")</f>
        <v/>
      </c>
      <c r="K675" t="str">
        <f>IF($I675="","",IF($F675=IFERROR(INDEX(Материалы!$G$2:$G$9000,MATCH($I675,Материалы!$A$2:$A$9000,0)),""),"OK","!! не та группа"))</f>
        <v/>
      </c>
      <c r="L675" s="10">
        <f>IFERROR(INDEX(Работы!$H$2:$H$6000,MATCH($C675,Работы!$A$2:$A$6000,0))*(1-ДисконтТендер),0)</f>
        <v>1260.27</v>
      </c>
      <c r="M675" s="10">
        <f>IF($I675="",0,IFERROR(INDEX(Материалы!$I$2:$I$9000,MATCH($I675,Материалы!$A$2:$A$9000,0))*IF(INDEX(Материалы!$J$2:$J$9000,MATCH($I675,Материалы!$A$2:$A$9000,0))="USD",КурсUSD,IF(INDEX(Материалы!$J$2:$J$9000,MATCH($I675,Материалы!$A$2:$A$9000,0))="EUR",КурсEUR,1))*INDEX(Материалы!$K$2:$K$9000,MATCH($I675,Материалы!$A$2:$A$9000,0))*(1+IFERROR(INDEX(Работы!$I$2:$I$6000,MATCH($C675,Работы!$A$2:$A$6000,0))/100,0))*(1-ДисконтТендер),0))</f>
        <v>0</v>
      </c>
      <c r="N675" s="10">
        <f t="shared" si="30"/>
        <v>0</v>
      </c>
      <c r="O675" s="10">
        <f t="shared" si="31"/>
        <v>0</v>
      </c>
      <c r="P675" s="10">
        <f t="shared" si="32"/>
        <v>0</v>
      </c>
      <c r="Q675" t="str">
        <f>IFERROR(INDEX(Работы!$J$2:$J$6000,MATCH($C675,Работы!$A$2:$A$6000,0)),"")</f>
        <v>типовая</v>
      </c>
      <c r="R675" t="s">
        <v>92</v>
      </c>
      <c r="T675" t="str">
        <f>IF(AND($P675&gt;0,$R675="да"),MAX($T$1:$T674)+1,"")</f>
        <v/>
      </c>
    </row>
    <row r="676" spans="1:20" ht="28.8" x14ac:dyDescent="0.3">
      <c r="A676" t="str">
        <f>IFERROR(INDEX(Работы!$D$2:$D$6000,MATCH($C676,Работы!$A$2:$A$6000,0)),"")</f>
        <v>Р9</v>
      </c>
      <c r="B676" t="str">
        <f>IFERROR(INDEX(Работы!$F$2:$F$6000,MATCH($C676,Работы!$A$2:$A$6000,0)),"")</f>
        <v>2</v>
      </c>
      <c r="C676" t="str">
        <f>IFERROR(INDEX(Работы!$A$2:$A$6000,675),"")</f>
        <v>РАБ.Р9.2.038</v>
      </c>
      <c r="D676" s="8" t="str">
        <f>IFERROR(INDEX(Работы!$B$2:$B$6000,MATCH($C676,Работы!$A$2:$A$6000,0)),"")</f>
        <v>Монтаж модульного аппарата (автомат / УЗО / дифавтомат / рубильник)</v>
      </c>
      <c r="E676" t="str">
        <f>IFERROR(INDEX(Работы!$C$2:$C$6000,MATCH($C676,Работы!$A$2:$A$6000,0)),"")</f>
        <v>шт.</v>
      </c>
      <c r="F676" t="str">
        <f>IFERROR(INDEX(Работы!$G$2:$G$6000,MATCH($C676,Работы!$A$2:$A$6000,0)),"")</f>
        <v>ЭА.МОД</v>
      </c>
      <c r="G676" t="str">
        <f>IFERROR(INDEX(Работы!$K$2:$K$6000,MATCH($C676,Работы!$A$2:$A$6000,0)),"")</f>
        <v>Спецификация</v>
      </c>
      <c r="H676" s="9"/>
      <c r="I676" s="9"/>
      <c r="J676" s="8" t="str">
        <f>IFERROR(INDEX(Материалы!$B$2:$B$9000,MATCH($I676,Материалы!$A$2:$A$9000,0)),"")</f>
        <v/>
      </c>
      <c r="K676" t="str">
        <f>IF($I676="","",IF($F676=IFERROR(INDEX(Материалы!$G$2:$G$9000,MATCH($I676,Материалы!$A$2:$A$9000,0)),""),"OK","!! не та группа"))</f>
        <v/>
      </c>
      <c r="L676" s="10">
        <f>IFERROR(INDEX(Работы!$H$2:$H$6000,MATCH($C676,Работы!$A$2:$A$6000,0))*(1-ДисконтТендер),0)</f>
        <v>1540.16</v>
      </c>
      <c r="M676" s="10">
        <f>IF($I676="",0,IFERROR(INDEX(Материалы!$I$2:$I$9000,MATCH($I676,Материалы!$A$2:$A$9000,0))*IF(INDEX(Материалы!$J$2:$J$9000,MATCH($I676,Материалы!$A$2:$A$9000,0))="USD",КурсUSD,IF(INDEX(Материалы!$J$2:$J$9000,MATCH($I676,Материалы!$A$2:$A$9000,0))="EUR",КурсEUR,1))*INDEX(Материалы!$K$2:$K$9000,MATCH($I676,Материалы!$A$2:$A$9000,0))*(1+IFERROR(INDEX(Работы!$I$2:$I$6000,MATCH($C676,Работы!$A$2:$A$6000,0))/100,0))*(1-ДисконтТендер),0))</f>
        <v>0</v>
      </c>
      <c r="N676" s="10">
        <f t="shared" si="30"/>
        <v>0</v>
      </c>
      <c r="O676" s="10">
        <f t="shared" si="31"/>
        <v>0</v>
      </c>
      <c r="P676" s="10">
        <f t="shared" si="32"/>
        <v>0</v>
      </c>
      <c r="Q676" t="str">
        <f>IFERROR(INDEX(Работы!$J$2:$J$6000,MATCH($C676,Работы!$A$2:$A$6000,0)),"")</f>
        <v>типовая</v>
      </c>
      <c r="R676" t="s">
        <v>92</v>
      </c>
      <c r="T676" t="str">
        <f>IF(AND($P676&gt;0,$R676="да"),MAX($T$1:$T675)+1,"")</f>
        <v/>
      </c>
    </row>
    <row r="677" spans="1:20" ht="28.8" x14ac:dyDescent="0.3">
      <c r="A677" t="str">
        <f>IFERROR(INDEX(Работы!$D$2:$D$6000,MATCH($C677,Работы!$A$2:$A$6000,0)),"")</f>
        <v>Р9</v>
      </c>
      <c r="B677" t="str">
        <f>IFERROR(INDEX(Работы!$F$2:$F$6000,MATCH($C677,Работы!$A$2:$A$6000,0)),"")</f>
        <v>2</v>
      </c>
      <c r="C677" t="str">
        <f>IFERROR(INDEX(Работы!$A$2:$A$6000,676),"")</f>
        <v>РАБ.Р9.2.039</v>
      </c>
      <c r="D677" s="8" t="str">
        <f>IFERROR(INDEX(Работы!$B$2:$B$6000,MATCH($C677,Работы!$A$2:$A$6000,0)),"")</f>
        <v>Монтаж модульного аппарата (автомат / УЗО / дифавтомат / рубильник)</v>
      </c>
      <c r="E677" t="str">
        <f>IFERROR(INDEX(Работы!$C$2:$C$6000,MATCH($C677,Работы!$A$2:$A$6000,0)),"")</f>
        <v>шт.</v>
      </c>
      <c r="F677" t="str">
        <f>IFERROR(INDEX(Работы!$G$2:$G$6000,MATCH($C677,Работы!$A$2:$A$6000,0)),"")</f>
        <v>ЭА.МОД</v>
      </c>
      <c r="G677" t="str">
        <f>IFERROR(INDEX(Работы!$K$2:$K$6000,MATCH($C677,Работы!$A$2:$A$6000,0)),"")</f>
        <v>Спецификация</v>
      </c>
      <c r="H677" s="9"/>
      <c r="I677" s="9"/>
      <c r="J677" s="8" t="str">
        <f>IFERROR(INDEX(Материалы!$B$2:$B$9000,MATCH($I677,Материалы!$A$2:$A$9000,0)),"")</f>
        <v/>
      </c>
      <c r="K677" t="str">
        <f>IF($I677="","",IF($F677=IFERROR(INDEX(Материалы!$G$2:$G$9000,MATCH($I677,Материалы!$A$2:$A$9000,0)),""),"OK","!! не та группа"))</f>
        <v/>
      </c>
      <c r="L677" s="10">
        <f>IFERROR(INDEX(Работы!$H$2:$H$6000,MATCH($C677,Работы!$A$2:$A$6000,0))*(1-ДисконтТендер),0)</f>
        <v>984.84</v>
      </c>
      <c r="M677" s="10">
        <f>IF($I677="",0,IFERROR(INDEX(Материалы!$I$2:$I$9000,MATCH($I677,Материалы!$A$2:$A$9000,0))*IF(INDEX(Материалы!$J$2:$J$9000,MATCH($I677,Материалы!$A$2:$A$9000,0))="USD",КурсUSD,IF(INDEX(Материалы!$J$2:$J$9000,MATCH($I677,Материалы!$A$2:$A$9000,0))="EUR",КурсEUR,1))*INDEX(Материалы!$K$2:$K$9000,MATCH($I677,Материалы!$A$2:$A$9000,0))*(1+IFERROR(INDEX(Работы!$I$2:$I$6000,MATCH($C677,Работы!$A$2:$A$6000,0))/100,0))*(1-ДисконтТендер),0))</f>
        <v>0</v>
      </c>
      <c r="N677" s="10">
        <f t="shared" si="30"/>
        <v>0</v>
      </c>
      <c r="O677" s="10">
        <f t="shared" si="31"/>
        <v>0</v>
      </c>
      <c r="P677" s="10">
        <f t="shared" si="32"/>
        <v>0</v>
      </c>
      <c r="Q677" t="str">
        <f>IFERROR(INDEX(Работы!$J$2:$J$6000,MATCH($C677,Работы!$A$2:$A$6000,0)),"")</f>
        <v>типовая</v>
      </c>
      <c r="R677" t="s">
        <v>92</v>
      </c>
      <c r="T677" t="str">
        <f>IF(AND($P677&gt;0,$R677="да"),MAX($T$1:$T676)+1,"")</f>
        <v/>
      </c>
    </row>
    <row r="678" spans="1:20" ht="28.8" x14ac:dyDescent="0.3">
      <c r="A678" t="str">
        <f>IFERROR(INDEX(Работы!$D$2:$D$6000,MATCH($C678,Работы!$A$2:$A$6000,0)),"")</f>
        <v>Р9</v>
      </c>
      <c r="B678" t="str">
        <f>IFERROR(INDEX(Работы!$F$2:$F$6000,MATCH($C678,Работы!$A$2:$A$6000,0)),"")</f>
        <v>2</v>
      </c>
      <c r="C678" t="str">
        <f>IFERROR(INDEX(Работы!$A$2:$A$6000,677),"")</f>
        <v>РАБ.Р9.2.040</v>
      </c>
      <c r="D678" s="8" t="str">
        <f>IFERROR(INDEX(Работы!$B$2:$B$6000,MATCH($C678,Работы!$A$2:$A$6000,0)),"")</f>
        <v>Монтаж модульного аппарата (автомат / УЗО / дифавтомат / рубильник)</v>
      </c>
      <c r="E678" t="str">
        <f>IFERROR(INDEX(Работы!$C$2:$C$6000,MATCH($C678,Работы!$A$2:$A$6000,0)),"")</f>
        <v>шт.</v>
      </c>
      <c r="F678" t="str">
        <f>IFERROR(INDEX(Работы!$G$2:$G$6000,MATCH($C678,Работы!$A$2:$A$6000,0)),"")</f>
        <v>ЭА.МОД</v>
      </c>
      <c r="G678" t="str">
        <f>IFERROR(INDEX(Работы!$K$2:$K$6000,MATCH($C678,Работы!$A$2:$A$6000,0)),"")</f>
        <v>Спецификация</v>
      </c>
      <c r="H678" s="9"/>
      <c r="I678" s="9"/>
      <c r="J678" s="8" t="str">
        <f>IFERROR(INDEX(Материалы!$B$2:$B$9000,MATCH($I678,Материалы!$A$2:$A$9000,0)),"")</f>
        <v/>
      </c>
      <c r="K678" t="str">
        <f>IF($I678="","",IF($F678=IFERROR(INDEX(Материалы!$G$2:$G$9000,MATCH($I678,Материалы!$A$2:$A$9000,0)),""),"OK","!! не та группа"))</f>
        <v/>
      </c>
      <c r="L678" s="10">
        <f>IFERROR(INDEX(Работы!$H$2:$H$6000,MATCH($C678,Работы!$A$2:$A$6000,0))*(1-ДисконтТендер),0)</f>
        <v>1245.3800000000001</v>
      </c>
      <c r="M678" s="10">
        <f>IF($I678="",0,IFERROR(INDEX(Материалы!$I$2:$I$9000,MATCH($I678,Материалы!$A$2:$A$9000,0))*IF(INDEX(Материалы!$J$2:$J$9000,MATCH($I678,Материалы!$A$2:$A$9000,0))="USD",КурсUSD,IF(INDEX(Материалы!$J$2:$J$9000,MATCH($I678,Материалы!$A$2:$A$9000,0))="EUR",КурсEUR,1))*INDEX(Материалы!$K$2:$K$9000,MATCH($I678,Материалы!$A$2:$A$9000,0))*(1+IFERROR(INDEX(Работы!$I$2:$I$6000,MATCH($C678,Работы!$A$2:$A$6000,0))/100,0))*(1-ДисконтТендер),0))</f>
        <v>0</v>
      </c>
      <c r="N678" s="10">
        <f t="shared" si="30"/>
        <v>0</v>
      </c>
      <c r="O678" s="10">
        <f t="shared" si="31"/>
        <v>0</v>
      </c>
      <c r="P678" s="10">
        <f t="shared" si="32"/>
        <v>0</v>
      </c>
      <c r="Q678" t="str">
        <f>IFERROR(INDEX(Работы!$J$2:$J$6000,MATCH($C678,Работы!$A$2:$A$6000,0)),"")</f>
        <v>типовая</v>
      </c>
      <c r="R678" t="s">
        <v>92</v>
      </c>
      <c r="T678" t="str">
        <f>IF(AND($P678&gt;0,$R678="да"),MAX($T$1:$T677)+1,"")</f>
        <v/>
      </c>
    </row>
    <row r="679" spans="1:20" ht="28.8" x14ac:dyDescent="0.3">
      <c r="A679" t="str">
        <f>IFERROR(INDEX(Работы!$D$2:$D$6000,MATCH($C679,Работы!$A$2:$A$6000,0)),"")</f>
        <v>Р9</v>
      </c>
      <c r="B679" t="str">
        <f>IFERROR(INDEX(Работы!$F$2:$F$6000,MATCH($C679,Работы!$A$2:$A$6000,0)),"")</f>
        <v>2</v>
      </c>
      <c r="C679" t="str">
        <f>IFERROR(INDEX(Работы!$A$2:$A$6000,678),"")</f>
        <v>РАБ.Р9.2.041</v>
      </c>
      <c r="D679" s="8" t="str">
        <f>IFERROR(INDEX(Работы!$B$2:$B$6000,MATCH($C679,Работы!$A$2:$A$6000,0)),"")</f>
        <v>Монтаж модульного аппарата (автомат / УЗО / дифавтомат / рубильник)</v>
      </c>
      <c r="E679" t="str">
        <f>IFERROR(INDEX(Работы!$C$2:$C$6000,MATCH($C679,Работы!$A$2:$A$6000,0)),"")</f>
        <v>шт.</v>
      </c>
      <c r="F679" t="str">
        <f>IFERROR(INDEX(Работы!$G$2:$G$6000,MATCH($C679,Работы!$A$2:$A$6000,0)),"")</f>
        <v>ЭА.МОД</v>
      </c>
      <c r="G679" t="str">
        <f>IFERROR(INDEX(Работы!$K$2:$K$6000,MATCH($C679,Работы!$A$2:$A$6000,0)),"")</f>
        <v>Спецификация</v>
      </c>
      <c r="H679" s="9"/>
      <c r="I679" s="9"/>
      <c r="J679" s="8" t="str">
        <f>IFERROR(INDEX(Материалы!$B$2:$B$9000,MATCH($I679,Материалы!$A$2:$A$9000,0)),"")</f>
        <v/>
      </c>
      <c r="K679" t="str">
        <f>IF($I679="","",IF($F679=IFERROR(INDEX(Материалы!$G$2:$G$9000,MATCH($I679,Материалы!$A$2:$A$9000,0)),""),"OK","!! не та группа"))</f>
        <v/>
      </c>
      <c r="L679" s="10">
        <f>IFERROR(INDEX(Работы!$H$2:$H$6000,MATCH($C679,Работы!$A$2:$A$6000,0))*(1-ДисконтТендер),0)</f>
        <v>1087.83</v>
      </c>
      <c r="M679" s="10">
        <f>IF($I679="",0,IFERROR(INDEX(Материалы!$I$2:$I$9000,MATCH($I679,Материалы!$A$2:$A$9000,0))*IF(INDEX(Материалы!$J$2:$J$9000,MATCH($I679,Материалы!$A$2:$A$9000,0))="USD",КурсUSD,IF(INDEX(Материалы!$J$2:$J$9000,MATCH($I679,Материалы!$A$2:$A$9000,0))="EUR",КурсEUR,1))*INDEX(Материалы!$K$2:$K$9000,MATCH($I679,Материалы!$A$2:$A$9000,0))*(1+IFERROR(INDEX(Работы!$I$2:$I$6000,MATCH($C679,Работы!$A$2:$A$6000,0))/100,0))*(1-ДисконтТендер),0))</f>
        <v>0</v>
      </c>
      <c r="N679" s="10">
        <f t="shared" si="30"/>
        <v>0</v>
      </c>
      <c r="O679" s="10">
        <f t="shared" si="31"/>
        <v>0</v>
      </c>
      <c r="P679" s="10">
        <f t="shared" si="32"/>
        <v>0</v>
      </c>
      <c r="Q679" t="str">
        <f>IFERROR(INDEX(Работы!$J$2:$J$6000,MATCH($C679,Работы!$A$2:$A$6000,0)),"")</f>
        <v>типовая</v>
      </c>
      <c r="R679" t="s">
        <v>92</v>
      </c>
      <c r="T679" t="str">
        <f>IF(AND($P679&gt;0,$R679="да"),MAX($T$1:$T678)+1,"")</f>
        <v/>
      </c>
    </row>
    <row r="680" spans="1:20" ht="28.8" x14ac:dyDescent="0.3">
      <c r="A680" t="str">
        <f>IFERROR(INDEX(Работы!$D$2:$D$6000,MATCH($C680,Работы!$A$2:$A$6000,0)),"")</f>
        <v>Р9</v>
      </c>
      <c r="B680" t="str">
        <f>IFERROR(INDEX(Работы!$F$2:$F$6000,MATCH($C680,Работы!$A$2:$A$6000,0)),"")</f>
        <v>2</v>
      </c>
      <c r="C680" t="str">
        <f>IFERROR(INDEX(Работы!$A$2:$A$6000,679),"")</f>
        <v>РАБ.Р9.2.042</v>
      </c>
      <c r="D680" s="8" t="str">
        <f>IFERROR(INDEX(Работы!$B$2:$B$6000,MATCH($C680,Работы!$A$2:$A$6000,0)),"")</f>
        <v>Монтаж модульного аппарата (автомат / УЗО / дифавтомат / рубильник)</v>
      </c>
      <c r="E680" t="str">
        <f>IFERROR(INDEX(Работы!$C$2:$C$6000,MATCH($C680,Работы!$A$2:$A$6000,0)),"")</f>
        <v>шт.</v>
      </c>
      <c r="F680" t="str">
        <f>IFERROR(INDEX(Работы!$G$2:$G$6000,MATCH($C680,Работы!$A$2:$A$6000,0)),"")</f>
        <v>ЭА.МОД</v>
      </c>
      <c r="G680" t="str">
        <f>IFERROR(INDEX(Работы!$K$2:$K$6000,MATCH($C680,Работы!$A$2:$A$6000,0)),"")</f>
        <v>Спецификация</v>
      </c>
      <c r="H680" s="9"/>
      <c r="I680" s="9"/>
      <c r="J680" s="8" t="str">
        <f>IFERROR(INDEX(Материалы!$B$2:$B$9000,MATCH($I680,Материалы!$A$2:$A$9000,0)),"")</f>
        <v/>
      </c>
      <c r="K680" t="str">
        <f>IF($I680="","",IF($F680=IFERROR(INDEX(Материалы!$G$2:$G$9000,MATCH($I680,Материалы!$A$2:$A$9000,0)),""),"OK","!! не та группа"))</f>
        <v/>
      </c>
      <c r="L680" s="10">
        <f>IFERROR(INDEX(Работы!$H$2:$H$6000,MATCH($C680,Работы!$A$2:$A$6000,0))*(1-ДисконтТендер),0)</f>
        <v>1420.16</v>
      </c>
      <c r="M680" s="10">
        <f>IF($I680="",0,IFERROR(INDEX(Материалы!$I$2:$I$9000,MATCH($I680,Материалы!$A$2:$A$9000,0))*IF(INDEX(Материалы!$J$2:$J$9000,MATCH($I680,Материалы!$A$2:$A$9000,0))="USD",КурсUSD,IF(INDEX(Материалы!$J$2:$J$9000,MATCH($I680,Материалы!$A$2:$A$9000,0))="EUR",КурсEUR,1))*INDEX(Материалы!$K$2:$K$9000,MATCH($I680,Материалы!$A$2:$A$9000,0))*(1+IFERROR(INDEX(Работы!$I$2:$I$6000,MATCH($C680,Работы!$A$2:$A$6000,0))/100,0))*(1-ДисконтТендер),0))</f>
        <v>0</v>
      </c>
      <c r="N680" s="10">
        <f t="shared" si="30"/>
        <v>0</v>
      </c>
      <c r="O680" s="10">
        <f t="shared" si="31"/>
        <v>0</v>
      </c>
      <c r="P680" s="10">
        <f t="shared" si="32"/>
        <v>0</v>
      </c>
      <c r="Q680" t="str">
        <f>IFERROR(INDEX(Работы!$J$2:$J$6000,MATCH($C680,Работы!$A$2:$A$6000,0)),"")</f>
        <v>типовая</v>
      </c>
      <c r="R680" t="s">
        <v>92</v>
      </c>
      <c r="T680" t="str">
        <f>IF(AND($P680&gt;0,$R680="да"),MAX($T$1:$T679)+1,"")</f>
        <v/>
      </c>
    </row>
    <row r="681" spans="1:20" ht="28.8" x14ac:dyDescent="0.3">
      <c r="A681" t="str">
        <f>IFERROR(INDEX(Работы!$D$2:$D$6000,MATCH($C681,Работы!$A$2:$A$6000,0)),"")</f>
        <v>Р9</v>
      </c>
      <c r="B681" t="str">
        <f>IFERROR(INDEX(Работы!$F$2:$F$6000,MATCH($C681,Работы!$A$2:$A$6000,0)),"")</f>
        <v>2</v>
      </c>
      <c r="C681" t="str">
        <f>IFERROR(INDEX(Работы!$A$2:$A$6000,680),"")</f>
        <v>РАБ.Р9.2.043</v>
      </c>
      <c r="D681" s="8" t="str">
        <f>IFERROR(INDEX(Работы!$B$2:$B$6000,MATCH($C681,Работы!$A$2:$A$6000,0)),"")</f>
        <v>Монтаж модульного аппарата (автомат / УЗО / дифавтомат / рубильник)</v>
      </c>
      <c r="E681" t="str">
        <f>IFERROR(INDEX(Работы!$C$2:$C$6000,MATCH($C681,Работы!$A$2:$A$6000,0)),"")</f>
        <v>шт.</v>
      </c>
      <c r="F681" t="str">
        <f>IFERROR(INDEX(Работы!$G$2:$G$6000,MATCH($C681,Работы!$A$2:$A$6000,0)),"")</f>
        <v>ЭА.МОД</v>
      </c>
      <c r="G681" t="str">
        <f>IFERROR(INDEX(Работы!$K$2:$K$6000,MATCH($C681,Работы!$A$2:$A$6000,0)),"")</f>
        <v>Спецификация</v>
      </c>
      <c r="H681" s="9"/>
      <c r="I681" s="9"/>
      <c r="J681" s="8" t="str">
        <f>IFERROR(INDEX(Материалы!$B$2:$B$9000,MATCH($I681,Материалы!$A$2:$A$9000,0)),"")</f>
        <v/>
      </c>
      <c r="K681" t="str">
        <f>IF($I681="","",IF($F681=IFERROR(INDEX(Материалы!$G$2:$G$9000,MATCH($I681,Материалы!$A$2:$A$9000,0)),""),"OK","!! не та группа"))</f>
        <v/>
      </c>
      <c r="L681" s="10">
        <f>IFERROR(INDEX(Работы!$H$2:$H$6000,MATCH($C681,Работы!$A$2:$A$6000,0))*(1-ДисконтТендер),0)</f>
        <v>1680.36</v>
      </c>
      <c r="M681" s="10">
        <f>IF($I681="",0,IFERROR(INDEX(Материалы!$I$2:$I$9000,MATCH($I681,Материалы!$A$2:$A$9000,0))*IF(INDEX(Материалы!$J$2:$J$9000,MATCH($I681,Материалы!$A$2:$A$9000,0))="USD",КурсUSD,IF(INDEX(Материалы!$J$2:$J$9000,MATCH($I681,Материалы!$A$2:$A$9000,0))="EUR",КурсEUR,1))*INDEX(Материалы!$K$2:$K$9000,MATCH($I681,Материалы!$A$2:$A$9000,0))*(1+IFERROR(INDEX(Работы!$I$2:$I$6000,MATCH($C681,Работы!$A$2:$A$6000,0))/100,0))*(1-ДисконтТендер),0))</f>
        <v>0</v>
      </c>
      <c r="N681" s="10">
        <f t="shared" si="30"/>
        <v>0</v>
      </c>
      <c r="O681" s="10">
        <f t="shared" si="31"/>
        <v>0</v>
      </c>
      <c r="P681" s="10">
        <f t="shared" si="32"/>
        <v>0</v>
      </c>
      <c r="Q681" t="str">
        <f>IFERROR(INDEX(Работы!$J$2:$J$6000,MATCH($C681,Работы!$A$2:$A$6000,0)),"")</f>
        <v>типовая</v>
      </c>
      <c r="R681" t="s">
        <v>92</v>
      </c>
      <c r="T681" t="str">
        <f>IF(AND($P681&gt;0,$R681="да"),MAX($T$1:$T680)+1,"")</f>
        <v/>
      </c>
    </row>
    <row r="682" spans="1:20" x14ac:dyDescent="0.3">
      <c r="A682" t="str">
        <f>IFERROR(INDEX(Работы!$D$2:$D$6000,MATCH($C682,Работы!$A$2:$A$6000,0)),"")</f>
        <v>Р9</v>
      </c>
      <c r="B682" t="str">
        <f>IFERROR(INDEX(Работы!$F$2:$F$6000,MATCH($C682,Работы!$A$2:$A$6000,0)),"")</f>
        <v>2</v>
      </c>
      <c r="C682" t="str">
        <f>IFERROR(INDEX(Работы!$A$2:$A$6000,681),"")</f>
        <v>РАБ.Р9.2.044</v>
      </c>
      <c r="D682" s="8" t="str">
        <f>IFERROR(INDEX(Работы!$B$2:$B$6000,MATCH($C682,Работы!$A$2:$A$6000,0)),"")</f>
        <v>Автомат.выкл-ль АВВ Т1В160 40А</v>
      </c>
      <c r="E682" t="str">
        <f>IFERROR(INDEX(Работы!$C$2:$C$6000,MATCH($C682,Работы!$A$2:$A$6000,0)),"")</f>
        <v>шт.</v>
      </c>
      <c r="F682" t="str">
        <f>IFERROR(INDEX(Работы!$G$2:$G$6000,MATCH($C682,Работы!$A$2:$A$6000,0)),"")</f>
        <v>ЭА.МОД</v>
      </c>
      <c r="G682" t="str">
        <f>IFERROR(INDEX(Работы!$K$2:$K$6000,MATCH($C682,Работы!$A$2:$A$6000,0)),"")</f>
        <v>Спецификация</v>
      </c>
      <c r="H682" s="9"/>
      <c r="I682" s="9"/>
      <c r="J682" s="8" t="str">
        <f>IFERROR(INDEX(Материалы!$B$2:$B$9000,MATCH($I682,Материалы!$A$2:$A$9000,0)),"")</f>
        <v/>
      </c>
      <c r="K682" t="str">
        <f>IF($I682="","",IF($F682=IFERROR(INDEX(Материалы!$G$2:$G$9000,MATCH($I682,Материалы!$A$2:$A$9000,0)),""),"OK","!! не та группа"))</f>
        <v/>
      </c>
      <c r="L682" s="10">
        <f>IFERROR(INDEX(Работы!$H$2:$H$6000,MATCH($C682,Работы!$A$2:$A$6000,0))*(1-ДисконтТендер),0)</f>
        <v>2240.63</v>
      </c>
      <c r="M682" s="10">
        <f>IF($I682="",0,IFERROR(INDEX(Материалы!$I$2:$I$9000,MATCH($I682,Материалы!$A$2:$A$9000,0))*IF(INDEX(Материалы!$J$2:$J$9000,MATCH($I682,Материалы!$A$2:$A$9000,0))="USD",КурсUSD,IF(INDEX(Материалы!$J$2:$J$9000,MATCH($I682,Материалы!$A$2:$A$9000,0))="EUR",КурсEUR,1))*INDEX(Материалы!$K$2:$K$9000,MATCH($I682,Материалы!$A$2:$A$9000,0))*(1+IFERROR(INDEX(Работы!$I$2:$I$6000,MATCH($C682,Работы!$A$2:$A$6000,0))/100,0))*(1-ДисконтТендер),0))</f>
        <v>0</v>
      </c>
      <c r="N682" s="10">
        <f t="shared" si="30"/>
        <v>0</v>
      </c>
      <c r="O682" s="10">
        <f t="shared" si="31"/>
        <v>0</v>
      </c>
      <c r="P682" s="10">
        <f t="shared" si="32"/>
        <v>0</v>
      </c>
      <c r="Q682" t="str">
        <f>IFERROR(INDEX(Работы!$J$2:$J$6000,MATCH($C682,Работы!$A$2:$A$6000,0)),"")</f>
        <v>типовая</v>
      </c>
      <c r="R682" t="s">
        <v>92</v>
      </c>
      <c r="T682" t="str">
        <f>IF(AND($P682&gt;0,$R682="да"),MAX($T$1:$T681)+1,"")</f>
        <v/>
      </c>
    </row>
    <row r="683" spans="1:20" x14ac:dyDescent="0.3">
      <c r="A683" t="str">
        <f>IFERROR(INDEX(Работы!$D$2:$D$6000,MATCH($C683,Работы!$A$2:$A$6000,0)),"")</f>
        <v>Р9</v>
      </c>
      <c r="B683" t="str">
        <f>IFERROR(INDEX(Работы!$F$2:$F$6000,MATCH($C683,Работы!$A$2:$A$6000,0)),"")</f>
        <v>2</v>
      </c>
      <c r="C683" t="str">
        <f>IFERROR(INDEX(Работы!$A$2:$A$6000,682),"")</f>
        <v>РАБ.Р9.2.045</v>
      </c>
      <c r="D683" s="8" t="str">
        <f>IFERROR(INDEX(Работы!$B$2:$B$6000,MATCH($C683,Работы!$A$2:$A$6000,0)),"")</f>
        <v>Автомат.выкл-ль АВВ Т1В160 32А</v>
      </c>
      <c r="E683" t="str">
        <f>IFERROR(INDEX(Работы!$C$2:$C$6000,MATCH($C683,Работы!$A$2:$A$6000,0)),"")</f>
        <v>шт.</v>
      </c>
      <c r="F683" t="str">
        <f>IFERROR(INDEX(Работы!$G$2:$G$6000,MATCH($C683,Работы!$A$2:$A$6000,0)),"")</f>
        <v>ЭА.МОД</v>
      </c>
      <c r="G683" t="str">
        <f>IFERROR(INDEX(Работы!$K$2:$K$6000,MATCH($C683,Работы!$A$2:$A$6000,0)),"")</f>
        <v>Спецификация</v>
      </c>
      <c r="H683" s="9"/>
      <c r="I683" s="9"/>
      <c r="J683" s="8" t="str">
        <f>IFERROR(INDEX(Материалы!$B$2:$B$9000,MATCH($I683,Материалы!$A$2:$A$9000,0)),"")</f>
        <v/>
      </c>
      <c r="K683" t="str">
        <f>IF($I683="","",IF($F683=IFERROR(INDEX(Материалы!$G$2:$G$9000,MATCH($I683,Материалы!$A$2:$A$9000,0)),""),"OK","!! не та группа"))</f>
        <v/>
      </c>
      <c r="L683" s="10">
        <f>IFERROR(INDEX(Работы!$H$2:$H$6000,MATCH($C683,Работы!$A$2:$A$6000,0))*(1-ДисконтТендер),0)</f>
        <v>2110.63</v>
      </c>
      <c r="M683" s="10">
        <f>IF($I683="",0,IFERROR(INDEX(Материалы!$I$2:$I$9000,MATCH($I683,Материалы!$A$2:$A$9000,0))*IF(INDEX(Материалы!$J$2:$J$9000,MATCH($I683,Материалы!$A$2:$A$9000,0))="USD",КурсUSD,IF(INDEX(Материалы!$J$2:$J$9000,MATCH($I683,Материалы!$A$2:$A$9000,0))="EUR",КурсEUR,1))*INDEX(Материалы!$K$2:$K$9000,MATCH($I683,Материалы!$A$2:$A$9000,0))*(1+IFERROR(INDEX(Работы!$I$2:$I$6000,MATCH($C683,Работы!$A$2:$A$6000,0))/100,0))*(1-ДисконтТендер),0))</f>
        <v>0</v>
      </c>
      <c r="N683" s="10">
        <f t="shared" si="30"/>
        <v>0</v>
      </c>
      <c r="O683" s="10">
        <f t="shared" si="31"/>
        <v>0</v>
      </c>
      <c r="P683" s="10">
        <f t="shared" si="32"/>
        <v>0</v>
      </c>
      <c r="Q683" t="str">
        <f>IFERROR(INDEX(Работы!$J$2:$J$6000,MATCH($C683,Работы!$A$2:$A$6000,0)),"")</f>
        <v>типовая</v>
      </c>
      <c r="R683" t="s">
        <v>92</v>
      </c>
      <c r="T683" t="str">
        <f>IF(AND($P683&gt;0,$R683="да"),MAX($T$1:$T682)+1,"")</f>
        <v/>
      </c>
    </row>
    <row r="684" spans="1:20" x14ac:dyDescent="0.3">
      <c r="A684" t="str">
        <f>IFERROR(INDEX(Работы!$D$2:$D$6000,MATCH($C684,Работы!$A$2:$A$6000,0)),"")</f>
        <v>Р9</v>
      </c>
      <c r="B684" t="str">
        <f>IFERROR(INDEX(Работы!$F$2:$F$6000,MATCH($C684,Работы!$A$2:$A$6000,0)),"")</f>
        <v>2</v>
      </c>
      <c r="C684" t="str">
        <f>IFERROR(INDEX(Работы!$A$2:$A$6000,683),"")</f>
        <v>РАБ.Р9.2.046</v>
      </c>
      <c r="D684" s="8" t="str">
        <f>IFERROR(INDEX(Работы!$B$2:$B$6000,MATCH($C684,Работы!$A$2:$A$6000,0)),"")</f>
        <v>Автомат.выкл-ль АВВ Т1В160 25А</v>
      </c>
      <c r="E684" t="str">
        <f>IFERROR(INDEX(Работы!$C$2:$C$6000,MATCH($C684,Работы!$A$2:$A$6000,0)),"")</f>
        <v>шт.</v>
      </c>
      <c r="F684" t="str">
        <f>IFERROR(INDEX(Работы!$G$2:$G$6000,MATCH($C684,Работы!$A$2:$A$6000,0)),"")</f>
        <v>ЭА.МОД</v>
      </c>
      <c r="G684" t="str">
        <f>IFERROR(INDEX(Работы!$K$2:$K$6000,MATCH($C684,Работы!$A$2:$A$6000,0)),"")</f>
        <v>Спецификация</v>
      </c>
      <c r="H684" s="9"/>
      <c r="I684" s="9"/>
      <c r="J684" s="8" t="str">
        <f>IFERROR(INDEX(Материалы!$B$2:$B$9000,MATCH($I684,Материалы!$A$2:$A$9000,0)),"")</f>
        <v/>
      </c>
      <c r="K684" t="str">
        <f>IF($I684="","",IF($F684=IFERROR(INDEX(Материалы!$G$2:$G$9000,MATCH($I684,Материалы!$A$2:$A$9000,0)),""),"OK","!! не та группа"))</f>
        <v/>
      </c>
      <c r="L684" s="10">
        <f>IFERROR(INDEX(Работы!$H$2:$H$6000,MATCH($C684,Работы!$A$2:$A$6000,0))*(1-ДисконтТендер),0)</f>
        <v>1940.63</v>
      </c>
      <c r="M684" s="10">
        <f>IF($I684="",0,IFERROR(INDEX(Материалы!$I$2:$I$9000,MATCH($I684,Материалы!$A$2:$A$9000,0))*IF(INDEX(Материалы!$J$2:$J$9000,MATCH($I684,Материалы!$A$2:$A$9000,0))="USD",КурсUSD,IF(INDEX(Материалы!$J$2:$J$9000,MATCH($I684,Материалы!$A$2:$A$9000,0))="EUR",КурсEUR,1))*INDEX(Материалы!$K$2:$K$9000,MATCH($I684,Материалы!$A$2:$A$9000,0))*(1+IFERROR(INDEX(Работы!$I$2:$I$6000,MATCH($C684,Работы!$A$2:$A$6000,0))/100,0))*(1-ДисконтТендер),0))</f>
        <v>0</v>
      </c>
      <c r="N684" s="10">
        <f t="shared" si="30"/>
        <v>0</v>
      </c>
      <c r="O684" s="10">
        <f t="shared" si="31"/>
        <v>0</v>
      </c>
      <c r="P684" s="10">
        <f t="shared" si="32"/>
        <v>0</v>
      </c>
      <c r="Q684" t="str">
        <f>IFERROR(INDEX(Работы!$J$2:$J$6000,MATCH($C684,Работы!$A$2:$A$6000,0)),"")</f>
        <v>типовая</v>
      </c>
      <c r="R684" t="s">
        <v>92</v>
      </c>
      <c r="T684" t="str">
        <f>IF(AND($P684&gt;0,$R684="да"),MAX($T$1:$T683)+1,"")</f>
        <v/>
      </c>
    </row>
    <row r="685" spans="1:20" x14ac:dyDescent="0.3">
      <c r="A685" t="str">
        <f>IFERROR(INDEX(Работы!$D$2:$D$6000,MATCH($C685,Работы!$A$2:$A$6000,0)),"")</f>
        <v>Р9</v>
      </c>
      <c r="B685" t="str">
        <f>IFERROR(INDEX(Работы!$F$2:$F$6000,MATCH($C685,Работы!$A$2:$A$6000,0)),"")</f>
        <v>2</v>
      </c>
      <c r="C685" t="str">
        <f>IFERROR(INDEX(Работы!$A$2:$A$6000,684),"")</f>
        <v>РАБ.Р9.2.047</v>
      </c>
      <c r="D685" s="8" t="str">
        <f>IFERROR(INDEX(Работы!$B$2:$B$6000,MATCH($C685,Работы!$A$2:$A$6000,0)),"")</f>
        <v>Автомат.выкл-ль АВВ Т1В160 63А</v>
      </c>
      <c r="E685" t="str">
        <f>IFERROR(INDEX(Работы!$C$2:$C$6000,MATCH($C685,Работы!$A$2:$A$6000,0)),"")</f>
        <v>шт.</v>
      </c>
      <c r="F685" t="str">
        <f>IFERROR(INDEX(Работы!$G$2:$G$6000,MATCH($C685,Работы!$A$2:$A$6000,0)),"")</f>
        <v>ЭА.МОД</v>
      </c>
      <c r="G685" t="str">
        <f>IFERROR(INDEX(Работы!$K$2:$K$6000,MATCH($C685,Работы!$A$2:$A$6000,0)),"")</f>
        <v>Спецификация</v>
      </c>
      <c r="H685" s="9"/>
      <c r="I685" s="9"/>
      <c r="J685" s="8" t="str">
        <f>IFERROR(INDEX(Материалы!$B$2:$B$9000,MATCH($I685,Материалы!$A$2:$A$9000,0)),"")</f>
        <v/>
      </c>
      <c r="K685" t="str">
        <f>IF($I685="","",IF($F685=IFERROR(INDEX(Материалы!$G$2:$G$9000,MATCH($I685,Материалы!$A$2:$A$9000,0)),""),"OK","!! не та группа"))</f>
        <v/>
      </c>
      <c r="L685" s="10">
        <f>IFERROR(INDEX(Работы!$H$2:$H$6000,MATCH($C685,Работы!$A$2:$A$6000,0))*(1-ДисконтТендер),0)</f>
        <v>2780.81</v>
      </c>
      <c r="M685" s="10">
        <f>IF($I685="",0,IFERROR(INDEX(Материалы!$I$2:$I$9000,MATCH($I685,Материалы!$A$2:$A$9000,0))*IF(INDEX(Материалы!$J$2:$J$9000,MATCH($I685,Материалы!$A$2:$A$9000,0))="USD",КурсUSD,IF(INDEX(Материалы!$J$2:$J$9000,MATCH($I685,Материалы!$A$2:$A$9000,0))="EUR",КурсEUR,1))*INDEX(Материалы!$K$2:$K$9000,MATCH($I685,Материалы!$A$2:$A$9000,0))*(1+IFERROR(INDEX(Работы!$I$2:$I$6000,MATCH($C685,Работы!$A$2:$A$6000,0))/100,0))*(1-ДисконтТендер),0))</f>
        <v>0</v>
      </c>
      <c r="N685" s="10">
        <f t="shared" si="30"/>
        <v>0</v>
      </c>
      <c r="O685" s="10">
        <f t="shared" si="31"/>
        <v>0</v>
      </c>
      <c r="P685" s="10">
        <f t="shared" si="32"/>
        <v>0</v>
      </c>
      <c r="Q685" t="str">
        <f>IFERROR(INDEX(Работы!$J$2:$J$6000,MATCH($C685,Работы!$A$2:$A$6000,0)),"")</f>
        <v>типовая</v>
      </c>
      <c r="R685" t="s">
        <v>92</v>
      </c>
      <c r="T685" t="str">
        <f>IF(AND($P685&gt;0,$R685="да"),MAX($T$1:$T684)+1,"")</f>
        <v/>
      </c>
    </row>
    <row r="686" spans="1:20" x14ac:dyDescent="0.3">
      <c r="A686" t="str">
        <f>IFERROR(INDEX(Работы!$D$2:$D$6000,MATCH($C686,Работы!$A$2:$A$6000,0)),"")</f>
        <v>Р9</v>
      </c>
      <c r="B686" t="str">
        <f>IFERROR(INDEX(Работы!$F$2:$F$6000,MATCH($C686,Работы!$A$2:$A$6000,0)),"")</f>
        <v>2</v>
      </c>
      <c r="C686" t="str">
        <f>IFERROR(INDEX(Работы!$A$2:$A$6000,685),"")</f>
        <v>РАБ.Р9.2.048</v>
      </c>
      <c r="D686" s="8" t="str">
        <f>IFERROR(INDEX(Работы!$B$2:$B$6000,MATCH($C686,Работы!$A$2:$A$6000,0)),"")</f>
        <v>Автомат.выкл-ль АВВ Т1В160 50А</v>
      </c>
      <c r="E686" t="str">
        <f>IFERROR(INDEX(Работы!$C$2:$C$6000,MATCH($C686,Работы!$A$2:$A$6000,0)),"")</f>
        <v>шт.</v>
      </c>
      <c r="F686" t="str">
        <f>IFERROR(INDEX(Работы!$G$2:$G$6000,MATCH($C686,Работы!$A$2:$A$6000,0)),"")</f>
        <v>ЭА.МОД</v>
      </c>
      <c r="G686" t="str">
        <f>IFERROR(INDEX(Работы!$K$2:$K$6000,MATCH($C686,Работы!$A$2:$A$6000,0)),"")</f>
        <v>Спецификация</v>
      </c>
      <c r="H686" s="9"/>
      <c r="I686" s="9"/>
      <c r="J686" s="8" t="str">
        <f>IFERROR(INDEX(Материалы!$B$2:$B$9000,MATCH($I686,Материалы!$A$2:$A$9000,0)),"")</f>
        <v/>
      </c>
      <c r="K686" t="str">
        <f>IF($I686="","",IF($F686=IFERROR(INDEX(Материалы!$G$2:$G$9000,MATCH($I686,Материалы!$A$2:$A$9000,0)),""),"OK","!! не та группа"))</f>
        <v/>
      </c>
      <c r="L686" s="10">
        <f>IFERROR(INDEX(Работы!$H$2:$H$6000,MATCH($C686,Работы!$A$2:$A$6000,0))*(1-ДисконтТендер),0)</f>
        <v>2468.0300000000002</v>
      </c>
      <c r="M686" s="10">
        <f>IF($I686="",0,IFERROR(INDEX(Материалы!$I$2:$I$9000,MATCH($I686,Материалы!$A$2:$A$9000,0))*IF(INDEX(Материалы!$J$2:$J$9000,MATCH($I686,Материалы!$A$2:$A$9000,0))="USD",КурсUSD,IF(INDEX(Материалы!$J$2:$J$9000,MATCH($I686,Материалы!$A$2:$A$9000,0))="EUR",КурсEUR,1))*INDEX(Материалы!$K$2:$K$9000,MATCH($I686,Материалы!$A$2:$A$9000,0))*(1+IFERROR(INDEX(Работы!$I$2:$I$6000,MATCH($C686,Работы!$A$2:$A$6000,0))/100,0))*(1-ДисконтТендер),0))</f>
        <v>0</v>
      </c>
      <c r="N686" s="10">
        <f t="shared" si="30"/>
        <v>0</v>
      </c>
      <c r="O686" s="10">
        <f t="shared" si="31"/>
        <v>0</v>
      </c>
      <c r="P686" s="10">
        <f t="shared" si="32"/>
        <v>0</v>
      </c>
      <c r="Q686" t="str">
        <f>IFERROR(INDEX(Работы!$J$2:$J$6000,MATCH($C686,Работы!$A$2:$A$6000,0)),"")</f>
        <v>типовая</v>
      </c>
      <c r="R686" t="s">
        <v>92</v>
      </c>
      <c r="T686" t="str">
        <f>IF(AND($P686&gt;0,$R686="да"),MAX($T$1:$T685)+1,"")</f>
        <v/>
      </c>
    </row>
    <row r="687" spans="1:20" x14ac:dyDescent="0.3">
      <c r="A687" t="str">
        <f>IFERROR(INDEX(Работы!$D$2:$D$6000,MATCH($C687,Работы!$A$2:$A$6000,0)),"")</f>
        <v>Р9</v>
      </c>
      <c r="B687" t="str">
        <f>IFERROR(INDEX(Работы!$F$2:$F$6000,MATCH($C687,Работы!$A$2:$A$6000,0)),"")</f>
        <v>2</v>
      </c>
      <c r="C687" t="str">
        <f>IFERROR(INDEX(Работы!$A$2:$A$6000,686),"")</f>
        <v>РАБ.Р9.2.049</v>
      </c>
      <c r="D687" s="8" t="str">
        <f>IFERROR(INDEX(Работы!$B$2:$B$6000,MATCH($C687,Работы!$A$2:$A$6000,0)),"")</f>
        <v>Автомат.выкл-ль АВВ Т1В160 80А</v>
      </c>
      <c r="E687" t="str">
        <f>IFERROR(INDEX(Работы!$C$2:$C$6000,MATCH($C687,Работы!$A$2:$A$6000,0)),"")</f>
        <v>шт.</v>
      </c>
      <c r="F687" t="str">
        <f>IFERROR(INDEX(Работы!$G$2:$G$6000,MATCH($C687,Работы!$A$2:$A$6000,0)),"")</f>
        <v>ЭА.МОД</v>
      </c>
      <c r="G687" t="str">
        <f>IFERROR(INDEX(Работы!$K$2:$K$6000,MATCH($C687,Работы!$A$2:$A$6000,0)),"")</f>
        <v>Спецификация</v>
      </c>
      <c r="H687" s="9"/>
      <c r="I687" s="9"/>
      <c r="J687" s="8" t="str">
        <f>IFERROR(INDEX(Материалы!$B$2:$B$9000,MATCH($I687,Материалы!$A$2:$A$9000,0)),"")</f>
        <v/>
      </c>
      <c r="K687" t="str">
        <f>IF($I687="","",IF($F687=IFERROR(INDEX(Материалы!$G$2:$G$9000,MATCH($I687,Материалы!$A$2:$A$9000,0)),""),"OK","!! не та группа"))</f>
        <v/>
      </c>
      <c r="L687" s="10">
        <f>IFERROR(INDEX(Работы!$H$2:$H$6000,MATCH($C687,Работы!$A$2:$A$6000,0))*(1-ДисконтТендер),0)</f>
        <v>3043.37</v>
      </c>
      <c r="M687" s="10">
        <f>IF($I687="",0,IFERROR(INDEX(Материалы!$I$2:$I$9000,MATCH($I687,Материалы!$A$2:$A$9000,0))*IF(INDEX(Материалы!$J$2:$J$9000,MATCH($I687,Материалы!$A$2:$A$9000,0))="USD",КурсUSD,IF(INDEX(Материалы!$J$2:$J$9000,MATCH($I687,Материалы!$A$2:$A$9000,0))="EUR",КурсEUR,1))*INDEX(Материалы!$K$2:$K$9000,MATCH($I687,Материалы!$A$2:$A$9000,0))*(1+IFERROR(INDEX(Работы!$I$2:$I$6000,MATCH($C687,Работы!$A$2:$A$6000,0))/100,0))*(1-ДисконтТендер),0))</f>
        <v>0</v>
      </c>
      <c r="N687" s="10">
        <f t="shared" si="30"/>
        <v>0</v>
      </c>
      <c r="O687" s="10">
        <f t="shared" si="31"/>
        <v>0</v>
      </c>
      <c r="P687" s="10">
        <f t="shared" si="32"/>
        <v>0</v>
      </c>
      <c r="Q687" t="str">
        <f>IFERROR(INDEX(Работы!$J$2:$J$6000,MATCH($C687,Работы!$A$2:$A$6000,0)),"")</f>
        <v>типовая</v>
      </c>
      <c r="R687" t="s">
        <v>92</v>
      </c>
      <c r="T687" t="str">
        <f>IF(AND($P687&gt;0,$R687="да"),MAX($T$1:$T686)+1,"")</f>
        <v/>
      </c>
    </row>
    <row r="688" spans="1:20" x14ac:dyDescent="0.3">
      <c r="A688" t="str">
        <f>IFERROR(INDEX(Работы!$D$2:$D$6000,MATCH($C688,Работы!$A$2:$A$6000,0)),"")</f>
        <v>Р9</v>
      </c>
      <c r="B688" t="str">
        <f>IFERROR(INDEX(Работы!$F$2:$F$6000,MATCH($C688,Работы!$A$2:$A$6000,0)),"")</f>
        <v>2</v>
      </c>
      <c r="C688" t="str">
        <f>IFERROR(INDEX(Работы!$A$2:$A$6000,687),"")</f>
        <v>РАБ.Р9.2.050</v>
      </c>
      <c r="D688" s="8" t="str">
        <f>IFERROR(INDEX(Работы!$B$2:$B$6000,MATCH($C688,Работы!$A$2:$A$6000,0)),"")</f>
        <v>Автомат.выкл-ль АВВ Т1В160 100А</v>
      </c>
      <c r="E688" t="str">
        <f>IFERROR(INDEX(Работы!$C$2:$C$6000,MATCH($C688,Работы!$A$2:$A$6000,0)),"")</f>
        <v>шт.</v>
      </c>
      <c r="F688" t="str">
        <f>IFERROR(INDEX(Работы!$G$2:$G$6000,MATCH($C688,Работы!$A$2:$A$6000,0)),"")</f>
        <v>ЭА.МОД</v>
      </c>
      <c r="G688" t="str">
        <f>IFERROR(INDEX(Работы!$K$2:$K$6000,MATCH($C688,Работы!$A$2:$A$6000,0)),"")</f>
        <v>Спецификация</v>
      </c>
      <c r="H688" s="9"/>
      <c r="I688" s="9"/>
      <c r="J688" s="8" t="str">
        <f>IFERROR(INDEX(Материалы!$B$2:$B$9000,MATCH($I688,Материалы!$A$2:$A$9000,0)),"")</f>
        <v/>
      </c>
      <c r="K688" t="str">
        <f>IF($I688="","",IF($F688=IFERROR(INDEX(Материалы!$G$2:$G$9000,MATCH($I688,Материалы!$A$2:$A$9000,0)),""),"OK","!! не та группа"))</f>
        <v/>
      </c>
      <c r="L688" s="10">
        <f>IFERROR(INDEX(Работы!$H$2:$H$6000,MATCH($C688,Работы!$A$2:$A$6000,0))*(1-ДисконтТендер),0)</f>
        <v>3568.48</v>
      </c>
      <c r="M688" s="10">
        <f>IF($I688="",0,IFERROR(INDEX(Материалы!$I$2:$I$9000,MATCH($I688,Материалы!$A$2:$A$9000,0))*IF(INDEX(Материалы!$J$2:$J$9000,MATCH($I688,Материалы!$A$2:$A$9000,0))="USD",КурсUSD,IF(INDEX(Материалы!$J$2:$J$9000,MATCH($I688,Материалы!$A$2:$A$9000,0))="EUR",КурсEUR,1))*INDEX(Материалы!$K$2:$K$9000,MATCH($I688,Материалы!$A$2:$A$9000,0))*(1+IFERROR(INDEX(Работы!$I$2:$I$6000,MATCH($C688,Работы!$A$2:$A$6000,0))/100,0))*(1-ДисконтТендер),0))</f>
        <v>0</v>
      </c>
      <c r="N688" s="10">
        <f t="shared" si="30"/>
        <v>0</v>
      </c>
      <c r="O688" s="10">
        <f t="shared" si="31"/>
        <v>0</v>
      </c>
      <c r="P688" s="10">
        <f t="shared" si="32"/>
        <v>0</v>
      </c>
      <c r="Q688" t="str">
        <f>IFERROR(INDEX(Работы!$J$2:$J$6000,MATCH($C688,Работы!$A$2:$A$6000,0)),"")</f>
        <v>типовая</v>
      </c>
      <c r="R688" t="s">
        <v>92</v>
      </c>
      <c r="T688" t="str">
        <f>IF(AND($P688&gt;0,$R688="да"),MAX($T$1:$T687)+1,"")</f>
        <v/>
      </c>
    </row>
    <row r="689" spans="1:20" x14ac:dyDescent="0.3">
      <c r="A689" t="str">
        <f>IFERROR(INDEX(Работы!$D$2:$D$6000,MATCH($C689,Работы!$A$2:$A$6000,0)),"")</f>
        <v>Р9</v>
      </c>
      <c r="B689" t="str">
        <f>IFERROR(INDEX(Работы!$F$2:$F$6000,MATCH($C689,Работы!$A$2:$A$6000,0)),"")</f>
        <v>2</v>
      </c>
      <c r="C689" t="str">
        <f>IFERROR(INDEX(Работы!$A$2:$A$6000,688),"")</f>
        <v>РАБ.Р9.2.051</v>
      </c>
      <c r="D689" s="8" t="str">
        <f>IFERROR(INDEX(Работы!$B$2:$B$6000,MATCH($C689,Работы!$A$2:$A$6000,0)),"")</f>
        <v>Автомат.выкл-ль АВВ Т1В160 125А</v>
      </c>
      <c r="E689" t="str">
        <f>IFERROR(INDEX(Работы!$C$2:$C$6000,MATCH($C689,Работы!$A$2:$A$6000,0)),"")</f>
        <v>шт.</v>
      </c>
      <c r="F689" t="str">
        <f>IFERROR(INDEX(Работы!$G$2:$G$6000,MATCH($C689,Работы!$A$2:$A$6000,0)),"")</f>
        <v>ЭА.МОД</v>
      </c>
      <c r="G689" t="str">
        <f>IFERROR(INDEX(Работы!$K$2:$K$6000,MATCH($C689,Работы!$A$2:$A$6000,0)),"")</f>
        <v>Спецификация</v>
      </c>
      <c r="H689" s="9"/>
      <c r="I689" s="9"/>
      <c r="J689" s="8" t="str">
        <f>IFERROR(INDEX(Материалы!$B$2:$B$9000,MATCH($I689,Материалы!$A$2:$A$9000,0)),"")</f>
        <v/>
      </c>
      <c r="K689" t="str">
        <f>IF($I689="","",IF($F689=IFERROR(INDEX(Материалы!$G$2:$G$9000,MATCH($I689,Материалы!$A$2:$A$9000,0)),""),"OK","!! не та группа"))</f>
        <v/>
      </c>
      <c r="L689" s="10">
        <f>IFERROR(INDEX(Работы!$H$2:$H$6000,MATCH($C689,Работы!$A$2:$A$6000,0))*(1-ДисконтТендер),0)</f>
        <v>3988.57</v>
      </c>
      <c r="M689" s="10">
        <f>IF($I689="",0,IFERROR(INDEX(Материалы!$I$2:$I$9000,MATCH($I689,Материалы!$A$2:$A$9000,0))*IF(INDEX(Материалы!$J$2:$J$9000,MATCH($I689,Материалы!$A$2:$A$9000,0))="USD",КурсUSD,IF(INDEX(Материалы!$J$2:$J$9000,MATCH($I689,Материалы!$A$2:$A$9000,0))="EUR",КурсEUR,1))*INDEX(Материалы!$K$2:$K$9000,MATCH($I689,Материалы!$A$2:$A$9000,0))*(1+IFERROR(INDEX(Работы!$I$2:$I$6000,MATCH($C689,Работы!$A$2:$A$6000,0))/100,0))*(1-ДисконтТендер),0))</f>
        <v>0</v>
      </c>
      <c r="N689" s="10">
        <f t="shared" si="30"/>
        <v>0</v>
      </c>
      <c r="O689" s="10">
        <f t="shared" si="31"/>
        <v>0</v>
      </c>
      <c r="P689" s="10">
        <f t="shared" si="32"/>
        <v>0</v>
      </c>
      <c r="Q689" t="str">
        <f>IFERROR(INDEX(Работы!$J$2:$J$6000,MATCH($C689,Работы!$A$2:$A$6000,0)),"")</f>
        <v>типовая</v>
      </c>
      <c r="R689" t="s">
        <v>92</v>
      </c>
      <c r="T689" t="str">
        <f>IF(AND($P689&gt;0,$R689="да"),MAX($T$1:$T688)+1,"")</f>
        <v/>
      </c>
    </row>
    <row r="690" spans="1:20" x14ac:dyDescent="0.3">
      <c r="A690" t="str">
        <f>IFERROR(INDEX(Работы!$D$2:$D$6000,MATCH($C690,Работы!$A$2:$A$6000,0)),"")</f>
        <v>Р9</v>
      </c>
      <c r="B690" t="str">
        <f>IFERROR(INDEX(Работы!$F$2:$F$6000,MATCH($C690,Работы!$A$2:$A$6000,0)),"")</f>
        <v>2</v>
      </c>
      <c r="C690" t="str">
        <f>IFERROR(INDEX(Работы!$A$2:$A$6000,689),"")</f>
        <v>РАБ.Р9.2.052</v>
      </c>
      <c r="D690" s="8" t="str">
        <f>IFERROR(INDEX(Работы!$B$2:$B$6000,MATCH($C690,Работы!$A$2:$A$6000,0)),"")</f>
        <v>Монтажная площадка для Т1В 160</v>
      </c>
      <c r="E690" t="str">
        <f>IFERROR(INDEX(Работы!$C$2:$C$6000,MATCH($C690,Работы!$A$2:$A$6000,0)),"")</f>
        <v>шт.</v>
      </c>
      <c r="F690">
        <f>IFERROR(INDEX(Работы!$G$2:$G$6000,MATCH($C690,Работы!$A$2:$A$6000,0)),"")</f>
        <v>0</v>
      </c>
      <c r="G690" t="str">
        <f>IFERROR(INDEX(Работы!$K$2:$K$6000,MATCH($C690,Работы!$A$2:$A$6000,0)),"")</f>
        <v>Спецификация</v>
      </c>
      <c r="H690" s="9"/>
      <c r="I690" s="9"/>
      <c r="J690" s="8" t="str">
        <f>IFERROR(INDEX(Материалы!$B$2:$B$9000,MATCH($I690,Материалы!$A$2:$A$9000,0)),"")</f>
        <v/>
      </c>
      <c r="K690" t="str">
        <f>IF($I690="","",IF($F690=IFERROR(INDEX(Материалы!$G$2:$G$9000,MATCH($I690,Материалы!$A$2:$A$9000,0)),""),"OK","!! не та группа"))</f>
        <v/>
      </c>
      <c r="L690" s="10">
        <f>IFERROR(INDEX(Работы!$H$2:$H$6000,MATCH($C690,Работы!$A$2:$A$6000,0))*(1-ДисконтТендер),0)</f>
        <v>420.09</v>
      </c>
      <c r="M690" s="10">
        <f>IF($I690="",0,IFERROR(INDEX(Материалы!$I$2:$I$9000,MATCH($I690,Материалы!$A$2:$A$9000,0))*IF(INDEX(Материалы!$J$2:$J$9000,MATCH($I690,Материалы!$A$2:$A$9000,0))="USD",КурсUSD,IF(INDEX(Материалы!$J$2:$J$9000,MATCH($I690,Материалы!$A$2:$A$9000,0))="EUR",КурсEUR,1))*INDEX(Материалы!$K$2:$K$9000,MATCH($I690,Материалы!$A$2:$A$9000,0))*(1+IFERROR(INDEX(Работы!$I$2:$I$6000,MATCH($C690,Работы!$A$2:$A$6000,0))/100,0))*(1-ДисконтТендер),0))</f>
        <v>0</v>
      </c>
      <c r="N690" s="10">
        <f t="shared" si="30"/>
        <v>0</v>
      </c>
      <c r="O690" s="10">
        <f t="shared" si="31"/>
        <v>0</v>
      </c>
      <c r="P690" s="10">
        <f t="shared" si="32"/>
        <v>0</v>
      </c>
      <c r="Q690" t="str">
        <f>IFERROR(INDEX(Работы!$J$2:$J$6000,MATCH($C690,Работы!$A$2:$A$6000,0)),"")</f>
        <v>типовая</v>
      </c>
      <c r="R690" t="s">
        <v>92</v>
      </c>
      <c r="T690" t="str">
        <f>IF(AND($P690&gt;0,$R690="да"),MAX($T$1:$T689)+1,"")</f>
        <v/>
      </c>
    </row>
    <row r="691" spans="1:20" ht="28.8" x14ac:dyDescent="0.3">
      <c r="A691" t="str">
        <f>IFERROR(INDEX(Работы!$D$2:$D$6000,MATCH($C691,Работы!$A$2:$A$6000,0)),"")</f>
        <v>Р9</v>
      </c>
      <c r="B691" t="str">
        <f>IFERROR(INDEX(Работы!$F$2:$F$6000,MATCH($C691,Работы!$A$2:$A$6000,0)),"")</f>
        <v>2</v>
      </c>
      <c r="C691" t="str">
        <f>IFERROR(INDEX(Работы!$A$2:$A$6000,690),"")</f>
        <v>РАБ.Р9.2.053</v>
      </c>
      <c r="D691" s="8" t="str">
        <f>IFERROR(INDEX(Работы!$B$2:$B$6000,MATCH($C691,Работы!$A$2:$A$6000,0)),"")</f>
        <v>Монтаж модульного аппарата (автомат / УЗО / дифавтомат / рубильник)</v>
      </c>
      <c r="E691" t="str">
        <f>IFERROR(INDEX(Работы!$C$2:$C$6000,MATCH($C691,Работы!$A$2:$A$6000,0)),"")</f>
        <v>шт.</v>
      </c>
      <c r="F691" t="str">
        <f>IFERROR(INDEX(Работы!$G$2:$G$6000,MATCH($C691,Работы!$A$2:$A$6000,0)),"")</f>
        <v>ЭА.МОД</v>
      </c>
      <c r="G691" t="str">
        <f>IFERROR(INDEX(Работы!$K$2:$K$6000,MATCH($C691,Работы!$A$2:$A$6000,0)),"")</f>
        <v>Спецификация</v>
      </c>
      <c r="H691" s="9"/>
      <c r="I691" s="9"/>
      <c r="J691" s="8" t="str">
        <f>IFERROR(INDEX(Материалы!$B$2:$B$9000,MATCH($I691,Материалы!$A$2:$A$9000,0)),"")</f>
        <v/>
      </c>
      <c r="K691" t="str">
        <f>IF($I691="","",IF($F691=IFERROR(INDEX(Материалы!$G$2:$G$9000,MATCH($I691,Материалы!$A$2:$A$9000,0)),""),"OK","!! не та группа"))</f>
        <v/>
      </c>
      <c r="L691" s="10">
        <f>IFERROR(INDEX(Работы!$H$2:$H$6000,MATCH($C691,Работы!$A$2:$A$6000,0))*(1-ДисконтТендер),0)</f>
        <v>922.83</v>
      </c>
      <c r="M691" s="10">
        <f>IF($I691="",0,IFERROR(INDEX(Материалы!$I$2:$I$9000,MATCH($I691,Материалы!$A$2:$A$9000,0))*IF(INDEX(Материалы!$J$2:$J$9000,MATCH($I691,Материалы!$A$2:$A$9000,0))="USD",КурсUSD,IF(INDEX(Материалы!$J$2:$J$9000,MATCH($I691,Материалы!$A$2:$A$9000,0))="EUR",КурсEUR,1))*INDEX(Материалы!$K$2:$K$9000,MATCH($I691,Материалы!$A$2:$A$9000,0))*(1+IFERROR(INDEX(Работы!$I$2:$I$6000,MATCH($C691,Работы!$A$2:$A$6000,0))/100,0))*(1-ДисконтТендер),0))</f>
        <v>0</v>
      </c>
      <c r="N691" s="10">
        <f t="shared" si="30"/>
        <v>0</v>
      </c>
      <c r="O691" s="10">
        <f t="shared" si="31"/>
        <v>0</v>
      </c>
      <c r="P691" s="10">
        <f t="shared" si="32"/>
        <v>0</v>
      </c>
      <c r="Q691" t="str">
        <f>IFERROR(INDEX(Работы!$J$2:$J$6000,MATCH($C691,Работы!$A$2:$A$6000,0)),"")</f>
        <v>типовая</v>
      </c>
      <c r="R691" t="s">
        <v>92</v>
      </c>
      <c r="T691" t="str">
        <f>IF(AND($P691&gt;0,$R691="да"),MAX($T$1:$T690)+1,"")</f>
        <v/>
      </c>
    </row>
    <row r="692" spans="1:20" ht="28.8" x14ac:dyDescent="0.3">
      <c r="A692" t="str">
        <f>IFERROR(INDEX(Работы!$D$2:$D$6000,MATCH($C692,Работы!$A$2:$A$6000,0)),"")</f>
        <v>Р9</v>
      </c>
      <c r="B692" t="str">
        <f>IFERROR(INDEX(Работы!$F$2:$F$6000,MATCH($C692,Работы!$A$2:$A$6000,0)),"")</f>
        <v>2</v>
      </c>
      <c r="C692" t="str">
        <f>IFERROR(INDEX(Работы!$A$2:$A$6000,691),"")</f>
        <v>РАБ.Р9.2.054</v>
      </c>
      <c r="D692" s="8" t="str">
        <f>IFERROR(INDEX(Работы!$B$2:$B$6000,MATCH($C692,Работы!$A$2:$A$6000,0)),"")</f>
        <v>Дифференциальный автомат АВВ DS204 C10 4P 10А (C) 6kA тип AC 30mA (6мод.)</v>
      </c>
      <c r="E692" t="str">
        <f>IFERROR(INDEX(Работы!$C$2:$C$6000,MATCH($C692,Работы!$A$2:$A$6000,0)),"")</f>
        <v>шт.</v>
      </c>
      <c r="F692" t="str">
        <f>IFERROR(INDEX(Работы!$G$2:$G$6000,MATCH($C692,Работы!$A$2:$A$6000,0)),"")</f>
        <v>ЭА.МОД</v>
      </c>
      <c r="G692" t="str">
        <f>IFERROR(INDEX(Работы!$K$2:$K$6000,MATCH($C692,Работы!$A$2:$A$6000,0)),"")</f>
        <v>Спецификация</v>
      </c>
      <c r="H692" s="9"/>
      <c r="I692" s="9"/>
      <c r="J692" s="8" t="str">
        <f>IFERROR(INDEX(Материалы!$B$2:$B$9000,MATCH($I692,Материалы!$A$2:$A$9000,0)),"")</f>
        <v/>
      </c>
      <c r="K692" t="str">
        <f>IF($I692="","",IF($F692=IFERROR(INDEX(Материалы!$G$2:$G$9000,MATCH($I692,Материалы!$A$2:$A$9000,0)),""),"OK","!! не та группа"))</f>
        <v/>
      </c>
      <c r="L692" s="10">
        <f>IFERROR(INDEX(Работы!$H$2:$H$6000,MATCH($C692,Работы!$A$2:$A$6000,0))*(1-ДисконтТендер),0)</f>
        <v>1673.5</v>
      </c>
      <c r="M692" s="10">
        <f>IF($I692="",0,IFERROR(INDEX(Материалы!$I$2:$I$9000,MATCH($I692,Материалы!$A$2:$A$9000,0))*IF(INDEX(Материалы!$J$2:$J$9000,MATCH($I692,Материалы!$A$2:$A$9000,0))="USD",КурсUSD,IF(INDEX(Материалы!$J$2:$J$9000,MATCH($I692,Материалы!$A$2:$A$9000,0))="EUR",КурсEUR,1))*INDEX(Материалы!$K$2:$K$9000,MATCH($I692,Материалы!$A$2:$A$9000,0))*(1+IFERROR(INDEX(Работы!$I$2:$I$6000,MATCH($C692,Работы!$A$2:$A$6000,0))/100,0))*(1-ДисконтТендер),0))</f>
        <v>0</v>
      </c>
      <c r="N692" s="10">
        <f t="shared" si="30"/>
        <v>0</v>
      </c>
      <c r="O692" s="10">
        <f t="shared" si="31"/>
        <v>0</v>
      </c>
      <c r="P692" s="10">
        <f t="shared" si="32"/>
        <v>0</v>
      </c>
      <c r="Q692" t="str">
        <f>IFERROR(INDEX(Работы!$J$2:$J$6000,MATCH($C692,Работы!$A$2:$A$6000,0)),"")</f>
        <v>типовая</v>
      </c>
      <c r="R692" t="s">
        <v>92</v>
      </c>
      <c r="T692" t="str">
        <f>IF(AND($P692&gt;0,$R692="да"),MAX($T$1:$T691)+1,"")</f>
        <v/>
      </c>
    </row>
    <row r="693" spans="1:20" ht="28.8" x14ac:dyDescent="0.3">
      <c r="A693" t="str">
        <f>IFERROR(INDEX(Работы!$D$2:$D$6000,MATCH($C693,Работы!$A$2:$A$6000,0)),"")</f>
        <v>Р9</v>
      </c>
      <c r="B693" t="str">
        <f>IFERROR(INDEX(Работы!$F$2:$F$6000,MATCH($C693,Работы!$A$2:$A$6000,0)),"")</f>
        <v>2</v>
      </c>
      <c r="C693" t="str">
        <f>IFERROR(INDEX(Работы!$A$2:$A$6000,692),"")</f>
        <v>РАБ.Р9.2.055</v>
      </c>
      <c r="D693" s="8" t="str">
        <f>IFERROR(INDEX(Работы!$B$2:$B$6000,MATCH($C693,Работы!$A$2:$A$6000,0)),"")</f>
        <v>Монтаж модульного аппарата (автомат / УЗО / дифавтомат / рубильник)</v>
      </c>
      <c r="E693" t="str">
        <f>IFERROR(INDEX(Работы!$C$2:$C$6000,MATCH($C693,Работы!$A$2:$A$6000,0)),"")</f>
        <v>шт.</v>
      </c>
      <c r="F693" t="str">
        <f>IFERROR(INDEX(Работы!$G$2:$G$6000,MATCH($C693,Работы!$A$2:$A$6000,0)),"")</f>
        <v>ЭА.МОД</v>
      </c>
      <c r="G693" t="str">
        <f>IFERROR(INDEX(Работы!$K$2:$K$6000,MATCH($C693,Работы!$A$2:$A$6000,0)),"")</f>
        <v>Спецификация</v>
      </c>
      <c r="H693" s="9"/>
      <c r="I693" s="9"/>
      <c r="J693" s="8" t="str">
        <f>IFERROR(INDEX(Материалы!$B$2:$B$9000,MATCH($I693,Материалы!$A$2:$A$9000,0)),"")</f>
        <v/>
      </c>
      <c r="K693" t="str">
        <f>IF($I693="","",IF($F693=IFERROR(INDEX(Материалы!$G$2:$G$9000,MATCH($I693,Материалы!$A$2:$A$9000,0)),""),"OK","!! не та группа"))</f>
        <v/>
      </c>
      <c r="L693" s="10">
        <f>IFERROR(INDEX(Работы!$H$2:$H$6000,MATCH($C693,Работы!$A$2:$A$6000,0))*(1-ДисконтТендер),0)</f>
        <v>2198.61</v>
      </c>
      <c r="M693" s="10">
        <f>IF($I693="",0,IFERROR(INDEX(Материалы!$I$2:$I$9000,MATCH($I693,Материалы!$A$2:$A$9000,0))*IF(INDEX(Материалы!$J$2:$J$9000,MATCH($I693,Материалы!$A$2:$A$9000,0))="USD",КурсUSD,IF(INDEX(Материалы!$J$2:$J$9000,MATCH($I693,Материалы!$A$2:$A$9000,0))="EUR",КурсEUR,1))*INDEX(Материалы!$K$2:$K$9000,MATCH($I693,Материалы!$A$2:$A$9000,0))*(1+IFERROR(INDEX(Работы!$I$2:$I$6000,MATCH($C693,Работы!$A$2:$A$6000,0))/100,0))*(1-ДисконтТендер),0))</f>
        <v>0</v>
      </c>
      <c r="N693" s="10">
        <f t="shared" si="30"/>
        <v>0</v>
      </c>
      <c r="O693" s="10">
        <f t="shared" si="31"/>
        <v>0</v>
      </c>
      <c r="P693" s="10">
        <f t="shared" si="32"/>
        <v>0</v>
      </c>
      <c r="Q693" t="str">
        <f>IFERROR(INDEX(Работы!$J$2:$J$6000,MATCH($C693,Работы!$A$2:$A$6000,0)),"")</f>
        <v>типовая</v>
      </c>
      <c r="R693" t="s">
        <v>92</v>
      </c>
      <c r="T693" t="str">
        <f>IF(AND($P693&gt;0,$R693="да"),MAX($T$1:$T692)+1,"")</f>
        <v/>
      </c>
    </row>
    <row r="694" spans="1:20" ht="28.8" x14ac:dyDescent="0.3">
      <c r="A694" t="str">
        <f>IFERROR(INDEX(Работы!$D$2:$D$6000,MATCH($C694,Работы!$A$2:$A$6000,0)),"")</f>
        <v>Р9</v>
      </c>
      <c r="B694" t="str">
        <f>IFERROR(INDEX(Работы!$F$2:$F$6000,MATCH($C694,Работы!$A$2:$A$6000,0)),"")</f>
        <v>2</v>
      </c>
      <c r="C694" t="str">
        <f>IFERROR(INDEX(Работы!$A$2:$A$6000,693),"")</f>
        <v>РАБ.Р9.2.056</v>
      </c>
      <c r="D694" s="8" t="str">
        <f>IFERROR(INDEX(Работы!$B$2:$B$6000,MATCH($C694,Работы!$A$2:$A$6000,0)),"")</f>
        <v>Монтаж модульного аппарата (автомат / УЗО / дифавтомат / рубильник)</v>
      </c>
      <c r="E694" t="str">
        <f>IFERROR(INDEX(Работы!$C$2:$C$6000,MATCH($C694,Работы!$A$2:$A$6000,0)),"")</f>
        <v>шт.</v>
      </c>
      <c r="F694" t="str">
        <f>IFERROR(INDEX(Работы!$G$2:$G$6000,MATCH($C694,Работы!$A$2:$A$6000,0)),"")</f>
        <v>ЭА.МОД</v>
      </c>
      <c r="G694" t="str">
        <f>IFERROR(INDEX(Работы!$K$2:$K$6000,MATCH($C694,Работы!$A$2:$A$6000,0)),"")</f>
        <v>Спецификация</v>
      </c>
      <c r="H694" s="9"/>
      <c r="I694" s="9"/>
      <c r="J694" s="8" t="str">
        <f>IFERROR(INDEX(Материалы!$B$2:$B$9000,MATCH($I694,Материалы!$A$2:$A$9000,0)),"")</f>
        <v/>
      </c>
      <c r="K694" t="str">
        <f>IF($I694="","",IF($F694=IFERROR(INDEX(Материалы!$G$2:$G$9000,MATCH($I694,Материалы!$A$2:$A$9000,0)),""),"OK","!! не та группа"))</f>
        <v/>
      </c>
      <c r="L694" s="10">
        <f>IFERROR(INDEX(Работы!$H$2:$H$6000,MATCH($C694,Работы!$A$2:$A$6000,0))*(1-ДисконтТендер),0)</f>
        <v>2251.13</v>
      </c>
      <c r="M694" s="10">
        <f>IF($I694="",0,IFERROR(INDEX(Материалы!$I$2:$I$9000,MATCH($I694,Материалы!$A$2:$A$9000,0))*IF(INDEX(Материалы!$J$2:$J$9000,MATCH($I694,Материалы!$A$2:$A$9000,0))="USD",КурсUSD,IF(INDEX(Материалы!$J$2:$J$9000,MATCH($I694,Материалы!$A$2:$A$9000,0))="EUR",КурсEUR,1))*INDEX(Материалы!$K$2:$K$9000,MATCH($I694,Материалы!$A$2:$A$9000,0))*(1+IFERROR(INDEX(Работы!$I$2:$I$6000,MATCH($C694,Работы!$A$2:$A$6000,0))/100,0))*(1-ДисконтТендер),0))</f>
        <v>0</v>
      </c>
      <c r="N694" s="10">
        <f t="shared" si="30"/>
        <v>0</v>
      </c>
      <c r="O694" s="10">
        <f t="shared" si="31"/>
        <v>0</v>
      </c>
      <c r="P694" s="10">
        <f t="shared" si="32"/>
        <v>0</v>
      </c>
      <c r="Q694" t="str">
        <f>IFERROR(INDEX(Работы!$J$2:$J$6000,MATCH($C694,Работы!$A$2:$A$6000,0)),"")</f>
        <v>типовая</v>
      </c>
      <c r="R694" t="s">
        <v>92</v>
      </c>
      <c r="T694" t="str">
        <f>IF(AND($P694&gt;0,$R694="да"),MAX($T$1:$T693)+1,"")</f>
        <v/>
      </c>
    </row>
    <row r="695" spans="1:20" ht="28.8" x14ac:dyDescent="0.3">
      <c r="A695" t="str">
        <f>IFERROR(INDEX(Работы!$D$2:$D$6000,MATCH($C695,Работы!$A$2:$A$6000,0)),"")</f>
        <v>Р9</v>
      </c>
      <c r="B695" t="str">
        <f>IFERROR(INDEX(Работы!$F$2:$F$6000,MATCH($C695,Работы!$A$2:$A$6000,0)),"")</f>
        <v>2</v>
      </c>
      <c r="C695" t="str">
        <f>IFERROR(INDEX(Работы!$A$2:$A$6000,694),"")</f>
        <v>РАБ.Р9.2.057</v>
      </c>
      <c r="D695" s="8" t="str">
        <f>IFERROR(INDEX(Работы!$B$2:$B$6000,MATCH($C695,Работы!$A$2:$A$6000,0)),"")</f>
        <v>Дифференциальный автомат АВВ DS204 C63 4P 63А (C) 6kA тип AC 30mA (6мод.)</v>
      </c>
      <c r="E695" t="str">
        <f>IFERROR(INDEX(Работы!$C$2:$C$6000,MATCH($C695,Работы!$A$2:$A$6000,0)),"")</f>
        <v>шт.</v>
      </c>
      <c r="F695" t="str">
        <f>IFERROR(INDEX(Работы!$G$2:$G$6000,MATCH($C695,Работы!$A$2:$A$6000,0)),"")</f>
        <v>ЭА.МОД</v>
      </c>
      <c r="G695" t="str">
        <f>IFERROR(INDEX(Работы!$K$2:$K$6000,MATCH($C695,Работы!$A$2:$A$6000,0)),"")</f>
        <v>Спецификация</v>
      </c>
      <c r="H695" s="9"/>
      <c r="I695" s="9"/>
      <c r="J695" s="8" t="str">
        <f>IFERROR(INDEX(Материалы!$B$2:$B$9000,MATCH($I695,Материалы!$A$2:$A$9000,0)),"")</f>
        <v/>
      </c>
      <c r="K695" t="str">
        <f>IF($I695="","",IF($F695=IFERROR(INDEX(Материалы!$G$2:$G$9000,MATCH($I695,Материалы!$A$2:$A$9000,0)),""),"OK","!! не та группа"))</f>
        <v/>
      </c>
      <c r="L695" s="10">
        <f>IFERROR(INDEX(Работы!$H$2:$H$6000,MATCH($C695,Работы!$A$2:$A$6000,0))*(1-ДисконтТендер),0)</f>
        <v>2878.97</v>
      </c>
      <c r="M695" s="10">
        <f>IF($I695="",0,IFERROR(INDEX(Материалы!$I$2:$I$9000,MATCH($I695,Материалы!$A$2:$A$9000,0))*IF(INDEX(Материалы!$J$2:$J$9000,MATCH($I695,Материалы!$A$2:$A$9000,0))="USD",КурсUSD,IF(INDEX(Материалы!$J$2:$J$9000,MATCH($I695,Материалы!$A$2:$A$9000,0))="EUR",КурсEUR,1))*INDEX(Материалы!$K$2:$K$9000,MATCH($I695,Материалы!$A$2:$A$9000,0))*(1+IFERROR(INDEX(Работы!$I$2:$I$6000,MATCH($C695,Работы!$A$2:$A$6000,0))/100,0))*(1-ДисконтТендер),0))</f>
        <v>0</v>
      </c>
      <c r="N695" s="10">
        <f t="shared" si="30"/>
        <v>0</v>
      </c>
      <c r="O695" s="10">
        <f t="shared" si="31"/>
        <v>0</v>
      </c>
      <c r="P695" s="10">
        <f t="shared" si="32"/>
        <v>0</v>
      </c>
      <c r="Q695" t="str">
        <f>IFERROR(INDEX(Работы!$J$2:$J$6000,MATCH($C695,Работы!$A$2:$A$6000,0)),"")</f>
        <v>типовая</v>
      </c>
      <c r="R695" t="s">
        <v>92</v>
      </c>
      <c r="T695" t="str">
        <f>IF(AND($P695&gt;0,$R695="да"),MAX($T$1:$T694)+1,"")</f>
        <v/>
      </c>
    </row>
    <row r="696" spans="1:20" x14ac:dyDescent="0.3">
      <c r="A696" t="str">
        <f>IFERROR(INDEX(Работы!$D$2:$D$6000,MATCH($C696,Работы!$A$2:$A$6000,0)),"")</f>
        <v>Р9</v>
      </c>
      <c r="B696" t="str">
        <f>IFERROR(INDEX(Работы!$F$2:$F$6000,MATCH($C696,Работы!$A$2:$A$6000,0)),"")</f>
        <v>2</v>
      </c>
      <c r="C696" t="str">
        <f>IFERROR(INDEX(Работы!$A$2:$A$6000,695),"")</f>
        <v>РАБ.Р9.2.058</v>
      </c>
      <c r="D696" s="8" t="str">
        <f>IFERROR(INDEX(Работы!$B$2:$B$6000,MATCH($C696,Работы!$A$2:$A$6000,0)),"")</f>
        <v>Контактор модульный ABB ESB24-31</v>
      </c>
      <c r="E696" t="str">
        <f>IFERROR(INDEX(Работы!$C$2:$C$6000,MATCH($C696,Работы!$A$2:$A$6000,0)),"")</f>
        <v>шт.</v>
      </c>
      <c r="F696">
        <f>IFERROR(INDEX(Работы!$G$2:$G$6000,MATCH($C696,Работы!$A$2:$A$6000,0)),"")</f>
        <v>0</v>
      </c>
      <c r="G696" t="str">
        <f>IFERROR(INDEX(Работы!$K$2:$K$6000,MATCH($C696,Работы!$A$2:$A$6000,0)),"")</f>
        <v>Спецификация</v>
      </c>
      <c r="H696" s="9"/>
      <c r="I696" s="9"/>
      <c r="J696" s="8" t="str">
        <f>IFERROR(INDEX(Материалы!$B$2:$B$9000,MATCH($I696,Материалы!$A$2:$A$9000,0)),"")</f>
        <v/>
      </c>
      <c r="K696" t="str">
        <f>IF($I696="","",IF($F696=IFERROR(INDEX(Материалы!$G$2:$G$9000,MATCH($I696,Материалы!$A$2:$A$9000,0)),""),"OK","!! не та группа"))</f>
        <v/>
      </c>
      <c r="L696" s="10">
        <f>IFERROR(INDEX(Работы!$H$2:$H$6000,MATCH($C696,Работы!$A$2:$A$6000,0))*(1-ДисконтТендер),0)</f>
        <v>1155.25</v>
      </c>
      <c r="M696" s="10">
        <f>IF($I696="",0,IFERROR(INDEX(Материалы!$I$2:$I$9000,MATCH($I696,Материалы!$A$2:$A$9000,0))*IF(INDEX(Материалы!$J$2:$J$9000,MATCH($I696,Материалы!$A$2:$A$9000,0))="USD",КурсUSD,IF(INDEX(Материалы!$J$2:$J$9000,MATCH($I696,Материалы!$A$2:$A$9000,0))="EUR",КурсEUR,1))*INDEX(Материалы!$K$2:$K$9000,MATCH($I696,Материалы!$A$2:$A$9000,0))*(1+IFERROR(INDEX(Работы!$I$2:$I$6000,MATCH($C696,Работы!$A$2:$A$6000,0))/100,0))*(1-ДисконтТендер),0))</f>
        <v>0</v>
      </c>
      <c r="N696" s="10">
        <f t="shared" si="30"/>
        <v>0</v>
      </c>
      <c r="O696" s="10">
        <f t="shared" si="31"/>
        <v>0</v>
      </c>
      <c r="P696" s="10">
        <f t="shared" si="32"/>
        <v>0</v>
      </c>
      <c r="Q696" t="str">
        <f>IFERROR(INDEX(Работы!$J$2:$J$6000,MATCH($C696,Работы!$A$2:$A$6000,0)),"")</f>
        <v>типовая</v>
      </c>
      <c r="R696" t="s">
        <v>92</v>
      </c>
      <c r="T696" t="str">
        <f>IF(AND($P696&gt;0,$R696="да"),MAX($T$1:$T695)+1,"")</f>
        <v/>
      </c>
    </row>
    <row r="697" spans="1:20" x14ac:dyDescent="0.3">
      <c r="A697" t="str">
        <f>IFERROR(INDEX(Работы!$D$2:$D$6000,MATCH($C697,Работы!$A$2:$A$6000,0)),"")</f>
        <v>Р9</v>
      </c>
      <c r="B697" t="str">
        <f>IFERROR(INDEX(Работы!$F$2:$F$6000,MATCH($C697,Работы!$A$2:$A$6000,0)),"")</f>
        <v>2</v>
      </c>
      <c r="C697" t="str">
        <f>IFERROR(INDEX(Работы!$A$2:$A$6000,696),"")</f>
        <v>РАБ.Р9.2.059</v>
      </c>
      <c r="D697" s="8" t="str">
        <f>IFERROR(INDEX(Работы!$B$2:$B$6000,MATCH($C697,Работы!$A$2:$A$6000,0)),"")</f>
        <v>Контактор модульный ABB ESB40-40</v>
      </c>
      <c r="E697" t="str">
        <f>IFERROR(INDEX(Работы!$C$2:$C$6000,MATCH($C697,Работы!$A$2:$A$6000,0)),"")</f>
        <v>шт.</v>
      </c>
      <c r="F697">
        <f>IFERROR(INDEX(Работы!$G$2:$G$6000,MATCH($C697,Работы!$A$2:$A$6000,0)),"")</f>
        <v>0</v>
      </c>
      <c r="G697" t="str">
        <f>IFERROR(INDEX(Работы!$K$2:$K$6000,MATCH($C697,Работы!$A$2:$A$6000,0)),"")</f>
        <v>Спецификация</v>
      </c>
      <c r="H697" s="9"/>
      <c r="I697" s="9"/>
      <c r="J697" s="8" t="str">
        <f>IFERROR(INDEX(Материалы!$B$2:$B$9000,MATCH($I697,Материалы!$A$2:$A$9000,0)),"")</f>
        <v/>
      </c>
      <c r="K697" t="str">
        <f>IF($I697="","",IF($F697=IFERROR(INDEX(Материалы!$G$2:$G$9000,MATCH($I697,Материалы!$A$2:$A$9000,0)),""),"OK","!! не та группа"))</f>
        <v/>
      </c>
      <c r="L697" s="10">
        <f>IFERROR(INDEX(Работы!$H$2:$H$6000,MATCH($C697,Работы!$A$2:$A$6000,0))*(1-ДисконтТендер),0)</f>
        <v>1207.76</v>
      </c>
      <c r="M697" s="10">
        <f>IF($I697="",0,IFERROR(INDEX(Материалы!$I$2:$I$9000,MATCH($I697,Материалы!$A$2:$A$9000,0))*IF(INDEX(Материалы!$J$2:$J$9000,MATCH($I697,Материалы!$A$2:$A$9000,0))="USD",КурсUSD,IF(INDEX(Материалы!$J$2:$J$9000,MATCH($I697,Материалы!$A$2:$A$9000,0))="EUR",КурсEUR,1))*INDEX(Материалы!$K$2:$K$9000,MATCH($I697,Материалы!$A$2:$A$9000,0))*(1+IFERROR(INDEX(Работы!$I$2:$I$6000,MATCH($C697,Работы!$A$2:$A$6000,0))/100,0))*(1-ДисконтТендер),0))</f>
        <v>0</v>
      </c>
      <c r="N697" s="10">
        <f t="shared" si="30"/>
        <v>0</v>
      </c>
      <c r="O697" s="10">
        <f t="shared" si="31"/>
        <v>0</v>
      </c>
      <c r="P697" s="10">
        <f t="shared" si="32"/>
        <v>0</v>
      </c>
      <c r="Q697" t="str">
        <f>IFERROR(INDEX(Работы!$J$2:$J$6000,MATCH($C697,Работы!$A$2:$A$6000,0)),"")</f>
        <v>типовая</v>
      </c>
      <c r="R697" t="s">
        <v>92</v>
      </c>
      <c r="T697" t="str">
        <f>IF(AND($P697&gt;0,$R697="да"),MAX($T$1:$T696)+1,"")</f>
        <v/>
      </c>
    </row>
    <row r="698" spans="1:20" x14ac:dyDescent="0.3">
      <c r="A698" t="str">
        <f>IFERROR(INDEX(Работы!$D$2:$D$6000,MATCH($C698,Работы!$A$2:$A$6000,0)),"")</f>
        <v>Р9</v>
      </c>
      <c r="B698" t="str">
        <f>IFERROR(INDEX(Работы!$F$2:$F$6000,MATCH($C698,Работы!$A$2:$A$6000,0)),"")</f>
        <v>2</v>
      </c>
      <c r="C698" t="str">
        <f>IFERROR(INDEX(Работы!$A$2:$A$6000,697),"")</f>
        <v>РАБ.Р9.2.060</v>
      </c>
      <c r="D698" s="8" t="str">
        <f>IFERROR(INDEX(Работы!$B$2:$B$6000,MATCH($C698,Работы!$A$2:$A$6000,0)),"")</f>
        <v>Контактор модульный ABB ESB63-40</v>
      </c>
      <c r="E698" t="str">
        <f>IFERROR(INDEX(Работы!$C$2:$C$6000,MATCH($C698,Работы!$A$2:$A$6000,0)),"")</f>
        <v>шт.</v>
      </c>
      <c r="F698">
        <f>IFERROR(INDEX(Работы!$G$2:$G$6000,MATCH($C698,Работы!$A$2:$A$6000,0)),"")</f>
        <v>0</v>
      </c>
      <c r="G698" t="str">
        <f>IFERROR(INDEX(Работы!$K$2:$K$6000,MATCH($C698,Работы!$A$2:$A$6000,0)),"")</f>
        <v>Спецификация</v>
      </c>
      <c r="H698" s="9"/>
      <c r="I698" s="9"/>
      <c r="J698" s="8" t="str">
        <f>IFERROR(INDEX(Материалы!$B$2:$B$9000,MATCH($I698,Материалы!$A$2:$A$9000,0)),"")</f>
        <v/>
      </c>
      <c r="K698" t="str">
        <f>IF($I698="","",IF($F698=IFERROR(INDEX(Материалы!$G$2:$G$9000,MATCH($I698,Материалы!$A$2:$A$9000,0)),""),"OK","!! не та группа"))</f>
        <v/>
      </c>
      <c r="L698" s="10">
        <f>IFERROR(INDEX(Работы!$H$2:$H$6000,MATCH($C698,Работы!$A$2:$A$6000,0))*(1-ДисконтТендер),0)</f>
        <v>1837.89</v>
      </c>
      <c r="M698" s="10">
        <f>IF($I698="",0,IFERROR(INDEX(Материалы!$I$2:$I$9000,MATCH($I698,Материалы!$A$2:$A$9000,0))*IF(INDEX(Материалы!$J$2:$J$9000,MATCH($I698,Материалы!$A$2:$A$9000,0))="USD",КурсUSD,IF(INDEX(Материалы!$J$2:$J$9000,MATCH($I698,Материалы!$A$2:$A$9000,0))="EUR",КурсEUR,1))*INDEX(Материалы!$K$2:$K$9000,MATCH($I698,Материалы!$A$2:$A$9000,0))*(1+IFERROR(INDEX(Работы!$I$2:$I$6000,MATCH($C698,Работы!$A$2:$A$6000,0))/100,0))*(1-ДисконтТендер),0))</f>
        <v>0</v>
      </c>
      <c r="N698" s="10">
        <f t="shared" si="30"/>
        <v>0</v>
      </c>
      <c r="O698" s="10">
        <f t="shared" si="31"/>
        <v>0</v>
      </c>
      <c r="P698" s="10">
        <f t="shared" si="32"/>
        <v>0</v>
      </c>
      <c r="Q698" t="str">
        <f>IFERROR(INDEX(Работы!$J$2:$J$6000,MATCH($C698,Работы!$A$2:$A$6000,0)),"")</f>
        <v>типовая</v>
      </c>
      <c r="R698" t="s">
        <v>92</v>
      </c>
      <c r="T698" t="str">
        <f>IF(AND($P698&gt;0,$R698="да"),MAX($T$1:$T697)+1,"")</f>
        <v/>
      </c>
    </row>
    <row r="699" spans="1:20" ht="28.8" x14ac:dyDescent="0.3">
      <c r="A699" t="str">
        <f>IFERROR(INDEX(Работы!$D$2:$D$6000,MATCH($C699,Работы!$A$2:$A$6000,0)),"")</f>
        <v>Р9</v>
      </c>
      <c r="B699" t="str">
        <f>IFERROR(INDEX(Работы!$F$2:$F$6000,MATCH($C699,Работы!$A$2:$A$6000,0)),"")</f>
        <v>2</v>
      </c>
      <c r="C699" t="str">
        <f>IFERROR(INDEX(Работы!$A$2:$A$6000,698),"")</f>
        <v>РАБ.Р9.2.061</v>
      </c>
      <c r="D699" s="8" t="str">
        <f>IFERROR(INDEX(Работы!$B$2:$B$6000,MATCH($C699,Работы!$A$2:$A$6000,0)),"")</f>
        <v>Реле освещенности ABB TW, Датчик освещенности ABB LS-SP</v>
      </c>
      <c r="E699" t="str">
        <f>IFERROR(INDEX(Работы!$C$2:$C$6000,MATCH($C699,Работы!$A$2:$A$6000,0)),"")</f>
        <v>шт.</v>
      </c>
      <c r="F699">
        <f>IFERROR(INDEX(Работы!$G$2:$G$6000,MATCH($C699,Работы!$A$2:$A$6000,0)),"")</f>
        <v>0</v>
      </c>
      <c r="G699" t="str">
        <f>IFERROR(INDEX(Работы!$K$2:$K$6000,MATCH($C699,Работы!$A$2:$A$6000,0)),"")</f>
        <v>Спецификация</v>
      </c>
      <c r="H699" s="9"/>
      <c r="I699" s="9"/>
      <c r="J699" s="8" t="str">
        <f>IFERROR(INDEX(Материалы!$B$2:$B$9000,MATCH($I699,Материалы!$A$2:$A$9000,0)),"")</f>
        <v/>
      </c>
      <c r="K699" t="str">
        <f>IF($I699="","",IF($F699=IFERROR(INDEX(Материалы!$G$2:$G$9000,MATCH($I699,Материалы!$A$2:$A$9000,0)),""),"OK","!! не та группа"))</f>
        <v/>
      </c>
      <c r="L699" s="10">
        <f>IFERROR(INDEX(Работы!$H$2:$H$6000,MATCH($C699,Работы!$A$2:$A$6000,0))*(1-ДисконтТендер),0)</f>
        <v>1627.85</v>
      </c>
      <c r="M699" s="10">
        <f>IF($I699="",0,IFERROR(INDEX(Материалы!$I$2:$I$9000,MATCH($I699,Материалы!$A$2:$A$9000,0))*IF(INDEX(Материалы!$J$2:$J$9000,MATCH($I699,Материалы!$A$2:$A$9000,0))="USD",КурсUSD,IF(INDEX(Материалы!$J$2:$J$9000,MATCH($I699,Материалы!$A$2:$A$9000,0))="EUR",КурсEUR,1))*INDEX(Материалы!$K$2:$K$9000,MATCH($I699,Материалы!$A$2:$A$9000,0))*(1+IFERROR(INDEX(Работы!$I$2:$I$6000,MATCH($C699,Работы!$A$2:$A$6000,0))/100,0))*(1-ДисконтТендер),0))</f>
        <v>0</v>
      </c>
      <c r="N699" s="10">
        <f t="shared" si="30"/>
        <v>0</v>
      </c>
      <c r="O699" s="10">
        <f t="shared" si="31"/>
        <v>0</v>
      </c>
      <c r="P699" s="10">
        <f t="shared" si="32"/>
        <v>0</v>
      </c>
      <c r="Q699" t="str">
        <f>IFERROR(INDEX(Работы!$J$2:$J$6000,MATCH($C699,Работы!$A$2:$A$6000,0)),"")</f>
        <v>типовая</v>
      </c>
      <c r="R699" t="s">
        <v>92</v>
      </c>
      <c r="T699" t="str">
        <f>IF(AND($P699&gt;0,$R699="да"),MAX($T$1:$T698)+1,"")</f>
        <v/>
      </c>
    </row>
    <row r="700" spans="1:20" x14ac:dyDescent="0.3">
      <c r="A700" t="str">
        <f>IFERROR(INDEX(Работы!$D$2:$D$6000,MATCH($C700,Работы!$A$2:$A$6000,0)),"")</f>
        <v>Р9</v>
      </c>
      <c r="B700" t="str">
        <f>IFERROR(INDEX(Работы!$F$2:$F$6000,MATCH($C700,Работы!$A$2:$A$6000,0)),"")</f>
        <v>2</v>
      </c>
      <c r="C700" t="str">
        <f>IFERROR(INDEX(Работы!$A$2:$A$6000,699),"")</f>
        <v>РАБ.Р9.2.062</v>
      </c>
      <c r="D700" s="8" t="str">
        <f>IFERROR(INDEX(Работы!$B$2:$B$6000,MATCH($C700,Работы!$A$2:$A$6000,0)),"")</f>
        <v>Реле управления нагрузкой LSS1/2 230В ,90А (АВВ)</v>
      </c>
      <c r="E700" t="str">
        <f>IFERROR(INDEX(Работы!$C$2:$C$6000,MATCH($C700,Работы!$A$2:$A$6000,0)),"")</f>
        <v>шт.</v>
      </c>
      <c r="F700">
        <f>IFERROR(INDEX(Работы!$G$2:$G$6000,MATCH($C700,Работы!$A$2:$A$6000,0)),"")</f>
        <v>0</v>
      </c>
      <c r="G700" t="str">
        <f>IFERROR(INDEX(Работы!$K$2:$K$6000,MATCH($C700,Работы!$A$2:$A$6000,0)),"")</f>
        <v>Спецификация</v>
      </c>
      <c r="H700" s="9"/>
      <c r="I700" s="9"/>
      <c r="J700" s="8" t="str">
        <f>IFERROR(INDEX(Материалы!$B$2:$B$9000,MATCH($I700,Материалы!$A$2:$A$9000,0)),"")</f>
        <v/>
      </c>
      <c r="K700" t="str">
        <f>IF($I700="","",IF($F700=IFERROR(INDEX(Материалы!$G$2:$G$9000,MATCH($I700,Материалы!$A$2:$A$9000,0)),""),"OK","!! не та группа"))</f>
        <v/>
      </c>
      <c r="L700" s="10">
        <f>IFERROR(INDEX(Работы!$H$2:$H$6000,MATCH($C700,Работы!$A$2:$A$6000,0))*(1-ДисконтТендер),0)</f>
        <v>4883.55</v>
      </c>
      <c r="M700" s="10">
        <f>IF($I700="",0,IFERROR(INDEX(Материалы!$I$2:$I$9000,MATCH($I700,Материалы!$A$2:$A$9000,0))*IF(INDEX(Материалы!$J$2:$J$9000,MATCH($I700,Материалы!$A$2:$A$9000,0))="USD",КурсUSD,IF(INDEX(Материалы!$J$2:$J$9000,MATCH($I700,Материалы!$A$2:$A$9000,0))="EUR",КурсEUR,1))*INDEX(Материалы!$K$2:$K$9000,MATCH($I700,Материалы!$A$2:$A$9000,0))*(1+IFERROR(INDEX(Работы!$I$2:$I$6000,MATCH($C700,Работы!$A$2:$A$6000,0))/100,0))*(1-ДисконтТендер),0))</f>
        <v>0</v>
      </c>
      <c r="N700" s="10">
        <f t="shared" si="30"/>
        <v>0</v>
      </c>
      <c r="O700" s="10">
        <f t="shared" si="31"/>
        <v>0</v>
      </c>
      <c r="P700" s="10">
        <f t="shared" si="32"/>
        <v>0</v>
      </c>
      <c r="Q700" t="str">
        <f>IFERROR(INDEX(Работы!$J$2:$J$6000,MATCH($C700,Работы!$A$2:$A$6000,0)),"")</f>
        <v>типовая</v>
      </c>
      <c r="R700" t="s">
        <v>92</v>
      </c>
      <c r="T700" t="str">
        <f>IF(AND($P700&gt;0,$R700="да"),MAX($T$1:$T699)+1,"")</f>
        <v/>
      </c>
    </row>
    <row r="701" spans="1:20" x14ac:dyDescent="0.3">
      <c r="A701" t="str">
        <f>IFERROR(INDEX(Работы!$D$2:$D$6000,MATCH($C701,Работы!$A$2:$A$6000,0)),"")</f>
        <v>Р9</v>
      </c>
      <c r="B701" t="str">
        <f>IFERROR(INDEX(Работы!$F$2:$F$6000,MATCH($C701,Работы!$A$2:$A$6000,0)),"")</f>
        <v>2</v>
      </c>
      <c r="C701" t="str">
        <f>IFERROR(INDEX(Работы!$A$2:$A$6000,700),"")</f>
        <v>РАБ.Р9.2.063</v>
      </c>
      <c r="D701" s="8" t="str">
        <f>IFERROR(INDEX(Работы!$B$2:$B$6000,MATCH($C701,Работы!$A$2:$A$6000,0)),"")</f>
        <v>Реле максимального тока STT6 114 E 451 5,7A</v>
      </c>
      <c r="E701" t="str">
        <f>IFERROR(INDEX(Работы!$C$2:$C$6000,MATCH($C701,Работы!$A$2:$A$6000,0)),"")</f>
        <v>шт.</v>
      </c>
      <c r="F701">
        <f>IFERROR(INDEX(Работы!$G$2:$G$6000,MATCH($C701,Работы!$A$2:$A$6000,0)),"")</f>
        <v>0</v>
      </c>
      <c r="G701" t="str">
        <f>IFERROR(INDEX(Работы!$K$2:$K$6000,MATCH($C701,Работы!$A$2:$A$6000,0)),"")</f>
        <v>Спецификация</v>
      </c>
      <c r="H701" s="9"/>
      <c r="I701" s="9"/>
      <c r="J701" s="8" t="str">
        <f>IFERROR(INDEX(Материалы!$B$2:$B$9000,MATCH($I701,Материалы!$A$2:$A$9000,0)),"")</f>
        <v/>
      </c>
      <c r="K701" t="str">
        <f>IF($I701="","",IF($F701=IFERROR(INDEX(Материалы!$G$2:$G$9000,MATCH($I701,Материалы!$A$2:$A$9000,0)),""),"OK","!! не та группа"))</f>
        <v/>
      </c>
      <c r="L701" s="10">
        <f>IFERROR(INDEX(Работы!$H$2:$H$6000,MATCH($C701,Работы!$A$2:$A$6000,0))*(1-ДисконтТендер),0)</f>
        <v>3150.68</v>
      </c>
      <c r="M701" s="10">
        <f>IF($I701="",0,IFERROR(INDEX(Материалы!$I$2:$I$9000,MATCH($I701,Материалы!$A$2:$A$9000,0))*IF(INDEX(Материалы!$J$2:$J$9000,MATCH($I701,Материалы!$A$2:$A$9000,0))="USD",КурсUSD,IF(INDEX(Материалы!$J$2:$J$9000,MATCH($I701,Материалы!$A$2:$A$9000,0))="EUR",КурсEUR,1))*INDEX(Материалы!$K$2:$K$9000,MATCH($I701,Материалы!$A$2:$A$9000,0))*(1+IFERROR(INDEX(Работы!$I$2:$I$6000,MATCH($C701,Работы!$A$2:$A$6000,0))/100,0))*(1-ДисконтТендер),0))</f>
        <v>0</v>
      </c>
      <c r="N701" s="10">
        <f t="shared" si="30"/>
        <v>0</v>
      </c>
      <c r="O701" s="10">
        <f t="shared" si="31"/>
        <v>0</v>
      </c>
      <c r="P701" s="10">
        <f t="shared" si="32"/>
        <v>0</v>
      </c>
      <c r="Q701" t="str">
        <f>IFERROR(INDEX(Работы!$J$2:$J$6000,MATCH($C701,Работы!$A$2:$A$6000,0)),"")</f>
        <v>типовая</v>
      </c>
      <c r="R701" t="s">
        <v>92</v>
      </c>
      <c r="T701" t="str">
        <f>IF(AND($P701&gt;0,$R701="да"),MAX($T$1:$T700)+1,"")</f>
        <v/>
      </c>
    </row>
    <row r="702" spans="1:20" ht="28.8" x14ac:dyDescent="0.3">
      <c r="A702" t="str">
        <f>IFERROR(INDEX(Работы!$D$2:$D$6000,MATCH($C702,Работы!$A$2:$A$6000,0)),"")</f>
        <v>Р9</v>
      </c>
      <c r="B702" t="str">
        <f>IFERROR(INDEX(Работы!$F$2:$F$6000,MATCH($C702,Работы!$A$2:$A$6000,0)),"")</f>
        <v>2</v>
      </c>
      <c r="C702" t="str">
        <f>IFERROR(INDEX(Работы!$A$2:$A$6000,701),"")</f>
        <v>РАБ.Р9.2.064</v>
      </c>
      <c r="D702" s="8" t="str">
        <f>IFERROR(INDEX(Работы!$B$2:$B$6000,MATCH($C702,Работы!$A$2:$A$6000,0)),"")</f>
        <v>Трансформатор 230В/24В понижающий однофазный 160ВА , на din -рейку,</v>
      </c>
      <c r="E702" t="str">
        <f>IFERROR(INDEX(Работы!$C$2:$C$6000,MATCH($C702,Работы!$A$2:$A$6000,0)),"")</f>
        <v>шт.</v>
      </c>
      <c r="F702">
        <f>IFERROR(INDEX(Работы!$G$2:$G$6000,MATCH($C702,Работы!$A$2:$A$6000,0)),"")</f>
        <v>0</v>
      </c>
      <c r="G702" t="str">
        <f>IFERROR(INDEX(Работы!$K$2:$K$6000,MATCH($C702,Работы!$A$2:$A$6000,0)),"")</f>
        <v>Спецификация</v>
      </c>
      <c r="H702" s="9"/>
      <c r="I702" s="9"/>
      <c r="J702" s="8" t="str">
        <f>IFERROR(INDEX(Материалы!$B$2:$B$9000,MATCH($I702,Материалы!$A$2:$A$9000,0)),"")</f>
        <v/>
      </c>
      <c r="K702" t="str">
        <f>IF($I702="","",IF($F702=IFERROR(INDEX(Материалы!$G$2:$G$9000,MATCH($I702,Материалы!$A$2:$A$9000,0)),""),"OK","!! не та группа"))</f>
        <v/>
      </c>
      <c r="L702" s="10">
        <f>IFERROR(INDEX(Работы!$H$2:$H$6000,MATCH($C702,Работы!$A$2:$A$6000,0))*(1-ДисконтТендер),0)</f>
        <v>3518.25</v>
      </c>
      <c r="M702" s="10">
        <f>IF($I702="",0,IFERROR(INDEX(Материалы!$I$2:$I$9000,MATCH($I702,Материалы!$A$2:$A$9000,0))*IF(INDEX(Материалы!$J$2:$J$9000,MATCH($I702,Материалы!$A$2:$A$9000,0))="USD",КурсUSD,IF(INDEX(Материалы!$J$2:$J$9000,MATCH($I702,Материалы!$A$2:$A$9000,0))="EUR",КурсEUR,1))*INDEX(Материалы!$K$2:$K$9000,MATCH($I702,Материалы!$A$2:$A$9000,0))*(1+IFERROR(INDEX(Работы!$I$2:$I$6000,MATCH($C702,Работы!$A$2:$A$6000,0))/100,0))*(1-ДисконтТендер),0))</f>
        <v>0</v>
      </c>
      <c r="N702" s="10">
        <f t="shared" si="30"/>
        <v>0</v>
      </c>
      <c r="O702" s="10">
        <f t="shared" si="31"/>
        <v>0</v>
      </c>
      <c r="P702" s="10">
        <f t="shared" si="32"/>
        <v>0</v>
      </c>
      <c r="Q702" t="str">
        <f>IFERROR(INDEX(Работы!$J$2:$J$6000,MATCH($C702,Работы!$A$2:$A$6000,0)),"")</f>
        <v>типовая</v>
      </c>
      <c r="R702" t="s">
        <v>92</v>
      </c>
      <c r="T702" t="str">
        <f>IF(AND($P702&gt;0,$R702="да"),MAX($T$1:$T701)+1,"")</f>
        <v/>
      </c>
    </row>
    <row r="703" spans="1:20" ht="28.8" x14ac:dyDescent="0.3">
      <c r="A703" t="str">
        <f>IFERROR(INDEX(Работы!$D$2:$D$6000,MATCH($C703,Работы!$A$2:$A$6000,0)),"")</f>
        <v>Р9</v>
      </c>
      <c r="B703" t="str">
        <f>IFERROR(INDEX(Работы!$F$2:$F$6000,MATCH($C703,Работы!$A$2:$A$6000,0)),"")</f>
        <v>2</v>
      </c>
      <c r="C703" t="str">
        <f>IFERROR(INDEX(Работы!$A$2:$A$6000,702),"")</f>
        <v>РАБ.Р9.2.065</v>
      </c>
      <c r="D703" s="8" t="str">
        <f>IFERROR(INDEX(Работы!$B$2:$B$6000,MATCH($C703,Работы!$A$2:$A$6000,0)),"")</f>
        <v>Устройство отключения неприоритетных цепей Legrand 038 13</v>
      </c>
      <c r="E703" t="str">
        <f>IFERROR(INDEX(Работы!$C$2:$C$6000,MATCH($C703,Работы!$A$2:$A$6000,0)),"")</f>
        <v>шт.</v>
      </c>
      <c r="F703">
        <f>IFERROR(INDEX(Работы!$G$2:$G$6000,MATCH($C703,Работы!$A$2:$A$6000,0)),"")</f>
        <v>0</v>
      </c>
      <c r="G703" t="str">
        <f>IFERROR(INDEX(Работы!$K$2:$K$6000,MATCH($C703,Работы!$A$2:$A$6000,0)),"")</f>
        <v>Спецификация</v>
      </c>
      <c r="H703" s="9"/>
      <c r="I703" s="9"/>
      <c r="J703" s="8" t="str">
        <f>IFERROR(INDEX(Материалы!$B$2:$B$9000,MATCH($I703,Материалы!$A$2:$A$9000,0)),"")</f>
        <v/>
      </c>
      <c r="K703" t="str">
        <f>IF($I703="","",IF($F703=IFERROR(INDEX(Материалы!$G$2:$G$9000,MATCH($I703,Материалы!$A$2:$A$9000,0)),""),"OK","!! не та группа"))</f>
        <v/>
      </c>
      <c r="L703" s="10">
        <f>IFERROR(INDEX(Работы!$H$2:$H$6000,MATCH($C703,Работы!$A$2:$A$6000,0))*(1-ДисконтТендер),0)</f>
        <v>10134.67</v>
      </c>
      <c r="M703" s="10">
        <f>IF($I703="",0,IFERROR(INDEX(Материалы!$I$2:$I$9000,MATCH($I703,Материалы!$A$2:$A$9000,0))*IF(INDEX(Материалы!$J$2:$J$9000,MATCH($I703,Материалы!$A$2:$A$9000,0))="USD",КурсUSD,IF(INDEX(Материалы!$J$2:$J$9000,MATCH($I703,Материалы!$A$2:$A$9000,0))="EUR",КурсEUR,1))*INDEX(Материалы!$K$2:$K$9000,MATCH($I703,Материалы!$A$2:$A$9000,0))*(1+IFERROR(INDEX(Работы!$I$2:$I$6000,MATCH($C703,Работы!$A$2:$A$6000,0))/100,0))*(1-ДисконтТендер),0))</f>
        <v>0</v>
      </c>
      <c r="N703" s="10">
        <f t="shared" si="30"/>
        <v>0</v>
      </c>
      <c r="O703" s="10">
        <f t="shared" si="31"/>
        <v>0</v>
      </c>
      <c r="P703" s="10">
        <f t="shared" si="32"/>
        <v>0</v>
      </c>
      <c r="Q703" t="str">
        <f>IFERROR(INDEX(Работы!$J$2:$J$6000,MATCH($C703,Работы!$A$2:$A$6000,0)),"")</f>
        <v>типовая</v>
      </c>
      <c r="R703" t="s">
        <v>92</v>
      </c>
      <c r="T703" t="str">
        <f>IF(AND($P703&gt;0,$R703="да"),MAX($T$1:$T702)+1,"")</f>
        <v/>
      </c>
    </row>
    <row r="704" spans="1:20" x14ac:dyDescent="0.3">
      <c r="A704" t="str">
        <f>IFERROR(INDEX(Работы!$D$2:$D$6000,MATCH($C704,Работы!$A$2:$A$6000,0)),"")</f>
        <v>Р9</v>
      </c>
      <c r="B704" t="str">
        <f>IFERROR(INDEX(Работы!$F$2:$F$6000,MATCH($C704,Работы!$A$2:$A$6000,0)),"")</f>
        <v>2</v>
      </c>
      <c r="C704" t="str">
        <f>IFERROR(INDEX(Работы!$A$2:$A$6000,703),"")</f>
        <v>РАБ.Р9.2.066</v>
      </c>
      <c r="D704" s="8" t="str">
        <f>IFERROR(INDEX(Работы!$B$2:$B$6000,MATCH($C704,Работы!$A$2:$A$6000,0)),"")</f>
        <v>Электромеханический недельный таймер ABB</v>
      </c>
      <c r="E704" t="str">
        <f>IFERROR(INDEX(Работы!$C$2:$C$6000,MATCH($C704,Работы!$A$2:$A$6000,0)),"")</f>
        <v>шт.</v>
      </c>
      <c r="F704">
        <f>IFERROR(INDEX(Работы!$G$2:$G$6000,MATCH($C704,Работы!$A$2:$A$6000,0)),"")</f>
        <v>0</v>
      </c>
      <c r="G704" t="str">
        <f>IFERROR(INDEX(Работы!$K$2:$K$6000,MATCH($C704,Работы!$A$2:$A$6000,0)),"")</f>
        <v>Спецификация</v>
      </c>
      <c r="H704" s="9"/>
      <c r="I704" s="9"/>
      <c r="J704" s="8" t="str">
        <f>IFERROR(INDEX(Материалы!$B$2:$B$9000,MATCH($I704,Материалы!$A$2:$A$9000,0)),"")</f>
        <v/>
      </c>
      <c r="K704" t="str">
        <f>IF($I704="","",IF($F704=IFERROR(INDEX(Материалы!$G$2:$G$9000,MATCH($I704,Материалы!$A$2:$A$9000,0)),""),"OK","!! не та группа"))</f>
        <v/>
      </c>
      <c r="L704" s="10">
        <f>IFERROR(INDEX(Работы!$H$2:$H$6000,MATCH($C704,Работы!$A$2:$A$6000,0))*(1-ДисконтТендер),0)</f>
        <v>3045.66</v>
      </c>
      <c r="M704" s="10">
        <f>IF($I704="",0,IFERROR(INDEX(Материалы!$I$2:$I$9000,MATCH($I704,Материалы!$A$2:$A$9000,0))*IF(INDEX(Материалы!$J$2:$J$9000,MATCH($I704,Материалы!$A$2:$A$9000,0))="USD",КурсUSD,IF(INDEX(Материалы!$J$2:$J$9000,MATCH($I704,Материалы!$A$2:$A$9000,0))="EUR",КурсEUR,1))*INDEX(Материалы!$K$2:$K$9000,MATCH($I704,Материалы!$A$2:$A$9000,0))*(1+IFERROR(INDEX(Работы!$I$2:$I$6000,MATCH($C704,Работы!$A$2:$A$6000,0))/100,0))*(1-ДисконтТендер),0))</f>
        <v>0</v>
      </c>
      <c r="N704" s="10">
        <f t="shared" si="30"/>
        <v>0</v>
      </c>
      <c r="O704" s="10">
        <f t="shared" si="31"/>
        <v>0</v>
      </c>
      <c r="P704" s="10">
        <f t="shared" si="32"/>
        <v>0</v>
      </c>
      <c r="Q704" t="str">
        <f>IFERROR(INDEX(Работы!$J$2:$J$6000,MATCH($C704,Работы!$A$2:$A$6000,0)),"")</f>
        <v>типовая</v>
      </c>
      <c r="R704" t="s">
        <v>92</v>
      </c>
      <c r="T704" t="str">
        <f>IF(AND($P704&gt;0,$R704="да"),MAX($T$1:$T703)+1,"")</f>
        <v/>
      </c>
    </row>
    <row r="705" spans="1:20" ht="28.8" x14ac:dyDescent="0.3">
      <c r="A705" t="str">
        <f>IFERROR(INDEX(Работы!$D$2:$D$6000,MATCH($C705,Работы!$A$2:$A$6000,0)),"")</f>
        <v>Р9</v>
      </c>
      <c r="B705" t="str">
        <f>IFERROR(INDEX(Работы!$F$2:$F$6000,MATCH($C705,Работы!$A$2:$A$6000,0)),"")</f>
        <v>2</v>
      </c>
      <c r="C705" t="str">
        <f>IFERROR(INDEX(Работы!$A$2:$A$6000,704),"")</f>
        <v>РАБ.Р9.2.067</v>
      </c>
      <c r="D705" s="8" t="str">
        <f>IFERROR(INDEX(Работы!$B$2:$B$6000,MATCH($C705,Работы!$A$2:$A$6000,0)),"")</f>
        <v>Выключатель нагрузки Legrand 04350, 63А, 3-полюсный</v>
      </c>
      <c r="E705" t="str">
        <f>IFERROR(INDEX(Работы!$C$2:$C$6000,MATCH($C705,Работы!$A$2:$A$6000,0)),"")</f>
        <v>шт.</v>
      </c>
      <c r="F705" t="str">
        <f>IFERROR(INDEX(Работы!$G$2:$G$6000,MATCH($C705,Работы!$A$2:$A$6000,0)),"")</f>
        <v>ЭА.МОД</v>
      </c>
      <c r="G705" t="str">
        <f>IFERROR(INDEX(Работы!$K$2:$K$6000,MATCH($C705,Работы!$A$2:$A$6000,0)),"")</f>
        <v>Спецификация</v>
      </c>
      <c r="H705" s="9"/>
      <c r="I705" s="9"/>
      <c r="J705" s="8" t="str">
        <f>IFERROR(INDEX(Материалы!$B$2:$B$9000,MATCH($I705,Материалы!$A$2:$A$9000,0)),"")</f>
        <v/>
      </c>
      <c r="K705" t="str">
        <f>IF($I705="","",IF($F705=IFERROR(INDEX(Материалы!$G$2:$G$9000,MATCH($I705,Материалы!$A$2:$A$9000,0)),""),"OK","!! не та группа"))</f>
        <v/>
      </c>
      <c r="L705" s="10">
        <f>IFERROR(INDEX(Работы!$H$2:$H$6000,MATCH($C705,Работы!$A$2:$A$6000,0))*(1-ДисконтТендер),0)</f>
        <v>1470.32</v>
      </c>
      <c r="M705" s="10">
        <f>IF($I705="",0,IFERROR(INDEX(Материалы!$I$2:$I$9000,MATCH($I705,Материалы!$A$2:$A$9000,0))*IF(INDEX(Материалы!$J$2:$J$9000,MATCH($I705,Материалы!$A$2:$A$9000,0))="USD",КурсUSD,IF(INDEX(Материалы!$J$2:$J$9000,MATCH($I705,Материалы!$A$2:$A$9000,0))="EUR",КурсEUR,1))*INDEX(Материалы!$K$2:$K$9000,MATCH($I705,Материалы!$A$2:$A$9000,0))*(1+IFERROR(INDEX(Работы!$I$2:$I$6000,MATCH($C705,Работы!$A$2:$A$6000,0))/100,0))*(1-ДисконтТендер),0))</f>
        <v>0</v>
      </c>
      <c r="N705" s="10">
        <f t="shared" si="30"/>
        <v>0</v>
      </c>
      <c r="O705" s="10">
        <f t="shared" si="31"/>
        <v>0</v>
      </c>
      <c r="P705" s="10">
        <f t="shared" si="32"/>
        <v>0</v>
      </c>
      <c r="Q705" t="str">
        <f>IFERROR(INDEX(Работы!$J$2:$J$6000,MATCH($C705,Работы!$A$2:$A$6000,0)),"")</f>
        <v>типовая</v>
      </c>
      <c r="R705" t="s">
        <v>92</v>
      </c>
      <c r="T705" t="str">
        <f>IF(AND($P705&gt;0,$R705="да"),MAX($T$1:$T704)+1,"")</f>
        <v/>
      </c>
    </row>
    <row r="706" spans="1:20" ht="28.8" x14ac:dyDescent="0.3">
      <c r="A706" t="str">
        <f>IFERROR(INDEX(Работы!$D$2:$D$6000,MATCH($C706,Работы!$A$2:$A$6000,0)),"")</f>
        <v>Р9</v>
      </c>
      <c r="B706" t="str">
        <f>IFERROR(INDEX(Работы!$F$2:$F$6000,MATCH($C706,Работы!$A$2:$A$6000,0)),"")</f>
        <v>2</v>
      </c>
      <c r="C706" t="str">
        <f>IFERROR(INDEX(Работы!$A$2:$A$6000,705),"")</f>
        <v>РАБ.Р9.2.068</v>
      </c>
      <c r="D706" s="8" t="str">
        <f>IFERROR(INDEX(Работы!$B$2:$B$6000,MATCH($C706,Работы!$A$2:$A$6000,0)),"")</f>
        <v>Монтаж светильника аварийного / эвакуационного</v>
      </c>
      <c r="E706" t="str">
        <f>IFERROR(INDEX(Работы!$C$2:$C$6000,MATCH($C706,Работы!$A$2:$A$6000,0)),"")</f>
        <v>шт.</v>
      </c>
      <c r="F706" t="str">
        <f>IFERROR(INDEX(Работы!$G$2:$G$6000,MATCH($C706,Работы!$A$2:$A$6000,0)),"")</f>
        <v>СВЕТ.АВАР</v>
      </c>
      <c r="G706" t="str">
        <f>IFERROR(INDEX(Работы!$K$2:$K$6000,MATCH($C706,Работы!$A$2:$A$6000,0)),"")</f>
        <v>Спецификация</v>
      </c>
      <c r="H706" s="9"/>
      <c r="I706" s="9"/>
      <c r="J706" s="8" t="str">
        <f>IFERROR(INDEX(Материалы!$B$2:$B$9000,MATCH($I706,Материалы!$A$2:$A$9000,0)),"")</f>
        <v/>
      </c>
      <c r="K706" t="str">
        <f>IF($I706="","",IF($F706=IFERROR(INDEX(Материалы!$G$2:$G$9000,MATCH($I706,Материалы!$A$2:$A$9000,0)),""),"OK","!! не та группа"))</f>
        <v/>
      </c>
      <c r="L706" s="10">
        <f>IFERROR(INDEX(Работы!$H$2:$H$6000,MATCH($C706,Работы!$A$2:$A$6000,0))*(1-ДисконтТендер),0)</f>
        <v>1591.19</v>
      </c>
      <c r="M706" s="10">
        <f>IF($I706="",0,IFERROR(INDEX(Материалы!$I$2:$I$9000,MATCH($I706,Материалы!$A$2:$A$9000,0))*IF(INDEX(Материалы!$J$2:$J$9000,MATCH($I706,Материалы!$A$2:$A$9000,0))="USD",КурсUSD,IF(INDEX(Материалы!$J$2:$J$9000,MATCH($I706,Материалы!$A$2:$A$9000,0))="EUR",КурсEUR,1))*INDEX(Материалы!$K$2:$K$9000,MATCH($I706,Материалы!$A$2:$A$9000,0))*(1+IFERROR(INDEX(Работы!$I$2:$I$6000,MATCH($C706,Работы!$A$2:$A$6000,0))/100,0))*(1-ДисконтТендер),0))</f>
        <v>0</v>
      </c>
      <c r="N706" s="10">
        <f t="shared" ref="N706:N769" si="33">IF(AND($R706="да",$H706&lt;&gt;""),ROUND($H706*$L706,2),0)</f>
        <v>0</v>
      </c>
      <c r="O706" s="10">
        <f t="shared" ref="O706:O769" si="34">IF(AND($R706="да",$H706&lt;&gt;""),ROUND($H706*$M706,2),0)</f>
        <v>0</v>
      </c>
      <c r="P706" s="10">
        <f t="shared" ref="P706:P769" si="35">$N706+$O706</f>
        <v>0</v>
      </c>
      <c r="Q706" t="str">
        <f>IFERROR(INDEX(Работы!$J$2:$J$6000,MATCH($C706,Работы!$A$2:$A$6000,0)),"")</f>
        <v>типовая</v>
      </c>
      <c r="R706" t="s">
        <v>92</v>
      </c>
      <c r="T706" t="str">
        <f>IF(AND($P706&gt;0,$R706="да"),MAX($T$1:$T705)+1,"")</f>
        <v/>
      </c>
    </row>
    <row r="707" spans="1:20" ht="43.2" x14ac:dyDescent="0.3">
      <c r="A707" t="str">
        <f>IFERROR(INDEX(Работы!$D$2:$D$6000,MATCH($C707,Работы!$A$2:$A$6000,0)),"")</f>
        <v>Р9</v>
      </c>
      <c r="B707" t="str">
        <f>IFERROR(INDEX(Работы!$F$2:$F$6000,MATCH($C707,Работы!$A$2:$A$6000,0)),"")</f>
        <v>2</v>
      </c>
      <c r="C707" t="str">
        <f>IFERROR(INDEX(Работы!$A$2:$A$6000,706),"")</f>
        <v>РАБ.Р9.2.069</v>
      </c>
      <c r="D707" s="8" t="str">
        <f>IFERROR(INDEX(Работы!$B$2:$B$6000,MATCH($C707,Работы!$A$2:$A$6000,0)),"")</f>
        <v>Светильник с зеркалом и SPC-RNG-600-LED-TCH, 12W, 220-240V, 600x30с подсветкой и сенсорным выключателем belbagno арт. SPC-RNG-600-LED-TCH</v>
      </c>
      <c r="E707" t="str">
        <f>IFERROR(INDEX(Работы!$C$2:$C$6000,MATCH($C707,Работы!$A$2:$A$6000,0)),"")</f>
        <v>шт.</v>
      </c>
      <c r="F707" t="str">
        <f>IFERROR(INDEX(Работы!$G$2:$G$6000,MATCH($C707,Работы!$A$2:$A$6000,0)),"")</f>
        <v>СВЕТ</v>
      </c>
      <c r="G707" t="str">
        <f>IFERROR(INDEX(Работы!$K$2:$K$6000,MATCH($C707,Работы!$A$2:$A$6000,0)),"")</f>
        <v>Спецификация</v>
      </c>
      <c r="H707" s="9"/>
      <c r="I707" s="9"/>
      <c r="J707" s="8" t="str">
        <f>IFERROR(INDEX(Материалы!$B$2:$B$9000,MATCH($I707,Материалы!$A$2:$A$9000,0)),"")</f>
        <v/>
      </c>
      <c r="K707" t="str">
        <f>IF($I707="","",IF($F707=IFERROR(INDEX(Материалы!$G$2:$G$9000,MATCH($I707,Материалы!$A$2:$A$9000,0)),""),"OK","!! не та группа"))</f>
        <v/>
      </c>
      <c r="L707" s="10">
        <f>IFERROR(INDEX(Работы!$H$2:$H$6000,MATCH($C707,Работы!$A$2:$A$6000,0))*(1-ДисконтТендер),0)</f>
        <v>1900.08</v>
      </c>
      <c r="M707" s="10">
        <f>IF($I707="",0,IFERROR(INDEX(Материалы!$I$2:$I$9000,MATCH($I707,Материалы!$A$2:$A$9000,0))*IF(INDEX(Материалы!$J$2:$J$9000,MATCH($I707,Материалы!$A$2:$A$9000,0))="USD",КурсUSD,IF(INDEX(Материалы!$J$2:$J$9000,MATCH($I707,Материалы!$A$2:$A$9000,0))="EUR",КурсEUR,1))*INDEX(Материалы!$K$2:$K$9000,MATCH($I707,Материалы!$A$2:$A$9000,0))*(1+IFERROR(INDEX(Работы!$I$2:$I$6000,MATCH($C707,Работы!$A$2:$A$6000,0))/100,0))*(1-ДисконтТендер),0))</f>
        <v>0</v>
      </c>
      <c r="N707" s="10">
        <f t="shared" si="33"/>
        <v>0</v>
      </c>
      <c r="O707" s="10">
        <f t="shared" si="34"/>
        <v>0</v>
      </c>
      <c r="P707" s="10">
        <f t="shared" si="35"/>
        <v>0</v>
      </c>
      <c r="Q707" t="str">
        <f>IFERROR(INDEX(Работы!$J$2:$J$6000,MATCH($C707,Работы!$A$2:$A$6000,0)),"")</f>
        <v>типовая</v>
      </c>
      <c r="R707" t="s">
        <v>92</v>
      </c>
      <c r="T707" t="str">
        <f>IF(AND($P707&gt;0,$R707="да"),MAX($T$1:$T706)+1,"")</f>
        <v/>
      </c>
    </row>
    <row r="708" spans="1:20" ht="28.8" x14ac:dyDescent="0.3">
      <c r="A708" t="str">
        <f>IFERROR(INDEX(Работы!$D$2:$D$6000,MATCH($C708,Работы!$A$2:$A$6000,0)),"")</f>
        <v>Р9</v>
      </c>
      <c r="B708" t="str">
        <f>IFERROR(INDEX(Работы!$F$2:$F$6000,MATCH($C708,Работы!$A$2:$A$6000,0)),"")</f>
        <v>2</v>
      </c>
      <c r="C708" t="str">
        <f>IFERROR(INDEX(Работы!$A$2:$A$6000,707),"")</f>
        <v>РАБ.Р9.2.070</v>
      </c>
      <c r="D708" s="8" t="str">
        <f>IFERROR(INDEX(Работы!$B$2:$B$6000,MATCH($C708,Работы!$A$2:$A$6000,0)),"")</f>
        <v>Монтаж трубы ПВХ / гофротрубы под электропроводку</v>
      </c>
      <c r="E708" t="str">
        <f>IFERROR(INDEX(Работы!$C$2:$C$6000,MATCH($C708,Работы!$A$2:$A$6000,0)),"")</f>
        <v>м.п.</v>
      </c>
      <c r="F708" t="str">
        <f>IFERROR(INDEX(Работы!$G$2:$G$6000,MATCH($C708,Работы!$A$2:$A$6000,0)),"")</f>
        <v>ТРУБА.ЭЛ</v>
      </c>
      <c r="G708" t="str">
        <f>IFERROR(INDEX(Работы!$K$2:$K$6000,MATCH($C708,Работы!$A$2:$A$6000,0)),"")</f>
        <v>Погонаж</v>
      </c>
      <c r="H708" s="9"/>
      <c r="I708" s="9"/>
      <c r="J708" s="8" t="str">
        <f>IFERROR(INDEX(Материалы!$B$2:$B$9000,MATCH($I708,Материалы!$A$2:$A$9000,0)),"")</f>
        <v/>
      </c>
      <c r="K708" t="str">
        <f>IF($I708="","",IF($F708=IFERROR(INDEX(Материалы!$G$2:$G$9000,MATCH($I708,Материалы!$A$2:$A$9000,0)),""),"OK","!! не та группа"))</f>
        <v/>
      </c>
      <c r="L708" s="10">
        <f>IFERROR(INDEX(Работы!$H$2:$H$6000,MATCH($C708,Работы!$A$2:$A$6000,0))*(1-ДисконтТендер),0)</f>
        <v>75.8</v>
      </c>
      <c r="M708" s="10">
        <f>IF($I708="",0,IFERROR(INDEX(Материалы!$I$2:$I$9000,MATCH($I708,Материалы!$A$2:$A$9000,0))*IF(INDEX(Материалы!$J$2:$J$9000,MATCH($I708,Материалы!$A$2:$A$9000,0))="USD",КурсUSD,IF(INDEX(Материалы!$J$2:$J$9000,MATCH($I708,Материалы!$A$2:$A$9000,0))="EUR",КурсEUR,1))*INDEX(Материалы!$K$2:$K$9000,MATCH($I708,Материалы!$A$2:$A$9000,0))*(1+IFERROR(INDEX(Работы!$I$2:$I$6000,MATCH($C708,Работы!$A$2:$A$6000,0))/100,0))*(1-ДисконтТендер),0))</f>
        <v>0</v>
      </c>
      <c r="N708" s="10">
        <f t="shared" si="33"/>
        <v>0</v>
      </c>
      <c r="O708" s="10">
        <f t="shared" si="34"/>
        <v>0</v>
      </c>
      <c r="P708" s="10">
        <f t="shared" si="35"/>
        <v>0</v>
      </c>
      <c r="Q708" t="str">
        <f>IFERROR(INDEX(Работы!$J$2:$J$6000,MATCH($C708,Работы!$A$2:$A$6000,0)),"")</f>
        <v>типовая</v>
      </c>
      <c r="R708" t="s">
        <v>92</v>
      </c>
      <c r="T708" t="str">
        <f>IF(AND($P708&gt;0,$R708="да"),MAX($T$1:$T707)+1,"")</f>
        <v/>
      </c>
    </row>
    <row r="709" spans="1:20" ht="43.2" x14ac:dyDescent="0.3">
      <c r="A709" t="str">
        <f>IFERROR(INDEX(Работы!$D$2:$D$6000,MATCH($C709,Работы!$A$2:$A$6000,0)),"")</f>
        <v>Р9</v>
      </c>
      <c r="B709" t="str">
        <f>IFERROR(INDEX(Работы!$F$2:$F$6000,MATCH($C709,Работы!$A$2:$A$6000,0)),"")</f>
        <v>2</v>
      </c>
      <c r="C709" t="str">
        <f>IFERROR(INDEX(Работы!$A$2:$A$6000,708),"")</f>
        <v>РАБ.Р9.2.071</v>
      </c>
      <c r="D709" s="8" t="str">
        <f>IFERROR(INDEX(Работы!$B$2:$B$6000,MATCH($C709,Работы!$A$2:$A$6000,0)),"")</f>
        <v>Труба гладкая жесткая ПВХ 20 мм легкая серая (3м) в комплекте с углами, крепежами,переходниками и расходными материалами</v>
      </c>
      <c r="E709" t="str">
        <f>IFERROR(INDEX(Работы!$C$2:$C$6000,MATCH($C709,Работы!$A$2:$A$6000,0)),"")</f>
        <v>м.п.</v>
      </c>
      <c r="F709" t="str">
        <f>IFERROR(INDEX(Работы!$G$2:$G$6000,MATCH($C709,Работы!$A$2:$A$6000,0)),"")</f>
        <v>ТРУБА.ЭЛ</v>
      </c>
      <c r="G709" t="str">
        <f>IFERROR(INDEX(Работы!$K$2:$K$6000,MATCH($C709,Работы!$A$2:$A$6000,0)),"")</f>
        <v>Погонаж</v>
      </c>
      <c r="H709" s="9"/>
      <c r="I709" s="9"/>
      <c r="J709" s="8" t="str">
        <f>IFERROR(INDEX(Материалы!$B$2:$B$9000,MATCH($I709,Материалы!$A$2:$A$9000,0)),"")</f>
        <v/>
      </c>
      <c r="K709" t="str">
        <f>IF($I709="","",IF($F709=IFERROR(INDEX(Материалы!$G$2:$G$9000,MATCH($I709,Материалы!$A$2:$A$9000,0)),""),"OK","!! не та группа"))</f>
        <v/>
      </c>
      <c r="L709" s="10">
        <f>IFERROR(INDEX(Работы!$H$2:$H$6000,MATCH($C709,Работы!$A$2:$A$6000,0))*(1-ДисконтТендер),0)</f>
        <v>113.3</v>
      </c>
      <c r="M709" s="10">
        <f>IF($I709="",0,IFERROR(INDEX(Материалы!$I$2:$I$9000,MATCH($I709,Материалы!$A$2:$A$9000,0))*IF(INDEX(Материалы!$J$2:$J$9000,MATCH($I709,Материалы!$A$2:$A$9000,0))="USD",КурсUSD,IF(INDEX(Материалы!$J$2:$J$9000,MATCH($I709,Материалы!$A$2:$A$9000,0))="EUR",КурсEUR,1))*INDEX(Материалы!$K$2:$K$9000,MATCH($I709,Материалы!$A$2:$A$9000,0))*(1+IFERROR(INDEX(Работы!$I$2:$I$6000,MATCH($C709,Работы!$A$2:$A$6000,0))/100,0))*(1-ДисконтТендер),0))</f>
        <v>0</v>
      </c>
      <c r="N709" s="10">
        <f t="shared" si="33"/>
        <v>0</v>
      </c>
      <c r="O709" s="10">
        <f t="shared" si="34"/>
        <v>0</v>
      </c>
      <c r="P709" s="10">
        <f t="shared" si="35"/>
        <v>0</v>
      </c>
      <c r="Q709" t="str">
        <f>IFERROR(INDEX(Работы!$J$2:$J$6000,MATCH($C709,Работы!$A$2:$A$6000,0)),"")</f>
        <v>типовая</v>
      </c>
      <c r="R709" t="s">
        <v>92</v>
      </c>
      <c r="T709" t="str">
        <f>IF(AND($P709&gt;0,$R709="да"),MAX($T$1:$T708)+1,"")</f>
        <v/>
      </c>
    </row>
    <row r="710" spans="1:20" ht="43.2" x14ac:dyDescent="0.3">
      <c r="A710" t="str">
        <f>IFERROR(INDEX(Работы!$D$2:$D$6000,MATCH($C710,Работы!$A$2:$A$6000,0)),"")</f>
        <v>Р9</v>
      </c>
      <c r="B710" t="str">
        <f>IFERROR(INDEX(Работы!$F$2:$F$6000,MATCH($C710,Работы!$A$2:$A$6000,0)),"")</f>
        <v>2</v>
      </c>
      <c r="C710" t="str">
        <f>IFERROR(INDEX(Работы!$A$2:$A$6000,709),"")</f>
        <v>РАБ.Р9.2.072</v>
      </c>
      <c r="D710" s="8" t="str">
        <f>IFERROR(INDEX(Работы!$B$2:$B$6000,MATCH($C710,Работы!$A$2:$A$6000,0)),"")</f>
        <v>Труба гладкая жесткая ПВХ 32 мм легкая серая (3м) в комплекте с углами, крепежами,переходниками и расходными материалами</v>
      </c>
      <c r="E710" t="str">
        <f>IFERROR(INDEX(Работы!$C$2:$C$6000,MATCH($C710,Работы!$A$2:$A$6000,0)),"")</f>
        <v>м.п.</v>
      </c>
      <c r="F710" t="str">
        <f>IFERROR(INDEX(Работы!$G$2:$G$6000,MATCH($C710,Работы!$A$2:$A$6000,0)),"")</f>
        <v>ТРУБА.ЭЛ</v>
      </c>
      <c r="G710" t="str">
        <f>IFERROR(INDEX(Работы!$K$2:$K$6000,MATCH($C710,Работы!$A$2:$A$6000,0)),"")</f>
        <v>Погонаж</v>
      </c>
      <c r="H710" s="9"/>
      <c r="I710" s="9"/>
      <c r="J710" s="8" t="str">
        <f>IFERROR(INDEX(Материалы!$B$2:$B$9000,MATCH($I710,Материалы!$A$2:$A$9000,0)),"")</f>
        <v/>
      </c>
      <c r="K710" t="str">
        <f>IF($I710="","",IF($F710=IFERROR(INDEX(Материалы!$G$2:$G$9000,MATCH($I710,Материалы!$A$2:$A$9000,0)),""),"OK","!! не та группа"))</f>
        <v/>
      </c>
      <c r="L710" s="10">
        <f>IFERROR(INDEX(Работы!$H$2:$H$6000,MATCH($C710,Работы!$A$2:$A$6000,0))*(1-ДисконтТендер),0)</f>
        <v>135.72</v>
      </c>
      <c r="M710" s="10">
        <f>IF($I710="",0,IFERROR(INDEX(Материалы!$I$2:$I$9000,MATCH($I710,Материалы!$A$2:$A$9000,0))*IF(INDEX(Материалы!$J$2:$J$9000,MATCH($I710,Материалы!$A$2:$A$9000,0))="USD",КурсUSD,IF(INDEX(Материалы!$J$2:$J$9000,MATCH($I710,Материалы!$A$2:$A$9000,0))="EUR",КурсEUR,1))*INDEX(Материалы!$K$2:$K$9000,MATCH($I710,Материалы!$A$2:$A$9000,0))*(1+IFERROR(INDEX(Работы!$I$2:$I$6000,MATCH($C710,Работы!$A$2:$A$6000,0))/100,0))*(1-ДисконтТендер),0))</f>
        <v>0</v>
      </c>
      <c r="N710" s="10">
        <f t="shared" si="33"/>
        <v>0</v>
      </c>
      <c r="O710" s="10">
        <f t="shared" si="34"/>
        <v>0</v>
      </c>
      <c r="P710" s="10">
        <f t="shared" si="35"/>
        <v>0</v>
      </c>
      <c r="Q710" t="str">
        <f>IFERROR(INDEX(Работы!$J$2:$J$6000,MATCH($C710,Работы!$A$2:$A$6000,0)),"")</f>
        <v>типовая</v>
      </c>
      <c r="R710" t="s">
        <v>92</v>
      </c>
      <c r="T710" t="str">
        <f>IF(AND($P710&gt;0,$R710="да"),MAX($T$1:$T709)+1,"")</f>
        <v/>
      </c>
    </row>
    <row r="711" spans="1:20" ht="28.8" x14ac:dyDescent="0.3">
      <c r="A711" t="str">
        <f>IFERROR(INDEX(Работы!$D$2:$D$6000,MATCH($C711,Работы!$A$2:$A$6000,0)),"")</f>
        <v>Р9</v>
      </c>
      <c r="B711" t="str">
        <f>IFERROR(INDEX(Работы!$F$2:$F$6000,MATCH($C711,Работы!$A$2:$A$6000,0)),"")</f>
        <v>2</v>
      </c>
      <c r="C711" t="str">
        <f>IFERROR(INDEX(Работы!$A$2:$A$6000,710),"")</f>
        <v>РАБ.Р9.2.073</v>
      </c>
      <c r="D711" s="8" t="str">
        <f>IFERROR(INDEX(Работы!$B$2:$B$6000,MATCH($C711,Работы!$A$2:$A$6000,0)),"")</f>
        <v>Труба гофрированная ПНД HF d20мм с протяжкой, безгалогенная оранжевая</v>
      </c>
      <c r="E711" t="str">
        <f>IFERROR(INDEX(Работы!$C$2:$C$6000,MATCH($C711,Работы!$A$2:$A$6000,0)),"")</f>
        <v>м.п.</v>
      </c>
      <c r="F711" t="str">
        <f>IFERROR(INDEX(Работы!$G$2:$G$6000,MATCH($C711,Работы!$A$2:$A$6000,0)),"")</f>
        <v>ТРУБА.ЭЛ</v>
      </c>
      <c r="G711" t="str">
        <f>IFERROR(INDEX(Работы!$K$2:$K$6000,MATCH($C711,Работы!$A$2:$A$6000,0)),"")</f>
        <v>Погонаж</v>
      </c>
      <c r="H711" s="9"/>
      <c r="I711" s="9"/>
      <c r="J711" s="8" t="str">
        <f>IFERROR(INDEX(Материалы!$B$2:$B$9000,MATCH($I711,Материалы!$A$2:$A$9000,0)),"")</f>
        <v/>
      </c>
      <c r="K711" t="str">
        <f>IF($I711="","",IF($F711=IFERROR(INDEX(Материалы!$G$2:$G$9000,MATCH($I711,Материалы!$A$2:$A$9000,0)),""),"OK","!! не та группа"))</f>
        <v/>
      </c>
      <c r="L711" s="10">
        <f>IFERROR(INDEX(Работы!$H$2:$H$6000,MATCH($C711,Работы!$A$2:$A$6000,0))*(1-ДисконтТендер),0)</f>
        <v>71.680000000000007</v>
      </c>
      <c r="M711" s="10">
        <f>IF($I711="",0,IFERROR(INDEX(Материалы!$I$2:$I$9000,MATCH($I711,Материалы!$A$2:$A$9000,0))*IF(INDEX(Материалы!$J$2:$J$9000,MATCH($I711,Материалы!$A$2:$A$9000,0))="USD",КурсUSD,IF(INDEX(Материалы!$J$2:$J$9000,MATCH($I711,Материалы!$A$2:$A$9000,0))="EUR",КурсEUR,1))*INDEX(Материалы!$K$2:$K$9000,MATCH($I711,Материалы!$A$2:$A$9000,0))*(1+IFERROR(INDEX(Работы!$I$2:$I$6000,MATCH($C711,Работы!$A$2:$A$6000,0))/100,0))*(1-ДисконтТендер),0))</f>
        <v>0</v>
      </c>
      <c r="N711" s="10">
        <f t="shared" si="33"/>
        <v>0</v>
      </c>
      <c r="O711" s="10">
        <f t="shared" si="34"/>
        <v>0</v>
      </c>
      <c r="P711" s="10">
        <f t="shared" si="35"/>
        <v>0</v>
      </c>
      <c r="Q711" t="str">
        <f>IFERROR(INDEX(Работы!$J$2:$J$6000,MATCH($C711,Работы!$A$2:$A$6000,0)),"")</f>
        <v>типовая</v>
      </c>
      <c r="R711" t="s">
        <v>92</v>
      </c>
      <c r="T711" t="str">
        <f>IF(AND($P711&gt;0,$R711="да"),MAX($T$1:$T710)+1,"")</f>
        <v/>
      </c>
    </row>
    <row r="712" spans="1:20" x14ac:dyDescent="0.3">
      <c r="A712" t="str">
        <f>IFERROR(INDEX(Работы!$D$2:$D$6000,MATCH($C712,Работы!$A$2:$A$6000,0)),"")</f>
        <v>Р9</v>
      </c>
      <c r="B712" t="str">
        <f>IFERROR(INDEX(Работы!$F$2:$F$6000,MATCH($C712,Работы!$A$2:$A$6000,0)),"")</f>
        <v>2</v>
      </c>
      <c r="C712" t="str">
        <f>IFERROR(INDEX(Работы!$A$2:$A$6000,711),"")</f>
        <v>РАБ.Р9.2.074</v>
      </c>
      <c r="D712" s="8" t="str">
        <f>IFERROR(INDEX(Работы!$B$2:$B$6000,MATCH($C712,Работы!$A$2:$A$6000,0)),"")</f>
        <v>Гладкая труба ∅ 40 ПНД</v>
      </c>
      <c r="E712" t="str">
        <f>IFERROR(INDEX(Работы!$C$2:$C$6000,MATCH($C712,Работы!$A$2:$A$6000,0)),"")</f>
        <v>м.п.</v>
      </c>
      <c r="F712">
        <f>IFERROR(INDEX(Работы!$G$2:$G$6000,MATCH($C712,Работы!$A$2:$A$6000,0)),"")</f>
        <v>0</v>
      </c>
      <c r="G712" t="str">
        <f>IFERROR(INDEX(Работы!$K$2:$K$6000,MATCH($C712,Работы!$A$2:$A$6000,0)),"")</f>
        <v>Погонаж</v>
      </c>
      <c r="H712" s="9"/>
      <c r="I712" s="9"/>
      <c r="J712" s="8" t="str">
        <f>IFERROR(INDEX(Материалы!$B$2:$B$9000,MATCH($I712,Материалы!$A$2:$A$9000,0)),"")</f>
        <v/>
      </c>
      <c r="K712" t="str">
        <f>IF($I712="","",IF($F712=IFERROR(INDEX(Материалы!$G$2:$G$9000,MATCH($I712,Материалы!$A$2:$A$9000,0)),""),"OK","!! не та группа"))</f>
        <v/>
      </c>
      <c r="L712" s="10">
        <f>IFERROR(INDEX(Работы!$H$2:$H$6000,MATCH($C712,Работы!$A$2:$A$6000,0))*(1-ДисконтТендер),0)</f>
        <v>84.76</v>
      </c>
      <c r="M712" s="10">
        <f>IF($I712="",0,IFERROR(INDEX(Материалы!$I$2:$I$9000,MATCH($I712,Материалы!$A$2:$A$9000,0))*IF(INDEX(Материалы!$J$2:$J$9000,MATCH($I712,Материалы!$A$2:$A$9000,0))="USD",КурсUSD,IF(INDEX(Материалы!$J$2:$J$9000,MATCH($I712,Материалы!$A$2:$A$9000,0))="EUR",КурсEUR,1))*INDEX(Материалы!$K$2:$K$9000,MATCH($I712,Материалы!$A$2:$A$9000,0))*(1+IFERROR(INDEX(Работы!$I$2:$I$6000,MATCH($C712,Работы!$A$2:$A$6000,0))/100,0))*(1-ДисконтТендер),0))</f>
        <v>0</v>
      </c>
      <c r="N712" s="10">
        <f t="shared" si="33"/>
        <v>0</v>
      </c>
      <c r="O712" s="10">
        <f t="shared" si="34"/>
        <v>0</v>
      </c>
      <c r="P712" s="10">
        <f t="shared" si="35"/>
        <v>0</v>
      </c>
      <c r="Q712" t="str">
        <f>IFERROR(INDEX(Работы!$J$2:$J$6000,MATCH($C712,Работы!$A$2:$A$6000,0)),"")</f>
        <v>типовая</v>
      </c>
      <c r="R712" t="s">
        <v>92</v>
      </c>
      <c r="T712" t="str">
        <f>IF(AND($P712&gt;0,$R712="да"),MAX($T$1:$T711)+1,"")</f>
        <v/>
      </c>
    </row>
    <row r="713" spans="1:20" x14ac:dyDescent="0.3">
      <c r="A713" t="str">
        <f>IFERROR(INDEX(Работы!$D$2:$D$6000,MATCH($C713,Работы!$A$2:$A$6000,0)),"")</f>
        <v>Р9</v>
      </c>
      <c r="B713" t="str">
        <f>IFERROR(INDEX(Работы!$F$2:$F$6000,MATCH($C713,Работы!$A$2:$A$6000,0)),"")</f>
        <v>2</v>
      </c>
      <c r="C713" t="str">
        <f>IFERROR(INDEX(Работы!$A$2:$A$6000,712),"")</f>
        <v>РАБ.Р9.2.075</v>
      </c>
      <c r="D713" s="8" t="str">
        <f>IFERROR(INDEX(Работы!$B$2:$B$6000,MATCH($C713,Работы!$A$2:$A$6000,0)),"")</f>
        <v>Поворот 90° для ПВХ-трубы ∅ 40</v>
      </c>
      <c r="E713" t="str">
        <f>IFERROR(INDEX(Работы!$C$2:$C$6000,MATCH($C713,Работы!$A$2:$A$6000,0)),"")</f>
        <v>шт.</v>
      </c>
      <c r="F713">
        <f>IFERROR(INDEX(Работы!$G$2:$G$6000,MATCH($C713,Работы!$A$2:$A$6000,0)),"")</f>
        <v>0</v>
      </c>
      <c r="G713" t="str">
        <f>IFERROR(INDEX(Работы!$K$2:$K$6000,MATCH($C713,Работы!$A$2:$A$6000,0)),"")</f>
        <v>Погонаж</v>
      </c>
      <c r="H713" s="9"/>
      <c r="I713" s="9"/>
      <c r="J713" s="8" t="str">
        <f>IFERROR(INDEX(Материалы!$B$2:$B$9000,MATCH($I713,Материалы!$A$2:$A$9000,0)),"")</f>
        <v/>
      </c>
      <c r="K713" t="str">
        <f>IF($I713="","",IF($F713=IFERROR(INDEX(Материалы!$G$2:$G$9000,MATCH($I713,Материалы!$A$2:$A$9000,0)),""),"OK","!! не та группа"))</f>
        <v/>
      </c>
      <c r="L713" s="10">
        <f>IFERROR(INDEX(Работы!$H$2:$H$6000,MATCH($C713,Работы!$A$2:$A$6000,0))*(1-ДисконтТендер),0)</f>
        <v>105.17</v>
      </c>
      <c r="M713" s="10">
        <f>IF($I713="",0,IFERROR(INDEX(Материалы!$I$2:$I$9000,MATCH($I713,Материалы!$A$2:$A$9000,0))*IF(INDEX(Материалы!$J$2:$J$9000,MATCH($I713,Материалы!$A$2:$A$9000,0))="USD",КурсUSD,IF(INDEX(Материалы!$J$2:$J$9000,MATCH($I713,Материалы!$A$2:$A$9000,0))="EUR",КурсEUR,1))*INDEX(Материалы!$K$2:$K$9000,MATCH($I713,Материалы!$A$2:$A$9000,0))*(1+IFERROR(INDEX(Работы!$I$2:$I$6000,MATCH($C713,Работы!$A$2:$A$6000,0))/100,0))*(1-ДисконтТендер),0))</f>
        <v>0</v>
      </c>
      <c r="N713" s="10">
        <f t="shared" si="33"/>
        <v>0</v>
      </c>
      <c r="O713" s="10">
        <f t="shared" si="34"/>
        <v>0</v>
      </c>
      <c r="P713" s="10">
        <f t="shared" si="35"/>
        <v>0</v>
      </c>
      <c r="Q713" t="str">
        <f>IFERROR(INDEX(Работы!$J$2:$J$6000,MATCH($C713,Работы!$A$2:$A$6000,0)),"")</f>
        <v>типовая</v>
      </c>
      <c r="R713" t="s">
        <v>92</v>
      </c>
      <c r="T713" t="str">
        <f>IF(AND($P713&gt;0,$R713="да"),MAX($T$1:$T712)+1,"")</f>
        <v/>
      </c>
    </row>
    <row r="714" spans="1:20" x14ac:dyDescent="0.3">
      <c r="A714" t="str">
        <f>IFERROR(INDEX(Работы!$D$2:$D$6000,MATCH($C714,Работы!$A$2:$A$6000,0)),"")</f>
        <v>Р9</v>
      </c>
      <c r="B714" t="str">
        <f>IFERROR(INDEX(Работы!$F$2:$F$6000,MATCH($C714,Работы!$A$2:$A$6000,0)),"")</f>
        <v>2</v>
      </c>
      <c r="C714" t="str">
        <f>IFERROR(INDEX(Работы!$A$2:$A$6000,713),"")</f>
        <v>РАБ.Р9.2.076</v>
      </c>
      <c r="D714" s="8" t="str">
        <f>IFERROR(INDEX(Работы!$B$2:$B$6000,MATCH($C714,Работы!$A$2:$A$6000,0)),"")</f>
        <v>Монтаж кабель-канала</v>
      </c>
      <c r="E714" t="str">
        <f>IFERROR(INDEX(Работы!$C$2:$C$6000,MATCH($C714,Работы!$A$2:$A$6000,0)),"")</f>
        <v>м.п.</v>
      </c>
      <c r="F714" t="str">
        <f>IFERROR(INDEX(Работы!$G$2:$G$6000,MATCH($C714,Работы!$A$2:$A$6000,0)),"")</f>
        <v>КОРОБ.ЭЛ</v>
      </c>
      <c r="G714" t="str">
        <f>IFERROR(INDEX(Работы!$K$2:$K$6000,MATCH($C714,Работы!$A$2:$A$6000,0)),"")</f>
        <v>Погонаж</v>
      </c>
      <c r="H714" s="9"/>
      <c r="I714" s="9"/>
      <c r="J714" s="8" t="str">
        <f>IFERROR(INDEX(Материалы!$B$2:$B$9000,MATCH($I714,Материалы!$A$2:$A$9000,0)),"")</f>
        <v/>
      </c>
      <c r="K714" t="str">
        <f>IF($I714="","",IF($F714=IFERROR(INDEX(Материалы!$G$2:$G$9000,MATCH($I714,Материалы!$A$2:$A$9000,0)),""),"OK","!! не та группа"))</f>
        <v/>
      </c>
      <c r="L714" s="10">
        <f>IFERROR(INDEX(Работы!$H$2:$H$6000,MATCH($C714,Работы!$A$2:$A$6000,0))*(1-ДисконтТендер),0)</f>
        <v>570.72</v>
      </c>
      <c r="M714" s="10">
        <f>IF($I714="",0,IFERROR(INDEX(Материалы!$I$2:$I$9000,MATCH($I714,Материалы!$A$2:$A$9000,0))*IF(INDEX(Материалы!$J$2:$J$9000,MATCH($I714,Материалы!$A$2:$A$9000,0))="USD",КурсUSD,IF(INDEX(Материалы!$J$2:$J$9000,MATCH($I714,Материалы!$A$2:$A$9000,0))="EUR",КурсEUR,1))*INDEX(Материалы!$K$2:$K$9000,MATCH($I714,Материалы!$A$2:$A$9000,0))*(1+IFERROR(INDEX(Работы!$I$2:$I$6000,MATCH($C714,Работы!$A$2:$A$6000,0))/100,0))*(1-ДисконтТендер),0))</f>
        <v>0</v>
      </c>
      <c r="N714" s="10">
        <f t="shared" si="33"/>
        <v>0</v>
      </c>
      <c r="O714" s="10">
        <f t="shared" si="34"/>
        <v>0</v>
      </c>
      <c r="P714" s="10">
        <f t="shared" si="35"/>
        <v>0</v>
      </c>
      <c r="Q714" t="str">
        <f>IFERROR(INDEX(Работы!$J$2:$J$6000,MATCH($C714,Работы!$A$2:$A$6000,0)),"")</f>
        <v>типовая</v>
      </c>
      <c r="R714" t="s">
        <v>92</v>
      </c>
      <c r="T714" t="str">
        <f>IF(AND($P714&gt;0,$R714="да"),MAX($T$1:$T713)+1,"")</f>
        <v/>
      </c>
    </row>
    <row r="715" spans="1:20" x14ac:dyDescent="0.3">
      <c r="A715" t="str">
        <f>IFERROR(INDEX(Работы!$D$2:$D$6000,MATCH($C715,Работы!$A$2:$A$6000,0)),"")</f>
        <v>Р9</v>
      </c>
      <c r="B715" t="str">
        <f>IFERROR(INDEX(Работы!$F$2:$F$6000,MATCH($C715,Работы!$A$2:$A$6000,0)),"")</f>
        <v>2</v>
      </c>
      <c r="C715" t="str">
        <f>IFERROR(INDEX(Работы!$A$2:$A$6000,714),"")</f>
        <v>РАБ.Р9.2.077</v>
      </c>
      <c r="D715" s="8" t="str">
        <f>IFERROR(INDEX(Работы!$B$2:$B$6000,MATCH($C715,Работы!$A$2:$A$6000,0)),"")</f>
        <v>Консоль с опорой ML 100 мм облегченная</v>
      </c>
      <c r="E715" t="str">
        <f>IFERROR(INDEX(Работы!$C$2:$C$6000,MATCH($C715,Работы!$A$2:$A$6000,0)),"")</f>
        <v>шт.</v>
      </c>
      <c r="F715">
        <f>IFERROR(INDEX(Работы!$G$2:$G$6000,MATCH($C715,Работы!$A$2:$A$6000,0)),"")</f>
        <v>0</v>
      </c>
      <c r="G715" t="str">
        <f>IFERROR(INDEX(Работы!$K$2:$K$6000,MATCH($C715,Работы!$A$2:$A$6000,0)),"")</f>
        <v>Спецификация</v>
      </c>
      <c r="H715" s="9"/>
      <c r="I715" s="9"/>
      <c r="J715" s="8" t="str">
        <f>IFERROR(INDEX(Материалы!$B$2:$B$9000,MATCH($I715,Материалы!$A$2:$A$9000,0)),"")</f>
        <v/>
      </c>
      <c r="K715" t="str">
        <f>IF($I715="","",IF($F715=IFERROR(INDEX(Материалы!$G$2:$G$9000,MATCH($I715,Материалы!$A$2:$A$9000,0)),""),"OK","!! не та группа"))</f>
        <v/>
      </c>
      <c r="L715" s="10">
        <f>IFERROR(INDEX(Работы!$H$2:$H$6000,MATCH($C715,Работы!$A$2:$A$6000,0))*(1-ДисконтТендер),0)</f>
        <v>119.19</v>
      </c>
      <c r="M715" s="10">
        <f>IF($I715="",0,IFERROR(INDEX(Материалы!$I$2:$I$9000,MATCH($I715,Материалы!$A$2:$A$9000,0))*IF(INDEX(Материалы!$J$2:$J$9000,MATCH($I715,Материалы!$A$2:$A$9000,0))="USD",КурсUSD,IF(INDEX(Материалы!$J$2:$J$9000,MATCH($I715,Материалы!$A$2:$A$9000,0))="EUR",КурсEUR,1))*INDEX(Материалы!$K$2:$K$9000,MATCH($I715,Материалы!$A$2:$A$9000,0))*(1+IFERROR(INDEX(Работы!$I$2:$I$6000,MATCH($C715,Работы!$A$2:$A$6000,0))/100,0))*(1-ДисконтТендер),0))</f>
        <v>0</v>
      </c>
      <c r="N715" s="10">
        <f t="shared" si="33"/>
        <v>0</v>
      </c>
      <c r="O715" s="10">
        <f t="shared" si="34"/>
        <v>0</v>
      </c>
      <c r="P715" s="10">
        <f t="shared" si="35"/>
        <v>0</v>
      </c>
      <c r="Q715" t="str">
        <f>IFERROR(INDEX(Работы!$J$2:$J$6000,MATCH($C715,Работы!$A$2:$A$6000,0)),"")</f>
        <v>типовая</v>
      </c>
      <c r="R715" t="s">
        <v>92</v>
      </c>
      <c r="T715" t="str">
        <f>IF(AND($P715&gt;0,$R715="да"),MAX($T$1:$T714)+1,"")</f>
        <v/>
      </c>
    </row>
    <row r="716" spans="1:20" x14ac:dyDescent="0.3">
      <c r="A716" t="str">
        <f>IFERROR(INDEX(Работы!$D$2:$D$6000,MATCH($C716,Работы!$A$2:$A$6000,0)),"")</f>
        <v>Р9</v>
      </c>
      <c r="B716" t="str">
        <f>IFERROR(INDEX(Работы!$F$2:$F$6000,MATCH($C716,Работы!$A$2:$A$6000,0)),"")</f>
        <v>2</v>
      </c>
      <c r="C716" t="str">
        <f>IFERROR(INDEX(Работы!$A$2:$A$6000,715),"")</f>
        <v>РАБ.Р9.2.078</v>
      </c>
      <c r="D716" s="8" t="str">
        <f>IFERROR(INDEX(Работы!$B$2:$B$6000,MATCH($C716,Работы!$A$2:$A$6000,0)),"")</f>
        <v>Монтаж кабельного лотка</v>
      </c>
      <c r="E716" t="str">
        <f>IFERROR(INDEX(Работы!$C$2:$C$6000,MATCH($C716,Работы!$A$2:$A$6000,0)),"")</f>
        <v>м.п.</v>
      </c>
      <c r="F716" t="str">
        <f>IFERROR(INDEX(Работы!$G$2:$G$6000,MATCH($C716,Работы!$A$2:$A$6000,0)),"")</f>
        <v>ЛОТОК</v>
      </c>
      <c r="G716" t="str">
        <f>IFERROR(INDEX(Работы!$K$2:$K$6000,MATCH($C716,Работы!$A$2:$A$6000,0)),"")</f>
        <v>Погонаж</v>
      </c>
      <c r="H716" s="9"/>
      <c r="I716" s="9"/>
      <c r="J716" s="8" t="str">
        <f>IFERROR(INDEX(Материалы!$B$2:$B$9000,MATCH($I716,Материалы!$A$2:$A$9000,0)),"")</f>
        <v/>
      </c>
      <c r="K716" t="str">
        <f>IF($I716="","",IF($F716=IFERROR(INDEX(Материалы!$G$2:$G$9000,MATCH($I716,Материалы!$A$2:$A$9000,0)),""),"OK","!! не та группа"))</f>
        <v/>
      </c>
      <c r="L716" s="10">
        <f>IFERROR(INDEX(Работы!$H$2:$H$6000,MATCH($C716,Работы!$A$2:$A$6000,0))*(1-ДисконтТендер),0)</f>
        <v>946</v>
      </c>
      <c r="M716" s="10">
        <f>IF($I716="",0,IFERROR(INDEX(Материалы!$I$2:$I$9000,MATCH($I716,Материалы!$A$2:$A$9000,0))*IF(INDEX(Материалы!$J$2:$J$9000,MATCH($I716,Материалы!$A$2:$A$9000,0))="USD",КурсUSD,IF(INDEX(Материалы!$J$2:$J$9000,MATCH($I716,Материалы!$A$2:$A$9000,0))="EUR",КурсEUR,1))*INDEX(Материалы!$K$2:$K$9000,MATCH($I716,Материалы!$A$2:$A$9000,0))*(1+IFERROR(INDEX(Работы!$I$2:$I$6000,MATCH($C716,Работы!$A$2:$A$6000,0))/100,0))*(1-ДисконтТендер),0))</f>
        <v>0</v>
      </c>
      <c r="N716" s="10">
        <f t="shared" si="33"/>
        <v>0</v>
      </c>
      <c r="O716" s="10">
        <f t="shared" si="34"/>
        <v>0</v>
      </c>
      <c r="P716" s="10">
        <f t="shared" si="35"/>
        <v>0</v>
      </c>
      <c r="Q716" t="str">
        <f>IFERROR(INDEX(Работы!$J$2:$J$6000,MATCH($C716,Работы!$A$2:$A$6000,0)),"")</f>
        <v>типовая</v>
      </c>
      <c r="R716" t="s">
        <v>92</v>
      </c>
      <c r="T716" t="str">
        <f>IF(AND($P716&gt;0,$R716="да"),MAX($T$1:$T715)+1,"")</f>
        <v/>
      </c>
    </row>
    <row r="717" spans="1:20" x14ac:dyDescent="0.3">
      <c r="A717" t="str">
        <f>IFERROR(INDEX(Работы!$D$2:$D$6000,MATCH($C717,Работы!$A$2:$A$6000,0)),"")</f>
        <v>Р9</v>
      </c>
      <c r="B717" t="str">
        <f>IFERROR(INDEX(Работы!$F$2:$F$6000,MATCH($C717,Работы!$A$2:$A$6000,0)),"")</f>
        <v>2</v>
      </c>
      <c r="C717" t="str">
        <f>IFERROR(INDEX(Работы!$A$2:$A$6000,716),"")</f>
        <v>РАБ.Р9.2.079</v>
      </c>
      <c r="D717" s="8" t="str">
        <f>IFERROR(INDEX(Работы!$B$2:$B$6000,MATCH($C717,Работы!$A$2:$A$6000,0)),"")</f>
        <v>Монтаж кабельного лотка</v>
      </c>
      <c r="E717" t="str">
        <f>IFERROR(INDEX(Работы!$C$2:$C$6000,MATCH($C717,Работы!$A$2:$A$6000,0)),"")</f>
        <v>м.п.</v>
      </c>
      <c r="F717" t="str">
        <f>IFERROR(INDEX(Работы!$G$2:$G$6000,MATCH($C717,Работы!$A$2:$A$6000,0)),"")</f>
        <v>ЛОТОК</v>
      </c>
      <c r="G717" t="str">
        <f>IFERROR(INDEX(Работы!$K$2:$K$6000,MATCH($C717,Работы!$A$2:$A$6000,0)),"")</f>
        <v>Погонаж</v>
      </c>
      <c r="H717" s="9"/>
      <c r="I717" s="9"/>
      <c r="J717" s="8" t="str">
        <f>IFERROR(INDEX(Материалы!$B$2:$B$9000,MATCH($I717,Материалы!$A$2:$A$9000,0)),"")</f>
        <v/>
      </c>
      <c r="K717" t="str">
        <f>IF($I717="","",IF($F717=IFERROR(INDEX(Материалы!$G$2:$G$9000,MATCH($I717,Материалы!$A$2:$A$9000,0)),""),"OK","!! не та группа"))</f>
        <v/>
      </c>
      <c r="L717" s="10">
        <f>IFERROR(INDEX(Работы!$H$2:$H$6000,MATCH($C717,Работы!$A$2:$A$6000,0))*(1-ДисконтТендер),0)</f>
        <v>1057.05</v>
      </c>
      <c r="M717" s="10">
        <f>IF($I717="",0,IFERROR(INDEX(Материалы!$I$2:$I$9000,MATCH($I717,Материалы!$A$2:$A$9000,0))*IF(INDEX(Материалы!$J$2:$J$9000,MATCH($I717,Материалы!$A$2:$A$9000,0))="USD",КурсUSD,IF(INDEX(Материалы!$J$2:$J$9000,MATCH($I717,Материалы!$A$2:$A$9000,0))="EUR",КурсEUR,1))*INDEX(Материалы!$K$2:$K$9000,MATCH($I717,Материалы!$A$2:$A$9000,0))*(1+IFERROR(INDEX(Работы!$I$2:$I$6000,MATCH($C717,Работы!$A$2:$A$6000,0))/100,0))*(1-ДисконтТендер),0))</f>
        <v>0</v>
      </c>
      <c r="N717" s="10">
        <f t="shared" si="33"/>
        <v>0</v>
      </c>
      <c r="O717" s="10">
        <f t="shared" si="34"/>
        <v>0</v>
      </c>
      <c r="P717" s="10">
        <f t="shared" si="35"/>
        <v>0</v>
      </c>
      <c r="Q717" t="str">
        <f>IFERROR(INDEX(Работы!$J$2:$J$6000,MATCH($C717,Работы!$A$2:$A$6000,0)),"")</f>
        <v>типовая</v>
      </c>
      <c r="R717" t="s">
        <v>92</v>
      </c>
      <c r="T717" t="str">
        <f>IF(AND($P717&gt;0,$R717="да"),MAX($T$1:$T716)+1,"")</f>
        <v/>
      </c>
    </row>
    <row r="718" spans="1:20" x14ac:dyDescent="0.3">
      <c r="A718" t="str">
        <f>IFERROR(INDEX(Работы!$D$2:$D$6000,MATCH($C718,Работы!$A$2:$A$6000,0)),"")</f>
        <v>Р9</v>
      </c>
      <c r="B718" t="str">
        <f>IFERROR(INDEX(Работы!$F$2:$F$6000,MATCH($C718,Работы!$A$2:$A$6000,0)),"")</f>
        <v>2</v>
      </c>
      <c r="C718" t="str">
        <f>IFERROR(INDEX(Работы!$A$2:$A$6000,717),"")</f>
        <v>РАБ.Р9.2.080</v>
      </c>
      <c r="D718" s="8" t="str">
        <f>IFERROR(INDEX(Работы!$B$2:$B$6000,MATCH($C718,Работы!$A$2:$A$6000,0)),"")</f>
        <v>Лоток проволочный 100х50х3000</v>
      </c>
      <c r="E718" t="str">
        <f>IFERROR(INDEX(Работы!$C$2:$C$6000,MATCH($C718,Работы!$A$2:$A$6000,0)),"")</f>
        <v>м.п.</v>
      </c>
      <c r="F718">
        <f>IFERROR(INDEX(Работы!$G$2:$G$6000,MATCH($C718,Работы!$A$2:$A$6000,0)),"")</f>
        <v>0</v>
      </c>
      <c r="G718" t="str">
        <f>IFERROR(INDEX(Работы!$K$2:$K$6000,MATCH($C718,Работы!$A$2:$A$6000,0)),"")</f>
        <v>Погонаж</v>
      </c>
      <c r="H718" s="9"/>
      <c r="I718" s="9"/>
      <c r="J718" s="8" t="str">
        <f>IFERROR(INDEX(Материалы!$B$2:$B$9000,MATCH($I718,Материалы!$A$2:$A$9000,0)),"")</f>
        <v/>
      </c>
      <c r="K718" t="str">
        <f>IF($I718="","",IF($F718=IFERROR(INDEX(Материалы!$G$2:$G$9000,MATCH($I718,Материалы!$A$2:$A$9000,0)),""),"OK","!! не та группа"))</f>
        <v/>
      </c>
      <c r="L718" s="10">
        <f>IFERROR(INDEX(Работы!$H$2:$H$6000,MATCH($C718,Работы!$A$2:$A$6000,0))*(1-ДисконтТендер),0)</f>
        <v>769.95</v>
      </c>
      <c r="M718" s="10">
        <f>IF($I718="",0,IFERROR(INDEX(Материалы!$I$2:$I$9000,MATCH($I718,Материалы!$A$2:$A$9000,0))*IF(INDEX(Материалы!$J$2:$J$9000,MATCH($I718,Материалы!$A$2:$A$9000,0))="USD",КурсUSD,IF(INDEX(Материалы!$J$2:$J$9000,MATCH($I718,Материалы!$A$2:$A$9000,0))="EUR",КурсEUR,1))*INDEX(Материалы!$K$2:$K$9000,MATCH($I718,Материалы!$A$2:$A$9000,0))*(1+IFERROR(INDEX(Работы!$I$2:$I$6000,MATCH($C718,Работы!$A$2:$A$6000,0))/100,0))*(1-ДисконтТендер),0))</f>
        <v>0</v>
      </c>
      <c r="N718" s="10">
        <f t="shared" si="33"/>
        <v>0</v>
      </c>
      <c r="O718" s="10">
        <f t="shared" si="34"/>
        <v>0</v>
      </c>
      <c r="P718" s="10">
        <f t="shared" si="35"/>
        <v>0</v>
      </c>
      <c r="Q718" t="str">
        <f>IFERROR(INDEX(Работы!$J$2:$J$6000,MATCH($C718,Работы!$A$2:$A$6000,0)),"")</f>
        <v>типовая</v>
      </c>
      <c r="R718" t="s">
        <v>92</v>
      </c>
      <c r="T718" t="str">
        <f>IF(AND($P718&gt;0,$R718="да"),MAX($T$1:$T717)+1,"")</f>
        <v/>
      </c>
    </row>
    <row r="719" spans="1:20" x14ac:dyDescent="0.3">
      <c r="A719" t="str">
        <f>IFERROR(INDEX(Работы!$D$2:$D$6000,MATCH($C719,Работы!$A$2:$A$6000,0)),"")</f>
        <v>Р9</v>
      </c>
      <c r="B719" t="str">
        <f>IFERROR(INDEX(Работы!$F$2:$F$6000,MATCH($C719,Работы!$A$2:$A$6000,0)),"")</f>
        <v>2</v>
      </c>
      <c r="C719" t="str">
        <f>IFERROR(INDEX(Работы!$A$2:$A$6000,718),"")</f>
        <v>РАБ.Р9.2.081</v>
      </c>
      <c r="D719" s="8" t="str">
        <f>IFERROR(INDEX(Работы!$B$2:$B$6000,MATCH($C719,Работы!$A$2:$A$6000,0)),"")</f>
        <v>Лоток проволочный 300х50х3000</v>
      </c>
      <c r="E719" t="str">
        <f>IFERROR(INDEX(Работы!$C$2:$C$6000,MATCH($C719,Работы!$A$2:$A$6000,0)),"")</f>
        <v>м.п.</v>
      </c>
      <c r="F719">
        <f>IFERROR(INDEX(Работы!$G$2:$G$6000,MATCH($C719,Работы!$A$2:$A$6000,0)),"")</f>
        <v>0</v>
      </c>
      <c r="G719" t="str">
        <f>IFERROR(INDEX(Работы!$K$2:$K$6000,MATCH($C719,Работы!$A$2:$A$6000,0)),"")</f>
        <v>Погонаж</v>
      </c>
      <c r="H719" s="9"/>
      <c r="I719" s="9"/>
      <c r="J719" s="8" t="str">
        <f>IFERROR(INDEX(Материалы!$B$2:$B$9000,MATCH($I719,Материалы!$A$2:$A$9000,0)),"")</f>
        <v/>
      </c>
      <c r="K719" t="str">
        <f>IF($I719="","",IF($F719=IFERROR(INDEX(Материалы!$G$2:$G$9000,MATCH($I719,Материалы!$A$2:$A$9000,0)),""),"OK","!! не та группа"))</f>
        <v/>
      </c>
      <c r="L719" s="10">
        <f>IFERROR(INDEX(Работы!$H$2:$H$6000,MATCH($C719,Работы!$A$2:$A$6000,0))*(1-ДисконтТендер),0)</f>
        <v>784.74</v>
      </c>
      <c r="M719" s="10">
        <f>IF($I719="",0,IFERROR(INDEX(Материалы!$I$2:$I$9000,MATCH($I719,Материалы!$A$2:$A$9000,0))*IF(INDEX(Материалы!$J$2:$J$9000,MATCH($I719,Материалы!$A$2:$A$9000,0))="USD",КурсUSD,IF(INDEX(Материалы!$J$2:$J$9000,MATCH($I719,Материалы!$A$2:$A$9000,0))="EUR",КурсEUR,1))*INDEX(Материалы!$K$2:$K$9000,MATCH($I719,Материалы!$A$2:$A$9000,0))*(1+IFERROR(INDEX(Работы!$I$2:$I$6000,MATCH($C719,Работы!$A$2:$A$6000,0))/100,0))*(1-ДисконтТендер),0))</f>
        <v>0</v>
      </c>
      <c r="N719" s="10">
        <f t="shared" si="33"/>
        <v>0</v>
      </c>
      <c r="O719" s="10">
        <f t="shared" si="34"/>
        <v>0</v>
      </c>
      <c r="P719" s="10">
        <f t="shared" si="35"/>
        <v>0</v>
      </c>
      <c r="Q719" t="str">
        <f>IFERROR(INDEX(Работы!$J$2:$J$6000,MATCH($C719,Работы!$A$2:$A$6000,0)),"")</f>
        <v>типовая</v>
      </c>
      <c r="R719" t="s">
        <v>92</v>
      </c>
      <c r="T719" t="str">
        <f>IF(AND($P719&gt;0,$R719="да"),MAX($T$1:$T718)+1,"")</f>
        <v/>
      </c>
    </row>
    <row r="720" spans="1:20" x14ac:dyDescent="0.3">
      <c r="A720" t="str">
        <f>IFERROR(INDEX(Работы!$D$2:$D$6000,MATCH($C720,Работы!$A$2:$A$6000,0)),"")</f>
        <v>Р9</v>
      </c>
      <c r="B720" t="str">
        <f>IFERROR(INDEX(Работы!$F$2:$F$6000,MATCH($C720,Работы!$A$2:$A$6000,0)),"")</f>
        <v>2</v>
      </c>
      <c r="C720" t="str">
        <f>IFERROR(INDEX(Работы!$A$2:$A$6000,719),"")</f>
        <v>РАБ.Р9.2.082</v>
      </c>
      <c r="D720" s="8" t="str">
        <f>IFERROR(INDEX(Работы!$B$2:$B$6000,MATCH($C720,Работы!$A$2:$A$6000,0)),"")</f>
        <v>Установка розетки</v>
      </c>
      <c r="E720" t="str">
        <f>IFERROR(INDEX(Работы!$C$2:$C$6000,MATCH($C720,Работы!$A$2:$A$6000,0)),"")</f>
        <v>шт.</v>
      </c>
      <c r="F720" t="str">
        <f>IFERROR(INDEX(Работы!$G$2:$G$6000,MATCH($C720,Работы!$A$2:$A$6000,0)),"")</f>
        <v>ЭУИ.РОЗ</v>
      </c>
      <c r="G720" t="str">
        <f>IFERROR(INDEX(Работы!$K$2:$K$6000,MATCH($C720,Работы!$A$2:$A$6000,0)),"")</f>
        <v>Спецификация</v>
      </c>
      <c r="H720" s="9"/>
      <c r="I720" s="9"/>
      <c r="J720" s="8" t="str">
        <f>IFERROR(INDEX(Материалы!$B$2:$B$9000,MATCH($I720,Материалы!$A$2:$A$9000,0)),"")</f>
        <v/>
      </c>
      <c r="K720" t="str">
        <f>IF($I720="","",IF($F720=IFERROR(INDEX(Материалы!$G$2:$G$9000,MATCH($I720,Материалы!$A$2:$A$9000,0)),""),"OK","!! не та группа"))</f>
        <v/>
      </c>
      <c r="L720" s="10">
        <f>IFERROR(INDEX(Работы!$H$2:$H$6000,MATCH($C720,Работы!$A$2:$A$6000,0))*(1-ДисконтТендер),0)</f>
        <v>683.82</v>
      </c>
      <c r="M720" s="10">
        <f>IF($I720="",0,IFERROR(INDEX(Материалы!$I$2:$I$9000,MATCH($I720,Материалы!$A$2:$A$9000,0))*IF(INDEX(Материалы!$J$2:$J$9000,MATCH($I720,Материалы!$A$2:$A$9000,0))="USD",КурсUSD,IF(INDEX(Материалы!$J$2:$J$9000,MATCH($I720,Материалы!$A$2:$A$9000,0))="EUR",КурсEUR,1))*INDEX(Материалы!$K$2:$K$9000,MATCH($I720,Материалы!$A$2:$A$9000,0))*(1+IFERROR(INDEX(Работы!$I$2:$I$6000,MATCH($C720,Работы!$A$2:$A$6000,0))/100,0))*(1-ДисконтТендер),0))</f>
        <v>0</v>
      </c>
      <c r="N720" s="10">
        <f t="shared" si="33"/>
        <v>0</v>
      </c>
      <c r="O720" s="10">
        <f t="shared" si="34"/>
        <v>0</v>
      </c>
      <c r="P720" s="10">
        <f t="shared" si="35"/>
        <v>0</v>
      </c>
      <c r="Q720" t="str">
        <f>IFERROR(INDEX(Работы!$J$2:$J$6000,MATCH($C720,Работы!$A$2:$A$6000,0)),"")</f>
        <v>типовая</v>
      </c>
      <c r="R720" t="s">
        <v>92</v>
      </c>
      <c r="T720" t="str">
        <f>IF(AND($P720&gt;0,$R720="да"),MAX($T$1:$T719)+1,"")</f>
        <v/>
      </c>
    </row>
    <row r="721" spans="1:20" x14ac:dyDescent="0.3">
      <c r="A721" t="str">
        <f>IFERROR(INDEX(Работы!$D$2:$D$6000,MATCH($C721,Работы!$A$2:$A$6000,0)),"")</f>
        <v>Р9</v>
      </c>
      <c r="B721" t="str">
        <f>IFERROR(INDEX(Работы!$F$2:$F$6000,MATCH($C721,Работы!$A$2:$A$6000,0)),"")</f>
        <v>2</v>
      </c>
      <c r="C721" t="str">
        <f>IFERROR(INDEX(Работы!$A$2:$A$6000,720),"")</f>
        <v>РАБ.Р9.2.083</v>
      </c>
      <c r="D721" s="8" t="str">
        <f>IFERROR(INDEX(Работы!$B$2:$B$6000,MATCH($C721,Работы!$A$2:$A$6000,0)),"")</f>
        <v>Установка розетки</v>
      </c>
      <c r="E721" t="str">
        <f>IFERROR(INDEX(Работы!$C$2:$C$6000,MATCH($C721,Работы!$A$2:$A$6000,0)),"")</f>
        <v>шт.</v>
      </c>
      <c r="F721" t="str">
        <f>IFERROR(INDEX(Работы!$G$2:$G$6000,MATCH($C721,Работы!$A$2:$A$6000,0)),"")</f>
        <v>ЭУИ.РОЗ</v>
      </c>
      <c r="G721" t="str">
        <f>IFERROR(INDEX(Работы!$K$2:$K$6000,MATCH($C721,Работы!$A$2:$A$6000,0)),"")</f>
        <v>Спецификация</v>
      </c>
      <c r="H721" s="9"/>
      <c r="I721" s="9"/>
      <c r="J721" s="8" t="str">
        <f>IFERROR(INDEX(Материалы!$B$2:$B$9000,MATCH($I721,Материалы!$A$2:$A$9000,0)),"")</f>
        <v/>
      </c>
      <c r="K721" t="str">
        <f>IF($I721="","",IF($F721=IFERROR(INDEX(Материалы!$G$2:$G$9000,MATCH($I721,Материалы!$A$2:$A$9000,0)),""),"OK","!! не та группа"))</f>
        <v/>
      </c>
      <c r="L721" s="10">
        <f>IFERROR(INDEX(Работы!$H$2:$H$6000,MATCH($C721,Работы!$A$2:$A$6000,0))*(1-ДисконтТендер),0)</f>
        <v>685.73</v>
      </c>
      <c r="M721" s="10">
        <f>IF($I721="",0,IFERROR(INDEX(Материалы!$I$2:$I$9000,MATCH($I721,Материалы!$A$2:$A$9000,0))*IF(INDEX(Материалы!$J$2:$J$9000,MATCH($I721,Материалы!$A$2:$A$9000,0))="USD",КурсUSD,IF(INDEX(Материалы!$J$2:$J$9000,MATCH($I721,Материалы!$A$2:$A$9000,0))="EUR",КурсEUR,1))*INDEX(Материалы!$K$2:$K$9000,MATCH($I721,Материалы!$A$2:$A$9000,0))*(1+IFERROR(INDEX(Работы!$I$2:$I$6000,MATCH($C721,Работы!$A$2:$A$6000,0))/100,0))*(1-ДисконтТендер),0))</f>
        <v>0</v>
      </c>
      <c r="N721" s="10">
        <f t="shared" si="33"/>
        <v>0</v>
      </c>
      <c r="O721" s="10">
        <f t="shared" si="34"/>
        <v>0</v>
      </c>
      <c r="P721" s="10">
        <f t="shared" si="35"/>
        <v>0</v>
      </c>
      <c r="Q721" t="str">
        <f>IFERROR(INDEX(Работы!$J$2:$J$6000,MATCH($C721,Работы!$A$2:$A$6000,0)),"")</f>
        <v>типовая</v>
      </c>
      <c r="R721" t="s">
        <v>92</v>
      </c>
      <c r="T721" t="str">
        <f>IF(AND($P721&gt;0,$R721="да"),MAX($T$1:$T720)+1,"")</f>
        <v/>
      </c>
    </row>
    <row r="722" spans="1:20" x14ac:dyDescent="0.3">
      <c r="A722" t="str">
        <f>IFERROR(INDEX(Работы!$D$2:$D$6000,MATCH($C722,Работы!$A$2:$A$6000,0)),"")</f>
        <v>Р9</v>
      </c>
      <c r="B722" t="str">
        <f>IFERROR(INDEX(Работы!$F$2:$F$6000,MATCH($C722,Работы!$A$2:$A$6000,0)),"")</f>
        <v>2</v>
      </c>
      <c r="C722" t="str">
        <f>IFERROR(INDEX(Работы!$A$2:$A$6000,721),"")</f>
        <v>РАБ.Р9.2.084</v>
      </c>
      <c r="D722" s="8" t="str">
        <f>IFERROR(INDEX(Работы!$B$2:$B$6000,MATCH($C722,Работы!$A$2:$A$6000,0)),"")</f>
        <v>Установка выключателя электроустановочного</v>
      </c>
      <c r="E722" t="str">
        <f>IFERROR(INDEX(Работы!$C$2:$C$6000,MATCH($C722,Работы!$A$2:$A$6000,0)),"")</f>
        <v>шт.</v>
      </c>
      <c r="F722" t="str">
        <f>IFERROR(INDEX(Работы!$G$2:$G$6000,MATCH($C722,Работы!$A$2:$A$6000,0)),"")</f>
        <v>ЭУИ.ВЫКЛ</v>
      </c>
      <c r="G722" t="str">
        <f>IFERROR(INDEX(Работы!$K$2:$K$6000,MATCH($C722,Работы!$A$2:$A$6000,0)),"")</f>
        <v>Спецификация</v>
      </c>
      <c r="H722" s="9"/>
      <c r="I722" s="9"/>
      <c r="J722" s="8" t="str">
        <f>IFERROR(INDEX(Материалы!$B$2:$B$9000,MATCH($I722,Материалы!$A$2:$A$9000,0)),"")</f>
        <v/>
      </c>
      <c r="K722" t="str">
        <f>IF($I722="","",IF($F722=IFERROR(INDEX(Материалы!$G$2:$G$9000,MATCH($I722,Материалы!$A$2:$A$9000,0)),""),"OK","!! не та группа"))</f>
        <v/>
      </c>
      <c r="L722" s="10">
        <f>IFERROR(INDEX(Работы!$H$2:$H$6000,MATCH($C722,Работы!$A$2:$A$6000,0))*(1-ДисконтТендер),0)</f>
        <v>706.44</v>
      </c>
      <c r="M722" s="10">
        <f>IF($I722="",0,IFERROR(INDEX(Материалы!$I$2:$I$9000,MATCH($I722,Материалы!$A$2:$A$9000,0))*IF(INDEX(Материалы!$J$2:$J$9000,MATCH($I722,Материалы!$A$2:$A$9000,0))="USD",КурсUSD,IF(INDEX(Материалы!$J$2:$J$9000,MATCH($I722,Материалы!$A$2:$A$9000,0))="EUR",КурсEUR,1))*INDEX(Материалы!$K$2:$K$9000,MATCH($I722,Материалы!$A$2:$A$9000,0))*(1+IFERROR(INDEX(Работы!$I$2:$I$6000,MATCH($C722,Работы!$A$2:$A$6000,0))/100,0))*(1-ДисконтТендер),0))</f>
        <v>0</v>
      </c>
      <c r="N722" s="10">
        <f t="shared" si="33"/>
        <v>0</v>
      </c>
      <c r="O722" s="10">
        <f t="shared" si="34"/>
        <v>0</v>
      </c>
      <c r="P722" s="10">
        <f t="shared" si="35"/>
        <v>0</v>
      </c>
      <c r="Q722" t="str">
        <f>IFERROR(INDEX(Работы!$J$2:$J$6000,MATCH($C722,Работы!$A$2:$A$6000,0)),"")</f>
        <v>типовая</v>
      </c>
      <c r="R722" t="s">
        <v>92</v>
      </c>
      <c r="T722" t="str">
        <f>IF(AND($P722&gt;0,$R722="да"),MAX($T$1:$T721)+1,"")</f>
        <v/>
      </c>
    </row>
    <row r="723" spans="1:20" x14ac:dyDescent="0.3">
      <c r="A723" t="str">
        <f>IFERROR(INDEX(Работы!$D$2:$D$6000,MATCH($C723,Работы!$A$2:$A$6000,0)),"")</f>
        <v>Р9</v>
      </c>
      <c r="B723" t="str">
        <f>IFERROR(INDEX(Работы!$F$2:$F$6000,MATCH($C723,Работы!$A$2:$A$6000,0)),"")</f>
        <v>2</v>
      </c>
      <c r="C723" t="str">
        <f>IFERROR(INDEX(Работы!$A$2:$A$6000,722),"")</f>
        <v>РАБ.Р9.2.085</v>
      </c>
      <c r="D723" s="8" t="str">
        <f>IFERROR(INDEX(Работы!$B$2:$B$6000,MATCH($C723,Работы!$A$2:$A$6000,0)),"")</f>
        <v>Установка выключателя электроустановочного</v>
      </c>
      <c r="E723" t="str">
        <f>IFERROR(INDEX(Работы!$C$2:$C$6000,MATCH($C723,Работы!$A$2:$A$6000,0)),"")</f>
        <v>шт.</v>
      </c>
      <c r="F723" t="str">
        <f>IFERROR(INDEX(Работы!$G$2:$G$6000,MATCH($C723,Работы!$A$2:$A$6000,0)),"")</f>
        <v>ЭУИ.ВЫКЛ</v>
      </c>
      <c r="G723" t="str">
        <f>IFERROR(INDEX(Работы!$K$2:$K$6000,MATCH($C723,Работы!$A$2:$A$6000,0)),"")</f>
        <v>Спецификация</v>
      </c>
      <c r="H723" s="9"/>
      <c r="I723" s="9"/>
      <c r="J723" s="8" t="str">
        <f>IFERROR(INDEX(Материалы!$B$2:$B$9000,MATCH($I723,Материалы!$A$2:$A$9000,0)),"")</f>
        <v/>
      </c>
      <c r="K723" t="str">
        <f>IF($I723="","",IF($F723=IFERROR(INDEX(Материалы!$G$2:$G$9000,MATCH($I723,Материалы!$A$2:$A$9000,0)),""),"OK","!! не та группа"))</f>
        <v/>
      </c>
      <c r="L723" s="10">
        <f>IFERROR(INDEX(Работы!$H$2:$H$6000,MATCH($C723,Работы!$A$2:$A$6000,0))*(1-ДисконтТендер),0)</f>
        <v>679.25</v>
      </c>
      <c r="M723" s="10">
        <f>IF($I723="",0,IFERROR(INDEX(Материалы!$I$2:$I$9000,MATCH($I723,Материалы!$A$2:$A$9000,0))*IF(INDEX(Материалы!$J$2:$J$9000,MATCH($I723,Материалы!$A$2:$A$9000,0))="USD",КурсUSD,IF(INDEX(Материалы!$J$2:$J$9000,MATCH($I723,Материалы!$A$2:$A$9000,0))="EUR",КурсEUR,1))*INDEX(Материалы!$K$2:$K$9000,MATCH($I723,Материалы!$A$2:$A$9000,0))*(1+IFERROR(INDEX(Работы!$I$2:$I$6000,MATCH($C723,Работы!$A$2:$A$6000,0))/100,0))*(1-ДисконтТендер),0))</f>
        <v>0</v>
      </c>
      <c r="N723" s="10">
        <f t="shared" si="33"/>
        <v>0</v>
      </c>
      <c r="O723" s="10">
        <f t="shared" si="34"/>
        <v>0</v>
      </c>
      <c r="P723" s="10">
        <f t="shared" si="35"/>
        <v>0</v>
      </c>
      <c r="Q723" t="str">
        <f>IFERROR(INDEX(Работы!$J$2:$J$6000,MATCH($C723,Работы!$A$2:$A$6000,0)),"")</f>
        <v>типовая</v>
      </c>
      <c r="R723" t="s">
        <v>92</v>
      </c>
      <c r="T723" t="str">
        <f>IF(AND($P723&gt;0,$R723="да"),MAX($T$1:$T722)+1,"")</f>
        <v/>
      </c>
    </row>
    <row r="724" spans="1:20" ht="43.2" x14ac:dyDescent="0.3">
      <c r="A724" t="str">
        <f>IFERROR(INDEX(Работы!$D$2:$D$6000,MATCH($C724,Работы!$A$2:$A$6000,0)),"")</f>
        <v>Р9</v>
      </c>
      <c r="B724" t="str">
        <f>IFERROR(INDEX(Работы!$F$2:$F$6000,MATCH($C724,Работы!$A$2:$A$6000,0)),"")</f>
        <v>2</v>
      </c>
      <c r="C724" t="str">
        <f>IFERROR(INDEX(Работы!$A$2:$A$6000,723),"")</f>
        <v>РАБ.Р9.2.086</v>
      </c>
      <c r="D724" s="8" t="str">
        <f>IFERROR(INDEX(Работы!$B$2:$B$6000,MATCH($C724,Работы!$A$2:$A$6000,0)),"")</f>
        <v>Установка точечных светодиодных светильников R63 12 Вт в мебельные конструкции (холодное свечение)</v>
      </c>
      <c r="E724" t="str">
        <f>IFERROR(INDEX(Работы!$C$2:$C$6000,MATCH($C724,Работы!$A$2:$A$6000,0)),"")</f>
        <v>шт.</v>
      </c>
      <c r="F724" t="str">
        <f>IFERROR(INDEX(Работы!$G$2:$G$6000,MATCH($C724,Работы!$A$2:$A$6000,0)),"")</f>
        <v>СВЕТ</v>
      </c>
      <c r="G724" t="str">
        <f>IFERROR(INDEX(Работы!$K$2:$K$6000,MATCH($C724,Работы!$A$2:$A$6000,0)),"")</f>
        <v>Спецификация</v>
      </c>
      <c r="H724" s="9"/>
      <c r="I724" s="9"/>
      <c r="J724" s="8" t="str">
        <f>IFERROR(INDEX(Материалы!$B$2:$B$9000,MATCH($I724,Материалы!$A$2:$A$9000,0)),"")</f>
        <v/>
      </c>
      <c r="K724" t="str">
        <f>IF($I724="","",IF($F724=IFERROR(INDEX(Материалы!$G$2:$G$9000,MATCH($I724,Материалы!$A$2:$A$9000,0)),""),"OK","!! не та группа"))</f>
        <v/>
      </c>
      <c r="L724" s="10">
        <f>IFERROR(INDEX(Работы!$H$2:$H$6000,MATCH($C724,Работы!$A$2:$A$6000,0))*(1-ДисконтТендер),0)</f>
        <v>847.38</v>
      </c>
      <c r="M724" s="10">
        <f>IF($I724="",0,IFERROR(INDEX(Материалы!$I$2:$I$9000,MATCH($I724,Материалы!$A$2:$A$9000,0))*IF(INDEX(Материалы!$J$2:$J$9000,MATCH($I724,Материалы!$A$2:$A$9000,0))="USD",КурсUSD,IF(INDEX(Материалы!$J$2:$J$9000,MATCH($I724,Материалы!$A$2:$A$9000,0))="EUR",КурсEUR,1))*INDEX(Материалы!$K$2:$K$9000,MATCH($I724,Материалы!$A$2:$A$9000,0))*(1+IFERROR(INDEX(Работы!$I$2:$I$6000,MATCH($C724,Работы!$A$2:$A$6000,0))/100,0))*(1-ДисконтТендер),0))</f>
        <v>0</v>
      </c>
      <c r="N724" s="10">
        <f t="shared" si="33"/>
        <v>0</v>
      </c>
      <c r="O724" s="10">
        <f t="shared" si="34"/>
        <v>0</v>
      </c>
      <c r="P724" s="10">
        <f t="shared" si="35"/>
        <v>0</v>
      </c>
      <c r="Q724" t="str">
        <f>IFERROR(INDEX(Работы!$J$2:$J$6000,MATCH($C724,Работы!$A$2:$A$6000,0)),"")</f>
        <v>типовая</v>
      </c>
      <c r="R724" t="s">
        <v>92</v>
      </c>
      <c r="T724" t="str">
        <f>IF(AND($P724&gt;0,$R724="да"),MAX($T$1:$T723)+1,"")</f>
        <v/>
      </c>
    </row>
    <row r="725" spans="1:20" x14ac:dyDescent="0.3">
      <c r="A725" t="str">
        <f>IFERROR(INDEX(Работы!$D$2:$D$6000,MATCH($C725,Работы!$A$2:$A$6000,0)),"")</f>
        <v>Р9</v>
      </c>
      <c r="B725" t="str">
        <f>IFERROR(INDEX(Работы!$F$2:$F$6000,MATCH($C725,Работы!$A$2:$A$6000,0)),"")</f>
        <v>2</v>
      </c>
      <c r="C725" t="str">
        <f>IFERROR(INDEX(Работы!$A$2:$A$6000,724),"")</f>
        <v>РАБ.Р9.2.087</v>
      </c>
      <c r="D725" s="8" t="str">
        <f>IFERROR(INDEX(Работы!$B$2:$B$6000,MATCH($C725,Работы!$A$2:$A$6000,0)),"")</f>
        <v>Лампа DULUXSTAR MICRO TWIST 23W/840</v>
      </c>
      <c r="E725" t="str">
        <f>IFERROR(INDEX(Работы!$C$2:$C$6000,MATCH($C725,Работы!$A$2:$A$6000,0)),"")</f>
        <v>шт.</v>
      </c>
      <c r="F725">
        <f>IFERROR(INDEX(Работы!$G$2:$G$6000,MATCH($C725,Работы!$A$2:$A$6000,0)),"")</f>
        <v>0</v>
      </c>
      <c r="G725" t="str">
        <f>IFERROR(INDEX(Работы!$K$2:$K$6000,MATCH($C725,Работы!$A$2:$A$6000,0)),"")</f>
        <v>Спецификация</v>
      </c>
      <c r="H725" s="9"/>
      <c r="I725" s="9"/>
      <c r="J725" s="8" t="str">
        <f>IFERROR(INDEX(Материалы!$B$2:$B$9000,MATCH($I725,Материалы!$A$2:$A$9000,0)),"")</f>
        <v/>
      </c>
      <c r="K725" t="str">
        <f>IF($I725="","",IF($F725=IFERROR(INDEX(Материалы!$G$2:$G$9000,MATCH($I725,Материалы!$A$2:$A$9000,0)),""),"OK","!! не та группа"))</f>
        <v/>
      </c>
      <c r="L725" s="10">
        <f>IFERROR(INDEX(Работы!$H$2:$H$6000,MATCH($C725,Работы!$A$2:$A$6000,0))*(1-ДисконтТендер),0)</f>
        <v>140.59</v>
      </c>
      <c r="M725" s="10">
        <f>IF($I725="",0,IFERROR(INDEX(Материалы!$I$2:$I$9000,MATCH($I725,Материалы!$A$2:$A$9000,0))*IF(INDEX(Материалы!$J$2:$J$9000,MATCH($I725,Материалы!$A$2:$A$9000,0))="USD",КурсUSD,IF(INDEX(Материалы!$J$2:$J$9000,MATCH($I725,Материалы!$A$2:$A$9000,0))="EUR",КурсEUR,1))*INDEX(Материалы!$K$2:$K$9000,MATCH($I725,Материалы!$A$2:$A$9000,0))*(1+IFERROR(INDEX(Работы!$I$2:$I$6000,MATCH($C725,Работы!$A$2:$A$6000,0))/100,0))*(1-ДисконтТендер),0))</f>
        <v>0</v>
      </c>
      <c r="N725" s="10">
        <f t="shared" si="33"/>
        <v>0</v>
      </c>
      <c r="O725" s="10">
        <f t="shared" si="34"/>
        <v>0</v>
      </c>
      <c r="P725" s="10">
        <f t="shared" si="35"/>
        <v>0</v>
      </c>
      <c r="Q725" t="str">
        <f>IFERROR(INDEX(Работы!$J$2:$J$6000,MATCH($C725,Работы!$A$2:$A$6000,0)),"")</f>
        <v>типовая</v>
      </c>
      <c r="R725" t="s">
        <v>92</v>
      </c>
      <c r="T725" t="str">
        <f>IF(AND($P725&gt;0,$R725="да"),MAX($T$1:$T724)+1,"")</f>
        <v/>
      </c>
    </row>
    <row r="726" spans="1:20" x14ac:dyDescent="0.3">
      <c r="A726" t="str">
        <f>IFERROR(INDEX(Работы!$D$2:$D$6000,MATCH($C726,Работы!$A$2:$A$6000,0)),"")</f>
        <v>Р9</v>
      </c>
      <c r="B726" t="str">
        <f>IFERROR(INDEX(Работы!$F$2:$F$6000,MATCH($C726,Работы!$A$2:$A$6000,0)),"")</f>
        <v>2</v>
      </c>
      <c r="C726" t="str">
        <f>IFERROR(INDEX(Работы!$A$2:$A$6000,725),"")</f>
        <v>РАБ.Р9.2.088</v>
      </c>
      <c r="D726" s="8" t="str">
        <f>IFERROR(INDEX(Работы!$B$2:$B$6000,MATCH($C726,Работы!$A$2:$A$6000,0)),"")</f>
        <v>Пуско-наладочные работы</v>
      </c>
      <c r="E726" t="str">
        <f>IFERROR(INDEX(Работы!$C$2:$C$6000,MATCH($C726,Работы!$A$2:$A$6000,0)),"")</f>
        <v>компл.</v>
      </c>
      <c r="F726">
        <f>IFERROR(INDEX(Работы!$G$2:$G$6000,MATCH($C726,Работы!$A$2:$A$6000,0)),"")</f>
        <v>0</v>
      </c>
      <c r="G726" t="str">
        <f>IFERROR(INDEX(Работы!$K$2:$K$6000,MATCH($C726,Работы!$A$2:$A$6000,0)),"")</f>
        <v>Спецификация</v>
      </c>
      <c r="H726" s="9"/>
      <c r="I726" s="9"/>
      <c r="J726" s="8" t="str">
        <f>IFERROR(INDEX(Материалы!$B$2:$B$9000,MATCH($I726,Материалы!$A$2:$A$9000,0)),"")</f>
        <v/>
      </c>
      <c r="K726" t="str">
        <f>IF($I726="","",IF($F726=IFERROR(INDEX(Материалы!$G$2:$G$9000,MATCH($I726,Материалы!$A$2:$A$9000,0)),""),"OK","!! не та группа"))</f>
        <v/>
      </c>
      <c r="L726" s="10">
        <f>IFERROR(INDEX(Работы!$H$2:$H$6000,MATCH($C726,Работы!$A$2:$A$6000,0))*(1-ДисконтТендер),0)</f>
        <v>22550.400000000001</v>
      </c>
      <c r="M726" s="10">
        <f>IF($I726="",0,IFERROR(INDEX(Материалы!$I$2:$I$9000,MATCH($I726,Материалы!$A$2:$A$9000,0))*IF(INDEX(Материалы!$J$2:$J$9000,MATCH($I726,Материалы!$A$2:$A$9000,0))="USD",КурсUSD,IF(INDEX(Материалы!$J$2:$J$9000,MATCH($I726,Материалы!$A$2:$A$9000,0))="EUR",КурсEUR,1))*INDEX(Материалы!$K$2:$K$9000,MATCH($I726,Материалы!$A$2:$A$9000,0))*(1+IFERROR(INDEX(Работы!$I$2:$I$6000,MATCH($C726,Работы!$A$2:$A$6000,0))/100,0))*(1-ДисконтТендер),0))</f>
        <v>0</v>
      </c>
      <c r="N726" s="10">
        <f t="shared" si="33"/>
        <v>0</v>
      </c>
      <c r="O726" s="10">
        <f t="shared" si="34"/>
        <v>0</v>
      </c>
      <c r="P726" s="10">
        <f t="shared" si="35"/>
        <v>0</v>
      </c>
      <c r="Q726" t="str">
        <f>IFERROR(INDEX(Работы!$J$2:$J$6000,MATCH($C726,Работы!$A$2:$A$6000,0)),"")</f>
        <v>типовая</v>
      </c>
      <c r="R726" t="s">
        <v>92</v>
      </c>
      <c r="T726" t="str">
        <f>IF(AND($P726&gt;0,$R726="да"),MAX($T$1:$T725)+1,"")</f>
        <v/>
      </c>
    </row>
    <row r="727" spans="1:20" ht="57.6" x14ac:dyDescent="0.3">
      <c r="A727" t="str">
        <f>IFERROR(INDEX(Работы!$D$2:$D$6000,MATCH($C727,Работы!$A$2:$A$6000,0)),"")</f>
        <v>Р9</v>
      </c>
      <c r="B727" t="str">
        <f>IFERROR(INDEX(Работы!$F$2:$F$6000,MATCH($C727,Работы!$A$2:$A$6000,0)),"")</f>
        <v>2</v>
      </c>
      <c r="C727" t="str">
        <f>IFERROR(INDEX(Работы!$A$2:$A$6000,726),"")</f>
        <v>РАБ.Р9.2.089</v>
      </c>
      <c r="D727" s="8" t="str">
        <f>IFERROR(INDEX(Работы!$B$2:$B$6000,MATCH($C727,Работы!$A$2:$A$6000,0)),"")</f>
        <v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v>
      </c>
      <c r="E727" t="str">
        <f>IFERROR(INDEX(Работы!$C$2:$C$6000,MATCH($C727,Работы!$A$2:$A$6000,0)),"")</f>
        <v>м2</v>
      </c>
      <c r="F727" t="str">
        <f>IFERROR(INDEX(Работы!$G$2:$G$6000,MATCH($C727,Работы!$A$2:$A$6000,0)),"")</f>
        <v>КАБЕЛЬ</v>
      </c>
      <c r="G727" t="str">
        <f>IFERROR(INDEX(Работы!$K$2:$K$6000,MATCH($C727,Работы!$A$2:$A$6000,0)),"")</f>
        <v>Погонаж</v>
      </c>
      <c r="H727" s="9"/>
      <c r="I727" s="9"/>
      <c r="J727" s="8" t="str">
        <f>IFERROR(INDEX(Материалы!$B$2:$B$9000,MATCH($I727,Материалы!$A$2:$A$9000,0)),"")</f>
        <v/>
      </c>
      <c r="K727" t="str">
        <f>IF($I727="","",IF($F727=IFERROR(INDEX(Материалы!$G$2:$G$9000,MATCH($I727,Материалы!$A$2:$A$9000,0)),""),"OK","!! не та группа"))</f>
        <v/>
      </c>
      <c r="L727" s="10">
        <f>IFERROR(INDEX(Работы!$H$2:$H$6000,MATCH($C727,Работы!$A$2:$A$6000,0))*(1-ДисконтТендер),0)</f>
        <v>0</v>
      </c>
      <c r="M727" s="10">
        <f>IF($I727="",0,IFERROR(INDEX(Материалы!$I$2:$I$9000,MATCH($I727,Материалы!$A$2:$A$9000,0))*IF(INDEX(Материалы!$J$2:$J$9000,MATCH($I727,Материалы!$A$2:$A$9000,0))="USD",КурсUSD,IF(INDEX(Материалы!$J$2:$J$9000,MATCH($I727,Материалы!$A$2:$A$9000,0))="EUR",КурсEUR,1))*INDEX(Материалы!$K$2:$K$9000,MATCH($I727,Материалы!$A$2:$A$9000,0))*(1+IFERROR(INDEX(Работы!$I$2:$I$6000,MATCH($C727,Работы!$A$2:$A$6000,0))/100,0))*(1-ДисконтТендер),0))</f>
        <v>0</v>
      </c>
      <c r="N727" s="10">
        <f t="shared" si="33"/>
        <v>0</v>
      </c>
      <c r="O727" s="10">
        <f t="shared" si="34"/>
        <v>0</v>
      </c>
      <c r="P727" s="10">
        <f t="shared" si="35"/>
        <v>0</v>
      </c>
      <c r="Q727" t="str">
        <f>IFERROR(INDEX(Работы!$J$2:$J$6000,MATCH($C727,Работы!$A$2:$A$6000,0)),"")</f>
        <v>типовая</v>
      </c>
      <c r="R727" t="s">
        <v>92</v>
      </c>
      <c r="T727" t="str">
        <f>IF(AND($P727&gt;0,$R727="да"),MAX($T$1:$T726)+1,"")</f>
        <v/>
      </c>
    </row>
    <row r="728" spans="1:20" ht="28.8" x14ac:dyDescent="0.3">
      <c r="A728" t="str">
        <f>IFERROR(INDEX(Работы!$D$2:$D$6000,MATCH($C728,Работы!$A$2:$A$6000,0)),"")</f>
        <v>Р9</v>
      </c>
      <c r="B728" t="str">
        <f>IFERROR(INDEX(Работы!$F$2:$F$6000,MATCH($C728,Работы!$A$2:$A$6000,0)),"")</f>
        <v>2</v>
      </c>
      <c r="C728" t="str">
        <f>IFERROR(INDEX(Работы!$A$2:$A$6000,727),"")</f>
        <v>РАБ.Р9.2.090</v>
      </c>
      <c r="D728" s="8" t="str">
        <f>IFERROR(INDEX(Работы!$B$2:$B$6000,MATCH($C728,Работы!$A$2:$A$6000,0)),"")</f>
        <v>Установка коробки напольной 18 модульн Mosaik с нерж крышкой (суппорта в комплекте )</v>
      </c>
      <c r="E728" t="str">
        <f>IFERROR(INDEX(Работы!$C$2:$C$6000,MATCH($C728,Работы!$A$2:$A$6000,0)),"")</f>
        <v>шт.</v>
      </c>
      <c r="F728">
        <f>IFERROR(INDEX(Работы!$G$2:$G$6000,MATCH($C728,Работы!$A$2:$A$6000,0)),"")</f>
        <v>0</v>
      </c>
      <c r="G728" t="str">
        <f>IFERROR(INDEX(Работы!$K$2:$K$6000,MATCH($C728,Работы!$A$2:$A$6000,0)),"")</f>
        <v>Спецификация</v>
      </c>
      <c r="H728" s="9"/>
      <c r="I728" s="9"/>
      <c r="J728" s="8" t="str">
        <f>IFERROR(INDEX(Материалы!$B$2:$B$9000,MATCH($I728,Материалы!$A$2:$A$9000,0)),"")</f>
        <v/>
      </c>
      <c r="K728" t="str">
        <f>IF($I728="","",IF($F728=IFERROR(INDEX(Материалы!$G$2:$G$9000,MATCH($I728,Материалы!$A$2:$A$9000,0)),""),"OK","!! не та группа"))</f>
        <v/>
      </c>
      <c r="L728" s="10">
        <f>IFERROR(INDEX(Работы!$H$2:$H$6000,MATCH($C728,Работы!$A$2:$A$6000,0))*(1-ДисконтТендер),0)</f>
        <v>4950</v>
      </c>
      <c r="M728" s="10">
        <f>IF($I728="",0,IFERROR(INDEX(Материалы!$I$2:$I$9000,MATCH($I728,Материалы!$A$2:$A$9000,0))*IF(INDEX(Материалы!$J$2:$J$9000,MATCH($I728,Материалы!$A$2:$A$9000,0))="USD",КурсUSD,IF(INDEX(Материалы!$J$2:$J$9000,MATCH($I728,Материалы!$A$2:$A$9000,0))="EUR",КурсEUR,1))*INDEX(Материалы!$K$2:$K$9000,MATCH($I728,Материалы!$A$2:$A$9000,0))*(1+IFERROR(INDEX(Работы!$I$2:$I$6000,MATCH($C728,Работы!$A$2:$A$6000,0))/100,0))*(1-ДисконтТендер),0))</f>
        <v>0</v>
      </c>
      <c r="N728" s="10">
        <f t="shared" si="33"/>
        <v>0</v>
      </c>
      <c r="O728" s="10">
        <f t="shared" si="34"/>
        <v>0</v>
      </c>
      <c r="P728" s="10">
        <f t="shared" si="35"/>
        <v>0</v>
      </c>
      <c r="Q728" t="str">
        <f>IFERROR(INDEX(Работы!$J$2:$J$6000,MATCH($C728,Работы!$A$2:$A$6000,0)),"")</f>
        <v>типовая</v>
      </c>
      <c r="R728" t="s">
        <v>92</v>
      </c>
      <c r="T728" t="str">
        <f>IF(AND($P728&gt;0,$R728="да"),MAX($T$1:$T727)+1,"")</f>
        <v/>
      </c>
    </row>
    <row r="729" spans="1:20" x14ac:dyDescent="0.3">
      <c r="A729" t="str">
        <f>IFERROR(INDEX(Работы!$D$2:$D$6000,MATCH($C729,Работы!$A$2:$A$6000,0)),"")</f>
        <v>Р9</v>
      </c>
      <c r="B729" t="str">
        <f>IFERROR(INDEX(Работы!$F$2:$F$6000,MATCH($C729,Работы!$A$2:$A$6000,0)),"")</f>
        <v>2</v>
      </c>
      <c r="C729" t="str">
        <f>IFERROR(INDEX(Работы!$A$2:$A$6000,728),"")</f>
        <v>РАБ.Р9.2.091</v>
      </c>
      <c r="D729" s="8" t="str">
        <f>IFERROR(INDEX(Работы!$B$2:$B$6000,MATCH($C729,Работы!$A$2:$A$6000,0)),"")</f>
        <v>Блок аварийного питания INTERLUX ES-1 ( 6-58Ц)</v>
      </c>
      <c r="E729" t="str">
        <f>IFERROR(INDEX(Работы!$C$2:$C$6000,MATCH($C729,Работы!$A$2:$A$6000,0)),"")</f>
        <v>шт.</v>
      </c>
      <c r="F729">
        <f>IFERROR(INDEX(Работы!$G$2:$G$6000,MATCH($C729,Работы!$A$2:$A$6000,0)),"")</f>
        <v>0</v>
      </c>
      <c r="G729" t="str">
        <f>IFERROR(INDEX(Работы!$K$2:$K$6000,MATCH($C729,Работы!$A$2:$A$6000,0)),"")</f>
        <v>Спецификация</v>
      </c>
      <c r="H729" s="9"/>
      <c r="I729" s="9"/>
      <c r="J729" s="8" t="str">
        <f>IFERROR(INDEX(Материалы!$B$2:$B$9000,MATCH($I729,Материалы!$A$2:$A$9000,0)),"")</f>
        <v/>
      </c>
      <c r="K729" t="str">
        <f>IF($I729="","",IF($F729=IFERROR(INDEX(Материалы!$G$2:$G$9000,MATCH($I729,Материалы!$A$2:$A$9000,0)),""),"OK","!! не та группа"))</f>
        <v/>
      </c>
      <c r="L729" s="10">
        <f>IFERROR(INDEX(Работы!$H$2:$H$6000,MATCH($C729,Работы!$A$2:$A$6000,0))*(1-ДисконтТендер),0)</f>
        <v>1524.19</v>
      </c>
      <c r="M729" s="10">
        <f>IF($I729="",0,IFERROR(INDEX(Материалы!$I$2:$I$9000,MATCH($I729,Материалы!$A$2:$A$9000,0))*IF(INDEX(Материалы!$J$2:$J$9000,MATCH($I729,Материалы!$A$2:$A$9000,0))="USD",КурсUSD,IF(INDEX(Материалы!$J$2:$J$9000,MATCH($I729,Материалы!$A$2:$A$9000,0))="EUR",КурсEUR,1))*INDEX(Материалы!$K$2:$K$9000,MATCH($I729,Материалы!$A$2:$A$9000,0))*(1+IFERROR(INDEX(Работы!$I$2:$I$6000,MATCH($C729,Работы!$A$2:$A$6000,0))/100,0))*(1-ДисконтТендер),0))</f>
        <v>0</v>
      </c>
      <c r="N729" s="10">
        <f t="shared" si="33"/>
        <v>0</v>
      </c>
      <c r="O729" s="10">
        <f t="shared" si="34"/>
        <v>0</v>
      </c>
      <c r="P729" s="10">
        <f t="shared" si="35"/>
        <v>0</v>
      </c>
      <c r="Q729" t="str">
        <f>IFERROR(INDEX(Работы!$J$2:$J$6000,MATCH($C729,Работы!$A$2:$A$6000,0)),"")</f>
        <v>типовая</v>
      </c>
      <c r="R729" t="s">
        <v>92</v>
      </c>
      <c r="T729" t="str">
        <f>IF(AND($P729&gt;0,$R729="да"),MAX($T$1:$T728)+1,"")</f>
        <v/>
      </c>
    </row>
    <row r="730" spans="1:20" ht="28.8" x14ac:dyDescent="0.3">
      <c r="A730" t="str">
        <f>IFERROR(INDEX(Работы!$D$2:$D$6000,MATCH($C730,Работы!$A$2:$A$6000,0)),"")</f>
        <v>Р9</v>
      </c>
      <c r="B730" t="str">
        <f>IFERROR(INDEX(Работы!$F$2:$F$6000,MATCH($C730,Работы!$A$2:$A$6000,0)),"")</f>
        <v>2</v>
      </c>
      <c r="C730" t="str">
        <f>IFERROR(INDEX(Работы!$A$2:$A$6000,729),"")</f>
        <v>РАБ.Р9.2.092</v>
      </c>
      <c r="D730" s="8" t="str">
        <f>IFERROR(INDEX(Работы!$B$2:$B$6000,MATCH($C730,Работы!$A$2:$A$6000,0)),"")</f>
        <v>Встраиваемый блок розеток EVOLINE FlipTop Medium</v>
      </c>
      <c r="E730" t="str">
        <f>IFERROR(INDEX(Работы!$C$2:$C$6000,MATCH($C730,Работы!$A$2:$A$6000,0)),"")</f>
        <v>шт.</v>
      </c>
      <c r="F730">
        <f>IFERROR(INDEX(Работы!$G$2:$G$6000,MATCH($C730,Работы!$A$2:$A$6000,0)),"")</f>
        <v>0</v>
      </c>
      <c r="G730" t="str">
        <f>IFERROR(INDEX(Работы!$K$2:$K$6000,MATCH($C730,Работы!$A$2:$A$6000,0)),"")</f>
        <v>Спецификация</v>
      </c>
      <c r="H730" s="9"/>
      <c r="I730" s="9"/>
      <c r="J730" s="8" t="str">
        <f>IFERROR(INDEX(Материалы!$B$2:$B$9000,MATCH($I730,Материалы!$A$2:$A$9000,0)),"")</f>
        <v/>
      </c>
      <c r="K730" t="str">
        <f>IF($I730="","",IF($F730=IFERROR(INDEX(Материалы!$G$2:$G$9000,MATCH($I730,Материалы!$A$2:$A$9000,0)),""),"OK","!! не та группа"))</f>
        <v/>
      </c>
      <c r="L730" s="10">
        <f>IFERROR(INDEX(Работы!$H$2:$H$6000,MATCH($C730,Работы!$A$2:$A$6000,0))*(1-ДисконтТендер),0)</f>
        <v>2641.32</v>
      </c>
      <c r="M730" s="10">
        <f>IF($I730="",0,IFERROR(INDEX(Материалы!$I$2:$I$9000,MATCH($I730,Материалы!$A$2:$A$9000,0))*IF(INDEX(Материалы!$J$2:$J$9000,MATCH($I730,Материалы!$A$2:$A$9000,0))="USD",КурсUSD,IF(INDEX(Материалы!$J$2:$J$9000,MATCH($I730,Материалы!$A$2:$A$9000,0))="EUR",КурсEUR,1))*INDEX(Материалы!$K$2:$K$9000,MATCH($I730,Материалы!$A$2:$A$9000,0))*(1+IFERROR(INDEX(Работы!$I$2:$I$6000,MATCH($C730,Работы!$A$2:$A$6000,0))/100,0))*(1-ДисконтТендер),0))</f>
        <v>0</v>
      </c>
      <c r="N730" s="10">
        <f t="shared" si="33"/>
        <v>0</v>
      </c>
      <c r="O730" s="10">
        <f t="shared" si="34"/>
        <v>0</v>
      </c>
      <c r="P730" s="10">
        <f t="shared" si="35"/>
        <v>0</v>
      </c>
      <c r="Q730" t="str">
        <f>IFERROR(INDEX(Работы!$J$2:$J$6000,MATCH($C730,Работы!$A$2:$A$6000,0)),"")</f>
        <v>типовая</v>
      </c>
      <c r="R730" t="s">
        <v>92</v>
      </c>
      <c r="T730" t="str">
        <f>IF(AND($P730&gt;0,$R730="да"),MAX($T$1:$T729)+1,"")</f>
        <v/>
      </c>
    </row>
    <row r="731" spans="1:20" ht="28.8" x14ac:dyDescent="0.3">
      <c r="A731" t="str">
        <f>IFERROR(INDEX(Работы!$D$2:$D$6000,MATCH($C731,Работы!$A$2:$A$6000,0)),"")</f>
        <v>Р9</v>
      </c>
      <c r="B731" t="str">
        <f>IFERROR(INDEX(Работы!$F$2:$F$6000,MATCH($C731,Работы!$A$2:$A$6000,0)),"")</f>
        <v>2</v>
      </c>
      <c r="C731" t="str">
        <f>IFERROR(INDEX(Работы!$A$2:$A$6000,730),"")</f>
        <v>РАБ.Р9.2.093</v>
      </c>
      <c r="D731" s="8" t="str">
        <f>IFERROR(INDEX(Работы!$B$2:$B$6000,MATCH($C731,Работы!$A$2:$A$6000,0)),"")</f>
        <v>Светодиодная лента, IP65 Источник света: LED,14Вт/м, 4200К (основной свет в переговорных)</v>
      </c>
      <c r="E731" t="str">
        <f>IFERROR(INDEX(Работы!$C$2:$C$6000,MATCH($C731,Работы!$A$2:$A$6000,0)),"")</f>
        <v>м.п.</v>
      </c>
      <c r="F731">
        <f>IFERROR(INDEX(Работы!$G$2:$G$6000,MATCH($C731,Работы!$A$2:$A$6000,0)),"")</f>
        <v>0</v>
      </c>
      <c r="G731" t="str">
        <f>IFERROR(INDEX(Работы!$K$2:$K$6000,MATCH($C731,Работы!$A$2:$A$6000,0)),"")</f>
        <v>Погонаж</v>
      </c>
      <c r="H731" s="9"/>
      <c r="I731" s="9"/>
      <c r="J731" s="8" t="str">
        <f>IFERROR(INDEX(Материалы!$B$2:$B$9000,MATCH($I731,Материалы!$A$2:$A$9000,0)),"")</f>
        <v/>
      </c>
      <c r="K731" t="str">
        <f>IF($I731="","",IF($F731=IFERROR(INDEX(Материалы!$G$2:$G$9000,MATCH($I731,Материалы!$A$2:$A$9000,0)),""),"OK","!! не та группа"))</f>
        <v/>
      </c>
      <c r="L731" s="10">
        <f>IFERROR(INDEX(Работы!$H$2:$H$6000,MATCH($C731,Работы!$A$2:$A$6000,0))*(1-ДисконтТендер),0)</f>
        <v>621.17999999999995</v>
      </c>
      <c r="M731" s="10">
        <f>IF($I731="",0,IFERROR(INDEX(Материалы!$I$2:$I$9000,MATCH($I731,Материалы!$A$2:$A$9000,0))*IF(INDEX(Материалы!$J$2:$J$9000,MATCH($I731,Материалы!$A$2:$A$9000,0))="USD",КурсUSD,IF(INDEX(Материалы!$J$2:$J$9000,MATCH($I731,Материалы!$A$2:$A$9000,0))="EUR",КурсEUR,1))*INDEX(Материалы!$K$2:$K$9000,MATCH($I731,Материалы!$A$2:$A$9000,0))*(1+IFERROR(INDEX(Работы!$I$2:$I$6000,MATCH($C731,Работы!$A$2:$A$6000,0))/100,0))*(1-ДисконтТендер),0))</f>
        <v>0</v>
      </c>
      <c r="N731" s="10">
        <f t="shared" si="33"/>
        <v>0</v>
      </c>
      <c r="O731" s="10">
        <f t="shared" si="34"/>
        <v>0</v>
      </c>
      <c r="P731" s="10">
        <f t="shared" si="35"/>
        <v>0</v>
      </c>
      <c r="Q731" t="str">
        <f>IFERROR(INDEX(Работы!$J$2:$J$6000,MATCH($C731,Работы!$A$2:$A$6000,0)),"")</f>
        <v>типовая</v>
      </c>
      <c r="R731" t="s">
        <v>92</v>
      </c>
      <c r="T731" t="str">
        <f>IF(AND($P731&gt;0,$R731="да"),MAX($T$1:$T730)+1,"")</f>
        <v/>
      </c>
    </row>
    <row r="732" spans="1:20" ht="28.8" x14ac:dyDescent="0.3">
      <c r="A732" t="str">
        <f>IFERROR(INDEX(Работы!$D$2:$D$6000,MATCH($C732,Работы!$A$2:$A$6000,0)),"")</f>
        <v>Р9</v>
      </c>
      <c r="B732" t="str">
        <f>IFERROR(INDEX(Работы!$F$2:$F$6000,MATCH($C732,Работы!$A$2:$A$6000,0)),"")</f>
        <v>2</v>
      </c>
      <c r="C732" t="str">
        <f>IFERROR(INDEX(Работы!$A$2:$A$6000,731),"")</f>
        <v>РАБ.Р9.2.094</v>
      </c>
      <c r="D732" s="8" t="str">
        <f>IFERROR(INDEX(Работы!$B$2:$B$6000,MATCH($C732,Работы!$A$2:$A$6000,0)),"")</f>
        <v>Алюминиевый профиль встраевыемый в гипсокартон для светодиодной ленты</v>
      </c>
      <c r="E732" t="str">
        <f>IFERROR(INDEX(Работы!$C$2:$C$6000,MATCH($C732,Работы!$A$2:$A$6000,0)),"")</f>
        <v>м.п.</v>
      </c>
      <c r="F732">
        <f>IFERROR(INDEX(Работы!$G$2:$G$6000,MATCH($C732,Работы!$A$2:$A$6000,0)),"")</f>
        <v>0</v>
      </c>
      <c r="G732" t="str">
        <f>IFERROR(INDEX(Работы!$K$2:$K$6000,MATCH($C732,Работы!$A$2:$A$6000,0)),"")</f>
        <v>Погонаж</v>
      </c>
      <c r="H732" s="9"/>
      <c r="I732" s="9"/>
      <c r="J732" s="8" t="str">
        <f>IFERROR(INDEX(Материалы!$B$2:$B$9000,MATCH($I732,Материалы!$A$2:$A$9000,0)),"")</f>
        <v/>
      </c>
      <c r="K732" t="str">
        <f>IF($I732="","",IF($F732=IFERROR(INDEX(Материалы!$G$2:$G$9000,MATCH($I732,Материалы!$A$2:$A$9000,0)),""),"OK","!! не та группа"))</f>
        <v/>
      </c>
      <c r="L732" s="10">
        <f>IFERROR(INDEX(Работы!$H$2:$H$6000,MATCH($C732,Работы!$A$2:$A$6000,0))*(1-ДисконтТендер),0)</f>
        <v>219.24</v>
      </c>
      <c r="M732" s="10">
        <f>IF($I732="",0,IFERROR(INDEX(Материалы!$I$2:$I$9000,MATCH($I732,Материалы!$A$2:$A$9000,0))*IF(INDEX(Материалы!$J$2:$J$9000,MATCH($I732,Материалы!$A$2:$A$9000,0))="USD",КурсUSD,IF(INDEX(Материалы!$J$2:$J$9000,MATCH($I732,Материалы!$A$2:$A$9000,0))="EUR",КурсEUR,1))*INDEX(Материалы!$K$2:$K$9000,MATCH($I732,Материалы!$A$2:$A$9000,0))*(1+IFERROR(INDEX(Работы!$I$2:$I$6000,MATCH($C732,Работы!$A$2:$A$6000,0))/100,0))*(1-ДисконтТендер),0))</f>
        <v>0</v>
      </c>
      <c r="N732" s="10">
        <f t="shared" si="33"/>
        <v>0</v>
      </c>
      <c r="O732" s="10">
        <f t="shared" si="34"/>
        <v>0</v>
      </c>
      <c r="P732" s="10">
        <f t="shared" si="35"/>
        <v>0</v>
      </c>
      <c r="Q732" t="str">
        <f>IFERROR(INDEX(Работы!$J$2:$J$6000,MATCH($C732,Работы!$A$2:$A$6000,0)),"")</f>
        <v>типовая</v>
      </c>
      <c r="R732" t="s">
        <v>92</v>
      </c>
      <c r="T732" t="str">
        <f>IF(AND($P732&gt;0,$R732="да"),MAX($T$1:$T731)+1,"")</f>
        <v/>
      </c>
    </row>
    <row r="733" spans="1:20" x14ac:dyDescent="0.3">
      <c r="A733" t="str">
        <f>IFERROR(INDEX(Работы!$D$2:$D$6000,MATCH($C733,Работы!$A$2:$A$6000,0)),"")</f>
        <v>Р9</v>
      </c>
      <c r="B733" t="str">
        <f>IFERROR(INDEX(Работы!$F$2:$F$6000,MATCH($C733,Работы!$A$2:$A$6000,0)),"")</f>
        <v>2</v>
      </c>
      <c r="C733" t="str">
        <f>IFERROR(INDEX(Работы!$A$2:$A$6000,732),"")</f>
        <v>РАБ.Р9.2.095</v>
      </c>
      <c r="D733" s="8" t="str">
        <f>IFERROR(INDEX(Работы!$B$2:$B$6000,MATCH($C733,Работы!$A$2:$A$6000,0)),"")</f>
        <v>Распред коробка legrand</v>
      </c>
      <c r="E733" t="str">
        <f>IFERROR(INDEX(Работы!$C$2:$C$6000,MATCH($C733,Работы!$A$2:$A$6000,0)),"")</f>
        <v>шт.</v>
      </c>
      <c r="F733">
        <f>IFERROR(INDEX(Работы!$G$2:$G$6000,MATCH($C733,Работы!$A$2:$A$6000,0)),"")</f>
        <v>0</v>
      </c>
      <c r="G733" t="str">
        <f>IFERROR(INDEX(Работы!$K$2:$K$6000,MATCH($C733,Работы!$A$2:$A$6000,0)),"")</f>
        <v>Спецификация</v>
      </c>
      <c r="H733" s="9"/>
      <c r="I733" s="9"/>
      <c r="J733" s="8" t="str">
        <f>IFERROR(INDEX(Материалы!$B$2:$B$9000,MATCH($I733,Материалы!$A$2:$A$9000,0)),"")</f>
        <v/>
      </c>
      <c r="K733" t="str">
        <f>IF($I733="","",IF($F733=IFERROR(INDEX(Материалы!$G$2:$G$9000,MATCH($I733,Материалы!$A$2:$A$9000,0)),""),"OK","!! не та группа"))</f>
        <v/>
      </c>
      <c r="L733" s="10">
        <f>IFERROR(INDEX(Работы!$H$2:$H$6000,MATCH($C733,Работы!$A$2:$A$6000,0))*(1-ДисконтТендер),0)</f>
        <v>291.27999999999997</v>
      </c>
      <c r="M733" s="10">
        <f>IF($I733="",0,IFERROR(INDEX(Материалы!$I$2:$I$9000,MATCH($I733,Материалы!$A$2:$A$9000,0))*IF(INDEX(Материалы!$J$2:$J$9000,MATCH($I733,Материалы!$A$2:$A$9000,0))="USD",КурсUSD,IF(INDEX(Материалы!$J$2:$J$9000,MATCH($I733,Материалы!$A$2:$A$9000,0))="EUR",КурсEUR,1))*INDEX(Материалы!$K$2:$K$9000,MATCH($I733,Материалы!$A$2:$A$9000,0))*(1+IFERROR(INDEX(Работы!$I$2:$I$6000,MATCH($C733,Работы!$A$2:$A$6000,0))/100,0))*(1-ДисконтТендер),0))</f>
        <v>0</v>
      </c>
      <c r="N733" s="10">
        <f t="shared" si="33"/>
        <v>0</v>
      </c>
      <c r="O733" s="10">
        <f t="shared" si="34"/>
        <v>0</v>
      </c>
      <c r="P733" s="10">
        <f t="shared" si="35"/>
        <v>0</v>
      </c>
      <c r="Q733" t="str">
        <f>IFERROR(INDEX(Работы!$J$2:$J$6000,MATCH($C733,Работы!$A$2:$A$6000,0)),"")</f>
        <v>типовая</v>
      </c>
      <c r="R733" t="s">
        <v>92</v>
      </c>
      <c r="T733" t="str">
        <f>IF(AND($P733&gt;0,$R733="да"),MAX($T$1:$T732)+1,"")</f>
        <v/>
      </c>
    </row>
    <row r="734" spans="1:20" ht="28.8" x14ac:dyDescent="0.3">
      <c r="A734" t="str">
        <f>IFERROR(INDEX(Работы!$D$2:$D$6000,MATCH($C734,Работы!$A$2:$A$6000,0)),"")</f>
        <v>Р9</v>
      </c>
      <c r="B734" t="str">
        <f>IFERROR(INDEX(Работы!$F$2:$F$6000,MATCH($C734,Работы!$A$2:$A$6000,0)),"")</f>
        <v>2</v>
      </c>
      <c r="C734" t="str">
        <f>IFERROR(INDEX(Работы!$A$2:$A$6000,733),"")</f>
        <v>РАБ.Р9.2.096</v>
      </c>
      <c r="D734" s="8" t="str">
        <f>IFERROR(INDEX(Работы!$B$2:$B$6000,MATCH($C734,Работы!$A$2:$A$6000,0)),"")</f>
        <v>Установка люстры ARSTID, 3-х рожковая с лампами э/сберег.</v>
      </c>
      <c r="E734" t="str">
        <f>IFERROR(INDEX(Работы!$C$2:$C$6000,MATCH($C734,Работы!$A$2:$A$6000,0)),"")</f>
        <v>шт.</v>
      </c>
      <c r="F734" t="str">
        <f>IFERROR(INDEX(Работы!$G$2:$G$6000,MATCH($C734,Работы!$A$2:$A$6000,0)),"")</f>
        <v>СВЕТ</v>
      </c>
      <c r="G734" t="str">
        <f>IFERROR(INDEX(Работы!$K$2:$K$6000,MATCH($C734,Работы!$A$2:$A$6000,0)),"")</f>
        <v>Спецификация</v>
      </c>
      <c r="H734" s="9"/>
      <c r="I734" s="9"/>
      <c r="J734" s="8" t="str">
        <f>IFERROR(INDEX(Материалы!$B$2:$B$9000,MATCH($I734,Материалы!$A$2:$A$9000,0)),"")</f>
        <v/>
      </c>
      <c r="K734" t="str">
        <f>IF($I734="","",IF($F734=IFERROR(INDEX(Материалы!$G$2:$G$9000,MATCH($I734,Материалы!$A$2:$A$9000,0)),""),"OK","!! не та группа"))</f>
        <v/>
      </c>
      <c r="L734" s="10">
        <f>IFERROR(INDEX(Работы!$H$2:$H$6000,MATCH($C734,Работы!$A$2:$A$6000,0))*(1-ДисконтТендер),0)</f>
        <v>1983.6</v>
      </c>
      <c r="M734" s="10">
        <f>IF($I734="",0,IFERROR(INDEX(Материалы!$I$2:$I$9000,MATCH($I734,Материалы!$A$2:$A$9000,0))*IF(INDEX(Материалы!$J$2:$J$9000,MATCH($I734,Материалы!$A$2:$A$9000,0))="USD",КурсUSD,IF(INDEX(Материалы!$J$2:$J$9000,MATCH($I734,Материалы!$A$2:$A$9000,0))="EUR",КурсEUR,1))*INDEX(Материалы!$K$2:$K$9000,MATCH($I734,Материалы!$A$2:$A$9000,0))*(1+IFERROR(INDEX(Работы!$I$2:$I$6000,MATCH($C734,Работы!$A$2:$A$6000,0))/100,0))*(1-ДисконтТендер),0))</f>
        <v>0</v>
      </c>
      <c r="N734" s="10">
        <f t="shared" si="33"/>
        <v>0</v>
      </c>
      <c r="O734" s="10">
        <f t="shared" si="34"/>
        <v>0</v>
      </c>
      <c r="P734" s="10">
        <f t="shared" si="35"/>
        <v>0</v>
      </c>
      <c r="Q734" t="str">
        <f>IFERROR(INDEX(Работы!$J$2:$J$6000,MATCH($C734,Работы!$A$2:$A$6000,0)),"")</f>
        <v>типовая</v>
      </c>
      <c r="R734" t="s">
        <v>92</v>
      </c>
      <c r="T734" t="str">
        <f>IF(AND($P734&gt;0,$R734="да"),MAX($T$1:$T733)+1,"")</f>
        <v/>
      </c>
    </row>
    <row r="735" spans="1:20" x14ac:dyDescent="0.3">
      <c r="A735" t="str">
        <f>IFERROR(INDEX(Работы!$D$2:$D$6000,MATCH($C735,Работы!$A$2:$A$6000,0)),"")</f>
        <v>Р9</v>
      </c>
      <c r="B735" t="str">
        <f>IFERROR(INDEX(Работы!$F$2:$F$6000,MATCH($C735,Работы!$A$2:$A$6000,0)),"")</f>
        <v>2</v>
      </c>
      <c r="C735" t="str">
        <f>IFERROR(INDEX(Работы!$A$2:$A$6000,734),"")</f>
        <v>РАБ.Р9.2.097</v>
      </c>
      <c r="D735" s="8" t="str">
        <f>IFERROR(INDEX(Работы!$B$2:$B$6000,MATCH($C735,Работы!$A$2:$A$6000,0)),"")</f>
        <v>Подвес LGD-4TR-HANG-2-WH ©</v>
      </c>
      <c r="E735" t="str">
        <f>IFERROR(INDEX(Работы!$C$2:$C$6000,MATCH($C735,Работы!$A$2:$A$6000,0)),"")</f>
        <v>шт.</v>
      </c>
      <c r="F735">
        <f>IFERROR(INDEX(Работы!$G$2:$G$6000,MATCH($C735,Работы!$A$2:$A$6000,0)),"")</f>
        <v>0</v>
      </c>
      <c r="G735" t="str">
        <f>IFERROR(INDEX(Работы!$K$2:$K$6000,MATCH($C735,Работы!$A$2:$A$6000,0)),"")</f>
        <v>Спецификация</v>
      </c>
      <c r="H735" s="9"/>
      <c r="I735" s="9"/>
      <c r="J735" s="8" t="str">
        <f>IFERROR(INDEX(Материалы!$B$2:$B$9000,MATCH($I735,Материалы!$A$2:$A$9000,0)),"")</f>
        <v/>
      </c>
      <c r="K735" t="str">
        <f>IF($I735="","",IF($F735=IFERROR(INDEX(Материалы!$G$2:$G$9000,MATCH($I735,Материалы!$A$2:$A$9000,0)),""),"OK","!! не та группа"))</f>
        <v/>
      </c>
      <c r="L735" s="10">
        <f>IFERROR(INDEX(Работы!$H$2:$H$6000,MATCH($C735,Работы!$A$2:$A$6000,0))*(1-ДисконтТендер),0)</f>
        <v>0</v>
      </c>
      <c r="M735" s="10">
        <f>IF($I735="",0,IFERROR(INDEX(Материалы!$I$2:$I$9000,MATCH($I735,Материалы!$A$2:$A$9000,0))*IF(INDEX(Материалы!$J$2:$J$9000,MATCH($I735,Материалы!$A$2:$A$9000,0))="USD",КурсUSD,IF(INDEX(Материалы!$J$2:$J$9000,MATCH($I735,Материалы!$A$2:$A$9000,0))="EUR",КурсEUR,1))*INDEX(Материалы!$K$2:$K$9000,MATCH($I735,Материалы!$A$2:$A$9000,0))*(1+IFERROR(INDEX(Работы!$I$2:$I$6000,MATCH($C735,Работы!$A$2:$A$6000,0))/100,0))*(1-ДисконтТендер),0))</f>
        <v>0</v>
      </c>
      <c r="N735" s="10">
        <f t="shared" si="33"/>
        <v>0</v>
      </c>
      <c r="O735" s="10">
        <f t="shared" si="34"/>
        <v>0</v>
      </c>
      <c r="P735" s="10">
        <f t="shared" si="35"/>
        <v>0</v>
      </c>
      <c r="Q735" t="str">
        <f>IFERROR(INDEX(Работы!$J$2:$J$6000,MATCH($C735,Работы!$A$2:$A$6000,0)),"")</f>
        <v>типовая</v>
      </c>
      <c r="R735" t="s">
        <v>92</v>
      </c>
      <c r="T735" t="str">
        <f>IF(AND($P735&gt;0,$R735="да"),MAX($T$1:$T734)+1,"")</f>
        <v/>
      </c>
    </row>
    <row r="736" spans="1:20" x14ac:dyDescent="0.3">
      <c r="A736" t="str">
        <f>IFERROR(INDEX(Работы!$D$2:$D$6000,MATCH($C736,Работы!$A$2:$A$6000,0)),"")</f>
        <v>Р9</v>
      </c>
      <c r="B736" t="str">
        <f>IFERROR(INDEX(Работы!$F$2:$F$6000,MATCH($C736,Работы!$A$2:$A$6000,0)),"")</f>
        <v>2</v>
      </c>
      <c r="C736" t="str">
        <f>IFERROR(INDEX(Работы!$A$2:$A$6000,735),"")</f>
        <v>РАБ.Р9.2.098</v>
      </c>
      <c r="D736" s="8" t="str">
        <f>IFERROR(INDEX(Работы!$B$2:$B$6000,MATCH($C736,Работы!$A$2:$A$6000,0)),"")</f>
        <v>Коннектор прямой LGD-4TR-CON-LONG-WH</v>
      </c>
      <c r="E736" t="str">
        <f>IFERROR(INDEX(Работы!$C$2:$C$6000,MATCH($C736,Работы!$A$2:$A$6000,0)),"")</f>
        <v>шт.</v>
      </c>
      <c r="F736">
        <f>IFERROR(INDEX(Работы!$G$2:$G$6000,MATCH($C736,Работы!$A$2:$A$6000,0)),"")</f>
        <v>0</v>
      </c>
      <c r="G736" t="str">
        <f>IFERROR(INDEX(Работы!$K$2:$K$6000,MATCH($C736,Работы!$A$2:$A$6000,0)),"")</f>
        <v>Спецификация</v>
      </c>
      <c r="H736" s="9"/>
      <c r="I736" s="9"/>
      <c r="J736" s="8" t="str">
        <f>IFERROR(INDEX(Материалы!$B$2:$B$9000,MATCH($I736,Материалы!$A$2:$A$9000,0)),"")</f>
        <v/>
      </c>
      <c r="K736" t="str">
        <f>IF($I736="","",IF($F736=IFERROR(INDEX(Материалы!$G$2:$G$9000,MATCH($I736,Материалы!$A$2:$A$9000,0)),""),"OK","!! не та группа"))</f>
        <v/>
      </c>
      <c r="L736" s="10">
        <f>IFERROR(INDEX(Работы!$H$2:$H$6000,MATCH($C736,Работы!$A$2:$A$6000,0))*(1-ДисконтТендер),0)</f>
        <v>0</v>
      </c>
      <c r="M736" s="10">
        <f>IF($I736="",0,IFERROR(INDEX(Материалы!$I$2:$I$9000,MATCH($I736,Материалы!$A$2:$A$9000,0))*IF(INDEX(Материалы!$J$2:$J$9000,MATCH($I736,Материалы!$A$2:$A$9000,0))="USD",КурсUSD,IF(INDEX(Материалы!$J$2:$J$9000,MATCH($I736,Материалы!$A$2:$A$9000,0))="EUR",КурсEUR,1))*INDEX(Материалы!$K$2:$K$9000,MATCH($I736,Материалы!$A$2:$A$9000,0))*(1+IFERROR(INDEX(Работы!$I$2:$I$6000,MATCH($C736,Работы!$A$2:$A$6000,0))/100,0))*(1-ДисконтТендер),0))</f>
        <v>0</v>
      </c>
      <c r="N736" s="10">
        <f t="shared" si="33"/>
        <v>0</v>
      </c>
      <c r="O736" s="10">
        <f t="shared" si="34"/>
        <v>0</v>
      </c>
      <c r="P736" s="10">
        <f t="shared" si="35"/>
        <v>0</v>
      </c>
      <c r="Q736" t="str">
        <f>IFERROR(INDEX(Работы!$J$2:$J$6000,MATCH($C736,Работы!$A$2:$A$6000,0)),"")</f>
        <v>типовая</v>
      </c>
      <c r="R736" t="s">
        <v>92</v>
      </c>
      <c r="T736" t="str">
        <f>IF(AND($P736&gt;0,$R736="да"),MAX($T$1:$T735)+1,"")</f>
        <v/>
      </c>
    </row>
    <row r="737" spans="1:20" ht="28.8" x14ac:dyDescent="0.3">
      <c r="A737" t="str">
        <f>IFERROR(INDEX(Работы!$D$2:$D$6000,MATCH($C737,Работы!$A$2:$A$6000,0)),"")</f>
        <v>Р9</v>
      </c>
      <c r="B737" t="str">
        <f>IFERROR(INDEX(Работы!$F$2:$F$6000,MATCH($C737,Работы!$A$2:$A$6000,0)),"")</f>
        <v>2</v>
      </c>
      <c r="C737" t="str">
        <f>IFERROR(INDEX(Работы!$A$2:$A$6000,736),"")</f>
        <v>РАБ.Р9.2.099</v>
      </c>
      <c r="D737" s="8" t="str">
        <f>IFERROR(INDEX(Работы!$B$2:$B$6000,MATCH($C737,Работы!$A$2:$A$6000,0)),"")</f>
        <v>Трек LGD-4TR-TRACK-3000-WH-M КРАСНЫЙ RAL3020</v>
      </c>
      <c r="E737" t="str">
        <f>IFERROR(INDEX(Работы!$C$2:$C$6000,MATCH($C737,Работы!$A$2:$A$6000,0)),"")</f>
        <v>шт.</v>
      </c>
      <c r="F737">
        <f>IFERROR(INDEX(Работы!$G$2:$G$6000,MATCH($C737,Работы!$A$2:$A$6000,0)),"")</f>
        <v>0</v>
      </c>
      <c r="G737" t="str">
        <f>IFERROR(INDEX(Работы!$K$2:$K$6000,MATCH($C737,Работы!$A$2:$A$6000,0)),"")</f>
        <v>Спецификация</v>
      </c>
      <c r="H737" s="9"/>
      <c r="I737" s="9"/>
      <c r="J737" s="8" t="str">
        <f>IFERROR(INDEX(Материалы!$B$2:$B$9000,MATCH($I737,Материалы!$A$2:$A$9000,0)),"")</f>
        <v/>
      </c>
      <c r="K737" t="str">
        <f>IF($I737="","",IF($F737=IFERROR(INDEX(Материалы!$G$2:$G$9000,MATCH($I737,Материалы!$A$2:$A$9000,0)),""),"OK","!! не та группа"))</f>
        <v/>
      </c>
      <c r="L737" s="10">
        <f>IFERROR(INDEX(Работы!$H$2:$H$6000,MATCH($C737,Работы!$A$2:$A$6000,0))*(1-ДисконтТендер),0)</f>
        <v>3182.38</v>
      </c>
      <c r="M737" s="10">
        <f>IF($I737="",0,IFERROR(INDEX(Материалы!$I$2:$I$9000,MATCH($I737,Материалы!$A$2:$A$9000,0))*IF(INDEX(Материалы!$J$2:$J$9000,MATCH($I737,Материалы!$A$2:$A$9000,0))="USD",КурсUSD,IF(INDEX(Материалы!$J$2:$J$9000,MATCH($I737,Материалы!$A$2:$A$9000,0))="EUR",КурсEUR,1))*INDEX(Материалы!$K$2:$K$9000,MATCH($I737,Материалы!$A$2:$A$9000,0))*(1+IFERROR(INDEX(Работы!$I$2:$I$6000,MATCH($C737,Работы!$A$2:$A$6000,0))/100,0))*(1-ДисконтТендер),0))</f>
        <v>0</v>
      </c>
      <c r="N737" s="10">
        <f t="shared" si="33"/>
        <v>0</v>
      </c>
      <c r="O737" s="10">
        <f t="shared" si="34"/>
        <v>0</v>
      </c>
      <c r="P737" s="10">
        <f t="shared" si="35"/>
        <v>0</v>
      </c>
      <c r="Q737" t="str">
        <f>IFERROR(INDEX(Работы!$J$2:$J$6000,MATCH($C737,Работы!$A$2:$A$6000,0)),"")</f>
        <v>типовая</v>
      </c>
      <c r="R737" t="s">
        <v>92</v>
      </c>
      <c r="T737" t="str">
        <f>IF(AND($P737&gt;0,$R737="да"),MAX($T$1:$T736)+1,"")</f>
        <v/>
      </c>
    </row>
    <row r="738" spans="1:20" ht="28.8" x14ac:dyDescent="0.3">
      <c r="A738" t="str">
        <f>IFERROR(INDEX(Работы!$D$2:$D$6000,MATCH($C738,Работы!$A$2:$A$6000,0)),"")</f>
        <v>Р9</v>
      </c>
      <c r="B738" t="str">
        <f>IFERROR(INDEX(Работы!$F$2:$F$6000,MATCH($C738,Работы!$A$2:$A$6000,0)),"")</f>
        <v>2</v>
      </c>
      <c r="C738" t="str">
        <f>IFERROR(INDEX(Работы!$A$2:$A$6000,737),"")</f>
        <v>РАБ.Р9.2.100</v>
      </c>
      <c r="D738" s="8" t="str">
        <f>IFERROR(INDEX(Работы!$B$2:$B$6000,MATCH($C738,Работы!$A$2:$A$6000,0)),"")</f>
        <v>Трек LGD-4TR-TRACK-2000-WH-M КРАСНЫЙ RAL3020</v>
      </c>
      <c r="E738" t="str">
        <f>IFERROR(INDEX(Работы!$C$2:$C$6000,MATCH($C738,Работы!$A$2:$A$6000,0)),"")</f>
        <v>шт.</v>
      </c>
      <c r="F738">
        <f>IFERROR(INDEX(Работы!$G$2:$G$6000,MATCH($C738,Работы!$A$2:$A$6000,0)),"")</f>
        <v>0</v>
      </c>
      <c r="G738" t="str">
        <f>IFERROR(INDEX(Работы!$K$2:$K$6000,MATCH($C738,Работы!$A$2:$A$6000,0)),"")</f>
        <v>Спецификация</v>
      </c>
      <c r="H738" s="9"/>
      <c r="I738" s="9"/>
      <c r="J738" s="8" t="str">
        <f>IFERROR(INDEX(Материалы!$B$2:$B$9000,MATCH($I738,Материалы!$A$2:$A$9000,0)),"")</f>
        <v/>
      </c>
      <c r="K738" t="str">
        <f>IF($I738="","",IF($F738=IFERROR(INDEX(Материалы!$G$2:$G$9000,MATCH($I738,Материалы!$A$2:$A$9000,0)),""),"OK","!! не та группа"))</f>
        <v/>
      </c>
      <c r="L738" s="10">
        <f>IFERROR(INDEX(Работы!$H$2:$H$6000,MATCH($C738,Работы!$A$2:$A$6000,0))*(1-ДисконтТендер),0)</f>
        <v>2386.79</v>
      </c>
      <c r="M738" s="10">
        <f>IF($I738="",0,IFERROR(INDEX(Материалы!$I$2:$I$9000,MATCH($I738,Материалы!$A$2:$A$9000,0))*IF(INDEX(Материалы!$J$2:$J$9000,MATCH($I738,Материалы!$A$2:$A$9000,0))="USD",КурсUSD,IF(INDEX(Материалы!$J$2:$J$9000,MATCH($I738,Материалы!$A$2:$A$9000,0))="EUR",КурсEUR,1))*INDEX(Материалы!$K$2:$K$9000,MATCH($I738,Материалы!$A$2:$A$9000,0))*(1+IFERROR(INDEX(Работы!$I$2:$I$6000,MATCH($C738,Работы!$A$2:$A$6000,0))/100,0))*(1-ДисконтТендер),0))</f>
        <v>0</v>
      </c>
      <c r="N738" s="10">
        <f t="shared" si="33"/>
        <v>0</v>
      </c>
      <c r="O738" s="10">
        <f t="shared" si="34"/>
        <v>0</v>
      </c>
      <c r="P738" s="10">
        <f t="shared" si="35"/>
        <v>0</v>
      </c>
      <c r="Q738" t="str">
        <f>IFERROR(INDEX(Работы!$J$2:$J$6000,MATCH($C738,Работы!$A$2:$A$6000,0)),"")</f>
        <v>типовая</v>
      </c>
      <c r="R738" t="s">
        <v>92</v>
      </c>
      <c r="T738" t="str">
        <f>IF(AND($P738&gt;0,$R738="да"),MAX($T$1:$T737)+1,"")</f>
        <v/>
      </c>
    </row>
    <row r="739" spans="1:20" x14ac:dyDescent="0.3">
      <c r="A739" t="str">
        <f>IFERROR(INDEX(Работы!$D$2:$D$6000,MATCH($C739,Работы!$A$2:$A$6000,0)),"")</f>
        <v>Р9</v>
      </c>
      <c r="B739" t="str">
        <f>IFERROR(INDEX(Работы!$F$2:$F$6000,MATCH($C739,Работы!$A$2:$A$6000,0)),"")</f>
        <v>2</v>
      </c>
      <c r="C739" t="str">
        <f>IFERROR(INDEX(Работы!$A$2:$A$6000,738),"")</f>
        <v>РАБ.Р9.2.101</v>
      </c>
      <c r="D739" s="8" t="str">
        <f>IFERROR(INDEX(Работы!$B$2:$B$6000,MATCH($C739,Работы!$A$2:$A$6000,0)),"")</f>
        <v>Коннектор питания LGD-4TR-CON-POWER-L-WH</v>
      </c>
      <c r="E739" t="str">
        <f>IFERROR(INDEX(Работы!$C$2:$C$6000,MATCH($C739,Работы!$A$2:$A$6000,0)),"")</f>
        <v>шт.</v>
      </c>
      <c r="F739">
        <f>IFERROR(INDEX(Работы!$G$2:$G$6000,MATCH($C739,Работы!$A$2:$A$6000,0)),"")</f>
        <v>0</v>
      </c>
      <c r="G739" t="str">
        <f>IFERROR(INDEX(Работы!$K$2:$K$6000,MATCH($C739,Работы!$A$2:$A$6000,0)),"")</f>
        <v>Спецификация</v>
      </c>
      <c r="H739" s="9"/>
      <c r="I739" s="9"/>
      <c r="J739" s="8" t="str">
        <f>IFERROR(INDEX(Материалы!$B$2:$B$9000,MATCH($I739,Материалы!$A$2:$A$9000,0)),"")</f>
        <v/>
      </c>
      <c r="K739" t="str">
        <f>IF($I739="","",IF($F739=IFERROR(INDEX(Материалы!$G$2:$G$9000,MATCH($I739,Материалы!$A$2:$A$9000,0)),""),"OK","!! не та группа"))</f>
        <v/>
      </c>
      <c r="L739" s="10">
        <f>IFERROR(INDEX(Работы!$H$2:$H$6000,MATCH($C739,Работы!$A$2:$A$6000,0))*(1-ДисконтТендер),0)</f>
        <v>0</v>
      </c>
      <c r="M739" s="10">
        <f>IF($I739="",0,IFERROR(INDEX(Материалы!$I$2:$I$9000,MATCH($I739,Материалы!$A$2:$A$9000,0))*IF(INDEX(Материалы!$J$2:$J$9000,MATCH($I739,Материалы!$A$2:$A$9000,0))="USD",КурсUSD,IF(INDEX(Материалы!$J$2:$J$9000,MATCH($I739,Материалы!$A$2:$A$9000,0))="EUR",КурсEUR,1))*INDEX(Материалы!$K$2:$K$9000,MATCH($I739,Материалы!$A$2:$A$9000,0))*(1+IFERROR(INDEX(Работы!$I$2:$I$6000,MATCH($C739,Работы!$A$2:$A$6000,0))/100,0))*(1-ДисконтТендер),0))</f>
        <v>0</v>
      </c>
      <c r="N739" s="10">
        <f t="shared" si="33"/>
        <v>0</v>
      </c>
      <c r="O739" s="10">
        <f t="shared" si="34"/>
        <v>0</v>
      </c>
      <c r="P739" s="10">
        <f t="shared" si="35"/>
        <v>0</v>
      </c>
      <c r="Q739" t="str">
        <f>IFERROR(INDEX(Работы!$J$2:$J$6000,MATCH($C739,Работы!$A$2:$A$6000,0)),"")</f>
        <v>типовая</v>
      </c>
      <c r="R739" t="s">
        <v>92</v>
      </c>
      <c r="T739" t="str">
        <f>IF(AND($P739&gt;0,$R739="да"),MAX($T$1:$T738)+1,"")</f>
        <v/>
      </c>
    </row>
    <row r="740" spans="1:20" x14ac:dyDescent="0.3">
      <c r="A740" t="str">
        <f>IFERROR(INDEX(Работы!$D$2:$D$6000,MATCH($C740,Работы!$A$2:$A$6000,0)),"")</f>
        <v>Р9</v>
      </c>
      <c r="B740" t="str">
        <f>IFERROR(INDEX(Работы!$F$2:$F$6000,MATCH($C740,Работы!$A$2:$A$6000,0)),"")</f>
        <v>2</v>
      </c>
      <c r="C740" t="str">
        <f>IFERROR(INDEX(Работы!$A$2:$A$6000,739),"")</f>
        <v>РАБ.Р9.2.102</v>
      </c>
      <c r="D740" s="8" t="str">
        <f>IFERROR(INDEX(Работы!$B$2:$B$6000,MATCH($C740,Работы!$A$2:$A$6000,0)),"")</f>
        <v>Заглушка LGD-4TR-CAP-WH</v>
      </c>
      <c r="E740" t="str">
        <f>IFERROR(INDEX(Работы!$C$2:$C$6000,MATCH($C740,Работы!$A$2:$A$6000,0)),"")</f>
        <v>шт.</v>
      </c>
      <c r="F740">
        <f>IFERROR(INDEX(Работы!$G$2:$G$6000,MATCH($C740,Работы!$A$2:$A$6000,0)),"")</f>
        <v>0</v>
      </c>
      <c r="G740" t="str">
        <f>IFERROR(INDEX(Работы!$K$2:$K$6000,MATCH($C740,Работы!$A$2:$A$6000,0)),"")</f>
        <v>Спецификация</v>
      </c>
      <c r="H740" s="9"/>
      <c r="I740" s="9"/>
      <c r="J740" s="8" t="str">
        <f>IFERROR(INDEX(Материалы!$B$2:$B$9000,MATCH($I740,Материалы!$A$2:$A$9000,0)),"")</f>
        <v/>
      </c>
      <c r="K740" t="str">
        <f>IF($I740="","",IF($F740=IFERROR(INDEX(Материалы!$G$2:$G$9000,MATCH($I740,Материалы!$A$2:$A$9000,0)),""),"OK","!! не та группа"))</f>
        <v/>
      </c>
      <c r="L740" s="10">
        <f>IFERROR(INDEX(Работы!$H$2:$H$6000,MATCH($C740,Работы!$A$2:$A$6000,0))*(1-ДисконтТендер),0)</f>
        <v>0</v>
      </c>
      <c r="M740" s="10">
        <f>IF($I740="",0,IFERROR(INDEX(Материалы!$I$2:$I$9000,MATCH($I740,Материалы!$A$2:$A$9000,0))*IF(INDEX(Материалы!$J$2:$J$9000,MATCH($I740,Материалы!$A$2:$A$9000,0))="USD",КурсUSD,IF(INDEX(Материалы!$J$2:$J$9000,MATCH($I740,Материалы!$A$2:$A$9000,0))="EUR",КурсEUR,1))*INDEX(Материалы!$K$2:$K$9000,MATCH($I740,Материалы!$A$2:$A$9000,0))*(1+IFERROR(INDEX(Работы!$I$2:$I$6000,MATCH($C740,Работы!$A$2:$A$6000,0))/100,0))*(1-ДисконтТендер),0))</f>
        <v>0</v>
      </c>
      <c r="N740" s="10">
        <f t="shared" si="33"/>
        <v>0</v>
      </c>
      <c r="O740" s="10">
        <f t="shared" si="34"/>
        <v>0</v>
      </c>
      <c r="P740" s="10">
        <f t="shared" si="35"/>
        <v>0</v>
      </c>
      <c r="Q740" t="str">
        <f>IFERROR(INDEX(Работы!$J$2:$J$6000,MATCH($C740,Работы!$A$2:$A$6000,0)),"")</f>
        <v>типовая</v>
      </c>
      <c r="R740" t="s">
        <v>92</v>
      </c>
      <c r="T740" t="str">
        <f>IF(AND($P740&gt;0,$R740="да"),MAX($T$1:$T739)+1,"")</f>
        <v/>
      </c>
    </row>
    <row r="741" spans="1:20" x14ac:dyDescent="0.3">
      <c r="A741" t="str">
        <f>IFERROR(INDEX(Работы!$D$2:$D$6000,MATCH($C741,Работы!$A$2:$A$6000,0)),"")</f>
        <v>Р9</v>
      </c>
      <c r="B741" t="str">
        <f>IFERROR(INDEX(Работы!$F$2:$F$6000,MATCH($C741,Работы!$A$2:$A$6000,0)),"")</f>
        <v>2</v>
      </c>
      <c r="C741" t="str">
        <f>IFERROR(INDEX(Работы!$A$2:$A$6000,740),"")</f>
        <v>РАБ.Р9.2.103</v>
      </c>
      <c r="D741" s="8" t="str">
        <f>IFERROR(INDEX(Работы!$B$2:$B$6000,MATCH($C741,Работы!$A$2:$A$6000,0)),"")</f>
        <v>Коннектор внутренний LGD-4TR-CON-MINI-WH ©</v>
      </c>
      <c r="E741" t="str">
        <f>IFERROR(INDEX(Работы!$C$2:$C$6000,MATCH($C741,Работы!$A$2:$A$6000,0)),"")</f>
        <v>шт.</v>
      </c>
      <c r="F741">
        <f>IFERROR(INDEX(Работы!$G$2:$G$6000,MATCH($C741,Работы!$A$2:$A$6000,0)),"")</f>
        <v>0</v>
      </c>
      <c r="G741" t="str">
        <f>IFERROR(INDEX(Работы!$K$2:$K$6000,MATCH($C741,Работы!$A$2:$A$6000,0)),"")</f>
        <v>Спецификация</v>
      </c>
      <c r="H741" s="9"/>
      <c r="I741" s="9"/>
      <c r="J741" s="8" t="str">
        <f>IFERROR(INDEX(Материалы!$B$2:$B$9000,MATCH($I741,Материалы!$A$2:$A$9000,0)),"")</f>
        <v/>
      </c>
      <c r="K741" t="str">
        <f>IF($I741="","",IF($F741=IFERROR(INDEX(Материалы!$G$2:$G$9000,MATCH($I741,Материалы!$A$2:$A$9000,0)),""),"OK","!! не та группа"))</f>
        <v/>
      </c>
      <c r="L741" s="10">
        <f>IFERROR(INDEX(Работы!$H$2:$H$6000,MATCH($C741,Работы!$A$2:$A$6000,0))*(1-ДисконтТендер),0)</f>
        <v>0</v>
      </c>
      <c r="M741" s="10">
        <f>IF($I741="",0,IFERROR(INDEX(Материалы!$I$2:$I$9000,MATCH($I741,Материалы!$A$2:$A$9000,0))*IF(INDEX(Материалы!$J$2:$J$9000,MATCH($I741,Материалы!$A$2:$A$9000,0))="USD",КурсUSD,IF(INDEX(Материалы!$J$2:$J$9000,MATCH($I741,Материалы!$A$2:$A$9000,0))="EUR",КурсEUR,1))*INDEX(Материалы!$K$2:$K$9000,MATCH($I741,Материалы!$A$2:$A$9000,0))*(1+IFERROR(INDEX(Работы!$I$2:$I$6000,MATCH($C741,Работы!$A$2:$A$6000,0))/100,0))*(1-ДисконтТендер),0))</f>
        <v>0</v>
      </c>
      <c r="N741" s="10">
        <f t="shared" si="33"/>
        <v>0</v>
      </c>
      <c r="O741" s="10">
        <f t="shared" si="34"/>
        <v>0</v>
      </c>
      <c r="P741" s="10">
        <f t="shared" si="35"/>
        <v>0</v>
      </c>
      <c r="Q741" t="str">
        <f>IFERROR(INDEX(Работы!$J$2:$J$6000,MATCH($C741,Работы!$A$2:$A$6000,0)),"")</f>
        <v>типовая</v>
      </c>
      <c r="R741" t="s">
        <v>92</v>
      </c>
      <c r="T741" t="str">
        <f>IF(AND($P741&gt;0,$R741="да"),MAX($T$1:$T740)+1,"")</f>
        <v/>
      </c>
    </row>
    <row r="742" spans="1:20" x14ac:dyDescent="0.3">
      <c r="A742" t="str">
        <f>IFERROR(INDEX(Работы!$D$2:$D$6000,MATCH($C742,Работы!$A$2:$A$6000,0)),"")</f>
        <v>Р9</v>
      </c>
      <c r="B742" t="str">
        <f>IFERROR(INDEX(Работы!$F$2:$F$6000,MATCH($C742,Работы!$A$2:$A$6000,0)),"")</f>
        <v>2</v>
      </c>
      <c r="C742" t="str">
        <f>IFERROR(INDEX(Работы!$A$2:$A$6000,741),"")</f>
        <v>РАБ.Р9.2.104</v>
      </c>
      <c r="D742" s="8" t="str">
        <f>IFERROR(INDEX(Работы!$B$2:$B$6000,MATCH($C742,Работы!$A$2:$A$6000,0)),"")</f>
        <v>Зажим LGD-4TR-CLIP-WH ©</v>
      </c>
      <c r="E742" t="str">
        <f>IFERROR(INDEX(Работы!$C$2:$C$6000,MATCH($C742,Работы!$A$2:$A$6000,0)),"")</f>
        <v>шт.</v>
      </c>
      <c r="F742">
        <f>IFERROR(INDEX(Работы!$G$2:$G$6000,MATCH($C742,Работы!$A$2:$A$6000,0)),"")</f>
        <v>0</v>
      </c>
      <c r="G742" t="str">
        <f>IFERROR(INDEX(Работы!$K$2:$K$6000,MATCH($C742,Работы!$A$2:$A$6000,0)),"")</f>
        <v>Спецификация</v>
      </c>
      <c r="H742" s="9"/>
      <c r="I742" s="9"/>
      <c r="J742" s="8" t="str">
        <f>IFERROR(INDEX(Материалы!$B$2:$B$9000,MATCH($I742,Материалы!$A$2:$A$9000,0)),"")</f>
        <v/>
      </c>
      <c r="K742" t="str">
        <f>IF($I742="","",IF($F742=IFERROR(INDEX(Материалы!$G$2:$G$9000,MATCH($I742,Материалы!$A$2:$A$9000,0)),""),"OK","!! не та группа"))</f>
        <v/>
      </c>
      <c r="L742" s="10">
        <f>IFERROR(INDEX(Работы!$H$2:$H$6000,MATCH($C742,Работы!$A$2:$A$6000,0))*(1-ДисконтТендер),0)</f>
        <v>0</v>
      </c>
      <c r="M742" s="10">
        <f>IF($I742="",0,IFERROR(INDEX(Материалы!$I$2:$I$9000,MATCH($I742,Материалы!$A$2:$A$9000,0))*IF(INDEX(Материалы!$J$2:$J$9000,MATCH($I742,Материалы!$A$2:$A$9000,0))="USD",КурсUSD,IF(INDEX(Материалы!$J$2:$J$9000,MATCH($I742,Материалы!$A$2:$A$9000,0))="EUR",КурсEUR,1))*INDEX(Материалы!$K$2:$K$9000,MATCH($I742,Материалы!$A$2:$A$9000,0))*(1+IFERROR(INDEX(Работы!$I$2:$I$6000,MATCH($C742,Работы!$A$2:$A$6000,0))/100,0))*(1-ДисконтТендер),0))</f>
        <v>0</v>
      </c>
      <c r="N742" s="10">
        <f t="shared" si="33"/>
        <v>0</v>
      </c>
      <c r="O742" s="10">
        <f t="shared" si="34"/>
        <v>0</v>
      </c>
      <c r="P742" s="10">
        <f t="shared" si="35"/>
        <v>0</v>
      </c>
      <c r="Q742" t="str">
        <f>IFERROR(INDEX(Работы!$J$2:$J$6000,MATCH($C742,Работы!$A$2:$A$6000,0)),"")</f>
        <v>типовая</v>
      </c>
      <c r="R742" t="s">
        <v>92</v>
      </c>
      <c r="T742" t="str">
        <f>IF(AND($P742&gt;0,$R742="да"),MAX($T$1:$T741)+1,"")</f>
        <v/>
      </c>
    </row>
    <row r="743" spans="1:20" x14ac:dyDescent="0.3">
      <c r="A743" t="str">
        <f>IFERROR(INDEX(Работы!$D$2:$D$6000,MATCH($C743,Работы!$A$2:$A$6000,0)),"")</f>
        <v>Р9</v>
      </c>
      <c r="B743" t="str">
        <f>IFERROR(INDEX(Работы!$F$2:$F$6000,MATCH($C743,Работы!$A$2:$A$6000,0)),"")</f>
        <v>2</v>
      </c>
      <c r="C743" t="str">
        <f>IFERROR(INDEX(Работы!$A$2:$A$6000,742),"")</f>
        <v>РАБ.Р9.2.105</v>
      </c>
      <c r="D743" s="8" t="str">
        <f>IFERROR(INDEX(Работы!$B$2:$B$6000,MATCH($C743,Работы!$A$2:$A$6000,0)),"")</f>
        <v>Монтаж светильника</v>
      </c>
      <c r="E743" t="str">
        <f>IFERROR(INDEX(Работы!$C$2:$C$6000,MATCH($C743,Работы!$A$2:$A$6000,0)),"")</f>
        <v>шт.</v>
      </c>
      <c r="F743" t="str">
        <f>IFERROR(INDEX(Работы!$G$2:$G$6000,MATCH($C743,Работы!$A$2:$A$6000,0)),"")</f>
        <v>СВЕТ</v>
      </c>
      <c r="G743" t="str">
        <f>IFERROR(INDEX(Работы!$K$2:$K$6000,MATCH($C743,Работы!$A$2:$A$6000,0)),"")</f>
        <v>Спецификация</v>
      </c>
      <c r="H743" s="9"/>
      <c r="I743" s="9"/>
      <c r="J743" s="8" t="str">
        <f>IFERROR(INDEX(Материалы!$B$2:$B$9000,MATCH($I743,Материалы!$A$2:$A$9000,0)),"")</f>
        <v/>
      </c>
      <c r="K743" t="str">
        <f>IF($I743="","",IF($F743=IFERROR(INDEX(Материалы!$G$2:$G$9000,MATCH($I743,Материалы!$A$2:$A$9000,0)),""),"OK","!! не та группа"))</f>
        <v/>
      </c>
      <c r="L743" s="10">
        <f>IFERROR(INDEX(Работы!$H$2:$H$6000,MATCH($C743,Работы!$A$2:$A$6000,0))*(1-ДисконтТендер),0)</f>
        <v>2000</v>
      </c>
      <c r="M743" s="10">
        <f>IF($I743="",0,IFERROR(INDEX(Материалы!$I$2:$I$9000,MATCH($I743,Материалы!$A$2:$A$9000,0))*IF(INDEX(Материалы!$J$2:$J$9000,MATCH($I743,Материалы!$A$2:$A$9000,0))="USD",КурсUSD,IF(INDEX(Материалы!$J$2:$J$9000,MATCH($I743,Материалы!$A$2:$A$9000,0))="EUR",КурсEUR,1))*INDEX(Материалы!$K$2:$K$9000,MATCH($I743,Материалы!$A$2:$A$9000,0))*(1+IFERROR(INDEX(Работы!$I$2:$I$6000,MATCH($C743,Работы!$A$2:$A$6000,0))/100,0))*(1-ДисконтТендер),0))</f>
        <v>0</v>
      </c>
      <c r="N743" s="10">
        <f t="shared" si="33"/>
        <v>0</v>
      </c>
      <c r="O743" s="10">
        <f t="shared" si="34"/>
        <v>0</v>
      </c>
      <c r="P743" s="10">
        <f t="shared" si="35"/>
        <v>0</v>
      </c>
      <c r="Q743" t="str">
        <f>IFERROR(INDEX(Работы!$J$2:$J$6000,MATCH($C743,Работы!$A$2:$A$6000,0)),"")</f>
        <v>типовая</v>
      </c>
      <c r="R743" t="s">
        <v>92</v>
      </c>
      <c r="T743" t="str">
        <f>IF(AND($P743&gt;0,$R743="да"),MAX($T$1:$T742)+1,"")</f>
        <v/>
      </c>
    </row>
    <row r="744" spans="1:20" x14ac:dyDescent="0.3">
      <c r="A744" t="str">
        <f>IFERROR(INDEX(Работы!$D$2:$D$6000,MATCH($C744,Работы!$A$2:$A$6000,0)),"")</f>
        <v>Р9</v>
      </c>
      <c r="B744" t="str">
        <f>IFERROR(INDEX(Работы!$F$2:$F$6000,MATCH($C744,Работы!$A$2:$A$6000,0)),"")</f>
        <v>2</v>
      </c>
      <c r="C744" t="str">
        <f>IFERROR(INDEX(Работы!$A$2:$A$6000,743),"")</f>
        <v>РАБ.Р9.2.106</v>
      </c>
      <c r="D744" s="8" t="str">
        <f>IFERROR(INDEX(Работы!$B$2:$B$6000,MATCH($C744,Работы!$A$2:$A$6000,0)),"")</f>
        <v>Монтаж светильника</v>
      </c>
      <c r="E744" t="str">
        <f>IFERROR(INDEX(Работы!$C$2:$C$6000,MATCH($C744,Работы!$A$2:$A$6000,0)),"")</f>
        <v>шт.</v>
      </c>
      <c r="F744" t="str">
        <f>IFERROR(INDEX(Работы!$G$2:$G$6000,MATCH($C744,Работы!$A$2:$A$6000,0)),"")</f>
        <v>СВЕТ</v>
      </c>
      <c r="G744" t="str">
        <f>IFERROR(INDEX(Работы!$K$2:$K$6000,MATCH($C744,Работы!$A$2:$A$6000,0)),"")</f>
        <v>Спецификация</v>
      </c>
      <c r="H744" s="9"/>
      <c r="I744" s="9"/>
      <c r="J744" s="8" t="str">
        <f>IFERROR(INDEX(Материалы!$B$2:$B$9000,MATCH($I744,Материалы!$A$2:$A$9000,0)),"")</f>
        <v/>
      </c>
      <c r="K744" t="str">
        <f>IF($I744="","",IF($F744=IFERROR(INDEX(Материалы!$G$2:$G$9000,MATCH($I744,Материалы!$A$2:$A$9000,0)),""),"OK","!! не та группа"))</f>
        <v/>
      </c>
      <c r="L744" s="10">
        <f>IFERROR(INDEX(Работы!$H$2:$H$6000,MATCH($C744,Работы!$A$2:$A$6000,0))*(1-ДисконтТендер),0)</f>
        <v>5225</v>
      </c>
      <c r="M744" s="10">
        <f>IF($I744="",0,IFERROR(INDEX(Материалы!$I$2:$I$9000,MATCH($I744,Материалы!$A$2:$A$9000,0))*IF(INDEX(Материалы!$J$2:$J$9000,MATCH($I744,Материалы!$A$2:$A$9000,0))="USD",КурсUSD,IF(INDEX(Материалы!$J$2:$J$9000,MATCH($I744,Материалы!$A$2:$A$9000,0))="EUR",КурсEUR,1))*INDEX(Материалы!$K$2:$K$9000,MATCH($I744,Материалы!$A$2:$A$9000,0))*(1+IFERROR(INDEX(Работы!$I$2:$I$6000,MATCH($C744,Работы!$A$2:$A$6000,0))/100,0))*(1-ДисконтТендер),0))</f>
        <v>0</v>
      </c>
      <c r="N744" s="10">
        <f t="shared" si="33"/>
        <v>0</v>
      </c>
      <c r="O744" s="10">
        <f t="shared" si="34"/>
        <v>0</v>
      </c>
      <c r="P744" s="10">
        <f t="shared" si="35"/>
        <v>0</v>
      </c>
      <c r="Q744" t="str">
        <f>IFERROR(INDEX(Работы!$J$2:$J$6000,MATCH($C744,Работы!$A$2:$A$6000,0)),"")</f>
        <v>типовая</v>
      </c>
      <c r="R744" t="s">
        <v>92</v>
      </c>
      <c r="T744" t="str">
        <f>IF(AND($P744&gt;0,$R744="да"),MAX($T$1:$T743)+1,"")</f>
        <v/>
      </c>
    </row>
    <row r="745" spans="1:20" ht="43.2" x14ac:dyDescent="0.3">
      <c r="A745" t="str">
        <f>IFERROR(INDEX(Работы!$D$2:$D$6000,MATCH($C745,Работы!$A$2:$A$6000,0)),"")</f>
        <v>Р9</v>
      </c>
      <c r="B745" t="str">
        <f>IFERROR(INDEX(Работы!$F$2:$F$6000,MATCH($C745,Работы!$A$2:$A$6000,0)),"")</f>
        <v>2</v>
      </c>
      <c r="C745" t="str">
        <f>IFERROR(INDEX(Работы!$A$2:$A$6000,744),"")</f>
        <v>РАБ.Р9.2.107</v>
      </c>
      <c r="D745" s="8" t="str">
        <f>IFERROR(INDEX(Работы!$B$2:$B$6000,MATCH($C745,Работы!$A$2:$A$6000,0)),"")</f>
        <v>Лайтбокс LED Высота114 мм.Диаметр 1000 мм RAL 3020,ORTUS SORES 1000 DIMM 0-10V, c функцией диммрования, производство ООО "Профлед"</v>
      </c>
      <c r="E745" t="str">
        <f>IFERROR(INDEX(Работы!$C$2:$C$6000,MATCH($C745,Работы!$A$2:$A$6000,0)),"")</f>
        <v>шт.</v>
      </c>
      <c r="F745" t="str">
        <f>IFERROR(INDEX(Работы!$G$2:$G$6000,MATCH($C745,Работы!$A$2:$A$6000,0)),"")</f>
        <v>ЭЩ</v>
      </c>
      <c r="G745" t="str">
        <f>IFERROR(INDEX(Работы!$K$2:$K$6000,MATCH($C745,Работы!$A$2:$A$6000,0)),"")</f>
        <v>Спецификация</v>
      </c>
      <c r="H745" s="9"/>
      <c r="I745" s="9"/>
      <c r="J745" s="8" t="str">
        <f>IFERROR(INDEX(Материалы!$B$2:$B$9000,MATCH($I745,Материалы!$A$2:$A$9000,0)),"")</f>
        <v/>
      </c>
      <c r="K745" t="str">
        <f>IF($I745="","",IF($F745=IFERROR(INDEX(Материалы!$G$2:$G$9000,MATCH($I745,Материалы!$A$2:$A$9000,0)),""),"OK","!! не та группа"))</f>
        <v/>
      </c>
      <c r="L745" s="10">
        <f>IFERROR(INDEX(Работы!$H$2:$H$6000,MATCH($C745,Работы!$A$2:$A$6000,0))*(1-ДисконтТендер),0)</f>
        <v>8119.83</v>
      </c>
      <c r="M745" s="10">
        <f>IF($I745="",0,IFERROR(INDEX(Материалы!$I$2:$I$9000,MATCH($I745,Материалы!$A$2:$A$9000,0))*IF(INDEX(Материалы!$J$2:$J$9000,MATCH($I745,Материалы!$A$2:$A$9000,0))="USD",КурсUSD,IF(INDEX(Материалы!$J$2:$J$9000,MATCH($I745,Материалы!$A$2:$A$9000,0))="EUR",КурсEUR,1))*INDEX(Материалы!$K$2:$K$9000,MATCH($I745,Материалы!$A$2:$A$9000,0))*(1+IFERROR(INDEX(Работы!$I$2:$I$6000,MATCH($C745,Работы!$A$2:$A$6000,0))/100,0))*(1-ДисконтТендер),0))</f>
        <v>0</v>
      </c>
      <c r="N745" s="10">
        <f t="shared" si="33"/>
        <v>0</v>
      </c>
      <c r="O745" s="10">
        <f t="shared" si="34"/>
        <v>0</v>
      </c>
      <c r="P745" s="10">
        <f t="shared" si="35"/>
        <v>0</v>
      </c>
      <c r="Q745" t="str">
        <f>IFERROR(INDEX(Работы!$J$2:$J$6000,MATCH($C745,Работы!$A$2:$A$6000,0)),"")</f>
        <v>типовая</v>
      </c>
      <c r="R745" t="s">
        <v>92</v>
      </c>
      <c r="T745" t="str">
        <f>IF(AND($P745&gt;0,$R745="да"),MAX($T$1:$T744)+1,"")</f>
        <v/>
      </c>
    </row>
    <row r="746" spans="1:20" ht="43.2" x14ac:dyDescent="0.3">
      <c r="A746" t="str">
        <f>IFERROR(INDEX(Работы!$D$2:$D$6000,MATCH($C746,Работы!$A$2:$A$6000,0)),"")</f>
        <v>Р9</v>
      </c>
      <c r="B746" t="str">
        <f>IFERROR(INDEX(Работы!$F$2:$F$6000,MATCH($C746,Работы!$A$2:$A$6000,0)),"")</f>
        <v>2</v>
      </c>
      <c r="C746" t="str">
        <f>IFERROR(INDEX(Работы!$A$2:$A$6000,745),"")</f>
        <v>РАБ.Р9.2.108</v>
      </c>
      <c r="D746" s="8" t="str">
        <f>IFERROR(INDEX(Работы!$B$2:$B$6000,MATCH($C746,Работы!$A$2:$A$6000,0)),"")</f>
        <v>Лайтбокс LED Высота114 мм.Диаметр 1500 мм RAL 3020, ORTUS SORES 1500 DIMM 0-10V c функцией диммрования, производство ООО "Профлед"</v>
      </c>
      <c r="E746" t="str">
        <f>IFERROR(INDEX(Работы!$C$2:$C$6000,MATCH($C746,Работы!$A$2:$A$6000,0)),"")</f>
        <v>шт.</v>
      </c>
      <c r="F746" t="str">
        <f>IFERROR(INDEX(Работы!$G$2:$G$6000,MATCH($C746,Работы!$A$2:$A$6000,0)),"")</f>
        <v>ЭЩ</v>
      </c>
      <c r="G746" t="str">
        <f>IFERROR(INDEX(Работы!$K$2:$K$6000,MATCH($C746,Работы!$A$2:$A$6000,0)),"")</f>
        <v>Спецификация</v>
      </c>
      <c r="H746" s="9"/>
      <c r="I746" s="9"/>
      <c r="J746" s="8" t="str">
        <f>IFERROR(INDEX(Материалы!$B$2:$B$9000,MATCH($I746,Материалы!$A$2:$A$9000,0)),"")</f>
        <v/>
      </c>
      <c r="K746" t="str">
        <f>IF($I746="","",IF($F746=IFERROR(INDEX(Материалы!$G$2:$G$9000,MATCH($I746,Материалы!$A$2:$A$9000,0)),""),"OK","!! не та группа"))</f>
        <v/>
      </c>
      <c r="L746" s="10">
        <f>IFERROR(INDEX(Работы!$H$2:$H$6000,MATCH($C746,Работы!$A$2:$A$6000,0))*(1-ДисконтТендер),0)</f>
        <v>12580.24</v>
      </c>
      <c r="M746" s="10">
        <f>IF($I746="",0,IFERROR(INDEX(Материалы!$I$2:$I$9000,MATCH($I746,Материалы!$A$2:$A$9000,0))*IF(INDEX(Материалы!$J$2:$J$9000,MATCH($I746,Материалы!$A$2:$A$9000,0))="USD",КурсUSD,IF(INDEX(Материалы!$J$2:$J$9000,MATCH($I746,Материалы!$A$2:$A$9000,0))="EUR",КурсEUR,1))*INDEX(Материалы!$K$2:$K$9000,MATCH($I746,Материалы!$A$2:$A$9000,0))*(1+IFERROR(INDEX(Работы!$I$2:$I$6000,MATCH($C746,Работы!$A$2:$A$6000,0))/100,0))*(1-ДисконтТендер),0))</f>
        <v>0</v>
      </c>
      <c r="N746" s="10">
        <f t="shared" si="33"/>
        <v>0</v>
      </c>
      <c r="O746" s="10">
        <f t="shared" si="34"/>
        <v>0</v>
      </c>
      <c r="P746" s="10">
        <f t="shared" si="35"/>
        <v>0</v>
      </c>
      <c r="Q746" t="str">
        <f>IFERROR(INDEX(Работы!$J$2:$J$6000,MATCH($C746,Работы!$A$2:$A$6000,0)),"")</f>
        <v>типовая</v>
      </c>
      <c r="R746" t="s">
        <v>92</v>
      </c>
      <c r="T746" t="str">
        <f>IF(AND($P746&gt;0,$R746="да"),MAX($T$1:$T745)+1,"")</f>
        <v/>
      </c>
    </row>
    <row r="747" spans="1:20" ht="43.2" x14ac:dyDescent="0.3">
      <c r="A747" t="str">
        <f>IFERROR(INDEX(Работы!$D$2:$D$6000,MATCH($C747,Работы!$A$2:$A$6000,0)),"")</f>
        <v>Р9</v>
      </c>
      <c r="B747" t="str">
        <f>IFERROR(INDEX(Работы!$F$2:$F$6000,MATCH($C747,Работы!$A$2:$A$6000,0)),"")</f>
        <v>2</v>
      </c>
      <c r="C747" t="str">
        <f>IFERROR(INDEX(Работы!$A$2:$A$6000,746),"")</f>
        <v>РАБ.Р9.2.109</v>
      </c>
      <c r="D747" s="8" t="str">
        <f>IFERROR(INDEX(Работы!$B$2:$B$6000,MATCH($C747,Работы!$A$2:$A$6000,0)),"")</f>
        <v>Лайтбокс LED Высота114 мм.Диаметр 2000 мм RAL 3020, ORTUS SORES 2000 DIMM 0-10V c функцией диммрования, производство ООО "Профлед"</v>
      </c>
      <c r="E747" t="str">
        <f>IFERROR(INDEX(Работы!$C$2:$C$6000,MATCH($C747,Работы!$A$2:$A$6000,0)),"")</f>
        <v>шт.</v>
      </c>
      <c r="F747" t="str">
        <f>IFERROR(INDEX(Работы!$G$2:$G$6000,MATCH($C747,Работы!$A$2:$A$6000,0)),"")</f>
        <v>ЭЩ</v>
      </c>
      <c r="G747" t="str">
        <f>IFERROR(INDEX(Работы!$K$2:$K$6000,MATCH($C747,Работы!$A$2:$A$6000,0)),"")</f>
        <v>Спецификация</v>
      </c>
      <c r="H747" s="9"/>
      <c r="I747" s="9"/>
      <c r="J747" s="8" t="str">
        <f>IFERROR(INDEX(Материалы!$B$2:$B$9000,MATCH($I747,Материалы!$A$2:$A$9000,0)),"")</f>
        <v/>
      </c>
      <c r="K747" t="str">
        <f>IF($I747="","",IF($F747=IFERROR(INDEX(Материалы!$G$2:$G$9000,MATCH($I747,Материалы!$A$2:$A$9000,0)),""),"OK","!! не та группа"))</f>
        <v/>
      </c>
      <c r="L747" s="10">
        <f>IFERROR(INDEX(Работы!$H$2:$H$6000,MATCH($C747,Работы!$A$2:$A$6000,0))*(1-ДисконтТендер),0)</f>
        <v>18640.72</v>
      </c>
      <c r="M747" s="10">
        <f>IF($I747="",0,IFERROR(INDEX(Материалы!$I$2:$I$9000,MATCH($I747,Материалы!$A$2:$A$9000,0))*IF(INDEX(Материалы!$J$2:$J$9000,MATCH($I747,Материалы!$A$2:$A$9000,0))="USD",КурсUSD,IF(INDEX(Материалы!$J$2:$J$9000,MATCH($I747,Материалы!$A$2:$A$9000,0))="EUR",КурсEUR,1))*INDEX(Материалы!$K$2:$K$9000,MATCH($I747,Материалы!$A$2:$A$9000,0))*(1+IFERROR(INDEX(Работы!$I$2:$I$6000,MATCH($C747,Работы!$A$2:$A$6000,0))/100,0))*(1-ДисконтТендер),0))</f>
        <v>0</v>
      </c>
      <c r="N747" s="10">
        <f t="shared" si="33"/>
        <v>0</v>
      </c>
      <c r="O747" s="10">
        <f t="shared" si="34"/>
        <v>0</v>
      </c>
      <c r="P747" s="10">
        <f t="shared" si="35"/>
        <v>0</v>
      </c>
      <c r="Q747" t="str">
        <f>IFERROR(INDEX(Работы!$J$2:$J$6000,MATCH($C747,Работы!$A$2:$A$6000,0)),"")</f>
        <v>типовая</v>
      </c>
      <c r="R747" t="s">
        <v>92</v>
      </c>
      <c r="T747" t="str">
        <f>IF(AND($P747&gt;0,$R747="да"),MAX($T$1:$T746)+1,"")</f>
        <v/>
      </c>
    </row>
    <row r="748" spans="1:20" ht="43.2" x14ac:dyDescent="0.3">
      <c r="A748" t="str">
        <f>IFERROR(INDEX(Работы!$D$2:$D$6000,MATCH($C748,Работы!$A$2:$A$6000,0)),"")</f>
        <v>Р9</v>
      </c>
      <c r="B748" t="str">
        <f>IFERROR(INDEX(Работы!$F$2:$F$6000,MATCH($C748,Работы!$A$2:$A$6000,0)),"")</f>
        <v>2</v>
      </c>
      <c r="C748" t="str">
        <f>IFERROR(INDEX(Работы!$A$2:$A$6000,747),"")</f>
        <v>РАБ.Р9.2.110</v>
      </c>
      <c r="D748" s="8" t="str">
        <f>IFERROR(INDEX(Работы!$B$2:$B$6000,MATCH($C748,Работы!$A$2:$A$6000,0)),"")</f>
        <v>Лайтбокс LED Высота114 мм.Диаметр 2500 мм RAL 3020, ORTUS SORES 2500 DIMM 0-10V c функцией диммрования, производство ООО "Профлед"</v>
      </c>
      <c r="E748" t="str">
        <f>IFERROR(INDEX(Работы!$C$2:$C$6000,MATCH($C748,Работы!$A$2:$A$6000,0)),"")</f>
        <v>шт.</v>
      </c>
      <c r="F748" t="str">
        <f>IFERROR(INDEX(Работы!$G$2:$G$6000,MATCH($C748,Работы!$A$2:$A$6000,0)),"")</f>
        <v>ЭЩ</v>
      </c>
      <c r="G748" t="str">
        <f>IFERROR(INDEX(Работы!$K$2:$K$6000,MATCH($C748,Работы!$A$2:$A$6000,0)),"")</f>
        <v>Спецификация</v>
      </c>
      <c r="H748" s="9"/>
      <c r="I748" s="9"/>
      <c r="J748" s="8" t="str">
        <f>IFERROR(INDEX(Материалы!$B$2:$B$9000,MATCH($I748,Материалы!$A$2:$A$9000,0)),"")</f>
        <v/>
      </c>
      <c r="K748" t="str">
        <f>IF($I748="","",IF($F748=IFERROR(INDEX(Материалы!$G$2:$G$9000,MATCH($I748,Материалы!$A$2:$A$9000,0)),""),"OK","!! не та группа"))</f>
        <v/>
      </c>
      <c r="L748" s="10">
        <f>IFERROR(INDEX(Работы!$H$2:$H$6000,MATCH($C748,Работы!$A$2:$A$6000,0))*(1-ДисконтТендер),0)</f>
        <v>33392.39</v>
      </c>
      <c r="M748" s="10">
        <f>IF($I748="",0,IFERROR(INDEX(Материалы!$I$2:$I$9000,MATCH($I748,Материалы!$A$2:$A$9000,0))*IF(INDEX(Материалы!$J$2:$J$9000,MATCH($I748,Материалы!$A$2:$A$9000,0))="USD",КурсUSD,IF(INDEX(Материалы!$J$2:$J$9000,MATCH($I748,Материалы!$A$2:$A$9000,0))="EUR",КурсEUR,1))*INDEX(Материалы!$K$2:$K$9000,MATCH($I748,Материалы!$A$2:$A$9000,0))*(1+IFERROR(INDEX(Работы!$I$2:$I$6000,MATCH($C748,Работы!$A$2:$A$6000,0))/100,0))*(1-ДисконтТендер),0))</f>
        <v>0</v>
      </c>
      <c r="N748" s="10">
        <f t="shared" si="33"/>
        <v>0</v>
      </c>
      <c r="O748" s="10">
        <f t="shared" si="34"/>
        <v>0</v>
      </c>
      <c r="P748" s="10">
        <f t="shared" si="35"/>
        <v>0</v>
      </c>
      <c r="Q748" t="str">
        <f>IFERROR(INDEX(Работы!$J$2:$J$6000,MATCH($C748,Работы!$A$2:$A$6000,0)),"")</f>
        <v>типовая</v>
      </c>
      <c r="R748" t="s">
        <v>92</v>
      </c>
      <c r="T748" t="str">
        <f>IF(AND($P748&gt;0,$R748="да"),MAX($T$1:$T747)+1,"")</f>
        <v/>
      </c>
    </row>
    <row r="749" spans="1:20" ht="28.8" x14ac:dyDescent="0.3">
      <c r="A749" t="str">
        <f>IFERROR(INDEX(Работы!$D$2:$D$6000,MATCH($C749,Работы!$A$2:$A$6000,0)),"")</f>
        <v>Р9</v>
      </c>
      <c r="B749" t="str">
        <f>IFERROR(INDEX(Работы!$F$2:$F$6000,MATCH($C749,Работы!$A$2:$A$6000,0)),"")</f>
        <v>2</v>
      </c>
      <c r="C749" t="str">
        <f>IFERROR(INDEX(Работы!$A$2:$A$6000,748),"")</f>
        <v>РАБ.Р9.2.111</v>
      </c>
      <c r="D749" s="8" t="str">
        <f>IFERROR(INDEX(Работы!$B$2:$B$6000,MATCH($C749,Работы!$A$2:$A$6000,0)),"")</f>
        <v>Пульт дистанционного управления SMART-R10-DIM для лайтбоксов Профлед</v>
      </c>
      <c r="E749" t="str">
        <f>IFERROR(INDEX(Работы!$C$2:$C$6000,MATCH($C749,Работы!$A$2:$A$6000,0)),"")</f>
        <v>шт.</v>
      </c>
      <c r="F749" t="str">
        <f>IFERROR(INDEX(Работы!$G$2:$G$6000,MATCH($C749,Работы!$A$2:$A$6000,0)),"")</f>
        <v>ЭЩ</v>
      </c>
      <c r="G749" t="str">
        <f>IFERROR(INDEX(Работы!$K$2:$K$6000,MATCH($C749,Работы!$A$2:$A$6000,0)),"")</f>
        <v>Спецификация</v>
      </c>
      <c r="H749" s="9"/>
      <c r="I749" s="9"/>
      <c r="J749" s="8" t="str">
        <f>IFERROR(INDEX(Материалы!$B$2:$B$9000,MATCH($I749,Материалы!$A$2:$A$9000,0)),"")</f>
        <v/>
      </c>
      <c r="K749" t="str">
        <f>IF($I749="","",IF($F749=IFERROR(INDEX(Материалы!$G$2:$G$9000,MATCH($I749,Материалы!$A$2:$A$9000,0)),""),"OK","!! не та группа"))</f>
        <v/>
      </c>
      <c r="L749" s="10">
        <f>IFERROR(INDEX(Работы!$H$2:$H$6000,MATCH($C749,Работы!$A$2:$A$6000,0))*(1-ДисконтТендер),0)</f>
        <v>0</v>
      </c>
      <c r="M749" s="10">
        <f>IF($I749="",0,IFERROR(INDEX(Материалы!$I$2:$I$9000,MATCH($I749,Материалы!$A$2:$A$9000,0))*IF(INDEX(Материалы!$J$2:$J$9000,MATCH($I749,Материалы!$A$2:$A$9000,0))="USD",КурсUSD,IF(INDEX(Материалы!$J$2:$J$9000,MATCH($I749,Материалы!$A$2:$A$9000,0))="EUR",КурсEUR,1))*INDEX(Материалы!$K$2:$K$9000,MATCH($I749,Материалы!$A$2:$A$9000,0))*(1+IFERROR(INDEX(Работы!$I$2:$I$6000,MATCH($C749,Работы!$A$2:$A$6000,0))/100,0))*(1-ДисконтТендер),0))</f>
        <v>0</v>
      </c>
      <c r="N749" s="10">
        <f t="shared" si="33"/>
        <v>0</v>
      </c>
      <c r="O749" s="10">
        <f t="shared" si="34"/>
        <v>0</v>
      </c>
      <c r="P749" s="10">
        <f t="shared" si="35"/>
        <v>0</v>
      </c>
      <c r="Q749" t="str">
        <f>IFERROR(INDEX(Работы!$J$2:$J$6000,MATCH($C749,Работы!$A$2:$A$6000,0)),"")</f>
        <v>типовая</v>
      </c>
      <c r="R749" t="s">
        <v>92</v>
      </c>
      <c r="T749" t="str">
        <f>IF(AND($P749&gt;0,$R749="да"),MAX($T$1:$T748)+1,"")</f>
        <v/>
      </c>
    </row>
    <row r="750" spans="1:20" x14ac:dyDescent="0.3">
      <c r="A750" t="str">
        <f>IFERROR(INDEX(Работы!$D$2:$D$6000,MATCH($C750,Работы!$A$2:$A$6000,0)),"")</f>
        <v>Р9</v>
      </c>
      <c r="B750" t="str">
        <f>IFERROR(INDEX(Работы!$F$2:$F$6000,MATCH($C750,Работы!$A$2:$A$6000,0)),"")</f>
        <v>2</v>
      </c>
      <c r="C750" t="str">
        <f>IFERROR(INDEX(Работы!$A$2:$A$6000,749),"")</f>
        <v>РАБ.Р9.2.112</v>
      </c>
      <c r="D750" s="8" t="str">
        <f>IFERROR(INDEX(Работы!$B$2:$B$6000,MATCH($C750,Работы!$A$2:$A$6000,0)),"")</f>
        <v>Монтаж светильника</v>
      </c>
      <c r="E750" t="str">
        <f>IFERROR(INDEX(Работы!$C$2:$C$6000,MATCH($C750,Работы!$A$2:$A$6000,0)),"")</f>
        <v>шт.</v>
      </c>
      <c r="F750" t="str">
        <f>IFERROR(INDEX(Работы!$G$2:$G$6000,MATCH($C750,Работы!$A$2:$A$6000,0)),"")</f>
        <v>СВЕТ</v>
      </c>
      <c r="G750" t="str">
        <f>IFERROR(INDEX(Работы!$K$2:$K$6000,MATCH($C750,Работы!$A$2:$A$6000,0)),"")</f>
        <v>Спецификация</v>
      </c>
      <c r="H750" s="9"/>
      <c r="I750" s="9"/>
      <c r="J750" s="8" t="str">
        <f>IFERROR(INDEX(Материалы!$B$2:$B$9000,MATCH($I750,Материалы!$A$2:$A$9000,0)),"")</f>
        <v/>
      </c>
      <c r="K750" t="str">
        <f>IF($I750="","",IF($F750=IFERROR(INDEX(Материалы!$G$2:$G$9000,MATCH($I750,Материалы!$A$2:$A$9000,0)),""),"OK","!! не та группа"))</f>
        <v/>
      </c>
      <c r="L750" s="10">
        <f>IFERROR(INDEX(Работы!$H$2:$H$6000,MATCH($C750,Работы!$A$2:$A$6000,0))*(1-ДисконтТендер),0)</f>
        <v>3242.86</v>
      </c>
      <c r="M750" s="10">
        <f>IF($I750="",0,IFERROR(INDEX(Материалы!$I$2:$I$9000,MATCH($I750,Материалы!$A$2:$A$9000,0))*IF(INDEX(Материалы!$J$2:$J$9000,MATCH($I750,Материалы!$A$2:$A$9000,0))="USD",КурсUSD,IF(INDEX(Материалы!$J$2:$J$9000,MATCH($I750,Материалы!$A$2:$A$9000,0))="EUR",КурсEUR,1))*INDEX(Материалы!$K$2:$K$9000,MATCH($I750,Материалы!$A$2:$A$9000,0))*(1+IFERROR(INDEX(Работы!$I$2:$I$6000,MATCH($C750,Работы!$A$2:$A$6000,0))/100,0))*(1-ДисконтТендер),0))</f>
        <v>0</v>
      </c>
      <c r="N750" s="10">
        <f t="shared" si="33"/>
        <v>0</v>
      </c>
      <c r="O750" s="10">
        <f t="shared" si="34"/>
        <v>0</v>
      </c>
      <c r="P750" s="10">
        <f t="shared" si="35"/>
        <v>0</v>
      </c>
      <c r="Q750" t="str">
        <f>IFERROR(INDEX(Работы!$J$2:$J$6000,MATCH($C750,Работы!$A$2:$A$6000,0)),"")</f>
        <v>типовая</v>
      </c>
      <c r="R750" t="s">
        <v>92</v>
      </c>
      <c r="T750" t="str">
        <f>IF(AND($P750&gt;0,$R750="да"),MAX($T$1:$T749)+1,"")</f>
        <v/>
      </c>
    </row>
    <row r="751" spans="1:20" x14ac:dyDescent="0.3">
      <c r="A751" t="str">
        <f>IFERROR(INDEX(Работы!$D$2:$D$6000,MATCH($C751,Работы!$A$2:$A$6000,0)),"")</f>
        <v>Р9</v>
      </c>
      <c r="B751" t="str">
        <f>IFERROR(INDEX(Работы!$F$2:$F$6000,MATCH($C751,Работы!$A$2:$A$6000,0)),"")</f>
        <v>2</v>
      </c>
      <c r="C751" t="str">
        <f>IFERROR(INDEX(Работы!$A$2:$A$6000,750),"")</f>
        <v>РАБ.Р9.2.113</v>
      </c>
      <c r="D751" s="8" t="str">
        <f>IFERROR(INDEX(Работы!$B$2:$B$6000,MATCH($C751,Работы!$A$2:$A$6000,0)),"")</f>
        <v>Монтаж светильника</v>
      </c>
      <c r="E751" t="str">
        <f>IFERROR(INDEX(Работы!$C$2:$C$6000,MATCH($C751,Работы!$A$2:$A$6000,0)),"")</f>
        <v>шт.</v>
      </c>
      <c r="F751" t="str">
        <f>IFERROR(INDEX(Работы!$G$2:$G$6000,MATCH($C751,Работы!$A$2:$A$6000,0)),"")</f>
        <v>СВЕТ</v>
      </c>
      <c r="G751" t="str">
        <f>IFERROR(INDEX(Работы!$K$2:$K$6000,MATCH($C751,Работы!$A$2:$A$6000,0)),"")</f>
        <v>Спецификация</v>
      </c>
      <c r="H751" s="9"/>
      <c r="I751" s="9"/>
      <c r="J751" s="8" t="str">
        <f>IFERROR(INDEX(Материалы!$B$2:$B$9000,MATCH($I751,Материалы!$A$2:$A$9000,0)),"")</f>
        <v/>
      </c>
      <c r="K751" t="str">
        <f>IF($I751="","",IF($F751=IFERROR(INDEX(Материалы!$G$2:$G$9000,MATCH($I751,Материалы!$A$2:$A$9000,0)),""),"OK","!! не та группа"))</f>
        <v/>
      </c>
      <c r="L751" s="10">
        <f>IFERROR(INDEX(Работы!$H$2:$H$6000,MATCH($C751,Работы!$A$2:$A$6000,0))*(1-ДисконтТендер),0)</f>
        <v>3756.47</v>
      </c>
      <c r="M751" s="10">
        <f>IF($I751="",0,IFERROR(INDEX(Материалы!$I$2:$I$9000,MATCH($I751,Материалы!$A$2:$A$9000,0))*IF(INDEX(Материалы!$J$2:$J$9000,MATCH($I751,Материалы!$A$2:$A$9000,0))="USD",КурсUSD,IF(INDEX(Материалы!$J$2:$J$9000,MATCH($I751,Материалы!$A$2:$A$9000,0))="EUR",КурсEUR,1))*INDEX(Материалы!$K$2:$K$9000,MATCH($I751,Материалы!$A$2:$A$9000,0))*(1+IFERROR(INDEX(Работы!$I$2:$I$6000,MATCH($C751,Работы!$A$2:$A$6000,0))/100,0))*(1-ДисконтТендер),0))</f>
        <v>0</v>
      </c>
      <c r="N751" s="10">
        <f t="shared" si="33"/>
        <v>0</v>
      </c>
      <c r="O751" s="10">
        <f t="shared" si="34"/>
        <v>0</v>
      </c>
      <c r="P751" s="10">
        <f t="shared" si="35"/>
        <v>0</v>
      </c>
      <c r="Q751" t="str">
        <f>IFERROR(INDEX(Работы!$J$2:$J$6000,MATCH($C751,Работы!$A$2:$A$6000,0)),"")</f>
        <v>типовая</v>
      </c>
      <c r="R751" t="s">
        <v>92</v>
      </c>
      <c r="T751" t="str">
        <f>IF(AND($P751&gt;0,$R751="да"),MAX($T$1:$T750)+1,"")</f>
        <v/>
      </c>
    </row>
    <row r="752" spans="1:20" x14ac:dyDescent="0.3">
      <c r="A752" t="str">
        <f>IFERROR(INDEX(Работы!$D$2:$D$6000,MATCH($C752,Работы!$A$2:$A$6000,0)),"")</f>
        <v>Р9</v>
      </c>
      <c r="B752" t="str">
        <f>IFERROR(INDEX(Работы!$F$2:$F$6000,MATCH($C752,Работы!$A$2:$A$6000,0)),"")</f>
        <v>2</v>
      </c>
      <c r="C752" t="str">
        <f>IFERROR(INDEX(Работы!$A$2:$A$6000,751),"")</f>
        <v>РАБ.Р9.2.114</v>
      </c>
      <c r="D752" s="8" t="str">
        <f>IFERROR(INDEX(Работы!$B$2:$B$6000,MATCH($C752,Работы!$A$2:$A$6000,0)),"")</f>
        <v>Монтаж светильника</v>
      </c>
      <c r="E752" t="str">
        <f>IFERROR(INDEX(Работы!$C$2:$C$6000,MATCH($C752,Работы!$A$2:$A$6000,0)),"")</f>
        <v>шт.</v>
      </c>
      <c r="F752" t="str">
        <f>IFERROR(INDEX(Работы!$G$2:$G$6000,MATCH($C752,Работы!$A$2:$A$6000,0)),"")</f>
        <v>СВЕТ</v>
      </c>
      <c r="G752" t="str">
        <f>IFERROR(INDEX(Работы!$K$2:$K$6000,MATCH($C752,Работы!$A$2:$A$6000,0)),"")</f>
        <v>Спецификация</v>
      </c>
      <c r="H752" s="9"/>
      <c r="I752" s="9"/>
      <c r="J752" s="8" t="str">
        <f>IFERROR(INDEX(Материалы!$B$2:$B$9000,MATCH($I752,Материалы!$A$2:$A$9000,0)),"")</f>
        <v/>
      </c>
      <c r="K752" t="str">
        <f>IF($I752="","",IF($F752=IFERROR(INDEX(Материалы!$G$2:$G$9000,MATCH($I752,Материалы!$A$2:$A$9000,0)),""),"OK","!! не та группа"))</f>
        <v/>
      </c>
      <c r="L752" s="10">
        <f>IFERROR(INDEX(Работы!$H$2:$H$6000,MATCH($C752,Работы!$A$2:$A$6000,0))*(1-ДисконтТендер),0)</f>
        <v>3357.21</v>
      </c>
      <c r="M752" s="10">
        <f>IF($I752="",0,IFERROR(INDEX(Материалы!$I$2:$I$9000,MATCH($I752,Материалы!$A$2:$A$9000,0))*IF(INDEX(Материалы!$J$2:$J$9000,MATCH($I752,Материалы!$A$2:$A$9000,0))="USD",КурсUSD,IF(INDEX(Материалы!$J$2:$J$9000,MATCH($I752,Материалы!$A$2:$A$9000,0))="EUR",КурсEUR,1))*INDEX(Материалы!$K$2:$K$9000,MATCH($I752,Материалы!$A$2:$A$9000,0))*(1+IFERROR(INDEX(Работы!$I$2:$I$6000,MATCH($C752,Работы!$A$2:$A$6000,0))/100,0))*(1-ДисконтТендер),0))</f>
        <v>0</v>
      </c>
      <c r="N752" s="10">
        <f t="shared" si="33"/>
        <v>0</v>
      </c>
      <c r="O752" s="10">
        <f t="shared" si="34"/>
        <v>0</v>
      </c>
      <c r="P752" s="10">
        <f t="shared" si="35"/>
        <v>0</v>
      </c>
      <c r="Q752" t="str">
        <f>IFERROR(INDEX(Работы!$J$2:$J$6000,MATCH($C752,Работы!$A$2:$A$6000,0)),"")</f>
        <v>типовая</v>
      </c>
      <c r="R752" t="s">
        <v>92</v>
      </c>
      <c r="T752" t="str">
        <f>IF(AND($P752&gt;0,$R752="да"),MAX($T$1:$T751)+1,"")</f>
        <v/>
      </c>
    </row>
    <row r="753" spans="1:20" ht="28.8" x14ac:dyDescent="0.3">
      <c r="A753" t="str">
        <f>IFERROR(INDEX(Работы!$D$2:$D$6000,MATCH($C753,Работы!$A$2:$A$6000,0)),"")</f>
        <v>Р9</v>
      </c>
      <c r="B753" t="str">
        <f>IFERROR(INDEX(Работы!$F$2:$F$6000,MATCH($C753,Работы!$A$2:$A$6000,0)),"")</f>
        <v>2</v>
      </c>
      <c r="C753" t="str">
        <f>IFERROR(INDEX(Работы!$A$2:$A$6000,752),"")</f>
        <v>РАБ.Р9.2.115</v>
      </c>
      <c r="D753" s="8" t="str">
        <f>IFERROR(INDEX(Работы!$B$2:$B$6000,MATCH($C753,Работы!$A$2:$A$6000,0)),"")</f>
        <v>Монтаж светильника аварийного / эвакуационного</v>
      </c>
      <c r="E753" t="str">
        <f>IFERROR(INDEX(Работы!$C$2:$C$6000,MATCH($C753,Работы!$A$2:$A$6000,0)),"")</f>
        <v>шт.</v>
      </c>
      <c r="F753" t="str">
        <f>IFERROR(INDEX(Работы!$G$2:$G$6000,MATCH($C753,Работы!$A$2:$A$6000,0)),"")</f>
        <v>СВЕТ.АВАР</v>
      </c>
      <c r="G753" t="str">
        <f>IFERROR(INDEX(Работы!$K$2:$K$6000,MATCH($C753,Работы!$A$2:$A$6000,0)),"")</f>
        <v>Спецификация</v>
      </c>
      <c r="H753" s="9"/>
      <c r="I753" s="9"/>
      <c r="J753" s="8" t="str">
        <f>IFERROR(INDEX(Материалы!$B$2:$B$9000,MATCH($I753,Материалы!$A$2:$A$9000,0)),"")</f>
        <v/>
      </c>
      <c r="K753" t="str">
        <f>IF($I753="","",IF($F753=IFERROR(INDEX(Материалы!$G$2:$G$9000,MATCH($I753,Материалы!$A$2:$A$9000,0)),""),"OK","!! не та группа"))</f>
        <v/>
      </c>
      <c r="L753" s="10">
        <f>IFERROR(INDEX(Работы!$H$2:$H$6000,MATCH($C753,Работы!$A$2:$A$6000,0))*(1-ДисконтТендер),0)</f>
        <v>3870.81</v>
      </c>
      <c r="M753" s="10">
        <f>IF($I753="",0,IFERROR(INDEX(Материалы!$I$2:$I$9000,MATCH($I753,Материалы!$A$2:$A$9000,0))*IF(INDEX(Материалы!$J$2:$J$9000,MATCH($I753,Материалы!$A$2:$A$9000,0))="USD",КурсUSD,IF(INDEX(Материалы!$J$2:$J$9000,MATCH($I753,Материалы!$A$2:$A$9000,0))="EUR",КурсEUR,1))*INDEX(Материалы!$K$2:$K$9000,MATCH($I753,Материалы!$A$2:$A$9000,0))*(1+IFERROR(INDEX(Работы!$I$2:$I$6000,MATCH($C753,Работы!$A$2:$A$6000,0))/100,0))*(1-ДисконтТендер),0))</f>
        <v>0</v>
      </c>
      <c r="N753" s="10">
        <f t="shared" si="33"/>
        <v>0</v>
      </c>
      <c r="O753" s="10">
        <f t="shared" si="34"/>
        <v>0</v>
      </c>
      <c r="P753" s="10">
        <f t="shared" si="35"/>
        <v>0</v>
      </c>
      <c r="Q753" t="str">
        <f>IFERROR(INDEX(Работы!$J$2:$J$6000,MATCH($C753,Работы!$A$2:$A$6000,0)),"")</f>
        <v>типовая</v>
      </c>
      <c r="R753" t="s">
        <v>92</v>
      </c>
      <c r="T753" t="str">
        <f>IF(AND($P753&gt;0,$R753="да"),MAX($T$1:$T752)+1,"")</f>
        <v/>
      </c>
    </row>
    <row r="754" spans="1:20" x14ac:dyDescent="0.3">
      <c r="A754" t="str">
        <f>IFERROR(INDEX(Работы!$D$2:$D$6000,MATCH($C754,Работы!$A$2:$A$6000,0)),"")</f>
        <v>Р9</v>
      </c>
      <c r="B754" t="str">
        <f>IFERROR(INDEX(Работы!$F$2:$F$6000,MATCH($C754,Работы!$A$2:$A$6000,0)),"")</f>
        <v>2</v>
      </c>
      <c r="C754" t="str">
        <f>IFERROR(INDEX(Работы!$A$2:$A$6000,753),"")</f>
        <v>РАБ.Р9.2.116</v>
      </c>
      <c r="D754" s="8" t="str">
        <f>IFERROR(INDEX(Работы!$B$2:$B$6000,MATCH($C754,Работы!$A$2:$A$6000,0)),"")</f>
        <v>Монтаж светильника</v>
      </c>
      <c r="E754" t="str">
        <f>IFERROR(INDEX(Работы!$C$2:$C$6000,MATCH($C754,Работы!$A$2:$A$6000,0)),"")</f>
        <v>шт.</v>
      </c>
      <c r="F754" t="str">
        <f>IFERROR(INDEX(Работы!$G$2:$G$6000,MATCH($C754,Работы!$A$2:$A$6000,0)),"")</f>
        <v>СВЕТ</v>
      </c>
      <c r="G754" t="str">
        <f>IFERROR(INDEX(Работы!$K$2:$K$6000,MATCH($C754,Работы!$A$2:$A$6000,0)),"")</f>
        <v>Спецификация</v>
      </c>
      <c r="H754" s="9"/>
      <c r="I754" s="9"/>
      <c r="J754" s="8" t="str">
        <f>IFERROR(INDEX(Материалы!$B$2:$B$9000,MATCH($I754,Материалы!$A$2:$A$9000,0)),"")</f>
        <v/>
      </c>
      <c r="K754" t="str">
        <f>IF($I754="","",IF($F754=IFERROR(INDEX(Материалы!$G$2:$G$9000,MATCH($I754,Материалы!$A$2:$A$9000,0)),""),"OK","!! не та группа"))</f>
        <v/>
      </c>
      <c r="L754" s="10">
        <f>IFERROR(INDEX(Работы!$H$2:$H$6000,MATCH($C754,Работы!$A$2:$A$6000,0))*(1-ДисконтТендер),0)</f>
        <v>571.25</v>
      </c>
      <c r="M754" s="10">
        <f>IF($I754="",0,IFERROR(INDEX(Материалы!$I$2:$I$9000,MATCH($I754,Материалы!$A$2:$A$9000,0))*IF(INDEX(Материалы!$J$2:$J$9000,MATCH($I754,Материалы!$A$2:$A$9000,0))="USD",КурсUSD,IF(INDEX(Материалы!$J$2:$J$9000,MATCH($I754,Материалы!$A$2:$A$9000,0))="EUR",КурсEUR,1))*INDEX(Материалы!$K$2:$K$9000,MATCH($I754,Материалы!$A$2:$A$9000,0))*(1+IFERROR(INDEX(Работы!$I$2:$I$6000,MATCH($C754,Работы!$A$2:$A$6000,0))/100,0))*(1-ДисконтТендер),0))</f>
        <v>0</v>
      </c>
      <c r="N754" s="10">
        <f t="shared" si="33"/>
        <v>0</v>
      </c>
      <c r="O754" s="10">
        <f t="shared" si="34"/>
        <v>0</v>
      </c>
      <c r="P754" s="10">
        <f t="shared" si="35"/>
        <v>0</v>
      </c>
      <c r="Q754" t="str">
        <f>IFERROR(INDEX(Работы!$J$2:$J$6000,MATCH($C754,Работы!$A$2:$A$6000,0)),"")</f>
        <v>типовая</v>
      </c>
      <c r="R754" t="s">
        <v>92</v>
      </c>
      <c r="T754" t="str">
        <f>IF(AND($P754&gt;0,$R754="да"),MAX($T$1:$T753)+1,"")</f>
        <v/>
      </c>
    </row>
    <row r="755" spans="1:20" x14ac:dyDescent="0.3">
      <c r="A755" t="str">
        <f>IFERROR(INDEX(Работы!$D$2:$D$6000,MATCH($C755,Работы!$A$2:$A$6000,0)),"")</f>
        <v>Р9</v>
      </c>
      <c r="B755" t="str">
        <f>IFERROR(INDEX(Работы!$F$2:$F$6000,MATCH($C755,Работы!$A$2:$A$6000,0)),"")</f>
        <v>2</v>
      </c>
      <c r="C755" t="str">
        <f>IFERROR(INDEX(Работы!$A$2:$A$6000,754),"")</f>
        <v>РАБ.Р9.2.117</v>
      </c>
      <c r="D755" s="8" t="str">
        <f>IFERROR(INDEX(Работы!$B$2:$B$6000,MATCH($C755,Работы!$A$2:$A$6000,0)),"")</f>
        <v>Монтаж светильника</v>
      </c>
      <c r="E755" t="str">
        <f>IFERROR(INDEX(Работы!$C$2:$C$6000,MATCH($C755,Работы!$A$2:$A$6000,0)),"")</f>
        <v>шт.</v>
      </c>
      <c r="F755" t="str">
        <f>IFERROR(INDEX(Работы!$G$2:$G$6000,MATCH($C755,Работы!$A$2:$A$6000,0)),"")</f>
        <v>СВЕТ</v>
      </c>
      <c r="G755" t="str">
        <f>IFERROR(INDEX(Работы!$K$2:$K$6000,MATCH($C755,Работы!$A$2:$A$6000,0)),"")</f>
        <v>Спецификация</v>
      </c>
      <c r="H755" s="9"/>
      <c r="I755" s="9"/>
      <c r="J755" s="8" t="str">
        <f>IFERROR(INDEX(Материалы!$B$2:$B$9000,MATCH($I755,Материалы!$A$2:$A$9000,0)),"")</f>
        <v/>
      </c>
      <c r="K755" t="str">
        <f>IF($I755="","",IF($F755=IFERROR(INDEX(Материалы!$G$2:$G$9000,MATCH($I755,Материалы!$A$2:$A$9000,0)),""),"OK","!! не та группа"))</f>
        <v/>
      </c>
      <c r="L755" s="10">
        <f>IFERROR(INDEX(Работы!$H$2:$H$6000,MATCH($C755,Работы!$A$2:$A$6000,0))*(1-ДисконтТендер),0)</f>
        <v>707.24</v>
      </c>
      <c r="M755" s="10">
        <f>IF($I755="",0,IFERROR(INDEX(Материалы!$I$2:$I$9000,MATCH($I755,Материалы!$A$2:$A$9000,0))*IF(INDEX(Материалы!$J$2:$J$9000,MATCH($I755,Материалы!$A$2:$A$9000,0))="USD",КурсUSD,IF(INDEX(Материалы!$J$2:$J$9000,MATCH($I755,Материалы!$A$2:$A$9000,0))="EUR",КурсEUR,1))*INDEX(Материалы!$K$2:$K$9000,MATCH($I755,Материалы!$A$2:$A$9000,0))*(1+IFERROR(INDEX(Работы!$I$2:$I$6000,MATCH($C755,Работы!$A$2:$A$6000,0))/100,0))*(1-ДисконтТендер),0))</f>
        <v>0</v>
      </c>
      <c r="N755" s="10">
        <f t="shared" si="33"/>
        <v>0</v>
      </c>
      <c r="O755" s="10">
        <f t="shared" si="34"/>
        <v>0</v>
      </c>
      <c r="P755" s="10">
        <f t="shared" si="35"/>
        <v>0</v>
      </c>
      <c r="Q755" t="str">
        <f>IFERROR(INDEX(Работы!$J$2:$J$6000,MATCH($C755,Работы!$A$2:$A$6000,0)),"")</f>
        <v>типовая</v>
      </c>
      <c r="R755" t="s">
        <v>92</v>
      </c>
      <c r="T755" t="str">
        <f>IF(AND($P755&gt;0,$R755="да"),MAX($T$1:$T754)+1,"")</f>
        <v/>
      </c>
    </row>
    <row r="756" spans="1:20" ht="57.6" x14ac:dyDescent="0.3">
      <c r="A756" t="str">
        <f>IFERROR(INDEX(Работы!$D$2:$D$6000,MATCH($C756,Работы!$A$2:$A$6000,0)),"")</f>
        <v>Р9</v>
      </c>
      <c r="B756" t="str">
        <f>IFERROR(INDEX(Работы!$F$2:$F$6000,MATCH($C756,Работы!$A$2:$A$6000,0)),"")</f>
        <v>2</v>
      </c>
      <c r="C756" t="str">
        <f>IFERROR(INDEX(Работы!$A$2:$A$6000,755),"")</f>
        <v>РАБ.Р9.2.118</v>
      </c>
      <c r="D756" s="8" t="str">
        <f>IFERROR(INDEX(Работы!$B$2:$B$6000,MATCH($C756,Работы!$A$2:$A$6000,0)),"")</f>
        <v>Quark IN IT D70 REF 60` 12W-4000K CRI 90 Recess WHI - Светильник + Acc. Emergency kit 0,72-1,4W 20-45V {COBx1, {1xL12/0,5-1xL24} EM1H (18-35V, max 40V) BOX I - Аварийный блок</v>
      </c>
      <c r="E756" t="str">
        <f>IFERROR(INDEX(Работы!$C$2:$C$6000,MATCH($C756,Работы!$A$2:$A$6000,0)),"")</f>
        <v>шт.</v>
      </c>
      <c r="F756" t="str">
        <f>IFERROR(INDEX(Работы!$G$2:$G$6000,MATCH($C756,Работы!$A$2:$A$6000,0)),"")</f>
        <v>СВЕТ.АВАР</v>
      </c>
      <c r="G756" t="str">
        <f>IFERROR(INDEX(Работы!$K$2:$K$6000,MATCH($C756,Работы!$A$2:$A$6000,0)),"")</f>
        <v>Спецификация</v>
      </c>
      <c r="H756" s="9"/>
      <c r="I756" s="9"/>
      <c r="J756" s="8" t="str">
        <f>IFERROR(INDEX(Материалы!$B$2:$B$9000,MATCH($I756,Материалы!$A$2:$A$9000,0)),"")</f>
        <v/>
      </c>
      <c r="K756" t="str">
        <f>IF($I756="","",IF($F756=IFERROR(INDEX(Материалы!$G$2:$G$9000,MATCH($I756,Материалы!$A$2:$A$9000,0)),""),"OK","!! не та группа"))</f>
        <v/>
      </c>
      <c r="L756" s="10">
        <f>IFERROR(INDEX(Работы!$H$2:$H$6000,MATCH($C756,Работы!$A$2:$A$6000,0))*(1-ДисконтТендер),0)</f>
        <v>1293.6099999999999</v>
      </c>
      <c r="M756" s="10">
        <f>IF($I756="",0,IFERROR(INDEX(Материалы!$I$2:$I$9000,MATCH($I756,Материалы!$A$2:$A$9000,0))*IF(INDEX(Материалы!$J$2:$J$9000,MATCH($I756,Материалы!$A$2:$A$9000,0))="USD",КурсUSD,IF(INDEX(Материалы!$J$2:$J$9000,MATCH($I756,Материалы!$A$2:$A$9000,0))="EUR",КурсEUR,1))*INDEX(Материалы!$K$2:$K$9000,MATCH($I756,Материалы!$A$2:$A$9000,0))*(1+IFERROR(INDEX(Работы!$I$2:$I$6000,MATCH($C756,Работы!$A$2:$A$6000,0))/100,0))*(1-ДисконтТендер),0))</f>
        <v>0</v>
      </c>
      <c r="N756" s="10">
        <f t="shared" si="33"/>
        <v>0</v>
      </c>
      <c r="O756" s="10">
        <f t="shared" si="34"/>
        <v>0</v>
      </c>
      <c r="P756" s="10">
        <f t="shared" si="35"/>
        <v>0</v>
      </c>
      <c r="Q756" t="str">
        <f>IFERROR(INDEX(Работы!$J$2:$J$6000,MATCH($C756,Работы!$A$2:$A$6000,0)),"")</f>
        <v>типовая</v>
      </c>
      <c r="R756" t="s">
        <v>92</v>
      </c>
      <c r="T756" t="str">
        <f>IF(AND($P756&gt;0,$R756="да"),MAX($T$1:$T755)+1,"")</f>
        <v/>
      </c>
    </row>
    <row r="757" spans="1:20" ht="28.8" x14ac:dyDescent="0.3">
      <c r="A757" t="str">
        <f>IFERROR(INDEX(Работы!$D$2:$D$6000,MATCH($C757,Работы!$A$2:$A$6000,0)),"")</f>
        <v>Р9</v>
      </c>
      <c r="B757" t="str">
        <f>IFERROR(INDEX(Работы!$F$2:$F$6000,MATCH($C757,Работы!$A$2:$A$6000,0)),"")</f>
        <v>2</v>
      </c>
      <c r="C757" t="str">
        <f>IFERROR(INDEX(Работы!$A$2:$A$6000,756),"")</f>
        <v>РАБ.Р9.2.119</v>
      </c>
      <c r="D757" s="8" t="str">
        <f>IFERROR(INDEX(Работы!$B$2:$B$6000,MATCH($C757,Работы!$A$2:$A$6000,0)),"")</f>
        <v>MICA D190 14W-4000K CRI 90 Recess MP ECO WHI - Светильник</v>
      </c>
      <c r="E757" t="str">
        <f>IFERROR(INDEX(Работы!$C$2:$C$6000,MATCH($C757,Работы!$A$2:$A$6000,0)),"")</f>
        <v>шт.</v>
      </c>
      <c r="F757" t="str">
        <f>IFERROR(INDEX(Работы!$G$2:$G$6000,MATCH($C757,Работы!$A$2:$A$6000,0)),"")</f>
        <v>СВЕТ</v>
      </c>
      <c r="G757" t="str">
        <f>IFERROR(INDEX(Работы!$K$2:$K$6000,MATCH($C757,Работы!$A$2:$A$6000,0)),"")</f>
        <v>Спецификация</v>
      </c>
      <c r="H757" s="9"/>
      <c r="I757" s="9"/>
      <c r="J757" s="8" t="str">
        <f>IFERROR(INDEX(Материалы!$B$2:$B$9000,MATCH($I757,Материалы!$A$2:$A$9000,0)),"")</f>
        <v/>
      </c>
      <c r="K757" t="str">
        <f>IF($I757="","",IF($F757=IFERROR(INDEX(Материалы!$G$2:$G$9000,MATCH($I757,Материалы!$A$2:$A$9000,0)),""),"OK","!! не та группа"))</f>
        <v/>
      </c>
      <c r="L757" s="10">
        <f>IFERROR(INDEX(Работы!$H$2:$H$6000,MATCH($C757,Работы!$A$2:$A$6000,0))*(1-ДисконтТендер),0)</f>
        <v>514.54999999999995</v>
      </c>
      <c r="M757" s="10">
        <f>IF($I757="",0,IFERROR(INDEX(Материалы!$I$2:$I$9000,MATCH($I757,Материалы!$A$2:$A$9000,0))*IF(INDEX(Материалы!$J$2:$J$9000,MATCH($I757,Материалы!$A$2:$A$9000,0))="USD",КурсUSD,IF(INDEX(Материалы!$J$2:$J$9000,MATCH($I757,Материалы!$A$2:$A$9000,0))="EUR",КурсEUR,1))*INDEX(Материалы!$K$2:$K$9000,MATCH($I757,Материалы!$A$2:$A$9000,0))*(1+IFERROR(INDEX(Работы!$I$2:$I$6000,MATCH($C757,Работы!$A$2:$A$6000,0))/100,0))*(1-ДисконтТендер),0))</f>
        <v>0</v>
      </c>
      <c r="N757" s="10">
        <f t="shared" si="33"/>
        <v>0</v>
      </c>
      <c r="O757" s="10">
        <f t="shared" si="34"/>
        <v>0</v>
      </c>
      <c r="P757" s="10">
        <f t="shared" si="35"/>
        <v>0</v>
      </c>
      <c r="Q757" t="str">
        <f>IFERROR(INDEX(Работы!$J$2:$J$6000,MATCH($C757,Работы!$A$2:$A$6000,0)),"")</f>
        <v>типовая</v>
      </c>
      <c r="R757" t="s">
        <v>92</v>
      </c>
      <c r="T757" t="str">
        <f>IF(AND($P757&gt;0,$R757="да"),MAX($T$1:$T756)+1,"")</f>
        <v/>
      </c>
    </row>
    <row r="758" spans="1:20" x14ac:dyDescent="0.3">
      <c r="A758" t="str">
        <f>IFERROR(INDEX(Работы!$D$2:$D$6000,MATCH($C758,Работы!$A$2:$A$6000,0)),"")</f>
        <v>Р9</v>
      </c>
      <c r="B758" t="str">
        <f>IFERROR(INDEX(Работы!$F$2:$F$6000,MATCH($C758,Работы!$A$2:$A$6000,0)),"")</f>
        <v>2</v>
      </c>
      <c r="C758" t="str">
        <f>IFERROR(INDEX(Работы!$A$2:$A$6000,757),"")</f>
        <v>РАБ.Р9.2.120</v>
      </c>
      <c r="D758" s="8" t="str">
        <f>IFERROR(INDEX(Работы!$B$2:$B$6000,MATCH($C758,Работы!$A$2:$A$6000,0)),"")</f>
        <v>Монтаж светильника</v>
      </c>
      <c r="E758" t="str">
        <f>IFERROR(INDEX(Работы!$C$2:$C$6000,MATCH($C758,Работы!$A$2:$A$6000,0)),"")</f>
        <v>шт.</v>
      </c>
      <c r="F758" t="str">
        <f>IFERROR(INDEX(Работы!$G$2:$G$6000,MATCH($C758,Работы!$A$2:$A$6000,0)),"")</f>
        <v>СВЕТ</v>
      </c>
      <c r="G758" t="str">
        <f>IFERROR(INDEX(Работы!$K$2:$K$6000,MATCH($C758,Работы!$A$2:$A$6000,0)),"")</f>
        <v>Спецификация</v>
      </c>
      <c r="H758" s="9"/>
      <c r="I758" s="9"/>
      <c r="J758" s="8" t="str">
        <f>IFERROR(INDEX(Материалы!$B$2:$B$9000,MATCH($I758,Материалы!$A$2:$A$9000,0)),"")</f>
        <v/>
      </c>
      <c r="K758" t="str">
        <f>IF($I758="","",IF($F758=IFERROR(INDEX(Материалы!$G$2:$G$9000,MATCH($I758,Материалы!$A$2:$A$9000,0)),""),"OK","!! не та группа"))</f>
        <v/>
      </c>
      <c r="L758" s="10">
        <f>IFERROR(INDEX(Работы!$H$2:$H$6000,MATCH($C758,Работы!$A$2:$A$6000,0))*(1-ДисконтТендер),0)</f>
        <v>857.68</v>
      </c>
      <c r="M758" s="10">
        <f>IF($I758="",0,IFERROR(INDEX(Материалы!$I$2:$I$9000,MATCH($I758,Материалы!$A$2:$A$9000,0))*IF(INDEX(Материалы!$J$2:$J$9000,MATCH($I758,Материалы!$A$2:$A$9000,0))="USD",КурсUSD,IF(INDEX(Материалы!$J$2:$J$9000,MATCH($I758,Материалы!$A$2:$A$9000,0))="EUR",КурсEUR,1))*INDEX(Материалы!$K$2:$K$9000,MATCH($I758,Материалы!$A$2:$A$9000,0))*(1+IFERROR(INDEX(Работы!$I$2:$I$6000,MATCH($C758,Работы!$A$2:$A$6000,0))/100,0))*(1-ДисконтТендер),0))</f>
        <v>0</v>
      </c>
      <c r="N758" s="10">
        <f t="shared" si="33"/>
        <v>0</v>
      </c>
      <c r="O758" s="10">
        <f t="shared" si="34"/>
        <v>0</v>
      </c>
      <c r="P758" s="10">
        <f t="shared" si="35"/>
        <v>0</v>
      </c>
      <c r="Q758" t="str">
        <f>IFERROR(INDEX(Работы!$J$2:$J$6000,MATCH($C758,Работы!$A$2:$A$6000,0)),"")</f>
        <v>типовая</v>
      </c>
      <c r="R758" t="s">
        <v>92</v>
      </c>
      <c r="T758" t="str">
        <f>IF(AND($P758&gt;0,$R758="да"),MAX($T$1:$T757)+1,"")</f>
        <v/>
      </c>
    </row>
    <row r="759" spans="1:20" ht="28.8" x14ac:dyDescent="0.3">
      <c r="A759" t="str">
        <f>IFERROR(INDEX(Работы!$D$2:$D$6000,MATCH($C759,Работы!$A$2:$A$6000,0)),"")</f>
        <v>Р9</v>
      </c>
      <c r="B759" t="str">
        <f>IFERROR(INDEX(Работы!$F$2:$F$6000,MATCH($C759,Работы!$A$2:$A$6000,0)),"")</f>
        <v>2</v>
      </c>
      <c r="C759" t="str">
        <f>IFERROR(INDEX(Работы!$A$2:$A$6000,758),"")</f>
        <v>РАБ.Р9.2.121</v>
      </c>
      <c r="D759" s="8" t="str">
        <f>IFERROR(INDEX(Работы!$B$2:$B$6000,MATCH($C759,Работы!$A$2:$A$6000,0)),"")</f>
        <v>Монтаж светильника аварийного / эвакуационного</v>
      </c>
      <c r="E759" t="str">
        <f>IFERROR(INDEX(Работы!$C$2:$C$6000,MATCH($C759,Работы!$A$2:$A$6000,0)),"")</f>
        <v>шт.</v>
      </c>
      <c r="F759" t="str">
        <f>IFERROR(INDEX(Работы!$G$2:$G$6000,MATCH($C759,Работы!$A$2:$A$6000,0)),"")</f>
        <v>СВЕТ.АВАР</v>
      </c>
      <c r="G759" t="str">
        <f>IFERROR(INDEX(Работы!$K$2:$K$6000,MATCH($C759,Работы!$A$2:$A$6000,0)),"")</f>
        <v>Спецификация</v>
      </c>
      <c r="H759" s="9"/>
      <c r="I759" s="9"/>
      <c r="J759" s="8" t="str">
        <f>IFERROR(INDEX(Материалы!$B$2:$B$9000,MATCH($I759,Материалы!$A$2:$A$9000,0)),"")</f>
        <v/>
      </c>
      <c r="K759" t="str">
        <f>IF($I759="","",IF($F759=IFERROR(INDEX(Материалы!$G$2:$G$9000,MATCH($I759,Материалы!$A$2:$A$9000,0)),""),"OK","!! не та группа"))</f>
        <v/>
      </c>
      <c r="L759" s="10">
        <f>IFERROR(INDEX(Работы!$H$2:$H$6000,MATCH($C759,Работы!$A$2:$A$6000,0))*(1-ДисконтТендер),0)</f>
        <v>1444.05</v>
      </c>
      <c r="M759" s="10">
        <f>IF($I759="",0,IFERROR(INDEX(Материалы!$I$2:$I$9000,MATCH($I759,Материалы!$A$2:$A$9000,0))*IF(INDEX(Материалы!$J$2:$J$9000,MATCH($I759,Материалы!$A$2:$A$9000,0))="USD",КурсUSD,IF(INDEX(Материалы!$J$2:$J$9000,MATCH($I759,Материалы!$A$2:$A$9000,0))="EUR",КурсEUR,1))*INDEX(Материалы!$K$2:$K$9000,MATCH($I759,Материалы!$A$2:$A$9000,0))*(1+IFERROR(INDEX(Работы!$I$2:$I$6000,MATCH($C759,Работы!$A$2:$A$6000,0))/100,0))*(1-ДисконтТендер),0))</f>
        <v>0</v>
      </c>
      <c r="N759" s="10">
        <f t="shared" si="33"/>
        <v>0</v>
      </c>
      <c r="O759" s="10">
        <f t="shared" si="34"/>
        <v>0</v>
      </c>
      <c r="P759" s="10">
        <f t="shared" si="35"/>
        <v>0</v>
      </c>
      <c r="Q759" t="str">
        <f>IFERROR(INDEX(Работы!$J$2:$J$6000,MATCH($C759,Работы!$A$2:$A$6000,0)),"")</f>
        <v>типовая</v>
      </c>
      <c r="R759" t="s">
        <v>92</v>
      </c>
      <c r="T759" t="str">
        <f>IF(AND($P759&gt;0,$R759="да"),MAX($T$1:$T758)+1,"")</f>
        <v/>
      </c>
    </row>
    <row r="760" spans="1:20" x14ac:dyDescent="0.3">
      <c r="A760" t="str">
        <f>IFERROR(INDEX(Работы!$D$2:$D$6000,MATCH($C760,Работы!$A$2:$A$6000,0)),"")</f>
        <v>Р9</v>
      </c>
      <c r="B760" t="str">
        <f>IFERROR(INDEX(Работы!$F$2:$F$6000,MATCH($C760,Работы!$A$2:$A$6000,0)),"")</f>
        <v>2</v>
      </c>
      <c r="C760" t="str">
        <f>IFERROR(INDEX(Работы!$A$2:$A$6000,759),"")</f>
        <v>РАБ.Р9.2.122</v>
      </c>
      <c r="D760" s="8" t="str">
        <f>IFERROR(INDEX(Работы!$B$2:$B$6000,MATCH($C760,Работы!$A$2:$A$6000,0)),"")</f>
        <v>Монтаж светильника</v>
      </c>
      <c r="E760" t="str">
        <f>IFERROR(INDEX(Работы!$C$2:$C$6000,MATCH($C760,Работы!$A$2:$A$6000,0)),"")</f>
        <v>шт.</v>
      </c>
      <c r="F760" t="str">
        <f>IFERROR(INDEX(Работы!$G$2:$G$6000,MATCH($C760,Работы!$A$2:$A$6000,0)),"")</f>
        <v>СВЕТ</v>
      </c>
      <c r="G760" t="str">
        <f>IFERROR(INDEX(Работы!$K$2:$K$6000,MATCH($C760,Работы!$A$2:$A$6000,0)),"")</f>
        <v>Спецификация</v>
      </c>
      <c r="H760" s="9"/>
      <c r="I760" s="9"/>
      <c r="J760" s="8" t="str">
        <f>IFERROR(INDEX(Материалы!$B$2:$B$9000,MATCH($I760,Материалы!$A$2:$A$9000,0)),"")</f>
        <v/>
      </c>
      <c r="K760" t="str">
        <f>IF($I760="","",IF($F760=IFERROR(INDEX(Материалы!$G$2:$G$9000,MATCH($I760,Материалы!$A$2:$A$9000,0)),""),"OK","!! не та группа"))</f>
        <v/>
      </c>
      <c r="L760" s="10">
        <f>IFERROR(INDEX(Работы!$H$2:$H$6000,MATCH($C760,Работы!$A$2:$A$6000,0))*(1-ДисконтТендер),0)</f>
        <v>810.34</v>
      </c>
      <c r="M760" s="10">
        <f>IF($I760="",0,IFERROR(INDEX(Материалы!$I$2:$I$9000,MATCH($I760,Материалы!$A$2:$A$9000,0))*IF(INDEX(Материалы!$J$2:$J$9000,MATCH($I760,Материалы!$A$2:$A$9000,0))="USD",КурсUSD,IF(INDEX(Материалы!$J$2:$J$9000,MATCH($I760,Материалы!$A$2:$A$9000,0))="EUR",КурсEUR,1))*INDEX(Материалы!$K$2:$K$9000,MATCH($I760,Материалы!$A$2:$A$9000,0))*(1+IFERROR(INDEX(Работы!$I$2:$I$6000,MATCH($C760,Работы!$A$2:$A$6000,0))/100,0))*(1-ДисконтТендер),0))</f>
        <v>0</v>
      </c>
      <c r="N760" s="10">
        <f t="shared" si="33"/>
        <v>0</v>
      </c>
      <c r="O760" s="10">
        <f t="shared" si="34"/>
        <v>0</v>
      </c>
      <c r="P760" s="10">
        <f t="shared" si="35"/>
        <v>0</v>
      </c>
      <c r="Q760" t="str">
        <f>IFERROR(INDEX(Работы!$J$2:$J$6000,MATCH($C760,Работы!$A$2:$A$6000,0)),"")</f>
        <v>типовая</v>
      </c>
      <c r="R760" t="s">
        <v>92</v>
      </c>
      <c r="T760" t="str">
        <f>IF(AND($P760&gt;0,$R760="да"),MAX($T$1:$T759)+1,"")</f>
        <v/>
      </c>
    </row>
    <row r="761" spans="1:20" ht="28.8" x14ac:dyDescent="0.3">
      <c r="A761" t="str">
        <f>IFERROR(INDEX(Работы!$D$2:$D$6000,MATCH($C761,Работы!$A$2:$A$6000,0)),"")</f>
        <v>Р9</v>
      </c>
      <c r="B761" t="str">
        <f>IFERROR(INDEX(Работы!$F$2:$F$6000,MATCH($C761,Работы!$A$2:$A$6000,0)),"")</f>
        <v>2</v>
      </c>
      <c r="C761" t="str">
        <f>IFERROR(INDEX(Работы!$A$2:$A$6000,760),"")</f>
        <v>РАБ.Р9.2.123</v>
      </c>
      <c r="D761" s="8" t="str">
        <f>IFERROR(INDEX(Работы!$B$2:$B$6000,MATCH($C761,Работы!$A$2:$A$6000,0)),"")</f>
        <v>Монтаж светильника аварийного / эвакуационного</v>
      </c>
      <c r="E761" t="str">
        <f>IFERROR(INDEX(Работы!$C$2:$C$6000,MATCH($C761,Работы!$A$2:$A$6000,0)),"")</f>
        <v>шт.</v>
      </c>
      <c r="F761" t="str">
        <f>IFERROR(INDEX(Работы!$G$2:$G$6000,MATCH($C761,Работы!$A$2:$A$6000,0)),"")</f>
        <v>СВЕТ.АВАР</v>
      </c>
      <c r="G761" t="str">
        <f>IFERROR(INDEX(Работы!$K$2:$K$6000,MATCH($C761,Работы!$A$2:$A$6000,0)),"")</f>
        <v>Спецификация</v>
      </c>
      <c r="H761" s="9"/>
      <c r="I761" s="9"/>
      <c r="J761" s="8" t="str">
        <f>IFERROR(INDEX(Материалы!$B$2:$B$9000,MATCH($I761,Материалы!$A$2:$A$9000,0)),"")</f>
        <v/>
      </c>
      <c r="K761" t="str">
        <f>IF($I761="","",IF($F761=IFERROR(INDEX(Материалы!$G$2:$G$9000,MATCH($I761,Материалы!$A$2:$A$9000,0)),""),"OK","!! не та группа"))</f>
        <v/>
      </c>
      <c r="L761" s="10">
        <f>IFERROR(INDEX(Работы!$H$2:$H$6000,MATCH($C761,Работы!$A$2:$A$6000,0))*(1-ДисконтТендер),0)</f>
        <v>1396.71</v>
      </c>
      <c r="M761" s="10">
        <f>IF($I761="",0,IFERROR(INDEX(Материалы!$I$2:$I$9000,MATCH($I761,Материалы!$A$2:$A$9000,0))*IF(INDEX(Материалы!$J$2:$J$9000,MATCH($I761,Материалы!$A$2:$A$9000,0))="USD",КурсUSD,IF(INDEX(Материалы!$J$2:$J$9000,MATCH($I761,Материалы!$A$2:$A$9000,0))="EUR",КурсEUR,1))*INDEX(Материалы!$K$2:$K$9000,MATCH($I761,Материалы!$A$2:$A$9000,0))*(1+IFERROR(INDEX(Работы!$I$2:$I$6000,MATCH($C761,Работы!$A$2:$A$6000,0))/100,0))*(1-ДисконтТендер),0))</f>
        <v>0</v>
      </c>
      <c r="N761" s="10">
        <f t="shared" si="33"/>
        <v>0</v>
      </c>
      <c r="O761" s="10">
        <f t="shared" si="34"/>
        <v>0</v>
      </c>
      <c r="P761" s="10">
        <f t="shared" si="35"/>
        <v>0</v>
      </c>
      <c r="Q761" t="str">
        <f>IFERROR(INDEX(Работы!$J$2:$J$6000,MATCH($C761,Работы!$A$2:$A$6000,0)),"")</f>
        <v>типовая</v>
      </c>
      <c r="R761" t="s">
        <v>92</v>
      </c>
      <c r="T761" t="str">
        <f>IF(AND($P761&gt;0,$R761="да"),MAX($T$1:$T760)+1,"")</f>
        <v/>
      </c>
    </row>
    <row r="762" spans="1:20" ht="28.8" x14ac:dyDescent="0.3">
      <c r="A762" t="str">
        <f>IFERROR(INDEX(Работы!$D$2:$D$6000,MATCH($C762,Работы!$A$2:$A$6000,0)),"")</f>
        <v>Р9</v>
      </c>
      <c r="B762" t="str">
        <f>IFERROR(INDEX(Работы!$F$2:$F$6000,MATCH($C762,Работы!$A$2:$A$6000,0)),"")</f>
        <v>2</v>
      </c>
      <c r="C762" t="str">
        <f>IFERROR(INDEX(Работы!$A$2:$A$6000,761),"")</f>
        <v>РАБ.Р9.2.124</v>
      </c>
      <c r="D762" s="8" t="str">
        <f>IFERROR(INDEX(Работы!$B$2:$B$6000,MATCH($C762,Работы!$A$2:$A$6000,0)),"")</f>
        <v>Quark AIR IT Lens D70 8W-4000K CRI 90 H210 Susp WHI- Светильник</v>
      </c>
      <c r="E762" t="str">
        <f>IFERROR(INDEX(Работы!$C$2:$C$6000,MATCH($C762,Работы!$A$2:$A$6000,0)),"")</f>
        <v>шт.</v>
      </c>
      <c r="F762" t="str">
        <f>IFERROR(INDEX(Работы!$G$2:$G$6000,MATCH($C762,Работы!$A$2:$A$6000,0)),"")</f>
        <v>СВЕТ</v>
      </c>
      <c r="G762" t="str">
        <f>IFERROR(INDEX(Работы!$K$2:$K$6000,MATCH($C762,Работы!$A$2:$A$6000,0)),"")</f>
        <v>Спецификация</v>
      </c>
      <c r="H762" s="9"/>
      <c r="I762" s="9"/>
      <c r="J762" s="8" t="str">
        <f>IFERROR(INDEX(Материалы!$B$2:$B$9000,MATCH($I762,Материалы!$A$2:$A$9000,0)),"")</f>
        <v/>
      </c>
      <c r="K762" t="str">
        <f>IF($I762="","",IF($F762=IFERROR(INDEX(Материалы!$G$2:$G$9000,MATCH($I762,Материалы!$A$2:$A$9000,0)),""),"OK","!! не та группа"))</f>
        <v/>
      </c>
      <c r="L762" s="10">
        <f>IFERROR(INDEX(Работы!$H$2:$H$6000,MATCH($C762,Работы!$A$2:$A$6000,0))*(1-ДисконтТендер),0)</f>
        <v>735.87</v>
      </c>
      <c r="M762" s="10">
        <f>IF($I762="",0,IFERROR(INDEX(Материалы!$I$2:$I$9000,MATCH($I762,Материалы!$A$2:$A$9000,0))*IF(INDEX(Материалы!$J$2:$J$9000,MATCH($I762,Материалы!$A$2:$A$9000,0))="USD",КурсUSD,IF(INDEX(Материалы!$J$2:$J$9000,MATCH($I762,Материалы!$A$2:$A$9000,0))="EUR",КурсEUR,1))*INDEX(Материалы!$K$2:$K$9000,MATCH($I762,Материалы!$A$2:$A$9000,0))*(1+IFERROR(INDEX(Работы!$I$2:$I$6000,MATCH($C762,Работы!$A$2:$A$6000,0))/100,0))*(1-ДисконтТендер),0))</f>
        <v>0</v>
      </c>
      <c r="N762" s="10">
        <f t="shared" si="33"/>
        <v>0</v>
      </c>
      <c r="O762" s="10">
        <f t="shared" si="34"/>
        <v>0</v>
      </c>
      <c r="P762" s="10">
        <f t="shared" si="35"/>
        <v>0</v>
      </c>
      <c r="Q762" t="str">
        <f>IFERROR(INDEX(Работы!$J$2:$J$6000,MATCH($C762,Работы!$A$2:$A$6000,0)),"")</f>
        <v>типовая</v>
      </c>
      <c r="R762" t="s">
        <v>92</v>
      </c>
      <c r="T762" t="str">
        <f>IF(AND($P762&gt;0,$R762="да"),MAX($T$1:$T761)+1,"")</f>
        <v/>
      </c>
    </row>
    <row r="763" spans="1:20" ht="28.8" x14ac:dyDescent="0.3">
      <c r="A763" t="str">
        <f>IFERROR(INDEX(Работы!$D$2:$D$6000,MATCH($C763,Работы!$A$2:$A$6000,0)),"")</f>
        <v>Р9</v>
      </c>
      <c r="B763" t="str">
        <f>IFERROR(INDEX(Работы!$F$2:$F$6000,MATCH($C763,Работы!$A$2:$A$6000,0)),"")</f>
        <v>2</v>
      </c>
      <c r="C763" t="str">
        <f>IFERROR(INDEX(Работы!$A$2:$A$6000,762),"")</f>
        <v>РАБ.Р9.2.125</v>
      </c>
      <c r="D763" s="8" t="str">
        <f>IFERROR(INDEX(Работы!$B$2:$B$6000,MATCH($C763,Работы!$A$2:$A$6000,0)),"")</f>
        <v>Quark AIR IT MP D70 8W-4000K CRI 90 H210 Susp BLK - Светильник</v>
      </c>
      <c r="E763" t="str">
        <f>IFERROR(INDEX(Работы!$C$2:$C$6000,MATCH($C763,Работы!$A$2:$A$6000,0)),"")</f>
        <v>шт.</v>
      </c>
      <c r="F763" t="str">
        <f>IFERROR(INDEX(Работы!$G$2:$G$6000,MATCH($C763,Работы!$A$2:$A$6000,0)),"")</f>
        <v>СВЕТ</v>
      </c>
      <c r="G763" t="str">
        <f>IFERROR(INDEX(Работы!$K$2:$K$6000,MATCH($C763,Работы!$A$2:$A$6000,0)),"")</f>
        <v>Спецификация</v>
      </c>
      <c r="H763" s="9"/>
      <c r="I763" s="9"/>
      <c r="J763" s="8" t="str">
        <f>IFERROR(INDEX(Материалы!$B$2:$B$9000,MATCH($I763,Материалы!$A$2:$A$9000,0)),"")</f>
        <v/>
      </c>
      <c r="K763" t="str">
        <f>IF($I763="","",IF($F763=IFERROR(INDEX(Материалы!$G$2:$G$9000,MATCH($I763,Материалы!$A$2:$A$9000,0)),""),"OK","!! не та группа"))</f>
        <v/>
      </c>
      <c r="L763" s="10">
        <f>IFERROR(INDEX(Работы!$H$2:$H$6000,MATCH($C763,Работы!$A$2:$A$6000,0))*(1-ДисконтТендер),0)</f>
        <v>714.33</v>
      </c>
      <c r="M763" s="10">
        <f>IF($I763="",0,IFERROR(INDEX(Материалы!$I$2:$I$9000,MATCH($I763,Материалы!$A$2:$A$9000,0))*IF(INDEX(Материалы!$J$2:$J$9000,MATCH($I763,Материалы!$A$2:$A$9000,0))="USD",КурсUSD,IF(INDEX(Материалы!$J$2:$J$9000,MATCH($I763,Материалы!$A$2:$A$9000,0))="EUR",КурсEUR,1))*INDEX(Материалы!$K$2:$K$9000,MATCH($I763,Материалы!$A$2:$A$9000,0))*(1+IFERROR(INDEX(Работы!$I$2:$I$6000,MATCH($C763,Работы!$A$2:$A$6000,0))/100,0))*(1-ДисконтТендер),0))</f>
        <v>0</v>
      </c>
      <c r="N763" s="10">
        <f t="shared" si="33"/>
        <v>0</v>
      </c>
      <c r="O763" s="10">
        <f t="shared" si="34"/>
        <v>0</v>
      </c>
      <c r="P763" s="10">
        <f t="shared" si="35"/>
        <v>0</v>
      </c>
      <c r="Q763" t="str">
        <f>IFERROR(INDEX(Работы!$J$2:$J$6000,MATCH($C763,Работы!$A$2:$A$6000,0)),"")</f>
        <v>типовая</v>
      </c>
      <c r="R763" t="s">
        <v>92</v>
      </c>
      <c r="T763" t="str">
        <f>IF(AND($P763&gt;0,$R763="да"),MAX($T$1:$T762)+1,"")</f>
        <v/>
      </c>
    </row>
    <row r="764" spans="1:20" ht="28.8" x14ac:dyDescent="0.3">
      <c r="A764" t="str">
        <f>IFERROR(INDEX(Работы!$D$2:$D$6000,MATCH($C764,Работы!$A$2:$A$6000,0)),"")</f>
        <v>Р9</v>
      </c>
      <c r="B764" t="str">
        <f>IFERROR(INDEX(Работы!$F$2:$F$6000,MATCH($C764,Работы!$A$2:$A$6000,0)),"")</f>
        <v>2</v>
      </c>
      <c r="C764" t="str">
        <f>IFERROR(INDEX(Работы!$A$2:$A$6000,763),"")</f>
        <v>РАБ.Р9.2.126</v>
      </c>
      <c r="D764" s="8" t="str">
        <f>IFERROR(INDEX(Работы!$B$2:$B$6000,MATCH($C764,Работы!$A$2:$A$6000,0)),"")</f>
        <v>Quark AIR IT MP D45 12W-4000K CRI 90 H210 Susp - Светильник + NECK Q45 IT - Декоративная насадка</v>
      </c>
      <c r="E764" t="str">
        <f>IFERROR(INDEX(Работы!$C$2:$C$6000,MATCH($C764,Работы!$A$2:$A$6000,0)),"")</f>
        <v>шт.</v>
      </c>
      <c r="F764" t="str">
        <f>IFERROR(INDEX(Работы!$G$2:$G$6000,MATCH($C764,Работы!$A$2:$A$6000,0)),"")</f>
        <v>СВЕТ</v>
      </c>
      <c r="G764" t="str">
        <f>IFERROR(INDEX(Работы!$K$2:$K$6000,MATCH($C764,Работы!$A$2:$A$6000,0)),"")</f>
        <v>Спецификация</v>
      </c>
      <c r="H764" s="9"/>
      <c r="I764" s="9"/>
      <c r="J764" s="8" t="str">
        <f>IFERROR(INDEX(Материалы!$B$2:$B$9000,MATCH($I764,Материалы!$A$2:$A$9000,0)),"")</f>
        <v/>
      </c>
      <c r="K764" t="str">
        <f>IF($I764="","",IF($F764=IFERROR(INDEX(Материалы!$G$2:$G$9000,MATCH($I764,Материалы!$A$2:$A$9000,0)),""),"OK","!! не та группа"))</f>
        <v/>
      </c>
      <c r="L764" s="10">
        <f>IFERROR(INDEX(Работы!$H$2:$H$6000,MATCH($C764,Работы!$A$2:$A$6000,0))*(1-ДисконтТендер),0)</f>
        <v>838.31</v>
      </c>
      <c r="M764" s="10">
        <f>IF($I764="",0,IFERROR(INDEX(Материалы!$I$2:$I$9000,MATCH($I764,Материалы!$A$2:$A$9000,0))*IF(INDEX(Материалы!$J$2:$J$9000,MATCH($I764,Материалы!$A$2:$A$9000,0))="USD",КурсUSD,IF(INDEX(Материалы!$J$2:$J$9000,MATCH($I764,Материалы!$A$2:$A$9000,0))="EUR",КурсEUR,1))*INDEX(Материалы!$K$2:$K$9000,MATCH($I764,Материалы!$A$2:$A$9000,0))*(1+IFERROR(INDEX(Работы!$I$2:$I$6000,MATCH($C764,Работы!$A$2:$A$6000,0))/100,0))*(1-ДисконтТендер),0))</f>
        <v>0</v>
      </c>
      <c r="N764" s="10">
        <f t="shared" si="33"/>
        <v>0</v>
      </c>
      <c r="O764" s="10">
        <f t="shared" si="34"/>
        <v>0</v>
      </c>
      <c r="P764" s="10">
        <f t="shared" si="35"/>
        <v>0</v>
      </c>
      <c r="Q764" t="str">
        <f>IFERROR(INDEX(Работы!$J$2:$J$6000,MATCH($C764,Работы!$A$2:$A$6000,0)),"")</f>
        <v>типовая</v>
      </c>
      <c r="R764" t="s">
        <v>92</v>
      </c>
      <c r="T764" t="str">
        <f>IF(AND($P764&gt;0,$R764="да"),MAX($T$1:$T763)+1,"")</f>
        <v/>
      </c>
    </row>
    <row r="765" spans="1:20" ht="28.8" x14ac:dyDescent="0.3">
      <c r="A765" t="str">
        <f>IFERROR(INDEX(Работы!$D$2:$D$6000,MATCH($C765,Работы!$A$2:$A$6000,0)),"")</f>
        <v>Р9</v>
      </c>
      <c r="B765" t="str">
        <f>IFERROR(INDEX(Работы!$F$2:$F$6000,MATCH($C765,Работы!$A$2:$A$6000,0)),"")</f>
        <v>2</v>
      </c>
      <c r="C765" t="str">
        <f>IFERROR(INDEX(Работы!$A$2:$A$6000,764),"")</f>
        <v>РАБ.Р9.2.127</v>
      </c>
      <c r="D765" s="8" t="str">
        <f>IFERROR(INDEX(Работы!$B$2:$B$6000,MATCH($C765,Работы!$A$2:$A$6000,0)),"")</f>
        <v>Agat D80 31W/mt-4000K CRI 90 ROW Susp WHI - Светильник</v>
      </c>
      <c r="E765" t="str">
        <f>IFERROR(INDEX(Работы!$C$2:$C$6000,MATCH($C765,Работы!$A$2:$A$6000,0)),"")</f>
        <v>шт.</v>
      </c>
      <c r="F765" t="str">
        <f>IFERROR(INDEX(Работы!$G$2:$G$6000,MATCH($C765,Работы!$A$2:$A$6000,0)),"")</f>
        <v>СВЕТ</v>
      </c>
      <c r="G765" t="str">
        <f>IFERROR(INDEX(Работы!$K$2:$K$6000,MATCH($C765,Работы!$A$2:$A$6000,0)),"")</f>
        <v>Спецификация</v>
      </c>
      <c r="H765" s="9"/>
      <c r="I765" s="9"/>
      <c r="J765" s="8" t="str">
        <f>IFERROR(INDEX(Материалы!$B$2:$B$9000,MATCH($I765,Материалы!$A$2:$A$9000,0)),"")</f>
        <v/>
      </c>
      <c r="K765" t="str">
        <f>IF($I765="","",IF($F765=IFERROR(INDEX(Материалы!$G$2:$G$9000,MATCH($I765,Материалы!$A$2:$A$9000,0)),""),"OK","!! не та группа"))</f>
        <v/>
      </c>
      <c r="L765" s="10">
        <f>IFERROR(INDEX(Работы!$H$2:$H$6000,MATCH($C765,Работы!$A$2:$A$6000,0))*(1-ДисконтТендер),0)</f>
        <v>3198.26</v>
      </c>
      <c r="M765" s="10">
        <f>IF($I765="",0,IFERROR(INDEX(Материалы!$I$2:$I$9000,MATCH($I765,Материалы!$A$2:$A$9000,0))*IF(INDEX(Материалы!$J$2:$J$9000,MATCH($I765,Материалы!$A$2:$A$9000,0))="USD",КурсUSD,IF(INDEX(Материалы!$J$2:$J$9000,MATCH($I765,Материалы!$A$2:$A$9000,0))="EUR",КурсEUR,1))*INDEX(Материалы!$K$2:$K$9000,MATCH($I765,Материалы!$A$2:$A$9000,0))*(1+IFERROR(INDEX(Работы!$I$2:$I$6000,MATCH($C765,Работы!$A$2:$A$6000,0))/100,0))*(1-ДисконтТендер),0))</f>
        <v>0</v>
      </c>
      <c r="N765" s="10">
        <f t="shared" si="33"/>
        <v>0</v>
      </c>
      <c r="O765" s="10">
        <f t="shared" si="34"/>
        <v>0</v>
      </c>
      <c r="P765" s="10">
        <f t="shared" si="35"/>
        <v>0</v>
      </c>
      <c r="Q765" t="str">
        <f>IFERROR(INDEX(Работы!$J$2:$J$6000,MATCH($C765,Работы!$A$2:$A$6000,0)),"")</f>
        <v>типовая</v>
      </c>
      <c r="R765" t="s">
        <v>92</v>
      </c>
      <c r="T765" t="str">
        <f>IF(AND($P765&gt;0,$R765="да"),MAX($T$1:$T764)+1,"")</f>
        <v/>
      </c>
    </row>
    <row r="766" spans="1:20" ht="28.8" x14ac:dyDescent="0.3">
      <c r="A766" t="str">
        <f>IFERROR(INDEX(Работы!$D$2:$D$6000,MATCH($C766,Работы!$A$2:$A$6000,0)),"")</f>
        <v>Р9</v>
      </c>
      <c r="B766" t="str">
        <f>IFERROR(INDEX(Работы!$F$2:$F$6000,MATCH($C766,Работы!$A$2:$A$6000,0)),"")</f>
        <v>2</v>
      </c>
      <c r="C766" t="str">
        <f>IFERROR(INDEX(Работы!$A$2:$A$6000,765),"")</f>
        <v>РАБ.Р9.2.128</v>
      </c>
      <c r="D766" s="8" t="str">
        <f>IFERROR(INDEX(Работы!$B$2:$B$6000,MATCH($C766,Работы!$A$2:$A$6000,0)),"")</f>
        <v>Ray IN D750 49W-4000K CRI 90 Reduced Susp BLK - Светильник</v>
      </c>
      <c r="E766" t="str">
        <f>IFERROR(INDEX(Работы!$C$2:$C$6000,MATCH($C766,Работы!$A$2:$A$6000,0)),"")</f>
        <v>шт.</v>
      </c>
      <c r="F766" t="str">
        <f>IFERROR(INDEX(Работы!$G$2:$G$6000,MATCH($C766,Работы!$A$2:$A$6000,0)),"")</f>
        <v>СВЕТ</v>
      </c>
      <c r="G766" t="str">
        <f>IFERROR(INDEX(Работы!$K$2:$K$6000,MATCH($C766,Работы!$A$2:$A$6000,0)),"")</f>
        <v>Спецификация</v>
      </c>
      <c r="H766" s="9"/>
      <c r="I766" s="9"/>
      <c r="J766" s="8" t="str">
        <f>IFERROR(INDEX(Материалы!$B$2:$B$9000,MATCH($I766,Материалы!$A$2:$A$9000,0)),"")</f>
        <v/>
      </c>
      <c r="K766" t="str">
        <f>IF($I766="","",IF($F766=IFERROR(INDEX(Материалы!$G$2:$G$9000,MATCH($I766,Материалы!$A$2:$A$9000,0)),""),"OK","!! не та группа"))</f>
        <v/>
      </c>
      <c r="L766" s="10">
        <f>IFERROR(INDEX(Работы!$H$2:$H$6000,MATCH($C766,Работы!$A$2:$A$6000,0))*(1-ДисконтТендер),0)</f>
        <v>2546.21</v>
      </c>
      <c r="M766" s="10">
        <f>IF($I766="",0,IFERROR(INDEX(Материалы!$I$2:$I$9000,MATCH($I766,Материалы!$A$2:$A$9000,0))*IF(INDEX(Материалы!$J$2:$J$9000,MATCH($I766,Материалы!$A$2:$A$9000,0))="USD",КурсUSD,IF(INDEX(Материалы!$J$2:$J$9000,MATCH($I766,Материалы!$A$2:$A$9000,0))="EUR",КурсEUR,1))*INDEX(Материалы!$K$2:$K$9000,MATCH($I766,Материалы!$A$2:$A$9000,0))*(1+IFERROR(INDEX(Работы!$I$2:$I$6000,MATCH($C766,Работы!$A$2:$A$6000,0))/100,0))*(1-ДисконтТендер),0))</f>
        <v>0</v>
      </c>
      <c r="N766" s="10">
        <f t="shared" si="33"/>
        <v>0</v>
      </c>
      <c r="O766" s="10">
        <f t="shared" si="34"/>
        <v>0</v>
      </c>
      <c r="P766" s="10">
        <f t="shared" si="35"/>
        <v>0</v>
      </c>
      <c r="Q766" t="str">
        <f>IFERROR(INDEX(Работы!$J$2:$J$6000,MATCH($C766,Работы!$A$2:$A$6000,0)),"")</f>
        <v>типовая</v>
      </c>
      <c r="R766" t="s">
        <v>92</v>
      </c>
      <c r="T766" t="str">
        <f>IF(AND($P766&gt;0,$R766="да"),MAX($T$1:$T765)+1,"")</f>
        <v/>
      </c>
    </row>
    <row r="767" spans="1:20" ht="57.6" x14ac:dyDescent="0.3">
      <c r="A767" t="str">
        <f>IFERROR(INDEX(Работы!$D$2:$D$6000,MATCH($C767,Работы!$A$2:$A$6000,0)),"")</f>
        <v>Р9</v>
      </c>
      <c r="B767" t="str">
        <f>IFERROR(INDEX(Работы!$F$2:$F$6000,MATCH($C767,Работы!$A$2:$A$6000,0)),"")</f>
        <v>2</v>
      </c>
      <c r="C767" t="str">
        <f>IFERROR(INDEX(Работы!$A$2:$A$6000,766),"")</f>
        <v>РАБ.Р9.2.129</v>
      </c>
      <c r="D767" s="8" t="str">
        <f>IFERROR(INDEX(Работы!$B$2:$B$6000,MATCH($C767,Работы!$A$2:$A$6000,0)),"")</f>
        <v>Ray IN D750 69W-4000K CRI 90 Susp WHI - Светильник + Acc. Emergency kit 1,8-3,5W {1-5L12/0,5-2,5L24} EM1H (18-35V, max 100V) BOX I - Аварийный блок</v>
      </c>
      <c r="E767" t="str">
        <f>IFERROR(INDEX(Работы!$C$2:$C$6000,MATCH($C767,Работы!$A$2:$A$6000,0)),"")</f>
        <v>шт.</v>
      </c>
      <c r="F767" t="str">
        <f>IFERROR(INDEX(Работы!$G$2:$G$6000,MATCH($C767,Работы!$A$2:$A$6000,0)),"")</f>
        <v>СВЕТ.АВАР</v>
      </c>
      <c r="G767" t="str">
        <f>IFERROR(INDEX(Работы!$K$2:$K$6000,MATCH($C767,Работы!$A$2:$A$6000,0)),"")</f>
        <v>Спецификация</v>
      </c>
      <c r="H767" s="9"/>
      <c r="I767" s="9"/>
      <c r="J767" s="8" t="str">
        <f>IFERROR(INDEX(Материалы!$B$2:$B$9000,MATCH($I767,Материалы!$A$2:$A$9000,0)),"")</f>
        <v/>
      </c>
      <c r="K767" t="str">
        <f>IF($I767="","",IF($F767=IFERROR(INDEX(Материалы!$G$2:$G$9000,MATCH($I767,Материалы!$A$2:$A$9000,0)),""),"OK","!! не та группа"))</f>
        <v/>
      </c>
      <c r="L767" s="10">
        <f>IFERROR(INDEX(Работы!$H$2:$H$6000,MATCH($C767,Работы!$A$2:$A$6000,0))*(1-ДисконтТендер),0)</f>
        <v>3059.82</v>
      </c>
      <c r="M767" s="10">
        <f>IF($I767="",0,IFERROR(INDEX(Материалы!$I$2:$I$9000,MATCH($I767,Материалы!$A$2:$A$9000,0))*IF(INDEX(Материалы!$J$2:$J$9000,MATCH($I767,Материалы!$A$2:$A$9000,0))="USD",КурсUSD,IF(INDEX(Материалы!$J$2:$J$9000,MATCH($I767,Материалы!$A$2:$A$9000,0))="EUR",КурсEUR,1))*INDEX(Материалы!$K$2:$K$9000,MATCH($I767,Материалы!$A$2:$A$9000,0))*(1+IFERROR(INDEX(Работы!$I$2:$I$6000,MATCH($C767,Работы!$A$2:$A$6000,0))/100,0))*(1-ДисконтТендер),0))</f>
        <v>0</v>
      </c>
      <c r="N767" s="10">
        <f t="shared" si="33"/>
        <v>0</v>
      </c>
      <c r="O767" s="10">
        <f t="shared" si="34"/>
        <v>0</v>
      </c>
      <c r="P767" s="10">
        <f t="shared" si="35"/>
        <v>0</v>
      </c>
      <c r="Q767" t="str">
        <f>IFERROR(INDEX(Работы!$J$2:$J$6000,MATCH($C767,Работы!$A$2:$A$6000,0)),"")</f>
        <v>типовая</v>
      </c>
      <c r="R767" t="s">
        <v>92</v>
      </c>
      <c r="T767" t="str">
        <f>IF(AND($P767&gt;0,$R767="да"),MAX($T$1:$T766)+1,"")</f>
        <v/>
      </c>
    </row>
    <row r="768" spans="1:20" ht="28.8" x14ac:dyDescent="0.3">
      <c r="A768" t="str">
        <f>IFERROR(INDEX(Работы!$D$2:$D$6000,MATCH($C768,Работы!$A$2:$A$6000,0)),"")</f>
        <v>Р9</v>
      </c>
      <c r="B768" t="str">
        <f>IFERROR(INDEX(Работы!$F$2:$F$6000,MATCH($C768,Работы!$A$2:$A$6000,0)),"")</f>
        <v>2</v>
      </c>
      <c r="C768" t="str">
        <f>IFERROR(INDEX(Работы!$A$2:$A$6000,767),"")</f>
        <v>РАБ.Р9.2.130</v>
      </c>
      <c r="D768" s="8" t="str">
        <f>IFERROR(INDEX(Работы!$B$2:$B$6000,MATCH($C768,Работы!$A$2:$A$6000,0)),"")</f>
        <v>Rota D650 MP ECO 28W-4000K CRI 90 Susp BLK - Светильник</v>
      </c>
      <c r="E768" t="str">
        <f>IFERROR(INDEX(Работы!$C$2:$C$6000,MATCH($C768,Работы!$A$2:$A$6000,0)),"")</f>
        <v>шт.</v>
      </c>
      <c r="F768" t="str">
        <f>IFERROR(INDEX(Работы!$G$2:$G$6000,MATCH($C768,Работы!$A$2:$A$6000,0)),"")</f>
        <v>СВЕТ</v>
      </c>
      <c r="G768" t="str">
        <f>IFERROR(INDEX(Работы!$K$2:$K$6000,MATCH($C768,Работы!$A$2:$A$6000,0)),"")</f>
        <v>Спецификация</v>
      </c>
      <c r="H768" s="9"/>
      <c r="I768" s="9"/>
      <c r="J768" s="8" t="str">
        <f>IFERROR(INDEX(Материалы!$B$2:$B$9000,MATCH($I768,Материалы!$A$2:$A$9000,0)),"")</f>
        <v/>
      </c>
      <c r="K768" t="str">
        <f>IF($I768="","",IF($F768=IFERROR(INDEX(Материалы!$G$2:$G$9000,MATCH($I768,Материалы!$A$2:$A$9000,0)),""),"OK","!! не та группа"))</f>
        <v/>
      </c>
      <c r="L768" s="10">
        <f>IFERROR(INDEX(Работы!$H$2:$H$6000,MATCH($C768,Работы!$A$2:$A$6000,0))*(1-ДисконтТендер),0)</f>
        <v>2510.6799999999998</v>
      </c>
      <c r="M768" s="10">
        <f>IF($I768="",0,IFERROR(INDEX(Материалы!$I$2:$I$9000,MATCH($I768,Материалы!$A$2:$A$9000,0))*IF(INDEX(Материалы!$J$2:$J$9000,MATCH($I768,Материалы!$A$2:$A$9000,0))="USD",КурсUSD,IF(INDEX(Материалы!$J$2:$J$9000,MATCH($I768,Материалы!$A$2:$A$9000,0))="EUR",КурсEUR,1))*INDEX(Материалы!$K$2:$K$9000,MATCH($I768,Материалы!$A$2:$A$9000,0))*(1+IFERROR(INDEX(Работы!$I$2:$I$6000,MATCH($C768,Работы!$A$2:$A$6000,0))/100,0))*(1-ДисконтТендер),0))</f>
        <v>0</v>
      </c>
      <c r="N768" s="10">
        <f t="shared" si="33"/>
        <v>0</v>
      </c>
      <c r="O768" s="10">
        <f t="shared" si="34"/>
        <v>0</v>
      </c>
      <c r="P768" s="10">
        <f t="shared" si="35"/>
        <v>0</v>
      </c>
      <c r="Q768" t="str">
        <f>IFERROR(INDEX(Работы!$J$2:$J$6000,MATCH($C768,Работы!$A$2:$A$6000,0)),"")</f>
        <v>типовая</v>
      </c>
      <c r="R768" t="s">
        <v>92</v>
      </c>
      <c r="T768" t="str">
        <f>IF(AND($P768&gt;0,$R768="да"),MAX($T$1:$T767)+1,"")</f>
        <v/>
      </c>
    </row>
    <row r="769" spans="1:20" ht="28.8" x14ac:dyDescent="0.3">
      <c r="A769" t="str">
        <f>IFERROR(INDEX(Работы!$D$2:$D$6000,MATCH($C769,Работы!$A$2:$A$6000,0)),"")</f>
        <v>Р9</v>
      </c>
      <c r="B769" t="str">
        <f>IFERROR(INDEX(Работы!$F$2:$F$6000,MATCH($C769,Работы!$A$2:$A$6000,0)),"")</f>
        <v>2</v>
      </c>
      <c r="C769" t="str">
        <f>IFERROR(INDEX(Работы!$A$2:$A$6000,768),"")</f>
        <v>РАБ.Р9.2.131</v>
      </c>
      <c r="D769" s="8" t="str">
        <f>IFERROR(INDEX(Работы!$B$2:$B$6000,MATCH($C769,Работы!$A$2:$A$6000,0)),"")</f>
        <v>Longa 61 46W-4000K CRI 90 MP 2xL24 Reduced M1200 Susp BLK - Светильник</v>
      </c>
      <c r="E769" t="str">
        <f>IFERROR(INDEX(Работы!$C$2:$C$6000,MATCH($C769,Работы!$A$2:$A$6000,0)),"")</f>
        <v>шт.</v>
      </c>
      <c r="F769" t="str">
        <f>IFERROR(INDEX(Работы!$G$2:$G$6000,MATCH($C769,Работы!$A$2:$A$6000,0)),"")</f>
        <v>СВЕТ</v>
      </c>
      <c r="G769" t="str">
        <f>IFERROR(INDEX(Работы!$K$2:$K$6000,MATCH($C769,Работы!$A$2:$A$6000,0)),"")</f>
        <v>Спецификация</v>
      </c>
      <c r="H769" s="9"/>
      <c r="I769" s="9"/>
      <c r="J769" s="8" t="str">
        <f>IFERROR(INDEX(Материалы!$B$2:$B$9000,MATCH($I769,Материалы!$A$2:$A$9000,0)),"")</f>
        <v/>
      </c>
      <c r="K769" t="str">
        <f>IF($I769="","",IF($F769=IFERROR(INDEX(Материалы!$G$2:$G$9000,MATCH($I769,Материалы!$A$2:$A$9000,0)),""),"OK","!! не та группа"))</f>
        <v/>
      </c>
      <c r="L769" s="10">
        <f>IFERROR(INDEX(Работы!$H$2:$H$6000,MATCH($C769,Работы!$A$2:$A$6000,0))*(1-ДисконтТендер),0)</f>
        <v>1837.93</v>
      </c>
      <c r="M769" s="10">
        <f>IF($I769="",0,IFERROR(INDEX(Материалы!$I$2:$I$9000,MATCH($I769,Материалы!$A$2:$A$9000,0))*IF(INDEX(Материалы!$J$2:$J$9000,MATCH($I769,Материалы!$A$2:$A$9000,0))="USD",КурсUSD,IF(INDEX(Материалы!$J$2:$J$9000,MATCH($I769,Материалы!$A$2:$A$9000,0))="EUR",КурсEUR,1))*INDEX(Материалы!$K$2:$K$9000,MATCH($I769,Материалы!$A$2:$A$9000,0))*(1+IFERROR(INDEX(Работы!$I$2:$I$6000,MATCH($C769,Работы!$A$2:$A$6000,0))/100,0))*(1-ДисконтТендер),0))</f>
        <v>0</v>
      </c>
      <c r="N769" s="10">
        <f t="shared" si="33"/>
        <v>0</v>
      </c>
      <c r="O769" s="10">
        <f t="shared" si="34"/>
        <v>0</v>
      </c>
      <c r="P769" s="10">
        <f t="shared" si="35"/>
        <v>0</v>
      </c>
      <c r="Q769" t="str">
        <f>IFERROR(INDEX(Работы!$J$2:$J$6000,MATCH($C769,Работы!$A$2:$A$6000,0)),"")</f>
        <v>типовая</v>
      </c>
      <c r="R769" t="s">
        <v>92</v>
      </c>
      <c r="T769" t="str">
        <f>IF(AND($P769&gt;0,$R769="да"),MAX($T$1:$T768)+1,"")</f>
        <v/>
      </c>
    </row>
    <row r="770" spans="1:20" ht="28.8" x14ac:dyDescent="0.3">
      <c r="A770" t="str">
        <f>IFERROR(INDEX(Работы!$D$2:$D$6000,MATCH($C770,Работы!$A$2:$A$6000,0)),"")</f>
        <v>Р9</v>
      </c>
      <c r="B770" t="str">
        <f>IFERROR(INDEX(Работы!$F$2:$F$6000,MATCH($C770,Работы!$A$2:$A$6000,0)),"")</f>
        <v>2</v>
      </c>
      <c r="C770" t="str">
        <f>IFERROR(INDEX(Работы!$A$2:$A$6000,769),"")</f>
        <v>РАБ.Р9.2.132</v>
      </c>
      <c r="D770" s="8" t="str">
        <f>IFERROR(INDEX(Работы!$B$2:$B$6000,MATCH($C770,Работы!$A$2:$A$6000,0)),"")</f>
        <v>Longa 61 35W-4000K CRI 90 MP M1200 Susp BLK - Светильник</v>
      </c>
      <c r="E770" t="str">
        <f>IFERROR(INDEX(Работы!$C$2:$C$6000,MATCH($C770,Работы!$A$2:$A$6000,0)),"")</f>
        <v>шт.</v>
      </c>
      <c r="F770" t="str">
        <f>IFERROR(INDEX(Работы!$G$2:$G$6000,MATCH($C770,Работы!$A$2:$A$6000,0)),"")</f>
        <v>СВЕТ</v>
      </c>
      <c r="G770" t="str">
        <f>IFERROR(INDEX(Работы!$K$2:$K$6000,MATCH($C770,Работы!$A$2:$A$6000,0)),"")</f>
        <v>Спецификация</v>
      </c>
      <c r="H770" s="9"/>
      <c r="I770" s="9"/>
      <c r="J770" s="8" t="str">
        <f>IFERROR(INDEX(Материалы!$B$2:$B$9000,MATCH($I770,Материалы!$A$2:$A$9000,0)),"")</f>
        <v/>
      </c>
      <c r="K770" t="str">
        <f>IF($I770="","",IF($F770=IFERROR(INDEX(Материалы!$G$2:$G$9000,MATCH($I770,Материалы!$A$2:$A$9000,0)),""),"OK","!! не та группа"))</f>
        <v/>
      </c>
      <c r="L770" s="10">
        <f>IFERROR(INDEX(Работы!$H$2:$H$6000,MATCH($C770,Работы!$A$2:$A$6000,0))*(1-ДисконтТендер),0)</f>
        <v>1395.39</v>
      </c>
      <c r="M770" s="10">
        <f>IF($I770="",0,IFERROR(INDEX(Материалы!$I$2:$I$9000,MATCH($I770,Материалы!$A$2:$A$9000,0))*IF(INDEX(Материалы!$J$2:$J$9000,MATCH($I770,Материалы!$A$2:$A$9000,0))="USD",КурсUSD,IF(INDEX(Материалы!$J$2:$J$9000,MATCH($I770,Материалы!$A$2:$A$9000,0))="EUR",КурсEUR,1))*INDEX(Материалы!$K$2:$K$9000,MATCH($I770,Материалы!$A$2:$A$9000,0))*(1+IFERROR(INDEX(Работы!$I$2:$I$6000,MATCH($C770,Работы!$A$2:$A$6000,0))/100,0))*(1-ДисконтТендер),0))</f>
        <v>0</v>
      </c>
      <c r="N770" s="10">
        <f t="shared" ref="N770:N833" si="36">IF(AND($R770="да",$H770&lt;&gt;""),ROUND($H770*$L770,2),0)</f>
        <v>0</v>
      </c>
      <c r="O770" s="10">
        <f t="shared" ref="O770:O833" si="37">IF(AND($R770="да",$H770&lt;&gt;""),ROUND($H770*$M770,2),0)</f>
        <v>0</v>
      </c>
      <c r="P770" s="10">
        <f t="shared" ref="P770:P833" si="38">$N770+$O770</f>
        <v>0</v>
      </c>
      <c r="Q770" t="str">
        <f>IFERROR(INDEX(Работы!$J$2:$J$6000,MATCH($C770,Работы!$A$2:$A$6000,0)),"")</f>
        <v>типовая</v>
      </c>
      <c r="R770" t="s">
        <v>92</v>
      </c>
      <c r="T770" t="str">
        <f>IF(AND($P770&gt;0,$R770="да"),MAX($T$1:$T769)+1,"")</f>
        <v/>
      </c>
    </row>
    <row r="771" spans="1:20" ht="57.6" x14ac:dyDescent="0.3">
      <c r="A771" t="str">
        <f>IFERROR(INDEX(Работы!$D$2:$D$6000,MATCH($C771,Работы!$A$2:$A$6000,0)),"")</f>
        <v>Р9</v>
      </c>
      <c r="B771" t="str">
        <f>IFERROR(INDEX(Работы!$F$2:$F$6000,MATCH($C771,Работы!$A$2:$A$6000,0)),"")</f>
        <v>2</v>
      </c>
      <c r="C771" t="str">
        <f>IFERROR(INDEX(Работы!$A$2:$A$6000,770),"")</f>
        <v>РАБ.Р9.2.133</v>
      </c>
      <c r="D771" s="8" t="str">
        <f>IFERROR(INDEX(Работы!$B$2:$B$6000,MATCH($C771,Работы!$A$2:$A$6000,0)),"")</f>
        <v>Longa 61 35W-4000K CRI 90 MP M1200 Susp BLK- Светильник + Acc. Emergency kit 1,8-3,5W {1-5L12/0,5-2,5L24} EM1H (18-35V, max 100V) BOX I - Аварийный блок</v>
      </c>
      <c r="E771" t="str">
        <f>IFERROR(INDEX(Работы!$C$2:$C$6000,MATCH($C771,Работы!$A$2:$A$6000,0)),"")</f>
        <v>шт.</v>
      </c>
      <c r="F771" t="str">
        <f>IFERROR(INDEX(Работы!$G$2:$G$6000,MATCH($C771,Работы!$A$2:$A$6000,0)),"")</f>
        <v>СВЕТ.АВАР</v>
      </c>
      <c r="G771" t="str">
        <f>IFERROR(INDEX(Работы!$K$2:$K$6000,MATCH($C771,Работы!$A$2:$A$6000,0)),"")</f>
        <v>Спецификация</v>
      </c>
      <c r="H771" s="9"/>
      <c r="I771" s="9"/>
      <c r="J771" s="8" t="str">
        <f>IFERROR(INDEX(Материалы!$B$2:$B$9000,MATCH($I771,Материалы!$A$2:$A$9000,0)),"")</f>
        <v/>
      </c>
      <c r="K771" t="str">
        <f>IF($I771="","",IF($F771=IFERROR(INDEX(Материалы!$G$2:$G$9000,MATCH($I771,Материалы!$A$2:$A$9000,0)),""),"OK","!! не та группа"))</f>
        <v/>
      </c>
      <c r="L771" s="10">
        <f>IFERROR(INDEX(Работы!$H$2:$H$6000,MATCH($C771,Работы!$A$2:$A$6000,0))*(1-ДисконтТендер),0)</f>
        <v>1908.99</v>
      </c>
      <c r="M771" s="10">
        <f>IF($I771="",0,IFERROR(INDEX(Материалы!$I$2:$I$9000,MATCH($I771,Материалы!$A$2:$A$9000,0))*IF(INDEX(Материалы!$J$2:$J$9000,MATCH($I771,Материалы!$A$2:$A$9000,0))="USD",КурсUSD,IF(INDEX(Материалы!$J$2:$J$9000,MATCH($I771,Материалы!$A$2:$A$9000,0))="EUR",КурсEUR,1))*INDEX(Материалы!$K$2:$K$9000,MATCH($I771,Материалы!$A$2:$A$9000,0))*(1+IFERROR(INDEX(Работы!$I$2:$I$6000,MATCH($C771,Работы!$A$2:$A$6000,0))/100,0))*(1-ДисконтТендер),0))</f>
        <v>0</v>
      </c>
      <c r="N771" s="10">
        <f t="shared" si="36"/>
        <v>0</v>
      </c>
      <c r="O771" s="10">
        <f t="shared" si="37"/>
        <v>0</v>
      </c>
      <c r="P771" s="10">
        <f t="shared" si="38"/>
        <v>0</v>
      </c>
      <c r="Q771" t="str">
        <f>IFERROR(INDEX(Работы!$J$2:$J$6000,MATCH($C771,Работы!$A$2:$A$6000,0)),"")</f>
        <v>типовая</v>
      </c>
      <c r="R771" t="s">
        <v>92</v>
      </c>
      <c r="T771" t="str">
        <f>IF(AND($P771&gt;0,$R771="да"),MAX($T$1:$T770)+1,"")</f>
        <v/>
      </c>
    </row>
    <row r="772" spans="1:20" ht="28.8" x14ac:dyDescent="0.3">
      <c r="A772" t="str">
        <f>IFERROR(INDEX(Работы!$D$2:$D$6000,MATCH($C772,Работы!$A$2:$A$6000,0)),"")</f>
        <v>Р9</v>
      </c>
      <c r="B772" t="str">
        <f>IFERROR(INDEX(Работы!$F$2:$F$6000,MATCH($C772,Работы!$A$2:$A$6000,0)),"")</f>
        <v>2</v>
      </c>
      <c r="C772" t="str">
        <f>IFERROR(INDEX(Работы!$A$2:$A$6000,771),"")</f>
        <v>РАБ.Р9.2.134</v>
      </c>
      <c r="D772" s="8" t="str">
        <f>IFERROR(INDEX(Работы!$B$2:$B$6000,MATCH($C772,Работы!$A$2:$A$6000,0)),"")</f>
        <v>Longa 40 DI 22W/mt-4000K CRI 90 ROW Reduced Susp BLK - Светильник</v>
      </c>
      <c r="E772" t="str">
        <f>IFERROR(INDEX(Работы!$C$2:$C$6000,MATCH($C772,Работы!$A$2:$A$6000,0)),"")</f>
        <v>шт.</v>
      </c>
      <c r="F772" t="str">
        <f>IFERROR(INDEX(Работы!$G$2:$G$6000,MATCH($C772,Работы!$A$2:$A$6000,0)),"")</f>
        <v>СВЕТ</v>
      </c>
      <c r="G772" t="str">
        <f>IFERROR(INDEX(Работы!$K$2:$K$6000,MATCH($C772,Работы!$A$2:$A$6000,0)),"")</f>
        <v>Спецификация</v>
      </c>
      <c r="H772" s="9"/>
      <c r="I772" s="9"/>
      <c r="J772" s="8" t="str">
        <f>IFERROR(INDEX(Материалы!$B$2:$B$9000,MATCH($I772,Материалы!$A$2:$A$9000,0)),"")</f>
        <v/>
      </c>
      <c r="K772" t="str">
        <f>IF($I772="","",IF($F772=IFERROR(INDEX(Материалы!$G$2:$G$9000,MATCH($I772,Материалы!$A$2:$A$9000,0)),""),"OK","!! не та группа"))</f>
        <v/>
      </c>
      <c r="L772" s="10">
        <f>IFERROR(INDEX(Работы!$H$2:$H$6000,MATCH($C772,Работы!$A$2:$A$6000,0))*(1-ДисконтТендер),0)</f>
        <v>5658</v>
      </c>
      <c r="M772" s="10">
        <f>IF($I772="",0,IFERROR(INDEX(Материалы!$I$2:$I$9000,MATCH($I772,Материалы!$A$2:$A$9000,0))*IF(INDEX(Материалы!$J$2:$J$9000,MATCH($I772,Материалы!$A$2:$A$9000,0))="USD",КурсUSD,IF(INDEX(Материалы!$J$2:$J$9000,MATCH($I772,Материалы!$A$2:$A$9000,0))="EUR",КурсEUR,1))*INDEX(Материалы!$K$2:$K$9000,MATCH($I772,Материалы!$A$2:$A$9000,0))*(1+IFERROR(INDEX(Работы!$I$2:$I$6000,MATCH($C772,Работы!$A$2:$A$6000,0))/100,0))*(1-ДисконтТендер),0))</f>
        <v>0</v>
      </c>
      <c r="N772" s="10">
        <f t="shared" si="36"/>
        <v>0</v>
      </c>
      <c r="O772" s="10">
        <f t="shared" si="37"/>
        <v>0</v>
      </c>
      <c r="P772" s="10">
        <f t="shared" si="38"/>
        <v>0</v>
      </c>
      <c r="Q772" t="str">
        <f>IFERROR(INDEX(Работы!$J$2:$J$6000,MATCH($C772,Работы!$A$2:$A$6000,0)),"")</f>
        <v>типовая</v>
      </c>
      <c r="R772" t="s">
        <v>92</v>
      </c>
      <c r="T772" t="str">
        <f>IF(AND($P772&gt;0,$R772="да"),MAX($T$1:$T771)+1,"")</f>
        <v/>
      </c>
    </row>
    <row r="773" spans="1:20" ht="28.8" x14ac:dyDescent="0.3">
      <c r="A773" t="str">
        <f>IFERROR(INDEX(Работы!$D$2:$D$6000,MATCH($C773,Работы!$A$2:$A$6000,0)),"")</f>
        <v>Р9</v>
      </c>
      <c r="B773" t="str">
        <f>IFERROR(INDEX(Работы!$F$2:$F$6000,MATCH($C773,Работы!$A$2:$A$6000,0)),"")</f>
        <v>2</v>
      </c>
      <c r="C773" t="str">
        <f>IFERROR(INDEX(Работы!$A$2:$A$6000,772),"")</f>
        <v>РАБ.Р9.2.135</v>
      </c>
      <c r="D773" s="8" t="str">
        <f>IFERROR(INDEX(Работы!$B$2:$B$6000,MATCH($C773,Работы!$A$2:$A$6000,0)),"")</f>
        <v>Longa 40 DI 25W-4000K CRI 90 M1200 Reduced Susp WHI - Светильник</v>
      </c>
      <c r="E773" t="str">
        <f>IFERROR(INDEX(Работы!$C$2:$C$6000,MATCH($C773,Работы!$A$2:$A$6000,0)),"")</f>
        <v>шт.</v>
      </c>
      <c r="F773" t="str">
        <f>IFERROR(INDEX(Работы!$G$2:$G$6000,MATCH($C773,Работы!$A$2:$A$6000,0)),"")</f>
        <v>СВЕТ</v>
      </c>
      <c r="G773" t="str">
        <f>IFERROR(INDEX(Работы!$K$2:$K$6000,MATCH($C773,Работы!$A$2:$A$6000,0)),"")</f>
        <v>Спецификация</v>
      </c>
      <c r="H773" s="9"/>
      <c r="I773" s="9"/>
      <c r="J773" s="8" t="str">
        <f>IFERROR(INDEX(Материалы!$B$2:$B$9000,MATCH($I773,Материалы!$A$2:$A$9000,0)),"")</f>
        <v/>
      </c>
      <c r="K773" t="str">
        <f>IF($I773="","",IF($F773=IFERROR(INDEX(Материалы!$G$2:$G$9000,MATCH($I773,Материалы!$A$2:$A$9000,0)),""),"OK","!! не та группа"))</f>
        <v/>
      </c>
      <c r="L773" s="10">
        <f>IFERROR(INDEX(Работы!$H$2:$H$6000,MATCH($C773,Работы!$A$2:$A$6000,0))*(1-ДисконтТендер),0)</f>
        <v>1423.45</v>
      </c>
      <c r="M773" s="10">
        <f>IF($I773="",0,IFERROR(INDEX(Материалы!$I$2:$I$9000,MATCH($I773,Материалы!$A$2:$A$9000,0))*IF(INDEX(Материалы!$J$2:$J$9000,MATCH($I773,Материалы!$A$2:$A$9000,0))="USD",КурсUSD,IF(INDEX(Материалы!$J$2:$J$9000,MATCH($I773,Материалы!$A$2:$A$9000,0))="EUR",КурсEUR,1))*INDEX(Материалы!$K$2:$K$9000,MATCH($I773,Материалы!$A$2:$A$9000,0))*(1+IFERROR(INDEX(Работы!$I$2:$I$6000,MATCH($C773,Работы!$A$2:$A$6000,0))/100,0))*(1-ДисконтТендер),0))</f>
        <v>0</v>
      </c>
      <c r="N773" s="10">
        <f t="shared" si="36"/>
        <v>0</v>
      </c>
      <c r="O773" s="10">
        <f t="shared" si="37"/>
        <v>0</v>
      </c>
      <c r="P773" s="10">
        <f t="shared" si="38"/>
        <v>0</v>
      </c>
      <c r="Q773" t="str">
        <f>IFERROR(INDEX(Работы!$J$2:$J$6000,MATCH($C773,Работы!$A$2:$A$6000,0)),"")</f>
        <v>типовая</v>
      </c>
      <c r="R773" t="s">
        <v>92</v>
      </c>
      <c r="T773" t="str">
        <f>IF(AND($P773&gt;0,$R773="да"),MAX($T$1:$T772)+1,"")</f>
        <v/>
      </c>
    </row>
    <row r="774" spans="1:20" ht="57.6" x14ac:dyDescent="0.3">
      <c r="A774" t="str">
        <f>IFERROR(INDEX(Работы!$D$2:$D$6000,MATCH($C774,Работы!$A$2:$A$6000,0)),"")</f>
        <v>Р9</v>
      </c>
      <c r="B774" t="str">
        <f>IFERROR(INDEX(Работы!$F$2:$F$6000,MATCH($C774,Работы!$A$2:$A$6000,0)),"")</f>
        <v>2</v>
      </c>
      <c r="C774" t="str">
        <f>IFERROR(INDEX(Работы!$A$2:$A$6000,773),"")</f>
        <v>РАБ.Р9.2.136</v>
      </c>
      <c r="D774" s="8" t="str">
        <f>IFERROR(INDEX(Работы!$B$2:$B$6000,MATCH($C774,Работы!$A$2:$A$6000,0)),"")</f>
        <v>Longa 40 DI 25W-4000K CRI 90 M1200 Reduced Susp WHI Emerg - Светильник + Acc. Emergency kit 1,8-3,5W {1-5L12/0,5-2,5L24} EM1H (18-35V, max 100V) BOX I - Аварийный блок</v>
      </c>
      <c r="E774" t="str">
        <f>IFERROR(INDEX(Работы!$C$2:$C$6000,MATCH($C774,Работы!$A$2:$A$6000,0)),"")</f>
        <v>шт.</v>
      </c>
      <c r="F774" t="str">
        <f>IFERROR(INDEX(Работы!$G$2:$G$6000,MATCH($C774,Работы!$A$2:$A$6000,0)),"")</f>
        <v>СВЕТ.АВАР</v>
      </c>
      <c r="G774" t="str">
        <f>IFERROR(INDEX(Работы!$K$2:$K$6000,MATCH($C774,Работы!$A$2:$A$6000,0)),"")</f>
        <v>Спецификация</v>
      </c>
      <c r="H774" s="9"/>
      <c r="I774" s="9"/>
      <c r="J774" s="8" t="str">
        <f>IFERROR(INDEX(Материалы!$B$2:$B$9000,MATCH($I774,Материалы!$A$2:$A$9000,0)),"")</f>
        <v/>
      </c>
      <c r="K774" t="str">
        <f>IF($I774="","",IF($F774=IFERROR(INDEX(Материалы!$G$2:$G$9000,MATCH($I774,Материалы!$A$2:$A$9000,0)),""),"OK","!! не та группа"))</f>
        <v/>
      </c>
      <c r="L774" s="10">
        <f>IFERROR(INDEX(Работы!$H$2:$H$6000,MATCH($C774,Работы!$A$2:$A$6000,0))*(1-ДисконтТендер),0)</f>
        <v>1937.06</v>
      </c>
      <c r="M774" s="10">
        <f>IF($I774="",0,IFERROR(INDEX(Материалы!$I$2:$I$9000,MATCH($I774,Материалы!$A$2:$A$9000,0))*IF(INDEX(Материалы!$J$2:$J$9000,MATCH($I774,Материалы!$A$2:$A$9000,0))="USD",КурсUSD,IF(INDEX(Материалы!$J$2:$J$9000,MATCH($I774,Материалы!$A$2:$A$9000,0))="EUR",КурсEUR,1))*INDEX(Материалы!$K$2:$K$9000,MATCH($I774,Материалы!$A$2:$A$9000,0))*(1+IFERROR(INDEX(Работы!$I$2:$I$6000,MATCH($C774,Работы!$A$2:$A$6000,0))/100,0))*(1-ДисконтТендер),0))</f>
        <v>0</v>
      </c>
      <c r="N774" s="10">
        <f t="shared" si="36"/>
        <v>0</v>
      </c>
      <c r="O774" s="10">
        <f t="shared" si="37"/>
        <v>0</v>
      </c>
      <c r="P774" s="10">
        <f t="shared" si="38"/>
        <v>0</v>
      </c>
      <c r="Q774" t="str">
        <f>IFERROR(INDEX(Работы!$J$2:$J$6000,MATCH($C774,Работы!$A$2:$A$6000,0)),"")</f>
        <v>типовая</v>
      </c>
      <c r="R774" t="s">
        <v>92</v>
      </c>
      <c r="T774" t="str">
        <f>IF(AND($P774&gt;0,$R774="да"),MAX($T$1:$T773)+1,"")</f>
        <v/>
      </c>
    </row>
    <row r="775" spans="1:20" ht="28.8" x14ac:dyDescent="0.3">
      <c r="A775" t="str">
        <f>IFERROR(INDEX(Работы!$D$2:$D$6000,MATCH($C775,Работы!$A$2:$A$6000,0)),"")</f>
        <v>Р9</v>
      </c>
      <c r="B775" t="str">
        <f>IFERROR(INDEX(Работы!$F$2:$F$6000,MATCH($C775,Работы!$A$2:$A$6000,0)),"")</f>
        <v>2</v>
      </c>
      <c r="C775" t="str">
        <f>IFERROR(INDEX(Работы!$A$2:$A$6000,774),"")</f>
        <v>РАБ.Р9.2.137</v>
      </c>
      <c r="D775" s="8" t="str">
        <f>IFERROR(INDEX(Работы!$B$2:$B$6000,MATCH($C775,Работы!$A$2:$A$6000,0)),"")</f>
        <v>Longa 40 DI 39W-4000K CRI 90 M1400 Susp WHI, L=1392mm - Светильник</v>
      </c>
      <c r="E775" t="str">
        <f>IFERROR(INDEX(Работы!$C$2:$C$6000,MATCH($C775,Работы!$A$2:$A$6000,0)),"")</f>
        <v>шт.</v>
      </c>
      <c r="F775" t="str">
        <f>IFERROR(INDEX(Работы!$G$2:$G$6000,MATCH($C775,Работы!$A$2:$A$6000,0)),"")</f>
        <v>СВЕТ</v>
      </c>
      <c r="G775" t="str">
        <f>IFERROR(INDEX(Работы!$K$2:$K$6000,MATCH($C775,Работы!$A$2:$A$6000,0)),"")</f>
        <v>Спецификация</v>
      </c>
      <c r="H775" s="9"/>
      <c r="I775" s="9"/>
      <c r="J775" s="8" t="str">
        <f>IFERROR(INDEX(Материалы!$B$2:$B$9000,MATCH($I775,Материалы!$A$2:$A$9000,0)),"")</f>
        <v/>
      </c>
      <c r="K775" t="str">
        <f>IF($I775="","",IF($F775=IFERROR(INDEX(Материалы!$G$2:$G$9000,MATCH($I775,Материалы!$A$2:$A$9000,0)),""),"OK","!! не та группа"))</f>
        <v/>
      </c>
      <c r="L775" s="10">
        <f>IFERROR(INDEX(Работы!$H$2:$H$6000,MATCH($C775,Работы!$A$2:$A$6000,0))*(1-ДисконтТендер),0)</f>
        <v>1705.25</v>
      </c>
      <c r="M775" s="10">
        <f>IF($I775="",0,IFERROR(INDEX(Материалы!$I$2:$I$9000,MATCH($I775,Материалы!$A$2:$A$9000,0))*IF(INDEX(Материалы!$J$2:$J$9000,MATCH($I775,Материалы!$A$2:$A$9000,0))="USD",КурсUSD,IF(INDEX(Материалы!$J$2:$J$9000,MATCH($I775,Материалы!$A$2:$A$9000,0))="EUR",КурсEUR,1))*INDEX(Материалы!$K$2:$K$9000,MATCH($I775,Материалы!$A$2:$A$9000,0))*(1+IFERROR(INDEX(Работы!$I$2:$I$6000,MATCH($C775,Работы!$A$2:$A$6000,0))/100,0))*(1-ДисконтТендер),0))</f>
        <v>0</v>
      </c>
      <c r="N775" s="10">
        <f t="shared" si="36"/>
        <v>0</v>
      </c>
      <c r="O775" s="10">
        <f t="shared" si="37"/>
        <v>0</v>
      </c>
      <c r="P775" s="10">
        <f t="shared" si="38"/>
        <v>0</v>
      </c>
      <c r="Q775" t="str">
        <f>IFERROR(INDEX(Работы!$J$2:$J$6000,MATCH($C775,Работы!$A$2:$A$6000,0)),"")</f>
        <v>типовая</v>
      </c>
      <c r="R775" t="s">
        <v>92</v>
      </c>
      <c r="T775" t="str">
        <f>IF(AND($P775&gt;0,$R775="да"),MAX($T$1:$T774)+1,"")</f>
        <v/>
      </c>
    </row>
    <row r="776" spans="1:20" ht="28.8" x14ac:dyDescent="0.3">
      <c r="A776" t="str">
        <f>IFERROR(INDEX(Работы!$D$2:$D$6000,MATCH($C776,Работы!$A$2:$A$6000,0)),"")</f>
        <v>Р9</v>
      </c>
      <c r="B776" t="str">
        <f>IFERROR(INDEX(Работы!$F$2:$F$6000,MATCH($C776,Работы!$A$2:$A$6000,0)),"")</f>
        <v>2</v>
      </c>
      <c r="C776" t="str">
        <f>IFERROR(INDEX(Работы!$A$2:$A$6000,775),"")</f>
        <v>РАБ.Р9.2.138</v>
      </c>
      <c r="D776" s="8" t="str">
        <f>IFERROR(INDEX(Работы!$B$2:$B$6000,MATCH($C776,Работы!$A$2:$A$6000,0)),"")</f>
        <v>Ray line 31W/mt-4000K CRI 90 ROW Recess - Светильник</v>
      </c>
      <c r="E776" t="str">
        <f>IFERROR(INDEX(Работы!$C$2:$C$6000,MATCH($C776,Работы!$A$2:$A$6000,0)),"")</f>
        <v>шт.</v>
      </c>
      <c r="F776" t="str">
        <f>IFERROR(INDEX(Работы!$G$2:$G$6000,MATCH($C776,Работы!$A$2:$A$6000,0)),"")</f>
        <v>СВЕТ</v>
      </c>
      <c r="G776" t="str">
        <f>IFERROR(INDEX(Работы!$K$2:$K$6000,MATCH($C776,Работы!$A$2:$A$6000,0)),"")</f>
        <v>Спецификация</v>
      </c>
      <c r="H776" s="9"/>
      <c r="I776" s="9"/>
      <c r="J776" s="8" t="str">
        <f>IFERROR(INDEX(Материалы!$B$2:$B$9000,MATCH($I776,Материалы!$A$2:$A$9000,0)),"")</f>
        <v/>
      </c>
      <c r="K776" t="str">
        <f>IF($I776="","",IF($F776=IFERROR(INDEX(Материалы!$G$2:$G$9000,MATCH($I776,Материалы!$A$2:$A$9000,0)),""),"OK","!! не та группа"))</f>
        <v/>
      </c>
      <c r="L776" s="10">
        <f>IFERROR(INDEX(Работы!$H$2:$H$6000,MATCH($C776,Работы!$A$2:$A$6000,0))*(1-ДисконтТендер),0)</f>
        <v>5117.6499999999996</v>
      </c>
      <c r="M776" s="10">
        <f>IF($I776="",0,IFERROR(INDEX(Материалы!$I$2:$I$9000,MATCH($I776,Материалы!$A$2:$A$9000,0))*IF(INDEX(Материалы!$J$2:$J$9000,MATCH($I776,Материалы!$A$2:$A$9000,0))="USD",КурсUSD,IF(INDEX(Материалы!$J$2:$J$9000,MATCH($I776,Материалы!$A$2:$A$9000,0))="EUR",КурсEUR,1))*INDEX(Материалы!$K$2:$K$9000,MATCH($I776,Материалы!$A$2:$A$9000,0))*(1+IFERROR(INDEX(Работы!$I$2:$I$6000,MATCH($C776,Работы!$A$2:$A$6000,0))/100,0))*(1-ДисконтТендер),0))</f>
        <v>0</v>
      </c>
      <c r="N776" s="10">
        <f t="shared" si="36"/>
        <v>0</v>
      </c>
      <c r="O776" s="10">
        <f t="shared" si="37"/>
        <v>0</v>
      </c>
      <c r="P776" s="10">
        <f t="shared" si="38"/>
        <v>0</v>
      </c>
      <c r="Q776" t="str">
        <f>IFERROR(INDEX(Работы!$J$2:$J$6000,MATCH($C776,Работы!$A$2:$A$6000,0)),"")</f>
        <v>типовая</v>
      </c>
      <c r="R776" t="s">
        <v>92</v>
      </c>
      <c r="T776" t="str">
        <f>IF(AND($P776&gt;0,$R776="да"),MAX($T$1:$T775)+1,"")</f>
        <v/>
      </c>
    </row>
    <row r="777" spans="1:20" x14ac:dyDescent="0.3">
      <c r="A777" t="str">
        <f>IFERROR(INDEX(Работы!$D$2:$D$6000,MATCH($C777,Работы!$A$2:$A$6000,0)),"")</f>
        <v>Р9</v>
      </c>
      <c r="B777" t="str">
        <f>IFERROR(INDEX(Работы!$F$2:$F$6000,MATCH($C777,Работы!$A$2:$A$6000,0)),"")</f>
        <v>2</v>
      </c>
      <c r="C777" t="str">
        <f>IFERROR(INDEX(Работы!$A$2:$A$6000,776),"")</f>
        <v>РАБ.Р9.2.139</v>
      </c>
      <c r="D777" s="8" t="str">
        <f>IFERROR(INDEX(Работы!$B$2:$B$6000,MATCH($C777,Работы!$A$2:$A$6000,0)),"")</f>
        <v>Ray line.U-kit - Крепёж в потолок 1 шт.</v>
      </c>
      <c r="E777" t="str">
        <f>IFERROR(INDEX(Работы!$C$2:$C$6000,MATCH($C777,Работы!$A$2:$A$6000,0)),"")</f>
        <v>шт.</v>
      </c>
      <c r="F777">
        <f>IFERROR(INDEX(Работы!$G$2:$G$6000,MATCH($C777,Работы!$A$2:$A$6000,0)),"")</f>
        <v>0</v>
      </c>
      <c r="G777" t="str">
        <f>IFERROR(INDEX(Работы!$K$2:$K$6000,MATCH($C777,Работы!$A$2:$A$6000,0)),"")</f>
        <v>S_потолок</v>
      </c>
      <c r="H777" s="9"/>
      <c r="I777" s="9"/>
      <c r="J777" s="8" t="str">
        <f>IFERROR(INDEX(Материалы!$B$2:$B$9000,MATCH($I777,Материалы!$A$2:$A$9000,0)),"")</f>
        <v/>
      </c>
      <c r="K777" t="str">
        <f>IF($I777="","",IF($F777=IFERROR(INDEX(Материалы!$G$2:$G$9000,MATCH($I777,Материалы!$A$2:$A$9000,0)),""),"OK","!! не та группа"))</f>
        <v/>
      </c>
      <c r="L777" s="10">
        <f>IFERROR(INDEX(Работы!$H$2:$H$6000,MATCH($C777,Работы!$A$2:$A$6000,0))*(1-ДисконтТендер),0)</f>
        <v>66.06</v>
      </c>
      <c r="M777" s="10">
        <f>IF($I777="",0,IFERROR(INDEX(Материалы!$I$2:$I$9000,MATCH($I777,Материалы!$A$2:$A$9000,0))*IF(INDEX(Материалы!$J$2:$J$9000,MATCH($I777,Материалы!$A$2:$A$9000,0))="USD",КурсUSD,IF(INDEX(Материалы!$J$2:$J$9000,MATCH($I777,Материалы!$A$2:$A$9000,0))="EUR",КурсEUR,1))*INDEX(Материалы!$K$2:$K$9000,MATCH($I777,Материалы!$A$2:$A$9000,0))*(1+IFERROR(INDEX(Работы!$I$2:$I$6000,MATCH($C777,Работы!$A$2:$A$6000,0))/100,0))*(1-ДисконтТендер),0))</f>
        <v>0</v>
      </c>
      <c r="N777" s="10">
        <f t="shared" si="36"/>
        <v>0</v>
      </c>
      <c r="O777" s="10">
        <f t="shared" si="37"/>
        <v>0</v>
      </c>
      <c r="P777" s="10">
        <f t="shared" si="38"/>
        <v>0</v>
      </c>
      <c r="Q777" t="str">
        <f>IFERROR(INDEX(Работы!$J$2:$J$6000,MATCH($C777,Работы!$A$2:$A$6000,0)),"")</f>
        <v>типовая</v>
      </c>
      <c r="R777" t="s">
        <v>92</v>
      </c>
      <c r="T777" t="str">
        <f>IF(AND($P777&gt;0,$R777="да"),MAX($T$1:$T776)+1,"")</f>
        <v/>
      </c>
    </row>
    <row r="778" spans="1:20" ht="28.8" x14ac:dyDescent="0.3">
      <c r="A778" t="str">
        <f>IFERROR(INDEX(Работы!$D$2:$D$6000,MATCH($C778,Работы!$A$2:$A$6000,0)),"")</f>
        <v>Р9</v>
      </c>
      <c r="B778" t="str">
        <f>IFERROR(INDEX(Работы!$F$2:$F$6000,MATCH($C778,Работы!$A$2:$A$6000,0)),"")</f>
        <v>2</v>
      </c>
      <c r="C778" t="str">
        <f>IFERROR(INDEX(Работы!$A$2:$A$6000,777),"")</f>
        <v>РАБ.Р9.2.140</v>
      </c>
      <c r="D778" s="8" t="str">
        <f>IFERROR(INDEX(Работы!$B$2:$B$6000,MATCH($C778,Работы!$A$2:$A$6000,0)),"")</f>
        <v>Longa 40 DI 22W/mt-4000K CRI 90 ROW Reduced Susp BLK, L=3928mm - Светильник</v>
      </c>
      <c r="E778" t="str">
        <f>IFERROR(INDEX(Работы!$C$2:$C$6000,MATCH($C778,Работы!$A$2:$A$6000,0)),"")</f>
        <v>шт.</v>
      </c>
      <c r="F778" t="str">
        <f>IFERROR(INDEX(Работы!$G$2:$G$6000,MATCH($C778,Работы!$A$2:$A$6000,0)),"")</f>
        <v>СВЕТ</v>
      </c>
      <c r="G778" t="str">
        <f>IFERROR(INDEX(Работы!$K$2:$K$6000,MATCH($C778,Работы!$A$2:$A$6000,0)),"")</f>
        <v>Спецификация</v>
      </c>
      <c r="H778" s="9"/>
      <c r="I778" s="9"/>
      <c r="J778" s="8" t="str">
        <f>IFERROR(INDEX(Материалы!$B$2:$B$9000,MATCH($I778,Материалы!$A$2:$A$9000,0)),"")</f>
        <v/>
      </c>
      <c r="K778" t="str">
        <f>IF($I778="","",IF($F778=IFERROR(INDEX(Материалы!$G$2:$G$9000,MATCH($I778,Материалы!$A$2:$A$9000,0)),""),"OK","!! не та группа"))</f>
        <v/>
      </c>
      <c r="L778" s="10">
        <f>IFERROR(INDEX(Работы!$H$2:$H$6000,MATCH($C778,Работы!$A$2:$A$6000,0))*(1-ДисконтТендер),0)</f>
        <v>4811.66</v>
      </c>
      <c r="M778" s="10">
        <f>IF($I778="",0,IFERROR(INDEX(Материалы!$I$2:$I$9000,MATCH($I778,Материалы!$A$2:$A$9000,0))*IF(INDEX(Материалы!$J$2:$J$9000,MATCH($I778,Материалы!$A$2:$A$9000,0))="USD",КурсUSD,IF(INDEX(Материалы!$J$2:$J$9000,MATCH($I778,Материалы!$A$2:$A$9000,0))="EUR",КурсEUR,1))*INDEX(Материалы!$K$2:$K$9000,MATCH($I778,Материалы!$A$2:$A$9000,0))*(1+IFERROR(INDEX(Работы!$I$2:$I$6000,MATCH($C778,Работы!$A$2:$A$6000,0))/100,0))*(1-ДисконтТендер),0))</f>
        <v>0</v>
      </c>
      <c r="N778" s="10">
        <f t="shared" si="36"/>
        <v>0</v>
      </c>
      <c r="O778" s="10">
        <f t="shared" si="37"/>
        <v>0</v>
      </c>
      <c r="P778" s="10">
        <f t="shared" si="38"/>
        <v>0</v>
      </c>
      <c r="Q778" t="str">
        <f>IFERROR(INDEX(Работы!$J$2:$J$6000,MATCH($C778,Работы!$A$2:$A$6000,0)),"")</f>
        <v>типовая</v>
      </c>
      <c r="R778" t="s">
        <v>92</v>
      </c>
      <c r="T778" t="str">
        <f>IF(AND($P778&gt;0,$R778="да"),MAX($T$1:$T777)+1,"")</f>
        <v/>
      </c>
    </row>
    <row r="779" spans="1:20" ht="28.8" x14ac:dyDescent="0.3">
      <c r="A779" t="str">
        <f>IFERROR(INDEX(Работы!$D$2:$D$6000,MATCH($C779,Работы!$A$2:$A$6000,0)),"")</f>
        <v>Р9</v>
      </c>
      <c r="B779" t="str">
        <f>IFERROR(INDEX(Работы!$F$2:$F$6000,MATCH($C779,Работы!$A$2:$A$6000,0)),"")</f>
        <v>2</v>
      </c>
      <c r="C779" t="str">
        <f>IFERROR(INDEX(Работы!$A$2:$A$6000,778),"")</f>
        <v>РАБ.Р9.2.141</v>
      </c>
      <c r="D779" s="8" t="str">
        <f>IFERROR(INDEX(Работы!$B$2:$B$6000,MATCH($C779,Работы!$A$2:$A$6000,0)),"")</f>
        <v>Ray line 31W/mt-4000K CRI 90 ROW Susp BLK, L=931mm - Светильник</v>
      </c>
      <c r="E779" t="str">
        <f>IFERROR(INDEX(Работы!$C$2:$C$6000,MATCH($C779,Работы!$A$2:$A$6000,0)),"")</f>
        <v>шт.</v>
      </c>
      <c r="F779" t="str">
        <f>IFERROR(INDEX(Работы!$G$2:$G$6000,MATCH($C779,Работы!$A$2:$A$6000,0)),"")</f>
        <v>СВЕТ</v>
      </c>
      <c r="G779" t="str">
        <f>IFERROR(INDEX(Работы!$K$2:$K$6000,MATCH($C779,Работы!$A$2:$A$6000,0)),"")</f>
        <v>Спецификация</v>
      </c>
      <c r="H779" s="9"/>
      <c r="I779" s="9"/>
      <c r="J779" s="8" t="str">
        <f>IFERROR(INDEX(Материалы!$B$2:$B$9000,MATCH($I779,Материалы!$A$2:$A$9000,0)),"")</f>
        <v/>
      </c>
      <c r="K779" t="str">
        <f>IF($I779="","",IF($F779=IFERROR(INDEX(Материалы!$G$2:$G$9000,MATCH($I779,Материалы!$A$2:$A$9000,0)),""),"OK","!! не та группа"))</f>
        <v/>
      </c>
      <c r="L779" s="10">
        <f>IFERROR(INDEX(Работы!$H$2:$H$6000,MATCH($C779,Работы!$A$2:$A$6000,0))*(1-ДисконтТендер),0)</f>
        <v>899.92</v>
      </c>
      <c r="M779" s="10">
        <f>IF($I779="",0,IFERROR(INDEX(Материалы!$I$2:$I$9000,MATCH($I779,Материалы!$A$2:$A$9000,0))*IF(INDEX(Материалы!$J$2:$J$9000,MATCH($I779,Материалы!$A$2:$A$9000,0))="USD",КурсUSD,IF(INDEX(Материалы!$J$2:$J$9000,MATCH($I779,Материалы!$A$2:$A$9000,0))="EUR",КурсEUR,1))*INDEX(Материалы!$K$2:$K$9000,MATCH($I779,Материалы!$A$2:$A$9000,0))*(1+IFERROR(INDEX(Работы!$I$2:$I$6000,MATCH($C779,Работы!$A$2:$A$6000,0))/100,0))*(1-ДисконтТендер),0))</f>
        <v>0</v>
      </c>
      <c r="N779" s="10">
        <f t="shared" si="36"/>
        <v>0</v>
      </c>
      <c r="O779" s="10">
        <f t="shared" si="37"/>
        <v>0</v>
      </c>
      <c r="P779" s="10">
        <f t="shared" si="38"/>
        <v>0</v>
      </c>
      <c r="Q779" t="str">
        <f>IFERROR(INDEX(Работы!$J$2:$J$6000,MATCH($C779,Работы!$A$2:$A$6000,0)),"")</f>
        <v>типовая</v>
      </c>
      <c r="R779" t="s">
        <v>92</v>
      </c>
      <c r="T779" t="str">
        <f>IF(AND($P779&gt;0,$R779="да"),MAX($T$1:$T778)+1,"")</f>
        <v/>
      </c>
    </row>
    <row r="780" spans="1:20" ht="28.8" x14ac:dyDescent="0.3">
      <c r="A780" t="str">
        <f>IFERROR(INDEX(Работы!$D$2:$D$6000,MATCH($C780,Работы!$A$2:$A$6000,0)),"")</f>
        <v>Р9</v>
      </c>
      <c r="B780" t="str">
        <f>IFERROR(INDEX(Работы!$F$2:$F$6000,MATCH($C780,Работы!$A$2:$A$6000,0)),"")</f>
        <v>2</v>
      </c>
      <c r="C780" t="str">
        <f>IFERROR(INDEX(Работы!$A$2:$A$6000,779),"")</f>
        <v>РАБ.Р9.2.142</v>
      </c>
      <c r="D780" s="8" t="str">
        <f>IFERROR(INDEX(Работы!$B$2:$B$6000,MATCH($C780,Работы!$A$2:$A$6000,0)),"")</f>
        <v>Ray line 20W/mt-3500K ROW 270mA Susp BLK, L=2314mm - Светильник</v>
      </c>
      <c r="E780" t="str">
        <f>IFERROR(INDEX(Работы!$C$2:$C$6000,MATCH($C780,Работы!$A$2:$A$6000,0)),"")</f>
        <v>шт.</v>
      </c>
      <c r="F780" t="str">
        <f>IFERROR(INDEX(Работы!$G$2:$G$6000,MATCH($C780,Работы!$A$2:$A$6000,0)),"")</f>
        <v>СВЕТ</v>
      </c>
      <c r="G780" t="str">
        <f>IFERROR(INDEX(Работы!$K$2:$K$6000,MATCH($C780,Работы!$A$2:$A$6000,0)),"")</f>
        <v>Спецификация</v>
      </c>
      <c r="H780" s="9"/>
      <c r="I780" s="9"/>
      <c r="J780" s="8" t="str">
        <f>IFERROR(INDEX(Материалы!$B$2:$B$9000,MATCH($I780,Материалы!$A$2:$A$9000,0)),"")</f>
        <v/>
      </c>
      <c r="K780" t="str">
        <f>IF($I780="","",IF($F780=IFERROR(INDEX(Материалы!$G$2:$G$9000,MATCH($I780,Материалы!$A$2:$A$9000,0)),""),"OK","!! не та группа"))</f>
        <v/>
      </c>
      <c r="L780" s="10">
        <f>IFERROR(INDEX(Работы!$H$2:$H$6000,MATCH($C780,Работы!$A$2:$A$6000,0))*(1-ДисконтТендер),0)</f>
        <v>2236.5300000000002</v>
      </c>
      <c r="M780" s="10">
        <f>IF($I780="",0,IFERROR(INDEX(Материалы!$I$2:$I$9000,MATCH($I780,Материалы!$A$2:$A$9000,0))*IF(INDEX(Материалы!$J$2:$J$9000,MATCH($I780,Материалы!$A$2:$A$9000,0))="USD",КурсUSD,IF(INDEX(Материалы!$J$2:$J$9000,MATCH($I780,Материалы!$A$2:$A$9000,0))="EUR",КурсEUR,1))*INDEX(Материалы!$K$2:$K$9000,MATCH($I780,Материалы!$A$2:$A$9000,0))*(1+IFERROR(INDEX(Работы!$I$2:$I$6000,MATCH($C780,Работы!$A$2:$A$6000,0))/100,0))*(1-ДисконтТендер),0))</f>
        <v>0</v>
      </c>
      <c r="N780" s="10">
        <f t="shared" si="36"/>
        <v>0</v>
      </c>
      <c r="O780" s="10">
        <f t="shared" si="37"/>
        <v>0</v>
      </c>
      <c r="P780" s="10">
        <f t="shared" si="38"/>
        <v>0</v>
      </c>
      <c r="Q780" t="str">
        <f>IFERROR(INDEX(Работы!$J$2:$J$6000,MATCH($C780,Работы!$A$2:$A$6000,0)),"")</f>
        <v>типовая</v>
      </c>
      <c r="R780" t="s">
        <v>92</v>
      </c>
      <c r="T780" t="str">
        <f>IF(AND($P780&gt;0,$R780="да"),MAX($T$1:$T779)+1,"")</f>
        <v/>
      </c>
    </row>
    <row r="781" spans="1:20" ht="28.8" x14ac:dyDescent="0.3">
      <c r="A781" t="str">
        <f>IFERROR(INDEX(Работы!$D$2:$D$6000,MATCH($C781,Работы!$A$2:$A$6000,0)),"")</f>
        <v>Р9</v>
      </c>
      <c r="B781" t="str">
        <f>IFERROR(INDEX(Работы!$F$2:$F$6000,MATCH($C781,Работы!$A$2:$A$6000,0)),"")</f>
        <v>2</v>
      </c>
      <c r="C781" t="str">
        <f>IFERROR(INDEX(Работы!$A$2:$A$6000,780),"")</f>
        <v>РАБ.Р9.2.143</v>
      </c>
      <c r="D781" s="8" t="str">
        <f>IFERROR(INDEX(Работы!$B$2:$B$6000,MATCH($C781,Работы!$A$2:$A$6000,0)),"")</f>
        <v>Ray line 20W/mt-3500K ROW 270mA Susp BLK, L=3697mm - Светильник</v>
      </c>
      <c r="E781" t="str">
        <f>IFERROR(INDEX(Работы!$C$2:$C$6000,MATCH($C781,Работы!$A$2:$A$6000,0)),"")</f>
        <v>шт.</v>
      </c>
      <c r="F781" t="str">
        <f>IFERROR(INDEX(Работы!$G$2:$G$6000,MATCH($C781,Работы!$A$2:$A$6000,0)),"")</f>
        <v>СВЕТ</v>
      </c>
      <c r="G781" t="str">
        <f>IFERROR(INDEX(Работы!$K$2:$K$6000,MATCH($C781,Работы!$A$2:$A$6000,0)),"")</f>
        <v>Спецификация</v>
      </c>
      <c r="H781" s="9"/>
      <c r="I781" s="9"/>
      <c r="J781" s="8" t="str">
        <f>IFERROR(INDEX(Материалы!$B$2:$B$9000,MATCH($I781,Материалы!$A$2:$A$9000,0)),"")</f>
        <v/>
      </c>
      <c r="K781" t="str">
        <f>IF($I781="","",IF($F781=IFERROR(INDEX(Материалы!$G$2:$G$9000,MATCH($I781,Материалы!$A$2:$A$9000,0)),""),"OK","!! не та группа"))</f>
        <v/>
      </c>
      <c r="L781" s="10">
        <f>IFERROR(INDEX(Работы!$H$2:$H$6000,MATCH($C781,Работы!$A$2:$A$6000,0))*(1-ДисконтТендер),0)</f>
        <v>3573.05</v>
      </c>
      <c r="M781" s="10">
        <f>IF($I781="",0,IFERROR(INDEX(Материалы!$I$2:$I$9000,MATCH($I781,Материалы!$A$2:$A$9000,0))*IF(INDEX(Материалы!$J$2:$J$9000,MATCH($I781,Материалы!$A$2:$A$9000,0))="USD",КурсUSD,IF(INDEX(Материалы!$J$2:$J$9000,MATCH($I781,Материалы!$A$2:$A$9000,0))="EUR",КурсEUR,1))*INDEX(Материалы!$K$2:$K$9000,MATCH($I781,Материалы!$A$2:$A$9000,0))*(1+IFERROR(INDEX(Работы!$I$2:$I$6000,MATCH($C781,Работы!$A$2:$A$6000,0))/100,0))*(1-ДисконтТендер),0))</f>
        <v>0</v>
      </c>
      <c r="N781" s="10">
        <f t="shared" si="36"/>
        <v>0</v>
      </c>
      <c r="O781" s="10">
        <f t="shared" si="37"/>
        <v>0</v>
      </c>
      <c r="P781" s="10">
        <f t="shared" si="38"/>
        <v>0</v>
      </c>
      <c r="Q781" t="str">
        <f>IFERROR(INDEX(Работы!$J$2:$J$6000,MATCH($C781,Работы!$A$2:$A$6000,0)),"")</f>
        <v>типовая</v>
      </c>
      <c r="R781" t="s">
        <v>92</v>
      </c>
      <c r="T781" t="str">
        <f>IF(AND($P781&gt;0,$R781="да"),MAX($T$1:$T780)+1,"")</f>
        <v/>
      </c>
    </row>
    <row r="782" spans="1:20" ht="28.8" x14ac:dyDescent="0.3">
      <c r="A782" t="str">
        <f>IFERROR(INDEX(Работы!$D$2:$D$6000,MATCH($C782,Работы!$A$2:$A$6000,0)),"")</f>
        <v>Р9</v>
      </c>
      <c r="B782" t="str">
        <f>IFERROR(INDEX(Работы!$F$2:$F$6000,MATCH($C782,Работы!$A$2:$A$6000,0)),"")</f>
        <v>2</v>
      </c>
      <c r="C782" t="str">
        <f>IFERROR(INDEX(Работы!$A$2:$A$6000,781),"")</f>
        <v>РАБ.Р9.2.144</v>
      </c>
      <c r="D782" s="8" t="str">
        <f>IFERROR(INDEX(Работы!$B$2:$B$6000,MATCH($C782,Работы!$A$2:$A$6000,0)),"")</f>
        <v>Ray line 33W-4000K CRI 90 M1200 Susp BLK - Светильник</v>
      </c>
      <c r="E782" t="str">
        <f>IFERROR(INDEX(Работы!$C$2:$C$6000,MATCH($C782,Работы!$A$2:$A$6000,0)),"")</f>
        <v>шт.</v>
      </c>
      <c r="F782" t="str">
        <f>IFERROR(INDEX(Работы!$G$2:$G$6000,MATCH($C782,Работы!$A$2:$A$6000,0)),"")</f>
        <v>СВЕТ</v>
      </c>
      <c r="G782" t="str">
        <f>IFERROR(INDEX(Работы!$K$2:$K$6000,MATCH($C782,Работы!$A$2:$A$6000,0)),"")</f>
        <v>Спецификация</v>
      </c>
      <c r="H782" s="9"/>
      <c r="I782" s="9"/>
      <c r="J782" s="8" t="str">
        <f>IFERROR(INDEX(Материалы!$B$2:$B$9000,MATCH($I782,Материалы!$A$2:$A$9000,0)),"")</f>
        <v/>
      </c>
      <c r="K782" t="str">
        <f>IF($I782="","",IF($F782=IFERROR(INDEX(Материалы!$G$2:$G$9000,MATCH($I782,Материалы!$A$2:$A$9000,0)),""),"OK","!! не та группа"))</f>
        <v/>
      </c>
      <c r="L782" s="10">
        <f>IFERROR(INDEX(Работы!$H$2:$H$6000,MATCH($C782,Работы!$A$2:$A$6000,0))*(1-ДисконтТендер),0)</f>
        <v>1078.43</v>
      </c>
      <c r="M782" s="10">
        <f>IF($I782="",0,IFERROR(INDEX(Материалы!$I$2:$I$9000,MATCH($I782,Материалы!$A$2:$A$9000,0))*IF(INDEX(Материалы!$J$2:$J$9000,MATCH($I782,Материалы!$A$2:$A$9000,0))="USD",КурсUSD,IF(INDEX(Материалы!$J$2:$J$9000,MATCH($I782,Материалы!$A$2:$A$9000,0))="EUR",КурсEUR,1))*INDEX(Материалы!$K$2:$K$9000,MATCH($I782,Материалы!$A$2:$A$9000,0))*(1+IFERROR(INDEX(Работы!$I$2:$I$6000,MATCH($C782,Работы!$A$2:$A$6000,0))/100,0))*(1-ДисконтТендер),0))</f>
        <v>0</v>
      </c>
      <c r="N782" s="10">
        <f t="shared" si="36"/>
        <v>0</v>
      </c>
      <c r="O782" s="10">
        <f t="shared" si="37"/>
        <v>0</v>
      </c>
      <c r="P782" s="10">
        <f t="shared" si="38"/>
        <v>0</v>
      </c>
      <c r="Q782" t="str">
        <f>IFERROR(INDEX(Работы!$J$2:$J$6000,MATCH($C782,Работы!$A$2:$A$6000,0)),"")</f>
        <v>типовая</v>
      </c>
      <c r="R782" t="s">
        <v>92</v>
      </c>
      <c r="T782" t="str">
        <f>IF(AND($P782&gt;0,$R782="да"),MAX($T$1:$T781)+1,"")</f>
        <v/>
      </c>
    </row>
    <row r="783" spans="1:20" ht="28.8" x14ac:dyDescent="0.3">
      <c r="A783" t="str">
        <f>IFERROR(INDEX(Работы!$D$2:$D$6000,MATCH($C783,Работы!$A$2:$A$6000,0)),"")</f>
        <v>Р9</v>
      </c>
      <c r="B783" t="str">
        <f>IFERROR(INDEX(Работы!$F$2:$F$6000,MATCH($C783,Работы!$A$2:$A$6000,0)),"")</f>
        <v>2</v>
      </c>
      <c r="C783" t="str">
        <f>IFERROR(INDEX(Работы!$A$2:$A$6000,782),"")</f>
        <v>РАБ.Р9.2.145</v>
      </c>
      <c r="D783" s="8" t="str">
        <f>IFERROR(INDEX(Работы!$B$2:$B$6000,MATCH($C783,Работы!$A$2:$A$6000,0)),"")</f>
        <v>Ray line 31W/mt-4000K CRI 90 ROW Susp BLK, L=2084mm - Светильник</v>
      </c>
      <c r="E783" t="str">
        <f>IFERROR(INDEX(Работы!$C$2:$C$6000,MATCH($C783,Работы!$A$2:$A$6000,0)),"")</f>
        <v>шт.</v>
      </c>
      <c r="F783" t="str">
        <f>IFERROR(INDEX(Работы!$G$2:$G$6000,MATCH($C783,Работы!$A$2:$A$6000,0)),"")</f>
        <v>СВЕТ</v>
      </c>
      <c r="G783" t="str">
        <f>IFERROR(INDEX(Работы!$K$2:$K$6000,MATCH($C783,Работы!$A$2:$A$6000,0)),"")</f>
        <v>Спецификация</v>
      </c>
      <c r="H783" s="9"/>
      <c r="I783" s="9"/>
      <c r="J783" s="8" t="str">
        <f>IFERROR(INDEX(Материалы!$B$2:$B$9000,MATCH($I783,Материалы!$A$2:$A$9000,0)),"")</f>
        <v/>
      </c>
      <c r="K783" t="str">
        <f>IF($I783="","",IF($F783=IFERROR(INDEX(Материалы!$G$2:$G$9000,MATCH($I783,Материалы!$A$2:$A$9000,0)),""),"OK","!! не та группа"))</f>
        <v/>
      </c>
      <c r="L783" s="10">
        <f>IFERROR(INDEX(Работы!$H$2:$H$6000,MATCH($C783,Работы!$A$2:$A$6000,0))*(1-ДисконтТендер),0)</f>
        <v>2014.27</v>
      </c>
      <c r="M783" s="10">
        <f>IF($I783="",0,IFERROR(INDEX(Материалы!$I$2:$I$9000,MATCH($I783,Материалы!$A$2:$A$9000,0))*IF(INDEX(Материалы!$J$2:$J$9000,MATCH($I783,Материалы!$A$2:$A$9000,0))="USD",КурсUSD,IF(INDEX(Материалы!$J$2:$J$9000,MATCH($I783,Материалы!$A$2:$A$9000,0))="EUR",КурсEUR,1))*INDEX(Материалы!$K$2:$K$9000,MATCH($I783,Материалы!$A$2:$A$9000,0))*(1+IFERROR(INDEX(Работы!$I$2:$I$6000,MATCH($C783,Работы!$A$2:$A$6000,0))/100,0))*(1-ДисконтТендер),0))</f>
        <v>0</v>
      </c>
      <c r="N783" s="10">
        <f t="shared" si="36"/>
        <v>0</v>
      </c>
      <c r="O783" s="10">
        <f t="shared" si="37"/>
        <v>0</v>
      </c>
      <c r="P783" s="10">
        <f t="shared" si="38"/>
        <v>0</v>
      </c>
      <c r="Q783" t="str">
        <f>IFERROR(INDEX(Работы!$J$2:$J$6000,MATCH($C783,Работы!$A$2:$A$6000,0)),"")</f>
        <v>типовая</v>
      </c>
      <c r="R783" t="s">
        <v>92</v>
      </c>
      <c r="T783" t="str">
        <f>IF(AND($P783&gt;0,$R783="да"),MAX($T$1:$T782)+1,"")</f>
        <v/>
      </c>
    </row>
    <row r="784" spans="1:20" x14ac:dyDescent="0.3">
      <c r="A784" t="str">
        <f>IFERROR(INDEX(Работы!$D$2:$D$6000,MATCH($C784,Работы!$A$2:$A$6000,0)),"")</f>
        <v>Р9</v>
      </c>
      <c r="B784" t="str">
        <f>IFERROR(INDEX(Работы!$F$2:$F$6000,MATCH($C784,Работы!$A$2:$A$6000,0)),"")</f>
        <v>2</v>
      </c>
      <c r="C784" t="str">
        <f>IFERROR(INDEX(Работы!$A$2:$A$6000,783),"")</f>
        <v>РАБ.Р9.2.146</v>
      </c>
      <c r="D784" s="8" t="str">
        <f>IFERROR(INDEX(Работы!$B$2:$B$6000,MATCH($C784,Работы!$A$2:$A$6000,0)),"")</f>
        <v>Монтаж светильника</v>
      </c>
      <c r="E784" t="str">
        <f>IFERROR(INDEX(Работы!$C$2:$C$6000,MATCH($C784,Работы!$A$2:$A$6000,0)),"")</f>
        <v>шт.</v>
      </c>
      <c r="F784" t="str">
        <f>IFERROR(INDEX(Работы!$G$2:$G$6000,MATCH($C784,Работы!$A$2:$A$6000,0)),"")</f>
        <v>СВЕТ</v>
      </c>
      <c r="G784" t="str">
        <f>IFERROR(INDEX(Работы!$K$2:$K$6000,MATCH($C784,Работы!$A$2:$A$6000,0)),"")</f>
        <v>Спецификация</v>
      </c>
      <c r="H784" s="9"/>
      <c r="I784" s="9"/>
      <c r="J784" s="8" t="str">
        <f>IFERROR(INDEX(Материалы!$B$2:$B$9000,MATCH($I784,Материалы!$A$2:$A$9000,0)),"")</f>
        <v/>
      </c>
      <c r="K784" t="str">
        <f>IF($I784="","",IF($F784=IFERROR(INDEX(Материалы!$G$2:$G$9000,MATCH($I784,Материалы!$A$2:$A$9000,0)),""),"OK","!! не та группа"))</f>
        <v/>
      </c>
      <c r="L784" s="10">
        <f>IFERROR(INDEX(Работы!$H$2:$H$6000,MATCH($C784,Работы!$A$2:$A$6000,0))*(1-ДисконтТендер),0)</f>
        <v>2905.21</v>
      </c>
      <c r="M784" s="10">
        <f>IF($I784="",0,IFERROR(INDEX(Материалы!$I$2:$I$9000,MATCH($I784,Материалы!$A$2:$A$9000,0))*IF(INDEX(Материалы!$J$2:$J$9000,MATCH($I784,Материалы!$A$2:$A$9000,0))="USD",КурсUSD,IF(INDEX(Материалы!$J$2:$J$9000,MATCH($I784,Материалы!$A$2:$A$9000,0))="EUR",КурсEUR,1))*INDEX(Материалы!$K$2:$K$9000,MATCH($I784,Материалы!$A$2:$A$9000,0))*(1+IFERROR(INDEX(Работы!$I$2:$I$6000,MATCH($C784,Работы!$A$2:$A$6000,0))/100,0))*(1-ДисконтТендер),0))</f>
        <v>0</v>
      </c>
      <c r="N784" s="10">
        <f t="shared" si="36"/>
        <v>0</v>
      </c>
      <c r="O784" s="10">
        <f t="shared" si="37"/>
        <v>0</v>
      </c>
      <c r="P784" s="10">
        <f t="shared" si="38"/>
        <v>0</v>
      </c>
      <c r="Q784" t="str">
        <f>IFERROR(INDEX(Работы!$J$2:$J$6000,MATCH($C784,Работы!$A$2:$A$6000,0)),"")</f>
        <v>типовая</v>
      </c>
      <c r="R784" t="s">
        <v>92</v>
      </c>
      <c r="T784" t="str">
        <f>IF(AND($P784&gt;0,$R784="да"),MAX($T$1:$T783)+1,"")</f>
        <v/>
      </c>
    </row>
    <row r="785" spans="1:20" x14ac:dyDescent="0.3">
      <c r="A785" t="str">
        <f>IFERROR(INDEX(Работы!$D$2:$D$6000,MATCH($C785,Работы!$A$2:$A$6000,0)),"")</f>
        <v>Р9</v>
      </c>
      <c r="B785" t="str">
        <f>IFERROR(INDEX(Работы!$F$2:$F$6000,MATCH($C785,Работы!$A$2:$A$6000,0)),"")</f>
        <v>2</v>
      </c>
      <c r="C785" t="str">
        <f>IFERROR(INDEX(Работы!$A$2:$A$6000,784),"")</f>
        <v>РАБ.Р9.2.147</v>
      </c>
      <c r="D785" s="8" t="str">
        <f>IFERROR(INDEX(Работы!$B$2:$B$6000,MATCH($C785,Работы!$A$2:$A$6000,0)),"")</f>
        <v>Монтаж светильника</v>
      </c>
      <c r="E785" t="str">
        <f>IFERROR(INDEX(Работы!$C$2:$C$6000,MATCH($C785,Работы!$A$2:$A$6000,0)),"")</f>
        <v>шт.</v>
      </c>
      <c r="F785" t="str">
        <f>IFERROR(INDEX(Работы!$G$2:$G$6000,MATCH($C785,Работы!$A$2:$A$6000,0)),"")</f>
        <v>СВЕТ</v>
      </c>
      <c r="G785" t="str">
        <f>IFERROR(INDEX(Работы!$K$2:$K$6000,MATCH($C785,Работы!$A$2:$A$6000,0)),"")</f>
        <v>Спецификация</v>
      </c>
      <c r="H785" s="9"/>
      <c r="I785" s="9"/>
      <c r="J785" s="8" t="str">
        <f>IFERROR(INDEX(Материалы!$B$2:$B$9000,MATCH($I785,Материалы!$A$2:$A$9000,0)),"")</f>
        <v/>
      </c>
      <c r="K785" t="str">
        <f>IF($I785="","",IF($F785=IFERROR(INDEX(Материалы!$G$2:$G$9000,MATCH($I785,Материалы!$A$2:$A$9000,0)),""),"OK","!! не та группа"))</f>
        <v/>
      </c>
      <c r="L785" s="10">
        <f>IFERROR(INDEX(Работы!$H$2:$H$6000,MATCH($C785,Работы!$A$2:$A$6000,0))*(1-ДисконтТендер),0)</f>
        <v>3127.48</v>
      </c>
      <c r="M785" s="10">
        <f>IF($I785="",0,IFERROR(INDEX(Материалы!$I$2:$I$9000,MATCH($I785,Материалы!$A$2:$A$9000,0))*IF(INDEX(Материалы!$J$2:$J$9000,MATCH($I785,Материалы!$A$2:$A$9000,0))="USD",КурсUSD,IF(INDEX(Материалы!$J$2:$J$9000,MATCH($I785,Материалы!$A$2:$A$9000,0))="EUR",КурсEUR,1))*INDEX(Материалы!$K$2:$K$9000,MATCH($I785,Материалы!$A$2:$A$9000,0))*(1+IFERROR(INDEX(Работы!$I$2:$I$6000,MATCH($C785,Работы!$A$2:$A$6000,0))/100,0))*(1-ДисконтТендер),0))</f>
        <v>0</v>
      </c>
      <c r="N785" s="10">
        <f t="shared" si="36"/>
        <v>0</v>
      </c>
      <c r="O785" s="10">
        <f t="shared" si="37"/>
        <v>0</v>
      </c>
      <c r="P785" s="10">
        <f t="shared" si="38"/>
        <v>0</v>
      </c>
      <c r="Q785" t="str">
        <f>IFERROR(INDEX(Работы!$J$2:$J$6000,MATCH($C785,Работы!$A$2:$A$6000,0)),"")</f>
        <v>типовая</v>
      </c>
      <c r="R785" t="s">
        <v>92</v>
      </c>
      <c r="T785" t="str">
        <f>IF(AND($P785&gt;0,$R785="да"),MAX($T$1:$T784)+1,"")</f>
        <v/>
      </c>
    </row>
    <row r="786" spans="1:20" ht="28.8" x14ac:dyDescent="0.3">
      <c r="A786" t="str">
        <f>IFERROR(INDEX(Работы!$D$2:$D$6000,MATCH($C786,Работы!$A$2:$A$6000,0)),"")</f>
        <v>Р9</v>
      </c>
      <c r="B786" t="str">
        <f>IFERROR(INDEX(Работы!$F$2:$F$6000,MATCH($C786,Работы!$A$2:$A$6000,0)),"")</f>
        <v>2</v>
      </c>
      <c r="C786" t="str">
        <f>IFERROR(INDEX(Работы!$A$2:$A$6000,785),"")</f>
        <v>РАБ.Р9.2.148</v>
      </c>
      <c r="D786" s="8" t="str">
        <f>IFERROR(INDEX(Работы!$B$2:$B$6000,MATCH($C786,Работы!$A$2:$A$6000,0)),"")</f>
        <v>Ray line 15W/mt-4000K CRI 90 ROW 175mA Susp, L=3928mm - Светильник</v>
      </c>
      <c r="E786" t="str">
        <f>IFERROR(INDEX(Работы!$C$2:$C$6000,MATCH($C786,Работы!$A$2:$A$6000,0)),"")</f>
        <v>шт.</v>
      </c>
      <c r="F786" t="str">
        <f>IFERROR(INDEX(Работы!$G$2:$G$6000,MATCH($C786,Работы!$A$2:$A$6000,0)),"")</f>
        <v>СВЕТ</v>
      </c>
      <c r="G786" t="str">
        <f>IFERROR(INDEX(Работы!$K$2:$K$6000,MATCH($C786,Работы!$A$2:$A$6000,0)),"")</f>
        <v>Спецификация</v>
      </c>
      <c r="H786" s="9"/>
      <c r="I786" s="9"/>
      <c r="J786" s="8" t="str">
        <f>IFERROR(INDEX(Материалы!$B$2:$B$9000,MATCH($I786,Материалы!$A$2:$A$9000,0)),"")</f>
        <v/>
      </c>
      <c r="K786" t="str">
        <f>IF($I786="","",IF($F786=IFERROR(INDEX(Материалы!$G$2:$G$9000,MATCH($I786,Материалы!$A$2:$A$9000,0)),""),"OK","!! не та группа"))</f>
        <v/>
      </c>
      <c r="L786" s="10">
        <f>IFERROR(INDEX(Работы!$H$2:$H$6000,MATCH($C786,Работы!$A$2:$A$6000,0))*(1-ДисконтТендер),0)</f>
        <v>3796.25</v>
      </c>
      <c r="M786" s="10">
        <f>IF($I786="",0,IFERROR(INDEX(Материалы!$I$2:$I$9000,MATCH($I786,Материалы!$A$2:$A$9000,0))*IF(INDEX(Материалы!$J$2:$J$9000,MATCH($I786,Материалы!$A$2:$A$9000,0))="USD",КурсUSD,IF(INDEX(Материалы!$J$2:$J$9000,MATCH($I786,Материалы!$A$2:$A$9000,0))="EUR",КурсEUR,1))*INDEX(Материалы!$K$2:$K$9000,MATCH($I786,Материалы!$A$2:$A$9000,0))*(1+IFERROR(INDEX(Работы!$I$2:$I$6000,MATCH($C786,Работы!$A$2:$A$6000,0))/100,0))*(1-ДисконтТендер),0))</f>
        <v>0</v>
      </c>
      <c r="N786" s="10">
        <f t="shared" si="36"/>
        <v>0</v>
      </c>
      <c r="O786" s="10">
        <f t="shared" si="37"/>
        <v>0</v>
      </c>
      <c r="P786" s="10">
        <f t="shared" si="38"/>
        <v>0</v>
      </c>
      <c r="Q786" t="str">
        <f>IFERROR(INDEX(Работы!$J$2:$J$6000,MATCH($C786,Работы!$A$2:$A$6000,0)),"")</f>
        <v>типовая</v>
      </c>
      <c r="R786" t="s">
        <v>92</v>
      </c>
      <c r="T786" t="str">
        <f>IF(AND($P786&gt;0,$R786="да"),MAX($T$1:$T785)+1,"")</f>
        <v/>
      </c>
    </row>
    <row r="787" spans="1:20" ht="28.8" x14ac:dyDescent="0.3">
      <c r="A787" t="str">
        <f>IFERROR(INDEX(Работы!$D$2:$D$6000,MATCH($C787,Работы!$A$2:$A$6000,0)),"")</f>
        <v>Р9</v>
      </c>
      <c r="B787" t="str">
        <f>IFERROR(INDEX(Работы!$F$2:$F$6000,MATCH($C787,Работы!$A$2:$A$6000,0)),"")</f>
        <v>2</v>
      </c>
      <c r="C787" t="str">
        <f>IFERROR(INDEX(Работы!$A$2:$A$6000,786),"")</f>
        <v>РАБ.Р9.2.149</v>
      </c>
      <c r="D787" s="8" t="str">
        <f>IFERROR(INDEX(Работы!$B$2:$B$6000,MATCH($C787,Работы!$A$2:$A$6000,0)),"")</f>
        <v>Ray line 15W/mt-4000K CRI 90 ROW 175mA Susp, L=5080mm - Светильник</v>
      </c>
      <c r="E787" t="str">
        <f>IFERROR(INDEX(Работы!$C$2:$C$6000,MATCH($C787,Работы!$A$2:$A$6000,0)),"")</f>
        <v>шт.</v>
      </c>
      <c r="F787" t="str">
        <f>IFERROR(INDEX(Работы!$G$2:$G$6000,MATCH($C787,Работы!$A$2:$A$6000,0)),"")</f>
        <v>СВЕТ</v>
      </c>
      <c r="G787" t="str">
        <f>IFERROR(INDEX(Работы!$K$2:$K$6000,MATCH($C787,Работы!$A$2:$A$6000,0)),"")</f>
        <v>Спецификация</v>
      </c>
      <c r="H787" s="9"/>
      <c r="I787" s="9"/>
      <c r="J787" s="8" t="str">
        <f>IFERROR(INDEX(Материалы!$B$2:$B$9000,MATCH($I787,Материалы!$A$2:$A$9000,0)),"")</f>
        <v/>
      </c>
      <c r="K787" t="str">
        <f>IF($I787="","",IF($F787=IFERROR(INDEX(Материалы!$G$2:$G$9000,MATCH($I787,Материалы!$A$2:$A$9000,0)),""),"OK","!! не та группа"))</f>
        <v/>
      </c>
      <c r="L787" s="10">
        <f>IFERROR(INDEX(Работы!$H$2:$H$6000,MATCH($C787,Работы!$A$2:$A$6000,0))*(1-ДисконтТендер),0)</f>
        <v>4909.6499999999996</v>
      </c>
      <c r="M787" s="10">
        <f>IF($I787="",0,IFERROR(INDEX(Материалы!$I$2:$I$9000,MATCH($I787,Материалы!$A$2:$A$9000,0))*IF(INDEX(Материалы!$J$2:$J$9000,MATCH($I787,Материалы!$A$2:$A$9000,0))="USD",КурсUSD,IF(INDEX(Материалы!$J$2:$J$9000,MATCH($I787,Материалы!$A$2:$A$9000,0))="EUR",КурсEUR,1))*INDEX(Материалы!$K$2:$K$9000,MATCH($I787,Материалы!$A$2:$A$9000,0))*(1+IFERROR(INDEX(Работы!$I$2:$I$6000,MATCH($C787,Работы!$A$2:$A$6000,0))/100,0))*(1-ДисконтТендер),0))</f>
        <v>0</v>
      </c>
      <c r="N787" s="10">
        <f t="shared" si="36"/>
        <v>0</v>
      </c>
      <c r="O787" s="10">
        <f t="shared" si="37"/>
        <v>0</v>
      </c>
      <c r="P787" s="10">
        <f t="shared" si="38"/>
        <v>0</v>
      </c>
      <c r="Q787" t="str">
        <f>IFERROR(INDEX(Работы!$J$2:$J$6000,MATCH($C787,Работы!$A$2:$A$6000,0)),"")</f>
        <v>типовая</v>
      </c>
      <c r="R787" t="s">
        <v>92</v>
      </c>
      <c r="T787" t="str">
        <f>IF(AND($P787&gt;0,$R787="да"),MAX($T$1:$T786)+1,"")</f>
        <v/>
      </c>
    </row>
    <row r="788" spans="1:20" ht="28.8" x14ac:dyDescent="0.3">
      <c r="A788" t="str">
        <f>IFERROR(INDEX(Работы!$D$2:$D$6000,MATCH($C788,Работы!$A$2:$A$6000,0)),"")</f>
        <v>Р9</v>
      </c>
      <c r="B788" t="str">
        <f>IFERROR(INDEX(Работы!$F$2:$F$6000,MATCH($C788,Работы!$A$2:$A$6000,0)),"")</f>
        <v>2</v>
      </c>
      <c r="C788" t="str">
        <f>IFERROR(INDEX(Работы!$A$2:$A$6000,787),"")</f>
        <v>РАБ.Р9.2.150</v>
      </c>
      <c r="D788" s="8" t="str">
        <f>IFERROR(INDEX(Работы!$B$2:$B$6000,MATCH($C788,Работы!$A$2:$A$6000,0)),"")</f>
        <v>Ray line 31W/mt-4000K CRI 90 ROW Susp BLK, L=5311mm - Светильник</v>
      </c>
      <c r="E788" t="str">
        <f>IFERROR(INDEX(Работы!$C$2:$C$6000,MATCH($C788,Работы!$A$2:$A$6000,0)),"")</f>
        <v>шт.</v>
      </c>
      <c r="F788" t="str">
        <f>IFERROR(INDEX(Работы!$G$2:$G$6000,MATCH($C788,Работы!$A$2:$A$6000,0)),"")</f>
        <v>СВЕТ</v>
      </c>
      <c r="G788" t="str">
        <f>IFERROR(INDEX(Работы!$K$2:$K$6000,MATCH($C788,Работы!$A$2:$A$6000,0)),"")</f>
        <v>Спецификация</v>
      </c>
      <c r="H788" s="9"/>
      <c r="I788" s="9"/>
      <c r="J788" s="8" t="str">
        <f>IFERROR(INDEX(Материалы!$B$2:$B$9000,MATCH($I788,Материалы!$A$2:$A$9000,0)),"")</f>
        <v/>
      </c>
      <c r="K788" t="str">
        <f>IF($I788="","",IF($F788=IFERROR(INDEX(Материалы!$G$2:$G$9000,MATCH($I788,Материалы!$A$2:$A$9000,0)),""),"OK","!! не та группа"))</f>
        <v/>
      </c>
      <c r="L788" s="10">
        <f>IFERROR(INDEX(Работы!$H$2:$H$6000,MATCH($C788,Работы!$A$2:$A$6000,0))*(1-ДисконтТендер),0)</f>
        <v>5132.7700000000004</v>
      </c>
      <c r="M788" s="10">
        <f>IF($I788="",0,IFERROR(INDEX(Материалы!$I$2:$I$9000,MATCH($I788,Материалы!$A$2:$A$9000,0))*IF(INDEX(Материалы!$J$2:$J$9000,MATCH($I788,Материалы!$A$2:$A$9000,0))="USD",КурсUSD,IF(INDEX(Материалы!$J$2:$J$9000,MATCH($I788,Материалы!$A$2:$A$9000,0))="EUR",КурсEUR,1))*INDEX(Материалы!$K$2:$K$9000,MATCH($I788,Материалы!$A$2:$A$9000,0))*(1+IFERROR(INDEX(Работы!$I$2:$I$6000,MATCH($C788,Работы!$A$2:$A$6000,0))/100,0))*(1-ДисконтТендер),0))</f>
        <v>0</v>
      </c>
      <c r="N788" s="10">
        <f t="shared" si="36"/>
        <v>0</v>
      </c>
      <c r="O788" s="10">
        <f t="shared" si="37"/>
        <v>0</v>
      </c>
      <c r="P788" s="10">
        <f t="shared" si="38"/>
        <v>0</v>
      </c>
      <c r="Q788" t="str">
        <f>IFERROR(INDEX(Работы!$J$2:$J$6000,MATCH($C788,Работы!$A$2:$A$6000,0)),"")</f>
        <v>типовая</v>
      </c>
      <c r="R788" t="s">
        <v>92</v>
      </c>
      <c r="T788" t="str">
        <f>IF(AND($P788&gt;0,$R788="да"),MAX($T$1:$T787)+1,"")</f>
        <v/>
      </c>
    </row>
    <row r="789" spans="1:20" ht="28.8" x14ac:dyDescent="0.3">
      <c r="A789" t="str">
        <f>IFERROR(INDEX(Работы!$D$2:$D$6000,MATCH($C789,Работы!$A$2:$A$6000,0)),"")</f>
        <v>Р9</v>
      </c>
      <c r="B789" t="str">
        <f>IFERROR(INDEX(Работы!$F$2:$F$6000,MATCH($C789,Работы!$A$2:$A$6000,0)),"")</f>
        <v>2</v>
      </c>
      <c r="C789" t="str">
        <f>IFERROR(INDEX(Работы!$A$2:$A$6000,788),"")</f>
        <v>РАБ.Р9.2.151</v>
      </c>
      <c r="D789" s="8" t="str">
        <f>IFERROR(INDEX(Работы!$B$2:$B$6000,MATCH($C789,Работы!$A$2:$A$6000,0)),"")</f>
        <v>Ray line 31W/mt-4000K CRI 90 ROW Susp BLK, L=5541mm - Светильник</v>
      </c>
      <c r="E789" t="str">
        <f>IFERROR(INDEX(Работы!$C$2:$C$6000,MATCH($C789,Работы!$A$2:$A$6000,0)),"")</f>
        <v>шт.</v>
      </c>
      <c r="F789" t="str">
        <f>IFERROR(INDEX(Работы!$G$2:$G$6000,MATCH($C789,Работы!$A$2:$A$6000,0)),"")</f>
        <v>СВЕТ</v>
      </c>
      <c r="G789" t="str">
        <f>IFERROR(INDEX(Работы!$K$2:$K$6000,MATCH($C789,Работы!$A$2:$A$6000,0)),"")</f>
        <v>Спецификация</v>
      </c>
      <c r="H789" s="9"/>
      <c r="I789" s="9"/>
      <c r="J789" s="8" t="str">
        <f>IFERROR(INDEX(Материалы!$B$2:$B$9000,MATCH($I789,Материалы!$A$2:$A$9000,0)),"")</f>
        <v/>
      </c>
      <c r="K789" t="str">
        <f>IF($I789="","",IF($F789=IFERROR(INDEX(Материалы!$G$2:$G$9000,MATCH($I789,Материалы!$A$2:$A$9000,0)),""),"OK","!! не та группа"))</f>
        <v/>
      </c>
      <c r="L789" s="10">
        <f>IFERROR(INDEX(Работы!$H$2:$H$6000,MATCH($C789,Работы!$A$2:$A$6000,0))*(1-ДисконтТендер),0)</f>
        <v>5355.13</v>
      </c>
      <c r="M789" s="10">
        <f>IF($I789="",0,IFERROR(INDEX(Материалы!$I$2:$I$9000,MATCH($I789,Материалы!$A$2:$A$9000,0))*IF(INDEX(Материалы!$J$2:$J$9000,MATCH($I789,Материалы!$A$2:$A$9000,0))="USD",КурсUSD,IF(INDEX(Материалы!$J$2:$J$9000,MATCH($I789,Материалы!$A$2:$A$9000,0))="EUR",КурсEUR,1))*INDEX(Материалы!$K$2:$K$9000,MATCH($I789,Материалы!$A$2:$A$9000,0))*(1+IFERROR(INDEX(Работы!$I$2:$I$6000,MATCH($C789,Работы!$A$2:$A$6000,0))/100,0))*(1-ДисконтТендер),0))</f>
        <v>0</v>
      </c>
      <c r="N789" s="10">
        <f t="shared" si="36"/>
        <v>0</v>
      </c>
      <c r="O789" s="10">
        <f t="shared" si="37"/>
        <v>0</v>
      </c>
      <c r="P789" s="10">
        <f t="shared" si="38"/>
        <v>0</v>
      </c>
      <c r="Q789" t="str">
        <f>IFERROR(INDEX(Работы!$J$2:$J$6000,MATCH($C789,Работы!$A$2:$A$6000,0)),"")</f>
        <v>типовая</v>
      </c>
      <c r="R789" t="s">
        <v>92</v>
      </c>
      <c r="T789" t="str">
        <f>IF(AND($P789&gt;0,$R789="да"),MAX($T$1:$T788)+1,"")</f>
        <v/>
      </c>
    </row>
    <row r="790" spans="1:20" ht="28.8" x14ac:dyDescent="0.3">
      <c r="A790" t="str">
        <f>IFERROR(INDEX(Работы!$D$2:$D$6000,MATCH($C790,Работы!$A$2:$A$6000,0)),"")</f>
        <v>Р9</v>
      </c>
      <c r="B790" t="str">
        <f>IFERROR(INDEX(Работы!$F$2:$F$6000,MATCH($C790,Работы!$A$2:$A$6000,0)),"")</f>
        <v>2</v>
      </c>
      <c r="C790" t="str">
        <f>IFERROR(INDEX(Работы!$A$2:$A$6000,789),"")</f>
        <v>РАБ.Р9.2.152</v>
      </c>
      <c r="D790" s="8" t="str">
        <f>IFERROR(INDEX(Работы!$B$2:$B$6000,MATCH($C790,Работы!$A$2:$A$6000,0)),"")</f>
        <v>Ray line 15W/mt-4000K CRI 90 ROW 175mA Susp, L=5772mm - Светильник</v>
      </c>
      <c r="E790" t="str">
        <f>IFERROR(INDEX(Работы!$C$2:$C$6000,MATCH($C790,Работы!$A$2:$A$6000,0)),"")</f>
        <v>шт.</v>
      </c>
      <c r="F790" t="str">
        <f>IFERROR(INDEX(Работы!$G$2:$G$6000,MATCH($C790,Работы!$A$2:$A$6000,0)),"")</f>
        <v>СВЕТ</v>
      </c>
      <c r="G790" t="str">
        <f>IFERROR(INDEX(Работы!$K$2:$K$6000,MATCH($C790,Работы!$A$2:$A$6000,0)),"")</f>
        <v>Спецификация</v>
      </c>
      <c r="H790" s="9"/>
      <c r="I790" s="9"/>
      <c r="J790" s="8" t="str">
        <f>IFERROR(INDEX(Материалы!$B$2:$B$9000,MATCH($I790,Материалы!$A$2:$A$9000,0)),"")</f>
        <v/>
      </c>
      <c r="K790" t="str">
        <f>IF($I790="","",IF($F790=IFERROR(INDEX(Материалы!$G$2:$G$9000,MATCH($I790,Материалы!$A$2:$A$9000,0)),""),"OK","!! не та группа"))</f>
        <v/>
      </c>
      <c r="L790" s="10">
        <f>IFERROR(INDEX(Работы!$H$2:$H$6000,MATCH($C790,Работы!$A$2:$A$6000,0))*(1-ДисконтТендер),0)</f>
        <v>5578.43</v>
      </c>
      <c r="M790" s="10">
        <f>IF($I790="",0,IFERROR(INDEX(Материалы!$I$2:$I$9000,MATCH($I790,Материалы!$A$2:$A$9000,0))*IF(INDEX(Материалы!$J$2:$J$9000,MATCH($I790,Материалы!$A$2:$A$9000,0))="USD",КурсUSD,IF(INDEX(Материалы!$J$2:$J$9000,MATCH($I790,Материалы!$A$2:$A$9000,0))="EUR",КурсEUR,1))*INDEX(Материалы!$K$2:$K$9000,MATCH($I790,Материалы!$A$2:$A$9000,0))*(1+IFERROR(INDEX(Работы!$I$2:$I$6000,MATCH($C790,Работы!$A$2:$A$6000,0))/100,0))*(1-ДисконтТендер),0))</f>
        <v>0</v>
      </c>
      <c r="N790" s="10">
        <f t="shared" si="36"/>
        <v>0</v>
      </c>
      <c r="O790" s="10">
        <f t="shared" si="37"/>
        <v>0</v>
      </c>
      <c r="P790" s="10">
        <f t="shared" si="38"/>
        <v>0</v>
      </c>
      <c r="Q790" t="str">
        <f>IFERROR(INDEX(Работы!$J$2:$J$6000,MATCH($C790,Работы!$A$2:$A$6000,0)),"")</f>
        <v>типовая</v>
      </c>
      <c r="R790" t="s">
        <v>92</v>
      </c>
      <c r="T790" t="str">
        <f>IF(AND($P790&gt;0,$R790="да"),MAX($T$1:$T789)+1,"")</f>
        <v/>
      </c>
    </row>
    <row r="791" spans="1:20" ht="28.8" x14ac:dyDescent="0.3">
      <c r="A791" t="str">
        <f>IFERROR(INDEX(Работы!$D$2:$D$6000,MATCH($C791,Работы!$A$2:$A$6000,0)),"")</f>
        <v>Р9</v>
      </c>
      <c r="B791" t="str">
        <f>IFERROR(INDEX(Работы!$F$2:$F$6000,MATCH($C791,Работы!$A$2:$A$6000,0)),"")</f>
        <v>2</v>
      </c>
      <c r="C791" t="str">
        <f>IFERROR(INDEX(Работы!$A$2:$A$6000,790),"")</f>
        <v>РАБ.Р9.2.153</v>
      </c>
      <c r="D791" s="8" t="str">
        <f>IFERROR(INDEX(Работы!$B$2:$B$6000,MATCH($C791,Работы!$A$2:$A$6000,0)),"")</f>
        <v>Ray line 15W/mt-4000K CRI 90 ROW 175mA Susp, L=6694mm - Светильник</v>
      </c>
      <c r="E791" t="str">
        <f>IFERROR(INDEX(Работы!$C$2:$C$6000,MATCH($C791,Работы!$A$2:$A$6000,0)),"")</f>
        <v>шт.</v>
      </c>
      <c r="F791" t="str">
        <f>IFERROR(INDEX(Работы!$G$2:$G$6000,MATCH($C791,Работы!$A$2:$A$6000,0)),"")</f>
        <v>СВЕТ</v>
      </c>
      <c r="G791" t="str">
        <f>IFERROR(INDEX(Работы!$K$2:$K$6000,MATCH($C791,Работы!$A$2:$A$6000,0)),"")</f>
        <v>Спецификация</v>
      </c>
      <c r="H791" s="9"/>
      <c r="I791" s="9"/>
      <c r="J791" s="8" t="str">
        <f>IFERROR(INDEX(Материалы!$B$2:$B$9000,MATCH($I791,Материалы!$A$2:$A$9000,0)),"")</f>
        <v/>
      </c>
      <c r="K791" t="str">
        <f>IF($I791="","",IF($F791=IFERROR(INDEX(Материалы!$G$2:$G$9000,MATCH($I791,Материалы!$A$2:$A$9000,0)),""),"OK","!! не та группа"))</f>
        <v/>
      </c>
      <c r="L791" s="10">
        <f>IFERROR(INDEX(Работы!$H$2:$H$6000,MATCH($C791,Работы!$A$2:$A$6000,0))*(1-ДисконтТендер),0)</f>
        <v>6469.38</v>
      </c>
      <c r="M791" s="10">
        <f>IF($I791="",0,IFERROR(INDEX(Материалы!$I$2:$I$9000,MATCH($I791,Материалы!$A$2:$A$9000,0))*IF(INDEX(Материалы!$J$2:$J$9000,MATCH($I791,Материалы!$A$2:$A$9000,0))="USD",КурсUSD,IF(INDEX(Материалы!$J$2:$J$9000,MATCH($I791,Материалы!$A$2:$A$9000,0))="EUR",КурсEUR,1))*INDEX(Материалы!$K$2:$K$9000,MATCH($I791,Материалы!$A$2:$A$9000,0))*(1+IFERROR(INDEX(Работы!$I$2:$I$6000,MATCH($C791,Работы!$A$2:$A$6000,0))/100,0))*(1-ДисконтТендер),0))</f>
        <v>0</v>
      </c>
      <c r="N791" s="10">
        <f t="shared" si="36"/>
        <v>0</v>
      </c>
      <c r="O791" s="10">
        <f t="shared" si="37"/>
        <v>0</v>
      </c>
      <c r="P791" s="10">
        <f t="shared" si="38"/>
        <v>0</v>
      </c>
      <c r="Q791" t="str">
        <f>IFERROR(INDEX(Работы!$J$2:$J$6000,MATCH($C791,Работы!$A$2:$A$6000,0)),"")</f>
        <v>типовая</v>
      </c>
      <c r="R791" t="s">
        <v>92</v>
      </c>
      <c r="T791" t="str">
        <f>IF(AND($P791&gt;0,$R791="да"),MAX($T$1:$T790)+1,"")</f>
        <v/>
      </c>
    </row>
    <row r="792" spans="1:20" ht="28.8" x14ac:dyDescent="0.3">
      <c r="A792" t="str">
        <f>IFERROR(INDEX(Работы!$D$2:$D$6000,MATCH($C792,Работы!$A$2:$A$6000,0)),"")</f>
        <v>Р9</v>
      </c>
      <c r="B792" t="str">
        <f>IFERROR(INDEX(Работы!$F$2:$F$6000,MATCH($C792,Работы!$A$2:$A$6000,0)),"")</f>
        <v>2</v>
      </c>
      <c r="C792" t="str">
        <f>IFERROR(INDEX(Работы!$A$2:$A$6000,791),"")</f>
        <v>РАБ.Р9.2.154</v>
      </c>
      <c r="D792" s="8" t="str">
        <f>IFERROR(INDEX(Работы!$B$2:$B$6000,MATCH($C792,Работы!$A$2:$A$6000,0)),"")</f>
        <v>Ray line 31W/mt-4000K CRI 90 ROW Susp BLK, L=6924mm - Светильник</v>
      </c>
      <c r="E792" t="str">
        <f>IFERROR(INDEX(Работы!$C$2:$C$6000,MATCH($C792,Работы!$A$2:$A$6000,0)),"")</f>
        <v>шт.</v>
      </c>
      <c r="F792" t="str">
        <f>IFERROR(INDEX(Работы!$G$2:$G$6000,MATCH($C792,Работы!$A$2:$A$6000,0)),"")</f>
        <v>СВЕТ</v>
      </c>
      <c r="G792" t="str">
        <f>IFERROR(INDEX(Работы!$K$2:$K$6000,MATCH($C792,Работы!$A$2:$A$6000,0)),"")</f>
        <v>Спецификация</v>
      </c>
      <c r="H792" s="9"/>
      <c r="I792" s="9"/>
      <c r="J792" s="8" t="str">
        <f>IFERROR(INDEX(Материалы!$B$2:$B$9000,MATCH($I792,Материалы!$A$2:$A$9000,0)),"")</f>
        <v/>
      </c>
      <c r="K792" t="str">
        <f>IF($I792="","",IF($F792=IFERROR(INDEX(Материалы!$G$2:$G$9000,MATCH($I792,Материалы!$A$2:$A$9000,0)),""),"OK","!! не та группа"))</f>
        <v/>
      </c>
      <c r="L792" s="10">
        <f>IFERROR(INDEX(Работы!$H$2:$H$6000,MATCH($C792,Работы!$A$2:$A$6000,0))*(1-ДисконтТендер),0)</f>
        <v>6691.64</v>
      </c>
      <c r="M792" s="10">
        <f>IF($I792="",0,IFERROR(INDEX(Материалы!$I$2:$I$9000,MATCH($I792,Материалы!$A$2:$A$9000,0))*IF(INDEX(Материалы!$J$2:$J$9000,MATCH($I792,Материалы!$A$2:$A$9000,0))="USD",КурсUSD,IF(INDEX(Материалы!$J$2:$J$9000,MATCH($I792,Материалы!$A$2:$A$9000,0))="EUR",КурсEUR,1))*INDEX(Материалы!$K$2:$K$9000,MATCH($I792,Материалы!$A$2:$A$9000,0))*(1+IFERROR(INDEX(Работы!$I$2:$I$6000,MATCH($C792,Работы!$A$2:$A$6000,0))/100,0))*(1-ДисконтТендер),0))</f>
        <v>0</v>
      </c>
      <c r="N792" s="10">
        <f t="shared" si="36"/>
        <v>0</v>
      </c>
      <c r="O792" s="10">
        <f t="shared" si="37"/>
        <v>0</v>
      </c>
      <c r="P792" s="10">
        <f t="shared" si="38"/>
        <v>0</v>
      </c>
      <c r="Q792" t="str">
        <f>IFERROR(INDEX(Работы!$J$2:$J$6000,MATCH($C792,Работы!$A$2:$A$6000,0)),"")</f>
        <v>типовая</v>
      </c>
      <c r="R792" t="s">
        <v>92</v>
      </c>
      <c r="T792" t="str">
        <f>IF(AND($P792&gt;0,$R792="да"),MAX($T$1:$T791)+1,"")</f>
        <v/>
      </c>
    </row>
    <row r="793" spans="1:20" ht="28.8" x14ac:dyDescent="0.3">
      <c r="A793" t="str">
        <f>IFERROR(INDEX(Работы!$D$2:$D$6000,MATCH($C793,Работы!$A$2:$A$6000,0)),"")</f>
        <v>Р9</v>
      </c>
      <c r="B793" t="str">
        <f>IFERROR(INDEX(Работы!$F$2:$F$6000,MATCH($C793,Работы!$A$2:$A$6000,0)),"")</f>
        <v>2</v>
      </c>
      <c r="C793" t="str">
        <f>IFERROR(INDEX(Работы!$A$2:$A$6000,792),"")</f>
        <v>РАБ.Р9.2.155</v>
      </c>
      <c r="D793" s="8" t="str">
        <f>IFERROR(INDEX(Работы!$B$2:$B$6000,MATCH($C793,Работы!$A$2:$A$6000,0)),"")</f>
        <v>Ray line 15W/mt-4000K CRI 90 ROW 175mA Susp, L=7846mm - Светильник</v>
      </c>
      <c r="E793" t="str">
        <f>IFERROR(INDEX(Работы!$C$2:$C$6000,MATCH($C793,Работы!$A$2:$A$6000,0)),"")</f>
        <v>шт.</v>
      </c>
      <c r="F793" t="str">
        <f>IFERROR(INDEX(Работы!$G$2:$G$6000,MATCH($C793,Работы!$A$2:$A$6000,0)),"")</f>
        <v>СВЕТ</v>
      </c>
      <c r="G793" t="str">
        <f>IFERROR(INDEX(Работы!$K$2:$K$6000,MATCH($C793,Работы!$A$2:$A$6000,0)),"")</f>
        <v>Спецификация</v>
      </c>
      <c r="H793" s="9"/>
      <c r="I793" s="9"/>
      <c r="J793" s="8" t="str">
        <f>IFERROR(INDEX(Материалы!$B$2:$B$9000,MATCH($I793,Материалы!$A$2:$A$9000,0)),"")</f>
        <v/>
      </c>
      <c r="K793" t="str">
        <f>IF($I793="","",IF($F793=IFERROR(INDEX(Материалы!$G$2:$G$9000,MATCH($I793,Материалы!$A$2:$A$9000,0)),""),"OK","!! не та группа"))</f>
        <v/>
      </c>
      <c r="L793" s="10">
        <f>IFERROR(INDEX(Работы!$H$2:$H$6000,MATCH($C793,Работы!$A$2:$A$6000,0))*(1-ДисконтТендер),0)</f>
        <v>7582.87</v>
      </c>
      <c r="M793" s="10">
        <f>IF($I793="",0,IFERROR(INDEX(Материалы!$I$2:$I$9000,MATCH($I793,Материалы!$A$2:$A$9000,0))*IF(INDEX(Материалы!$J$2:$J$9000,MATCH($I793,Материалы!$A$2:$A$9000,0))="USD",КурсUSD,IF(INDEX(Материалы!$J$2:$J$9000,MATCH($I793,Материалы!$A$2:$A$9000,0))="EUR",КурсEUR,1))*INDEX(Материалы!$K$2:$K$9000,MATCH($I793,Материалы!$A$2:$A$9000,0))*(1+IFERROR(INDEX(Работы!$I$2:$I$6000,MATCH($C793,Работы!$A$2:$A$6000,0))/100,0))*(1-ДисконтТендер),0))</f>
        <v>0</v>
      </c>
      <c r="N793" s="10">
        <f t="shared" si="36"/>
        <v>0</v>
      </c>
      <c r="O793" s="10">
        <f t="shared" si="37"/>
        <v>0</v>
      </c>
      <c r="P793" s="10">
        <f t="shared" si="38"/>
        <v>0</v>
      </c>
      <c r="Q793" t="str">
        <f>IFERROR(INDEX(Работы!$J$2:$J$6000,MATCH($C793,Работы!$A$2:$A$6000,0)),"")</f>
        <v>типовая</v>
      </c>
      <c r="R793" t="s">
        <v>92</v>
      </c>
      <c r="T793" t="str">
        <f>IF(AND($P793&gt;0,$R793="да"),MAX($T$1:$T792)+1,"")</f>
        <v/>
      </c>
    </row>
    <row r="794" spans="1:20" ht="28.8" x14ac:dyDescent="0.3">
      <c r="A794" t="str">
        <f>IFERROR(INDEX(Работы!$D$2:$D$6000,MATCH($C794,Работы!$A$2:$A$6000,0)),"")</f>
        <v>Р9</v>
      </c>
      <c r="B794" t="str">
        <f>IFERROR(INDEX(Работы!$F$2:$F$6000,MATCH($C794,Работы!$A$2:$A$6000,0)),"")</f>
        <v>2</v>
      </c>
      <c r="C794" t="str">
        <f>IFERROR(INDEX(Работы!$A$2:$A$6000,793),"")</f>
        <v>РАБ.Р9.2.156</v>
      </c>
      <c r="D794" s="8" t="str">
        <f>IFERROR(INDEX(Работы!$B$2:$B$6000,MATCH($C794,Работы!$A$2:$A$6000,0)),"")</f>
        <v>Ray line 15W/mt-4000K CRI 90 ROW 175mA Susp, L=8077mm - Светильник</v>
      </c>
      <c r="E794" t="str">
        <f>IFERROR(INDEX(Работы!$C$2:$C$6000,MATCH($C794,Работы!$A$2:$A$6000,0)),"")</f>
        <v>шт.</v>
      </c>
      <c r="F794" t="str">
        <f>IFERROR(INDEX(Работы!$G$2:$G$6000,MATCH($C794,Работы!$A$2:$A$6000,0)),"")</f>
        <v>СВЕТ</v>
      </c>
      <c r="G794" t="str">
        <f>IFERROR(INDEX(Работы!$K$2:$K$6000,MATCH($C794,Работы!$A$2:$A$6000,0)),"")</f>
        <v>Спецификация</v>
      </c>
      <c r="H794" s="9"/>
      <c r="I794" s="9"/>
      <c r="J794" s="8" t="str">
        <f>IFERROR(INDEX(Материалы!$B$2:$B$9000,MATCH($I794,Материалы!$A$2:$A$9000,0)),"")</f>
        <v/>
      </c>
      <c r="K794" t="str">
        <f>IF($I794="","",IF($F794=IFERROR(INDEX(Материалы!$G$2:$G$9000,MATCH($I794,Материалы!$A$2:$A$9000,0)),""),"OK","!! не та группа"))</f>
        <v/>
      </c>
      <c r="L794" s="10">
        <f>IFERROR(INDEX(Работы!$H$2:$H$6000,MATCH($C794,Работы!$A$2:$A$6000,0))*(1-ДисконтТендер),0)</f>
        <v>7805.98</v>
      </c>
      <c r="M794" s="10">
        <f>IF($I794="",0,IFERROR(INDEX(Материалы!$I$2:$I$9000,MATCH($I794,Материалы!$A$2:$A$9000,0))*IF(INDEX(Материалы!$J$2:$J$9000,MATCH($I794,Материалы!$A$2:$A$9000,0))="USD",КурсUSD,IF(INDEX(Материалы!$J$2:$J$9000,MATCH($I794,Материалы!$A$2:$A$9000,0))="EUR",КурсEUR,1))*INDEX(Материалы!$K$2:$K$9000,MATCH($I794,Материалы!$A$2:$A$9000,0))*(1+IFERROR(INDEX(Работы!$I$2:$I$6000,MATCH($C794,Работы!$A$2:$A$6000,0))/100,0))*(1-ДисконтТендер),0))</f>
        <v>0</v>
      </c>
      <c r="N794" s="10">
        <f t="shared" si="36"/>
        <v>0</v>
      </c>
      <c r="O794" s="10">
        <f t="shared" si="37"/>
        <v>0</v>
      </c>
      <c r="P794" s="10">
        <f t="shared" si="38"/>
        <v>0</v>
      </c>
      <c r="Q794" t="str">
        <f>IFERROR(INDEX(Работы!$J$2:$J$6000,MATCH($C794,Работы!$A$2:$A$6000,0)),"")</f>
        <v>типовая</v>
      </c>
      <c r="R794" t="s">
        <v>92</v>
      </c>
      <c r="T794" t="str">
        <f>IF(AND($P794&gt;0,$R794="да"),MAX($T$1:$T793)+1,"")</f>
        <v/>
      </c>
    </row>
    <row r="795" spans="1:20" ht="28.8" x14ac:dyDescent="0.3">
      <c r="A795" t="str">
        <f>IFERROR(INDEX(Работы!$D$2:$D$6000,MATCH($C795,Работы!$A$2:$A$6000,0)),"")</f>
        <v>Р9</v>
      </c>
      <c r="B795" t="str">
        <f>IFERROR(INDEX(Работы!$F$2:$F$6000,MATCH($C795,Работы!$A$2:$A$6000,0)),"")</f>
        <v>2</v>
      </c>
      <c r="C795" t="str">
        <f>IFERROR(INDEX(Работы!$A$2:$A$6000,794),"")</f>
        <v>РАБ.Р9.2.157</v>
      </c>
      <c r="D795" s="8" t="str">
        <f>IFERROR(INDEX(Работы!$B$2:$B$6000,MATCH($C795,Работы!$A$2:$A$6000,0)),"")</f>
        <v>Ray line 15W/mt-4000K CRI 90 ROW 175mA Susp, L=8307mm - Светильник</v>
      </c>
      <c r="E795" t="str">
        <f>IFERROR(INDEX(Работы!$C$2:$C$6000,MATCH($C795,Работы!$A$2:$A$6000,0)),"")</f>
        <v>шт.</v>
      </c>
      <c r="F795" t="str">
        <f>IFERROR(INDEX(Работы!$G$2:$G$6000,MATCH($C795,Работы!$A$2:$A$6000,0)),"")</f>
        <v>СВЕТ</v>
      </c>
      <c r="G795" t="str">
        <f>IFERROR(INDEX(Работы!$K$2:$K$6000,MATCH($C795,Работы!$A$2:$A$6000,0)),"")</f>
        <v>Спецификация</v>
      </c>
      <c r="H795" s="9"/>
      <c r="I795" s="9"/>
      <c r="J795" s="8" t="str">
        <f>IFERROR(INDEX(Материалы!$B$2:$B$9000,MATCH($I795,Материалы!$A$2:$A$9000,0)),"")</f>
        <v/>
      </c>
      <c r="K795" t="str">
        <f>IF($I795="","",IF($F795=IFERROR(INDEX(Материалы!$G$2:$G$9000,MATCH($I795,Материалы!$A$2:$A$9000,0)),""),"OK","!! не та группа"))</f>
        <v/>
      </c>
      <c r="L795" s="10">
        <f>IFERROR(INDEX(Работы!$H$2:$H$6000,MATCH($C795,Работы!$A$2:$A$6000,0))*(1-ДисконтТендер),0)</f>
        <v>8028.25</v>
      </c>
      <c r="M795" s="10">
        <f>IF($I795="",0,IFERROR(INDEX(Материалы!$I$2:$I$9000,MATCH($I795,Материалы!$A$2:$A$9000,0))*IF(INDEX(Материалы!$J$2:$J$9000,MATCH($I795,Материалы!$A$2:$A$9000,0))="USD",КурсUSD,IF(INDEX(Материалы!$J$2:$J$9000,MATCH($I795,Материалы!$A$2:$A$9000,0))="EUR",КурсEUR,1))*INDEX(Материалы!$K$2:$K$9000,MATCH($I795,Материалы!$A$2:$A$9000,0))*(1+IFERROR(INDEX(Работы!$I$2:$I$6000,MATCH($C795,Работы!$A$2:$A$6000,0))/100,0))*(1-ДисконтТендер),0))</f>
        <v>0</v>
      </c>
      <c r="N795" s="10">
        <f t="shared" si="36"/>
        <v>0</v>
      </c>
      <c r="O795" s="10">
        <f t="shared" si="37"/>
        <v>0</v>
      </c>
      <c r="P795" s="10">
        <f t="shared" si="38"/>
        <v>0</v>
      </c>
      <c r="Q795" t="str">
        <f>IFERROR(INDEX(Работы!$J$2:$J$6000,MATCH($C795,Работы!$A$2:$A$6000,0)),"")</f>
        <v>типовая</v>
      </c>
      <c r="R795" t="s">
        <v>92</v>
      </c>
      <c r="T795" t="str">
        <f>IF(AND($P795&gt;0,$R795="да"),MAX($T$1:$T794)+1,"")</f>
        <v/>
      </c>
    </row>
    <row r="796" spans="1:20" ht="28.8" x14ac:dyDescent="0.3">
      <c r="A796" t="str">
        <f>IFERROR(INDEX(Работы!$D$2:$D$6000,MATCH($C796,Работы!$A$2:$A$6000,0)),"")</f>
        <v>Р9</v>
      </c>
      <c r="B796" t="str">
        <f>IFERROR(INDEX(Работы!$F$2:$F$6000,MATCH($C796,Работы!$A$2:$A$6000,0)),"")</f>
        <v>2</v>
      </c>
      <c r="C796" t="str">
        <f>IFERROR(INDEX(Работы!$A$2:$A$6000,795),"")</f>
        <v>РАБ.Р9.2.158</v>
      </c>
      <c r="D796" s="8" t="str">
        <f>IFERROR(INDEX(Работы!$B$2:$B$6000,MATCH($C796,Работы!$A$2:$A$6000,0)),"")</f>
        <v>Ray line 15W/mt-4000K CRI 90 ROW 175mA Susp, L=8999mm - Светильник</v>
      </c>
      <c r="E796" t="str">
        <f>IFERROR(INDEX(Работы!$C$2:$C$6000,MATCH($C796,Работы!$A$2:$A$6000,0)),"")</f>
        <v>шт.</v>
      </c>
      <c r="F796" t="str">
        <f>IFERROR(INDEX(Работы!$G$2:$G$6000,MATCH($C796,Работы!$A$2:$A$6000,0)),"")</f>
        <v>СВЕТ</v>
      </c>
      <c r="G796" t="str">
        <f>IFERROR(INDEX(Работы!$K$2:$K$6000,MATCH($C796,Работы!$A$2:$A$6000,0)),"")</f>
        <v>Спецификация</v>
      </c>
      <c r="H796" s="9"/>
      <c r="I796" s="9"/>
      <c r="J796" s="8" t="str">
        <f>IFERROR(INDEX(Материалы!$B$2:$B$9000,MATCH($I796,Материалы!$A$2:$A$9000,0)),"")</f>
        <v/>
      </c>
      <c r="K796" t="str">
        <f>IF($I796="","",IF($F796=IFERROR(INDEX(Материалы!$G$2:$G$9000,MATCH($I796,Материалы!$A$2:$A$9000,0)),""),"OK","!! не та группа"))</f>
        <v/>
      </c>
      <c r="L796" s="10">
        <f>IFERROR(INDEX(Работы!$H$2:$H$6000,MATCH($C796,Работы!$A$2:$A$6000,0))*(1-ДисконтТендер),0)</f>
        <v>8697.1200000000008</v>
      </c>
      <c r="M796" s="10">
        <f>IF($I796="",0,IFERROR(INDEX(Материалы!$I$2:$I$9000,MATCH($I796,Материалы!$A$2:$A$9000,0))*IF(INDEX(Материалы!$J$2:$J$9000,MATCH($I796,Материалы!$A$2:$A$9000,0))="USD",КурсUSD,IF(INDEX(Материалы!$J$2:$J$9000,MATCH($I796,Материалы!$A$2:$A$9000,0))="EUR",КурсEUR,1))*INDEX(Материалы!$K$2:$K$9000,MATCH($I796,Материалы!$A$2:$A$9000,0))*(1+IFERROR(INDEX(Работы!$I$2:$I$6000,MATCH($C796,Работы!$A$2:$A$6000,0))/100,0))*(1-ДисконтТендер),0))</f>
        <v>0</v>
      </c>
      <c r="N796" s="10">
        <f t="shared" si="36"/>
        <v>0</v>
      </c>
      <c r="O796" s="10">
        <f t="shared" si="37"/>
        <v>0</v>
      </c>
      <c r="P796" s="10">
        <f t="shared" si="38"/>
        <v>0</v>
      </c>
      <c r="Q796" t="str">
        <f>IFERROR(INDEX(Работы!$J$2:$J$6000,MATCH($C796,Работы!$A$2:$A$6000,0)),"")</f>
        <v>типовая</v>
      </c>
      <c r="R796" t="s">
        <v>92</v>
      </c>
      <c r="T796" t="str">
        <f>IF(AND($P796&gt;0,$R796="да"),MAX($T$1:$T795)+1,"")</f>
        <v/>
      </c>
    </row>
    <row r="797" spans="1:20" x14ac:dyDescent="0.3">
      <c r="A797" t="str">
        <f>IFERROR(INDEX(Работы!$D$2:$D$6000,MATCH($C797,Работы!$A$2:$A$6000,0)),"")</f>
        <v>Р9</v>
      </c>
      <c r="B797" t="str">
        <f>IFERROR(INDEX(Работы!$F$2:$F$6000,MATCH($C797,Работы!$A$2:$A$6000,0)),"")</f>
        <v>2</v>
      </c>
      <c r="C797" t="str">
        <f>IFERROR(INDEX(Работы!$A$2:$A$6000,796),"")</f>
        <v>РАБ.Р9.2.159</v>
      </c>
      <c r="D797" s="8" t="str">
        <f>IFERROR(INDEX(Работы!$B$2:$B$6000,MATCH($C797,Работы!$A$2:$A$6000,0)),"")</f>
        <v>IEK Светильник ДСП 1318 48Вт 4500К IP65 1500мм</v>
      </c>
      <c r="E797" t="str">
        <f>IFERROR(INDEX(Работы!$C$2:$C$6000,MATCH($C797,Работы!$A$2:$A$6000,0)),"")</f>
        <v>шт.</v>
      </c>
      <c r="F797" t="str">
        <f>IFERROR(INDEX(Работы!$G$2:$G$6000,MATCH($C797,Работы!$A$2:$A$6000,0)),"")</f>
        <v>СВЕТ</v>
      </c>
      <c r="G797" t="str">
        <f>IFERROR(INDEX(Работы!$K$2:$K$6000,MATCH($C797,Работы!$A$2:$A$6000,0)),"")</f>
        <v>Спецификация</v>
      </c>
      <c r="H797" s="9"/>
      <c r="I797" s="9"/>
      <c r="J797" s="8" t="str">
        <f>IFERROR(INDEX(Материалы!$B$2:$B$9000,MATCH($I797,Материалы!$A$2:$A$9000,0)),"")</f>
        <v/>
      </c>
      <c r="K797" t="str">
        <f>IF($I797="","",IF($F797=IFERROR(INDEX(Материалы!$G$2:$G$9000,MATCH($I797,Материалы!$A$2:$A$9000,0)),""),"OK","!! не та группа"))</f>
        <v/>
      </c>
      <c r="L797" s="10">
        <f>IFERROR(INDEX(Работы!$H$2:$H$6000,MATCH($C797,Работы!$A$2:$A$6000,0))*(1-ДисконтТендер),0)</f>
        <v>492.35</v>
      </c>
      <c r="M797" s="10">
        <f>IF($I797="",0,IFERROR(INDEX(Материалы!$I$2:$I$9000,MATCH($I797,Материалы!$A$2:$A$9000,0))*IF(INDEX(Материалы!$J$2:$J$9000,MATCH($I797,Материалы!$A$2:$A$9000,0))="USD",КурсUSD,IF(INDEX(Материалы!$J$2:$J$9000,MATCH($I797,Материалы!$A$2:$A$9000,0))="EUR",КурсEUR,1))*INDEX(Материалы!$K$2:$K$9000,MATCH($I797,Материалы!$A$2:$A$9000,0))*(1+IFERROR(INDEX(Работы!$I$2:$I$6000,MATCH($C797,Работы!$A$2:$A$6000,0))/100,0))*(1-ДисконтТендер),0))</f>
        <v>0</v>
      </c>
      <c r="N797" s="10">
        <f t="shared" si="36"/>
        <v>0</v>
      </c>
      <c r="O797" s="10">
        <f t="shared" si="37"/>
        <v>0</v>
      </c>
      <c r="P797" s="10">
        <f t="shared" si="38"/>
        <v>0</v>
      </c>
      <c r="Q797" t="str">
        <f>IFERROR(INDEX(Работы!$J$2:$J$6000,MATCH($C797,Работы!$A$2:$A$6000,0)),"")</f>
        <v>типовая</v>
      </c>
      <c r="R797" t="s">
        <v>92</v>
      </c>
      <c r="T797" t="str">
        <f>IF(AND($P797&gt;0,$R797="да"),MAX($T$1:$T796)+1,"")</f>
        <v/>
      </c>
    </row>
    <row r="798" spans="1:20" ht="28.8" x14ac:dyDescent="0.3">
      <c r="A798" t="str">
        <f>IFERROR(INDEX(Работы!$D$2:$D$6000,MATCH($C798,Работы!$A$2:$A$6000,0)),"")</f>
        <v>Р9</v>
      </c>
      <c r="B798" t="str">
        <f>IFERROR(INDEX(Работы!$F$2:$F$6000,MATCH($C798,Работы!$A$2:$A$6000,0)),"")</f>
        <v>2</v>
      </c>
      <c r="C798" t="str">
        <f>IFERROR(INDEX(Работы!$A$2:$A$6000,797),"")</f>
        <v>РАБ.Р9.2.160</v>
      </c>
      <c r="D798" s="8" t="str">
        <f>IFERROR(INDEX(Работы!$B$2:$B$6000,MATCH($C798,Работы!$A$2:$A$6000,0)),"")</f>
        <v>IEK Светильник ДСП 1318 48Вт 4500К IP65 1500мм Emerg</v>
      </c>
      <c r="E798" t="str">
        <f>IFERROR(INDEX(Работы!$C$2:$C$6000,MATCH($C798,Работы!$A$2:$A$6000,0)),"")</f>
        <v>шт.</v>
      </c>
      <c r="F798" t="str">
        <f>IFERROR(INDEX(Работы!$G$2:$G$6000,MATCH($C798,Работы!$A$2:$A$6000,0)),"")</f>
        <v>СВЕТ</v>
      </c>
      <c r="G798" t="str">
        <f>IFERROR(INDEX(Работы!$K$2:$K$6000,MATCH($C798,Работы!$A$2:$A$6000,0)),"")</f>
        <v>Спецификация</v>
      </c>
      <c r="H798" s="9"/>
      <c r="I798" s="9"/>
      <c r="J798" s="8" t="str">
        <f>IFERROR(INDEX(Материалы!$B$2:$B$9000,MATCH($I798,Материалы!$A$2:$A$9000,0)),"")</f>
        <v/>
      </c>
      <c r="K798" t="str">
        <f>IF($I798="","",IF($F798=IFERROR(INDEX(Материалы!$G$2:$G$9000,MATCH($I798,Материалы!$A$2:$A$9000,0)),""),"OK","!! не та группа"))</f>
        <v/>
      </c>
      <c r="L798" s="10">
        <f>IFERROR(INDEX(Работы!$H$2:$H$6000,MATCH($C798,Работы!$A$2:$A$6000,0))*(1-ДисконтТендер),0)</f>
        <v>1005.95</v>
      </c>
      <c r="M798" s="10">
        <f>IF($I798="",0,IFERROR(INDEX(Материалы!$I$2:$I$9000,MATCH($I798,Материалы!$A$2:$A$9000,0))*IF(INDEX(Материалы!$J$2:$J$9000,MATCH($I798,Материалы!$A$2:$A$9000,0))="USD",КурсUSD,IF(INDEX(Материалы!$J$2:$J$9000,MATCH($I798,Материалы!$A$2:$A$9000,0))="EUR",КурсEUR,1))*INDEX(Материалы!$K$2:$K$9000,MATCH($I798,Материалы!$A$2:$A$9000,0))*(1+IFERROR(INDEX(Работы!$I$2:$I$6000,MATCH($C798,Работы!$A$2:$A$6000,0))/100,0))*(1-ДисконтТендер),0))</f>
        <v>0</v>
      </c>
      <c r="N798" s="10">
        <f t="shared" si="36"/>
        <v>0</v>
      </c>
      <c r="O798" s="10">
        <f t="shared" si="37"/>
        <v>0</v>
      </c>
      <c r="P798" s="10">
        <f t="shared" si="38"/>
        <v>0</v>
      </c>
      <c r="Q798" t="str">
        <f>IFERROR(INDEX(Работы!$J$2:$J$6000,MATCH($C798,Работы!$A$2:$A$6000,0)),"")</f>
        <v>типовая</v>
      </c>
      <c r="R798" t="s">
        <v>92</v>
      </c>
      <c r="T798" t="str">
        <f>IF(AND($P798&gt;0,$R798="да"),MAX($T$1:$T797)+1,"")</f>
        <v/>
      </c>
    </row>
    <row r="799" spans="1:20" ht="28.8" x14ac:dyDescent="0.3">
      <c r="A799" t="str">
        <f>IFERROR(INDEX(Работы!$D$2:$D$6000,MATCH($C799,Работы!$A$2:$A$6000,0)),"")</f>
        <v>Р9</v>
      </c>
      <c r="B799" t="str">
        <f>IFERROR(INDEX(Работы!$F$2:$F$6000,MATCH($C799,Работы!$A$2:$A$6000,0)),"")</f>
        <v>2</v>
      </c>
      <c r="C799" t="str">
        <f>IFERROR(INDEX(Работы!$A$2:$A$6000,798),"")</f>
        <v>РАБ.Р9.2.161</v>
      </c>
      <c r="D799" s="8" t="str">
        <f>IFERROR(INDEX(Работы!$B$2:$B$6000,MATCH($C799,Работы!$A$2:$A$6000,0)),"")</f>
        <v>Acc. Wire ↓ suspension 1500mm - Тросовый подвес с регулировкой внизу, 1 шт.</v>
      </c>
      <c r="E799" t="str">
        <f>IFERROR(INDEX(Работы!$C$2:$C$6000,MATCH($C799,Работы!$A$2:$A$6000,0)),"")</f>
        <v>шт.</v>
      </c>
      <c r="F799">
        <f>IFERROR(INDEX(Работы!$G$2:$G$6000,MATCH($C799,Работы!$A$2:$A$6000,0)),"")</f>
        <v>0</v>
      </c>
      <c r="G799" t="str">
        <f>IFERROR(INDEX(Работы!$K$2:$K$6000,MATCH($C799,Работы!$A$2:$A$6000,0)),"")</f>
        <v>Спецификация</v>
      </c>
      <c r="H799" s="9"/>
      <c r="I799" s="9"/>
      <c r="J799" s="8" t="str">
        <f>IFERROR(INDEX(Материалы!$B$2:$B$9000,MATCH($I799,Материалы!$A$2:$A$9000,0)),"")</f>
        <v/>
      </c>
      <c r="K799" t="str">
        <f>IF($I799="","",IF($F799=IFERROR(INDEX(Материалы!$G$2:$G$9000,MATCH($I799,Материалы!$A$2:$A$9000,0)),""),"OK","!! не та группа"))</f>
        <v/>
      </c>
      <c r="L799" s="10">
        <f>IFERROR(INDEX(Работы!$H$2:$H$6000,MATCH($C799,Работы!$A$2:$A$6000,0))*(1-ДисконтТендер),0)</f>
        <v>91.76</v>
      </c>
      <c r="M799" s="10">
        <f>IF($I799="",0,IFERROR(INDEX(Материалы!$I$2:$I$9000,MATCH($I799,Материалы!$A$2:$A$9000,0))*IF(INDEX(Материалы!$J$2:$J$9000,MATCH($I799,Материалы!$A$2:$A$9000,0))="USD",КурсUSD,IF(INDEX(Материалы!$J$2:$J$9000,MATCH($I799,Материалы!$A$2:$A$9000,0))="EUR",КурсEUR,1))*INDEX(Материалы!$K$2:$K$9000,MATCH($I799,Материалы!$A$2:$A$9000,0))*(1+IFERROR(INDEX(Работы!$I$2:$I$6000,MATCH($C799,Работы!$A$2:$A$6000,0))/100,0))*(1-ДисконтТендер),0))</f>
        <v>0</v>
      </c>
      <c r="N799" s="10">
        <f t="shared" si="36"/>
        <v>0</v>
      </c>
      <c r="O799" s="10">
        <f t="shared" si="37"/>
        <v>0</v>
      </c>
      <c r="P799" s="10">
        <f t="shared" si="38"/>
        <v>0</v>
      </c>
      <c r="Q799" t="str">
        <f>IFERROR(INDEX(Работы!$J$2:$J$6000,MATCH($C799,Работы!$A$2:$A$6000,0)),"")</f>
        <v>типовая</v>
      </c>
      <c r="R799" t="s">
        <v>92</v>
      </c>
      <c r="T799" t="str">
        <f>IF(AND($P799&gt;0,$R799="да"),MAX($T$1:$T798)+1,"")</f>
        <v/>
      </c>
    </row>
    <row r="800" spans="1:20" ht="28.8" x14ac:dyDescent="0.3">
      <c r="A800" t="str">
        <f>IFERROR(INDEX(Работы!$D$2:$D$6000,MATCH($C800,Работы!$A$2:$A$6000,0)),"")</f>
        <v>Р9</v>
      </c>
      <c r="B800" t="str">
        <f>IFERROR(INDEX(Работы!$F$2:$F$6000,MATCH($C800,Работы!$A$2:$A$6000,0)),"")</f>
        <v>2</v>
      </c>
      <c r="C800" t="str">
        <f>IFERROR(INDEX(Работы!$A$2:$A$6000,799),"")</f>
        <v>РАБ.Р9.2.162</v>
      </c>
      <c r="D800" s="8" t="str">
        <f>IFERROR(INDEX(Работы!$B$2:$B$6000,MATCH($C800,Работы!$A$2:$A$6000,0)),"")</f>
        <v>LED strip N2835 11W/m 24V 120led/m 1220Lm/m 4000K CRI90 IP20 5m</v>
      </c>
      <c r="E800" t="str">
        <f>IFERROR(INDEX(Работы!$C$2:$C$6000,MATCH($C800,Работы!$A$2:$A$6000,0)),"")</f>
        <v>шт.</v>
      </c>
      <c r="F800">
        <f>IFERROR(INDEX(Работы!$G$2:$G$6000,MATCH($C800,Работы!$A$2:$A$6000,0)),"")</f>
        <v>0</v>
      </c>
      <c r="G800" t="str">
        <f>IFERROR(INDEX(Работы!$K$2:$K$6000,MATCH($C800,Работы!$A$2:$A$6000,0)),"")</f>
        <v>Спецификация</v>
      </c>
      <c r="H800" s="9"/>
      <c r="I800" s="9"/>
      <c r="J800" s="8" t="str">
        <f>IFERROR(INDEX(Материалы!$B$2:$B$9000,MATCH($I800,Материалы!$A$2:$A$9000,0)),"")</f>
        <v/>
      </c>
      <c r="K800" t="str">
        <f>IF($I800="","",IF($F800=IFERROR(INDEX(Материалы!$G$2:$G$9000,MATCH($I800,Материалы!$A$2:$A$9000,0)),""),"OK","!! не та группа"))</f>
        <v/>
      </c>
      <c r="L800" s="10">
        <f>IFERROR(INDEX(Работы!$H$2:$H$6000,MATCH($C800,Работы!$A$2:$A$6000,0))*(1-ДисконтТендер),0)</f>
        <v>389.81</v>
      </c>
      <c r="M800" s="10">
        <f>IF($I800="",0,IFERROR(INDEX(Материалы!$I$2:$I$9000,MATCH($I800,Материалы!$A$2:$A$9000,0))*IF(INDEX(Материалы!$J$2:$J$9000,MATCH($I800,Материалы!$A$2:$A$9000,0))="USD",КурсUSD,IF(INDEX(Материалы!$J$2:$J$9000,MATCH($I800,Материалы!$A$2:$A$9000,0))="EUR",КурсEUR,1))*INDEX(Материалы!$K$2:$K$9000,MATCH($I800,Материалы!$A$2:$A$9000,0))*(1+IFERROR(INDEX(Работы!$I$2:$I$6000,MATCH($C800,Работы!$A$2:$A$6000,0))/100,0))*(1-ДисконтТендер),0))</f>
        <v>0</v>
      </c>
      <c r="N800" s="10">
        <f t="shared" si="36"/>
        <v>0</v>
      </c>
      <c r="O800" s="10">
        <f t="shared" si="37"/>
        <v>0</v>
      </c>
      <c r="P800" s="10">
        <f t="shared" si="38"/>
        <v>0</v>
      </c>
      <c r="Q800" t="str">
        <f>IFERROR(INDEX(Работы!$J$2:$J$6000,MATCH($C800,Работы!$A$2:$A$6000,0)),"")</f>
        <v>типовая</v>
      </c>
      <c r="R800" t="s">
        <v>92</v>
      </c>
      <c r="T800" t="str">
        <f>IF(AND($P800&gt;0,$R800="да"),MAX($T$1:$T799)+1,"")</f>
        <v/>
      </c>
    </row>
    <row r="801" spans="1:20" x14ac:dyDescent="0.3">
      <c r="A801" t="str">
        <f>IFERROR(INDEX(Работы!$D$2:$D$6000,MATCH($C801,Работы!$A$2:$A$6000,0)),"")</f>
        <v>Р9</v>
      </c>
      <c r="B801" t="str">
        <f>IFERROR(INDEX(Работы!$F$2:$F$6000,MATCH($C801,Работы!$A$2:$A$6000,0)),"")</f>
        <v>2</v>
      </c>
      <c r="C801" t="str">
        <f>IFERROR(INDEX(Работы!$A$2:$A$6000,800),"")</f>
        <v>РАБ.Р9.2.163</v>
      </c>
      <c r="D801" s="8" t="str">
        <f>IFERROR(INDEX(Работы!$B$2:$B$6000,MATCH($C801,Работы!$A$2:$A$6000,0)),"")</f>
        <v>Led driver N24V45W</v>
      </c>
      <c r="E801" t="str">
        <f>IFERROR(INDEX(Работы!$C$2:$C$6000,MATCH($C801,Работы!$A$2:$A$6000,0)),"")</f>
        <v>шт.</v>
      </c>
      <c r="F801">
        <f>IFERROR(INDEX(Работы!$G$2:$G$6000,MATCH($C801,Работы!$A$2:$A$6000,0)),"")</f>
        <v>0</v>
      </c>
      <c r="G801" t="str">
        <f>IFERROR(INDEX(Работы!$K$2:$K$6000,MATCH($C801,Работы!$A$2:$A$6000,0)),"")</f>
        <v>Спецификация</v>
      </c>
      <c r="H801" s="9"/>
      <c r="I801" s="9"/>
      <c r="J801" s="8" t="str">
        <f>IFERROR(INDEX(Материалы!$B$2:$B$9000,MATCH($I801,Материалы!$A$2:$A$9000,0)),"")</f>
        <v/>
      </c>
      <c r="K801" t="str">
        <f>IF($I801="","",IF($F801=IFERROR(INDEX(Материалы!$G$2:$G$9000,MATCH($I801,Материалы!$A$2:$A$9000,0)),""),"OK","!! не та группа"))</f>
        <v/>
      </c>
      <c r="L801" s="10">
        <f>IFERROR(INDEX(Работы!$H$2:$H$6000,MATCH($C801,Работы!$A$2:$A$6000,0))*(1-ДисконтТендер),0)</f>
        <v>239.37</v>
      </c>
      <c r="M801" s="10">
        <f>IF($I801="",0,IFERROR(INDEX(Материалы!$I$2:$I$9000,MATCH($I801,Материалы!$A$2:$A$9000,0))*IF(INDEX(Материалы!$J$2:$J$9000,MATCH($I801,Материалы!$A$2:$A$9000,0))="USD",КурсUSD,IF(INDEX(Материалы!$J$2:$J$9000,MATCH($I801,Материалы!$A$2:$A$9000,0))="EUR",КурсEUR,1))*INDEX(Материалы!$K$2:$K$9000,MATCH($I801,Материалы!$A$2:$A$9000,0))*(1+IFERROR(INDEX(Работы!$I$2:$I$6000,MATCH($C801,Работы!$A$2:$A$6000,0))/100,0))*(1-ДисконтТендер),0))</f>
        <v>0</v>
      </c>
      <c r="N801" s="10">
        <f t="shared" si="36"/>
        <v>0</v>
      </c>
      <c r="O801" s="10">
        <f t="shared" si="37"/>
        <v>0</v>
      </c>
      <c r="P801" s="10">
        <f t="shared" si="38"/>
        <v>0</v>
      </c>
      <c r="Q801" t="str">
        <f>IFERROR(INDEX(Работы!$J$2:$J$6000,MATCH($C801,Работы!$A$2:$A$6000,0)),"")</f>
        <v>типовая</v>
      </c>
      <c r="R801" t="s">
        <v>92</v>
      </c>
      <c r="T801" t="str">
        <f>IF(AND($P801&gt;0,$R801="да"),MAX($T$1:$T800)+1,"")</f>
        <v/>
      </c>
    </row>
    <row r="802" spans="1:20" x14ac:dyDescent="0.3">
      <c r="A802" t="str">
        <f>IFERROR(INDEX(Работы!$D$2:$D$6000,MATCH($C802,Работы!$A$2:$A$6000,0)),"")</f>
        <v>Р9</v>
      </c>
      <c r="B802" t="str">
        <f>IFERROR(INDEX(Работы!$F$2:$F$6000,MATCH($C802,Работы!$A$2:$A$6000,0)),"")</f>
        <v>2</v>
      </c>
      <c r="C802" t="str">
        <f>IFERROR(INDEX(Работы!$A$2:$A$6000,801),"")</f>
        <v>РАБ.Р9.2.164</v>
      </c>
      <c r="D802" s="8" t="str">
        <f>IFERROR(INDEX(Работы!$B$2:$B$6000,MATCH($C802,Работы!$A$2:$A$6000,0)),"")</f>
        <v>Led driver N24V60W</v>
      </c>
      <c r="E802" t="str">
        <f>IFERROR(INDEX(Работы!$C$2:$C$6000,MATCH($C802,Работы!$A$2:$A$6000,0)),"")</f>
        <v>шт.</v>
      </c>
      <c r="F802">
        <f>IFERROR(INDEX(Работы!$G$2:$G$6000,MATCH($C802,Работы!$A$2:$A$6000,0)),"")</f>
        <v>0</v>
      </c>
      <c r="G802" t="str">
        <f>IFERROR(INDEX(Работы!$K$2:$K$6000,MATCH($C802,Работы!$A$2:$A$6000,0)),"")</f>
        <v>Спецификация</v>
      </c>
      <c r="H802" s="9"/>
      <c r="I802" s="9"/>
      <c r="J802" s="8" t="str">
        <f>IFERROR(INDEX(Материалы!$B$2:$B$9000,MATCH($I802,Материалы!$A$2:$A$9000,0)),"")</f>
        <v/>
      </c>
      <c r="K802" t="str">
        <f>IF($I802="","",IF($F802=IFERROR(INDEX(Материалы!$G$2:$G$9000,MATCH($I802,Материалы!$A$2:$A$9000,0)),""),"OK","!! не та группа"))</f>
        <v/>
      </c>
      <c r="L802" s="10">
        <f>IFERROR(INDEX(Работы!$H$2:$H$6000,MATCH($C802,Работы!$A$2:$A$6000,0))*(1-ДисконтТендер),0)</f>
        <v>309.3</v>
      </c>
      <c r="M802" s="10">
        <f>IF($I802="",0,IFERROR(INDEX(Материалы!$I$2:$I$9000,MATCH($I802,Материалы!$A$2:$A$9000,0))*IF(INDEX(Материалы!$J$2:$J$9000,MATCH($I802,Материалы!$A$2:$A$9000,0))="USD",КурсUSD,IF(INDEX(Материалы!$J$2:$J$9000,MATCH($I802,Материалы!$A$2:$A$9000,0))="EUR",КурсEUR,1))*INDEX(Материалы!$K$2:$K$9000,MATCH($I802,Материалы!$A$2:$A$9000,0))*(1+IFERROR(INDEX(Работы!$I$2:$I$6000,MATCH($C802,Работы!$A$2:$A$6000,0))/100,0))*(1-ДисконтТендер),0))</f>
        <v>0</v>
      </c>
      <c r="N802" s="10">
        <f t="shared" si="36"/>
        <v>0</v>
      </c>
      <c r="O802" s="10">
        <f t="shared" si="37"/>
        <v>0</v>
      </c>
      <c r="P802" s="10">
        <f t="shared" si="38"/>
        <v>0</v>
      </c>
      <c r="Q802" t="str">
        <f>IFERROR(INDEX(Работы!$J$2:$J$6000,MATCH($C802,Работы!$A$2:$A$6000,0)),"")</f>
        <v>типовая</v>
      </c>
      <c r="R802" t="s">
        <v>92</v>
      </c>
      <c r="T802" t="str">
        <f>IF(AND($P802&gt;0,$R802="да"),MAX($T$1:$T801)+1,"")</f>
        <v/>
      </c>
    </row>
    <row r="803" spans="1:20" x14ac:dyDescent="0.3">
      <c r="A803" t="str">
        <f>IFERROR(INDEX(Работы!$D$2:$D$6000,MATCH($C803,Работы!$A$2:$A$6000,0)),"")</f>
        <v>Р9</v>
      </c>
      <c r="B803" t="str">
        <f>IFERROR(INDEX(Работы!$F$2:$F$6000,MATCH($C803,Работы!$A$2:$A$6000,0)),"")</f>
        <v>2</v>
      </c>
      <c r="C803" t="str">
        <f>IFERROR(INDEX(Работы!$A$2:$A$6000,802),"")</f>
        <v>РАБ.Р9.2.165</v>
      </c>
      <c r="D803" s="8" t="str">
        <f>IFERROR(INDEX(Работы!$B$2:$B$6000,MATCH($C803,Работы!$A$2:$A$6000,0)),"")</f>
        <v>Led driver N24V80W</v>
      </c>
      <c r="E803" t="str">
        <f>IFERROR(INDEX(Работы!$C$2:$C$6000,MATCH($C803,Работы!$A$2:$A$6000,0)),"")</f>
        <v>шт.</v>
      </c>
      <c r="F803">
        <f>IFERROR(INDEX(Работы!$G$2:$G$6000,MATCH($C803,Работы!$A$2:$A$6000,0)),"")</f>
        <v>0</v>
      </c>
      <c r="G803" t="str">
        <f>IFERROR(INDEX(Работы!$K$2:$K$6000,MATCH($C803,Работы!$A$2:$A$6000,0)),"")</f>
        <v>Спецификация</v>
      </c>
      <c r="H803" s="9"/>
      <c r="I803" s="9"/>
      <c r="J803" s="8" t="str">
        <f>IFERROR(INDEX(Материалы!$B$2:$B$9000,MATCH($I803,Материалы!$A$2:$A$9000,0)),"")</f>
        <v/>
      </c>
      <c r="K803" t="str">
        <f>IF($I803="","",IF($F803=IFERROR(INDEX(Материалы!$G$2:$G$9000,MATCH($I803,Материалы!$A$2:$A$9000,0)),""),"OK","!! не та группа"))</f>
        <v/>
      </c>
      <c r="L803" s="10">
        <f>IFERROR(INDEX(Работы!$H$2:$H$6000,MATCH($C803,Работы!$A$2:$A$6000,0))*(1-ДисконтТендер),0)</f>
        <v>346.82</v>
      </c>
      <c r="M803" s="10">
        <f>IF($I803="",0,IFERROR(INDEX(Материалы!$I$2:$I$9000,MATCH($I803,Материалы!$A$2:$A$9000,0))*IF(INDEX(Материалы!$J$2:$J$9000,MATCH($I803,Материалы!$A$2:$A$9000,0))="USD",КурсUSD,IF(INDEX(Материалы!$J$2:$J$9000,MATCH($I803,Материалы!$A$2:$A$9000,0))="EUR",КурсEUR,1))*INDEX(Материалы!$K$2:$K$9000,MATCH($I803,Материалы!$A$2:$A$9000,0))*(1+IFERROR(INDEX(Работы!$I$2:$I$6000,MATCH($C803,Работы!$A$2:$A$6000,0))/100,0))*(1-ДисконтТендер),0))</f>
        <v>0</v>
      </c>
      <c r="N803" s="10">
        <f t="shared" si="36"/>
        <v>0</v>
      </c>
      <c r="O803" s="10">
        <f t="shared" si="37"/>
        <v>0</v>
      </c>
      <c r="P803" s="10">
        <f t="shared" si="38"/>
        <v>0</v>
      </c>
      <c r="Q803" t="str">
        <f>IFERROR(INDEX(Работы!$J$2:$J$6000,MATCH($C803,Работы!$A$2:$A$6000,0)),"")</f>
        <v>типовая</v>
      </c>
      <c r="R803" t="s">
        <v>92</v>
      </c>
      <c r="T803" t="str">
        <f>IF(AND($P803&gt;0,$R803="да"),MAX($T$1:$T802)+1,"")</f>
        <v/>
      </c>
    </row>
    <row r="804" spans="1:20" ht="43.2" x14ac:dyDescent="0.3">
      <c r="A804" t="str">
        <f>IFERROR(INDEX(Работы!$D$2:$D$6000,MATCH($C804,Работы!$A$2:$A$6000,0)),"")</f>
        <v>Р9</v>
      </c>
      <c r="B804" t="str">
        <f>IFERROR(INDEX(Работы!$F$2:$F$6000,MATCH($C804,Работы!$A$2:$A$6000,0)),"")</f>
        <v>2</v>
      </c>
      <c r="C804" t="str">
        <f>IFERROR(INDEX(Работы!$A$2:$A$6000,803),"")</f>
        <v>РАБ.Р9.2.166</v>
      </c>
      <c r="D804" s="8" t="str">
        <f>IFERROR(INDEX(Работы!$B$2:$B$6000,MATCH($C804,Работы!$A$2:$A$6000,0)),"")</f>
        <v>Longa 16 L=2000 mm h=12 ANO - Профиль накладной алюминиевый анодированный, цена за 2 п.м.</v>
      </c>
      <c r="E804" t="str">
        <f>IFERROR(INDEX(Работы!$C$2:$C$6000,MATCH($C804,Работы!$A$2:$A$6000,0)),"")</f>
        <v>шт.</v>
      </c>
      <c r="F804">
        <f>IFERROR(INDEX(Работы!$G$2:$G$6000,MATCH($C804,Работы!$A$2:$A$6000,0)),"")</f>
        <v>0</v>
      </c>
      <c r="G804" t="str">
        <f>IFERROR(INDEX(Работы!$K$2:$K$6000,MATCH($C804,Работы!$A$2:$A$6000,0)),"")</f>
        <v>Спецификация</v>
      </c>
      <c r="H804" s="9"/>
      <c r="I804" s="9"/>
      <c r="J804" s="8" t="str">
        <f>IFERROR(INDEX(Материалы!$B$2:$B$9000,MATCH($I804,Материалы!$A$2:$A$9000,0)),"")</f>
        <v/>
      </c>
      <c r="K804" t="str">
        <f>IF($I804="","",IF($F804=IFERROR(INDEX(Материалы!$G$2:$G$9000,MATCH($I804,Материалы!$A$2:$A$9000,0)),""),"OK","!! не та группа"))</f>
        <v/>
      </c>
      <c r="L804" s="10">
        <f>IFERROR(INDEX(Работы!$H$2:$H$6000,MATCH($C804,Работы!$A$2:$A$6000,0))*(1-ДисконтТендер),0)</f>
        <v>125.31</v>
      </c>
      <c r="M804" s="10">
        <f>IF($I804="",0,IFERROR(INDEX(Материалы!$I$2:$I$9000,MATCH($I804,Материалы!$A$2:$A$9000,0))*IF(INDEX(Материалы!$J$2:$J$9000,MATCH($I804,Материалы!$A$2:$A$9000,0))="USD",КурсUSD,IF(INDEX(Материалы!$J$2:$J$9000,MATCH($I804,Материалы!$A$2:$A$9000,0))="EUR",КурсEUR,1))*INDEX(Материалы!$K$2:$K$9000,MATCH($I804,Материалы!$A$2:$A$9000,0))*(1+IFERROR(INDEX(Работы!$I$2:$I$6000,MATCH($C804,Работы!$A$2:$A$6000,0))/100,0))*(1-ДисконтТендер),0))</f>
        <v>0</v>
      </c>
      <c r="N804" s="10">
        <f t="shared" si="36"/>
        <v>0</v>
      </c>
      <c r="O804" s="10">
        <f t="shared" si="37"/>
        <v>0</v>
      </c>
      <c r="P804" s="10">
        <f t="shared" si="38"/>
        <v>0</v>
      </c>
      <c r="Q804" t="str">
        <f>IFERROR(INDEX(Работы!$J$2:$J$6000,MATCH($C804,Работы!$A$2:$A$6000,0)),"")</f>
        <v>типовая</v>
      </c>
      <c r="R804" t="s">
        <v>92</v>
      </c>
      <c r="T804" t="str">
        <f>IF(AND($P804&gt;0,$R804="да"),MAX($T$1:$T803)+1,"")</f>
        <v/>
      </c>
    </row>
    <row r="805" spans="1:20" ht="28.8" x14ac:dyDescent="0.3">
      <c r="A805" t="str">
        <f>IFERROR(INDEX(Работы!$D$2:$D$6000,MATCH($C805,Работы!$A$2:$A$6000,0)),"")</f>
        <v>Р9</v>
      </c>
      <c r="B805" t="str">
        <f>IFERROR(INDEX(Работы!$F$2:$F$6000,MATCH($C805,Работы!$A$2:$A$6000,0)),"")</f>
        <v>2</v>
      </c>
      <c r="C805" t="str">
        <f>IFERROR(INDEX(Работы!$A$2:$A$6000,804),"")</f>
        <v>РАБ.Р9.2.167</v>
      </c>
      <c r="D805" s="8" t="str">
        <f>IFERROR(INDEX(Работы!$B$2:$B$6000,MATCH($C805,Работы!$A$2:$A$6000,0)),"")</f>
        <v>Longa 15/16/22 L=2000 mm PC Clear - Рассеиватель прозрачный</v>
      </c>
      <c r="E805" t="str">
        <f>IFERROR(INDEX(Работы!$C$2:$C$6000,MATCH($C805,Работы!$A$2:$A$6000,0)),"")</f>
        <v>шт.</v>
      </c>
      <c r="F805">
        <f>IFERROR(INDEX(Работы!$G$2:$G$6000,MATCH($C805,Работы!$A$2:$A$6000,0)),"")</f>
        <v>0</v>
      </c>
      <c r="G805" t="str">
        <f>IFERROR(INDEX(Работы!$K$2:$K$6000,MATCH($C805,Работы!$A$2:$A$6000,0)),"")</f>
        <v>Спецификация</v>
      </c>
      <c r="H805" s="9"/>
      <c r="I805" s="9"/>
      <c r="J805" s="8" t="str">
        <f>IFERROR(INDEX(Материалы!$B$2:$B$9000,MATCH($I805,Материалы!$A$2:$A$9000,0)),"")</f>
        <v/>
      </c>
      <c r="K805" t="str">
        <f>IF($I805="","",IF($F805=IFERROR(INDEX(Материалы!$G$2:$G$9000,MATCH($I805,Материалы!$A$2:$A$9000,0)),""),"OK","!! не та группа"))</f>
        <v/>
      </c>
      <c r="L805" s="10">
        <f>IFERROR(INDEX(Работы!$H$2:$H$6000,MATCH($C805,Работы!$A$2:$A$6000,0))*(1-ДисконтТендер),0)</f>
        <v>24.38</v>
      </c>
      <c r="M805" s="10">
        <f>IF($I805="",0,IFERROR(INDEX(Материалы!$I$2:$I$9000,MATCH($I805,Материалы!$A$2:$A$9000,0))*IF(INDEX(Материалы!$J$2:$J$9000,MATCH($I805,Материалы!$A$2:$A$9000,0))="USD",КурсUSD,IF(INDEX(Материалы!$J$2:$J$9000,MATCH($I805,Материалы!$A$2:$A$9000,0))="EUR",КурсEUR,1))*INDEX(Материалы!$K$2:$K$9000,MATCH($I805,Материалы!$A$2:$A$9000,0))*(1+IFERROR(INDEX(Работы!$I$2:$I$6000,MATCH($C805,Работы!$A$2:$A$6000,0))/100,0))*(1-ДисконтТендер),0))</f>
        <v>0</v>
      </c>
      <c r="N805" s="10">
        <f t="shared" si="36"/>
        <v>0</v>
      </c>
      <c r="O805" s="10">
        <f t="shared" si="37"/>
        <v>0</v>
      </c>
      <c r="P805" s="10">
        <f t="shared" si="38"/>
        <v>0</v>
      </c>
      <c r="Q805" t="str">
        <f>IFERROR(INDEX(Работы!$J$2:$J$6000,MATCH($C805,Работы!$A$2:$A$6000,0)),"")</f>
        <v>типовая</v>
      </c>
      <c r="R805" t="s">
        <v>92</v>
      </c>
      <c r="T805" t="str">
        <f>IF(AND($P805&gt;0,$R805="да"),MAX($T$1:$T804)+1,"")</f>
        <v/>
      </c>
    </row>
    <row r="806" spans="1:20" x14ac:dyDescent="0.3">
      <c r="A806" t="str">
        <f>IFERROR(INDEX(Работы!$D$2:$D$6000,MATCH($C806,Работы!$A$2:$A$6000,0)),"")</f>
        <v>Р9</v>
      </c>
      <c r="B806" t="str">
        <f>IFERROR(INDEX(Работы!$F$2:$F$6000,MATCH($C806,Работы!$A$2:$A$6000,0)),"")</f>
        <v>2</v>
      </c>
      <c r="C806" t="str">
        <f>IFERROR(INDEX(Работы!$A$2:$A$6000,805),"")</f>
        <v>РАБ.Р9.2.168</v>
      </c>
      <c r="D806" s="8" t="str">
        <f>IFERROR(INDEX(Работы!$B$2:$B$6000,MATCH($C806,Работы!$A$2:$A$6000,0)),"")</f>
        <v>Шинопровод 3м (черный) (белый)</v>
      </c>
      <c r="E806" t="str">
        <f>IFERROR(INDEX(Работы!$C$2:$C$6000,MATCH($C806,Работы!$A$2:$A$6000,0)),"")</f>
        <v>шт.</v>
      </c>
      <c r="F806" t="str">
        <f>IFERROR(INDEX(Работы!$G$2:$G$6000,MATCH($C806,Работы!$A$2:$A$6000,0)),"")</f>
        <v>КАБЕЛЬ</v>
      </c>
      <c r="G806" t="str">
        <f>IFERROR(INDEX(Работы!$K$2:$K$6000,MATCH($C806,Работы!$A$2:$A$6000,0)),"")</f>
        <v>Погонаж</v>
      </c>
      <c r="H806" s="9"/>
      <c r="I806" s="9"/>
      <c r="J806" s="8" t="str">
        <f>IFERROR(INDEX(Материалы!$B$2:$B$9000,MATCH($I806,Материалы!$A$2:$A$9000,0)),"")</f>
        <v/>
      </c>
      <c r="K806" t="str">
        <f>IF($I806="","",IF($F806=IFERROR(INDEX(Материалы!$G$2:$G$9000,MATCH($I806,Материалы!$A$2:$A$9000,0)),""),"OK","!! не та группа"))</f>
        <v/>
      </c>
      <c r="L806" s="10">
        <f>IFERROR(INDEX(Работы!$H$2:$H$6000,MATCH($C806,Работы!$A$2:$A$6000,0))*(1-ДисконтТендер),0)</f>
        <v>500.57</v>
      </c>
      <c r="M806" s="10">
        <f>IF($I806="",0,IFERROR(INDEX(Материалы!$I$2:$I$9000,MATCH($I806,Материалы!$A$2:$A$9000,0))*IF(INDEX(Материалы!$J$2:$J$9000,MATCH($I806,Материалы!$A$2:$A$9000,0))="USD",КурсUSD,IF(INDEX(Материалы!$J$2:$J$9000,MATCH($I806,Материалы!$A$2:$A$9000,0))="EUR",КурсEUR,1))*INDEX(Материалы!$K$2:$K$9000,MATCH($I806,Материалы!$A$2:$A$9000,0))*(1+IFERROR(INDEX(Работы!$I$2:$I$6000,MATCH($C806,Работы!$A$2:$A$6000,0))/100,0))*(1-ДисконтТендер),0))</f>
        <v>0</v>
      </c>
      <c r="N806" s="10">
        <f t="shared" si="36"/>
        <v>0</v>
      </c>
      <c r="O806" s="10">
        <f t="shared" si="37"/>
        <v>0</v>
      </c>
      <c r="P806" s="10">
        <f t="shared" si="38"/>
        <v>0</v>
      </c>
      <c r="Q806" t="str">
        <f>IFERROR(INDEX(Работы!$J$2:$J$6000,MATCH($C806,Работы!$A$2:$A$6000,0)),"")</f>
        <v>типовая</v>
      </c>
      <c r="R806" t="s">
        <v>92</v>
      </c>
      <c r="T806" t="str">
        <f>IF(AND($P806&gt;0,$R806="да"),MAX($T$1:$T805)+1,"")</f>
        <v/>
      </c>
    </row>
    <row r="807" spans="1:20" x14ac:dyDescent="0.3">
      <c r="A807" t="str">
        <f>IFERROR(INDEX(Работы!$D$2:$D$6000,MATCH($C807,Работы!$A$2:$A$6000,0)),"")</f>
        <v>Р9</v>
      </c>
      <c r="B807" t="str">
        <f>IFERROR(INDEX(Работы!$F$2:$F$6000,MATCH($C807,Работы!$A$2:$A$6000,0)),"")</f>
        <v>2</v>
      </c>
      <c r="C807" t="str">
        <f>IFERROR(INDEX(Работы!$A$2:$A$6000,806),"")</f>
        <v>РАБ.Р9.2.169</v>
      </c>
      <c r="D807" s="8" t="str">
        <f>IFERROR(INDEX(Работы!$B$2:$B$6000,MATCH($C807,Работы!$A$2:$A$6000,0)),"")</f>
        <v>Внутренний стык к шинопроводу (черный) (белый)</v>
      </c>
      <c r="E807" t="str">
        <f>IFERROR(INDEX(Работы!$C$2:$C$6000,MATCH($C807,Работы!$A$2:$A$6000,0)),"")</f>
        <v>шт.</v>
      </c>
      <c r="F807" t="str">
        <f>IFERROR(INDEX(Работы!$G$2:$G$6000,MATCH($C807,Работы!$A$2:$A$6000,0)),"")</f>
        <v>КАБЕЛЬ</v>
      </c>
      <c r="G807" t="str">
        <f>IFERROR(INDEX(Работы!$K$2:$K$6000,MATCH($C807,Работы!$A$2:$A$6000,0)),"")</f>
        <v>Спецификация</v>
      </c>
      <c r="H807" s="9"/>
      <c r="I807" s="9"/>
      <c r="J807" s="8" t="str">
        <f>IFERROR(INDEX(Материалы!$B$2:$B$9000,MATCH($I807,Материалы!$A$2:$A$9000,0)),"")</f>
        <v/>
      </c>
      <c r="K807" t="str">
        <f>IF($I807="","",IF($F807=IFERROR(INDEX(Материалы!$G$2:$G$9000,MATCH($I807,Материалы!$A$2:$A$9000,0)),""),"OK","!! не та группа"))</f>
        <v/>
      </c>
      <c r="L807" s="10">
        <f>IFERROR(INDEX(Работы!$H$2:$H$6000,MATCH($C807,Работы!$A$2:$A$6000,0))*(1-ДисконтТендер),0)</f>
        <v>66.53</v>
      </c>
      <c r="M807" s="10">
        <f>IF($I807="",0,IFERROR(INDEX(Материалы!$I$2:$I$9000,MATCH($I807,Материалы!$A$2:$A$9000,0))*IF(INDEX(Материалы!$J$2:$J$9000,MATCH($I807,Материалы!$A$2:$A$9000,0))="USD",КурсUSD,IF(INDEX(Материалы!$J$2:$J$9000,MATCH($I807,Материалы!$A$2:$A$9000,0))="EUR",КурсEUR,1))*INDEX(Материалы!$K$2:$K$9000,MATCH($I807,Материалы!$A$2:$A$9000,0))*(1+IFERROR(INDEX(Работы!$I$2:$I$6000,MATCH($C807,Работы!$A$2:$A$6000,0))/100,0))*(1-ДисконтТендер),0))</f>
        <v>0</v>
      </c>
      <c r="N807" s="10">
        <f t="shared" si="36"/>
        <v>0</v>
      </c>
      <c r="O807" s="10">
        <f t="shared" si="37"/>
        <v>0</v>
      </c>
      <c r="P807" s="10">
        <f t="shared" si="38"/>
        <v>0</v>
      </c>
      <c r="Q807" t="str">
        <f>IFERROR(INDEX(Работы!$J$2:$J$6000,MATCH($C807,Работы!$A$2:$A$6000,0)),"")</f>
        <v>типовая</v>
      </c>
      <c r="R807" t="s">
        <v>92</v>
      </c>
      <c r="T807" t="str">
        <f>IF(AND($P807&gt;0,$R807="да"),MAX($T$1:$T806)+1,"")</f>
        <v/>
      </c>
    </row>
    <row r="808" spans="1:20" x14ac:dyDescent="0.3">
      <c r="A808" t="str">
        <f>IFERROR(INDEX(Работы!$D$2:$D$6000,MATCH($C808,Работы!$A$2:$A$6000,0)),"")</f>
        <v>Р9</v>
      </c>
      <c r="B808" t="str">
        <f>IFERROR(INDEX(Работы!$F$2:$F$6000,MATCH($C808,Работы!$A$2:$A$6000,0)),"")</f>
        <v>2</v>
      </c>
      <c r="C808" t="str">
        <f>IFERROR(INDEX(Работы!$A$2:$A$6000,807),"")</f>
        <v>РАБ.Р9.2.170</v>
      </c>
      <c r="D808" s="8" t="str">
        <f>IFERROR(INDEX(Работы!$B$2:$B$6000,MATCH($C808,Работы!$A$2:$A$6000,0)),"")</f>
        <v>Усилитель стыка, (черный) (белый)</v>
      </c>
      <c r="E808" t="str">
        <f>IFERROR(INDEX(Работы!$C$2:$C$6000,MATCH($C808,Работы!$A$2:$A$6000,0)),"")</f>
        <v>шт.</v>
      </c>
      <c r="F808">
        <f>IFERROR(INDEX(Работы!$G$2:$G$6000,MATCH($C808,Работы!$A$2:$A$6000,0)),"")</f>
        <v>0</v>
      </c>
      <c r="G808" t="str">
        <f>IFERROR(INDEX(Работы!$K$2:$K$6000,MATCH($C808,Работы!$A$2:$A$6000,0)),"")</f>
        <v>Спецификация</v>
      </c>
      <c r="H808" s="9"/>
      <c r="I808" s="9"/>
      <c r="J808" s="8" t="str">
        <f>IFERROR(INDEX(Материалы!$B$2:$B$9000,MATCH($I808,Материалы!$A$2:$A$9000,0)),"")</f>
        <v/>
      </c>
      <c r="K808" t="str">
        <f>IF($I808="","",IF($F808=IFERROR(INDEX(Материалы!$G$2:$G$9000,MATCH($I808,Материалы!$A$2:$A$9000,0)),""),"OK","!! не та группа"))</f>
        <v/>
      </c>
      <c r="L808" s="10">
        <f>IFERROR(INDEX(Работы!$H$2:$H$6000,MATCH($C808,Работы!$A$2:$A$6000,0))*(1-ДисконтТендер),0)</f>
        <v>22.3</v>
      </c>
      <c r="M808" s="10">
        <f>IF($I808="",0,IFERROR(INDEX(Материалы!$I$2:$I$9000,MATCH($I808,Материалы!$A$2:$A$9000,0))*IF(INDEX(Материалы!$J$2:$J$9000,MATCH($I808,Материалы!$A$2:$A$9000,0))="USD",КурсUSD,IF(INDEX(Материалы!$J$2:$J$9000,MATCH($I808,Материалы!$A$2:$A$9000,0))="EUR",КурсEUR,1))*INDEX(Материалы!$K$2:$K$9000,MATCH($I808,Материалы!$A$2:$A$9000,0))*(1+IFERROR(INDEX(Работы!$I$2:$I$6000,MATCH($C808,Работы!$A$2:$A$6000,0))/100,0))*(1-ДисконтТендер),0))</f>
        <v>0</v>
      </c>
      <c r="N808" s="10">
        <f t="shared" si="36"/>
        <v>0</v>
      </c>
      <c r="O808" s="10">
        <f t="shared" si="37"/>
        <v>0</v>
      </c>
      <c r="P808" s="10">
        <f t="shared" si="38"/>
        <v>0</v>
      </c>
      <c r="Q808" t="str">
        <f>IFERROR(INDEX(Работы!$J$2:$J$6000,MATCH($C808,Работы!$A$2:$A$6000,0)),"")</f>
        <v>типовая</v>
      </c>
      <c r="R808" t="s">
        <v>92</v>
      </c>
      <c r="T808" t="str">
        <f>IF(AND($P808&gt;0,$R808="да"),MAX($T$1:$T807)+1,"")</f>
        <v/>
      </c>
    </row>
    <row r="809" spans="1:20" ht="28.8" x14ac:dyDescent="0.3">
      <c r="A809" t="str">
        <f>IFERROR(INDEX(Работы!$D$2:$D$6000,MATCH($C809,Работы!$A$2:$A$6000,0)),"")</f>
        <v>Р9</v>
      </c>
      <c r="B809" t="str">
        <f>IFERROR(INDEX(Работы!$F$2:$F$6000,MATCH($C809,Работы!$A$2:$A$6000,0)),"")</f>
        <v>2</v>
      </c>
      <c r="C809" t="str">
        <f>IFERROR(INDEX(Работы!$A$2:$A$6000,808),"")</f>
        <v>РАБ.Р9.2.171</v>
      </c>
      <c r="D809" s="8" t="str">
        <f>IFERROR(INDEX(Работы!$B$2:$B$6000,MATCH($C809,Работы!$A$2:$A$6000,0)),"")</f>
        <v>Левый токоподвод к шинопроводу (черный) (белый)</v>
      </c>
      <c r="E809" t="str">
        <f>IFERROR(INDEX(Работы!$C$2:$C$6000,MATCH($C809,Работы!$A$2:$A$6000,0)),"")</f>
        <v>шт.</v>
      </c>
      <c r="F809" t="str">
        <f>IFERROR(INDEX(Работы!$G$2:$G$6000,MATCH($C809,Работы!$A$2:$A$6000,0)),"")</f>
        <v>КАБЕЛЬ</v>
      </c>
      <c r="G809" t="str">
        <f>IFERROR(INDEX(Работы!$K$2:$K$6000,MATCH($C809,Работы!$A$2:$A$6000,0)),"")</f>
        <v>Спецификация</v>
      </c>
      <c r="H809" s="9"/>
      <c r="I809" s="9"/>
      <c r="J809" s="8" t="str">
        <f>IFERROR(INDEX(Материалы!$B$2:$B$9000,MATCH($I809,Материалы!$A$2:$A$9000,0)),"")</f>
        <v/>
      </c>
      <c r="K809" t="str">
        <f>IF($I809="","",IF($F809=IFERROR(INDEX(Материалы!$G$2:$G$9000,MATCH($I809,Материалы!$A$2:$A$9000,0)),""),"OK","!! не та группа"))</f>
        <v/>
      </c>
      <c r="L809" s="10">
        <f>IFERROR(INDEX(Работы!$H$2:$H$6000,MATCH($C809,Работы!$A$2:$A$6000,0))*(1-ДисконтТендер),0)</f>
        <v>91.67</v>
      </c>
      <c r="M809" s="10">
        <f>IF($I809="",0,IFERROR(INDEX(Материалы!$I$2:$I$9000,MATCH($I809,Материалы!$A$2:$A$9000,0))*IF(INDEX(Материалы!$J$2:$J$9000,MATCH($I809,Материалы!$A$2:$A$9000,0))="USD",КурсUSD,IF(INDEX(Материалы!$J$2:$J$9000,MATCH($I809,Материалы!$A$2:$A$9000,0))="EUR",КурсEUR,1))*INDEX(Материалы!$K$2:$K$9000,MATCH($I809,Материалы!$A$2:$A$9000,0))*(1+IFERROR(INDEX(Работы!$I$2:$I$6000,MATCH($C809,Работы!$A$2:$A$6000,0))/100,0))*(1-ДисконтТендер),0))</f>
        <v>0</v>
      </c>
      <c r="N809" s="10">
        <f t="shared" si="36"/>
        <v>0</v>
      </c>
      <c r="O809" s="10">
        <f t="shared" si="37"/>
        <v>0</v>
      </c>
      <c r="P809" s="10">
        <f t="shared" si="38"/>
        <v>0</v>
      </c>
      <c r="Q809" t="str">
        <f>IFERROR(INDEX(Работы!$J$2:$J$6000,MATCH($C809,Работы!$A$2:$A$6000,0)),"")</f>
        <v>типовая</v>
      </c>
      <c r="R809" t="s">
        <v>92</v>
      </c>
      <c r="T809" t="str">
        <f>IF(AND($P809&gt;0,$R809="да"),MAX($T$1:$T808)+1,"")</f>
        <v/>
      </c>
    </row>
    <row r="810" spans="1:20" x14ac:dyDescent="0.3">
      <c r="A810" t="str">
        <f>IFERROR(INDEX(Работы!$D$2:$D$6000,MATCH($C810,Работы!$A$2:$A$6000,0)),"")</f>
        <v>Р9</v>
      </c>
      <c r="B810" t="str">
        <f>IFERROR(INDEX(Работы!$F$2:$F$6000,MATCH($C810,Работы!$A$2:$A$6000,0)),"")</f>
        <v>2</v>
      </c>
      <c r="C810" t="str">
        <f>IFERROR(INDEX(Работы!$A$2:$A$6000,809),"")</f>
        <v>РАБ.Р9.2.172</v>
      </c>
      <c r="D810" s="8" t="str">
        <f>IFERROR(INDEX(Работы!$B$2:$B$6000,MATCH($C810,Работы!$A$2:$A$6000,0)),"")</f>
        <v>Скоба крепления к шинопроводу (черный) (белый)</v>
      </c>
      <c r="E810" t="str">
        <f>IFERROR(INDEX(Работы!$C$2:$C$6000,MATCH($C810,Работы!$A$2:$A$6000,0)),"")</f>
        <v>шт.</v>
      </c>
      <c r="F810" t="str">
        <f>IFERROR(INDEX(Работы!$G$2:$G$6000,MATCH($C810,Работы!$A$2:$A$6000,0)),"")</f>
        <v>КАБЕЛЬ</v>
      </c>
      <c r="G810" t="str">
        <f>IFERROR(INDEX(Работы!$K$2:$K$6000,MATCH($C810,Работы!$A$2:$A$6000,0)),"")</f>
        <v>Спецификация</v>
      </c>
      <c r="H810" s="9"/>
      <c r="I810" s="9"/>
      <c r="J810" s="8" t="str">
        <f>IFERROR(INDEX(Материалы!$B$2:$B$9000,MATCH($I810,Материалы!$A$2:$A$9000,0)),"")</f>
        <v/>
      </c>
      <c r="K810" t="str">
        <f>IF($I810="","",IF($F810=IFERROR(INDEX(Материалы!$G$2:$G$9000,MATCH($I810,Материалы!$A$2:$A$9000,0)),""),"OK","!! не та группа"))</f>
        <v/>
      </c>
      <c r="L810" s="10">
        <f>IFERROR(INDEX(Работы!$H$2:$H$6000,MATCH($C810,Работы!$A$2:$A$6000,0))*(1-ДисконтТендер),0)</f>
        <v>17.48</v>
      </c>
      <c r="M810" s="10">
        <f>IF($I810="",0,IFERROR(INDEX(Материалы!$I$2:$I$9000,MATCH($I810,Материалы!$A$2:$A$9000,0))*IF(INDEX(Материалы!$J$2:$J$9000,MATCH($I810,Материалы!$A$2:$A$9000,0))="USD",КурсUSD,IF(INDEX(Материалы!$J$2:$J$9000,MATCH($I810,Материалы!$A$2:$A$9000,0))="EUR",КурсEUR,1))*INDEX(Материалы!$K$2:$K$9000,MATCH($I810,Материалы!$A$2:$A$9000,0))*(1+IFERROR(INDEX(Работы!$I$2:$I$6000,MATCH($C810,Работы!$A$2:$A$6000,0))/100,0))*(1-ДисконтТендер),0))</f>
        <v>0</v>
      </c>
      <c r="N810" s="10">
        <f t="shared" si="36"/>
        <v>0</v>
      </c>
      <c r="O810" s="10">
        <f t="shared" si="37"/>
        <v>0</v>
      </c>
      <c r="P810" s="10">
        <f t="shared" si="38"/>
        <v>0</v>
      </c>
      <c r="Q810" t="str">
        <f>IFERROR(INDEX(Работы!$J$2:$J$6000,MATCH($C810,Работы!$A$2:$A$6000,0)),"")</f>
        <v>типовая</v>
      </c>
      <c r="R810" t="s">
        <v>92</v>
      </c>
      <c r="T810" t="str">
        <f>IF(AND($P810&gt;0,$R810="да"),MAX($T$1:$T809)+1,"")</f>
        <v/>
      </c>
    </row>
    <row r="811" spans="1:20" x14ac:dyDescent="0.3">
      <c r="A811" t="str">
        <f>IFERROR(INDEX(Работы!$D$2:$D$6000,MATCH($C811,Работы!$A$2:$A$6000,0)),"")</f>
        <v>Р9</v>
      </c>
      <c r="B811" t="str">
        <f>IFERROR(INDEX(Работы!$F$2:$F$6000,MATCH($C811,Работы!$A$2:$A$6000,0)),"")</f>
        <v>2</v>
      </c>
      <c r="C811" t="str">
        <f>IFERROR(INDEX(Работы!$A$2:$A$6000,810),"")</f>
        <v>РАБ.Р9.2.173</v>
      </c>
      <c r="D811" s="8" t="str">
        <f>IFERROR(INDEX(Работы!$B$2:$B$6000,MATCH($C811,Работы!$A$2:$A$6000,0)),"")</f>
        <v>Tросик 1,5м (серебро)</v>
      </c>
      <c r="E811" t="str">
        <f>IFERROR(INDEX(Работы!$C$2:$C$6000,MATCH($C811,Работы!$A$2:$A$6000,0)),"")</f>
        <v>шт.</v>
      </c>
      <c r="F811">
        <f>IFERROR(INDEX(Работы!$G$2:$G$6000,MATCH($C811,Работы!$A$2:$A$6000,0)),"")</f>
        <v>0</v>
      </c>
      <c r="G811" t="str">
        <f>IFERROR(INDEX(Работы!$K$2:$K$6000,MATCH($C811,Работы!$A$2:$A$6000,0)),"")</f>
        <v>Спецификация</v>
      </c>
      <c r="H811" s="9"/>
      <c r="I811" s="9"/>
      <c r="J811" s="8" t="str">
        <f>IFERROR(INDEX(Материалы!$B$2:$B$9000,MATCH($I811,Материалы!$A$2:$A$9000,0)),"")</f>
        <v/>
      </c>
      <c r="K811" t="str">
        <f>IF($I811="","",IF($F811=IFERROR(INDEX(Материалы!$G$2:$G$9000,MATCH($I811,Материалы!$A$2:$A$9000,0)),""),"OK","!! не та группа"))</f>
        <v/>
      </c>
      <c r="L811" s="10">
        <f>IFERROR(INDEX(Работы!$H$2:$H$6000,MATCH($C811,Работы!$A$2:$A$6000,0))*(1-ДисконтТендер),0)</f>
        <v>51.79</v>
      </c>
      <c r="M811" s="10">
        <f>IF($I811="",0,IFERROR(INDEX(Материалы!$I$2:$I$9000,MATCH($I811,Материалы!$A$2:$A$9000,0))*IF(INDEX(Материалы!$J$2:$J$9000,MATCH($I811,Материалы!$A$2:$A$9000,0))="USD",КурсUSD,IF(INDEX(Материалы!$J$2:$J$9000,MATCH($I811,Материалы!$A$2:$A$9000,0))="EUR",КурсEUR,1))*INDEX(Материалы!$K$2:$K$9000,MATCH($I811,Материалы!$A$2:$A$9000,0))*(1+IFERROR(INDEX(Работы!$I$2:$I$6000,MATCH($C811,Работы!$A$2:$A$6000,0))/100,0))*(1-ДисконтТендер),0))</f>
        <v>0</v>
      </c>
      <c r="N811" s="10">
        <f t="shared" si="36"/>
        <v>0</v>
      </c>
      <c r="O811" s="10">
        <f t="shared" si="37"/>
        <v>0</v>
      </c>
      <c r="P811" s="10">
        <f t="shared" si="38"/>
        <v>0</v>
      </c>
      <c r="Q811" t="str">
        <f>IFERROR(INDEX(Работы!$J$2:$J$6000,MATCH($C811,Работы!$A$2:$A$6000,0)),"")</f>
        <v>типовая</v>
      </c>
      <c r="R811" t="s">
        <v>92</v>
      </c>
      <c r="T811" t="str">
        <f>IF(AND($P811&gt;0,$R811="да"),MAX($T$1:$T810)+1,"")</f>
        <v/>
      </c>
    </row>
    <row r="812" spans="1:20" x14ac:dyDescent="0.3">
      <c r="A812" t="str">
        <f>IFERROR(INDEX(Работы!$D$2:$D$6000,MATCH($C812,Работы!$A$2:$A$6000,0)),"")</f>
        <v>Р9</v>
      </c>
      <c r="B812" t="str">
        <f>IFERROR(INDEX(Работы!$F$2:$F$6000,MATCH($C812,Работы!$A$2:$A$6000,0)),"")</f>
        <v>2</v>
      </c>
      <c r="C812" t="str">
        <f>IFERROR(INDEX(Работы!$A$2:$A$6000,811),"")</f>
        <v>РАБ.Р9.2.174</v>
      </c>
      <c r="D812" s="8" t="str">
        <f>IFERROR(INDEX(Работы!$B$2:$B$6000,MATCH($C812,Работы!$A$2:$A$6000,0)),"")</f>
        <v>Колпачок к шинопроводу (черный)</v>
      </c>
      <c r="E812" t="str">
        <f>IFERROR(INDEX(Работы!$C$2:$C$6000,MATCH($C812,Работы!$A$2:$A$6000,0)),"")</f>
        <v>шт.</v>
      </c>
      <c r="F812" t="str">
        <f>IFERROR(INDEX(Работы!$G$2:$G$6000,MATCH($C812,Работы!$A$2:$A$6000,0)),"")</f>
        <v>КАБЕЛЬ</v>
      </c>
      <c r="G812" t="str">
        <f>IFERROR(INDEX(Работы!$K$2:$K$6000,MATCH($C812,Работы!$A$2:$A$6000,0)),"")</f>
        <v>Спецификация</v>
      </c>
      <c r="H812" s="9"/>
      <c r="I812" s="9"/>
      <c r="J812" s="8" t="str">
        <f>IFERROR(INDEX(Материалы!$B$2:$B$9000,MATCH($I812,Материалы!$A$2:$A$9000,0)),"")</f>
        <v/>
      </c>
      <c r="K812" t="str">
        <f>IF($I812="","",IF($F812=IFERROR(INDEX(Материалы!$G$2:$G$9000,MATCH($I812,Материалы!$A$2:$A$9000,0)),""),"OK","!! не та группа"))</f>
        <v/>
      </c>
      <c r="L812" s="10">
        <f>IFERROR(INDEX(Работы!$H$2:$H$6000,MATCH($C812,Работы!$A$2:$A$6000,0))*(1-ДисконтТендер),0)</f>
        <v>27.97</v>
      </c>
      <c r="M812" s="10">
        <f>IF($I812="",0,IFERROR(INDEX(Материалы!$I$2:$I$9000,MATCH($I812,Материалы!$A$2:$A$9000,0))*IF(INDEX(Материалы!$J$2:$J$9000,MATCH($I812,Материалы!$A$2:$A$9000,0))="USD",КурсUSD,IF(INDEX(Материалы!$J$2:$J$9000,MATCH($I812,Материалы!$A$2:$A$9000,0))="EUR",КурсEUR,1))*INDEX(Материалы!$K$2:$K$9000,MATCH($I812,Материалы!$A$2:$A$9000,0))*(1+IFERROR(INDEX(Работы!$I$2:$I$6000,MATCH($C812,Работы!$A$2:$A$6000,0))/100,0))*(1-ДисконтТендер),0))</f>
        <v>0</v>
      </c>
      <c r="N812" s="10">
        <f t="shared" si="36"/>
        <v>0</v>
      </c>
      <c r="O812" s="10">
        <f t="shared" si="37"/>
        <v>0</v>
      </c>
      <c r="P812" s="10">
        <f t="shared" si="38"/>
        <v>0</v>
      </c>
      <c r="Q812" t="str">
        <f>IFERROR(INDEX(Работы!$J$2:$J$6000,MATCH($C812,Работы!$A$2:$A$6000,0)),"")</f>
        <v>типовая</v>
      </c>
      <c r="R812" t="s">
        <v>92</v>
      </c>
      <c r="T812" t="str">
        <f>IF(AND($P812&gt;0,$R812="да"),MAX($T$1:$T811)+1,"")</f>
        <v/>
      </c>
    </row>
    <row r="813" spans="1:20" x14ac:dyDescent="0.3">
      <c r="A813" t="str">
        <f>IFERROR(INDEX(Работы!$D$2:$D$6000,MATCH($C813,Работы!$A$2:$A$6000,0)),"")</f>
        <v>Р9</v>
      </c>
      <c r="B813" t="str">
        <f>IFERROR(INDEX(Работы!$F$2:$F$6000,MATCH($C813,Работы!$A$2:$A$6000,0)),"")</f>
        <v>2</v>
      </c>
      <c r="C813" t="str">
        <f>IFERROR(INDEX(Работы!$A$2:$A$6000,812),"")</f>
        <v>РАБ.Р9.2.175</v>
      </c>
      <c r="D813" s="8" t="str">
        <f>IFERROR(INDEX(Работы!$B$2:$B$6000,MATCH($C813,Работы!$A$2:$A$6000,0)),"")</f>
        <v>Q45 Track 8W-4000K CRI 90 BLK / WHI - Прожектор</v>
      </c>
      <c r="E813" t="str">
        <f>IFERROR(INDEX(Работы!$C$2:$C$6000,MATCH($C813,Работы!$A$2:$A$6000,0)),"")</f>
        <v>шт.</v>
      </c>
      <c r="F813">
        <f>IFERROR(INDEX(Работы!$G$2:$G$6000,MATCH($C813,Работы!$A$2:$A$6000,0)),"")</f>
        <v>0</v>
      </c>
      <c r="G813" t="str">
        <f>IFERROR(INDEX(Работы!$K$2:$K$6000,MATCH($C813,Работы!$A$2:$A$6000,0)),"")</f>
        <v>Спецификация</v>
      </c>
      <c r="H813" s="9"/>
      <c r="I813" s="9"/>
      <c r="J813" s="8" t="str">
        <f>IFERROR(INDEX(Материалы!$B$2:$B$9000,MATCH($I813,Материалы!$A$2:$A$9000,0)),"")</f>
        <v/>
      </c>
      <c r="K813" t="str">
        <f>IF($I813="","",IF($F813=IFERROR(INDEX(Материалы!$G$2:$G$9000,MATCH($I813,Материалы!$A$2:$A$9000,0)),""),"OK","!! не та группа"))</f>
        <v/>
      </c>
      <c r="L813" s="10">
        <f>IFERROR(INDEX(Работы!$H$2:$H$6000,MATCH($C813,Работы!$A$2:$A$6000,0))*(1-ДисконтТендер),0)</f>
        <v>793.71</v>
      </c>
      <c r="M813" s="10">
        <f>IF($I813="",0,IFERROR(INDEX(Материалы!$I$2:$I$9000,MATCH($I813,Материалы!$A$2:$A$9000,0))*IF(INDEX(Материалы!$J$2:$J$9000,MATCH($I813,Материалы!$A$2:$A$9000,0))="USD",КурсUSD,IF(INDEX(Материалы!$J$2:$J$9000,MATCH($I813,Материалы!$A$2:$A$9000,0))="EUR",КурсEUR,1))*INDEX(Материалы!$K$2:$K$9000,MATCH($I813,Материалы!$A$2:$A$9000,0))*(1+IFERROR(INDEX(Работы!$I$2:$I$6000,MATCH($C813,Работы!$A$2:$A$6000,0))/100,0))*(1-ДисконтТендер),0))</f>
        <v>0</v>
      </c>
      <c r="N813" s="10">
        <f t="shared" si="36"/>
        <v>0</v>
      </c>
      <c r="O813" s="10">
        <f t="shared" si="37"/>
        <v>0</v>
      </c>
      <c r="P813" s="10">
        <f t="shared" si="38"/>
        <v>0</v>
      </c>
      <c r="Q813" t="str">
        <f>IFERROR(INDEX(Работы!$J$2:$J$6000,MATCH($C813,Работы!$A$2:$A$6000,0)),"")</f>
        <v>типовая</v>
      </c>
      <c r="R813" t="s">
        <v>92</v>
      </c>
      <c r="T813" t="str">
        <f>IF(AND($P813&gt;0,$R813="да"),MAX($T$1:$T812)+1,"")</f>
        <v/>
      </c>
    </row>
    <row r="814" spans="1:20" x14ac:dyDescent="0.3">
      <c r="A814" t="str">
        <f>IFERROR(INDEX(Работы!$D$2:$D$6000,MATCH($C814,Работы!$A$2:$A$6000,0)),"")</f>
        <v>Р9</v>
      </c>
      <c r="B814" t="str">
        <f>IFERROR(INDEX(Работы!$F$2:$F$6000,MATCH($C814,Работы!$A$2:$A$6000,0)),"")</f>
        <v>2</v>
      </c>
      <c r="C814" t="str">
        <f>IFERROR(INDEX(Работы!$A$2:$A$6000,813),"")</f>
        <v>РАБ.Р9.2.176</v>
      </c>
      <c r="D814" s="8" t="str">
        <f>IFERROR(INDEX(Работы!$B$2:$B$6000,MATCH($C814,Работы!$A$2:$A$6000,0)),"")</f>
        <v>Угол к шинопроводу (черный)</v>
      </c>
      <c r="E814" t="str">
        <f>IFERROR(INDEX(Работы!$C$2:$C$6000,MATCH($C814,Работы!$A$2:$A$6000,0)),"")</f>
        <v>шт.</v>
      </c>
      <c r="F814" t="str">
        <f>IFERROR(INDEX(Работы!$G$2:$G$6000,MATCH($C814,Работы!$A$2:$A$6000,0)),"")</f>
        <v>КАБЕЛЬ</v>
      </c>
      <c r="G814" t="str">
        <f>IFERROR(INDEX(Работы!$K$2:$K$6000,MATCH($C814,Работы!$A$2:$A$6000,0)),"")</f>
        <v>Спецификация</v>
      </c>
      <c r="H814" s="9"/>
      <c r="I814" s="9"/>
      <c r="J814" s="8" t="str">
        <f>IFERROR(INDEX(Материалы!$B$2:$B$9000,MATCH($I814,Материалы!$A$2:$A$9000,0)),"")</f>
        <v/>
      </c>
      <c r="K814" t="str">
        <f>IF($I814="","",IF($F814=IFERROR(INDEX(Материалы!$G$2:$G$9000,MATCH($I814,Материалы!$A$2:$A$9000,0)),""),"OK","!! не та группа"))</f>
        <v/>
      </c>
      <c r="L814" s="10">
        <f>IFERROR(INDEX(Работы!$H$2:$H$6000,MATCH($C814,Работы!$A$2:$A$6000,0))*(1-ДисконтТендер),0)</f>
        <v>177.75</v>
      </c>
      <c r="M814" s="10">
        <f>IF($I814="",0,IFERROR(INDEX(Материалы!$I$2:$I$9000,MATCH($I814,Материалы!$A$2:$A$9000,0))*IF(INDEX(Материалы!$J$2:$J$9000,MATCH($I814,Материалы!$A$2:$A$9000,0))="USD",КурсUSD,IF(INDEX(Материалы!$J$2:$J$9000,MATCH($I814,Материалы!$A$2:$A$9000,0))="EUR",КурсEUR,1))*INDEX(Материалы!$K$2:$K$9000,MATCH($I814,Материалы!$A$2:$A$9000,0))*(1+IFERROR(INDEX(Работы!$I$2:$I$6000,MATCH($C814,Работы!$A$2:$A$6000,0))/100,0))*(1-ДисконтТендер),0))</f>
        <v>0</v>
      </c>
      <c r="N814" s="10">
        <f t="shared" si="36"/>
        <v>0</v>
      </c>
      <c r="O814" s="10">
        <f t="shared" si="37"/>
        <v>0</v>
      </c>
      <c r="P814" s="10">
        <f t="shared" si="38"/>
        <v>0</v>
      </c>
      <c r="Q814" t="str">
        <f>IFERROR(INDEX(Работы!$J$2:$J$6000,MATCH($C814,Работы!$A$2:$A$6000,0)),"")</f>
        <v>типовая</v>
      </c>
      <c r="R814" t="s">
        <v>92</v>
      </c>
      <c r="T814" t="str">
        <f>IF(AND($P814&gt;0,$R814="да"),MAX($T$1:$T813)+1,"")</f>
        <v/>
      </c>
    </row>
    <row r="815" spans="1:20" x14ac:dyDescent="0.3">
      <c r="A815" t="str">
        <f>IFERROR(INDEX(Работы!$D$2:$D$6000,MATCH($C815,Работы!$A$2:$A$6000,0)),"")</f>
        <v>Р9</v>
      </c>
      <c r="B815" t="str">
        <f>IFERROR(INDEX(Работы!$F$2:$F$6000,MATCH($C815,Работы!$A$2:$A$6000,0)),"")</f>
        <v>2</v>
      </c>
      <c r="C815" t="str">
        <f>IFERROR(INDEX(Работы!$A$2:$A$6000,814),"")</f>
        <v>РАБ.Р9.2.177</v>
      </c>
      <c r="D815" s="8" t="str">
        <f>IFERROR(INDEX(Работы!$B$2:$B$6000,MATCH($C815,Работы!$A$2:$A$6000,0)),"")</f>
        <v>Шинопровод 1м (черный) (белый)</v>
      </c>
      <c r="E815" t="str">
        <f>IFERROR(INDEX(Работы!$C$2:$C$6000,MATCH($C815,Работы!$A$2:$A$6000,0)),"")</f>
        <v>шт.</v>
      </c>
      <c r="F815" t="str">
        <f>IFERROR(INDEX(Работы!$G$2:$G$6000,MATCH($C815,Работы!$A$2:$A$6000,0)),"")</f>
        <v>КАБЕЛЬ</v>
      </c>
      <c r="G815" t="str">
        <f>IFERROR(INDEX(Работы!$K$2:$K$6000,MATCH($C815,Работы!$A$2:$A$6000,0)),"")</f>
        <v>Погонаж</v>
      </c>
      <c r="H815" s="9"/>
      <c r="I815" s="9"/>
      <c r="J815" s="8" t="str">
        <f>IFERROR(INDEX(Материалы!$B$2:$B$9000,MATCH($I815,Материалы!$A$2:$A$9000,0)),"")</f>
        <v/>
      </c>
      <c r="K815" t="str">
        <f>IF($I815="","",IF($F815=IFERROR(INDEX(Материалы!$G$2:$G$9000,MATCH($I815,Материалы!$A$2:$A$9000,0)),""),"OK","!! не та группа"))</f>
        <v/>
      </c>
      <c r="L815" s="10">
        <f>IFERROR(INDEX(Работы!$H$2:$H$6000,MATCH($C815,Работы!$A$2:$A$6000,0))*(1-ДисконтТендер),0)</f>
        <v>166.89</v>
      </c>
      <c r="M815" s="10">
        <f>IF($I815="",0,IFERROR(INDEX(Материалы!$I$2:$I$9000,MATCH($I815,Материалы!$A$2:$A$9000,0))*IF(INDEX(Материалы!$J$2:$J$9000,MATCH($I815,Материалы!$A$2:$A$9000,0))="USD",КурсUSD,IF(INDEX(Материалы!$J$2:$J$9000,MATCH($I815,Материалы!$A$2:$A$9000,0))="EUR",КурсEUR,1))*INDEX(Материалы!$K$2:$K$9000,MATCH($I815,Материалы!$A$2:$A$9000,0))*(1+IFERROR(INDEX(Работы!$I$2:$I$6000,MATCH($C815,Работы!$A$2:$A$6000,0))/100,0))*(1-ДисконтТендер),0))</f>
        <v>0</v>
      </c>
      <c r="N815" s="10">
        <f t="shared" si="36"/>
        <v>0</v>
      </c>
      <c r="O815" s="10">
        <f t="shared" si="37"/>
        <v>0</v>
      </c>
      <c r="P815" s="10">
        <f t="shared" si="38"/>
        <v>0</v>
      </c>
      <c r="Q815" t="str">
        <f>IFERROR(INDEX(Работы!$J$2:$J$6000,MATCH($C815,Работы!$A$2:$A$6000,0)),"")</f>
        <v>типовая</v>
      </c>
      <c r="R815" t="s">
        <v>92</v>
      </c>
      <c r="T815" t="str">
        <f>IF(AND($P815&gt;0,$R815="да"),MAX($T$1:$T814)+1,"")</f>
        <v/>
      </c>
    </row>
    <row r="816" spans="1:20" x14ac:dyDescent="0.3">
      <c r="A816" t="str">
        <f>IFERROR(INDEX(Работы!$D$2:$D$6000,MATCH($C816,Работы!$A$2:$A$6000,0)),"")</f>
        <v>Р9</v>
      </c>
      <c r="B816" t="str">
        <f>IFERROR(INDEX(Работы!$F$2:$F$6000,MATCH($C816,Работы!$A$2:$A$6000,0)),"")</f>
        <v>2</v>
      </c>
      <c r="C816" t="str">
        <f>IFERROR(INDEX(Работы!$A$2:$A$6000,815),"")</f>
        <v>РАБ.Р9.2.178</v>
      </c>
      <c r="D816" s="8" t="str">
        <f>IFERROR(INDEX(Работы!$B$2:$B$6000,MATCH($C816,Работы!$A$2:$A$6000,0)),"")</f>
        <v>Заглушка, (черная, белая)</v>
      </c>
      <c r="E816" t="str">
        <f>IFERROR(INDEX(Работы!$C$2:$C$6000,MATCH($C816,Работы!$A$2:$A$6000,0)),"")</f>
        <v>шт.</v>
      </c>
      <c r="F816">
        <f>IFERROR(INDEX(Работы!$G$2:$G$6000,MATCH($C816,Работы!$A$2:$A$6000,0)),"")</f>
        <v>0</v>
      </c>
      <c r="G816" t="str">
        <f>IFERROR(INDEX(Работы!$K$2:$K$6000,MATCH($C816,Работы!$A$2:$A$6000,0)),"")</f>
        <v>Спецификация</v>
      </c>
      <c r="H816" s="9"/>
      <c r="I816" s="9"/>
      <c r="J816" s="8" t="str">
        <f>IFERROR(INDEX(Материалы!$B$2:$B$9000,MATCH($I816,Материалы!$A$2:$A$9000,0)),"")</f>
        <v/>
      </c>
      <c r="K816" t="str">
        <f>IF($I816="","",IF($F816=IFERROR(INDEX(Материалы!$G$2:$G$9000,MATCH($I816,Материалы!$A$2:$A$9000,0)),""),"OK","!! не та группа"))</f>
        <v/>
      </c>
      <c r="L816" s="10">
        <f>IFERROR(INDEX(Работы!$H$2:$H$6000,MATCH($C816,Работы!$A$2:$A$6000,0))*(1-ДисконтТендер),0)</f>
        <v>4.0599999999999996</v>
      </c>
      <c r="M816" s="10">
        <f>IF($I816="",0,IFERROR(INDEX(Материалы!$I$2:$I$9000,MATCH($I816,Материалы!$A$2:$A$9000,0))*IF(INDEX(Материалы!$J$2:$J$9000,MATCH($I816,Материалы!$A$2:$A$9000,0))="USD",КурсUSD,IF(INDEX(Материалы!$J$2:$J$9000,MATCH($I816,Материалы!$A$2:$A$9000,0))="EUR",КурсEUR,1))*INDEX(Материалы!$K$2:$K$9000,MATCH($I816,Материалы!$A$2:$A$9000,0))*(1+IFERROR(INDEX(Работы!$I$2:$I$6000,MATCH($C816,Работы!$A$2:$A$6000,0))/100,0))*(1-ДисконтТендер),0))</f>
        <v>0</v>
      </c>
      <c r="N816" s="10">
        <f t="shared" si="36"/>
        <v>0</v>
      </c>
      <c r="O816" s="10">
        <f t="shared" si="37"/>
        <v>0</v>
      </c>
      <c r="P816" s="10">
        <f t="shared" si="38"/>
        <v>0</v>
      </c>
      <c r="Q816" t="str">
        <f>IFERROR(INDEX(Работы!$J$2:$J$6000,MATCH($C816,Работы!$A$2:$A$6000,0)),"")</f>
        <v>типовая</v>
      </c>
      <c r="R816" t="s">
        <v>92</v>
      </c>
      <c r="T816" t="str">
        <f>IF(AND($P816&gt;0,$R816="да"),MAX($T$1:$T815)+1,"")</f>
        <v/>
      </c>
    </row>
    <row r="817" spans="1:20" x14ac:dyDescent="0.3">
      <c r="A817" t="str">
        <f>IFERROR(INDEX(Работы!$D$2:$D$6000,MATCH($C817,Работы!$A$2:$A$6000,0)),"")</f>
        <v>Р9</v>
      </c>
      <c r="B817" t="str">
        <f>IFERROR(INDEX(Работы!$F$2:$F$6000,MATCH($C817,Работы!$A$2:$A$6000,0)),"")</f>
        <v>2</v>
      </c>
      <c r="C817" t="str">
        <f>IFERROR(INDEX(Работы!$A$2:$A$6000,816),"")</f>
        <v>РАБ.Р9.2.179</v>
      </c>
      <c r="D817" s="8" t="str">
        <f>IFERROR(INDEX(Работы!$B$2:$B$6000,MATCH($C817,Работы!$A$2:$A$6000,0)),"")</f>
        <v>Шинопровод 2м (белый)</v>
      </c>
      <c r="E817" t="str">
        <f>IFERROR(INDEX(Работы!$C$2:$C$6000,MATCH($C817,Работы!$A$2:$A$6000,0)),"")</f>
        <v>шт.</v>
      </c>
      <c r="F817" t="str">
        <f>IFERROR(INDEX(Работы!$G$2:$G$6000,MATCH($C817,Работы!$A$2:$A$6000,0)),"")</f>
        <v>КАБЕЛЬ</v>
      </c>
      <c r="G817" t="str">
        <f>IFERROR(INDEX(Работы!$K$2:$K$6000,MATCH($C817,Работы!$A$2:$A$6000,0)),"")</f>
        <v>Погонаж</v>
      </c>
      <c r="H817" s="9"/>
      <c r="I817" s="9"/>
      <c r="J817" s="8" t="str">
        <f>IFERROR(INDEX(Материалы!$B$2:$B$9000,MATCH($I817,Материалы!$A$2:$A$9000,0)),"")</f>
        <v/>
      </c>
      <c r="K817" t="str">
        <f>IF($I817="","",IF($F817=IFERROR(INDEX(Материалы!$G$2:$G$9000,MATCH($I817,Материалы!$A$2:$A$9000,0)),""),"OK","!! не та группа"))</f>
        <v/>
      </c>
      <c r="L817" s="10">
        <f>IFERROR(INDEX(Работы!$H$2:$H$6000,MATCH($C817,Работы!$A$2:$A$6000,0))*(1-ДисконтТендер),0)</f>
        <v>372.99</v>
      </c>
      <c r="M817" s="10">
        <f>IF($I817="",0,IFERROR(INDEX(Материалы!$I$2:$I$9000,MATCH($I817,Материалы!$A$2:$A$9000,0))*IF(INDEX(Материалы!$J$2:$J$9000,MATCH($I817,Материалы!$A$2:$A$9000,0))="USD",КурсUSD,IF(INDEX(Материалы!$J$2:$J$9000,MATCH($I817,Материалы!$A$2:$A$9000,0))="EUR",КурсEUR,1))*INDEX(Материалы!$K$2:$K$9000,MATCH($I817,Материалы!$A$2:$A$9000,0))*(1+IFERROR(INDEX(Работы!$I$2:$I$6000,MATCH($C817,Работы!$A$2:$A$6000,0))/100,0))*(1-ДисконтТендер),0))</f>
        <v>0</v>
      </c>
      <c r="N817" s="10">
        <f t="shared" si="36"/>
        <v>0</v>
      </c>
      <c r="O817" s="10">
        <f t="shared" si="37"/>
        <v>0</v>
      </c>
      <c r="P817" s="10">
        <f t="shared" si="38"/>
        <v>0</v>
      </c>
      <c r="Q817" t="str">
        <f>IFERROR(INDEX(Работы!$J$2:$J$6000,MATCH($C817,Работы!$A$2:$A$6000,0)),"")</f>
        <v>типовая</v>
      </c>
      <c r="R817" t="s">
        <v>92</v>
      </c>
      <c r="T817" t="str">
        <f>IF(AND($P817&gt;0,$R817="да"),MAX($T$1:$T816)+1,"")</f>
        <v/>
      </c>
    </row>
    <row r="818" spans="1:20" ht="43.2" x14ac:dyDescent="0.3">
      <c r="A818" t="str">
        <f>IFERROR(INDEX(Работы!$D$2:$D$6000,MATCH($C818,Работы!$A$2:$A$6000,0)),"")</f>
        <v>Р9</v>
      </c>
      <c r="B818" t="str">
        <f>IFERROR(INDEX(Работы!$F$2:$F$6000,MATCH($C818,Работы!$A$2:$A$6000,0)),"")</f>
        <v>2</v>
      </c>
      <c r="C818" t="str">
        <f>IFERROR(INDEX(Работы!$A$2:$A$6000,817),"")</f>
        <v>РАБ.Р9.2.180</v>
      </c>
      <c r="D818" s="8" t="str">
        <f>IFERROR(INDEX(Работы!$B$2:$B$6000,MATCH($C818,Работы!$A$2:$A$6000,0)),"")</f>
        <v>Silent acoustic D380x230x(h)500 mm, 1xE27, one side colour Susp (белый внутри, серый снаружи)- Светильник</v>
      </c>
      <c r="E818" t="str">
        <f>IFERROR(INDEX(Работы!$C$2:$C$6000,MATCH($C818,Работы!$A$2:$A$6000,0)),"")</f>
        <v>шт.</v>
      </c>
      <c r="F818" t="str">
        <f>IFERROR(INDEX(Работы!$G$2:$G$6000,MATCH($C818,Работы!$A$2:$A$6000,0)),"")</f>
        <v>СВЕТ</v>
      </c>
      <c r="G818" t="str">
        <f>IFERROR(INDEX(Работы!$K$2:$K$6000,MATCH($C818,Работы!$A$2:$A$6000,0)),"")</f>
        <v>Спецификация</v>
      </c>
      <c r="H818" s="9"/>
      <c r="I818" s="9"/>
      <c r="J818" s="8" t="str">
        <f>IFERROR(INDEX(Материалы!$B$2:$B$9000,MATCH($I818,Материалы!$A$2:$A$9000,0)),"")</f>
        <v/>
      </c>
      <c r="K818" t="str">
        <f>IF($I818="","",IF($F818=IFERROR(INDEX(Материалы!$G$2:$G$9000,MATCH($I818,Материалы!$A$2:$A$9000,0)),""),"OK","!! не та группа"))</f>
        <v/>
      </c>
      <c r="L818" s="10">
        <f>IFERROR(INDEX(Работы!$H$2:$H$6000,MATCH($C818,Работы!$A$2:$A$6000,0))*(1-ДисконтТендер),0)</f>
        <v>2896.14</v>
      </c>
      <c r="M818" s="10">
        <f>IF($I818="",0,IFERROR(INDEX(Материалы!$I$2:$I$9000,MATCH($I818,Материалы!$A$2:$A$9000,0))*IF(INDEX(Материалы!$J$2:$J$9000,MATCH($I818,Материалы!$A$2:$A$9000,0))="USD",КурсUSD,IF(INDEX(Материалы!$J$2:$J$9000,MATCH($I818,Материалы!$A$2:$A$9000,0))="EUR",КурсEUR,1))*INDEX(Материалы!$K$2:$K$9000,MATCH($I818,Материалы!$A$2:$A$9000,0))*(1+IFERROR(INDEX(Работы!$I$2:$I$6000,MATCH($C818,Работы!$A$2:$A$6000,0))/100,0))*(1-ДисконтТендер),0))</f>
        <v>0</v>
      </c>
      <c r="N818" s="10">
        <f t="shared" si="36"/>
        <v>0</v>
      </c>
      <c r="O818" s="10">
        <f t="shared" si="37"/>
        <v>0</v>
      </c>
      <c r="P818" s="10">
        <f t="shared" si="38"/>
        <v>0</v>
      </c>
      <c r="Q818" t="str">
        <f>IFERROR(INDEX(Работы!$J$2:$J$6000,MATCH($C818,Работы!$A$2:$A$6000,0)),"")</f>
        <v>типовая</v>
      </c>
      <c r="R818" t="s">
        <v>92</v>
      </c>
      <c r="T818" t="str">
        <f>IF(AND($P818&gt;0,$R818="да"),MAX($T$1:$T817)+1,"")</f>
        <v/>
      </c>
    </row>
    <row r="819" spans="1:20" ht="28.8" x14ac:dyDescent="0.3">
      <c r="A819" t="str">
        <f>IFERROR(INDEX(Работы!$D$2:$D$6000,MATCH($C819,Работы!$A$2:$A$6000,0)),"")</f>
        <v>Р9</v>
      </c>
      <c r="B819" t="str">
        <f>IFERROR(INDEX(Работы!$F$2:$F$6000,MATCH($C819,Работы!$A$2:$A$6000,0)),"")</f>
        <v>2</v>
      </c>
      <c r="C819" t="str">
        <f>IFERROR(INDEX(Работы!$A$2:$A$6000,818),"")</f>
        <v>РАБ.Р9.2.181</v>
      </c>
      <c r="D819" s="8" t="str">
        <f>IFERROR(INDEX(Работы!$B$2:$B$6000,MATCH($C819,Работы!$A$2:$A$6000,0)),"")</f>
        <v>Silent acoustic D200-100x(h)300 mm, 1xE27, one side colour Susp Серый- Светильник</v>
      </c>
      <c r="E819" t="str">
        <f>IFERROR(INDEX(Работы!$C$2:$C$6000,MATCH($C819,Работы!$A$2:$A$6000,0)),"")</f>
        <v>шт.</v>
      </c>
      <c r="F819" t="str">
        <f>IFERROR(INDEX(Работы!$G$2:$G$6000,MATCH($C819,Работы!$A$2:$A$6000,0)),"")</f>
        <v>СВЕТ</v>
      </c>
      <c r="G819" t="str">
        <f>IFERROR(INDEX(Работы!$K$2:$K$6000,MATCH($C819,Работы!$A$2:$A$6000,0)),"")</f>
        <v>Спецификация</v>
      </c>
      <c r="H819" s="9"/>
      <c r="I819" s="9"/>
      <c r="J819" s="8" t="str">
        <f>IFERROR(INDEX(Материалы!$B$2:$B$9000,MATCH($I819,Материалы!$A$2:$A$9000,0)),"")</f>
        <v/>
      </c>
      <c r="K819" t="str">
        <f>IF($I819="","",IF($F819=IFERROR(INDEX(Материалы!$G$2:$G$9000,MATCH($I819,Материалы!$A$2:$A$9000,0)),""),"OK","!! не та группа"))</f>
        <v/>
      </c>
      <c r="L819" s="10">
        <f>IFERROR(INDEX(Работы!$H$2:$H$6000,MATCH($C819,Работы!$A$2:$A$6000,0))*(1-ДисконтТендер),0)</f>
        <v>1209.32</v>
      </c>
      <c r="M819" s="10">
        <f>IF($I819="",0,IFERROR(INDEX(Материалы!$I$2:$I$9000,MATCH($I819,Материалы!$A$2:$A$9000,0))*IF(INDEX(Материалы!$J$2:$J$9000,MATCH($I819,Материалы!$A$2:$A$9000,0))="USD",КурсUSD,IF(INDEX(Материалы!$J$2:$J$9000,MATCH($I819,Материалы!$A$2:$A$9000,0))="EUR",КурсEUR,1))*INDEX(Материалы!$K$2:$K$9000,MATCH($I819,Материалы!$A$2:$A$9000,0))*(1+IFERROR(INDEX(Работы!$I$2:$I$6000,MATCH($C819,Работы!$A$2:$A$6000,0))/100,0))*(1-ДисконтТендер),0))</f>
        <v>0</v>
      </c>
      <c r="N819" s="10">
        <f t="shared" si="36"/>
        <v>0</v>
      </c>
      <c r="O819" s="10">
        <f t="shared" si="37"/>
        <v>0</v>
      </c>
      <c r="P819" s="10">
        <f t="shared" si="38"/>
        <v>0</v>
      </c>
      <c r="Q819" t="str">
        <f>IFERROR(INDEX(Работы!$J$2:$J$6000,MATCH($C819,Работы!$A$2:$A$6000,0)),"")</f>
        <v>типовая</v>
      </c>
      <c r="R819" t="s">
        <v>92</v>
      </c>
      <c r="T819" t="str">
        <f>IF(AND($P819&gt;0,$R819="да"),MAX($T$1:$T818)+1,"")</f>
        <v/>
      </c>
    </row>
    <row r="820" spans="1:20" ht="28.8" x14ac:dyDescent="0.3">
      <c r="A820" t="str">
        <f>IFERROR(INDEX(Работы!$D$2:$D$6000,MATCH($C820,Работы!$A$2:$A$6000,0)),"")</f>
        <v>Р9</v>
      </c>
      <c r="B820" t="str">
        <f>IFERROR(INDEX(Работы!$F$2:$F$6000,MATCH($C820,Работы!$A$2:$A$6000,0)),"")</f>
        <v>2</v>
      </c>
      <c r="C820" t="str">
        <f>IFERROR(INDEX(Работы!$A$2:$A$6000,819),"")</f>
        <v>РАБ.Р9.2.182</v>
      </c>
      <c r="D820" s="8" t="str">
        <f>IFERROR(INDEX(Работы!$B$2:$B$6000,MATCH($C820,Работы!$A$2:$A$6000,0)),"")</f>
        <v>Silent acoustic D800-400x(h)400 mm, 3xE27, one side colour Susp RED - Светильник</v>
      </c>
      <c r="E820" t="str">
        <f>IFERROR(INDEX(Работы!$C$2:$C$6000,MATCH($C820,Работы!$A$2:$A$6000,0)),"")</f>
        <v>шт.</v>
      </c>
      <c r="F820" t="str">
        <f>IFERROR(INDEX(Работы!$G$2:$G$6000,MATCH($C820,Работы!$A$2:$A$6000,0)),"")</f>
        <v>СВЕТ</v>
      </c>
      <c r="G820" t="str">
        <f>IFERROR(INDEX(Работы!$K$2:$K$6000,MATCH($C820,Работы!$A$2:$A$6000,0)),"")</f>
        <v>Спецификация</v>
      </c>
      <c r="H820" s="9"/>
      <c r="I820" s="9"/>
      <c r="J820" s="8" t="str">
        <f>IFERROR(INDEX(Материалы!$B$2:$B$9000,MATCH($I820,Материалы!$A$2:$A$9000,0)),"")</f>
        <v/>
      </c>
      <c r="K820" t="str">
        <f>IF($I820="","",IF($F820=IFERROR(INDEX(Материалы!$G$2:$G$9000,MATCH($I820,Материалы!$A$2:$A$9000,0)),""),"OK","!! не та группа"))</f>
        <v/>
      </c>
      <c r="L820" s="10">
        <f>IFERROR(INDEX(Работы!$H$2:$H$6000,MATCH($C820,Работы!$A$2:$A$6000,0))*(1-ДисконтТендер),0)</f>
        <v>2342.75</v>
      </c>
      <c r="M820" s="10">
        <f>IF($I820="",0,IFERROR(INDEX(Материалы!$I$2:$I$9000,MATCH($I820,Материалы!$A$2:$A$9000,0))*IF(INDEX(Материалы!$J$2:$J$9000,MATCH($I820,Материалы!$A$2:$A$9000,0))="USD",КурсUSD,IF(INDEX(Материалы!$J$2:$J$9000,MATCH($I820,Материалы!$A$2:$A$9000,0))="EUR",КурсEUR,1))*INDEX(Материалы!$K$2:$K$9000,MATCH($I820,Материалы!$A$2:$A$9000,0))*(1+IFERROR(INDEX(Работы!$I$2:$I$6000,MATCH($C820,Работы!$A$2:$A$6000,0))/100,0))*(1-ДисконтТендер),0))</f>
        <v>0</v>
      </c>
      <c r="N820" s="10">
        <f t="shared" si="36"/>
        <v>0</v>
      </c>
      <c r="O820" s="10">
        <f t="shared" si="37"/>
        <v>0</v>
      </c>
      <c r="P820" s="10">
        <f t="shared" si="38"/>
        <v>0</v>
      </c>
      <c r="Q820" t="str">
        <f>IFERROR(INDEX(Работы!$J$2:$J$6000,MATCH($C820,Работы!$A$2:$A$6000,0)),"")</f>
        <v>типовая</v>
      </c>
      <c r="R820" t="s">
        <v>92</v>
      </c>
      <c r="T820" t="str">
        <f>IF(AND($P820&gt;0,$R820="да"),MAX($T$1:$T819)+1,"")</f>
        <v/>
      </c>
    </row>
    <row r="821" spans="1:20" ht="28.8" x14ac:dyDescent="0.3">
      <c r="A821" t="str">
        <f>IFERROR(INDEX(Работы!$D$2:$D$6000,MATCH($C821,Работы!$A$2:$A$6000,0)),"")</f>
        <v>Р9</v>
      </c>
      <c r="B821" t="str">
        <f>IFERROR(INDEX(Работы!$F$2:$F$6000,MATCH($C821,Работы!$A$2:$A$6000,0)),"")</f>
        <v>2</v>
      </c>
      <c r="C821" t="str">
        <f>IFERROR(INDEX(Работы!$A$2:$A$6000,820),"")</f>
        <v>РАБ.Р9.2.183</v>
      </c>
      <c r="D821" s="8" t="str">
        <f>IFERROR(INDEX(Работы!$B$2:$B$6000,MATCH($C821,Работы!$A$2:$A$6000,0)),"")</f>
        <v>Grata Slim SL D750 MP ECO 50W-4000K CRI 90 Reduced Susp BLK - Светильник</v>
      </c>
      <c r="E821" t="str">
        <f>IFERROR(INDEX(Работы!$C$2:$C$6000,MATCH($C821,Работы!$A$2:$A$6000,0)),"")</f>
        <v>шт.</v>
      </c>
      <c r="F821" t="str">
        <f>IFERROR(INDEX(Работы!$G$2:$G$6000,MATCH($C821,Работы!$A$2:$A$6000,0)),"")</f>
        <v>СВЕТ</v>
      </c>
      <c r="G821" t="str">
        <f>IFERROR(INDEX(Работы!$K$2:$K$6000,MATCH($C821,Работы!$A$2:$A$6000,0)),"")</f>
        <v>Спецификация</v>
      </c>
      <c r="H821" s="9"/>
      <c r="I821" s="9"/>
      <c r="J821" s="8" t="str">
        <f>IFERROR(INDEX(Материалы!$B$2:$B$9000,MATCH($I821,Материалы!$A$2:$A$9000,0)),"")</f>
        <v/>
      </c>
      <c r="K821" t="str">
        <f>IF($I821="","",IF($F821=IFERROR(INDEX(Материалы!$G$2:$G$9000,MATCH($I821,Материалы!$A$2:$A$9000,0)),""),"OK","!! не та группа"))</f>
        <v/>
      </c>
      <c r="L821" s="10">
        <f>IFERROR(INDEX(Работы!$H$2:$H$6000,MATCH($C821,Работы!$A$2:$A$6000,0))*(1-ДисконтТендер),0)</f>
        <v>3553.58</v>
      </c>
      <c r="M821" s="10">
        <f>IF($I821="",0,IFERROR(INDEX(Материалы!$I$2:$I$9000,MATCH($I821,Материалы!$A$2:$A$9000,0))*IF(INDEX(Материалы!$J$2:$J$9000,MATCH($I821,Материалы!$A$2:$A$9000,0))="USD",КурсUSD,IF(INDEX(Материалы!$J$2:$J$9000,MATCH($I821,Материалы!$A$2:$A$9000,0))="EUR",КурсEUR,1))*INDEX(Материалы!$K$2:$K$9000,MATCH($I821,Материалы!$A$2:$A$9000,0))*(1+IFERROR(INDEX(Работы!$I$2:$I$6000,MATCH($C821,Работы!$A$2:$A$6000,0))/100,0))*(1-ДисконтТендер),0))</f>
        <v>0</v>
      </c>
      <c r="N821" s="10">
        <f t="shared" si="36"/>
        <v>0</v>
      </c>
      <c r="O821" s="10">
        <f t="shared" si="37"/>
        <v>0</v>
      </c>
      <c r="P821" s="10">
        <f t="shared" si="38"/>
        <v>0</v>
      </c>
      <c r="Q821" t="str">
        <f>IFERROR(INDEX(Работы!$J$2:$J$6000,MATCH($C821,Работы!$A$2:$A$6000,0)),"")</f>
        <v>типовая</v>
      </c>
      <c r="R821" t="s">
        <v>92</v>
      </c>
      <c r="T821" t="str">
        <f>IF(AND($P821&gt;0,$R821="да"),MAX($T$1:$T820)+1,"")</f>
        <v/>
      </c>
    </row>
    <row r="822" spans="1:20" x14ac:dyDescent="0.3">
      <c r="A822" t="str">
        <f>IFERROR(INDEX(Работы!$D$2:$D$6000,MATCH($C822,Работы!$A$2:$A$6000,0)),"")</f>
        <v>Р9</v>
      </c>
      <c r="B822" t="str">
        <f>IFERROR(INDEX(Работы!$F$2:$F$6000,MATCH($C822,Работы!$A$2:$A$6000,0)),"")</f>
        <v>2</v>
      </c>
      <c r="C822" t="str">
        <f>IFERROR(INDEX(Работы!$A$2:$A$6000,821),"")</f>
        <v>РАБ.Р9.2.184</v>
      </c>
      <c r="D822" s="8" t="str">
        <f>IFERROR(INDEX(Работы!$B$2:$B$6000,MATCH($C822,Работы!$A$2:$A$6000,0)),"")</f>
        <v>LED лампа 13W/827 FR DIM E27 1521 lm</v>
      </c>
      <c r="E822" t="str">
        <f>IFERROR(INDEX(Работы!$C$2:$C$6000,MATCH($C822,Работы!$A$2:$A$6000,0)),"")</f>
        <v>шт.</v>
      </c>
      <c r="F822">
        <f>IFERROR(INDEX(Работы!$G$2:$G$6000,MATCH($C822,Работы!$A$2:$A$6000,0)),"")</f>
        <v>0</v>
      </c>
      <c r="G822" t="str">
        <f>IFERROR(INDEX(Работы!$K$2:$K$6000,MATCH($C822,Работы!$A$2:$A$6000,0)),"")</f>
        <v>Спецификация</v>
      </c>
      <c r="H822" s="9"/>
      <c r="I822" s="9"/>
      <c r="J822" s="8" t="str">
        <f>IFERROR(INDEX(Материалы!$B$2:$B$9000,MATCH($I822,Материалы!$A$2:$A$9000,0)),"")</f>
        <v/>
      </c>
      <c r="K822" t="str">
        <f>IF($I822="","",IF($F822=IFERROR(INDEX(Материалы!$G$2:$G$9000,MATCH($I822,Материалы!$A$2:$A$9000,0)),""),"OK","!! не та группа"))</f>
        <v/>
      </c>
      <c r="L822" s="10">
        <f>IFERROR(INDEX(Работы!$H$2:$H$6000,MATCH($C822,Работы!$A$2:$A$6000,0))*(1-ДисконтТендер),0)</f>
        <v>27.69</v>
      </c>
      <c r="M822" s="10">
        <f>IF($I822="",0,IFERROR(INDEX(Материалы!$I$2:$I$9000,MATCH($I822,Материалы!$A$2:$A$9000,0))*IF(INDEX(Материалы!$J$2:$J$9000,MATCH($I822,Материалы!$A$2:$A$9000,0))="USD",КурсUSD,IF(INDEX(Материалы!$J$2:$J$9000,MATCH($I822,Материалы!$A$2:$A$9000,0))="EUR",КурсEUR,1))*INDEX(Материалы!$K$2:$K$9000,MATCH($I822,Материалы!$A$2:$A$9000,0))*(1+IFERROR(INDEX(Работы!$I$2:$I$6000,MATCH($C822,Работы!$A$2:$A$6000,0))/100,0))*(1-ДисконтТендер),0))</f>
        <v>0</v>
      </c>
      <c r="N822" s="10">
        <f t="shared" si="36"/>
        <v>0</v>
      </c>
      <c r="O822" s="10">
        <f t="shared" si="37"/>
        <v>0</v>
      </c>
      <c r="P822" s="10">
        <f t="shared" si="38"/>
        <v>0</v>
      </c>
      <c r="Q822" t="str">
        <f>IFERROR(INDEX(Работы!$J$2:$J$6000,MATCH($C822,Работы!$A$2:$A$6000,0)),"")</f>
        <v>типовая</v>
      </c>
      <c r="R822" t="s">
        <v>92</v>
      </c>
      <c r="T822" t="str">
        <f>IF(AND($P822&gt;0,$R822="да"),MAX($T$1:$T821)+1,"")</f>
        <v/>
      </c>
    </row>
    <row r="823" spans="1:20" ht="28.8" x14ac:dyDescent="0.3">
      <c r="A823" t="str">
        <f>IFERROR(INDEX(Работы!$D$2:$D$6000,MATCH($C823,Работы!$A$2:$A$6000,0)),"")</f>
        <v>Р9</v>
      </c>
      <c r="B823" t="str">
        <f>IFERROR(INDEX(Работы!$F$2:$F$6000,MATCH($C823,Работы!$A$2:$A$6000,0)),"")</f>
        <v>2</v>
      </c>
      <c r="C823" t="str">
        <f>IFERROR(INDEX(Работы!$A$2:$A$6000,822),"")</f>
        <v>РАБ.Р9.2.185</v>
      </c>
      <c r="D823" s="8" t="str">
        <f>IFERROR(INDEX(Работы!$B$2:$B$6000,MATCH($C823,Работы!$A$2:$A$6000,0)),"")</f>
        <v>Longa 40 DI 26W-4000K CRI 90 M900 WALL WHI - Светильник</v>
      </c>
      <c r="E823" t="str">
        <f>IFERROR(INDEX(Работы!$C$2:$C$6000,MATCH($C823,Работы!$A$2:$A$6000,0)),"")</f>
        <v>шт.</v>
      </c>
      <c r="F823" t="str">
        <f>IFERROR(INDEX(Работы!$G$2:$G$6000,MATCH($C823,Работы!$A$2:$A$6000,0)),"")</f>
        <v>СВЕТ</v>
      </c>
      <c r="G823" t="str">
        <f>IFERROR(INDEX(Работы!$K$2:$K$6000,MATCH($C823,Работы!$A$2:$A$6000,0)),"")</f>
        <v>Спецификация</v>
      </c>
      <c r="H823" s="9"/>
      <c r="I823" s="9"/>
      <c r="J823" s="8" t="str">
        <f>IFERROR(INDEX(Материалы!$B$2:$B$9000,MATCH($I823,Материалы!$A$2:$A$9000,0)),"")</f>
        <v/>
      </c>
      <c r="K823" t="str">
        <f>IF($I823="","",IF($F823=IFERROR(INDEX(Материалы!$G$2:$G$9000,MATCH($I823,Материалы!$A$2:$A$9000,0)),""),"OK","!! не та группа"))</f>
        <v/>
      </c>
      <c r="L823" s="10">
        <f>IFERROR(INDEX(Работы!$H$2:$H$6000,MATCH($C823,Работы!$A$2:$A$6000,0))*(1-ДисконтТендер),0)</f>
        <v>1201</v>
      </c>
      <c r="M823" s="10">
        <f>IF($I823="",0,IFERROR(INDEX(Материалы!$I$2:$I$9000,MATCH($I823,Материалы!$A$2:$A$9000,0))*IF(INDEX(Материалы!$J$2:$J$9000,MATCH($I823,Материалы!$A$2:$A$9000,0))="USD",КурсUSD,IF(INDEX(Материалы!$J$2:$J$9000,MATCH($I823,Материалы!$A$2:$A$9000,0))="EUR",КурсEUR,1))*INDEX(Материалы!$K$2:$K$9000,MATCH($I823,Материалы!$A$2:$A$9000,0))*(1+IFERROR(INDEX(Работы!$I$2:$I$6000,MATCH($C823,Работы!$A$2:$A$6000,0))/100,0))*(1-ДисконтТендер),0))</f>
        <v>0</v>
      </c>
      <c r="N823" s="10">
        <f t="shared" si="36"/>
        <v>0</v>
      </c>
      <c r="O823" s="10">
        <f t="shared" si="37"/>
        <v>0</v>
      </c>
      <c r="P823" s="10">
        <f t="shared" si="38"/>
        <v>0</v>
      </c>
      <c r="Q823" t="str">
        <f>IFERROR(INDEX(Работы!$J$2:$J$6000,MATCH($C823,Работы!$A$2:$A$6000,0)),"")</f>
        <v>типовая</v>
      </c>
      <c r="R823" t="s">
        <v>92</v>
      </c>
      <c r="T823" t="str">
        <f>IF(AND($P823&gt;0,$R823="да"),MAX($T$1:$T822)+1,"")</f>
        <v/>
      </c>
    </row>
    <row r="824" spans="1:20" x14ac:dyDescent="0.3">
      <c r="A824" t="str">
        <f>IFERROR(INDEX(Работы!$D$2:$D$6000,MATCH($C824,Работы!$A$2:$A$6000,0)),"")</f>
        <v>Р9</v>
      </c>
      <c r="B824" t="str">
        <f>IFERROR(INDEX(Работы!$F$2:$F$6000,MATCH($C824,Работы!$A$2:$A$6000,0)),"")</f>
        <v>2</v>
      </c>
      <c r="C824" t="str">
        <f>IFERROR(INDEX(Работы!$A$2:$A$6000,823),"")</f>
        <v>РАБ.Р9.2.186</v>
      </c>
      <c r="D824" s="8" t="str">
        <f>IFERROR(INDEX(Работы!$B$2:$B$6000,MATCH($C824,Работы!$A$2:$A$6000,0)),"")</f>
        <v>Байпасная блокировка АВВ</v>
      </c>
      <c r="E824" t="str">
        <f>IFERROR(INDEX(Работы!$C$2:$C$6000,MATCH($C824,Работы!$A$2:$A$6000,0)),"")</f>
        <v>шт.</v>
      </c>
      <c r="F824">
        <f>IFERROR(INDEX(Работы!$G$2:$G$6000,MATCH($C824,Работы!$A$2:$A$6000,0)),"")</f>
        <v>0</v>
      </c>
      <c r="G824" t="str">
        <f>IFERROR(INDEX(Работы!$K$2:$K$6000,MATCH($C824,Работы!$A$2:$A$6000,0)),"")</f>
        <v>Спецификация</v>
      </c>
      <c r="H824" s="9"/>
      <c r="I824" s="9"/>
      <c r="J824" s="8" t="str">
        <f>IFERROR(INDEX(Материалы!$B$2:$B$9000,MATCH($I824,Материалы!$A$2:$A$9000,0)),"")</f>
        <v/>
      </c>
      <c r="K824" t="str">
        <f>IF($I824="","",IF($F824=IFERROR(INDEX(Материалы!$G$2:$G$9000,MATCH($I824,Материалы!$A$2:$A$9000,0)),""),"OK","!! не та группа"))</f>
        <v/>
      </c>
      <c r="L824" s="10">
        <f>IFERROR(INDEX(Работы!$H$2:$H$6000,MATCH($C824,Работы!$A$2:$A$6000,0))*(1-ДисконтТендер),0)</f>
        <v>2406.12</v>
      </c>
      <c r="M824" s="10">
        <f>IF($I824="",0,IFERROR(INDEX(Материалы!$I$2:$I$9000,MATCH($I824,Материалы!$A$2:$A$9000,0))*IF(INDEX(Материалы!$J$2:$J$9000,MATCH($I824,Материалы!$A$2:$A$9000,0))="USD",КурсUSD,IF(INDEX(Материалы!$J$2:$J$9000,MATCH($I824,Материалы!$A$2:$A$9000,0))="EUR",КурсEUR,1))*INDEX(Материалы!$K$2:$K$9000,MATCH($I824,Материалы!$A$2:$A$9000,0))*(1+IFERROR(INDEX(Работы!$I$2:$I$6000,MATCH($C824,Работы!$A$2:$A$6000,0))/100,0))*(1-ДисконтТендер),0))</f>
        <v>0</v>
      </c>
      <c r="N824" s="10">
        <f t="shared" si="36"/>
        <v>0</v>
      </c>
      <c r="O824" s="10">
        <f t="shared" si="37"/>
        <v>0</v>
      </c>
      <c r="P824" s="10">
        <f t="shared" si="38"/>
        <v>0</v>
      </c>
      <c r="Q824" t="str">
        <f>IFERROR(INDEX(Работы!$J$2:$J$6000,MATCH($C824,Работы!$A$2:$A$6000,0)),"")</f>
        <v>типовая</v>
      </c>
      <c r="R824" t="s">
        <v>92</v>
      </c>
      <c r="T824" t="str">
        <f>IF(AND($P824&gt;0,$R824="да"),MAX($T$1:$T823)+1,"")</f>
        <v/>
      </c>
    </row>
    <row r="825" spans="1:20" x14ac:dyDescent="0.3">
      <c r="A825" t="str">
        <f>IFERROR(INDEX(Работы!$D$2:$D$6000,MATCH($C825,Работы!$A$2:$A$6000,0)),"")</f>
        <v>Р9</v>
      </c>
      <c r="B825" t="str">
        <f>IFERROR(INDEX(Работы!$F$2:$F$6000,MATCH($C825,Работы!$A$2:$A$6000,0)),"")</f>
        <v>2</v>
      </c>
      <c r="C825" t="str">
        <f>IFERROR(INDEX(Работы!$A$2:$A$6000,824),"")</f>
        <v>РАБ.Р9.2.187</v>
      </c>
      <c r="D825" s="8" t="str">
        <f>IFERROR(INDEX(Работы!$B$2:$B$6000,MATCH($C825,Работы!$A$2:$A$6000,0)),"")</f>
        <v>Кабель ВВГнг-LS 5х16</v>
      </c>
      <c r="E825" t="str">
        <f>IFERROR(INDEX(Работы!$C$2:$C$6000,MATCH($C825,Работы!$A$2:$A$6000,0)),"")</f>
        <v>м.п.</v>
      </c>
      <c r="F825" t="str">
        <f>IFERROR(INDEX(Работы!$G$2:$G$6000,MATCH($C825,Работы!$A$2:$A$6000,0)),"")</f>
        <v>КАБЕЛЬ</v>
      </c>
      <c r="G825" t="str">
        <f>IFERROR(INDEX(Работы!$K$2:$K$6000,MATCH($C825,Работы!$A$2:$A$6000,0)),"")</f>
        <v>Погонаж</v>
      </c>
      <c r="H825" s="9"/>
      <c r="I825" s="9"/>
      <c r="J825" s="8" t="str">
        <f>IFERROR(INDEX(Материалы!$B$2:$B$9000,MATCH($I825,Материалы!$A$2:$A$9000,0)),"")</f>
        <v/>
      </c>
      <c r="K825" t="str">
        <f>IF($I825="","",IF($F825=IFERROR(INDEX(Материалы!$G$2:$G$9000,MATCH($I825,Материалы!$A$2:$A$9000,0)),""),"OK","!! не та группа"))</f>
        <v/>
      </c>
      <c r="L825" s="10">
        <f>IFERROR(INDEX(Работы!$H$2:$H$6000,MATCH($C825,Работы!$A$2:$A$6000,0))*(1-ДисконтТендер),0)</f>
        <v>200.45</v>
      </c>
      <c r="M825" s="10">
        <f>IF($I825="",0,IFERROR(INDEX(Материалы!$I$2:$I$9000,MATCH($I825,Материалы!$A$2:$A$9000,0))*IF(INDEX(Материалы!$J$2:$J$9000,MATCH($I825,Материалы!$A$2:$A$9000,0))="USD",КурсUSD,IF(INDEX(Материалы!$J$2:$J$9000,MATCH($I825,Материалы!$A$2:$A$9000,0))="EUR",КурсEUR,1))*INDEX(Материалы!$K$2:$K$9000,MATCH($I825,Материалы!$A$2:$A$9000,0))*(1+IFERROR(INDEX(Работы!$I$2:$I$6000,MATCH($C825,Работы!$A$2:$A$6000,0))/100,0))*(1-ДисконтТендер),0))</f>
        <v>0</v>
      </c>
      <c r="N825" s="10">
        <f t="shared" si="36"/>
        <v>0</v>
      </c>
      <c r="O825" s="10">
        <f t="shared" si="37"/>
        <v>0</v>
      </c>
      <c r="P825" s="10">
        <f t="shared" si="38"/>
        <v>0</v>
      </c>
      <c r="Q825" t="str">
        <f>IFERROR(INDEX(Работы!$J$2:$J$6000,MATCH($C825,Работы!$A$2:$A$6000,0)),"")</f>
        <v>типовая</v>
      </c>
      <c r="R825" t="s">
        <v>92</v>
      </c>
      <c r="T825" t="str">
        <f>IF(AND($P825&gt;0,$R825="да"),MAX($T$1:$T824)+1,"")</f>
        <v/>
      </c>
    </row>
    <row r="826" spans="1:20" x14ac:dyDescent="0.3">
      <c r="A826" t="str">
        <f>IFERROR(INDEX(Работы!$D$2:$D$6000,MATCH($C826,Работы!$A$2:$A$6000,0)),"")</f>
        <v>Р9</v>
      </c>
      <c r="B826" t="str">
        <f>IFERROR(INDEX(Работы!$F$2:$F$6000,MATCH($C826,Работы!$A$2:$A$6000,0)),"")</f>
        <v>2</v>
      </c>
      <c r="C826" t="str">
        <f>IFERROR(INDEX(Работы!$A$2:$A$6000,825),"")</f>
        <v>РАБ.Р9.2.188</v>
      </c>
      <c r="D826" s="8" t="str">
        <f>IFERROR(INDEX(Работы!$B$2:$B$6000,MATCH($C826,Работы!$A$2:$A$6000,0)),"")</f>
        <v>Кабель ВВГнг-LS 5х10</v>
      </c>
      <c r="E826" t="str">
        <f>IFERROR(INDEX(Работы!$C$2:$C$6000,MATCH($C826,Работы!$A$2:$A$6000,0)),"")</f>
        <v>м.п.</v>
      </c>
      <c r="F826" t="str">
        <f>IFERROR(INDEX(Работы!$G$2:$G$6000,MATCH($C826,Работы!$A$2:$A$6000,0)),"")</f>
        <v>КАБЕЛЬ</v>
      </c>
      <c r="G826" t="str">
        <f>IFERROR(INDEX(Работы!$K$2:$K$6000,MATCH($C826,Работы!$A$2:$A$6000,0)),"")</f>
        <v>Погонаж</v>
      </c>
      <c r="H826" s="9"/>
      <c r="I826" s="9"/>
      <c r="J826" s="8" t="str">
        <f>IFERROR(INDEX(Материалы!$B$2:$B$9000,MATCH($I826,Материалы!$A$2:$A$9000,0)),"")</f>
        <v/>
      </c>
      <c r="K826" t="str">
        <f>IF($I826="","",IF($F826=IFERROR(INDEX(Материалы!$G$2:$G$9000,MATCH($I826,Материалы!$A$2:$A$9000,0)),""),"OK","!! не та группа"))</f>
        <v/>
      </c>
      <c r="L826" s="10">
        <f>IFERROR(INDEX(Работы!$H$2:$H$6000,MATCH($C826,Работы!$A$2:$A$6000,0))*(1-ДисконтТендер),0)</f>
        <v>150.34</v>
      </c>
      <c r="M826" s="10">
        <f>IF($I826="",0,IFERROR(INDEX(Материалы!$I$2:$I$9000,MATCH($I826,Материалы!$A$2:$A$9000,0))*IF(INDEX(Материалы!$J$2:$J$9000,MATCH($I826,Материалы!$A$2:$A$9000,0))="USD",КурсUSD,IF(INDEX(Материалы!$J$2:$J$9000,MATCH($I826,Материалы!$A$2:$A$9000,0))="EUR",КурсEUR,1))*INDEX(Материалы!$K$2:$K$9000,MATCH($I826,Материалы!$A$2:$A$9000,0))*(1+IFERROR(INDEX(Работы!$I$2:$I$6000,MATCH($C826,Работы!$A$2:$A$6000,0))/100,0))*(1-ДисконтТендер),0))</f>
        <v>0</v>
      </c>
      <c r="N826" s="10">
        <f t="shared" si="36"/>
        <v>0</v>
      </c>
      <c r="O826" s="10">
        <f t="shared" si="37"/>
        <v>0</v>
      </c>
      <c r="P826" s="10">
        <f t="shared" si="38"/>
        <v>0</v>
      </c>
      <c r="Q826" t="str">
        <f>IFERROR(INDEX(Работы!$J$2:$J$6000,MATCH($C826,Работы!$A$2:$A$6000,0)),"")</f>
        <v>типовая</v>
      </c>
      <c r="R826" t="s">
        <v>92</v>
      </c>
      <c r="T826" t="str">
        <f>IF(AND($P826&gt;0,$R826="да"),MAX($T$1:$T825)+1,"")</f>
        <v/>
      </c>
    </row>
    <row r="827" spans="1:20" x14ac:dyDescent="0.3">
      <c r="A827" t="str">
        <f>IFERROR(INDEX(Работы!$D$2:$D$6000,MATCH($C827,Работы!$A$2:$A$6000,0)),"")</f>
        <v>Р9</v>
      </c>
      <c r="B827" t="str">
        <f>IFERROR(INDEX(Работы!$F$2:$F$6000,MATCH($C827,Работы!$A$2:$A$6000,0)),"")</f>
        <v>2</v>
      </c>
      <c r="C827" t="str">
        <f>IFERROR(INDEX(Работы!$A$2:$A$6000,826),"")</f>
        <v>РАБ.Р9.2.189</v>
      </c>
      <c r="D827" s="8" t="str">
        <f>IFERROR(INDEX(Работы!$B$2:$B$6000,MATCH($C827,Работы!$A$2:$A$6000,0)),"")</f>
        <v>Кабель ВВГнг-LS 5х6</v>
      </c>
      <c r="E827" t="str">
        <f>IFERROR(INDEX(Работы!$C$2:$C$6000,MATCH($C827,Работы!$A$2:$A$6000,0)),"")</f>
        <v>м.п.</v>
      </c>
      <c r="F827" t="str">
        <f>IFERROR(INDEX(Работы!$G$2:$G$6000,MATCH($C827,Работы!$A$2:$A$6000,0)),"")</f>
        <v>КАБЕЛЬ</v>
      </c>
      <c r="G827" t="str">
        <f>IFERROR(INDEX(Работы!$K$2:$K$6000,MATCH($C827,Работы!$A$2:$A$6000,0)),"")</f>
        <v>Погонаж</v>
      </c>
      <c r="H827" s="9"/>
      <c r="I827" s="9"/>
      <c r="J827" s="8" t="str">
        <f>IFERROR(INDEX(Материалы!$B$2:$B$9000,MATCH($I827,Материалы!$A$2:$A$9000,0)),"")</f>
        <v/>
      </c>
      <c r="K827" t="str">
        <f>IF($I827="","",IF($F827=IFERROR(INDEX(Материалы!$G$2:$G$9000,MATCH($I827,Материалы!$A$2:$A$9000,0)),""),"OK","!! не та группа"))</f>
        <v/>
      </c>
      <c r="L827" s="10">
        <f>IFERROR(INDEX(Работы!$H$2:$H$6000,MATCH($C827,Работы!$A$2:$A$6000,0))*(1-ДисконтТендер),0)</f>
        <v>143.55000000000001</v>
      </c>
      <c r="M827" s="10">
        <f>IF($I827="",0,IFERROR(INDEX(Материалы!$I$2:$I$9000,MATCH($I827,Материалы!$A$2:$A$9000,0))*IF(INDEX(Материалы!$J$2:$J$9000,MATCH($I827,Материалы!$A$2:$A$9000,0))="USD",КурсUSD,IF(INDEX(Материалы!$J$2:$J$9000,MATCH($I827,Материалы!$A$2:$A$9000,0))="EUR",КурсEUR,1))*INDEX(Материалы!$K$2:$K$9000,MATCH($I827,Материалы!$A$2:$A$9000,0))*(1+IFERROR(INDEX(Работы!$I$2:$I$6000,MATCH($C827,Работы!$A$2:$A$6000,0))/100,0))*(1-ДисконтТендер),0))</f>
        <v>0</v>
      </c>
      <c r="N827" s="10">
        <f t="shared" si="36"/>
        <v>0</v>
      </c>
      <c r="O827" s="10">
        <f t="shared" si="37"/>
        <v>0</v>
      </c>
      <c r="P827" s="10">
        <f t="shared" si="38"/>
        <v>0</v>
      </c>
      <c r="Q827" t="str">
        <f>IFERROR(INDEX(Работы!$J$2:$J$6000,MATCH($C827,Работы!$A$2:$A$6000,0)),"")</f>
        <v>типовая</v>
      </c>
      <c r="R827" t="s">
        <v>92</v>
      </c>
      <c r="T827" t="str">
        <f>IF(AND($P827&gt;0,$R827="да"),MAX($T$1:$T826)+1,"")</f>
        <v/>
      </c>
    </row>
    <row r="828" spans="1:20" x14ac:dyDescent="0.3">
      <c r="A828" t="str">
        <f>IFERROR(INDEX(Работы!$D$2:$D$6000,MATCH($C828,Работы!$A$2:$A$6000,0)),"")</f>
        <v>Р9</v>
      </c>
      <c r="B828" t="str">
        <f>IFERROR(INDEX(Работы!$F$2:$F$6000,MATCH($C828,Работы!$A$2:$A$6000,0)),"")</f>
        <v>2</v>
      </c>
      <c r="C828" t="str">
        <f>IFERROR(INDEX(Работы!$A$2:$A$6000,827),"")</f>
        <v>РАБ.Р9.2.190</v>
      </c>
      <c r="D828" s="8" t="str">
        <f>IFERROR(INDEX(Работы!$B$2:$B$6000,MATCH($C828,Работы!$A$2:$A$6000,0)),"")</f>
        <v>Кабель ВВГнг-LS 5х4</v>
      </c>
      <c r="E828" t="str">
        <f>IFERROR(INDEX(Работы!$C$2:$C$6000,MATCH($C828,Работы!$A$2:$A$6000,0)),"")</f>
        <v>м.п.</v>
      </c>
      <c r="F828" t="str">
        <f>IFERROR(INDEX(Работы!$G$2:$G$6000,MATCH($C828,Работы!$A$2:$A$6000,0)),"")</f>
        <v>КАБЕЛЬ</v>
      </c>
      <c r="G828" t="str">
        <f>IFERROR(INDEX(Работы!$K$2:$K$6000,MATCH($C828,Работы!$A$2:$A$6000,0)),"")</f>
        <v>Погонаж</v>
      </c>
      <c r="H828" s="9"/>
      <c r="I828" s="9"/>
      <c r="J828" s="8" t="str">
        <f>IFERROR(INDEX(Материалы!$B$2:$B$9000,MATCH($I828,Материалы!$A$2:$A$9000,0)),"")</f>
        <v/>
      </c>
      <c r="K828" t="str">
        <f>IF($I828="","",IF($F828=IFERROR(INDEX(Материалы!$G$2:$G$9000,MATCH($I828,Материалы!$A$2:$A$9000,0)),""),"OK","!! не та группа"))</f>
        <v/>
      </c>
      <c r="L828" s="10">
        <f>IFERROR(INDEX(Работы!$H$2:$H$6000,MATCH($C828,Работы!$A$2:$A$6000,0))*(1-ДисконтТендер),0)</f>
        <v>124.41</v>
      </c>
      <c r="M828" s="10">
        <f>IF($I828="",0,IFERROR(INDEX(Материалы!$I$2:$I$9000,MATCH($I828,Материалы!$A$2:$A$9000,0))*IF(INDEX(Материалы!$J$2:$J$9000,MATCH($I828,Материалы!$A$2:$A$9000,0))="USD",КурсUSD,IF(INDEX(Материалы!$J$2:$J$9000,MATCH($I828,Материалы!$A$2:$A$9000,0))="EUR",КурсEUR,1))*INDEX(Материалы!$K$2:$K$9000,MATCH($I828,Материалы!$A$2:$A$9000,0))*(1+IFERROR(INDEX(Работы!$I$2:$I$6000,MATCH($C828,Работы!$A$2:$A$6000,0))/100,0))*(1-ДисконтТендер),0))</f>
        <v>0</v>
      </c>
      <c r="N828" s="10">
        <f t="shared" si="36"/>
        <v>0</v>
      </c>
      <c r="O828" s="10">
        <f t="shared" si="37"/>
        <v>0</v>
      </c>
      <c r="P828" s="10">
        <f t="shared" si="38"/>
        <v>0</v>
      </c>
      <c r="Q828" t="str">
        <f>IFERROR(INDEX(Работы!$J$2:$J$6000,MATCH($C828,Работы!$A$2:$A$6000,0)),"")</f>
        <v>типовая</v>
      </c>
      <c r="R828" t="s">
        <v>92</v>
      </c>
      <c r="T828" t="str">
        <f>IF(AND($P828&gt;0,$R828="да"),MAX($T$1:$T827)+1,"")</f>
        <v/>
      </c>
    </row>
    <row r="829" spans="1:20" x14ac:dyDescent="0.3">
      <c r="A829" t="str">
        <f>IFERROR(INDEX(Работы!$D$2:$D$6000,MATCH($C829,Работы!$A$2:$A$6000,0)),"")</f>
        <v>Р9</v>
      </c>
      <c r="B829" t="str">
        <f>IFERROR(INDEX(Работы!$F$2:$F$6000,MATCH($C829,Работы!$A$2:$A$6000,0)),"")</f>
        <v>2</v>
      </c>
      <c r="C829" t="str">
        <f>IFERROR(INDEX(Работы!$A$2:$A$6000,828),"")</f>
        <v>РАБ.Р9.2.191</v>
      </c>
      <c r="D829" s="8" t="str">
        <f>IFERROR(INDEX(Работы!$B$2:$B$6000,MATCH($C829,Работы!$A$2:$A$6000,0)),"")</f>
        <v>Прокладка кабеля / провода</v>
      </c>
      <c r="E829" t="str">
        <f>IFERROR(INDEX(Работы!$C$2:$C$6000,MATCH($C829,Работы!$A$2:$A$6000,0)),"")</f>
        <v>м.п.</v>
      </c>
      <c r="F829" t="str">
        <f>IFERROR(INDEX(Работы!$G$2:$G$6000,MATCH($C829,Работы!$A$2:$A$6000,0)),"")</f>
        <v>КАБЕЛЬ</v>
      </c>
      <c r="G829" t="str">
        <f>IFERROR(INDEX(Работы!$K$2:$K$6000,MATCH($C829,Работы!$A$2:$A$6000,0)),"")</f>
        <v>Погонаж</v>
      </c>
      <c r="H829" s="9"/>
      <c r="I829" s="9"/>
      <c r="J829" s="8" t="str">
        <f>IFERROR(INDEX(Материалы!$B$2:$B$9000,MATCH($I829,Материалы!$A$2:$A$9000,0)),"")</f>
        <v/>
      </c>
      <c r="K829" t="str">
        <f>IF($I829="","",IF($F829=IFERROR(INDEX(Материалы!$G$2:$G$9000,MATCH($I829,Материалы!$A$2:$A$9000,0)),""),"OK","!! не та группа"))</f>
        <v/>
      </c>
      <c r="L829" s="10">
        <f>IFERROR(INDEX(Работы!$H$2:$H$6000,MATCH($C829,Работы!$A$2:$A$6000,0))*(1-ДисконтТендер),0)</f>
        <v>129.46</v>
      </c>
      <c r="M829" s="10">
        <f>IF($I829="",0,IFERROR(INDEX(Материалы!$I$2:$I$9000,MATCH($I829,Материалы!$A$2:$A$9000,0))*IF(INDEX(Материалы!$J$2:$J$9000,MATCH($I829,Материалы!$A$2:$A$9000,0))="USD",КурсUSD,IF(INDEX(Материалы!$J$2:$J$9000,MATCH($I829,Материалы!$A$2:$A$9000,0))="EUR",КурсEUR,1))*INDEX(Материалы!$K$2:$K$9000,MATCH($I829,Материалы!$A$2:$A$9000,0))*(1+IFERROR(INDEX(Работы!$I$2:$I$6000,MATCH($C829,Работы!$A$2:$A$6000,0))/100,0))*(1-ДисконтТендер),0))</f>
        <v>0</v>
      </c>
      <c r="N829" s="10">
        <f t="shared" si="36"/>
        <v>0</v>
      </c>
      <c r="O829" s="10">
        <f t="shared" si="37"/>
        <v>0</v>
      </c>
      <c r="P829" s="10">
        <f t="shared" si="38"/>
        <v>0</v>
      </c>
      <c r="Q829" t="str">
        <f>IFERROR(INDEX(Работы!$J$2:$J$6000,MATCH($C829,Работы!$A$2:$A$6000,0)),"")</f>
        <v>типовая</v>
      </c>
      <c r="R829" t="s">
        <v>92</v>
      </c>
      <c r="T829" t="str">
        <f>IF(AND($P829&gt;0,$R829="да"),MAX($T$1:$T828)+1,"")</f>
        <v/>
      </c>
    </row>
    <row r="830" spans="1:20" x14ac:dyDescent="0.3">
      <c r="A830" t="str">
        <f>IFERROR(INDEX(Работы!$D$2:$D$6000,MATCH($C830,Работы!$A$2:$A$6000,0)),"")</f>
        <v>Р9</v>
      </c>
      <c r="B830" t="str">
        <f>IFERROR(INDEX(Работы!$F$2:$F$6000,MATCH($C830,Работы!$A$2:$A$6000,0)),"")</f>
        <v>2</v>
      </c>
      <c r="C830" t="str">
        <f>IFERROR(INDEX(Работы!$A$2:$A$6000,829),"")</f>
        <v>РАБ.Р9.2.192</v>
      </c>
      <c r="D830" s="8" t="str">
        <f>IFERROR(INDEX(Работы!$B$2:$B$6000,MATCH($C830,Работы!$A$2:$A$6000,0)),"")</f>
        <v>Прокладка кабеля / провода</v>
      </c>
      <c r="E830" t="str">
        <f>IFERROR(INDEX(Работы!$C$2:$C$6000,MATCH($C830,Работы!$A$2:$A$6000,0)),"")</f>
        <v>м.п.</v>
      </c>
      <c r="F830" t="str">
        <f>IFERROR(INDEX(Работы!$G$2:$G$6000,MATCH($C830,Работы!$A$2:$A$6000,0)),"")</f>
        <v>КАБЕЛЬ</v>
      </c>
      <c r="G830" t="str">
        <f>IFERROR(INDEX(Работы!$K$2:$K$6000,MATCH($C830,Работы!$A$2:$A$6000,0)),"")</f>
        <v>Погонаж</v>
      </c>
      <c r="H830" s="9"/>
      <c r="I830" s="9"/>
      <c r="J830" s="8" t="str">
        <f>IFERROR(INDEX(Материалы!$B$2:$B$9000,MATCH($I830,Материалы!$A$2:$A$9000,0)),"")</f>
        <v/>
      </c>
      <c r="K830" t="str">
        <f>IF($I830="","",IF($F830=IFERROR(INDEX(Материалы!$G$2:$G$9000,MATCH($I830,Материалы!$A$2:$A$9000,0)),""),"OK","!! не та группа"))</f>
        <v/>
      </c>
      <c r="L830" s="10">
        <f>IFERROR(INDEX(Работы!$H$2:$H$6000,MATCH($C830,Работы!$A$2:$A$6000,0))*(1-ДисконтТендер),0)</f>
        <v>110.06</v>
      </c>
      <c r="M830" s="10">
        <f>IF($I830="",0,IFERROR(INDEX(Материалы!$I$2:$I$9000,MATCH($I830,Материалы!$A$2:$A$9000,0))*IF(INDEX(Материалы!$J$2:$J$9000,MATCH($I830,Материалы!$A$2:$A$9000,0))="USD",КурсUSD,IF(INDEX(Материалы!$J$2:$J$9000,MATCH($I830,Материалы!$A$2:$A$9000,0))="EUR",КурсEUR,1))*INDEX(Материалы!$K$2:$K$9000,MATCH($I830,Материалы!$A$2:$A$9000,0))*(1+IFERROR(INDEX(Работы!$I$2:$I$6000,MATCH($C830,Работы!$A$2:$A$6000,0))/100,0))*(1-ДисконтТендер),0))</f>
        <v>0</v>
      </c>
      <c r="N830" s="10">
        <f t="shared" si="36"/>
        <v>0</v>
      </c>
      <c r="O830" s="10">
        <f t="shared" si="37"/>
        <v>0</v>
      </c>
      <c r="P830" s="10">
        <f t="shared" si="38"/>
        <v>0</v>
      </c>
      <c r="Q830" t="str">
        <f>IFERROR(INDEX(Работы!$J$2:$J$6000,MATCH($C830,Работы!$A$2:$A$6000,0)),"")</f>
        <v>типовая</v>
      </c>
      <c r="R830" t="s">
        <v>92</v>
      </c>
      <c r="T830" t="str">
        <f>IF(AND($P830&gt;0,$R830="да"),MAX($T$1:$T829)+1,"")</f>
        <v/>
      </c>
    </row>
    <row r="831" spans="1:20" x14ac:dyDescent="0.3">
      <c r="A831" t="str">
        <f>IFERROR(INDEX(Работы!$D$2:$D$6000,MATCH($C831,Работы!$A$2:$A$6000,0)),"")</f>
        <v>Р9</v>
      </c>
      <c r="B831" t="str">
        <f>IFERROR(INDEX(Работы!$F$2:$F$6000,MATCH($C831,Работы!$A$2:$A$6000,0)),"")</f>
        <v>2</v>
      </c>
      <c r="C831" t="str">
        <f>IFERROR(INDEX(Работы!$A$2:$A$6000,830),"")</f>
        <v>РАБ.Р9.2.193</v>
      </c>
      <c r="D831" s="8" t="str">
        <f>IFERROR(INDEX(Работы!$B$2:$B$6000,MATCH($C831,Работы!$A$2:$A$6000,0)),"")</f>
        <v>Прокладка кабеля / провода</v>
      </c>
      <c r="E831" t="str">
        <f>IFERROR(INDEX(Работы!$C$2:$C$6000,MATCH($C831,Работы!$A$2:$A$6000,0)),"")</f>
        <v>м.п.</v>
      </c>
      <c r="F831" t="str">
        <f>IFERROR(INDEX(Работы!$G$2:$G$6000,MATCH($C831,Работы!$A$2:$A$6000,0)),"")</f>
        <v>КАБЕЛЬ</v>
      </c>
      <c r="G831" t="str">
        <f>IFERROR(INDEX(Работы!$K$2:$K$6000,MATCH($C831,Работы!$A$2:$A$6000,0)),"")</f>
        <v>Погонаж</v>
      </c>
      <c r="H831" s="9"/>
      <c r="I831" s="9"/>
      <c r="J831" s="8" t="str">
        <f>IFERROR(INDEX(Материалы!$B$2:$B$9000,MATCH($I831,Материалы!$A$2:$A$9000,0)),"")</f>
        <v/>
      </c>
      <c r="K831" t="str">
        <f>IF($I831="","",IF($F831=IFERROR(INDEX(Материалы!$G$2:$G$9000,MATCH($I831,Материалы!$A$2:$A$9000,0)),""),"OK","!! не та группа"))</f>
        <v/>
      </c>
      <c r="L831" s="10">
        <f>IFERROR(INDEX(Работы!$H$2:$H$6000,MATCH($C831,Работы!$A$2:$A$6000,0))*(1-ДисконтТендер),0)</f>
        <v>100.22</v>
      </c>
      <c r="M831" s="10">
        <f>IF($I831="",0,IFERROR(INDEX(Материалы!$I$2:$I$9000,MATCH($I831,Материалы!$A$2:$A$9000,0))*IF(INDEX(Материалы!$J$2:$J$9000,MATCH($I831,Материалы!$A$2:$A$9000,0))="USD",КурсUSD,IF(INDEX(Материалы!$J$2:$J$9000,MATCH($I831,Материалы!$A$2:$A$9000,0))="EUR",КурсEUR,1))*INDEX(Материалы!$K$2:$K$9000,MATCH($I831,Материалы!$A$2:$A$9000,0))*(1+IFERROR(INDEX(Работы!$I$2:$I$6000,MATCH($C831,Работы!$A$2:$A$6000,0))/100,0))*(1-ДисконтТендер),0))</f>
        <v>0</v>
      </c>
      <c r="N831" s="10">
        <f t="shared" si="36"/>
        <v>0</v>
      </c>
      <c r="O831" s="10">
        <f t="shared" si="37"/>
        <v>0</v>
      </c>
      <c r="P831" s="10">
        <f t="shared" si="38"/>
        <v>0</v>
      </c>
      <c r="Q831" t="str">
        <f>IFERROR(INDEX(Работы!$J$2:$J$6000,MATCH($C831,Работы!$A$2:$A$6000,0)),"")</f>
        <v>типовая</v>
      </c>
      <c r="R831" t="s">
        <v>92</v>
      </c>
      <c r="T831" t="str">
        <f>IF(AND($P831&gt;0,$R831="да"),MAX($T$1:$T830)+1,"")</f>
        <v/>
      </c>
    </row>
    <row r="832" spans="1:20" x14ac:dyDescent="0.3">
      <c r="A832" t="str">
        <f>IFERROR(INDEX(Работы!$D$2:$D$6000,MATCH($C832,Работы!$A$2:$A$6000,0)),"")</f>
        <v>Р9</v>
      </c>
      <c r="B832" t="str">
        <f>IFERROR(INDEX(Работы!$F$2:$F$6000,MATCH($C832,Работы!$A$2:$A$6000,0)),"")</f>
        <v>2</v>
      </c>
      <c r="C832" t="str">
        <f>IFERROR(INDEX(Работы!$A$2:$A$6000,831),"")</f>
        <v>РАБ.Р9.2.194</v>
      </c>
      <c r="D832" s="8" t="str">
        <f>IFERROR(INDEX(Работы!$B$2:$B$6000,MATCH($C832,Работы!$A$2:$A$6000,0)),"")</f>
        <v>Прокладка кабеля / провода</v>
      </c>
      <c r="E832" t="str">
        <f>IFERROR(INDEX(Работы!$C$2:$C$6000,MATCH($C832,Работы!$A$2:$A$6000,0)),"")</f>
        <v>м.п.</v>
      </c>
      <c r="F832" t="str">
        <f>IFERROR(INDEX(Работы!$G$2:$G$6000,MATCH($C832,Работы!$A$2:$A$6000,0)),"")</f>
        <v>КАБЕЛЬ</v>
      </c>
      <c r="G832" t="str">
        <f>IFERROR(INDEX(Работы!$K$2:$K$6000,MATCH($C832,Работы!$A$2:$A$6000,0)),"")</f>
        <v>Погонаж</v>
      </c>
      <c r="H832" s="9"/>
      <c r="I832" s="9"/>
      <c r="J832" s="8" t="str">
        <f>IFERROR(INDEX(Материалы!$B$2:$B$9000,MATCH($I832,Материалы!$A$2:$A$9000,0)),"")</f>
        <v/>
      </c>
      <c r="K832" t="str">
        <f>IF($I832="","",IF($F832=IFERROR(INDEX(Материалы!$G$2:$G$9000,MATCH($I832,Материалы!$A$2:$A$9000,0)),""),"OK","!! не та группа"))</f>
        <v/>
      </c>
      <c r="L832" s="10">
        <f>IFERROR(INDEX(Работы!$H$2:$H$6000,MATCH($C832,Работы!$A$2:$A$6000,0))*(1-ДисконтТендер),0)</f>
        <v>90.48</v>
      </c>
      <c r="M832" s="10">
        <f>IF($I832="",0,IFERROR(INDEX(Материалы!$I$2:$I$9000,MATCH($I832,Материалы!$A$2:$A$9000,0))*IF(INDEX(Материалы!$J$2:$J$9000,MATCH($I832,Материалы!$A$2:$A$9000,0))="USD",КурсUSD,IF(INDEX(Материалы!$J$2:$J$9000,MATCH($I832,Материалы!$A$2:$A$9000,0))="EUR",КурсEUR,1))*INDEX(Материалы!$K$2:$K$9000,MATCH($I832,Материалы!$A$2:$A$9000,0))*(1+IFERROR(INDEX(Работы!$I$2:$I$6000,MATCH($C832,Работы!$A$2:$A$6000,0))/100,0))*(1-ДисконтТендер),0))</f>
        <v>0</v>
      </c>
      <c r="N832" s="10">
        <f t="shared" si="36"/>
        <v>0</v>
      </c>
      <c r="O832" s="10">
        <f t="shared" si="37"/>
        <v>0</v>
      </c>
      <c r="P832" s="10">
        <f t="shared" si="38"/>
        <v>0</v>
      </c>
      <c r="Q832" t="str">
        <f>IFERROR(INDEX(Работы!$J$2:$J$6000,MATCH($C832,Работы!$A$2:$A$6000,0)),"")</f>
        <v>типовая</v>
      </c>
      <c r="R832" t="s">
        <v>92</v>
      </c>
      <c r="T832" t="str">
        <f>IF(AND($P832&gt;0,$R832="да"),MAX($T$1:$T831)+1,"")</f>
        <v/>
      </c>
    </row>
    <row r="833" spans="1:20" x14ac:dyDescent="0.3">
      <c r="A833" t="str">
        <f>IFERROR(INDEX(Работы!$D$2:$D$6000,MATCH($C833,Работы!$A$2:$A$6000,0)),"")</f>
        <v>Р9</v>
      </c>
      <c r="B833" t="str">
        <f>IFERROR(INDEX(Работы!$F$2:$F$6000,MATCH($C833,Работы!$A$2:$A$6000,0)),"")</f>
        <v>2</v>
      </c>
      <c r="C833" t="str">
        <f>IFERROR(INDEX(Работы!$A$2:$A$6000,832),"")</f>
        <v>РАБ.Р9.2.195</v>
      </c>
      <c r="D833" s="8" t="str">
        <f>IFERROR(INDEX(Работы!$B$2:$B$6000,MATCH($C833,Работы!$A$2:$A$6000,0)),"")</f>
        <v>Кабель ППГнг(А)-HF 5х35</v>
      </c>
      <c r="E833" t="str">
        <f>IFERROR(INDEX(Работы!$C$2:$C$6000,MATCH($C833,Работы!$A$2:$A$6000,0)),"")</f>
        <v>м.п.</v>
      </c>
      <c r="F833" t="str">
        <f>IFERROR(INDEX(Работы!$G$2:$G$6000,MATCH($C833,Работы!$A$2:$A$6000,0)),"")</f>
        <v>КАБЕЛЬ</v>
      </c>
      <c r="G833" t="str">
        <f>IFERROR(INDEX(Работы!$K$2:$K$6000,MATCH($C833,Работы!$A$2:$A$6000,0)),"")</f>
        <v>Погонаж</v>
      </c>
      <c r="H833" s="9"/>
      <c r="I833" s="9"/>
      <c r="J833" s="8" t="str">
        <f>IFERROR(INDEX(Материалы!$B$2:$B$9000,MATCH($I833,Материалы!$A$2:$A$9000,0)),"")</f>
        <v/>
      </c>
      <c r="K833" t="str">
        <f>IF($I833="","",IF($F833=IFERROR(INDEX(Материалы!$G$2:$G$9000,MATCH($I833,Материалы!$A$2:$A$9000,0)),""),"OK","!! не та группа"))</f>
        <v/>
      </c>
      <c r="L833" s="10">
        <f>IFERROR(INDEX(Работы!$H$2:$H$6000,MATCH($C833,Работы!$A$2:$A$6000,0))*(1-ДисконтТендер),0)</f>
        <v>334.95</v>
      </c>
      <c r="M833" s="10">
        <f>IF($I833="",0,IFERROR(INDEX(Материалы!$I$2:$I$9000,MATCH($I833,Материалы!$A$2:$A$9000,0))*IF(INDEX(Материалы!$J$2:$J$9000,MATCH($I833,Материалы!$A$2:$A$9000,0))="USD",КурсUSD,IF(INDEX(Материалы!$J$2:$J$9000,MATCH($I833,Материалы!$A$2:$A$9000,0))="EUR",КурсEUR,1))*INDEX(Материалы!$K$2:$K$9000,MATCH($I833,Материалы!$A$2:$A$9000,0))*(1+IFERROR(INDEX(Работы!$I$2:$I$6000,MATCH($C833,Работы!$A$2:$A$6000,0))/100,0))*(1-ДисконтТендер),0))</f>
        <v>0</v>
      </c>
      <c r="N833" s="10">
        <f t="shared" si="36"/>
        <v>0</v>
      </c>
      <c r="O833" s="10">
        <f t="shared" si="37"/>
        <v>0</v>
      </c>
      <c r="P833" s="10">
        <f t="shared" si="38"/>
        <v>0</v>
      </c>
      <c r="Q833" t="str">
        <f>IFERROR(INDEX(Работы!$J$2:$J$6000,MATCH($C833,Работы!$A$2:$A$6000,0)),"")</f>
        <v>типовая</v>
      </c>
      <c r="R833" t="s">
        <v>92</v>
      </c>
      <c r="T833" t="str">
        <f>IF(AND($P833&gt;0,$R833="да"),MAX($T$1:$T832)+1,"")</f>
        <v/>
      </c>
    </row>
    <row r="834" spans="1:20" x14ac:dyDescent="0.3">
      <c r="A834" t="str">
        <f>IFERROR(INDEX(Работы!$D$2:$D$6000,MATCH($C834,Работы!$A$2:$A$6000,0)),"")</f>
        <v>Р9</v>
      </c>
      <c r="B834" t="str">
        <f>IFERROR(INDEX(Работы!$F$2:$F$6000,MATCH($C834,Работы!$A$2:$A$6000,0)),"")</f>
        <v>2</v>
      </c>
      <c r="C834" t="str">
        <f>IFERROR(INDEX(Работы!$A$2:$A$6000,833),"")</f>
        <v>РАБ.Р9.2.196</v>
      </c>
      <c r="D834" s="8" t="str">
        <f>IFERROR(INDEX(Работы!$B$2:$B$6000,MATCH($C834,Работы!$A$2:$A$6000,0)),"")</f>
        <v>Кабель ППГнг(А)-HF 5х25</v>
      </c>
      <c r="E834" t="str">
        <f>IFERROR(INDEX(Работы!$C$2:$C$6000,MATCH($C834,Работы!$A$2:$A$6000,0)),"")</f>
        <v>м.п.</v>
      </c>
      <c r="F834" t="str">
        <f>IFERROR(INDEX(Работы!$G$2:$G$6000,MATCH($C834,Работы!$A$2:$A$6000,0)),"")</f>
        <v>КАБЕЛЬ</v>
      </c>
      <c r="G834" t="str">
        <f>IFERROR(INDEX(Работы!$K$2:$K$6000,MATCH($C834,Работы!$A$2:$A$6000,0)),"")</f>
        <v>Погонаж</v>
      </c>
      <c r="H834" s="9"/>
      <c r="I834" s="9"/>
      <c r="J834" s="8" t="str">
        <f>IFERROR(INDEX(Материалы!$B$2:$B$9000,MATCH($I834,Материалы!$A$2:$A$9000,0)),"")</f>
        <v/>
      </c>
      <c r="K834" t="str">
        <f>IF($I834="","",IF($F834=IFERROR(INDEX(Материалы!$G$2:$G$9000,MATCH($I834,Материалы!$A$2:$A$9000,0)),""),"OK","!! не та группа"))</f>
        <v/>
      </c>
      <c r="L834" s="10">
        <f>IFERROR(INDEX(Работы!$H$2:$H$6000,MATCH($C834,Работы!$A$2:$A$6000,0))*(1-ДисконтТендер),0)</f>
        <v>226.2</v>
      </c>
      <c r="M834" s="10">
        <f>IF($I834="",0,IFERROR(INDEX(Материалы!$I$2:$I$9000,MATCH($I834,Материалы!$A$2:$A$9000,0))*IF(INDEX(Материалы!$J$2:$J$9000,MATCH($I834,Материалы!$A$2:$A$9000,0))="USD",КурсUSD,IF(INDEX(Материалы!$J$2:$J$9000,MATCH($I834,Материалы!$A$2:$A$9000,0))="EUR",КурсEUR,1))*INDEX(Материалы!$K$2:$K$9000,MATCH($I834,Материалы!$A$2:$A$9000,0))*(1+IFERROR(INDEX(Работы!$I$2:$I$6000,MATCH($C834,Работы!$A$2:$A$6000,0))/100,0))*(1-ДисконтТендер),0))</f>
        <v>0</v>
      </c>
      <c r="N834" s="10">
        <f t="shared" ref="N834:N897" si="39">IF(AND($R834="да",$H834&lt;&gt;""),ROUND($H834*$L834,2),0)</f>
        <v>0</v>
      </c>
      <c r="O834" s="10">
        <f t="shared" ref="O834:O897" si="40">IF(AND($R834="да",$H834&lt;&gt;""),ROUND($H834*$M834,2),0)</f>
        <v>0</v>
      </c>
      <c r="P834" s="10">
        <f t="shared" ref="P834:P897" si="41">$N834+$O834</f>
        <v>0</v>
      </c>
      <c r="Q834" t="str">
        <f>IFERROR(INDEX(Работы!$J$2:$J$6000,MATCH($C834,Работы!$A$2:$A$6000,0)),"")</f>
        <v>типовая</v>
      </c>
      <c r="R834" t="s">
        <v>92</v>
      </c>
      <c r="T834" t="str">
        <f>IF(AND($P834&gt;0,$R834="да"),MAX($T$1:$T833)+1,"")</f>
        <v/>
      </c>
    </row>
    <row r="835" spans="1:20" x14ac:dyDescent="0.3">
      <c r="A835" t="str">
        <f>IFERROR(INDEX(Работы!$D$2:$D$6000,MATCH($C835,Работы!$A$2:$A$6000,0)),"")</f>
        <v>Р9</v>
      </c>
      <c r="B835" t="str">
        <f>IFERROR(INDEX(Работы!$F$2:$F$6000,MATCH($C835,Работы!$A$2:$A$6000,0)),"")</f>
        <v>2</v>
      </c>
      <c r="C835" t="str">
        <f>IFERROR(INDEX(Работы!$A$2:$A$6000,834),"")</f>
        <v>РАБ.Р9.2.197</v>
      </c>
      <c r="D835" s="8" t="str">
        <f>IFERROR(INDEX(Работы!$B$2:$B$6000,MATCH($C835,Работы!$A$2:$A$6000,0)),"")</f>
        <v>Прокладка кабеля / провода</v>
      </c>
      <c r="E835" t="str">
        <f>IFERROR(INDEX(Работы!$C$2:$C$6000,MATCH($C835,Работы!$A$2:$A$6000,0)),"")</f>
        <v>м.п.</v>
      </c>
      <c r="F835" t="str">
        <f>IFERROR(INDEX(Работы!$G$2:$G$6000,MATCH($C835,Работы!$A$2:$A$6000,0)),"")</f>
        <v>КАБЕЛЬ</v>
      </c>
      <c r="G835" t="str">
        <f>IFERROR(INDEX(Работы!$K$2:$K$6000,MATCH($C835,Работы!$A$2:$A$6000,0)),"")</f>
        <v>Погонаж</v>
      </c>
      <c r="H835" s="9"/>
      <c r="I835" s="9"/>
      <c r="J835" s="8" t="str">
        <f>IFERROR(INDEX(Материалы!$B$2:$B$9000,MATCH($I835,Материалы!$A$2:$A$9000,0)),"")</f>
        <v/>
      </c>
      <c r="K835" t="str">
        <f>IF($I835="","",IF($F835=IFERROR(INDEX(Материалы!$G$2:$G$9000,MATCH($I835,Материалы!$A$2:$A$9000,0)),""),"OK","!! не та группа"))</f>
        <v/>
      </c>
      <c r="L835" s="10">
        <f>IFERROR(INDEX(Работы!$H$2:$H$6000,MATCH($C835,Работы!$A$2:$A$6000,0))*(1-ДисконтТендер),0)</f>
        <v>209</v>
      </c>
      <c r="M835" s="10">
        <f>IF($I835="",0,IFERROR(INDEX(Материалы!$I$2:$I$9000,MATCH($I835,Материалы!$A$2:$A$9000,0))*IF(INDEX(Материалы!$J$2:$J$9000,MATCH($I835,Материалы!$A$2:$A$9000,0))="USD",КурсUSD,IF(INDEX(Материалы!$J$2:$J$9000,MATCH($I835,Материалы!$A$2:$A$9000,0))="EUR",КурсEUR,1))*INDEX(Материалы!$K$2:$K$9000,MATCH($I835,Материалы!$A$2:$A$9000,0))*(1+IFERROR(INDEX(Работы!$I$2:$I$6000,MATCH($C835,Работы!$A$2:$A$6000,0))/100,0))*(1-ДисконтТендер),0))</f>
        <v>0</v>
      </c>
      <c r="N835" s="10">
        <f t="shared" si="39"/>
        <v>0</v>
      </c>
      <c r="O835" s="10">
        <f t="shared" si="40"/>
        <v>0</v>
      </c>
      <c r="P835" s="10">
        <f t="shared" si="41"/>
        <v>0</v>
      </c>
      <c r="Q835" t="str">
        <f>IFERROR(INDEX(Работы!$J$2:$J$6000,MATCH($C835,Работы!$A$2:$A$6000,0)),"")</f>
        <v>типовая</v>
      </c>
      <c r="R835" t="s">
        <v>92</v>
      </c>
      <c r="T835" t="str">
        <f>IF(AND($P835&gt;0,$R835="да"),MAX($T$1:$T834)+1,"")</f>
        <v/>
      </c>
    </row>
    <row r="836" spans="1:20" x14ac:dyDescent="0.3">
      <c r="A836" t="str">
        <f>IFERROR(INDEX(Работы!$D$2:$D$6000,MATCH($C836,Работы!$A$2:$A$6000,0)),"")</f>
        <v>Р9</v>
      </c>
      <c r="B836" t="str">
        <f>IFERROR(INDEX(Работы!$F$2:$F$6000,MATCH($C836,Работы!$A$2:$A$6000,0)),"")</f>
        <v>2</v>
      </c>
      <c r="C836" t="str">
        <f>IFERROR(INDEX(Работы!$A$2:$A$6000,835),"")</f>
        <v>РАБ.Р9.2.198</v>
      </c>
      <c r="D836" s="8" t="str">
        <f>IFERROR(INDEX(Работы!$B$2:$B$6000,MATCH($C836,Работы!$A$2:$A$6000,0)),"")</f>
        <v>Кабель ППГнг(А)-HF 5х6</v>
      </c>
      <c r="E836" t="str">
        <f>IFERROR(INDEX(Работы!$C$2:$C$6000,MATCH($C836,Работы!$A$2:$A$6000,0)),"")</f>
        <v>м.п.</v>
      </c>
      <c r="F836" t="str">
        <f>IFERROR(INDEX(Работы!$G$2:$G$6000,MATCH($C836,Работы!$A$2:$A$6000,0)),"")</f>
        <v>КАБЕЛЬ</v>
      </c>
      <c r="G836" t="str">
        <f>IFERROR(INDEX(Работы!$K$2:$K$6000,MATCH($C836,Работы!$A$2:$A$6000,0)),"")</f>
        <v>Погонаж</v>
      </c>
      <c r="H836" s="9"/>
      <c r="I836" s="9"/>
      <c r="J836" s="8" t="str">
        <f>IFERROR(INDEX(Материалы!$B$2:$B$9000,MATCH($I836,Материалы!$A$2:$A$9000,0)),"")</f>
        <v/>
      </c>
      <c r="K836" t="str">
        <f>IF($I836="","",IF($F836=IFERROR(INDEX(Материалы!$G$2:$G$9000,MATCH($I836,Материалы!$A$2:$A$9000,0)),""),"OK","!! не та группа"))</f>
        <v/>
      </c>
      <c r="L836" s="10">
        <f>IFERROR(INDEX(Работы!$H$2:$H$6000,MATCH($C836,Работы!$A$2:$A$6000,0))*(1-ДисконтТендер),0)</f>
        <v>198</v>
      </c>
      <c r="M836" s="10">
        <f>IF($I836="",0,IFERROR(INDEX(Материалы!$I$2:$I$9000,MATCH($I836,Материалы!$A$2:$A$9000,0))*IF(INDEX(Материалы!$J$2:$J$9000,MATCH($I836,Материалы!$A$2:$A$9000,0))="USD",КурсUSD,IF(INDEX(Материалы!$J$2:$J$9000,MATCH($I836,Материалы!$A$2:$A$9000,0))="EUR",КурсEUR,1))*INDEX(Материалы!$K$2:$K$9000,MATCH($I836,Материалы!$A$2:$A$9000,0))*(1+IFERROR(INDEX(Работы!$I$2:$I$6000,MATCH($C836,Работы!$A$2:$A$6000,0))/100,0))*(1-ДисконтТендер),0))</f>
        <v>0</v>
      </c>
      <c r="N836" s="10">
        <f t="shared" si="39"/>
        <v>0</v>
      </c>
      <c r="O836" s="10">
        <f t="shared" si="40"/>
        <v>0</v>
      </c>
      <c r="P836" s="10">
        <f t="shared" si="41"/>
        <v>0</v>
      </c>
      <c r="Q836" t="str">
        <f>IFERROR(INDEX(Работы!$J$2:$J$6000,MATCH($C836,Работы!$A$2:$A$6000,0)),"")</f>
        <v>типовая</v>
      </c>
      <c r="R836" t="s">
        <v>92</v>
      </c>
      <c r="T836" t="str">
        <f>IF(AND($P836&gt;0,$R836="да"),MAX($T$1:$T835)+1,"")</f>
        <v/>
      </c>
    </row>
    <row r="837" spans="1:20" x14ac:dyDescent="0.3">
      <c r="A837" t="str">
        <f>IFERROR(INDEX(Работы!$D$2:$D$6000,MATCH($C837,Работы!$A$2:$A$6000,0)),"")</f>
        <v>Р9</v>
      </c>
      <c r="B837" t="str">
        <f>IFERROR(INDEX(Работы!$F$2:$F$6000,MATCH($C837,Работы!$A$2:$A$6000,0)),"")</f>
        <v>2</v>
      </c>
      <c r="C837" t="str">
        <f>IFERROR(INDEX(Работы!$A$2:$A$6000,836),"")</f>
        <v>РАБ.Р9.2.199</v>
      </c>
      <c r="D837" s="8" t="str">
        <f>IFERROR(INDEX(Работы!$B$2:$B$6000,MATCH($C837,Работы!$A$2:$A$6000,0)),"")</f>
        <v>Кабель ППГнг(А)-HF 5х4</v>
      </c>
      <c r="E837" t="str">
        <f>IFERROR(INDEX(Работы!$C$2:$C$6000,MATCH($C837,Работы!$A$2:$A$6000,0)),"")</f>
        <v>м.п.</v>
      </c>
      <c r="F837" t="str">
        <f>IFERROR(INDEX(Работы!$G$2:$G$6000,MATCH($C837,Работы!$A$2:$A$6000,0)),"")</f>
        <v>КАБЕЛЬ</v>
      </c>
      <c r="G837" t="str">
        <f>IFERROR(INDEX(Работы!$K$2:$K$6000,MATCH($C837,Работы!$A$2:$A$6000,0)),"")</f>
        <v>Погонаж</v>
      </c>
      <c r="H837" s="9"/>
      <c r="I837" s="9"/>
      <c r="J837" s="8" t="str">
        <f>IFERROR(INDEX(Материалы!$B$2:$B$9000,MATCH($I837,Материалы!$A$2:$A$9000,0)),"")</f>
        <v/>
      </c>
      <c r="K837" t="str">
        <f>IF($I837="","",IF($F837=IFERROR(INDEX(Материалы!$G$2:$G$9000,MATCH($I837,Материалы!$A$2:$A$9000,0)),""),"OK","!! не та группа"))</f>
        <v/>
      </c>
      <c r="L837" s="10">
        <f>IFERROR(INDEX(Работы!$H$2:$H$6000,MATCH($C837,Работы!$A$2:$A$6000,0))*(1-ДисконтТендер),0)</f>
        <v>132</v>
      </c>
      <c r="M837" s="10">
        <f>IF($I837="",0,IFERROR(INDEX(Материалы!$I$2:$I$9000,MATCH($I837,Материалы!$A$2:$A$9000,0))*IF(INDEX(Материалы!$J$2:$J$9000,MATCH($I837,Материалы!$A$2:$A$9000,0))="USD",КурсUSD,IF(INDEX(Материалы!$J$2:$J$9000,MATCH($I837,Материалы!$A$2:$A$9000,0))="EUR",КурсEUR,1))*INDEX(Материалы!$K$2:$K$9000,MATCH($I837,Материалы!$A$2:$A$9000,0))*(1+IFERROR(INDEX(Работы!$I$2:$I$6000,MATCH($C837,Работы!$A$2:$A$6000,0))/100,0))*(1-ДисконтТендер),0))</f>
        <v>0</v>
      </c>
      <c r="N837" s="10">
        <f t="shared" si="39"/>
        <v>0</v>
      </c>
      <c r="O837" s="10">
        <f t="shared" si="40"/>
        <v>0</v>
      </c>
      <c r="P837" s="10">
        <f t="shared" si="41"/>
        <v>0</v>
      </c>
      <c r="Q837" t="str">
        <f>IFERROR(INDEX(Работы!$J$2:$J$6000,MATCH($C837,Работы!$A$2:$A$6000,0)),"")</f>
        <v>типовая</v>
      </c>
      <c r="R837" t="s">
        <v>92</v>
      </c>
      <c r="T837" t="str">
        <f>IF(AND($P837&gt;0,$R837="да"),MAX($T$1:$T836)+1,"")</f>
        <v/>
      </c>
    </row>
    <row r="838" spans="1:20" x14ac:dyDescent="0.3">
      <c r="A838" t="str">
        <f>IFERROR(INDEX(Работы!$D$2:$D$6000,MATCH($C838,Работы!$A$2:$A$6000,0)),"")</f>
        <v>Р9</v>
      </c>
      <c r="B838" t="str">
        <f>IFERROR(INDEX(Работы!$F$2:$F$6000,MATCH($C838,Работы!$A$2:$A$6000,0)),"")</f>
        <v>2</v>
      </c>
      <c r="C838" t="str">
        <f>IFERROR(INDEX(Работы!$A$2:$A$6000,837),"")</f>
        <v>РАБ.Р9.2.200</v>
      </c>
      <c r="D838" s="8" t="str">
        <f>IFERROR(INDEX(Работы!$B$2:$B$6000,MATCH($C838,Работы!$A$2:$A$6000,0)),"")</f>
        <v>Кабель ППГнг(А)-HF 3х6,0</v>
      </c>
      <c r="E838" t="str">
        <f>IFERROR(INDEX(Работы!$C$2:$C$6000,MATCH($C838,Работы!$A$2:$A$6000,0)),"")</f>
        <v>м.п.</v>
      </c>
      <c r="F838" t="str">
        <f>IFERROR(INDEX(Работы!$G$2:$G$6000,MATCH($C838,Работы!$A$2:$A$6000,0)),"")</f>
        <v>КАБЕЛЬ</v>
      </c>
      <c r="G838" t="str">
        <f>IFERROR(INDEX(Работы!$K$2:$K$6000,MATCH($C838,Работы!$A$2:$A$6000,0)),"")</f>
        <v>Погонаж</v>
      </c>
      <c r="H838" s="9"/>
      <c r="I838" s="9"/>
      <c r="J838" s="8" t="str">
        <f>IFERROR(INDEX(Материалы!$B$2:$B$9000,MATCH($I838,Материалы!$A$2:$A$9000,0)),"")</f>
        <v/>
      </c>
      <c r="K838" t="str">
        <f>IF($I838="","",IF($F838=IFERROR(INDEX(Материалы!$G$2:$G$9000,MATCH($I838,Материалы!$A$2:$A$9000,0)),""),"OK","!! не та группа"))</f>
        <v/>
      </c>
      <c r="L838" s="10">
        <f>IFERROR(INDEX(Работы!$H$2:$H$6000,MATCH($C838,Работы!$A$2:$A$6000,0))*(1-ДисконтТендер),0)</f>
        <v>118.67</v>
      </c>
      <c r="M838" s="10">
        <f>IF($I838="",0,IFERROR(INDEX(Материалы!$I$2:$I$9000,MATCH($I838,Материалы!$A$2:$A$9000,0))*IF(INDEX(Материалы!$J$2:$J$9000,MATCH($I838,Материалы!$A$2:$A$9000,0))="USD",КурсUSD,IF(INDEX(Материалы!$J$2:$J$9000,MATCH($I838,Материалы!$A$2:$A$9000,0))="EUR",КурсEUR,1))*INDEX(Материалы!$K$2:$K$9000,MATCH($I838,Материалы!$A$2:$A$9000,0))*(1+IFERROR(INDEX(Работы!$I$2:$I$6000,MATCH($C838,Работы!$A$2:$A$6000,0))/100,0))*(1-ДисконтТендер),0))</f>
        <v>0</v>
      </c>
      <c r="N838" s="10">
        <f t="shared" si="39"/>
        <v>0</v>
      </c>
      <c r="O838" s="10">
        <f t="shared" si="40"/>
        <v>0</v>
      </c>
      <c r="P838" s="10">
        <f t="shared" si="41"/>
        <v>0</v>
      </c>
      <c r="Q838" t="str">
        <f>IFERROR(INDEX(Работы!$J$2:$J$6000,MATCH($C838,Работы!$A$2:$A$6000,0)),"")</f>
        <v>типовая</v>
      </c>
      <c r="R838" t="s">
        <v>92</v>
      </c>
      <c r="T838" t="str">
        <f>IF(AND($P838&gt;0,$R838="да"),MAX($T$1:$T837)+1,"")</f>
        <v/>
      </c>
    </row>
    <row r="839" spans="1:20" x14ac:dyDescent="0.3">
      <c r="A839" t="str">
        <f>IFERROR(INDEX(Работы!$D$2:$D$6000,MATCH($C839,Работы!$A$2:$A$6000,0)),"")</f>
        <v>Р9</v>
      </c>
      <c r="B839" t="str">
        <f>IFERROR(INDEX(Работы!$F$2:$F$6000,MATCH($C839,Работы!$A$2:$A$6000,0)),"")</f>
        <v>2</v>
      </c>
      <c r="C839" t="str">
        <f>IFERROR(INDEX(Работы!$A$2:$A$6000,838),"")</f>
        <v>РАБ.Р9.2.201</v>
      </c>
      <c r="D839" s="8" t="str">
        <f>IFERROR(INDEX(Работы!$B$2:$B$6000,MATCH($C839,Работы!$A$2:$A$6000,0)),"")</f>
        <v>Прокладка кабеля / провода</v>
      </c>
      <c r="E839" t="str">
        <f>IFERROR(INDEX(Работы!$C$2:$C$6000,MATCH($C839,Работы!$A$2:$A$6000,0)),"")</f>
        <v>м.п.</v>
      </c>
      <c r="F839" t="str">
        <f>IFERROR(INDEX(Работы!$G$2:$G$6000,MATCH($C839,Работы!$A$2:$A$6000,0)),"")</f>
        <v>КАБЕЛЬ</v>
      </c>
      <c r="G839" t="str">
        <f>IFERROR(INDEX(Работы!$K$2:$K$6000,MATCH($C839,Работы!$A$2:$A$6000,0)),"")</f>
        <v>Погонаж</v>
      </c>
      <c r="H839" s="9"/>
      <c r="I839" s="9"/>
      <c r="J839" s="8" t="str">
        <f>IFERROR(INDEX(Материалы!$B$2:$B$9000,MATCH($I839,Материалы!$A$2:$A$9000,0)),"")</f>
        <v/>
      </c>
      <c r="K839" t="str">
        <f>IF($I839="","",IF($F839=IFERROR(INDEX(Материалы!$G$2:$G$9000,MATCH($I839,Материалы!$A$2:$A$9000,0)),""),"OK","!! не та группа"))</f>
        <v/>
      </c>
      <c r="L839" s="10">
        <f>IFERROR(INDEX(Работы!$H$2:$H$6000,MATCH($C839,Работы!$A$2:$A$6000,0))*(1-ДисконтТендер),0)</f>
        <v>138.5</v>
      </c>
      <c r="M839" s="10">
        <f>IF($I839="",0,IFERROR(INDEX(Материалы!$I$2:$I$9000,MATCH($I839,Материалы!$A$2:$A$9000,0))*IF(INDEX(Материалы!$J$2:$J$9000,MATCH($I839,Материалы!$A$2:$A$9000,0))="USD",КурсUSD,IF(INDEX(Материалы!$J$2:$J$9000,MATCH($I839,Материалы!$A$2:$A$9000,0))="EUR",КурсEUR,1))*INDEX(Материалы!$K$2:$K$9000,MATCH($I839,Материалы!$A$2:$A$9000,0))*(1+IFERROR(INDEX(Работы!$I$2:$I$6000,MATCH($C839,Работы!$A$2:$A$6000,0))/100,0))*(1-ДисконтТендер),0))</f>
        <v>0</v>
      </c>
      <c r="N839" s="10">
        <f t="shared" si="39"/>
        <v>0</v>
      </c>
      <c r="O839" s="10">
        <f t="shared" si="40"/>
        <v>0</v>
      </c>
      <c r="P839" s="10">
        <f t="shared" si="41"/>
        <v>0</v>
      </c>
      <c r="Q839" t="str">
        <f>IFERROR(INDEX(Работы!$J$2:$J$6000,MATCH($C839,Работы!$A$2:$A$6000,0)),"")</f>
        <v>типовая</v>
      </c>
      <c r="R839" t="s">
        <v>92</v>
      </c>
      <c r="T839" t="str">
        <f>IF(AND($P839&gt;0,$R839="да"),MAX($T$1:$T838)+1,"")</f>
        <v/>
      </c>
    </row>
    <row r="840" spans="1:20" x14ac:dyDescent="0.3">
      <c r="A840" t="str">
        <f>IFERROR(INDEX(Работы!$D$2:$D$6000,MATCH($C840,Работы!$A$2:$A$6000,0)),"")</f>
        <v>Р9</v>
      </c>
      <c r="B840" t="str">
        <f>IFERROR(INDEX(Работы!$F$2:$F$6000,MATCH($C840,Работы!$A$2:$A$6000,0)),"")</f>
        <v>2</v>
      </c>
      <c r="C840" t="str">
        <f>IFERROR(INDEX(Работы!$A$2:$A$6000,839),"")</f>
        <v>РАБ.Р9.2.202</v>
      </c>
      <c r="D840" s="8" t="str">
        <f>IFERROR(INDEX(Работы!$B$2:$B$6000,MATCH($C840,Работы!$A$2:$A$6000,0)),"")</f>
        <v>Прокладка кабеля / провода</v>
      </c>
      <c r="E840" t="str">
        <f>IFERROR(INDEX(Работы!$C$2:$C$6000,MATCH($C840,Работы!$A$2:$A$6000,0)),"")</f>
        <v>м.п.</v>
      </c>
      <c r="F840" t="str">
        <f>IFERROR(INDEX(Работы!$G$2:$G$6000,MATCH($C840,Работы!$A$2:$A$6000,0)),"")</f>
        <v>КАБЕЛЬ</v>
      </c>
      <c r="G840" t="str">
        <f>IFERROR(INDEX(Работы!$K$2:$K$6000,MATCH($C840,Работы!$A$2:$A$6000,0)),"")</f>
        <v>Погонаж</v>
      </c>
      <c r="H840" s="9"/>
      <c r="I840" s="9"/>
      <c r="J840" s="8" t="str">
        <f>IFERROR(INDEX(Материалы!$B$2:$B$9000,MATCH($I840,Материалы!$A$2:$A$9000,0)),"")</f>
        <v/>
      </c>
      <c r="K840" t="str">
        <f>IF($I840="","",IF($F840=IFERROR(INDEX(Материалы!$G$2:$G$9000,MATCH($I840,Материалы!$A$2:$A$9000,0)),""),"OK","!! не та группа"))</f>
        <v/>
      </c>
      <c r="L840" s="10">
        <f>IFERROR(INDEX(Работы!$H$2:$H$6000,MATCH($C840,Работы!$A$2:$A$6000,0))*(1-ДисконтТендер),0)</f>
        <v>145.51</v>
      </c>
      <c r="M840" s="10">
        <f>IF($I840="",0,IFERROR(INDEX(Материалы!$I$2:$I$9000,MATCH($I840,Материалы!$A$2:$A$9000,0))*IF(INDEX(Материалы!$J$2:$J$9000,MATCH($I840,Материалы!$A$2:$A$9000,0))="USD",КурсUSD,IF(INDEX(Материалы!$J$2:$J$9000,MATCH($I840,Материалы!$A$2:$A$9000,0))="EUR",КурсEUR,1))*INDEX(Материалы!$K$2:$K$9000,MATCH($I840,Материалы!$A$2:$A$9000,0))*(1+IFERROR(INDEX(Работы!$I$2:$I$6000,MATCH($C840,Работы!$A$2:$A$6000,0))/100,0))*(1-ДисконтТендер),0))</f>
        <v>0</v>
      </c>
      <c r="N840" s="10">
        <f t="shared" si="39"/>
        <v>0</v>
      </c>
      <c r="O840" s="10">
        <f t="shared" si="40"/>
        <v>0</v>
      </c>
      <c r="P840" s="10">
        <f t="shared" si="41"/>
        <v>0</v>
      </c>
      <c r="Q840" t="str">
        <f>IFERROR(INDEX(Работы!$J$2:$J$6000,MATCH($C840,Работы!$A$2:$A$6000,0)),"")</f>
        <v>типовая</v>
      </c>
      <c r="R840" t="s">
        <v>92</v>
      </c>
      <c r="T840" t="str">
        <f>IF(AND($P840&gt;0,$R840="да"),MAX($T$1:$T839)+1,"")</f>
        <v/>
      </c>
    </row>
    <row r="841" spans="1:20" x14ac:dyDescent="0.3">
      <c r="A841" t="str">
        <f>IFERROR(INDEX(Работы!$D$2:$D$6000,MATCH($C841,Работы!$A$2:$A$6000,0)),"")</f>
        <v>Р9</v>
      </c>
      <c r="B841" t="str">
        <f>IFERROR(INDEX(Работы!$F$2:$F$6000,MATCH($C841,Работы!$A$2:$A$6000,0)),"")</f>
        <v>2</v>
      </c>
      <c r="C841" t="str">
        <f>IFERROR(INDEX(Работы!$A$2:$A$6000,840),"")</f>
        <v>РАБ.Р9.2.203</v>
      </c>
      <c r="D841" s="8" t="str">
        <f>IFERROR(INDEX(Работы!$B$2:$B$6000,MATCH($C841,Работы!$A$2:$A$6000,0)),"")</f>
        <v>Кабельная проходка ОГНЕЗА-ПМ-К/50 (муфта)</v>
      </c>
      <c r="E841" t="str">
        <f>IFERROR(INDEX(Работы!$C$2:$C$6000,MATCH($C841,Работы!$A$2:$A$6000,0)),"")</f>
        <v>шт.</v>
      </c>
      <c r="F841" t="str">
        <f>IFERROR(INDEX(Работы!$G$2:$G$6000,MATCH($C841,Работы!$A$2:$A$6000,0)),"")</f>
        <v>КАБЕЛЬ</v>
      </c>
      <c r="G841" t="str">
        <f>IFERROR(INDEX(Работы!$K$2:$K$6000,MATCH($C841,Работы!$A$2:$A$6000,0)),"")</f>
        <v>Погонаж</v>
      </c>
      <c r="H841" s="9"/>
      <c r="I841" s="9"/>
      <c r="J841" s="8" t="str">
        <f>IFERROR(INDEX(Материалы!$B$2:$B$9000,MATCH($I841,Материалы!$A$2:$A$9000,0)),"")</f>
        <v/>
      </c>
      <c r="K841" t="str">
        <f>IF($I841="","",IF($F841=IFERROR(INDEX(Материалы!$G$2:$G$9000,MATCH($I841,Материалы!$A$2:$A$9000,0)),""),"OK","!! не та группа"))</f>
        <v/>
      </c>
      <c r="L841" s="10">
        <f>IFERROR(INDEX(Работы!$H$2:$H$6000,MATCH($C841,Работы!$A$2:$A$6000,0))*(1-ДисконтТендер),0)</f>
        <v>1045</v>
      </c>
      <c r="M841" s="10">
        <f>IF($I841="",0,IFERROR(INDEX(Материалы!$I$2:$I$9000,MATCH($I841,Материалы!$A$2:$A$9000,0))*IF(INDEX(Материалы!$J$2:$J$9000,MATCH($I841,Материалы!$A$2:$A$9000,0))="USD",КурсUSD,IF(INDEX(Материалы!$J$2:$J$9000,MATCH($I841,Материалы!$A$2:$A$9000,0))="EUR",КурсEUR,1))*INDEX(Материалы!$K$2:$K$9000,MATCH($I841,Материалы!$A$2:$A$9000,0))*(1+IFERROR(INDEX(Работы!$I$2:$I$6000,MATCH($C841,Работы!$A$2:$A$6000,0))/100,0))*(1-ДисконтТендер),0))</f>
        <v>0</v>
      </c>
      <c r="N841" s="10">
        <f t="shared" si="39"/>
        <v>0</v>
      </c>
      <c r="O841" s="10">
        <f t="shared" si="40"/>
        <v>0</v>
      </c>
      <c r="P841" s="10">
        <f t="shared" si="41"/>
        <v>0</v>
      </c>
      <c r="Q841" t="str">
        <f>IFERROR(INDEX(Работы!$J$2:$J$6000,MATCH($C841,Работы!$A$2:$A$6000,0)),"")</f>
        <v>типовая</v>
      </c>
      <c r="R841" t="s">
        <v>92</v>
      </c>
      <c r="T841" t="str">
        <f>IF(AND($P841&gt;0,$R841="да"),MAX($T$1:$T840)+1,"")</f>
        <v/>
      </c>
    </row>
    <row r="842" spans="1:20" x14ac:dyDescent="0.3">
      <c r="A842" t="str">
        <f>IFERROR(INDEX(Работы!$D$2:$D$6000,MATCH($C842,Работы!$A$2:$A$6000,0)),"")</f>
        <v>Р9</v>
      </c>
      <c r="B842" t="str">
        <f>IFERROR(INDEX(Работы!$F$2:$F$6000,MATCH($C842,Работы!$A$2:$A$6000,0)),"")</f>
        <v>2</v>
      </c>
      <c r="C842" t="str">
        <f>IFERROR(INDEX(Работы!$A$2:$A$6000,841),"")</f>
        <v>РАБ.Р9.2.204</v>
      </c>
      <c r="D842" s="8" t="str">
        <f>IFERROR(INDEX(Работы!$B$2:$B$6000,MATCH($C842,Работы!$A$2:$A$6000,0)),"")</f>
        <v>Прокладка кабеля / провода</v>
      </c>
      <c r="E842" t="str">
        <f>IFERROR(INDEX(Работы!$C$2:$C$6000,MATCH($C842,Работы!$A$2:$A$6000,0)),"")</f>
        <v>шт.</v>
      </c>
      <c r="F842" t="str">
        <f>IFERROR(INDEX(Работы!$G$2:$G$6000,MATCH($C842,Работы!$A$2:$A$6000,0)),"")</f>
        <v>КАБЕЛЬ</v>
      </c>
      <c r="G842" t="str">
        <f>IFERROR(INDEX(Работы!$K$2:$K$6000,MATCH($C842,Работы!$A$2:$A$6000,0)),"")</f>
        <v>Погонаж</v>
      </c>
      <c r="H842" s="9"/>
      <c r="I842" s="9"/>
      <c r="J842" s="8" t="str">
        <f>IFERROR(INDEX(Материалы!$B$2:$B$9000,MATCH($I842,Материалы!$A$2:$A$9000,0)),"")</f>
        <v/>
      </c>
      <c r="K842" t="str">
        <f>IF($I842="","",IF($F842=IFERROR(INDEX(Материалы!$G$2:$G$9000,MATCH($I842,Материалы!$A$2:$A$9000,0)),""),"OK","!! не та группа"))</f>
        <v/>
      </c>
      <c r="L842" s="10">
        <f>IFERROR(INDEX(Работы!$H$2:$H$6000,MATCH($C842,Работы!$A$2:$A$6000,0))*(1-ДисконтТендер),0)</f>
        <v>1210</v>
      </c>
      <c r="M842" s="10">
        <f>IF($I842="",0,IFERROR(INDEX(Материалы!$I$2:$I$9000,MATCH($I842,Материалы!$A$2:$A$9000,0))*IF(INDEX(Материалы!$J$2:$J$9000,MATCH($I842,Материалы!$A$2:$A$9000,0))="USD",КурсUSD,IF(INDEX(Материалы!$J$2:$J$9000,MATCH($I842,Материалы!$A$2:$A$9000,0))="EUR",КурсEUR,1))*INDEX(Материалы!$K$2:$K$9000,MATCH($I842,Материалы!$A$2:$A$9000,0))*(1+IFERROR(INDEX(Работы!$I$2:$I$6000,MATCH($C842,Работы!$A$2:$A$6000,0))/100,0))*(1-ДисконтТендер),0))</f>
        <v>0</v>
      </c>
      <c r="N842" s="10">
        <f t="shared" si="39"/>
        <v>0</v>
      </c>
      <c r="O842" s="10">
        <f t="shared" si="40"/>
        <v>0</v>
      </c>
      <c r="P842" s="10">
        <f t="shared" si="41"/>
        <v>0</v>
      </c>
      <c r="Q842" t="str">
        <f>IFERROR(INDEX(Работы!$J$2:$J$6000,MATCH($C842,Работы!$A$2:$A$6000,0)),"")</f>
        <v>типовая</v>
      </c>
      <c r="R842" t="s">
        <v>92</v>
      </c>
      <c r="T842" t="str">
        <f>IF(AND($P842&gt;0,$R842="да"),MAX($T$1:$T841)+1,"")</f>
        <v/>
      </c>
    </row>
    <row r="843" spans="1:20" ht="28.8" x14ac:dyDescent="0.3">
      <c r="A843" t="str">
        <f>IFERROR(INDEX(Работы!$D$2:$D$6000,MATCH($C843,Работы!$A$2:$A$6000,0)),"")</f>
        <v>Р9</v>
      </c>
      <c r="B843" t="str">
        <f>IFERROR(INDEX(Работы!$F$2:$F$6000,MATCH($C843,Работы!$A$2:$A$6000,0)),"")</f>
        <v>2</v>
      </c>
      <c r="C843" t="str">
        <f>IFERROR(INDEX(Работы!$A$2:$A$6000,842),"")</f>
        <v>РАБ.Р9.2.205</v>
      </c>
      <c r="D843" s="8" t="str">
        <f>IFERROR(INDEX(Работы!$B$2:$B$6000,MATCH($C843,Работы!$A$2:$A$6000,0)),"")</f>
        <v>Напольная коробка 18 модулей Legrand арт. 089611</v>
      </c>
      <c r="E843" t="str">
        <f>IFERROR(INDEX(Работы!$C$2:$C$6000,MATCH($C843,Работы!$A$2:$A$6000,0)),"")</f>
        <v>шт.</v>
      </c>
      <c r="F843" t="str">
        <f>IFERROR(INDEX(Работы!$G$2:$G$6000,MATCH($C843,Работы!$A$2:$A$6000,0)),"")</f>
        <v>ЛЮЧОК</v>
      </c>
      <c r="G843" t="str">
        <f>IFERROR(INDEX(Работы!$K$2:$K$6000,MATCH($C843,Работы!$A$2:$A$6000,0)),"")</f>
        <v>Спецификация</v>
      </c>
      <c r="H843" s="9"/>
      <c r="I843" s="9"/>
      <c r="J843" s="8" t="str">
        <f>IFERROR(INDEX(Материалы!$B$2:$B$9000,MATCH($I843,Материалы!$A$2:$A$9000,0)),"")</f>
        <v/>
      </c>
      <c r="K843" t="str">
        <f>IF($I843="","",IF($F843=IFERROR(INDEX(Материалы!$G$2:$G$9000,MATCH($I843,Материалы!$A$2:$A$9000,0)),""),"OK","!! не та группа"))</f>
        <v/>
      </c>
      <c r="L843" s="10">
        <f>IFERROR(INDEX(Работы!$H$2:$H$6000,MATCH($C843,Работы!$A$2:$A$6000,0))*(1-ДисконтТендер),0)</f>
        <v>2592.6</v>
      </c>
      <c r="M843" s="10">
        <f>IF($I843="",0,IFERROR(INDEX(Материалы!$I$2:$I$9000,MATCH($I843,Материалы!$A$2:$A$9000,0))*IF(INDEX(Материалы!$J$2:$J$9000,MATCH($I843,Материалы!$A$2:$A$9000,0))="USD",КурсUSD,IF(INDEX(Материалы!$J$2:$J$9000,MATCH($I843,Материалы!$A$2:$A$9000,0))="EUR",КурсEUR,1))*INDEX(Материалы!$K$2:$K$9000,MATCH($I843,Материалы!$A$2:$A$9000,0))*(1+IFERROR(INDEX(Работы!$I$2:$I$6000,MATCH($C843,Работы!$A$2:$A$6000,0))/100,0))*(1-ДисконтТендер),0))</f>
        <v>0</v>
      </c>
      <c r="N843" s="10">
        <f t="shared" si="39"/>
        <v>0</v>
      </c>
      <c r="O843" s="10">
        <f t="shared" si="40"/>
        <v>0</v>
      </c>
      <c r="P843" s="10">
        <f t="shared" si="41"/>
        <v>0</v>
      </c>
      <c r="Q843" t="str">
        <f>IFERROR(INDEX(Работы!$J$2:$J$6000,MATCH($C843,Работы!$A$2:$A$6000,0)),"")</f>
        <v>типовая</v>
      </c>
      <c r="R843" t="s">
        <v>92</v>
      </c>
      <c r="T843" t="str">
        <f>IF(AND($P843&gt;0,$R843="да"),MAX($T$1:$T842)+1,"")</f>
        <v/>
      </c>
    </row>
    <row r="844" spans="1:20" x14ac:dyDescent="0.3">
      <c r="A844" t="str">
        <f>IFERROR(INDEX(Работы!$D$2:$D$6000,MATCH($C844,Работы!$A$2:$A$6000,0)),"")</f>
        <v>Р9</v>
      </c>
      <c r="B844" t="str">
        <f>IFERROR(INDEX(Работы!$F$2:$F$6000,MATCH($C844,Работы!$A$2:$A$6000,0)),"")</f>
        <v>2</v>
      </c>
      <c r="C844" t="str">
        <f>IFERROR(INDEX(Работы!$A$2:$A$6000,843),"")</f>
        <v>РАБ.Р9.2.206</v>
      </c>
      <c r="D844" s="8" t="str">
        <f>IFERROR(INDEX(Работы!$B$2:$B$6000,MATCH($C844,Работы!$A$2:$A$6000,0)),"")</f>
        <v>Установка розетки</v>
      </c>
      <c r="E844" t="str">
        <f>IFERROR(INDEX(Работы!$C$2:$C$6000,MATCH($C844,Работы!$A$2:$A$6000,0)),"")</f>
        <v>шт.</v>
      </c>
      <c r="F844" t="str">
        <f>IFERROR(INDEX(Работы!$G$2:$G$6000,MATCH($C844,Работы!$A$2:$A$6000,0)),"")</f>
        <v>ЭУИ.РОЗ</v>
      </c>
      <c r="G844" t="str">
        <f>IFERROR(INDEX(Работы!$K$2:$K$6000,MATCH($C844,Работы!$A$2:$A$6000,0)),"")</f>
        <v>Спецификация</v>
      </c>
      <c r="H844" s="9"/>
      <c r="I844" s="9"/>
      <c r="J844" s="8" t="str">
        <f>IFERROR(INDEX(Материалы!$B$2:$B$9000,MATCH($I844,Материалы!$A$2:$A$9000,0)),"")</f>
        <v/>
      </c>
      <c r="K844" t="str">
        <f>IF($I844="","",IF($F844=IFERROR(INDEX(Материалы!$G$2:$G$9000,MATCH($I844,Материалы!$A$2:$A$9000,0)),""),"OK","!! не та группа"))</f>
        <v/>
      </c>
      <c r="L844" s="10">
        <f>IFERROR(INDEX(Работы!$H$2:$H$6000,MATCH($C844,Работы!$A$2:$A$6000,0))*(1-ДисконтТендер),0)</f>
        <v>3125.04</v>
      </c>
      <c r="M844" s="10">
        <f>IF($I844="",0,IFERROR(INDEX(Материалы!$I$2:$I$9000,MATCH($I844,Материалы!$A$2:$A$9000,0))*IF(INDEX(Материалы!$J$2:$J$9000,MATCH($I844,Материалы!$A$2:$A$9000,0))="USD",КурсUSD,IF(INDEX(Материалы!$J$2:$J$9000,MATCH($I844,Материалы!$A$2:$A$9000,0))="EUR",КурсEUR,1))*INDEX(Материалы!$K$2:$K$9000,MATCH($I844,Материалы!$A$2:$A$9000,0))*(1+IFERROR(INDEX(Работы!$I$2:$I$6000,MATCH($C844,Работы!$A$2:$A$6000,0))/100,0))*(1-ДисконтТендер),0))</f>
        <v>0</v>
      </c>
      <c r="N844" s="10">
        <f t="shared" si="39"/>
        <v>0</v>
      </c>
      <c r="O844" s="10">
        <f t="shared" si="40"/>
        <v>0</v>
      </c>
      <c r="P844" s="10">
        <f t="shared" si="41"/>
        <v>0</v>
      </c>
      <c r="Q844" t="str">
        <f>IFERROR(INDEX(Работы!$J$2:$J$6000,MATCH($C844,Работы!$A$2:$A$6000,0)),"")</f>
        <v>типовая</v>
      </c>
      <c r="R844" t="s">
        <v>92</v>
      </c>
      <c r="T844" t="str">
        <f>IF(AND($P844&gt;0,$R844="да"),MAX($T$1:$T843)+1,"")</f>
        <v/>
      </c>
    </row>
    <row r="845" spans="1:20" ht="72" x14ac:dyDescent="0.3">
      <c r="A845" t="str">
        <f>IFERROR(INDEX(Работы!$D$2:$D$6000,MATCH($C845,Работы!$A$2:$A$6000,0)),"")</f>
        <v>Р9</v>
      </c>
      <c r="B845" t="str">
        <f>IFERROR(INDEX(Работы!$F$2:$F$6000,MATCH($C845,Работы!$A$2:$A$6000,0)),"")</f>
        <v>2</v>
      </c>
      <c r="C845" t="str">
        <f>IFERROR(INDEX(Работы!$A$2:$A$6000,844),"")</f>
        <v>РАБ.Р9.2.207</v>
      </c>
      <c r="D845" s="8" t="str">
        <f>IFERROR(INDEX(Работы!$B$2:$B$6000,MATCH($C845,Работы!$A$2:$A$6000,0)),"")</f>
        <v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v>
      </c>
      <c r="E845" t="str">
        <f>IFERROR(INDEX(Работы!$C$2:$C$6000,MATCH($C845,Работы!$A$2:$A$6000,0)),"")</f>
        <v>м.п.</v>
      </c>
      <c r="F845" t="str">
        <f>IFERROR(INDEX(Работы!$G$2:$G$6000,MATCH($C845,Работы!$A$2:$A$6000,0)),"")</f>
        <v>ТРУБА.ЭЛ</v>
      </c>
      <c r="G845" t="str">
        <f>IFERROR(INDEX(Работы!$K$2:$K$6000,MATCH($C845,Работы!$A$2:$A$6000,0)),"")</f>
        <v>Погонаж</v>
      </c>
      <c r="H845" s="9"/>
      <c r="I845" s="9"/>
      <c r="J845" s="8" t="str">
        <f>IFERROR(INDEX(Материалы!$B$2:$B$9000,MATCH($I845,Материалы!$A$2:$A$9000,0)),"")</f>
        <v/>
      </c>
      <c r="K845" t="str">
        <f>IF($I845="","",IF($F845=IFERROR(INDEX(Материалы!$G$2:$G$9000,MATCH($I845,Материалы!$A$2:$A$9000,0)),""),"OK","!! не та группа"))</f>
        <v/>
      </c>
      <c r="L845" s="10">
        <f>IFERROR(INDEX(Работы!$H$2:$H$6000,MATCH($C845,Работы!$A$2:$A$6000,0))*(1-ДисконтТендер),0)</f>
        <v>256</v>
      </c>
      <c r="M845" s="10">
        <f>IF($I845="",0,IFERROR(INDEX(Материалы!$I$2:$I$9000,MATCH($I845,Материалы!$A$2:$A$9000,0))*IF(INDEX(Материалы!$J$2:$J$9000,MATCH($I845,Материалы!$A$2:$A$9000,0))="USD",КурсUSD,IF(INDEX(Материалы!$J$2:$J$9000,MATCH($I845,Материалы!$A$2:$A$9000,0))="EUR",КурсEUR,1))*INDEX(Материалы!$K$2:$K$9000,MATCH($I845,Материалы!$A$2:$A$9000,0))*(1+IFERROR(INDEX(Работы!$I$2:$I$6000,MATCH($C845,Работы!$A$2:$A$6000,0))/100,0))*(1-ДисконтТендер),0))</f>
        <v>0</v>
      </c>
      <c r="N845" s="10">
        <f t="shared" si="39"/>
        <v>0</v>
      </c>
      <c r="O845" s="10">
        <f t="shared" si="40"/>
        <v>0</v>
      </c>
      <c r="P845" s="10">
        <f t="shared" si="41"/>
        <v>0</v>
      </c>
      <c r="Q845" t="str">
        <f>IFERROR(INDEX(Работы!$J$2:$J$6000,MATCH($C845,Работы!$A$2:$A$6000,0)),"")</f>
        <v>типовая</v>
      </c>
      <c r="R845" t="s">
        <v>92</v>
      </c>
      <c r="T845" t="str">
        <f>IF(AND($P845&gt;0,$R845="да"),MAX($T$1:$T844)+1,"")</f>
        <v/>
      </c>
    </row>
    <row r="846" spans="1:20" ht="28.8" x14ac:dyDescent="0.3">
      <c r="A846" t="str">
        <f>IFERROR(INDEX(Работы!$D$2:$D$6000,MATCH($C846,Работы!$A$2:$A$6000,0)),"")</f>
        <v>Р9</v>
      </c>
      <c r="B846" t="str">
        <f>IFERROR(INDEX(Работы!$F$2:$F$6000,MATCH($C846,Работы!$A$2:$A$6000,0)),"")</f>
        <v>2</v>
      </c>
      <c r="C846" t="str">
        <f>IFERROR(INDEX(Работы!$A$2:$A$6000,845),"")</f>
        <v>РАБ.Р9.2.208</v>
      </c>
      <c r="D846" s="8" t="str">
        <f>IFERROR(INDEX(Работы!$B$2:$B$6000,MATCH($C846,Работы!$A$2:$A$6000,0)),"")</f>
        <v>Обработка проходов кабелей через перегородки огнезой с 2 сторон</v>
      </c>
      <c r="E846" t="str">
        <f>IFERROR(INDEX(Работы!$C$2:$C$6000,MATCH($C846,Работы!$A$2:$A$6000,0)),"")</f>
        <v>шт.</v>
      </c>
      <c r="F846" t="str">
        <f>IFERROR(INDEX(Работы!$G$2:$G$6000,MATCH($C846,Работы!$A$2:$A$6000,0)),"")</f>
        <v>КАБЕЛЬ</v>
      </c>
      <c r="G846" t="str">
        <f>IFERROR(INDEX(Работы!$K$2:$K$6000,MATCH($C846,Работы!$A$2:$A$6000,0)),"")</f>
        <v>S_стены</v>
      </c>
      <c r="H846" s="9"/>
      <c r="I846" s="9"/>
      <c r="J846" s="8" t="str">
        <f>IFERROR(INDEX(Материалы!$B$2:$B$9000,MATCH($I846,Материалы!$A$2:$A$9000,0)),"")</f>
        <v/>
      </c>
      <c r="K846" t="str">
        <f>IF($I846="","",IF($F846=IFERROR(INDEX(Материалы!$G$2:$G$9000,MATCH($I846,Материалы!$A$2:$A$9000,0)),""),"OK","!! не та группа"))</f>
        <v/>
      </c>
      <c r="L846" s="10">
        <f>IFERROR(INDEX(Работы!$H$2:$H$6000,MATCH($C846,Работы!$A$2:$A$6000,0))*(1-ДисконтТендер),0)</f>
        <v>250.56</v>
      </c>
      <c r="M846" s="10">
        <f>IF($I846="",0,IFERROR(INDEX(Материалы!$I$2:$I$9000,MATCH($I846,Материалы!$A$2:$A$9000,0))*IF(INDEX(Материалы!$J$2:$J$9000,MATCH($I846,Материалы!$A$2:$A$9000,0))="USD",КурсUSD,IF(INDEX(Материалы!$J$2:$J$9000,MATCH($I846,Материалы!$A$2:$A$9000,0))="EUR",КурсEUR,1))*INDEX(Материалы!$K$2:$K$9000,MATCH($I846,Материалы!$A$2:$A$9000,0))*(1+IFERROR(INDEX(Работы!$I$2:$I$6000,MATCH($C846,Работы!$A$2:$A$6000,0))/100,0))*(1-ДисконтТендер),0))</f>
        <v>0</v>
      </c>
      <c r="N846" s="10">
        <f t="shared" si="39"/>
        <v>0</v>
      </c>
      <c r="O846" s="10">
        <f t="shared" si="40"/>
        <v>0</v>
      </c>
      <c r="P846" s="10">
        <f t="shared" si="41"/>
        <v>0</v>
      </c>
      <c r="Q846" t="str">
        <f>IFERROR(INDEX(Работы!$J$2:$J$6000,MATCH($C846,Работы!$A$2:$A$6000,0)),"")</f>
        <v>типовая</v>
      </c>
      <c r="R846" t="s">
        <v>92</v>
      </c>
      <c r="T846" t="str">
        <f>IF(AND($P846&gt;0,$R846="да"),MAX($T$1:$T845)+1,"")</f>
        <v/>
      </c>
    </row>
    <row r="847" spans="1:20" x14ac:dyDescent="0.3">
      <c r="A847" t="str">
        <f>IFERROR(INDEX(Работы!$D$2:$D$6000,MATCH($C847,Работы!$A$2:$A$6000,0)),"")</f>
        <v>Р9</v>
      </c>
      <c r="B847" t="str">
        <f>IFERROR(INDEX(Работы!$F$2:$F$6000,MATCH($C847,Работы!$A$2:$A$6000,0)),"")</f>
        <v>3</v>
      </c>
      <c r="C847" t="str">
        <f>IFERROR(INDEX(Работы!$A$2:$A$6000,846),"")</f>
        <v>РАБ.Р9.3.001</v>
      </c>
      <c r="D847" s="8" t="str">
        <f>IFERROR(INDEX(Работы!$B$2:$B$6000,MATCH($C847,Работы!$A$2:$A$6000,0)),"")</f>
        <v>ВРЩ(микро)</v>
      </c>
      <c r="E847" t="str">
        <f>IFERROR(INDEX(Работы!$C$2:$C$6000,MATCH($C847,Работы!$A$2:$A$6000,0)),"")</f>
        <v>шт.</v>
      </c>
      <c r="F847">
        <f>IFERROR(INDEX(Работы!$G$2:$G$6000,MATCH($C847,Работы!$A$2:$A$6000,0)),"")</f>
        <v>0</v>
      </c>
      <c r="G847" t="str">
        <f>IFERROR(INDEX(Работы!$K$2:$K$6000,MATCH($C847,Работы!$A$2:$A$6000,0)),"")</f>
        <v>Спецификация</v>
      </c>
      <c r="H847" s="9"/>
      <c r="I847" s="9"/>
      <c r="J847" s="8" t="str">
        <f>IFERROR(INDEX(Материалы!$B$2:$B$9000,MATCH($I847,Материалы!$A$2:$A$9000,0)),"")</f>
        <v/>
      </c>
      <c r="K847" t="str">
        <f>IF($I847="","",IF($F847=IFERROR(INDEX(Материалы!$G$2:$G$9000,MATCH($I847,Материалы!$A$2:$A$9000,0)),""),"OK","!! не та группа"))</f>
        <v/>
      </c>
      <c r="L847" s="10">
        <f>IFERROR(INDEX(Работы!$H$2:$H$6000,MATCH($C847,Работы!$A$2:$A$6000,0))*(1-ДисконтТендер),0)</f>
        <v>12000</v>
      </c>
      <c r="M847" s="10">
        <f>IF($I847="",0,IFERROR(INDEX(Материалы!$I$2:$I$9000,MATCH($I847,Материалы!$A$2:$A$9000,0))*IF(INDEX(Материалы!$J$2:$J$9000,MATCH($I847,Материалы!$A$2:$A$9000,0))="USD",КурсUSD,IF(INDEX(Материалы!$J$2:$J$9000,MATCH($I847,Материалы!$A$2:$A$9000,0))="EUR",КурсEUR,1))*INDEX(Материалы!$K$2:$K$9000,MATCH($I847,Материалы!$A$2:$A$9000,0))*(1+IFERROR(INDEX(Работы!$I$2:$I$6000,MATCH($C847,Работы!$A$2:$A$6000,0))/100,0))*(1-ДисконтТендер),0))</f>
        <v>0</v>
      </c>
      <c r="N847" s="10">
        <f t="shared" si="39"/>
        <v>0</v>
      </c>
      <c r="O847" s="10">
        <f t="shared" si="40"/>
        <v>0</v>
      </c>
      <c r="P847" s="10">
        <f t="shared" si="41"/>
        <v>0</v>
      </c>
      <c r="Q847" t="str">
        <f>IFERROR(INDEX(Работы!$J$2:$J$6000,MATCH($C847,Работы!$A$2:$A$6000,0)),"")</f>
        <v>типовая</v>
      </c>
      <c r="R847" t="s">
        <v>92</v>
      </c>
      <c r="T847" t="str">
        <f>IF(AND($P847&gt;0,$R847="да"),MAX($T$1:$T846)+1,"")</f>
        <v/>
      </c>
    </row>
    <row r="848" spans="1:20" x14ac:dyDescent="0.3">
      <c r="A848" t="str">
        <f>IFERROR(INDEX(Работы!$D$2:$D$6000,MATCH($C848,Работы!$A$2:$A$6000,0)),"")</f>
        <v>Р9</v>
      </c>
      <c r="B848" t="str">
        <f>IFERROR(INDEX(Работы!$F$2:$F$6000,MATCH($C848,Работы!$A$2:$A$6000,0)),"")</f>
        <v>3</v>
      </c>
      <c r="C848" t="str">
        <f>IFERROR(INDEX(Работы!$A$2:$A$6000,847),"")</f>
        <v>РАБ.Р9.3.002</v>
      </c>
      <c r="D848" s="8" t="str">
        <f>IFERROR(INDEX(Работы!$B$2:$B$6000,MATCH($C848,Работы!$A$2:$A$6000,0)),"")</f>
        <v>ППУ(микро)</v>
      </c>
      <c r="E848" t="str">
        <f>IFERROR(INDEX(Работы!$C$2:$C$6000,MATCH($C848,Работы!$A$2:$A$6000,0)),"")</f>
        <v>шт.</v>
      </c>
      <c r="F848" t="str">
        <f>IFERROR(INDEX(Работы!$G$2:$G$6000,MATCH($C848,Работы!$A$2:$A$6000,0)),"")</f>
        <v>ЭЩ</v>
      </c>
      <c r="G848" t="str">
        <f>IFERROR(INDEX(Работы!$K$2:$K$6000,MATCH($C848,Работы!$A$2:$A$6000,0)),"")</f>
        <v>Спецификация</v>
      </c>
      <c r="H848" s="9"/>
      <c r="I848" s="9"/>
      <c r="J848" s="8" t="str">
        <f>IFERROR(INDEX(Материалы!$B$2:$B$9000,MATCH($I848,Материалы!$A$2:$A$9000,0)),"")</f>
        <v/>
      </c>
      <c r="K848" t="str">
        <f>IF($I848="","",IF($F848=IFERROR(INDEX(Материалы!$G$2:$G$9000,MATCH($I848,Материалы!$A$2:$A$9000,0)),""),"OK","!! не та группа"))</f>
        <v/>
      </c>
      <c r="L848" s="10">
        <f>IFERROR(INDEX(Работы!$H$2:$H$6000,MATCH($C848,Работы!$A$2:$A$6000,0))*(1-ДисконтТендер),0)</f>
        <v>6878.97</v>
      </c>
      <c r="M848" s="10">
        <f>IF($I848="",0,IFERROR(INDEX(Материалы!$I$2:$I$9000,MATCH($I848,Материалы!$A$2:$A$9000,0))*IF(INDEX(Материалы!$J$2:$J$9000,MATCH($I848,Материалы!$A$2:$A$9000,0))="USD",КурсUSD,IF(INDEX(Материалы!$J$2:$J$9000,MATCH($I848,Материалы!$A$2:$A$9000,0))="EUR",КурсEUR,1))*INDEX(Материалы!$K$2:$K$9000,MATCH($I848,Материалы!$A$2:$A$9000,0))*(1+IFERROR(INDEX(Работы!$I$2:$I$6000,MATCH($C848,Работы!$A$2:$A$6000,0))/100,0))*(1-ДисконтТендер),0))</f>
        <v>0</v>
      </c>
      <c r="N848" s="10">
        <f t="shared" si="39"/>
        <v>0</v>
      </c>
      <c r="O848" s="10">
        <f t="shared" si="40"/>
        <v>0</v>
      </c>
      <c r="P848" s="10">
        <f t="shared" si="41"/>
        <v>0</v>
      </c>
      <c r="Q848" t="str">
        <f>IFERROR(INDEX(Работы!$J$2:$J$6000,MATCH($C848,Работы!$A$2:$A$6000,0)),"")</f>
        <v>типовая</v>
      </c>
      <c r="R848" t="s">
        <v>92</v>
      </c>
      <c r="T848" t="str">
        <f>IF(AND($P848&gt;0,$R848="да"),MAX($T$1:$T847)+1,"")</f>
        <v/>
      </c>
    </row>
    <row r="849" spans="1:20" ht="43.2" x14ac:dyDescent="0.3">
      <c r="A849" t="str">
        <f>IFERROR(INDEX(Работы!$D$2:$D$6000,MATCH($C849,Работы!$A$2:$A$6000,0)),"")</f>
        <v>Р9</v>
      </c>
      <c r="B849" t="str">
        <f>IFERROR(INDEX(Работы!$F$2:$F$6000,MATCH($C849,Работы!$A$2:$A$6000,0)),"")</f>
        <v>4</v>
      </c>
      <c r="C849" t="str">
        <f>IFERROR(INDEX(Работы!$A$2:$A$6000,848),"")</f>
        <v>РАБ.Р9.4.001</v>
      </c>
      <c r="D849" s="8" t="str">
        <f>IFERROR(INDEX(Работы!$B$2:$B$6000,MATCH($C849,Работы!$A$2:$A$6000,0)),"")</f>
        <v>Монтаж Светильника аварийного светодиодного iTECH M2 302 M ST, 2W/1LED, IP65, 115 Lm, 3 часа, постоянного действия, ручное тестирование</v>
      </c>
      <c r="E849" t="str">
        <f>IFERROR(INDEX(Работы!$C$2:$C$6000,MATCH($C849,Работы!$A$2:$A$6000,0)),"")</f>
        <v>шт.</v>
      </c>
      <c r="F849" t="str">
        <f>IFERROR(INDEX(Работы!$G$2:$G$6000,MATCH($C849,Работы!$A$2:$A$6000,0)),"")</f>
        <v>СВЕТ.АВАР</v>
      </c>
      <c r="G849" t="str">
        <f>IFERROR(INDEX(Работы!$K$2:$K$6000,MATCH($C849,Работы!$A$2:$A$6000,0)),"")</f>
        <v>Спецификация</v>
      </c>
      <c r="H849" s="9"/>
      <c r="I849" s="9"/>
      <c r="J849" s="8" t="str">
        <f>IFERROR(INDEX(Материалы!$B$2:$B$9000,MATCH($I849,Материалы!$A$2:$A$9000,0)),"")</f>
        <v/>
      </c>
      <c r="K849" t="str">
        <f>IF($I849="","",IF($F849=IFERROR(INDEX(Материалы!$G$2:$G$9000,MATCH($I849,Материалы!$A$2:$A$9000,0)),""),"OK","!! не та группа"))</f>
        <v/>
      </c>
      <c r="L849" s="10">
        <f>IFERROR(INDEX(Работы!$H$2:$H$6000,MATCH($C849,Работы!$A$2:$A$6000,0))*(1-ДисконтТендер),0)</f>
        <v>1591.19</v>
      </c>
      <c r="M849" s="10">
        <f>IF($I849="",0,IFERROR(INDEX(Материалы!$I$2:$I$9000,MATCH($I849,Материалы!$A$2:$A$9000,0))*IF(INDEX(Материалы!$J$2:$J$9000,MATCH($I849,Материалы!$A$2:$A$9000,0))="USD",КурсUSD,IF(INDEX(Материалы!$J$2:$J$9000,MATCH($I849,Материалы!$A$2:$A$9000,0))="EUR",КурсEUR,1))*INDEX(Материалы!$K$2:$K$9000,MATCH($I849,Материалы!$A$2:$A$9000,0))*(1+IFERROR(INDEX(Работы!$I$2:$I$6000,MATCH($C849,Работы!$A$2:$A$6000,0))/100,0))*(1-ДисконтТендер),0))</f>
        <v>0</v>
      </c>
      <c r="N849" s="10">
        <f t="shared" si="39"/>
        <v>0</v>
      </c>
      <c r="O849" s="10">
        <f t="shared" si="40"/>
        <v>0</v>
      </c>
      <c r="P849" s="10">
        <f t="shared" si="41"/>
        <v>0</v>
      </c>
      <c r="Q849" t="str">
        <f>IFERROR(INDEX(Работы!$J$2:$J$6000,MATCH($C849,Работы!$A$2:$A$6000,0)),"")</f>
        <v>типовая</v>
      </c>
      <c r="R849" t="s">
        <v>92</v>
      </c>
      <c r="T849" t="str">
        <f>IF(AND($P849&gt;0,$R849="да"),MAX($T$1:$T848)+1,"")</f>
        <v/>
      </c>
    </row>
    <row r="850" spans="1:20" x14ac:dyDescent="0.3">
      <c r="A850" t="str">
        <f>IFERROR(INDEX(Работы!$D$2:$D$6000,MATCH($C850,Работы!$A$2:$A$6000,0)),"")</f>
        <v>Р9</v>
      </c>
      <c r="B850" t="str">
        <f>IFERROR(INDEX(Работы!$F$2:$F$6000,MATCH($C850,Работы!$A$2:$A$6000,0)),"")</f>
        <v>4</v>
      </c>
      <c r="C850" t="str">
        <f>IFERROR(INDEX(Работы!$A$2:$A$6000,849),"")</f>
        <v>РАБ.Р9.4.002</v>
      </c>
      <c r="D850" s="8" t="str">
        <f>IFERROR(INDEX(Работы!$B$2:$B$6000,MATCH($C850,Работы!$A$2:$A$6000,0)),"")</f>
        <v>Гофрированная ПВХ труба ∅ 20</v>
      </c>
      <c r="E850" t="str">
        <f>IFERROR(INDEX(Работы!$C$2:$C$6000,MATCH($C850,Работы!$A$2:$A$6000,0)),"")</f>
        <v>м.п.</v>
      </c>
      <c r="F850" t="str">
        <f>IFERROR(INDEX(Работы!$G$2:$G$6000,MATCH($C850,Работы!$A$2:$A$6000,0)),"")</f>
        <v>ТРУБА.ЭЛ</v>
      </c>
      <c r="G850" t="str">
        <f>IFERROR(INDEX(Работы!$K$2:$K$6000,MATCH($C850,Работы!$A$2:$A$6000,0)),"")</f>
        <v>Погонаж</v>
      </c>
      <c r="H850" s="9"/>
      <c r="I850" s="9"/>
      <c r="J850" s="8" t="str">
        <f>IFERROR(INDEX(Материалы!$B$2:$B$9000,MATCH($I850,Материалы!$A$2:$A$9000,0)),"")</f>
        <v/>
      </c>
      <c r="K850" t="str">
        <f>IF($I850="","",IF($F850=IFERROR(INDEX(Материалы!$G$2:$G$9000,MATCH($I850,Материалы!$A$2:$A$9000,0)),""),"OK","!! не та группа"))</f>
        <v/>
      </c>
      <c r="L850" s="10">
        <f>IFERROR(INDEX(Работы!$H$2:$H$6000,MATCH($C850,Работы!$A$2:$A$6000,0))*(1-ДисконтТендер),0)</f>
        <v>75.8</v>
      </c>
      <c r="M850" s="10">
        <f>IF($I850="",0,IFERROR(INDEX(Материалы!$I$2:$I$9000,MATCH($I850,Материалы!$A$2:$A$9000,0))*IF(INDEX(Материалы!$J$2:$J$9000,MATCH($I850,Материалы!$A$2:$A$9000,0))="USD",КурсUSD,IF(INDEX(Материалы!$J$2:$J$9000,MATCH($I850,Материалы!$A$2:$A$9000,0))="EUR",КурсEUR,1))*INDEX(Материалы!$K$2:$K$9000,MATCH($I850,Материалы!$A$2:$A$9000,0))*(1+IFERROR(INDEX(Работы!$I$2:$I$6000,MATCH($C850,Работы!$A$2:$A$6000,0))/100,0))*(1-ДисконтТендер),0))</f>
        <v>0</v>
      </c>
      <c r="N850" s="10">
        <f t="shared" si="39"/>
        <v>0</v>
      </c>
      <c r="O850" s="10">
        <f t="shared" si="40"/>
        <v>0</v>
      </c>
      <c r="P850" s="10">
        <f t="shared" si="41"/>
        <v>0</v>
      </c>
      <c r="Q850" t="str">
        <f>IFERROR(INDEX(Работы!$J$2:$J$6000,MATCH($C850,Работы!$A$2:$A$6000,0)),"")</f>
        <v>типовая</v>
      </c>
      <c r="R850" t="s">
        <v>92</v>
      </c>
      <c r="T850" t="str">
        <f>IF(AND($P850&gt;0,$R850="да"),MAX($T$1:$T849)+1,"")</f>
        <v/>
      </c>
    </row>
    <row r="851" spans="1:20" ht="43.2" x14ac:dyDescent="0.3">
      <c r="A851" t="str">
        <f>IFERROR(INDEX(Работы!$D$2:$D$6000,MATCH($C851,Работы!$A$2:$A$6000,0)),"")</f>
        <v>Р9</v>
      </c>
      <c r="B851" t="str">
        <f>IFERROR(INDEX(Работы!$F$2:$F$6000,MATCH($C851,Работы!$A$2:$A$6000,0)),"")</f>
        <v>4</v>
      </c>
      <c r="C851" t="str">
        <f>IFERROR(INDEX(Работы!$A$2:$A$6000,850),"")</f>
        <v>РАБ.Р9.4.003</v>
      </c>
      <c r="D851" s="8" t="str">
        <f>IFERROR(INDEX(Работы!$B$2:$B$6000,MATCH($C851,Работы!$A$2:$A$6000,0)),"")</f>
        <v>Труба гладкая жесткая ПВХ 20 мм легкая серая (3м) в комплекте с углами, крепежами,переходниками и расходными материалами</v>
      </c>
      <c r="E851" t="str">
        <f>IFERROR(INDEX(Работы!$C$2:$C$6000,MATCH($C851,Работы!$A$2:$A$6000,0)),"")</f>
        <v>м.п.</v>
      </c>
      <c r="F851" t="str">
        <f>IFERROR(INDEX(Работы!$G$2:$G$6000,MATCH($C851,Работы!$A$2:$A$6000,0)),"")</f>
        <v>ТРУБА.ЭЛ</v>
      </c>
      <c r="G851" t="str">
        <f>IFERROR(INDEX(Работы!$K$2:$K$6000,MATCH($C851,Работы!$A$2:$A$6000,0)),"")</f>
        <v>Погонаж</v>
      </c>
      <c r="H851" s="9"/>
      <c r="I851" s="9"/>
      <c r="J851" s="8" t="str">
        <f>IFERROR(INDEX(Материалы!$B$2:$B$9000,MATCH($I851,Материалы!$A$2:$A$9000,0)),"")</f>
        <v/>
      </c>
      <c r="K851" t="str">
        <f>IF($I851="","",IF($F851=IFERROR(INDEX(Материалы!$G$2:$G$9000,MATCH($I851,Материалы!$A$2:$A$9000,0)),""),"OK","!! не та группа"))</f>
        <v/>
      </c>
      <c r="L851" s="10">
        <f>IFERROR(INDEX(Работы!$H$2:$H$6000,MATCH($C851,Работы!$A$2:$A$6000,0))*(1-ДисконтТендер),0)</f>
        <v>113.3</v>
      </c>
      <c r="M851" s="10">
        <f>IF($I851="",0,IFERROR(INDEX(Материалы!$I$2:$I$9000,MATCH($I851,Материалы!$A$2:$A$9000,0))*IF(INDEX(Материалы!$J$2:$J$9000,MATCH($I851,Материалы!$A$2:$A$9000,0))="USD",КурсUSD,IF(INDEX(Материалы!$J$2:$J$9000,MATCH($I851,Материалы!$A$2:$A$9000,0))="EUR",КурсEUR,1))*INDEX(Материалы!$K$2:$K$9000,MATCH($I851,Материалы!$A$2:$A$9000,0))*(1+IFERROR(INDEX(Работы!$I$2:$I$6000,MATCH($C851,Работы!$A$2:$A$6000,0))/100,0))*(1-ДисконтТендер),0))</f>
        <v>0</v>
      </c>
      <c r="N851" s="10">
        <f t="shared" si="39"/>
        <v>0</v>
      </c>
      <c r="O851" s="10">
        <f t="shared" si="40"/>
        <v>0</v>
      </c>
      <c r="P851" s="10">
        <f t="shared" si="41"/>
        <v>0</v>
      </c>
      <c r="Q851" t="str">
        <f>IFERROR(INDEX(Работы!$J$2:$J$6000,MATCH($C851,Работы!$A$2:$A$6000,0)),"")</f>
        <v>типовая</v>
      </c>
      <c r="R851" t="s">
        <v>92</v>
      </c>
      <c r="T851" t="str">
        <f>IF(AND($P851&gt;0,$R851="да"),MAX($T$1:$T850)+1,"")</f>
        <v/>
      </c>
    </row>
    <row r="852" spans="1:20" ht="28.8" x14ac:dyDescent="0.3">
      <c r="A852" t="str">
        <f>IFERROR(INDEX(Работы!$D$2:$D$6000,MATCH($C852,Работы!$A$2:$A$6000,0)),"")</f>
        <v>Р9</v>
      </c>
      <c r="B852" t="str">
        <f>IFERROR(INDEX(Работы!$F$2:$F$6000,MATCH($C852,Работы!$A$2:$A$6000,0)),"")</f>
        <v>4</v>
      </c>
      <c r="C852" t="str">
        <f>IFERROR(INDEX(Работы!$A$2:$A$6000,851),"")</f>
        <v>РАБ.Р9.4.004</v>
      </c>
      <c r="D852" s="8" t="str">
        <f>IFERROR(INDEX(Работы!$B$2:$B$6000,MATCH($C852,Работы!$A$2:$A$6000,0)),"")</f>
        <v>Кабель-канал DLP 105х50 мм Legrand, включая заглушки, уголки и разделители.</v>
      </c>
      <c r="E852" t="str">
        <f>IFERROR(INDEX(Работы!$C$2:$C$6000,MATCH($C852,Работы!$A$2:$A$6000,0)),"")</f>
        <v>м.п.</v>
      </c>
      <c r="F852" t="str">
        <f>IFERROR(INDEX(Работы!$G$2:$G$6000,MATCH($C852,Работы!$A$2:$A$6000,0)),"")</f>
        <v>КОРОБ.ЭЛ</v>
      </c>
      <c r="G852" t="str">
        <f>IFERROR(INDEX(Работы!$K$2:$K$6000,MATCH($C852,Работы!$A$2:$A$6000,0)),"")</f>
        <v>Погонаж</v>
      </c>
      <c r="H852" s="9"/>
      <c r="I852" s="9"/>
      <c r="J852" s="8" t="str">
        <f>IFERROR(INDEX(Материалы!$B$2:$B$9000,MATCH($I852,Материалы!$A$2:$A$9000,0)),"")</f>
        <v/>
      </c>
      <c r="K852" t="str">
        <f>IF($I852="","",IF($F852=IFERROR(INDEX(Материалы!$G$2:$G$9000,MATCH($I852,Материалы!$A$2:$A$9000,0)),""),"OK","!! не та группа"))</f>
        <v/>
      </c>
      <c r="L852" s="10">
        <f>IFERROR(INDEX(Работы!$H$2:$H$6000,MATCH($C852,Работы!$A$2:$A$6000,0))*(1-ДисконтТендер),0)</f>
        <v>469.8</v>
      </c>
      <c r="M852" s="10">
        <f>IF($I852="",0,IFERROR(INDEX(Материалы!$I$2:$I$9000,MATCH($I852,Материалы!$A$2:$A$9000,0))*IF(INDEX(Материалы!$J$2:$J$9000,MATCH($I852,Материалы!$A$2:$A$9000,0))="USD",КурсUSD,IF(INDEX(Материалы!$J$2:$J$9000,MATCH($I852,Материалы!$A$2:$A$9000,0))="EUR",КурсEUR,1))*INDEX(Материалы!$K$2:$K$9000,MATCH($I852,Материалы!$A$2:$A$9000,0))*(1+IFERROR(INDEX(Работы!$I$2:$I$6000,MATCH($C852,Работы!$A$2:$A$6000,0))/100,0))*(1-ДисконтТендер),0))</f>
        <v>0</v>
      </c>
      <c r="N852" s="10">
        <f t="shared" si="39"/>
        <v>0</v>
      </c>
      <c r="O852" s="10">
        <f t="shared" si="40"/>
        <v>0</v>
      </c>
      <c r="P852" s="10">
        <f t="shared" si="41"/>
        <v>0</v>
      </c>
      <c r="Q852" t="str">
        <f>IFERROR(INDEX(Работы!$J$2:$J$6000,MATCH($C852,Работы!$A$2:$A$6000,0)),"")</f>
        <v>типовая</v>
      </c>
      <c r="R852" t="s">
        <v>92</v>
      </c>
      <c r="T852" t="str">
        <f>IF(AND($P852&gt;0,$R852="да"),MAX($T$1:$T851)+1,"")</f>
        <v/>
      </c>
    </row>
    <row r="853" spans="1:20" ht="28.8" x14ac:dyDescent="0.3">
      <c r="A853" t="str">
        <f>IFERROR(INDEX(Работы!$D$2:$D$6000,MATCH($C853,Работы!$A$2:$A$6000,0)),"")</f>
        <v>Р9</v>
      </c>
      <c r="B853" t="str">
        <f>IFERROR(INDEX(Работы!$F$2:$F$6000,MATCH($C853,Работы!$A$2:$A$6000,0)),"")</f>
        <v>4</v>
      </c>
      <c r="C853" t="str">
        <f>IFERROR(INDEX(Работы!$A$2:$A$6000,852),"")</f>
        <v>РАБ.Р9.4.005</v>
      </c>
      <c r="D853" s="8" t="str">
        <f>IFERROR(INDEX(Работы!$B$2:$B$6000,MATCH($C853,Работы!$A$2:$A$6000,0)),"")</f>
        <v>Зажим 773-302 безвинтовой 6х (0,75-2,5) кв. мм для меди и алюминия (Wago)</v>
      </c>
      <c r="E853" t="str">
        <f>IFERROR(INDEX(Работы!$C$2:$C$6000,MATCH($C853,Работы!$A$2:$A$6000,0)),"")</f>
        <v>шт.</v>
      </c>
      <c r="F853">
        <f>IFERROR(INDEX(Работы!$G$2:$G$6000,MATCH($C853,Работы!$A$2:$A$6000,0)),"")</f>
        <v>0</v>
      </c>
      <c r="G853" t="str">
        <f>IFERROR(INDEX(Работы!$K$2:$K$6000,MATCH($C853,Работы!$A$2:$A$6000,0)),"")</f>
        <v>Спецификация</v>
      </c>
      <c r="H853" s="9"/>
      <c r="I853" s="9"/>
      <c r="J853" s="8" t="str">
        <f>IFERROR(INDEX(Материалы!$B$2:$B$9000,MATCH($I853,Материалы!$A$2:$A$9000,0)),"")</f>
        <v/>
      </c>
      <c r="K853" t="str">
        <f>IF($I853="","",IF($F853=IFERROR(INDEX(Материалы!$G$2:$G$9000,MATCH($I853,Материалы!$A$2:$A$9000,0)),""),"OK","!! не та группа"))</f>
        <v/>
      </c>
      <c r="L853" s="10">
        <f>IFERROR(INDEX(Работы!$H$2:$H$6000,MATCH($C853,Работы!$A$2:$A$6000,0))*(1-ДисконтТендер),0)</f>
        <v>10.45</v>
      </c>
      <c r="M853" s="10">
        <f>IF($I853="",0,IFERROR(INDEX(Материалы!$I$2:$I$9000,MATCH($I853,Материалы!$A$2:$A$9000,0))*IF(INDEX(Материалы!$J$2:$J$9000,MATCH($I853,Материалы!$A$2:$A$9000,0))="USD",КурсUSD,IF(INDEX(Материалы!$J$2:$J$9000,MATCH($I853,Материалы!$A$2:$A$9000,0))="EUR",КурсEUR,1))*INDEX(Материалы!$K$2:$K$9000,MATCH($I853,Материалы!$A$2:$A$9000,0))*(1+IFERROR(INDEX(Работы!$I$2:$I$6000,MATCH($C853,Работы!$A$2:$A$6000,0))/100,0))*(1-ДисконтТендер),0))</f>
        <v>0</v>
      </c>
      <c r="N853" s="10">
        <f t="shared" si="39"/>
        <v>0</v>
      </c>
      <c r="O853" s="10">
        <f t="shared" si="40"/>
        <v>0</v>
      </c>
      <c r="P853" s="10">
        <f t="shared" si="41"/>
        <v>0</v>
      </c>
      <c r="Q853" t="str">
        <f>IFERROR(INDEX(Работы!$J$2:$J$6000,MATCH($C853,Работы!$A$2:$A$6000,0)),"")</f>
        <v>типовая</v>
      </c>
      <c r="R853" t="s">
        <v>92</v>
      </c>
      <c r="T853" t="str">
        <f>IF(AND($P853&gt;0,$R853="да"),MAX($T$1:$T852)+1,"")</f>
        <v/>
      </c>
    </row>
    <row r="854" spans="1:20" ht="43.2" x14ac:dyDescent="0.3">
      <c r="A854" t="str">
        <f>IFERROR(INDEX(Работы!$D$2:$D$6000,MATCH($C854,Работы!$A$2:$A$6000,0)),"")</f>
        <v>Р9</v>
      </c>
      <c r="B854" t="str">
        <f>IFERROR(INDEX(Работы!$F$2:$F$6000,MATCH($C854,Работы!$A$2:$A$6000,0)),"")</f>
        <v>4</v>
      </c>
      <c r="C854" t="str">
        <f>IFERROR(INDEX(Работы!$A$2:$A$6000,853),"")</f>
        <v>РАБ.Р9.4.006</v>
      </c>
      <c r="D854" s="8" t="str">
        <f>IFERROR(INDEX(Работы!$B$2:$B$6000,MATCH($C854,Работы!$A$2:$A$6000,0)),"")</f>
        <v>Провод ПВ1 1х6 (красный/голубой/желтый/зеленый/желто-зеленый)</v>
      </c>
      <c r="E854" t="str">
        <f>IFERROR(INDEX(Работы!$C$2:$C$6000,MATCH($C854,Работы!$A$2:$A$6000,0)),"")</f>
        <v>м.п.</v>
      </c>
      <c r="F854" t="str">
        <f>IFERROR(INDEX(Работы!$G$2:$G$6000,MATCH($C854,Работы!$A$2:$A$6000,0)),"")</f>
        <v>КАБЕЛЬ</v>
      </c>
      <c r="G854" t="str">
        <f>IFERROR(INDEX(Работы!$K$2:$K$6000,MATCH($C854,Работы!$A$2:$A$6000,0)),"")</f>
        <v>Погонаж</v>
      </c>
      <c r="H854" s="9"/>
      <c r="I854" s="9"/>
      <c r="J854" s="8" t="str">
        <f>IFERROR(INDEX(Материалы!$B$2:$B$9000,MATCH($I854,Материалы!$A$2:$A$9000,0)),"")</f>
        <v/>
      </c>
      <c r="K854" t="str">
        <f>IF($I854="","",IF($F854=IFERROR(INDEX(Материалы!$G$2:$G$9000,MATCH($I854,Материалы!$A$2:$A$9000,0)),""),"OK","!! не та группа"))</f>
        <v/>
      </c>
      <c r="L854" s="10">
        <f>IFERROR(INDEX(Работы!$H$2:$H$6000,MATCH($C854,Работы!$A$2:$A$6000,0))*(1-ДисконтТендер),0)</f>
        <v>126.67</v>
      </c>
      <c r="M854" s="10">
        <f>IF($I854="",0,IFERROR(INDEX(Материалы!$I$2:$I$9000,MATCH($I854,Материалы!$A$2:$A$9000,0))*IF(INDEX(Материалы!$J$2:$J$9000,MATCH($I854,Материалы!$A$2:$A$9000,0))="USD",КурсUSD,IF(INDEX(Материалы!$J$2:$J$9000,MATCH($I854,Материалы!$A$2:$A$9000,0))="EUR",КурсEUR,1))*INDEX(Материалы!$K$2:$K$9000,MATCH($I854,Материалы!$A$2:$A$9000,0))*(1+IFERROR(INDEX(Работы!$I$2:$I$6000,MATCH($C854,Работы!$A$2:$A$6000,0))/100,0))*(1-ДисконтТендер),0))</f>
        <v>0</v>
      </c>
      <c r="N854" s="10">
        <f t="shared" si="39"/>
        <v>0</v>
      </c>
      <c r="O854" s="10">
        <f t="shared" si="40"/>
        <v>0</v>
      </c>
      <c r="P854" s="10">
        <f t="shared" si="41"/>
        <v>0</v>
      </c>
      <c r="Q854" t="str">
        <f>IFERROR(INDEX(Работы!$J$2:$J$6000,MATCH($C854,Работы!$A$2:$A$6000,0)),"")</f>
        <v>типовая</v>
      </c>
      <c r="R854" t="s">
        <v>92</v>
      </c>
      <c r="T854" t="str">
        <f>IF(AND($P854&gt;0,$R854="да"),MAX($T$1:$T853)+1,"")</f>
        <v/>
      </c>
    </row>
    <row r="855" spans="1:20" ht="43.2" x14ac:dyDescent="0.3">
      <c r="A855" t="str">
        <f>IFERROR(INDEX(Работы!$D$2:$D$6000,MATCH($C855,Работы!$A$2:$A$6000,0)),"")</f>
        <v>Р9</v>
      </c>
      <c r="B855" t="str">
        <f>IFERROR(INDEX(Работы!$F$2:$F$6000,MATCH($C855,Работы!$A$2:$A$6000,0)),"")</f>
        <v>4</v>
      </c>
      <c r="C855" t="str">
        <f>IFERROR(INDEX(Работы!$A$2:$A$6000,854),"")</f>
        <v>РАБ.Р9.4.007</v>
      </c>
      <c r="D855" s="8" t="str">
        <f>IFERROR(INDEX(Работы!$B$2:$B$6000,MATCH($C855,Работы!$A$2:$A$6000,0)),"")</f>
        <v>Провод ПВ1 1х4 (красный/голубой/желтый/зеленый/желто-зеленый)</v>
      </c>
      <c r="E855" t="str">
        <f>IFERROR(INDEX(Работы!$C$2:$C$6000,MATCH($C855,Работы!$A$2:$A$6000,0)),"")</f>
        <v>м.п.</v>
      </c>
      <c r="F855" t="str">
        <f>IFERROR(INDEX(Работы!$G$2:$G$6000,MATCH($C855,Работы!$A$2:$A$6000,0)),"")</f>
        <v>КАБЕЛЬ</v>
      </c>
      <c r="G855" t="str">
        <f>IFERROR(INDEX(Работы!$K$2:$K$6000,MATCH($C855,Работы!$A$2:$A$6000,0)),"")</f>
        <v>Погонаж</v>
      </c>
      <c r="H855" s="9"/>
      <c r="I855" s="9"/>
      <c r="J855" s="8" t="str">
        <f>IFERROR(INDEX(Материалы!$B$2:$B$9000,MATCH($I855,Материалы!$A$2:$A$9000,0)),"")</f>
        <v/>
      </c>
      <c r="K855" t="str">
        <f>IF($I855="","",IF($F855=IFERROR(INDEX(Материалы!$G$2:$G$9000,MATCH($I855,Материалы!$A$2:$A$9000,0)),""),"OK","!! не та группа"))</f>
        <v/>
      </c>
      <c r="L855" s="10">
        <f>IFERROR(INDEX(Работы!$H$2:$H$6000,MATCH($C855,Работы!$A$2:$A$6000,0))*(1-ДисконтТендер),0)</f>
        <v>87.7</v>
      </c>
      <c r="M855" s="10">
        <f>IF($I855="",0,IFERROR(INDEX(Материалы!$I$2:$I$9000,MATCH($I855,Материалы!$A$2:$A$9000,0))*IF(INDEX(Материалы!$J$2:$J$9000,MATCH($I855,Материалы!$A$2:$A$9000,0))="USD",КурсUSD,IF(INDEX(Материалы!$J$2:$J$9000,MATCH($I855,Материалы!$A$2:$A$9000,0))="EUR",КурсEUR,1))*INDEX(Материалы!$K$2:$K$9000,MATCH($I855,Материалы!$A$2:$A$9000,0))*(1+IFERROR(INDEX(Работы!$I$2:$I$6000,MATCH($C855,Работы!$A$2:$A$6000,0))/100,0))*(1-ДисконтТендер),0))</f>
        <v>0</v>
      </c>
      <c r="N855" s="10">
        <f t="shared" si="39"/>
        <v>0</v>
      </c>
      <c r="O855" s="10">
        <f t="shared" si="40"/>
        <v>0</v>
      </c>
      <c r="P855" s="10">
        <f t="shared" si="41"/>
        <v>0</v>
      </c>
      <c r="Q855" t="str">
        <f>IFERROR(INDEX(Работы!$J$2:$J$6000,MATCH($C855,Работы!$A$2:$A$6000,0)),"")</f>
        <v>типовая</v>
      </c>
      <c r="R855" t="s">
        <v>92</v>
      </c>
      <c r="T855" t="str">
        <f>IF(AND($P855&gt;0,$R855="да"),MAX($T$1:$T854)+1,"")</f>
        <v/>
      </c>
    </row>
    <row r="856" spans="1:20" x14ac:dyDescent="0.3">
      <c r="A856" t="str">
        <f>IFERROR(INDEX(Работы!$D$2:$D$6000,MATCH($C856,Работы!$A$2:$A$6000,0)),"")</f>
        <v>Р9</v>
      </c>
      <c r="B856" t="str">
        <f>IFERROR(INDEX(Работы!$F$2:$F$6000,MATCH($C856,Работы!$A$2:$A$6000,0)),"")</f>
        <v>4</v>
      </c>
      <c r="C856" t="str">
        <f>IFERROR(INDEX(Работы!$A$2:$A$6000,855),"")</f>
        <v>РАБ.Р9.4.008</v>
      </c>
      <c r="D856" s="8" t="str">
        <f>IFERROR(INDEX(Работы!$B$2:$B$6000,MATCH($C856,Работы!$A$2:$A$6000,0)),"")</f>
        <v>Установка розетки</v>
      </c>
      <c r="E856" t="str">
        <f>IFERROR(INDEX(Работы!$C$2:$C$6000,MATCH($C856,Работы!$A$2:$A$6000,0)),"")</f>
        <v>шт.</v>
      </c>
      <c r="F856" t="str">
        <f>IFERROR(INDEX(Работы!$G$2:$G$6000,MATCH($C856,Работы!$A$2:$A$6000,0)),"")</f>
        <v>ЭУИ.РОЗ</v>
      </c>
      <c r="G856" t="str">
        <f>IFERROR(INDEX(Работы!$K$2:$K$6000,MATCH($C856,Работы!$A$2:$A$6000,0)),"")</f>
        <v>Спецификация</v>
      </c>
      <c r="H856" s="9"/>
      <c r="I856" s="9"/>
      <c r="J856" s="8" t="str">
        <f>IFERROR(INDEX(Материалы!$B$2:$B$9000,MATCH($I856,Материалы!$A$2:$A$9000,0)),"")</f>
        <v/>
      </c>
      <c r="K856" t="str">
        <f>IF($I856="","",IF($F856=IFERROR(INDEX(Материалы!$G$2:$G$9000,MATCH($I856,Материалы!$A$2:$A$9000,0)),""),"OK","!! не та группа"))</f>
        <v/>
      </c>
      <c r="L856" s="10">
        <f>IFERROR(INDEX(Работы!$H$2:$H$6000,MATCH($C856,Работы!$A$2:$A$6000,0))*(1-ДисконтТендер),0)</f>
        <v>679.25</v>
      </c>
      <c r="M856" s="10">
        <f>IF($I856="",0,IFERROR(INDEX(Материалы!$I$2:$I$9000,MATCH($I856,Материалы!$A$2:$A$9000,0))*IF(INDEX(Материалы!$J$2:$J$9000,MATCH($I856,Материалы!$A$2:$A$9000,0))="USD",КурсUSD,IF(INDEX(Материалы!$J$2:$J$9000,MATCH($I856,Материалы!$A$2:$A$9000,0))="EUR",КурсEUR,1))*INDEX(Материалы!$K$2:$K$9000,MATCH($I856,Материалы!$A$2:$A$9000,0))*(1+IFERROR(INDEX(Работы!$I$2:$I$6000,MATCH($C856,Работы!$A$2:$A$6000,0))/100,0))*(1-ДисконтТендер),0))</f>
        <v>0</v>
      </c>
      <c r="N856" s="10">
        <f t="shared" si="39"/>
        <v>0</v>
      </c>
      <c r="O856" s="10">
        <f t="shared" si="40"/>
        <v>0</v>
      </c>
      <c r="P856" s="10">
        <f t="shared" si="41"/>
        <v>0</v>
      </c>
      <c r="Q856" t="str">
        <f>IFERROR(INDEX(Работы!$J$2:$J$6000,MATCH($C856,Работы!$A$2:$A$6000,0)),"")</f>
        <v>типовая</v>
      </c>
      <c r="R856" t="s">
        <v>92</v>
      </c>
      <c r="T856" t="str">
        <f>IF(AND($P856&gt;0,$R856="да"),MAX($T$1:$T855)+1,"")</f>
        <v/>
      </c>
    </row>
    <row r="857" spans="1:20" ht="28.8" x14ac:dyDescent="0.3">
      <c r="A857" t="str">
        <f>IFERROR(INDEX(Работы!$D$2:$D$6000,MATCH($C857,Работы!$A$2:$A$6000,0)),"")</f>
        <v>Р9</v>
      </c>
      <c r="B857" t="str">
        <f>IFERROR(INDEX(Работы!$F$2:$F$6000,MATCH($C857,Работы!$A$2:$A$6000,0)),"")</f>
        <v>4</v>
      </c>
      <c r="C857" t="str">
        <f>IFERROR(INDEX(Работы!$A$2:$A$6000,856),"")</f>
        <v>РАБ.Р9.4.009</v>
      </c>
      <c r="D857" s="8" t="str">
        <f>IFERROR(INDEX(Работы!$B$2:$B$6000,MATCH($C857,Работы!$A$2:$A$6000,0)),"")</f>
        <v>Установка выключателя с ключом двухпозиционного</v>
      </c>
      <c r="E857" t="str">
        <f>IFERROR(INDEX(Работы!$C$2:$C$6000,MATCH($C857,Работы!$A$2:$A$6000,0)),"")</f>
        <v>шт.</v>
      </c>
      <c r="F857" t="str">
        <f>IFERROR(INDEX(Работы!$G$2:$G$6000,MATCH($C857,Работы!$A$2:$A$6000,0)),"")</f>
        <v>ЭУИ.ВЫКЛ</v>
      </c>
      <c r="G857" t="str">
        <f>IFERROR(INDEX(Работы!$K$2:$K$6000,MATCH($C857,Работы!$A$2:$A$6000,0)),"")</f>
        <v>Спецификация</v>
      </c>
      <c r="H857" s="9"/>
      <c r="I857" s="9"/>
      <c r="J857" s="8" t="str">
        <f>IFERROR(INDEX(Материалы!$B$2:$B$9000,MATCH($I857,Материалы!$A$2:$A$9000,0)),"")</f>
        <v/>
      </c>
      <c r="K857" t="str">
        <f>IF($I857="","",IF($F857=IFERROR(INDEX(Материалы!$G$2:$G$9000,MATCH($I857,Материалы!$A$2:$A$9000,0)),""),"OK","!! не та группа"))</f>
        <v/>
      </c>
      <c r="L857" s="10">
        <f>IFERROR(INDEX(Работы!$H$2:$H$6000,MATCH($C857,Работы!$A$2:$A$6000,0))*(1-ДисконтТендер),0)</f>
        <v>698.42</v>
      </c>
      <c r="M857" s="10">
        <f>IF($I857="",0,IFERROR(INDEX(Материалы!$I$2:$I$9000,MATCH($I857,Материалы!$A$2:$A$9000,0))*IF(INDEX(Материалы!$J$2:$J$9000,MATCH($I857,Материалы!$A$2:$A$9000,0))="USD",КурсUSD,IF(INDEX(Материалы!$J$2:$J$9000,MATCH($I857,Материалы!$A$2:$A$9000,0))="EUR",КурсEUR,1))*INDEX(Материалы!$K$2:$K$9000,MATCH($I857,Материалы!$A$2:$A$9000,0))*(1+IFERROR(INDEX(Работы!$I$2:$I$6000,MATCH($C857,Работы!$A$2:$A$6000,0))/100,0))*(1-ДисконтТендер),0))</f>
        <v>0</v>
      </c>
      <c r="N857" s="10">
        <f t="shared" si="39"/>
        <v>0</v>
      </c>
      <c r="O857" s="10">
        <f t="shared" si="40"/>
        <v>0</v>
      </c>
      <c r="P857" s="10">
        <f t="shared" si="41"/>
        <v>0</v>
      </c>
      <c r="Q857" t="str">
        <f>IFERROR(INDEX(Работы!$J$2:$J$6000,MATCH($C857,Работы!$A$2:$A$6000,0)),"")</f>
        <v>типовая</v>
      </c>
      <c r="R857" t="s">
        <v>92</v>
      </c>
      <c r="T857" t="str">
        <f>IF(AND($P857&gt;0,$R857="да"),MAX($T$1:$T856)+1,"")</f>
        <v/>
      </c>
    </row>
    <row r="858" spans="1:20" x14ac:dyDescent="0.3">
      <c r="A858" t="str">
        <f>IFERROR(INDEX(Работы!$D$2:$D$6000,MATCH($C858,Работы!$A$2:$A$6000,0)),"")</f>
        <v>Р9</v>
      </c>
      <c r="B858" t="str">
        <f>IFERROR(INDEX(Работы!$F$2:$F$6000,MATCH($C858,Работы!$A$2:$A$6000,0)),"")</f>
        <v>4</v>
      </c>
      <c r="C858" t="str">
        <f>IFERROR(INDEX(Работы!$A$2:$A$6000,857),"")</f>
        <v>РАБ.Р9.4.010</v>
      </c>
      <c r="D858" s="8" t="str">
        <f>IFERROR(INDEX(Работы!$B$2:$B$6000,MATCH($C858,Работы!$A$2:$A$6000,0)),"")</f>
        <v>Пуско-наладочные работы</v>
      </c>
      <c r="E858" t="str">
        <f>IFERROR(INDEX(Работы!$C$2:$C$6000,MATCH($C858,Работы!$A$2:$A$6000,0)),"")</f>
        <v>компл.</v>
      </c>
      <c r="F858">
        <f>IFERROR(INDEX(Работы!$G$2:$G$6000,MATCH($C858,Работы!$A$2:$A$6000,0)),"")</f>
        <v>0</v>
      </c>
      <c r="G858" t="str">
        <f>IFERROR(INDEX(Работы!$K$2:$K$6000,MATCH($C858,Работы!$A$2:$A$6000,0)),"")</f>
        <v>Спецификация</v>
      </c>
      <c r="H858" s="9"/>
      <c r="I858" s="9"/>
      <c r="J858" s="8" t="str">
        <f>IFERROR(INDEX(Материалы!$B$2:$B$9000,MATCH($I858,Материалы!$A$2:$A$9000,0)),"")</f>
        <v/>
      </c>
      <c r="K858" t="str">
        <f>IF($I858="","",IF($F858=IFERROR(INDEX(Материалы!$G$2:$G$9000,MATCH($I858,Материалы!$A$2:$A$9000,0)),""),"OK","!! не та группа"))</f>
        <v/>
      </c>
      <c r="L858" s="10">
        <f>IFERROR(INDEX(Работы!$H$2:$H$6000,MATCH($C858,Работы!$A$2:$A$6000,0))*(1-ДисконтТендер),0)</f>
        <v>25099.8</v>
      </c>
      <c r="M858" s="10">
        <f>IF($I858="",0,IFERROR(INDEX(Материалы!$I$2:$I$9000,MATCH($I858,Материалы!$A$2:$A$9000,0))*IF(INDEX(Материалы!$J$2:$J$9000,MATCH($I858,Материалы!$A$2:$A$9000,0))="USD",КурсUSD,IF(INDEX(Материалы!$J$2:$J$9000,MATCH($I858,Материалы!$A$2:$A$9000,0))="EUR",КурсEUR,1))*INDEX(Материалы!$K$2:$K$9000,MATCH($I858,Материалы!$A$2:$A$9000,0))*(1+IFERROR(INDEX(Работы!$I$2:$I$6000,MATCH($C858,Работы!$A$2:$A$6000,0))/100,0))*(1-ДисконтТендер),0))</f>
        <v>0</v>
      </c>
      <c r="N858" s="10">
        <f t="shared" si="39"/>
        <v>0</v>
      </c>
      <c r="O858" s="10">
        <f t="shared" si="40"/>
        <v>0</v>
      </c>
      <c r="P858" s="10">
        <f t="shared" si="41"/>
        <v>0</v>
      </c>
      <c r="Q858" t="str">
        <f>IFERROR(INDEX(Работы!$J$2:$J$6000,MATCH($C858,Работы!$A$2:$A$6000,0)),"")</f>
        <v>типовая</v>
      </c>
      <c r="R858" t="s">
        <v>92</v>
      </c>
      <c r="T858" t="str">
        <f>IF(AND($P858&gt;0,$R858="да"),MAX($T$1:$T857)+1,"")</f>
        <v/>
      </c>
    </row>
    <row r="859" spans="1:20" x14ac:dyDescent="0.3">
      <c r="A859" t="str">
        <f>IFERROR(INDEX(Работы!$D$2:$D$6000,MATCH($C859,Работы!$A$2:$A$6000,0)),"")</f>
        <v>Р9</v>
      </c>
      <c r="B859" t="str">
        <f>IFERROR(INDEX(Работы!$F$2:$F$6000,MATCH($C859,Работы!$A$2:$A$6000,0)),"")</f>
        <v>4</v>
      </c>
      <c r="C859" t="str">
        <f>IFERROR(INDEX(Работы!$A$2:$A$6000,858),"")</f>
        <v>РАБ.Р9.4.011</v>
      </c>
      <c r="D859" s="8" t="str">
        <f>IFERROR(INDEX(Работы!$B$2:$B$6000,MATCH($C859,Работы!$A$2:$A$6000,0)),"")</f>
        <v>Расходные и крепежные материалы</v>
      </c>
      <c r="E859" t="str">
        <f>IFERROR(INDEX(Работы!$C$2:$C$6000,MATCH($C859,Работы!$A$2:$A$6000,0)),"")</f>
        <v>компл.</v>
      </c>
      <c r="F859">
        <f>IFERROR(INDEX(Работы!$G$2:$G$6000,MATCH($C859,Работы!$A$2:$A$6000,0)),"")</f>
        <v>0</v>
      </c>
      <c r="G859" t="str">
        <f>IFERROR(INDEX(Работы!$K$2:$K$6000,MATCH($C859,Работы!$A$2:$A$6000,0)),"")</f>
        <v>Спецификация</v>
      </c>
      <c r="H859" s="9"/>
      <c r="I859" s="9"/>
      <c r="J859" s="8" t="str">
        <f>IFERROR(INDEX(Материалы!$B$2:$B$9000,MATCH($I859,Материалы!$A$2:$A$9000,0)),"")</f>
        <v/>
      </c>
      <c r="K859" t="str">
        <f>IF($I859="","",IF($F859=IFERROR(INDEX(Материалы!$G$2:$G$9000,MATCH($I859,Материалы!$A$2:$A$9000,0)),""),"OK","!! не та группа"))</f>
        <v/>
      </c>
      <c r="L859" s="10">
        <f>IFERROR(INDEX(Работы!$H$2:$H$6000,MATCH($C859,Работы!$A$2:$A$6000,0))*(1-ДисконтТендер),0)</f>
        <v>0</v>
      </c>
      <c r="M859" s="10">
        <f>IF($I859="",0,IFERROR(INDEX(Материалы!$I$2:$I$9000,MATCH($I859,Материалы!$A$2:$A$9000,0))*IF(INDEX(Материалы!$J$2:$J$9000,MATCH($I859,Материалы!$A$2:$A$9000,0))="USD",КурсUSD,IF(INDEX(Материалы!$J$2:$J$9000,MATCH($I859,Материалы!$A$2:$A$9000,0))="EUR",КурсEUR,1))*INDEX(Материалы!$K$2:$K$9000,MATCH($I859,Материалы!$A$2:$A$9000,0))*(1+IFERROR(INDEX(Работы!$I$2:$I$6000,MATCH($C859,Работы!$A$2:$A$6000,0))/100,0))*(1-ДисконтТендер),0))</f>
        <v>0</v>
      </c>
      <c r="N859" s="10">
        <f t="shared" si="39"/>
        <v>0</v>
      </c>
      <c r="O859" s="10">
        <f t="shared" si="40"/>
        <v>0</v>
      </c>
      <c r="P859" s="10">
        <f t="shared" si="41"/>
        <v>0</v>
      </c>
      <c r="Q859" t="str">
        <f>IFERROR(INDEX(Работы!$J$2:$J$6000,MATCH($C859,Работы!$A$2:$A$6000,0)),"")</f>
        <v>типовая</v>
      </c>
      <c r="R859" t="s">
        <v>92</v>
      </c>
      <c r="T859" t="str">
        <f>IF(AND($P859&gt;0,$R859="да"),MAX($T$1:$T858)+1,"")</f>
        <v/>
      </c>
    </row>
    <row r="860" spans="1:20" x14ac:dyDescent="0.3">
      <c r="A860" t="str">
        <f>IFERROR(INDEX(Работы!$D$2:$D$6000,MATCH($C860,Работы!$A$2:$A$6000,0)),"")</f>
        <v>Р9</v>
      </c>
      <c r="B860" t="str">
        <f>IFERROR(INDEX(Работы!$F$2:$F$6000,MATCH($C860,Работы!$A$2:$A$6000,0)),"")</f>
        <v>4</v>
      </c>
      <c r="C860" t="str">
        <f>IFERROR(INDEX(Работы!$A$2:$A$6000,859),"")</f>
        <v>РАБ.Р9.4.012</v>
      </c>
      <c r="D860" s="8" t="str">
        <f>IFERROR(INDEX(Работы!$B$2:$B$6000,MATCH($C860,Работы!$A$2:$A$6000,0)),"")</f>
        <v>Распред коробка legrand</v>
      </c>
      <c r="E860" t="str">
        <f>IFERROR(INDEX(Работы!$C$2:$C$6000,MATCH($C860,Работы!$A$2:$A$6000,0)),"")</f>
        <v>шт.</v>
      </c>
      <c r="F860">
        <f>IFERROR(INDEX(Работы!$G$2:$G$6000,MATCH($C860,Работы!$A$2:$A$6000,0)),"")</f>
        <v>0</v>
      </c>
      <c r="G860" t="str">
        <f>IFERROR(INDEX(Работы!$K$2:$K$6000,MATCH($C860,Работы!$A$2:$A$6000,0)),"")</f>
        <v>Спецификация</v>
      </c>
      <c r="H860" s="9"/>
      <c r="I860" s="9"/>
      <c r="J860" s="8" t="str">
        <f>IFERROR(INDEX(Материалы!$B$2:$B$9000,MATCH($I860,Материалы!$A$2:$A$9000,0)),"")</f>
        <v/>
      </c>
      <c r="K860" t="str">
        <f>IF($I860="","",IF($F860=IFERROR(INDEX(Материалы!$G$2:$G$9000,MATCH($I860,Материалы!$A$2:$A$9000,0)),""),"OK","!! не та группа"))</f>
        <v/>
      </c>
      <c r="L860" s="10">
        <f>IFERROR(INDEX(Работы!$H$2:$H$6000,MATCH($C860,Работы!$A$2:$A$6000,0))*(1-ДисконтТендер),0)</f>
        <v>295.19</v>
      </c>
      <c r="M860" s="10">
        <f>IF($I860="",0,IFERROR(INDEX(Материалы!$I$2:$I$9000,MATCH($I860,Материалы!$A$2:$A$9000,0))*IF(INDEX(Материалы!$J$2:$J$9000,MATCH($I860,Материалы!$A$2:$A$9000,0))="USD",КурсUSD,IF(INDEX(Материалы!$J$2:$J$9000,MATCH($I860,Материалы!$A$2:$A$9000,0))="EUR",КурсEUR,1))*INDEX(Материалы!$K$2:$K$9000,MATCH($I860,Материалы!$A$2:$A$9000,0))*(1+IFERROR(INDEX(Работы!$I$2:$I$6000,MATCH($C860,Работы!$A$2:$A$6000,0))/100,0))*(1-ДисконтТендер),0))</f>
        <v>0</v>
      </c>
      <c r="N860" s="10">
        <f t="shared" si="39"/>
        <v>0</v>
      </c>
      <c r="O860" s="10">
        <f t="shared" si="40"/>
        <v>0</v>
      </c>
      <c r="P860" s="10">
        <f t="shared" si="41"/>
        <v>0</v>
      </c>
      <c r="Q860" t="str">
        <f>IFERROR(INDEX(Работы!$J$2:$J$6000,MATCH($C860,Работы!$A$2:$A$6000,0)),"")</f>
        <v>типовая</v>
      </c>
      <c r="R860" t="s">
        <v>92</v>
      </c>
      <c r="T860" t="str">
        <f>IF(AND($P860&gt;0,$R860="да"),MAX($T$1:$T859)+1,"")</f>
        <v/>
      </c>
    </row>
    <row r="861" spans="1:20" x14ac:dyDescent="0.3">
      <c r="A861" t="str">
        <f>IFERROR(INDEX(Работы!$D$2:$D$6000,MATCH($C861,Работы!$A$2:$A$6000,0)),"")</f>
        <v>Р9</v>
      </c>
      <c r="B861" t="str">
        <f>IFERROR(INDEX(Работы!$F$2:$F$6000,MATCH($C861,Работы!$A$2:$A$6000,0)),"")</f>
        <v>4</v>
      </c>
      <c r="C861" t="str">
        <f>IFERROR(INDEX(Работы!$A$2:$A$6000,860),"")</f>
        <v>РАБ.Р9.4.013</v>
      </c>
      <c r="D861" s="8" t="str">
        <f>IFERROR(INDEX(Работы!$B$2:$B$6000,MATCH($C861,Работы!$A$2:$A$6000,0)),"")</f>
        <v>Прокладка кабеля / провода</v>
      </c>
      <c r="E861" t="str">
        <f>IFERROR(INDEX(Работы!$C$2:$C$6000,MATCH($C861,Работы!$A$2:$A$6000,0)),"")</f>
        <v>м.п.</v>
      </c>
      <c r="F861" t="str">
        <f>IFERROR(INDEX(Работы!$G$2:$G$6000,MATCH($C861,Работы!$A$2:$A$6000,0)),"")</f>
        <v>КАБЕЛЬ</v>
      </c>
      <c r="G861" t="str">
        <f>IFERROR(INDEX(Работы!$K$2:$K$6000,MATCH($C861,Работы!$A$2:$A$6000,0)),"")</f>
        <v>Погонаж</v>
      </c>
      <c r="H861" s="9"/>
      <c r="I861" s="9"/>
      <c r="J861" s="8" t="str">
        <f>IFERROR(INDEX(Материалы!$B$2:$B$9000,MATCH($I861,Материалы!$A$2:$A$9000,0)),"")</f>
        <v/>
      </c>
      <c r="K861" t="str">
        <f>IF($I861="","",IF($F861=IFERROR(INDEX(Материалы!$G$2:$G$9000,MATCH($I861,Материалы!$A$2:$A$9000,0)),""),"OK","!! не та группа"))</f>
        <v/>
      </c>
      <c r="L861" s="10">
        <f>IFERROR(INDEX(Работы!$H$2:$H$6000,MATCH($C861,Работы!$A$2:$A$6000,0))*(1-ДисконтТендер),0)</f>
        <v>124.41</v>
      </c>
      <c r="M861" s="10">
        <f>IF($I861="",0,IFERROR(INDEX(Материалы!$I$2:$I$9000,MATCH($I861,Материалы!$A$2:$A$9000,0))*IF(INDEX(Материалы!$J$2:$J$9000,MATCH($I861,Материалы!$A$2:$A$9000,0))="USD",КурсUSD,IF(INDEX(Материалы!$J$2:$J$9000,MATCH($I861,Материалы!$A$2:$A$9000,0))="EUR",КурсEUR,1))*INDEX(Материалы!$K$2:$K$9000,MATCH($I861,Материалы!$A$2:$A$9000,0))*(1+IFERROR(INDEX(Работы!$I$2:$I$6000,MATCH($C861,Работы!$A$2:$A$6000,0))/100,0))*(1-ДисконтТендер),0))</f>
        <v>0</v>
      </c>
      <c r="N861" s="10">
        <f t="shared" si="39"/>
        <v>0</v>
      </c>
      <c r="O861" s="10">
        <f t="shared" si="40"/>
        <v>0</v>
      </c>
      <c r="P861" s="10">
        <f t="shared" si="41"/>
        <v>0</v>
      </c>
      <c r="Q861" t="str">
        <f>IFERROR(INDEX(Работы!$J$2:$J$6000,MATCH($C861,Работы!$A$2:$A$6000,0)),"")</f>
        <v>типовая</v>
      </c>
      <c r="R861" t="s">
        <v>92</v>
      </c>
      <c r="T861" t="str">
        <f>IF(AND($P861&gt;0,$R861="да"),MAX($T$1:$T860)+1,"")</f>
        <v/>
      </c>
    </row>
    <row r="862" spans="1:20" x14ac:dyDescent="0.3">
      <c r="A862" t="str">
        <f>IFERROR(INDEX(Работы!$D$2:$D$6000,MATCH($C862,Работы!$A$2:$A$6000,0)),"")</f>
        <v>Р9</v>
      </c>
      <c r="B862" t="str">
        <f>IFERROR(INDEX(Работы!$F$2:$F$6000,MATCH($C862,Работы!$A$2:$A$6000,0)),"")</f>
        <v>4</v>
      </c>
      <c r="C862" t="str">
        <f>IFERROR(INDEX(Работы!$A$2:$A$6000,861),"")</f>
        <v>РАБ.Р9.4.014</v>
      </c>
      <c r="D862" s="8" t="str">
        <f>IFERROR(INDEX(Работы!$B$2:$B$6000,MATCH($C862,Работы!$A$2:$A$6000,0)),"")</f>
        <v>Прокладка кабеля / провода</v>
      </c>
      <c r="E862" t="str">
        <f>IFERROR(INDEX(Работы!$C$2:$C$6000,MATCH($C862,Работы!$A$2:$A$6000,0)),"")</f>
        <v>м.п.</v>
      </c>
      <c r="F862" t="str">
        <f>IFERROR(INDEX(Работы!$G$2:$G$6000,MATCH($C862,Работы!$A$2:$A$6000,0)),"")</f>
        <v>КАБЕЛЬ</v>
      </c>
      <c r="G862" t="str">
        <f>IFERROR(INDEX(Работы!$K$2:$K$6000,MATCH($C862,Работы!$A$2:$A$6000,0)),"")</f>
        <v>Погонаж</v>
      </c>
      <c r="H862" s="9"/>
      <c r="I862" s="9"/>
      <c r="J862" s="8" t="str">
        <f>IFERROR(INDEX(Материалы!$B$2:$B$9000,MATCH($I862,Материалы!$A$2:$A$9000,0)),"")</f>
        <v/>
      </c>
      <c r="K862" t="str">
        <f>IF($I862="","",IF($F862=IFERROR(INDEX(Материалы!$G$2:$G$9000,MATCH($I862,Материалы!$A$2:$A$9000,0)),""),"OK","!! не та группа"))</f>
        <v/>
      </c>
      <c r="L862" s="10">
        <f>IFERROR(INDEX(Работы!$H$2:$H$6000,MATCH($C862,Работы!$A$2:$A$6000,0))*(1-ДисконтТендер),0)</f>
        <v>108.58</v>
      </c>
      <c r="M862" s="10">
        <f>IF($I862="",0,IFERROR(INDEX(Материалы!$I$2:$I$9000,MATCH($I862,Материалы!$A$2:$A$9000,0))*IF(INDEX(Материалы!$J$2:$J$9000,MATCH($I862,Материалы!$A$2:$A$9000,0))="USD",КурсUSD,IF(INDEX(Материалы!$J$2:$J$9000,MATCH($I862,Материалы!$A$2:$A$9000,0))="EUR",КурсEUR,1))*INDEX(Материалы!$K$2:$K$9000,MATCH($I862,Материалы!$A$2:$A$9000,0))*(1+IFERROR(INDEX(Работы!$I$2:$I$6000,MATCH($C862,Работы!$A$2:$A$6000,0))/100,0))*(1-ДисконтТендер),0))</f>
        <v>0</v>
      </c>
      <c r="N862" s="10">
        <f t="shared" si="39"/>
        <v>0</v>
      </c>
      <c r="O862" s="10">
        <f t="shared" si="40"/>
        <v>0</v>
      </c>
      <c r="P862" s="10">
        <f t="shared" si="41"/>
        <v>0</v>
      </c>
      <c r="Q862" t="str">
        <f>IFERROR(INDEX(Работы!$J$2:$J$6000,MATCH($C862,Работы!$A$2:$A$6000,0)),"")</f>
        <v>типовая</v>
      </c>
      <c r="R862" t="s">
        <v>92</v>
      </c>
      <c r="T862" t="str">
        <f>IF(AND($P862&gt;0,$R862="да"),MAX($T$1:$T861)+1,"")</f>
        <v/>
      </c>
    </row>
    <row r="863" spans="1:20" x14ac:dyDescent="0.3">
      <c r="A863" t="str">
        <f>IFERROR(INDEX(Работы!$D$2:$D$6000,MATCH($C863,Работы!$A$2:$A$6000,0)),"")</f>
        <v>Р9</v>
      </c>
      <c r="B863" t="str">
        <f>IFERROR(INDEX(Работы!$F$2:$F$6000,MATCH($C863,Работы!$A$2:$A$6000,0)),"")</f>
        <v>5</v>
      </c>
      <c r="C863" t="str">
        <f>IFERROR(INDEX(Работы!$A$2:$A$6000,862),"")</f>
        <v>РАБ.Р9.5.001</v>
      </c>
      <c r="D863" s="8" t="str">
        <f>IFERROR(INDEX(Работы!$B$2:$B$6000,MATCH($C863,Работы!$A$2:$A$6000,0)),"")</f>
        <v>Полоса 40х5 горячеоцинкованная NC2405 DKC</v>
      </c>
      <c r="E863" t="str">
        <f>IFERROR(INDEX(Работы!$C$2:$C$6000,MATCH($C863,Работы!$A$2:$A$6000,0)),"")</f>
        <v>м.п.</v>
      </c>
      <c r="F863" t="str">
        <f>IFERROR(INDEX(Работы!$G$2:$G$6000,MATCH($C863,Работы!$A$2:$A$6000,0)),"")</f>
        <v>МЗ</v>
      </c>
      <c r="G863" t="str">
        <f>IFERROR(INDEX(Работы!$K$2:$K$6000,MATCH($C863,Работы!$A$2:$A$6000,0)),"")</f>
        <v>Спецификация</v>
      </c>
      <c r="H863" s="9"/>
      <c r="I863" s="9"/>
      <c r="J863" s="8" t="str">
        <f>IFERROR(INDEX(Материалы!$B$2:$B$9000,MATCH($I863,Материалы!$A$2:$A$9000,0)),"")</f>
        <v/>
      </c>
      <c r="K863" t="str">
        <f>IF($I863="","",IF($F863=IFERROR(INDEX(Материалы!$G$2:$G$9000,MATCH($I863,Материалы!$A$2:$A$9000,0)),""),"OK","!! не та группа"))</f>
        <v/>
      </c>
      <c r="L863" s="10">
        <f>IFERROR(INDEX(Работы!$H$2:$H$6000,MATCH($C863,Работы!$A$2:$A$6000,0))*(1-ДисконтТендер),0)</f>
        <v>51.97</v>
      </c>
      <c r="M863" s="10">
        <f>IF($I863="",0,IFERROR(INDEX(Материалы!$I$2:$I$9000,MATCH($I863,Материалы!$A$2:$A$9000,0))*IF(INDEX(Материалы!$J$2:$J$9000,MATCH($I863,Материалы!$A$2:$A$9000,0))="USD",КурсUSD,IF(INDEX(Материалы!$J$2:$J$9000,MATCH($I863,Материалы!$A$2:$A$9000,0))="EUR",КурсEUR,1))*INDEX(Материалы!$K$2:$K$9000,MATCH($I863,Материалы!$A$2:$A$9000,0))*(1+IFERROR(INDEX(Работы!$I$2:$I$6000,MATCH($C863,Работы!$A$2:$A$6000,0))/100,0))*(1-ДисконтТендер),0))</f>
        <v>0</v>
      </c>
      <c r="N863" s="10">
        <f t="shared" si="39"/>
        <v>0</v>
      </c>
      <c r="O863" s="10">
        <f t="shared" si="40"/>
        <v>0</v>
      </c>
      <c r="P863" s="10">
        <f t="shared" si="41"/>
        <v>0</v>
      </c>
      <c r="Q863" t="str">
        <f>IFERROR(INDEX(Работы!$J$2:$J$6000,MATCH($C863,Работы!$A$2:$A$6000,0)),"")</f>
        <v>типовая</v>
      </c>
      <c r="R863" t="s">
        <v>92</v>
      </c>
      <c r="T863" t="str">
        <f>IF(AND($P863&gt;0,$R863="да"),MAX($T$1:$T862)+1,"")</f>
        <v/>
      </c>
    </row>
    <row r="864" spans="1:20" x14ac:dyDescent="0.3">
      <c r="A864" t="str">
        <f>IFERROR(INDEX(Работы!$D$2:$D$6000,MATCH($C864,Работы!$A$2:$A$6000,0)),"")</f>
        <v>Р9</v>
      </c>
      <c r="B864" t="str">
        <f>IFERROR(INDEX(Работы!$F$2:$F$6000,MATCH($C864,Работы!$A$2:$A$6000,0)),"")</f>
        <v>5</v>
      </c>
      <c r="C864" t="str">
        <f>IFERROR(INDEX(Работы!$A$2:$A$6000,863),"")</f>
        <v>РАБ.Р9.5.002</v>
      </c>
      <c r="D864" s="8" t="str">
        <f>IFERROR(INDEX(Работы!$B$2:$B$6000,MATCH($C864,Работы!$A$2:$A$6000,0)),"")</f>
        <v>Пруток 8 мм горячеоцинкованный NC1008 DKC</v>
      </c>
      <c r="E864" t="str">
        <f>IFERROR(INDEX(Работы!$C$2:$C$6000,MATCH($C864,Работы!$A$2:$A$6000,0)),"")</f>
        <v>м.п.</v>
      </c>
      <c r="F864" t="str">
        <f>IFERROR(INDEX(Работы!$G$2:$G$6000,MATCH($C864,Работы!$A$2:$A$6000,0)),"")</f>
        <v>МЗ</v>
      </c>
      <c r="G864" t="str">
        <f>IFERROR(INDEX(Работы!$K$2:$K$6000,MATCH($C864,Работы!$A$2:$A$6000,0)),"")</f>
        <v>Спецификация</v>
      </c>
      <c r="H864" s="9"/>
      <c r="I864" s="9"/>
      <c r="J864" s="8" t="str">
        <f>IFERROR(INDEX(Материалы!$B$2:$B$9000,MATCH($I864,Материалы!$A$2:$A$9000,0)),"")</f>
        <v/>
      </c>
      <c r="K864" t="str">
        <f>IF($I864="","",IF($F864=IFERROR(INDEX(Материалы!$G$2:$G$9000,MATCH($I864,Материалы!$A$2:$A$9000,0)),""),"OK","!! не та группа"))</f>
        <v/>
      </c>
      <c r="L864" s="10">
        <f>IFERROR(INDEX(Работы!$H$2:$H$6000,MATCH($C864,Работы!$A$2:$A$6000,0))*(1-ДисконтТендер),0)</f>
        <v>12.29</v>
      </c>
      <c r="M864" s="10">
        <f>IF($I864="",0,IFERROR(INDEX(Материалы!$I$2:$I$9000,MATCH($I864,Материалы!$A$2:$A$9000,0))*IF(INDEX(Материалы!$J$2:$J$9000,MATCH($I864,Материалы!$A$2:$A$9000,0))="USD",КурсUSD,IF(INDEX(Материалы!$J$2:$J$9000,MATCH($I864,Материалы!$A$2:$A$9000,0))="EUR",КурсEUR,1))*INDEX(Материалы!$K$2:$K$9000,MATCH($I864,Материалы!$A$2:$A$9000,0))*(1+IFERROR(INDEX(Работы!$I$2:$I$6000,MATCH($C864,Работы!$A$2:$A$6000,0))/100,0))*(1-ДисконтТендер),0))</f>
        <v>0</v>
      </c>
      <c r="N864" s="10">
        <f t="shared" si="39"/>
        <v>0</v>
      </c>
      <c r="O864" s="10">
        <f t="shared" si="40"/>
        <v>0</v>
      </c>
      <c r="P864" s="10">
        <f t="shared" si="41"/>
        <v>0</v>
      </c>
      <c r="Q864" t="str">
        <f>IFERROR(INDEX(Работы!$J$2:$J$6000,MATCH($C864,Работы!$A$2:$A$6000,0)),"")</f>
        <v>типовая</v>
      </c>
      <c r="R864" t="s">
        <v>92</v>
      </c>
      <c r="T864" t="str">
        <f>IF(AND($P864&gt;0,$R864="да"),MAX($T$1:$T863)+1,"")</f>
        <v/>
      </c>
    </row>
    <row r="865" spans="1:20" x14ac:dyDescent="0.3">
      <c r="A865" t="str">
        <f>IFERROR(INDEX(Работы!$D$2:$D$6000,MATCH($C865,Работы!$A$2:$A$6000,0)),"")</f>
        <v>Р9</v>
      </c>
      <c r="B865" t="str">
        <f>IFERROR(INDEX(Работы!$F$2:$F$6000,MATCH($C865,Работы!$A$2:$A$6000,0)),"")</f>
        <v>5</v>
      </c>
      <c r="C865" t="str">
        <f>IFERROR(INDEX(Работы!$A$2:$A$6000,864),"")</f>
        <v>РАБ.Р9.5.003</v>
      </c>
      <c r="D865" s="8" t="str">
        <f>IFERROR(INDEX(Работы!$B$2:$B$6000,MATCH($C865,Работы!$A$2:$A$6000,0)),"")</f>
        <v>Зажим угловой коньковый 100мм ND2202 DKC</v>
      </c>
      <c r="E865" t="str">
        <f>IFERROR(INDEX(Работы!$C$2:$C$6000,MATCH($C865,Работы!$A$2:$A$6000,0)),"")</f>
        <v>шт.</v>
      </c>
      <c r="F865" t="str">
        <f>IFERROR(INDEX(Работы!$G$2:$G$6000,MATCH($C865,Работы!$A$2:$A$6000,0)),"")</f>
        <v>МЗ</v>
      </c>
      <c r="G865" t="str">
        <f>IFERROR(INDEX(Работы!$K$2:$K$6000,MATCH($C865,Работы!$A$2:$A$6000,0)),"")</f>
        <v>Спецификация</v>
      </c>
      <c r="H865" s="9"/>
      <c r="I865" s="9"/>
      <c r="J865" s="8" t="str">
        <f>IFERROR(INDEX(Материалы!$B$2:$B$9000,MATCH($I865,Материалы!$A$2:$A$9000,0)),"")</f>
        <v/>
      </c>
      <c r="K865" t="str">
        <f>IF($I865="","",IF($F865=IFERROR(INDEX(Материалы!$G$2:$G$9000,MATCH($I865,Материалы!$A$2:$A$9000,0)),""),"OK","!! не та группа"))</f>
        <v/>
      </c>
      <c r="L865" s="10">
        <f>IFERROR(INDEX(Работы!$H$2:$H$6000,MATCH($C865,Работы!$A$2:$A$6000,0))*(1-ДисконтТендер),0)</f>
        <v>34.659999999999997</v>
      </c>
      <c r="M865" s="10">
        <f>IF($I865="",0,IFERROR(INDEX(Материалы!$I$2:$I$9000,MATCH($I865,Материалы!$A$2:$A$9000,0))*IF(INDEX(Материалы!$J$2:$J$9000,MATCH($I865,Материалы!$A$2:$A$9000,0))="USD",КурсUSD,IF(INDEX(Материалы!$J$2:$J$9000,MATCH($I865,Материалы!$A$2:$A$9000,0))="EUR",КурсEUR,1))*INDEX(Материалы!$K$2:$K$9000,MATCH($I865,Материалы!$A$2:$A$9000,0))*(1+IFERROR(INDEX(Работы!$I$2:$I$6000,MATCH($C865,Работы!$A$2:$A$6000,0))/100,0))*(1-ДисконтТендер),0))</f>
        <v>0</v>
      </c>
      <c r="N865" s="10">
        <f t="shared" si="39"/>
        <v>0</v>
      </c>
      <c r="O865" s="10">
        <f t="shared" si="40"/>
        <v>0</v>
      </c>
      <c r="P865" s="10">
        <f t="shared" si="41"/>
        <v>0</v>
      </c>
      <c r="Q865" t="str">
        <f>IFERROR(INDEX(Работы!$J$2:$J$6000,MATCH($C865,Работы!$A$2:$A$6000,0)),"")</f>
        <v>типовая</v>
      </c>
      <c r="R865" t="s">
        <v>92</v>
      </c>
      <c r="T865" t="str">
        <f>IF(AND($P865&gt;0,$R865="да"),MAX($T$1:$T864)+1,"")</f>
        <v/>
      </c>
    </row>
    <row r="866" spans="1:20" ht="28.8" x14ac:dyDescent="0.3">
      <c r="A866" t="str">
        <f>IFERROR(INDEX(Работы!$D$2:$D$6000,MATCH($C866,Работы!$A$2:$A$6000,0)),"")</f>
        <v>Р9</v>
      </c>
      <c r="B866" t="str">
        <f>IFERROR(INDEX(Работы!$F$2:$F$6000,MATCH($C866,Работы!$A$2:$A$6000,0)),"")</f>
        <v>5</v>
      </c>
      <c r="C866" t="str">
        <f>IFERROR(INDEX(Работы!$A$2:$A$6000,865),"")</f>
        <v>РАБ.Р9.5.004</v>
      </c>
      <c r="D866" s="8" t="str">
        <f>IFERROR(INDEX(Работы!$B$2:$B$6000,MATCH($C866,Работы!$A$2:$A$6000,0)),"")</f>
        <v>Держатель металлический для плоской кровли 100мм ND2106 DKC</v>
      </c>
      <c r="E866" t="str">
        <f>IFERROR(INDEX(Работы!$C$2:$C$6000,MATCH($C866,Работы!$A$2:$A$6000,0)),"")</f>
        <v>шт.</v>
      </c>
      <c r="F866" t="str">
        <f>IFERROR(INDEX(Работы!$G$2:$G$6000,MATCH($C866,Работы!$A$2:$A$6000,0)),"")</f>
        <v>МЗ</v>
      </c>
      <c r="G866" t="str">
        <f>IFERROR(INDEX(Работы!$K$2:$K$6000,MATCH($C866,Работы!$A$2:$A$6000,0)),"")</f>
        <v>Спецификация</v>
      </c>
      <c r="H866" s="9"/>
      <c r="I866" s="9"/>
      <c r="J866" s="8" t="str">
        <f>IFERROR(INDEX(Материалы!$B$2:$B$9000,MATCH($I866,Материалы!$A$2:$A$9000,0)),"")</f>
        <v/>
      </c>
      <c r="K866" t="str">
        <f>IF($I866="","",IF($F866=IFERROR(INDEX(Материалы!$G$2:$G$9000,MATCH($I866,Материалы!$A$2:$A$9000,0)),""),"OK","!! не та группа"))</f>
        <v/>
      </c>
      <c r="L866" s="10">
        <f>IFERROR(INDEX(Работы!$H$2:$H$6000,MATCH($C866,Работы!$A$2:$A$6000,0))*(1-ДисконтТендер),0)</f>
        <v>24.27</v>
      </c>
      <c r="M866" s="10">
        <f>IF($I866="",0,IFERROR(INDEX(Материалы!$I$2:$I$9000,MATCH($I866,Материалы!$A$2:$A$9000,0))*IF(INDEX(Материалы!$J$2:$J$9000,MATCH($I866,Материалы!$A$2:$A$9000,0))="USD",КурсUSD,IF(INDEX(Материалы!$J$2:$J$9000,MATCH($I866,Материалы!$A$2:$A$9000,0))="EUR",КурсEUR,1))*INDEX(Материалы!$K$2:$K$9000,MATCH($I866,Материалы!$A$2:$A$9000,0))*(1+IFERROR(INDEX(Работы!$I$2:$I$6000,MATCH($C866,Работы!$A$2:$A$6000,0))/100,0))*(1-ДисконтТендер),0))</f>
        <v>0</v>
      </c>
      <c r="N866" s="10">
        <f t="shared" si="39"/>
        <v>0</v>
      </c>
      <c r="O866" s="10">
        <f t="shared" si="40"/>
        <v>0</v>
      </c>
      <c r="P866" s="10">
        <f t="shared" si="41"/>
        <v>0</v>
      </c>
      <c r="Q866" t="str">
        <f>IFERROR(INDEX(Работы!$J$2:$J$6000,MATCH($C866,Работы!$A$2:$A$6000,0)),"")</f>
        <v>нетиповая</v>
      </c>
      <c r="R866" t="s">
        <v>92</v>
      </c>
      <c r="T866" t="str">
        <f>IF(AND($P866&gt;0,$R866="да"),MAX($T$1:$T865)+1,"")</f>
        <v/>
      </c>
    </row>
    <row r="867" spans="1:20" x14ac:dyDescent="0.3">
      <c r="A867" t="str">
        <f>IFERROR(INDEX(Работы!$D$2:$D$6000,MATCH($C867,Работы!$A$2:$A$6000,0)),"")</f>
        <v>Р9</v>
      </c>
      <c r="B867" t="str">
        <f>IFERROR(INDEX(Работы!$F$2:$F$6000,MATCH($C867,Работы!$A$2:$A$6000,0)),"")</f>
        <v>5</v>
      </c>
      <c r="C867" t="str">
        <f>IFERROR(INDEX(Работы!$A$2:$A$6000,866),"")</f>
        <v>РАБ.Р9.5.005</v>
      </c>
      <c r="D867" s="8" t="str">
        <f>IFERROR(INDEX(Работы!$B$2:$B$6000,MATCH($C867,Работы!$A$2:$A$6000,0)),"")</f>
        <v>Держатель фасадный 100мм ND2307 DKC</v>
      </c>
      <c r="E867" t="str">
        <f>IFERROR(INDEX(Работы!$C$2:$C$6000,MATCH($C867,Работы!$A$2:$A$6000,0)),"")</f>
        <v>шт.</v>
      </c>
      <c r="F867" t="str">
        <f>IFERROR(INDEX(Работы!$G$2:$G$6000,MATCH($C867,Работы!$A$2:$A$6000,0)),"")</f>
        <v>МЗ</v>
      </c>
      <c r="G867" t="str">
        <f>IFERROR(INDEX(Работы!$K$2:$K$6000,MATCH($C867,Работы!$A$2:$A$6000,0)),"")</f>
        <v>Спецификация</v>
      </c>
      <c r="H867" s="9"/>
      <c r="I867" s="9"/>
      <c r="J867" s="8" t="str">
        <f>IFERROR(INDEX(Материалы!$B$2:$B$9000,MATCH($I867,Материалы!$A$2:$A$9000,0)),"")</f>
        <v/>
      </c>
      <c r="K867" t="str">
        <f>IF($I867="","",IF($F867=IFERROR(INDEX(Материалы!$G$2:$G$9000,MATCH($I867,Материалы!$A$2:$A$9000,0)),""),"OK","!! не та группа"))</f>
        <v/>
      </c>
      <c r="L867" s="10">
        <f>IFERROR(INDEX(Работы!$H$2:$H$6000,MATCH($C867,Работы!$A$2:$A$6000,0))*(1-ДисконтТендер),0)</f>
        <v>22.45</v>
      </c>
      <c r="M867" s="10">
        <f>IF($I867="",0,IFERROR(INDEX(Материалы!$I$2:$I$9000,MATCH($I867,Материалы!$A$2:$A$9000,0))*IF(INDEX(Материалы!$J$2:$J$9000,MATCH($I867,Материалы!$A$2:$A$9000,0))="USD",КурсUSD,IF(INDEX(Материалы!$J$2:$J$9000,MATCH($I867,Материалы!$A$2:$A$9000,0))="EUR",КурсEUR,1))*INDEX(Материалы!$K$2:$K$9000,MATCH($I867,Материалы!$A$2:$A$9000,0))*(1+IFERROR(INDEX(Работы!$I$2:$I$6000,MATCH($C867,Работы!$A$2:$A$6000,0))/100,0))*(1-ДисконтТендер),0))</f>
        <v>0</v>
      </c>
      <c r="N867" s="10">
        <f t="shared" si="39"/>
        <v>0</v>
      </c>
      <c r="O867" s="10">
        <f t="shared" si="40"/>
        <v>0</v>
      </c>
      <c r="P867" s="10">
        <f t="shared" si="41"/>
        <v>0</v>
      </c>
      <c r="Q867" t="str">
        <f>IFERROR(INDEX(Работы!$J$2:$J$6000,MATCH($C867,Работы!$A$2:$A$6000,0)),"")</f>
        <v>нетиповая</v>
      </c>
      <c r="R867" t="s">
        <v>92</v>
      </c>
      <c r="T867" t="str">
        <f>IF(AND($P867&gt;0,$R867="да"),MAX($T$1:$T866)+1,"")</f>
        <v/>
      </c>
    </row>
    <row r="868" spans="1:20" ht="28.8" x14ac:dyDescent="0.3">
      <c r="A868" t="str">
        <f>IFERROR(INDEX(Работы!$D$2:$D$6000,MATCH($C868,Работы!$A$2:$A$6000,0)),"")</f>
        <v>Р9</v>
      </c>
      <c r="B868" t="str">
        <f>IFERROR(INDEX(Работы!$F$2:$F$6000,MATCH($C868,Работы!$A$2:$A$6000,0)),"")</f>
        <v>5</v>
      </c>
      <c r="C868" t="str">
        <f>IFERROR(INDEX(Работы!$A$2:$A$6000,867),"")</f>
        <v>РАБ.Р9.5.006</v>
      </c>
      <c r="D868" s="8" t="str">
        <f>IFERROR(INDEX(Работы!$B$2:$B$6000,MATCH($C868,Работы!$A$2:$A$6000,0)),"")</f>
        <v>Заземлитель вертикальный из уголка 50х50х5мм 3м NE5503 DKC</v>
      </c>
      <c r="E868" t="str">
        <f>IFERROR(INDEX(Работы!$C$2:$C$6000,MATCH($C868,Работы!$A$2:$A$6000,0)),"")</f>
        <v>шт.</v>
      </c>
      <c r="F868" t="str">
        <f>IFERROR(INDEX(Работы!$G$2:$G$6000,MATCH($C868,Работы!$A$2:$A$6000,0)),"")</f>
        <v>МЗ</v>
      </c>
      <c r="G868" t="str">
        <f>IFERROR(INDEX(Работы!$K$2:$K$6000,MATCH($C868,Работы!$A$2:$A$6000,0)),"")</f>
        <v>Спецификация</v>
      </c>
      <c r="H868" s="9"/>
      <c r="I868" s="9"/>
      <c r="J868" s="8" t="str">
        <f>IFERROR(INDEX(Материалы!$B$2:$B$9000,MATCH($I868,Материалы!$A$2:$A$9000,0)),"")</f>
        <v/>
      </c>
      <c r="K868" t="str">
        <f>IF($I868="","",IF($F868=IFERROR(INDEX(Материалы!$G$2:$G$9000,MATCH($I868,Материалы!$A$2:$A$9000,0)),""),"OK","!! не та группа"))</f>
        <v/>
      </c>
      <c r="L868" s="10">
        <f>IFERROR(INDEX(Работы!$H$2:$H$6000,MATCH($C868,Работы!$A$2:$A$6000,0))*(1-ДисконтТендер),0)</f>
        <v>474.27</v>
      </c>
      <c r="M868" s="10">
        <f>IF($I868="",0,IFERROR(INDEX(Материалы!$I$2:$I$9000,MATCH($I868,Материалы!$A$2:$A$9000,0))*IF(INDEX(Материалы!$J$2:$J$9000,MATCH($I868,Материалы!$A$2:$A$9000,0))="USD",КурсUSD,IF(INDEX(Материалы!$J$2:$J$9000,MATCH($I868,Материалы!$A$2:$A$9000,0))="EUR",КурсEUR,1))*INDEX(Материалы!$K$2:$K$9000,MATCH($I868,Материалы!$A$2:$A$9000,0))*(1+IFERROR(INDEX(Работы!$I$2:$I$6000,MATCH($C868,Работы!$A$2:$A$6000,0))/100,0))*(1-ДисконтТендер),0))</f>
        <v>0</v>
      </c>
      <c r="N868" s="10">
        <f t="shared" si="39"/>
        <v>0</v>
      </c>
      <c r="O868" s="10">
        <f t="shared" si="40"/>
        <v>0</v>
      </c>
      <c r="P868" s="10">
        <f t="shared" si="41"/>
        <v>0</v>
      </c>
      <c r="Q868" t="str">
        <f>IFERROR(INDEX(Работы!$J$2:$J$6000,MATCH($C868,Работы!$A$2:$A$6000,0)),"")</f>
        <v>типовая</v>
      </c>
      <c r="R868" t="s">
        <v>92</v>
      </c>
      <c r="T868" t="str">
        <f>IF(AND($P868&gt;0,$R868="да"),MAX($T$1:$T867)+1,"")</f>
        <v/>
      </c>
    </row>
    <row r="869" spans="1:20" x14ac:dyDescent="0.3">
      <c r="A869" t="str">
        <f>IFERROR(INDEX(Работы!$D$2:$D$6000,MATCH($C869,Работы!$A$2:$A$6000,0)),"")</f>
        <v>Р9</v>
      </c>
      <c r="B869" t="str">
        <f>IFERROR(INDEX(Работы!$F$2:$F$6000,MATCH($C869,Работы!$A$2:$A$6000,0)),"")</f>
        <v>5</v>
      </c>
      <c r="C869" t="str">
        <f>IFERROR(INDEX(Работы!$A$2:$A$6000,868),"")</f>
        <v>РАБ.Р9.5.007</v>
      </c>
      <c r="D869" s="8" t="str">
        <f>IFERROR(INDEX(Работы!$B$2:$B$6000,MATCH($C869,Работы!$A$2:$A$6000,0)),"")</f>
        <v>Соединитель универсальный NG3103 DKC</v>
      </c>
      <c r="E869" t="str">
        <f>IFERROR(INDEX(Работы!$C$2:$C$6000,MATCH($C869,Работы!$A$2:$A$6000,0)),"")</f>
        <v>шт.</v>
      </c>
      <c r="F869">
        <f>IFERROR(INDEX(Работы!$G$2:$G$6000,MATCH($C869,Работы!$A$2:$A$6000,0)),"")</f>
        <v>0</v>
      </c>
      <c r="G869" t="str">
        <f>IFERROR(INDEX(Работы!$K$2:$K$6000,MATCH($C869,Работы!$A$2:$A$6000,0)),"")</f>
        <v>Спецификация</v>
      </c>
      <c r="H869" s="9"/>
      <c r="I869" s="9"/>
      <c r="J869" s="8" t="str">
        <f>IFERROR(INDEX(Материалы!$B$2:$B$9000,MATCH($I869,Материалы!$A$2:$A$9000,0)),"")</f>
        <v/>
      </c>
      <c r="K869" t="str">
        <f>IF($I869="","",IF($F869=IFERROR(INDEX(Материалы!$G$2:$G$9000,MATCH($I869,Материалы!$A$2:$A$9000,0)),""),"OK","!! не та группа"))</f>
        <v/>
      </c>
      <c r="L869" s="10">
        <f>IFERROR(INDEX(Работы!$H$2:$H$6000,MATCH($C869,Работы!$A$2:$A$6000,0))*(1-ДисконтТендер),0)</f>
        <v>14.45</v>
      </c>
      <c r="M869" s="10">
        <f>IF($I869="",0,IFERROR(INDEX(Материалы!$I$2:$I$9000,MATCH($I869,Материалы!$A$2:$A$9000,0))*IF(INDEX(Материалы!$J$2:$J$9000,MATCH($I869,Материалы!$A$2:$A$9000,0))="USD",КурсUSD,IF(INDEX(Материалы!$J$2:$J$9000,MATCH($I869,Материалы!$A$2:$A$9000,0))="EUR",КурсEUR,1))*INDEX(Материалы!$K$2:$K$9000,MATCH($I869,Материалы!$A$2:$A$9000,0))*(1+IFERROR(INDEX(Работы!$I$2:$I$6000,MATCH($C869,Работы!$A$2:$A$6000,0))/100,0))*(1-ДисконтТендер),0))</f>
        <v>0</v>
      </c>
      <c r="N869" s="10">
        <f t="shared" si="39"/>
        <v>0</v>
      </c>
      <c r="O869" s="10">
        <f t="shared" si="40"/>
        <v>0</v>
      </c>
      <c r="P869" s="10">
        <f t="shared" si="41"/>
        <v>0</v>
      </c>
      <c r="Q869" t="str">
        <f>IFERROR(INDEX(Работы!$J$2:$J$6000,MATCH($C869,Работы!$A$2:$A$6000,0)),"")</f>
        <v>типовая</v>
      </c>
      <c r="R869" t="s">
        <v>92</v>
      </c>
      <c r="T869" t="str">
        <f>IF(AND($P869&gt;0,$R869="да"),MAX($T$1:$T868)+1,"")</f>
        <v/>
      </c>
    </row>
    <row r="870" spans="1:20" x14ac:dyDescent="0.3">
      <c r="A870" t="str">
        <f>IFERROR(INDEX(Работы!$D$2:$D$6000,MATCH($C870,Работы!$A$2:$A$6000,0)),"")</f>
        <v>Р9</v>
      </c>
      <c r="B870" t="str">
        <f>IFERROR(INDEX(Работы!$F$2:$F$6000,MATCH($C870,Работы!$A$2:$A$6000,0)),"")</f>
        <v>5</v>
      </c>
      <c r="C870" t="str">
        <f>IFERROR(INDEX(Работы!$A$2:$A$6000,869),"")</f>
        <v>РАБ.Р9.5.008</v>
      </c>
      <c r="D870" s="8" t="str">
        <f>IFERROR(INDEX(Работы!$B$2:$B$6000,MATCH($C870,Работы!$A$2:$A$6000,0)),"")</f>
        <v>Зажим параллельный D8-10мм NG3108 DKC</v>
      </c>
      <c r="E870" t="str">
        <f>IFERROR(INDEX(Работы!$C$2:$C$6000,MATCH($C870,Работы!$A$2:$A$6000,0)),"")</f>
        <v>шт.</v>
      </c>
      <c r="F870" t="str">
        <f>IFERROR(INDEX(Работы!$G$2:$G$6000,MATCH($C870,Работы!$A$2:$A$6000,0)),"")</f>
        <v>МЗ</v>
      </c>
      <c r="G870" t="str">
        <f>IFERROR(INDEX(Работы!$K$2:$K$6000,MATCH($C870,Работы!$A$2:$A$6000,0)),"")</f>
        <v>Спецификация</v>
      </c>
      <c r="H870" s="9"/>
      <c r="I870" s="9"/>
      <c r="J870" s="8" t="str">
        <f>IFERROR(INDEX(Материалы!$B$2:$B$9000,MATCH($I870,Материалы!$A$2:$A$9000,0)),"")</f>
        <v/>
      </c>
      <c r="K870" t="str">
        <f>IF($I870="","",IF($F870=IFERROR(INDEX(Материалы!$G$2:$G$9000,MATCH($I870,Материалы!$A$2:$A$9000,0)),""),"OK","!! не та группа"))</f>
        <v/>
      </c>
      <c r="L870" s="10">
        <f>IFERROR(INDEX(Работы!$H$2:$H$6000,MATCH($C870,Работы!$A$2:$A$6000,0))*(1-ДисконтТендер),0)</f>
        <v>17.079999999999998</v>
      </c>
      <c r="M870" s="10">
        <f>IF($I870="",0,IFERROR(INDEX(Материалы!$I$2:$I$9000,MATCH($I870,Материалы!$A$2:$A$9000,0))*IF(INDEX(Материалы!$J$2:$J$9000,MATCH($I870,Материалы!$A$2:$A$9000,0))="USD",КурсUSD,IF(INDEX(Материалы!$J$2:$J$9000,MATCH($I870,Материалы!$A$2:$A$9000,0))="EUR",КурсEUR,1))*INDEX(Материалы!$K$2:$K$9000,MATCH($I870,Материалы!$A$2:$A$9000,0))*(1+IFERROR(INDEX(Работы!$I$2:$I$6000,MATCH($C870,Работы!$A$2:$A$6000,0))/100,0))*(1-ДисконтТендер),0))</f>
        <v>0</v>
      </c>
      <c r="N870" s="10">
        <f t="shared" si="39"/>
        <v>0</v>
      </c>
      <c r="O870" s="10">
        <f t="shared" si="40"/>
        <v>0</v>
      </c>
      <c r="P870" s="10">
        <f t="shared" si="41"/>
        <v>0</v>
      </c>
      <c r="Q870" t="str">
        <f>IFERROR(INDEX(Работы!$J$2:$J$6000,MATCH($C870,Работы!$A$2:$A$6000,0)),"")</f>
        <v>типовая</v>
      </c>
      <c r="R870" t="s">
        <v>92</v>
      </c>
      <c r="T870" t="str">
        <f>IF(AND($P870&gt;0,$R870="да"),MAX($T$1:$T869)+1,"")</f>
        <v/>
      </c>
    </row>
    <row r="871" spans="1:20" ht="28.8" x14ac:dyDescent="0.3">
      <c r="A871" t="str">
        <f>IFERROR(INDEX(Работы!$D$2:$D$6000,MATCH($C871,Работы!$A$2:$A$6000,0)),"")</f>
        <v>Р9</v>
      </c>
      <c r="B871" t="str">
        <f>IFERROR(INDEX(Работы!$F$2:$F$6000,MATCH($C871,Работы!$A$2:$A$6000,0)),"")</f>
        <v>5</v>
      </c>
      <c r="C871" t="str">
        <f>IFERROR(INDEX(Работы!$A$2:$A$6000,870),"")</f>
        <v>РАБ.Р9.5.009</v>
      </c>
      <c r="D871" s="8" t="str">
        <f>IFERROR(INDEX(Работы!$B$2:$B$6000,MATCH($C871,Работы!$A$2:$A$6000,0)),"")</f>
        <v>Держатель прутка на водостоке с болтом ND2308 DKC</v>
      </c>
      <c r="E871" t="str">
        <f>IFERROR(INDEX(Работы!$C$2:$C$6000,MATCH($C871,Работы!$A$2:$A$6000,0)),"")</f>
        <v>шт.</v>
      </c>
      <c r="F871" t="str">
        <f>IFERROR(INDEX(Работы!$G$2:$G$6000,MATCH($C871,Работы!$A$2:$A$6000,0)),"")</f>
        <v>МЗ</v>
      </c>
      <c r="G871" t="str">
        <f>IFERROR(INDEX(Работы!$K$2:$K$6000,MATCH($C871,Работы!$A$2:$A$6000,0)),"")</f>
        <v>Спецификация</v>
      </c>
      <c r="H871" s="9"/>
      <c r="I871" s="9"/>
      <c r="J871" s="8" t="str">
        <f>IFERROR(INDEX(Материалы!$B$2:$B$9000,MATCH($I871,Материалы!$A$2:$A$9000,0)),"")</f>
        <v/>
      </c>
      <c r="K871" t="str">
        <f>IF($I871="","",IF($F871=IFERROR(INDEX(Материалы!$G$2:$G$9000,MATCH($I871,Материалы!$A$2:$A$9000,0)),""),"OK","!! не та группа"))</f>
        <v/>
      </c>
      <c r="L871" s="10">
        <f>IFERROR(INDEX(Работы!$H$2:$H$6000,MATCH($C871,Работы!$A$2:$A$6000,0))*(1-ДисконтТендер),0)</f>
        <v>27.98</v>
      </c>
      <c r="M871" s="10">
        <f>IF($I871="",0,IFERROR(INDEX(Материалы!$I$2:$I$9000,MATCH($I871,Материалы!$A$2:$A$9000,0))*IF(INDEX(Материалы!$J$2:$J$9000,MATCH($I871,Материалы!$A$2:$A$9000,0))="USD",КурсUSD,IF(INDEX(Материалы!$J$2:$J$9000,MATCH($I871,Материалы!$A$2:$A$9000,0))="EUR",КурсEUR,1))*INDEX(Материалы!$K$2:$K$9000,MATCH($I871,Материалы!$A$2:$A$9000,0))*(1+IFERROR(INDEX(Работы!$I$2:$I$6000,MATCH($C871,Работы!$A$2:$A$6000,0))/100,0))*(1-ДисконтТендер),0))</f>
        <v>0</v>
      </c>
      <c r="N871" s="10">
        <f t="shared" si="39"/>
        <v>0</v>
      </c>
      <c r="O871" s="10">
        <f t="shared" si="40"/>
        <v>0</v>
      </c>
      <c r="P871" s="10">
        <f t="shared" si="41"/>
        <v>0</v>
      </c>
      <c r="Q871" t="str">
        <f>IFERROR(INDEX(Работы!$J$2:$J$6000,MATCH($C871,Работы!$A$2:$A$6000,0)),"")</f>
        <v>типовая</v>
      </c>
      <c r="R871" t="s">
        <v>92</v>
      </c>
      <c r="T871" t="str">
        <f>IF(AND($P871&gt;0,$R871="да"),MAX($T$1:$T870)+1,"")</f>
        <v/>
      </c>
    </row>
    <row r="872" spans="1:20" ht="28.8" x14ac:dyDescent="0.3">
      <c r="A872" t="str">
        <f>IFERROR(INDEX(Работы!$D$2:$D$6000,MATCH($C872,Работы!$A$2:$A$6000,0)),"")</f>
        <v>Р9</v>
      </c>
      <c r="B872" t="str">
        <f>IFERROR(INDEX(Работы!$F$2:$F$6000,MATCH($C872,Работы!$A$2:$A$6000,0)),"")</f>
        <v>5</v>
      </c>
      <c r="C872" t="str">
        <f>IFERROR(INDEX(Работы!$A$2:$A$6000,871),"")</f>
        <v>РАБ.Р9.5.010</v>
      </c>
      <c r="D872" s="8" t="str">
        <f>IFERROR(INDEX(Работы!$B$2:$B$6000,MATCH($C872,Работы!$A$2:$A$6000,0)),"")</f>
        <v>Соединитель пруток - полоса, 80х80 мм NG3101 DKC</v>
      </c>
      <c r="E872" t="str">
        <f>IFERROR(INDEX(Работы!$C$2:$C$6000,MATCH($C872,Работы!$A$2:$A$6000,0)),"")</f>
        <v>шт.</v>
      </c>
      <c r="F872">
        <f>IFERROR(INDEX(Работы!$G$2:$G$6000,MATCH($C872,Работы!$A$2:$A$6000,0)),"")</f>
        <v>0</v>
      </c>
      <c r="G872" t="str">
        <f>IFERROR(INDEX(Работы!$K$2:$K$6000,MATCH($C872,Работы!$A$2:$A$6000,0)),"")</f>
        <v>S_пол</v>
      </c>
      <c r="H872" s="9"/>
      <c r="I872" s="9"/>
      <c r="J872" s="8" t="str">
        <f>IFERROR(INDEX(Материалы!$B$2:$B$9000,MATCH($I872,Материалы!$A$2:$A$9000,0)),"")</f>
        <v/>
      </c>
      <c r="K872" t="str">
        <f>IF($I872="","",IF($F872=IFERROR(INDEX(Материалы!$G$2:$G$9000,MATCH($I872,Материалы!$A$2:$A$9000,0)),""),"OK","!! не та группа"))</f>
        <v/>
      </c>
      <c r="L872" s="10">
        <f>IFERROR(INDEX(Работы!$H$2:$H$6000,MATCH($C872,Работы!$A$2:$A$6000,0))*(1-ДисконтТендер),0)</f>
        <v>48.99</v>
      </c>
      <c r="M872" s="10">
        <f>IF($I872="",0,IFERROR(INDEX(Материалы!$I$2:$I$9000,MATCH($I872,Материалы!$A$2:$A$9000,0))*IF(INDEX(Материалы!$J$2:$J$9000,MATCH($I872,Материалы!$A$2:$A$9000,0))="USD",КурсUSD,IF(INDEX(Материалы!$J$2:$J$9000,MATCH($I872,Материалы!$A$2:$A$9000,0))="EUR",КурсEUR,1))*INDEX(Материалы!$K$2:$K$9000,MATCH($I872,Материалы!$A$2:$A$9000,0))*(1+IFERROR(INDEX(Работы!$I$2:$I$6000,MATCH($C872,Работы!$A$2:$A$6000,0))/100,0))*(1-ДисконтТендер),0))</f>
        <v>0</v>
      </c>
      <c r="N872" s="10">
        <f t="shared" si="39"/>
        <v>0</v>
      </c>
      <c r="O872" s="10">
        <f t="shared" si="40"/>
        <v>0</v>
      </c>
      <c r="P872" s="10">
        <f t="shared" si="41"/>
        <v>0</v>
      </c>
      <c r="Q872" t="str">
        <f>IFERROR(INDEX(Работы!$J$2:$J$6000,MATCH($C872,Работы!$A$2:$A$6000,0)),"")</f>
        <v>типовая</v>
      </c>
      <c r="R872" t="s">
        <v>92</v>
      </c>
      <c r="T872" t="str">
        <f>IF(AND($P872&gt;0,$R872="да"),MAX($T$1:$T871)+1,"")</f>
        <v/>
      </c>
    </row>
    <row r="873" spans="1:20" x14ac:dyDescent="0.3">
      <c r="A873" t="str">
        <f>IFERROR(INDEX(Работы!$D$2:$D$6000,MATCH($C873,Работы!$A$2:$A$6000,0)),"")</f>
        <v>Р9</v>
      </c>
      <c r="B873" t="str">
        <f>IFERROR(INDEX(Работы!$F$2:$F$6000,MATCH($C873,Работы!$A$2:$A$6000,0)),"")</f>
        <v>5</v>
      </c>
      <c r="C873" t="str">
        <f>IFERROR(INDEX(Работы!$A$2:$A$6000,872),"")</f>
        <v>РАБ.Р9.5.011</v>
      </c>
      <c r="D873" s="8" t="str">
        <f>IFERROR(INDEX(Работы!$B$2:$B$6000,MATCH($C873,Работы!$A$2:$A$6000,0)),"")</f>
        <v>Скоба-держатель полосы с болтом ND2312 DKC</v>
      </c>
      <c r="E873" t="str">
        <f>IFERROR(INDEX(Работы!$C$2:$C$6000,MATCH($C873,Работы!$A$2:$A$6000,0)),"")</f>
        <v>шт.</v>
      </c>
      <c r="F873">
        <f>IFERROR(INDEX(Работы!$G$2:$G$6000,MATCH($C873,Работы!$A$2:$A$6000,0)),"")</f>
        <v>0</v>
      </c>
      <c r="G873" t="str">
        <f>IFERROR(INDEX(Работы!$K$2:$K$6000,MATCH($C873,Работы!$A$2:$A$6000,0)),"")</f>
        <v>S_пол</v>
      </c>
      <c r="H873" s="9"/>
      <c r="I873" s="9"/>
      <c r="J873" s="8" t="str">
        <f>IFERROR(INDEX(Материалы!$B$2:$B$9000,MATCH($I873,Материалы!$A$2:$A$9000,0)),"")</f>
        <v/>
      </c>
      <c r="K873" t="str">
        <f>IF($I873="","",IF($F873=IFERROR(INDEX(Материалы!$G$2:$G$9000,MATCH($I873,Материалы!$A$2:$A$9000,0)),""),"OK","!! не та группа"))</f>
        <v/>
      </c>
      <c r="L873" s="10">
        <f>IFERROR(INDEX(Работы!$H$2:$H$6000,MATCH($C873,Работы!$A$2:$A$6000,0))*(1-ДисконтТендер),0)</f>
        <v>48.51</v>
      </c>
      <c r="M873" s="10">
        <f>IF($I873="",0,IFERROR(INDEX(Материалы!$I$2:$I$9000,MATCH($I873,Материалы!$A$2:$A$9000,0))*IF(INDEX(Материалы!$J$2:$J$9000,MATCH($I873,Материалы!$A$2:$A$9000,0))="USD",КурсUSD,IF(INDEX(Материалы!$J$2:$J$9000,MATCH($I873,Материалы!$A$2:$A$9000,0))="EUR",КурсEUR,1))*INDEX(Материалы!$K$2:$K$9000,MATCH($I873,Материалы!$A$2:$A$9000,0))*(1+IFERROR(INDEX(Работы!$I$2:$I$6000,MATCH($C873,Работы!$A$2:$A$6000,0))/100,0))*(1-ДисконтТендер),0))</f>
        <v>0</v>
      </c>
      <c r="N873" s="10">
        <f t="shared" si="39"/>
        <v>0</v>
      </c>
      <c r="O873" s="10">
        <f t="shared" si="40"/>
        <v>0</v>
      </c>
      <c r="P873" s="10">
        <f t="shared" si="41"/>
        <v>0</v>
      </c>
      <c r="Q873" t="str">
        <f>IFERROR(INDEX(Работы!$J$2:$J$6000,MATCH($C873,Работы!$A$2:$A$6000,0)),"")</f>
        <v>типовая</v>
      </c>
      <c r="R873" t="s">
        <v>92</v>
      </c>
      <c r="T873" t="str">
        <f>IF(AND($P873&gt;0,$R873="да"),MAX($T$1:$T872)+1,"")</f>
        <v/>
      </c>
    </row>
    <row r="874" spans="1:20" ht="28.8" x14ac:dyDescent="0.3">
      <c r="A874" t="str">
        <f>IFERROR(INDEX(Работы!$D$2:$D$6000,MATCH($C874,Работы!$A$2:$A$6000,0)),"")</f>
        <v>Р9</v>
      </c>
      <c r="B874" t="str">
        <f>IFERROR(INDEX(Работы!$F$2:$F$6000,MATCH($C874,Работы!$A$2:$A$6000,0)),"")</f>
        <v>5</v>
      </c>
      <c r="C874" t="str">
        <f>IFERROR(INDEX(Работы!$A$2:$A$6000,873),"")</f>
        <v>РАБ.Р9.5.012</v>
      </c>
      <c r="D874" s="8" t="str">
        <f>IFERROR(INDEX(Работы!$B$2:$B$6000,MATCH($C874,Работы!$A$2:$A$6000,0)),"")</f>
        <v>Коробка уравнивания потенциалов 85х85х40 КУП2603-И HEGEL</v>
      </c>
      <c r="E874" t="str">
        <f>IFERROR(INDEX(Работы!$C$2:$C$6000,MATCH($C874,Работы!$A$2:$A$6000,0)),"")</f>
        <v>шт.</v>
      </c>
      <c r="F874" t="str">
        <f>IFERROR(INDEX(Работы!$G$2:$G$6000,MATCH($C874,Работы!$A$2:$A$6000,0)),"")</f>
        <v>МЗ</v>
      </c>
      <c r="G874" t="str">
        <f>IFERROR(INDEX(Работы!$K$2:$K$6000,MATCH($C874,Работы!$A$2:$A$6000,0)),"")</f>
        <v>Спецификация</v>
      </c>
      <c r="H874" s="9"/>
      <c r="I874" s="9"/>
      <c r="J874" s="8" t="str">
        <f>IFERROR(INDEX(Материалы!$B$2:$B$9000,MATCH($I874,Материалы!$A$2:$A$9000,0)),"")</f>
        <v/>
      </c>
      <c r="K874" t="str">
        <f>IF($I874="","",IF($F874=IFERROR(INDEX(Материалы!$G$2:$G$9000,MATCH($I874,Материалы!$A$2:$A$9000,0)),""),"OK","!! не та группа"))</f>
        <v/>
      </c>
      <c r="L874" s="10">
        <f>IFERROR(INDEX(Работы!$H$2:$H$6000,MATCH($C874,Работы!$A$2:$A$6000,0))*(1-ДисконтТендер),0)</f>
        <v>35.299999999999997</v>
      </c>
      <c r="M874" s="10">
        <f>IF($I874="",0,IFERROR(INDEX(Материалы!$I$2:$I$9000,MATCH($I874,Материалы!$A$2:$A$9000,0))*IF(INDEX(Материалы!$J$2:$J$9000,MATCH($I874,Материалы!$A$2:$A$9000,0))="USD",КурсUSD,IF(INDEX(Материалы!$J$2:$J$9000,MATCH($I874,Материалы!$A$2:$A$9000,0))="EUR",КурсEUR,1))*INDEX(Материалы!$K$2:$K$9000,MATCH($I874,Материалы!$A$2:$A$9000,0))*(1+IFERROR(INDEX(Работы!$I$2:$I$6000,MATCH($C874,Работы!$A$2:$A$6000,0))/100,0))*(1-ДисконтТендер),0))</f>
        <v>0</v>
      </c>
      <c r="N874" s="10">
        <f t="shared" si="39"/>
        <v>0</v>
      </c>
      <c r="O874" s="10">
        <f t="shared" si="40"/>
        <v>0</v>
      </c>
      <c r="P874" s="10">
        <f t="shared" si="41"/>
        <v>0</v>
      </c>
      <c r="Q874" t="str">
        <f>IFERROR(INDEX(Работы!$J$2:$J$6000,MATCH($C874,Работы!$A$2:$A$6000,0)),"")</f>
        <v>типовая</v>
      </c>
      <c r="R874" t="s">
        <v>92</v>
      </c>
      <c r="T874" t="str">
        <f>IF(AND($P874&gt;0,$R874="да"),MAX($T$1:$T873)+1,"")</f>
        <v/>
      </c>
    </row>
    <row r="875" spans="1:20" ht="57.6" x14ac:dyDescent="0.3">
      <c r="A875" t="str">
        <f>IFERROR(INDEX(Работы!$D$2:$D$6000,MATCH($C875,Работы!$A$2:$A$6000,0)),"")</f>
        <v>Р10</v>
      </c>
      <c r="B875" t="str">
        <f>IFERROR(INDEX(Работы!$F$2:$F$6000,MATCH($C875,Работы!$A$2:$A$6000,0)),"")</f>
        <v>1</v>
      </c>
      <c r="C875" t="str">
        <f>IFERROR(INDEX(Работы!$A$2:$A$6000,874),"")</f>
        <v>РАБ.Р10.1.001</v>
      </c>
      <c r="D875" s="8" t="str">
        <f>IFERROR(INDEX(Работы!$B$2:$B$6000,MATCH($C875,Работы!$A$2:$A$6000,0)),"")</f>
        <v>Проектирование подъемной платформы для МГН, проведение полного технического освидетельствования, постановка на учет в органе Ростехнадзора</v>
      </c>
      <c r="E875" t="str">
        <f>IFERROR(INDEX(Работы!$C$2:$C$6000,MATCH($C875,Работы!$A$2:$A$6000,0)),"")</f>
        <v>компл.</v>
      </c>
      <c r="F875">
        <f>IFERROR(INDEX(Работы!$G$2:$G$6000,MATCH($C875,Работы!$A$2:$A$6000,0)),"")</f>
        <v>0</v>
      </c>
      <c r="G875" t="str">
        <f>IFERROR(INDEX(Работы!$K$2:$K$6000,MATCH($C875,Работы!$A$2:$A$6000,0)),"")</f>
        <v>Спецификация</v>
      </c>
      <c r="H875" s="9"/>
      <c r="I875" s="9"/>
      <c r="J875" s="8" t="str">
        <f>IFERROR(INDEX(Материалы!$B$2:$B$9000,MATCH($I875,Материалы!$A$2:$A$9000,0)),"")</f>
        <v/>
      </c>
      <c r="K875" t="str">
        <f>IF($I875="","",IF($F875=IFERROR(INDEX(Материалы!$G$2:$G$9000,MATCH($I875,Материалы!$A$2:$A$9000,0)),""),"OK","!! не та группа"))</f>
        <v/>
      </c>
      <c r="L875" s="10">
        <f>IFERROR(INDEX(Работы!$H$2:$H$6000,MATCH($C875,Работы!$A$2:$A$6000,0))*(1-ДисконтТендер),0)</f>
        <v>217152</v>
      </c>
      <c r="M875" s="10">
        <f>IF($I875="",0,IFERROR(INDEX(Материалы!$I$2:$I$9000,MATCH($I875,Материалы!$A$2:$A$9000,0))*IF(INDEX(Материалы!$J$2:$J$9000,MATCH($I875,Материалы!$A$2:$A$9000,0))="USD",КурсUSD,IF(INDEX(Материалы!$J$2:$J$9000,MATCH($I875,Материалы!$A$2:$A$9000,0))="EUR",КурсEUR,1))*INDEX(Материалы!$K$2:$K$9000,MATCH($I875,Материалы!$A$2:$A$9000,0))*(1+IFERROR(INDEX(Работы!$I$2:$I$6000,MATCH($C875,Работы!$A$2:$A$6000,0))/100,0))*(1-ДисконтТендер),0))</f>
        <v>0</v>
      </c>
      <c r="N875" s="10">
        <f t="shared" si="39"/>
        <v>0</v>
      </c>
      <c r="O875" s="10">
        <f t="shared" si="40"/>
        <v>0</v>
      </c>
      <c r="P875" s="10">
        <f t="shared" si="41"/>
        <v>0</v>
      </c>
      <c r="Q875" t="str">
        <f>IFERROR(INDEX(Работы!$J$2:$J$6000,MATCH($C875,Работы!$A$2:$A$6000,0)),"")</f>
        <v>нетиповая</v>
      </c>
      <c r="R875" t="s">
        <v>92</v>
      </c>
      <c r="T875" t="str">
        <f>IF(AND($P875&gt;0,$R875="да"),MAX($T$1:$T874)+1,"")</f>
        <v/>
      </c>
    </row>
    <row r="876" spans="1:20" ht="43.2" x14ac:dyDescent="0.3">
      <c r="A876" t="str">
        <f>IFERROR(INDEX(Работы!$D$2:$D$6000,MATCH($C876,Работы!$A$2:$A$6000,0)),"")</f>
        <v>Р10</v>
      </c>
      <c r="B876" t="str">
        <f>IFERROR(INDEX(Работы!$F$2:$F$6000,MATCH($C876,Работы!$A$2:$A$6000,0)),"")</f>
        <v>1</v>
      </c>
      <c r="C876" t="str">
        <f>IFERROR(INDEX(Работы!$A$2:$A$6000,875),"")</f>
        <v>РАБ.Р10.1.002</v>
      </c>
      <c r="D876" s="8" t="str">
        <f>IFERROR(INDEX(Работы!$B$2:$B$6000,MATCH($C876,Работы!$A$2:$A$6000,0)),"")</f>
        <v>Установка подъемной платформы для МГН с наклонным перемещением БК 350 (Брянск, Россия).</v>
      </c>
      <c r="E876" t="str">
        <f>IFERROR(INDEX(Работы!$C$2:$C$6000,MATCH($C876,Работы!$A$2:$A$6000,0)),"")</f>
        <v>компл.</v>
      </c>
      <c r="F876">
        <f>IFERROR(INDEX(Работы!$G$2:$G$6000,MATCH($C876,Работы!$A$2:$A$6000,0)),"")</f>
        <v>0</v>
      </c>
      <c r="G876" t="str">
        <f>IFERROR(INDEX(Работы!$K$2:$K$6000,MATCH($C876,Работы!$A$2:$A$6000,0)),"")</f>
        <v>Спецификация</v>
      </c>
      <c r="H876" s="9"/>
      <c r="I876" s="9"/>
      <c r="J876" s="8" t="str">
        <f>IFERROR(INDEX(Материалы!$B$2:$B$9000,MATCH($I876,Материалы!$A$2:$A$9000,0)),"")</f>
        <v/>
      </c>
      <c r="K876" t="str">
        <f>IF($I876="","",IF($F876=IFERROR(INDEX(Материалы!$G$2:$G$9000,MATCH($I876,Материалы!$A$2:$A$9000,0)),""),"OK","!! не та группа"))</f>
        <v/>
      </c>
      <c r="L876" s="10">
        <f>IFERROR(INDEX(Работы!$H$2:$H$6000,MATCH($C876,Работы!$A$2:$A$6000,0))*(1-ДисконтТендер),0)</f>
        <v>162864</v>
      </c>
      <c r="M876" s="10">
        <f>IF($I876="",0,IFERROR(INDEX(Материалы!$I$2:$I$9000,MATCH($I876,Материалы!$A$2:$A$9000,0))*IF(INDEX(Материалы!$J$2:$J$9000,MATCH($I876,Материалы!$A$2:$A$9000,0))="USD",КурсUSD,IF(INDEX(Материалы!$J$2:$J$9000,MATCH($I876,Материалы!$A$2:$A$9000,0))="EUR",КурсEUR,1))*INDEX(Материалы!$K$2:$K$9000,MATCH($I876,Материалы!$A$2:$A$9000,0))*(1+IFERROR(INDEX(Работы!$I$2:$I$6000,MATCH($C876,Работы!$A$2:$A$6000,0))/100,0))*(1-ДисконтТендер),0))</f>
        <v>0</v>
      </c>
      <c r="N876" s="10">
        <f t="shared" si="39"/>
        <v>0</v>
      </c>
      <c r="O876" s="10">
        <f t="shared" si="40"/>
        <v>0</v>
      </c>
      <c r="P876" s="10">
        <f t="shared" si="41"/>
        <v>0</v>
      </c>
      <c r="Q876" t="str">
        <f>IFERROR(INDEX(Работы!$J$2:$J$6000,MATCH($C876,Работы!$A$2:$A$6000,0)),"")</f>
        <v>нетиповая</v>
      </c>
      <c r="R876" t="s">
        <v>92</v>
      </c>
      <c r="T876" t="str">
        <f>IF(AND($P876&gt;0,$R876="да"),MAX($T$1:$T875)+1,"")</f>
        <v/>
      </c>
    </row>
    <row r="877" spans="1:20" x14ac:dyDescent="0.3">
      <c r="A877" t="str">
        <f>IFERROR(INDEX(Работы!$D$2:$D$6000,MATCH($C877,Работы!$A$2:$A$6000,0)),"")</f>
        <v>Р10</v>
      </c>
      <c r="B877" t="str">
        <f>IFERROR(INDEX(Работы!$F$2:$F$6000,MATCH($C877,Работы!$A$2:$A$6000,0)),"")</f>
        <v>1</v>
      </c>
      <c r="C877" t="str">
        <f>IFERROR(INDEX(Работы!$A$2:$A$6000,876),"")</f>
        <v>РАБ.Р10.1.003</v>
      </c>
      <c r="D877" s="8" t="str">
        <f>IFERROR(INDEX(Работы!$B$2:$B$6000,MATCH($C877,Работы!$A$2:$A$6000,0)),"")</f>
        <v>Монтаж элемента адаптации для МГН</v>
      </c>
      <c r="E877" t="str">
        <f>IFERROR(INDEX(Работы!$C$2:$C$6000,MATCH($C877,Работы!$A$2:$A$6000,0)),"")</f>
        <v>компл.</v>
      </c>
      <c r="F877" t="str">
        <f>IFERROR(INDEX(Работы!$G$2:$G$6000,MATCH($C877,Работы!$A$2:$A$6000,0)),"")</f>
        <v>МГН</v>
      </c>
      <c r="G877" t="str">
        <f>IFERROR(INDEX(Работы!$K$2:$K$6000,MATCH($C877,Работы!$A$2:$A$6000,0)),"")</f>
        <v>Спецификация</v>
      </c>
      <c r="H877" s="9"/>
      <c r="I877" s="9"/>
      <c r="J877" s="8" t="str">
        <f>IFERROR(INDEX(Материалы!$B$2:$B$9000,MATCH($I877,Материалы!$A$2:$A$9000,0)),"")</f>
        <v/>
      </c>
      <c r="K877" t="str">
        <f>IF($I877="","",IF($F877=IFERROR(INDEX(Материалы!$G$2:$G$9000,MATCH($I877,Материалы!$A$2:$A$9000,0)),""),"OK","!! не та группа"))</f>
        <v/>
      </c>
      <c r="L877" s="10">
        <f>IFERROR(INDEX(Работы!$H$2:$H$6000,MATCH($C877,Работы!$A$2:$A$6000,0))*(1-ДисконтТендер),0)</f>
        <v>678.6</v>
      </c>
      <c r="M877" s="10">
        <f>IF($I877="",0,IFERROR(INDEX(Материалы!$I$2:$I$9000,MATCH($I877,Материалы!$A$2:$A$9000,0))*IF(INDEX(Материалы!$J$2:$J$9000,MATCH($I877,Материалы!$A$2:$A$9000,0))="USD",КурсUSD,IF(INDEX(Материалы!$J$2:$J$9000,MATCH($I877,Материалы!$A$2:$A$9000,0))="EUR",КурсEUR,1))*INDEX(Материалы!$K$2:$K$9000,MATCH($I877,Материалы!$A$2:$A$9000,0))*(1+IFERROR(INDEX(Работы!$I$2:$I$6000,MATCH($C877,Работы!$A$2:$A$6000,0))/100,0))*(1-ДисконтТендер),0))</f>
        <v>0</v>
      </c>
      <c r="N877" s="10">
        <f t="shared" si="39"/>
        <v>0</v>
      </c>
      <c r="O877" s="10">
        <f t="shared" si="40"/>
        <v>0</v>
      </c>
      <c r="P877" s="10">
        <f t="shared" si="41"/>
        <v>0</v>
      </c>
      <c r="Q877" t="str">
        <f>IFERROR(INDEX(Работы!$J$2:$J$6000,MATCH($C877,Работы!$A$2:$A$6000,0)),"")</f>
        <v>нетиповая</v>
      </c>
      <c r="R877" t="s">
        <v>92</v>
      </c>
      <c r="T877" t="str">
        <f>IF(AND($P877&gt;0,$R877="да"),MAX($T$1:$T876)+1,"")</f>
        <v/>
      </c>
    </row>
    <row r="878" spans="1:20" ht="57.6" x14ac:dyDescent="0.3">
      <c r="A878" t="str">
        <f>IFERROR(INDEX(Работы!$D$2:$D$6000,MATCH($C878,Работы!$A$2:$A$6000,0)),"")</f>
        <v>Р10</v>
      </c>
      <c r="B878" t="str">
        <f>IFERROR(INDEX(Работы!$F$2:$F$6000,MATCH($C878,Работы!$A$2:$A$6000,0)),"")</f>
        <v>1</v>
      </c>
      <c r="C878" t="str">
        <f>IFERROR(INDEX(Работы!$A$2:$A$6000,877),"")</f>
        <v>РАБ.Р10.1.004</v>
      </c>
      <c r="D878" s="8" t="str">
        <f>IFERROR(INDEX(Работы!$B$2:$B$6000,MATCH($C878,Работы!$A$2:$A$6000,0)),"")</f>
        <v>Накладки на ступени материал: AL, резина тип указателя: обозначение крайних ступеней (полоса) цвет вставки: желтый (для первой и последней ступеней).</v>
      </c>
      <c r="E878" t="str">
        <f>IFERROR(INDEX(Работы!$C$2:$C$6000,MATCH($C878,Работы!$A$2:$A$6000,0)),"")</f>
        <v>м.п.</v>
      </c>
      <c r="F878">
        <f>IFERROR(INDEX(Работы!$G$2:$G$6000,MATCH($C878,Работы!$A$2:$A$6000,0)),"")</f>
        <v>0</v>
      </c>
      <c r="G878" t="str">
        <f>IFERROR(INDEX(Работы!$K$2:$K$6000,MATCH($C878,Работы!$A$2:$A$6000,0)),"")</f>
        <v>Спецификация</v>
      </c>
      <c r="H878" s="9"/>
      <c r="I878" s="9"/>
      <c r="J878" s="8" t="str">
        <f>IFERROR(INDEX(Материалы!$B$2:$B$9000,MATCH($I878,Материалы!$A$2:$A$9000,0)),"")</f>
        <v/>
      </c>
      <c r="K878" t="str">
        <f>IF($I878="","",IF($F878=IFERROR(INDEX(Материалы!$G$2:$G$9000,MATCH($I878,Материалы!$A$2:$A$9000,0)),""),"OK","!! не та группа"))</f>
        <v/>
      </c>
      <c r="L878" s="10">
        <f>IFERROR(INDEX(Работы!$H$2:$H$6000,MATCH($C878,Работы!$A$2:$A$6000,0))*(1-ДисконтТендер),0)</f>
        <v>393.59</v>
      </c>
      <c r="M878" s="10">
        <f>IF($I878="",0,IFERROR(INDEX(Материалы!$I$2:$I$9000,MATCH($I878,Материалы!$A$2:$A$9000,0))*IF(INDEX(Материалы!$J$2:$J$9000,MATCH($I878,Материалы!$A$2:$A$9000,0))="USD",КурсUSD,IF(INDEX(Материалы!$J$2:$J$9000,MATCH($I878,Материалы!$A$2:$A$9000,0))="EUR",КурсEUR,1))*INDEX(Материалы!$K$2:$K$9000,MATCH($I878,Материалы!$A$2:$A$9000,0))*(1+IFERROR(INDEX(Работы!$I$2:$I$6000,MATCH($C878,Работы!$A$2:$A$6000,0))/100,0))*(1-ДисконтТендер),0))</f>
        <v>0</v>
      </c>
      <c r="N878" s="10">
        <f t="shared" si="39"/>
        <v>0</v>
      </c>
      <c r="O878" s="10">
        <f t="shared" si="40"/>
        <v>0</v>
      </c>
      <c r="P878" s="10">
        <f t="shared" si="41"/>
        <v>0</v>
      </c>
      <c r="Q878" t="str">
        <f>IFERROR(INDEX(Работы!$J$2:$J$6000,MATCH($C878,Работы!$A$2:$A$6000,0)),"")</f>
        <v>нетиповая</v>
      </c>
      <c r="R878" t="s">
        <v>92</v>
      </c>
      <c r="T878" t="str">
        <f>IF(AND($P878&gt;0,$R878="да"),MAX($T$1:$T877)+1,"")</f>
        <v/>
      </c>
    </row>
    <row r="879" spans="1:20" ht="43.2" x14ac:dyDescent="0.3">
      <c r="A879" t="str">
        <f>IFERROR(INDEX(Работы!$D$2:$D$6000,MATCH($C879,Работы!$A$2:$A$6000,0)),"")</f>
        <v>Р10</v>
      </c>
      <c r="B879" t="str">
        <f>IFERROR(INDEX(Работы!$F$2:$F$6000,MATCH($C879,Работы!$A$2:$A$6000,0)),"")</f>
        <v>1</v>
      </c>
      <c r="C879" t="str">
        <f>IFERROR(INDEX(Работы!$A$2:$A$6000,878),"")</f>
        <v>РАБ.Р10.1.005</v>
      </c>
      <c r="D879" s="8" t="str">
        <f>IFERROR(INDEX(Работы!$B$2:$B$6000,MATCH($C879,Работы!$A$2:$A$6000,0)),"")</f>
        <v>Откидной пандус. Конструкция из двух рельс (аппарелей), которые соединены между собой направляющими (до 2,5 м)</v>
      </c>
      <c r="E879" t="str">
        <f>IFERROR(INDEX(Работы!$C$2:$C$6000,MATCH($C879,Работы!$A$2:$A$6000,0)),"")</f>
        <v>шт.</v>
      </c>
      <c r="F879" t="str">
        <f>IFERROR(INDEX(Работы!$G$2:$G$6000,MATCH($C879,Работы!$A$2:$A$6000,0)),"")</f>
        <v>МГН</v>
      </c>
      <c r="G879" t="str">
        <f>IFERROR(INDEX(Работы!$K$2:$K$6000,MATCH($C879,Работы!$A$2:$A$6000,0)),"")</f>
        <v>Спецификация</v>
      </c>
      <c r="H879" s="9"/>
      <c r="I879" s="9"/>
      <c r="J879" s="8" t="str">
        <f>IFERROR(INDEX(Материалы!$B$2:$B$9000,MATCH($I879,Материалы!$A$2:$A$9000,0)),"")</f>
        <v/>
      </c>
      <c r="K879" t="str">
        <f>IF($I879="","",IF($F879=IFERROR(INDEX(Материалы!$G$2:$G$9000,MATCH($I879,Материалы!$A$2:$A$9000,0)),""),"OK","!! не та группа"))</f>
        <v/>
      </c>
      <c r="L879" s="10">
        <f>IFERROR(INDEX(Работы!$H$2:$H$6000,MATCH($C879,Работы!$A$2:$A$6000,0))*(1-ДисконтТендер),0)</f>
        <v>1413.71</v>
      </c>
      <c r="M879" s="10">
        <f>IF($I879="",0,IFERROR(INDEX(Материалы!$I$2:$I$9000,MATCH($I879,Материалы!$A$2:$A$9000,0))*IF(INDEX(Материалы!$J$2:$J$9000,MATCH($I879,Материалы!$A$2:$A$9000,0))="USD",КурсUSD,IF(INDEX(Материалы!$J$2:$J$9000,MATCH($I879,Материалы!$A$2:$A$9000,0))="EUR",КурсEUR,1))*INDEX(Материалы!$K$2:$K$9000,MATCH($I879,Материалы!$A$2:$A$9000,0))*(1+IFERROR(INDEX(Работы!$I$2:$I$6000,MATCH($C879,Работы!$A$2:$A$6000,0))/100,0))*(1-ДисконтТендер),0))</f>
        <v>0</v>
      </c>
      <c r="N879" s="10">
        <f t="shared" si="39"/>
        <v>0</v>
      </c>
      <c r="O879" s="10">
        <f t="shared" si="40"/>
        <v>0</v>
      </c>
      <c r="P879" s="10">
        <f t="shared" si="41"/>
        <v>0</v>
      </c>
      <c r="Q879" t="str">
        <f>IFERROR(INDEX(Работы!$J$2:$J$6000,MATCH($C879,Работы!$A$2:$A$6000,0)),"")</f>
        <v>нетиповая</v>
      </c>
      <c r="R879" t="s">
        <v>92</v>
      </c>
      <c r="T879" t="str">
        <f>IF(AND($P879&gt;0,$R879="да"),MAX($T$1:$T878)+1,"")</f>
        <v/>
      </c>
    </row>
    <row r="880" spans="1:20" ht="43.2" x14ac:dyDescent="0.3">
      <c r="A880" t="str">
        <f>IFERROR(INDEX(Работы!$D$2:$D$6000,MATCH($C880,Работы!$A$2:$A$6000,0)),"")</f>
        <v>Р10</v>
      </c>
      <c r="B880" t="str">
        <f>IFERROR(INDEX(Работы!$F$2:$F$6000,MATCH($C880,Работы!$A$2:$A$6000,0)),"")</f>
        <v>1</v>
      </c>
      <c r="C880" t="str">
        <f>IFERROR(INDEX(Работы!$A$2:$A$6000,879),"")</f>
        <v>РАБ.Р10.1.006</v>
      </c>
      <c r="D880" s="8" t="str">
        <f>IFERROR(INDEX(Работы!$B$2:$B$6000,MATCH($C880,Работы!$A$2:$A$6000,0)),"")</f>
        <v>Мини пандус из листового метала. Выполнен из алюминиевого рифленого листа на металлическом каркасе (900х350х50 мм).</v>
      </c>
      <c r="E880" t="str">
        <f>IFERROR(INDEX(Работы!$C$2:$C$6000,MATCH($C880,Работы!$A$2:$A$6000,0)),"")</f>
        <v>шт.</v>
      </c>
      <c r="F880" t="str">
        <f>IFERROR(INDEX(Работы!$G$2:$G$6000,MATCH($C880,Работы!$A$2:$A$6000,0)),"")</f>
        <v>МГН</v>
      </c>
      <c r="G880" t="str">
        <f>IFERROR(INDEX(Работы!$K$2:$K$6000,MATCH($C880,Работы!$A$2:$A$6000,0)),"")</f>
        <v>Спецификация</v>
      </c>
      <c r="H880" s="9"/>
      <c r="I880" s="9"/>
      <c r="J880" s="8" t="str">
        <f>IFERROR(INDEX(Материалы!$B$2:$B$9000,MATCH($I880,Материалы!$A$2:$A$9000,0)),"")</f>
        <v/>
      </c>
      <c r="K880" t="str">
        <f>IF($I880="","",IF($F880=IFERROR(INDEX(Материалы!$G$2:$G$9000,MATCH($I880,Материалы!$A$2:$A$9000,0)),""),"OK","!! не та группа"))</f>
        <v/>
      </c>
      <c r="L880" s="10">
        <f>IFERROR(INDEX(Работы!$H$2:$H$6000,MATCH($C880,Работы!$A$2:$A$6000,0))*(1-ДисконтТендер),0)</f>
        <v>1414.58</v>
      </c>
      <c r="M880" s="10">
        <f>IF($I880="",0,IFERROR(INDEX(Материалы!$I$2:$I$9000,MATCH($I880,Материалы!$A$2:$A$9000,0))*IF(INDEX(Материалы!$J$2:$J$9000,MATCH($I880,Материалы!$A$2:$A$9000,0))="USD",КурсUSD,IF(INDEX(Материалы!$J$2:$J$9000,MATCH($I880,Материалы!$A$2:$A$9000,0))="EUR",КурсEUR,1))*INDEX(Материалы!$K$2:$K$9000,MATCH($I880,Материалы!$A$2:$A$9000,0))*(1+IFERROR(INDEX(Работы!$I$2:$I$6000,MATCH($C880,Работы!$A$2:$A$6000,0))/100,0))*(1-ДисконтТендер),0))</f>
        <v>0</v>
      </c>
      <c r="N880" s="10">
        <f t="shared" si="39"/>
        <v>0</v>
      </c>
      <c r="O880" s="10">
        <f t="shared" si="40"/>
        <v>0</v>
      </c>
      <c r="P880" s="10">
        <f t="shared" si="41"/>
        <v>0</v>
      </c>
      <c r="Q880" t="str">
        <f>IFERROR(INDEX(Работы!$J$2:$J$6000,MATCH($C880,Работы!$A$2:$A$6000,0)),"")</f>
        <v>нетиповая</v>
      </c>
      <c r="R880" t="s">
        <v>92</v>
      </c>
      <c r="T880" t="str">
        <f>IF(AND($P880&gt;0,$R880="да"),MAX($T$1:$T879)+1,"")</f>
        <v/>
      </c>
    </row>
    <row r="881" spans="1:20" ht="43.2" x14ac:dyDescent="0.3">
      <c r="A881" t="str">
        <f>IFERROR(INDEX(Работы!$D$2:$D$6000,MATCH($C881,Работы!$A$2:$A$6000,0)),"")</f>
        <v>Р10</v>
      </c>
      <c r="B881" t="str">
        <f>IFERROR(INDEX(Работы!$F$2:$F$6000,MATCH($C881,Работы!$A$2:$A$6000,0)),"")</f>
        <v>1</v>
      </c>
      <c r="C881" t="str">
        <f>IFERROR(INDEX(Работы!$A$2:$A$6000,880),"")</f>
        <v>РАБ.Р10.1.007</v>
      </c>
      <c r="D881" s="8" t="str">
        <f>IFERROR(INDEX(Работы!$B$2:$B$6000,MATCH($C881,Работы!$A$2:$A$6000,0)),"")</f>
        <v>Мини пандус из листового метала. Выполнен из алюминиевого рифленого листа на металлическом каркасе (900х350х100 мм).</v>
      </c>
      <c r="E881" t="str">
        <f>IFERROR(INDEX(Работы!$C$2:$C$6000,MATCH($C881,Работы!$A$2:$A$6000,0)),"")</f>
        <v>шт.</v>
      </c>
      <c r="F881" t="str">
        <f>IFERROR(INDEX(Работы!$G$2:$G$6000,MATCH($C881,Работы!$A$2:$A$6000,0)),"")</f>
        <v>МГН</v>
      </c>
      <c r="G881" t="str">
        <f>IFERROR(INDEX(Работы!$K$2:$K$6000,MATCH($C881,Работы!$A$2:$A$6000,0)),"")</f>
        <v>Спецификация</v>
      </c>
      <c r="H881" s="9"/>
      <c r="I881" s="9"/>
      <c r="J881" s="8" t="str">
        <f>IFERROR(INDEX(Материалы!$B$2:$B$9000,MATCH($I881,Материалы!$A$2:$A$9000,0)),"")</f>
        <v/>
      </c>
      <c r="K881" t="str">
        <f>IF($I881="","",IF($F881=IFERROR(INDEX(Материалы!$G$2:$G$9000,MATCH($I881,Материалы!$A$2:$A$9000,0)),""),"OK","!! не та группа"))</f>
        <v/>
      </c>
      <c r="L881" s="10">
        <f>IFERROR(INDEX(Работы!$H$2:$H$6000,MATCH($C881,Работы!$A$2:$A$6000,0))*(1-ДисконтТендер),0)</f>
        <v>1415.45</v>
      </c>
      <c r="M881" s="10">
        <f>IF($I881="",0,IFERROR(INDEX(Материалы!$I$2:$I$9000,MATCH($I881,Материалы!$A$2:$A$9000,0))*IF(INDEX(Материалы!$J$2:$J$9000,MATCH($I881,Материалы!$A$2:$A$9000,0))="USD",КурсUSD,IF(INDEX(Материалы!$J$2:$J$9000,MATCH($I881,Материалы!$A$2:$A$9000,0))="EUR",КурсEUR,1))*INDEX(Материалы!$K$2:$K$9000,MATCH($I881,Материалы!$A$2:$A$9000,0))*(1+IFERROR(INDEX(Работы!$I$2:$I$6000,MATCH($C881,Работы!$A$2:$A$6000,0))/100,0))*(1-ДисконтТендер),0))</f>
        <v>0</v>
      </c>
      <c r="N881" s="10">
        <f t="shared" si="39"/>
        <v>0</v>
      </c>
      <c r="O881" s="10">
        <f t="shared" si="40"/>
        <v>0</v>
      </c>
      <c r="P881" s="10">
        <f t="shared" si="41"/>
        <v>0</v>
      </c>
      <c r="Q881" t="str">
        <f>IFERROR(INDEX(Работы!$J$2:$J$6000,MATCH($C881,Работы!$A$2:$A$6000,0)),"")</f>
        <v>нетиповая</v>
      </c>
      <c r="R881" t="s">
        <v>92</v>
      </c>
      <c r="T881" t="str">
        <f>IF(AND($P881&gt;0,$R881="да"),MAX($T$1:$T880)+1,"")</f>
        <v/>
      </c>
    </row>
    <row r="882" spans="1:20" ht="43.2" x14ac:dyDescent="0.3">
      <c r="A882" t="str">
        <f>IFERROR(INDEX(Работы!$D$2:$D$6000,MATCH($C882,Работы!$A$2:$A$6000,0)),"")</f>
        <v>Р10</v>
      </c>
      <c r="B882" t="str">
        <f>IFERROR(INDEX(Работы!$F$2:$F$6000,MATCH($C882,Работы!$A$2:$A$6000,0)),"")</f>
        <v>1</v>
      </c>
      <c r="C882" t="str">
        <f>IFERROR(INDEX(Работы!$A$2:$A$6000,881),"")</f>
        <v>РАБ.Р10.1.008</v>
      </c>
      <c r="D882" s="8" t="str">
        <f>IFERROR(INDEX(Работы!$B$2:$B$6000,MATCH($C882,Работы!$A$2:$A$6000,0)),"")</f>
        <v>Мини пандус из листового метала. Выполнен из алюминиевого рифленого листа на металлическом каркасе (900х700х50 мм).</v>
      </c>
      <c r="E882" t="str">
        <f>IFERROR(INDEX(Работы!$C$2:$C$6000,MATCH($C882,Работы!$A$2:$A$6000,0)),"")</f>
        <v>шт.</v>
      </c>
      <c r="F882" t="str">
        <f>IFERROR(INDEX(Работы!$G$2:$G$6000,MATCH($C882,Работы!$A$2:$A$6000,0)),"")</f>
        <v>МГН</v>
      </c>
      <c r="G882" t="str">
        <f>IFERROR(INDEX(Работы!$K$2:$K$6000,MATCH($C882,Работы!$A$2:$A$6000,0)),"")</f>
        <v>Спецификация</v>
      </c>
      <c r="H882" s="9"/>
      <c r="I882" s="9"/>
      <c r="J882" s="8" t="str">
        <f>IFERROR(INDEX(Материалы!$B$2:$B$9000,MATCH($I882,Материалы!$A$2:$A$9000,0)),"")</f>
        <v/>
      </c>
      <c r="K882" t="str">
        <f>IF($I882="","",IF($F882=IFERROR(INDEX(Материалы!$G$2:$G$9000,MATCH($I882,Материалы!$A$2:$A$9000,0)),""),"OK","!! не та группа"))</f>
        <v/>
      </c>
      <c r="L882" s="10">
        <f>IFERROR(INDEX(Работы!$H$2:$H$6000,MATCH($C882,Работы!$A$2:$A$6000,0))*(1-ДисконтТендер),0)</f>
        <v>1416.32</v>
      </c>
      <c r="M882" s="10">
        <f>IF($I882="",0,IFERROR(INDEX(Материалы!$I$2:$I$9000,MATCH($I882,Материалы!$A$2:$A$9000,0))*IF(INDEX(Материалы!$J$2:$J$9000,MATCH($I882,Материалы!$A$2:$A$9000,0))="USD",КурсUSD,IF(INDEX(Материалы!$J$2:$J$9000,MATCH($I882,Материалы!$A$2:$A$9000,0))="EUR",КурсEUR,1))*INDEX(Материалы!$K$2:$K$9000,MATCH($I882,Материалы!$A$2:$A$9000,0))*(1+IFERROR(INDEX(Работы!$I$2:$I$6000,MATCH($C882,Работы!$A$2:$A$6000,0))/100,0))*(1-ДисконтТендер),0))</f>
        <v>0</v>
      </c>
      <c r="N882" s="10">
        <f t="shared" si="39"/>
        <v>0</v>
      </c>
      <c r="O882" s="10">
        <f t="shared" si="40"/>
        <v>0</v>
      </c>
      <c r="P882" s="10">
        <f t="shared" si="41"/>
        <v>0</v>
      </c>
      <c r="Q882" t="str">
        <f>IFERROR(INDEX(Работы!$J$2:$J$6000,MATCH($C882,Работы!$A$2:$A$6000,0)),"")</f>
        <v>нетиповая</v>
      </c>
      <c r="R882" t="s">
        <v>92</v>
      </c>
      <c r="T882" t="str">
        <f>IF(AND($P882&gt;0,$R882="да"),MAX($T$1:$T881)+1,"")</f>
        <v/>
      </c>
    </row>
    <row r="883" spans="1:20" ht="43.2" x14ac:dyDescent="0.3">
      <c r="A883" t="str">
        <f>IFERROR(INDEX(Работы!$D$2:$D$6000,MATCH($C883,Работы!$A$2:$A$6000,0)),"")</f>
        <v>Р10</v>
      </c>
      <c r="B883" t="str">
        <f>IFERROR(INDEX(Работы!$F$2:$F$6000,MATCH($C883,Работы!$A$2:$A$6000,0)),"")</f>
        <v>1</v>
      </c>
      <c r="C883" t="str">
        <f>IFERROR(INDEX(Работы!$A$2:$A$6000,882),"")</f>
        <v>РАБ.Р10.1.009</v>
      </c>
      <c r="D883" s="8" t="str">
        <f>IFERROR(INDEX(Работы!$B$2:$B$6000,MATCH($C883,Работы!$A$2:$A$6000,0)),"")</f>
        <v>Мини пандус из листового метала. Выполнен из алюминиевого рифленого листа на металлическом каркасе (900х1000х100 мм).</v>
      </c>
      <c r="E883" t="str">
        <f>IFERROR(INDEX(Работы!$C$2:$C$6000,MATCH($C883,Работы!$A$2:$A$6000,0)),"")</f>
        <v>шт.</v>
      </c>
      <c r="F883" t="str">
        <f>IFERROR(INDEX(Работы!$G$2:$G$6000,MATCH($C883,Работы!$A$2:$A$6000,0)),"")</f>
        <v>МГН</v>
      </c>
      <c r="G883" t="str">
        <f>IFERROR(INDEX(Работы!$K$2:$K$6000,MATCH($C883,Работы!$A$2:$A$6000,0)),"")</f>
        <v>Спецификация</v>
      </c>
      <c r="H883" s="9"/>
      <c r="I883" s="9"/>
      <c r="J883" s="8" t="str">
        <f>IFERROR(INDEX(Материалы!$B$2:$B$9000,MATCH($I883,Материалы!$A$2:$A$9000,0)),"")</f>
        <v/>
      </c>
      <c r="K883" t="str">
        <f>IF($I883="","",IF($F883=IFERROR(INDEX(Материалы!$G$2:$G$9000,MATCH($I883,Материалы!$A$2:$A$9000,0)),""),"OK","!! не та группа"))</f>
        <v/>
      </c>
      <c r="L883" s="10">
        <f>IFERROR(INDEX(Работы!$H$2:$H$6000,MATCH($C883,Работы!$A$2:$A$6000,0))*(1-ДисконтТендер),0)</f>
        <v>1417.19</v>
      </c>
      <c r="M883" s="10">
        <f>IF($I883="",0,IFERROR(INDEX(Материалы!$I$2:$I$9000,MATCH($I883,Материалы!$A$2:$A$9000,0))*IF(INDEX(Материалы!$J$2:$J$9000,MATCH($I883,Материалы!$A$2:$A$9000,0))="USD",КурсUSD,IF(INDEX(Материалы!$J$2:$J$9000,MATCH($I883,Материалы!$A$2:$A$9000,0))="EUR",КурсEUR,1))*INDEX(Материалы!$K$2:$K$9000,MATCH($I883,Материалы!$A$2:$A$9000,0))*(1+IFERROR(INDEX(Работы!$I$2:$I$6000,MATCH($C883,Работы!$A$2:$A$6000,0))/100,0))*(1-ДисконтТендер),0))</f>
        <v>0</v>
      </c>
      <c r="N883" s="10">
        <f t="shared" si="39"/>
        <v>0</v>
      </c>
      <c r="O883" s="10">
        <f t="shared" si="40"/>
        <v>0</v>
      </c>
      <c r="P883" s="10">
        <f t="shared" si="41"/>
        <v>0</v>
      </c>
      <c r="Q883" t="str">
        <f>IFERROR(INDEX(Работы!$J$2:$J$6000,MATCH($C883,Работы!$A$2:$A$6000,0)),"")</f>
        <v>нетиповая</v>
      </c>
      <c r="R883" t="s">
        <v>92</v>
      </c>
      <c r="T883" t="str">
        <f>IF(AND($P883&gt;0,$R883="да"),MAX($T$1:$T882)+1,"")</f>
        <v/>
      </c>
    </row>
    <row r="884" spans="1:20" ht="28.8" x14ac:dyDescent="0.3">
      <c r="A884" t="str">
        <f>IFERROR(INDEX(Работы!$D$2:$D$6000,MATCH($C884,Работы!$A$2:$A$6000,0)),"")</f>
        <v>Р10</v>
      </c>
      <c r="B884" t="str">
        <f>IFERROR(INDEX(Работы!$F$2:$F$6000,MATCH($C884,Работы!$A$2:$A$6000,0)),"")</f>
        <v>1</v>
      </c>
      <c r="C884" t="str">
        <f>IFERROR(INDEX(Работы!$A$2:$A$6000,883),"")</f>
        <v>РАБ.Р10.1.010</v>
      </c>
      <c r="D884" s="8" t="str">
        <f>IFERROR(INDEX(Работы!$B$2:$B$6000,MATCH($C884,Работы!$A$2:$A$6000,0)),"")</f>
        <v>Наклейка на дверь круг. Самоклеящаяся, виниловая, желтого цвета, размер 200мм.</v>
      </c>
      <c r="E884" t="str">
        <f>IFERROR(INDEX(Работы!$C$2:$C$6000,MATCH($C884,Работы!$A$2:$A$6000,0)),"")</f>
        <v>шт.</v>
      </c>
      <c r="F884">
        <f>IFERROR(INDEX(Работы!$G$2:$G$6000,MATCH($C884,Работы!$A$2:$A$6000,0)),"")</f>
        <v>0</v>
      </c>
      <c r="G884" t="str">
        <f>IFERROR(INDEX(Работы!$K$2:$K$6000,MATCH($C884,Работы!$A$2:$A$6000,0)),"")</f>
        <v>Спецификация</v>
      </c>
      <c r="H884" s="9"/>
      <c r="I884" s="9"/>
      <c r="J884" s="8" t="str">
        <f>IFERROR(INDEX(Материалы!$B$2:$B$9000,MATCH($I884,Материалы!$A$2:$A$9000,0)),"")</f>
        <v/>
      </c>
      <c r="K884" t="str">
        <f>IF($I884="","",IF($F884=IFERROR(INDEX(Материалы!$G$2:$G$9000,MATCH($I884,Материалы!$A$2:$A$9000,0)),""),"OK","!! не та группа"))</f>
        <v/>
      </c>
      <c r="L884" s="10">
        <f>IFERROR(INDEX(Работы!$H$2:$H$6000,MATCH($C884,Работы!$A$2:$A$6000,0))*(1-ДисконтТендер),0)</f>
        <v>271.44</v>
      </c>
      <c r="M884" s="10">
        <f>IF($I884="",0,IFERROR(INDEX(Материалы!$I$2:$I$9000,MATCH($I884,Материалы!$A$2:$A$9000,0))*IF(INDEX(Материалы!$J$2:$J$9000,MATCH($I884,Материалы!$A$2:$A$9000,0))="USD",КурсUSD,IF(INDEX(Материалы!$J$2:$J$9000,MATCH($I884,Материалы!$A$2:$A$9000,0))="EUR",КурсEUR,1))*INDEX(Материалы!$K$2:$K$9000,MATCH($I884,Материалы!$A$2:$A$9000,0))*(1+IFERROR(INDEX(Работы!$I$2:$I$6000,MATCH($C884,Работы!$A$2:$A$6000,0))/100,0))*(1-ДисконтТендер),0))</f>
        <v>0</v>
      </c>
      <c r="N884" s="10">
        <f t="shared" si="39"/>
        <v>0</v>
      </c>
      <c r="O884" s="10">
        <f t="shared" si="40"/>
        <v>0</v>
      </c>
      <c r="P884" s="10">
        <f t="shared" si="41"/>
        <v>0</v>
      </c>
      <c r="Q884" t="str">
        <f>IFERROR(INDEX(Работы!$J$2:$J$6000,MATCH($C884,Работы!$A$2:$A$6000,0)),"")</f>
        <v>нетиповая</v>
      </c>
      <c r="R884" t="s">
        <v>92</v>
      </c>
      <c r="T884" t="str">
        <f>IF(AND($P884&gt;0,$R884="да"),MAX($T$1:$T883)+1,"")</f>
        <v/>
      </c>
    </row>
    <row r="885" spans="1:20" ht="28.8" x14ac:dyDescent="0.3">
      <c r="A885" t="str">
        <f>IFERROR(INDEX(Работы!$D$2:$D$6000,MATCH($C885,Работы!$A$2:$A$6000,0)),"")</f>
        <v>Р10</v>
      </c>
      <c r="B885" t="str">
        <f>IFERROR(INDEX(Работы!$F$2:$F$6000,MATCH($C885,Работы!$A$2:$A$6000,0)),"")</f>
        <v>1</v>
      </c>
      <c r="C885" t="str">
        <f>IFERROR(INDEX(Работы!$A$2:$A$6000,884),"")</f>
        <v>РАБ.Р10.1.011</v>
      </c>
      <c r="D885" s="8" t="str">
        <f>IFERROR(INDEX(Работы!$B$2:$B$6000,MATCH($C885,Работы!$A$2:$A$6000,0)),"")</f>
        <v>Транспортные расходы (% от стоимости материалов):</v>
      </c>
      <c r="E885" t="str">
        <f>IFERROR(INDEX(Работы!$C$2:$C$6000,MATCH($C885,Работы!$A$2:$A$6000,0)),"")</f>
        <v>%</v>
      </c>
      <c r="F885">
        <f>IFERROR(INDEX(Работы!$G$2:$G$6000,MATCH($C885,Работы!$A$2:$A$6000,0)),"")</f>
        <v>0</v>
      </c>
      <c r="G885" t="str">
        <f>IFERROR(INDEX(Работы!$K$2:$K$6000,MATCH($C885,Работы!$A$2:$A$6000,0)),"")</f>
        <v>Спецификация</v>
      </c>
      <c r="H885" s="9"/>
      <c r="I885" s="9"/>
      <c r="J885" s="8" t="str">
        <f>IFERROR(INDEX(Материалы!$B$2:$B$9000,MATCH($I885,Материалы!$A$2:$A$9000,0)),"")</f>
        <v/>
      </c>
      <c r="K885" t="str">
        <f>IF($I885="","",IF($F885=IFERROR(INDEX(Материалы!$G$2:$G$9000,MATCH($I885,Материалы!$A$2:$A$9000,0)),""),"OK","!! не та группа"))</f>
        <v/>
      </c>
      <c r="L885" s="10">
        <f>IFERROR(INDEX(Работы!$H$2:$H$6000,MATCH($C885,Работы!$A$2:$A$6000,0))*(1-ДисконтТендер),0)</f>
        <v>0</v>
      </c>
      <c r="M885" s="10">
        <f>IF($I885="",0,IFERROR(INDEX(Материалы!$I$2:$I$9000,MATCH($I885,Материалы!$A$2:$A$9000,0))*IF(INDEX(Материалы!$J$2:$J$9000,MATCH($I885,Материалы!$A$2:$A$9000,0))="USD",КурсUSD,IF(INDEX(Материалы!$J$2:$J$9000,MATCH($I885,Материалы!$A$2:$A$9000,0))="EUR",КурсEUR,1))*INDEX(Материалы!$K$2:$K$9000,MATCH($I885,Материалы!$A$2:$A$9000,0))*(1+IFERROR(INDEX(Работы!$I$2:$I$6000,MATCH($C885,Работы!$A$2:$A$6000,0))/100,0))*(1-ДисконтТендер),0))</f>
        <v>0</v>
      </c>
      <c r="N885" s="10">
        <f t="shared" si="39"/>
        <v>0</v>
      </c>
      <c r="O885" s="10">
        <f t="shared" si="40"/>
        <v>0</v>
      </c>
      <c r="P885" s="10">
        <f t="shared" si="41"/>
        <v>0</v>
      </c>
      <c r="Q885" t="str">
        <f>IFERROR(INDEX(Работы!$J$2:$J$6000,MATCH($C885,Работы!$A$2:$A$6000,0)),"")</f>
        <v>нетиповая</v>
      </c>
      <c r="R885" t="s">
        <v>92</v>
      </c>
      <c r="T885" t="str">
        <f>IF(AND($P885&gt;0,$R885="да"),MAX($T$1:$T884)+1,"")</f>
        <v/>
      </c>
    </row>
    <row r="886" spans="1:20" x14ac:dyDescent="0.3">
      <c r="A886" t="str">
        <f>IFERROR(INDEX(Работы!$D$2:$D$6000,MATCH($C886,Работы!$A$2:$A$6000,0)),"")</f>
        <v>Р10</v>
      </c>
      <c r="B886" t="str">
        <f>IFERROR(INDEX(Работы!$F$2:$F$6000,MATCH($C886,Работы!$A$2:$A$6000,0)),"")</f>
        <v>1</v>
      </c>
      <c r="C886" t="str">
        <f>IFERROR(INDEX(Работы!$A$2:$A$6000,885),"")</f>
        <v>РАБ.Р10.1.012</v>
      </c>
      <c r="D886" s="8" t="str">
        <f>IFERROR(INDEX(Работы!$B$2:$B$6000,MATCH($C886,Работы!$A$2:$A$6000,0)),"")</f>
        <v>ВСЕГО*:</v>
      </c>
      <c r="E886" t="str">
        <f>IFERROR(INDEX(Работы!$C$2:$C$6000,MATCH($C886,Работы!$A$2:$A$6000,0)),"")</f>
        <v>руб.</v>
      </c>
      <c r="F886">
        <f>IFERROR(INDEX(Работы!$G$2:$G$6000,MATCH($C886,Работы!$A$2:$A$6000,0)),"")</f>
        <v>0</v>
      </c>
      <c r="G886" t="str">
        <f>IFERROR(INDEX(Работы!$K$2:$K$6000,MATCH($C886,Работы!$A$2:$A$6000,0)),"")</f>
        <v>Спецификация</v>
      </c>
      <c r="H886" s="9"/>
      <c r="I886" s="9"/>
      <c r="J886" s="8" t="str">
        <f>IFERROR(INDEX(Материалы!$B$2:$B$9000,MATCH($I886,Материалы!$A$2:$A$9000,0)),"")</f>
        <v/>
      </c>
      <c r="K886" t="str">
        <f>IF($I886="","",IF($F886=IFERROR(INDEX(Материалы!$G$2:$G$9000,MATCH($I886,Материалы!$A$2:$A$9000,0)),""),"OK","!! не та группа"))</f>
        <v/>
      </c>
      <c r="L886" s="10">
        <f>IFERROR(INDEX(Работы!$H$2:$H$6000,MATCH($C886,Работы!$A$2:$A$6000,0))*(1-ДисконтТендер),0)</f>
        <v>0</v>
      </c>
      <c r="M886" s="10">
        <f>IF($I886="",0,IFERROR(INDEX(Материалы!$I$2:$I$9000,MATCH($I886,Материалы!$A$2:$A$9000,0))*IF(INDEX(Материалы!$J$2:$J$9000,MATCH($I886,Материалы!$A$2:$A$9000,0))="USD",КурсUSD,IF(INDEX(Материалы!$J$2:$J$9000,MATCH($I886,Материалы!$A$2:$A$9000,0))="EUR",КурсEUR,1))*INDEX(Материалы!$K$2:$K$9000,MATCH($I886,Материалы!$A$2:$A$9000,0))*(1+IFERROR(INDEX(Работы!$I$2:$I$6000,MATCH($C886,Работы!$A$2:$A$6000,0))/100,0))*(1-ДисконтТендер),0))</f>
        <v>0</v>
      </c>
      <c r="N886" s="10">
        <f t="shared" si="39"/>
        <v>0</v>
      </c>
      <c r="O886" s="10">
        <f t="shared" si="40"/>
        <v>0</v>
      </c>
      <c r="P886" s="10">
        <f t="shared" si="41"/>
        <v>0</v>
      </c>
      <c r="Q886" t="str">
        <f>IFERROR(INDEX(Работы!$J$2:$J$6000,MATCH($C886,Работы!$A$2:$A$6000,0)),"")</f>
        <v>нетиповая</v>
      </c>
      <c r="R886" t="s">
        <v>92</v>
      </c>
      <c r="T886" t="str">
        <f>IF(AND($P886&gt;0,$R886="да"),MAX($T$1:$T885)+1,"")</f>
        <v/>
      </c>
    </row>
    <row r="887" spans="1:20" ht="28.8" x14ac:dyDescent="0.3">
      <c r="A887" t="str">
        <f>IFERROR(INDEX(Работы!$D$2:$D$6000,MATCH($C887,Работы!$A$2:$A$6000,0)),"")</f>
        <v>Р11</v>
      </c>
      <c r="B887" t="str">
        <f>IFERROR(INDEX(Работы!$F$2:$F$6000,MATCH($C887,Работы!$A$2:$A$6000,0)),"")</f>
        <v>1</v>
      </c>
      <c r="C887" t="str">
        <f>IFERROR(INDEX(Работы!$A$2:$A$6000,886),"")</f>
        <v>РАБ.Р11.1.001</v>
      </c>
      <c r="D887" s="8" t="str">
        <f>IFERROR(INDEX(Работы!$B$2:$B$6000,MATCH($C887,Работы!$A$2:$A$6000,0)),"")</f>
        <v>Автоматическая пожарная сигнализация (АПС) — монтаж и ПНР</v>
      </c>
      <c r="E887" t="str">
        <f>IFERROR(INDEX(Работы!$C$2:$C$6000,MATCH($C887,Работы!$A$2:$A$6000,0)),"")</f>
        <v>компл</v>
      </c>
      <c r="F887">
        <f>IFERROR(INDEX(Работы!$G$2:$G$6000,MATCH($C887,Работы!$A$2:$A$6000,0)),"")</f>
        <v>0</v>
      </c>
      <c r="G887" t="str">
        <f>IFERROR(INDEX(Работы!$K$2:$K$6000,MATCH($C887,Работы!$A$2:$A$6000,0)),"")</f>
        <v>Спецификация</v>
      </c>
      <c r="H887" s="9"/>
      <c r="I887" s="9"/>
      <c r="J887" s="8" t="str">
        <f>IFERROR(INDEX(Материалы!$B$2:$B$9000,MATCH($I887,Материалы!$A$2:$A$9000,0)),"")</f>
        <v/>
      </c>
      <c r="K887" t="str">
        <f>IF($I887="","",IF($F887=IFERROR(INDEX(Материалы!$G$2:$G$9000,MATCH($I887,Материалы!$A$2:$A$9000,0)),""),"OK","!! не та группа"))</f>
        <v/>
      </c>
      <c r="L887" s="10">
        <f>IFERROR(INDEX(Работы!$H$2:$H$6000,MATCH($C887,Работы!$A$2:$A$6000,0))*(1-ДисконтТендер),0)</f>
        <v>0</v>
      </c>
      <c r="M887" s="10">
        <f>IF($I887="",0,IFERROR(INDEX(Материалы!$I$2:$I$9000,MATCH($I887,Материалы!$A$2:$A$9000,0))*IF(INDEX(Материалы!$J$2:$J$9000,MATCH($I887,Материалы!$A$2:$A$9000,0))="USD",КурсUSD,IF(INDEX(Материалы!$J$2:$J$9000,MATCH($I887,Материалы!$A$2:$A$9000,0))="EUR",КурсEUR,1))*INDEX(Материалы!$K$2:$K$9000,MATCH($I887,Материалы!$A$2:$A$9000,0))*(1+IFERROR(INDEX(Работы!$I$2:$I$6000,MATCH($C887,Работы!$A$2:$A$6000,0))/100,0))*(1-ДисконтТендер),0))</f>
        <v>0</v>
      </c>
      <c r="N887" s="10">
        <f t="shared" si="39"/>
        <v>0</v>
      </c>
      <c r="O887" s="10">
        <f t="shared" si="40"/>
        <v>0</v>
      </c>
      <c r="P887" s="10">
        <f t="shared" si="41"/>
        <v>0</v>
      </c>
      <c r="Q887" t="str">
        <f>IFERROR(INDEX(Работы!$J$2:$J$6000,MATCH($C887,Работы!$A$2:$A$6000,0)),"")</f>
        <v>нетиповая</v>
      </c>
      <c r="R887" t="s">
        <v>92</v>
      </c>
      <c r="T887" t="str">
        <f>IF(AND($P887&gt;0,$R887="да"),MAX($T$1:$T886)+1,"")</f>
        <v/>
      </c>
    </row>
    <row r="888" spans="1:20" ht="28.8" x14ac:dyDescent="0.3">
      <c r="A888" t="str">
        <f>IFERROR(INDEX(Работы!$D$2:$D$6000,MATCH($C888,Работы!$A$2:$A$6000,0)),"")</f>
        <v>Р11</v>
      </c>
      <c r="B888" t="str">
        <f>IFERROR(INDEX(Работы!$F$2:$F$6000,MATCH($C888,Работы!$A$2:$A$6000,0)),"")</f>
        <v>1</v>
      </c>
      <c r="C888" t="str">
        <f>IFERROR(INDEX(Работы!$A$2:$A$6000,887),"")</f>
        <v>РАБ.Р11.1.002</v>
      </c>
      <c r="D888" s="8" t="str">
        <f>IFERROR(INDEX(Работы!$B$2:$B$6000,MATCH($C888,Работы!$A$2:$A$6000,0)),"")</f>
        <v>Система оповещения и управления эвакуацией (СОУЭ) — монтаж и ПНР</v>
      </c>
      <c r="E888" t="str">
        <f>IFERROR(INDEX(Работы!$C$2:$C$6000,MATCH($C888,Работы!$A$2:$A$6000,0)),"")</f>
        <v>компл</v>
      </c>
      <c r="F888">
        <f>IFERROR(INDEX(Работы!$G$2:$G$6000,MATCH($C888,Работы!$A$2:$A$6000,0)),"")</f>
        <v>0</v>
      </c>
      <c r="G888" t="str">
        <f>IFERROR(INDEX(Работы!$K$2:$K$6000,MATCH($C888,Работы!$A$2:$A$6000,0)),"")</f>
        <v>Спецификация</v>
      </c>
      <c r="H888" s="9"/>
      <c r="I888" s="9"/>
      <c r="J888" s="8" t="str">
        <f>IFERROR(INDEX(Материалы!$B$2:$B$9000,MATCH($I888,Материалы!$A$2:$A$9000,0)),"")</f>
        <v/>
      </c>
      <c r="K888" t="str">
        <f>IF($I888="","",IF($F888=IFERROR(INDEX(Материалы!$G$2:$G$9000,MATCH($I888,Материалы!$A$2:$A$9000,0)),""),"OK","!! не та группа"))</f>
        <v/>
      </c>
      <c r="L888" s="10">
        <f>IFERROR(INDEX(Работы!$H$2:$H$6000,MATCH($C888,Работы!$A$2:$A$6000,0))*(1-ДисконтТендер),0)</f>
        <v>0</v>
      </c>
      <c r="M888" s="10">
        <f>IF($I888="",0,IFERROR(INDEX(Материалы!$I$2:$I$9000,MATCH($I888,Материалы!$A$2:$A$9000,0))*IF(INDEX(Материалы!$J$2:$J$9000,MATCH($I888,Материалы!$A$2:$A$9000,0))="USD",КурсUSD,IF(INDEX(Материалы!$J$2:$J$9000,MATCH($I888,Материалы!$A$2:$A$9000,0))="EUR",КурсEUR,1))*INDEX(Материалы!$K$2:$K$9000,MATCH($I888,Материалы!$A$2:$A$9000,0))*(1+IFERROR(INDEX(Работы!$I$2:$I$6000,MATCH($C888,Работы!$A$2:$A$6000,0))/100,0))*(1-ДисконтТендер),0))</f>
        <v>0</v>
      </c>
      <c r="N888" s="10">
        <f t="shared" si="39"/>
        <v>0</v>
      </c>
      <c r="O888" s="10">
        <f t="shared" si="40"/>
        <v>0</v>
      </c>
      <c r="P888" s="10">
        <f t="shared" si="41"/>
        <v>0</v>
      </c>
      <c r="Q888" t="str">
        <f>IFERROR(INDEX(Работы!$J$2:$J$6000,MATCH($C888,Работы!$A$2:$A$6000,0)),"")</f>
        <v>нетиповая</v>
      </c>
      <c r="R888" t="s">
        <v>92</v>
      </c>
      <c r="T888" t="str">
        <f>IF(AND($P888&gt;0,$R888="да"),MAX($T$1:$T887)+1,"")</f>
        <v/>
      </c>
    </row>
    <row r="889" spans="1:20" ht="28.8" x14ac:dyDescent="0.3">
      <c r="A889" t="str">
        <f>IFERROR(INDEX(Работы!$D$2:$D$6000,MATCH($C889,Работы!$A$2:$A$6000,0)),"")</f>
        <v>Р11</v>
      </c>
      <c r="B889" t="str">
        <f>IFERROR(INDEX(Работы!$F$2:$F$6000,MATCH($C889,Работы!$A$2:$A$6000,0)),"")</f>
        <v>2</v>
      </c>
      <c r="C889" t="str">
        <f>IFERROR(INDEX(Работы!$A$2:$A$6000,888),"")</f>
        <v>РАБ.Р11.2.001</v>
      </c>
      <c r="D889" s="8" t="str">
        <f>IFERROR(INDEX(Работы!$B$2:$B$6000,MATCH($C889,Работы!$A$2:$A$6000,0)),"")</f>
        <v>Система контроля и управления доступом (СКУД) — монтаж и ПНР</v>
      </c>
      <c r="E889" t="str">
        <f>IFERROR(INDEX(Работы!$C$2:$C$6000,MATCH($C889,Работы!$A$2:$A$6000,0)),"")</f>
        <v>компл</v>
      </c>
      <c r="F889">
        <f>IFERROR(INDEX(Работы!$G$2:$G$6000,MATCH($C889,Работы!$A$2:$A$6000,0)),"")</f>
        <v>0</v>
      </c>
      <c r="G889" t="str">
        <f>IFERROR(INDEX(Работы!$K$2:$K$6000,MATCH($C889,Работы!$A$2:$A$6000,0)),"")</f>
        <v>Спецификация</v>
      </c>
      <c r="H889" s="9"/>
      <c r="I889" s="9"/>
      <c r="J889" s="8" t="str">
        <f>IFERROR(INDEX(Материалы!$B$2:$B$9000,MATCH($I889,Материалы!$A$2:$A$9000,0)),"")</f>
        <v/>
      </c>
      <c r="K889" t="str">
        <f>IF($I889="","",IF($F889=IFERROR(INDEX(Материалы!$G$2:$G$9000,MATCH($I889,Материалы!$A$2:$A$9000,0)),""),"OK","!! не та группа"))</f>
        <v/>
      </c>
      <c r="L889" s="10">
        <f>IFERROR(INDEX(Работы!$H$2:$H$6000,MATCH($C889,Работы!$A$2:$A$6000,0))*(1-ДисконтТендер),0)</f>
        <v>0</v>
      </c>
      <c r="M889" s="10">
        <f>IF($I889="",0,IFERROR(INDEX(Материалы!$I$2:$I$9000,MATCH($I889,Материалы!$A$2:$A$9000,0))*IF(INDEX(Материалы!$J$2:$J$9000,MATCH($I889,Материалы!$A$2:$A$9000,0))="USD",КурсUSD,IF(INDEX(Материалы!$J$2:$J$9000,MATCH($I889,Материалы!$A$2:$A$9000,0))="EUR",КурсEUR,1))*INDEX(Материалы!$K$2:$K$9000,MATCH($I889,Материалы!$A$2:$A$9000,0))*(1+IFERROR(INDEX(Работы!$I$2:$I$6000,MATCH($C889,Работы!$A$2:$A$6000,0))/100,0))*(1-ДисконтТендер),0))</f>
        <v>0</v>
      </c>
      <c r="N889" s="10">
        <f t="shared" si="39"/>
        <v>0</v>
      </c>
      <c r="O889" s="10">
        <f t="shared" si="40"/>
        <v>0</v>
      </c>
      <c r="P889" s="10">
        <f t="shared" si="41"/>
        <v>0</v>
      </c>
      <c r="Q889" t="str">
        <f>IFERROR(INDEX(Работы!$J$2:$J$6000,MATCH($C889,Работы!$A$2:$A$6000,0)),"")</f>
        <v>нетиповая</v>
      </c>
      <c r="R889" t="s">
        <v>92</v>
      </c>
      <c r="T889" t="str">
        <f>IF(AND($P889&gt;0,$R889="да"),MAX($T$1:$T888)+1,"")</f>
        <v/>
      </c>
    </row>
    <row r="890" spans="1:20" ht="28.8" x14ac:dyDescent="0.3">
      <c r="A890" t="str">
        <f>IFERROR(INDEX(Работы!$D$2:$D$6000,MATCH($C890,Работы!$A$2:$A$6000,0)),"")</f>
        <v>Р11</v>
      </c>
      <c r="B890" t="str">
        <f>IFERROR(INDEX(Работы!$F$2:$F$6000,MATCH($C890,Работы!$A$2:$A$6000,0)),"")</f>
        <v>2</v>
      </c>
      <c r="C890" t="str">
        <f>IFERROR(INDEX(Работы!$A$2:$A$6000,889),"")</f>
        <v>РАБ.Р11.2.002</v>
      </c>
      <c r="D890" s="8" t="str">
        <f>IFERROR(INDEX(Работы!$B$2:$B$6000,MATCH($C890,Работы!$A$2:$A$6000,0)),"")</f>
        <v>Система охранного видеонаблюдения (CCTV) — монтаж и ПНР</v>
      </c>
      <c r="E890" t="str">
        <f>IFERROR(INDEX(Работы!$C$2:$C$6000,MATCH($C890,Работы!$A$2:$A$6000,0)),"")</f>
        <v>компл</v>
      </c>
      <c r="F890">
        <f>IFERROR(INDEX(Работы!$G$2:$G$6000,MATCH($C890,Работы!$A$2:$A$6000,0)),"")</f>
        <v>0</v>
      </c>
      <c r="G890" t="str">
        <f>IFERROR(INDEX(Работы!$K$2:$K$6000,MATCH($C890,Работы!$A$2:$A$6000,0)),"")</f>
        <v>Спецификация</v>
      </c>
      <c r="H890" s="9"/>
      <c r="I890" s="9"/>
      <c r="J890" s="8" t="str">
        <f>IFERROR(INDEX(Материалы!$B$2:$B$9000,MATCH($I890,Материалы!$A$2:$A$9000,0)),"")</f>
        <v/>
      </c>
      <c r="K890" t="str">
        <f>IF($I890="","",IF($F890=IFERROR(INDEX(Материалы!$G$2:$G$9000,MATCH($I890,Материалы!$A$2:$A$9000,0)),""),"OK","!! не та группа"))</f>
        <v/>
      </c>
      <c r="L890" s="10">
        <f>IFERROR(INDEX(Работы!$H$2:$H$6000,MATCH($C890,Работы!$A$2:$A$6000,0))*(1-ДисконтТендер),0)</f>
        <v>0</v>
      </c>
      <c r="M890" s="10">
        <f>IF($I890="",0,IFERROR(INDEX(Материалы!$I$2:$I$9000,MATCH($I890,Материалы!$A$2:$A$9000,0))*IF(INDEX(Материалы!$J$2:$J$9000,MATCH($I890,Материалы!$A$2:$A$9000,0))="USD",КурсUSD,IF(INDEX(Материалы!$J$2:$J$9000,MATCH($I890,Материалы!$A$2:$A$9000,0))="EUR",КурсEUR,1))*INDEX(Материалы!$K$2:$K$9000,MATCH($I890,Материалы!$A$2:$A$9000,0))*(1+IFERROR(INDEX(Работы!$I$2:$I$6000,MATCH($C890,Работы!$A$2:$A$6000,0))/100,0))*(1-ДисконтТендер),0))</f>
        <v>0</v>
      </c>
      <c r="N890" s="10">
        <f t="shared" si="39"/>
        <v>0</v>
      </c>
      <c r="O890" s="10">
        <f t="shared" si="40"/>
        <v>0</v>
      </c>
      <c r="P890" s="10">
        <f t="shared" si="41"/>
        <v>0</v>
      </c>
      <c r="Q890" t="str">
        <f>IFERROR(INDEX(Работы!$J$2:$J$6000,MATCH($C890,Работы!$A$2:$A$6000,0)),"")</f>
        <v>нетиповая</v>
      </c>
      <c r="R890" t="s">
        <v>92</v>
      </c>
      <c r="T890" t="str">
        <f>IF(AND($P890&gt;0,$R890="да"),MAX($T$1:$T889)+1,"")</f>
        <v/>
      </c>
    </row>
    <row r="891" spans="1:20" ht="28.8" x14ac:dyDescent="0.3">
      <c r="A891" t="str">
        <f>IFERROR(INDEX(Работы!$D$2:$D$6000,MATCH($C891,Работы!$A$2:$A$6000,0)),"")</f>
        <v>Р11</v>
      </c>
      <c r="B891" t="str">
        <f>IFERROR(INDEX(Работы!$F$2:$F$6000,MATCH($C891,Работы!$A$2:$A$6000,0)),"")</f>
        <v>2</v>
      </c>
      <c r="C891" t="str">
        <f>IFERROR(INDEX(Работы!$A$2:$A$6000,890),"")</f>
        <v>РАБ.Р11.2.003</v>
      </c>
      <c r="D891" s="8" t="str">
        <f>IFERROR(INDEX(Работы!$B$2:$B$6000,MATCH($C891,Работы!$A$2:$A$6000,0)),"")</f>
        <v>Охранная и тревожная сигнализация — монтаж и ПНР</v>
      </c>
      <c r="E891" t="str">
        <f>IFERROR(INDEX(Работы!$C$2:$C$6000,MATCH($C891,Работы!$A$2:$A$6000,0)),"")</f>
        <v>компл</v>
      </c>
      <c r="F891">
        <f>IFERROR(INDEX(Работы!$G$2:$G$6000,MATCH($C891,Работы!$A$2:$A$6000,0)),"")</f>
        <v>0</v>
      </c>
      <c r="G891" t="str">
        <f>IFERROR(INDEX(Работы!$K$2:$K$6000,MATCH($C891,Работы!$A$2:$A$6000,0)),"")</f>
        <v>Спецификация</v>
      </c>
      <c r="H891" s="9"/>
      <c r="I891" s="9"/>
      <c r="J891" s="8" t="str">
        <f>IFERROR(INDEX(Материалы!$B$2:$B$9000,MATCH($I891,Материалы!$A$2:$A$9000,0)),"")</f>
        <v/>
      </c>
      <c r="K891" t="str">
        <f>IF($I891="","",IF($F891=IFERROR(INDEX(Материалы!$G$2:$G$9000,MATCH($I891,Материалы!$A$2:$A$9000,0)),""),"OK","!! не та группа"))</f>
        <v/>
      </c>
      <c r="L891" s="10">
        <f>IFERROR(INDEX(Работы!$H$2:$H$6000,MATCH($C891,Работы!$A$2:$A$6000,0))*(1-ДисконтТендер),0)</f>
        <v>0</v>
      </c>
      <c r="M891" s="10">
        <f>IF($I891="",0,IFERROR(INDEX(Материалы!$I$2:$I$9000,MATCH($I891,Материалы!$A$2:$A$9000,0))*IF(INDEX(Материалы!$J$2:$J$9000,MATCH($I891,Материалы!$A$2:$A$9000,0))="USD",КурсUSD,IF(INDEX(Материалы!$J$2:$J$9000,MATCH($I891,Материалы!$A$2:$A$9000,0))="EUR",КурсEUR,1))*INDEX(Материалы!$K$2:$K$9000,MATCH($I891,Материалы!$A$2:$A$9000,0))*(1+IFERROR(INDEX(Работы!$I$2:$I$6000,MATCH($C891,Работы!$A$2:$A$6000,0))/100,0))*(1-ДисконтТендер),0))</f>
        <v>0</v>
      </c>
      <c r="N891" s="10">
        <f t="shared" si="39"/>
        <v>0</v>
      </c>
      <c r="O891" s="10">
        <f t="shared" si="40"/>
        <v>0</v>
      </c>
      <c r="P891" s="10">
        <f t="shared" si="41"/>
        <v>0</v>
      </c>
      <c r="Q891" t="str">
        <f>IFERROR(INDEX(Работы!$J$2:$J$6000,MATCH($C891,Работы!$A$2:$A$6000,0)),"")</f>
        <v>нетиповая</v>
      </c>
      <c r="R891" t="s">
        <v>92</v>
      </c>
      <c r="T891" t="str">
        <f>IF(AND($P891&gt;0,$R891="да"),MAX($T$1:$T890)+1,"")</f>
        <v/>
      </c>
    </row>
    <row r="892" spans="1:20" ht="28.8" x14ac:dyDescent="0.3">
      <c r="A892" t="str">
        <f>IFERROR(INDEX(Работы!$D$2:$D$6000,MATCH($C892,Работы!$A$2:$A$6000,0)),"")</f>
        <v>Р11</v>
      </c>
      <c r="B892" t="str">
        <f>IFERROR(INDEX(Работы!$F$2:$F$6000,MATCH($C892,Работы!$A$2:$A$6000,0)),"")</f>
        <v>2</v>
      </c>
      <c r="C892" t="str">
        <f>IFERROR(INDEX(Работы!$A$2:$A$6000,891),"")</f>
        <v>РАБ.Р11.2.004</v>
      </c>
      <c r="D892" s="8" t="str">
        <f>IFERROR(INDEX(Работы!$B$2:$B$6000,MATCH($C892,Работы!$A$2:$A$6000,0)),"")</f>
        <v>Охрана кассового узла (ДКБ) — оборудование и ПНР</v>
      </c>
      <c r="E892" t="str">
        <f>IFERROR(INDEX(Работы!$C$2:$C$6000,MATCH($C892,Работы!$A$2:$A$6000,0)),"")</f>
        <v>компл</v>
      </c>
      <c r="F892">
        <f>IFERROR(INDEX(Работы!$G$2:$G$6000,MATCH($C892,Работы!$A$2:$A$6000,0)),"")</f>
        <v>0</v>
      </c>
      <c r="G892" t="str">
        <f>IFERROR(INDEX(Работы!$K$2:$K$6000,MATCH($C892,Работы!$A$2:$A$6000,0)),"")</f>
        <v>Спецификация</v>
      </c>
      <c r="H892" s="9"/>
      <c r="I892" s="9"/>
      <c r="J892" s="8" t="str">
        <f>IFERROR(INDEX(Материалы!$B$2:$B$9000,MATCH($I892,Материалы!$A$2:$A$9000,0)),"")</f>
        <v/>
      </c>
      <c r="K892" t="str">
        <f>IF($I892="","",IF($F892=IFERROR(INDEX(Материалы!$G$2:$G$9000,MATCH($I892,Материалы!$A$2:$A$9000,0)),""),"OK","!! не та группа"))</f>
        <v/>
      </c>
      <c r="L892" s="10">
        <f>IFERROR(INDEX(Работы!$H$2:$H$6000,MATCH($C892,Работы!$A$2:$A$6000,0))*(1-ДисконтТендер),0)</f>
        <v>0</v>
      </c>
      <c r="M892" s="10">
        <f>IF($I892="",0,IFERROR(INDEX(Материалы!$I$2:$I$9000,MATCH($I892,Материалы!$A$2:$A$9000,0))*IF(INDEX(Материалы!$J$2:$J$9000,MATCH($I892,Материалы!$A$2:$A$9000,0))="USD",КурсUSD,IF(INDEX(Материалы!$J$2:$J$9000,MATCH($I892,Материалы!$A$2:$A$9000,0))="EUR",КурсEUR,1))*INDEX(Материалы!$K$2:$K$9000,MATCH($I892,Материалы!$A$2:$A$9000,0))*(1+IFERROR(INDEX(Работы!$I$2:$I$6000,MATCH($C892,Работы!$A$2:$A$6000,0))/100,0))*(1-ДисконтТендер),0))</f>
        <v>0</v>
      </c>
      <c r="N892" s="10">
        <f t="shared" si="39"/>
        <v>0</v>
      </c>
      <c r="O892" s="10">
        <f t="shared" si="40"/>
        <v>0</v>
      </c>
      <c r="P892" s="10">
        <f t="shared" si="41"/>
        <v>0</v>
      </c>
      <c r="Q892" t="str">
        <f>IFERROR(INDEX(Работы!$J$2:$J$6000,MATCH($C892,Работы!$A$2:$A$6000,0)),"")</f>
        <v>нетиповая</v>
      </c>
      <c r="R892" t="s">
        <v>92</v>
      </c>
      <c r="T892" t="str">
        <f>IF(AND($P892&gt;0,$R892="да"),MAX($T$1:$T891)+1,"")</f>
        <v/>
      </c>
    </row>
    <row r="893" spans="1:20" ht="28.8" x14ac:dyDescent="0.3">
      <c r="A893" t="str">
        <f>IFERROR(INDEX(Работы!$D$2:$D$6000,MATCH($C893,Работы!$A$2:$A$6000,0)),"")</f>
        <v>Р11</v>
      </c>
      <c r="B893" t="str">
        <f>IFERROR(INDEX(Работы!$F$2:$F$6000,MATCH($C893,Работы!$A$2:$A$6000,0)),"")</f>
        <v>3</v>
      </c>
      <c r="C893" t="str">
        <f>IFERROR(INDEX(Работы!$A$2:$A$6000,892),"")</f>
        <v>РАБ.Р11.3.001</v>
      </c>
      <c r="D893" s="8" t="str">
        <f>IFERROR(INDEX(Работы!$B$2:$B$6000,MATCH($C893,Работы!$A$2:$A$6000,0)),"")</f>
        <v>Структурированная кабельная сеть (СКС/ЛВС) — монтаж</v>
      </c>
      <c r="E893" t="str">
        <f>IFERROR(INDEX(Работы!$C$2:$C$6000,MATCH($C893,Работы!$A$2:$A$6000,0)),"")</f>
        <v>компл</v>
      </c>
      <c r="F893">
        <f>IFERROR(INDEX(Работы!$G$2:$G$6000,MATCH($C893,Работы!$A$2:$A$6000,0)),"")</f>
        <v>0</v>
      </c>
      <c r="G893" t="str">
        <f>IFERROR(INDEX(Работы!$K$2:$K$6000,MATCH($C893,Работы!$A$2:$A$6000,0)),"")</f>
        <v>Спецификация</v>
      </c>
      <c r="H893" s="9"/>
      <c r="I893" s="9"/>
      <c r="J893" s="8" t="str">
        <f>IFERROR(INDEX(Материалы!$B$2:$B$9000,MATCH($I893,Материалы!$A$2:$A$9000,0)),"")</f>
        <v/>
      </c>
      <c r="K893" t="str">
        <f>IF($I893="","",IF($F893=IFERROR(INDEX(Материалы!$G$2:$G$9000,MATCH($I893,Материалы!$A$2:$A$9000,0)),""),"OK","!! не та группа"))</f>
        <v/>
      </c>
      <c r="L893" s="10">
        <f>IFERROR(INDEX(Работы!$H$2:$H$6000,MATCH($C893,Работы!$A$2:$A$6000,0))*(1-ДисконтТендер),0)</f>
        <v>0</v>
      </c>
      <c r="M893" s="10">
        <f>IF($I893="",0,IFERROR(INDEX(Материалы!$I$2:$I$9000,MATCH($I893,Материалы!$A$2:$A$9000,0))*IF(INDEX(Материалы!$J$2:$J$9000,MATCH($I893,Материалы!$A$2:$A$9000,0))="USD",КурсUSD,IF(INDEX(Материалы!$J$2:$J$9000,MATCH($I893,Материалы!$A$2:$A$9000,0))="EUR",КурсEUR,1))*INDEX(Материалы!$K$2:$K$9000,MATCH($I893,Материалы!$A$2:$A$9000,0))*(1+IFERROR(INDEX(Работы!$I$2:$I$6000,MATCH($C893,Работы!$A$2:$A$6000,0))/100,0))*(1-ДисконтТендер),0))</f>
        <v>0</v>
      </c>
      <c r="N893" s="10">
        <f t="shared" si="39"/>
        <v>0</v>
      </c>
      <c r="O893" s="10">
        <f t="shared" si="40"/>
        <v>0</v>
      </c>
      <c r="P893" s="10">
        <f t="shared" si="41"/>
        <v>0</v>
      </c>
      <c r="Q893" t="str">
        <f>IFERROR(INDEX(Работы!$J$2:$J$6000,MATCH($C893,Работы!$A$2:$A$6000,0)),"")</f>
        <v>нетиповая</v>
      </c>
      <c r="R893" t="s">
        <v>92</v>
      </c>
      <c r="T893" t="str">
        <f>IF(AND($P893&gt;0,$R893="да"),MAX($T$1:$T892)+1,"")</f>
        <v/>
      </c>
    </row>
    <row r="894" spans="1:20" x14ac:dyDescent="0.3">
      <c r="A894" t="str">
        <f>IFERROR(INDEX(Работы!$D$2:$D$6000,MATCH($C894,Работы!$A$2:$A$6000,0)),"")</f>
        <v>Р11</v>
      </c>
      <c r="B894" t="str">
        <f>IFERROR(INDEX(Работы!$F$2:$F$6000,MATCH($C894,Работы!$A$2:$A$6000,0)),"")</f>
        <v>3</v>
      </c>
      <c r="C894" t="str">
        <f>IFERROR(INDEX(Работы!$A$2:$A$6000,893),"")</f>
        <v>РАБ.Р11.3.002</v>
      </c>
      <c r="D894" s="8" t="str">
        <f>IFERROR(INDEX(Работы!$B$2:$B$6000,MATCH($C894,Работы!$A$2:$A$6000,0)),"")</f>
        <v>Закладные и лотки под слаботочные системы</v>
      </c>
      <c r="E894" t="str">
        <f>IFERROR(INDEX(Работы!$C$2:$C$6000,MATCH($C894,Работы!$A$2:$A$6000,0)),"")</f>
        <v>м.п.</v>
      </c>
      <c r="F894">
        <f>IFERROR(INDEX(Работы!$G$2:$G$6000,MATCH($C894,Работы!$A$2:$A$6000,0)),"")</f>
        <v>0</v>
      </c>
      <c r="G894" t="str">
        <f>IFERROR(INDEX(Работы!$K$2:$K$6000,MATCH($C894,Работы!$A$2:$A$6000,0)),"")</f>
        <v>Погонаж</v>
      </c>
      <c r="H894" s="9"/>
      <c r="I894" s="9"/>
      <c r="J894" s="8" t="str">
        <f>IFERROR(INDEX(Материалы!$B$2:$B$9000,MATCH($I894,Материалы!$A$2:$A$9000,0)),"")</f>
        <v/>
      </c>
      <c r="K894" t="str">
        <f>IF($I894="","",IF($F894=IFERROR(INDEX(Материалы!$G$2:$G$9000,MATCH($I894,Материалы!$A$2:$A$9000,0)),""),"OK","!! не та группа"))</f>
        <v/>
      </c>
      <c r="L894" s="10">
        <f>IFERROR(INDEX(Работы!$H$2:$H$6000,MATCH($C894,Работы!$A$2:$A$6000,0))*(1-ДисконтТендер),0)</f>
        <v>0</v>
      </c>
      <c r="M894" s="10">
        <f>IF($I894="",0,IFERROR(INDEX(Материалы!$I$2:$I$9000,MATCH($I894,Материалы!$A$2:$A$9000,0))*IF(INDEX(Материалы!$J$2:$J$9000,MATCH($I894,Материалы!$A$2:$A$9000,0))="USD",КурсUSD,IF(INDEX(Материалы!$J$2:$J$9000,MATCH($I894,Материалы!$A$2:$A$9000,0))="EUR",КурсEUR,1))*INDEX(Материалы!$K$2:$K$9000,MATCH($I894,Материалы!$A$2:$A$9000,0))*(1+IFERROR(INDEX(Работы!$I$2:$I$6000,MATCH($C894,Работы!$A$2:$A$6000,0))/100,0))*(1-ДисконтТендер),0))</f>
        <v>0</v>
      </c>
      <c r="N894" s="10">
        <f t="shared" si="39"/>
        <v>0</v>
      </c>
      <c r="O894" s="10">
        <f t="shared" si="40"/>
        <v>0</v>
      </c>
      <c r="P894" s="10">
        <f t="shared" si="41"/>
        <v>0</v>
      </c>
      <c r="Q894" t="str">
        <f>IFERROR(INDEX(Работы!$J$2:$J$6000,MATCH($C894,Работы!$A$2:$A$6000,0)),"")</f>
        <v>типовая</v>
      </c>
      <c r="R894" t="s">
        <v>92</v>
      </c>
      <c r="T894" t="str">
        <f>IF(AND($P894&gt;0,$R894="да"),MAX($T$1:$T893)+1,"")</f>
        <v/>
      </c>
    </row>
    <row r="895" spans="1:20" ht="28.8" x14ac:dyDescent="0.3">
      <c r="A895" t="str">
        <f>IFERROR(INDEX(Работы!$D$2:$D$6000,MATCH($C895,Работы!$A$2:$A$6000,0)),"")</f>
        <v>Р11</v>
      </c>
      <c r="B895" t="str">
        <f>IFERROR(INDEX(Работы!$F$2:$F$6000,MATCH($C895,Работы!$A$2:$A$6000,0)),"")</f>
        <v>9</v>
      </c>
      <c r="C895" t="str">
        <f>IFERROR(INDEX(Работы!$A$2:$A$6000,894),"")</f>
        <v>РАБ.Р11.9.001</v>
      </c>
      <c r="D895" s="8" t="str">
        <f>IFERROR(INDEX(Работы!$B$2:$B$6000,MATCH($C895,Работы!$A$2:$A$6000,0)),"")</f>
        <v>Граница ответственности: слаботочка/безопасность — вендор банка</v>
      </c>
      <c r="E895" t="str">
        <f>IFERROR(INDEX(Работы!$C$2:$C$6000,MATCH($C895,Работы!$A$2:$A$6000,0)),"")</f>
        <v>компл</v>
      </c>
      <c r="F895">
        <f>IFERROR(INDEX(Работы!$G$2:$G$6000,MATCH($C895,Работы!$A$2:$A$6000,0)),"")</f>
        <v>0</v>
      </c>
      <c r="G895" t="str">
        <f>IFERROR(INDEX(Работы!$K$2:$K$6000,MATCH($C895,Работы!$A$2:$A$6000,0)),"")</f>
        <v>Спецификация</v>
      </c>
      <c r="H895" s="9"/>
      <c r="I895" s="9"/>
      <c r="J895" s="8" t="str">
        <f>IFERROR(INDEX(Материалы!$B$2:$B$9000,MATCH($I895,Материалы!$A$2:$A$9000,0)),"")</f>
        <v/>
      </c>
      <c r="K895" t="str">
        <f>IF($I895="","",IF($F895=IFERROR(INDEX(Материалы!$G$2:$G$9000,MATCH($I895,Материалы!$A$2:$A$9000,0)),""),"OK","!! не та группа"))</f>
        <v/>
      </c>
      <c r="L895" s="10">
        <f>IFERROR(INDEX(Работы!$H$2:$H$6000,MATCH($C895,Работы!$A$2:$A$6000,0))*(1-ДисконтТендер),0)</f>
        <v>0</v>
      </c>
      <c r="M895" s="10">
        <f>IF($I895="",0,IFERROR(INDEX(Материалы!$I$2:$I$9000,MATCH($I895,Материалы!$A$2:$A$9000,0))*IF(INDEX(Материалы!$J$2:$J$9000,MATCH($I895,Материалы!$A$2:$A$9000,0))="USD",КурсUSD,IF(INDEX(Материалы!$J$2:$J$9000,MATCH($I895,Материалы!$A$2:$A$9000,0))="EUR",КурсEUR,1))*INDEX(Материалы!$K$2:$K$9000,MATCH($I895,Материалы!$A$2:$A$9000,0))*(1+IFERROR(INDEX(Работы!$I$2:$I$6000,MATCH($C895,Работы!$A$2:$A$6000,0))/100,0))*(1-ДисконтТендер),0))</f>
        <v>0</v>
      </c>
      <c r="N895" s="10">
        <f t="shared" si="39"/>
        <v>0</v>
      </c>
      <c r="O895" s="10">
        <f t="shared" si="40"/>
        <v>0</v>
      </c>
      <c r="P895" s="10">
        <f t="shared" si="41"/>
        <v>0</v>
      </c>
      <c r="Q895" t="str">
        <f>IFERROR(INDEX(Работы!$J$2:$J$6000,MATCH($C895,Работы!$A$2:$A$6000,0)),"")</f>
        <v>нетиповая</v>
      </c>
      <c r="R895" t="s">
        <v>92</v>
      </c>
      <c r="T895" t="str">
        <f>IF(AND($P895&gt;0,$R895="да"),MAX($T$1:$T894)+1,"")</f>
        <v/>
      </c>
    </row>
    <row r="896" spans="1:20" ht="28.8" x14ac:dyDescent="0.3">
      <c r="A896" t="str">
        <f>IFERROR(INDEX(Работы!$D$2:$D$6000,MATCH($C896,Работы!$A$2:$A$6000,0)),"")</f>
        <v>Р12</v>
      </c>
      <c r="B896" t="str">
        <f>IFERROR(INDEX(Работы!$F$2:$F$6000,MATCH($C896,Работы!$A$2:$A$6000,0)),"")</f>
        <v>1</v>
      </c>
      <c r="C896" t="str">
        <f>IFERROR(INDEX(Работы!$A$2:$A$6000,895),"")</f>
        <v>РАБ.Р12.1.001</v>
      </c>
      <c r="D896" s="8" t="str">
        <f>IFERROR(INDEX(Работы!$B$2:$B$6000,MATCH($C896,Работы!$A$2:$A$6000,0)),"")</f>
        <v>Временное электроснабжение строительной площадки</v>
      </c>
      <c r="E896" t="str">
        <f>IFERROR(INDEX(Работы!$C$2:$C$6000,MATCH($C896,Работы!$A$2:$A$6000,0)),"")</f>
        <v>компл</v>
      </c>
      <c r="F896">
        <f>IFERROR(INDEX(Работы!$G$2:$G$6000,MATCH($C896,Работы!$A$2:$A$6000,0)),"")</f>
        <v>0</v>
      </c>
      <c r="G896" t="str">
        <f>IFERROR(INDEX(Работы!$K$2:$K$6000,MATCH($C896,Работы!$A$2:$A$6000,0)),"")</f>
        <v>Спецификация</v>
      </c>
      <c r="H896" s="9"/>
      <c r="I896" s="9"/>
      <c r="J896" s="8" t="str">
        <f>IFERROR(INDEX(Материалы!$B$2:$B$9000,MATCH($I896,Материалы!$A$2:$A$9000,0)),"")</f>
        <v/>
      </c>
      <c r="K896" t="str">
        <f>IF($I896="","",IF($F896=IFERROR(INDEX(Материалы!$G$2:$G$9000,MATCH($I896,Материалы!$A$2:$A$9000,0)),""),"OK","!! не та группа"))</f>
        <v/>
      </c>
      <c r="L896" s="10">
        <f>IFERROR(INDEX(Работы!$H$2:$H$6000,MATCH($C896,Работы!$A$2:$A$6000,0))*(1-ДисконтТендер),0)</f>
        <v>0</v>
      </c>
      <c r="M896" s="10">
        <f>IF($I896="",0,IFERROR(INDEX(Материалы!$I$2:$I$9000,MATCH($I896,Материалы!$A$2:$A$9000,0))*IF(INDEX(Материалы!$J$2:$J$9000,MATCH($I896,Материалы!$A$2:$A$9000,0))="USD",КурсUSD,IF(INDEX(Материалы!$J$2:$J$9000,MATCH($I896,Материалы!$A$2:$A$9000,0))="EUR",КурсEUR,1))*INDEX(Материалы!$K$2:$K$9000,MATCH($I896,Материалы!$A$2:$A$9000,0))*(1+IFERROR(INDEX(Работы!$I$2:$I$6000,MATCH($C896,Работы!$A$2:$A$6000,0))/100,0))*(1-ДисконтТендер),0))</f>
        <v>0</v>
      </c>
      <c r="N896" s="10">
        <f t="shared" si="39"/>
        <v>0</v>
      </c>
      <c r="O896" s="10">
        <f t="shared" si="40"/>
        <v>0</v>
      </c>
      <c r="P896" s="10">
        <f t="shared" si="41"/>
        <v>0</v>
      </c>
      <c r="Q896" t="str">
        <f>IFERROR(INDEX(Работы!$J$2:$J$6000,MATCH($C896,Работы!$A$2:$A$6000,0)),"")</f>
        <v>типовая</v>
      </c>
      <c r="R896" t="s">
        <v>92</v>
      </c>
      <c r="T896" t="str">
        <f>IF(AND($P896&gt;0,$R896="да"),MAX($T$1:$T895)+1,"")</f>
        <v/>
      </c>
    </row>
    <row r="897" spans="1:20" ht="28.8" x14ac:dyDescent="0.3">
      <c r="A897" t="str">
        <f>IFERROR(INDEX(Работы!$D$2:$D$6000,MATCH($C897,Работы!$A$2:$A$6000,0)),"")</f>
        <v>Р12</v>
      </c>
      <c r="B897" t="str">
        <f>IFERROR(INDEX(Работы!$F$2:$F$6000,MATCH($C897,Работы!$A$2:$A$6000,0)),"")</f>
        <v>1</v>
      </c>
      <c r="C897" t="str">
        <f>IFERROR(INDEX(Работы!$A$2:$A$6000,896),"")</f>
        <v>РАБ.Р12.1.002</v>
      </c>
      <c r="D897" s="8" t="str">
        <f>IFERROR(INDEX(Работы!$B$2:$B$6000,MATCH($C897,Работы!$A$2:$A$6000,0)),"")</f>
        <v>Временное водоснабжение строительной площадки</v>
      </c>
      <c r="E897" t="str">
        <f>IFERROR(INDEX(Работы!$C$2:$C$6000,MATCH($C897,Работы!$A$2:$A$6000,0)),"")</f>
        <v>компл</v>
      </c>
      <c r="F897">
        <f>IFERROR(INDEX(Работы!$G$2:$G$6000,MATCH($C897,Работы!$A$2:$A$6000,0)),"")</f>
        <v>0</v>
      </c>
      <c r="G897" t="str">
        <f>IFERROR(INDEX(Работы!$K$2:$K$6000,MATCH($C897,Работы!$A$2:$A$6000,0)),"")</f>
        <v>Спецификация</v>
      </c>
      <c r="H897" s="9"/>
      <c r="I897" s="9"/>
      <c r="J897" s="8" t="str">
        <f>IFERROR(INDEX(Материалы!$B$2:$B$9000,MATCH($I897,Материалы!$A$2:$A$9000,0)),"")</f>
        <v/>
      </c>
      <c r="K897" t="str">
        <f>IF($I897="","",IF($F897=IFERROR(INDEX(Материалы!$G$2:$G$9000,MATCH($I897,Материалы!$A$2:$A$9000,0)),""),"OK","!! не та группа"))</f>
        <v/>
      </c>
      <c r="L897" s="10">
        <f>IFERROR(INDEX(Работы!$H$2:$H$6000,MATCH($C897,Работы!$A$2:$A$6000,0))*(1-ДисконтТендер),0)</f>
        <v>0</v>
      </c>
      <c r="M897" s="10">
        <f>IF($I897="",0,IFERROR(INDEX(Материалы!$I$2:$I$9000,MATCH($I897,Материалы!$A$2:$A$9000,0))*IF(INDEX(Материалы!$J$2:$J$9000,MATCH($I897,Материалы!$A$2:$A$9000,0))="USD",КурсUSD,IF(INDEX(Материалы!$J$2:$J$9000,MATCH($I897,Материалы!$A$2:$A$9000,0))="EUR",КурсEUR,1))*INDEX(Материалы!$K$2:$K$9000,MATCH($I897,Материалы!$A$2:$A$9000,0))*(1+IFERROR(INDEX(Работы!$I$2:$I$6000,MATCH($C897,Работы!$A$2:$A$6000,0))/100,0))*(1-ДисконтТендер),0))</f>
        <v>0</v>
      </c>
      <c r="N897" s="10">
        <f t="shared" si="39"/>
        <v>0</v>
      </c>
      <c r="O897" s="10">
        <f t="shared" si="40"/>
        <v>0</v>
      </c>
      <c r="P897" s="10">
        <f t="shared" si="41"/>
        <v>0</v>
      </c>
      <c r="Q897" t="str">
        <f>IFERROR(INDEX(Работы!$J$2:$J$6000,MATCH($C897,Работы!$A$2:$A$6000,0)),"")</f>
        <v>типовая</v>
      </c>
      <c r="R897" t="s">
        <v>92</v>
      </c>
      <c r="T897" t="str">
        <f>IF(AND($P897&gt;0,$R897="да"),MAX($T$1:$T896)+1,"")</f>
        <v/>
      </c>
    </row>
    <row r="898" spans="1:20" x14ac:dyDescent="0.3">
      <c r="A898" t="str">
        <f>IFERROR(INDEX(Работы!$D$2:$D$6000,MATCH($C898,Работы!$A$2:$A$6000,0)),"")</f>
        <v>Р12</v>
      </c>
      <c r="B898" t="str">
        <f>IFERROR(INDEX(Работы!$F$2:$F$6000,MATCH($C898,Работы!$A$2:$A$6000,0)),"")</f>
        <v>1</v>
      </c>
      <c r="C898" t="str">
        <f>IFERROR(INDEX(Работы!$A$2:$A$6000,897),"")</f>
        <v>РАБ.Р12.1.003</v>
      </c>
      <c r="D898" s="8" t="str">
        <f>IFERROR(INDEX(Работы!$B$2:$B$6000,MATCH($C898,Работы!$A$2:$A$6000,0)),"")</f>
        <v>Ограждение строительной зоны</v>
      </c>
      <c r="E898" t="str">
        <f>IFERROR(INDEX(Работы!$C$2:$C$6000,MATCH($C898,Работы!$A$2:$A$6000,0)),"")</f>
        <v>м.п.</v>
      </c>
      <c r="F898">
        <f>IFERROR(INDEX(Работы!$G$2:$G$6000,MATCH($C898,Работы!$A$2:$A$6000,0)),"")</f>
        <v>0</v>
      </c>
      <c r="G898" t="str">
        <f>IFERROR(INDEX(Работы!$K$2:$K$6000,MATCH($C898,Работы!$A$2:$A$6000,0)),"")</f>
        <v>Погонаж</v>
      </c>
      <c r="H898" s="9"/>
      <c r="I898" s="9"/>
      <c r="J898" s="8" t="str">
        <f>IFERROR(INDEX(Материалы!$B$2:$B$9000,MATCH($I898,Материалы!$A$2:$A$9000,0)),"")</f>
        <v/>
      </c>
      <c r="K898" t="str">
        <f>IF($I898="","",IF($F898=IFERROR(INDEX(Материалы!$G$2:$G$9000,MATCH($I898,Материалы!$A$2:$A$9000,0)),""),"OK","!! не та группа"))</f>
        <v/>
      </c>
      <c r="L898" s="10">
        <f>IFERROR(INDEX(Работы!$H$2:$H$6000,MATCH($C898,Работы!$A$2:$A$6000,0))*(1-ДисконтТендер),0)</f>
        <v>0</v>
      </c>
      <c r="M898" s="10">
        <f>IF($I898="",0,IFERROR(INDEX(Материалы!$I$2:$I$9000,MATCH($I898,Материалы!$A$2:$A$9000,0))*IF(INDEX(Материалы!$J$2:$J$9000,MATCH($I898,Материалы!$A$2:$A$9000,0))="USD",КурсUSD,IF(INDEX(Материалы!$J$2:$J$9000,MATCH($I898,Материалы!$A$2:$A$9000,0))="EUR",КурсEUR,1))*INDEX(Материалы!$K$2:$K$9000,MATCH($I898,Материалы!$A$2:$A$9000,0))*(1+IFERROR(INDEX(Работы!$I$2:$I$6000,MATCH($C898,Работы!$A$2:$A$6000,0))/100,0))*(1-ДисконтТендер),0))</f>
        <v>0</v>
      </c>
      <c r="N898" s="10">
        <f t="shared" ref="N898:N961" si="42">IF(AND($R898="да",$H898&lt;&gt;""),ROUND($H898*$L898,2),0)</f>
        <v>0</v>
      </c>
      <c r="O898" s="10">
        <f t="shared" ref="O898:O961" si="43">IF(AND($R898="да",$H898&lt;&gt;""),ROUND($H898*$M898,2),0)</f>
        <v>0</v>
      </c>
      <c r="P898" s="10">
        <f t="shared" ref="P898:P961" si="44">$N898+$O898</f>
        <v>0</v>
      </c>
      <c r="Q898" t="str">
        <f>IFERROR(INDEX(Работы!$J$2:$J$6000,MATCH($C898,Работы!$A$2:$A$6000,0)),"")</f>
        <v>типовая</v>
      </c>
      <c r="R898" t="s">
        <v>92</v>
      </c>
      <c r="T898" t="str">
        <f>IF(AND($P898&gt;0,$R898="да"),MAX($T$1:$T897)+1,"")</f>
        <v/>
      </c>
    </row>
    <row r="899" spans="1:20" ht="28.8" x14ac:dyDescent="0.3">
      <c r="A899" t="str">
        <f>IFERROR(INDEX(Работы!$D$2:$D$6000,MATCH($C899,Работы!$A$2:$A$6000,0)),"")</f>
        <v>Р12</v>
      </c>
      <c r="B899" t="str">
        <f>IFERROR(INDEX(Работы!$F$2:$F$6000,MATCH($C899,Работы!$A$2:$A$6000,0)),"")</f>
        <v>1</v>
      </c>
      <c r="C899" t="str">
        <f>IFERROR(INDEX(Работы!$A$2:$A$6000,898),"")</f>
        <v>РАБ.Р12.1.004</v>
      </c>
      <c r="D899" s="8" t="str">
        <f>IFERROR(INDEX(Работы!$B$2:$B$6000,MATCH($C899,Работы!$A$2:$A$6000,0)),"")</f>
        <v>Бытовое помещение на период производства работ</v>
      </c>
      <c r="E899" t="str">
        <f>IFERROR(INDEX(Работы!$C$2:$C$6000,MATCH($C899,Работы!$A$2:$A$6000,0)),"")</f>
        <v>мес</v>
      </c>
      <c r="F899">
        <f>IFERROR(INDEX(Работы!$G$2:$G$6000,MATCH($C899,Работы!$A$2:$A$6000,0)),"")</f>
        <v>0</v>
      </c>
      <c r="G899" t="str">
        <f>IFERROR(INDEX(Работы!$K$2:$K$6000,MATCH($C899,Работы!$A$2:$A$6000,0)),"")</f>
        <v>Расчёт</v>
      </c>
      <c r="H899" s="9"/>
      <c r="I899" s="9"/>
      <c r="J899" s="8" t="str">
        <f>IFERROR(INDEX(Материалы!$B$2:$B$9000,MATCH($I899,Материалы!$A$2:$A$9000,0)),"")</f>
        <v/>
      </c>
      <c r="K899" t="str">
        <f>IF($I899="","",IF($F899=IFERROR(INDEX(Материалы!$G$2:$G$9000,MATCH($I899,Материалы!$A$2:$A$9000,0)),""),"OK","!! не та группа"))</f>
        <v/>
      </c>
      <c r="L899" s="10">
        <f>IFERROR(INDEX(Работы!$H$2:$H$6000,MATCH($C899,Работы!$A$2:$A$6000,0))*(1-ДисконтТендер),0)</f>
        <v>0</v>
      </c>
      <c r="M899" s="10">
        <f>IF($I899="",0,IFERROR(INDEX(Материалы!$I$2:$I$9000,MATCH($I899,Материалы!$A$2:$A$9000,0))*IF(INDEX(Материалы!$J$2:$J$9000,MATCH($I899,Материалы!$A$2:$A$9000,0))="USD",КурсUSD,IF(INDEX(Материалы!$J$2:$J$9000,MATCH($I899,Материалы!$A$2:$A$9000,0))="EUR",КурсEUR,1))*INDEX(Материалы!$K$2:$K$9000,MATCH($I899,Материалы!$A$2:$A$9000,0))*(1+IFERROR(INDEX(Работы!$I$2:$I$6000,MATCH($C899,Работы!$A$2:$A$6000,0))/100,0))*(1-ДисконтТендер),0))</f>
        <v>0</v>
      </c>
      <c r="N899" s="10">
        <f t="shared" si="42"/>
        <v>0</v>
      </c>
      <c r="O899" s="10">
        <f t="shared" si="43"/>
        <v>0</v>
      </c>
      <c r="P899" s="10">
        <f t="shared" si="44"/>
        <v>0</v>
      </c>
      <c r="Q899" t="str">
        <f>IFERROR(INDEX(Работы!$J$2:$J$6000,MATCH($C899,Работы!$A$2:$A$6000,0)),"")</f>
        <v>типовая</v>
      </c>
      <c r="R899" t="s">
        <v>92</v>
      </c>
      <c r="T899" t="str">
        <f>IF(AND($P899&gt;0,$R899="да"),MAX($T$1:$T898)+1,"")</f>
        <v/>
      </c>
    </row>
    <row r="900" spans="1:20" x14ac:dyDescent="0.3">
      <c r="A900" t="str">
        <f>IFERROR(INDEX(Работы!$D$2:$D$6000,MATCH($C900,Работы!$A$2:$A$6000,0)),"")</f>
        <v>Р12</v>
      </c>
      <c r="B900" t="str">
        <f>IFERROR(INDEX(Работы!$F$2:$F$6000,MATCH($C900,Работы!$A$2:$A$6000,0)),"")</f>
        <v>1</v>
      </c>
      <c r="C900" t="str">
        <f>IFERROR(INDEX(Работы!$A$2:$A$6000,899),"")</f>
        <v>РАБ.Р12.1.005</v>
      </c>
      <c r="D900" s="8" t="str">
        <f>IFERROR(INDEX(Работы!$B$2:$B$6000,MATCH($C900,Работы!$A$2:$A$6000,0)),"")</f>
        <v>Охрана объекта на период производства работ</v>
      </c>
      <c r="E900" t="str">
        <f>IFERROR(INDEX(Работы!$C$2:$C$6000,MATCH($C900,Работы!$A$2:$A$6000,0)),"")</f>
        <v>мес</v>
      </c>
      <c r="F900">
        <f>IFERROR(INDEX(Работы!$G$2:$G$6000,MATCH($C900,Работы!$A$2:$A$6000,0)),"")</f>
        <v>0</v>
      </c>
      <c r="G900" t="str">
        <f>IFERROR(INDEX(Работы!$K$2:$K$6000,MATCH($C900,Работы!$A$2:$A$6000,0)),"")</f>
        <v>Расчёт</v>
      </c>
      <c r="H900" s="9"/>
      <c r="I900" s="9"/>
      <c r="J900" s="8" t="str">
        <f>IFERROR(INDEX(Материалы!$B$2:$B$9000,MATCH($I900,Материалы!$A$2:$A$9000,0)),"")</f>
        <v/>
      </c>
      <c r="K900" t="str">
        <f>IF($I900="","",IF($F900=IFERROR(INDEX(Материалы!$G$2:$G$9000,MATCH($I900,Материалы!$A$2:$A$9000,0)),""),"OK","!! не та группа"))</f>
        <v/>
      </c>
      <c r="L900" s="10">
        <f>IFERROR(INDEX(Работы!$H$2:$H$6000,MATCH($C900,Работы!$A$2:$A$6000,0))*(1-ДисконтТендер),0)</f>
        <v>0</v>
      </c>
      <c r="M900" s="10">
        <f>IF($I900="",0,IFERROR(INDEX(Материалы!$I$2:$I$9000,MATCH($I900,Материалы!$A$2:$A$9000,0))*IF(INDEX(Материалы!$J$2:$J$9000,MATCH($I900,Материалы!$A$2:$A$9000,0))="USD",КурсUSD,IF(INDEX(Материалы!$J$2:$J$9000,MATCH($I900,Материалы!$A$2:$A$9000,0))="EUR",КурсEUR,1))*INDEX(Материалы!$K$2:$K$9000,MATCH($I900,Материалы!$A$2:$A$9000,0))*(1+IFERROR(INDEX(Работы!$I$2:$I$6000,MATCH($C900,Работы!$A$2:$A$6000,0))/100,0))*(1-ДисконтТендер),0))</f>
        <v>0</v>
      </c>
      <c r="N900" s="10">
        <f t="shared" si="42"/>
        <v>0</v>
      </c>
      <c r="O900" s="10">
        <f t="shared" si="43"/>
        <v>0</v>
      </c>
      <c r="P900" s="10">
        <f t="shared" si="44"/>
        <v>0</v>
      </c>
      <c r="Q900" t="str">
        <f>IFERROR(INDEX(Работы!$J$2:$J$6000,MATCH($C900,Работы!$A$2:$A$6000,0)),"")</f>
        <v>типовая</v>
      </c>
      <c r="R900" t="s">
        <v>92</v>
      </c>
      <c r="T900" t="str">
        <f>IF(AND($P900&gt;0,$R900="да"),MAX($T$1:$T899)+1,"")</f>
        <v/>
      </c>
    </row>
    <row r="901" spans="1:20" ht="28.8" x14ac:dyDescent="0.3">
      <c r="A901" t="str">
        <f>IFERROR(INDEX(Работы!$D$2:$D$6000,MATCH($C901,Работы!$A$2:$A$6000,0)),"")</f>
        <v>Р12</v>
      </c>
      <c r="B901" t="str">
        <f>IFERROR(INDEX(Работы!$F$2:$F$6000,MATCH($C901,Работы!$A$2:$A$6000,0)),"")</f>
        <v>1</v>
      </c>
      <c r="C901" t="str">
        <f>IFERROR(INDEX(Работы!$A$2:$A$6000,900),"")</f>
        <v>РАБ.Р12.1.006</v>
      </c>
      <c r="D901" s="8" t="str">
        <f>IFERROR(INDEX(Работы!$B$2:$B$6000,MATCH($C901,Работы!$A$2:$A$6000,0)),"")</f>
        <v>Мероприятия по охране труда, пожарной безопасности, СИЗ</v>
      </c>
      <c r="E901" t="str">
        <f>IFERROR(INDEX(Работы!$C$2:$C$6000,MATCH($C901,Работы!$A$2:$A$6000,0)),"")</f>
        <v>компл</v>
      </c>
      <c r="F901">
        <f>IFERROR(INDEX(Работы!$G$2:$G$6000,MATCH($C901,Работы!$A$2:$A$6000,0)),"")</f>
        <v>0</v>
      </c>
      <c r="G901" t="str">
        <f>IFERROR(INDEX(Работы!$K$2:$K$6000,MATCH($C901,Работы!$A$2:$A$6000,0)),"")</f>
        <v>S_общая</v>
      </c>
      <c r="H901" s="9"/>
      <c r="I901" s="9"/>
      <c r="J901" s="8" t="str">
        <f>IFERROR(INDEX(Материалы!$B$2:$B$9000,MATCH($I901,Материалы!$A$2:$A$9000,0)),"")</f>
        <v/>
      </c>
      <c r="K901" t="str">
        <f>IF($I901="","",IF($F901=IFERROR(INDEX(Материалы!$G$2:$G$9000,MATCH($I901,Материалы!$A$2:$A$9000,0)),""),"OK","!! не та группа"))</f>
        <v/>
      </c>
      <c r="L901" s="10">
        <f>IFERROR(INDEX(Работы!$H$2:$H$6000,MATCH($C901,Работы!$A$2:$A$6000,0))*(1-ДисконтТендер),0)</f>
        <v>0</v>
      </c>
      <c r="M901" s="10">
        <f>IF($I901="",0,IFERROR(INDEX(Материалы!$I$2:$I$9000,MATCH($I901,Материалы!$A$2:$A$9000,0))*IF(INDEX(Материалы!$J$2:$J$9000,MATCH($I901,Материалы!$A$2:$A$9000,0))="USD",КурсUSD,IF(INDEX(Материалы!$J$2:$J$9000,MATCH($I901,Материалы!$A$2:$A$9000,0))="EUR",КурсEUR,1))*INDEX(Материалы!$K$2:$K$9000,MATCH($I901,Материалы!$A$2:$A$9000,0))*(1+IFERROR(INDEX(Работы!$I$2:$I$6000,MATCH($C901,Работы!$A$2:$A$6000,0))/100,0))*(1-ДисконтТендер),0))</f>
        <v>0</v>
      </c>
      <c r="N901" s="10">
        <f t="shared" si="42"/>
        <v>0</v>
      </c>
      <c r="O901" s="10">
        <f t="shared" si="43"/>
        <v>0</v>
      </c>
      <c r="P901" s="10">
        <f t="shared" si="44"/>
        <v>0</v>
      </c>
      <c r="Q901" t="str">
        <f>IFERROR(INDEX(Работы!$J$2:$J$6000,MATCH($C901,Работы!$A$2:$A$6000,0)),"")</f>
        <v>типовая</v>
      </c>
      <c r="R901" t="s">
        <v>92</v>
      </c>
      <c r="T901" t="str">
        <f>IF(AND($P901&gt;0,$R901="да"),MAX($T$1:$T900)+1,"")</f>
        <v/>
      </c>
    </row>
    <row r="902" spans="1:20" x14ac:dyDescent="0.3">
      <c r="A902" t="str">
        <f>IFERROR(INDEX(Работы!$D$2:$D$6000,MATCH($C902,Работы!$A$2:$A$6000,0)),"")</f>
        <v>Р12</v>
      </c>
      <c r="B902" t="str">
        <f>IFERROR(INDEX(Работы!$F$2:$F$6000,MATCH($C902,Работы!$A$2:$A$6000,0)),"")</f>
        <v>2</v>
      </c>
      <c r="C902" t="str">
        <f>IFERROR(INDEX(Работы!$A$2:$A$6000,901),"")</f>
        <v>РАБ.Р12.2.001</v>
      </c>
      <c r="D902" s="8" t="str">
        <f>IFERROR(INDEX(Работы!$B$2:$B$6000,MATCH($C902,Работы!$A$2:$A$6000,0)),"")</f>
        <v>Пусконаладочные работы систем вентиляции</v>
      </c>
      <c r="E902" t="str">
        <f>IFERROR(INDEX(Работы!$C$2:$C$6000,MATCH($C902,Работы!$A$2:$A$6000,0)),"")</f>
        <v>компл</v>
      </c>
      <c r="F902">
        <f>IFERROR(INDEX(Работы!$G$2:$G$6000,MATCH($C902,Работы!$A$2:$A$6000,0)),"")</f>
        <v>0</v>
      </c>
      <c r="G902" t="str">
        <f>IFERROR(INDEX(Работы!$K$2:$K$6000,MATCH($C902,Работы!$A$2:$A$6000,0)),"")</f>
        <v>Спецификация</v>
      </c>
      <c r="H902" s="9"/>
      <c r="I902" s="9"/>
      <c r="J902" s="8" t="str">
        <f>IFERROR(INDEX(Материалы!$B$2:$B$9000,MATCH($I902,Материалы!$A$2:$A$9000,0)),"")</f>
        <v/>
      </c>
      <c r="K902" t="str">
        <f>IF($I902="","",IF($F902=IFERROR(INDEX(Материалы!$G$2:$G$9000,MATCH($I902,Материалы!$A$2:$A$9000,0)),""),"OK","!! не та группа"))</f>
        <v/>
      </c>
      <c r="L902" s="10">
        <f>IFERROR(INDEX(Работы!$H$2:$H$6000,MATCH($C902,Работы!$A$2:$A$6000,0))*(1-ДисконтТендер),0)</f>
        <v>0</v>
      </c>
      <c r="M902" s="10">
        <f>IF($I902="",0,IFERROR(INDEX(Материалы!$I$2:$I$9000,MATCH($I902,Материалы!$A$2:$A$9000,0))*IF(INDEX(Материалы!$J$2:$J$9000,MATCH($I902,Материалы!$A$2:$A$9000,0))="USD",КурсUSD,IF(INDEX(Материалы!$J$2:$J$9000,MATCH($I902,Материалы!$A$2:$A$9000,0))="EUR",КурсEUR,1))*INDEX(Материалы!$K$2:$K$9000,MATCH($I902,Материалы!$A$2:$A$9000,0))*(1+IFERROR(INDEX(Работы!$I$2:$I$6000,MATCH($C902,Работы!$A$2:$A$6000,0))/100,0))*(1-ДисконтТендер),0))</f>
        <v>0</v>
      </c>
      <c r="N902" s="10">
        <f t="shared" si="42"/>
        <v>0</v>
      </c>
      <c r="O902" s="10">
        <f t="shared" si="43"/>
        <v>0</v>
      </c>
      <c r="P902" s="10">
        <f t="shared" si="44"/>
        <v>0</v>
      </c>
      <c r="Q902" t="str">
        <f>IFERROR(INDEX(Работы!$J$2:$J$6000,MATCH($C902,Работы!$A$2:$A$6000,0)),"")</f>
        <v>типовая</v>
      </c>
      <c r="R902" t="s">
        <v>92</v>
      </c>
      <c r="T902" t="str">
        <f>IF(AND($P902&gt;0,$R902="да"),MAX($T$1:$T901)+1,"")</f>
        <v/>
      </c>
    </row>
    <row r="903" spans="1:20" ht="28.8" x14ac:dyDescent="0.3">
      <c r="A903" t="str">
        <f>IFERROR(INDEX(Работы!$D$2:$D$6000,MATCH($C903,Работы!$A$2:$A$6000,0)),"")</f>
        <v>Р12</v>
      </c>
      <c r="B903" t="str">
        <f>IFERROR(INDEX(Работы!$F$2:$F$6000,MATCH($C903,Работы!$A$2:$A$6000,0)),"")</f>
        <v>2</v>
      </c>
      <c r="C903" t="str">
        <f>IFERROR(INDEX(Работы!$A$2:$A$6000,902),"")</f>
        <v>РАБ.Р12.2.002</v>
      </c>
      <c r="D903" s="8" t="str">
        <f>IFERROR(INDEX(Работы!$B$2:$B$6000,MATCH($C903,Работы!$A$2:$A$6000,0)),"")</f>
        <v>Пусконаладочные работы систем кондиционирования</v>
      </c>
      <c r="E903" t="str">
        <f>IFERROR(INDEX(Работы!$C$2:$C$6000,MATCH($C903,Работы!$A$2:$A$6000,0)),"")</f>
        <v>компл</v>
      </c>
      <c r="F903">
        <f>IFERROR(INDEX(Работы!$G$2:$G$6000,MATCH($C903,Работы!$A$2:$A$6000,0)),"")</f>
        <v>0</v>
      </c>
      <c r="G903" t="str">
        <f>IFERROR(INDEX(Работы!$K$2:$K$6000,MATCH($C903,Работы!$A$2:$A$6000,0)),"")</f>
        <v>Спецификация</v>
      </c>
      <c r="H903" s="9"/>
      <c r="I903" s="9"/>
      <c r="J903" s="8" t="str">
        <f>IFERROR(INDEX(Материалы!$B$2:$B$9000,MATCH($I903,Материалы!$A$2:$A$9000,0)),"")</f>
        <v/>
      </c>
      <c r="K903" t="str">
        <f>IF($I903="","",IF($F903=IFERROR(INDEX(Материалы!$G$2:$G$9000,MATCH($I903,Материалы!$A$2:$A$9000,0)),""),"OK","!! не та группа"))</f>
        <v/>
      </c>
      <c r="L903" s="10">
        <f>IFERROR(INDEX(Работы!$H$2:$H$6000,MATCH($C903,Работы!$A$2:$A$6000,0))*(1-ДисконтТендер),0)</f>
        <v>0</v>
      </c>
      <c r="M903" s="10">
        <f>IF($I903="",0,IFERROR(INDEX(Материалы!$I$2:$I$9000,MATCH($I903,Материалы!$A$2:$A$9000,0))*IF(INDEX(Материалы!$J$2:$J$9000,MATCH($I903,Материалы!$A$2:$A$9000,0))="USD",КурсUSD,IF(INDEX(Материалы!$J$2:$J$9000,MATCH($I903,Материалы!$A$2:$A$9000,0))="EUR",КурсEUR,1))*INDEX(Материалы!$K$2:$K$9000,MATCH($I903,Материалы!$A$2:$A$9000,0))*(1+IFERROR(INDEX(Работы!$I$2:$I$6000,MATCH($C903,Работы!$A$2:$A$6000,0))/100,0))*(1-ДисконтТендер),0))</f>
        <v>0</v>
      </c>
      <c r="N903" s="10">
        <f t="shared" si="42"/>
        <v>0</v>
      </c>
      <c r="O903" s="10">
        <f t="shared" si="43"/>
        <v>0</v>
      </c>
      <c r="P903" s="10">
        <f t="shared" si="44"/>
        <v>0</v>
      </c>
      <c r="Q903" t="str">
        <f>IFERROR(INDEX(Работы!$J$2:$J$6000,MATCH($C903,Работы!$A$2:$A$6000,0)),"")</f>
        <v>типовая</v>
      </c>
      <c r="R903" t="s">
        <v>92</v>
      </c>
      <c r="T903" t="str">
        <f>IF(AND($P903&gt;0,$R903="да"),MAX($T$1:$T902)+1,"")</f>
        <v/>
      </c>
    </row>
    <row r="904" spans="1:20" x14ac:dyDescent="0.3">
      <c r="A904" t="str">
        <f>IFERROR(INDEX(Работы!$D$2:$D$6000,MATCH($C904,Работы!$A$2:$A$6000,0)),"")</f>
        <v>Р12</v>
      </c>
      <c r="B904" t="str">
        <f>IFERROR(INDEX(Работы!$F$2:$F$6000,MATCH($C904,Работы!$A$2:$A$6000,0)),"")</f>
        <v>2</v>
      </c>
      <c r="C904" t="str">
        <f>IFERROR(INDEX(Работы!$A$2:$A$6000,903),"")</f>
        <v>РАБ.Р12.2.003</v>
      </c>
      <c r="D904" s="8" t="str">
        <f>IFERROR(INDEX(Работы!$B$2:$B$6000,MATCH($C904,Работы!$A$2:$A$6000,0)),"")</f>
        <v>Пусконаладочные работы систем отопления</v>
      </c>
      <c r="E904" t="str">
        <f>IFERROR(INDEX(Работы!$C$2:$C$6000,MATCH($C904,Работы!$A$2:$A$6000,0)),"")</f>
        <v>компл</v>
      </c>
      <c r="F904">
        <f>IFERROR(INDEX(Работы!$G$2:$G$6000,MATCH($C904,Работы!$A$2:$A$6000,0)),"")</f>
        <v>0</v>
      </c>
      <c r="G904" t="str">
        <f>IFERROR(INDEX(Работы!$K$2:$K$6000,MATCH($C904,Работы!$A$2:$A$6000,0)),"")</f>
        <v>Спецификация</v>
      </c>
      <c r="H904" s="9"/>
      <c r="I904" s="9"/>
      <c r="J904" s="8" t="str">
        <f>IFERROR(INDEX(Материалы!$B$2:$B$9000,MATCH($I904,Материалы!$A$2:$A$9000,0)),"")</f>
        <v/>
      </c>
      <c r="K904" t="str">
        <f>IF($I904="","",IF($F904=IFERROR(INDEX(Материалы!$G$2:$G$9000,MATCH($I904,Материалы!$A$2:$A$9000,0)),""),"OK","!! не та группа"))</f>
        <v/>
      </c>
      <c r="L904" s="10">
        <f>IFERROR(INDEX(Работы!$H$2:$H$6000,MATCH($C904,Работы!$A$2:$A$6000,0))*(1-ДисконтТендер),0)</f>
        <v>0</v>
      </c>
      <c r="M904" s="10">
        <f>IF($I904="",0,IFERROR(INDEX(Материалы!$I$2:$I$9000,MATCH($I904,Материалы!$A$2:$A$9000,0))*IF(INDEX(Материалы!$J$2:$J$9000,MATCH($I904,Материалы!$A$2:$A$9000,0))="USD",КурсUSD,IF(INDEX(Материалы!$J$2:$J$9000,MATCH($I904,Материалы!$A$2:$A$9000,0))="EUR",КурсEUR,1))*INDEX(Материалы!$K$2:$K$9000,MATCH($I904,Материалы!$A$2:$A$9000,0))*(1+IFERROR(INDEX(Работы!$I$2:$I$6000,MATCH($C904,Работы!$A$2:$A$6000,0))/100,0))*(1-ДисконтТендер),0))</f>
        <v>0</v>
      </c>
      <c r="N904" s="10">
        <f t="shared" si="42"/>
        <v>0</v>
      </c>
      <c r="O904" s="10">
        <f t="shared" si="43"/>
        <v>0</v>
      </c>
      <c r="P904" s="10">
        <f t="shared" si="44"/>
        <v>0</v>
      </c>
      <c r="Q904" t="str">
        <f>IFERROR(INDEX(Работы!$J$2:$J$6000,MATCH($C904,Работы!$A$2:$A$6000,0)),"")</f>
        <v>типовая</v>
      </c>
      <c r="R904" t="s">
        <v>92</v>
      </c>
      <c r="T904" t="str">
        <f>IF(AND($P904&gt;0,$R904="да"),MAX($T$1:$T903)+1,"")</f>
        <v/>
      </c>
    </row>
    <row r="905" spans="1:20" ht="28.8" x14ac:dyDescent="0.3">
      <c r="A905" t="str">
        <f>IFERROR(INDEX(Работы!$D$2:$D$6000,MATCH($C905,Работы!$A$2:$A$6000,0)),"")</f>
        <v>Р12</v>
      </c>
      <c r="B905" t="str">
        <f>IFERROR(INDEX(Работы!$F$2:$F$6000,MATCH($C905,Работы!$A$2:$A$6000,0)),"")</f>
        <v>2</v>
      </c>
      <c r="C905" t="str">
        <f>IFERROR(INDEX(Работы!$A$2:$A$6000,904),"")</f>
        <v>РАБ.Р12.2.004</v>
      </c>
      <c r="D905" s="8" t="str">
        <f>IFERROR(INDEX(Работы!$B$2:$B$6000,MATCH($C905,Работы!$A$2:$A$6000,0)),"")</f>
        <v>Пусконаладочные работы систем водоснабжения, канализации и ВПВ</v>
      </c>
      <c r="E905" t="str">
        <f>IFERROR(INDEX(Работы!$C$2:$C$6000,MATCH($C905,Работы!$A$2:$A$6000,0)),"")</f>
        <v>компл</v>
      </c>
      <c r="F905">
        <f>IFERROR(INDEX(Работы!$G$2:$G$6000,MATCH($C905,Работы!$A$2:$A$6000,0)),"")</f>
        <v>0</v>
      </c>
      <c r="G905" t="str">
        <f>IFERROR(INDEX(Работы!$K$2:$K$6000,MATCH($C905,Работы!$A$2:$A$6000,0)),"")</f>
        <v>Спецификация</v>
      </c>
      <c r="H905" s="9"/>
      <c r="I905" s="9"/>
      <c r="J905" s="8" t="str">
        <f>IFERROR(INDEX(Материалы!$B$2:$B$9000,MATCH($I905,Материалы!$A$2:$A$9000,0)),"")</f>
        <v/>
      </c>
      <c r="K905" t="str">
        <f>IF($I905="","",IF($F905=IFERROR(INDEX(Материалы!$G$2:$G$9000,MATCH($I905,Материалы!$A$2:$A$9000,0)),""),"OK","!! не та группа"))</f>
        <v/>
      </c>
      <c r="L905" s="10">
        <f>IFERROR(INDEX(Работы!$H$2:$H$6000,MATCH($C905,Работы!$A$2:$A$6000,0))*(1-ДисконтТендер),0)</f>
        <v>0</v>
      </c>
      <c r="M905" s="10">
        <f>IF($I905="",0,IFERROR(INDEX(Материалы!$I$2:$I$9000,MATCH($I905,Материалы!$A$2:$A$9000,0))*IF(INDEX(Материалы!$J$2:$J$9000,MATCH($I905,Материалы!$A$2:$A$9000,0))="USD",КурсUSD,IF(INDEX(Материалы!$J$2:$J$9000,MATCH($I905,Материалы!$A$2:$A$9000,0))="EUR",КурсEUR,1))*INDEX(Материалы!$K$2:$K$9000,MATCH($I905,Материалы!$A$2:$A$9000,0))*(1+IFERROR(INDEX(Работы!$I$2:$I$6000,MATCH($C905,Работы!$A$2:$A$6000,0))/100,0))*(1-ДисконтТендер),0))</f>
        <v>0</v>
      </c>
      <c r="N905" s="10">
        <f t="shared" si="42"/>
        <v>0</v>
      </c>
      <c r="O905" s="10">
        <f t="shared" si="43"/>
        <v>0</v>
      </c>
      <c r="P905" s="10">
        <f t="shared" si="44"/>
        <v>0</v>
      </c>
      <c r="Q905" t="str">
        <f>IFERROR(INDEX(Работы!$J$2:$J$6000,MATCH($C905,Работы!$A$2:$A$6000,0)),"")</f>
        <v>типовая</v>
      </c>
      <c r="R905" t="s">
        <v>92</v>
      </c>
      <c r="T905" t="str">
        <f>IF(AND($P905&gt;0,$R905="да"),MAX($T$1:$T904)+1,"")</f>
        <v/>
      </c>
    </row>
    <row r="906" spans="1:20" ht="28.8" x14ac:dyDescent="0.3">
      <c r="A906" t="str">
        <f>IFERROR(INDEX(Работы!$D$2:$D$6000,MATCH($C906,Работы!$A$2:$A$6000,0)),"")</f>
        <v>Р12</v>
      </c>
      <c r="B906" t="str">
        <f>IFERROR(INDEX(Работы!$F$2:$F$6000,MATCH($C906,Работы!$A$2:$A$6000,0)),"")</f>
        <v>2</v>
      </c>
      <c r="C906" t="str">
        <f>IFERROR(INDEX(Работы!$A$2:$A$6000,905),"")</f>
        <v>РАБ.Р12.2.005</v>
      </c>
      <c r="D906" s="8" t="str">
        <f>IFERROR(INDEX(Работы!$B$2:$B$6000,MATCH($C906,Работы!$A$2:$A$6000,0)),"")</f>
        <v>Пусконаладочные работы систем АУПТ (спринклерные)</v>
      </c>
      <c r="E906" t="str">
        <f>IFERROR(INDEX(Работы!$C$2:$C$6000,MATCH($C906,Работы!$A$2:$A$6000,0)),"")</f>
        <v>компл</v>
      </c>
      <c r="F906">
        <f>IFERROR(INDEX(Работы!$G$2:$G$6000,MATCH($C906,Работы!$A$2:$A$6000,0)),"")</f>
        <v>0</v>
      </c>
      <c r="G906" t="str">
        <f>IFERROR(INDEX(Работы!$K$2:$K$6000,MATCH($C906,Работы!$A$2:$A$6000,0)),"")</f>
        <v>Спецификация</v>
      </c>
      <c r="H906" s="9"/>
      <c r="I906" s="9"/>
      <c r="J906" s="8" t="str">
        <f>IFERROR(INDEX(Материалы!$B$2:$B$9000,MATCH($I906,Материалы!$A$2:$A$9000,0)),"")</f>
        <v/>
      </c>
      <c r="K906" t="str">
        <f>IF($I906="","",IF($F906=IFERROR(INDEX(Материалы!$G$2:$G$9000,MATCH($I906,Материалы!$A$2:$A$9000,0)),""),"OK","!! не та группа"))</f>
        <v/>
      </c>
      <c r="L906" s="10">
        <f>IFERROR(INDEX(Работы!$H$2:$H$6000,MATCH($C906,Работы!$A$2:$A$6000,0))*(1-ДисконтТендер),0)</f>
        <v>0</v>
      </c>
      <c r="M906" s="10">
        <f>IF($I906="",0,IFERROR(INDEX(Материалы!$I$2:$I$9000,MATCH($I906,Материалы!$A$2:$A$9000,0))*IF(INDEX(Материалы!$J$2:$J$9000,MATCH($I906,Материалы!$A$2:$A$9000,0))="USD",КурсUSD,IF(INDEX(Материалы!$J$2:$J$9000,MATCH($I906,Материалы!$A$2:$A$9000,0))="EUR",КурсEUR,1))*INDEX(Материалы!$K$2:$K$9000,MATCH($I906,Материалы!$A$2:$A$9000,0))*(1+IFERROR(INDEX(Работы!$I$2:$I$6000,MATCH($C906,Работы!$A$2:$A$6000,0))/100,0))*(1-ДисконтТендер),0))</f>
        <v>0</v>
      </c>
      <c r="N906" s="10">
        <f t="shared" si="42"/>
        <v>0</v>
      </c>
      <c r="O906" s="10">
        <f t="shared" si="43"/>
        <v>0</v>
      </c>
      <c r="P906" s="10">
        <f t="shared" si="44"/>
        <v>0</v>
      </c>
      <c r="Q906" t="str">
        <f>IFERROR(INDEX(Работы!$J$2:$J$6000,MATCH($C906,Работы!$A$2:$A$6000,0)),"")</f>
        <v>нетиповая</v>
      </c>
      <c r="R906" t="s">
        <v>92</v>
      </c>
      <c r="T906" t="str">
        <f>IF(AND($P906&gt;0,$R906="да"),MAX($T$1:$T905)+1,"")</f>
        <v/>
      </c>
    </row>
    <row r="907" spans="1:20" x14ac:dyDescent="0.3">
      <c r="A907" t="str">
        <f>IFERROR(INDEX(Работы!$D$2:$D$6000,MATCH($C907,Работы!$A$2:$A$6000,0)),"")</f>
        <v>Р12</v>
      </c>
      <c r="B907" t="str">
        <f>IFERROR(INDEX(Работы!$F$2:$F$6000,MATCH($C907,Работы!$A$2:$A$6000,0)),"")</f>
        <v>3</v>
      </c>
      <c r="C907" t="str">
        <f>IFERROR(INDEX(Работы!$A$2:$A$6000,906),"")</f>
        <v>РАБ.Р12.3.001</v>
      </c>
      <c r="D907" s="8" t="str">
        <f>IFERROR(INDEX(Работы!$B$2:$B$6000,MATCH($C907,Работы!$A$2:$A$6000,0)),"")</f>
        <v>Исполнительная документация (комплект)</v>
      </c>
      <c r="E907" t="str">
        <f>IFERROR(INDEX(Работы!$C$2:$C$6000,MATCH($C907,Работы!$A$2:$A$6000,0)),"")</f>
        <v>компл</v>
      </c>
      <c r="F907">
        <f>IFERROR(INDEX(Работы!$G$2:$G$6000,MATCH($C907,Работы!$A$2:$A$6000,0)),"")</f>
        <v>0</v>
      </c>
      <c r="G907" t="str">
        <f>IFERROR(INDEX(Работы!$K$2:$K$6000,MATCH($C907,Работы!$A$2:$A$6000,0)),"")</f>
        <v>S_общая</v>
      </c>
      <c r="H907" s="9"/>
      <c r="I907" s="9"/>
      <c r="J907" s="8" t="str">
        <f>IFERROR(INDEX(Материалы!$B$2:$B$9000,MATCH($I907,Материалы!$A$2:$A$9000,0)),"")</f>
        <v/>
      </c>
      <c r="K907" t="str">
        <f>IF($I907="","",IF($F907=IFERROR(INDEX(Материалы!$G$2:$G$9000,MATCH($I907,Материалы!$A$2:$A$9000,0)),""),"OK","!! не та группа"))</f>
        <v/>
      </c>
      <c r="L907" s="10">
        <f>IFERROR(INDEX(Работы!$H$2:$H$6000,MATCH($C907,Работы!$A$2:$A$6000,0))*(1-ДисконтТендер),0)</f>
        <v>0</v>
      </c>
      <c r="M907" s="10">
        <f>IF($I907="",0,IFERROR(INDEX(Материалы!$I$2:$I$9000,MATCH($I907,Материалы!$A$2:$A$9000,0))*IF(INDEX(Материалы!$J$2:$J$9000,MATCH($I907,Материалы!$A$2:$A$9000,0))="USD",КурсUSD,IF(INDEX(Материалы!$J$2:$J$9000,MATCH($I907,Материалы!$A$2:$A$9000,0))="EUR",КурсEUR,1))*INDEX(Материалы!$K$2:$K$9000,MATCH($I907,Материалы!$A$2:$A$9000,0))*(1+IFERROR(INDEX(Работы!$I$2:$I$6000,MATCH($C907,Работы!$A$2:$A$6000,0))/100,0))*(1-ДисконтТендер),0))</f>
        <v>0</v>
      </c>
      <c r="N907" s="10">
        <f t="shared" si="42"/>
        <v>0</v>
      </c>
      <c r="O907" s="10">
        <f t="shared" si="43"/>
        <v>0</v>
      </c>
      <c r="P907" s="10">
        <f t="shared" si="44"/>
        <v>0</v>
      </c>
      <c r="Q907" t="str">
        <f>IFERROR(INDEX(Работы!$J$2:$J$6000,MATCH($C907,Работы!$A$2:$A$6000,0)),"")</f>
        <v>типовая</v>
      </c>
      <c r="R907" t="s">
        <v>92</v>
      </c>
      <c r="T907" t="str">
        <f>IF(AND($P907&gt;0,$R907="да"),MAX($T$1:$T906)+1,"")</f>
        <v/>
      </c>
    </row>
    <row r="908" spans="1:20" x14ac:dyDescent="0.3">
      <c r="A908" t="str">
        <f>IFERROR(INDEX(Работы!$D$2:$D$6000,MATCH($C908,Работы!$A$2:$A$6000,0)),"")</f>
        <v>Р12</v>
      </c>
      <c r="B908" t="str">
        <f>IFERROR(INDEX(Работы!$F$2:$F$6000,MATCH($C908,Работы!$A$2:$A$6000,0)),"")</f>
        <v>3</v>
      </c>
      <c r="C908" t="str">
        <f>IFERROR(INDEX(Работы!$A$2:$A$6000,907),"")</f>
        <v>РАБ.Р12.3.002</v>
      </c>
      <c r="D908" s="8" t="str">
        <f>IFERROR(INDEX(Работы!$B$2:$B$6000,MATCH($C908,Работы!$A$2:$A$6000,0)),"")</f>
        <v>Геодезическая разбивка, вынос осей и отметок</v>
      </c>
      <c r="E908" t="str">
        <f>IFERROR(INDEX(Работы!$C$2:$C$6000,MATCH($C908,Работы!$A$2:$A$6000,0)),"")</f>
        <v>компл</v>
      </c>
      <c r="F908">
        <f>IFERROR(INDEX(Работы!$G$2:$G$6000,MATCH($C908,Работы!$A$2:$A$6000,0)),"")</f>
        <v>0</v>
      </c>
      <c r="G908" t="str">
        <f>IFERROR(INDEX(Работы!$K$2:$K$6000,MATCH($C908,Работы!$A$2:$A$6000,0)),"")</f>
        <v>Спецификация</v>
      </c>
      <c r="H908" s="9"/>
      <c r="I908" s="9"/>
      <c r="J908" s="8" t="str">
        <f>IFERROR(INDEX(Материалы!$B$2:$B$9000,MATCH($I908,Материалы!$A$2:$A$9000,0)),"")</f>
        <v/>
      </c>
      <c r="K908" t="str">
        <f>IF($I908="","",IF($F908=IFERROR(INDEX(Материалы!$G$2:$G$9000,MATCH($I908,Материалы!$A$2:$A$9000,0)),""),"OK","!! не та группа"))</f>
        <v/>
      </c>
      <c r="L908" s="10">
        <f>IFERROR(INDEX(Работы!$H$2:$H$6000,MATCH($C908,Работы!$A$2:$A$6000,0))*(1-ДисконтТендер),0)</f>
        <v>0</v>
      </c>
      <c r="M908" s="10">
        <f>IF($I908="",0,IFERROR(INDEX(Материалы!$I$2:$I$9000,MATCH($I908,Материалы!$A$2:$A$9000,0))*IF(INDEX(Материалы!$J$2:$J$9000,MATCH($I908,Материалы!$A$2:$A$9000,0))="USD",КурсUSD,IF(INDEX(Материалы!$J$2:$J$9000,MATCH($I908,Материалы!$A$2:$A$9000,0))="EUR",КурсEUR,1))*INDEX(Материалы!$K$2:$K$9000,MATCH($I908,Материалы!$A$2:$A$9000,0))*(1+IFERROR(INDEX(Работы!$I$2:$I$6000,MATCH($C908,Работы!$A$2:$A$6000,0))/100,0))*(1-ДисконтТендер),0))</f>
        <v>0</v>
      </c>
      <c r="N908" s="10">
        <f t="shared" si="42"/>
        <v>0</v>
      </c>
      <c r="O908" s="10">
        <f t="shared" si="43"/>
        <v>0</v>
      </c>
      <c r="P908" s="10">
        <f t="shared" si="44"/>
        <v>0</v>
      </c>
      <c r="Q908" t="str">
        <f>IFERROR(INDEX(Работы!$J$2:$J$6000,MATCH($C908,Работы!$A$2:$A$6000,0)),"")</f>
        <v>типовая</v>
      </c>
      <c r="R908" t="s">
        <v>92</v>
      </c>
      <c r="T908" t="str">
        <f>IF(AND($P908&gt;0,$R908="да"),MAX($T$1:$T907)+1,"")</f>
        <v/>
      </c>
    </row>
    <row r="909" spans="1:20" x14ac:dyDescent="0.3">
      <c r="A909" t="str">
        <f>IFERROR(INDEX(Работы!$D$2:$D$6000,MATCH($C909,Работы!$A$2:$A$6000,0)),"")</f>
        <v>Р12</v>
      </c>
      <c r="B909" t="str">
        <f>IFERROR(INDEX(Работы!$F$2:$F$6000,MATCH($C909,Работы!$A$2:$A$6000,0)),"")</f>
        <v>3</v>
      </c>
      <c r="C909" t="str">
        <f>IFERROR(INDEX(Работы!$A$2:$A$6000,908),"")</f>
        <v>РАБ.Р12.3.003</v>
      </c>
      <c r="D909" s="8" t="str">
        <f>IFERROR(INDEX(Работы!$B$2:$B$6000,MATCH($C909,Работы!$A$2:$A$6000,0)),"")</f>
        <v>Обмерные работы помещений</v>
      </c>
      <c r="E909" t="str">
        <f>IFERROR(INDEX(Работы!$C$2:$C$6000,MATCH($C909,Работы!$A$2:$A$6000,0)),"")</f>
        <v>м2</v>
      </c>
      <c r="F909">
        <f>IFERROR(INDEX(Работы!$G$2:$G$6000,MATCH($C909,Работы!$A$2:$A$6000,0)),"")</f>
        <v>0</v>
      </c>
      <c r="G909" t="str">
        <f>IFERROR(INDEX(Работы!$K$2:$K$6000,MATCH($C909,Работы!$A$2:$A$6000,0)),"")</f>
        <v>S_общая</v>
      </c>
      <c r="H909" s="9"/>
      <c r="I909" s="9"/>
      <c r="J909" s="8" t="str">
        <f>IFERROR(INDEX(Материалы!$B$2:$B$9000,MATCH($I909,Материалы!$A$2:$A$9000,0)),"")</f>
        <v/>
      </c>
      <c r="K909" t="str">
        <f>IF($I909="","",IF($F909=IFERROR(INDEX(Материалы!$G$2:$G$9000,MATCH($I909,Материалы!$A$2:$A$9000,0)),""),"OK","!! не та группа"))</f>
        <v/>
      </c>
      <c r="L909" s="10">
        <f>IFERROR(INDEX(Работы!$H$2:$H$6000,MATCH($C909,Работы!$A$2:$A$6000,0))*(1-ДисконтТендер),0)</f>
        <v>0</v>
      </c>
      <c r="M909" s="10">
        <f>IF($I909="",0,IFERROR(INDEX(Материалы!$I$2:$I$9000,MATCH($I909,Материалы!$A$2:$A$9000,0))*IF(INDEX(Материалы!$J$2:$J$9000,MATCH($I909,Материалы!$A$2:$A$9000,0))="USD",КурсUSD,IF(INDEX(Материалы!$J$2:$J$9000,MATCH($I909,Материалы!$A$2:$A$9000,0))="EUR",КурсEUR,1))*INDEX(Материалы!$K$2:$K$9000,MATCH($I909,Материалы!$A$2:$A$9000,0))*(1+IFERROR(INDEX(Работы!$I$2:$I$6000,MATCH($C909,Работы!$A$2:$A$6000,0))/100,0))*(1-ДисконтТендер),0))</f>
        <v>0</v>
      </c>
      <c r="N909" s="10">
        <f t="shared" si="42"/>
        <v>0</v>
      </c>
      <c r="O909" s="10">
        <f t="shared" si="43"/>
        <v>0</v>
      </c>
      <c r="P909" s="10">
        <f t="shared" si="44"/>
        <v>0</v>
      </c>
      <c r="Q909" t="str">
        <f>IFERROR(INDEX(Работы!$J$2:$J$6000,MATCH($C909,Работы!$A$2:$A$6000,0)),"")</f>
        <v>типовая</v>
      </c>
      <c r="R909" t="s">
        <v>92</v>
      </c>
      <c r="T909" t="str">
        <f>IF(AND($P909&gt;0,$R909="да"),MAX($T$1:$T908)+1,"")</f>
        <v/>
      </c>
    </row>
    <row r="910" spans="1:20" x14ac:dyDescent="0.3">
      <c r="A910" t="str">
        <f>IFERROR(INDEX(Работы!$D$2:$D$6000,MATCH($C910,Работы!$A$2:$A$6000,0)),"")</f>
        <v>Р12</v>
      </c>
      <c r="B910" t="str">
        <f>IFERROR(INDEX(Работы!$F$2:$F$6000,MATCH($C910,Работы!$A$2:$A$6000,0)),"")</f>
        <v>4</v>
      </c>
      <c r="C910" t="str">
        <f>IFERROR(INDEX(Работы!$A$2:$A$6000,909),"")</f>
        <v>РАБ.Р12.4.001</v>
      </c>
      <c r="D910" s="8" t="str">
        <f>IFERROR(INDEX(Работы!$B$2:$B$6000,MATCH($C910,Работы!$A$2:$A$6000,0)),"")</f>
        <v>Предсдаточная (финишная) уборка помещений</v>
      </c>
      <c r="E910" t="str">
        <f>IFERROR(INDEX(Работы!$C$2:$C$6000,MATCH($C910,Работы!$A$2:$A$6000,0)),"")</f>
        <v>м2</v>
      </c>
      <c r="F910">
        <f>IFERROR(INDEX(Работы!$G$2:$G$6000,MATCH($C910,Работы!$A$2:$A$6000,0)),"")</f>
        <v>0</v>
      </c>
      <c r="G910" t="str">
        <f>IFERROR(INDEX(Работы!$K$2:$K$6000,MATCH($C910,Работы!$A$2:$A$6000,0)),"")</f>
        <v>S_пол</v>
      </c>
      <c r="H910" s="9"/>
      <c r="I910" s="9"/>
      <c r="J910" s="8" t="str">
        <f>IFERROR(INDEX(Материалы!$B$2:$B$9000,MATCH($I910,Материалы!$A$2:$A$9000,0)),"")</f>
        <v/>
      </c>
      <c r="K910" t="str">
        <f>IF($I910="","",IF($F910=IFERROR(INDEX(Материалы!$G$2:$G$9000,MATCH($I910,Материалы!$A$2:$A$9000,0)),""),"OK","!! не та группа"))</f>
        <v/>
      </c>
      <c r="L910" s="10">
        <f>IFERROR(INDEX(Работы!$H$2:$H$6000,MATCH($C910,Работы!$A$2:$A$6000,0))*(1-ДисконтТендер),0)</f>
        <v>0</v>
      </c>
      <c r="M910" s="10">
        <f>IF($I910="",0,IFERROR(INDEX(Материалы!$I$2:$I$9000,MATCH($I910,Материалы!$A$2:$A$9000,0))*IF(INDEX(Материалы!$J$2:$J$9000,MATCH($I910,Материалы!$A$2:$A$9000,0))="USD",КурсUSD,IF(INDEX(Материалы!$J$2:$J$9000,MATCH($I910,Материалы!$A$2:$A$9000,0))="EUR",КурсEUR,1))*INDEX(Материалы!$K$2:$K$9000,MATCH($I910,Материалы!$A$2:$A$9000,0))*(1+IFERROR(INDEX(Работы!$I$2:$I$6000,MATCH($C910,Работы!$A$2:$A$6000,0))/100,0))*(1-ДисконтТендер),0))</f>
        <v>0</v>
      </c>
      <c r="N910" s="10">
        <f t="shared" si="42"/>
        <v>0</v>
      </c>
      <c r="O910" s="10">
        <f t="shared" si="43"/>
        <v>0</v>
      </c>
      <c r="P910" s="10">
        <f t="shared" si="44"/>
        <v>0</v>
      </c>
      <c r="Q910" t="str">
        <f>IFERROR(INDEX(Работы!$J$2:$J$6000,MATCH($C910,Работы!$A$2:$A$6000,0)),"")</f>
        <v>типовая</v>
      </c>
      <c r="R910" t="s">
        <v>92</v>
      </c>
      <c r="T910" t="str">
        <f>IF(AND($P910&gt;0,$R910="да"),MAX($T$1:$T909)+1,"")</f>
        <v/>
      </c>
    </row>
    <row r="911" spans="1:20" ht="28.8" x14ac:dyDescent="0.3">
      <c r="A911" t="str">
        <f>IFERROR(INDEX(Работы!$D$2:$D$6000,MATCH($C911,Работы!$A$2:$A$6000,0)),"")</f>
        <v>Р12</v>
      </c>
      <c r="B911" t="str">
        <f>IFERROR(INDEX(Работы!$F$2:$F$6000,MATCH($C911,Работы!$A$2:$A$6000,0)),"")</f>
        <v>4</v>
      </c>
      <c r="C911" t="str">
        <f>IFERROR(INDEX(Работы!$A$2:$A$6000,910),"")</f>
        <v>РАБ.Р12.4.002</v>
      </c>
      <c r="D911" s="8" t="str">
        <f>IFERROR(INDEX(Работы!$B$2:$B$6000,MATCH($C911,Работы!$A$2:$A$6000,0)),"")</f>
        <v>Вывоз и утилизация строительного мусора (сверх демонтажа)</v>
      </c>
      <c r="E911" t="str">
        <f>IFERROR(INDEX(Работы!$C$2:$C$6000,MATCH($C911,Работы!$A$2:$A$6000,0)),"")</f>
        <v>м3</v>
      </c>
      <c r="F911">
        <f>IFERROR(INDEX(Работы!$G$2:$G$6000,MATCH($C911,Работы!$A$2:$A$6000,0)),"")</f>
        <v>0</v>
      </c>
      <c r="G911" t="str">
        <f>IFERROR(INDEX(Работы!$K$2:$K$6000,MATCH($C911,Работы!$A$2:$A$6000,0)),"")</f>
        <v>Расчёт</v>
      </c>
      <c r="H911" s="9"/>
      <c r="I911" s="9"/>
      <c r="J911" s="8" t="str">
        <f>IFERROR(INDEX(Материалы!$B$2:$B$9000,MATCH($I911,Материалы!$A$2:$A$9000,0)),"")</f>
        <v/>
      </c>
      <c r="K911" t="str">
        <f>IF($I911="","",IF($F911=IFERROR(INDEX(Материалы!$G$2:$G$9000,MATCH($I911,Материалы!$A$2:$A$9000,0)),""),"OK","!! не та группа"))</f>
        <v/>
      </c>
      <c r="L911" s="10">
        <f>IFERROR(INDEX(Работы!$H$2:$H$6000,MATCH($C911,Работы!$A$2:$A$6000,0))*(1-ДисконтТендер),0)</f>
        <v>0</v>
      </c>
      <c r="M911" s="10">
        <f>IF($I911="",0,IFERROR(INDEX(Материалы!$I$2:$I$9000,MATCH($I911,Материалы!$A$2:$A$9000,0))*IF(INDEX(Материалы!$J$2:$J$9000,MATCH($I911,Материалы!$A$2:$A$9000,0))="USD",КурсUSD,IF(INDEX(Материалы!$J$2:$J$9000,MATCH($I911,Материалы!$A$2:$A$9000,0))="EUR",КурсEUR,1))*INDEX(Материалы!$K$2:$K$9000,MATCH($I911,Материалы!$A$2:$A$9000,0))*(1+IFERROR(INDEX(Работы!$I$2:$I$6000,MATCH($C911,Работы!$A$2:$A$6000,0))/100,0))*(1-ДисконтТендер),0))</f>
        <v>0</v>
      </c>
      <c r="N911" s="10">
        <f t="shared" si="42"/>
        <v>0</v>
      </c>
      <c r="O911" s="10">
        <f t="shared" si="43"/>
        <v>0</v>
      </c>
      <c r="P911" s="10">
        <f t="shared" si="44"/>
        <v>0</v>
      </c>
      <c r="Q911" t="str">
        <f>IFERROR(INDEX(Работы!$J$2:$J$6000,MATCH($C911,Работы!$A$2:$A$6000,0)),"")</f>
        <v>типовая</v>
      </c>
      <c r="R911" t="s">
        <v>92</v>
      </c>
      <c r="T911" t="str">
        <f>IF(AND($P911&gt;0,$R911="да"),MAX($T$1:$T910)+1,"")</f>
        <v/>
      </c>
    </row>
    <row r="912" spans="1:20" x14ac:dyDescent="0.3">
      <c r="A912" t="str">
        <f>IFERROR(INDEX(Работы!$D$2:$D$6000,MATCH($C912,Работы!$A$2:$A$6000,0)),"")</f>
        <v>Р12</v>
      </c>
      <c r="B912" t="str">
        <f>IFERROR(INDEX(Работы!$F$2:$F$6000,MATCH($C912,Работы!$A$2:$A$6000,0)),"")</f>
        <v>5</v>
      </c>
      <c r="C912" t="str">
        <f>IFERROR(INDEX(Работы!$A$2:$A$6000,911),"")</f>
        <v>РАБ.Р12.5.001</v>
      </c>
      <c r="D912" s="8" t="str">
        <f>IFERROR(INDEX(Работы!$B$2:$B$6000,MATCH($C912,Работы!$A$2:$A$6000,0)),"")</f>
        <v>Резерв на непредвиденные работы и затраты</v>
      </c>
      <c r="E912" t="str">
        <f>IFERROR(INDEX(Работы!$C$2:$C$6000,MATCH($C912,Работы!$A$2:$A$6000,0)),"")</f>
        <v>%</v>
      </c>
      <c r="F912">
        <f>IFERROR(INDEX(Работы!$G$2:$G$6000,MATCH($C912,Работы!$A$2:$A$6000,0)),"")</f>
        <v>0</v>
      </c>
      <c r="G912" t="str">
        <f>IFERROR(INDEX(Работы!$K$2:$K$6000,MATCH($C912,Работы!$A$2:$A$6000,0)),"")</f>
        <v>Расчёт</v>
      </c>
      <c r="H912" s="9"/>
      <c r="I912" s="9"/>
      <c r="J912" s="8" t="str">
        <f>IFERROR(INDEX(Материалы!$B$2:$B$9000,MATCH($I912,Материалы!$A$2:$A$9000,0)),"")</f>
        <v/>
      </c>
      <c r="K912" t="str">
        <f>IF($I912="","",IF($F912=IFERROR(INDEX(Материалы!$G$2:$G$9000,MATCH($I912,Материалы!$A$2:$A$9000,0)),""),"OK","!! не та группа"))</f>
        <v/>
      </c>
      <c r="L912" s="10">
        <f>IFERROR(INDEX(Работы!$H$2:$H$6000,MATCH($C912,Работы!$A$2:$A$6000,0))*(1-ДисконтТендер),0)</f>
        <v>0</v>
      </c>
      <c r="M912" s="10">
        <f>IF($I912="",0,IFERROR(INDEX(Материалы!$I$2:$I$9000,MATCH($I912,Материалы!$A$2:$A$9000,0))*IF(INDEX(Материалы!$J$2:$J$9000,MATCH($I912,Материалы!$A$2:$A$9000,0))="USD",КурсUSD,IF(INDEX(Материалы!$J$2:$J$9000,MATCH($I912,Материалы!$A$2:$A$9000,0))="EUR",КурсEUR,1))*INDEX(Материалы!$K$2:$K$9000,MATCH($I912,Материалы!$A$2:$A$9000,0))*(1+IFERROR(INDEX(Работы!$I$2:$I$6000,MATCH($C912,Работы!$A$2:$A$6000,0))/100,0))*(1-ДисконтТендер),0))</f>
        <v>0</v>
      </c>
      <c r="N912" s="10">
        <f t="shared" si="42"/>
        <v>0</v>
      </c>
      <c r="O912" s="10">
        <f t="shared" si="43"/>
        <v>0</v>
      </c>
      <c r="P912" s="10">
        <f t="shared" si="44"/>
        <v>0</v>
      </c>
      <c r="Q912" t="str">
        <f>IFERROR(INDEX(Работы!$J$2:$J$6000,MATCH($C912,Работы!$A$2:$A$6000,0)),"")</f>
        <v>нетиповая</v>
      </c>
      <c r="R912" t="s">
        <v>92</v>
      </c>
      <c r="T912" t="str">
        <f>IF(AND($P912&gt;0,$R912="да"),MAX($T$1:$T911)+1,"")</f>
        <v/>
      </c>
    </row>
    <row r="913" spans="1:20" x14ac:dyDescent="0.3">
      <c r="A913" s="11" t="str">
        <f>IFERROR(INDEX(Работы!$D$2:$D$6000,MATCH($C913,Работы!$A$2:$A$6000,0)),"")</f>
        <v/>
      </c>
      <c r="B913" t="str">
        <f>IFERROR(INDEX(Работы!$F$2:$F$6000,MATCH($C913,Работы!$A$2:$A$6000,0)),"")</f>
        <v/>
      </c>
      <c r="C913">
        <f>IFERROR(INDEX(Работы!$A$2:$A$6000,912),"")</f>
        <v>0</v>
      </c>
      <c r="D913" s="8" t="str">
        <f>IFERROR(INDEX(Работы!$B$2:$B$6000,MATCH($C913,Работы!$A$2:$A$6000,0)),"")</f>
        <v/>
      </c>
      <c r="E913" t="str">
        <f>IFERROR(INDEX(Работы!$C$2:$C$6000,MATCH($C913,Работы!$A$2:$A$6000,0)),"")</f>
        <v/>
      </c>
      <c r="F913" t="str">
        <f>IFERROR(INDEX(Работы!$G$2:$G$6000,MATCH($C913,Работы!$A$2:$A$6000,0)),"")</f>
        <v/>
      </c>
      <c r="G913" t="str">
        <f>IFERROR(INDEX(Работы!$K$2:$K$6000,MATCH($C913,Работы!$A$2:$A$6000,0)),"")</f>
        <v/>
      </c>
      <c r="H913" s="9"/>
      <c r="I913" s="9"/>
      <c r="J913" s="8" t="str">
        <f>IFERROR(INDEX(Материалы!$B$2:$B$9000,MATCH($I913,Материалы!$A$2:$A$9000,0)),"")</f>
        <v/>
      </c>
      <c r="K913" t="str">
        <f>IF($I913="","",IF($F913=IFERROR(INDEX(Материалы!$G$2:$G$9000,MATCH($I913,Материалы!$A$2:$A$9000,0)),""),"OK","!! не та группа"))</f>
        <v/>
      </c>
      <c r="L913" s="10">
        <f>IFERROR(INDEX(Работы!$H$2:$H$6000,MATCH($C913,Работы!$A$2:$A$6000,0))*(1-ДисконтТендер),0)</f>
        <v>0</v>
      </c>
      <c r="M913" s="10">
        <f>IF($I913="",0,IFERROR(INDEX(Материалы!$I$2:$I$9000,MATCH($I913,Материалы!$A$2:$A$9000,0))*IF(INDEX(Материалы!$J$2:$J$9000,MATCH($I913,Материалы!$A$2:$A$9000,0))="USD",КурсUSD,IF(INDEX(Материалы!$J$2:$J$9000,MATCH($I913,Материалы!$A$2:$A$9000,0))="EUR",КурсEUR,1))*INDEX(Материалы!$K$2:$K$9000,MATCH($I913,Материалы!$A$2:$A$9000,0))*(1+IFERROR(INDEX(Работы!$I$2:$I$6000,MATCH($C913,Работы!$A$2:$A$6000,0))/100,0))*(1-ДисконтТендер),0))</f>
        <v>0</v>
      </c>
      <c r="N913" s="10">
        <f t="shared" si="42"/>
        <v>0</v>
      </c>
      <c r="O913" s="10">
        <f t="shared" si="43"/>
        <v>0</v>
      </c>
      <c r="P913" s="10">
        <f t="shared" si="44"/>
        <v>0</v>
      </c>
      <c r="Q913" t="str">
        <f>IFERROR(INDEX(Работы!$J$2:$J$6000,MATCH($C913,Работы!$A$2:$A$6000,0)),"")</f>
        <v/>
      </c>
      <c r="R913" t="s">
        <v>92</v>
      </c>
      <c r="T913" t="str">
        <f>IF(AND($P913&gt;0,$R913="да"),MAX($T$1:$T912)+1,"")</f>
        <v/>
      </c>
    </row>
    <row r="914" spans="1:20" x14ac:dyDescent="0.3">
      <c r="A914" s="11" t="str">
        <f>IFERROR(INDEX(Работы!$D$2:$D$6000,MATCH($C914,Работы!$A$2:$A$6000,0)),"")</f>
        <v/>
      </c>
      <c r="B914" t="str">
        <f>IFERROR(INDEX(Работы!$F$2:$F$6000,MATCH($C914,Работы!$A$2:$A$6000,0)),"")</f>
        <v/>
      </c>
      <c r="C914">
        <f>IFERROR(INDEX(Работы!$A$2:$A$6000,913),"")</f>
        <v>0</v>
      </c>
      <c r="D914" s="8" t="str">
        <f>IFERROR(INDEX(Работы!$B$2:$B$6000,MATCH($C914,Работы!$A$2:$A$6000,0)),"")</f>
        <v/>
      </c>
      <c r="E914" t="str">
        <f>IFERROR(INDEX(Работы!$C$2:$C$6000,MATCH($C914,Работы!$A$2:$A$6000,0)),"")</f>
        <v/>
      </c>
      <c r="F914" t="str">
        <f>IFERROR(INDEX(Работы!$G$2:$G$6000,MATCH($C914,Работы!$A$2:$A$6000,0)),"")</f>
        <v/>
      </c>
      <c r="G914" t="str">
        <f>IFERROR(INDEX(Работы!$K$2:$K$6000,MATCH($C914,Работы!$A$2:$A$6000,0)),"")</f>
        <v/>
      </c>
      <c r="H914" s="9"/>
      <c r="I914" s="9"/>
      <c r="J914" s="8" t="str">
        <f>IFERROR(INDEX(Материалы!$B$2:$B$9000,MATCH($I914,Материалы!$A$2:$A$9000,0)),"")</f>
        <v/>
      </c>
      <c r="K914" t="str">
        <f>IF($I914="","",IF($F914=IFERROR(INDEX(Материалы!$G$2:$G$9000,MATCH($I914,Материалы!$A$2:$A$9000,0)),""),"OK","!! не та группа"))</f>
        <v/>
      </c>
      <c r="L914" s="10">
        <f>IFERROR(INDEX(Работы!$H$2:$H$6000,MATCH($C914,Работы!$A$2:$A$6000,0))*(1-ДисконтТендер),0)</f>
        <v>0</v>
      </c>
      <c r="M914" s="10">
        <f>IF($I914="",0,IFERROR(INDEX(Материалы!$I$2:$I$9000,MATCH($I914,Материалы!$A$2:$A$9000,0))*IF(INDEX(Материалы!$J$2:$J$9000,MATCH($I914,Материалы!$A$2:$A$9000,0))="USD",КурсUSD,IF(INDEX(Материалы!$J$2:$J$9000,MATCH($I914,Материалы!$A$2:$A$9000,0))="EUR",КурсEUR,1))*INDEX(Материалы!$K$2:$K$9000,MATCH($I914,Материалы!$A$2:$A$9000,0))*(1+IFERROR(INDEX(Работы!$I$2:$I$6000,MATCH($C914,Работы!$A$2:$A$6000,0))/100,0))*(1-ДисконтТендер),0))</f>
        <v>0</v>
      </c>
      <c r="N914" s="10">
        <f t="shared" si="42"/>
        <v>0</v>
      </c>
      <c r="O914" s="10">
        <f t="shared" si="43"/>
        <v>0</v>
      </c>
      <c r="P914" s="10">
        <f t="shared" si="44"/>
        <v>0</v>
      </c>
      <c r="Q914" t="str">
        <f>IFERROR(INDEX(Работы!$J$2:$J$6000,MATCH($C914,Работы!$A$2:$A$6000,0)),"")</f>
        <v/>
      </c>
      <c r="R914" t="s">
        <v>92</v>
      </c>
      <c r="T914" t="str">
        <f>IF(AND($P914&gt;0,$R914="да"),MAX($T$1:$T913)+1,"")</f>
        <v/>
      </c>
    </row>
    <row r="915" spans="1:20" x14ac:dyDescent="0.3">
      <c r="A915" s="11" t="str">
        <f>IFERROR(INDEX(Работы!$D$2:$D$6000,MATCH($C915,Работы!$A$2:$A$6000,0)),"")</f>
        <v/>
      </c>
      <c r="B915" t="str">
        <f>IFERROR(INDEX(Работы!$F$2:$F$6000,MATCH($C915,Работы!$A$2:$A$6000,0)),"")</f>
        <v/>
      </c>
      <c r="C915">
        <f>IFERROR(INDEX(Работы!$A$2:$A$6000,914),"")</f>
        <v>0</v>
      </c>
      <c r="D915" s="8" t="str">
        <f>IFERROR(INDEX(Работы!$B$2:$B$6000,MATCH($C915,Работы!$A$2:$A$6000,0)),"")</f>
        <v/>
      </c>
      <c r="E915" t="str">
        <f>IFERROR(INDEX(Работы!$C$2:$C$6000,MATCH($C915,Работы!$A$2:$A$6000,0)),"")</f>
        <v/>
      </c>
      <c r="F915" t="str">
        <f>IFERROR(INDEX(Работы!$G$2:$G$6000,MATCH($C915,Работы!$A$2:$A$6000,0)),"")</f>
        <v/>
      </c>
      <c r="G915" t="str">
        <f>IFERROR(INDEX(Работы!$K$2:$K$6000,MATCH($C915,Работы!$A$2:$A$6000,0)),"")</f>
        <v/>
      </c>
      <c r="H915" s="9"/>
      <c r="I915" s="9"/>
      <c r="J915" s="8" t="str">
        <f>IFERROR(INDEX(Материалы!$B$2:$B$9000,MATCH($I915,Материалы!$A$2:$A$9000,0)),"")</f>
        <v/>
      </c>
      <c r="K915" t="str">
        <f>IF($I915="","",IF($F915=IFERROR(INDEX(Материалы!$G$2:$G$9000,MATCH($I915,Материалы!$A$2:$A$9000,0)),""),"OK","!! не та группа"))</f>
        <v/>
      </c>
      <c r="L915" s="10">
        <f>IFERROR(INDEX(Работы!$H$2:$H$6000,MATCH($C915,Работы!$A$2:$A$6000,0))*(1-ДисконтТендер),0)</f>
        <v>0</v>
      </c>
      <c r="M915" s="10">
        <f>IF($I915="",0,IFERROR(INDEX(Материалы!$I$2:$I$9000,MATCH($I915,Материалы!$A$2:$A$9000,0))*IF(INDEX(Материалы!$J$2:$J$9000,MATCH($I915,Материалы!$A$2:$A$9000,0))="USD",КурсUSD,IF(INDEX(Материалы!$J$2:$J$9000,MATCH($I915,Материалы!$A$2:$A$9000,0))="EUR",КурсEUR,1))*INDEX(Материалы!$K$2:$K$9000,MATCH($I915,Материалы!$A$2:$A$9000,0))*(1+IFERROR(INDEX(Работы!$I$2:$I$6000,MATCH($C915,Работы!$A$2:$A$6000,0))/100,0))*(1-ДисконтТендер),0))</f>
        <v>0</v>
      </c>
      <c r="N915" s="10">
        <f t="shared" si="42"/>
        <v>0</v>
      </c>
      <c r="O915" s="10">
        <f t="shared" si="43"/>
        <v>0</v>
      </c>
      <c r="P915" s="10">
        <f t="shared" si="44"/>
        <v>0</v>
      </c>
      <c r="Q915" t="str">
        <f>IFERROR(INDEX(Работы!$J$2:$J$6000,MATCH($C915,Работы!$A$2:$A$6000,0)),"")</f>
        <v/>
      </c>
      <c r="R915" t="s">
        <v>92</v>
      </c>
      <c r="T915" t="str">
        <f>IF(AND($P915&gt;0,$R915="да"),MAX($T$1:$T914)+1,"")</f>
        <v/>
      </c>
    </row>
    <row r="916" spans="1:20" x14ac:dyDescent="0.3">
      <c r="A916" s="11" t="str">
        <f>IFERROR(INDEX(Работы!$D$2:$D$6000,MATCH($C916,Работы!$A$2:$A$6000,0)),"")</f>
        <v/>
      </c>
      <c r="B916" t="str">
        <f>IFERROR(INDEX(Работы!$F$2:$F$6000,MATCH($C916,Работы!$A$2:$A$6000,0)),"")</f>
        <v/>
      </c>
      <c r="C916">
        <f>IFERROR(INDEX(Работы!$A$2:$A$6000,915),"")</f>
        <v>0</v>
      </c>
      <c r="D916" s="8" t="str">
        <f>IFERROR(INDEX(Работы!$B$2:$B$6000,MATCH($C916,Работы!$A$2:$A$6000,0)),"")</f>
        <v/>
      </c>
      <c r="E916" t="str">
        <f>IFERROR(INDEX(Работы!$C$2:$C$6000,MATCH($C916,Работы!$A$2:$A$6000,0)),"")</f>
        <v/>
      </c>
      <c r="F916" t="str">
        <f>IFERROR(INDEX(Работы!$G$2:$G$6000,MATCH($C916,Работы!$A$2:$A$6000,0)),"")</f>
        <v/>
      </c>
      <c r="G916" t="str">
        <f>IFERROR(INDEX(Работы!$K$2:$K$6000,MATCH($C916,Работы!$A$2:$A$6000,0)),"")</f>
        <v/>
      </c>
      <c r="H916" s="9"/>
      <c r="I916" s="9"/>
      <c r="J916" s="8" t="str">
        <f>IFERROR(INDEX(Материалы!$B$2:$B$9000,MATCH($I916,Материалы!$A$2:$A$9000,0)),"")</f>
        <v/>
      </c>
      <c r="K916" t="str">
        <f>IF($I916="","",IF($F916=IFERROR(INDEX(Материалы!$G$2:$G$9000,MATCH($I916,Материалы!$A$2:$A$9000,0)),""),"OK","!! не та группа"))</f>
        <v/>
      </c>
      <c r="L916" s="10">
        <f>IFERROR(INDEX(Работы!$H$2:$H$6000,MATCH($C916,Работы!$A$2:$A$6000,0))*(1-ДисконтТендер),0)</f>
        <v>0</v>
      </c>
      <c r="M916" s="10">
        <f>IF($I916="",0,IFERROR(INDEX(Материалы!$I$2:$I$9000,MATCH($I916,Материалы!$A$2:$A$9000,0))*IF(INDEX(Материалы!$J$2:$J$9000,MATCH($I916,Материалы!$A$2:$A$9000,0))="USD",КурсUSD,IF(INDEX(Материалы!$J$2:$J$9000,MATCH($I916,Материалы!$A$2:$A$9000,0))="EUR",КурсEUR,1))*INDEX(Материалы!$K$2:$K$9000,MATCH($I916,Материалы!$A$2:$A$9000,0))*(1+IFERROR(INDEX(Работы!$I$2:$I$6000,MATCH($C916,Работы!$A$2:$A$6000,0))/100,0))*(1-ДисконтТендер),0))</f>
        <v>0</v>
      </c>
      <c r="N916" s="10">
        <f t="shared" si="42"/>
        <v>0</v>
      </c>
      <c r="O916" s="10">
        <f t="shared" si="43"/>
        <v>0</v>
      </c>
      <c r="P916" s="10">
        <f t="shared" si="44"/>
        <v>0</v>
      </c>
      <c r="Q916" t="str">
        <f>IFERROR(INDEX(Работы!$J$2:$J$6000,MATCH($C916,Работы!$A$2:$A$6000,0)),"")</f>
        <v/>
      </c>
      <c r="R916" t="s">
        <v>92</v>
      </c>
      <c r="T916" t="str">
        <f>IF(AND($P916&gt;0,$R916="да"),MAX($T$1:$T915)+1,"")</f>
        <v/>
      </c>
    </row>
    <row r="917" spans="1:20" x14ac:dyDescent="0.3">
      <c r="A917" s="11" t="str">
        <f>IFERROR(INDEX(Работы!$D$2:$D$6000,MATCH($C917,Работы!$A$2:$A$6000,0)),"")</f>
        <v/>
      </c>
      <c r="B917" t="str">
        <f>IFERROR(INDEX(Работы!$F$2:$F$6000,MATCH($C917,Работы!$A$2:$A$6000,0)),"")</f>
        <v/>
      </c>
      <c r="C917">
        <f>IFERROR(INDEX(Работы!$A$2:$A$6000,916),"")</f>
        <v>0</v>
      </c>
      <c r="D917" s="8" t="str">
        <f>IFERROR(INDEX(Работы!$B$2:$B$6000,MATCH($C917,Работы!$A$2:$A$6000,0)),"")</f>
        <v/>
      </c>
      <c r="E917" t="str">
        <f>IFERROR(INDEX(Работы!$C$2:$C$6000,MATCH($C917,Работы!$A$2:$A$6000,0)),"")</f>
        <v/>
      </c>
      <c r="F917" t="str">
        <f>IFERROR(INDEX(Работы!$G$2:$G$6000,MATCH($C917,Работы!$A$2:$A$6000,0)),"")</f>
        <v/>
      </c>
      <c r="G917" t="str">
        <f>IFERROR(INDEX(Работы!$K$2:$K$6000,MATCH($C917,Работы!$A$2:$A$6000,0)),"")</f>
        <v/>
      </c>
      <c r="H917" s="9"/>
      <c r="I917" s="9"/>
      <c r="J917" s="8" t="str">
        <f>IFERROR(INDEX(Материалы!$B$2:$B$9000,MATCH($I917,Материалы!$A$2:$A$9000,0)),"")</f>
        <v/>
      </c>
      <c r="K917" t="str">
        <f>IF($I917="","",IF($F917=IFERROR(INDEX(Материалы!$G$2:$G$9000,MATCH($I917,Материалы!$A$2:$A$9000,0)),""),"OK","!! не та группа"))</f>
        <v/>
      </c>
      <c r="L917" s="10">
        <f>IFERROR(INDEX(Работы!$H$2:$H$6000,MATCH($C917,Работы!$A$2:$A$6000,0))*(1-ДисконтТендер),0)</f>
        <v>0</v>
      </c>
      <c r="M917" s="10">
        <f>IF($I917="",0,IFERROR(INDEX(Материалы!$I$2:$I$9000,MATCH($I917,Материалы!$A$2:$A$9000,0))*IF(INDEX(Материалы!$J$2:$J$9000,MATCH($I917,Материалы!$A$2:$A$9000,0))="USD",КурсUSD,IF(INDEX(Материалы!$J$2:$J$9000,MATCH($I917,Материалы!$A$2:$A$9000,0))="EUR",КурсEUR,1))*INDEX(Материалы!$K$2:$K$9000,MATCH($I917,Материалы!$A$2:$A$9000,0))*(1+IFERROR(INDEX(Работы!$I$2:$I$6000,MATCH($C917,Работы!$A$2:$A$6000,0))/100,0))*(1-ДисконтТендер),0))</f>
        <v>0</v>
      </c>
      <c r="N917" s="10">
        <f t="shared" si="42"/>
        <v>0</v>
      </c>
      <c r="O917" s="10">
        <f t="shared" si="43"/>
        <v>0</v>
      </c>
      <c r="P917" s="10">
        <f t="shared" si="44"/>
        <v>0</v>
      </c>
      <c r="Q917" t="str">
        <f>IFERROR(INDEX(Работы!$J$2:$J$6000,MATCH($C917,Работы!$A$2:$A$6000,0)),"")</f>
        <v/>
      </c>
      <c r="R917" t="s">
        <v>92</v>
      </c>
      <c r="T917" t="str">
        <f>IF(AND($P917&gt;0,$R917="да"),MAX($T$1:$T916)+1,"")</f>
        <v/>
      </c>
    </row>
    <row r="918" spans="1:20" x14ac:dyDescent="0.3">
      <c r="A918" s="11" t="str">
        <f>IFERROR(INDEX(Работы!$D$2:$D$6000,MATCH($C918,Работы!$A$2:$A$6000,0)),"")</f>
        <v/>
      </c>
      <c r="B918" t="str">
        <f>IFERROR(INDEX(Работы!$F$2:$F$6000,MATCH($C918,Работы!$A$2:$A$6000,0)),"")</f>
        <v/>
      </c>
      <c r="C918">
        <f>IFERROR(INDEX(Работы!$A$2:$A$6000,917),"")</f>
        <v>0</v>
      </c>
      <c r="D918" s="8" t="str">
        <f>IFERROR(INDEX(Работы!$B$2:$B$6000,MATCH($C918,Работы!$A$2:$A$6000,0)),"")</f>
        <v/>
      </c>
      <c r="E918" t="str">
        <f>IFERROR(INDEX(Работы!$C$2:$C$6000,MATCH($C918,Работы!$A$2:$A$6000,0)),"")</f>
        <v/>
      </c>
      <c r="F918" t="str">
        <f>IFERROR(INDEX(Работы!$G$2:$G$6000,MATCH($C918,Работы!$A$2:$A$6000,0)),"")</f>
        <v/>
      </c>
      <c r="G918" t="str">
        <f>IFERROR(INDEX(Работы!$K$2:$K$6000,MATCH($C918,Работы!$A$2:$A$6000,0)),"")</f>
        <v/>
      </c>
      <c r="H918" s="9"/>
      <c r="I918" s="9"/>
      <c r="J918" s="8" t="str">
        <f>IFERROR(INDEX(Материалы!$B$2:$B$9000,MATCH($I918,Материалы!$A$2:$A$9000,0)),"")</f>
        <v/>
      </c>
      <c r="K918" t="str">
        <f>IF($I918="","",IF($F918=IFERROR(INDEX(Материалы!$G$2:$G$9000,MATCH($I918,Материалы!$A$2:$A$9000,0)),""),"OK","!! не та группа"))</f>
        <v/>
      </c>
      <c r="L918" s="10">
        <f>IFERROR(INDEX(Работы!$H$2:$H$6000,MATCH($C918,Работы!$A$2:$A$6000,0))*(1-ДисконтТендер),0)</f>
        <v>0</v>
      </c>
      <c r="M918" s="10">
        <f>IF($I918="",0,IFERROR(INDEX(Материалы!$I$2:$I$9000,MATCH($I918,Материалы!$A$2:$A$9000,0))*IF(INDEX(Материалы!$J$2:$J$9000,MATCH($I918,Материалы!$A$2:$A$9000,0))="USD",КурсUSD,IF(INDEX(Материалы!$J$2:$J$9000,MATCH($I918,Материалы!$A$2:$A$9000,0))="EUR",КурсEUR,1))*INDEX(Материалы!$K$2:$K$9000,MATCH($I918,Материалы!$A$2:$A$9000,0))*(1+IFERROR(INDEX(Работы!$I$2:$I$6000,MATCH($C918,Работы!$A$2:$A$6000,0))/100,0))*(1-ДисконтТендер),0))</f>
        <v>0</v>
      </c>
      <c r="N918" s="10">
        <f t="shared" si="42"/>
        <v>0</v>
      </c>
      <c r="O918" s="10">
        <f t="shared" si="43"/>
        <v>0</v>
      </c>
      <c r="P918" s="10">
        <f t="shared" si="44"/>
        <v>0</v>
      </c>
      <c r="Q918" t="str">
        <f>IFERROR(INDEX(Работы!$J$2:$J$6000,MATCH($C918,Работы!$A$2:$A$6000,0)),"")</f>
        <v/>
      </c>
      <c r="R918" t="s">
        <v>92</v>
      </c>
      <c r="T918" t="str">
        <f>IF(AND($P918&gt;0,$R918="да"),MAX($T$1:$T917)+1,"")</f>
        <v/>
      </c>
    </row>
    <row r="919" spans="1:20" x14ac:dyDescent="0.3">
      <c r="A919" s="11" t="str">
        <f>IFERROR(INDEX(Работы!$D$2:$D$6000,MATCH($C919,Работы!$A$2:$A$6000,0)),"")</f>
        <v/>
      </c>
      <c r="B919" t="str">
        <f>IFERROR(INDEX(Работы!$F$2:$F$6000,MATCH($C919,Работы!$A$2:$A$6000,0)),"")</f>
        <v/>
      </c>
      <c r="C919">
        <f>IFERROR(INDEX(Работы!$A$2:$A$6000,918),"")</f>
        <v>0</v>
      </c>
      <c r="D919" s="8" t="str">
        <f>IFERROR(INDEX(Работы!$B$2:$B$6000,MATCH($C919,Работы!$A$2:$A$6000,0)),"")</f>
        <v/>
      </c>
      <c r="E919" t="str">
        <f>IFERROR(INDEX(Работы!$C$2:$C$6000,MATCH($C919,Работы!$A$2:$A$6000,0)),"")</f>
        <v/>
      </c>
      <c r="F919" t="str">
        <f>IFERROR(INDEX(Работы!$G$2:$G$6000,MATCH($C919,Работы!$A$2:$A$6000,0)),"")</f>
        <v/>
      </c>
      <c r="G919" t="str">
        <f>IFERROR(INDEX(Работы!$K$2:$K$6000,MATCH($C919,Работы!$A$2:$A$6000,0)),"")</f>
        <v/>
      </c>
      <c r="H919" s="9"/>
      <c r="I919" s="9"/>
      <c r="J919" s="8" t="str">
        <f>IFERROR(INDEX(Материалы!$B$2:$B$9000,MATCH($I919,Материалы!$A$2:$A$9000,0)),"")</f>
        <v/>
      </c>
      <c r="K919" t="str">
        <f>IF($I919="","",IF($F919=IFERROR(INDEX(Материалы!$G$2:$G$9000,MATCH($I919,Материалы!$A$2:$A$9000,0)),""),"OK","!! не та группа"))</f>
        <v/>
      </c>
      <c r="L919" s="10">
        <f>IFERROR(INDEX(Работы!$H$2:$H$6000,MATCH($C919,Работы!$A$2:$A$6000,0))*(1-ДисконтТендер),0)</f>
        <v>0</v>
      </c>
      <c r="M919" s="10">
        <f>IF($I919="",0,IFERROR(INDEX(Материалы!$I$2:$I$9000,MATCH($I919,Материалы!$A$2:$A$9000,0))*IF(INDEX(Материалы!$J$2:$J$9000,MATCH($I919,Материалы!$A$2:$A$9000,0))="USD",КурсUSD,IF(INDEX(Материалы!$J$2:$J$9000,MATCH($I919,Материалы!$A$2:$A$9000,0))="EUR",КурсEUR,1))*INDEX(Материалы!$K$2:$K$9000,MATCH($I919,Материалы!$A$2:$A$9000,0))*(1+IFERROR(INDEX(Работы!$I$2:$I$6000,MATCH($C919,Работы!$A$2:$A$6000,0))/100,0))*(1-ДисконтТендер),0))</f>
        <v>0</v>
      </c>
      <c r="N919" s="10">
        <f t="shared" si="42"/>
        <v>0</v>
      </c>
      <c r="O919" s="10">
        <f t="shared" si="43"/>
        <v>0</v>
      </c>
      <c r="P919" s="10">
        <f t="shared" si="44"/>
        <v>0</v>
      </c>
      <c r="Q919" t="str">
        <f>IFERROR(INDEX(Работы!$J$2:$J$6000,MATCH($C919,Работы!$A$2:$A$6000,0)),"")</f>
        <v/>
      </c>
      <c r="R919" t="s">
        <v>92</v>
      </c>
      <c r="T919" t="str">
        <f>IF(AND($P919&gt;0,$R919="да"),MAX($T$1:$T918)+1,"")</f>
        <v/>
      </c>
    </row>
    <row r="920" spans="1:20" x14ac:dyDescent="0.3">
      <c r="A920" s="11" t="str">
        <f>IFERROR(INDEX(Работы!$D$2:$D$6000,MATCH($C920,Работы!$A$2:$A$6000,0)),"")</f>
        <v/>
      </c>
      <c r="B920" t="str">
        <f>IFERROR(INDEX(Работы!$F$2:$F$6000,MATCH($C920,Работы!$A$2:$A$6000,0)),"")</f>
        <v/>
      </c>
      <c r="C920">
        <f>IFERROR(INDEX(Работы!$A$2:$A$6000,919),"")</f>
        <v>0</v>
      </c>
      <c r="D920" s="8" t="str">
        <f>IFERROR(INDEX(Работы!$B$2:$B$6000,MATCH($C920,Работы!$A$2:$A$6000,0)),"")</f>
        <v/>
      </c>
      <c r="E920" t="str">
        <f>IFERROR(INDEX(Работы!$C$2:$C$6000,MATCH($C920,Работы!$A$2:$A$6000,0)),"")</f>
        <v/>
      </c>
      <c r="F920" t="str">
        <f>IFERROR(INDEX(Работы!$G$2:$G$6000,MATCH($C920,Работы!$A$2:$A$6000,0)),"")</f>
        <v/>
      </c>
      <c r="G920" t="str">
        <f>IFERROR(INDEX(Работы!$K$2:$K$6000,MATCH($C920,Работы!$A$2:$A$6000,0)),"")</f>
        <v/>
      </c>
      <c r="H920" s="9"/>
      <c r="I920" s="9"/>
      <c r="J920" s="8" t="str">
        <f>IFERROR(INDEX(Материалы!$B$2:$B$9000,MATCH($I920,Материалы!$A$2:$A$9000,0)),"")</f>
        <v/>
      </c>
      <c r="K920" t="str">
        <f>IF($I920="","",IF($F920=IFERROR(INDEX(Материалы!$G$2:$G$9000,MATCH($I920,Материалы!$A$2:$A$9000,0)),""),"OK","!! не та группа"))</f>
        <v/>
      </c>
      <c r="L920" s="10">
        <f>IFERROR(INDEX(Работы!$H$2:$H$6000,MATCH($C920,Работы!$A$2:$A$6000,0))*(1-ДисконтТендер),0)</f>
        <v>0</v>
      </c>
      <c r="M920" s="10">
        <f>IF($I920="",0,IFERROR(INDEX(Материалы!$I$2:$I$9000,MATCH($I920,Материалы!$A$2:$A$9000,0))*IF(INDEX(Материалы!$J$2:$J$9000,MATCH($I920,Материалы!$A$2:$A$9000,0))="USD",КурсUSD,IF(INDEX(Материалы!$J$2:$J$9000,MATCH($I920,Материалы!$A$2:$A$9000,0))="EUR",КурсEUR,1))*INDEX(Материалы!$K$2:$K$9000,MATCH($I920,Материалы!$A$2:$A$9000,0))*(1+IFERROR(INDEX(Работы!$I$2:$I$6000,MATCH($C920,Работы!$A$2:$A$6000,0))/100,0))*(1-ДисконтТендер),0))</f>
        <v>0</v>
      </c>
      <c r="N920" s="10">
        <f t="shared" si="42"/>
        <v>0</v>
      </c>
      <c r="O920" s="10">
        <f t="shared" si="43"/>
        <v>0</v>
      </c>
      <c r="P920" s="10">
        <f t="shared" si="44"/>
        <v>0</v>
      </c>
      <c r="Q920" t="str">
        <f>IFERROR(INDEX(Работы!$J$2:$J$6000,MATCH($C920,Работы!$A$2:$A$6000,0)),"")</f>
        <v/>
      </c>
      <c r="R920" t="s">
        <v>92</v>
      </c>
      <c r="T920" t="str">
        <f>IF(AND($P920&gt;0,$R920="да"),MAX($T$1:$T919)+1,"")</f>
        <v/>
      </c>
    </row>
    <row r="921" spans="1:20" x14ac:dyDescent="0.3">
      <c r="A921" s="11" t="str">
        <f>IFERROR(INDEX(Работы!$D$2:$D$6000,MATCH($C921,Работы!$A$2:$A$6000,0)),"")</f>
        <v/>
      </c>
      <c r="B921" t="str">
        <f>IFERROR(INDEX(Работы!$F$2:$F$6000,MATCH($C921,Работы!$A$2:$A$6000,0)),"")</f>
        <v/>
      </c>
      <c r="C921">
        <f>IFERROR(INDEX(Работы!$A$2:$A$6000,920),"")</f>
        <v>0</v>
      </c>
      <c r="D921" s="8" t="str">
        <f>IFERROR(INDEX(Работы!$B$2:$B$6000,MATCH($C921,Работы!$A$2:$A$6000,0)),"")</f>
        <v/>
      </c>
      <c r="E921" t="str">
        <f>IFERROR(INDEX(Работы!$C$2:$C$6000,MATCH($C921,Работы!$A$2:$A$6000,0)),"")</f>
        <v/>
      </c>
      <c r="F921" t="str">
        <f>IFERROR(INDEX(Работы!$G$2:$G$6000,MATCH($C921,Работы!$A$2:$A$6000,0)),"")</f>
        <v/>
      </c>
      <c r="G921" t="str">
        <f>IFERROR(INDEX(Работы!$K$2:$K$6000,MATCH($C921,Работы!$A$2:$A$6000,0)),"")</f>
        <v/>
      </c>
      <c r="H921" s="9"/>
      <c r="I921" s="9"/>
      <c r="J921" s="8" t="str">
        <f>IFERROR(INDEX(Материалы!$B$2:$B$9000,MATCH($I921,Материалы!$A$2:$A$9000,0)),"")</f>
        <v/>
      </c>
      <c r="K921" t="str">
        <f>IF($I921="","",IF($F921=IFERROR(INDEX(Материалы!$G$2:$G$9000,MATCH($I921,Материалы!$A$2:$A$9000,0)),""),"OK","!! не та группа"))</f>
        <v/>
      </c>
      <c r="L921" s="10">
        <f>IFERROR(INDEX(Работы!$H$2:$H$6000,MATCH($C921,Работы!$A$2:$A$6000,0))*(1-ДисконтТендер),0)</f>
        <v>0</v>
      </c>
      <c r="M921" s="10">
        <f>IF($I921="",0,IFERROR(INDEX(Материалы!$I$2:$I$9000,MATCH($I921,Материалы!$A$2:$A$9000,0))*IF(INDEX(Материалы!$J$2:$J$9000,MATCH($I921,Материалы!$A$2:$A$9000,0))="USD",КурсUSD,IF(INDEX(Материалы!$J$2:$J$9000,MATCH($I921,Материалы!$A$2:$A$9000,0))="EUR",КурсEUR,1))*INDEX(Материалы!$K$2:$K$9000,MATCH($I921,Материалы!$A$2:$A$9000,0))*(1+IFERROR(INDEX(Работы!$I$2:$I$6000,MATCH($C921,Работы!$A$2:$A$6000,0))/100,0))*(1-ДисконтТендер),0))</f>
        <v>0</v>
      </c>
      <c r="N921" s="10">
        <f t="shared" si="42"/>
        <v>0</v>
      </c>
      <c r="O921" s="10">
        <f t="shared" si="43"/>
        <v>0</v>
      </c>
      <c r="P921" s="10">
        <f t="shared" si="44"/>
        <v>0</v>
      </c>
      <c r="Q921" t="str">
        <f>IFERROR(INDEX(Работы!$J$2:$J$6000,MATCH($C921,Работы!$A$2:$A$6000,0)),"")</f>
        <v/>
      </c>
      <c r="R921" t="s">
        <v>92</v>
      </c>
      <c r="T921" t="str">
        <f>IF(AND($P921&gt;0,$R921="да"),MAX($T$1:$T920)+1,"")</f>
        <v/>
      </c>
    </row>
    <row r="922" spans="1:20" x14ac:dyDescent="0.3">
      <c r="A922" s="11" t="str">
        <f>IFERROR(INDEX(Работы!$D$2:$D$6000,MATCH($C922,Работы!$A$2:$A$6000,0)),"")</f>
        <v/>
      </c>
      <c r="B922" t="str">
        <f>IFERROR(INDEX(Работы!$F$2:$F$6000,MATCH($C922,Работы!$A$2:$A$6000,0)),"")</f>
        <v/>
      </c>
      <c r="C922">
        <f>IFERROR(INDEX(Работы!$A$2:$A$6000,921),"")</f>
        <v>0</v>
      </c>
      <c r="D922" s="8" t="str">
        <f>IFERROR(INDEX(Работы!$B$2:$B$6000,MATCH($C922,Работы!$A$2:$A$6000,0)),"")</f>
        <v/>
      </c>
      <c r="E922" t="str">
        <f>IFERROR(INDEX(Работы!$C$2:$C$6000,MATCH($C922,Работы!$A$2:$A$6000,0)),"")</f>
        <v/>
      </c>
      <c r="F922" t="str">
        <f>IFERROR(INDEX(Работы!$G$2:$G$6000,MATCH($C922,Работы!$A$2:$A$6000,0)),"")</f>
        <v/>
      </c>
      <c r="G922" t="str">
        <f>IFERROR(INDEX(Работы!$K$2:$K$6000,MATCH($C922,Работы!$A$2:$A$6000,0)),"")</f>
        <v/>
      </c>
      <c r="H922" s="9"/>
      <c r="I922" s="9"/>
      <c r="J922" s="8" t="str">
        <f>IFERROR(INDEX(Материалы!$B$2:$B$9000,MATCH($I922,Материалы!$A$2:$A$9000,0)),"")</f>
        <v/>
      </c>
      <c r="K922" t="str">
        <f>IF($I922="","",IF($F922=IFERROR(INDEX(Материалы!$G$2:$G$9000,MATCH($I922,Материалы!$A$2:$A$9000,0)),""),"OK","!! не та группа"))</f>
        <v/>
      </c>
      <c r="L922" s="10">
        <f>IFERROR(INDEX(Работы!$H$2:$H$6000,MATCH($C922,Работы!$A$2:$A$6000,0))*(1-ДисконтТендер),0)</f>
        <v>0</v>
      </c>
      <c r="M922" s="10">
        <f>IF($I922="",0,IFERROR(INDEX(Материалы!$I$2:$I$9000,MATCH($I922,Материалы!$A$2:$A$9000,0))*IF(INDEX(Материалы!$J$2:$J$9000,MATCH($I922,Материалы!$A$2:$A$9000,0))="USD",КурсUSD,IF(INDEX(Материалы!$J$2:$J$9000,MATCH($I922,Материалы!$A$2:$A$9000,0))="EUR",КурсEUR,1))*INDEX(Материалы!$K$2:$K$9000,MATCH($I922,Материалы!$A$2:$A$9000,0))*(1+IFERROR(INDEX(Работы!$I$2:$I$6000,MATCH($C922,Работы!$A$2:$A$6000,0))/100,0))*(1-ДисконтТендер),0))</f>
        <v>0</v>
      </c>
      <c r="N922" s="10">
        <f t="shared" si="42"/>
        <v>0</v>
      </c>
      <c r="O922" s="10">
        <f t="shared" si="43"/>
        <v>0</v>
      </c>
      <c r="P922" s="10">
        <f t="shared" si="44"/>
        <v>0</v>
      </c>
      <c r="Q922" t="str">
        <f>IFERROR(INDEX(Работы!$J$2:$J$6000,MATCH($C922,Работы!$A$2:$A$6000,0)),"")</f>
        <v/>
      </c>
      <c r="R922" t="s">
        <v>92</v>
      </c>
      <c r="T922" t="str">
        <f>IF(AND($P922&gt;0,$R922="да"),MAX($T$1:$T921)+1,"")</f>
        <v/>
      </c>
    </row>
    <row r="923" spans="1:20" x14ac:dyDescent="0.3">
      <c r="A923" s="11" t="str">
        <f>IFERROR(INDEX(Работы!$D$2:$D$6000,MATCH($C923,Работы!$A$2:$A$6000,0)),"")</f>
        <v/>
      </c>
      <c r="B923" t="str">
        <f>IFERROR(INDEX(Работы!$F$2:$F$6000,MATCH($C923,Работы!$A$2:$A$6000,0)),"")</f>
        <v/>
      </c>
      <c r="C923">
        <f>IFERROR(INDEX(Работы!$A$2:$A$6000,922),"")</f>
        <v>0</v>
      </c>
      <c r="D923" s="8" t="str">
        <f>IFERROR(INDEX(Работы!$B$2:$B$6000,MATCH($C923,Работы!$A$2:$A$6000,0)),"")</f>
        <v/>
      </c>
      <c r="E923" t="str">
        <f>IFERROR(INDEX(Работы!$C$2:$C$6000,MATCH($C923,Работы!$A$2:$A$6000,0)),"")</f>
        <v/>
      </c>
      <c r="F923" t="str">
        <f>IFERROR(INDEX(Работы!$G$2:$G$6000,MATCH($C923,Работы!$A$2:$A$6000,0)),"")</f>
        <v/>
      </c>
      <c r="G923" t="str">
        <f>IFERROR(INDEX(Работы!$K$2:$K$6000,MATCH($C923,Работы!$A$2:$A$6000,0)),"")</f>
        <v/>
      </c>
      <c r="H923" s="9"/>
      <c r="I923" s="9"/>
      <c r="J923" s="8" t="str">
        <f>IFERROR(INDEX(Материалы!$B$2:$B$9000,MATCH($I923,Материалы!$A$2:$A$9000,0)),"")</f>
        <v/>
      </c>
      <c r="K923" t="str">
        <f>IF($I923="","",IF($F923=IFERROR(INDEX(Материалы!$G$2:$G$9000,MATCH($I923,Материалы!$A$2:$A$9000,0)),""),"OK","!! не та группа"))</f>
        <v/>
      </c>
      <c r="L923" s="10">
        <f>IFERROR(INDEX(Работы!$H$2:$H$6000,MATCH($C923,Работы!$A$2:$A$6000,0))*(1-ДисконтТендер),0)</f>
        <v>0</v>
      </c>
      <c r="M923" s="10">
        <f>IF($I923="",0,IFERROR(INDEX(Материалы!$I$2:$I$9000,MATCH($I923,Материалы!$A$2:$A$9000,0))*IF(INDEX(Материалы!$J$2:$J$9000,MATCH($I923,Материалы!$A$2:$A$9000,0))="USD",КурсUSD,IF(INDEX(Материалы!$J$2:$J$9000,MATCH($I923,Материалы!$A$2:$A$9000,0))="EUR",КурсEUR,1))*INDEX(Материалы!$K$2:$K$9000,MATCH($I923,Материалы!$A$2:$A$9000,0))*(1+IFERROR(INDEX(Работы!$I$2:$I$6000,MATCH($C923,Работы!$A$2:$A$6000,0))/100,0))*(1-ДисконтТендер),0))</f>
        <v>0</v>
      </c>
      <c r="N923" s="10">
        <f t="shared" si="42"/>
        <v>0</v>
      </c>
      <c r="O923" s="10">
        <f t="shared" si="43"/>
        <v>0</v>
      </c>
      <c r="P923" s="10">
        <f t="shared" si="44"/>
        <v>0</v>
      </c>
      <c r="Q923" t="str">
        <f>IFERROR(INDEX(Работы!$J$2:$J$6000,MATCH($C923,Работы!$A$2:$A$6000,0)),"")</f>
        <v/>
      </c>
      <c r="R923" t="s">
        <v>92</v>
      </c>
      <c r="T923" t="str">
        <f>IF(AND($P923&gt;0,$R923="да"),MAX($T$1:$T922)+1,"")</f>
        <v/>
      </c>
    </row>
    <row r="924" spans="1:20" x14ac:dyDescent="0.3">
      <c r="A924" s="11" t="str">
        <f>IFERROR(INDEX(Работы!$D$2:$D$6000,MATCH($C924,Работы!$A$2:$A$6000,0)),"")</f>
        <v/>
      </c>
      <c r="B924" t="str">
        <f>IFERROR(INDEX(Работы!$F$2:$F$6000,MATCH($C924,Работы!$A$2:$A$6000,0)),"")</f>
        <v/>
      </c>
      <c r="C924">
        <f>IFERROR(INDEX(Работы!$A$2:$A$6000,923),"")</f>
        <v>0</v>
      </c>
      <c r="D924" s="8" t="str">
        <f>IFERROR(INDEX(Работы!$B$2:$B$6000,MATCH($C924,Работы!$A$2:$A$6000,0)),"")</f>
        <v/>
      </c>
      <c r="E924" t="str">
        <f>IFERROR(INDEX(Работы!$C$2:$C$6000,MATCH($C924,Работы!$A$2:$A$6000,0)),"")</f>
        <v/>
      </c>
      <c r="F924" t="str">
        <f>IFERROR(INDEX(Работы!$G$2:$G$6000,MATCH($C924,Работы!$A$2:$A$6000,0)),"")</f>
        <v/>
      </c>
      <c r="G924" t="str">
        <f>IFERROR(INDEX(Работы!$K$2:$K$6000,MATCH($C924,Работы!$A$2:$A$6000,0)),"")</f>
        <v/>
      </c>
      <c r="H924" s="9"/>
      <c r="I924" s="9"/>
      <c r="J924" s="8" t="str">
        <f>IFERROR(INDEX(Материалы!$B$2:$B$9000,MATCH($I924,Материалы!$A$2:$A$9000,0)),"")</f>
        <v/>
      </c>
      <c r="K924" t="str">
        <f>IF($I924="","",IF($F924=IFERROR(INDEX(Материалы!$G$2:$G$9000,MATCH($I924,Материалы!$A$2:$A$9000,0)),""),"OK","!! не та группа"))</f>
        <v/>
      </c>
      <c r="L924" s="10">
        <f>IFERROR(INDEX(Работы!$H$2:$H$6000,MATCH($C924,Работы!$A$2:$A$6000,0))*(1-ДисконтТендер),0)</f>
        <v>0</v>
      </c>
      <c r="M924" s="10">
        <f>IF($I924="",0,IFERROR(INDEX(Материалы!$I$2:$I$9000,MATCH($I924,Материалы!$A$2:$A$9000,0))*IF(INDEX(Материалы!$J$2:$J$9000,MATCH($I924,Материалы!$A$2:$A$9000,0))="USD",КурсUSD,IF(INDEX(Материалы!$J$2:$J$9000,MATCH($I924,Материалы!$A$2:$A$9000,0))="EUR",КурсEUR,1))*INDEX(Материалы!$K$2:$K$9000,MATCH($I924,Материалы!$A$2:$A$9000,0))*(1+IFERROR(INDEX(Работы!$I$2:$I$6000,MATCH($C924,Работы!$A$2:$A$6000,0))/100,0))*(1-ДисконтТендер),0))</f>
        <v>0</v>
      </c>
      <c r="N924" s="10">
        <f t="shared" si="42"/>
        <v>0</v>
      </c>
      <c r="O924" s="10">
        <f t="shared" si="43"/>
        <v>0</v>
      </c>
      <c r="P924" s="10">
        <f t="shared" si="44"/>
        <v>0</v>
      </c>
      <c r="Q924" t="str">
        <f>IFERROR(INDEX(Работы!$J$2:$J$6000,MATCH($C924,Работы!$A$2:$A$6000,0)),"")</f>
        <v/>
      </c>
      <c r="R924" t="s">
        <v>92</v>
      </c>
      <c r="T924" t="str">
        <f>IF(AND($P924&gt;0,$R924="да"),MAX($T$1:$T923)+1,"")</f>
        <v/>
      </c>
    </row>
    <row r="925" spans="1:20" x14ac:dyDescent="0.3">
      <c r="A925" s="11" t="str">
        <f>IFERROR(INDEX(Работы!$D$2:$D$6000,MATCH($C925,Работы!$A$2:$A$6000,0)),"")</f>
        <v/>
      </c>
      <c r="B925" t="str">
        <f>IFERROR(INDEX(Работы!$F$2:$F$6000,MATCH($C925,Работы!$A$2:$A$6000,0)),"")</f>
        <v/>
      </c>
      <c r="C925">
        <f>IFERROR(INDEX(Работы!$A$2:$A$6000,924),"")</f>
        <v>0</v>
      </c>
      <c r="D925" s="8" t="str">
        <f>IFERROR(INDEX(Работы!$B$2:$B$6000,MATCH($C925,Работы!$A$2:$A$6000,0)),"")</f>
        <v/>
      </c>
      <c r="E925" t="str">
        <f>IFERROR(INDEX(Работы!$C$2:$C$6000,MATCH($C925,Работы!$A$2:$A$6000,0)),"")</f>
        <v/>
      </c>
      <c r="F925" t="str">
        <f>IFERROR(INDEX(Работы!$G$2:$G$6000,MATCH($C925,Работы!$A$2:$A$6000,0)),"")</f>
        <v/>
      </c>
      <c r="G925" t="str">
        <f>IFERROR(INDEX(Работы!$K$2:$K$6000,MATCH($C925,Работы!$A$2:$A$6000,0)),"")</f>
        <v/>
      </c>
      <c r="H925" s="9"/>
      <c r="I925" s="9"/>
      <c r="J925" s="8" t="str">
        <f>IFERROR(INDEX(Материалы!$B$2:$B$9000,MATCH($I925,Материалы!$A$2:$A$9000,0)),"")</f>
        <v/>
      </c>
      <c r="K925" t="str">
        <f>IF($I925="","",IF($F925=IFERROR(INDEX(Материалы!$G$2:$G$9000,MATCH($I925,Материалы!$A$2:$A$9000,0)),""),"OK","!! не та группа"))</f>
        <v/>
      </c>
      <c r="L925" s="10">
        <f>IFERROR(INDEX(Работы!$H$2:$H$6000,MATCH($C925,Работы!$A$2:$A$6000,0))*(1-ДисконтТендер),0)</f>
        <v>0</v>
      </c>
      <c r="M925" s="10">
        <f>IF($I925="",0,IFERROR(INDEX(Материалы!$I$2:$I$9000,MATCH($I925,Материалы!$A$2:$A$9000,0))*IF(INDEX(Материалы!$J$2:$J$9000,MATCH($I925,Материалы!$A$2:$A$9000,0))="USD",КурсUSD,IF(INDEX(Материалы!$J$2:$J$9000,MATCH($I925,Материалы!$A$2:$A$9000,0))="EUR",КурсEUR,1))*INDEX(Материалы!$K$2:$K$9000,MATCH($I925,Материалы!$A$2:$A$9000,0))*(1+IFERROR(INDEX(Работы!$I$2:$I$6000,MATCH($C925,Работы!$A$2:$A$6000,0))/100,0))*(1-ДисконтТендер),0))</f>
        <v>0</v>
      </c>
      <c r="N925" s="10">
        <f t="shared" si="42"/>
        <v>0</v>
      </c>
      <c r="O925" s="10">
        <f t="shared" si="43"/>
        <v>0</v>
      </c>
      <c r="P925" s="10">
        <f t="shared" si="44"/>
        <v>0</v>
      </c>
      <c r="Q925" t="str">
        <f>IFERROR(INDEX(Работы!$J$2:$J$6000,MATCH($C925,Работы!$A$2:$A$6000,0)),"")</f>
        <v/>
      </c>
      <c r="R925" t="s">
        <v>92</v>
      </c>
      <c r="T925" t="str">
        <f>IF(AND($P925&gt;0,$R925="да"),MAX($T$1:$T924)+1,"")</f>
        <v/>
      </c>
    </row>
    <row r="926" spans="1:20" x14ac:dyDescent="0.3">
      <c r="A926" s="11" t="str">
        <f>IFERROR(INDEX(Работы!$D$2:$D$6000,MATCH($C926,Работы!$A$2:$A$6000,0)),"")</f>
        <v/>
      </c>
      <c r="B926" t="str">
        <f>IFERROR(INDEX(Работы!$F$2:$F$6000,MATCH($C926,Работы!$A$2:$A$6000,0)),"")</f>
        <v/>
      </c>
      <c r="C926">
        <f>IFERROR(INDEX(Работы!$A$2:$A$6000,925),"")</f>
        <v>0</v>
      </c>
      <c r="D926" s="8" t="str">
        <f>IFERROR(INDEX(Работы!$B$2:$B$6000,MATCH($C926,Работы!$A$2:$A$6000,0)),"")</f>
        <v/>
      </c>
      <c r="E926" t="str">
        <f>IFERROR(INDEX(Работы!$C$2:$C$6000,MATCH($C926,Работы!$A$2:$A$6000,0)),"")</f>
        <v/>
      </c>
      <c r="F926" t="str">
        <f>IFERROR(INDEX(Работы!$G$2:$G$6000,MATCH($C926,Работы!$A$2:$A$6000,0)),"")</f>
        <v/>
      </c>
      <c r="G926" t="str">
        <f>IFERROR(INDEX(Работы!$K$2:$K$6000,MATCH($C926,Работы!$A$2:$A$6000,0)),"")</f>
        <v/>
      </c>
      <c r="H926" s="9"/>
      <c r="I926" s="9"/>
      <c r="J926" s="8" t="str">
        <f>IFERROR(INDEX(Материалы!$B$2:$B$9000,MATCH($I926,Материалы!$A$2:$A$9000,0)),"")</f>
        <v/>
      </c>
      <c r="K926" t="str">
        <f>IF($I926="","",IF($F926=IFERROR(INDEX(Материалы!$G$2:$G$9000,MATCH($I926,Материалы!$A$2:$A$9000,0)),""),"OK","!! не та группа"))</f>
        <v/>
      </c>
      <c r="L926" s="10">
        <f>IFERROR(INDEX(Работы!$H$2:$H$6000,MATCH($C926,Работы!$A$2:$A$6000,0))*(1-ДисконтТендер),0)</f>
        <v>0</v>
      </c>
      <c r="M926" s="10">
        <f>IF($I926="",0,IFERROR(INDEX(Материалы!$I$2:$I$9000,MATCH($I926,Материалы!$A$2:$A$9000,0))*IF(INDEX(Материалы!$J$2:$J$9000,MATCH($I926,Материалы!$A$2:$A$9000,0))="USD",КурсUSD,IF(INDEX(Материалы!$J$2:$J$9000,MATCH($I926,Материалы!$A$2:$A$9000,0))="EUR",КурсEUR,1))*INDEX(Материалы!$K$2:$K$9000,MATCH($I926,Материалы!$A$2:$A$9000,0))*(1+IFERROR(INDEX(Работы!$I$2:$I$6000,MATCH($C926,Работы!$A$2:$A$6000,0))/100,0))*(1-ДисконтТендер),0))</f>
        <v>0</v>
      </c>
      <c r="N926" s="10">
        <f t="shared" si="42"/>
        <v>0</v>
      </c>
      <c r="O926" s="10">
        <f t="shared" si="43"/>
        <v>0</v>
      </c>
      <c r="P926" s="10">
        <f t="shared" si="44"/>
        <v>0</v>
      </c>
      <c r="Q926" t="str">
        <f>IFERROR(INDEX(Работы!$J$2:$J$6000,MATCH($C926,Работы!$A$2:$A$6000,0)),"")</f>
        <v/>
      </c>
      <c r="R926" t="s">
        <v>92</v>
      </c>
      <c r="T926" t="str">
        <f>IF(AND($P926&gt;0,$R926="да"),MAX($T$1:$T925)+1,"")</f>
        <v/>
      </c>
    </row>
    <row r="927" spans="1:20" x14ac:dyDescent="0.3">
      <c r="A927" s="11" t="str">
        <f>IFERROR(INDEX(Работы!$D$2:$D$6000,MATCH($C927,Работы!$A$2:$A$6000,0)),"")</f>
        <v/>
      </c>
      <c r="B927" t="str">
        <f>IFERROR(INDEX(Работы!$F$2:$F$6000,MATCH($C927,Работы!$A$2:$A$6000,0)),"")</f>
        <v/>
      </c>
      <c r="C927">
        <f>IFERROR(INDEX(Работы!$A$2:$A$6000,926),"")</f>
        <v>0</v>
      </c>
      <c r="D927" s="8" t="str">
        <f>IFERROR(INDEX(Работы!$B$2:$B$6000,MATCH($C927,Работы!$A$2:$A$6000,0)),"")</f>
        <v/>
      </c>
      <c r="E927" t="str">
        <f>IFERROR(INDEX(Работы!$C$2:$C$6000,MATCH($C927,Работы!$A$2:$A$6000,0)),"")</f>
        <v/>
      </c>
      <c r="F927" t="str">
        <f>IFERROR(INDEX(Работы!$G$2:$G$6000,MATCH($C927,Работы!$A$2:$A$6000,0)),"")</f>
        <v/>
      </c>
      <c r="G927" t="str">
        <f>IFERROR(INDEX(Работы!$K$2:$K$6000,MATCH($C927,Работы!$A$2:$A$6000,0)),"")</f>
        <v/>
      </c>
      <c r="H927" s="9"/>
      <c r="I927" s="9"/>
      <c r="J927" s="8" t="str">
        <f>IFERROR(INDEX(Материалы!$B$2:$B$9000,MATCH($I927,Материалы!$A$2:$A$9000,0)),"")</f>
        <v/>
      </c>
      <c r="K927" t="str">
        <f>IF($I927="","",IF($F927=IFERROR(INDEX(Материалы!$G$2:$G$9000,MATCH($I927,Материалы!$A$2:$A$9000,0)),""),"OK","!! не та группа"))</f>
        <v/>
      </c>
      <c r="L927" s="10">
        <f>IFERROR(INDEX(Работы!$H$2:$H$6000,MATCH($C927,Работы!$A$2:$A$6000,0))*(1-ДисконтТендер),0)</f>
        <v>0</v>
      </c>
      <c r="M927" s="10">
        <f>IF($I927="",0,IFERROR(INDEX(Материалы!$I$2:$I$9000,MATCH($I927,Материалы!$A$2:$A$9000,0))*IF(INDEX(Материалы!$J$2:$J$9000,MATCH($I927,Материалы!$A$2:$A$9000,0))="USD",КурсUSD,IF(INDEX(Материалы!$J$2:$J$9000,MATCH($I927,Материалы!$A$2:$A$9000,0))="EUR",КурсEUR,1))*INDEX(Материалы!$K$2:$K$9000,MATCH($I927,Материалы!$A$2:$A$9000,0))*(1+IFERROR(INDEX(Работы!$I$2:$I$6000,MATCH($C927,Работы!$A$2:$A$6000,0))/100,0))*(1-ДисконтТендер),0))</f>
        <v>0</v>
      </c>
      <c r="N927" s="10">
        <f t="shared" si="42"/>
        <v>0</v>
      </c>
      <c r="O927" s="10">
        <f t="shared" si="43"/>
        <v>0</v>
      </c>
      <c r="P927" s="10">
        <f t="shared" si="44"/>
        <v>0</v>
      </c>
      <c r="Q927" t="str">
        <f>IFERROR(INDEX(Работы!$J$2:$J$6000,MATCH($C927,Работы!$A$2:$A$6000,0)),"")</f>
        <v/>
      </c>
      <c r="R927" t="s">
        <v>92</v>
      </c>
      <c r="T927" t="str">
        <f>IF(AND($P927&gt;0,$R927="да"),MAX($T$1:$T926)+1,"")</f>
        <v/>
      </c>
    </row>
    <row r="928" spans="1:20" x14ac:dyDescent="0.3">
      <c r="A928" s="11" t="str">
        <f>IFERROR(INDEX(Работы!$D$2:$D$6000,MATCH($C928,Работы!$A$2:$A$6000,0)),"")</f>
        <v/>
      </c>
      <c r="B928" t="str">
        <f>IFERROR(INDEX(Работы!$F$2:$F$6000,MATCH($C928,Работы!$A$2:$A$6000,0)),"")</f>
        <v/>
      </c>
      <c r="C928">
        <f>IFERROR(INDEX(Работы!$A$2:$A$6000,927),"")</f>
        <v>0</v>
      </c>
      <c r="D928" s="8" t="str">
        <f>IFERROR(INDEX(Работы!$B$2:$B$6000,MATCH($C928,Работы!$A$2:$A$6000,0)),"")</f>
        <v/>
      </c>
      <c r="E928" t="str">
        <f>IFERROR(INDEX(Работы!$C$2:$C$6000,MATCH($C928,Работы!$A$2:$A$6000,0)),"")</f>
        <v/>
      </c>
      <c r="F928" t="str">
        <f>IFERROR(INDEX(Работы!$G$2:$G$6000,MATCH($C928,Работы!$A$2:$A$6000,0)),"")</f>
        <v/>
      </c>
      <c r="G928" t="str">
        <f>IFERROR(INDEX(Работы!$K$2:$K$6000,MATCH($C928,Работы!$A$2:$A$6000,0)),"")</f>
        <v/>
      </c>
      <c r="H928" s="9"/>
      <c r="I928" s="9"/>
      <c r="J928" s="8" t="str">
        <f>IFERROR(INDEX(Материалы!$B$2:$B$9000,MATCH($I928,Материалы!$A$2:$A$9000,0)),"")</f>
        <v/>
      </c>
      <c r="K928" t="str">
        <f>IF($I928="","",IF($F928=IFERROR(INDEX(Материалы!$G$2:$G$9000,MATCH($I928,Материалы!$A$2:$A$9000,0)),""),"OK","!! не та группа"))</f>
        <v/>
      </c>
      <c r="L928" s="10">
        <f>IFERROR(INDEX(Работы!$H$2:$H$6000,MATCH($C928,Работы!$A$2:$A$6000,0))*(1-ДисконтТендер),0)</f>
        <v>0</v>
      </c>
      <c r="M928" s="10">
        <f>IF($I928="",0,IFERROR(INDEX(Материалы!$I$2:$I$9000,MATCH($I928,Материалы!$A$2:$A$9000,0))*IF(INDEX(Материалы!$J$2:$J$9000,MATCH($I928,Материалы!$A$2:$A$9000,0))="USD",КурсUSD,IF(INDEX(Материалы!$J$2:$J$9000,MATCH($I928,Материалы!$A$2:$A$9000,0))="EUR",КурсEUR,1))*INDEX(Материалы!$K$2:$K$9000,MATCH($I928,Материалы!$A$2:$A$9000,0))*(1+IFERROR(INDEX(Работы!$I$2:$I$6000,MATCH($C928,Работы!$A$2:$A$6000,0))/100,0))*(1-ДисконтТендер),0))</f>
        <v>0</v>
      </c>
      <c r="N928" s="10">
        <f t="shared" si="42"/>
        <v>0</v>
      </c>
      <c r="O928" s="10">
        <f t="shared" si="43"/>
        <v>0</v>
      </c>
      <c r="P928" s="10">
        <f t="shared" si="44"/>
        <v>0</v>
      </c>
      <c r="Q928" t="str">
        <f>IFERROR(INDEX(Работы!$J$2:$J$6000,MATCH($C928,Работы!$A$2:$A$6000,0)),"")</f>
        <v/>
      </c>
      <c r="R928" t="s">
        <v>92</v>
      </c>
      <c r="T928" t="str">
        <f>IF(AND($P928&gt;0,$R928="да"),MAX($T$1:$T927)+1,"")</f>
        <v/>
      </c>
    </row>
    <row r="929" spans="1:20" x14ac:dyDescent="0.3">
      <c r="A929" s="11" t="str">
        <f>IFERROR(INDEX(Работы!$D$2:$D$6000,MATCH($C929,Работы!$A$2:$A$6000,0)),"")</f>
        <v/>
      </c>
      <c r="B929" t="str">
        <f>IFERROR(INDEX(Работы!$F$2:$F$6000,MATCH($C929,Работы!$A$2:$A$6000,0)),"")</f>
        <v/>
      </c>
      <c r="C929">
        <f>IFERROR(INDEX(Работы!$A$2:$A$6000,928),"")</f>
        <v>0</v>
      </c>
      <c r="D929" s="8" t="str">
        <f>IFERROR(INDEX(Работы!$B$2:$B$6000,MATCH($C929,Работы!$A$2:$A$6000,0)),"")</f>
        <v/>
      </c>
      <c r="E929" t="str">
        <f>IFERROR(INDEX(Работы!$C$2:$C$6000,MATCH($C929,Работы!$A$2:$A$6000,0)),"")</f>
        <v/>
      </c>
      <c r="F929" t="str">
        <f>IFERROR(INDEX(Работы!$G$2:$G$6000,MATCH($C929,Работы!$A$2:$A$6000,0)),"")</f>
        <v/>
      </c>
      <c r="G929" t="str">
        <f>IFERROR(INDEX(Работы!$K$2:$K$6000,MATCH($C929,Работы!$A$2:$A$6000,0)),"")</f>
        <v/>
      </c>
      <c r="H929" s="9"/>
      <c r="I929" s="9"/>
      <c r="J929" s="8" t="str">
        <f>IFERROR(INDEX(Материалы!$B$2:$B$9000,MATCH($I929,Материалы!$A$2:$A$9000,0)),"")</f>
        <v/>
      </c>
      <c r="K929" t="str">
        <f>IF($I929="","",IF($F929=IFERROR(INDEX(Материалы!$G$2:$G$9000,MATCH($I929,Материалы!$A$2:$A$9000,0)),""),"OK","!! не та группа"))</f>
        <v/>
      </c>
      <c r="L929" s="10">
        <f>IFERROR(INDEX(Работы!$H$2:$H$6000,MATCH($C929,Работы!$A$2:$A$6000,0))*(1-ДисконтТендер),0)</f>
        <v>0</v>
      </c>
      <c r="M929" s="10">
        <f>IF($I929="",0,IFERROR(INDEX(Материалы!$I$2:$I$9000,MATCH($I929,Материалы!$A$2:$A$9000,0))*IF(INDEX(Материалы!$J$2:$J$9000,MATCH($I929,Материалы!$A$2:$A$9000,0))="USD",КурсUSD,IF(INDEX(Материалы!$J$2:$J$9000,MATCH($I929,Материалы!$A$2:$A$9000,0))="EUR",КурсEUR,1))*INDEX(Материалы!$K$2:$K$9000,MATCH($I929,Материалы!$A$2:$A$9000,0))*(1+IFERROR(INDEX(Работы!$I$2:$I$6000,MATCH($C929,Работы!$A$2:$A$6000,0))/100,0))*(1-ДисконтТендер),0))</f>
        <v>0</v>
      </c>
      <c r="N929" s="10">
        <f t="shared" si="42"/>
        <v>0</v>
      </c>
      <c r="O929" s="10">
        <f t="shared" si="43"/>
        <v>0</v>
      </c>
      <c r="P929" s="10">
        <f t="shared" si="44"/>
        <v>0</v>
      </c>
      <c r="Q929" t="str">
        <f>IFERROR(INDEX(Работы!$J$2:$J$6000,MATCH($C929,Работы!$A$2:$A$6000,0)),"")</f>
        <v/>
      </c>
      <c r="R929" t="s">
        <v>92</v>
      </c>
      <c r="T929" t="str">
        <f>IF(AND($P929&gt;0,$R929="да"),MAX($T$1:$T928)+1,"")</f>
        <v/>
      </c>
    </row>
    <row r="930" spans="1:20" x14ac:dyDescent="0.3">
      <c r="A930" s="11" t="str">
        <f>IFERROR(INDEX(Работы!$D$2:$D$6000,MATCH($C930,Работы!$A$2:$A$6000,0)),"")</f>
        <v/>
      </c>
      <c r="B930" t="str">
        <f>IFERROR(INDEX(Работы!$F$2:$F$6000,MATCH($C930,Работы!$A$2:$A$6000,0)),"")</f>
        <v/>
      </c>
      <c r="C930">
        <f>IFERROR(INDEX(Работы!$A$2:$A$6000,929),"")</f>
        <v>0</v>
      </c>
      <c r="D930" s="8" t="str">
        <f>IFERROR(INDEX(Работы!$B$2:$B$6000,MATCH($C930,Работы!$A$2:$A$6000,0)),"")</f>
        <v/>
      </c>
      <c r="E930" t="str">
        <f>IFERROR(INDEX(Работы!$C$2:$C$6000,MATCH($C930,Работы!$A$2:$A$6000,0)),"")</f>
        <v/>
      </c>
      <c r="F930" t="str">
        <f>IFERROR(INDEX(Работы!$G$2:$G$6000,MATCH($C930,Работы!$A$2:$A$6000,0)),"")</f>
        <v/>
      </c>
      <c r="G930" t="str">
        <f>IFERROR(INDEX(Работы!$K$2:$K$6000,MATCH($C930,Работы!$A$2:$A$6000,0)),"")</f>
        <v/>
      </c>
      <c r="H930" s="9"/>
      <c r="I930" s="9"/>
      <c r="J930" s="8" t="str">
        <f>IFERROR(INDEX(Материалы!$B$2:$B$9000,MATCH($I930,Материалы!$A$2:$A$9000,0)),"")</f>
        <v/>
      </c>
      <c r="K930" t="str">
        <f>IF($I930="","",IF($F930=IFERROR(INDEX(Материалы!$G$2:$G$9000,MATCH($I930,Материалы!$A$2:$A$9000,0)),""),"OK","!! не та группа"))</f>
        <v/>
      </c>
      <c r="L930" s="10">
        <f>IFERROR(INDEX(Работы!$H$2:$H$6000,MATCH($C930,Работы!$A$2:$A$6000,0))*(1-ДисконтТендер),0)</f>
        <v>0</v>
      </c>
      <c r="M930" s="10">
        <f>IF($I930="",0,IFERROR(INDEX(Материалы!$I$2:$I$9000,MATCH($I930,Материалы!$A$2:$A$9000,0))*IF(INDEX(Материалы!$J$2:$J$9000,MATCH($I930,Материалы!$A$2:$A$9000,0))="USD",КурсUSD,IF(INDEX(Материалы!$J$2:$J$9000,MATCH($I930,Материалы!$A$2:$A$9000,0))="EUR",КурсEUR,1))*INDEX(Материалы!$K$2:$K$9000,MATCH($I930,Материалы!$A$2:$A$9000,0))*(1+IFERROR(INDEX(Работы!$I$2:$I$6000,MATCH($C930,Работы!$A$2:$A$6000,0))/100,0))*(1-ДисконтТендер),0))</f>
        <v>0</v>
      </c>
      <c r="N930" s="10">
        <f t="shared" si="42"/>
        <v>0</v>
      </c>
      <c r="O930" s="10">
        <f t="shared" si="43"/>
        <v>0</v>
      </c>
      <c r="P930" s="10">
        <f t="shared" si="44"/>
        <v>0</v>
      </c>
      <c r="Q930" t="str">
        <f>IFERROR(INDEX(Работы!$J$2:$J$6000,MATCH($C930,Работы!$A$2:$A$6000,0)),"")</f>
        <v/>
      </c>
      <c r="R930" t="s">
        <v>92</v>
      </c>
      <c r="T930" t="str">
        <f>IF(AND($P930&gt;0,$R930="да"),MAX($T$1:$T929)+1,"")</f>
        <v/>
      </c>
    </row>
    <row r="931" spans="1:20" x14ac:dyDescent="0.3">
      <c r="A931" s="11" t="str">
        <f>IFERROR(INDEX(Работы!$D$2:$D$6000,MATCH($C931,Работы!$A$2:$A$6000,0)),"")</f>
        <v/>
      </c>
      <c r="B931" t="str">
        <f>IFERROR(INDEX(Работы!$F$2:$F$6000,MATCH($C931,Работы!$A$2:$A$6000,0)),"")</f>
        <v/>
      </c>
      <c r="C931">
        <f>IFERROR(INDEX(Работы!$A$2:$A$6000,930),"")</f>
        <v>0</v>
      </c>
      <c r="D931" s="8" t="str">
        <f>IFERROR(INDEX(Работы!$B$2:$B$6000,MATCH($C931,Работы!$A$2:$A$6000,0)),"")</f>
        <v/>
      </c>
      <c r="E931" t="str">
        <f>IFERROR(INDEX(Работы!$C$2:$C$6000,MATCH($C931,Работы!$A$2:$A$6000,0)),"")</f>
        <v/>
      </c>
      <c r="F931" t="str">
        <f>IFERROR(INDEX(Работы!$G$2:$G$6000,MATCH($C931,Работы!$A$2:$A$6000,0)),"")</f>
        <v/>
      </c>
      <c r="G931" t="str">
        <f>IFERROR(INDEX(Работы!$K$2:$K$6000,MATCH($C931,Работы!$A$2:$A$6000,0)),"")</f>
        <v/>
      </c>
      <c r="H931" s="9"/>
      <c r="I931" s="9"/>
      <c r="J931" s="8" t="str">
        <f>IFERROR(INDEX(Материалы!$B$2:$B$9000,MATCH($I931,Материалы!$A$2:$A$9000,0)),"")</f>
        <v/>
      </c>
      <c r="K931" t="str">
        <f>IF($I931="","",IF($F931=IFERROR(INDEX(Материалы!$G$2:$G$9000,MATCH($I931,Материалы!$A$2:$A$9000,0)),""),"OK","!! не та группа"))</f>
        <v/>
      </c>
      <c r="L931" s="10">
        <f>IFERROR(INDEX(Работы!$H$2:$H$6000,MATCH($C931,Работы!$A$2:$A$6000,0))*(1-ДисконтТендер),0)</f>
        <v>0</v>
      </c>
      <c r="M931" s="10">
        <f>IF($I931="",0,IFERROR(INDEX(Материалы!$I$2:$I$9000,MATCH($I931,Материалы!$A$2:$A$9000,0))*IF(INDEX(Материалы!$J$2:$J$9000,MATCH($I931,Материалы!$A$2:$A$9000,0))="USD",КурсUSD,IF(INDEX(Материалы!$J$2:$J$9000,MATCH($I931,Материалы!$A$2:$A$9000,0))="EUR",КурсEUR,1))*INDEX(Материалы!$K$2:$K$9000,MATCH($I931,Материалы!$A$2:$A$9000,0))*(1+IFERROR(INDEX(Работы!$I$2:$I$6000,MATCH($C931,Работы!$A$2:$A$6000,0))/100,0))*(1-ДисконтТендер),0))</f>
        <v>0</v>
      </c>
      <c r="N931" s="10">
        <f t="shared" si="42"/>
        <v>0</v>
      </c>
      <c r="O931" s="10">
        <f t="shared" si="43"/>
        <v>0</v>
      </c>
      <c r="P931" s="10">
        <f t="shared" si="44"/>
        <v>0</v>
      </c>
      <c r="Q931" t="str">
        <f>IFERROR(INDEX(Работы!$J$2:$J$6000,MATCH($C931,Работы!$A$2:$A$6000,0)),"")</f>
        <v/>
      </c>
      <c r="R931" t="s">
        <v>92</v>
      </c>
      <c r="T931" t="str">
        <f>IF(AND($P931&gt;0,$R931="да"),MAX($T$1:$T930)+1,"")</f>
        <v/>
      </c>
    </row>
    <row r="932" spans="1:20" x14ac:dyDescent="0.3">
      <c r="A932" s="11" t="str">
        <f>IFERROR(INDEX(Работы!$D$2:$D$6000,MATCH($C932,Работы!$A$2:$A$6000,0)),"")</f>
        <v/>
      </c>
      <c r="B932" t="str">
        <f>IFERROR(INDEX(Работы!$F$2:$F$6000,MATCH($C932,Работы!$A$2:$A$6000,0)),"")</f>
        <v/>
      </c>
      <c r="C932">
        <f>IFERROR(INDEX(Работы!$A$2:$A$6000,931),"")</f>
        <v>0</v>
      </c>
      <c r="D932" s="8" t="str">
        <f>IFERROR(INDEX(Работы!$B$2:$B$6000,MATCH($C932,Работы!$A$2:$A$6000,0)),"")</f>
        <v/>
      </c>
      <c r="E932" t="str">
        <f>IFERROR(INDEX(Работы!$C$2:$C$6000,MATCH($C932,Работы!$A$2:$A$6000,0)),"")</f>
        <v/>
      </c>
      <c r="F932" t="str">
        <f>IFERROR(INDEX(Работы!$G$2:$G$6000,MATCH($C932,Работы!$A$2:$A$6000,0)),"")</f>
        <v/>
      </c>
      <c r="G932" t="str">
        <f>IFERROR(INDEX(Работы!$K$2:$K$6000,MATCH($C932,Работы!$A$2:$A$6000,0)),"")</f>
        <v/>
      </c>
      <c r="H932" s="9"/>
      <c r="I932" s="9"/>
      <c r="J932" s="8" t="str">
        <f>IFERROR(INDEX(Материалы!$B$2:$B$9000,MATCH($I932,Материалы!$A$2:$A$9000,0)),"")</f>
        <v/>
      </c>
      <c r="K932" t="str">
        <f>IF($I932="","",IF($F932=IFERROR(INDEX(Материалы!$G$2:$G$9000,MATCH($I932,Материалы!$A$2:$A$9000,0)),""),"OK","!! не та группа"))</f>
        <v/>
      </c>
      <c r="L932" s="10">
        <f>IFERROR(INDEX(Работы!$H$2:$H$6000,MATCH($C932,Работы!$A$2:$A$6000,0))*(1-ДисконтТендер),0)</f>
        <v>0</v>
      </c>
      <c r="M932" s="10">
        <f>IF($I932="",0,IFERROR(INDEX(Материалы!$I$2:$I$9000,MATCH($I932,Материалы!$A$2:$A$9000,0))*IF(INDEX(Материалы!$J$2:$J$9000,MATCH($I932,Материалы!$A$2:$A$9000,0))="USD",КурсUSD,IF(INDEX(Материалы!$J$2:$J$9000,MATCH($I932,Материалы!$A$2:$A$9000,0))="EUR",КурсEUR,1))*INDEX(Материалы!$K$2:$K$9000,MATCH($I932,Материалы!$A$2:$A$9000,0))*(1+IFERROR(INDEX(Работы!$I$2:$I$6000,MATCH($C932,Работы!$A$2:$A$6000,0))/100,0))*(1-ДисконтТендер),0))</f>
        <v>0</v>
      </c>
      <c r="N932" s="10">
        <f t="shared" si="42"/>
        <v>0</v>
      </c>
      <c r="O932" s="10">
        <f t="shared" si="43"/>
        <v>0</v>
      </c>
      <c r="P932" s="10">
        <f t="shared" si="44"/>
        <v>0</v>
      </c>
      <c r="Q932" t="str">
        <f>IFERROR(INDEX(Работы!$J$2:$J$6000,MATCH($C932,Работы!$A$2:$A$6000,0)),"")</f>
        <v/>
      </c>
      <c r="R932" t="s">
        <v>92</v>
      </c>
      <c r="T932" t="str">
        <f>IF(AND($P932&gt;0,$R932="да"),MAX($T$1:$T931)+1,"")</f>
        <v/>
      </c>
    </row>
    <row r="933" spans="1:20" x14ac:dyDescent="0.3">
      <c r="A933" s="11" t="str">
        <f>IFERROR(INDEX(Работы!$D$2:$D$6000,MATCH($C933,Работы!$A$2:$A$6000,0)),"")</f>
        <v/>
      </c>
      <c r="B933" t="str">
        <f>IFERROR(INDEX(Работы!$F$2:$F$6000,MATCH($C933,Работы!$A$2:$A$6000,0)),"")</f>
        <v/>
      </c>
      <c r="C933">
        <f>IFERROR(INDEX(Работы!$A$2:$A$6000,932),"")</f>
        <v>0</v>
      </c>
      <c r="D933" s="8" t="str">
        <f>IFERROR(INDEX(Работы!$B$2:$B$6000,MATCH($C933,Работы!$A$2:$A$6000,0)),"")</f>
        <v/>
      </c>
      <c r="E933" t="str">
        <f>IFERROR(INDEX(Работы!$C$2:$C$6000,MATCH($C933,Работы!$A$2:$A$6000,0)),"")</f>
        <v/>
      </c>
      <c r="F933" t="str">
        <f>IFERROR(INDEX(Работы!$G$2:$G$6000,MATCH($C933,Работы!$A$2:$A$6000,0)),"")</f>
        <v/>
      </c>
      <c r="G933" t="str">
        <f>IFERROR(INDEX(Работы!$K$2:$K$6000,MATCH($C933,Работы!$A$2:$A$6000,0)),"")</f>
        <v/>
      </c>
      <c r="H933" s="9"/>
      <c r="I933" s="9"/>
      <c r="J933" s="8" t="str">
        <f>IFERROR(INDEX(Материалы!$B$2:$B$9000,MATCH($I933,Материалы!$A$2:$A$9000,0)),"")</f>
        <v/>
      </c>
      <c r="K933" t="str">
        <f>IF($I933="","",IF($F933=IFERROR(INDEX(Материалы!$G$2:$G$9000,MATCH($I933,Материалы!$A$2:$A$9000,0)),""),"OK","!! не та группа"))</f>
        <v/>
      </c>
      <c r="L933" s="10">
        <f>IFERROR(INDEX(Работы!$H$2:$H$6000,MATCH($C933,Работы!$A$2:$A$6000,0))*(1-ДисконтТендер),0)</f>
        <v>0</v>
      </c>
      <c r="M933" s="10">
        <f>IF($I933="",0,IFERROR(INDEX(Материалы!$I$2:$I$9000,MATCH($I933,Материалы!$A$2:$A$9000,0))*IF(INDEX(Материалы!$J$2:$J$9000,MATCH($I933,Материалы!$A$2:$A$9000,0))="USD",КурсUSD,IF(INDEX(Материалы!$J$2:$J$9000,MATCH($I933,Материалы!$A$2:$A$9000,0))="EUR",КурсEUR,1))*INDEX(Материалы!$K$2:$K$9000,MATCH($I933,Материалы!$A$2:$A$9000,0))*(1+IFERROR(INDEX(Работы!$I$2:$I$6000,MATCH($C933,Работы!$A$2:$A$6000,0))/100,0))*(1-ДисконтТендер),0))</f>
        <v>0</v>
      </c>
      <c r="N933" s="10">
        <f t="shared" si="42"/>
        <v>0</v>
      </c>
      <c r="O933" s="10">
        <f t="shared" si="43"/>
        <v>0</v>
      </c>
      <c r="P933" s="10">
        <f t="shared" si="44"/>
        <v>0</v>
      </c>
      <c r="Q933" t="str">
        <f>IFERROR(INDEX(Работы!$J$2:$J$6000,MATCH($C933,Работы!$A$2:$A$6000,0)),"")</f>
        <v/>
      </c>
      <c r="R933" t="s">
        <v>92</v>
      </c>
      <c r="T933" t="str">
        <f>IF(AND($P933&gt;0,$R933="да"),MAX($T$1:$T932)+1,"")</f>
        <v/>
      </c>
    </row>
    <row r="934" spans="1:20" x14ac:dyDescent="0.3">
      <c r="A934" s="11" t="str">
        <f>IFERROR(INDEX(Работы!$D$2:$D$6000,MATCH($C934,Работы!$A$2:$A$6000,0)),"")</f>
        <v/>
      </c>
      <c r="B934" t="str">
        <f>IFERROR(INDEX(Работы!$F$2:$F$6000,MATCH($C934,Работы!$A$2:$A$6000,0)),"")</f>
        <v/>
      </c>
      <c r="C934">
        <f>IFERROR(INDEX(Работы!$A$2:$A$6000,933),"")</f>
        <v>0</v>
      </c>
      <c r="D934" s="8" t="str">
        <f>IFERROR(INDEX(Работы!$B$2:$B$6000,MATCH($C934,Работы!$A$2:$A$6000,0)),"")</f>
        <v/>
      </c>
      <c r="E934" t="str">
        <f>IFERROR(INDEX(Работы!$C$2:$C$6000,MATCH($C934,Работы!$A$2:$A$6000,0)),"")</f>
        <v/>
      </c>
      <c r="F934" t="str">
        <f>IFERROR(INDEX(Работы!$G$2:$G$6000,MATCH($C934,Работы!$A$2:$A$6000,0)),"")</f>
        <v/>
      </c>
      <c r="G934" t="str">
        <f>IFERROR(INDEX(Работы!$K$2:$K$6000,MATCH($C934,Работы!$A$2:$A$6000,0)),"")</f>
        <v/>
      </c>
      <c r="H934" s="9"/>
      <c r="I934" s="9"/>
      <c r="J934" s="8" t="str">
        <f>IFERROR(INDEX(Материалы!$B$2:$B$9000,MATCH($I934,Материалы!$A$2:$A$9000,0)),"")</f>
        <v/>
      </c>
      <c r="K934" t="str">
        <f>IF($I934="","",IF($F934=IFERROR(INDEX(Материалы!$G$2:$G$9000,MATCH($I934,Материалы!$A$2:$A$9000,0)),""),"OK","!! не та группа"))</f>
        <v/>
      </c>
      <c r="L934" s="10">
        <f>IFERROR(INDEX(Работы!$H$2:$H$6000,MATCH($C934,Работы!$A$2:$A$6000,0))*(1-ДисконтТендер),0)</f>
        <v>0</v>
      </c>
      <c r="M934" s="10">
        <f>IF($I934="",0,IFERROR(INDEX(Материалы!$I$2:$I$9000,MATCH($I934,Материалы!$A$2:$A$9000,0))*IF(INDEX(Материалы!$J$2:$J$9000,MATCH($I934,Материалы!$A$2:$A$9000,0))="USD",КурсUSD,IF(INDEX(Материалы!$J$2:$J$9000,MATCH($I934,Материалы!$A$2:$A$9000,0))="EUR",КурсEUR,1))*INDEX(Материалы!$K$2:$K$9000,MATCH($I934,Материалы!$A$2:$A$9000,0))*(1+IFERROR(INDEX(Работы!$I$2:$I$6000,MATCH($C934,Работы!$A$2:$A$6000,0))/100,0))*(1-ДисконтТендер),0))</f>
        <v>0</v>
      </c>
      <c r="N934" s="10">
        <f t="shared" si="42"/>
        <v>0</v>
      </c>
      <c r="O934" s="10">
        <f t="shared" si="43"/>
        <v>0</v>
      </c>
      <c r="P934" s="10">
        <f t="shared" si="44"/>
        <v>0</v>
      </c>
      <c r="Q934" t="str">
        <f>IFERROR(INDEX(Работы!$J$2:$J$6000,MATCH($C934,Работы!$A$2:$A$6000,0)),"")</f>
        <v/>
      </c>
      <c r="R934" t="s">
        <v>92</v>
      </c>
      <c r="T934" t="str">
        <f>IF(AND($P934&gt;0,$R934="да"),MAX($T$1:$T933)+1,"")</f>
        <v/>
      </c>
    </row>
    <row r="935" spans="1:20" x14ac:dyDescent="0.3">
      <c r="A935" s="11" t="str">
        <f>IFERROR(INDEX(Работы!$D$2:$D$6000,MATCH($C935,Работы!$A$2:$A$6000,0)),"")</f>
        <v/>
      </c>
      <c r="B935" t="str">
        <f>IFERROR(INDEX(Работы!$F$2:$F$6000,MATCH($C935,Работы!$A$2:$A$6000,0)),"")</f>
        <v/>
      </c>
      <c r="C935">
        <f>IFERROR(INDEX(Работы!$A$2:$A$6000,934),"")</f>
        <v>0</v>
      </c>
      <c r="D935" s="8" t="str">
        <f>IFERROR(INDEX(Работы!$B$2:$B$6000,MATCH($C935,Работы!$A$2:$A$6000,0)),"")</f>
        <v/>
      </c>
      <c r="E935" t="str">
        <f>IFERROR(INDEX(Работы!$C$2:$C$6000,MATCH($C935,Работы!$A$2:$A$6000,0)),"")</f>
        <v/>
      </c>
      <c r="F935" t="str">
        <f>IFERROR(INDEX(Работы!$G$2:$G$6000,MATCH($C935,Работы!$A$2:$A$6000,0)),"")</f>
        <v/>
      </c>
      <c r="G935" t="str">
        <f>IFERROR(INDEX(Работы!$K$2:$K$6000,MATCH($C935,Работы!$A$2:$A$6000,0)),"")</f>
        <v/>
      </c>
      <c r="H935" s="9"/>
      <c r="I935" s="9"/>
      <c r="J935" s="8" t="str">
        <f>IFERROR(INDEX(Материалы!$B$2:$B$9000,MATCH($I935,Материалы!$A$2:$A$9000,0)),"")</f>
        <v/>
      </c>
      <c r="K935" t="str">
        <f>IF($I935="","",IF($F935=IFERROR(INDEX(Материалы!$G$2:$G$9000,MATCH($I935,Материалы!$A$2:$A$9000,0)),""),"OK","!! не та группа"))</f>
        <v/>
      </c>
      <c r="L935" s="10">
        <f>IFERROR(INDEX(Работы!$H$2:$H$6000,MATCH($C935,Работы!$A$2:$A$6000,0))*(1-ДисконтТендер),0)</f>
        <v>0</v>
      </c>
      <c r="M935" s="10">
        <f>IF($I935="",0,IFERROR(INDEX(Материалы!$I$2:$I$9000,MATCH($I935,Материалы!$A$2:$A$9000,0))*IF(INDEX(Материалы!$J$2:$J$9000,MATCH($I935,Материалы!$A$2:$A$9000,0))="USD",КурсUSD,IF(INDEX(Материалы!$J$2:$J$9000,MATCH($I935,Материалы!$A$2:$A$9000,0))="EUR",КурсEUR,1))*INDEX(Материалы!$K$2:$K$9000,MATCH($I935,Материалы!$A$2:$A$9000,0))*(1+IFERROR(INDEX(Работы!$I$2:$I$6000,MATCH($C935,Работы!$A$2:$A$6000,0))/100,0))*(1-ДисконтТендер),0))</f>
        <v>0</v>
      </c>
      <c r="N935" s="10">
        <f t="shared" si="42"/>
        <v>0</v>
      </c>
      <c r="O935" s="10">
        <f t="shared" si="43"/>
        <v>0</v>
      </c>
      <c r="P935" s="10">
        <f t="shared" si="44"/>
        <v>0</v>
      </c>
      <c r="Q935" t="str">
        <f>IFERROR(INDEX(Работы!$J$2:$J$6000,MATCH($C935,Работы!$A$2:$A$6000,0)),"")</f>
        <v/>
      </c>
      <c r="R935" t="s">
        <v>92</v>
      </c>
      <c r="T935" t="str">
        <f>IF(AND($P935&gt;0,$R935="да"),MAX($T$1:$T934)+1,"")</f>
        <v/>
      </c>
    </row>
    <row r="936" spans="1:20" x14ac:dyDescent="0.3">
      <c r="A936" s="11" t="str">
        <f>IFERROR(INDEX(Работы!$D$2:$D$6000,MATCH($C936,Работы!$A$2:$A$6000,0)),"")</f>
        <v/>
      </c>
      <c r="B936" t="str">
        <f>IFERROR(INDEX(Работы!$F$2:$F$6000,MATCH($C936,Работы!$A$2:$A$6000,0)),"")</f>
        <v/>
      </c>
      <c r="C936">
        <f>IFERROR(INDEX(Работы!$A$2:$A$6000,935),"")</f>
        <v>0</v>
      </c>
      <c r="D936" s="8" t="str">
        <f>IFERROR(INDEX(Работы!$B$2:$B$6000,MATCH($C936,Работы!$A$2:$A$6000,0)),"")</f>
        <v/>
      </c>
      <c r="E936" t="str">
        <f>IFERROR(INDEX(Работы!$C$2:$C$6000,MATCH($C936,Работы!$A$2:$A$6000,0)),"")</f>
        <v/>
      </c>
      <c r="F936" t="str">
        <f>IFERROR(INDEX(Работы!$G$2:$G$6000,MATCH($C936,Работы!$A$2:$A$6000,0)),"")</f>
        <v/>
      </c>
      <c r="G936" t="str">
        <f>IFERROR(INDEX(Работы!$K$2:$K$6000,MATCH($C936,Работы!$A$2:$A$6000,0)),"")</f>
        <v/>
      </c>
      <c r="H936" s="9"/>
      <c r="I936" s="9"/>
      <c r="J936" s="8" t="str">
        <f>IFERROR(INDEX(Материалы!$B$2:$B$9000,MATCH($I936,Материалы!$A$2:$A$9000,0)),"")</f>
        <v/>
      </c>
      <c r="K936" t="str">
        <f>IF($I936="","",IF($F936=IFERROR(INDEX(Материалы!$G$2:$G$9000,MATCH($I936,Материалы!$A$2:$A$9000,0)),""),"OK","!! не та группа"))</f>
        <v/>
      </c>
      <c r="L936" s="10">
        <f>IFERROR(INDEX(Работы!$H$2:$H$6000,MATCH($C936,Работы!$A$2:$A$6000,0))*(1-ДисконтТендер),0)</f>
        <v>0</v>
      </c>
      <c r="M936" s="10">
        <f>IF($I936="",0,IFERROR(INDEX(Материалы!$I$2:$I$9000,MATCH($I936,Материалы!$A$2:$A$9000,0))*IF(INDEX(Материалы!$J$2:$J$9000,MATCH($I936,Материалы!$A$2:$A$9000,0))="USD",КурсUSD,IF(INDEX(Материалы!$J$2:$J$9000,MATCH($I936,Материалы!$A$2:$A$9000,0))="EUR",КурсEUR,1))*INDEX(Материалы!$K$2:$K$9000,MATCH($I936,Материалы!$A$2:$A$9000,0))*(1+IFERROR(INDEX(Работы!$I$2:$I$6000,MATCH($C936,Работы!$A$2:$A$6000,0))/100,0))*(1-ДисконтТендер),0))</f>
        <v>0</v>
      </c>
      <c r="N936" s="10">
        <f t="shared" si="42"/>
        <v>0</v>
      </c>
      <c r="O936" s="10">
        <f t="shared" si="43"/>
        <v>0</v>
      </c>
      <c r="P936" s="10">
        <f t="shared" si="44"/>
        <v>0</v>
      </c>
      <c r="Q936" t="str">
        <f>IFERROR(INDEX(Работы!$J$2:$J$6000,MATCH($C936,Работы!$A$2:$A$6000,0)),"")</f>
        <v/>
      </c>
      <c r="R936" t="s">
        <v>92</v>
      </c>
      <c r="T936" t="str">
        <f>IF(AND($P936&gt;0,$R936="да"),MAX($T$1:$T935)+1,"")</f>
        <v/>
      </c>
    </row>
    <row r="937" spans="1:20" x14ac:dyDescent="0.3">
      <c r="A937" s="11" t="str">
        <f>IFERROR(INDEX(Работы!$D$2:$D$6000,MATCH($C937,Работы!$A$2:$A$6000,0)),"")</f>
        <v/>
      </c>
      <c r="B937" t="str">
        <f>IFERROR(INDEX(Работы!$F$2:$F$6000,MATCH($C937,Работы!$A$2:$A$6000,0)),"")</f>
        <v/>
      </c>
      <c r="C937">
        <f>IFERROR(INDEX(Работы!$A$2:$A$6000,936),"")</f>
        <v>0</v>
      </c>
      <c r="D937" s="8" t="str">
        <f>IFERROR(INDEX(Работы!$B$2:$B$6000,MATCH($C937,Работы!$A$2:$A$6000,0)),"")</f>
        <v/>
      </c>
      <c r="E937" t="str">
        <f>IFERROR(INDEX(Работы!$C$2:$C$6000,MATCH($C937,Работы!$A$2:$A$6000,0)),"")</f>
        <v/>
      </c>
      <c r="F937" t="str">
        <f>IFERROR(INDEX(Работы!$G$2:$G$6000,MATCH($C937,Работы!$A$2:$A$6000,0)),"")</f>
        <v/>
      </c>
      <c r="G937" t="str">
        <f>IFERROR(INDEX(Работы!$K$2:$K$6000,MATCH($C937,Работы!$A$2:$A$6000,0)),"")</f>
        <v/>
      </c>
      <c r="H937" s="9"/>
      <c r="I937" s="9"/>
      <c r="J937" s="8" t="str">
        <f>IFERROR(INDEX(Материалы!$B$2:$B$9000,MATCH($I937,Материалы!$A$2:$A$9000,0)),"")</f>
        <v/>
      </c>
      <c r="K937" t="str">
        <f>IF($I937="","",IF($F937=IFERROR(INDEX(Материалы!$G$2:$G$9000,MATCH($I937,Материалы!$A$2:$A$9000,0)),""),"OK","!! не та группа"))</f>
        <v/>
      </c>
      <c r="L937" s="10">
        <f>IFERROR(INDEX(Работы!$H$2:$H$6000,MATCH($C937,Работы!$A$2:$A$6000,0))*(1-ДисконтТендер),0)</f>
        <v>0</v>
      </c>
      <c r="M937" s="10">
        <f>IF($I937="",0,IFERROR(INDEX(Материалы!$I$2:$I$9000,MATCH($I937,Материалы!$A$2:$A$9000,0))*IF(INDEX(Материалы!$J$2:$J$9000,MATCH($I937,Материалы!$A$2:$A$9000,0))="USD",КурсUSD,IF(INDEX(Материалы!$J$2:$J$9000,MATCH($I937,Материалы!$A$2:$A$9000,0))="EUR",КурсEUR,1))*INDEX(Материалы!$K$2:$K$9000,MATCH($I937,Материалы!$A$2:$A$9000,0))*(1+IFERROR(INDEX(Работы!$I$2:$I$6000,MATCH($C937,Работы!$A$2:$A$6000,0))/100,0))*(1-ДисконтТендер),0))</f>
        <v>0</v>
      </c>
      <c r="N937" s="10">
        <f t="shared" si="42"/>
        <v>0</v>
      </c>
      <c r="O937" s="10">
        <f t="shared" si="43"/>
        <v>0</v>
      </c>
      <c r="P937" s="10">
        <f t="shared" si="44"/>
        <v>0</v>
      </c>
      <c r="Q937" t="str">
        <f>IFERROR(INDEX(Работы!$J$2:$J$6000,MATCH($C937,Работы!$A$2:$A$6000,0)),"")</f>
        <v/>
      </c>
      <c r="R937" t="s">
        <v>92</v>
      </c>
      <c r="T937" t="str">
        <f>IF(AND($P937&gt;0,$R937="да"),MAX($T$1:$T936)+1,"")</f>
        <v/>
      </c>
    </row>
    <row r="938" spans="1:20" x14ac:dyDescent="0.3">
      <c r="A938" s="11" t="str">
        <f>IFERROR(INDEX(Работы!$D$2:$D$6000,MATCH($C938,Работы!$A$2:$A$6000,0)),"")</f>
        <v/>
      </c>
      <c r="B938" t="str">
        <f>IFERROR(INDEX(Работы!$F$2:$F$6000,MATCH($C938,Работы!$A$2:$A$6000,0)),"")</f>
        <v/>
      </c>
      <c r="C938">
        <f>IFERROR(INDEX(Работы!$A$2:$A$6000,937),"")</f>
        <v>0</v>
      </c>
      <c r="D938" s="8" t="str">
        <f>IFERROR(INDEX(Работы!$B$2:$B$6000,MATCH($C938,Работы!$A$2:$A$6000,0)),"")</f>
        <v/>
      </c>
      <c r="E938" t="str">
        <f>IFERROR(INDEX(Работы!$C$2:$C$6000,MATCH($C938,Работы!$A$2:$A$6000,0)),"")</f>
        <v/>
      </c>
      <c r="F938" t="str">
        <f>IFERROR(INDEX(Работы!$G$2:$G$6000,MATCH($C938,Работы!$A$2:$A$6000,0)),"")</f>
        <v/>
      </c>
      <c r="G938" t="str">
        <f>IFERROR(INDEX(Работы!$K$2:$K$6000,MATCH($C938,Работы!$A$2:$A$6000,0)),"")</f>
        <v/>
      </c>
      <c r="H938" s="9"/>
      <c r="I938" s="9"/>
      <c r="J938" s="8" t="str">
        <f>IFERROR(INDEX(Материалы!$B$2:$B$9000,MATCH($I938,Материалы!$A$2:$A$9000,0)),"")</f>
        <v/>
      </c>
      <c r="K938" t="str">
        <f>IF($I938="","",IF($F938=IFERROR(INDEX(Материалы!$G$2:$G$9000,MATCH($I938,Материалы!$A$2:$A$9000,0)),""),"OK","!! не та группа"))</f>
        <v/>
      </c>
      <c r="L938" s="10">
        <f>IFERROR(INDEX(Работы!$H$2:$H$6000,MATCH($C938,Работы!$A$2:$A$6000,0))*(1-ДисконтТендер),0)</f>
        <v>0</v>
      </c>
      <c r="M938" s="10">
        <f>IF($I938="",0,IFERROR(INDEX(Материалы!$I$2:$I$9000,MATCH($I938,Материалы!$A$2:$A$9000,0))*IF(INDEX(Материалы!$J$2:$J$9000,MATCH($I938,Материалы!$A$2:$A$9000,0))="USD",КурсUSD,IF(INDEX(Материалы!$J$2:$J$9000,MATCH($I938,Материалы!$A$2:$A$9000,0))="EUR",КурсEUR,1))*INDEX(Материалы!$K$2:$K$9000,MATCH($I938,Материалы!$A$2:$A$9000,0))*(1+IFERROR(INDEX(Работы!$I$2:$I$6000,MATCH($C938,Работы!$A$2:$A$6000,0))/100,0))*(1-ДисконтТендер),0))</f>
        <v>0</v>
      </c>
      <c r="N938" s="10">
        <f t="shared" si="42"/>
        <v>0</v>
      </c>
      <c r="O938" s="10">
        <f t="shared" si="43"/>
        <v>0</v>
      </c>
      <c r="P938" s="10">
        <f t="shared" si="44"/>
        <v>0</v>
      </c>
      <c r="Q938" t="str">
        <f>IFERROR(INDEX(Работы!$J$2:$J$6000,MATCH($C938,Работы!$A$2:$A$6000,0)),"")</f>
        <v/>
      </c>
      <c r="R938" t="s">
        <v>92</v>
      </c>
      <c r="T938" t="str">
        <f>IF(AND($P938&gt;0,$R938="да"),MAX($T$1:$T937)+1,"")</f>
        <v/>
      </c>
    </row>
    <row r="939" spans="1:20" x14ac:dyDescent="0.3">
      <c r="A939" s="11" t="str">
        <f>IFERROR(INDEX(Работы!$D$2:$D$6000,MATCH($C939,Работы!$A$2:$A$6000,0)),"")</f>
        <v/>
      </c>
      <c r="B939" t="str">
        <f>IFERROR(INDEX(Работы!$F$2:$F$6000,MATCH($C939,Работы!$A$2:$A$6000,0)),"")</f>
        <v/>
      </c>
      <c r="C939">
        <f>IFERROR(INDEX(Работы!$A$2:$A$6000,938),"")</f>
        <v>0</v>
      </c>
      <c r="D939" s="8" t="str">
        <f>IFERROR(INDEX(Работы!$B$2:$B$6000,MATCH($C939,Работы!$A$2:$A$6000,0)),"")</f>
        <v/>
      </c>
      <c r="E939" t="str">
        <f>IFERROR(INDEX(Работы!$C$2:$C$6000,MATCH($C939,Работы!$A$2:$A$6000,0)),"")</f>
        <v/>
      </c>
      <c r="F939" t="str">
        <f>IFERROR(INDEX(Работы!$G$2:$G$6000,MATCH($C939,Работы!$A$2:$A$6000,0)),"")</f>
        <v/>
      </c>
      <c r="G939" t="str">
        <f>IFERROR(INDEX(Работы!$K$2:$K$6000,MATCH($C939,Работы!$A$2:$A$6000,0)),"")</f>
        <v/>
      </c>
      <c r="H939" s="9"/>
      <c r="I939" s="9"/>
      <c r="J939" s="8" t="str">
        <f>IFERROR(INDEX(Материалы!$B$2:$B$9000,MATCH($I939,Материалы!$A$2:$A$9000,0)),"")</f>
        <v/>
      </c>
      <c r="K939" t="str">
        <f>IF($I939="","",IF($F939=IFERROR(INDEX(Материалы!$G$2:$G$9000,MATCH($I939,Материалы!$A$2:$A$9000,0)),""),"OK","!! не та группа"))</f>
        <v/>
      </c>
      <c r="L939" s="10">
        <f>IFERROR(INDEX(Работы!$H$2:$H$6000,MATCH($C939,Работы!$A$2:$A$6000,0))*(1-ДисконтТендер),0)</f>
        <v>0</v>
      </c>
      <c r="M939" s="10">
        <f>IF($I939="",0,IFERROR(INDEX(Материалы!$I$2:$I$9000,MATCH($I939,Материалы!$A$2:$A$9000,0))*IF(INDEX(Материалы!$J$2:$J$9000,MATCH($I939,Материалы!$A$2:$A$9000,0))="USD",КурсUSD,IF(INDEX(Материалы!$J$2:$J$9000,MATCH($I939,Материалы!$A$2:$A$9000,0))="EUR",КурсEUR,1))*INDEX(Материалы!$K$2:$K$9000,MATCH($I939,Материалы!$A$2:$A$9000,0))*(1+IFERROR(INDEX(Работы!$I$2:$I$6000,MATCH($C939,Работы!$A$2:$A$6000,0))/100,0))*(1-ДисконтТендер),0))</f>
        <v>0</v>
      </c>
      <c r="N939" s="10">
        <f t="shared" si="42"/>
        <v>0</v>
      </c>
      <c r="O939" s="10">
        <f t="shared" si="43"/>
        <v>0</v>
      </c>
      <c r="P939" s="10">
        <f t="shared" si="44"/>
        <v>0</v>
      </c>
      <c r="Q939" t="str">
        <f>IFERROR(INDEX(Работы!$J$2:$J$6000,MATCH($C939,Работы!$A$2:$A$6000,0)),"")</f>
        <v/>
      </c>
      <c r="R939" t="s">
        <v>92</v>
      </c>
      <c r="T939" t="str">
        <f>IF(AND($P939&gt;0,$R939="да"),MAX($T$1:$T938)+1,"")</f>
        <v/>
      </c>
    </row>
    <row r="940" spans="1:20" x14ac:dyDescent="0.3">
      <c r="A940" s="11" t="str">
        <f>IFERROR(INDEX(Работы!$D$2:$D$6000,MATCH($C940,Работы!$A$2:$A$6000,0)),"")</f>
        <v/>
      </c>
      <c r="B940" t="str">
        <f>IFERROR(INDEX(Работы!$F$2:$F$6000,MATCH($C940,Работы!$A$2:$A$6000,0)),"")</f>
        <v/>
      </c>
      <c r="C940">
        <f>IFERROR(INDEX(Работы!$A$2:$A$6000,939),"")</f>
        <v>0</v>
      </c>
      <c r="D940" s="8" t="str">
        <f>IFERROR(INDEX(Работы!$B$2:$B$6000,MATCH($C940,Работы!$A$2:$A$6000,0)),"")</f>
        <v/>
      </c>
      <c r="E940" t="str">
        <f>IFERROR(INDEX(Работы!$C$2:$C$6000,MATCH($C940,Работы!$A$2:$A$6000,0)),"")</f>
        <v/>
      </c>
      <c r="F940" t="str">
        <f>IFERROR(INDEX(Работы!$G$2:$G$6000,MATCH($C940,Работы!$A$2:$A$6000,0)),"")</f>
        <v/>
      </c>
      <c r="G940" t="str">
        <f>IFERROR(INDEX(Работы!$K$2:$K$6000,MATCH($C940,Работы!$A$2:$A$6000,0)),"")</f>
        <v/>
      </c>
      <c r="H940" s="9"/>
      <c r="I940" s="9"/>
      <c r="J940" s="8" t="str">
        <f>IFERROR(INDEX(Материалы!$B$2:$B$9000,MATCH($I940,Материалы!$A$2:$A$9000,0)),"")</f>
        <v/>
      </c>
      <c r="K940" t="str">
        <f>IF($I940="","",IF($F940=IFERROR(INDEX(Материалы!$G$2:$G$9000,MATCH($I940,Материалы!$A$2:$A$9000,0)),""),"OK","!! не та группа"))</f>
        <v/>
      </c>
      <c r="L940" s="10">
        <f>IFERROR(INDEX(Работы!$H$2:$H$6000,MATCH($C940,Работы!$A$2:$A$6000,0))*(1-ДисконтТендер),0)</f>
        <v>0</v>
      </c>
      <c r="M940" s="10">
        <f>IF($I940="",0,IFERROR(INDEX(Материалы!$I$2:$I$9000,MATCH($I940,Материалы!$A$2:$A$9000,0))*IF(INDEX(Материалы!$J$2:$J$9000,MATCH($I940,Материалы!$A$2:$A$9000,0))="USD",КурсUSD,IF(INDEX(Материалы!$J$2:$J$9000,MATCH($I940,Материалы!$A$2:$A$9000,0))="EUR",КурсEUR,1))*INDEX(Материалы!$K$2:$K$9000,MATCH($I940,Материалы!$A$2:$A$9000,0))*(1+IFERROR(INDEX(Работы!$I$2:$I$6000,MATCH($C940,Работы!$A$2:$A$6000,0))/100,0))*(1-ДисконтТендер),0))</f>
        <v>0</v>
      </c>
      <c r="N940" s="10">
        <f t="shared" si="42"/>
        <v>0</v>
      </c>
      <c r="O940" s="10">
        <f t="shared" si="43"/>
        <v>0</v>
      </c>
      <c r="P940" s="10">
        <f t="shared" si="44"/>
        <v>0</v>
      </c>
      <c r="Q940" t="str">
        <f>IFERROR(INDEX(Работы!$J$2:$J$6000,MATCH($C940,Работы!$A$2:$A$6000,0)),"")</f>
        <v/>
      </c>
      <c r="R940" t="s">
        <v>92</v>
      </c>
      <c r="T940" t="str">
        <f>IF(AND($P940&gt;0,$R940="да"),MAX($T$1:$T939)+1,"")</f>
        <v/>
      </c>
    </row>
    <row r="941" spans="1:20" x14ac:dyDescent="0.3">
      <c r="A941" s="11" t="str">
        <f>IFERROR(INDEX(Работы!$D$2:$D$6000,MATCH($C941,Работы!$A$2:$A$6000,0)),"")</f>
        <v/>
      </c>
      <c r="B941" t="str">
        <f>IFERROR(INDEX(Работы!$F$2:$F$6000,MATCH($C941,Работы!$A$2:$A$6000,0)),"")</f>
        <v/>
      </c>
      <c r="C941">
        <f>IFERROR(INDEX(Работы!$A$2:$A$6000,940),"")</f>
        <v>0</v>
      </c>
      <c r="D941" s="8" t="str">
        <f>IFERROR(INDEX(Работы!$B$2:$B$6000,MATCH($C941,Работы!$A$2:$A$6000,0)),"")</f>
        <v/>
      </c>
      <c r="E941" t="str">
        <f>IFERROR(INDEX(Работы!$C$2:$C$6000,MATCH($C941,Работы!$A$2:$A$6000,0)),"")</f>
        <v/>
      </c>
      <c r="F941" t="str">
        <f>IFERROR(INDEX(Работы!$G$2:$G$6000,MATCH($C941,Работы!$A$2:$A$6000,0)),"")</f>
        <v/>
      </c>
      <c r="G941" t="str">
        <f>IFERROR(INDEX(Работы!$K$2:$K$6000,MATCH($C941,Работы!$A$2:$A$6000,0)),"")</f>
        <v/>
      </c>
      <c r="H941" s="9"/>
      <c r="I941" s="9"/>
      <c r="J941" s="8" t="str">
        <f>IFERROR(INDEX(Материалы!$B$2:$B$9000,MATCH($I941,Материалы!$A$2:$A$9000,0)),"")</f>
        <v/>
      </c>
      <c r="K941" t="str">
        <f>IF($I941="","",IF($F941=IFERROR(INDEX(Материалы!$G$2:$G$9000,MATCH($I941,Материалы!$A$2:$A$9000,0)),""),"OK","!! не та группа"))</f>
        <v/>
      </c>
      <c r="L941" s="10">
        <f>IFERROR(INDEX(Работы!$H$2:$H$6000,MATCH($C941,Работы!$A$2:$A$6000,0))*(1-ДисконтТендер),0)</f>
        <v>0</v>
      </c>
      <c r="M941" s="10">
        <f>IF($I941="",0,IFERROR(INDEX(Материалы!$I$2:$I$9000,MATCH($I941,Материалы!$A$2:$A$9000,0))*IF(INDEX(Материалы!$J$2:$J$9000,MATCH($I941,Материалы!$A$2:$A$9000,0))="USD",КурсUSD,IF(INDEX(Материалы!$J$2:$J$9000,MATCH($I941,Материалы!$A$2:$A$9000,0))="EUR",КурсEUR,1))*INDEX(Материалы!$K$2:$K$9000,MATCH($I941,Материалы!$A$2:$A$9000,0))*(1+IFERROR(INDEX(Работы!$I$2:$I$6000,MATCH($C941,Работы!$A$2:$A$6000,0))/100,0))*(1-ДисконтТендер),0))</f>
        <v>0</v>
      </c>
      <c r="N941" s="10">
        <f t="shared" si="42"/>
        <v>0</v>
      </c>
      <c r="O941" s="10">
        <f t="shared" si="43"/>
        <v>0</v>
      </c>
      <c r="P941" s="10">
        <f t="shared" si="44"/>
        <v>0</v>
      </c>
      <c r="Q941" t="str">
        <f>IFERROR(INDEX(Работы!$J$2:$J$6000,MATCH($C941,Работы!$A$2:$A$6000,0)),"")</f>
        <v/>
      </c>
      <c r="R941" t="s">
        <v>92</v>
      </c>
      <c r="T941" t="str">
        <f>IF(AND($P941&gt;0,$R941="да"),MAX($T$1:$T940)+1,"")</f>
        <v/>
      </c>
    </row>
    <row r="942" spans="1:20" x14ac:dyDescent="0.3">
      <c r="A942" s="11" t="str">
        <f>IFERROR(INDEX(Работы!$D$2:$D$6000,MATCH($C942,Работы!$A$2:$A$6000,0)),"")</f>
        <v/>
      </c>
      <c r="B942" t="str">
        <f>IFERROR(INDEX(Работы!$F$2:$F$6000,MATCH($C942,Работы!$A$2:$A$6000,0)),"")</f>
        <v/>
      </c>
      <c r="C942">
        <f>IFERROR(INDEX(Работы!$A$2:$A$6000,941),"")</f>
        <v>0</v>
      </c>
      <c r="D942" s="8" t="str">
        <f>IFERROR(INDEX(Работы!$B$2:$B$6000,MATCH($C942,Работы!$A$2:$A$6000,0)),"")</f>
        <v/>
      </c>
      <c r="E942" t="str">
        <f>IFERROR(INDEX(Работы!$C$2:$C$6000,MATCH($C942,Работы!$A$2:$A$6000,0)),"")</f>
        <v/>
      </c>
      <c r="F942" t="str">
        <f>IFERROR(INDEX(Работы!$G$2:$G$6000,MATCH($C942,Работы!$A$2:$A$6000,0)),"")</f>
        <v/>
      </c>
      <c r="G942" t="str">
        <f>IFERROR(INDEX(Работы!$K$2:$K$6000,MATCH($C942,Работы!$A$2:$A$6000,0)),"")</f>
        <v/>
      </c>
      <c r="H942" s="9"/>
      <c r="I942" s="9"/>
      <c r="J942" s="8" t="str">
        <f>IFERROR(INDEX(Материалы!$B$2:$B$9000,MATCH($I942,Материалы!$A$2:$A$9000,0)),"")</f>
        <v/>
      </c>
      <c r="K942" t="str">
        <f>IF($I942="","",IF($F942=IFERROR(INDEX(Материалы!$G$2:$G$9000,MATCH($I942,Материалы!$A$2:$A$9000,0)),""),"OK","!! не та группа"))</f>
        <v/>
      </c>
      <c r="L942" s="10">
        <f>IFERROR(INDEX(Работы!$H$2:$H$6000,MATCH($C942,Работы!$A$2:$A$6000,0))*(1-ДисконтТендер),0)</f>
        <v>0</v>
      </c>
      <c r="M942" s="10">
        <f>IF($I942="",0,IFERROR(INDEX(Материалы!$I$2:$I$9000,MATCH($I942,Материалы!$A$2:$A$9000,0))*IF(INDEX(Материалы!$J$2:$J$9000,MATCH($I942,Материалы!$A$2:$A$9000,0))="USD",КурсUSD,IF(INDEX(Материалы!$J$2:$J$9000,MATCH($I942,Материалы!$A$2:$A$9000,0))="EUR",КурсEUR,1))*INDEX(Материалы!$K$2:$K$9000,MATCH($I942,Материалы!$A$2:$A$9000,0))*(1+IFERROR(INDEX(Работы!$I$2:$I$6000,MATCH($C942,Работы!$A$2:$A$6000,0))/100,0))*(1-ДисконтТендер),0))</f>
        <v>0</v>
      </c>
      <c r="N942" s="10">
        <f t="shared" si="42"/>
        <v>0</v>
      </c>
      <c r="O942" s="10">
        <f t="shared" si="43"/>
        <v>0</v>
      </c>
      <c r="P942" s="10">
        <f t="shared" si="44"/>
        <v>0</v>
      </c>
      <c r="Q942" t="str">
        <f>IFERROR(INDEX(Работы!$J$2:$J$6000,MATCH($C942,Работы!$A$2:$A$6000,0)),"")</f>
        <v/>
      </c>
      <c r="R942" t="s">
        <v>92</v>
      </c>
      <c r="T942" t="str">
        <f>IF(AND($P942&gt;0,$R942="да"),MAX($T$1:$T941)+1,"")</f>
        <v/>
      </c>
    </row>
    <row r="943" spans="1:20" x14ac:dyDescent="0.3">
      <c r="A943" s="11" t="str">
        <f>IFERROR(INDEX(Работы!$D$2:$D$6000,MATCH($C943,Работы!$A$2:$A$6000,0)),"")</f>
        <v/>
      </c>
      <c r="B943" t="str">
        <f>IFERROR(INDEX(Работы!$F$2:$F$6000,MATCH($C943,Работы!$A$2:$A$6000,0)),"")</f>
        <v/>
      </c>
      <c r="C943">
        <f>IFERROR(INDEX(Работы!$A$2:$A$6000,942),"")</f>
        <v>0</v>
      </c>
      <c r="D943" s="8" t="str">
        <f>IFERROR(INDEX(Работы!$B$2:$B$6000,MATCH($C943,Работы!$A$2:$A$6000,0)),"")</f>
        <v/>
      </c>
      <c r="E943" t="str">
        <f>IFERROR(INDEX(Работы!$C$2:$C$6000,MATCH($C943,Работы!$A$2:$A$6000,0)),"")</f>
        <v/>
      </c>
      <c r="F943" t="str">
        <f>IFERROR(INDEX(Работы!$G$2:$G$6000,MATCH($C943,Работы!$A$2:$A$6000,0)),"")</f>
        <v/>
      </c>
      <c r="G943" t="str">
        <f>IFERROR(INDEX(Работы!$K$2:$K$6000,MATCH($C943,Работы!$A$2:$A$6000,0)),"")</f>
        <v/>
      </c>
      <c r="H943" s="9"/>
      <c r="I943" s="9"/>
      <c r="J943" s="8" t="str">
        <f>IFERROR(INDEX(Материалы!$B$2:$B$9000,MATCH($I943,Материалы!$A$2:$A$9000,0)),"")</f>
        <v/>
      </c>
      <c r="K943" t="str">
        <f>IF($I943="","",IF($F943=IFERROR(INDEX(Материалы!$G$2:$G$9000,MATCH($I943,Материалы!$A$2:$A$9000,0)),""),"OK","!! не та группа"))</f>
        <v/>
      </c>
      <c r="L943" s="10">
        <f>IFERROR(INDEX(Работы!$H$2:$H$6000,MATCH($C943,Работы!$A$2:$A$6000,0))*(1-ДисконтТендер),0)</f>
        <v>0</v>
      </c>
      <c r="M943" s="10">
        <f>IF($I943="",0,IFERROR(INDEX(Материалы!$I$2:$I$9000,MATCH($I943,Материалы!$A$2:$A$9000,0))*IF(INDEX(Материалы!$J$2:$J$9000,MATCH($I943,Материалы!$A$2:$A$9000,0))="USD",КурсUSD,IF(INDEX(Материалы!$J$2:$J$9000,MATCH($I943,Материалы!$A$2:$A$9000,0))="EUR",КурсEUR,1))*INDEX(Материалы!$K$2:$K$9000,MATCH($I943,Материалы!$A$2:$A$9000,0))*(1+IFERROR(INDEX(Работы!$I$2:$I$6000,MATCH($C943,Работы!$A$2:$A$6000,0))/100,0))*(1-ДисконтТендер),0))</f>
        <v>0</v>
      </c>
      <c r="N943" s="10">
        <f t="shared" si="42"/>
        <v>0</v>
      </c>
      <c r="O943" s="10">
        <f t="shared" si="43"/>
        <v>0</v>
      </c>
      <c r="P943" s="10">
        <f t="shared" si="44"/>
        <v>0</v>
      </c>
      <c r="Q943" t="str">
        <f>IFERROR(INDEX(Работы!$J$2:$J$6000,MATCH($C943,Работы!$A$2:$A$6000,0)),"")</f>
        <v/>
      </c>
      <c r="R943" t="s">
        <v>92</v>
      </c>
      <c r="T943" t="str">
        <f>IF(AND($P943&gt;0,$R943="да"),MAX($T$1:$T942)+1,"")</f>
        <v/>
      </c>
    </row>
    <row r="944" spans="1:20" x14ac:dyDescent="0.3">
      <c r="A944" s="11" t="str">
        <f>IFERROR(INDEX(Работы!$D$2:$D$6000,MATCH($C944,Работы!$A$2:$A$6000,0)),"")</f>
        <v/>
      </c>
      <c r="B944" t="str">
        <f>IFERROR(INDEX(Работы!$F$2:$F$6000,MATCH($C944,Работы!$A$2:$A$6000,0)),"")</f>
        <v/>
      </c>
      <c r="C944">
        <f>IFERROR(INDEX(Работы!$A$2:$A$6000,943),"")</f>
        <v>0</v>
      </c>
      <c r="D944" s="8" t="str">
        <f>IFERROR(INDEX(Работы!$B$2:$B$6000,MATCH($C944,Работы!$A$2:$A$6000,0)),"")</f>
        <v/>
      </c>
      <c r="E944" t="str">
        <f>IFERROR(INDEX(Работы!$C$2:$C$6000,MATCH($C944,Работы!$A$2:$A$6000,0)),"")</f>
        <v/>
      </c>
      <c r="F944" t="str">
        <f>IFERROR(INDEX(Работы!$G$2:$G$6000,MATCH($C944,Работы!$A$2:$A$6000,0)),"")</f>
        <v/>
      </c>
      <c r="G944" t="str">
        <f>IFERROR(INDEX(Работы!$K$2:$K$6000,MATCH($C944,Работы!$A$2:$A$6000,0)),"")</f>
        <v/>
      </c>
      <c r="H944" s="9"/>
      <c r="I944" s="9"/>
      <c r="J944" s="8" t="str">
        <f>IFERROR(INDEX(Материалы!$B$2:$B$9000,MATCH($I944,Материалы!$A$2:$A$9000,0)),"")</f>
        <v/>
      </c>
      <c r="K944" t="str">
        <f>IF($I944="","",IF($F944=IFERROR(INDEX(Материалы!$G$2:$G$9000,MATCH($I944,Материалы!$A$2:$A$9000,0)),""),"OK","!! не та группа"))</f>
        <v/>
      </c>
      <c r="L944" s="10">
        <f>IFERROR(INDEX(Работы!$H$2:$H$6000,MATCH($C944,Работы!$A$2:$A$6000,0))*(1-ДисконтТендер),0)</f>
        <v>0</v>
      </c>
      <c r="M944" s="10">
        <f>IF($I944="",0,IFERROR(INDEX(Материалы!$I$2:$I$9000,MATCH($I944,Материалы!$A$2:$A$9000,0))*IF(INDEX(Материалы!$J$2:$J$9000,MATCH($I944,Материалы!$A$2:$A$9000,0))="USD",КурсUSD,IF(INDEX(Материалы!$J$2:$J$9000,MATCH($I944,Материалы!$A$2:$A$9000,0))="EUR",КурсEUR,1))*INDEX(Материалы!$K$2:$K$9000,MATCH($I944,Материалы!$A$2:$A$9000,0))*(1+IFERROR(INDEX(Работы!$I$2:$I$6000,MATCH($C944,Работы!$A$2:$A$6000,0))/100,0))*(1-ДисконтТендер),0))</f>
        <v>0</v>
      </c>
      <c r="N944" s="10">
        <f t="shared" si="42"/>
        <v>0</v>
      </c>
      <c r="O944" s="10">
        <f t="shared" si="43"/>
        <v>0</v>
      </c>
      <c r="P944" s="10">
        <f t="shared" si="44"/>
        <v>0</v>
      </c>
      <c r="Q944" t="str">
        <f>IFERROR(INDEX(Работы!$J$2:$J$6000,MATCH($C944,Работы!$A$2:$A$6000,0)),"")</f>
        <v/>
      </c>
      <c r="R944" t="s">
        <v>92</v>
      </c>
      <c r="T944" t="str">
        <f>IF(AND($P944&gt;0,$R944="да"),MAX($T$1:$T943)+1,"")</f>
        <v/>
      </c>
    </row>
    <row r="945" spans="1:20" x14ac:dyDescent="0.3">
      <c r="A945" s="11" t="str">
        <f>IFERROR(INDEX(Работы!$D$2:$D$6000,MATCH($C945,Работы!$A$2:$A$6000,0)),"")</f>
        <v/>
      </c>
      <c r="B945" t="str">
        <f>IFERROR(INDEX(Работы!$F$2:$F$6000,MATCH($C945,Работы!$A$2:$A$6000,0)),"")</f>
        <v/>
      </c>
      <c r="C945">
        <f>IFERROR(INDEX(Работы!$A$2:$A$6000,944),"")</f>
        <v>0</v>
      </c>
      <c r="D945" s="8" t="str">
        <f>IFERROR(INDEX(Работы!$B$2:$B$6000,MATCH($C945,Работы!$A$2:$A$6000,0)),"")</f>
        <v/>
      </c>
      <c r="E945" t="str">
        <f>IFERROR(INDEX(Работы!$C$2:$C$6000,MATCH($C945,Работы!$A$2:$A$6000,0)),"")</f>
        <v/>
      </c>
      <c r="F945" t="str">
        <f>IFERROR(INDEX(Работы!$G$2:$G$6000,MATCH($C945,Работы!$A$2:$A$6000,0)),"")</f>
        <v/>
      </c>
      <c r="G945" t="str">
        <f>IFERROR(INDEX(Работы!$K$2:$K$6000,MATCH($C945,Работы!$A$2:$A$6000,0)),"")</f>
        <v/>
      </c>
      <c r="H945" s="9"/>
      <c r="I945" s="9"/>
      <c r="J945" s="8" t="str">
        <f>IFERROR(INDEX(Материалы!$B$2:$B$9000,MATCH($I945,Материалы!$A$2:$A$9000,0)),"")</f>
        <v/>
      </c>
      <c r="K945" t="str">
        <f>IF($I945="","",IF($F945=IFERROR(INDEX(Материалы!$G$2:$G$9000,MATCH($I945,Материалы!$A$2:$A$9000,0)),""),"OK","!! не та группа"))</f>
        <v/>
      </c>
      <c r="L945" s="10">
        <f>IFERROR(INDEX(Работы!$H$2:$H$6000,MATCH($C945,Работы!$A$2:$A$6000,0))*(1-ДисконтТендер),0)</f>
        <v>0</v>
      </c>
      <c r="M945" s="10">
        <f>IF($I945="",0,IFERROR(INDEX(Материалы!$I$2:$I$9000,MATCH($I945,Материалы!$A$2:$A$9000,0))*IF(INDEX(Материалы!$J$2:$J$9000,MATCH($I945,Материалы!$A$2:$A$9000,0))="USD",КурсUSD,IF(INDEX(Материалы!$J$2:$J$9000,MATCH($I945,Материалы!$A$2:$A$9000,0))="EUR",КурсEUR,1))*INDEX(Материалы!$K$2:$K$9000,MATCH($I945,Материалы!$A$2:$A$9000,0))*(1+IFERROR(INDEX(Работы!$I$2:$I$6000,MATCH($C945,Работы!$A$2:$A$6000,0))/100,0))*(1-ДисконтТендер),0))</f>
        <v>0</v>
      </c>
      <c r="N945" s="10">
        <f t="shared" si="42"/>
        <v>0</v>
      </c>
      <c r="O945" s="10">
        <f t="shared" si="43"/>
        <v>0</v>
      </c>
      <c r="P945" s="10">
        <f t="shared" si="44"/>
        <v>0</v>
      </c>
      <c r="Q945" t="str">
        <f>IFERROR(INDEX(Работы!$J$2:$J$6000,MATCH($C945,Работы!$A$2:$A$6000,0)),"")</f>
        <v/>
      </c>
      <c r="R945" t="s">
        <v>92</v>
      </c>
      <c r="T945" t="str">
        <f>IF(AND($P945&gt;0,$R945="да"),MAX($T$1:$T944)+1,"")</f>
        <v/>
      </c>
    </row>
    <row r="946" spans="1:20" x14ac:dyDescent="0.3">
      <c r="A946" s="11" t="str">
        <f>IFERROR(INDEX(Работы!$D$2:$D$6000,MATCH($C946,Работы!$A$2:$A$6000,0)),"")</f>
        <v/>
      </c>
      <c r="B946" t="str">
        <f>IFERROR(INDEX(Работы!$F$2:$F$6000,MATCH($C946,Работы!$A$2:$A$6000,0)),"")</f>
        <v/>
      </c>
      <c r="C946">
        <f>IFERROR(INDEX(Работы!$A$2:$A$6000,945),"")</f>
        <v>0</v>
      </c>
      <c r="D946" s="8" t="str">
        <f>IFERROR(INDEX(Работы!$B$2:$B$6000,MATCH($C946,Работы!$A$2:$A$6000,0)),"")</f>
        <v/>
      </c>
      <c r="E946" t="str">
        <f>IFERROR(INDEX(Работы!$C$2:$C$6000,MATCH($C946,Работы!$A$2:$A$6000,0)),"")</f>
        <v/>
      </c>
      <c r="F946" t="str">
        <f>IFERROR(INDEX(Работы!$G$2:$G$6000,MATCH($C946,Работы!$A$2:$A$6000,0)),"")</f>
        <v/>
      </c>
      <c r="G946" t="str">
        <f>IFERROR(INDEX(Работы!$K$2:$K$6000,MATCH($C946,Работы!$A$2:$A$6000,0)),"")</f>
        <v/>
      </c>
      <c r="H946" s="9"/>
      <c r="I946" s="9"/>
      <c r="J946" s="8" t="str">
        <f>IFERROR(INDEX(Материалы!$B$2:$B$9000,MATCH($I946,Материалы!$A$2:$A$9000,0)),"")</f>
        <v/>
      </c>
      <c r="K946" t="str">
        <f>IF($I946="","",IF($F946=IFERROR(INDEX(Материалы!$G$2:$G$9000,MATCH($I946,Материалы!$A$2:$A$9000,0)),""),"OK","!! не та группа"))</f>
        <v/>
      </c>
      <c r="L946" s="10">
        <f>IFERROR(INDEX(Работы!$H$2:$H$6000,MATCH($C946,Работы!$A$2:$A$6000,0))*(1-ДисконтТендер),0)</f>
        <v>0</v>
      </c>
      <c r="M946" s="10">
        <f>IF($I946="",0,IFERROR(INDEX(Материалы!$I$2:$I$9000,MATCH($I946,Материалы!$A$2:$A$9000,0))*IF(INDEX(Материалы!$J$2:$J$9000,MATCH($I946,Материалы!$A$2:$A$9000,0))="USD",КурсUSD,IF(INDEX(Материалы!$J$2:$J$9000,MATCH($I946,Материалы!$A$2:$A$9000,0))="EUR",КурсEUR,1))*INDEX(Материалы!$K$2:$K$9000,MATCH($I946,Материалы!$A$2:$A$9000,0))*(1+IFERROR(INDEX(Работы!$I$2:$I$6000,MATCH($C946,Работы!$A$2:$A$6000,0))/100,0))*(1-ДисконтТендер),0))</f>
        <v>0</v>
      </c>
      <c r="N946" s="10">
        <f t="shared" si="42"/>
        <v>0</v>
      </c>
      <c r="O946" s="10">
        <f t="shared" si="43"/>
        <v>0</v>
      </c>
      <c r="P946" s="10">
        <f t="shared" si="44"/>
        <v>0</v>
      </c>
      <c r="Q946" t="str">
        <f>IFERROR(INDEX(Работы!$J$2:$J$6000,MATCH($C946,Работы!$A$2:$A$6000,0)),"")</f>
        <v/>
      </c>
      <c r="R946" t="s">
        <v>92</v>
      </c>
      <c r="T946" t="str">
        <f>IF(AND($P946&gt;0,$R946="да"),MAX($T$1:$T945)+1,"")</f>
        <v/>
      </c>
    </row>
    <row r="947" spans="1:20" x14ac:dyDescent="0.3">
      <c r="A947" s="11" t="str">
        <f>IFERROR(INDEX(Работы!$D$2:$D$6000,MATCH($C947,Работы!$A$2:$A$6000,0)),"")</f>
        <v/>
      </c>
      <c r="B947" t="str">
        <f>IFERROR(INDEX(Работы!$F$2:$F$6000,MATCH($C947,Работы!$A$2:$A$6000,0)),"")</f>
        <v/>
      </c>
      <c r="C947">
        <f>IFERROR(INDEX(Работы!$A$2:$A$6000,946),"")</f>
        <v>0</v>
      </c>
      <c r="D947" s="8" t="str">
        <f>IFERROR(INDEX(Работы!$B$2:$B$6000,MATCH($C947,Работы!$A$2:$A$6000,0)),"")</f>
        <v/>
      </c>
      <c r="E947" t="str">
        <f>IFERROR(INDEX(Работы!$C$2:$C$6000,MATCH($C947,Работы!$A$2:$A$6000,0)),"")</f>
        <v/>
      </c>
      <c r="F947" t="str">
        <f>IFERROR(INDEX(Работы!$G$2:$G$6000,MATCH($C947,Работы!$A$2:$A$6000,0)),"")</f>
        <v/>
      </c>
      <c r="G947" t="str">
        <f>IFERROR(INDEX(Работы!$K$2:$K$6000,MATCH($C947,Работы!$A$2:$A$6000,0)),"")</f>
        <v/>
      </c>
      <c r="H947" s="9"/>
      <c r="I947" s="9"/>
      <c r="J947" s="8" t="str">
        <f>IFERROR(INDEX(Материалы!$B$2:$B$9000,MATCH($I947,Материалы!$A$2:$A$9000,0)),"")</f>
        <v/>
      </c>
      <c r="K947" t="str">
        <f>IF($I947="","",IF($F947=IFERROR(INDEX(Материалы!$G$2:$G$9000,MATCH($I947,Материалы!$A$2:$A$9000,0)),""),"OK","!! не та группа"))</f>
        <v/>
      </c>
      <c r="L947" s="10">
        <f>IFERROR(INDEX(Работы!$H$2:$H$6000,MATCH($C947,Работы!$A$2:$A$6000,0))*(1-ДисконтТендер),0)</f>
        <v>0</v>
      </c>
      <c r="M947" s="10">
        <f>IF($I947="",0,IFERROR(INDEX(Материалы!$I$2:$I$9000,MATCH($I947,Материалы!$A$2:$A$9000,0))*IF(INDEX(Материалы!$J$2:$J$9000,MATCH($I947,Материалы!$A$2:$A$9000,0))="USD",КурсUSD,IF(INDEX(Материалы!$J$2:$J$9000,MATCH($I947,Материалы!$A$2:$A$9000,0))="EUR",КурсEUR,1))*INDEX(Материалы!$K$2:$K$9000,MATCH($I947,Материалы!$A$2:$A$9000,0))*(1+IFERROR(INDEX(Работы!$I$2:$I$6000,MATCH($C947,Работы!$A$2:$A$6000,0))/100,0))*(1-ДисконтТендер),0))</f>
        <v>0</v>
      </c>
      <c r="N947" s="10">
        <f t="shared" si="42"/>
        <v>0</v>
      </c>
      <c r="O947" s="10">
        <f t="shared" si="43"/>
        <v>0</v>
      </c>
      <c r="P947" s="10">
        <f t="shared" si="44"/>
        <v>0</v>
      </c>
      <c r="Q947" t="str">
        <f>IFERROR(INDEX(Работы!$J$2:$J$6000,MATCH($C947,Работы!$A$2:$A$6000,0)),"")</f>
        <v/>
      </c>
      <c r="R947" t="s">
        <v>92</v>
      </c>
      <c r="T947" t="str">
        <f>IF(AND($P947&gt;0,$R947="да"),MAX($T$1:$T946)+1,"")</f>
        <v/>
      </c>
    </row>
    <row r="948" spans="1:20" x14ac:dyDescent="0.3">
      <c r="A948" s="11" t="str">
        <f>IFERROR(INDEX(Работы!$D$2:$D$6000,MATCH($C948,Работы!$A$2:$A$6000,0)),"")</f>
        <v/>
      </c>
      <c r="B948" t="str">
        <f>IFERROR(INDEX(Работы!$F$2:$F$6000,MATCH($C948,Работы!$A$2:$A$6000,0)),"")</f>
        <v/>
      </c>
      <c r="C948">
        <f>IFERROR(INDEX(Работы!$A$2:$A$6000,947),"")</f>
        <v>0</v>
      </c>
      <c r="D948" s="8" t="str">
        <f>IFERROR(INDEX(Работы!$B$2:$B$6000,MATCH($C948,Работы!$A$2:$A$6000,0)),"")</f>
        <v/>
      </c>
      <c r="E948" t="str">
        <f>IFERROR(INDEX(Работы!$C$2:$C$6000,MATCH($C948,Работы!$A$2:$A$6000,0)),"")</f>
        <v/>
      </c>
      <c r="F948" t="str">
        <f>IFERROR(INDEX(Работы!$G$2:$G$6000,MATCH($C948,Работы!$A$2:$A$6000,0)),"")</f>
        <v/>
      </c>
      <c r="G948" t="str">
        <f>IFERROR(INDEX(Работы!$K$2:$K$6000,MATCH($C948,Работы!$A$2:$A$6000,0)),"")</f>
        <v/>
      </c>
      <c r="H948" s="9"/>
      <c r="I948" s="9"/>
      <c r="J948" s="8" t="str">
        <f>IFERROR(INDEX(Материалы!$B$2:$B$9000,MATCH($I948,Материалы!$A$2:$A$9000,0)),"")</f>
        <v/>
      </c>
      <c r="K948" t="str">
        <f>IF($I948="","",IF($F948=IFERROR(INDEX(Материалы!$G$2:$G$9000,MATCH($I948,Материалы!$A$2:$A$9000,0)),""),"OK","!! не та группа"))</f>
        <v/>
      </c>
      <c r="L948" s="10">
        <f>IFERROR(INDEX(Работы!$H$2:$H$6000,MATCH($C948,Работы!$A$2:$A$6000,0))*(1-ДисконтТендер),0)</f>
        <v>0</v>
      </c>
      <c r="M948" s="10">
        <f>IF($I948="",0,IFERROR(INDEX(Материалы!$I$2:$I$9000,MATCH($I948,Материалы!$A$2:$A$9000,0))*IF(INDEX(Материалы!$J$2:$J$9000,MATCH($I948,Материалы!$A$2:$A$9000,0))="USD",КурсUSD,IF(INDEX(Материалы!$J$2:$J$9000,MATCH($I948,Материалы!$A$2:$A$9000,0))="EUR",КурсEUR,1))*INDEX(Материалы!$K$2:$K$9000,MATCH($I948,Материалы!$A$2:$A$9000,0))*(1+IFERROR(INDEX(Работы!$I$2:$I$6000,MATCH($C948,Работы!$A$2:$A$6000,0))/100,0))*(1-ДисконтТендер),0))</f>
        <v>0</v>
      </c>
      <c r="N948" s="10">
        <f t="shared" si="42"/>
        <v>0</v>
      </c>
      <c r="O948" s="10">
        <f t="shared" si="43"/>
        <v>0</v>
      </c>
      <c r="P948" s="10">
        <f t="shared" si="44"/>
        <v>0</v>
      </c>
      <c r="Q948" t="str">
        <f>IFERROR(INDEX(Работы!$J$2:$J$6000,MATCH($C948,Работы!$A$2:$A$6000,0)),"")</f>
        <v/>
      </c>
      <c r="R948" t="s">
        <v>92</v>
      </c>
      <c r="T948" t="str">
        <f>IF(AND($P948&gt;0,$R948="да"),MAX($T$1:$T947)+1,"")</f>
        <v/>
      </c>
    </row>
    <row r="949" spans="1:20" x14ac:dyDescent="0.3">
      <c r="A949" s="11" t="str">
        <f>IFERROR(INDEX(Работы!$D$2:$D$6000,MATCH($C949,Работы!$A$2:$A$6000,0)),"")</f>
        <v/>
      </c>
      <c r="B949" t="str">
        <f>IFERROR(INDEX(Работы!$F$2:$F$6000,MATCH($C949,Работы!$A$2:$A$6000,0)),"")</f>
        <v/>
      </c>
      <c r="C949">
        <f>IFERROR(INDEX(Работы!$A$2:$A$6000,948),"")</f>
        <v>0</v>
      </c>
      <c r="D949" s="8" t="str">
        <f>IFERROR(INDEX(Работы!$B$2:$B$6000,MATCH($C949,Работы!$A$2:$A$6000,0)),"")</f>
        <v/>
      </c>
      <c r="E949" t="str">
        <f>IFERROR(INDEX(Работы!$C$2:$C$6000,MATCH($C949,Работы!$A$2:$A$6000,0)),"")</f>
        <v/>
      </c>
      <c r="F949" t="str">
        <f>IFERROR(INDEX(Работы!$G$2:$G$6000,MATCH($C949,Работы!$A$2:$A$6000,0)),"")</f>
        <v/>
      </c>
      <c r="G949" t="str">
        <f>IFERROR(INDEX(Работы!$K$2:$K$6000,MATCH($C949,Работы!$A$2:$A$6000,0)),"")</f>
        <v/>
      </c>
      <c r="H949" s="9"/>
      <c r="I949" s="9"/>
      <c r="J949" s="8" t="str">
        <f>IFERROR(INDEX(Материалы!$B$2:$B$9000,MATCH($I949,Материалы!$A$2:$A$9000,0)),"")</f>
        <v/>
      </c>
      <c r="K949" t="str">
        <f>IF($I949="","",IF($F949=IFERROR(INDEX(Материалы!$G$2:$G$9000,MATCH($I949,Материалы!$A$2:$A$9000,0)),""),"OK","!! не та группа"))</f>
        <v/>
      </c>
      <c r="L949" s="10">
        <f>IFERROR(INDEX(Работы!$H$2:$H$6000,MATCH($C949,Работы!$A$2:$A$6000,0))*(1-ДисконтТендер),0)</f>
        <v>0</v>
      </c>
      <c r="M949" s="10">
        <f>IF($I949="",0,IFERROR(INDEX(Материалы!$I$2:$I$9000,MATCH($I949,Материалы!$A$2:$A$9000,0))*IF(INDEX(Материалы!$J$2:$J$9000,MATCH($I949,Материалы!$A$2:$A$9000,0))="USD",КурсUSD,IF(INDEX(Материалы!$J$2:$J$9000,MATCH($I949,Материалы!$A$2:$A$9000,0))="EUR",КурсEUR,1))*INDEX(Материалы!$K$2:$K$9000,MATCH($I949,Материалы!$A$2:$A$9000,0))*(1+IFERROR(INDEX(Работы!$I$2:$I$6000,MATCH($C949,Работы!$A$2:$A$6000,0))/100,0))*(1-ДисконтТендер),0))</f>
        <v>0</v>
      </c>
      <c r="N949" s="10">
        <f t="shared" si="42"/>
        <v>0</v>
      </c>
      <c r="O949" s="10">
        <f t="shared" si="43"/>
        <v>0</v>
      </c>
      <c r="P949" s="10">
        <f t="shared" si="44"/>
        <v>0</v>
      </c>
      <c r="Q949" t="str">
        <f>IFERROR(INDEX(Работы!$J$2:$J$6000,MATCH($C949,Работы!$A$2:$A$6000,0)),"")</f>
        <v/>
      </c>
      <c r="R949" t="s">
        <v>92</v>
      </c>
      <c r="T949" t="str">
        <f>IF(AND($P949&gt;0,$R949="да"),MAX($T$1:$T948)+1,"")</f>
        <v/>
      </c>
    </row>
    <row r="950" spans="1:20" x14ac:dyDescent="0.3">
      <c r="A950" s="11" t="str">
        <f>IFERROR(INDEX(Работы!$D$2:$D$6000,MATCH($C950,Работы!$A$2:$A$6000,0)),"")</f>
        <v/>
      </c>
      <c r="B950" t="str">
        <f>IFERROR(INDEX(Работы!$F$2:$F$6000,MATCH($C950,Работы!$A$2:$A$6000,0)),"")</f>
        <v/>
      </c>
      <c r="C950">
        <f>IFERROR(INDEX(Работы!$A$2:$A$6000,949),"")</f>
        <v>0</v>
      </c>
      <c r="D950" s="8" t="str">
        <f>IFERROR(INDEX(Работы!$B$2:$B$6000,MATCH($C950,Работы!$A$2:$A$6000,0)),"")</f>
        <v/>
      </c>
      <c r="E950" t="str">
        <f>IFERROR(INDEX(Работы!$C$2:$C$6000,MATCH($C950,Работы!$A$2:$A$6000,0)),"")</f>
        <v/>
      </c>
      <c r="F950" t="str">
        <f>IFERROR(INDEX(Работы!$G$2:$G$6000,MATCH($C950,Работы!$A$2:$A$6000,0)),"")</f>
        <v/>
      </c>
      <c r="G950" t="str">
        <f>IFERROR(INDEX(Работы!$K$2:$K$6000,MATCH($C950,Работы!$A$2:$A$6000,0)),"")</f>
        <v/>
      </c>
      <c r="H950" s="9"/>
      <c r="I950" s="9"/>
      <c r="J950" s="8" t="str">
        <f>IFERROR(INDEX(Материалы!$B$2:$B$9000,MATCH($I950,Материалы!$A$2:$A$9000,0)),"")</f>
        <v/>
      </c>
      <c r="K950" t="str">
        <f>IF($I950="","",IF($F950=IFERROR(INDEX(Материалы!$G$2:$G$9000,MATCH($I950,Материалы!$A$2:$A$9000,0)),""),"OK","!! не та группа"))</f>
        <v/>
      </c>
      <c r="L950" s="10">
        <f>IFERROR(INDEX(Работы!$H$2:$H$6000,MATCH($C950,Работы!$A$2:$A$6000,0))*(1-ДисконтТендер),0)</f>
        <v>0</v>
      </c>
      <c r="M950" s="10">
        <f>IF($I950="",0,IFERROR(INDEX(Материалы!$I$2:$I$9000,MATCH($I950,Материалы!$A$2:$A$9000,0))*IF(INDEX(Материалы!$J$2:$J$9000,MATCH($I950,Материалы!$A$2:$A$9000,0))="USD",КурсUSD,IF(INDEX(Материалы!$J$2:$J$9000,MATCH($I950,Материалы!$A$2:$A$9000,0))="EUR",КурсEUR,1))*INDEX(Материалы!$K$2:$K$9000,MATCH($I950,Материалы!$A$2:$A$9000,0))*(1+IFERROR(INDEX(Работы!$I$2:$I$6000,MATCH($C950,Работы!$A$2:$A$6000,0))/100,0))*(1-ДисконтТендер),0))</f>
        <v>0</v>
      </c>
      <c r="N950" s="10">
        <f t="shared" si="42"/>
        <v>0</v>
      </c>
      <c r="O950" s="10">
        <f t="shared" si="43"/>
        <v>0</v>
      </c>
      <c r="P950" s="10">
        <f t="shared" si="44"/>
        <v>0</v>
      </c>
      <c r="Q950" t="str">
        <f>IFERROR(INDEX(Работы!$J$2:$J$6000,MATCH($C950,Работы!$A$2:$A$6000,0)),"")</f>
        <v/>
      </c>
      <c r="R950" t="s">
        <v>92</v>
      </c>
      <c r="T950" t="str">
        <f>IF(AND($P950&gt;0,$R950="да"),MAX($T$1:$T949)+1,"")</f>
        <v/>
      </c>
    </row>
    <row r="951" spans="1:20" x14ac:dyDescent="0.3">
      <c r="A951" s="11" t="str">
        <f>IFERROR(INDEX(Работы!$D$2:$D$6000,MATCH($C951,Работы!$A$2:$A$6000,0)),"")</f>
        <v/>
      </c>
      <c r="B951" t="str">
        <f>IFERROR(INDEX(Работы!$F$2:$F$6000,MATCH($C951,Работы!$A$2:$A$6000,0)),"")</f>
        <v/>
      </c>
      <c r="C951">
        <f>IFERROR(INDEX(Работы!$A$2:$A$6000,950),"")</f>
        <v>0</v>
      </c>
      <c r="D951" s="8" t="str">
        <f>IFERROR(INDEX(Работы!$B$2:$B$6000,MATCH($C951,Работы!$A$2:$A$6000,0)),"")</f>
        <v/>
      </c>
      <c r="E951" t="str">
        <f>IFERROR(INDEX(Работы!$C$2:$C$6000,MATCH($C951,Работы!$A$2:$A$6000,0)),"")</f>
        <v/>
      </c>
      <c r="F951" t="str">
        <f>IFERROR(INDEX(Работы!$G$2:$G$6000,MATCH($C951,Работы!$A$2:$A$6000,0)),"")</f>
        <v/>
      </c>
      <c r="G951" t="str">
        <f>IFERROR(INDEX(Работы!$K$2:$K$6000,MATCH($C951,Работы!$A$2:$A$6000,0)),"")</f>
        <v/>
      </c>
      <c r="H951" s="9"/>
      <c r="I951" s="9"/>
      <c r="J951" s="8" t="str">
        <f>IFERROR(INDEX(Материалы!$B$2:$B$9000,MATCH($I951,Материалы!$A$2:$A$9000,0)),"")</f>
        <v/>
      </c>
      <c r="K951" t="str">
        <f>IF($I951="","",IF($F951=IFERROR(INDEX(Материалы!$G$2:$G$9000,MATCH($I951,Материалы!$A$2:$A$9000,0)),""),"OK","!! не та группа"))</f>
        <v/>
      </c>
      <c r="L951" s="10">
        <f>IFERROR(INDEX(Работы!$H$2:$H$6000,MATCH($C951,Работы!$A$2:$A$6000,0))*(1-ДисконтТендер),0)</f>
        <v>0</v>
      </c>
      <c r="M951" s="10">
        <f>IF($I951="",0,IFERROR(INDEX(Материалы!$I$2:$I$9000,MATCH($I951,Материалы!$A$2:$A$9000,0))*IF(INDEX(Материалы!$J$2:$J$9000,MATCH($I951,Материалы!$A$2:$A$9000,0))="USD",КурсUSD,IF(INDEX(Материалы!$J$2:$J$9000,MATCH($I951,Материалы!$A$2:$A$9000,0))="EUR",КурсEUR,1))*INDEX(Материалы!$K$2:$K$9000,MATCH($I951,Материалы!$A$2:$A$9000,0))*(1+IFERROR(INDEX(Работы!$I$2:$I$6000,MATCH($C951,Работы!$A$2:$A$6000,0))/100,0))*(1-ДисконтТендер),0))</f>
        <v>0</v>
      </c>
      <c r="N951" s="10">
        <f t="shared" si="42"/>
        <v>0</v>
      </c>
      <c r="O951" s="10">
        <f t="shared" si="43"/>
        <v>0</v>
      </c>
      <c r="P951" s="10">
        <f t="shared" si="44"/>
        <v>0</v>
      </c>
      <c r="Q951" t="str">
        <f>IFERROR(INDEX(Работы!$J$2:$J$6000,MATCH($C951,Работы!$A$2:$A$6000,0)),"")</f>
        <v/>
      </c>
      <c r="R951" t="s">
        <v>92</v>
      </c>
      <c r="T951" t="str">
        <f>IF(AND($P951&gt;0,$R951="да"),MAX($T$1:$T950)+1,"")</f>
        <v/>
      </c>
    </row>
    <row r="952" spans="1:20" x14ac:dyDescent="0.3">
      <c r="A952" s="11" t="str">
        <f>IFERROR(INDEX(Работы!$D$2:$D$6000,MATCH($C952,Работы!$A$2:$A$6000,0)),"")</f>
        <v/>
      </c>
      <c r="B952" t="str">
        <f>IFERROR(INDEX(Работы!$F$2:$F$6000,MATCH($C952,Работы!$A$2:$A$6000,0)),"")</f>
        <v/>
      </c>
      <c r="C952">
        <f>IFERROR(INDEX(Работы!$A$2:$A$6000,951),"")</f>
        <v>0</v>
      </c>
      <c r="D952" s="8" t="str">
        <f>IFERROR(INDEX(Работы!$B$2:$B$6000,MATCH($C952,Работы!$A$2:$A$6000,0)),"")</f>
        <v/>
      </c>
      <c r="E952" t="str">
        <f>IFERROR(INDEX(Работы!$C$2:$C$6000,MATCH($C952,Работы!$A$2:$A$6000,0)),"")</f>
        <v/>
      </c>
      <c r="F952" t="str">
        <f>IFERROR(INDEX(Работы!$G$2:$G$6000,MATCH($C952,Работы!$A$2:$A$6000,0)),"")</f>
        <v/>
      </c>
      <c r="G952" t="str">
        <f>IFERROR(INDEX(Работы!$K$2:$K$6000,MATCH($C952,Работы!$A$2:$A$6000,0)),"")</f>
        <v/>
      </c>
      <c r="H952" s="9"/>
      <c r="I952" s="9"/>
      <c r="J952" s="8" t="str">
        <f>IFERROR(INDEX(Материалы!$B$2:$B$9000,MATCH($I952,Материалы!$A$2:$A$9000,0)),"")</f>
        <v/>
      </c>
      <c r="K952" t="str">
        <f>IF($I952="","",IF($F952=IFERROR(INDEX(Материалы!$G$2:$G$9000,MATCH($I952,Материалы!$A$2:$A$9000,0)),""),"OK","!! не та группа"))</f>
        <v/>
      </c>
      <c r="L952" s="10">
        <f>IFERROR(INDEX(Работы!$H$2:$H$6000,MATCH($C952,Работы!$A$2:$A$6000,0))*(1-ДисконтТендер),0)</f>
        <v>0</v>
      </c>
      <c r="M952" s="10">
        <f>IF($I952="",0,IFERROR(INDEX(Материалы!$I$2:$I$9000,MATCH($I952,Материалы!$A$2:$A$9000,0))*IF(INDEX(Материалы!$J$2:$J$9000,MATCH($I952,Материалы!$A$2:$A$9000,0))="USD",КурсUSD,IF(INDEX(Материалы!$J$2:$J$9000,MATCH($I952,Материалы!$A$2:$A$9000,0))="EUR",КурсEUR,1))*INDEX(Материалы!$K$2:$K$9000,MATCH($I952,Материалы!$A$2:$A$9000,0))*(1+IFERROR(INDEX(Работы!$I$2:$I$6000,MATCH($C952,Работы!$A$2:$A$6000,0))/100,0))*(1-ДисконтТендер),0))</f>
        <v>0</v>
      </c>
      <c r="N952" s="10">
        <f t="shared" si="42"/>
        <v>0</v>
      </c>
      <c r="O952" s="10">
        <f t="shared" si="43"/>
        <v>0</v>
      </c>
      <c r="P952" s="10">
        <f t="shared" si="44"/>
        <v>0</v>
      </c>
      <c r="Q952" t="str">
        <f>IFERROR(INDEX(Работы!$J$2:$J$6000,MATCH($C952,Работы!$A$2:$A$6000,0)),"")</f>
        <v/>
      </c>
      <c r="R952" t="s">
        <v>92</v>
      </c>
      <c r="T952" t="str">
        <f>IF(AND($P952&gt;0,$R952="да"),MAX($T$1:$T951)+1,"")</f>
        <v/>
      </c>
    </row>
    <row r="953" spans="1:20" x14ac:dyDescent="0.3">
      <c r="A953" s="11" t="str">
        <f>IFERROR(INDEX(Работы!$D$2:$D$6000,MATCH($C953,Работы!$A$2:$A$6000,0)),"")</f>
        <v/>
      </c>
      <c r="B953" t="str">
        <f>IFERROR(INDEX(Работы!$F$2:$F$6000,MATCH($C953,Работы!$A$2:$A$6000,0)),"")</f>
        <v/>
      </c>
      <c r="C953">
        <f>IFERROR(INDEX(Работы!$A$2:$A$6000,952),"")</f>
        <v>0</v>
      </c>
      <c r="D953" s="8" t="str">
        <f>IFERROR(INDEX(Работы!$B$2:$B$6000,MATCH($C953,Работы!$A$2:$A$6000,0)),"")</f>
        <v/>
      </c>
      <c r="E953" t="str">
        <f>IFERROR(INDEX(Работы!$C$2:$C$6000,MATCH($C953,Работы!$A$2:$A$6000,0)),"")</f>
        <v/>
      </c>
      <c r="F953" t="str">
        <f>IFERROR(INDEX(Работы!$G$2:$G$6000,MATCH($C953,Работы!$A$2:$A$6000,0)),"")</f>
        <v/>
      </c>
      <c r="G953" t="str">
        <f>IFERROR(INDEX(Работы!$K$2:$K$6000,MATCH($C953,Работы!$A$2:$A$6000,0)),"")</f>
        <v/>
      </c>
      <c r="H953" s="9"/>
      <c r="I953" s="9"/>
      <c r="J953" s="8" t="str">
        <f>IFERROR(INDEX(Материалы!$B$2:$B$9000,MATCH($I953,Материалы!$A$2:$A$9000,0)),"")</f>
        <v/>
      </c>
      <c r="K953" t="str">
        <f>IF($I953="","",IF($F953=IFERROR(INDEX(Материалы!$G$2:$G$9000,MATCH($I953,Материалы!$A$2:$A$9000,0)),""),"OK","!! не та группа"))</f>
        <v/>
      </c>
      <c r="L953" s="10">
        <f>IFERROR(INDEX(Работы!$H$2:$H$6000,MATCH($C953,Работы!$A$2:$A$6000,0))*(1-ДисконтТендер),0)</f>
        <v>0</v>
      </c>
      <c r="M953" s="10">
        <f>IF($I953="",0,IFERROR(INDEX(Материалы!$I$2:$I$9000,MATCH($I953,Материалы!$A$2:$A$9000,0))*IF(INDEX(Материалы!$J$2:$J$9000,MATCH($I953,Материалы!$A$2:$A$9000,0))="USD",КурсUSD,IF(INDEX(Материалы!$J$2:$J$9000,MATCH($I953,Материалы!$A$2:$A$9000,0))="EUR",КурсEUR,1))*INDEX(Материалы!$K$2:$K$9000,MATCH($I953,Материалы!$A$2:$A$9000,0))*(1+IFERROR(INDEX(Работы!$I$2:$I$6000,MATCH($C953,Работы!$A$2:$A$6000,0))/100,0))*(1-ДисконтТендер),0))</f>
        <v>0</v>
      </c>
      <c r="N953" s="10">
        <f t="shared" si="42"/>
        <v>0</v>
      </c>
      <c r="O953" s="10">
        <f t="shared" si="43"/>
        <v>0</v>
      </c>
      <c r="P953" s="10">
        <f t="shared" si="44"/>
        <v>0</v>
      </c>
      <c r="Q953" t="str">
        <f>IFERROR(INDEX(Работы!$J$2:$J$6000,MATCH($C953,Работы!$A$2:$A$6000,0)),"")</f>
        <v/>
      </c>
      <c r="R953" t="s">
        <v>92</v>
      </c>
      <c r="T953" t="str">
        <f>IF(AND($P953&gt;0,$R953="да"),MAX($T$1:$T952)+1,"")</f>
        <v/>
      </c>
    </row>
    <row r="954" spans="1:20" x14ac:dyDescent="0.3">
      <c r="A954" s="11" t="str">
        <f>IFERROR(INDEX(Работы!$D$2:$D$6000,MATCH($C954,Работы!$A$2:$A$6000,0)),"")</f>
        <v/>
      </c>
      <c r="B954" t="str">
        <f>IFERROR(INDEX(Работы!$F$2:$F$6000,MATCH($C954,Работы!$A$2:$A$6000,0)),"")</f>
        <v/>
      </c>
      <c r="C954">
        <f>IFERROR(INDEX(Работы!$A$2:$A$6000,953),"")</f>
        <v>0</v>
      </c>
      <c r="D954" s="8" t="str">
        <f>IFERROR(INDEX(Работы!$B$2:$B$6000,MATCH($C954,Работы!$A$2:$A$6000,0)),"")</f>
        <v/>
      </c>
      <c r="E954" t="str">
        <f>IFERROR(INDEX(Работы!$C$2:$C$6000,MATCH($C954,Работы!$A$2:$A$6000,0)),"")</f>
        <v/>
      </c>
      <c r="F954" t="str">
        <f>IFERROR(INDEX(Работы!$G$2:$G$6000,MATCH($C954,Работы!$A$2:$A$6000,0)),"")</f>
        <v/>
      </c>
      <c r="G954" t="str">
        <f>IFERROR(INDEX(Работы!$K$2:$K$6000,MATCH($C954,Работы!$A$2:$A$6000,0)),"")</f>
        <v/>
      </c>
      <c r="H954" s="9"/>
      <c r="I954" s="9"/>
      <c r="J954" s="8" t="str">
        <f>IFERROR(INDEX(Материалы!$B$2:$B$9000,MATCH($I954,Материалы!$A$2:$A$9000,0)),"")</f>
        <v/>
      </c>
      <c r="K954" t="str">
        <f>IF($I954="","",IF($F954=IFERROR(INDEX(Материалы!$G$2:$G$9000,MATCH($I954,Материалы!$A$2:$A$9000,0)),""),"OK","!! не та группа"))</f>
        <v/>
      </c>
      <c r="L954" s="10">
        <f>IFERROR(INDEX(Работы!$H$2:$H$6000,MATCH($C954,Работы!$A$2:$A$6000,0))*(1-ДисконтТендер),0)</f>
        <v>0</v>
      </c>
      <c r="M954" s="10">
        <f>IF($I954="",0,IFERROR(INDEX(Материалы!$I$2:$I$9000,MATCH($I954,Материалы!$A$2:$A$9000,0))*IF(INDEX(Материалы!$J$2:$J$9000,MATCH($I954,Материалы!$A$2:$A$9000,0))="USD",КурсUSD,IF(INDEX(Материалы!$J$2:$J$9000,MATCH($I954,Материалы!$A$2:$A$9000,0))="EUR",КурсEUR,1))*INDEX(Материалы!$K$2:$K$9000,MATCH($I954,Материалы!$A$2:$A$9000,0))*(1+IFERROR(INDEX(Работы!$I$2:$I$6000,MATCH($C954,Работы!$A$2:$A$6000,0))/100,0))*(1-ДисконтТендер),0))</f>
        <v>0</v>
      </c>
      <c r="N954" s="10">
        <f t="shared" si="42"/>
        <v>0</v>
      </c>
      <c r="O954" s="10">
        <f t="shared" si="43"/>
        <v>0</v>
      </c>
      <c r="P954" s="10">
        <f t="shared" si="44"/>
        <v>0</v>
      </c>
      <c r="Q954" t="str">
        <f>IFERROR(INDEX(Работы!$J$2:$J$6000,MATCH($C954,Работы!$A$2:$A$6000,0)),"")</f>
        <v/>
      </c>
      <c r="R954" t="s">
        <v>92</v>
      </c>
      <c r="T954" t="str">
        <f>IF(AND($P954&gt;0,$R954="да"),MAX($T$1:$T953)+1,"")</f>
        <v/>
      </c>
    </row>
    <row r="955" spans="1:20" x14ac:dyDescent="0.3">
      <c r="A955" s="11" t="str">
        <f>IFERROR(INDEX(Работы!$D$2:$D$6000,MATCH($C955,Работы!$A$2:$A$6000,0)),"")</f>
        <v/>
      </c>
      <c r="B955" t="str">
        <f>IFERROR(INDEX(Работы!$F$2:$F$6000,MATCH($C955,Работы!$A$2:$A$6000,0)),"")</f>
        <v/>
      </c>
      <c r="C955">
        <f>IFERROR(INDEX(Работы!$A$2:$A$6000,954),"")</f>
        <v>0</v>
      </c>
      <c r="D955" s="8" t="str">
        <f>IFERROR(INDEX(Работы!$B$2:$B$6000,MATCH($C955,Работы!$A$2:$A$6000,0)),"")</f>
        <v/>
      </c>
      <c r="E955" t="str">
        <f>IFERROR(INDEX(Работы!$C$2:$C$6000,MATCH($C955,Работы!$A$2:$A$6000,0)),"")</f>
        <v/>
      </c>
      <c r="F955" t="str">
        <f>IFERROR(INDEX(Работы!$G$2:$G$6000,MATCH($C955,Работы!$A$2:$A$6000,0)),"")</f>
        <v/>
      </c>
      <c r="G955" t="str">
        <f>IFERROR(INDEX(Работы!$K$2:$K$6000,MATCH($C955,Работы!$A$2:$A$6000,0)),"")</f>
        <v/>
      </c>
      <c r="H955" s="9"/>
      <c r="I955" s="9"/>
      <c r="J955" s="8" t="str">
        <f>IFERROR(INDEX(Материалы!$B$2:$B$9000,MATCH($I955,Материалы!$A$2:$A$9000,0)),"")</f>
        <v/>
      </c>
      <c r="K955" t="str">
        <f>IF($I955="","",IF($F955=IFERROR(INDEX(Материалы!$G$2:$G$9000,MATCH($I955,Материалы!$A$2:$A$9000,0)),""),"OK","!! не та группа"))</f>
        <v/>
      </c>
      <c r="L955" s="10">
        <f>IFERROR(INDEX(Работы!$H$2:$H$6000,MATCH($C955,Работы!$A$2:$A$6000,0))*(1-ДисконтТендер),0)</f>
        <v>0</v>
      </c>
      <c r="M955" s="10">
        <f>IF($I955="",0,IFERROR(INDEX(Материалы!$I$2:$I$9000,MATCH($I955,Материалы!$A$2:$A$9000,0))*IF(INDEX(Материалы!$J$2:$J$9000,MATCH($I955,Материалы!$A$2:$A$9000,0))="USD",КурсUSD,IF(INDEX(Материалы!$J$2:$J$9000,MATCH($I955,Материалы!$A$2:$A$9000,0))="EUR",КурсEUR,1))*INDEX(Материалы!$K$2:$K$9000,MATCH($I955,Материалы!$A$2:$A$9000,0))*(1+IFERROR(INDEX(Работы!$I$2:$I$6000,MATCH($C955,Работы!$A$2:$A$6000,0))/100,0))*(1-ДисконтТендер),0))</f>
        <v>0</v>
      </c>
      <c r="N955" s="10">
        <f t="shared" si="42"/>
        <v>0</v>
      </c>
      <c r="O955" s="10">
        <f t="shared" si="43"/>
        <v>0</v>
      </c>
      <c r="P955" s="10">
        <f t="shared" si="44"/>
        <v>0</v>
      </c>
      <c r="Q955" t="str">
        <f>IFERROR(INDEX(Работы!$J$2:$J$6000,MATCH($C955,Работы!$A$2:$A$6000,0)),"")</f>
        <v/>
      </c>
      <c r="R955" t="s">
        <v>92</v>
      </c>
      <c r="T955" t="str">
        <f>IF(AND($P955&gt;0,$R955="да"),MAX($T$1:$T954)+1,"")</f>
        <v/>
      </c>
    </row>
    <row r="956" spans="1:20" x14ac:dyDescent="0.3">
      <c r="A956" s="11" t="str">
        <f>IFERROR(INDEX(Работы!$D$2:$D$6000,MATCH($C956,Работы!$A$2:$A$6000,0)),"")</f>
        <v/>
      </c>
      <c r="B956" t="str">
        <f>IFERROR(INDEX(Работы!$F$2:$F$6000,MATCH($C956,Работы!$A$2:$A$6000,0)),"")</f>
        <v/>
      </c>
      <c r="C956">
        <f>IFERROR(INDEX(Работы!$A$2:$A$6000,955),"")</f>
        <v>0</v>
      </c>
      <c r="D956" s="8" t="str">
        <f>IFERROR(INDEX(Работы!$B$2:$B$6000,MATCH($C956,Работы!$A$2:$A$6000,0)),"")</f>
        <v/>
      </c>
      <c r="E956" t="str">
        <f>IFERROR(INDEX(Работы!$C$2:$C$6000,MATCH($C956,Работы!$A$2:$A$6000,0)),"")</f>
        <v/>
      </c>
      <c r="F956" t="str">
        <f>IFERROR(INDEX(Работы!$G$2:$G$6000,MATCH($C956,Работы!$A$2:$A$6000,0)),"")</f>
        <v/>
      </c>
      <c r="G956" t="str">
        <f>IFERROR(INDEX(Работы!$K$2:$K$6000,MATCH($C956,Работы!$A$2:$A$6000,0)),"")</f>
        <v/>
      </c>
      <c r="H956" s="9"/>
      <c r="I956" s="9"/>
      <c r="J956" s="8" t="str">
        <f>IFERROR(INDEX(Материалы!$B$2:$B$9000,MATCH($I956,Материалы!$A$2:$A$9000,0)),"")</f>
        <v/>
      </c>
      <c r="K956" t="str">
        <f>IF($I956="","",IF($F956=IFERROR(INDEX(Материалы!$G$2:$G$9000,MATCH($I956,Материалы!$A$2:$A$9000,0)),""),"OK","!! не та группа"))</f>
        <v/>
      </c>
      <c r="L956" s="10">
        <f>IFERROR(INDEX(Работы!$H$2:$H$6000,MATCH($C956,Работы!$A$2:$A$6000,0))*(1-ДисконтТендер),0)</f>
        <v>0</v>
      </c>
      <c r="M956" s="10">
        <f>IF($I956="",0,IFERROR(INDEX(Материалы!$I$2:$I$9000,MATCH($I956,Материалы!$A$2:$A$9000,0))*IF(INDEX(Материалы!$J$2:$J$9000,MATCH($I956,Материалы!$A$2:$A$9000,0))="USD",КурсUSD,IF(INDEX(Материалы!$J$2:$J$9000,MATCH($I956,Материалы!$A$2:$A$9000,0))="EUR",КурсEUR,1))*INDEX(Материалы!$K$2:$K$9000,MATCH($I956,Материалы!$A$2:$A$9000,0))*(1+IFERROR(INDEX(Работы!$I$2:$I$6000,MATCH($C956,Работы!$A$2:$A$6000,0))/100,0))*(1-ДисконтТендер),0))</f>
        <v>0</v>
      </c>
      <c r="N956" s="10">
        <f t="shared" si="42"/>
        <v>0</v>
      </c>
      <c r="O956" s="10">
        <f t="shared" si="43"/>
        <v>0</v>
      </c>
      <c r="P956" s="10">
        <f t="shared" si="44"/>
        <v>0</v>
      </c>
      <c r="Q956" t="str">
        <f>IFERROR(INDEX(Работы!$J$2:$J$6000,MATCH($C956,Работы!$A$2:$A$6000,0)),"")</f>
        <v/>
      </c>
      <c r="R956" t="s">
        <v>92</v>
      </c>
      <c r="T956" t="str">
        <f>IF(AND($P956&gt;0,$R956="да"),MAX($T$1:$T955)+1,"")</f>
        <v/>
      </c>
    </row>
    <row r="957" spans="1:20" x14ac:dyDescent="0.3">
      <c r="A957" s="11" t="str">
        <f>IFERROR(INDEX(Работы!$D$2:$D$6000,MATCH($C957,Работы!$A$2:$A$6000,0)),"")</f>
        <v/>
      </c>
      <c r="B957" t="str">
        <f>IFERROR(INDEX(Работы!$F$2:$F$6000,MATCH($C957,Работы!$A$2:$A$6000,0)),"")</f>
        <v/>
      </c>
      <c r="C957">
        <f>IFERROR(INDEX(Работы!$A$2:$A$6000,956),"")</f>
        <v>0</v>
      </c>
      <c r="D957" s="8" t="str">
        <f>IFERROR(INDEX(Работы!$B$2:$B$6000,MATCH($C957,Работы!$A$2:$A$6000,0)),"")</f>
        <v/>
      </c>
      <c r="E957" t="str">
        <f>IFERROR(INDEX(Работы!$C$2:$C$6000,MATCH($C957,Работы!$A$2:$A$6000,0)),"")</f>
        <v/>
      </c>
      <c r="F957" t="str">
        <f>IFERROR(INDEX(Работы!$G$2:$G$6000,MATCH($C957,Работы!$A$2:$A$6000,0)),"")</f>
        <v/>
      </c>
      <c r="G957" t="str">
        <f>IFERROR(INDEX(Работы!$K$2:$K$6000,MATCH($C957,Работы!$A$2:$A$6000,0)),"")</f>
        <v/>
      </c>
      <c r="H957" s="9"/>
      <c r="I957" s="9"/>
      <c r="J957" s="8" t="str">
        <f>IFERROR(INDEX(Материалы!$B$2:$B$9000,MATCH($I957,Материалы!$A$2:$A$9000,0)),"")</f>
        <v/>
      </c>
      <c r="K957" t="str">
        <f>IF($I957="","",IF($F957=IFERROR(INDEX(Материалы!$G$2:$G$9000,MATCH($I957,Материалы!$A$2:$A$9000,0)),""),"OK","!! не та группа"))</f>
        <v/>
      </c>
      <c r="L957" s="10">
        <f>IFERROR(INDEX(Работы!$H$2:$H$6000,MATCH($C957,Работы!$A$2:$A$6000,0))*(1-ДисконтТендер),0)</f>
        <v>0</v>
      </c>
      <c r="M957" s="10">
        <f>IF($I957="",0,IFERROR(INDEX(Материалы!$I$2:$I$9000,MATCH($I957,Материалы!$A$2:$A$9000,0))*IF(INDEX(Материалы!$J$2:$J$9000,MATCH($I957,Материалы!$A$2:$A$9000,0))="USD",КурсUSD,IF(INDEX(Материалы!$J$2:$J$9000,MATCH($I957,Материалы!$A$2:$A$9000,0))="EUR",КурсEUR,1))*INDEX(Материалы!$K$2:$K$9000,MATCH($I957,Материалы!$A$2:$A$9000,0))*(1+IFERROR(INDEX(Работы!$I$2:$I$6000,MATCH($C957,Работы!$A$2:$A$6000,0))/100,0))*(1-ДисконтТендер),0))</f>
        <v>0</v>
      </c>
      <c r="N957" s="10">
        <f t="shared" si="42"/>
        <v>0</v>
      </c>
      <c r="O957" s="10">
        <f t="shared" si="43"/>
        <v>0</v>
      </c>
      <c r="P957" s="10">
        <f t="shared" si="44"/>
        <v>0</v>
      </c>
      <c r="Q957" t="str">
        <f>IFERROR(INDEX(Работы!$J$2:$J$6000,MATCH($C957,Работы!$A$2:$A$6000,0)),"")</f>
        <v/>
      </c>
      <c r="R957" t="s">
        <v>92</v>
      </c>
      <c r="T957" t="str">
        <f>IF(AND($P957&gt;0,$R957="да"),MAX($T$1:$T956)+1,"")</f>
        <v/>
      </c>
    </row>
    <row r="958" spans="1:20" x14ac:dyDescent="0.3">
      <c r="A958" s="11" t="str">
        <f>IFERROR(INDEX(Работы!$D$2:$D$6000,MATCH($C958,Работы!$A$2:$A$6000,0)),"")</f>
        <v/>
      </c>
      <c r="B958" t="str">
        <f>IFERROR(INDEX(Работы!$F$2:$F$6000,MATCH($C958,Работы!$A$2:$A$6000,0)),"")</f>
        <v/>
      </c>
      <c r="C958">
        <f>IFERROR(INDEX(Работы!$A$2:$A$6000,957),"")</f>
        <v>0</v>
      </c>
      <c r="D958" s="8" t="str">
        <f>IFERROR(INDEX(Работы!$B$2:$B$6000,MATCH($C958,Работы!$A$2:$A$6000,0)),"")</f>
        <v/>
      </c>
      <c r="E958" t="str">
        <f>IFERROR(INDEX(Работы!$C$2:$C$6000,MATCH($C958,Работы!$A$2:$A$6000,0)),"")</f>
        <v/>
      </c>
      <c r="F958" t="str">
        <f>IFERROR(INDEX(Работы!$G$2:$G$6000,MATCH($C958,Работы!$A$2:$A$6000,0)),"")</f>
        <v/>
      </c>
      <c r="G958" t="str">
        <f>IFERROR(INDEX(Работы!$K$2:$K$6000,MATCH($C958,Работы!$A$2:$A$6000,0)),"")</f>
        <v/>
      </c>
      <c r="H958" s="9"/>
      <c r="I958" s="9"/>
      <c r="J958" s="8" t="str">
        <f>IFERROR(INDEX(Материалы!$B$2:$B$9000,MATCH($I958,Материалы!$A$2:$A$9000,0)),"")</f>
        <v/>
      </c>
      <c r="K958" t="str">
        <f>IF($I958="","",IF($F958=IFERROR(INDEX(Материалы!$G$2:$G$9000,MATCH($I958,Материалы!$A$2:$A$9000,0)),""),"OK","!! не та группа"))</f>
        <v/>
      </c>
      <c r="L958" s="10">
        <f>IFERROR(INDEX(Работы!$H$2:$H$6000,MATCH($C958,Работы!$A$2:$A$6000,0))*(1-ДисконтТендер),0)</f>
        <v>0</v>
      </c>
      <c r="M958" s="10">
        <f>IF($I958="",0,IFERROR(INDEX(Материалы!$I$2:$I$9000,MATCH($I958,Материалы!$A$2:$A$9000,0))*IF(INDEX(Материалы!$J$2:$J$9000,MATCH($I958,Материалы!$A$2:$A$9000,0))="USD",КурсUSD,IF(INDEX(Материалы!$J$2:$J$9000,MATCH($I958,Материалы!$A$2:$A$9000,0))="EUR",КурсEUR,1))*INDEX(Материалы!$K$2:$K$9000,MATCH($I958,Материалы!$A$2:$A$9000,0))*(1+IFERROR(INDEX(Работы!$I$2:$I$6000,MATCH($C958,Работы!$A$2:$A$6000,0))/100,0))*(1-ДисконтТендер),0))</f>
        <v>0</v>
      </c>
      <c r="N958" s="10">
        <f t="shared" si="42"/>
        <v>0</v>
      </c>
      <c r="O958" s="10">
        <f t="shared" si="43"/>
        <v>0</v>
      </c>
      <c r="P958" s="10">
        <f t="shared" si="44"/>
        <v>0</v>
      </c>
      <c r="Q958" t="str">
        <f>IFERROR(INDEX(Работы!$J$2:$J$6000,MATCH($C958,Работы!$A$2:$A$6000,0)),"")</f>
        <v/>
      </c>
      <c r="R958" t="s">
        <v>92</v>
      </c>
      <c r="T958" t="str">
        <f>IF(AND($P958&gt;0,$R958="да"),MAX($T$1:$T957)+1,"")</f>
        <v/>
      </c>
    </row>
    <row r="959" spans="1:20" x14ac:dyDescent="0.3">
      <c r="A959" s="11" t="str">
        <f>IFERROR(INDEX(Работы!$D$2:$D$6000,MATCH($C959,Работы!$A$2:$A$6000,0)),"")</f>
        <v/>
      </c>
      <c r="B959" t="str">
        <f>IFERROR(INDEX(Работы!$F$2:$F$6000,MATCH($C959,Работы!$A$2:$A$6000,0)),"")</f>
        <v/>
      </c>
      <c r="C959">
        <f>IFERROR(INDEX(Работы!$A$2:$A$6000,958),"")</f>
        <v>0</v>
      </c>
      <c r="D959" s="8" t="str">
        <f>IFERROR(INDEX(Работы!$B$2:$B$6000,MATCH($C959,Работы!$A$2:$A$6000,0)),"")</f>
        <v/>
      </c>
      <c r="E959" t="str">
        <f>IFERROR(INDEX(Работы!$C$2:$C$6000,MATCH($C959,Работы!$A$2:$A$6000,0)),"")</f>
        <v/>
      </c>
      <c r="F959" t="str">
        <f>IFERROR(INDEX(Работы!$G$2:$G$6000,MATCH($C959,Работы!$A$2:$A$6000,0)),"")</f>
        <v/>
      </c>
      <c r="G959" t="str">
        <f>IFERROR(INDEX(Работы!$K$2:$K$6000,MATCH($C959,Работы!$A$2:$A$6000,0)),"")</f>
        <v/>
      </c>
      <c r="H959" s="9"/>
      <c r="I959" s="9"/>
      <c r="J959" s="8" t="str">
        <f>IFERROR(INDEX(Материалы!$B$2:$B$9000,MATCH($I959,Материалы!$A$2:$A$9000,0)),"")</f>
        <v/>
      </c>
      <c r="K959" t="str">
        <f>IF($I959="","",IF($F959=IFERROR(INDEX(Материалы!$G$2:$G$9000,MATCH($I959,Материалы!$A$2:$A$9000,0)),""),"OK","!! не та группа"))</f>
        <v/>
      </c>
      <c r="L959" s="10">
        <f>IFERROR(INDEX(Работы!$H$2:$H$6000,MATCH($C959,Работы!$A$2:$A$6000,0))*(1-ДисконтТендер),0)</f>
        <v>0</v>
      </c>
      <c r="M959" s="10">
        <f>IF($I959="",0,IFERROR(INDEX(Материалы!$I$2:$I$9000,MATCH($I959,Материалы!$A$2:$A$9000,0))*IF(INDEX(Материалы!$J$2:$J$9000,MATCH($I959,Материалы!$A$2:$A$9000,0))="USD",КурсUSD,IF(INDEX(Материалы!$J$2:$J$9000,MATCH($I959,Материалы!$A$2:$A$9000,0))="EUR",КурсEUR,1))*INDEX(Материалы!$K$2:$K$9000,MATCH($I959,Материалы!$A$2:$A$9000,0))*(1+IFERROR(INDEX(Работы!$I$2:$I$6000,MATCH($C959,Работы!$A$2:$A$6000,0))/100,0))*(1-ДисконтТендер),0))</f>
        <v>0</v>
      </c>
      <c r="N959" s="10">
        <f t="shared" si="42"/>
        <v>0</v>
      </c>
      <c r="O959" s="10">
        <f t="shared" si="43"/>
        <v>0</v>
      </c>
      <c r="P959" s="10">
        <f t="shared" si="44"/>
        <v>0</v>
      </c>
      <c r="Q959" t="str">
        <f>IFERROR(INDEX(Работы!$J$2:$J$6000,MATCH($C959,Работы!$A$2:$A$6000,0)),"")</f>
        <v/>
      </c>
      <c r="R959" t="s">
        <v>92</v>
      </c>
      <c r="T959" t="str">
        <f>IF(AND($P959&gt;0,$R959="да"),MAX($T$1:$T958)+1,"")</f>
        <v/>
      </c>
    </row>
    <row r="960" spans="1:20" x14ac:dyDescent="0.3">
      <c r="A960" s="11" t="str">
        <f>IFERROR(INDEX(Работы!$D$2:$D$6000,MATCH($C960,Работы!$A$2:$A$6000,0)),"")</f>
        <v/>
      </c>
      <c r="B960" t="str">
        <f>IFERROR(INDEX(Работы!$F$2:$F$6000,MATCH($C960,Работы!$A$2:$A$6000,0)),"")</f>
        <v/>
      </c>
      <c r="C960">
        <f>IFERROR(INDEX(Работы!$A$2:$A$6000,959),"")</f>
        <v>0</v>
      </c>
      <c r="D960" s="8" t="str">
        <f>IFERROR(INDEX(Работы!$B$2:$B$6000,MATCH($C960,Работы!$A$2:$A$6000,0)),"")</f>
        <v/>
      </c>
      <c r="E960" t="str">
        <f>IFERROR(INDEX(Работы!$C$2:$C$6000,MATCH($C960,Работы!$A$2:$A$6000,0)),"")</f>
        <v/>
      </c>
      <c r="F960" t="str">
        <f>IFERROR(INDEX(Работы!$G$2:$G$6000,MATCH($C960,Работы!$A$2:$A$6000,0)),"")</f>
        <v/>
      </c>
      <c r="G960" t="str">
        <f>IFERROR(INDEX(Работы!$K$2:$K$6000,MATCH($C960,Работы!$A$2:$A$6000,0)),"")</f>
        <v/>
      </c>
      <c r="H960" s="9"/>
      <c r="I960" s="9"/>
      <c r="J960" s="8" t="str">
        <f>IFERROR(INDEX(Материалы!$B$2:$B$9000,MATCH($I960,Материалы!$A$2:$A$9000,0)),"")</f>
        <v/>
      </c>
      <c r="K960" t="str">
        <f>IF($I960="","",IF($F960=IFERROR(INDEX(Материалы!$G$2:$G$9000,MATCH($I960,Материалы!$A$2:$A$9000,0)),""),"OK","!! не та группа"))</f>
        <v/>
      </c>
      <c r="L960" s="10">
        <f>IFERROR(INDEX(Работы!$H$2:$H$6000,MATCH($C960,Работы!$A$2:$A$6000,0))*(1-ДисконтТендер),0)</f>
        <v>0</v>
      </c>
      <c r="M960" s="10">
        <f>IF($I960="",0,IFERROR(INDEX(Материалы!$I$2:$I$9000,MATCH($I960,Материалы!$A$2:$A$9000,0))*IF(INDEX(Материалы!$J$2:$J$9000,MATCH($I960,Материалы!$A$2:$A$9000,0))="USD",КурсUSD,IF(INDEX(Материалы!$J$2:$J$9000,MATCH($I960,Материалы!$A$2:$A$9000,0))="EUR",КурсEUR,1))*INDEX(Материалы!$K$2:$K$9000,MATCH($I960,Материалы!$A$2:$A$9000,0))*(1+IFERROR(INDEX(Работы!$I$2:$I$6000,MATCH($C960,Работы!$A$2:$A$6000,0))/100,0))*(1-ДисконтТендер),0))</f>
        <v>0</v>
      </c>
      <c r="N960" s="10">
        <f t="shared" si="42"/>
        <v>0</v>
      </c>
      <c r="O960" s="10">
        <f t="shared" si="43"/>
        <v>0</v>
      </c>
      <c r="P960" s="10">
        <f t="shared" si="44"/>
        <v>0</v>
      </c>
      <c r="Q960" t="str">
        <f>IFERROR(INDEX(Работы!$J$2:$J$6000,MATCH($C960,Работы!$A$2:$A$6000,0)),"")</f>
        <v/>
      </c>
      <c r="R960" t="s">
        <v>92</v>
      </c>
      <c r="T960" t="str">
        <f>IF(AND($P960&gt;0,$R960="да"),MAX($T$1:$T959)+1,"")</f>
        <v/>
      </c>
    </row>
    <row r="961" spans="1:20" x14ac:dyDescent="0.3">
      <c r="A961" s="11" t="str">
        <f>IFERROR(INDEX(Работы!$D$2:$D$6000,MATCH($C961,Работы!$A$2:$A$6000,0)),"")</f>
        <v/>
      </c>
      <c r="B961" t="str">
        <f>IFERROR(INDEX(Работы!$F$2:$F$6000,MATCH($C961,Работы!$A$2:$A$6000,0)),"")</f>
        <v/>
      </c>
      <c r="C961">
        <f>IFERROR(INDEX(Работы!$A$2:$A$6000,960),"")</f>
        <v>0</v>
      </c>
      <c r="D961" s="8" t="str">
        <f>IFERROR(INDEX(Работы!$B$2:$B$6000,MATCH($C961,Работы!$A$2:$A$6000,0)),"")</f>
        <v/>
      </c>
      <c r="E961" t="str">
        <f>IFERROR(INDEX(Работы!$C$2:$C$6000,MATCH($C961,Работы!$A$2:$A$6000,0)),"")</f>
        <v/>
      </c>
      <c r="F961" t="str">
        <f>IFERROR(INDEX(Работы!$G$2:$G$6000,MATCH($C961,Работы!$A$2:$A$6000,0)),"")</f>
        <v/>
      </c>
      <c r="G961" t="str">
        <f>IFERROR(INDEX(Работы!$K$2:$K$6000,MATCH($C961,Работы!$A$2:$A$6000,0)),"")</f>
        <v/>
      </c>
      <c r="H961" s="9"/>
      <c r="I961" s="9"/>
      <c r="J961" s="8" t="str">
        <f>IFERROR(INDEX(Материалы!$B$2:$B$9000,MATCH($I961,Материалы!$A$2:$A$9000,0)),"")</f>
        <v/>
      </c>
      <c r="K961" t="str">
        <f>IF($I961="","",IF($F961=IFERROR(INDEX(Материалы!$G$2:$G$9000,MATCH($I961,Материалы!$A$2:$A$9000,0)),""),"OK","!! не та группа"))</f>
        <v/>
      </c>
      <c r="L961" s="10">
        <f>IFERROR(INDEX(Работы!$H$2:$H$6000,MATCH($C961,Работы!$A$2:$A$6000,0))*(1-ДисконтТендер),0)</f>
        <v>0</v>
      </c>
      <c r="M961" s="10">
        <f>IF($I961="",0,IFERROR(INDEX(Материалы!$I$2:$I$9000,MATCH($I961,Материалы!$A$2:$A$9000,0))*IF(INDEX(Материалы!$J$2:$J$9000,MATCH($I961,Материалы!$A$2:$A$9000,0))="USD",КурсUSD,IF(INDEX(Материалы!$J$2:$J$9000,MATCH($I961,Материалы!$A$2:$A$9000,0))="EUR",КурсEUR,1))*INDEX(Материалы!$K$2:$K$9000,MATCH($I961,Материалы!$A$2:$A$9000,0))*(1+IFERROR(INDEX(Работы!$I$2:$I$6000,MATCH($C961,Работы!$A$2:$A$6000,0))/100,0))*(1-ДисконтТендер),0))</f>
        <v>0</v>
      </c>
      <c r="N961" s="10">
        <f t="shared" si="42"/>
        <v>0</v>
      </c>
      <c r="O961" s="10">
        <f t="shared" si="43"/>
        <v>0</v>
      </c>
      <c r="P961" s="10">
        <f t="shared" si="44"/>
        <v>0</v>
      </c>
      <c r="Q961" t="str">
        <f>IFERROR(INDEX(Работы!$J$2:$J$6000,MATCH($C961,Работы!$A$2:$A$6000,0)),"")</f>
        <v/>
      </c>
      <c r="R961" t="s">
        <v>92</v>
      </c>
      <c r="T961" t="str">
        <f>IF(AND($P961&gt;0,$R961="да"),MAX($T$1:$T960)+1,"")</f>
        <v/>
      </c>
    </row>
    <row r="962" spans="1:20" x14ac:dyDescent="0.3">
      <c r="A962" s="11" t="str">
        <f>IFERROR(INDEX(Работы!$D$2:$D$6000,MATCH($C962,Работы!$A$2:$A$6000,0)),"")</f>
        <v/>
      </c>
      <c r="B962" t="str">
        <f>IFERROR(INDEX(Работы!$F$2:$F$6000,MATCH($C962,Работы!$A$2:$A$6000,0)),"")</f>
        <v/>
      </c>
      <c r="C962">
        <f>IFERROR(INDEX(Работы!$A$2:$A$6000,961),"")</f>
        <v>0</v>
      </c>
      <c r="D962" s="8" t="str">
        <f>IFERROR(INDEX(Работы!$B$2:$B$6000,MATCH($C962,Работы!$A$2:$A$6000,0)),"")</f>
        <v/>
      </c>
      <c r="E962" t="str">
        <f>IFERROR(INDEX(Работы!$C$2:$C$6000,MATCH($C962,Работы!$A$2:$A$6000,0)),"")</f>
        <v/>
      </c>
      <c r="F962" t="str">
        <f>IFERROR(INDEX(Работы!$G$2:$G$6000,MATCH($C962,Работы!$A$2:$A$6000,0)),"")</f>
        <v/>
      </c>
      <c r="G962" t="str">
        <f>IFERROR(INDEX(Работы!$K$2:$K$6000,MATCH($C962,Работы!$A$2:$A$6000,0)),"")</f>
        <v/>
      </c>
      <c r="H962" s="9"/>
      <c r="I962" s="9"/>
      <c r="J962" s="8" t="str">
        <f>IFERROR(INDEX(Материалы!$B$2:$B$9000,MATCH($I962,Материалы!$A$2:$A$9000,0)),"")</f>
        <v/>
      </c>
      <c r="K962" t="str">
        <f>IF($I962="","",IF($F962=IFERROR(INDEX(Материалы!$G$2:$G$9000,MATCH($I962,Материалы!$A$2:$A$9000,0)),""),"OK","!! не та группа"))</f>
        <v/>
      </c>
      <c r="L962" s="10">
        <f>IFERROR(INDEX(Работы!$H$2:$H$6000,MATCH($C962,Работы!$A$2:$A$6000,0))*(1-ДисконтТендер),0)</f>
        <v>0</v>
      </c>
      <c r="M962" s="10">
        <f>IF($I962="",0,IFERROR(INDEX(Материалы!$I$2:$I$9000,MATCH($I962,Материалы!$A$2:$A$9000,0))*IF(INDEX(Материалы!$J$2:$J$9000,MATCH($I962,Материалы!$A$2:$A$9000,0))="USD",КурсUSD,IF(INDEX(Материалы!$J$2:$J$9000,MATCH($I962,Материалы!$A$2:$A$9000,0))="EUR",КурсEUR,1))*INDEX(Материалы!$K$2:$K$9000,MATCH($I962,Материалы!$A$2:$A$9000,0))*(1+IFERROR(INDEX(Работы!$I$2:$I$6000,MATCH($C962,Работы!$A$2:$A$6000,0))/100,0))*(1-ДисконтТендер),0))</f>
        <v>0</v>
      </c>
      <c r="N962" s="10">
        <f t="shared" ref="N962:N1025" si="45">IF(AND($R962="да",$H962&lt;&gt;""),ROUND($H962*$L962,2),0)</f>
        <v>0</v>
      </c>
      <c r="O962" s="10">
        <f t="shared" ref="O962:O1025" si="46">IF(AND($R962="да",$H962&lt;&gt;""),ROUND($H962*$M962,2),0)</f>
        <v>0</v>
      </c>
      <c r="P962" s="10">
        <f t="shared" ref="P962:P1025" si="47">$N962+$O962</f>
        <v>0</v>
      </c>
      <c r="Q962" t="str">
        <f>IFERROR(INDEX(Работы!$J$2:$J$6000,MATCH($C962,Работы!$A$2:$A$6000,0)),"")</f>
        <v/>
      </c>
      <c r="R962" t="s">
        <v>92</v>
      </c>
      <c r="T962" t="str">
        <f>IF(AND($P962&gt;0,$R962="да"),MAX($T$1:$T961)+1,"")</f>
        <v/>
      </c>
    </row>
    <row r="963" spans="1:20" x14ac:dyDescent="0.3">
      <c r="A963" s="11" t="str">
        <f>IFERROR(INDEX(Работы!$D$2:$D$6000,MATCH($C963,Работы!$A$2:$A$6000,0)),"")</f>
        <v/>
      </c>
      <c r="B963" t="str">
        <f>IFERROR(INDEX(Работы!$F$2:$F$6000,MATCH($C963,Работы!$A$2:$A$6000,0)),"")</f>
        <v/>
      </c>
      <c r="C963">
        <f>IFERROR(INDEX(Работы!$A$2:$A$6000,962),"")</f>
        <v>0</v>
      </c>
      <c r="D963" s="8" t="str">
        <f>IFERROR(INDEX(Работы!$B$2:$B$6000,MATCH($C963,Работы!$A$2:$A$6000,0)),"")</f>
        <v/>
      </c>
      <c r="E963" t="str">
        <f>IFERROR(INDEX(Работы!$C$2:$C$6000,MATCH($C963,Работы!$A$2:$A$6000,0)),"")</f>
        <v/>
      </c>
      <c r="F963" t="str">
        <f>IFERROR(INDEX(Работы!$G$2:$G$6000,MATCH($C963,Работы!$A$2:$A$6000,0)),"")</f>
        <v/>
      </c>
      <c r="G963" t="str">
        <f>IFERROR(INDEX(Работы!$K$2:$K$6000,MATCH($C963,Работы!$A$2:$A$6000,0)),"")</f>
        <v/>
      </c>
      <c r="H963" s="9"/>
      <c r="I963" s="9"/>
      <c r="J963" s="8" t="str">
        <f>IFERROR(INDEX(Материалы!$B$2:$B$9000,MATCH($I963,Материалы!$A$2:$A$9000,0)),"")</f>
        <v/>
      </c>
      <c r="K963" t="str">
        <f>IF($I963="","",IF($F963=IFERROR(INDEX(Материалы!$G$2:$G$9000,MATCH($I963,Материалы!$A$2:$A$9000,0)),""),"OK","!! не та группа"))</f>
        <v/>
      </c>
      <c r="L963" s="10">
        <f>IFERROR(INDEX(Работы!$H$2:$H$6000,MATCH($C963,Работы!$A$2:$A$6000,0))*(1-ДисконтТендер),0)</f>
        <v>0</v>
      </c>
      <c r="M963" s="10">
        <f>IF($I963="",0,IFERROR(INDEX(Материалы!$I$2:$I$9000,MATCH($I963,Материалы!$A$2:$A$9000,0))*IF(INDEX(Материалы!$J$2:$J$9000,MATCH($I963,Материалы!$A$2:$A$9000,0))="USD",КурсUSD,IF(INDEX(Материалы!$J$2:$J$9000,MATCH($I963,Материалы!$A$2:$A$9000,0))="EUR",КурсEUR,1))*INDEX(Материалы!$K$2:$K$9000,MATCH($I963,Материалы!$A$2:$A$9000,0))*(1+IFERROR(INDEX(Работы!$I$2:$I$6000,MATCH($C963,Работы!$A$2:$A$6000,0))/100,0))*(1-ДисконтТендер),0))</f>
        <v>0</v>
      </c>
      <c r="N963" s="10">
        <f t="shared" si="45"/>
        <v>0</v>
      </c>
      <c r="O963" s="10">
        <f t="shared" si="46"/>
        <v>0</v>
      </c>
      <c r="P963" s="10">
        <f t="shared" si="47"/>
        <v>0</v>
      </c>
      <c r="Q963" t="str">
        <f>IFERROR(INDEX(Работы!$J$2:$J$6000,MATCH($C963,Работы!$A$2:$A$6000,0)),"")</f>
        <v/>
      </c>
      <c r="R963" t="s">
        <v>92</v>
      </c>
      <c r="T963" t="str">
        <f>IF(AND($P963&gt;0,$R963="да"),MAX($T$1:$T962)+1,"")</f>
        <v/>
      </c>
    </row>
    <row r="964" spans="1:20" x14ac:dyDescent="0.3">
      <c r="A964" s="11" t="str">
        <f>IFERROR(INDEX(Работы!$D$2:$D$6000,MATCH($C964,Работы!$A$2:$A$6000,0)),"")</f>
        <v/>
      </c>
      <c r="B964" t="str">
        <f>IFERROR(INDEX(Работы!$F$2:$F$6000,MATCH($C964,Работы!$A$2:$A$6000,0)),"")</f>
        <v/>
      </c>
      <c r="C964">
        <f>IFERROR(INDEX(Работы!$A$2:$A$6000,963),"")</f>
        <v>0</v>
      </c>
      <c r="D964" s="8" t="str">
        <f>IFERROR(INDEX(Работы!$B$2:$B$6000,MATCH($C964,Работы!$A$2:$A$6000,0)),"")</f>
        <v/>
      </c>
      <c r="E964" t="str">
        <f>IFERROR(INDEX(Работы!$C$2:$C$6000,MATCH($C964,Работы!$A$2:$A$6000,0)),"")</f>
        <v/>
      </c>
      <c r="F964" t="str">
        <f>IFERROR(INDEX(Работы!$G$2:$G$6000,MATCH($C964,Работы!$A$2:$A$6000,0)),"")</f>
        <v/>
      </c>
      <c r="G964" t="str">
        <f>IFERROR(INDEX(Работы!$K$2:$K$6000,MATCH($C964,Работы!$A$2:$A$6000,0)),"")</f>
        <v/>
      </c>
      <c r="H964" s="9"/>
      <c r="I964" s="9"/>
      <c r="J964" s="8" t="str">
        <f>IFERROR(INDEX(Материалы!$B$2:$B$9000,MATCH($I964,Материалы!$A$2:$A$9000,0)),"")</f>
        <v/>
      </c>
      <c r="K964" t="str">
        <f>IF($I964="","",IF($F964=IFERROR(INDEX(Материалы!$G$2:$G$9000,MATCH($I964,Материалы!$A$2:$A$9000,0)),""),"OK","!! не та группа"))</f>
        <v/>
      </c>
      <c r="L964" s="10">
        <f>IFERROR(INDEX(Работы!$H$2:$H$6000,MATCH($C964,Работы!$A$2:$A$6000,0))*(1-ДисконтТендер),0)</f>
        <v>0</v>
      </c>
      <c r="M964" s="10">
        <f>IF($I964="",0,IFERROR(INDEX(Материалы!$I$2:$I$9000,MATCH($I964,Материалы!$A$2:$A$9000,0))*IF(INDEX(Материалы!$J$2:$J$9000,MATCH($I964,Материалы!$A$2:$A$9000,0))="USD",КурсUSD,IF(INDEX(Материалы!$J$2:$J$9000,MATCH($I964,Материалы!$A$2:$A$9000,0))="EUR",КурсEUR,1))*INDEX(Материалы!$K$2:$K$9000,MATCH($I964,Материалы!$A$2:$A$9000,0))*(1+IFERROR(INDEX(Работы!$I$2:$I$6000,MATCH($C964,Работы!$A$2:$A$6000,0))/100,0))*(1-ДисконтТендер),0))</f>
        <v>0</v>
      </c>
      <c r="N964" s="10">
        <f t="shared" si="45"/>
        <v>0</v>
      </c>
      <c r="O964" s="10">
        <f t="shared" si="46"/>
        <v>0</v>
      </c>
      <c r="P964" s="10">
        <f t="shared" si="47"/>
        <v>0</v>
      </c>
      <c r="Q964" t="str">
        <f>IFERROR(INDEX(Работы!$J$2:$J$6000,MATCH($C964,Работы!$A$2:$A$6000,0)),"")</f>
        <v/>
      </c>
      <c r="R964" t="s">
        <v>92</v>
      </c>
      <c r="T964" t="str">
        <f>IF(AND($P964&gt;0,$R964="да"),MAX($T$1:$T963)+1,"")</f>
        <v/>
      </c>
    </row>
    <row r="965" spans="1:20" x14ac:dyDescent="0.3">
      <c r="A965" s="11" t="str">
        <f>IFERROR(INDEX(Работы!$D$2:$D$6000,MATCH($C965,Работы!$A$2:$A$6000,0)),"")</f>
        <v/>
      </c>
      <c r="B965" t="str">
        <f>IFERROR(INDEX(Работы!$F$2:$F$6000,MATCH($C965,Работы!$A$2:$A$6000,0)),"")</f>
        <v/>
      </c>
      <c r="C965">
        <f>IFERROR(INDEX(Работы!$A$2:$A$6000,964),"")</f>
        <v>0</v>
      </c>
      <c r="D965" s="8" t="str">
        <f>IFERROR(INDEX(Работы!$B$2:$B$6000,MATCH($C965,Работы!$A$2:$A$6000,0)),"")</f>
        <v/>
      </c>
      <c r="E965" t="str">
        <f>IFERROR(INDEX(Работы!$C$2:$C$6000,MATCH($C965,Работы!$A$2:$A$6000,0)),"")</f>
        <v/>
      </c>
      <c r="F965" t="str">
        <f>IFERROR(INDEX(Работы!$G$2:$G$6000,MATCH($C965,Работы!$A$2:$A$6000,0)),"")</f>
        <v/>
      </c>
      <c r="G965" t="str">
        <f>IFERROR(INDEX(Работы!$K$2:$K$6000,MATCH($C965,Работы!$A$2:$A$6000,0)),"")</f>
        <v/>
      </c>
      <c r="H965" s="9"/>
      <c r="I965" s="9"/>
      <c r="J965" s="8" t="str">
        <f>IFERROR(INDEX(Материалы!$B$2:$B$9000,MATCH($I965,Материалы!$A$2:$A$9000,0)),"")</f>
        <v/>
      </c>
      <c r="K965" t="str">
        <f>IF($I965="","",IF($F965=IFERROR(INDEX(Материалы!$G$2:$G$9000,MATCH($I965,Материалы!$A$2:$A$9000,0)),""),"OK","!! не та группа"))</f>
        <v/>
      </c>
      <c r="L965" s="10">
        <f>IFERROR(INDEX(Работы!$H$2:$H$6000,MATCH($C965,Работы!$A$2:$A$6000,0))*(1-ДисконтТендер),0)</f>
        <v>0</v>
      </c>
      <c r="M965" s="10">
        <f>IF($I965="",0,IFERROR(INDEX(Материалы!$I$2:$I$9000,MATCH($I965,Материалы!$A$2:$A$9000,0))*IF(INDEX(Материалы!$J$2:$J$9000,MATCH($I965,Материалы!$A$2:$A$9000,0))="USD",КурсUSD,IF(INDEX(Материалы!$J$2:$J$9000,MATCH($I965,Материалы!$A$2:$A$9000,0))="EUR",КурсEUR,1))*INDEX(Материалы!$K$2:$K$9000,MATCH($I965,Материалы!$A$2:$A$9000,0))*(1+IFERROR(INDEX(Работы!$I$2:$I$6000,MATCH($C965,Работы!$A$2:$A$6000,0))/100,0))*(1-ДисконтТендер),0))</f>
        <v>0</v>
      </c>
      <c r="N965" s="10">
        <f t="shared" si="45"/>
        <v>0</v>
      </c>
      <c r="O965" s="10">
        <f t="shared" si="46"/>
        <v>0</v>
      </c>
      <c r="P965" s="10">
        <f t="shared" si="47"/>
        <v>0</v>
      </c>
      <c r="Q965" t="str">
        <f>IFERROR(INDEX(Работы!$J$2:$J$6000,MATCH($C965,Работы!$A$2:$A$6000,0)),"")</f>
        <v/>
      </c>
      <c r="R965" t="s">
        <v>92</v>
      </c>
      <c r="T965" t="str">
        <f>IF(AND($P965&gt;0,$R965="да"),MAX($T$1:$T964)+1,"")</f>
        <v/>
      </c>
    </row>
    <row r="966" spans="1:20" x14ac:dyDescent="0.3">
      <c r="A966" s="11" t="str">
        <f>IFERROR(INDEX(Работы!$D$2:$D$6000,MATCH($C966,Работы!$A$2:$A$6000,0)),"")</f>
        <v/>
      </c>
      <c r="B966" t="str">
        <f>IFERROR(INDEX(Работы!$F$2:$F$6000,MATCH($C966,Работы!$A$2:$A$6000,0)),"")</f>
        <v/>
      </c>
      <c r="C966">
        <f>IFERROR(INDEX(Работы!$A$2:$A$6000,965),"")</f>
        <v>0</v>
      </c>
      <c r="D966" s="8" t="str">
        <f>IFERROR(INDEX(Работы!$B$2:$B$6000,MATCH($C966,Работы!$A$2:$A$6000,0)),"")</f>
        <v/>
      </c>
      <c r="E966" t="str">
        <f>IFERROR(INDEX(Работы!$C$2:$C$6000,MATCH($C966,Работы!$A$2:$A$6000,0)),"")</f>
        <v/>
      </c>
      <c r="F966" t="str">
        <f>IFERROR(INDEX(Работы!$G$2:$G$6000,MATCH($C966,Работы!$A$2:$A$6000,0)),"")</f>
        <v/>
      </c>
      <c r="G966" t="str">
        <f>IFERROR(INDEX(Работы!$K$2:$K$6000,MATCH($C966,Работы!$A$2:$A$6000,0)),"")</f>
        <v/>
      </c>
      <c r="H966" s="9"/>
      <c r="I966" s="9"/>
      <c r="J966" s="8" t="str">
        <f>IFERROR(INDEX(Материалы!$B$2:$B$9000,MATCH($I966,Материалы!$A$2:$A$9000,0)),"")</f>
        <v/>
      </c>
      <c r="K966" t="str">
        <f>IF($I966="","",IF($F966=IFERROR(INDEX(Материалы!$G$2:$G$9000,MATCH($I966,Материалы!$A$2:$A$9000,0)),""),"OK","!! не та группа"))</f>
        <v/>
      </c>
      <c r="L966" s="10">
        <f>IFERROR(INDEX(Работы!$H$2:$H$6000,MATCH($C966,Работы!$A$2:$A$6000,0))*(1-ДисконтТендер),0)</f>
        <v>0</v>
      </c>
      <c r="M966" s="10">
        <f>IF($I966="",0,IFERROR(INDEX(Материалы!$I$2:$I$9000,MATCH($I966,Материалы!$A$2:$A$9000,0))*IF(INDEX(Материалы!$J$2:$J$9000,MATCH($I966,Материалы!$A$2:$A$9000,0))="USD",КурсUSD,IF(INDEX(Материалы!$J$2:$J$9000,MATCH($I966,Материалы!$A$2:$A$9000,0))="EUR",КурсEUR,1))*INDEX(Материалы!$K$2:$K$9000,MATCH($I966,Материалы!$A$2:$A$9000,0))*(1+IFERROR(INDEX(Работы!$I$2:$I$6000,MATCH($C966,Работы!$A$2:$A$6000,0))/100,0))*(1-ДисконтТендер),0))</f>
        <v>0</v>
      </c>
      <c r="N966" s="10">
        <f t="shared" si="45"/>
        <v>0</v>
      </c>
      <c r="O966" s="10">
        <f t="shared" si="46"/>
        <v>0</v>
      </c>
      <c r="P966" s="10">
        <f t="shared" si="47"/>
        <v>0</v>
      </c>
      <c r="Q966" t="str">
        <f>IFERROR(INDEX(Работы!$J$2:$J$6000,MATCH($C966,Работы!$A$2:$A$6000,0)),"")</f>
        <v/>
      </c>
      <c r="R966" t="s">
        <v>92</v>
      </c>
      <c r="T966" t="str">
        <f>IF(AND($P966&gt;0,$R966="да"),MAX($T$1:$T965)+1,"")</f>
        <v/>
      </c>
    </row>
    <row r="967" spans="1:20" x14ac:dyDescent="0.3">
      <c r="A967" s="11" t="str">
        <f>IFERROR(INDEX(Работы!$D$2:$D$6000,MATCH($C967,Работы!$A$2:$A$6000,0)),"")</f>
        <v/>
      </c>
      <c r="B967" t="str">
        <f>IFERROR(INDEX(Работы!$F$2:$F$6000,MATCH($C967,Работы!$A$2:$A$6000,0)),"")</f>
        <v/>
      </c>
      <c r="C967">
        <f>IFERROR(INDEX(Работы!$A$2:$A$6000,966),"")</f>
        <v>0</v>
      </c>
      <c r="D967" s="8" t="str">
        <f>IFERROR(INDEX(Работы!$B$2:$B$6000,MATCH($C967,Работы!$A$2:$A$6000,0)),"")</f>
        <v/>
      </c>
      <c r="E967" t="str">
        <f>IFERROR(INDEX(Работы!$C$2:$C$6000,MATCH($C967,Работы!$A$2:$A$6000,0)),"")</f>
        <v/>
      </c>
      <c r="F967" t="str">
        <f>IFERROR(INDEX(Работы!$G$2:$G$6000,MATCH($C967,Работы!$A$2:$A$6000,0)),"")</f>
        <v/>
      </c>
      <c r="G967" t="str">
        <f>IFERROR(INDEX(Работы!$K$2:$K$6000,MATCH($C967,Работы!$A$2:$A$6000,0)),"")</f>
        <v/>
      </c>
      <c r="H967" s="9"/>
      <c r="I967" s="9"/>
      <c r="J967" s="8" t="str">
        <f>IFERROR(INDEX(Материалы!$B$2:$B$9000,MATCH($I967,Материалы!$A$2:$A$9000,0)),"")</f>
        <v/>
      </c>
      <c r="K967" t="str">
        <f>IF($I967="","",IF($F967=IFERROR(INDEX(Материалы!$G$2:$G$9000,MATCH($I967,Материалы!$A$2:$A$9000,0)),""),"OK","!! не та группа"))</f>
        <v/>
      </c>
      <c r="L967" s="10">
        <f>IFERROR(INDEX(Работы!$H$2:$H$6000,MATCH($C967,Работы!$A$2:$A$6000,0))*(1-ДисконтТендер),0)</f>
        <v>0</v>
      </c>
      <c r="M967" s="10">
        <f>IF($I967="",0,IFERROR(INDEX(Материалы!$I$2:$I$9000,MATCH($I967,Материалы!$A$2:$A$9000,0))*IF(INDEX(Материалы!$J$2:$J$9000,MATCH($I967,Материалы!$A$2:$A$9000,0))="USD",КурсUSD,IF(INDEX(Материалы!$J$2:$J$9000,MATCH($I967,Материалы!$A$2:$A$9000,0))="EUR",КурсEUR,1))*INDEX(Материалы!$K$2:$K$9000,MATCH($I967,Материалы!$A$2:$A$9000,0))*(1+IFERROR(INDEX(Работы!$I$2:$I$6000,MATCH($C967,Работы!$A$2:$A$6000,0))/100,0))*(1-ДисконтТендер),0))</f>
        <v>0</v>
      </c>
      <c r="N967" s="10">
        <f t="shared" si="45"/>
        <v>0</v>
      </c>
      <c r="O967" s="10">
        <f t="shared" si="46"/>
        <v>0</v>
      </c>
      <c r="P967" s="10">
        <f t="shared" si="47"/>
        <v>0</v>
      </c>
      <c r="Q967" t="str">
        <f>IFERROR(INDEX(Работы!$J$2:$J$6000,MATCH($C967,Работы!$A$2:$A$6000,0)),"")</f>
        <v/>
      </c>
      <c r="R967" t="s">
        <v>92</v>
      </c>
      <c r="T967" t="str">
        <f>IF(AND($P967&gt;0,$R967="да"),MAX($T$1:$T966)+1,"")</f>
        <v/>
      </c>
    </row>
    <row r="968" spans="1:20" x14ac:dyDescent="0.3">
      <c r="A968" s="11" t="str">
        <f>IFERROR(INDEX(Работы!$D$2:$D$6000,MATCH($C968,Работы!$A$2:$A$6000,0)),"")</f>
        <v/>
      </c>
      <c r="B968" t="str">
        <f>IFERROR(INDEX(Работы!$F$2:$F$6000,MATCH($C968,Работы!$A$2:$A$6000,0)),"")</f>
        <v/>
      </c>
      <c r="C968">
        <f>IFERROR(INDEX(Работы!$A$2:$A$6000,967),"")</f>
        <v>0</v>
      </c>
      <c r="D968" s="8" t="str">
        <f>IFERROR(INDEX(Работы!$B$2:$B$6000,MATCH($C968,Работы!$A$2:$A$6000,0)),"")</f>
        <v/>
      </c>
      <c r="E968" t="str">
        <f>IFERROR(INDEX(Работы!$C$2:$C$6000,MATCH($C968,Работы!$A$2:$A$6000,0)),"")</f>
        <v/>
      </c>
      <c r="F968" t="str">
        <f>IFERROR(INDEX(Работы!$G$2:$G$6000,MATCH($C968,Работы!$A$2:$A$6000,0)),"")</f>
        <v/>
      </c>
      <c r="G968" t="str">
        <f>IFERROR(INDEX(Работы!$K$2:$K$6000,MATCH($C968,Работы!$A$2:$A$6000,0)),"")</f>
        <v/>
      </c>
      <c r="H968" s="9"/>
      <c r="I968" s="9"/>
      <c r="J968" s="8" t="str">
        <f>IFERROR(INDEX(Материалы!$B$2:$B$9000,MATCH($I968,Материалы!$A$2:$A$9000,0)),"")</f>
        <v/>
      </c>
      <c r="K968" t="str">
        <f>IF($I968="","",IF($F968=IFERROR(INDEX(Материалы!$G$2:$G$9000,MATCH($I968,Материалы!$A$2:$A$9000,0)),""),"OK","!! не та группа"))</f>
        <v/>
      </c>
      <c r="L968" s="10">
        <f>IFERROR(INDEX(Работы!$H$2:$H$6000,MATCH($C968,Работы!$A$2:$A$6000,0))*(1-ДисконтТендер),0)</f>
        <v>0</v>
      </c>
      <c r="M968" s="10">
        <f>IF($I968="",0,IFERROR(INDEX(Материалы!$I$2:$I$9000,MATCH($I968,Материалы!$A$2:$A$9000,0))*IF(INDEX(Материалы!$J$2:$J$9000,MATCH($I968,Материалы!$A$2:$A$9000,0))="USD",КурсUSD,IF(INDEX(Материалы!$J$2:$J$9000,MATCH($I968,Материалы!$A$2:$A$9000,0))="EUR",КурсEUR,1))*INDEX(Материалы!$K$2:$K$9000,MATCH($I968,Материалы!$A$2:$A$9000,0))*(1+IFERROR(INDEX(Работы!$I$2:$I$6000,MATCH($C968,Работы!$A$2:$A$6000,0))/100,0))*(1-ДисконтТендер),0))</f>
        <v>0</v>
      </c>
      <c r="N968" s="10">
        <f t="shared" si="45"/>
        <v>0</v>
      </c>
      <c r="O968" s="10">
        <f t="shared" si="46"/>
        <v>0</v>
      </c>
      <c r="P968" s="10">
        <f t="shared" si="47"/>
        <v>0</v>
      </c>
      <c r="Q968" t="str">
        <f>IFERROR(INDEX(Работы!$J$2:$J$6000,MATCH($C968,Работы!$A$2:$A$6000,0)),"")</f>
        <v/>
      </c>
      <c r="R968" t="s">
        <v>92</v>
      </c>
      <c r="T968" t="str">
        <f>IF(AND($P968&gt;0,$R968="да"),MAX($T$1:$T967)+1,"")</f>
        <v/>
      </c>
    </row>
    <row r="969" spans="1:20" x14ac:dyDescent="0.3">
      <c r="A969" s="11" t="str">
        <f>IFERROR(INDEX(Работы!$D$2:$D$6000,MATCH($C969,Работы!$A$2:$A$6000,0)),"")</f>
        <v/>
      </c>
      <c r="B969" t="str">
        <f>IFERROR(INDEX(Работы!$F$2:$F$6000,MATCH($C969,Работы!$A$2:$A$6000,0)),"")</f>
        <v/>
      </c>
      <c r="C969">
        <f>IFERROR(INDEX(Работы!$A$2:$A$6000,968),"")</f>
        <v>0</v>
      </c>
      <c r="D969" s="8" t="str">
        <f>IFERROR(INDEX(Работы!$B$2:$B$6000,MATCH($C969,Работы!$A$2:$A$6000,0)),"")</f>
        <v/>
      </c>
      <c r="E969" t="str">
        <f>IFERROR(INDEX(Работы!$C$2:$C$6000,MATCH($C969,Работы!$A$2:$A$6000,0)),"")</f>
        <v/>
      </c>
      <c r="F969" t="str">
        <f>IFERROR(INDEX(Работы!$G$2:$G$6000,MATCH($C969,Работы!$A$2:$A$6000,0)),"")</f>
        <v/>
      </c>
      <c r="G969" t="str">
        <f>IFERROR(INDEX(Работы!$K$2:$K$6000,MATCH($C969,Работы!$A$2:$A$6000,0)),"")</f>
        <v/>
      </c>
      <c r="H969" s="9"/>
      <c r="I969" s="9"/>
      <c r="J969" s="8" t="str">
        <f>IFERROR(INDEX(Материалы!$B$2:$B$9000,MATCH($I969,Материалы!$A$2:$A$9000,0)),"")</f>
        <v/>
      </c>
      <c r="K969" t="str">
        <f>IF($I969="","",IF($F969=IFERROR(INDEX(Материалы!$G$2:$G$9000,MATCH($I969,Материалы!$A$2:$A$9000,0)),""),"OK","!! не та группа"))</f>
        <v/>
      </c>
      <c r="L969" s="10">
        <f>IFERROR(INDEX(Работы!$H$2:$H$6000,MATCH($C969,Работы!$A$2:$A$6000,0))*(1-ДисконтТендер),0)</f>
        <v>0</v>
      </c>
      <c r="M969" s="10">
        <f>IF($I969="",0,IFERROR(INDEX(Материалы!$I$2:$I$9000,MATCH($I969,Материалы!$A$2:$A$9000,0))*IF(INDEX(Материалы!$J$2:$J$9000,MATCH($I969,Материалы!$A$2:$A$9000,0))="USD",КурсUSD,IF(INDEX(Материалы!$J$2:$J$9000,MATCH($I969,Материалы!$A$2:$A$9000,0))="EUR",КурсEUR,1))*INDEX(Материалы!$K$2:$K$9000,MATCH($I969,Материалы!$A$2:$A$9000,0))*(1+IFERROR(INDEX(Работы!$I$2:$I$6000,MATCH($C969,Работы!$A$2:$A$6000,0))/100,0))*(1-ДисконтТендер),0))</f>
        <v>0</v>
      </c>
      <c r="N969" s="10">
        <f t="shared" si="45"/>
        <v>0</v>
      </c>
      <c r="O969" s="10">
        <f t="shared" si="46"/>
        <v>0</v>
      </c>
      <c r="P969" s="10">
        <f t="shared" si="47"/>
        <v>0</v>
      </c>
      <c r="Q969" t="str">
        <f>IFERROR(INDEX(Работы!$J$2:$J$6000,MATCH($C969,Работы!$A$2:$A$6000,0)),"")</f>
        <v/>
      </c>
      <c r="R969" t="s">
        <v>92</v>
      </c>
      <c r="T969" t="str">
        <f>IF(AND($P969&gt;0,$R969="да"),MAX($T$1:$T968)+1,"")</f>
        <v/>
      </c>
    </row>
    <row r="970" spans="1:20" x14ac:dyDescent="0.3">
      <c r="A970" s="11" t="str">
        <f>IFERROR(INDEX(Работы!$D$2:$D$6000,MATCH($C970,Работы!$A$2:$A$6000,0)),"")</f>
        <v/>
      </c>
      <c r="B970" t="str">
        <f>IFERROR(INDEX(Работы!$F$2:$F$6000,MATCH($C970,Работы!$A$2:$A$6000,0)),"")</f>
        <v/>
      </c>
      <c r="C970">
        <f>IFERROR(INDEX(Работы!$A$2:$A$6000,969),"")</f>
        <v>0</v>
      </c>
      <c r="D970" s="8" t="str">
        <f>IFERROR(INDEX(Работы!$B$2:$B$6000,MATCH($C970,Работы!$A$2:$A$6000,0)),"")</f>
        <v/>
      </c>
      <c r="E970" t="str">
        <f>IFERROR(INDEX(Работы!$C$2:$C$6000,MATCH($C970,Работы!$A$2:$A$6000,0)),"")</f>
        <v/>
      </c>
      <c r="F970" t="str">
        <f>IFERROR(INDEX(Работы!$G$2:$G$6000,MATCH($C970,Работы!$A$2:$A$6000,0)),"")</f>
        <v/>
      </c>
      <c r="G970" t="str">
        <f>IFERROR(INDEX(Работы!$K$2:$K$6000,MATCH($C970,Работы!$A$2:$A$6000,0)),"")</f>
        <v/>
      </c>
      <c r="H970" s="9"/>
      <c r="I970" s="9"/>
      <c r="J970" s="8" t="str">
        <f>IFERROR(INDEX(Материалы!$B$2:$B$9000,MATCH($I970,Материалы!$A$2:$A$9000,0)),"")</f>
        <v/>
      </c>
      <c r="K970" t="str">
        <f>IF($I970="","",IF($F970=IFERROR(INDEX(Материалы!$G$2:$G$9000,MATCH($I970,Материалы!$A$2:$A$9000,0)),""),"OK","!! не та группа"))</f>
        <v/>
      </c>
      <c r="L970" s="10">
        <f>IFERROR(INDEX(Работы!$H$2:$H$6000,MATCH($C970,Работы!$A$2:$A$6000,0))*(1-ДисконтТендер),0)</f>
        <v>0</v>
      </c>
      <c r="M970" s="10">
        <f>IF($I970="",0,IFERROR(INDEX(Материалы!$I$2:$I$9000,MATCH($I970,Материалы!$A$2:$A$9000,0))*IF(INDEX(Материалы!$J$2:$J$9000,MATCH($I970,Материалы!$A$2:$A$9000,0))="USD",КурсUSD,IF(INDEX(Материалы!$J$2:$J$9000,MATCH($I970,Материалы!$A$2:$A$9000,0))="EUR",КурсEUR,1))*INDEX(Материалы!$K$2:$K$9000,MATCH($I970,Материалы!$A$2:$A$9000,0))*(1+IFERROR(INDEX(Работы!$I$2:$I$6000,MATCH($C970,Работы!$A$2:$A$6000,0))/100,0))*(1-ДисконтТендер),0))</f>
        <v>0</v>
      </c>
      <c r="N970" s="10">
        <f t="shared" si="45"/>
        <v>0</v>
      </c>
      <c r="O970" s="10">
        <f t="shared" si="46"/>
        <v>0</v>
      </c>
      <c r="P970" s="10">
        <f t="shared" si="47"/>
        <v>0</v>
      </c>
      <c r="Q970" t="str">
        <f>IFERROR(INDEX(Работы!$J$2:$J$6000,MATCH($C970,Работы!$A$2:$A$6000,0)),"")</f>
        <v/>
      </c>
      <c r="R970" t="s">
        <v>92</v>
      </c>
      <c r="T970" t="str">
        <f>IF(AND($P970&gt;0,$R970="да"),MAX($T$1:$T969)+1,"")</f>
        <v/>
      </c>
    </row>
    <row r="971" spans="1:20" x14ac:dyDescent="0.3">
      <c r="A971" s="11" t="str">
        <f>IFERROR(INDEX(Работы!$D$2:$D$6000,MATCH($C971,Работы!$A$2:$A$6000,0)),"")</f>
        <v/>
      </c>
      <c r="B971" t="str">
        <f>IFERROR(INDEX(Работы!$F$2:$F$6000,MATCH($C971,Работы!$A$2:$A$6000,0)),"")</f>
        <v/>
      </c>
      <c r="C971">
        <f>IFERROR(INDEX(Работы!$A$2:$A$6000,970),"")</f>
        <v>0</v>
      </c>
      <c r="D971" s="8" t="str">
        <f>IFERROR(INDEX(Работы!$B$2:$B$6000,MATCH($C971,Работы!$A$2:$A$6000,0)),"")</f>
        <v/>
      </c>
      <c r="E971" t="str">
        <f>IFERROR(INDEX(Работы!$C$2:$C$6000,MATCH($C971,Работы!$A$2:$A$6000,0)),"")</f>
        <v/>
      </c>
      <c r="F971" t="str">
        <f>IFERROR(INDEX(Работы!$G$2:$G$6000,MATCH($C971,Работы!$A$2:$A$6000,0)),"")</f>
        <v/>
      </c>
      <c r="G971" t="str">
        <f>IFERROR(INDEX(Работы!$K$2:$K$6000,MATCH($C971,Работы!$A$2:$A$6000,0)),"")</f>
        <v/>
      </c>
      <c r="H971" s="9"/>
      <c r="I971" s="9"/>
      <c r="J971" s="8" t="str">
        <f>IFERROR(INDEX(Материалы!$B$2:$B$9000,MATCH($I971,Материалы!$A$2:$A$9000,0)),"")</f>
        <v/>
      </c>
      <c r="K971" t="str">
        <f>IF($I971="","",IF($F971=IFERROR(INDEX(Материалы!$G$2:$G$9000,MATCH($I971,Материалы!$A$2:$A$9000,0)),""),"OK","!! не та группа"))</f>
        <v/>
      </c>
      <c r="L971" s="10">
        <f>IFERROR(INDEX(Работы!$H$2:$H$6000,MATCH($C971,Работы!$A$2:$A$6000,0))*(1-ДисконтТендер),0)</f>
        <v>0</v>
      </c>
      <c r="M971" s="10">
        <f>IF($I971="",0,IFERROR(INDEX(Материалы!$I$2:$I$9000,MATCH($I971,Материалы!$A$2:$A$9000,0))*IF(INDEX(Материалы!$J$2:$J$9000,MATCH($I971,Материалы!$A$2:$A$9000,0))="USD",КурсUSD,IF(INDEX(Материалы!$J$2:$J$9000,MATCH($I971,Материалы!$A$2:$A$9000,0))="EUR",КурсEUR,1))*INDEX(Материалы!$K$2:$K$9000,MATCH($I971,Материалы!$A$2:$A$9000,0))*(1+IFERROR(INDEX(Работы!$I$2:$I$6000,MATCH($C971,Работы!$A$2:$A$6000,0))/100,0))*(1-ДисконтТендер),0))</f>
        <v>0</v>
      </c>
      <c r="N971" s="10">
        <f t="shared" si="45"/>
        <v>0</v>
      </c>
      <c r="O971" s="10">
        <f t="shared" si="46"/>
        <v>0</v>
      </c>
      <c r="P971" s="10">
        <f t="shared" si="47"/>
        <v>0</v>
      </c>
      <c r="Q971" t="str">
        <f>IFERROR(INDEX(Работы!$J$2:$J$6000,MATCH($C971,Работы!$A$2:$A$6000,0)),"")</f>
        <v/>
      </c>
      <c r="R971" t="s">
        <v>92</v>
      </c>
      <c r="T971" t="str">
        <f>IF(AND($P971&gt;0,$R971="да"),MAX($T$1:$T970)+1,"")</f>
        <v/>
      </c>
    </row>
    <row r="972" spans="1:20" x14ac:dyDescent="0.3">
      <c r="A972" s="11" t="str">
        <f>IFERROR(INDEX(Работы!$D$2:$D$6000,MATCH($C972,Работы!$A$2:$A$6000,0)),"")</f>
        <v/>
      </c>
      <c r="B972" t="str">
        <f>IFERROR(INDEX(Работы!$F$2:$F$6000,MATCH($C972,Работы!$A$2:$A$6000,0)),"")</f>
        <v/>
      </c>
      <c r="C972">
        <f>IFERROR(INDEX(Работы!$A$2:$A$6000,971),"")</f>
        <v>0</v>
      </c>
      <c r="D972" s="8" t="str">
        <f>IFERROR(INDEX(Работы!$B$2:$B$6000,MATCH($C972,Работы!$A$2:$A$6000,0)),"")</f>
        <v/>
      </c>
      <c r="E972" t="str">
        <f>IFERROR(INDEX(Работы!$C$2:$C$6000,MATCH($C972,Работы!$A$2:$A$6000,0)),"")</f>
        <v/>
      </c>
      <c r="F972" t="str">
        <f>IFERROR(INDEX(Работы!$G$2:$G$6000,MATCH($C972,Работы!$A$2:$A$6000,0)),"")</f>
        <v/>
      </c>
      <c r="G972" t="str">
        <f>IFERROR(INDEX(Работы!$K$2:$K$6000,MATCH($C972,Работы!$A$2:$A$6000,0)),"")</f>
        <v/>
      </c>
      <c r="H972" s="9"/>
      <c r="I972" s="9"/>
      <c r="J972" s="8" t="str">
        <f>IFERROR(INDEX(Материалы!$B$2:$B$9000,MATCH($I972,Материалы!$A$2:$A$9000,0)),"")</f>
        <v/>
      </c>
      <c r="K972" t="str">
        <f>IF($I972="","",IF($F972=IFERROR(INDEX(Материалы!$G$2:$G$9000,MATCH($I972,Материалы!$A$2:$A$9000,0)),""),"OK","!! не та группа"))</f>
        <v/>
      </c>
      <c r="L972" s="10">
        <f>IFERROR(INDEX(Работы!$H$2:$H$6000,MATCH($C972,Работы!$A$2:$A$6000,0))*(1-ДисконтТендер),0)</f>
        <v>0</v>
      </c>
      <c r="M972" s="10">
        <f>IF($I972="",0,IFERROR(INDEX(Материалы!$I$2:$I$9000,MATCH($I972,Материалы!$A$2:$A$9000,0))*IF(INDEX(Материалы!$J$2:$J$9000,MATCH($I972,Материалы!$A$2:$A$9000,0))="USD",КурсUSD,IF(INDEX(Материалы!$J$2:$J$9000,MATCH($I972,Материалы!$A$2:$A$9000,0))="EUR",КурсEUR,1))*INDEX(Материалы!$K$2:$K$9000,MATCH($I972,Материалы!$A$2:$A$9000,0))*(1+IFERROR(INDEX(Работы!$I$2:$I$6000,MATCH($C972,Работы!$A$2:$A$6000,0))/100,0))*(1-ДисконтТендер),0))</f>
        <v>0</v>
      </c>
      <c r="N972" s="10">
        <f t="shared" si="45"/>
        <v>0</v>
      </c>
      <c r="O972" s="10">
        <f t="shared" si="46"/>
        <v>0</v>
      </c>
      <c r="P972" s="10">
        <f t="shared" si="47"/>
        <v>0</v>
      </c>
      <c r="Q972" t="str">
        <f>IFERROR(INDEX(Работы!$J$2:$J$6000,MATCH($C972,Работы!$A$2:$A$6000,0)),"")</f>
        <v/>
      </c>
      <c r="R972" t="s">
        <v>92</v>
      </c>
      <c r="T972" t="str">
        <f>IF(AND($P972&gt;0,$R972="да"),MAX($T$1:$T971)+1,"")</f>
        <v/>
      </c>
    </row>
    <row r="973" spans="1:20" x14ac:dyDescent="0.3">
      <c r="A973" s="11" t="str">
        <f>IFERROR(INDEX(Работы!$D$2:$D$6000,MATCH($C973,Работы!$A$2:$A$6000,0)),"")</f>
        <v/>
      </c>
      <c r="B973" t="str">
        <f>IFERROR(INDEX(Работы!$F$2:$F$6000,MATCH($C973,Работы!$A$2:$A$6000,0)),"")</f>
        <v/>
      </c>
      <c r="C973">
        <f>IFERROR(INDEX(Работы!$A$2:$A$6000,972),"")</f>
        <v>0</v>
      </c>
      <c r="D973" s="8" t="str">
        <f>IFERROR(INDEX(Работы!$B$2:$B$6000,MATCH($C973,Работы!$A$2:$A$6000,0)),"")</f>
        <v/>
      </c>
      <c r="E973" t="str">
        <f>IFERROR(INDEX(Работы!$C$2:$C$6000,MATCH($C973,Работы!$A$2:$A$6000,0)),"")</f>
        <v/>
      </c>
      <c r="F973" t="str">
        <f>IFERROR(INDEX(Работы!$G$2:$G$6000,MATCH($C973,Работы!$A$2:$A$6000,0)),"")</f>
        <v/>
      </c>
      <c r="G973" t="str">
        <f>IFERROR(INDEX(Работы!$K$2:$K$6000,MATCH($C973,Работы!$A$2:$A$6000,0)),"")</f>
        <v/>
      </c>
      <c r="H973" s="9"/>
      <c r="I973" s="9"/>
      <c r="J973" s="8" t="str">
        <f>IFERROR(INDEX(Материалы!$B$2:$B$9000,MATCH($I973,Материалы!$A$2:$A$9000,0)),"")</f>
        <v/>
      </c>
      <c r="K973" t="str">
        <f>IF($I973="","",IF($F973=IFERROR(INDEX(Материалы!$G$2:$G$9000,MATCH($I973,Материалы!$A$2:$A$9000,0)),""),"OK","!! не та группа"))</f>
        <v/>
      </c>
      <c r="L973" s="10">
        <f>IFERROR(INDEX(Работы!$H$2:$H$6000,MATCH($C973,Работы!$A$2:$A$6000,0))*(1-ДисконтТендер),0)</f>
        <v>0</v>
      </c>
      <c r="M973" s="10">
        <f>IF($I973="",0,IFERROR(INDEX(Материалы!$I$2:$I$9000,MATCH($I973,Материалы!$A$2:$A$9000,0))*IF(INDEX(Материалы!$J$2:$J$9000,MATCH($I973,Материалы!$A$2:$A$9000,0))="USD",КурсUSD,IF(INDEX(Материалы!$J$2:$J$9000,MATCH($I973,Материалы!$A$2:$A$9000,0))="EUR",КурсEUR,1))*INDEX(Материалы!$K$2:$K$9000,MATCH($I973,Материалы!$A$2:$A$9000,0))*(1+IFERROR(INDEX(Работы!$I$2:$I$6000,MATCH($C973,Работы!$A$2:$A$6000,0))/100,0))*(1-ДисконтТендер),0))</f>
        <v>0</v>
      </c>
      <c r="N973" s="10">
        <f t="shared" si="45"/>
        <v>0</v>
      </c>
      <c r="O973" s="10">
        <f t="shared" si="46"/>
        <v>0</v>
      </c>
      <c r="P973" s="10">
        <f t="shared" si="47"/>
        <v>0</v>
      </c>
      <c r="Q973" t="str">
        <f>IFERROR(INDEX(Работы!$J$2:$J$6000,MATCH($C973,Работы!$A$2:$A$6000,0)),"")</f>
        <v/>
      </c>
      <c r="R973" t="s">
        <v>92</v>
      </c>
      <c r="T973" t="str">
        <f>IF(AND($P973&gt;0,$R973="да"),MAX($T$1:$T972)+1,"")</f>
        <v/>
      </c>
    </row>
    <row r="974" spans="1:20" x14ac:dyDescent="0.3">
      <c r="A974" s="11" t="str">
        <f>IFERROR(INDEX(Работы!$D$2:$D$6000,MATCH($C974,Работы!$A$2:$A$6000,0)),"")</f>
        <v/>
      </c>
      <c r="B974" t="str">
        <f>IFERROR(INDEX(Работы!$F$2:$F$6000,MATCH($C974,Работы!$A$2:$A$6000,0)),"")</f>
        <v/>
      </c>
      <c r="C974">
        <f>IFERROR(INDEX(Работы!$A$2:$A$6000,973),"")</f>
        <v>0</v>
      </c>
      <c r="D974" s="8" t="str">
        <f>IFERROR(INDEX(Работы!$B$2:$B$6000,MATCH($C974,Работы!$A$2:$A$6000,0)),"")</f>
        <v/>
      </c>
      <c r="E974" t="str">
        <f>IFERROR(INDEX(Работы!$C$2:$C$6000,MATCH($C974,Работы!$A$2:$A$6000,0)),"")</f>
        <v/>
      </c>
      <c r="F974" t="str">
        <f>IFERROR(INDEX(Работы!$G$2:$G$6000,MATCH($C974,Работы!$A$2:$A$6000,0)),"")</f>
        <v/>
      </c>
      <c r="G974" t="str">
        <f>IFERROR(INDEX(Работы!$K$2:$K$6000,MATCH($C974,Работы!$A$2:$A$6000,0)),"")</f>
        <v/>
      </c>
      <c r="H974" s="9"/>
      <c r="I974" s="9"/>
      <c r="J974" s="8" t="str">
        <f>IFERROR(INDEX(Материалы!$B$2:$B$9000,MATCH($I974,Материалы!$A$2:$A$9000,0)),"")</f>
        <v/>
      </c>
      <c r="K974" t="str">
        <f>IF($I974="","",IF($F974=IFERROR(INDEX(Материалы!$G$2:$G$9000,MATCH($I974,Материалы!$A$2:$A$9000,0)),""),"OK","!! не та группа"))</f>
        <v/>
      </c>
      <c r="L974" s="10">
        <f>IFERROR(INDEX(Работы!$H$2:$H$6000,MATCH($C974,Работы!$A$2:$A$6000,0))*(1-ДисконтТендер),0)</f>
        <v>0</v>
      </c>
      <c r="M974" s="10">
        <f>IF($I974="",0,IFERROR(INDEX(Материалы!$I$2:$I$9000,MATCH($I974,Материалы!$A$2:$A$9000,0))*IF(INDEX(Материалы!$J$2:$J$9000,MATCH($I974,Материалы!$A$2:$A$9000,0))="USD",КурсUSD,IF(INDEX(Материалы!$J$2:$J$9000,MATCH($I974,Материалы!$A$2:$A$9000,0))="EUR",КурсEUR,1))*INDEX(Материалы!$K$2:$K$9000,MATCH($I974,Материалы!$A$2:$A$9000,0))*(1+IFERROR(INDEX(Работы!$I$2:$I$6000,MATCH($C974,Работы!$A$2:$A$6000,0))/100,0))*(1-ДисконтТендер),0))</f>
        <v>0</v>
      </c>
      <c r="N974" s="10">
        <f t="shared" si="45"/>
        <v>0</v>
      </c>
      <c r="O974" s="10">
        <f t="shared" si="46"/>
        <v>0</v>
      </c>
      <c r="P974" s="10">
        <f t="shared" si="47"/>
        <v>0</v>
      </c>
      <c r="Q974" t="str">
        <f>IFERROR(INDEX(Работы!$J$2:$J$6000,MATCH($C974,Работы!$A$2:$A$6000,0)),"")</f>
        <v/>
      </c>
      <c r="R974" t="s">
        <v>92</v>
      </c>
      <c r="T974" t="str">
        <f>IF(AND($P974&gt;0,$R974="да"),MAX($T$1:$T973)+1,"")</f>
        <v/>
      </c>
    </row>
    <row r="975" spans="1:20" x14ac:dyDescent="0.3">
      <c r="A975" s="11" t="str">
        <f>IFERROR(INDEX(Работы!$D$2:$D$6000,MATCH($C975,Работы!$A$2:$A$6000,0)),"")</f>
        <v/>
      </c>
      <c r="B975" t="str">
        <f>IFERROR(INDEX(Работы!$F$2:$F$6000,MATCH($C975,Работы!$A$2:$A$6000,0)),"")</f>
        <v/>
      </c>
      <c r="C975">
        <f>IFERROR(INDEX(Работы!$A$2:$A$6000,974),"")</f>
        <v>0</v>
      </c>
      <c r="D975" s="8" t="str">
        <f>IFERROR(INDEX(Работы!$B$2:$B$6000,MATCH($C975,Работы!$A$2:$A$6000,0)),"")</f>
        <v/>
      </c>
      <c r="E975" t="str">
        <f>IFERROR(INDEX(Работы!$C$2:$C$6000,MATCH($C975,Работы!$A$2:$A$6000,0)),"")</f>
        <v/>
      </c>
      <c r="F975" t="str">
        <f>IFERROR(INDEX(Работы!$G$2:$G$6000,MATCH($C975,Работы!$A$2:$A$6000,0)),"")</f>
        <v/>
      </c>
      <c r="G975" t="str">
        <f>IFERROR(INDEX(Работы!$K$2:$K$6000,MATCH($C975,Работы!$A$2:$A$6000,0)),"")</f>
        <v/>
      </c>
      <c r="H975" s="9"/>
      <c r="I975" s="9"/>
      <c r="J975" s="8" t="str">
        <f>IFERROR(INDEX(Материалы!$B$2:$B$9000,MATCH($I975,Материалы!$A$2:$A$9000,0)),"")</f>
        <v/>
      </c>
      <c r="K975" t="str">
        <f>IF($I975="","",IF($F975=IFERROR(INDEX(Материалы!$G$2:$G$9000,MATCH($I975,Материалы!$A$2:$A$9000,0)),""),"OK","!! не та группа"))</f>
        <v/>
      </c>
      <c r="L975" s="10">
        <f>IFERROR(INDEX(Работы!$H$2:$H$6000,MATCH($C975,Работы!$A$2:$A$6000,0))*(1-ДисконтТендер),0)</f>
        <v>0</v>
      </c>
      <c r="M975" s="10">
        <f>IF($I975="",0,IFERROR(INDEX(Материалы!$I$2:$I$9000,MATCH($I975,Материалы!$A$2:$A$9000,0))*IF(INDEX(Материалы!$J$2:$J$9000,MATCH($I975,Материалы!$A$2:$A$9000,0))="USD",КурсUSD,IF(INDEX(Материалы!$J$2:$J$9000,MATCH($I975,Материалы!$A$2:$A$9000,0))="EUR",КурсEUR,1))*INDEX(Материалы!$K$2:$K$9000,MATCH($I975,Материалы!$A$2:$A$9000,0))*(1+IFERROR(INDEX(Работы!$I$2:$I$6000,MATCH($C975,Работы!$A$2:$A$6000,0))/100,0))*(1-ДисконтТендер),0))</f>
        <v>0</v>
      </c>
      <c r="N975" s="10">
        <f t="shared" si="45"/>
        <v>0</v>
      </c>
      <c r="O975" s="10">
        <f t="shared" si="46"/>
        <v>0</v>
      </c>
      <c r="P975" s="10">
        <f t="shared" si="47"/>
        <v>0</v>
      </c>
      <c r="Q975" t="str">
        <f>IFERROR(INDEX(Работы!$J$2:$J$6000,MATCH($C975,Работы!$A$2:$A$6000,0)),"")</f>
        <v/>
      </c>
      <c r="R975" t="s">
        <v>92</v>
      </c>
      <c r="T975" t="str">
        <f>IF(AND($P975&gt;0,$R975="да"),MAX($T$1:$T974)+1,"")</f>
        <v/>
      </c>
    </row>
    <row r="976" spans="1:20" x14ac:dyDescent="0.3">
      <c r="A976" s="11" t="str">
        <f>IFERROR(INDEX(Работы!$D$2:$D$6000,MATCH($C976,Работы!$A$2:$A$6000,0)),"")</f>
        <v/>
      </c>
      <c r="B976" t="str">
        <f>IFERROR(INDEX(Работы!$F$2:$F$6000,MATCH($C976,Работы!$A$2:$A$6000,0)),"")</f>
        <v/>
      </c>
      <c r="C976">
        <f>IFERROR(INDEX(Работы!$A$2:$A$6000,975),"")</f>
        <v>0</v>
      </c>
      <c r="D976" s="8" t="str">
        <f>IFERROR(INDEX(Работы!$B$2:$B$6000,MATCH($C976,Работы!$A$2:$A$6000,0)),"")</f>
        <v/>
      </c>
      <c r="E976" t="str">
        <f>IFERROR(INDEX(Работы!$C$2:$C$6000,MATCH($C976,Работы!$A$2:$A$6000,0)),"")</f>
        <v/>
      </c>
      <c r="F976" t="str">
        <f>IFERROR(INDEX(Работы!$G$2:$G$6000,MATCH($C976,Работы!$A$2:$A$6000,0)),"")</f>
        <v/>
      </c>
      <c r="G976" t="str">
        <f>IFERROR(INDEX(Работы!$K$2:$K$6000,MATCH($C976,Работы!$A$2:$A$6000,0)),"")</f>
        <v/>
      </c>
      <c r="H976" s="9"/>
      <c r="I976" s="9"/>
      <c r="J976" s="8" t="str">
        <f>IFERROR(INDEX(Материалы!$B$2:$B$9000,MATCH($I976,Материалы!$A$2:$A$9000,0)),"")</f>
        <v/>
      </c>
      <c r="K976" t="str">
        <f>IF($I976="","",IF($F976=IFERROR(INDEX(Материалы!$G$2:$G$9000,MATCH($I976,Материалы!$A$2:$A$9000,0)),""),"OK","!! не та группа"))</f>
        <v/>
      </c>
      <c r="L976" s="10">
        <f>IFERROR(INDEX(Работы!$H$2:$H$6000,MATCH($C976,Работы!$A$2:$A$6000,0))*(1-ДисконтТендер),0)</f>
        <v>0</v>
      </c>
      <c r="M976" s="10">
        <f>IF($I976="",0,IFERROR(INDEX(Материалы!$I$2:$I$9000,MATCH($I976,Материалы!$A$2:$A$9000,0))*IF(INDEX(Материалы!$J$2:$J$9000,MATCH($I976,Материалы!$A$2:$A$9000,0))="USD",КурсUSD,IF(INDEX(Материалы!$J$2:$J$9000,MATCH($I976,Материалы!$A$2:$A$9000,0))="EUR",КурсEUR,1))*INDEX(Материалы!$K$2:$K$9000,MATCH($I976,Материалы!$A$2:$A$9000,0))*(1+IFERROR(INDEX(Работы!$I$2:$I$6000,MATCH($C976,Работы!$A$2:$A$6000,0))/100,0))*(1-ДисконтТендер),0))</f>
        <v>0</v>
      </c>
      <c r="N976" s="10">
        <f t="shared" si="45"/>
        <v>0</v>
      </c>
      <c r="O976" s="10">
        <f t="shared" si="46"/>
        <v>0</v>
      </c>
      <c r="P976" s="10">
        <f t="shared" si="47"/>
        <v>0</v>
      </c>
      <c r="Q976" t="str">
        <f>IFERROR(INDEX(Работы!$J$2:$J$6000,MATCH($C976,Работы!$A$2:$A$6000,0)),"")</f>
        <v/>
      </c>
      <c r="R976" t="s">
        <v>92</v>
      </c>
      <c r="T976" t="str">
        <f>IF(AND($P976&gt;0,$R976="да"),MAX($T$1:$T975)+1,"")</f>
        <v/>
      </c>
    </row>
    <row r="977" spans="1:20" x14ac:dyDescent="0.3">
      <c r="A977" s="11" t="str">
        <f>IFERROR(INDEX(Работы!$D$2:$D$6000,MATCH($C977,Работы!$A$2:$A$6000,0)),"")</f>
        <v/>
      </c>
      <c r="B977" t="str">
        <f>IFERROR(INDEX(Работы!$F$2:$F$6000,MATCH($C977,Работы!$A$2:$A$6000,0)),"")</f>
        <v/>
      </c>
      <c r="C977">
        <f>IFERROR(INDEX(Работы!$A$2:$A$6000,976),"")</f>
        <v>0</v>
      </c>
      <c r="D977" s="8" t="str">
        <f>IFERROR(INDEX(Работы!$B$2:$B$6000,MATCH($C977,Работы!$A$2:$A$6000,0)),"")</f>
        <v/>
      </c>
      <c r="E977" t="str">
        <f>IFERROR(INDEX(Работы!$C$2:$C$6000,MATCH($C977,Работы!$A$2:$A$6000,0)),"")</f>
        <v/>
      </c>
      <c r="F977" t="str">
        <f>IFERROR(INDEX(Работы!$G$2:$G$6000,MATCH($C977,Работы!$A$2:$A$6000,0)),"")</f>
        <v/>
      </c>
      <c r="G977" t="str">
        <f>IFERROR(INDEX(Работы!$K$2:$K$6000,MATCH($C977,Работы!$A$2:$A$6000,0)),"")</f>
        <v/>
      </c>
      <c r="H977" s="9"/>
      <c r="I977" s="9"/>
      <c r="J977" s="8" t="str">
        <f>IFERROR(INDEX(Материалы!$B$2:$B$9000,MATCH($I977,Материалы!$A$2:$A$9000,0)),"")</f>
        <v/>
      </c>
      <c r="K977" t="str">
        <f>IF($I977="","",IF($F977=IFERROR(INDEX(Материалы!$G$2:$G$9000,MATCH($I977,Материалы!$A$2:$A$9000,0)),""),"OK","!! не та группа"))</f>
        <v/>
      </c>
      <c r="L977" s="10">
        <f>IFERROR(INDEX(Работы!$H$2:$H$6000,MATCH($C977,Работы!$A$2:$A$6000,0))*(1-ДисконтТендер),0)</f>
        <v>0</v>
      </c>
      <c r="M977" s="10">
        <f>IF($I977="",0,IFERROR(INDEX(Материалы!$I$2:$I$9000,MATCH($I977,Материалы!$A$2:$A$9000,0))*IF(INDEX(Материалы!$J$2:$J$9000,MATCH($I977,Материалы!$A$2:$A$9000,0))="USD",КурсUSD,IF(INDEX(Материалы!$J$2:$J$9000,MATCH($I977,Материалы!$A$2:$A$9000,0))="EUR",КурсEUR,1))*INDEX(Материалы!$K$2:$K$9000,MATCH($I977,Материалы!$A$2:$A$9000,0))*(1+IFERROR(INDEX(Работы!$I$2:$I$6000,MATCH($C977,Работы!$A$2:$A$6000,0))/100,0))*(1-ДисконтТендер),0))</f>
        <v>0</v>
      </c>
      <c r="N977" s="10">
        <f t="shared" si="45"/>
        <v>0</v>
      </c>
      <c r="O977" s="10">
        <f t="shared" si="46"/>
        <v>0</v>
      </c>
      <c r="P977" s="10">
        <f t="shared" si="47"/>
        <v>0</v>
      </c>
      <c r="Q977" t="str">
        <f>IFERROR(INDEX(Работы!$J$2:$J$6000,MATCH($C977,Работы!$A$2:$A$6000,0)),"")</f>
        <v/>
      </c>
      <c r="R977" t="s">
        <v>92</v>
      </c>
      <c r="T977" t="str">
        <f>IF(AND($P977&gt;0,$R977="да"),MAX($T$1:$T976)+1,"")</f>
        <v/>
      </c>
    </row>
    <row r="978" spans="1:20" x14ac:dyDescent="0.3">
      <c r="A978" s="11" t="str">
        <f>IFERROR(INDEX(Работы!$D$2:$D$6000,MATCH($C978,Работы!$A$2:$A$6000,0)),"")</f>
        <v/>
      </c>
      <c r="B978" t="str">
        <f>IFERROR(INDEX(Работы!$F$2:$F$6000,MATCH($C978,Работы!$A$2:$A$6000,0)),"")</f>
        <v/>
      </c>
      <c r="C978">
        <f>IFERROR(INDEX(Работы!$A$2:$A$6000,977),"")</f>
        <v>0</v>
      </c>
      <c r="D978" s="8" t="str">
        <f>IFERROR(INDEX(Работы!$B$2:$B$6000,MATCH($C978,Работы!$A$2:$A$6000,0)),"")</f>
        <v/>
      </c>
      <c r="E978" t="str">
        <f>IFERROR(INDEX(Работы!$C$2:$C$6000,MATCH($C978,Работы!$A$2:$A$6000,0)),"")</f>
        <v/>
      </c>
      <c r="F978" t="str">
        <f>IFERROR(INDEX(Работы!$G$2:$G$6000,MATCH($C978,Работы!$A$2:$A$6000,0)),"")</f>
        <v/>
      </c>
      <c r="G978" t="str">
        <f>IFERROR(INDEX(Работы!$K$2:$K$6000,MATCH($C978,Работы!$A$2:$A$6000,0)),"")</f>
        <v/>
      </c>
      <c r="H978" s="9"/>
      <c r="I978" s="9"/>
      <c r="J978" s="8" t="str">
        <f>IFERROR(INDEX(Материалы!$B$2:$B$9000,MATCH($I978,Материалы!$A$2:$A$9000,0)),"")</f>
        <v/>
      </c>
      <c r="K978" t="str">
        <f>IF($I978="","",IF($F978=IFERROR(INDEX(Материалы!$G$2:$G$9000,MATCH($I978,Материалы!$A$2:$A$9000,0)),""),"OK","!! не та группа"))</f>
        <v/>
      </c>
      <c r="L978" s="10">
        <f>IFERROR(INDEX(Работы!$H$2:$H$6000,MATCH($C978,Работы!$A$2:$A$6000,0))*(1-ДисконтТендер),0)</f>
        <v>0</v>
      </c>
      <c r="M978" s="10">
        <f>IF($I978="",0,IFERROR(INDEX(Материалы!$I$2:$I$9000,MATCH($I978,Материалы!$A$2:$A$9000,0))*IF(INDEX(Материалы!$J$2:$J$9000,MATCH($I978,Материалы!$A$2:$A$9000,0))="USD",КурсUSD,IF(INDEX(Материалы!$J$2:$J$9000,MATCH($I978,Материалы!$A$2:$A$9000,0))="EUR",КурсEUR,1))*INDEX(Материалы!$K$2:$K$9000,MATCH($I978,Материалы!$A$2:$A$9000,0))*(1+IFERROR(INDEX(Работы!$I$2:$I$6000,MATCH($C978,Работы!$A$2:$A$6000,0))/100,0))*(1-ДисконтТендер),0))</f>
        <v>0</v>
      </c>
      <c r="N978" s="10">
        <f t="shared" si="45"/>
        <v>0</v>
      </c>
      <c r="O978" s="10">
        <f t="shared" si="46"/>
        <v>0</v>
      </c>
      <c r="P978" s="10">
        <f t="shared" si="47"/>
        <v>0</v>
      </c>
      <c r="Q978" t="str">
        <f>IFERROR(INDEX(Работы!$J$2:$J$6000,MATCH($C978,Работы!$A$2:$A$6000,0)),"")</f>
        <v/>
      </c>
      <c r="R978" t="s">
        <v>92</v>
      </c>
      <c r="T978" t="str">
        <f>IF(AND($P978&gt;0,$R978="да"),MAX($T$1:$T977)+1,"")</f>
        <v/>
      </c>
    </row>
    <row r="979" spans="1:20" x14ac:dyDescent="0.3">
      <c r="A979" s="11" t="str">
        <f>IFERROR(INDEX(Работы!$D$2:$D$6000,MATCH($C979,Работы!$A$2:$A$6000,0)),"")</f>
        <v/>
      </c>
      <c r="B979" t="str">
        <f>IFERROR(INDEX(Работы!$F$2:$F$6000,MATCH($C979,Работы!$A$2:$A$6000,0)),"")</f>
        <v/>
      </c>
      <c r="C979">
        <f>IFERROR(INDEX(Работы!$A$2:$A$6000,978),"")</f>
        <v>0</v>
      </c>
      <c r="D979" s="8" t="str">
        <f>IFERROR(INDEX(Работы!$B$2:$B$6000,MATCH($C979,Работы!$A$2:$A$6000,0)),"")</f>
        <v/>
      </c>
      <c r="E979" t="str">
        <f>IFERROR(INDEX(Работы!$C$2:$C$6000,MATCH($C979,Работы!$A$2:$A$6000,0)),"")</f>
        <v/>
      </c>
      <c r="F979" t="str">
        <f>IFERROR(INDEX(Работы!$G$2:$G$6000,MATCH($C979,Работы!$A$2:$A$6000,0)),"")</f>
        <v/>
      </c>
      <c r="G979" t="str">
        <f>IFERROR(INDEX(Работы!$K$2:$K$6000,MATCH($C979,Работы!$A$2:$A$6000,0)),"")</f>
        <v/>
      </c>
      <c r="H979" s="9"/>
      <c r="I979" s="9"/>
      <c r="J979" s="8" t="str">
        <f>IFERROR(INDEX(Материалы!$B$2:$B$9000,MATCH($I979,Материалы!$A$2:$A$9000,0)),"")</f>
        <v/>
      </c>
      <c r="K979" t="str">
        <f>IF($I979="","",IF($F979=IFERROR(INDEX(Материалы!$G$2:$G$9000,MATCH($I979,Материалы!$A$2:$A$9000,0)),""),"OK","!! не та группа"))</f>
        <v/>
      </c>
      <c r="L979" s="10">
        <f>IFERROR(INDEX(Работы!$H$2:$H$6000,MATCH($C979,Работы!$A$2:$A$6000,0))*(1-ДисконтТендер),0)</f>
        <v>0</v>
      </c>
      <c r="M979" s="10">
        <f>IF($I979="",0,IFERROR(INDEX(Материалы!$I$2:$I$9000,MATCH($I979,Материалы!$A$2:$A$9000,0))*IF(INDEX(Материалы!$J$2:$J$9000,MATCH($I979,Материалы!$A$2:$A$9000,0))="USD",КурсUSD,IF(INDEX(Материалы!$J$2:$J$9000,MATCH($I979,Материалы!$A$2:$A$9000,0))="EUR",КурсEUR,1))*INDEX(Материалы!$K$2:$K$9000,MATCH($I979,Материалы!$A$2:$A$9000,0))*(1+IFERROR(INDEX(Работы!$I$2:$I$6000,MATCH($C979,Работы!$A$2:$A$6000,0))/100,0))*(1-ДисконтТендер),0))</f>
        <v>0</v>
      </c>
      <c r="N979" s="10">
        <f t="shared" si="45"/>
        <v>0</v>
      </c>
      <c r="O979" s="10">
        <f t="shared" si="46"/>
        <v>0</v>
      </c>
      <c r="P979" s="10">
        <f t="shared" si="47"/>
        <v>0</v>
      </c>
      <c r="Q979" t="str">
        <f>IFERROR(INDEX(Работы!$J$2:$J$6000,MATCH($C979,Работы!$A$2:$A$6000,0)),"")</f>
        <v/>
      </c>
      <c r="R979" t="s">
        <v>92</v>
      </c>
      <c r="T979" t="str">
        <f>IF(AND($P979&gt;0,$R979="да"),MAX($T$1:$T978)+1,"")</f>
        <v/>
      </c>
    </row>
    <row r="980" spans="1:20" x14ac:dyDescent="0.3">
      <c r="A980" s="11" t="str">
        <f>IFERROR(INDEX(Работы!$D$2:$D$6000,MATCH($C980,Работы!$A$2:$A$6000,0)),"")</f>
        <v/>
      </c>
      <c r="B980" t="str">
        <f>IFERROR(INDEX(Работы!$F$2:$F$6000,MATCH($C980,Работы!$A$2:$A$6000,0)),"")</f>
        <v/>
      </c>
      <c r="C980">
        <f>IFERROR(INDEX(Работы!$A$2:$A$6000,979),"")</f>
        <v>0</v>
      </c>
      <c r="D980" s="8" t="str">
        <f>IFERROR(INDEX(Работы!$B$2:$B$6000,MATCH($C980,Работы!$A$2:$A$6000,0)),"")</f>
        <v/>
      </c>
      <c r="E980" t="str">
        <f>IFERROR(INDEX(Работы!$C$2:$C$6000,MATCH($C980,Работы!$A$2:$A$6000,0)),"")</f>
        <v/>
      </c>
      <c r="F980" t="str">
        <f>IFERROR(INDEX(Работы!$G$2:$G$6000,MATCH($C980,Работы!$A$2:$A$6000,0)),"")</f>
        <v/>
      </c>
      <c r="G980" t="str">
        <f>IFERROR(INDEX(Работы!$K$2:$K$6000,MATCH($C980,Работы!$A$2:$A$6000,0)),"")</f>
        <v/>
      </c>
      <c r="H980" s="9"/>
      <c r="I980" s="9"/>
      <c r="J980" s="8" t="str">
        <f>IFERROR(INDEX(Материалы!$B$2:$B$9000,MATCH($I980,Материалы!$A$2:$A$9000,0)),"")</f>
        <v/>
      </c>
      <c r="K980" t="str">
        <f>IF($I980="","",IF($F980=IFERROR(INDEX(Материалы!$G$2:$G$9000,MATCH($I980,Материалы!$A$2:$A$9000,0)),""),"OK","!! не та группа"))</f>
        <v/>
      </c>
      <c r="L980" s="10">
        <f>IFERROR(INDEX(Работы!$H$2:$H$6000,MATCH($C980,Работы!$A$2:$A$6000,0))*(1-ДисконтТендер),0)</f>
        <v>0</v>
      </c>
      <c r="M980" s="10">
        <f>IF($I980="",0,IFERROR(INDEX(Материалы!$I$2:$I$9000,MATCH($I980,Материалы!$A$2:$A$9000,0))*IF(INDEX(Материалы!$J$2:$J$9000,MATCH($I980,Материалы!$A$2:$A$9000,0))="USD",КурсUSD,IF(INDEX(Материалы!$J$2:$J$9000,MATCH($I980,Материалы!$A$2:$A$9000,0))="EUR",КурсEUR,1))*INDEX(Материалы!$K$2:$K$9000,MATCH($I980,Материалы!$A$2:$A$9000,0))*(1+IFERROR(INDEX(Работы!$I$2:$I$6000,MATCH($C980,Работы!$A$2:$A$6000,0))/100,0))*(1-ДисконтТендер),0))</f>
        <v>0</v>
      </c>
      <c r="N980" s="10">
        <f t="shared" si="45"/>
        <v>0</v>
      </c>
      <c r="O980" s="10">
        <f t="shared" si="46"/>
        <v>0</v>
      </c>
      <c r="P980" s="10">
        <f t="shared" si="47"/>
        <v>0</v>
      </c>
      <c r="Q980" t="str">
        <f>IFERROR(INDEX(Работы!$J$2:$J$6000,MATCH($C980,Работы!$A$2:$A$6000,0)),"")</f>
        <v/>
      </c>
      <c r="R980" t="s">
        <v>92</v>
      </c>
      <c r="T980" t="str">
        <f>IF(AND($P980&gt;0,$R980="да"),MAX($T$1:$T979)+1,"")</f>
        <v/>
      </c>
    </row>
    <row r="981" spans="1:20" x14ac:dyDescent="0.3">
      <c r="A981" s="11" t="str">
        <f>IFERROR(INDEX(Работы!$D$2:$D$6000,MATCH($C981,Работы!$A$2:$A$6000,0)),"")</f>
        <v/>
      </c>
      <c r="B981" t="str">
        <f>IFERROR(INDEX(Работы!$F$2:$F$6000,MATCH($C981,Работы!$A$2:$A$6000,0)),"")</f>
        <v/>
      </c>
      <c r="C981">
        <f>IFERROR(INDEX(Работы!$A$2:$A$6000,980),"")</f>
        <v>0</v>
      </c>
      <c r="D981" s="8" t="str">
        <f>IFERROR(INDEX(Работы!$B$2:$B$6000,MATCH($C981,Работы!$A$2:$A$6000,0)),"")</f>
        <v/>
      </c>
      <c r="E981" t="str">
        <f>IFERROR(INDEX(Работы!$C$2:$C$6000,MATCH($C981,Работы!$A$2:$A$6000,0)),"")</f>
        <v/>
      </c>
      <c r="F981" t="str">
        <f>IFERROR(INDEX(Работы!$G$2:$G$6000,MATCH($C981,Работы!$A$2:$A$6000,0)),"")</f>
        <v/>
      </c>
      <c r="G981" t="str">
        <f>IFERROR(INDEX(Работы!$K$2:$K$6000,MATCH($C981,Работы!$A$2:$A$6000,0)),"")</f>
        <v/>
      </c>
      <c r="H981" s="9"/>
      <c r="I981" s="9"/>
      <c r="J981" s="8" t="str">
        <f>IFERROR(INDEX(Материалы!$B$2:$B$9000,MATCH($I981,Материалы!$A$2:$A$9000,0)),"")</f>
        <v/>
      </c>
      <c r="K981" t="str">
        <f>IF($I981="","",IF($F981=IFERROR(INDEX(Материалы!$G$2:$G$9000,MATCH($I981,Материалы!$A$2:$A$9000,0)),""),"OK","!! не та группа"))</f>
        <v/>
      </c>
      <c r="L981" s="10">
        <f>IFERROR(INDEX(Работы!$H$2:$H$6000,MATCH($C981,Работы!$A$2:$A$6000,0))*(1-ДисконтТендер),0)</f>
        <v>0</v>
      </c>
      <c r="M981" s="10">
        <f>IF($I981="",0,IFERROR(INDEX(Материалы!$I$2:$I$9000,MATCH($I981,Материалы!$A$2:$A$9000,0))*IF(INDEX(Материалы!$J$2:$J$9000,MATCH($I981,Материалы!$A$2:$A$9000,0))="USD",КурсUSD,IF(INDEX(Материалы!$J$2:$J$9000,MATCH($I981,Материалы!$A$2:$A$9000,0))="EUR",КурсEUR,1))*INDEX(Материалы!$K$2:$K$9000,MATCH($I981,Материалы!$A$2:$A$9000,0))*(1+IFERROR(INDEX(Работы!$I$2:$I$6000,MATCH($C981,Работы!$A$2:$A$6000,0))/100,0))*(1-ДисконтТендер),0))</f>
        <v>0</v>
      </c>
      <c r="N981" s="10">
        <f t="shared" si="45"/>
        <v>0</v>
      </c>
      <c r="O981" s="10">
        <f t="shared" si="46"/>
        <v>0</v>
      </c>
      <c r="P981" s="10">
        <f t="shared" si="47"/>
        <v>0</v>
      </c>
      <c r="Q981" t="str">
        <f>IFERROR(INDEX(Работы!$J$2:$J$6000,MATCH($C981,Работы!$A$2:$A$6000,0)),"")</f>
        <v/>
      </c>
      <c r="R981" t="s">
        <v>92</v>
      </c>
      <c r="T981" t="str">
        <f>IF(AND($P981&gt;0,$R981="да"),MAX($T$1:$T980)+1,"")</f>
        <v/>
      </c>
    </row>
    <row r="982" spans="1:20" x14ac:dyDescent="0.3">
      <c r="A982" s="11" t="str">
        <f>IFERROR(INDEX(Работы!$D$2:$D$6000,MATCH($C982,Работы!$A$2:$A$6000,0)),"")</f>
        <v/>
      </c>
      <c r="B982" t="str">
        <f>IFERROR(INDEX(Работы!$F$2:$F$6000,MATCH($C982,Работы!$A$2:$A$6000,0)),"")</f>
        <v/>
      </c>
      <c r="C982">
        <f>IFERROR(INDEX(Работы!$A$2:$A$6000,981),"")</f>
        <v>0</v>
      </c>
      <c r="D982" s="8" t="str">
        <f>IFERROR(INDEX(Работы!$B$2:$B$6000,MATCH($C982,Работы!$A$2:$A$6000,0)),"")</f>
        <v/>
      </c>
      <c r="E982" t="str">
        <f>IFERROR(INDEX(Работы!$C$2:$C$6000,MATCH($C982,Работы!$A$2:$A$6000,0)),"")</f>
        <v/>
      </c>
      <c r="F982" t="str">
        <f>IFERROR(INDEX(Работы!$G$2:$G$6000,MATCH($C982,Работы!$A$2:$A$6000,0)),"")</f>
        <v/>
      </c>
      <c r="G982" t="str">
        <f>IFERROR(INDEX(Работы!$K$2:$K$6000,MATCH($C982,Работы!$A$2:$A$6000,0)),"")</f>
        <v/>
      </c>
      <c r="H982" s="9"/>
      <c r="I982" s="9"/>
      <c r="J982" s="8" t="str">
        <f>IFERROR(INDEX(Материалы!$B$2:$B$9000,MATCH($I982,Материалы!$A$2:$A$9000,0)),"")</f>
        <v/>
      </c>
      <c r="K982" t="str">
        <f>IF($I982="","",IF($F982=IFERROR(INDEX(Материалы!$G$2:$G$9000,MATCH($I982,Материалы!$A$2:$A$9000,0)),""),"OK","!! не та группа"))</f>
        <v/>
      </c>
      <c r="L982" s="10">
        <f>IFERROR(INDEX(Работы!$H$2:$H$6000,MATCH($C982,Работы!$A$2:$A$6000,0))*(1-ДисконтТендер),0)</f>
        <v>0</v>
      </c>
      <c r="M982" s="10">
        <f>IF($I982="",0,IFERROR(INDEX(Материалы!$I$2:$I$9000,MATCH($I982,Материалы!$A$2:$A$9000,0))*IF(INDEX(Материалы!$J$2:$J$9000,MATCH($I982,Материалы!$A$2:$A$9000,0))="USD",КурсUSD,IF(INDEX(Материалы!$J$2:$J$9000,MATCH($I982,Материалы!$A$2:$A$9000,0))="EUR",КурсEUR,1))*INDEX(Материалы!$K$2:$K$9000,MATCH($I982,Материалы!$A$2:$A$9000,0))*(1+IFERROR(INDEX(Работы!$I$2:$I$6000,MATCH($C982,Работы!$A$2:$A$6000,0))/100,0))*(1-ДисконтТендер),0))</f>
        <v>0</v>
      </c>
      <c r="N982" s="10">
        <f t="shared" si="45"/>
        <v>0</v>
      </c>
      <c r="O982" s="10">
        <f t="shared" si="46"/>
        <v>0</v>
      </c>
      <c r="P982" s="10">
        <f t="shared" si="47"/>
        <v>0</v>
      </c>
      <c r="Q982" t="str">
        <f>IFERROR(INDEX(Работы!$J$2:$J$6000,MATCH($C982,Работы!$A$2:$A$6000,0)),"")</f>
        <v/>
      </c>
      <c r="R982" t="s">
        <v>92</v>
      </c>
      <c r="T982" t="str">
        <f>IF(AND($P982&gt;0,$R982="да"),MAX($T$1:$T981)+1,"")</f>
        <v/>
      </c>
    </row>
    <row r="983" spans="1:20" x14ac:dyDescent="0.3">
      <c r="A983" s="11" t="str">
        <f>IFERROR(INDEX(Работы!$D$2:$D$6000,MATCH($C983,Работы!$A$2:$A$6000,0)),"")</f>
        <v/>
      </c>
      <c r="B983" t="str">
        <f>IFERROR(INDEX(Работы!$F$2:$F$6000,MATCH($C983,Работы!$A$2:$A$6000,0)),"")</f>
        <v/>
      </c>
      <c r="C983">
        <f>IFERROR(INDEX(Работы!$A$2:$A$6000,982),"")</f>
        <v>0</v>
      </c>
      <c r="D983" s="8" t="str">
        <f>IFERROR(INDEX(Работы!$B$2:$B$6000,MATCH($C983,Работы!$A$2:$A$6000,0)),"")</f>
        <v/>
      </c>
      <c r="E983" t="str">
        <f>IFERROR(INDEX(Работы!$C$2:$C$6000,MATCH($C983,Работы!$A$2:$A$6000,0)),"")</f>
        <v/>
      </c>
      <c r="F983" t="str">
        <f>IFERROR(INDEX(Работы!$G$2:$G$6000,MATCH($C983,Работы!$A$2:$A$6000,0)),"")</f>
        <v/>
      </c>
      <c r="G983" t="str">
        <f>IFERROR(INDEX(Работы!$K$2:$K$6000,MATCH($C983,Работы!$A$2:$A$6000,0)),"")</f>
        <v/>
      </c>
      <c r="H983" s="9"/>
      <c r="I983" s="9"/>
      <c r="J983" s="8" t="str">
        <f>IFERROR(INDEX(Материалы!$B$2:$B$9000,MATCH($I983,Материалы!$A$2:$A$9000,0)),"")</f>
        <v/>
      </c>
      <c r="K983" t="str">
        <f>IF($I983="","",IF($F983=IFERROR(INDEX(Материалы!$G$2:$G$9000,MATCH($I983,Материалы!$A$2:$A$9000,0)),""),"OK","!! не та группа"))</f>
        <v/>
      </c>
      <c r="L983" s="10">
        <f>IFERROR(INDEX(Работы!$H$2:$H$6000,MATCH($C983,Работы!$A$2:$A$6000,0))*(1-ДисконтТендер),0)</f>
        <v>0</v>
      </c>
      <c r="M983" s="10">
        <f>IF($I983="",0,IFERROR(INDEX(Материалы!$I$2:$I$9000,MATCH($I983,Материалы!$A$2:$A$9000,0))*IF(INDEX(Материалы!$J$2:$J$9000,MATCH($I983,Материалы!$A$2:$A$9000,0))="USD",КурсUSD,IF(INDEX(Материалы!$J$2:$J$9000,MATCH($I983,Материалы!$A$2:$A$9000,0))="EUR",КурсEUR,1))*INDEX(Материалы!$K$2:$K$9000,MATCH($I983,Материалы!$A$2:$A$9000,0))*(1+IFERROR(INDEX(Работы!$I$2:$I$6000,MATCH($C983,Работы!$A$2:$A$6000,0))/100,0))*(1-ДисконтТендер),0))</f>
        <v>0</v>
      </c>
      <c r="N983" s="10">
        <f t="shared" si="45"/>
        <v>0</v>
      </c>
      <c r="O983" s="10">
        <f t="shared" si="46"/>
        <v>0</v>
      </c>
      <c r="P983" s="10">
        <f t="shared" si="47"/>
        <v>0</v>
      </c>
      <c r="Q983" t="str">
        <f>IFERROR(INDEX(Работы!$J$2:$J$6000,MATCH($C983,Работы!$A$2:$A$6000,0)),"")</f>
        <v/>
      </c>
      <c r="R983" t="s">
        <v>92</v>
      </c>
      <c r="T983" t="str">
        <f>IF(AND($P983&gt;0,$R983="да"),MAX($T$1:$T982)+1,"")</f>
        <v/>
      </c>
    </row>
    <row r="984" spans="1:20" x14ac:dyDescent="0.3">
      <c r="A984" s="11" t="str">
        <f>IFERROR(INDEX(Работы!$D$2:$D$6000,MATCH($C984,Работы!$A$2:$A$6000,0)),"")</f>
        <v/>
      </c>
      <c r="B984" t="str">
        <f>IFERROR(INDEX(Работы!$F$2:$F$6000,MATCH($C984,Работы!$A$2:$A$6000,0)),"")</f>
        <v/>
      </c>
      <c r="C984">
        <f>IFERROR(INDEX(Работы!$A$2:$A$6000,983),"")</f>
        <v>0</v>
      </c>
      <c r="D984" s="8" t="str">
        <f>IFERROR(INDEX(Работы!$B$2:$B$6000,MATCH($C984,Работы!$A$2:$A$6000,0)),"")</f>
        <v/>
      </c>
      <c r="E984" t="str">
        <f>IFERROR(INDEX(Работы!$C$2:$C$6000,MATCH($C984,Работы!$A$2:$A$6000,0)),"")</f>
        <v/>
      </c>
      <c r="F984" t="str">
        <f>IFERROR(INDEX(Работы!$G$2:$G$6000,MATCH($C984,Работы!$A$2:$A$6000,0)),"")</f>
        <v/>
      </c>
      <c r="G984" t="str">
        <f>IFERROR(INDEX(Работы!$K$2:$K$6000,MATCH($C984,Работы!$A$2:$A$6000,0)),"")</f>
        <v/>
      </c>
      <c r="H984" s="9"/>
      <c r="I984" s="9"/>
      <c r="J984" s="8" t="str">
        <f>IFERROR(INDEX(Материалы!$B$2:$B$9000,MATCH($I984,Материалы!$A$2:$A$9000,0)),"")</f>
        <v/>
      </c>
      <c r="K984" t="str">
        <f>IF($I984="","",IF($F984=IFERROR(INDEX(Материалы!$G$2:$G$9000,MATCH($I984,Материалы!$A$2:$A$9000,0)),""),"OK","!! не та группа"))</f>
        <v/>
      </c>
      <c r="L984" s="10">
        <f>IFERROR(INDEX(Работы!$H$2:$H$6000,MATCH($C984,Работы!$A$2:$A$6000,0))*(1-ДисконтТендер),0)</f>
        <v>0</v>
      </c>
      <c r="M984" s="10">
        <f>IF($I984="",0,IFERROR(INDEX(Материалы!$I$2:$I$9000,MATCH($I984,Материалы!$A$2:$A$9000,0))*IF(INDEX(Материалы!$J$2:$J$9000,MATCH($I984,Материалы!$A$2:$A$9000,0))="USD",КурсUSD,IF(INDEX(Материалы!$J$2:$J$9000,MATCH($I984,Материалы!$A$2:$A$9000,0))="EUR",КурсEUR,1))*INDEX(Материалы!$K$2:$K$9000,MATCH($I984,Материалы!$A$2:$A$9000,0))*(1+IFERROR(INDEX(Работы!$I$2:$I$6000,MATCH($C984,Работы!$A$2:$A$6000,0))/100,0))*(1-ДисконтТендер),0))</f>
        <v>0</v>
      </c>
      <c r="N984" s="10">
        <f t="shared" si="45"/>
        <v>0</v>
      </c>
      <c r="O984" s="10">
        <f t="shared" si="46"/>
        <v>0</v>
      </c>
      <c r="P984" s="10">
        <f t="shared" si="47"/>
        <v>0</v>
      </c>
      <c r="Q984" t="str">
        <f>IFERROR(INDEX(Работы!$J$2:$J$6000,MATCH($C984,Работы!$A$2:$A$6000,0)),"")</f>
        <v/>
      </c>
      <c r="R984" t="s">
        <v>92</v>
      </c>
      <c r="T984" t="str">
        <f>IF(AND($P984&gt;0,$R984="да"),MAX($T$1:$T983)+1,"")</f>
        <v/>
      </c>
    </row>
    <row r="985" spans="1:20" x14ac:dyDescent="0.3">
      <c r="A985" s="11" t="str">
        <f>IFERROR(INDEX(Работы!$D$2:$D$6000,MATCH($C985,Работы!$A$2:$A$6000,0)),"")</f>
        <v/>
      </c>
      <c r="B985" t="str">
        <f>IFERROR(INDEX(Работы!$F$2:$F$6000,MATCH($C985,Работы!$A$2:$A$6000,0)),"")</f>
        <v/>
      </c>
      <c r="C985">
        <f>IFERROR(INDEX(Работы!$A$2:$A$6000,984),"")</f>
        <v>0</v>
      </c>
      <c r="D985" s="8" t="str">
        <f>IFERROR(INDEX(Работы!$B$2:$B$6000,MATCH($C985,Работы!$A$2:$A$6000,0)),"")</f>
        <v/>
      </c>
      <c r="E985" t="str">
        <f>IFERROR(INDEX(Работы!$C$2:$C$6000,MATCH($C985,Работы!$A$2:$A$6000,0)),"")</f>
        <v/>
      </c>
      <c r="F985" t="str">
        <f>IFERROR(INDEX(Работы!$G$2:$G$6000,MATCH($C985,Работы!$A$2:$A$6000,0)),"")</f>
        <v/>
      </c>
      <c r="G985" t="str">
        <f>IFERROR(INDEX(Работы!$K$2:$K$6000,MATCH($C985,Работы!$A$2:$A$6000,0)),"")</f>
        <v/>
      </c>
      <c r="H985" s="9"/>
      <c r="I985" s="9"/>
      <c r="J985" s="8" t="str">
        <f>IFERROR(INDEX(Материалы!$B$2:$B$9000,MATCH($I985,Материалы!$A$2:$A$9000,0)),"")</f>
        <v/>
      </c>
      <c r="K985" t="str">
        <f>IF($I985="","",IF($F985=IFERROR(INDEX(Материалы!$G$2:$G$9000,MATCH($I985,Материалы!$A$2:$A$9000,0)),""),"OK","!! не та группа"))</f>
        <v/>
      </c>
      <c r="L985" s="10">
        <f>IFERROR(INDEX(Работы!$H$2:$H$6000,MATCH($C985,Работы!$A$2:$A$6000,0))*(1-ДисконтТендер),0)</f>
        <v>0</v>
      </c>
      <c r="M985" s="10">
        <f>IF($I985="",0,IFERROR(INDEX(Материалы!$I$2:$I$9000,MATCH($I985,Материалы!$A$2:$A$9000,0))*IF(INDEX(Материалы!$J$2:$J$9000,MATCH($I985,Материалы!$A$2:$A$9000,0))="USD",КурсUSD,IF(INDEX(Материалы!$J$2:$J$9000,MATCH($I985,Материалы!$A$2:$A$9000,0))="EUR",КурсEUR,1))*INDEX(Материалы!$K$2:$K$9000,MATCH($I985,Материалы!$A$2:$A$9000,0))*(1+IFERROR(INDEX(Работы!$I$2:$I$6000,MATCH($C985,Работы!$A$2:$A$6000,0))/100,0))*(1-ДисконтТендер),0))</f>
        <v>0</v>
      </c>
      <c r="N985" s="10">
        <f t="shared" si="45"/>
        <v>0</v>
      </c>
      <c r="O985" s="10">
        <f t="shared" si="46"/>
        <v>0</v>
      </c>
      <c r="P985" s="10">
        <f t="shared" si="47"/>
        <v>0</v>
      </c>
      <c r="Q985" t="str">
        <f>IFERROR(INDEX(Работы!$J$2:$J$6000,MATCH($C985,Работы!$A$2:$A$6000,0)),"")</f>
        <v/>
      </c>
      <c r="R985" t="s">
        <v>92</v>
      </c>
      <c r="T985" t="str">
        <f>IF(AND($P985&gt;0,$R985="да"),MAX($T$1:$T984)+1,"")</f>
        <v/>
      </c>
    </row>
    <row r="986" spans="1:20" x14ac:dyDescent="0.3">
      <c r="A986" s="11" t="str">
        <f>IFERROR(INDEX(Работы!$D$2:$D$6000,MATCH($C986,Работы!$A$2:$A$6000,0)),"")</f>
        <v/>
      </c>
      <c r="B986" t="str">
        <f>IFERROR(INDEX(Работы!$F$2:$F$6000,MATCH($C986,Работы!$A$2:$A$6000,0)),"")</f>
        <v/>
      </c>
      <c r="C986">
        <f>IFERROR(INDEX(Работы!$A$2:$A$6000,985),"")</f>
        <v>0</v>
      </c>
      <c r="D986" s="8" t="str">
        <f>IFERROR(INDEX(Работы!$B$2:$B$6000,MATCH($C986,Работы!$A$2:$A$6000,0)),"")</f>
        <v/>
      </c>
      <c r="E986" t="str">
        <f>IFERROR(INDEX(Работы!$C$2:$C$6000,MATCH($C986,Работы!$A$2:$A$6000,0)),"")</f>
        <v/>
      </c>
      <c r="F986" t="str">
        <f>IFERROR(INDEX(Работы!$G$2:$G$6000,MATCH($C986,Работы!$A$2:$A$6000,0)),"")</f>
        <v/>
      </c>
      <c r="G986" t="str">
        <f>IFERROR(INDEX(Работы!$K$2:$K$6000,MATCH($C986,Работы!$A$2:$A$6000,0)),"")</f>
        <v/>
      </c>
      <c r="H986" s="9"/>
      <c r="I986" s="9"/>
      <c r="J986" s="8" t="str">
        <f>IFERROR(INDEX(Материалы!$B$2:$B$9000,MATCH($I986,Материалы!$A$2:$A$9000,0)),"")</f>
        <v/>
      </c>
      <c r="K986" t="str">
        <f>IF($I986="","",IF($F986=IFERROR(INDEX(Материалы!$G$2:$G$9000,MATCH($I986,Материалы!$A$2:$A$9000,0)),""),"OK","!! не та группа"))</f>
        <v/>
      </c>
      <c r="L986" s="10">
        <f>IFERROR(INDEX(Работы!$H$2:$H$6000,MATCH($C986,Работы!$A$2:$A$6000,0))*(1-ДисконтТендер),0)</f>
        <v>0</v>
      </c>
      <c r="M986" s="10">
        <f>IF($I986="",0,IFERROR(INDEX(Материалы!$I$2:$I$9000,MATCH($I986,Материалы!$A$2:$A$9000,0))*IF(INDEX(Материалы!$J$2:$J$9000,MATCH($I986,Материалы!$A$2:$A$9000,0))="USD",КурсUSD,IF(INDEX(Материалы!$J$2:$J$9000,MATCH($I986,Материалы!$A$2:$A$9000,0))="EUR",КурсEUR,1))*INDEX(Материалы!$K$2:$K$9000,MATCH($I986,Материалы!$A$2:$A$9000,0))*(1+IFERROR(INDEX(Работы!$I$2:$I$6000,MATCH($C986,Работы!$A$2:$A$6000,0))/100,0))*(1-ДисконтТендер),0))</f>
        <v>0</v>
      </c>
      <c r="N986" s="10">
        <f t="shared" si="45"/>
        <v>0</v>
      </c>
      <c r="O986" s="10">
        <f t="shared" si="46"/>
        <v>0</v>
      </c>
      <c r="P986" s="10">
        <f t="shared" si="47"/>
        <v>0</v>
      </c>
      <c r="Q986" t="str">
        <f>IFERROR(INDEX(Работы!$J$2:$J$6000,MATCH($C986,Работы!$A$2:$A$6000,0)),"")</f>
        <v/>
      </c>
      <c r="R986" t="s">
        <v>92</v>
      </c>
      <c r="T986" t="str">
        <f>IF(AND($P986&gt;0,$R986="да"),MAX($T$1:$T985)+1,"")</f>
        <v/>
      </c>
    </row>
    <row r="987" spans="1:20" x14ac:dyDescent="0.3">
      <c r="A987" s="11" t="str">
        <f>IFERROR(INDEX(Работы!$D$2:$D$6000,MATCH($C987,Работы!$A$2:$A$6000,0)),"")</f>
        <v/>
      </c>
      <c r="B987" t="str">
        <f>IFERROR(INDEX(Работы!$F$2:$F$6000,MATCH($C987,Работы!$A$2:$A$6000,0)),"")</f>
        <v/>
      </c>
      <c r="C987">
        <f>IFERROR(INDEX(Работы!$A$2:$A$6000,986),"")</f>
        <v>0</v>
      </c>
      <c r="D987" s="8" t="str">
        <f>IFERROR(INDEX(Работы!$B$2:$B$6000,MATCH($C987,Работы!$A$2:$A$6000,0)),"")</f>
        <v/>
      </c>
      <c r="E987" t="str">
        <f>IFERROR(INDEX(Работы!$C$2:$C$6000,MATCH($C987,Работы!$A$2:$A$6000,0)),"")</f>
        <v/>
      </c>
      <c r="F987" t="str">
        <f>IFERROR(INDEX(Работы!$G$2:$G$6000,MATCH($C987,Работы!$A$2:$A$6000,0)),"")</f>
        <v/>
      </c>
      <c r="G987" t="str">
        <f>IFERROR(INDEX(Работы!$K$2:$K$6000,MATCH($C987,Работы!$A$2:$A$6000,0)),"")</f>
        <v/>
      </c>
      <c r="H987" s="9"/>
      <c r="I987" s="9"/>
      <c r="J987" s="8" t="str">
        <f>IFERROR(INDEX(Материалы!$B$2:$B$9000,MATCH($I987,Материалы!$A$2:$A$9000,0)),"")</f>
        <v/>
      </c>
      <c r="K987" t="str">
        <f>IF($I987="","",IF($F987=IFERROR(INDEX(Материалы!$G$2:$G$9000,MATCH($I987,Материалы!$A$2:$A$9000,0)),""),"OK","!! не та группа"))</f>
        <v/>
      </c>
      <c r="L987" s="10">
        <f>IFERROR(INDEX(Работы!$H$2:$H$6000,MATCH($C987,Работы!$A$2:$A$6000,0))*(1-ДисконтТендер),0)</f>
        <v>0</v>
      </c>
      <c r="M987" s="10">
        <f>IF($I987="",0,IFERROR(INDEX(Материалы!$I$2:$I$9000,MATCH($I987,Материалы!$A$2:$A$9000,0))*IF(INDEX(Материалы!$J$2:$J$9000,MATCH($I987,Материалы!$A$2:$A$9000,0))="USD",КурсUSD,IF(INDEX(Материалы!$J$2:$J$9000,MATCH($I987,Материалы!$A$2:$A$9000,0))="EUR",КурсEUR,1))*INDEX(Материалы!$K$2:$K$9000,MATCH($I987,Материалы!$A$2:$A$9000,0))*(1+IFERROR(INDEX(Работы!$I$2:$I$6000,MATCH($C987,Работы!$A$2:$A$6000,0))/100,0))*(1-ДисконтТендер),0))</f>
        <v>0</v>
      </c>
      <c r="N987" s="10">
        <f t="shared" si="45"/>
        <v>0</v>
      </c>
      <c r="O987" s="10">
        <f t="shared" si="46"/>
        <v>0</v>
      </c>
      <c r="P987" s="10">
        <f t="shared" si="47"/>
        <v>0</v>
      </c>
      <c r="Q987" t="str">
        <f>IFERROR(INDEX(Работы!$J$2:$J$6000,MATCH($C987,Работы!$A$2:$A$6000,0)),"")</f>
        <v/>
      </c>
      <c r="R987" t="s">
        <v>92</v>
      </c>
      <c r="T987" t="str">
        <f>IF(AND($P987&gt;0,$R987="да"),MAX($T$1:$T986)+1,"")</f>
        <v/>
      </c>
    </row>
    <row r="988" spans="1:20" x14ac:dyDescent="0.3">
      <c r="A988" s="11" t="str">
        <f>IFERROR(INDEX(Работы!$D$2:$D$6000,MATCH($C988,Работы!$A$2:$A$6000,0)),"")</f>
        <v/>
      </c>
      <c r="B988" t="str">
        <f>IFERROR(INDEX(Работы!$F$2:$F$6000,MATCH($C988,Работы!$A$2:$A$6000,0)),"")</f>
        <v/>
      </c>
      <c r="C988">
        <f>IFERROR(INDEX(Работы!$A$2:$A$6000,987),"")</f>
        <v>0</v>
      </c>
      <c r="D988" s="8" t="str">
        <f>IFERROR(INDEX(Работы!$B$2:$B$6000,MATCH($C988,Работы!$A$2:$A$6000,0)),"")</f>
        <v/>
      </c>
      <c r="E988" t="str">
        <f>IFERROR(INDEX(Работы!$C$2:$C$6000,MATCH($C988,Работы!$A$2:$A$6000,0)),"")</f>
        <v/>
      </c>
      <c r="F988" t="str">
        <f>IFERROR(INDEX(Работы!$G$2:$G$6000,MATCH($C988,Работы!$A$2:$A$6000,0)),"")</f>
        <v/>
      </c>
      <c r="G988" t="str">
        <f>IFERROR(INDEX(Работы!$K$2:$K$6000,MATCH($C988,Работы!$A$2:$A$6000,0)),"")</f>
        <v/>
      </c>
      <c r="H988" s="9"/>
      <c r="I988" s="9"/>
      <c r="J988" s="8" t="str">
        <f>IFERROR(INDEX(Материалы!$B$2:$B$9000,MATCH($I988,Материалы!$A$2:$A$9000,0)),"")</f>
        <v/>
      </c>
      <c r="K988" t="str">
        <f>IF($I988="","",IF($F988=IFERROR(INDEX(Материалы!$G$2:$G$9000,MATCH($I988,Материалы!$A$2:$A$9000,0)),""),"OK","!! не та группа"))</f>
        <v/>
      </c>
      <c r="L988" s="10">
        <f>IFERROR(INDEX(Работы!$H$2:$H$6000,MATCH($C988,Работы!$A$2:$A$6000,0))*(1-ДисконтТендер),0)</f>
        <v>0</v>
      </c>
      <c r="M988" s="10">
        <f>IF($I988="",0,IFERROR(INDEX(Материалы!$I$2:$I$9000,MATCH($I988,Материалы!$A$2:$A$9000,0))*IF(INDEX(Материалы!$J$2:$J$9000,MATCH($I988,Материалы!$A$2:$A$9000,0))="USD",КурсUSD,IF(INDEX(Материалы!$J$2:$J$9000,MATCH($I988,Материалы!$A$2:$A$9000,0))="EUR",КурсEUR,1))*INDEX(Материалы!$K$2:$K$9000,MATCH($I988,Материалы!$A$2:$A$9000,0))*(1+IFERROR(INDEX(Работы!$I$2:$I$6000,MATCH($C988,Работы!$A$2:$A$6000,0))/100,0))*(1-ДисконтТендер),0))</f>
        <v>0</v>
      </c>
      <c r="N988" s="10">
        <f t="shared" si="45"/>
        <v>0</v>
      </c>
      <c r="O988" s="10">
        <f t="shared" si="46"/>
        <v>0</v>
      </c>
      <c r="P988" s="10">
        <f t="shared" si="47"/>
        <v>0</v>
      </c>
      <c r="Q988" t="str">
        <f>IFERROR(INDEX(Работы!$J$2:$J$6000,MATCH($C988,Работы!$A$2:$A$6000,0)),"")</f>
        <v/>
      </c>
      <c r="R988" t="s">
        <v>92</v>
      </c>
      <c r="T988" t="str">
        <f>IF(AND($P988&gt;0,$R988="да"),MAX($T$1:$T987)+1,"")</f>
        <v/>
      </c>
    </row>
    <row r="989" spans="1:20" x14ac:dyDescent="0.3">
      <c r="A989" s="11" t="str">
        <f>IFERROR(INDEX(Работы!$D$2:$D$6000,MATCH($C989,Работы!$A$2:$A$6000,0)),"")</f>
        <v/>
      </c>
      <c r="B989" t="str">
        <f>IFERROR(INDEX(Работы!$F$2:$F$6000,MATCH($C989,Работы!$A$2:$A$6000,0)),"")</f>
        <v/>
      </c>
      <c r="C989">
        <f>IFERROR(INDEX(Работы!$A$2:$A$6000,988),"")</f>
        <v>0</v>
      </c>
      <c r="D989" s="8" t="str">
        <f>IFERROR(INDEX(Работы!$B$2:$B$6000,MATCH($C989,Работы!$A$2:$A$6000,0)),"")</f>
        <v/>
      </c>
      <c r="E989" t="str">
        <f>IFERROR(INDEX(Работы!$C$2:$C$6000,MATCH($C989,Работы!$A$2:$A$6000,0)),"")</f>
        <v/>
      </c>
      <c r="F989" t="str">
        <f>IFERROR(INDEX(Работы!$G$2:$G$6000,MATCH($C989,Работы!$A$2:$A$6000,0)),"")</f>
        <v/>
      </c>
      <c r="G989" t="str">
        <f>IFERROR(INDEX(Работы!$K$2:$K$6000,MATCH($C989,Работы!$A$2:$A$6000,0)),"")</f>
        <v/>
      </c>
      <c r="H989" s="9"/>
      <c r="I989" s="9"/>
      <c r="J989" s="8" t="str">
        <f>IFERROR(INDEX(Материалы!$B$2:$B$9000,MATCH($I989,Материалы!$A$2:$A$9000,0)),"")</f>
        <v/>
      </c>
      <c r="K989" t="str">
        <f>IF($I989="","",IF($F989=IFERROR(INDEX(Материалы!$G$2:$G$9000,MATCH($I989,Материалы!$A$2:$A$9000,0)),""),"OK","!! не та группа"))</f>
        <v/>
      </c>
      <c r="L989" s="10">
        <f>IFERROR(INDEX(Работы!$H$2:$H$6000,MATCH($C989,Работы!$A$2:$A$6000,0))*(1-ДисконтТендер),0)</f>
        <v>0</v>
      </c>
      <c r="M989" s="10">
        <f>IF($I989="",0,IFERROR(INDEX(Материалы!$I$2:$I$9000,MATCH($I989,Материалы!$A$2:$A$9000,0))*IF(INDEX(Материалы!$J$2:$J$9000,MATCH($I989,Материалы!$A$2:$A$9000,0))="USD",КурсUSD,IF(INDEX(Материалы!$J$2:$J$9000,MATCH($I989,Материалы!$A$2:$A$9000,0))="EUR",КурсEUR,1))*INDEX(Материалы!$K$2:$K$9000,MATCH($I989,Материалы!$A$2:$A$9000,0))*(1+IFERROR(INDEX(Работы!$I$2:$I$6000,MATCH($C989,Работы!$A$2:$A$6000,0))/100,0))*(1-ДисконтТендер),0))</f>
        <v>0</v>
      </c>
      <c r="N989" s="10">
        <f t="shared" si="45"/>
        <v>0</v>
      </c>
      <c r="O989" s="10">
        <f t="shared" si="46"/>
        <v>0</v>
      </c>
      <c r="P989" s="10">
        <f t="shared" si="47"/>
        <v>0</v>
      </c>
      <c r="Q989" t="str">
        <f>IFERROR(INDEX(Работы!$J$2:$J$6000,MATCH($C989,Работы!$A$2:$A$6000,0)),"")</f>
        <v/>
      </c>
      <c r="R989" t="s">
        <v>92</v>
      </c>
      <c r="T989" t="str">
        <f>IF(AND($P989&gt;0,$R989="да"),MAX($T$1:$T988)+1,"")</f>
        <v/>
      </c>
    </row>
    <row r="990" spans="1:20" x14ac:dyDescent="0.3">
      <c r="A990" s="11" t="str">
        <f>IFERROR(INDEX(Работы!$D$2:$D$6000,MATCH($C990,Работы!$A$2:$A$6000,0)),"")</f>
        <v/>
      </c>
      <c r="B990" t="str">
        <f>IFERROR(INDEX(Работы!$F$2:$F$6000,MATCH($C990,Работы!$A$2:$A$6000,0)),"")</f>
        <v/>
      </c>
      <c r="C990">
        <f>IFERROR(INDEX(Работы!$A$2:$A$6000,989),"")</f>
        <v>0</v>
      </c>
      <c r="D990" s="8" t="str">
        <f>IFERROR(INDEX(Работы!$B$2:$B$6000,MATCH($C990,Работы!$A$2:$A$6000,0)),"")</f>
        <v/>
      </c>
      <c r="E990" t="str">
        <f>IFERROR(INDEX(Работы!$C$2:$C$6000,MATCH($C990,Работы!$A$2:$A$6000,0)),"")</f>
        <v/>
      </c>
      <c r="F990" t="str">
        <f>IFERROR(INDEX(Работы!$G$2:$G$6000,MATCH($C990,Работы!$A$2:$A$6000,0)),"")</f>
        <v/>
      </c>
      <c r="G990" t="str">
        <f>IFERROR(INDEX(Работы!$K$2:$K$6000,MATCH($C990,Работы!$A$2:$A$6000,0)),"")</f>
        <v/>
      </c>
      <c r="H990" s="9"/>
      <c r="I990" s="9"/>
      <c r="J990" s="8" t="str">
        <f>IFERROR(INDEX(Материалы!$B$2:$B$9000,MATCH($I990,Материалы!$A$2:$A$9000,0)),"")</f>
        <v/>
      </c>
      <c r="K990" t="str">
        <f>IF($I990="","",IF($F990=IFERROR(INDEX(Материалы!$G$2:$G$9000,MATCH($I990,Материалы!$A$2:$A$9000,0)),""),"OK","!! не та группа"))</f>
        <v/>
      </c>
      <c r="L990" s="10">
        <f>IFERROR(INDEX(Работы!$H$2:$H$6000,MATCH($C990,Работы!$A$2:$A$6000,0))*(1-ДисконтТендер),0)</f>
        <v>0</v>
      </c>
      <c r="M990" s="10">
        <f>IF($I990="",0,IFERROR(INDEX(Материалы!$I$2:$I$9000,MATCH($I990,Материалы!$A$2:$A$9000,0))*IF(INDEX(Материалы!$J$2:$J$9000,MATCH($I990,Материалы!$A$2:$A$9000,0))="USD",КурсUSD,IF(INDEX(Материалы!$J$2:$J$9000,MATCH($I990,Материалы!$A$2:$A$9000,0))="EUR",КурсEUR,1))*INDEX(Материалы!$K$2:$K$9000,MATCH($I990,Материалы!$A$2:$A$9000,0))*(1+IFERROR(INDEX(Работы!$I$2:$I$6000,MATCH($C990,Работы!$A$2:$A$6000,0))/100,0))*(1-ДисконтТендер),0))</f>
        <v>0</v>
      </c>
      <c r="N990" s="10">
        <f t="shared" si="45"/>
        <v>0</v>
      </c>
      <c r="O990" s="10">
        <f t="shared" si="46"/>
        <v>0</v>
      </c>
      <c r="P990" s="10">
        <f t="shared" si="47"/>
        <v>0</v>
      </c>
      <c r="Q990" t="str">
        <f>IFERROR(INDEX(Работы!$J$2:$J$6000,MATCH($C990,Работы!$A$2:$A$6000,0)),"")</f>
        <v/>
      </c>
      <c r="R990" t="s">
        <v>92</v>
      </c>
      <c r="T990" t="str">
        <f>IF(AND($P990&gt;0,$R990="да"),MAX($T$1:$T989)+1,"")</f>
        <v/>
      </c>
    </row>
    <row r="991" spans="1:20" x14ac:dyDescent="0.3">
      <c r="A991" s="11" t="str">
        <f>IFERROR(INDEX(Работы!$D$2:$D$6000,MATCH($C991,Работы!$A$2:$A$6000,0)),"")</f>
        <v/>
      </c>
      <c r="B991" t="str">
        <f>IFERROR(INDEX(Работы!$F$2:$F$6000,MATCH($C991,Работы!$A$2:$A$6000,0)),"")</f>
        <v/>
      </c>
      <c r="C991">
        <f>IFERROR(INDEX(Работы!$A$2:$A$6000,990),"")</f>
        <v>0</v>
      </c>
      <c r="D991" s="8" t="str">
        <f>IFERROR(INDEX(Работы!$B$2:$B$6000,MATCH($C991,Работы!$A$2:$A$6000,0)),"")</f>
        <v/>
      </c>
      <c r="E991" t="str">
        <f>IFERROR(INDEX(Работы!$C$2:$C$6000,MATCH($C991,Работы!$A$2:$A$6000,0)),"")</f>
        <v/>
      </c>
      <c r="F991" t="str">
        <f>IFERROR(INDEX(Работы!$G$2:$G$6000,MATCH($C991,Работы!$A$2:$A$6000,0)),"")</f>
        <v/>
      </c>
      <c r="G991" t="str">
        <f>IFERROR(INDEX(Работы!$K$2:$K$6000,MATCH($C991,Работы!$A$2:$A$6000,0)),"")</f>
        <v/>
      </c>
      <c r="H991" s="9"/>
      <c r="I991" s="9"/>
      <c r="J991" s="8" t="str">
        <f>IFERROR(INDEX(Материалы!$B$2:$B$9000,MATCH($I991,Материалы!$A$2:$A$9000,0)),"")</f>
        <v/>
      </c>
      <c r="K991" t="str">
        <f>IF($I991="","",IF($F991=IFERROR(INDEX(Материалы!$G$2:$G$9000,MATCH($I991,Материалы!$A$2:$A$9000,0)),""),"OK","!! не та группа"))</f>
        <v/>
      </c>
      <c r="L991" s="10">
        <f>IFERROR(INDEX(Работы!$H$2:$H$6000,MATCH($C991,Работы!$A$2:$A$6000,0))*(1-ДисконтТендер),0)</f>
        <v>0</v>
      </c>
      <c r="M991" s="10">
        <f>IF($I991="",0,IFERROR(INDEX(Материалы!$I$2:$I$9000,MATCH($I991,Материалы!$A$2:$A$9000,0))*IF(INDEX(Материалы!$J$2:$J$9000,MATCH($I991,Материалы!$A$2:$A$9000,0))="USD",КурсUSD,IF(INDEX(Материалы!$J$2:$J$9000,MATCH($I991,Материалы!$A$2:$A$9000,0))="EUR",КурсEUR,1))*INDEX(Материалы!$K$2:$K$9000,MATCH($I991,Материалы!$A$2:$A$9000,0))*(1+IFERROR(INDEX(Работы!$I$2:$I$6000,MATCH($C991,Работы!$A$2:$A$6000,0))/100,0))*(1-ДисконтТендер),0))</f>
        <v>0</v>
      </c>
      <c r="N991" s="10">
        <f t="shared" si="45"/>
        <v>0</v>
      </c>
      <c r="O991" s="10">
        <f t="shared" si="46"/>
        <v>0</v>
      </c>
      <c r="P991" s="10">
        <f t="shared" si="47"/>
        <v>0</v>
      </c>
      <c r="Q991" t="str">
        <f>IFERROR(INDEX(Работы!$J$2:$J$6000,MATCH($C991,Работы!$A$2:$A$6000,0)),"")</f>
        <v/>
      </c>
      <c r="R991" t="s">
        <v>92</v>
      </c>
      <c r="T991" t="str">
        <f>IF(AND($P991&gt;0,$R991="да"),MAX($T$1:$T990)+1,"")</f>
        <v/>
      </c>
    </row>
    <row r="992" spans="1:20" x14ac:dyDescent="0.3">
      <c r="A992" s="11" t="str">
        <f>IFERROR(INDEX(Работы!$D$2:$D$6000,MATCH($C992,Работы!$A$2:$A$6000,0)),"")</f>
        <v/>
      </c>
      <c r="B992" t="str">
        <f>IFERROR(INDEX(Работы!$F$2:$F$6000,MATCH($C992,Работы!$A$2:$A$6000,0)),"")</f>
        <v/>
      </c>
      <c r="C992">
        <f>IFERROR(INDEX(Работы!$A$2:$A$6000,991),"")</f>
        <v>0</v>
      </c>
      <c r="D992" s="8" t="str">
        <f>IFERROR(INDEX(Работы!$B$2:$B$6000,MATCH($C992,Работы!$A$2:$A$6000,0)),"")</f>
        <v/>
      </c>
      <c r="E992" t="str">
        <f>IFERROR(INDEX(Работы!$C$2:$C$6000,MATCH($C992,Работы!$A$2:$A$6000,0)),"")</f>
        <v/>
      </c>
      <c r="F992" t="str">
        <f>IFERROR(INDEX(Работы!$G$2:$G$6000,MATCH($C992,Работы!$A$2:$A$6000,0)),"")</f>
        <v/>
      </c>
      <c r="G992" t="str">
        <f>IFERROR(INDEX(Работы!$K$2:$K$6000,MATCH($C992,Работы!$A$2:$A$6000,0)),"")</f>
        <v/>
      </c>
      <c r="H992" s="9"/>
      <c r="I992" s="9"/>
      <c r="J992" s="8" t="str">
        <f>IFERROR(INDEX(Материалы!$B$2:$B$9000,MATCH($I992,Материалы!$A$2:$A$9000,0)),"")</f>
        <v/>
      </c>
      <c r="K992" t="str">
        <f>IF($I992="","",IF($F992=IFERROR(INDEX(Материалы!$G$2:$G$9000,MATCH($I992,Материалы!$A$2:$A$9000,0)),""),"OK","!! не та группа"))</f>
        <v/>
      </c>
      <c r="L992" s="10">
        <f>IFERROR(INDEX(Работы!$H$2:$H$6000,MATCH($C992,Работы!$A$2:$A$6000,0))*(1-ДисконтТендер),0)</f>
        <v>0</v>
      </c>
      <c r="M992" s="10">
        <f>IF($I992="",0,IFERROR(INDEX(Материалы!$I$2:$I$9000,MATCH($I992,Материалы!$A$2:$A$9000,0))*IF(INDEX(Материалы!$J$2:$J$9000,MATCH($I992,Материалы!$A$2:$A$9000,0))="USD",КурсUSD,IF(INDEX(Материалы!$J$2:$J$9000,MATCH($I992,Материалы!$A$2:$A$9000,0))="EUR",КурсEUR,1))*INDEX(Материалы!$K$2:$K$9000,MATCH($I992,Материалы!$A$2:$A$9000,0))*(1+IFERROR(INDEX(Работы!$I$2:$I$6000,MATCH($C992,Работы!$A$2:$A$6000,0))/100,0))*(1-ДисконтТендер),0))</f>
        <v>0</v>
      </c>
      <c r="N992" s="10">
        <f t="shared" si="45"/>
        <v>0</v>
      </c>
      <c r="O992" s="10">
        <f t="shared" si="46"/>
        <v>0</v>
      </c>
      <c r="P992" s="10">
        <f t="shared" si="47"/>
        <v>0</v>
      </c>
      <c r="Q992" t="str">
        <f>IFERROR(INDEX(Работы!$J$2:$J$6000,MATCH($C992,Работы!$A$2:$A$6000,0)),"")</f>
        <v/>
      </c>
      <c r="R992" t="s">
        <v>92</v>
      </c>
      <c r="T992" t="str">
        <f>IF(AND($P992&gt;0,$R992="да"),MAX($T$1:$T991)+1,"")</f>
        <v/>
      </c>
    </row>
    <row r="993" spans="1:20" x14ac:dyDescent="0.3">
      <c r="A993" s="11" t="str">
        <f>IFERROR(INDEX(Работы!$D$2:$D$6000,MATCH($C993,Работы!$A$2:$A$6000,0)),"")</f>
        <v/>
      </c>
      <c r="B993" t="str">
        <f>IFERROR(INDEX(Работы!$F$2:$F$6000,MATCH($C993,Работы!$A$2:$A$6000,0)),"")</f>
        <v/>
      </c>
      <c r="C993">
        <f>IFERROR(INDEX(Работы!$A$2:$A$6000,992),"")</f>
        <v>0</v>
      </c>
      <c r="D993" s="8" t="str">
        <f>IFERROR(INDEX(Работы!$B$2:$B$6000,MATCH($C993,Работы!$A$2:$A$6000,0)),"")</f>
        <v/>
      </c>
      <c r="E993" t="str">
        <f>IFERROR(INDEX(Работы!$C$2:$C$6000,MATCH($C993,Работы!$A$2:$A$6000,0)),"")</f>
        <v/>
      </c>
      <c r="F993" t="str">
        <f>IFERROR(INDEX(Работы!$G$2:$G$6000,MATCH($C993,Работы!$A$2:$A$6000,0)),"")</f>
        <v/>
      </c>
      <c r="G993" t="str">
        <f>IFERROR(INDEX(Работы!$K$2:$K$6000,MATCH($C993,Работы!$A$2:$A$6000,0)),"")</f>
        <v/>
      </c>
      <c r="H993" s="9"/>
      <c r="I993" s="9"/>
      <c r="J993" s="8" t="str">
        <f>IFERROR(INDEX(Материалы!$B$2:$B$9000,MATCH($I993,Материалы!$A$2:$A$9000,0)),"")</f>
        <v/>
      </c>
      <c r="K993" t="str">
        <f>IF($I993="","",IF($F993=IFERROR(INDEX(Материалы!$G$2:$G$9000,MATCH($I993,Материалы!$A$2:$A$9000,0)),""),"OK","!! не та группа"))</f>
        <v/>
      </c>
      <c r="L993" s="10">
        <f>IFERROR(INDEX(Работы!$H$2:$H$6000,MATCH($C993,Работы!$A$2:$A$6000,0))*(1-ДисконтТендер),0)</f>
        <v>0</v>
      </c>
      <c r="M993" s="10">
        <f>IF($I993="",0,IFERROR(INDEX(Материалы!$I$2:$I$9000,MATCH($I993,Материалы!$A$2:$A$9000,0))*IF(INDEX(Материалы!$J$2:$J$9000,MATCH($I993,Материалы!$A$2:$A$9000,0))="USD",КурсUSD,IF(INDEX(Материалы!$J$2:$J$9000,MATCH($I993,Материалы!$A$2:$A$9000,0))="EUR",КурсEUR,1))*INDEX(Материалы!$K$2:$K$9000,MATCH($I993,Материалы!$A$2:$A$9000,0))*(1+IFERROR(INDEX(Работы!$I$2:$I$6000,MATCH($C993,Работы!$A$2:$A$6000,0))/100,0))*(1-ДисконтТендер),0))</f>
        <v>0</v>
      </c>
      <c r="N993" s="10">
        <f t="shared" si="45"/>
        <v>0</v>
      </c>
      <c r="O993" s="10">
        <f t="shared" si="46"/>
        <v>0</v>
      </c>
      <c r="P993" s="10">
        <f t="shared" si="47"/>
        <v>0</v>
      </c>
      <c r="Q993" t="str">
        <f>IFERROR(INDEX(Работы!$J$2:$J$6000,MATCH($C993,Работы!$A$2:$A$6000,0)),"")</f>
        <v/>
      </c>
      <c r="R993" t="s">
        <v>92</v>
      </c>
      <c r="T993" t="str">
        <f>IF(AND($P993&gt;0,$R993="да"),MAX($T$1:$T992)+1,"")</f>
        <v/>
      </c>
    </row>
    <row r="994" spans="1:20" x14ac:dyDescent="0.3">
      <c r="A994" s="11" t="str">
        <f>IFERROR(INDEX(Работы!$D$2:$D$6000,MATCH($C994,Работы!$A$2:$A$6000,0)),"")</f>
        <v/>
      </c>
      <c r="B994" t="str">
        <f>IFERROR(INDEX(Работы!$F$2:$F$6000,MATCH($C994,Работы!$A$2:$A$6000,0)),"")</f>
        <v/>
      </c>
      <c r="C994">
        <f>IFERROR(INDEX(Работы!$A$2:$A$6000,993),"")</f>
        <v>0</v>
      </c>
      <c r="D994" s="8" t="str">
        <f>IFERROR(INDEX(Работы!$B$2:$B$6000,MATCH($C994,Работы!$A$2:$A$6000,0)),"")</f>
        <v/>
      </c>
      <c r="E994" t="str">
        <f>IFERROR(INDEX(Работы!$C$2:$C$6000,MATCH($C994,Работы!$A$2:$A$6000,0)),"")</f>
        <v/>
      </c>
      <c r="F994" t="str">
        <f>IFERROR(INDEX(Работы!$G$2:$G$6000,MATCH($C994,Работы!$A$2:$A$6000,0)),"")</f>
        <v/>
      </c>
      <c r="G994" t="str">
        <f>IFERROR(INDEX(Работы!$K$2:$K$6000,MATCH($C994,Работы!$A$2:$A$6000,0)),"")</f>
        <v/>
      </c>
      <c r="H994" s="9"/>
      <c r="I994" s="9"/>
      <c r="J994" s="8" t="str">
        <f>IFERROR(INDEX(Материалы!$B$2:$B$9000,MATCH($I994,Материалы!$A$2:$A$9000,0)),"")</f>
        <v/>
      </c>
      <c r="K994" t="str">
        <f>IF($I994="","",IF($F994=IFERROR(INDEX(Материалы!$G$2:$G$9000,MATCH($I994,Материалы!$A$2:$A$9000,0)),""),"OK","!! не та группа"))</f>
        <v/>
      </c>
      <c r="L994" s="10">
        <f>IFERROR(INDEX(Работы!$H$2:$H$6000,MATCH($C994,Работы!$A$2:$A$6000,0))*(1-ДисконтТендер),0)</f>
        <v>0</v>
      </c>
      <c r="M994" s="10">
        <f>IF($I994="",0,IFERROR(INDEX(Материалы!$I$2:$I$9000,MATCH($I994,Материалы!$A$2:$A$9000,0))*IF(INDEX(Материалы!$J$2:$J$9000,MATCH($I994,Материалы!$A$2:$A$9000,0))="USD",КурсUSD,IF(INDEX(Материалы!$J$2:$J$9000,MATCH($I994,Материалы!$A$2:$A$9000,0))="EUR",КурсEUR,1))*INDEX(Материалы!$K$2:$K$9000,MATCH($I994,Материалы!$A$2:$A$9000,0))*(1+IFERROR(INDEX(Работы!$I$2:$I$6000,MATCH($C994,Работы!$A$2:$A$6000,0))/100,0))*(1-ДисконтТендер),0))</f>
        <v>0</v>
      </c>
      <c r="N994" s="10">
        <f t="shared" si="45"/>
        <v>0</v>
      </c>
      <c r="O994" s="10">
        <f t="shared" si="46"/>
        <v>0</v>
      </c>
      <c r="P994" s="10">
        <f t="shared" si="47"/>
        <v>0</v>
      </c>
      <c r="Q994" t="str">
        <f>IFERROR(INDEX(Работы!$J$2:$J$6000,MATCH($C994,Работы!$A$2:$A$6000,0)),"")</f>
        <v/>
      </c>
      <c r="R994" t="s">
        <v>92</v>
      </c>
      <c r="T994" t="str">
        <f>IF(AND($P994&gt;0,$R994="да"),MAX($T$1:$T993)+1,"")</f>
        <v/>
      </c>
    </row>
    <row r="995" spans="1:20" x14ac:dyDescent="0.3">
      <c r="A995" s="11" t="str">
        <f>IFERROR(INDEX(Работы!$D$2:$D$6000,MATCH($C995,Работы!$A$2:$A$6000,0)),"")</f>
        <v/>
      </c>
      <c r="B995" t="str">
        <f>IFERROR(INDEX(Работы!$F$2:$F$6000,MATCH($C995,Работы!$A$2:$A$6000,0)),"")</f>
        <v/>
      </c>
      <c r="C995">
        <f>IFERROR(INDEX(Работы!$A$2:$A$6000,994),"")</f>
        <v>0</v>
      </c>
      <c r="D995" s="8" t="str">
        <f>IFERROR(INDEX(Работы!$B$2:$B$6000,MATCH($C995,Работы!$A$2:$A$6000,0)),"")</f>
        <v/>
      </c>
      <c r="E995" t="str">
        <f>IFERROR(INDEX(Работы!$C$2:$C$6000,MATCH($C995,Работы!$A$2:$A$6000,0)),"")</f>
        <v/>
      </c>
      <c r="F995" t="str">
        <f>IFERROR(INDEX(Работы!$G$2:$G$6000,MATCH($C995,Работы!$A$2:$A$6000,0)),"")</f>
        <v/>
      </c>
      <c r="G995" t="str">
        <f>IFERROR(INDEX(Работы!$K$2:$K$6000,MATCH($C995,Работы!$A$2:$A$6000,0)),"")</f>
        <v/>
      </c>
      <c r="H995" s="9"/>
      <c r="I995" s="9"/>
      <c r="J995" s="8" t="str">
        <f>IFERROR(INDEX(Материалы!$B$2:$B$9000,MATCH($I995,Материалы!$A$2:$A$9000,0)),"")</f>
        <v/>
      </c>
      <c r="K995" t="str">
        <f>IF($I995="","",IF($F995=IFERROR(INDEX(Материалы!$G$2:$G$9000,MATCH($I995,Материалы!$A$2:$A$9000,0)),""),"OK","!! не та группа"))</f>
        <v/>
      </c>
      <c r="L995" s="10">
        <f>IFERROR(INDEX(Работы!$H$2:$H$6000,MATCH($C995,Работы!$A$2:$A$6000,0))*(1-ДисконтТендер),0)</f>
        <v>0</v>
      </c>
      <c r="M995" s="10">
        <f>IF($I995="",0,IFERROR(INDEX(Материалы!$I$2:$I$9000,MATCH($I995,Материалы!$A$2:$A$9000,0))*IF(INDEX(Материалы!$J$2:$J$9000,MATCH($I995,Материалы!$A$2:$A$9000,0))="USD",КурсUSD,IF(INDEX(Материалы!$J$2:$J$9000,MATCH($I995,Материалы!$A$2:$A$9000,0))="EUR",КурсEUR,1))*INDEX(Материалы!$K$2:$K$9000,MATCH($I995,Материалы!$A$2:$A$9000,0))*(1+IFERROR(INDEX(Работы!$I$2:$I$6000,MATCH($C995,Работы!$A$2:$A$6000,0))/100,0))*(1-ДисконтТендер),0))</f>
        <v>0</v>
      </c>
      <c r="N995" s="10">
        <f t="shared" si="45"/>
        <v>0</v>
      </c>
      <c r="O995" s="10">
        <f t="shared" si="46"/>
        <v>0</v>
      </c>
      <c r="P995" s="10">
        <f t="shared" si="47"/>
        <v>0</v>
      </c>
      <c r="Q995" t="str">
        <f>IFERROR(INDEX(Работы!$J$2:$J$6000,MATCH($C995,Работы!$A$2:$A$6000,0)),"")</f>
        <v/>
      </c>
      <c r="R995" t="s">
        <v>92</v>
      </c>
      <c r="T995" t="str">
        <f>IF(AND($P995&gt;0,$R995="да"),MAX($T$1:$T994)+1,"")</f>
        <v/>
      </c>
    </row>
    <row r="996" spans="1:20" x14ac:dyDescent="0.3">
      <c r="A996" s="11" t="str">
        <f>IFERROR(INDEX(Работы!$D$2:$D$6000,MATCH($C996,Работы!$A$2:$A$6000,0)),"")</f>
        <v/>
      </c>
      <c r="B996" t="str">
        <f>IFERROR(INDEX(Работы!$F$2:$F$6000,MATCH($C996,Работы!$A$2:$A$6000,0)),"")</f>
        <v/>
      </c>
      <c r="C996">
        <f>IFERROR(INDEX(Работы!$A$2:$A$6000,995),"")</f>
        <v>0</v>
      </c>
      <c r="D996" s="8" t="str">
        <f>IFERROR(INDEX(Работы!$B$2:$B$6000,MATCH($C996,Работы!$A$2:$A$6000,0)),"")</f>
        <v/>
      </c>
      <c r="E996" t="str">
        <f>IFERROR(INDEX(Работы!$C$2:$C$6000,MATCH($C996,Работы!$A$2:$A$6000,0)),"")</f>
        <v/>
      </c>
      <c r="F996" t="str">
        <f>IFERROR(INDEX(Работы!$G$2:$G$6000,MATCH($C996,Работы!$A$2:$A$6000,0)),"")</f>
        <v/>
      </c>
      <c r="G996" t="str">
        <f>IFERROR(INDEX(Работы!$K$2:$K$6000,MATCH($C996,Работы!$A$2:$A$6000,0)),"")</f>
        <v/>
      </c>
      <c r="H996" s="9"/>
      <c r="I996" s="9"/>
      <c r="J996" s="8" t="str">
        <f>IFERROR(INDEX(Материалы!$B$2:$B$9000,MATCH($I996,Материалы!$A$2:$A$9000,0)),"")</f>
        <v/>
      </c>
      <c r="K996" t="str">
        <f>IF($I996="","",IF($F996=IFERROR(INDEX(Материалы!$G$2:$G$9000,MATCH($I996,Материалы!$A$2:$A$9000,0)),""),"OK","!! не та группа"))</f>
        <v/>
      </c>
      <c r="L996" s="10">
        <f>IFERROR(INDEX(Работы!$H$2:$H$6000,MATCH($C996,Работы!$A$2:$A$6000,0))*(1-ДисконтТендер),0)</f>
        <v>0</v>
      </c>
      <c r="M996" s="10">
        <f>IF($I996="",0,IFERROR(INDEX(Материалы!$I$2:$I$9000,MATCH($I996,Материалы!$A$2:$A$9000,0))*IF(INDEX(Материалы!$J$2:$J$9000,MATCH($I996,Материалы!$A$2:$A$9000,0))="USD",КурсUSD,IF(INDEX(Материалы!$J$2:$J$9000,MATCH($I996,Материалы!$A$2:$A$9000,0))="EUR",КурсEUR,1))*INDEX(Материалы!$K$2:$K$9000,MATCH($I996,Материалы!$A$2:$A$9000,0))*(1+IFERROR(INDEX(Работы!$I$2:$I$6000,MATCH($C996,Работы!$A$2:$A$6000,0))/100,0))*(1-ДисконтТендер),0))</f>
        <v>0</v>
      </c>
      <c r="N996" s="10">
        <f t="shared" si="45"/>
        <v>0</v>
      </c>
      <c r="O996" s="10">
        <f t="shared" si="46"/>
        <v>0</v>
      </c>
      <c r="P996" s="10">
        <f t="shared" si="47"/>
        <v>0</v>
      </c>
      <c r="Q996" t="str">
        <f>IFERROR(INDEX(Работы!$J$2:$J$6000,MATCH($C996,Работы!$A$2:$A$6000,0)),"")</f>
        <v/>
      </c>
      <c r="R996" t="s">
        <v>92</v>
      </c>
      <c r="T996" t="str">
        <f>IF(AND($P996&gt;0,$R996="да"),MAX($T$1:$T995)+1,"")</f>
        <v/>
      </c>
    </row>
    <row r="997" spans="1:20" x14ac:dyDescent="0.3">
      <c r="A997" s="11" t="str">
        <f>IFERROR(INDEX(Работы!$D$2:$D$6000,MATCH($C997,Работы!$A$2:$A$6000,0)),"")</f>
        <v/>
      </c>
      <c r="B997" t="str">
        <f>IFERROR(INDEX(Работы!$F$2:$F$6000,MATCH($C997,Работы!$A$2:$A$6000,0)),"")</f>
        <v/>
      </c>
      <c r="C997">
        <f>IFERROR(INDEX(Работы!$A$2:$A$6000,996),"")</f>
        <v>0</v>
      </c>
      <c r="D997" s="8" t="str">
        <f>IFERROR(INDEX(Работы!$B$2:$B$6000,MATCH($C997,Работы!$A$2:$A$6000,0)),"")</f>
        <v/>
      </c>
      <c r="E997" t="str">
        <f>IFERROR(INDEX(Работы!$C$2:$C$6000,MATCH($C997,Работы!$A$2:$A$6000,0)),"")</f>
        <v/>
      </c>
      <c r="F997" t="str">
        <f>IFERROR(INDEX(Работы!$G$2:$G$6000,MATCH($C997,Работы!$A$2:$A$6000,0)),"")</f>
        <v/>
      </c>
      <c r="G997" t="str">
        <f>IFERROR(INDEX(Работы!$K$2:$K$6000,MATCH($C997,Работы!$A$2:$A$6000,0)),"")</f>
        <v/>
      </c>
      <c r="H997" s="9"/>
      <c r="I997" s="9"/>
      <c r="J997" s="8" t="str">
        <f>IFERROR(INDEX(Материалы!$B$2:$B$9000,MATCH($I997,Материалы!$A$2:$A$9000,0)),"")</f>
        <v/>
      </c>
      <c r="K997" t="str">
        <f>IF($I997="","",IF($F997=IFERROR(INDEX(Материалы!$G$2:$G$9000,MATCH($I997,Материалы!$A$2:$A$9000,0)),""),"OK","!! не та группа"))</f>
        <v/>
      </c>
      <c r="L997" s="10">
        <f>IFERROR(INDEX(Работы!$H$2:$H$6000,MATCH($C997,Работы!$A$2:$A$6000,0))*(1-ДисконтТендер),0)</f>
        <v>0</v>
      </c>
      <c r="M997" s="10">
        <f>IF($I997="",0,IFERROR(INDEX(Материалы!$I$2:$I$9000,MATCH($I997,Материалы!$A$2:$A$9000,0))*IF(INDEX(Материалы!$J$2:$J$9000,MATCH($I997,Материалы!$A$2:$A$9000,0))="USD",КурсUSD,IF(INDEX(Материалы!$J$2:$J$9000,MATCH($I997,Материалы!$A$2:$A$9000,0))="EUR",КурсEUR,1))*INDEX(Материалы!$K$2:$K$9000,MATCH($I997,Материалы!$A$2:$A$9000,0))*(1+IFERROR(INDEX(Работы!$I$2:$I$6000,MATCH($C997,Работы!$A$2:$A$6000,0))/100,0))*(1-ДисконтТендер),0))</f>
        <v>0</v>
      </c>
      <c r="N997" s="10">
        <f t="shared" si="45"/>
        <v>0</v>
      </c>
      <c r="O997" s="10">
        <f t="shared" si="46"/>
        <v>0</v>
      </c>
      <c r="P997" s="10">
        <f t="shared" si="47"/>
        <v>0</v>
      </c>
      <c r="Q997" t="str">
        <f>IFERROR(INDEX(Работы!$J$2:$J$6000,MATCH($C997,Работы!$A$2:$A$6000,0)),"")</f>
        <v/>
      </c>
      <c r="R997" t="s">
        <v>92</v>
      </c>
      <c r="T997" t="str">
        <f>IF(AND($P997&gt;0,$R997="да"),MAX($T$1:$T996)+1,"")</f>
        <v/>
      </c>
    </row>
    <row r="998" spans="1:20" x14ac:dyDescent="0.3">
      <c r="A998" s="11" t="str">
        <f>IFERROR(INDEX(Работы!$D$2:$D$6000,MATCH($C998,Работы!$A$2:$A$6000,0)),"")</f>
        <v/>
      </c>
      <c r="B998" t="str">
        <f>IFERROR(INDEX(Работы!$F$2:$F$6000,MATCH($C998,Работы!$A$2:$A$6000,0)),"")</f>
        <v/>
      </c>
      <c r="C998">
        <f>IFERROR(INDEX(Работы!$A$2:$A$6000,997),"")</f>
        <v>0</v>
      </c>
      <c r="D998" s="8" t="str">
        <f>IFERROR(INDEX(Работы!$B$2:$B$6000,MATCH($C998,Работы!$A$2:$A$6000,0)),"")</f>
        <v/>
      </c>
      <c r="E998" t="str">
        <f>IFERROR(INDEX(Работы!$C$2:$C$6000,MATCH($C998,Работы!$A$2:$A$6000,0)),"")</f>
        <v/>
      </c>
      <c r="F998" t="str">
        <f>IFERROR(INDEX(Работы!$G$2:$G$6000,MATCH($C998,Работы!$A$2:$A$6000,0)),"")</f>
        <v/>
      </c>
      <c r="G998" t="str">
        <f>IFERROR(INDEX(Работы!$K$2:$K$6000,MATCH($C998,Работы!$A$2:$A$6000,0)),"")</f>
        <v/>
      </c>
      <c r="H998" s="9"/>
      <c r="I998" s="9"/>
      <c r="J998" s="8" t="str">
        <f>IFERROR(INDEX(Материалы!$B$2:$B$9000,MATCH($I998,Материалы!$A$2:$A$9000,0)),"")</f>
        <v/>
      </c>
      <c r="K998" t="str">
        <f>IF($I998="","",IF($F998=IFERROR(INDEX(Материалы!$G$2:$G$9000,MATCH($I998,Материалы!$A$2:$A$9000,0)),""),"OK","!! не та группа"))</f>
        <v/>
      </c>
      <c r="L998" s="10">
        <f>IFERROR(INDEX(Работы!$H$2:$H$6000,MATCH($C998,Работы!$A$2:$A$6000,0))*(1-ДисконтТендер),0)</f>
        <v>0</v>
      </c>
      <c r="M998" s="10">
        <f>IF($I998="",0,IFERROR(INDEX(Материалы!$I$2:$I$9000,MATCH($I998,Материалы!$A$2:$A$9000,0))*IF(INDEX(Материалы!$J$2:$J$9000,MATCH($I998,Материалы!$A$2:$A$9000,0))="USD",КурсUSD,IF(INDEX(Материалы!$J$2:$J$9000,MATCH($I998,Материалы!$A$2:$A$9000,0))="EUR",КурсEUR,1))*INDEX(Материалы!$K$2:$K$9000,MATCH($I998,Материалы!$A$2:$A$9000,0))*(1+IFERROR(INDEX(Работы!$I$2:$I$6000,MATCH($C998,Работы!$A$2:$A$6000,0))/100,0))*(1-ДисконтТендер),0))</f>
        <v>0</v>
      </c>
      <c r="N998" s="10">
        <f t="shared" si="45"/>
        <v>0</v>
      </c>
      <c r="O998" s="10">
        <f t="shared" si="46"/>
        <v>0</v>
      </c>
      <c r="P998" s="10">
        <f t="shared" si="47"/>
        <v>0</v>
      </c>
      <c r="Q998" t="str">
        <f>IFERROR(INDEX(Работы!$J$2:$J$6000,MATCH($C998,Работы!$A$2:$A$6000,0)),"")</f>
        <v/>
      </c>
      <c r="R998" t="s">
        <v>92</v>
      </c>
      <c r="T998" t="str">
        <f>IF(AND($P998&gt;0,$R998="да"),MAX($T$1:$T997)+1,"")</f>
        <v/>
      </c>
    </row>
    <row r="999" spans="1:20" x14ac:dyDescent="0.3">
      <c r="A999" s="11" t="str">
        <f>IFERROR(INDEX(Работы!$D$2:$D$6000,MATCH($C999,Работы!$A$2:$A$6000,0)),"")</f>
        <v/>
      </c>
      <c r="B999" t="str">
        <f>IFERROR(INDEX(Работы!$F$2:$F$6000,MATCH($C999,Работы!$A$2:$A$6000,0)),"")</f>
        <v/>
      </c>
      <c r="C999">
        <f>IFERROR(INDEX(Работы!$A$2:$A$6000,998),"")</f>
        <v>0</v>
      </c>
      <c r="D999" s="8" t="str">
        <f>IFERROR(INDEX(Работы!$B$2:$B$6000,MATCH($C999,Работы!$A$2:$A$6000,0)),"")</f>
        <v/>
      </c>
      <c r="E999" t="str">
        <f>IFERROR(INDEX(Работы!$C$2:$C$6000,MATCH($C999,Работы!$A$2:$A$6000,0)),"")</f>
        <v/>
      </c>
      <c r="F999" t="str">
        <f>IFERROR(INDEX(Работы!$G$2:$G$6000,MATCH($C999,Работы!$A$2:$A$6000,0)),"")</f>
        <v/>
      </c>
      <c r="G999" t="str">
        <f>IFERROR(INDEX(Работы!$K$2:$K$6000,MATCH($C999,Работы!$A$2:$A$6000,0)),"")</f>
        <v/>
      </c>
      <c r="H999" s="9"/>
      <c r="I999" s="9"/>
      <c r="J999" s="8" t="str">
        <f>IFERROR(INDEX(Материалы!$B$2:$B$9000,MATCH($I999,Материалы!$A$2:$A$9000,0)),"")</f>
        <v/>
      </c>
      <c r="K999" t="str">
        <f>IF($I999="","",IF($F999=IFERROR(INDEX(Материалы!$G$2:$G$9000,MATCH($I999,Материалы!$A$2:$A$9000,0)),""),"OK","!! не та группа"))</f>
        <v/>
      </c>
      <c r="L999" s="10">
        <f>IFERROR(INDEX(Работы!$H$2:$H$6000,MATCH($C999,Работы!$A$2:$A$6000,0))*(1-ДисконтТендер),0)</f>
        <v>0</v>
      </c>
      <c r="M999" s="10">
        <f>IF($I999="",0,IFERROR(INDEX(Материалы!$I$2:$I$9000,MATCH($I999,Материалы!$A$2:$A$9000,0))*IF(INDEX(Материалы!$J$2:$J$9000,MATCH($I999,Материалы!$A$2:$A$9000,0))="USD",КурсUSD,IF(INDEX(Материалы!$J$2:$J$9000,MATCH($I999,Материалы!$A$2:$A$9000,0))="EUR",КурсEUR,1))*INDEX(Материалы!$K$2:$K$9000,MATCH($I999,Материалы!$A$2:$A$9000,0))*(1+IFERROR(INDEX(Работы!$I$2:$I$6000,MATCH($C999,Работы!$A$2:$A$6000,0))/100,0))*(1-ДисконтТендер),0))</f>
        <v>0</v>
      </c>
      <c r="N999" s="10">
        <f t="shared" si="45"/>
        <v>0</v>
      </c>
      <c r="O999" s="10">
        <f t="shared" si="46"/>
        <v>0</v>
      </c>
      <c r="P999" s="10">
        <f t="shared" si="47"/>
        <v>0</v>
      </c>
      <c r="Q999" t="str">
        <f>IFERROR(INDEX(Работы!$J$2:$J$6000,MATCH($C999,Работы!$A$2:$A$6000,0)),"")</f>
        <v/>
      </c>
      <c r="R999" t="s">
        <v>92</v>
      </c>
      <c r="T999" t="str">
        <f>IF(AND($P999&gt;0,$R999="да"),MAX($T$1:$T998)+1,"")</f>
        <v/>
      </c>
    </row>
    <row r="1000" spans="1:20" x14ac:dyDescent="0.3">
      <c r="A1000" s="11" t="str">
        <f>IFERROR(INDEX(Работы!$D$2:$D$6000,MATCH($C1000,Работы!$A$2:$A$6000,0)),"")</f>
        <v/>
      </c>
      <c r="B1000" t="str">
        <f>IFERROR(INDEX(Работы!$F$2:$F$6000,MATCH($C1000,Работы!$A$2:$A$6000,0)),"")</f>
        <v/>
      </c>
      <c r="C1000">
        <f>IFERROR(INDEX(Работы!$A$2:$A$6000,999),"")</f>
        <v>0</v>
      </c>
      <c r="D1000" s="8" t="str">
        <f>IFERROR(INDEX(Работы!$B$2:$B$6000,MATCH($C1000,Работы!$A$2:$A$6000,0)),"")</f>
        <v/>
      </c>
      <c r="E1000" t="str">
        <f>IFERROR(INDEX(Работы!$C$2:$C$6000,MATCH($C1000,Работы!$A$2:$A$6000,0)),"")</f>
        <v/>
      </c>
      <c r="F1000" t="str">
        <f>IFERROR(INDEX(Работы!$G$2:$G$6000,MATCH($C1000,Работы!$A$2:$A$6000,0)),"")</f>
        <v/>
      </c>
      <c r="G1000" t="str">
        <f>IFERROR(INDEX(Работы!$K$2:$K$6000,MATCH($C1000,Работы!$A$2:$A$6000,0)),"")</f>
        <v/>
      </c>
      <c r="H1000" s="9"/>
      <c r="I1000" s="9"/>
      <c r="J1000" s="8" t="str">
        <f>IFERROR(INDEX(Материалы!$B$2:$B$9000,MATCH($I1000,Материалы!$A$2:$A$9000,0)),"")</f>
        <v/>
      </c>
      <c r="K1000" t="str">
        <f>IF($I1000="","",IF($F1000=IFERROR(INDEX(Материалы!$G$2:$G$9000,MATCH($I1000,Материалы!$A$2:$A$9000,0)),""),"OK","!! не та группа"))</f>
        <v/>
      </c>
      <c r="L1000" s="10">
        <f>IFERROR(INDEX(Работы!$H$2:$H$6000,MATCH($C1000,Работы!$A$2:$A$6000,0))*(1-ДисконтТендер),0)</f>
        <v>0</v>
      </c>
      <c r="M1000" s="10">
        <f>IF($I1000="",0,IFERROR(INDEX(Материалы!$I$2:$I$9000,MATCH($I1000,Материалы!$A$2:$A$9000,0))*IF(INDEX(Материалы!$J$2:$J$9000,MATCH($I1000,Материалы!$A$2:$A$9000,0))="USD",КурсUSD,IF(INDEX(Материалы!$J$2:$J$9000,MATCH($I1000,Материалы!$A$2:$A$9000,0))="EUR",КурсEUR,1))*INDEX(Материалы!$K$2:$K$9000,MATCH($I1000,Материалы!$A$2:$A$9000,0))*(1+IFERROR(INDEX(Работы!$I$2:$I$6000,MATCH($C1000,Работы!$A$2:$A$6000,0))/100,0))*(1-ДисконтТендер),0))</f>
        <v>0</v>
      </c>
      <c r="N1000" s="10">
        <f t="shared" si="45"/>
        <v>0</v>
      </c>
      <c r="O1000" s="10">
        <f t="shared" si="46"/>
        <v>0</v>
      </c>
      <c r="P1000" s="10">
        <f t="shared" si="47"/>
        <v>0</v>
      </c>
      <c r="Q1000" t="str">
        <f>IFERROR(INDEX(Работы!$J$2:$J$6000,MATCH($C1000,Работы!$A$2:$A$6000,0)),"")</f>
        <v/>
      </c>
      <c r="R1000" t="s">
        <v>92</v>
      </c>
      <c r="T1000" t="str">
        <f>IF(AND($P1000&gt;0,$R1000="да"),MAX($T$1:$T999)+1,"")</f>
        <v/>
      </c>
    </row>
    <row r="1001" spans="1:20" x14ac:dyDescent="0.3">
      <c r="A1001" s="11" t="str">
        <f>IFERROR(INDEX(Работы!$D$2:$D$6000,MATCH($C1001,Работы!$A$2:$A$6000,0)),"")</f>
        <v/>
      </c>
      <c r="B1001" t="str">
        <f>IFERROR(INDEX(Работы!$F$2:$F$6000,MATCH($C1001,Работы!$A$2:$A$6000,0)),"")</f>
        <v/>
      </c>
      <c r="C1001">
        <f>IFERROR(INDEX(Работы!$A$2:$A$6000,1000),"")</f>
        <v>0</v>
      </c>
      <c r="D1001" s="8" t="str">
        <f>IFERROR(INDEX(Работы!$B$2:$B$6000,MATCH($C1001,Работы!$A$2:$A$6000,0)),"")</f>
        <v/>
      </c>
      <c r="E1001" t="str">
        <f>IFERROR(INDEX(Работы!$C$2:$C$6000,MATCH($C1001,Работы!$A$2:$A$6000,0)),"")</f>
        <v/>
      </c>
      <c r="F1001" t="str">
        <f>IFERROR(INDEX(Работы!$G$2:$G$6000,MATCH($C1001,Работы!$A$2:$A$6000,0)),"")</f>
        <v/>
      </c>
      <c r="G1001" t="str">
        <f>IFERROR(INDEX(Работы!$K$2:$K$6000,MATCH($C1001,Работы!$A$2:$A$6000,0)),"")</f>
        <v/>
      </c>
      <c r="H1001" s="9"/>
      <c r="I1001" s="9"/>
      <c r="J1001" s="8" t="str">
        <f>IFERROR(INDEX(Материалы!$B$2:$B$9000,MATCH($I1001,Материалы!$A$2:$A$9000,0)),"")</f>
        <v/>
      </c>
      <c r="K1001" t="str">
        <f>IF($I1001="","",IF($F1001=IFERROR(INDEX(Материалы!$G$2:$G$9000,MATCH($I1001,Материалы!$A$2:$A$9000,0)),""),"OK","!! не та группа"))</f>
        <v/>
      </c>
      <c r="L1001" s="10">
        <f>IFERROR(INDEX(Работы!$H$2:$H$6000,MATCH($C1001,Работы!$A$2:$A$6000,0))*(1-ДисконтТендер),0)</f>
        <v>0</v>
      </c>
      <c r="M1001" s="10">
        <f>IF($I1001="",0,IFERROR(INDEX(Материалы!$I$2:$I$9000,MATCH($I1001,Материалы!$A$2:$A$9000,0))*IF(INDEX(Материалы!$J$2:$J$9000,MATCH($I1001,Материалы!$A$2:$A$9000,0))="USD",КурсUSD,IF(INDEX(Материалы!$J$2:$J$9000,MATCH($I1001,Материалы!$A$2:$A$9000,0))="EUR",КурсEUR,1))*INDEX(Материалы!$K$2:$K$9000,MATCH($I1001,Материалы!$A$2:$A$9000,0))*(1+IFERROR(INDEX(Работы!$I$2:$I$6000,MATCH($C1001,Работы!$A$2:$A$6000,0))/100,0))*(1-ДисконтТендер),0))</f>
        <v>0</v>
      </c>
      <c r="N1001" s="10">
        <f t="shared" si="45"/>
        <v>0</v>
      </c>
      <c r="O1001" s="10">
        <f t="shared" si="46"/>
        <v>0</v>
      </c>
      <c r="P1001" s="10">
        <f t="shared" si="47"/>
        <v>0</v>
      </c>
      <c r="Q1001" t="str">
        <f>IFERROR(INDEX(Работы!$J$2:$J$6000,MATCH($C1001,Работы!$A$2:$A$6000,0)),"")</f>
        <v/>
      </c>
      <c r="R1001" t="s">
        <v>92</v>
      </c>
      <c r="T1001" t="str">
        <f>IF(AND($P1001&gt;0,$R1001="да"),MAX($T$1:$T1000)+1,"")</f>
        <v/>
      </c>
    </row>
    <row r="1002" spans="1:20" x14ac:dyDescent="0.3">
      <c r="A1002" s="11" t="str">
        <f>IFERROR(INDEX(Работы!$D$2:$D$6000,MATCH($C1002,Работы!$A$2:$A$6000,0)),"")</f>
        <v/>
      </c>
      <c r="B1002" t="str">
        <f>IFERROR(INDEX(Работы!$F$2:$F$6000,MATCH($C1002,Работы!$A$2:$A$6000,0)),"")</f>
        <v/>
      </c>
      <c r="C1002">
        <f>IFERROR(INDEX(Работы!$A$2:$A$6000,1001),"")</f>
        <v>0</v>
      </c>
      <c r="D1002" s="8" t="str">
        <f>IFERROR(INDEX(Работы!$B$2:$B$6000,MATCH($C1002,Работы!$A$2:$A$6000,0)),"")</f>
        <v/>
      </c>
      <c r="E1002" t="str">
        <f>IFERROR(INDEX(Работы!$C$2:$C$6000,MATCH($C1002,Работы!$A$2:$A$6000,0)),"")</f>
        <v/>
      </c>
      <c r="F1002" t="str">
        <f>IFERROR(INDEX(Работы!$G$2:$G$6000,MATCH($C1002,Работы!$A$2:$A$6000,0)),"")</f>
        <v/>
      </c>
      <c r="G1002" t="str">
        <f>IFERROR(INDEX(Работы!$K$2:$K$6000,MATCH($C1002,Работы!$A$2:$A$6000,0)),"")</f>
        <v/>
      </c>
      <c r="H1002" s="9"/>
      <c r="I1002" s="9"/>
      <c r="J1002" s="8" t="str">
        <f>IFERROR(INDEX(Материалы!$B$2:$B$9000,MATCH($I1002,Материалы!$A$2:$A$9000,0)),"")</f>
        <v/>
      </c>
      <c r="K1002" t="str">
        <f>IF($I1002="","",IF($F1002=IFERROR(INDEX(Материалы!$G$2:$G$9000,MATCH($I1002,Материалы!$A$2:$A$9000,0)),""),"OK","!! не та группа"))</f>
        <v/>
      </c>
      <c r="L1002" s="10">
        <f>IFERROR(INDEX(Работы!$H$2:$H$6000,MATCH($C1002,Работы!$A$2:$A$6000,0))*(1-ДисконтТендер),0)</f>
        <v>0</v>
      </c>
      <c r="M1002" s="10">
        <f>IF($I1002="",0,IFERROR(INDEX(Материалы!$I$2:$I$9000,MATCH($I1002,Материалы!$A$2:$A$9000,0))*IF(INDEX(Материалы!$J$2:$J$9000,MATCH($I1002,Материалы!$A$2:$A$9000,0))="USD",КурсUSD,IF(INDEX(Материалы!$J$2:$J$9000,MATCH($I1002,Материалы!$A$2:$A$9000,0))="EUR",КурсEUR,1))*INDEX(Материалы!$K$2:$K$9000,MATCH($I1002,Материалы!$A$2:$A$9000,0))*(1+IFERROR(INDEX(Работы!$I$2:$I$6000,MATCH($C1002,Работы!$A$2:$A$6000,0))/100,0))*(1-ДисконтТендер),0))</f>
        <v>0</v>
      </c>
      <c r="N1002" s="10">
        <f t="shared" si="45"/>
        <v>0</v>
      </c>
      <c r="O1002" s="10">
        <f t="shared" si="46"/>
        <v>0</v>
      </c>
      <c r="P1002" s="10">
        <f t="shared" si="47"/>
        <v>0</v>
      </c>
      <c r="Q1002" t="str">
        <f>IFERROR(INDEX(Работы!$J$2:$J$6000,MATCH($C1002,Работы!$A$2:$A$6000,0)),"")</f>
        <v/>
      </c>
      <c r="R1002" t="s">
        <v>92</v>
      </c>
      <c r="T1002" t="str">
        <f>IF(AND($P1002&gt;0,$R1002="да"),MAX($T$1:$T1001)+1,"")</f>
        <v/>
      </c>
    </row>
    <row r="1003" spans="1:20" x14ac:dyDescent="0.3">
      <c r="A1003" s="11" t="str">
        <f>IFERROR(INDEX(Работы!$D$2:$D$6000,MATCH($C1003,Работы!$A$2:$A$6000,0)),"")</f>
        <v/>
      </c>
      <c r="B1003" t="str">
        <f>IFERROR(INDEX(Работы!$F$2:$F$6000,MATCH($C1003,Работы!$A$2:$A$6000,0)),"")</f>
        <v/>
      </c>
      <c r="C1003">
        <f>IFERROR(INDEX(Работы!$A$2:$A$6000,1002),"")</f>
        <v>0</v>
      </c>
      <c r="D1003" s="8" t="str">
        <f>IFERROR(INDEX(Работы!$B$2:$B$6000,MATCH($C1003,Работы!$A$2:$A$6000,0)),"")</f>
        <v/>
      </c>
      <c r="E1003" t="str">
        <f>IFERROR(INDEX(Работы!$C$2:$C$6000,MATCH($C1003,Работы!$A$2:$A$6000,0)),"")</f>
        <v/>
      </c>
      <c r="F1003" t="str">
        <f>IFERROR(INDEX(Работы!$G$2:$G$6000,MATCH($C1003,Работы!$A$2:$A$6000,0)),"")</f>
        <v/>
      </c>
      <c r="G1003" t="str">
        <f>IFERROR(INDEX(Работы!$K$2:$K$6000,MATCH($C1003,Работы!$A$2:$A$6000,0)),"")</f>
        <v/>
      </c>
      <c r="H1003" s="9"/>
      <c r="I1003" s="9"/>
      <c r="J1003" s="8" t="str">
        <f>IFERROR(INDEX(Материалы!$B$2:$B$9000,MATCH($I1003,Материалы!$A$2:$A$9000,0)),"")</f>
        <v/>
      </c>
      <c r="K1003" t="str">
        <f>IF($I1003="","",IF($F1003=IFERROR(INDEX(Материалы!$G$2:$G$9000,MATCH($I1003,Материалы!$A$2:$A$9000,0)),""),"OK","!! не та группа"))</f>
        <v/>
      </c>
      <c r="L1003" s="10">
        <f>IFERROR(INDEX(Работы!$H$2:$H$6000,MATCH($C1003,Работы!$A$2:$A$6000,0))*(1-ДисконтТендер),0)</f>
        <v>0</v>
      </c>
      <c r="M1003" s="10">
        <f>IF($I1003="",0,IFERROR(INDEX(Материалы!$I$2:$I$9000,MATCH($I1003,Материалы!$A$2:$A$9000,0))*IF(INDEX(Материалы!$J$2:$J$9000,MATCH($I1003,Материалы!$A$2:$A$9000,0))="USD",КурсUSD,IF(INDEX(Материалы!$J$2:$J$9000,MATCH($I1003,Материалы!$A$2:$A$9000,0))="EUR",КурсEUR,1))*INDEX(Материалы!$K$2:$K$9000,MATCH($I1003,Материалы!$A$2:$A$9000,0))*(1+IFERROR(INDEX(Работы!$I$2:$I$6000,MATCH($C1003,Работы!$A$2:$A$6000,0))/100,0))*(1-ДисконтТендер),0))</f>
        <v>0</v>
      </c>
      <c r="N1003" s="10">
        <f t="shared" si="45"/>
        <v>0</v>
      </c>
      <c r="O1003" s="10">
        <f t="shared" si="46"/>
        <v>0</v>
      </c>
      <c r="P1003" s="10">
        <f t="shared" si="47"/>
        <v>0</v>
      </c>
      <c r="Q1003" t="str">
        <f>IFERROR(INDEX(Работы!$J$2:$J$6000,MATCH($C1003,Работы!$A$2:$A$6000,0)),"")</f>
        <v/>
      </c>
      <c r="R1003" t="s">
        <v>92</v>
      </c>
      <c r="T1003" t="str">
        <f>IF(AND($P1003&gt;0,$R1003="да"),MAX($T$1:$T1002)+1,"")</f>
        <v/>
      </c>
    </row>
    <row r="1004" spans="1:20" x14ac:dyDescent="0.3">
      <c r="A1004" s="11" t="str">
        <f>IFERROR(INDEX(Работы!$D$2:$D$6000,MATCH($C1004,Работы!$A$2:$A$6000,0)),"")</f>
        <v/>
      </c>
      <c r="B1004" t="str">
        <f>IFERROR(INDEX(Работы!$F$2:$F$6000,MATCH($C1004,Работы!$A$2:$A$6000,0)),"")</f>
        <v/>
      </c>
      <c r="C1004">
        <f>IFERROR(INDEX(Работы!$A$2:$A$6000,1003),"")</f>
        <v>0</v>
      </c>
      <c r="D1004" s="8" t="str">
        <f>IFERROR(INDEX(Работы!$B$2:$B$6000,MATCH($C1004,Работы!$A$2:$A$6000,0)),"")</f>
        <v/>
      </c>
      <c r="E1004" t="str">
        <f>IFERROR(INDEX(Работы!$C$2:$C$6000,MATCH($C1004,Работы!$A$2:$A$6000,0)),"")</f>
        <v/>
      </c>
      <c r="F1004" t="str">
        <f>IFERROR(INDEX(Работы!$G$2:$G$6000,MATCH($C1004,Работы!$A$2:$A$6000,0)),"")</f>
        <v/>
      </c>
      <c r="G1004" t="str">
        <f>IFERROR(INDEX(Работы!$K$2:$K$6000,MATCH($C1004,Работы!$A$2:$A$6000,0)),"")</f>
        <v/>
      </c>
      <c r="H1004" s="9"/>
      <c r="I1004" s="9"/>
      <c r="J1004" s="8" t="str">
        <f>IFERROR(INDEX(Материалы!$B$2:$B$9000,MATCH($I1004,Материалы!$A$2:$A$9000,0)),"")</f>
        <v/>
      </c>
      <c r="K1004" t="str">
        <f>IF($I1004="","",IF($F1004=IFERROR(INDEX(Материалы!$G$2:$G$9000,MATCH($I1004,Материалы!$A$2:$A$9000,0)),""),"OK","!! не та группа"))</f>
        <v/>
      </c>
      <c r="L1004" s="10">
        <f>IFERROR(INDEX(Работы!$H$2:$H$6000,MATCH($C1004,Работы!$A$2:$A$6000,0))*(1-ДисконтТендер),0)</f>
        <v>0</v>
      </c>
      <c r="M1004" s="10">
        <f>IF($I1004="",0,IFERROR(INDEX(Материалы!$I$2:$I$9000,MATCH($I1004,Материалы!$A$2:$A$9000,0))*IF(INDEX(Материалы!$J$2:$J$9000,MATCH($I1004,Материалы!$A$2:$A$9000,0))="USD",КурсUSD,IF(INDEX(Материалы!$J$2:$J$9000,MATCH($I1004,Материалы!$A$2:$A$9000,0))="EUR",КурсEUR,1))*INDEX(Материалы!$K$2:$K$9000,MATCH($I1004,Материалы!$A$2:$A$9000,0))*(1+IFERROR(INDEX(Работы!$I$2:$I$6000,MATCH($C1004,Работы!$A$2:$A$6000,0))/100,0))*(1-ДисконтТендер),0))</f>
        <v>0</v>
      </c>
      <c r="N1004" s="10">
        <f t="shared" si="45"/>
        <v>0</v>
      </c>
      <c r="O1004" s="10">
        <f t="shared" si="46"/>
        <v>0</v>
      </c>
      <c r="P1004" s="10">
        <f t="shared" si="47"/>
        <v>0</v>
      </c>
      <c r="Q1004" t="str">
        <f>IFERROR(INDEX(Работы!$J$2:$J$6000,MATCH($C1004,Работы!$A$2:$A$6000,0)),"")</f>
        <v/>
      </c>
      <c r="R1004" t="s">
        <v>92</v>
      </c>
      <c r="T1004" t="str">
        <f>IF(AND($P1004&gt;0,$R1004="да"),MAX($T$1:$T1003)+1,"")</f>
        <v/>
      </c>
    </row>
    <row r="1005" spans="1:20" x14ac:dyDescent="0.3">
      <c r="A1005" s="11" t="str">
        <f>IFERROR(INDEX(Работы!$D$2:$D$6000,MATCH($C1005,Работы!$A$2:$A$6000,0)),"")</f>
        <v/>
      </c>
      <c r="B1005" t="str">
        <f>IFERROR(INDEX(Работы!$F$2:$F$6000,MATCH($C1005,Работы!$A$2:$A$6000,0)),"")</f>
        <v/>
      </c>
      <c r="C1005">
        <f>IFERROR(INDEX(Работы!$A$2:$A$6000,1004),"")</f>
        <v>0</v>
      </c>
      <c r="D1005" s="8" t="str">
        <f>IFERROR(INDEX(Работы!$B$2:$B$6000,MATCH($C1005,Работы!$A$2:$A$6000,0)),"")</f>
        <v/>
      </c>
      <c r="E1005" t="str">
        <f>IFERROR(INDEX(Работы!$C$2:$C$6000,MATCH($C1005,Работы!$A$2:$A$6000,0)),"")</f>
        <v/>
      </c>
      <c r="F1005" t="str">
        <f>IFERROR(INDEX(Работы!$G$2:$G$6000,MATCH($C1005,Работы!$A$2:$A$6000,0)),"")</f>
        <v/>
      </c>
      <c r="G1005" t="str">
        <f>IFERROR(INDEX(Работы!$K$2:$K$6000,MATCH($C1005,Работы!$A$2:$A$6000,0)),"")</f>
        <v/>
      </c>
      <c r="H1005" s="9"/>
      <c r="I1005" s="9"/>
      <c r="J1005" s="8" t="str">
        <f>IFERROR(INDEX(Материалы!$B$2:$B$9000,MATCH($I1005,Материалы!$A$2:$A$9000,0)),"")</f>
        <v/>
      </c>
      <c r="K1005" t="str">
        <f>IF($I1005="","",IF($F1005=IFERROR(INDEX(Материалы!$G$2:$G$9000,MATCH($I1005,Материалы!$A$2:$A$9000,0)),""),"OK","!! не та группа"))</f>
        <v/>
      </c>
      <c r="L1005" s="10">
        <f>IFERROR(INDEX(Работы!$H$2:$H$6000,MATCH($C1005,Работы!$A$2:$A$6000,0))*(1-ДисконтТендер),0)</f>
        <v>0</v>
      </c>
      <c r="M1005" s="10">
        <f>IF($I1005="",0,IFERROR(INDEX(Материалы!$I$2:$I$9000,MATCH($I1005,Материалы!$A$2:$A$9000,0))*IF(INDEX(Материалы!$J$2:$J$9000,MATCH($I1005,Материалы!$A$2:$A$9000,0))="USD",КурсUSD,IF(INDEX(Материалы!$J$2:$J$9000,MATCH($I1005,Материалы!$A$2:$A$9000,0))="EUR",КурсEUR,1))*INDEX(Материалы!$K$2:$K$9000,MATCH($I1005,Материалы!$A$2:$A$9000,0))*(1+IFERROR(INDEX(Работы!$I$2:$I$6000,MATCH($C1005,Работы!$A$2:$A$6000,0))/100,0))*(1-ДисконтТендер),0))</f>
        <v>0</v>
      </c>
      <c r="N1005" s="10">
        <f t="shared" si="45"/>
        <v>0</v>
      </c>
      <c r="O1005" s="10">
        <f t="shared" si="46"/>
        <v>0</v>
      </c>
      <c r="P1005" s="10">
        <f t="shared" si="47"/>
        <v>0</v>
      </c>
      <c r="Q1005" t="str">
        <f>IFERROR(INDEX(Работы!$J$2:$J$6000,MATCH($C1005,Работы!$A$2:$A$6000,0)),"")</f>
        <v/>
      </c>
      <c r="R1005" t="s">
        <v>92</v>
      </c>
      <c r="T1005" t="str">
        <f>IF(AND($P1005&gt;0,$R1005="да"),MAX($T$1:$T1004)+1,"")</f>
        <v/>
      </c>
    </row>
    <row r="1006" spans="1:20" x14ac:dyDescent="0.3">
      <c r="A1006" s="11" t="str">
        <f>IFERROR(INDEX(Работы!$D$2:$D$6000,MATCH($C1006,Работы!$A$2:$A$6000,0)),"")</f>
        <v/>
      </c>
      <c r="B1006" t="str">
        <f>IFERROR(INDEX(Работы!$F$2:$F$6000,MATCH($C1006,Работы!$A$2:$A$6000,0)),"")</f>
        <v/>
      </c>
      <c r="C1006">
        <f>IFERROR(INDEX(Работы!$A$2:$A$6000,1005),"")</f>
        <v>0</v>
      </c>
      <c r="D1006" s="8" t="str">
        <f>IFERROR(INDEX(Работы!$B$2:$B$6000,MATCH($C1006,Работы!$A$2:$A$6000,0)),"")</f>
        <v/>
      </c>
      <c r="E1006" t="str">
        <f>IFERROR(INDEX(Работы!$C$2:$C$6000,MATCH($C1006,Работы!$A$2:$A$6000,0)),"")</f>
        <v/>
      </c>
      <c r="F1006" t="str">
        <f>IFERROR(INDEX(Работы!$G$2:$G$6000,MATCH($C1006,Работы!$A$2:$A$6000,0)),"")</f>
        <v/>
      </c>
      <c r="G1006" t="str">
        <f>IFERROR(INDEX(Работы!$K$2:$K$6000,MATCH($C1006,Работы!$A$2:$A$6000,0)),"")</f>
        <v/>
      </c>
      <c r="H1006" s="9"/>
      <c r="I1006" s="9"/>
      <c r="J1006" s="8" t="str">
        <f>IFERROR(INDEX(Материалы!$B$2:$B$9000,MATCH($I1006,Материалы!$A$2:$A$9000,0)),"")</f>
        <v/>
      </c>
      <c r="K1006" t="str">
        <f>IF($I1006="","",IF($F1006=IFERROR(INDEX(Материалы!$G$2:$G$9000,MATCH($I1006,Материалы!$A$2:$A$9000,0)),""),"OK","!! не та группа"))</f>
        <v/>
      </c>
      <c r="L1006" s="10">
        <f>IFERROR(INDEX(Работы!$H$2:$H$6000,MATCH($C1006,Работы!$A$2:$A$6000,0))*(1-ДисконтТендер),0)</f>
        <v>0</v>
      </c>
      <c r="M1006" s="10">
        <f>IF($I1006="",0,IFERROR(INDEX(Материалы!$I$2:$I$9000,MATCH($I1006,Материалы!$A$2:$A$9000,0))*IF(INDEX(Материалы!$J$2:$J$9000,MATCH($I1006,Материалы!$A$2:$A$9000,0))="USD",КурсUSD,IF(INDEX(Материалы!$J$2:$J$9000,MATCH($I1006,Материалы!$A$2:$A$9000,0))="EUR",КурсEUR,1))*INDEX(Материалы!$K$2:$K$9000,MATCH($I1006,Материалы!$A$2:$A$9000,0))*(1+IFERROR(INDEX(Работы!$I$2:$I$6000,MATCH($C1006,Работы!$A$2:$A$6000,0))/100,0))*(1-ДисконтТендер),0))</f>
        <v>0</v>
      </c>
      <c r="N1006" s="10">
        <f t="shared" si="45"/>
        <v>0</v>
      </c>
      <c r="O1006" s="10">
        <f t="shared" si="46"/>
        <v>0</v>
      </c>
      <c r="P1006" s="10">
        <f t="shared" si="47"/>
        <v>0</v>
      </c>
      <c r="Q1006" t="str">
        <f>IFERROR(INDEX(Работы!$J$2:$J$6000,MATCH($C1006,Работы!$A$2:$A$6000,0)),"")</f>
        <v/>
      </c>
      <c r="R1006" t="s">
        <v>92</v>
      </c>
      <c r="T1006" t="str">
        <f>IF(AND($P1006&gt;0,$R1006="да"),MAX($T$1:$T1005)+1,"")</f>
        <v/>
      </c>
    </row>
    <row r="1007" spans="1:20" x14ac:dyDescent="0.3">
      <c r="A1007" s="11" t="str">
        <f>IFERROR(INDEX(Работы!$D$2:$D$6000,MATCH($C1007,Работы!$A$2:$A$6000,0)),"")</f>
        <v/>
      </c>
      <c r="B1007" t="str">
        <f>IFERROR(INDEX(Работы!$F$2:$F$6000,MATCH($C1007,Работы!$A$2:$A$6000,0)),"")</f>
        <v/>
      </c>
      <c r="C1007">
        <f>IFERROR(INDEX(Работы!$A$2:$A$6000,1006),"")</f>
        <v>0</v>
      </c>
      <c r="D1007" s="8" t="str">
        <f>IFERROR(INDEX(Работы!$B$2:$B$6000,MATCH($C1007,Работы!$A$2:$A$6000,0)),"")</f>
        <v/>
      </c>
      <c r="E1007" t="str">
        <f>IFERROR(INDEX(Работы!$C$2:$C$6000,MATCH($C1007,Работы!$A$2:$A$6000,0)),"")</f>
        <v/>
      </c>
      <c r="F1007" t="str">
        <f>IFERROR(INDEX(Работы!$G$2:$G$6000,MATCH($C1007,Работы!$A$2:$A$6000,0)),"")</f>
        <v/>
      </c>
      <c r="G1007" t="str">
        <f>IFERROR(INDEX(Работы!$K$2:$K$6000,MATCH($C1007,Работы!$A$2:$A$6000,0)),"")</f>
        <v/>
      </c>
      <c r="H1007" s="9"/>
      <c r="I1007" s="9"/>
      <c r="J1007" s="8" t="str">
        <f>IFERROR(INDEX(Материалы!$B$2:$B$9000,MATCH($I1007,Материалы!$A$2:$A$9000,0)),"")</f>
        <v/>
      </c>
      <c r="K1007" t="str">
        <f>IF($I1007="","",IF($F1007=IFERROR(INDEX(Материалы!$G$2:$G$9000,MATCH($I1007,Материалы!$A$2:$A$9000,0)),""),"OK","!! не та группа"))</f>
        <v/>
      </c>
      <c r="L1007" s="10">
        <f>IFERROR(INDEX(Работы!$H$2:$H$6000,MATCH($C1007,Работы!$A$2:$A$6000,0))*(1-ДисконтТендер),0)</f>
        <v>0</v>
      </c>
      <c r="M1007" s="10">
        <f>IF($I1007="",0,IFERROR(INDEX(Материалы!$I$2:$I$9000,MATCH($I1007,Материалы!$A$2:$A$9000,0))*IF(INDEX(Материалы!$J$2:$J$9000,MATCH($I1007,Материалы!$A$2:$A$9000,0))="USD",КурсUSD,IF(INDEX(Материалы!$J$2:$J$9000,MATCH($I1007,Материалы!$A$2:$A$9000,0))="EUR",КурсEUR,1))*INDEX(Материалы!$K$2:$K$9000,MATCH($I1007,Материалы!$A$2:$A$9000,0))*(1+IFERROR(INDEX(Работы!$I$2:$I$6000,MATCH($C1007,Работы!$A$2:$A$6000,0))/100,0))*(1-ДисконтТендер),0))</f>
        <v>0</v>
      </c>
      <c r="N1007" s="10">
        <f t="shared" si="45"/>
        <v>0</v>
      </c>
      <c r="O1007" s="10">
        <f t="shared" si="46"/>
        <v>0</v>
      </c>
      <c r="P1007" s="10">
        <f t="shared" si="47"/>
        <v>0</v>
      </c>
      <c r="Q1007" t="str">
        <f>IFERROR(INDEX(Работы!$J$2:$J$6000,MATCH($C1007,Работы!$A$2:$A$6000,0)),"")</f>
        <v/>
      </c>
      <c r="R1007" t="s">
        <v>92</v>
      </c>
      <c r="T1007" t="str">
        <f>IF(AND($P1007&gt;0,$R1007="да"),MAX($T$1:$T1006)+1,"")</f>
        <v/>
      </c>
    </row>
    <row r="1008" spans="1:20" x14ac:dyDescent="0.3">
      <c r="A1008" s="11" t="str">
        <f>IFERROR(INDEX(Работы!$D$2:$D$6000,MATCH($C1008,Работы!$A$2:$A$6000,0)),"")</f>
        <v/>
      </c>
      <c r="B1008" t="str">
        <f>IFERROR(INDEX(Работы!$F$2:$F$6000,MATCH($C1008,Работы!$A$2:$A$6000,0)),"")</f>
        <v/>
      </c>
      <c r="C1008">
        <f>IFERROR(INDEX(Работы!$A$2:$A$6000,1007),"")</f>
        <v>0</v>
      </c>
      <c r="D1008" s="8" t="str">
        <f>IFERROR(INDEX(Работы!$B$2:$B$6000,MATCH($C1008,Работы!$A$2:$A$6000,0)),"")</f>
        <v/>
      </c>
      <c r="E1008" t="str">
        <f>IFERROR(INDEX(Работы!$C$2:$C$6000,MATCH($C1008,Работы!$A$2:$A$6000,0)),"")</f>
        <v/>
      </c>
      <c r="F1008" t="str">
        <f>IFERROR(INDEX(Работы!$G$2:$G$6000,MATCH($C1008,Работы!$A$2:$A$6000,0)),"")</f>
        <v/>
      </c>
      <c r="G1008" t="str">
        <f>IFERROR(INDEX(Работы!$K$2:$K$6000,MATCH($C1008,Работы!$A$2:$A$6000,0)),"")</f>
        <v/>
      </c>
      <c r="H1008" s="9"/>
      <c r="I1008" s="9"/>
      <c r="J1008" s="8" t="str">
        <f>IFERROR(INDEX(Материалы!$B$2:$B$9000,MATCH($I1008,Материалы!$A$2:$A$9000,0)),"")</f>
        <v/>
      </c>
      <c r="K1008" t="str">
        <f>IF($I1008="","",IF($F1008=IFERROR(INDEX(Материалы!$G$2:$G$9000,MATCH($I1008,Материалы!$A$2:$A$9000,0)),""),"OK","!! не та группа"))</f>
        <v/>
      </c>
      <c r="L1008" s="10">
        <f>IFERROR(INDEX(Работы!$H$2:$H$6000,MATCH($C1008,Работы!$A$2:$A$6000,0))*(1-ДисконтТендер),0)</f>
        <v>0</v>
      </c>
      <c r="M1008" s="10">
        <f>IF($I1008="",0,IFERROR(INDEX(Материалы!$I$2:$I$9000,MATCH($I1008,Материалы!$A$2:$A$9000,0))*IF(INDEX(Материалы!$J$2:$J$9000,MATCH($I1008,Материалы!$A$2:$A$9000,0))="USD",КурсUSD,IF(INDEX(Материалы!$J$2:$J$9000,MATCH($I1008,Материалы!$A$2:$A$9000,0))="EUR",КурсEUR,1))*INDEX(Материалы!$K$2:$K$9000,MATCH($I1008,Материалы!$A$2:$A$9000,0))*(1+IFERROR(INDEX(Работы!$I$2:$I$6000,MATCH($C1008,Работы!$A$2:$A$6000,0))/100,0))*(1-ДисконтТендер),0))</f>
        <v>0</v>
      </c>
      <c r="N1008" s="10">
        <f t="shared" si="45"/>
        <v>0</v>
      </c>
      <c r="O1008" s="10">
        <f t="shared" si="46"/>
        <v>0</v>
      </c>
      <c r="P1008" s="10">
        <f t="shared" si="47"/>
        <v>0</v>
      </c>
      <c r="Q1008" t="str">
        <f>IFERROR(INDEX(Работы!$J$2:$J$6000,MATCH($C1008,Работы!$A$2:$A$6000,0)),"")</f>
        <v/>
      </c>
      <c r="R1008" t="s">
        <v>92</v>
      </c>
      <c r="T1008" t="str">
        <f>IF(AND($P1008&gt;0,$R1008="да"),MAX($T$1:$T1007)+1,"")</f>
        <v/>
      </c>
    </row>
    <row r="1009" spans="1:20" x14ac:dyDescent="0.3">
      <c r="A1009" s="11" t="str">
        <f>IFERROR(INDEX(Работы!$D$2:$D$6000,MATCH($C1009,Работы!$A$2:$A$6000,0)),"")</f>
        <v/>
      </c>
      <c r="B1009" t="str">
        <f>IFERROR(INDEX(Работы!$F$2:$F$6000,MATCH($C1009,Работы!$A$2:$A$6000,0)),"")</f>
        <v/>
      </c>
      <c r="C1009">
        <f>IFERROR(INDEX(Работы!$A$2:$A$6000,1008),"")</f>
        <v>0</v>
      </c>
      <c r="D1009" s="8" t="str">
        <f>IFERROR(INDEX(Работы!$B$2:$B$6000,MATCH($C1009,Работы!$A$2:$A$6000,0)),"")</f>
        <v/>
      </c>
      <c r="E1009" t="str">
        <f>IFERROR(INDEX(Работы!$C$2:$C$6000,MATCH($C1009,Работы!$A$2:$A$6000,0)),"")</f>
        <v/>
      </c>
      <c r="F1009" t="str">
        <f>IFERROR(INDEX(Работы!$G$2:$G$6000,MATCH($C1009,Работы!$A$2:$A$6000,0)),"")</f>
        <v/>
      </c>
      <c r="G1009" t="str">
        <f>IFERROR(INDEX(Работы!$K$2:$K$6000,MATCH($C1009,Работы!$A$2:$A$6000,0)),"")</f>
        <v/>
      </c>
      <c r="H1009" s="9"/>
      <c r="I1009" s="9"/>
      <c r="J1009" s="8" t="str">
        <f>IFERROR(INDEX(Материалы!$B$2:$B$9000,MATCH($I1009,Материалы!$A$2:$A$9000,0)),"")</f>
        <v/>
      </c>
      <c r="K1009" t="str">
        <f>IF($I1009="","",IF($F1009=IFERROR(INDEX(Материалы!$G$2:$G$9000,MATCH($I1009,Материалы!$A$2:$A$9000,0)),""),"OK","!! не та группа"))</f>
        <v/>
      </c>
      <c r="L1009" s="10">
        <f>IFERROR(INDEX(Работы!$H$2:$H$6000,MATCH($C1009,Работы!$A$2:$A$6000,0))*(1-ДисконтТендер),0)</f>
        <v>0</v>
      </c>
      <c r="M1009" s="10">
        <f>IF($I1009="",0,IFERROR(INDEX(Материалы!$I$2:$I$9000,MATCH($I1009,Материалы!$A$2:$A$9000,0))*IF(INDEX(Материалы!$J$2:$J$9000,MATCH($I1009,Материалы!$A$2:$A$9000,0))="USD",КурсUSD,IF(INDEX(Материалы!$J$2:$J$9000,MATCH($I1009,Материалы!$A$2:$A$9000,0))="EUR",КурсEUR,1))*INDEX(Материалы!$K$2:$K$9000,MATCH($I1009,Материалы!$A$2:$A$9000,0))*(1+IFERROR(INDEX(Работы!$I$2:$I$6000,MATCH($C1009,Работы!$A$2:$A$6000,0))/100,0))*(1-ДисконтТендер),0))</f>
        <v>0</v>
      </c>
      <c r="N1009" s="10">
        <f t="shared" si="45"/>
        <v>0</v>
      </c>
      <c r="O1009" s="10">
        <f t="shared" si="46"/>
        <v>0</v>
      </c>
      <c r="P1009" s="10">
        <f t="shared" si="47"/>
        <v>0</v>
      </c>
      <c r="Q1009" t="str">
        <f>IFERROR(INDEX(Работы!$J$2:$J$6000,MATCH($C1009,Работы!$A$2:$A$6000,0)),"")</f>
        <v/>
      </c>
      <c r="R1009" t="s">
        <v>92</v>
      </c>
      <c r="T1009" t="str">
        <f>IF(AND($P1009&gt;0,$R1009="да"),MAX($T$1:$T1008)+1,"")</f>
        <v/>
      </c>
    </row>
    <row r="1010" spans="1:20" x14ac:dyDescent="0.3">
      <c r="A1010" s="11" t="str">
        <f>IFERROR(INDEX(Работы!$D$2:$D$6000,MATCH($C1010,Работы!$A$2:$A$6000,0)),"")</f>
        <v/>
      </c>
      <c r="B1010" t="str">
        <f>IFERROR(INDEX(Работы!$F$2:$F$6000,MATCH($C1010,Работы!$A$2:$A$6000,0)),"")</f>
        <v/>
      </c>
      <c r="C1010">
        <f>IFERROR(INDEX(Работы!$A$2:$A$6000,1009),"")</f>
        <v>0</v>
      </c>
      <c r="D1010" s="8" t="str">
        <f>IFERROR(INDEX(Работы!$B$2:$B$6000,MATCH($C1010,Работы!$A$2:$A$6000,0)),"")</f>
        <v/>
      </c>
      <c r="E1010" t="str">
        <f>IFERROR(INDEX(Работы!$C$2:$C$6000,MATCH($C1010,Работы!$A$2:$A$6000,0)),"")</f>
        <v/>
      </c>
      <c r="F1010" t="str">
        <f>IFERROR(INDEX(Работы!$G$2:$G$6000,MATCH($C1010,Работы!$A$2:$A$6000,0)),"")</f>
        <v/>
      </c>
      <c r="G1010" t="str">
        <f>IFERROR(INDEX(Работы!$K$2:$K$6000,MATCH($C1010,Работы!$A$2:$A$6000,0)),"")</f>
        <v/>
      </c>
      <c r="H1010" s="9"/>
      <c r="I1010" s="9"/>
      <c r="J1010" s="8" t="str">
        <f>IFERROR(INDEX(Материалы!$B$2:$B$9000,MATCH($I1010,Материалы!$A$2:$A$9000,0)),"")</f>
        <v/>
      </c>
      <c r="K1010" t="str">
        <f>IF($I1010="","",IF($F1010=IFERROR(INDEX(Материалы!$G$2:$G$9000,MATCH($I1010,Материалы!$A$2:$A$9000,0)),""),"OK","!! не та группа"))</f>
        <v/>
      </c>
      <c r="L1010" s="10">
        <f>IFERROR(INDEX(Работы!$H$2:$H$6000,MATCH($C1010,Работы!$A$2:$A$6000,0))*(1-ДисконтТендер),0)</f>
        <v>0</v>
      </c>
      <c r="M1010" s="10">
        <f>IF($I1010="",0,IFERROR(INDEX(Материалы!$I$2:$I$9000,MATCH($I1010,Материалы!$A$2:$A$9000,0))*IF(INDEX(Материалы!$J$2:$J$9000,MATCH($I1010,Материалы!$A$2:$A$9000,0))="USD",КурсUSD,IF(INDEX(Материалы!$J$2:$J$9000,MATCH($I1010,Материалы!$A$2:$A$9000,0))="EUR",КурсEUR,1))*INDEX(Материалы!$K$2:$K$9000,MATCH($I1010,Материалы!$A$2:$A$9000,0))*(1+IFERROR(INDEX(Работы!$I$2:$I$6000,MATCH($C1010,Работы!$A$2:$A$6000,0))/100,0))*(1-ДисконтТендер),0))</f>
        <v>0</v>
      </c>
      <c r="N1010" s="10">
        <f t="shared" si="45"/>
        <v>0</v>
      </c>
      <c r="O1010" s="10">
        <f t="shared" si="46"/>
        <v>0</v>
      </c>
      <c r="P1010" s="10">
        <f t="shared" si="47"/>
        <v>0</v>
      </c>
      <c r="Q1010" t="str">
        <f>IFERROR(INDEX(Работы!$J$2:$J$6000,MATCH($C1010,Работы!$A$2:$A$6000,0)),"")</f>
        <v/>
      </c>
      <c r="R1010" t="s">
        <v>92</v>
      </c>
      <c r="T1010" t="str">
        <f>IF(AND($P1010&gt;0,$R1010="да"),MAX($T$1:$T1009)+1,"")</f>
        <v/>
      </c>
    </row>
    <row r="1011" spans="1:20" x14ac:dyDescent="0.3">
      <c r="A1011" s="11" t="str">
        <f>IFERROR(INDEX(Работы!$D$2:$D$6000,MATCH($C1011,Работы!$A$2:$A$6000,0)),"")</f>
        <v/>
      </c>
      <c r="B1011" t="str">
        <f>IFERROR(INDEX(Работы!$F$2:$F$6000,MATCH($C1011,Работы!$A$2:$A$6000,0)),"")</f>
        <v/>
      </c>
      <c r="C1011">
        <f>IFERROR(INDEX(Работы!$A$2:$A$6000,1010),"")</f>
        <v>0</v>
      </c>
      <c r="D1011" s="8" t="str">
        <f>IFERROR(INDEX(Работы!$B$2:$B$6000,MATCH($C1011,Работы!$A$2:$A$6000,0)),"")</f>
        <v/>
      </c>
      <c r="E1011" t="str">
        <f>IFERROR(INDEX(Работы!$C$2:$C$6000,MATCH($C1011,Работы!$A$2:$A$6000,0)),"")</f>
        <v/>
      </c>
      <c r="F1011" t="str">
        <f>IFERROR(INDEX(Работы!$G$2:$G$6000,MATCH($C1011,Работы!$A$2:$A$6000,0)),"")</f>
        <v/>
      </c>
      <c r="G1011" t="str">
        <f>IFERROR(INDEX(Работы!$K$2:$K$6000,MATCH($C1011,Работы!$A$2:$A$6000,0)),"")</f>
        <v/>
      </c>
      <c r="H1011" s="9"/>
      <c r="I1011" s="9"/>
      <c r="J1011" s="8" t="str">
        <f>IFERROR(INDEX(Материалы!$B$2:$B$9000,MATCH($I1011,Материалы!$A$2:$A$9000,0)),"")</f>
        <v/>
      </c>
      <c r="K1011" t="str">
        <f>IF($I1011="","",IF($F1011=IFERROR(INDEX(Материалы!$G$2:$G$9000,MATCH($I1011,Материалы!$A$2:$A$9000,0)),""),"OK","!! не та группа"))</f>
        <v/>
      </c>
      <c r="L1011" s="10">
        <f>IFERROR(INDEX(Работы!$H$2:$H$6000,MATCH($C1011,Работы!$A$2:$A$6000,0))*(1-ДисконтТендер),0)</f>
        <v>0</v>
      </c>
      <c r="M1011" s="10">
        <f>IF($I1011="",0,IFERROR(INDEX(Материалы!$I$2:$I$9000,MATCH($I1011,Материалы!$A$2:$A$9000,0))*IF(INDEX(Материалы!$J$2:$J$9000,MATCH($I1011,Материалы!$A$2:$A$9000,0))="USD",КурсUSD,IF(INDEX(Материалы!$J$2:$J$9000,MATCH($I1011,Материалы!$A$2:$A$9000,0))="EUR",КурсEUR,1))*INDEX(Материалы!$K$2:$K$9000,MATCH($I1011,Материалы!$A$2:$A$9000,0))*(1+IFERROR(INDEX(Работы!$I$2:$I$6000,MATCH($C1011,Работы!$A$2:$A$6000,0))/100,0))*(1-ДисконтТендер),0))</f>
        <v>0</v>
      </c>
      <c r="N1011" s="10">
        <f t="shared" si="45"/>
        <v>0</v>
      </c>
      <c r="O1011" s="10">
        <f t="shared" si="46"/>
        <v>0</v>
      </c>
      <c r="P1011" s="10">
        <f t="shared" si="47"/>
        <v>0</v>
      </c>
      <c r="Q1011" t="str">
        <f>IFERROR(INDEX(Работы!$J$2:$J$6000,MATCH($C1011,Работы!$A$2:$A$6000,0)),"")</f>
        <v/>
      </c>
      <c r="R1011" t="s">
        <v>92</v>
      </c>
      <c r="T1011" t="str">
        <f>IF(AND($P1011&gt;0,$R1011="да"),MAX($T$1:$T1010)+1,"")</f>
        <v/>
      </c>
    </row>
    <row r="1012" spans="1:20" x14ac:dyDescent="0.3">
      <c r="A1012" s="11" t="str">
        <f>IFERROR(INDEX(Работы!$D$2:$D$6000,MATCH($C1012,Работы!$A$2:$A$6000,0)),"")</f>
        <v/>
      </c>
      <c r="B1012" t="str">
        <f>IFERROR(INDEX(Работы!$F$2:$F$6000,MATCH($C1012,Работы!$A$2:$A$6000,0)),"")</f>
        <v/>
      </c>
      <c r="C1012">
        <f>IFERROR(INDEX(Работы!$A$2:$A$6000,1011),"")</f>
        <v>0</v>
      </c>
      <c r="D1012" s="8" t="str">
        <f>IFERROR(INDEX(Работы!$B$2:$B$6000,MATCH($C1012,Работы!$A$2:$A$6000,0)),"")</f>
        <v/>
      </c>
      <c r="E1012" t="str">
        <f>IFERROR(INDEX(Работы!$C$2:$C$6000,MATCH($C1012,Работы!$A$2:$A$6000,0)),"")</f>
        <v/>
      </c>
      <c r="F1012" t="str">
        <f>IFERROR(INDEX(Работы!$G$2:$G$6000,MATCH($C1012,Работы!$A$2:$A$6000,0)),"")</f>
        <v/>
      </c>
      <c r="G1012" t="str">
        <f>IFERROR(INDEX(Работы!$K$2:$K$6000,MATCH($C1012,Работы!$A$2:$A$6000,0)),"")</f>
        <v/>
      </c>
      <c r="H1012" s="9"/>
      <c r="I1012" s="9"/>
      <c r="J1012" s="8" t="str">
        <f>IFERROR(INDEX(Материалы!$B$2:$B$9000,MATCH($I1012,Материалы!$A$2:$A$9000,0)),"")</f>
        <v/>
      </c>
      <c r="K1012" t="str">
        <f>IF($I1012="","",IF($F1012=IFERROR(INDEX(Материалы!$G$2:$G$9000,MATCH($I1012,Материалы!$A$2:$A$9000,0)),""),"OK","!! не та группа"))</f>
        <v/>
      </c>
      <c r="L1012" s="10">
        <f>IFERROR(INDEX(Работы!$H$2:$H$6000,MATCH($C1012,Работы!$A$2:$A$6000,0))*(1-ДисконтТендер),0)</f>
        <v>0</v>
      </c>
      <c r="M1012" s="10">
        <f>IF($I1012="",0,IFERROR(INDEX(Материалы!$I$2:$I$9000,MATCH($I1012,Материалы!$A$2:$A$9000,0))*IF(INDEX(Материалы!$J$2:$J$9000,MATCH($I1012,Материалы!$A$2:$A$9000,0))="USD",КурсUSD,IF(INDEX(Материалы!$J$2:$J$9000,MATCH($I1012,Материалы!$A$2:$A$9000,0))="EUR",КурсEUR,1))*INDEX(Материалы!$K$2:$K$9000,MATCH($I1012,Материалы!$A$2:$A$9000,0))*(1+IFERROR(INDEX(Работы!$I$2:$I$6000,MATCH($C1012,Работы!$A$2:$A$6000,0))/100,0))*(1-ДисконтТендер),0))</f>
        <v>0</v>
      </c>
      <c r="N1012" s="10">
        <f t="shared" si="45"/>
        <v>0</v>
      </c>
      <c r="O1012" s="10">
        <f t="shared" si="46"/>
        <v>0</v>
      </c>
      <c r="P1012" s="10">
        <f t="shared" si="47"/>
        <v>0</v>
      </c>
      <c r="Q1012" t="str">
        <f>IFERROR(INDEX(Работы!$J$2:$J$6000,MATCH($C1012,Работы!$A$2:$A$6000,0)),"")</f>
        <v/>
      </c>
      <c r="R1012" t="s">
        <v>92</v>
      </c>
      <c r="T1012" t="str">
        <f>IF(AND($P1012&gt;0,$R1012="да"),MAX($T$1:$T1011)+1,"")</f>
        <v/>
      </c>
    </row>
    <row r="1013" spans="1:20" x14ac:dyDescent="0.3">
      <c r="A1013" s="11" t="str">
        <f>IFERROR(INDEX(Работы!$D$2:$D$6000,MATCH($C1013,Работы!$A$2:$A$6000,0)),"")</f>
        <v/>
      </c>
      <c r="B1013" t="str">
        <f>IFERROR(INDEX(Работы!$F$2:$F$6000,MATCH($C1013,Работы!$A$2:$A$6000,0)),"")</f>
        <v/>
      </c>
      <c r="C1013">
        <f>IFERROR(INDEX(Работы!$A$2:$A$6000,1012),"")</f>
        <v>0</v>
      </c>
      <c r="D1013" s="8" t="str">
        <f>IFERROR(INDEX(Работы!$B$2:$B$6000,MATCH($C1013,Работы!$A$2:$A$6000,0)),"")</f>
        <v/>
      </c>
      <c r="E1013" t="str">
        <f>IFERROR(INDEX(Работы!$C$2:$C$6000,MATCH($C1013,Работы!$A$2:$A$6000,0)),"")</f>
        <v/>
      </c>
      <c r="F1013" t="str">
        <f>IFERROR(INDEX(Работы!$G$2:$G$6000,MATCH($C1013,Работы!$A$2:$A$6000,0)),"")</f>
        <v/>
      </c>
      <c r="G1013" t="str">
        <f>IFERROR(INDEX(Работы!$K$2:$K$6000,MATCH($C1013,Работы!$A$2:$A$6000,0)),"")</f>
        <v/>
      </c>
      <c r="H1013" s="9"/>
      <c r="I1013" s="9"/>
      <c r="J1013" s="8" t="str">
        <f>IFERROR(INDEX(Материалы!$B$2:$B$9000,MATCH($I1013,Материалы!$A$2:$A$9000,0)),"")</f>
        <v/>
      </c>
      <c r="K1013" t="str">
        <f>IF($I1013="","",IF($F1013=IFERROR(INDEX(Материалы!$G$2:$G$9000,MATCH($I1013,Материалы!$A$2:$A$9000,0)),""),"OK","!! не та группа"))</f>
        <v/>
      </c>
      <c r="L1013" s="10">
        <f>IFERROR(INDEX(Работы!$H$2:$H$6000,MATCH($C1013,Работы!$A$2:$A$6000,0))*(1-ДисконтТендер),0)</f>
        <v>0</v>
      </c>
      <c r="M1013" s="10">
        <f>IF($I1013="",0,IFERROR(INDEX(Материалы!$I$2:$I$9000,MATCH($I1013,Материалы!$A$2:$A$9000,0))*IF(INDEX(Материалы!$J$2:$J$9000,MATCH($I1013,Материалы!$A$2:$A$9000,0))="USD",КурсUSD,IF(INDEX(Материалы!$J$2:$J$9000,MATCH($I1013,Материалы!$A$2:$A$9000,0))="EUR",КурсEUR,1))*INDEX(Материалы!$K$2:$K$9000,MATCH($I1013,Материалы!$A$2:$A$9000,0))*(1+IFERROR(INDEX(Работы!$I$2:$I$6000,MATCH($C1013,Работы!$A$2:$A$6000,0))/100,0))*(1-ДисконтТендер),0))</f>
        <v>0</v>
      </c>
      <c r="N1013" s="10">
        <f t="shared" si="45"/>
        <v>0</v>
      </c>
      <c r="O1013" s="10">
        <f t="shared" si="46"/>
        <v>0</v>
      </c>
      <c r="P1013" s="10">
        <f t="shared" si="47"/>
        <v>0</v>
      </c>
      <c r="Q1013" t="str">
        <f>IFERROR(INDEX(Работы!$J$2:$J$6000,MATCH($C1013,Работы!$A$2:$A$6000,0)),"")</f>
        <v/>
      </c>
      <c r="R1013" t="s">
        <v>92</v>
      </c>
      <c r="T1013" t="str">
        <f>IF(AND($P1013&gt;0,$R1013="да"),MAX($T$1:$T1012)+1,"")</f>
        <v/>
      </c>
    </row>
    <row r="1014" spans="1:20" x14ac:dyDescent="0.3">
      <c r="A1014" s="11" t="str">
        <f>IFERROR(INDEX(Работы!$D$2:$D$6000,MATCH($C1014,Работы!$A$2:$A$6000,0)),"")</f>
        <v/>
      </c>
      <c r="B1014" t="str">
        <f>IFERROR(INDEX(Работы!$F$2:$F$6000,MATCH($C1014,Работы!$A$2:$A$6000,0)),"")</f>
        <v/>
      </c>
      <c r="C1014">
        <f>IFERROR(INDEX(Работы!$A$2:$A$6000,1013),"")</f>
        <v>0</v>
      </c>
      <c r="D1014" s="8" t="str">
        <f>IFERROR(INDEX(Работы!$B$2:$B$6000,MATCH($C1014,Работы!$A$2:$A$6000,0)),"")</f>
        <v/>
      </c>
      <c r="E1014" t="str">
        <f>IFERROR(INDEX(Работы!$C$2:$C$6000,MATCH($C1014,Работы!$A$2:$A$6000,0)),"")</f>
        <v/>
      </c>
      <c r="F1014" t="str">
        <f>IFERROR(INDEX(Работы!$G$2:$G$6000,MATCH($C1014,Работы!$A$2:$A$6000,0)),"")</f>
        <v/>
      </c>
      <c r="G1014" t="str">
        <f>IFERROR(INDEX(Работы!$K$2:$K$6000,MATCH($C1014,Работы!$A$2:$A$6000,0)),"")</f>
        <v/>
      </c>
      <c r="H1014" s="9"/>
      <c r="I1014" s="9"/>
      <c r="J1014" s="8" t="str">
        <f>IFERROR(INDEX(Материалы!$B$2:$B$9000,MATCH($I1014,Материалы!$A$2:$A$9000,0)),"")</f>
        <v/>
      </c>
      <c r="K1014" t="str">
        <f>IF($I1014="","",IF($F1014=IFERROR(INDEX(Материалы!$G$2:$G$9000,MATCH($I1014,Материалы!$A$2:$A$9000,0)),""),"OK","!! не та группа"))</f>
        <v/>
      </c>
      <c r="L1014" s="10">
        <f>IFERROR(INDEX(Работы!$H$2:$H$6000,MATCH($C1014,Работы!$A$2:$A$6000,0))*(1-ДисконтТендер),0)</f>
        <v>0</v>
      </c>
      <c r="M1014" s="10">
        <f>IF($I1014="",0,IFERROR(INDEX(Материалы!$I$2:$I$9000,MATCH($I1014,Материалы!$A$2:$A$9000,0))*IF(INDEX(Материалы!$J$2:$J$9000,MATCH($I1014,Материалы!$A$2:$A$9000,0))="USD",КурсUSD,IF(INDEX(Материалы!$J$2:$J$9000,MATCH($I1014,Материалы!$A$2:$A$9000,0))="EUR",КурсEUR,1))*INDEX(Материалы!$K$2:$K$9000,MATCH($I1014,Материалы!$A$2:$A$9000,0))*(1+IFERROR(INDEX(Работы!$I$2:$I$6000,MATCH($C1014,Работы!$A$2:$A$6000,0))/100,0))*(1-ДисконтТендер),0))</f>
        <v>0</v>
      </c>
      <c r="N1014" s="10">
        <f t="shared" si="45"/>
        <v>0</v>
      </c>
      <c r="O1014" s="10">
        <f t="shared" si="46"/>
        <v>0</v>
      </c>
      <c r="P1014" s="10">
        <f t="shared" si="47"/>
        <v>0</v>
      </c>
      <c r="Q1014" t="str">
        <f>IFERROR(INDEX(Работы!$J$2:$J$6000,MATCH($C1014,Работы!$A$2:$A$6000,0)),"")</f>
        <v/>
      </c>
      <c r="R1014" t="s">
        <v>92</v>
      </c>
      <c r="T1014" t="str">
        <f>IF(AND($P1014&gt;0,$R1014="да"),MAX($T$1:$T1013)+1,"")</f>
        <v/>
      </c>
    </row>
    <row r="1015" spans="1:20" x14ac:dyDescent="0.3">
      <c r="A1015" s="11" t="str">
        <f>IFERROR(INDEX(Работы!$D$2:$D$6000,MATCH($C1015,Работы!$A$2:$A$6000,0)),"")</f>
        <v/>
      </c>
      <c r="B1015" t="str">
        <f>IFERROR(INDEX(Работы!$F$2:$F$6000,MATCH($C1015,Работы!$A$2:$A$6000,0)),"")</f>
        <v/>
      </c>
      <c r="C1015">
        <f>IFERROR(INDEX(Работы!$A$2:$A$6000,1014),"")</f>
        <v>0</v>
      </c>
      <c r="D1015" s="8" t="str">
        <f>IFERROR(INDEX(Работы!$B$2:$B$6000,MATCH($C1015,Работы!$A$2:$A$6000,0)),"")</f>
        <v/>
      </c>
      <c r="E1015" t="str">
        <f>IFERROR(INDEX(Работы!$C$2:$C$6000,MATCH($C1015,Работы!$A$2:$A$6000,0)),"")</f>
        <v/>
      </c>
      <c r="F1015" t="str">
        <f>IFERROR(INDEX(Работы!$G$2:$G$6000,MATCH($C1015,Работы!$A$2:$A$6000,0)),"")</f>
        <v/>
      </c>
      <c r="G1015" t="str">
        <f>IFERROR(INDEX(Работы!$K$2:$K$6000,MATCH($C1015,Работы!$A$2:$A$6000,0)),"")</f>
        <v/>
      </c>
      <c r="H1015" s="9"/>
      <c r="I1015" s="9"/>
      <c r="J1015" s="8" t="str">
        <f>IFERROR(INDEX(Материалы!$B$2:$B$9000,MATCH($I1015,Материалы!$A$2:$A$9000,0)),"")</f>
        <v/>
      </c>
      <c r="K1015" t="str">
        <f>IF($I1015="","",IF($F1015=IFERROR(INDEX(Материалы!$G$2:$G$9000,MATCH($I1015,Материалы!$A$2:$A$9000,0)),""),"OK","!! не та группа"))</f>
        <v/>
      </c>
      <c r="L1015" s="10">
        <f>IFERROR(INDEX(Работы!$H$2:$H$6000,MATCH($C1015,Работы!$A$2:$A$6000,0))*(1-ДисконтТендер),0)</f>
        <v>0</v>
      </c>
      <c r="M1015" s="10">
        <f>IF($I1015="",0,IFERROR(INDEX(Материалы!$I$2:$I$9000,MATCH($I1015,Материалы!$A$2:$A$9000,0))*IF(INDEX(Материалы!$J$2:$J$9000,MATCH($I1015,Материалы!$A$2:$A$9000,0))="USD",КурсUSD,IF(INDEX(Материалы!$J$2:$J$9000,MATCH($I1015,Материалы!$A$2:$A$9000,0))="EUR",КурсEUR,1))*INDEX(Материалы!$K$2:$K$9000,MATCH($I1015,Материалы!$A$2:$A$9000,0))*(1+IFERROR(INDEX(Работы!$I$2:$I$6000,MATCH($C1015,Работы!$A$2:$A$6000,0))/100,0))*(1-ДисконтТендер),0))</f>
        <v>0</v>
      </c>
      <c r="N1015" s="10">
        <f t="shared" si="45"/>
        <v>0</v>
      </c>
      <c r="O1015" s="10">
        <f t="shared" si="46"/>
        <v>0</v>
      </c>
      <c r="P1015" s="10">
        <f t="shared" si="47"/>
        <v>0</v>
      </c>
      <c r="Q1015" t="str">
        <f>IFERROR(INDEX(Работы!$J$2:$J$6000,MATCH($C1015,Работы!$A$2:$A$6000,0)),"")</f>
        <v/>
      </c>
      <c r="R1015" t="s">
        <v>92</v>
      </c>
      <c r="T1015" t="str">
        <f>IF(AND($P1015&gt;0,$R1015="да"),MAX($T$1:$T1014)+1,"")</f>
        <v/>
      </c>
    </row>
    <row r="1016" spans="1:20" x14ac:dyDescent="0.3">
      <c r="A1016" s="11" t="str">
        <f>IFERROR(INDEX(Работы!$D$2:$D$6000,MATCH($C1016,Работы!$A$2:$A$6000,0)),"")</f>
        <v/>
      </c>
      <c r="B1016" t="str">
        <f>IFERROR(INDEX(Работы!$F$2:$F$6000,MATCH($C1016,Работы!$A$2:$A$6000,0)),"")</f>
        <v/>
      </c>
      <c r="C1016">
        <f>IFERROR(INDEX(Работы!$A$2:$A$6000,1015),"")</f>
        <v>0</v>
      </c>
      <c r="D1016" s="8" t="str">
        <f>IFERROR(INDEX(Работы!$B$2:$B$6000,MATCH($C1016,Работы!$A$2:$A$6000,0)),"")</f>
        <v/>
      </c>
      <c r="E1016" t="str">
        <f>IFERROR(INDEX(Работы!$C$2:$C$6000,MATCH($C1016,Работы!$A$2:$A$6000,0)),"")</f>
        <v/>
      </c>
      <c r="F1016" t="str">
        <f>IFERROR(INDEX(Работы!$G$2:$G$6000,MATCH($C1016,Работы!$A$2:$A$6000,0)),"")</f>
        <v/>
      </c>
      <c r="G1016" t="str">
        <f>IFERROR(INDEX(Работы!$K$2:$K$6000,MATCH($C1016,Работы!$A$2:$A$6000,0)),"")</f>
        <v/>
      </c>
      <c r="H1016" s="9"/>
      <c r="I1016" s="9"/>
      <c r="J1016" s="8" t="str">
        <f>IFERROR(INDEX(Материалы!$B$2:$B$9000,MATCH($I1016,Материалы!$A$2:$A$9000,0)),"")</f>
        <v/>
      </c>
      <c r="K1016" t="str">
        <f>IF($I1016="","",IF($F1016=IFERROR(INDEX(Материалы!$G$2:$G$9000,MATCH($I1016,Материалы!$A$2:$A$9000,0)),""),"OK","!! не та группа"))</f>
        <v/>
      </c>
      <c r="L1016" s="10">
        <f>IFERROR(INDEX(Работы!$H$2:$H$6000,MATCH($C1016,Работы!$A$2:$A$6000,0))*(1-ДисконтТендер),0)</f>
        <v>0</v>
      </c>
      <c r="M1016" s="10">
        <f>IF($I1016="",0,IFERROR(INDEX(Материалы!$I$2:$I$9000,MATCH($I1016,Материалы!$A$2:$A$9000,0))*IF(INDEX(Материалы!$J$2:$J$9000,MATCH($I1016,Материалы!$A$2:$A$9000,0))="USD",КурсUSD,IF(INDEX(Материалы!$J$2:$J$9000,MATCH($I1016,Материалы!$A$2:$A$9000,0))="EUR",КурсEUR,1))*INDEX(Материалы!$K$2:$K$9000,MATCH($I1016,Материалы!$A$2:$A$9000,0))*(1+IFERROR(INDEX(Работы!$I$2:$I$6000,MATCH($C1016,Работы!$A$2:$A$6000,0))/100,0))*(1-ДисконтТендер),0))</f>
        <v>0</v>
      </c>
      <c r="N1016" s="10">
        <f t="shared" si="45"/>
        <v>0</v>
      </c>
      <c r="O1016" s="10">
        <f t="shared" si="46"/>
        <v>0</v>
      </c>
      <c r="P1016" s="10">
        <f t="shared" si="47"/>
        <v>0</v>
      </c>
      <c r="Q1016" t="str">
        <f>IFERROR(INDEX(Работы!$J$2:$J$6000,MATCH($C1016,Работы!$A$2:$A$6000,0)),"")</f>
        <v/>
      </c>
      <c r="R1016" t="s">
        <v>92</v>
      </c>
      <c r="T1016" t="str">
        <f>IF(AND($P1016&gt;0,$R1016="да"),MAX($T$1:$T1015)+1,"")</f>
        <v/>
      </c>
    </row>
    <row r="1017" spans="1:20" x14ac:dyDescent="0.3">
      <c r="A1017" s="11" t="str">
        <f>IFERROR(INDEX(Работы!$D$2:$D$6000,MATCH($C1017,Работы!$A$2:$A$6000,0)),"")</f>
        <v/>
      </c>
      <c r="B1017" t="str">
        <f>IFERROR(INDEX(Работы!$F$2:$F$6000,MATCH($C1017,Работы!$A$2:$A$6000,0)),"")</f>
        <v/>
      </c>
      <c r="C1017">
        <f>IFERROR(INDEX(Работы!$A$2:$A$6000,1016),"")</f>
        <v>0</v>
      </c>
      <c r="D1017" s="8" t="str">
        <f>IFERROR(INDEX(Работы!$B$2:$B$6000,MATCH($C1017,Работы!$A$2:$A$6000,0)),"")</f>
        <v/>
      </c>
      <c r="E1017" t="str">
        <f>IFERROR(INDEX(Работы!$C$2:$C$6000,MATCH($C1017,Работы!$A$2:$A$6000,0)),"")</f>
        <v/>
      </c>
      <c r="F1017" t="str">
        <f>IFERROR(INDEX(Работы!$G$2:$G$6000,MATCH($C1017,Работы!$A$2:$A$6000,0)),"")</f>
        <v/>
      </c>
      <c r="G1017" t="str">
        <f>IFERROR(INDEX(Работы!$K$2:$K$6000,MATCH($C1017,Работы!$A$2:$A$6000,0)),"")</f>
        <v/>
      </c>
      <c r="H1017" s="9"/>
      <c r="I1017" s="9"/>
      <c r="J1017" s="8" t="str">
        <f>IFERROR(INDEX(Материалы!$B$2:$B$9000,MATCH($I1017,Материалы!$A$2:$A$9000,0)),"")</f>
        <v/>
      </c>
      <c r="K1017" t="str">
        <f>IF($I1017="","",IF($F1017=IFERROR(INDEX(Материалы!$G$2:$G$9000,MATCH($I1017,Материалы!$A$2:$A$9000,0)),""),"OK","!! не та группа"))</f>
        <v/>
      </c>
      <c r="L1017" s="10">
        <f>IFERROR(INDEX(Работы!$H$2:$H$6000,MATCH($C1017,Работы!$A$2:$A$6000,0))*(1-ДисконтТендер),0)</f>
        <v>0</v>
      </c>
      <c r="M1017" s="10">
        <f>IF($I1017="",0,IFERROR(INDEX(Материалы!$I$2:$I$9000,MATCH($I1017,Материалы!$A$2:$A$9000,0))*IF(INDEX(Материалы!$J$2:$J$9000,MATCH($I1017,Материалы!$A$2:$A$9000,0))="USD",КурсUSD,IF(INDEX(Материалы!$J$2:$J$9000,MATCH($I1017,Материалы!$A$2:$A$9000,0))="EUR",КурсEUR,1))*INDEX(Материалы!$K$2:$K$9000,MATCH($I1017,Материалы!$A$2:$A$9000,0))*(1+IFERROR(INDEX(Работы!$I$2:$I$6000,MATCH($C1017,Работы!$A$2:$A$6000,0))/100,0))*(1-ДисконтТендер),0))</f>
        <v>0</v>
      </c>
      <c r="N1017" s="10">
        <f t="shared" si="45"/>
        <v>0</v>
      </c>
      <c r="O1017" s="10">
        <f t="shared" si="46"/>
        <v>0</v>
      </c>
      <c r="P1017" s="10">
        <f t="shared" si="47"/>
        <v>0</v>
      </c>
      <c r="Q1017" t="str">
        <f>IFERROR(INDEX(Работы!$J$2:$J$6000,MATCH($C1017,Работы!$A$2:$A$6000,0)),"")</f>
        <v/>
      </c>
      <c r="R1017" t="s">
        <v>92</v>
      </c>
      <c r="T1017" t="str">
        <f>IF(AND($P1017&gt;0,$R1017="да"),MAX($T$1:$T1016)+1,"")</f>
        <v/>
      </c>
    </row>
    <row r="1018" spans="1:20" x14ac:dyDescent="0.3">
      <c r="A1018" s="11" t="str">
        <f>IFERROR(INDEX(Работы!$D$2:$D$6000,MATCH($C1018,Работы!$A$2:$A$6000,0)),"")</f>
        <v/>
      </c>
      <c r="B1018" t="str">
        <f>IFERROR(INDEX(Работы!$F$2:$F$6000,MATCH($C1018,Работы!$A$2:$A$6000,0)),"")</f>
        <v/>
      </c>
      <c r="C1018">
        <f>IFERROR(INDEX(Работы!$A$2:$A$6000,1017),"")</f>
        <v>0</v>
      </c>
      <c r="D1018" s="8" t="str">
        <f>IFERROR(INDEX(Работы!$B$2:$B$6000,MATCH($C1018,Работы!$A$2:$A$6000,0)),"")</f>
        <v/>
      </c>
      <c r="E1018" t="str">
        <f>IFERROR(INDEX(Работы!$C$2:$C$6000,MATCH($C1018,Работы!$A$2:$A$6000,0)),"")</f>
        <v/>
      </c>
      <c r="F1018" t="str">
        <f>IFERROR(INDEX(Работы!$G$2:$G$6000,MATCH($C1018,Работы!$A$2:$A$6000,0)),"")</f>
        <v/>
      </c>
      <c r="G1018" t="str">
        <f>IFERROR(INDEX(Работы!$K$2:$K$6000,MATCH($C1018,Работы!$A$2:$A$6000,0)),"")</f>
        <v/>
      </c>
      <c r="H1018" s="9"/>
      <c r="I1018" s="9"/>
      <c r="J1018" s="8" t="str">
        <f>IFERROR(INDEX(Материалы!$B$2:$B$9000,MATCH($I1018,Материалы!$A$2:$A$9000,0)),"")</f>
        <v/>
      </c>
      <c r="K1018" t="str">
        <f>IF($I1018="","",IF($F1018=IFERROR(INDEX(Материалы!$G$2:$G$9000,MATCH($I1018,Материалы!$A$2:$A$9000,0)),""),"OK","!! не та группа"))</f>
        <v/>
      </c>
      <c r="L1018" s="10">
        <f>IFERROR(INDEX(Работы!$H$2:$H$6000,MATCH($C1018,Работы!$A$2:$A$6000,0))*(1-ДисконтТендер),0)</f>
        <v>0</v>
      </c>
      <c r="M1018" s="10">
        <f>IF($I1018="",0,IFERROR(INDEX(Материалы!$I$2:$I$9000,MATCH($I1018,Материалы!$A$2:$A$9000,0))*IF(INDEX(Материалы!$J$2:$J$9000,MATCH($I1018,Материалы!$A$2:$A$9000,0))="USD",КурсUSD,IF(INDEX(Материалы!$J$2:$J$9000,MATCH($I1018,Материалы!$A$2:$A$9000,0))="EUR",КурсEUR,1))*INDEX(Материалы!$K$2:$K$9000,MATCH($I1018,Материалы!$A$2:$A$9000,0))*(1+IFERROR(INDEX(Работы!$I$2:$I$6000,MATCH($C1018,Работы!$A$2:$A$6000,0))/100,0))*(1-ДисконтТендер),0))</f>
        <v>0</v>
      </c>
      <c r="N1018" s="10">
        <f t="shared" si="45"/>
        <v>0</v>
      </c>
      <c r="O1018" s="10">
        <f t="shared" si="46"/>
        <v>0</v>
      </c>
      <c r="P1018" s="10">
        <f t="shared" si="47"/>
        <v>0</v>
      </c>
      <c r="Q1018" t="str">
        <f>IFERROR(INDEX(Работы!$J$2:$J$6000,MATCH($C1018,Работы!$A$2:$A$6000,0)),"")</f>
        <v/>
      </c>
      <c r="R1018" t="s">
        <v>92</v>
      </c>
      <c r="T1018" t="str">
        <f>IF(AND($P1018&gt;0,$R1018="да"),MAX($T$1:$T1017)+1,"")</f>
        <v/>
      </c>
    </row>
    <row r="1019" spans="1:20" x14ac:dyDescent="0.3">
      <c r="A1019" s="11" t="str">
        <f>IFERROR(INDEX(Работы!$D$2:$D$6000,MATCH($C1019,Работы!$A$2:$A$6000,0)),"")</f>
        <v/>
      </c>
      <c r="B1019" t="str">
        <f>IFERROR(INDEX(Работы!$F$2:$F$6000,MATCH($C1019,Работы!$A$2:$A$6000,0)),"")</f>
        <v/>
      </c>
      <c r="C1019">
        <f>IFERROR(INDEX(Работы!$A$2:$A$6000,1018),"")</f>
        <v>0</v>
      </c>
      <c r="D1019" s="8" t="str">
        <f>IFERROR(INDEX(Работы!$B$2:$B$6000,MATCH($C1019,Работы!$A$2:$A$6000,0)),"")</f>
        <v/>
      </c>
      <c r="E1019" t="str">
        <f>IFERROR(INDEX(Работы!$C$2:$C$6000,MATCH($C1019,Работы!$A$2:$A$6000,0)),"")</f>
        <v/>
      </c>
      <c r="F1019" t="str">
        <f>IFERROR(INDEX(Работы!$G$2:$G$6000,MATCH($C1019,Работы!$A$2:$A$6000,0)),"")</f>
        <v/>
      </c>
      <c r="G1019" t="str">
        <f>IFERROR(INDEX(Работы!$K$2:$K$6000,MATCH($C1019,Работы!$A$2:$A$6000,0)),"")</f>
        <v/>
      </c>
      <c r="H1019" s="9"/>
      <c r="I1019" s="9"/>
      <c r="J1019" s="8" t="str">
        <f>IFERROR(INDEX(Материалы!$B$2:$B$9000,MATCH($I1019,Материалы!$A$2:$A$9000,0)),"")</f>
        <v/>
      </c>
      <c r="K1019" t="str">
        <f>IF($I1019="","",IF($F1019=IFERROR(INDEX(Материалы!$G$2:$G$9000,MATCH($I1019,Материалы!$A$2:$A$9000,0)),""),"OK","!! не та группа"))</f>
        <v/>
      </c>
      <c r="L1019" s="10">
        <f>IFERROR(INDEX(Работы!$H$2:$H$6000,MATCH($C1019,Работы!$A$2:$A$6000,0))*(1-ДисконтТендер),0)</f>
        <v>0</v>
      </c>
      <c r="M1019" s="10">
        <f>IF($I1019="",0,IFERROR(INDEX(Материалы!$I$2:$I$9000,MATCH($I1019,Материалы!$A$2:$A$9000,0))*IF(INDEX(Материалы!$J$2:$J$9000,MATCH($I1019,Материалы!$A$2:$A$9000,0))="USD",КурсUSD,IF(INDEX(Материалы!$J$2:$J$9000,MATCH($I1019,Материалы!$A$2:$A$9000,0))="EUR",КурсEUR,1))*INDEX(Материалы!$K$2:$K$9000,MATCH($I1019,Материалы!$A$2:$A$9000,0))*(1+IFERROR(INDEX(Работы!$I$2:$I$6000,MATCH($C1019,Работы!$A$2:$A$6000,0))/100,0))*(1-ДисконтТендер),0))</f>
        <v>0</v>
      </c>
      <c r="N1019" s="10">
        <f t="shared" si="45"/>
        <v>0</v>
      </c>
      <c r="O1019" s="10">
        <f t="shared" si="46"/>
        <v>0</v>
      </c>
      <c r="P1019" s="10">
        <f t="shared" si="47"/>
        <v>0</v>
      </c>
      <c r="Q1019" t="str">
        <f>IFERROR(INDEX(Работы!$J$2:$J$6000,MATCH($C1019,Работы!$A$2:$A$6000,0)),"")</f>
        <v/>
      </c>
      <c r="R1019" t="s">
        <v>92</v>
      </c>
      <c r="T1019" t="str">
        <f>IF(AND($P1019&gt;0,$R1019="да"),MAX($T$1:$T1018)+1,"")</f>
        <v/>
      </c>
    </row>
    <row r="1020" spans="1:20" x14ac:dyDescent="0.3">
      <c r="A1020" s="11" t="str">
        <f>IFERROR(INDEX(Работы!$D$2:$D$6000,MATCH($C1020,Работы!$A$2:$A$6000,0)),"")</f>
        <v/>
      </c>
      <c r="B1020" t="str">
        <f>IFERROR(INDEX(Работы!$F$2:$F$6000,MATCH($C1020,Работы!$A$2:$A$6000,0)),"")</f>
        <v/>
      </c>
      <c r="C1020">
        <f>IFERROR(INDEX(Работы!$A$2:$A$6000,1019),"")</f>
        <v>0</v>
      </c>
      <c r="D1020" s="8" t="str">
        <f>IFERROR(INDEX(Работы!$B$2:$B$6000,MATCH($C1020,Работы!$A$2:$A$6000,0)),"")</f>
        <v/>
      </c>
      <c r="E1020" t="str">
        <f>IFERROR(INDEX(Работы!$C$2:$C$6000,MATCH($C1020,Работы!$A$2:$A$6000,0)),"")</f>
        <v/>
      </c>
      <c r="F1020" t="str">
        <f>IFERROR(INDEX(Работы!$G$2:$G$6000,MATCH($C1020,Работы!$A$2:$A$6000,0)),"")</f>
        <v/>
      </c>
      <c r="G1020" t="str">
        <f>IFERROR(INDEX(Работы!$K$2:$K$6000,MATCH($C1020,Работы!$A$2:$A$6000,0)),"")</f>
        <v/>
      </c>
      <c r="H1020" s="9"/>
      <c r="I1020" s="9"/>
      <c r="J1020" s="8" t="str">
        <f>IFERROR(INDEX(Материалы!$B$2:$B$9000,MATCH($I1020,Материалы!$A$2:$A$9000,0)),"")</f>
        <v/>
      </c>
      <c r="K1020" t="str">
        <f>IF($I1020="","",IF($F1020=IFERROR(INDEX(Материалы!$G$2:$G$9000,MATCH($I1020,Материалы!$A$2:$A$9000,0)),""),"OK","!! не та группа"))</f>
        <v/>
      </c>
      <c r="L1020" s="10">
        <f>IFERROR(INDEX(Работы!$H$2:$H$6000,MATCH($C1020,Работы!$A$2:$A$6000,0))*(1-ДисконтТендер),0)</f>
        <v>0</v>
      </c>
      <c r="M1020" s="10">
        <f>IF($I1020="",0,IFERROR(INDEX(Материалы!$I$2:$I$9000,MATCH($I1020,Материалы!$A$2:$A$9000,0))*IF(INDEX(Материалы!$J$2:$J$9000,MATCH($I1020,Материалы!$A$2:$A$9000,0))="USD",КурсUSD,IF(INDEX(Материалы!$J$2:$J$9000,MATCH($I1020,Материалы!$A$2:$A$9000,0))="EUR",КурсEUR,1))*INDEX(Материалы!$K$2:$K$9000,MATCH($I1020,Материалы!$A$2:$A$9000,0))*(1+IFERROR(INDEX(Работы!$I$2:$I$6000,MATCH($C1020,Работы!$A$2:$A$6000,0))/100,0))*(1-ДисконтТендер),0))</f>
        <v>0</v>
      </c>
      <c r="N1020" s="10">
        <f t="shared" si="45"/>
        <v>0</v>
      </c>
      <c r="O1020" s="10">
        <f t="shared" si="46"/>
        <v>0</v>
      </c>
      <c r="P1020" s="10">
        <f t="shared" si="47"/>
        <v>0</v>
      </c>
      <c r="Q1020" t="str">
        <f>IFERROR(INDEX(Работы!$J$2:$J$6000,MATCH($C1020,Работы!$A$2:$A$6000,0)),"")</f>
        <v/>
      </c>
      <c r="R1020" t="s">
        <v>92</v>
      </c>
      <c r="T1020" t="str">
        <f>IF(AND($P1020&gt;0,$R1020="да"),MAX($T$1:$T1019)+1,"")</f>
        <v/>
      </c>
    </row>
    <row r="1021" spans="1:20" x14ac:dyDescent="0.3">
      <c r="A1021" s="11" t="str">
        <f>IFERROR(INDEX(Работы!$D$2:$D$6000,MATCH($C1021,Работы!$A$2:$A$6000,0)),"")</f>
        <v/>
      </c>
      <c r="B1021" t="str">
        <f>IFERROR(INDEX(Работы!$F$2:$F$6000,MATCH($C1021,Работы!$A$2:$A$6000,0)),"")</f>
        <v/>
      </c>
      <c r="C1021">
        <f>IFERROR(INDEX(Работы!$A$2:$A$6000,1020),"")</f>
        <v>0</v>
      </c>
      <c r="D1021" s="8" t="str">
        <f>IFERROR(INDEX(Работы!$B$2:$B$6000,MATCH($C1021,Работы!$A$2:$A$6000,0)),"")</f>
        <v/>
      </c>
      <c r="E1021" t="str">
        <f>IFERROR(INDEX(Работы!$C$2:$C$6000,MATCH($C1021,Работы!$A$2:$A$6000,0)),"")</f>
        <v/>
      </c>
      <c r="F1021" t="str">
        <f>IFERROR(INDEX(Работы!$G$2:$G$6000,MATCH($C1021,Работы!$A$2:$A$6000,0)),"")</f>
        <v/>
      </c>
      <c r="G1021" t="str">
        <f>IFERROR(INDEX(Работы!$K$2:$K$6000,MATCH($C1021,Работы!$A$2:$A$6000,0)),"")</f>
        <v/>
      </c>
      <c r="H1021" s="9"/>
      <c r="I1021" s="9"/>
      <c r="J1021" s="8" t="str">
        <f>IFERROR(INDEX(Материалы!$B$2:$B$9000,MATCH($I1021,Материалы!$A$2:$A$9000,0)),"")</f>
        <v/>
      </c>
      <c r="K1021" t="str">
        <f>IF($I1021="","",IF($F1021=IFERROR(INDEX(Материалы!$G$2:$G$9000,MATCH($I1021,Материалы!$A$2:$A$9000,0)),""),"OK","!! не та группа"))</f>
        <v/>
      </c>
      <c r="L1021" s="10">
        <f>IFERROR(INDEX(Работы!$H$2:$H$6000,MATCH($C1021,Работы!$A$2:$A$6000,0))*(1-ДисконтТендер),0)</f>
        <v>0</v>
      </c>
      <c r="M1021" s="10">
        <f>IF($I1021="",0,IFERROR(INDEX(Материалы!$I$2:$I$9000,MATCH($I1021,Материалы!$A$2:$A$9000,0))*IF(INDEX(Материалы!$J$2:$J$9000,MATCH($I1021,Материалы!$A$2:$A$9000,0))="USD",КурсUSD,IF(INDEX(Материалы!$J$2:$J$9000,MATCH($I1021,Материалы!$A$2:$A$9000,0))="EUR",КурсEUR,1))*INDEX(Материалы!$K$2:$K$9000,MATCH($I1021,Материалы!$A$2:$A$9000,0))*(1+IFERROR(INDEX(Работы!$I$2:$I$6000,MATCH($C1021,Работы!$A$2:$A$6000,0))/100,0))*(1-ДисконтТендер),0))</f>
        <v>0</v>
      </c>
      <c r="N1021" s="10">
        <f t="shared" si="45"/>
        <v>0</v>
      </c>
      <c r="O1021" s="10">
        <f t="shared" si="46"/>
        <v>0</v>
      </c>
      <c r="P1021" s="10">
        <f t="shared" si="47"/>
        <v>0</v>
      </c>
      <c r="Q1021" t="str">
        <f>IFERROR(INDEX(Работы!$J$2:$J$6000,MATCH($C1021,Работы!$A$2:$A$6000,0)),"")</f>
        <v/>
      </c>
      <c r="R1021" t="s">
        <v>92</v>
      </c>
      <c r="T1021" t="str">
        <f>IF(AND($P1021&gt;0,$R1021="да"),MAX($T$1:$T1020)+1,"")</f>
        <v/>
      </c>
    </row>
    <row r="1022" spans="1:20" x14ac:dyDescent="0.3">
      <c r="A1022" s="11" t="str">
        <f>IFERROR(INDEX(Работы!$D$2:$D$6000,MATCH($C1022,Работы!$A$2:$A$6000,0)),"")</f>
        <v/>
      </c>
      <c r="B1022" t="str">
        <f>IFERROR(INDEX(Работы!$F$2:$F$6000,MATCH($C1022,Работы!$A$2:$A$6000,0)),"")</f>
        <v/>
      </c>
      <c r="C1022">
        <f>IFERROR(INDEX(Работы!$A$2:$A$6000,1021),"")</f>
        <v>0</v>
      </c>
      <c r="D1022" s="8" t="str">
        <f>IFERROR(INDEX(Работы!$B$2:$B$6000,MATCH($C1022,Работы!$A$2:$A$6000,0)),"")</f>
        <v/>
      </c>
      <c r="E1022" t="str">
        <f>IFERROR(INDEX(Работы!$C$2:$C$6000,MATCH($C1022,Работы!$A$2:$A$6000,0)),"")</f>
        <v/>
      </c>
      <c r="F1022" t="str">
        <f>IFERROR(INDEX(Работы!$G$2:$G$6000,MATCH($C1022,Работы!$A$2:$A$6000,0)),"")</f>
        <v/>
      </c>
      <c r="G1022" t="str">
        <f>IFERROR(INDEX(Работы!$K$2:$K$6000,MATCH($C1022,Работы!$A$2:$A$6000,0)),"")</f>
        <v/>
      </c>
      <c r="H1022" s="9"/>
      <c r="I1022" s="9"/>
      <c r="J1022" s="8" t="str">
        <f>IFERROR(INDEX(Материалы!$B$2:$B$9000,MATCH($I1022,Материалы!$A$2:$A$9000,0)),"")</f>
        <v/>
      </c>
      <c r="K1022" t="str">
        <f>IF($I1022="","",IF($F1022=IFERROR(INDEX(Материалы!$G$2:$G$9000,MATCH($I1022,Материалы!$A$2:$A$9000,0)),""),"OK","!! не та группа"))</f>
        <v/>
      </c>
      <c r="L1022" s="10">
        <f>IFERROR(INDEX(Работы!$H$2:$H$6000,MATCH($C1022,Работы!$A$2:$A$6000,0))*(1-ДисконтТендер),0)</f>
        <v>0</v>
      </c>
      <c r="M1022" s="10">
        <f>IF($I1022="",0,IFERROR(INDEX(Материалы!$I$2:$I$9000,MATCH($I1022,Материалы!$A$2:$A$9000,0))*IF(INDEX(Материалы!$J$2:$J$9000,MATCH($I1022,Материалы!$A$2:$A$9000,0))="USD",КурсUSD,IF(INDEX(Материалы!$J$2:$J$9000,MATCH($I1022,Материалы!$A$2:$A$9000,0))="EUR",КурсEUR,1))*INDEX(Материалы!$K$2:$K$9000,MATCH($I1022,Материалы!$A$2:$A$9000,0))*(1+IFERROR(INDEX(Работы!$I$2:$I$6000,MATCH($C1022,Работы!$A$2:$A$6000,0))/100,0))*(1-ДисконтТендер),0))</f>
        <v>0</v>
      </c>
      <c r="N1022" s="10">
        <f t="shared" si="45"/>
        <v>0</v>
      </c>
      <c r="O1022" s="10">
        <f t="shared" si="46"/>
        <v>0</v>
      </c>
      <c r="P1022" s="10">
        <f t="shared" si="47"/>
        <v>0</v>
      </c>
      <c r="Q1022" t="str">
        <f>IFERROR(INDEX(Работы!$J$2:$J$6000,MATCH($C1022,Работы!$A$2:$A$6000,0)),"")</f>
        <v/>
      </c>
      <c r="R1022" t="s">
        <v>92</v>
      </c>
      <c r="T1022" t="str">
        <f>IF(AND($P1022&gt;0,$R1022="да"),MAX($T$1:$T1021)+1,"")</f>
        <v/>
      </c>
    </row>
    <row r="1023" spans="1:20" x14ac:dyDescent="0.3">
      <c r="A1023" s="11" t="str">
        <f>IFERROR(INDEX(Работы!$D$2:$D$6000,MATCH($C1023,Работы!$A$2:$A$6000,0)),"")</f>
        <v/>
      </c>
      <c r="B1023" t="str">
        <f>IFERROR(INDEX(Работы!$F$2:$F$6000,MATCH($C1023,Работы!$A$2:$A$6000,0)),"")</f>
        <v/>
      </c>
      <c r="C1023">
        <f>IFERROR(INDEX(Работы!$A$2:$A$6000,1022),"")</f>
        <v>0</v>
      </c>
      <c r="D1023" s="8" t="str">
        <f>IFERROR(INDEX(Работы!$B$2:$B$6000,MATCH($C1023,Работы!$A$2:$A$6000,0)),"")</f>
        <v/>
      </c>
      <c r="E1023" t="str">
        <f>IFERROR(INDEX(Работы!$C$2:$C$6000,MATCH($C1023,Работы!$A$2:$A$6000,0)),"")</f>
        <v/>
      </c>
      <c r="F1023" t="str">
        <f>IFERROR(INDEX(Работы!$G$2:$G$6000,MATCH($C1023,Работы!$A$2:$A$6000,0)),"")</f>
        <v/>
      </c>
      <c r="G1023" t="str">
        <f>IFERROR(INDEX(Работы!$K$2:$K$6000,MATCH($C1023,Работы!$A$2:$A$6000,0)),"")</f>
        <v/>
      </c>
      <c r="H1023" s="9"/>
      <c r="I1023" s="9"/>
      <c r="J1023" s="8" t="str">
        <f>IFERROR(INDEX(Материалы!$B$2:$B$9000,MATCH($I1023,Материалы!$A$2:$A$9000,0)),"")</f>
        <v/>
      </c>
      <c r="K1023" t="str">
        <f>IF($I1023="","",IF($F1023=IFERROR(INDEX(Материалы!$G$2:$G$9000,MATCH($I1023,Материалы!$A$2:$A$9000,0)),""),"OK","!! не та группа"))</f>
        <v/>
      </c>
      <c r="L1023" s="10">
        <f>IFERROR(INDEX(Работы!$H$2:$H$6000,MATCH($C1023,Работы!$A$2:$A$6000,0))*(1-ДисконтТендер),0)</f>
        <v>0</v>
      </c>
      <c r="M1023" s="10">
        <f>IF($I1023="",0,IFERROR(INDEX(Материалы!$I$2:$I$9000,MATCH($I1023,Материалы!$A$2:$A$9000,0))*IF(INDEX(Материалы!$J$2:$J$9000,MATCH($I1023,Материалы!$A$2:$A$9000,0))="USD",КурсUSD,IF(INDEX(Материалы!$J$2:$J$9000,MATCH($I1023,Материалы!$A$2:$A$9000,0))="EUR",КурсEUR,1))*INDEX(Материалы!$K$2:$K$9000,MATCH($I1023,Материалы!$A$2:$A$9000,0))*(1+IFERROR(INDEX(Работы!$I$2:$I$6000,MATCH($C1023,Работы!$A$2:$A$6000,0))/100,0))*(1-ДисконтТендер),0))</f>
        <v>0</v>
      </c>
      <c r="N1023" s="10">
        <f t="shared" si="45"/>
        <v>0</v>
      </c>
      <c r="O1023" s="10">
        <f t="shared" si="46"/>
        <v>0</v>
      </c>
      <c r="P1023" s="10">
        <f t="shared" si="47"/>
        <v>0</v>
      </c>
      <c r="Q1023" t="str">
        <f>IFERROR(INDEX(Работы!$J$2:$J$6000,MATCH($C1023,Работы!$A$2:$A$6000,0)),"")</f>
        <v/>
      </c>
      <c r="R1023" t="s">
        <v>92</v>
      </c>
      <c r="T1023" t="str">
        <f>IF(AND($P1023&gt;0,$R1023="да"),MAX($T$1:$T1022)+1,"")</f>
        <v/>
      </c>
    </row>
    <row r="1024" spans="1:20" x14ac:dyDescent="0.3">
      <c r="A1024" s="11" t="str">
        <f>IFERROR(INDEX(Работы!$D$2:$D$6000,MATCH($C1024,Работы!$A$2:$A$6000,0)),"")</f>
        <v/>
      </c>
      <c r="B1024" t="str">
        <f>IFERROR(INDEX(Работы!$F$2:$F$6000,MATCH($C1024,Работы!$A$2:$A$6000,0)),"")</f>
        <v/>
      </c>
      <c r="C1024">
        <f>IFERROR(INDEX(Работы!$A$2:$A$6000,1023),"")</f>
        <v>0</v>
      </c>
      <c r="D1024" s="8" t="str">
        <f>IFERROR(INDEX(Работы!$B$2:$B$6000,MATCH($C1024,Работы!$A$2:$A$6000,0)),"")</f>
        <v/>
      </c>
      <c r="E1024" t="str">
        <f>IFERROR(INDEX(Работы!$C$2:$C$6000,MATCH($C1024,Работы!$A$2:$A$6000,0)),"")</f>
        <v/>
      </c>
      <c r="F1024" t="str">
        <f>IFERROR(INDEX(Работы!$G$2:$G$6000,MATCH($C1024,Работы!$A$2:$A$6000,0)),"")</f>
        <v/>
      </c>
      <c r="G1024" t="str">
        <f>IFERROR(INDEX(Работы!$K$2:$K$6000,MATCH($C1024,Работы!$A$2:$A$6000,0)),"")</f>
        <v/>
      </c>
      <c r="H1024" s="9"/>
      <c r="I1024" s="9"/>
      <c r="J1024" s="8" t="str">
        <f>IFERROR(INDEX(Материалы!$B$2:$B$9000,MATCH($I1024,Материалы!$A$2:$A$9000,0)),"")</f>
        <v/>
      </c>
      <c r="K1024" t="str">
        <f>IF($I1024="","",IF($F1024=IFERROR(INDEX(Материалы!$G$2:$G$9000,MATCH($I1024,Материалы!$A$2:$A$9000,0)),""),"OK","!! не та группа"))</f>
        <v/>
      </c>
      <c r="L1024" s="10">
        <f>IFERROR(INDEX(Работы!$H$2:$H$6000,MATCH($C1024,Работы!$A$2:$A$6000,0))*(1-ДисконтТендер),0)</f>
        <v>0</v>
      </c>
      <c r="M1024" s="10">
        <f>IF($I1024="",0,IFERROR(INDEX(Материалы!$I$2:$I$9000,MATCH($I1024,Материалы!$A$2:$A$9000,0))*IF(INDEX(Материалы!$J$2:$J$9000,MATCH($I1024,Материалы!$A$2:$A$9000,0))="USD",КурсUSD,IF(INDEX(Материалы!$J$2:$J$9000,MATCH($I1024,Материалы!$A$2:$A$9000,0))="EUR",КурсEUR,1))*INDEX(Материалы!$K$2:$K$9000,MATCH($I1024,Материалы!$A$2:$A$9000,0))*(1+IFERROR(INDEX(Работы!$I$2:$I$6000,MATCH($C1024,Работы!$A$2:$A$6000,0))/100,0))*(1-ДисконтТендер),0))</f>
        <v>0</v>
      </c>
      <c r="N1024" s="10">
        <f t="shared" si="45"/>
        <v>0</v>
      </c>
      <c r="O1024" s="10">
        <f t="shared" si="46"/>
        <v>0</v>
      </c>
      <c r="P1024" s="10">
        <f t="shared" si="47"/>
        <v>0</v>
      </c>
      <c r="Q1024" t="str">
        <f>IFERROR(INDEX(Работы!$J$2:$J$6000,MATCH($C1024,Работы!$A$2:$A$6000,0)),"")</f>
        <v/>
      </c>
      <c r="R1024" t="s">
        <v>92</v>
      </c>
      <c r="T1024" t="str">
        <f>IF(AND($P1024&gt;0,$R1024="да"),MAX($T$1:$T1023)+1,"")</f>
        <v/>
      </c>
    </row>
    <row r="1025" spans="1:20" x14ac:dyDescent="0.3">
      <c r="A1025" s="11" t="str">
        <f>IFERROR(INDEX(Работы!$D$2:$D$6000,MATCH($C1025,Работы!$A$2:$A$6000,0)),"")</f>
        <v/>
      </c>
      <c r="B1025" t="str">
        <f>IFERROR(INDEX(Работы!$F$2:$F$6000,MATCH($C1025,Работы!$A$2:$A$6000,0)),"")</f>
        <v/>
      </c>
      <c r="C1025">
        <f>IFERROR(INDEX(Работы!$A$2:$A$6000,1024),"")</f>
        <v>0</v>
      </c>
      <c r="D1025" s="8" t="str">
        <f>IFERROR(INDEX(Работы!$B$2:$B$6000,MATCH($C1025,Работы!$A$2:$A$6000,0)),"")</f>
        <v/>
      </c>
      <c r="E1025" t="str">
        <f>IFERROR(INDEX(Работы!$C$2:$C$6000,MATCH($C1025,Работы!$A$2:$A$6000,0)),"")</f>
        <v/>
      </c>
      <c r="F1025" t="str">
        <f>IFERROR(INDEX(Работы!$G$2:$G$6000,MATCH($C1025,Работы!$A$2:$A$6000,0)),"")</f>
        <v/>
      </c>
      <c r="G1025" t="str">
        <f>IFERROR(INDEX(Работы!$K$2:$K$6000,MATCH($C1025,Работы!$A$2:$A$6000,0)),"")</f>
        <v/>
      </c>
      <c r="H1025" s="9"/>
      <c r="I1025" s="9"/>
      <c r="J1025" s="8" t="str">
        <f>IFERROR(INDEX(Материалы!$B$2:$B$9000,MATCH($I1025,Материалы!$A$2:$A$9000,0)),"")</f>
        <v/>
      </c>
      <c r="K1025" t="str">
        <f>IF($I1025="","",IF($F1025=IFERROR(INDEX(Материалы!$G$2:$G$9000,MATCH($I1025,Материалы!$A$2:$A$9000,0)),""),"OK","!! не та группа"))</f>
        <v/>
      </c>
      <c r="L1025" s="10">
        <f>IFERROR(INDEX(Работы!$H$2:$H$6000,MATCH($C1025,Работы!$A$2:$A$6000,0))*(1-ДисконтТендер),0)</f>
        <v>0</v>
      </c>
      <c r="M1025" s="10">
        <f>IF($I1025="",0,IFERROR(INDEX(Материалы!$I$2:$I$9000,MATCH($I1025,Материалы!$A$2:$A$9000,0))*IF(INDEX(Материалы!$J$2:$J$9000,MATCH($I1025,Материалы!$A$2:$A$9000,0))="USD",КурсUSD,IF(INDEX(Материалы!$J$2:$J$9000,MATCH($I1025,Материалы!$A$2:$A$9000,0))="EUR",КурсEUR,1))*INDEX(Материалы!$K$2:$K$9000,MATCH($I1025,Материалы!$A$2:$A$9000,0))*(1+IFERROR(INDEX(Работы!$I$2:$I$6000,MATCH($C1025,Работы!$A$2:$A$6000,0))/100,0))*(1-ДисконтТендер),0))</f>
        <v>0</v>
      </c>
      <c r="N1025" s="10">
        <f t="shared" si="45"/>
        <v>0</v>
      </c>
      <c r="O1025" s="10">
        <f t="shared" si="46"/>
        <v>0</v>
      </c>
      <c r="P1025" s="10">
        <f t="shared" si="47"/>
        <v>0</v>
      </c>
      <c r="Q1025" t="str">
        <f>IFERROR(INDEX(Работы!$J$2:$J$6000,MATCH($C1025,Работы!$A$2:$A$6000,0)),"")</f>
        <v/>
      </c>
      <c r="R1025" t="s">
        <v>92</v>
      </c>
      <c r="T1025" t="str">
        <f>IF(AND($P1025&gt;0,$R1025="да"),MAX($T$1:$T1024)+1,"")</f>
        <v/>
      </c>
    </row>
    <row r="1026" spans="1:20" x14ac:dyDescent="0.3">
      <c r="A1026" s="11" t="str">
        <f>IFERROR(INDEX(Работы!$D$2:$D$6000,MATCH($C1026,Работы!$A$2:$A$6000,0)),"")</f>
        <v/>
      </c>
      <c r="B1026" t="str">
        <f>IFERROR(INDEX(Работы!$F$2:$F$6000,MATCH($C1026,Работы!$A$2:$A$6000,0)),"")</f>
        <v/>
      </c>
      <c r="C1026">
        <f>IFERROR(INDEX(Работы!$A$2:$A$6000,1025),"")</f>
        <v>0</v>
      </c>
      <c r="D1026" s="8" t="str">
        <f>IFERROR(INDEX(Работы!$B$2:$B$6000,MATCH($C1026,Работы!$A$2:$A$6000,0)),"")</f>
        <v/>
      </c>
      <c r="E1026" t="str">
        <f>IFERROR(INDEX(Работы!$C$2:$C$6000,MATCH($C1026,Работы!$A$2:$A$6000,0)),"")</f>
        <v/>
      </c>
      <c r="F1026" t="str">
        <f>IFERROR(INDEX(Работы!$G$2:$G$6000,MATCH($C1026,Работы!$A$2:$A$6000,0)),"")</f>
        <v/>
      </c>
      <c r="G1026" t="str">
        <f>IFERROR(INDEX(Работы!$K$2:$K$6000,MATCH($C1026,Работы!$A$2:$A$6000,0)),"")</f>
        <v/>
      </c>
      <c r="H1026" s="9"/>
      <c r="I1026" s="9"/>
      <c r="J1026" s="8" t="str">
        <f>IFERROR(INDEX(Материалы!$B$2:$B$9000,MATCH($I1026,Материалы!$A$2:$A$9000,0)),"")</f>
        <v/>
      </c>
      <c r="K1026" t="str">
        <f>IF($I1026="","",IF($F1026=IFERROR(INDEX(Материалы!$G$2:$G$9000,MATCH($I1026,Материалы!$A$2:$A$9000,0)),""),"OK","!! не та группа"))</f>
        <v/>
      </c>
      <c r="L1026" s="10">
        <f>IFERROR(INDEX(Работы!$H$2:$H$6000,MATCH($C1026,Работы!$A$2:$A$6000,0))*(1-ДисконтТендер),0)</f>
        <v>0</v>
      </c>
      <c r="M1026" s="10">
        <f>IF($I1026="",0,IFERROR(INDEX(Материалы!$I$2:$I$9000,MATCH($I1026,Материалы!$A$2:$A$9000,0))*IF(INDEX(Материалы!$J$2:$J$9000,MATCH($I1026,Материалы!$A$2:$A$9000,0))="USD",КурсUSD,IF(INDEX(Материалы!$J$2:$J$9000,MATCH($I1026,Материалы!$A$2:$A$9000,0))="EUR",КурсEUR,1))*INDEX(Материалы!$K$2:$K$9000,MATCH($I1026,Материалы!$A$2:$A$9000,0))*(1+IFERROR(INDEX(Работы!$I$2:$I$6000,MATCH($C1026,Работы!$A$2:$A$6000,0))/100,0))*(1-ДисконтТендер),0))</f>
        <v>0</v>
      </c>
      <c r="N1026" s="10">
        <f t="shared" ref="N1026:N1089" si="48">IF(AND($R1026="да",$H1026&lt;&gt;""),ROUND($H1026*$L1026,2),0)</f>
        <v>0</v>
      </c>
      <c r="O1026" s="10">
        <f t="shared" ref="O1026:O1089" si="49">IF(AND($R1026="да",$H1026&lt;&gt;""),ROUND($H1026*$M1026,2),0)</f>
        <v>0</v>
      </c>
      <c r="P1026" s="10">
        <f t="shared" ref="P1026:P1089" si="50">$N1026+$O1026</f>
        <v>0</v>
      </c>
      <c r="Q1026" t="str">
        <f>IFERROR(INDEX(Работы!$J$2:$J$6000,MATCH($C1026,Работы!$A$2:$A$6000,0)),"")</f>
        <v/>
      </c>
      <c r="R1026" t="s">
        <v>92</v>
      </c>
      <c r="T1026" t="str">
        <f>IF(AND($P1026&gt;0,$R1026="да"),MAX($T$1:$T1025)+1,"")</f>
        <v/>
      </c>
    </row>
    <row r="1027" spans="1:20" x14ac:dyDescent="0.3">
      <c r="A1027" s="11" t="str">
        <f>IFERROR(INDEX(Работы!$D$2:$D$6000,MATCH($C1027,Работы!$A$2:$A$6000,0)),"")</f>
        <v/>
      </c>
      <c r="B1027" t="str">
        <f>IFERROR(INDEX(Работы!$F$2:$F$6000,MATCH($C1027,Работы!$A$2:$A$6000,0)),"")</f>
        <v/>
      </c>
      <c r="C1027">
        <f>IFERROR(INDEX(Работы!$A$2:$A$6000,1026),"")</f>
        <v>0</v>
      </c>
      <c r="D1027" s="8" t="str">
        <f>IFERROR(INDEX(Работы!$B$2:$B$6000,MATCH($C1027,Работы!$A$2:$A$6000,0)),"")</f>
        <v/>
      </c>
      <c r="E1027" t="str">
        <f>IFERROR(INDEX(Работы!$C$2:$C$6000,MATCH($C1027,Работы!$A$2:$A$6000,0)),"")</f>
        <v/>
      </c>
      <c r="F1027" t="str">
        <f>IFERROR(INDEX(Работы!$G$2:$G$6000,MATCH($C1027,Работы!$A$2:$A$6000,0)),"")</f>
        <v/>
      </c>
      <c r="G1027" t="str">
        <f>IFERROR(INDEX(Работы!$K$2:$K$6000,MATCH($C1027,Работы!$A$2:$A$6000,0)),"")</f>
        <v/>
      </c>
      <c r="H1027" s="9"/>
      <c r="I1027" s="9"/>
      <c r="J1027" s="8" t="str">
        <f>IFERROR(INDEX(Материалы!$B$2:$B$9000,MATCH($I1027,Материалы!$A$2:$A$9000,0)),"")</f>
        <v/>
      </c>
      <c r="K1027" t="str">
        <f>IF($I1027="","",IF($F1027=IFERROR(INDEX(Материалы!$G$2:$G$9000,MATCH($I1027,Материалы!$A$2:$A$9000,0)),""),"OK","!! не та группа"))</f>
        <v/>
      </c>
      <c r="L1027" s="10">
        <f>IFERROR(INDEX(Работы!$H$2:$H$6000,MATCH($C1027,Работы!$A$2:$A$6000,0))*(1-ДисконтТендер),0)</f>
        <v>0</v>
      </c>
      <c r="M1027" s="10">
        <f>IF($I1027="",0,IFERROR(INDEX(Материалы!$I$2:$I$9000,MATCH($I1027,Материалы!$A$2:$A$9000,0))*IF(INDEX(Материалы!$J$2:$J$9000,MATCH($I1027,Материалы!$A$2:$A$9000,0))="USD",КурсUSD,IF(INDEX(Материалы!$J$2:$J$9000,MATCH($I1027,Материалы!$A$2:$A$9000,0))="EUR",КурсEUR,1))*INDEX(Материалы!$K$2:$K$9000,MATCH($I1027,Материалы!$A$2:$A$9000,0))*(1+IFERROR(INDEX(Работы!$I$2:$I$6000,MATCH($C1027,Работы!$A$2:$A$6000,0))/100,0))*(1-ДисконтТендер),0))</f>
        <v>0</v>
      </c>
      <c r="N1027" s="10">
        <f t="shared" si="48"/>
        <v>0</v>
      </c>
      <c r="O1027" s="10">
        <f t="shared" si="49"/>
        <v>0</v>
      </c>
      <c r="P1027" s="10">
        <f t="shared" si="50"/>
        <v>0</v>
      </c>
      <c r="Q1027" t="str">
        <f>IFERROR(INDEX(Работы!$J$2:$J$6000,MATCH($C1027,Работы!$A$2:$A$6000,0)),"")</f>
        <v/>
      </c>
      <c r="R1027" t="s">
        <v>92</v>
      </c>
      <c r="T1027" t="str">
        <f>IF(AND($P1027&gt;0,$R1027="да"),MAX($T$1:$T1026)+1,"")</f>
        <v/>
      </c>
    </row>
    <row r="1028" spans="1:20" x14ac:dyDescent="0.3">
      <c r="A1028" s="11" t="str">
        <f>IFERROR(INDEX(Работы!$D$2:$D$6000,MATCH($C1028,Работы!$A$2:$A$6000,0)),"")</f>
        <v/>
      </c>
      <c r="B1028" t="str">
        <f>IFERROR(INDEX(Работы!$F$2:$F$6000,MATCH($C1028,Работы!$A$2:$A$6000,0)),"")</f>
        <v/>
      </c>
      <c r="C1028">
        <f>IFERROR(INDEX(Работы!$A$2:$A$6000,1027),"")</f>
        <v>0</v>
      </c>
      <c r="D1028" s="8" t="str">
        <f>IFERROR(INDEX(Работы!$B$2:$B$6000,MATCH($C1028,Работы!$A$2:$A$6000,0)),"")</f>
        <v/>
      </c>
      <c r="E1028" t="str">
        <f>IFERROR(INDEX(Работы!$C$2:$C$6000,MATCH($C1028,Работы!$A$2:$A$6000,0)),"")</f>
        <v/>
      </c>
      <c r="F1028" t="str">
        <f>IFERROR(INDEX(Работы!$G$2:$G$6000,MATCH($C1028,Работы!$A$2:$A$6000,0)),"")</f>
        <v/>
      </c>
      <c r="G1028" t="str">
        <f>IFERROR(INDEX(Работы!$K$2:$K$6000,MATCH($C1028,Работы!$A$2:$A$6000,0)),"")</f>
        <v/>
      </c>
      <c r="H1028" s="9"/>
      <c r="I1028" s="9"/>
      <c r="J1028" s="8" t="str">
        <f>IFERROR(INDEX(Материалы!$B$2:$B$9000,MATCH($I1028,Материалы!$A$2:$A$9000,0)),"")</f>
        <v/>
      </c>
      <c r="K1028" t="str">
        <f>IF($I1028="","",IF($F1028=IFERROR(INDEX(Материалы!$G$2:$G$9000,MATCH($I1028,Материалы!$A$2:$A$9000,0)),""),"OK","!! не та группа"))</f>
        <v/>
      </c>
      <c r="L1028" s="10">
        <f>IFERROR(INDEX(Работы!$H$2:$H$6000,MATCH($C1028,Работы!$A$2:$A$6000,0))*(1-ДисконтТендер),0)</f>
        <v>0</v>
      </c>
      <c r="M1028" s="10">
        <f>IF($I1028="",0,IFERROR(INDEX(Материалы!$I$2:$I$9000,MATCH($I1028,Материалы!$A$2:$A$9000,0))*IF(INDEX(Материалы!$J$2:$J$9000,MATCH($I1028,Материалы!$A$2:$A$9000,0))="USD",КурсUSD,IF(INDEX(Материалы!$J$2:$J$9000,MATCH($I1028,Материалы!$A$2:$A$9000,0))="EUR",КурсEUR,1))*INDEX(Материалы!$K$2:$K$9000,MATCH($I1028,Материалы!$A$2:$A$9000,0))*(1+IFERROR(INDEX(Работы!$I$2:$I$6000,MATCH($C1028,Работы!$A$2:$A$6000,0))/100,0))*(1-ДисконтТендер),0))</f>
        <v>0</v>
      </c>
      <c r="N1028" s="10">
        <f t="shared" si="48"/>
        <v>0</v>
      </c>
      <c r="O1028" s="10">
        <f t="shared" si="49"/>
        <v>0</v>
      </c>
      <c r="P1028" s="10">
        <f t="shared" si="50"/>
        <v>0</v>
      </c>
      <c r="Q1028" t="str">
        <f>IFERROR(INDEX(Работы!$J$2:$J$6000,MATCH($C1028,Работы!$A$2:$A$6000,0)),"")</f>
        <v/>
      </c>
      <c r="R1028" t="s">
        <v>92</v>
      </c>
      <c r="T1028" t="str">
        <f>IF(AND($P1028&gt;0,$R1028="да"),MAX($T$1:$T1027)+1,"")</f>
        <v/>
      </c>
    </row>
    <row r="1029" spans="1:20" x14ac:dyDescent="0.3">
      <c r="A1029" s="11" t="str">
        <f>IFERROR(INDEX(Работы!$D$2:$D$6000,MATCH($C1029,Работы!$A$2:$A$6000,0)),"")</f>
        <v/>
      </c>
      <c r="B1029" t="str">
        <f>IFERROR(INDEX(Работы!$F$2:$F$6000,MATCH($C1029,Работы!$A$2:$A$6000,0)),"")</f>
        <v/>
      </c>
      <c r="C1029">
        <f>IFERROR(INDEX(Работы!$A$2:$A$6000,1028),"")</f>
        <v>0</v>
      </c>
      <c r="D1029" s="8" t="str">
        <f>IFERROR(INDEX(Работы!$B$2:$B$6000,MATCH($C1029,Работы!$A$2:$A$6000,0)),"")</f>
        <v/>
      </c>
      <c r="E1029" t="str">
        <f>IFERROR(INDEX(Работы!$C$2:$C$6000,MATCH($C1029,Работы!$A$2:$A$6000,0)),"")</f>
        <v/>
      </c>
      <c r="F1029" t="str">
        <f>IFERROR(INDEX(Работы!$G$2:$G$6000,MATCH($C1029,Работы!$A$2:$A$6000,0)),"")</f>
        <v/>
      </c>
      <c r="G1029" t="str">
        <f>IFERROR(INDEX(Работы!$K$2:$K$6000,MATCH($C1029,Работы!$A$2:$A$6000,0)),"")</f>
        <v/>
      </c>
      <c r="H1029" s="9"/>
      <c r="I1029" s="9"/>
      <c r="J1029" s="8" t="str">
        <f>IFERROR(INDEX(Материалы!$B$2:$B$9000,MATCH($I1029,Материалы!$A$2:$A$9000,0)),"")</f>
        <v/>
      </c>
      <c r="K1029" t="str">
        <f>IF($I1029="","",IF($F1029=IFERROR(INDEX(Материалы!$G$2:$G$9000,MATCH($I1029,Материалы!$A$2:$A$9000,0)),""),"OK","!! не та группа"))</f>
        <v/>
      </c>
      <c r="L1029" s="10">
        <f>IFERROR(INDEX(Работы!$H$2:$H$6000,MATCH($C1029,Работы!$A$2:$A$6000,0))*(1-ДисконтТендер),0)</f>
        <v>0</v>
      </c>
      <c r="M1029" s="10">
        <f>IF($I1029="",0,IFERROR(INDEX(Материалы!$I$2:$I$9000,MATCH($I1029,Материалы!$A$2:$A$9000,0))*IF(INDEX(Материалы!$J$2:$J$9000,MATCH($I1029,Материалы!$A$2:$A$9000,0))="USD",КурсUSD,IF(INDEX(Материалы!$J$2:$J$9000,MATCH($I1029,Материалы!$A$2:$A$9000,0))="EUR",КурсEUR,1))*INDEX(Материалы!$K$2:$K$9000,MATCH($I1029,Материалы!$A$2:$A$9000,0))*(1+IFERROR(INDEX(Работы!$I$2:$I$6000,MATCH($C1029,Работы!$A$2:$A$6000,0))/100,0))*(1-ДисконтТендер),0))</f>
        <v>0</v>
      </c>
      <c r="N1029" s="10">
        <f t="shared" si="48"/>
        <v>0</v>
      </c>
      <c r="O1029" s="10">
        <f t="shared" si="49"/>
        <v>0</v>
      </c>
      <c r="P1029" s="10">
        <f t="shared" si="50"/>
        <v>0</v>
      </c>
      <c r="Q1029" t="str">
        <f>IFERROR(INDEX(Работы!$J$2:$J$6000,MATCH($C1029,Работы!$A$2:$A$6000,0)),"")</f>
        <v/>
      </c>
      <c r="R1029" t="s">
        <v>92</v>
      </c>
      <c r="T1029" t="str">
        <f>IF(AND($P1029&gt;0,$R1029="да"),MAX($T$1:$T1028)+1,"")</f>
        <v/>
      </c>
    </row>
    <row r="1030" spans="1:20" x14ac:dyDescent="0.3">
      <c r="A1030" s="11" t="str">
        <f>IFERROR(INDEX(Работы!$D$2:$D$6000,MATCH($C1030,Работы!$A$2:$A$6000,0)),"")</f>
        <v/>
      </c>
      <c r="B1030" t="str">
        <f>IFERROR(INDEX(Работы!$F$2:$F$6000,MATCH($C1030,Работы!$A$2:$A$6000,0)),"")</f>
        <v/>
      </c>
      <c r="C1030">
        <f>IFERROR(INDEX(Работы!$A$2:$A$6000,1029),"")</f>
        <v>0</v>
      </c>
      <c r="D1030" s="8" t="str">
        <f>IFERROR(INDEX(Работы!$B$2:$B$6000,MATCH($C1030,Работы!$A$2:$A$6000,0)),"")</f>
        <v/>
      </c>
      <c r="E1030" t="str">
        <f>IFERROR(INDEX(Работы!$C$2:$C$6000,MATCH($C1030,Работы!$A$2:$A$6000,0)),"")</f>
        <v/>
      </c>
      <c r="F1030" t="str">
        <f>IFERROR(INDEX(Работы!$G$2:$G$6000,MATCH($C1030,Работы!$A$2:$A$6000,0)),"")</f>
        <v/>
      </c>
      <c r="G1030" t="str">
        <f>IFERROR(INDEX(Работы!$K$2:$K$6000,MATCH($C1030,Работы!$A$2:$A$6000,0)),"")</f>
        <v/>
      </c>
      <c r="H1030" s="9"/>
      <c r="I1030" s="9"/>
      <c r="J1030" s="8" t="str">
        <f>IFERROR(INDEX(Материалы!$B$2:$B$9000,MATCH($I1030,Материалы!$A$2:$A$9000,0)),"")</f>
        <v/>
      </c>
      <c r="K1030" t="str">
        <f>IF($I1030="","",IF($F1030=IFERROR(INDEX(Материалы!$G$2:$G$9000,MATCH($I1030,Материалы!$A$2:$A$9000,0)),""),"OK","!! не та группа"))</f>
        <v/>
      </c>
      <c r="L1030" s="10">
        <f>IFERROR(INDEX(Работы!$H$2:$H$6000,MATCH($C1030,Работы!$A$2:$A$6000,0))*(1-ДисконтТендер),0)</f>
        <v>0</v>
      </c>
      <c r="M1030" s="10">
        <f>IF($I1030="",0,IFERROR(INDEX(Материалы!$I$2:$I$9000,MATCH($I1030,Материалы!$A$2:$A$9000,0))*IF(INDEX(Материалы!$J$2:$J$9000,MATCH($I1030,Материалы!$A$2:$A$9000,0))="USD",КурсUSD,IF(INDEX(Материалы!$J$2:$J$9000,MATCH($I1030,Материалы!$A$2:$A$9000,0))="EUR",КурсEUR,1))*INDEX(Материалы!$K$2:$K$9000,MATCH($I1030,Материалы!$A$2:$A$9000,0))*(1+IFERROR(INDEX(Работы!$I$2:$I$6000,MATCH($C1030,Работы!$A$2:$A$6000,0))/100,0))*(1-ДисконтТендер),0))</f>
        <v>0</v>
      </c>
      <c r="N1030" s="10">
        <f t="shared" si="48"/>
        <v>0</v>
      </c>
      <c r="O1030" s="10">
        <f t="shared" si="49"/>
        <v>0</v>
      </c>
      <c r="P1030" s="10">
        <f t="shared" si="50"/>
        <v>0</v>
      </c>
      <c r="Q1030" t="str">
        <f>IFERROR(INDEX(Работы!$J$2:$J$6000,MATCH($C1030,Работы!$A$2:$A$6000,0)),"")</f>
        <v/>
      </c>
      <c r="R1030" t="s">
        <v>92</v>
      </c>
      <c r="T1030" t="str">
        <f>IF(AND($P1030&gt;0,$R1030="да"),MAX($T$1:$T1029)+1,"")</f>
        <v/>
      </c>
    </row>
    <row r="1031" spans="1:20" x14ac:dyDescent="0.3">
      <c r="A1031" s="11" t="str">
        <f>IFERROR(INDEX(Работы!$D$2:$D$6000,MATCH($C1031,Работы!$A$2:$A$6000,0)),"")</f>
        <v/>
      </c>
      <c r="B1031" t="str">
        <f>IFERROR(INDEX(Работы!$F$2:$F$6000,MATCH($C1031,Работы!$A$2:$A$6000,0)),"")</f>
        <v/>
      </c>
      <c r="C1031">
        <f>IFERROR(INDEX(Работы!$A$2:$A$6000,1030),"")</f>
        <v>0</v>
      </c>
      <c r="D1031" s="8" t="str">
        <f>IFERROR(INDEX(Работы!$B$2:$B$6000,MATCH($C1031,Работы!$A$2:$A$6000,0)),"")</f>
        <v/>
      </c>
      <c r="E1031" t="str">
        <f>IFERROR(INDEX(Работы!$C$2:$C$6000,MATCH($C1031,Работы!$A$2:$A$6000,0)),"")</f>
        <v/>
      </c>
      <c r="F1031" t="str">
        <f>IFERROR(INDEX(Работы!$G$2:$G$6000,MATCH($C1031,Работы!$A$2:$A$6000,0)),"")</f>
        <v/>
      </c>
      <c r="G1031" t="str">
        <f>IFERROR(INDEX(Работы!$K$2:$K$6000,MATCH($C1031,Работы!$A$2:$A$6000,0)),"")</f>
        <v/>
      </c>
      <c r="H1031" s="9"/>
      <c r="I1031" s="9"/>
      <c r="J1031" s="8" t="str">
        <f>IFERROR(INDEX(Материалы!$B$2:$B$9000,MATCH($I1031,Материалы!$A$2:$A$9000,0)),"")</f>
        <v/>
      </c>
      <c r="K1031" t="str">
        <f>IF($I1031="","",IF($F1031=IFERROR(INDEX(Материалы!$G$2:$G$9000,MATCH($I1031,Материалы!$A$2:$A$9000,0)),""),"OK","!! не та группа"))</f>
        <v/>
      </c>
      <c r="L1031" s="10">
        <f>IFERROR(INDEX(Работы!$H$2:$H$6000,MATCH($C1031,Работы!$A$2:$A$6000,0))*(1-ДисконтТендер),0)</f>
        <v>0</v>
      </c>
      <c r="M1031" s="10">
        <f>IF($I1031="",0,IFERROR(INDEX(Материалы!$I$2:$I$9000,MATCH($I1031,Материалы!$A$2:$A$9000,0))*IF(INDEX(Материалы!$J$2:$J$9000,MATCH($I1031,Материалы!$A$2:$A$9000,0))="USD",КурсUSD,IF(INDEX(Материалы!$J$2:$J$9000,MATCH($I1031,Материалы!$A$2:$A$9000,0))="EUR",КурсEUR,1))*INDEX(Материалы!$K$2:$K$9000,MATCH($I1031,Материалы!$A$2:$A$9000,0))*(1+IFERROR(INDEX(Работы!$I$2:$I$6000,MATCH($C1031,Работы!$A$2:$A$6000,0))/100,0))*(1-ДисконтТендер),0))</f>
        <v>0</v>
      </c>
      <c r="N1031" s="10">
        <f t="shared" si="48"/>
        <v>0</v>
      </c>
      <c r="O1031" s="10">
        <f t="shared" si="49"/>
        <v>0</v>
      </c>
      <c r="P1031" s="10">
        <f t="shared" si="50"/>
        <v>0</v>
      </c>
      <c r="Q1031" t="str">
        <f>IFERROR(INDEX(Работы!$J$2:$J$6000,MATCH($C1031,Работы!$A$2:$A$6000,0)),"")</f>
        <v/>
      </c>
      <c r="R1031" t="s">
        <v>92</v>
      </c>
      <c r="T1031" t="str">
        <f>IF(AND($P1031&gt;0,$R1031="да"),MAX($T$1:$T1030)+1,"")</f>
        <v/>
      </c>
    </row>
    <row r="1032" spans="1:20" x14ac:dyDescent="0.3">
      <c r="A1032" s="11" t="str">
        <f>IFERROR(INDEX(Работы!$D$2:$D$6000,MATCH($C1032,Работы!$A$2:$A$6000,0)),"")</f>
        <v/>
      </c>
      <c r="B1032" t="str">
        <f>IFERROR(INDEX(Работы!$F$2:$F$6000,MATCH($C1032,Работы!$A$2:$A$6000,0)),"")</f>
        <v/>
      </c>
      <c r="C1032">
        <f>IFERROR(INDEX(Работы!$A$2:$A$6000,1031),"")</f>
        <v>0</v>
      </c>
      <c r="D1032" s="8" t="str">
        <f>IFERROR(INDEX(Работы!$B$2:$B$6000,MATCH($C1032,Работы!$A$2:$A$6000,0)),"")</f>
        <v/>
      </c>
      <c r="E1032" t="str">
        <f>IFERROR(INDEX(Работы!$C$2:$C$6000,MATCH($C1032,Работы!$A$2:$A$6000,0)),"")</f>
        <v/>
      </c>
      <c r="F1032" t="str">
        <f>IFERROR(INDEX(Работы!$G$2:$G$6000,MATCH($C1032,Работы!$A$2:$A$6000,0)),"")</f>
        <v/>
      </c>
      <c r="G1032" t="str">
        <f>IFERROR(INDEX(Работы!$K$2:$K$6000,MATCH($C1032,Работы!$A$2:$A$6000,0)),"")</f>
        <v/>
      </c>
      <c r="H1032" s="9"/>
      <c r="I1032" s="9"/>
      <c r="J1032" s="8" t="str">
        <f>IFERROR(INDEX(Материалы!$B$2:$B$9000,MATCH($I1032,Материалы!$A$2:$A$9000,0)),"")</f>
        <v/>
      </c>
      <c r="K1032" t="str">
        <f>IF($I1032="","",IF($F1032=IFERROR(INDEX(Материалы!$G$2:$G$9000,MATCH($I1032,Материалы!$A$2:$A$9000,0)),""),"OK","!! не та группа"))</f>
        <v/>
      </c>
      <c r="L1032" s="10">
        <f>IFERROR(INDEX(Работы!$H$2:$H$6000,MATCH($C1032,Работы!$A$2:$A$6000,0))*(1-ДисконтТендер),0)</f>
        <v>0</v>
      </c>
      <c r="M1032" s="10">
        <f>IF($I1032="",0,IFERROR(INDEX(Материалы!$I$2:$I$9000,MATCH($I1032,Материалы!$A$2:$A$9000,0))*IF(INDEX(Материалы!$J$2:$J$9000,MATCH($I1032,Материалы!$A$2:$A$9000,0))="USD",КурсUSD,IF(INDEX(Материалы!$J$2:$J$9000,MATCH($I1032,Материалы!$A$2:$A$9000,0))="EUR",КурсEUR,1))*INDEX(Материалы!$K$2:$K$9000,MATCH($I1032,Материалы!$A$2:$A$9000,0))*(1+IFERROR(INDEX(Работы!$I$2:$I$6000,MATCH($C1032,Работы!$A$2:$A$6000,0))/100,0))*(1-ДисконтТендер),0))</f>
        <v>0</v>
      </c>
      <c r="N1032" s="10">
        <f t="shared" si="48"/>
        <v>0</v>
      </c>
      <c r="O1032" s="10">
        <f t="shared" si="49"/>
        <v>0</v>
      </c>
      <c r="P1032" s="10">
        <f t="shared" si="50"/>
        <v>0</v>
      </c>
      <c r="Q1032" t="str">
        <f>IFERROR(INDEX(Работы!$J$2:$J$6000,MATCH($C1032,Работы!$A$2:$A$6000,0)),"")</f>
        <v/>
      </c>
      <c r="R1032" t="s">
        <v>92</v>
      </c>
      <c r="T1032" t="str">
        <f>IF(AND($P1032&gt;0,$R1032="да"),MAX($T$1:$T1031)+1,"")</f>
        <v/>
      </c>
    </row>
    <row r="1033" spans="1:20" x14ac:dyDescent="0.3">
      <c r="A1033" s="11" t="str">
        <f>IFERROR(INDEX(Работы!$D$2:$D$6000,MATCH($C1033,Работы!$A$2:$A$6000,0)),"")</f>
        <v/>
      </c>
      <c r="B1033" t="str">
        <f>IFERROR(INDEX(Работы!$F$2:$F$6000,MATCH($C1033,Работы!$A$2:$A$6000,0)),"")</f>
        <v/>
      </c>
      <c r="C1033">
        <f>IFERROR(INDEX(Работы!$A$2:$A$6000,1032),"")</f>
        <v>0</v>
      </c>
      <c r="D1033" s="8" t="str">
        <f>IFERROR(INDEX(Работы!$B$2:$B$6000,MATCH($C1033,Работы!$A$2:$A$6000,0)),"")</f>
        <v/>
      </c>
      <c r="E1033" t="str">
        <f>IFERROR(INDEX(Работы!$C$2:$C$6000,MATCH($C1033,Работы!$A$2:$A$6000,0)),"")</f>
        <v/>
      </c>
      <c r="F1033" t="str">
        <f>IFERROR(INDEX(Работы!$G$2:$G$6000,MATCH($C1033,Работы!$A$2:$A$6000,0)),"")</f>
        <v/>
      </c>
      <c r="G1033" t="str">
        <f>IFERROR(INDEX(Работы!$K$2:$K$6000,MATCH($C1033,Работы!$A$2:$A$6000,0)),"")</f>
        <v/>
      </c>
      <c r="H1033" s="9"/>
      <c r="I1033" s="9"/>
      <c r="J1033" s="8" t="str">
        <f>IFERROR(INDEX(Материалы!$B$2:$B$9000,MATCH($I1033,Материалы!$A$2:$A$9000,0)),"")</f>
        <v/>
      </c>
      <c r="K1033" t="str">
        <f>IF($I1033="","",IF($F1033=IFERROR(INDEX(Материалы!$G$2:$G$9000,MATCH($I1033,Материалы!$A$2:$A$9000,0)),""),"OK","!! не та группа"))</f>
        <v/>
      </c>
      <c r="L1033" s="10">
        <f>IFERROR(INDEX(Работы!$H$2:$H$6000,MATCH($C1033,Работы!$A$2:$A$6000,0))*(1-ДисконтТендер),0)</f>
        <v>0</v>
      </c>
      <c r="M1033" s="10">
        <f>IF($I1033="",0,IFERROR(INDEX(Материалы!$I$2:$I$9000,MATCH($I1033,Материалы!$A$2:$A$9000,0))*IF(INDEX(Материалы!$J$2:$J$9000,MATCH($I1033,Материалы!$A$2:$A$9000,0))="USD",КурсUSD,IF(INDEX(Материалы!$J$2:$J$9000,MATCH($I1033,Материалы!$A$2:$A$9000,0))="EUR",КурсEUR,1))*INDEX(Материалы!$K$2:$K$9000,MATCH($I1033,Материалы!$A$2:$A$9000,0))*(1+IFERROR(INDEX(Работы!$I$2:$I$6000,MATCH($C1033,Работы!$A$2:$A$6000,0))/100,0))*(1-ДисконтТендер),0))</f>
        <v>0</v>
      </c>
      <c r="N1033" s="10">
        <f t="shared" si="48"/>
        <v>0</v>
      </c>
      <c r="O1033" s="10">
        <f t="shared" si="49"/>
        <v>0</v>
      </c>
      <c r="P1033" s="10">
        <f t="shared" si="50"/>
        <v>0</v>
      </c>
      <c r="Q1033" t="str">
        <f>IFERROR(INDEX(Работы!$J$2:$J$6000,MATCH($C1033,Работы!$A$2:$A$6000,0)),"")</f>
        <v/>
      </c>
      <c r="R1033" t="s">
        <v>92</v>
      </c>
      <c r="T1033" t="str">
        <f>IF(AND($P1033&gt;0,$R1033="да"),MAX($T$1:$T1032)+1,"")</f>
        <v/>
      </c>
    </row>
    <row r="1034" spans="1:20" x14ac:dyDescent="0.3">
      <c r="A1034" s="11" t="str">
        <f>IFERROR(INDEX(Работы!$D$2:$D$6000,MATCH($C1034,Работы!$A$2:$A$6000,0)),"")</f>
        <v/>
      </c>
      <c r="B1034" t="str">
        <f>IFERROR(INDEX(Работы!$F$2:$F$6000,MATCH($C1034,Работы!$A$2:$A$6000,0)),"")</f>
        <v/>
      </c>
      <c r="C1034">
        <f>IFERROR(INDEX(Работы!$A$2:$A$6000,1033),"")</f>
        <v>0</v>
      </c>
      <c r="D1034" s="8" t="str">
        <f>IFERROR(INDEX(Работы!$B$2:$B$6000,MATCH($C1034,Работы!$A$2:$A$6000,0)),"")</f>
        <v/>
      </c>
      <c r="E1034" t="str">
        <f>IFERROR(INDEX(Работы!$C$2:$C$6000,MATCH($C1034,Работы!$A$2:$A$6000,0)),"")</f>
        <v/>
      </c>
      <c r="F1034" t="str">
        <f>IFERROR(INDEX(Работы!$G$2:$G$6000,MATCH($C1034,Работы!$A$2:$A$6000,0)),"")</f>
        <v/>
      </c>
      <c r="G1034" t="str">
        <f>IFERROR(INDEX(Работы!$K$2:$K$6000,MATCH($C1034,Работы!$A$2:$A$6000,0)),"")</f>
        <v/>
      </c>
      <c r="H1034" s="9"/>
      <c r="I1034" s="9"/>
      <c r="J1034" s="8" t="str">
        <f>IFERROR(INDEX(Материалы!$B$2:$B$9000,MATCH($I1034,Материалы!$A$2:$A$9000,0)),"")</f>
        <v/>
      </c>
      <c r="K1034" t="str">
        <f>IF($I1034="","",IF($F1034=IFERROR(INDEX(Материалы!$G$2:$G$9000,MATCH($I1034,Материалы!$A$2:$A$9000,0)),""),"OK","!! не та группа"))</f>
        <v/>
      </c>
      <c r="L1034" s="10">
        <f>IFERROR(INDEX(Работы!$H$2:$H$6000,MATCH($C1034,Работы!$A$2:$A$6000,0))*(1-ДисконтТендер),0)</f>
        <v>0</v>
      </c>
      <c r="M1034" s="10">
        <f>IF($I1034="",0,IFERROR(INDEX(Материалы!$I$2:$I$9000,MATCH($I1034,Материалы!$A$2:$A$9000,0))*IF(INDEX(Материалы!$J$2:$J$9000,MATCH($I1034,Материалы!$A$2:$A$9000,0))="USD",КурсUSD,IF(INDEX(Материалы!$J$2:$J$9000,MATCH($I1034,Материалы!$A$2:$A$9000,0))="EUR",КурсEUR,1))*INDEX(Материалы!$K$2:$K$9000,MATCH($I1034,Материалы!$A$2:$A$9000,0))*(1+IFERROR(INDEX(Работы!$I$2:$I$6000,MATCH($C1034,Работы!$A$2:$A$6000,0))/100,0))*(1-ДисконтТендер),0))</f>
        <v>0</v>
      </c>
      <c r="N1034" s="10">
        <f t="shared" si="48"/>
        <v>0</v>
      </c>
      <c r="O1034" s="10">
        <f t="shared" si="49"/>
        <v>0</v>
      </c>
      <c r="P1034" s="10">
        <f t="shared" si="50"/>
        <v>0</v>
      </c>
      <c r="Q1034" t="str">
        <f>IFERROR(INDEX(Работы!$J$2:$J$6000,MATCH($C1034,Работы!$A$2:$A$6000,0)),"")</f>
        <v/>
      </c>
      <c r="R1034" t="s">
        <v>92</v>
      </c>
      <c r="T1034" t="str">
        <f>IF(AND($P1034&gt;0,$R1034="да"),MAX($T$1:$T1033)+1,"")</f>
        <v/>
      </c>
    </row>
    <row r="1035" spans="1:20" x14ac:dyDescent="0.3">
      <c r="A1035" s="11" t="str">
        <f>IFERROR(INDEX(Работы!$D$2:$D$6000,MATCH($C1035,Работы!$A$2:$A$6000,0)),"")</f>
        <v/>
      </c>
      <c r="B1035" t="str">
        <f>IFERROR(INDEX(Работы!$F$2:$F$6000,MATCH($C1035,Работы!$A$2:$A$6000,0)),"")</f>
        <v/>
      </c>
      <c r="C1035">
        <f>IFERROR(INDEX(Работы!$A$2:$A$6000,1034),"")</f>
        <v>0</v>
      </c>
      <c r="D1035" s="8" t="str">
        <f>IFERROR(INDEX(Работы!$B$2:$B$6000,MATCH($C1035,Работы!$A$2:$A$6000,0)),"")</f>
        <v/>
      </c>
      <c r="E1035" t="str">
        <f>IFERROR(INDEX(Работы!$C$2:$C$6000,MATCH($C1035,Работы!$A$2:$A$6000,0)),"")</f>
        <v/>
      </c>
      <c r="F1035" t="str">
        <f>IFERROR(INDEX(Работы!$G$2:$G$6000,MATCH($C1035,Работы!$A$2:$A$6000,0)),"")</f>
        <v/>
      </c>
      <c r="G1035" t="str">
        <f>IFERROR(INDEX(Работы!$K$2:$K$6000,MATCH($C1035,Работы!$A$2:$A$6000,0)),"")</f>
        <v/>
      </c>
      <c r="H1035" s="9"/>
      <c r="I1035" s="9"/>
      <c r="J1035" s="8" t="str">
        <f>IFERROR(INDEX(Материалы!$B$2:$B$9000,MATCH($I1035,Материалы!$A$2:$A$9000,0)),"")</f>
        <v/>
      </c>
      <c r="K1035" t="str">
        <f>IF($I1035="","",IF($F1035=IFERROR(INDEX(Материалы!$G$2:$G$9000,MATCH($I1035,Материалы!$A$2:$A$9000,0)),""),"OK","!! не та группа"))</f>
        <v/>
      </c>
      <c r="L1035" s="10">
        <f>IFERROR(INDEX(Работы!$H$2:$H$6000,MATCH($C1035,Работы!$A$2:$A$6000,0))*(1-ДисконтТендер),0)</f>
        <v>0</v>
      </c>
      <c r="M1035" s="10">
        <f>IF($I1035="",0,IFERROR(INDEX(Материалы!$I$2:$I$9000,MATCH($I1035,Материалы!$A$2:$A$9000,0))*IF(INDEX(Материалы!$J$2:$J$9000,MATCH($I1035,Материалы!$A$2:$A$9000,0))="USD",КурсUSD,IF(INDEX(Материалы!$J$2:$J$9000,MATCH($I1035,Материалы!$A$2:$A$9000,0))="EUR",КурсEUR,1))*INDEX(Материалы!$K$2:$K$9000,MATCH($I1035,Материалы!$A$2:$A$9000,0))*(1+IFERROR(INDEX(Работы!$I$2:$I$6000,MATCH($C1035,Работы!$A$2:$A$6000,0))/100,0))*(1-ДисконтТендер),0))</f>
        <v>0</v>
      </c>
      <c r="N1035" s="10">
        <f t="shared" si="48"/>
        <v>0</v>
      </c>
      <c r="O1035" s="10">
        <f t="shared" si="49"/>
        <v>0</v>
      </c>
      <c r="P1035" s="10">
        <f t="shared" si="50"/>
        <v>0</v>
      </c>
      <c r="Q1035" t="str">
        <f>IFERROR(INDEX(Работы!$J$2:$J$6000,MATCH($C1035,Работы!$A$2:$A$6000,0)),"")</f>
        <v/>
      </c>
      <c r="R1035" t="s">
        <v>92</v>
      </c>
      <c r="T1035" t="str">
        <f>IF(AND($P1035&gt;0,$R1035="да"),MAX($T$1:$T1034)+1,"")</f>
        <v/>
      </c>
    </row>
    <row r="1036" spans="1:20" x14ac:dyDescent="0.3">
      <c r="A1036" s="11" t="str">
        <f>IFERROR(INDEX(Работы!$D$2:$D$6000,MATCH($C1036,Работы!$A$2:$A$6000,0)),"")</f>
        <v/>
      </c>
      <c r="B1036" t="str">
        <f>IFERROR(INDEX(Работы!$F$2:$F$6000,MATCH($C1036,Работы!$A$2:$A$6000,0)),"")</f>
        <v/>
      </c>
      <c r="C1036">
        <f>IFERROR(INDEX(Работы!$A$2:$A$6000,1035),"")</f>
        <v>0</v>
      </c>
      <c r="D1036" s="8" t="str">
        <f>IFERROR(INDEX(Работы!$B$2:$B$6000,MATCH($C1036,Работы!$A$2:$A$6000,0)),"")</f>
        <v/>
      </c>
      <c r="E1036" t="str">
        <f>IFERROR(INDEX(Работы!$C$2:$C$6000,MATCH($C1036,Работы!$A$2:$A$6000,0)),"")</f>
        <v/>
      </c>
      <c r="F1036" t="str">
        <f>IFERROR(INDEX(Работы!$G$2:$G$6000,MATCH($C1036,Работы!$A$2:$A$6000,0)),"")</f>
        <v/>
      </c>
      <c r="G1036" t="str">
        <f>IFERROR(INDEX(Работы!$K$2:$K$6000,MATCH($C1036,Работы!$A$2:$A$6000,0)),"")</f>
        <v/>
      </c>
      <c r="H1036" s="9"/>
      <c r="I1036" s="9"/>
      <c r="J1036" s="8" t="str">
        <f>IFERROR(INDEX(Материалы!$B$2:$B$9000,MATCH($I1036,Материалы!$A$2:$A$9000,0)),"")</f>
        <v/>
      </c>
      <c r="K1036" t="str">
        <f>IF($I1036="","",IF($F1036=IFERROR(INDEX(Материалы!$G$2:$G$9000,MATCH($I1036,Материалы!$A$2:$A$9000,0)),""),"OK","!! не та группа"))</f>
        <v/>
      </c>
      <c r="L1036" s="10">
        <f>IFERROR(INDEX(Работы!$H$2:$H$6000,MATCH($C1036,Работы!$A$2:$A$6000,0))*(1-ДисконтТендер),0)</f>
        <v>0</v>
      </c>
      <c r="M1036" s="10">
        <f>IF($I1036="",0,IFERROR(INDEX(Материалы!$I$2:$I$9000,MATCH($I1036,Материалы!$A$2:$A$9000,0))*IF(INDEX(Материалы!$J$2:$J$9000,MATCH($I1036,Материалы!$A$2:$A$9000,0))="USD",КурсUSD,IF(INDEX(Материалы!$J$2:$J$9000,MATCH($I1036,Материалы!$A$2:$A$9000,0))="EUR",КурсEUR,1))*INDEX(Материалы!$K$2:$K$9000,MATCH($I1036,Материалы!$A$2:$A$9000,0))*(1+IFERROR(INDEX(Работы!$I$2:$I$6000,MATCH($C1036,Работы!$A$2:$A$6000,0))/100,0))*(1-ДисконтТендер),0))</f>
        <v>0</v>
      </c>
      <c r="N1036" s="10">
        <f t="shared" si="48"/>
        <v>0</v>
      </c>
      <c r="O1036" s="10">
        <f t="shared" si="49"/>
        <v>0</v>
      </c>
      <c r="P1036" s="10">
        <f t="shared" si="50"/>
        <v>0</v>
      </c>
      <c r="Q1036" t="str">
        <f>IFERROR(INDEX(Работы!$J$2:$J$6000,MATCH($C1036,Работы!$A$2:$A$6000,0)),"")</f>
        <v/>
      </c>
      <c r="R1036" t="s">
        <v>92</v>
      </c>
      <c r="T1036" t="str">
        <f>IF(AND($P1036&gt;0,$R1036="да"),MAX($T$1:$T1035)+1,"")</f>
        <v/>
      </c>
    </row>
    <row r="1037" spans="1:20" x14ac:dyDescent="0.3">
      <c r="A1037" s="11" t="str">
        <f>IFERROR(INDEX(Работы!$D$2:$D$6000,MATCH($C1037,Работы!$A$2:$A$6000,0)),"")</f>
        <v/>
      </c>
      <c r="B1037" t="str">
        <f>IFERROR(INDEX(Работы!$F$2:$F$6000,MATCH($C1037,Работы!$A$2:$A$6000,0)),"")</f>
        <v/>
      </c>
      <c r="C1037">
        <f>IFERROR(INDEX(Работы!$A$2:$A$6000,1036),"")</f>
        <v>0</v>
      </c>
      <c r="D1037" s="8" t="str">
        <f>IFERROR(INDEX(Работы!$B$2:$B$6000,MATCH($C1037,Работы!$A$2:$A$6000,0)),"")</f>
        <v/>
      </c>
      <c r="E1037" t="str">
        <f>IFERROR(INDEX(Работы!$C$2:$C$6000,MATCH($C1037,Работы!$A$2:$A$6000,0)),"")</f>
        <v/>
      </c>
      <c r="F1037" t="str">
        <f>IFERROR(INDEX(Работы!$G$2:$G$6000,MATCH($C1037,Работы!$A$2:$A$6000,0)),"")</f>
        <v/>
      </c>
      <c r="G1037" t="str">
        <f>IFERROR(INDEX(Работы!$K$2:$K$6000,MATCH($C1037,Работы!$A$2:$A$6000,0)),"")</f>
        <v/>
      </c>
      <c r="H1037" s="9"/>
      <c r="I1037" s="9"/>
      <c r="J1037" s="8" t="str">
        <f>IFERROR(INDEX(Материалы!$B$2:$B$9000,MATCH($I1037,Материалы!$A$2:$A$9000,0)),"")</f>
        <v/>
      </c>
      <c r="K1037" t="str">
        <f>IF($I1037="","",IF($F1037=IFERROR(INDEX(Материалы!$G$2:$G$9000,MATCH($I1037,Материалы!$A$2:$A$9000,0)),""),"OK","!! не та группа"))</f>
        <v/>
      </c>
      <c r="L1037" s="10">
        <f>IFERROR(INDEX(Работы!$H$2:$H$6000,MATCH($C1037,Работы!$A$2:$A$6000,0))*(1-ДисконтТендер),0)</f>
        <v>0</v>
      </c>
      <c r="M1037" s="10">
        <f>IF($I1037="",0,IFERROR(INDEX(Материалы!$I$2:$I$9000,MATCH($I1037,Материалы!$A$2:$A$9000,0))*IF(INDEX(Материалы!$J$2:$J$9000,MATCH($I1037,Материалы!$A$2:$A$9000,0))="USD",КурсUSD,IF(INDEX(Материалы!$J$2:$J$9000,MATCH($I1037,Материалы!$A$2:$A$9000,0))="EUR",КурсEUR,1))*INDEX(Материалы!$K$2:$K$9000,MATCH($I1037,Материалы!$A$2:$A$9000,0))*(1+IFERROR(INDEX(Работы!$I$2:$I$6000,MATCH($C1037,Работы!$A$2:$A$6000,0))/100,0))*(1-ДисконтТендер),0))</f>
        <v>0</v>
      </c>
      <c r="N1037" s="10">
        <f t="shared" si="48"/>
        <v>0</v>
      </c>
      <c r="O1037" s="10">
        <f t="shared" si="49"/>
        <v>0</v>
      </c>
      <c r="P1037" s="10">
        <f t="shared" si="50"/>
        <v>0</v>
      </c>
      <c r="Q1037" t="str">
        <f>IFERROR(INDEX(Работы!$J$2:$J$6000,MATCH($C1037,Работы!$A$2:$A$6000,0)),"")</f>
        <v/>
      </c>
      <c r="R1037" t="s">
        <v>92</v>
      </c>
      <c r="T1037" t="str">
        <f>IF(AND($P1037&gt;0,$R1037="да"),MAX($T$1:$T1036)+1,"")</f>
        <v/>
      </c>
    </row>
    <row r="1038" spans="1:20" x14ac:dyDescent="0.3">
      <c r="A1038" s="11" t="str">
        <f>IFERROR(INDEX(Работы!$D$2:$D$6000,MATCH($C1038,Работы!$A$2:$A$6000,0)),"")</f>
        <v/>
      </c>
      <c r="B1038" t="str">
        <f>IFERROR(INDEX(Работы!$F$2:$F$6000,MATCH($C1038,Работы!$A$2:$A$6000,0)),"")</f>
        <v/>
      </c>
      <c r="C1038">
        <f>IFERROR(INDEX(Работы!$A$2:$A$6000,1037),"")</f>
        <v>0</v>
      </c>
      <c r="D1038" s="8" t="str">
        <f>IFERROR(INDEX(Работы!$B$2:$B$6000,MATCH($C1038,Работы!$A$2:$A$6000,0)),"")</f>
        <v/>
      </c>
      <c r="E1038" t="str">
        <f>IFERROR(INDEX(Работы!$C$2:$C$6000,MATCH($C1038,Работы!$A$2:$A$6000,0)),"")</f>
        <v/>
      </c>
      <c r="F1038" t="str">
        <f>IFERROR(INDEX(Работы!$G$2:$G$6000,MATCH($C1038,Работы!$A$2:$A$6000,0)),"")</f>
        <v/>
      </c>
      <c r="G1038" t="str">
        <f>IFERROR(INDEX(Работы!$K$2:$K$6000,MATCH($C1038,Работы!$A$2:$A$6000,0)),"")</f>
        <v/>
      </c>
      <c r="H1038" s="9"/>
      <c r="I1038" s="9"/>
      <c r="J1038" s="8" t="str">
        <f>IFERROR(INDEX(Материалы!$B$2:$B$9000,MATCH($I1038,Материалы!$A$2:$A$9000,0)),"")</f>
        <v/>
      </c>
      <c r="K1038" t="str">
        <f>IF($I1038="","",IF($F1038=IFERROR(INDEX(Материалы!$G$2:$G$9000,MATCH($I1038,Материалы!$A$2:$A$9000,0)),""),"OK","!! не та группа"))</f>
        <v/>
      </c>
      <c r="L1038" s="10">
        <f>IFERROR(INDEX(Работы!$H$2:$H$6000,MATCH($C1038,Работы!$A$2:$A$6000,0))*(1-ДисконтТендер),0)</f>
        <v>0</v>
      </c>
      <c r="M1038" s="10">
        <f>IF($I1038="",0,IFERROR(INDEX(Материалы!$I$2:$I$9000,MATCH($I1038,Материалы!$A$2:$A$9000,0))*IF(INDEX(Материалы!$J$2:$J$9000,MATCH($I1038,Материалы!$A$2:$A$9000,0))="USD",КурсUSD,IF(INDEX(Материалы!$J$2:$J$9000,MATCH($I1038,Материалы!$A$2:$A$9000,0))="EUR",КурсEUR,1))*INDEX(Материалы!$K$2:$K$9000,MATCH($I1038,Материалы!$A$2:$A$9000,0))*(1+IFERROR(INDEX(Работы!$I$2:$I$6000,MATCH($C1038,Работы!$A$2:$A$6000,0))/100,0))*(1-ДисконтТендер),0))</f>
        <v>0</v>
      </c>
      <c r="N1038" s="10">
        <f t="shared" si="48"/>
        <v>0</v>
      </c>
      <c r="O1038" s="10">
        <f t="shared" si="49"/>
        <v>0</v>
      </c>
      <c r="P1038" s="10">
        <f t="shared" si="50"/>
        <v>0</v>
      </c>
      <c r="Q1038" t="str">
        <f>IFERROR(INDEX(Работы!$J$2:$J$6000,MATCH($C1038,Работы!$A$2:$A$6000,0)),"")</f>
        <v/>
      </c>
      <c r="R1038" t="s">
        <v>92</v>
      </c>
      <c r="T1038" t="str">
        <f>IF(AND($P1038&gt;0,$R1038="да"),MAX($T$1:$T1037)+1,"")</f>
        <v/>
      </c>
    </row>
    <row r="1039" spans="1:20" x14ac:dyDescent="0.3">
      <c r="A1039" s="11" t="str">
        <f>IFERROR(INDEX(Работы!$D$2:$D$6000,MATCH($C1039,Работы!$A$2:$A$6000,0)),"")</f>
        <v/>
      </c>
      <c r="B1039" t="str">
        <f>IFERROR(INDEX(Работы!$F$2:$F$6000,MATCH($C1039,Работы!$A$2:$A$6000,0)),"")</f>
        <v/>
      </c>
      <c r="C1039">
        <f>IFERROR(INDEX(Работы!$A$2:$A$6000,1038),"")</f>
        <v>0</v>
      </c>
      <c r="D1039" s="8" t="str">
        <f>IFERROR(INDEX(Работы!$B$2:$B$6000,MATCH($C1039,Работы!$A$2:$A$6000,0)),"")</f>
        <v/>
      </c>
      <c r="E1039" t="str">
        <f>IFERROR(INDEX(Работы!$C$2:$C$6000,MATCH($C1039,Работы!$A$2:$A$6000,0)),"")</f>
        <v/>
      </c>
      <c r="F1039" t="str">
        <f>IFERROR(INDEX(Работы!$G$2:$G$6000,MATCH($C1039,Работы!$A$2:$A$6000,0)),"")</f>
        <v/>
      </c>
      <c r="G1039" t="str">
        <f>IFERROR(INDEX(Работы!$K$2:$K$6000,MATCH($C1039,Работы!$A$2:$A$6000,0)),"")</f>
        <v/>
      </c>
      <c r="H1039" s="9"/>
      <c r="I1039" s="9"/>
      <c r="J1039" s="8" t="str">
        <f>IFERROR(INDEX(Материалы!$B$2:$B$9000,MATCH($I1039,Материалы!$A$2:$A$9000,0)),"")</f>
        <v/>
      </c>
      <c r="K1039" t="str">
        <f>IF($I1039="","",IF($F1039=IFERROR(INDEX(Материалы!$G$2:$G$9000,MATCH($I1039,Материалы!$A$2:$A$9000,0)),""),"OK","!! не та группа"))</f>
        <v/>
      </c>
      <c r="L1039" s="10">
        <f>IFERROR(INDEX(Работы!$H$2:$H$6000,MATCH($C1039,Работы!$A$2:$A$6000,0))*(1-ДисконтТендер),0)</f>
        <v>0</v>
      </c>
      <c r="M1039" s="10">
        <f>IF($I1039="",0,IFERROR(INDEX(Материалы!$I$2:$I$9000,MATCH($I1039,Материалы!$A$2:$A$9000,0))*IF(INDEX(Материалы!$J$2:$J$9000,MATCH($I1039,Материалы!$A$2:$A$9000,0))="USD",КурсUSD,IF(INDEX(Материалы!$J$2:$J$9000,MATCH($I1039,Материалы!$A$2:$A$9000,0))="EUR",КурсEUR,1))*INDEX(Материалы!$K$2:$K$9000,MATCH($I1039,Материалы!$A$2:$A$9000,0))*(1+IFERROR(INDEX(Работы!$I$2:$I$6000,MATCH($C1039,Работы!$A$2:$A$6000,0))/100,0))*(1-ДисконтТендер),0))</f>
        <v>0</v>
      </c>
      <c r="N1039" s="10">
        <f t="shared" si="48"/>
        <v>0</v>
      </c>
      <c r="O1039" s="10">
        <f t="shared" si="49"/>
        <v>0</v>
      </c>
      <c r="P1039" s="10">
        <f t="shared" si="50"/>
        <v>0</v>
      </c>
      <c r="Q1039" t="str">
        <f>IFERROR(INDEX(Работы!$J$2:$J$6000,MATCH($C1039,Работы!$A$2:$A$6000,0)),"")</f>
        <v/>
      </c>
      <c r="R1039" t="s">
        <v>92</v>
      </c>
      <c r="T1039" t="str">
        <f>IF(AND($P1039&gt;0,$R1039="да"),MAX($T$1:$T1038)+1,"")</f>
        <v/>
      </c>
    </row>
    <row r="1040" spans="1:20" x14ac:dyDescent="0.3">
      <c r="A1040" s="11" t="str">
        <f>IFERROR(INDEX(Работы!$D$2:$D$6000,MATCH($C1040,Работы!$A$2:$A$6000,0)),"")</f>
        <v/>
      </c>
      <c r="B1040" t="str">
        <f>IFERROR(INDEX(Работы!$F$2:$F$6000,MATCH($C1040,Работы!$A$2:$A$6000,0)),"")</f>
        <v/>
      </c>
      <c r="C1040">
        <f>IFERROR(INDEX(Работы!$A$2:$A$6000,1039),"")</f>
        <v>0</v>
      </c>
      <c r="D1040" s="8" t="str">
        <f>IFERROR(INDEX(Работы!$B$2:$B$6000,MATCH($C1040,Работы!$A$2:$A$6000,0)),"")</f>
        <v/>
      </c>
      <c r="E1040" t="str">
        <f>IFERROR(INDEX(Работы!$C$2:$C$6000,MATCH($C1040,Работы!$A$2:$A$6000,0)),"")</f>
        <v/>
      </c>
      <c r="F1040" t="str">
        <f>IFERROR(INDEX(Работы!$G$2:$G$6000,MATCH($C1040,Работы!$A$2:$A$6000,0)),"")</f>
        <v/>
      </c>
      <c r="G1040" t="str">
        <f>IFERROR(INDEX(Работы!$K$2:$K$6000,MATCH($C1040,Работы!$A$2:$A$6000,0)),"")</f>
        <v/>
      </c>
      <c r="H1040" s="9"/>
      <c r="I1040" s="9"/>
      <c r="J1040" s="8" t="str">
        <f>IFERROR(INDEX(Материалы!$B$2:$B$9000,MATCH($I1040,Материалы!$A$2:$A$9000,0)),"")</f>
        <v/>
      </c>
      <c r="K1040" t="str">
        <f>IF($I1040="","",IF($F1040=IFERROR(INDEX(Материалы!$G$2:$G$9000,MATCH($I1040,Материалы!$A$2:$A$9000,0)),""),"OK","!! не та группа"))</f>
        <v/>
      </c>
      <c r="L1040" s="10">
        <f>IFERROR(INDEX(Работы!$H$2:$H$6000,MATCH($C1040,Работы!$A$2:$A$6000,0))*(1-ДисконтТендер),0)</f>
        <v>0</v>
      </c>
      <c r="M1040" s="10">
        <f>IF($I1040="",0,IFERROR(INDEX(Материалы!$I$2:$I$9000,MATCH($I1040,Материалы!$A$2:$A$9000,0))*IF(INDEX(Материалы!$J$2:$J$9000,MATCH($I1040,Материалы!$A$2:$A$9000,0))="USD",КурсUSD,IF(INDEX(Материалы!$J$2:$J$9000,MATCH($I1040,Материалы!$A$2:$A$9000,0))="EUR",КурсEUR,1))*INDEX(Материалы!$K$2:$K$9000,MATCH($I1040,Материалы!$A$2:$A$9000,0))*(1+IFERROR(INDEX(Работы!$I$2:$I$6000,MATCH($C1040,Работы!$A$2:$A$6000,0))/100,0))*(1-ДисконтТендер),0))</f>
        <v>0</v>
      </c>
      <c r="N1040" s="10">
        <f t="shared" si="48"/>
        <v>0</v>
      </c>
      <c r="O1040" s="10">
        <f t="shared" si="49"/>
        <v>0</v>
      </c>
      <c r="P1040" s="10">
        <f t="shared" si="50"/>
        <v>0</v>
      </c>
      <c r="Q1040" t="str">
        <f>IFERROR(INDEX(Работы!$J$2:$J$6000,MATCH($C1040,Работы!$A$2:$A$6000,0)),"")</f>
        <v/>
      </c>
      <c r="R1040" t="s">
        <v>92</v>
      </c>
      <c r="T1040" t="str">
        <f>IF(AND($P1040&gt;0,$R1040="да"),MAX($T$1:$T1039)+1,"")</f>
        <v/>
      </c>
    </row>
    <row r="1041" spans="1:20" x14ac:dyDescent="0.3">
      <c r="A1041" s="11" t="str">
        <f>IFERROR(INDEX(Работы!$D$2:$D$6000,MATCH($C1041,Работы!$A$2:$A$6000,0)),"")</f>
        <v/>
      </c>
      <c r="B1041" t="str">
        <f>IFERROR(INDEX(Работы!$F$2:$F$6000,MATCH($C1041,Работы!$A$2:$A$6000,0)),"")</f>
        <v/>
      </c>
      <c r="C1041">
        <f>IFERROR(INDEX(Работы!$A$2:$A$6000,1040),"")</f>
        <v>0</v>
      </c>
      <c r="D1041" s="8" t="str">
        <f>IFERROR(INDEX(Работы!$B$2:$B$6000,MATCH($C1041,Работы!$A$2:$A$6000,0)),"")</f>
        <v/>
      </c>
      <c r="E1041" t="str">
        <f>IFERROR(INDEX(Работы!$C$2:$C$6000,MATCH($C1041,Работы!$A$2:$A$6000,0)),"")</f>
        <v/>
      </c>
      <c r="F1041" t="str">
        <f>IFERROR(INDEX(Работы!$G$2:$G$6000,MATCH($C1041,Работы!$A$2:$A$6000,0)),"")</f>
        <v/>
      </c>
      <c r="G1041" t="str">
        <f>IFERROR(INDEX(Работы!$K$2:$K$6000,MATCH($C1041,Работы!$A$2:$A$6000,0)),"")</f>
        <v/>
      </c>
      <c r="H1041" s="9"/>
      <c r="I1041" s="9"/>
      <c r="J1041" s="8" t="str">
        <f>IFERROR(INDEX(Материалы!$B$2:$B$9000,MATCH($I1041,Материалы!$A$2:$A$9000,0)),"")</f>
        <v/>
      </c>
      <c r="K1041" t="str">
        <f>IF($I1041="","",IF($F1041=IFERROR(INDEX(Материалы!$G$2:$G$9000,MATCH($I1041,Материалы!$A$2:$A$9000,0)),""),"OK","!! не та группа"))</f>
        <v/>
      </c>
      <c r="L1041" s="10">
        <f>IFERROR(INDEX(Работы!$H$2:$H$6000,MATCH($C1041,Работы!$A$2:$A$6000,0))*(1-ДисконтТендер),0)</f>
        <v>0</v>
      </c>
      <c r="M1041" s="10">
        <f>IF($I1041="",0,IFERROR(INDEX(Материалы!$I$2:$I$9000,MATCH($I1041,Материалы!$A$2:$A$9000,0))*IF(INDEX(Материалы!$J$2:$J$9000,MATCH($I1041,Материалы!$A$2:$A$9000,0))="USD",КурсUSD,IF(INDEX(Материалы!$J$2:$J$9000,MATCH($I1041,Материалы!$A$2:$A$9000,0))="EUR",КурсEUR,1))*INDEX(Материалы!$K$2:$K$9000,MATCH($I1041,Материалы!$A$2:$A$9000,0))*(1+IFERROR(INDEX(Работы!$I$2:$I$6000,MATCH($C1041,Работы!$A$2:$A$6000,0))/100,0))*(1-ДисконтТендер),0))</f>
        <v>0</v>
      </c>
      <c r="N1041" s="10">
        <f t="shared" si="48"/>
        <v>0</v>
      </c>
      <c r="O1041" s="10">
        <f t="shared" si="49"/>
        <v>0</v>
      </c>
      <c r="P1041" s="10">
        <f t="shared" si="50"/>
        <v>0</v>
      </c>
      <c r="Q1041" t="str">
        <f>IFERROR(INDEX(Работы!$J$2:$J$6000,MATCH($C1041,Работы!$A$2:$A$6000,0)),"")</f>
        <v/>
      </c>
      <c r="R1041" t="s">
        <v>92</v>
      </c>
      <c r="T1041" t="str">
        <f>IF(AND($P1041&gt;0,$R1041="да"),MAX($T$1:$T1040)+1,"")</f>
        <v/>
      </c>
    </row>
    <row r="1042" spans="1:20" x14ac:dyDescent="0.3">
      <c r="A1042" s="11" t="str">
        <f>IFERROR(INDEX(Работы!$D$2:$D$6000,MATCH($C1042,Работы!$A$2:$A$6000,0)),"")</f>
        <v/>
      </c>
      <c r="B1042" t="str">
        <f>IFERROR(INDEX(Работы!$F$2:$F$6000,MATCH($C1042,Работы!$A$2:$A$6000,0)),"")</f>
        <v/>
      </c>
      <c r="C1042">
        <f>IFERROR(INDEX(Работы!$A$2:$A$6000,1041),"")</f>
        <v>0</v>
      </c>
      <c r="D1042" s="8" t="str">
        <f>IFERROR(INDEX(Работы!$B$2:$B$6000,MATCH($C1042,Работы!$A$2:$A$6000,0)),"")</f>
        <v/>
      </c>
      <c r="E1042" t="str">
        <f>IFERROR(INDEX(Работы!$C$2:$C$6000,MATCH($C1042,Работы!$A$2:$A$6000,0)),"")</f>
        <v/>
      </c>
      <c r="F1042" t="str">
        <f>IFERROR(INDEX(Работы!$G$2:$G$6000,MATCH($C1042,Работы!$A$2:$A$6000,0)),"")</f>
        <v/>
      </c>
      <c r="G1042" t="str">
        <f>IFERROR(INDEX(Работы!$K$2:$K$6000,MATCH($C1042,Работы!$A$2:$A$6000,0)),"")</f>
        <v/>
      </c>
      <c r="H1042" s="9"/>
      <c r="I1042" s="9"/>
      <c r="J1042" s="8" t="str">
        <f>IFERROR(INDEX(Материалы!$B$2:$B$9000,MATCH($I1042,Материалы!$A$2:$A$9000,0)),"")</f>
        <v/>
      </c>
      <c r="K1042" t="str">
        <f>IF($I1042="","",IF($F1042=IFERROR(INDEX(Материалы!$G$2:$G$9000,MATCH($I1042,Материалы!$A$2:$A$9000,0)),""),"OK","!! не та группа"))</f>
        <v/>
      </c>
      <c r="L1042" s="10">
        <f>IFERROR(INDEX(Работы!$H$2:$H$6000,MATCH($C1042,Работы!$A$2:$A$6000,0))*(1-ДисконтТендер),0)</f>
        <v>0</v>
      </c>
      <c r="M1042" s="10">
        <f>IF($I1042="",0,IFERROR(INDEX(Материалы!$I$2:$I$9000,MATCH($I1042,Материалы!$A$2:$A$9000,0))*IF(INDEX(Материалы!$J$2:$J$9000,MATCH($I1042,Материалы!$A$2:$A$9000,0))="USD",КурсUSD,IF(INDEX(Материалы!$J$2:$J$9000,MATCH($I1042,Материалы!$A$2:$A$9000,0))="EUR",КурсEUR,1))*INDEX(Материалы!$K$2:$K$9000,MATCH($I1042,Материалы!$A$2:$A$9000,0))*(1+IFERROR(INDEX(Работы!$I$2:$I$6000,MATCH($C1042,Работы!$A$2:$A$6000,0))/100,0))*(1-ДисконтТендер),0))</f>
        <v>0</v>
      </c>
      <c r="N1042" s="10">
        <f t="shared" si="48"/>
        <v>0</v>
      </c>
      <c r="O1042" s="10">
        <f t="shared" si="49"/>
        <v>0</v>
      </c>
      <c r="P1042" s="10">
        <f t="shared" si="50"/>
        <v>0</v>
      </c>
      <c r="Q1042" t="str">
        <f>IFERROR(INDEX(Работы!$J$2:$J$6000,MATCH($C1042,Работы!$A$2:$A$6000,0)),"")</f>
        <v/>
      </c>
      <c r="R1042" t="s">
        <v>92</v>
      </c>
      <c r="T1042" t="str">
        <f>IF(AND($P1042&gt;0,$R1042="да"),MAX($T$1:$T1041)+1,"")</f>
        <v/>
      </c>
    </row>
    <row r="1043" spans="1:20" x14ac:dyDescent="0.3">
      <c r="A1043" s="11" t="str">
        <f>IFERROR(INDEX(Работы!$D$2:$D$6000,MATCH($C1043,Работы!$A$2:$A$6000,0)),"")</f>
        <v/>
      </c>
      <c r="B1043" t="str">
        <f>IFERROR(INDEX(Работы!$F$2:$F$6000,MATCH($C1043,Работы!$A$2:$A$6000,0)),"")</f>
        <v/>
      </c>
      <c r="C1043">
        <f>IFERROR(INDEX(Работы!$A$2:$A$6000,1042),"")</f>
        <v>0</v>
      </c>
      <c r="D1043" s="8" t="str">
        <f>IFERROR(INDEX(Работы!$B$2:$B$6000,MATCH($C1043,Работы!$A$2:$A$6000,0)),"")</f>
        <v/>
      </c>
      <c r="E1043" t="str">
        <f>IFERROR(INDEX(Работы!$C$2:$C$6000,MATCH($C1043,Работы!$A$2:$A$6000,0)),"")</f>
        <v/>
      </c>
      <c r="F1043" t="str">
        <f>IFERROR(INDEX(Работы!$G$2:$G$6000,MATCH($C1043,Работы!$A$2:$A$6000,0)),"")</f>
        <v/>
      </c>
      <c r="G1043" t="str">
        <f>IFERROR(INDEX(Работы!$K$2:$K$6000,MATCH($C1043,Работы!$A$2:$A$6000,0)),"")</f>
        <v/>
      </c>
      <c r="H1043" s="9"/>
      <c r="I1043" s="9"/>
      <c r="J1043" s="8" t="str">
        <f>IFERROR(INDEX(Материалы!$B$2:$B$9000,MATCH($I1043,Материалы!$A$2:$A$9000,0)),"")</f>
        <v/>
      </c>
      <c r="K1043" t="str">
        <f>IF($I1043="","",IF($F1043=IFERROR(INDEX(Материалы!$G$2:$G$9000,MATCH($I1043,Материалы!$A$2:$A$9000,0)),""),"OK","!! не та группа"))</f>
        <v/>
      </c>
      <c r="L1043" s="10">
        <f>IFERROR(INDEX(Работы!$H$2:$H$6000,MATCH($C1043,Работы!$A$2:$A$6000,0))*(1-ДисконтТендер),0)</f>
        <v>0</v>
      </c>
      <c r="M1043" s="10">
        <f>IF($I1043="",0,IFERROR(INDEX(Материалы!$I$2:$I$9000,MATCH($I1043,Материалы!$A$2:$A$9000,0))*IF(INDEX(Материалы!$J$2:$J$9000,MATCH($I1043,Материалы!$A$2:$A$9000,0))="USD",КурсUSD,IF(INDEX(Материалы!$J$2:$J$9000,MATCH($I1043,Материалы!$A$2:$A$9000,0))="EUR",КурсEUR,1))*INDEX(Материалы!$K$2:$K$9000,MATCH($I1043,Материалы!$A$2:$A$9000,0))*(1+IFERROR(INDEX(Работы!$I$2:$I$6000,MATCH($C1043,Работы!$A$2:$A$6000,0))/100,0))*(1-ДисконтТендер),0))</f>
        <v>0</v>
      </c>
      <c r="N1043" s="10">
        <f t="shared" si="48"/>
        <v>0</v>
      </c>
      <c r="O1043" s="10">
        <f t="shared" si="49"/>
        <v>0</v>
      </c>
      <c r="P1043" s="10">
        <f t="shared" si="50"/>
        <v>0</v>
      </c>
      <c r="Q1043" t="str">
        <f>IFERROR(INDEX(Работы!$J$2:$J$6000,MATCH($C1043,Работы!$A$2:$A$6000,0)),"")</f>
        <v/>
      </c>
      <c r="R1043" t="s">
        <v>92</v>
      </c>
      <c r="T1043" t="str">
        <f>IF(AND($P1043&gt;0,$R1043="да"),MAX($T$1:$T1042)+1,"")</f>
        <v/>
      </c>
    </row>
    <row r="1044" spans="1:20" x14ac:dyDescent="0.3">
      <c r="A1044" s="11" t="str">
        <f>IFERROR(INDEX(Работы!$D$2:$D$6000,MATCH($C1044,Работы!$A$2:$A$6000,0)),"")</f>
        <v/>
      </c>
      <c r="B1044" t="str">
        <f>IFERROR(INDEX(Работы!$F$2:$F$6000,MATCH($C1044,Работы!$A$2:$A$6000,0)),"")</f>
        <v/>
      </c>
      <c r="C1044">
        <f>IFERROR(INDEX(Работы!$A$2:$A$6000,1043),"")</f>
        <v>0</v>
      </c>
      <c r="D1044" s="8" t="str">
        <f>IFERROR(INDEX(Работы!$B$2:$B$6000,MATCH($C1044,Работы!$A$2:$A$6000,0)),"")</f>
        <v/>
      </c>
      <c r="E1044" t="str">
        <f>IFERROR(INDEX(Работы!$C$2:$C$6000,MATCH($C1044,Работы!$A$2:$A$6000,0)),"")</f>
        <v/>
      </c>
      <c r="F1044" t="str">
        <f>IFERROR(INDEX(Работы!$G$2:$G$6000,MATCH($C1044,Работы!$A$2:$A$6000,0)),"")</f>
        <v/>
      </c>
      <c r="G1044" t="str">
        <f>IFERROR(INDEX(Работы!$K$2:$K$6000,MATCH($C1044,Работы!$A$2:$A$6000,0)),"")</f>
        <v/>
      </c>
      <c r="H1044" s="9"/>
      <c r="I1044" s="9"/>
      <c r="J1044" s="8" t="str">
        <f>IFERROR(INDEX(Материалы!$B$2:$B$9000,MATCH($I1044,Материалы!$A$2:$A$9000,0)),"")</f>
        <v/>
      </c>
      <c r="K1044" t="str">
        <f>IF($I1044="","",IF($F1044=IFERROR(INDEX(Материалы!$G$2:$G$9000,MATCH($I1044,Материалы!$A$2:$A$9000,0)),""),"OK","!! не та группа"))</f>
        <v/>
      </c>
      <c r="L1044" s="10">
        <f>IFERROR(INDEX(Работы!$H$2:$H$6000,MATCH($C1044,Работы!$A$2:$A$6000,0))*(1-ДисконтТендер),0)</f>
        <v>0</v>
      </c>
      <c r="M1044" s="10">
        <f>IF($I1044="",0,IFERROR(INDEX(Материалы!$I$2:$I$9000,MATCH($I1044,Материалы!$A$2:$A$9000,0))*IF(INDEX(Материалы!$J$2:$J$9000,MATCH($I1044,Материалы!$A$2:$A$9000,0))="USD",КурсUSD,IF(INDEX(Материалы!$J$2:$J$9000,MATCH($I1044,Материалы!$A$2:$A$9000,0))="EUR",КурсEUR,1))*INDEX(Материалы!$K$2:$K$9000,MATCH($I1044,Материалы!$A$2:$A$9000,0))*(1+IFERROR(INDEX(Работы!$I$2:$I$6000,MATCH($C1044,Работы!$A$2:$A$6000,0))/100,0))*(1-ДисконтТендер),0))</f>
        <v>0</v>
      </c>
      <c r="N1044" s="10">
        <f t="shared" si="48"/>
        <v>0</v>
      </c>
      <c r="O1044" s="10">
        <f t="shared" si="49"/>
        <v>0</v>
      </c>
      <c r="P1044" s="10">
        <f t="shared" si="50"/>
        <v>0</v>
      </c>
      <c r="Q1044" t="str">
        <f>IFERROR(INDEX(Работы!$J$2:$J$6000,MATCH($C1044,Работы!$A$2:$A$6000,0)),"")</f>
        <v/>
      </c>
      <c r="R1044" t="s">
        <v>92</v>
      </c>
      <c r="T1044" t="str">
        <f>IF(AND($P1044&gt;0,$R1044="да"),MAX($T$1:$T1043)+1,"")</f>
        <v/>
      </c>
    </row>
    <row r="1045" spans="1:20" x14ac:dyDescent="0.3">
      <c r="A1045" s="11" t="str">
        <f>IFERROR(INDEX(Работы!$D$2:$D$6000,MATCH($C1045,Работы!$A$2:$A$6000,0)),"")</f>
        <v/>
      </c>
      <c r="B1045" t="str">
        <f>IFERROR(INDEX(Работы!$F$2:$F$6000,MATCH($C1045,Работы!$A$2:$A$6000,0)),"")</f>
        <v/>
      </c>
      <c r="C1045">
        <f>IFERROR(INDEX(Работы!$A$2:$A$6000,1044),"")</f>
        <v>0</v>
      </c>
      <c r="D1045" s="8" t="str">
        <f>IFERROR(INDEX(Работы!$B$2:$B$6000,MATCH($C1045,Работы!$A$2:$A$6000,0)),"")</f>
        <v/>
      </c>
      <c r="E1045" t="str">
        <f>IFERROR(INDEX(Работы!$C$2:$C$6000,MATCH($C1045,Работы!$A$2:$A$6000,0)),"")</f>
        <v/>
      </c>
      <c r="F1045" t="str">
        <f>IFERROR(INDEX(Работы!$G$2:$G$6000,MATCH($C1045,Работы!$A$2:$A$6000,0)),"")</f>
        <v/>
      </c>
      <c r="G1045" t="str">
        <f>IFERROR(INDEX(Работы!$K$2:$K$6000,MATCH($C1045,Работы!$A$2:$A$6000,0)),"")</f>
        <v/>
      </c>
      <c r="H1045" s="9"/>
      <c r="I1045" s="9"/>
      <c r="J1045" s="8" t="str">
        <f>IFERROR(INDEX(Материалы!$B$2:$B$9000,MATCH($I1045,Материалы!$A$2:$A$9000,0)),"")</f>
        <v/>
      </c>
      <c r="K1045" t="str">
        <f>IF($I1045="","",IF($F1045=IFERROR(INDEX(Материалы!$G$2:$G$9000,MATCH($I1045,Материалы!$A$2:$A$9000,0)),""),"OK","!! не та группа"))</f>
        <v/>
      </c>
      <c r="L1045" s="10">
        <f>IFERROR(INDEX(Работы!$H$2:$H$6000,MATCH($C1045,Работы!$A$2:$A$6000,0))*(1-ДисконтТендер),0)</f>
        <v>0</v>
      </c>
      <c r="M1045" s="10">
        <f>IF($I1045="",0,IFERROR(INDEX(Материалы!$I$2:$I$9000,MATCH($I1045,Материалы!$A$2:$A$9000,0))*IF(INDEX(Материалы!$J$2:$J$9000,MATCH($I1045,Материалы!$A$2:$A$9000,0))="USD",КурсUSD,IF(INDEX(Материалы!$J$2:$J$9000,MATCH($I1045,Материалы!$A$2:$A$9000,0))="EUR",КурсEUR,1))*INDEX(Материалы!$K$2:$K$9000,MATCH($I1045,Материалы!$A$2:$A$9000,0))*(1+IFERROR(INDEX(Работы!$I$2:$I$6000,MATCH($C1045,Работы!$A$2:$A$6000,0))/100,0))*(1-ДисконтТендер),0))</f>
        <v>0</v>
      </c>
      <c r="N1045" s="10">
        <f t="shared" si="48"/>
        <v>0</v>
      </c>
      <c r="O1045" s="10">
        <f t="shared" si="49"/>
        <v>0</v>
      </c>
      <c r="P1045" s="10">
        <f t="shared" si="50"/>
        <v>0</v>
      </c>
      <c r="Q1045" t="str">
        <f>IFERROR(INDEX(Работы!$J$2:$J$6000,MATCH($C1045,Работы!$A$2:$A$6000,0)),"")</f>
        <v/>
      </c>
      <c r="R1045" t="s">
        <v>92</v>
      </c>
      <c r="T1045" t="str">
        <f>IF(AND($P1045&gt;0,$R1045="да"),MAX($T$1:$T1044)+1,"")</f>
        <v/>
      </c>
    </row>
    <row r="1046" spans="1:20" x14ac:dyDescent="0.3">
      <c r="A1046" s="11" t="str">
        <f>IFERROR(INDEX(Работы!$D$2:$D$6000,MATCH($C1046,Работы!$A$2:$A$6000,0)),"")</f>
        <v/>
      </c>
      <c r="B1046" t="str">
        <f>IFERROR(INDEX(Работы!$F$2:$F$6000,MATCH($C1046,Работы!$A$2:$A$6000,0)),"")</f>
        <v/>
      </c>
      <c r="C1046">
        <f>IFERROR(INDEX(Работы!$A$2:$A$6000,1045),"")</f>
        <v>0</v>
      </c>
      <c r="D1046" s="8" t="str">
        <f>IFERROR(INDEX(Работы!$B$2:$B$6000,MATCH($C1046,Работы!$A$2:$A$6000,0)),"")</f>
        <v/>
      </c>
      <c r="E1046" t="str">
        <f>IFERROR(INDEX(Работы!$C$2:$C$6000,MATCH($C1046,Работы!$A$2:$A$6000,0)),"")</f>
        <v/>
      </c>
      <c r="F1046" t="str">
        <f>IFERROR(INDEX(Работы!$G$2:$G$6000,MATCH($C1046,Работы!$A$2:$A$6000,0)),"")</f>
        <v/>
      </c>
      <c r="G1046" t="str">
        <f>IFERROR(INDEX(Работы!$K$2:$K$6000,MATCH($C1046,Работы!$A$2:$A$6000,0)),"")</f>
        <v/>
      </c>
      <c r="H1046" s="9"/>
      <c r="I1046" s="9"/>
      <c r="J1046" s="8" t="str">
        <f>IFERROR(INDEX(Материалы!$B$2:$B$9000,MATCH($I1046,Материалы!$A$2:$A$9000,0)),"")</f>
        <v/>
      </c>
      <c r="K1046" t="str">
        <f>IF($I1046="","",IF($F1046=IFERROR(INDEX(Материалы!$G$2:$G$9000,MATCH($I1046,Материалы!$A$2:$A$9000,0)),""),"OK","!! не та группа"))</f>
        <v/>
      </c>
      <c r="L1046" s="10">
        <f>IFERROR(INDEX(Работы!$H$2:$H$6000,MATCH($C1046,Работы!$A$2:$A$6000,0))*(1-ДисконтТендер),0)</f>
        <v>0</v>
      </c>
      <c r="M1046" s="10">
        <f>IF($I1046="",0,IFERROR(INDEX(Материалы!$I$2:$I$9000,MATCH($I1046,Материалы!$A$2:$A$9000,0))*IF(INDEX(Материалы!$J$2:$J$9000,MATCH($I1046,Материалы!$A$2:$A$9000,0))="USD",КурсUSD,IF(INDEX(Материалы!$J$2:$J$9000,MATCH($I1046,Материалы!$A$2:$A$9000,0))="EUR",КурсEUR,1))*INDEX(Материалы!$K$2:$K$9000,MATCH($I1046,Материалы!$A$2:$A$9000,0))*(1+IFERROR(INDEX(Работы!$I$2:$I$6000,MATCH($C1046,Работы!$A$2:$A$6000,0))/100,0))*(1-ДисконтТендер),0))</f>
        <v>0</v>
      </c>
      <c r="N1046" s="10">
        <f t="shared" si="48"/>
        <v>0</v>
      </c>
      <c r="O1046" s="10">
        <f t="shared" si="49"/>
        <v>0</v>
      </c>
      <c r="P1046" s="10">
        <f t="shared" si="50"/>
        <v>0</v>
      </c>
      <c r="Q1046" t="str">
        <f>IFERROR(INDEX(Работы!$J$2:$J$6000,MATCH($C1046,Работы!$A$2:$A$6000,0)),"")</f>
        <v/>
      </c>
      <c r="R1046" t="s">
        <v>92</v>
      </c>
      <c r="T1046" t="str">
        <f>IF(AND($P1046&gt;0,$R1046="да"),MAX($T$1:$T1045)+1,"")</f>
        <v/>
      </c>
    </row>
    <row r="1047" spans="1:20" x14ac:dyDescent="0.3">
      <c r="A1047" s="11" t="str">
        <f>IFERROR(INDEX(Работы!$D$2:$D$6000,MATCH($C1047,Работы!$A$2:$A$6000,0)),"")</f>
        <v/>
      </c>
      <c r="B1047" t="str">
        <f>IFERROR(INDEX(Работы!$F$2:$F$6000,MATCH($C1047,Работы!$A$2:$A$6000,0)),"")</f>
        <v/>
      </c>
      <c r="C1047">
        <f>IFERROR(INDEX(Работы!$A$2:$A$6000,1046),"")</f>
        <v>0</v>
      </c>
      <c r="D1047" s="8" t="str">
        <f>IFERROR(INDEX(Работы!$B$2:$B$6000,MATCH($C1047,Работы!$A$2:$A$6000,0)),"")</f>
        <v/>
      </c>
      <c r="E1047" t="str">
        <f>IFERROR(INDEX(Работы!$C$2:$C$6000,MATCH($C1047,Работы!$A$2:$A$6000,0)),"")</f>
        <v/>
      </c>
      <c r="F1047" t="str">
        <f>IFERROR(INDEX(Работы!$G$2:$G$6000,MATCH($C1047,Работы!$A$2:$A$6000,0)),"")</f>
        <v/>
      </c>
      <c r="G1047" t="str">
        <f>IFERROR(INDEX(Работы!$K$2:$K$6000,MATCH($C1047,Работы!$A$2:$A$6000,0)),"")</f>
        <v/>
      </c>
      <c r="H1047" s="9"/>
      <c r="I1047" s="9"/>
      <c r="J1047" s="8" t="str">
        <f>IFERROR(INDEX(Материалы!$B$2:$B$9000,MATCH($I1047,Материалы!$A$2:$A$9000,0)),"")</f>
        <v/>
      </c>
      <c r="K1047" t="str">
        <f>IF($I1047="","",IF($F1047=IFERROR(INDEX(Материалы!$G$2:$G$9000,MATCH($I1047,Материалы!$A$2:$A$9000,0)),""),"OK","!! не та группа"))</f>
        <v/>
      </c>
      <c r="L1047" s="10">
        <f>IFERROR(INDEX(Работы!$H$2:$H$6000,MATCH($C1047,Работы!$A$2:$A$6000,0))*(1-ДисконтТендер),0)</f>
        <v>0</v>
      </c>
      <c r="M1047" s="10">
        <f>IF($I1047="",0,IFERROR(INDEX(Материалы!$I$2:$I$9000,MATCH($I1047,Материалы!$A$2:$A$9000,0))*IF(INDEX(Материалы!$J$2:$J$9000,MATCH($I1047,Материалы!$A$2:$A$9000,0))="USD",КурсUSD,IF(INDEX(Материалы!$J$2:$J$9000,MATCH($I1047,Материалы!$A$2:$A$9000,0))="EUR",КурсEUR,1))*INDEX(Материалы!$K$2:$K$9000,MATCH($I1047,Материалы!$A$2:$A$9000,0))*(1+IFERROR(INDEX(Работы!$I$2:$I$6000,MATCH($C1047,Работы!$A$2:$A$6000,0))/100,0))*(1-ДисконтТендер),0))</f>
        <v>0</v>
      </c>
      <c r="N1047" s="10">
        <f t="shared" si="48"/>
        <v>0</v>
      </c>
      <c r="O1047" s="10">
        <f t="shared" si="49"/>
        <v>0</v>
      </c>
      <c r="P1047" s="10">
        <f t="shared" si="50"/>
        <v>0</v>
      </c>
      <c r="Q1047" t="str">
        <f>IFERROR(INDEX(Работы!$J$2:$J$6000,MATCH($C1047,Работы!$A$2:$A$6000,0)),"")</f>
        <v/>
      </c>
      <c r="R1047" t="s">
        <v>92</v>
      </c>
      <c r="T1047" t="str">
        <f>IF(AND($P1047&gt;0,$R1047="да"),MAX($T$1:$T1046)+1,"")</f>
        <v/>
      </c>
    </row>
    <row r="1048" spans="1:20" x14ac:dyDescent="0.3">
      <c r="A1048" s="11" t="str">
        <f>IFERROR(INDEX(Работы!$D$2:$D$6000,MATCH($C1048,Работы!$A$2:$A$6000,0)),"")</f>
        <v/>
      </c>
      <c r="B1048" t="str">
        <f>IFERROR(INDEX(Работы!$F$2:$F$6000,MATCH($C1048,Работы!$A$2:$A$6000,0)),"")</f>
        <v/>
      </c>
      <c r="C1048">
        <f>IFERROR(INDEX(Работы!$A$2:$A$6000,1047),"")</f>
        <v>0</v>
      </c>
      <c r="D1048" s="8" t="str">
        <f>IFERROR(INDEX(Работы!$B$2:$B$6000,MATCH($C1048,Работы!$A$2:$A$6000,0)),"")</f>
        <v/>
      </c>
      <c r="E1048" t="str">
        <f>IFERROR(INDEX(Работы!$C$2:$C$6000,MATCH($C1048,Работы!$A$2:$A$6000,0)),"")</f>
        <v/>
      </c>
      <c r="F1048" t="str">
        <f>IFERROR(INDEX(Работы!$G$2:$G$6000,MATCH($C1048,Работы!$A$2:$A$6000,0)),"")</f>
        <v/>
      </c>
      <c r="G1048" t="str">
        <f>IFERROR(INDEX(Работы!$K$2:$K$6000,MATCH($C1048,Работы!$A$2:$A$6000,0)),"")</f>
        <v/>
      </c>
      <c r="H1048" s="9"/>
      <c r="I1048" s="9"/>
      <c r="J1048" s="8" t="str">
        <f>IFERROR(INDEX(Материалы!$B$2:$B$9000,MATCH($I1048,Материалы!$A$2:$A$9000,0)),"")</f>
        <v/>
      </c>
      <c r="K1048" t="str">
        <f>IF($I1048="","",IF($F1048=IFERROR(INDEX(Материалы!$G$2:$G$9000,MATCH($I1048,Материалы!$A$2:$A$9000,0)),""),"OK","!! не та группа"))</f>
        <v/>
      </c>
      <c r="L1048" s="10">
        <f>IFERROR(INDEX(Работы!$H$2:$H$6000,MATCH($C1048,Работы!$A$2:$A$6000,0))*(1-ДисконтТендер),0)</f>
        <v>0</v>
      </c>
      <c r="M1048" s="10">
        <f>IF($I1048="",0,IFERROR(INDEX(Материалы!$I$2:$I$9000,MATCH($I1048,Материалы!$A$2:$A$9000,0))*IF(INDEX(Материалы!$J$2:$J$9000,MATCH($I1048,Материалы!$A$2:$A$9000,0))="USD",КурсUSD,IF(INDEX(Материалы!$J$2:$J$9000,MATCH($I1048,Материалы!$A$2:$A$9000,0))="EUR",КурсEUR,1))*INDEX(Материалы!$K$2:$K$9000,MATCH($I1048,Материалы!$A$2:$A$9000,0))*(1+IFERROR(INDEX(Работы!$I$2:$I$6000,MATCH($C1048,Работы!$A$2:$A$6000,0))/100,0))*(1-ДисконтТендер),0))</f>
        <v>0</v>
      </c>
      <c r="N1048" s="10">
        <f t="shared" si="48"/>
        <v>0</v>
      </c>
      <c r="O1048" s="10">
        <f t="shared" si="49"/>
        <v>0</v>
      </c>
      <c r="P1048" s="10">
        <f t="shared" si="50"/>
        <v>0</v>
      </c>
      <c r="Q1048" t="str">
        <f>IFERROR(INDEX(Работы!$J$2:$J$6000,MATCH($C1048,Работы!$A$2:$A$6000,0)),"")</f>
        <v/>
      </c>
      <c r="R1048" t="s">
        <v>92</v>
      </c>
      <c r="T1048" t="str">
        <f>IF(AND($P1048&gt;0,$R1048="да"),MAX($T$1:$T1047)+1,"")</f>
        <v/>
      </c>
    </row>
    <row r="1049" spans="1:20" x14ac:dyDescent="0.3">
      <c r="A1049" s="11" t="str">
        <f>IFERROR(INDEX(Работы!$D$2:$D$6000,MATCH($C1049,Работы!$A$2:$A$6000,0)),"")</f>
        <v/>
      </c>
      <c r="B1049" t="str">
        <f>IFERROR(INDEX(Работы!$F$2:$F$6000,MATCH($C1049,Работы!$A$2:$A$6000,0)),"")</f>
        <v/>
      </c>
      <c r="C1049">
        <f>IFERROR(INDEX(Работы!$A$2:$A$6000,1048),"")</f>
        <v>0</v>
      </c>
      <c r="D1049" s="8" t="str">
        <f>IFERROR(INDEX(Работы!$B$2:$B$6000,MATCH($C1049,Работы!$A$2:$A$6000,0)),"")</f>
        <v/>
      </c>
      <c r="E1049" t="str">
        <f>IFERROR(INDEX(Работы!$C$2:$C$6000,MATCH($C1049,Работы!$A$2:$A$6000,0)),"")</f>
        <v/>
      </c>
      <c r="F1049" t="str">
        <f>IFERROR(INDEX(Работы!$G$2:$G$6000,MATCH($C1049,Работы!$A$2:$A$6000,0)),"")</f>
        <v/>
      </c>
      <c r="G1049" t="str">
        <f>IFERROR(INDEX(Работы!$K$2:$K$6000,MATCH($C1049,Работы!$A$2:$A$6000,0)),"")</f>
        <v/>
      </c>
      <c r="H1049" s="9"/>
      <c r="I1049" s="9"/>
      <c r="J1049" s="8" t="str">
        <f>IFERROR(INDEX(Материалы!$B$2:$B$9000,MATCH($I1049,Материалы!$A$2:$A$9000,0)),"")</f>
        <v/>
      </c>
      <c r="K1049" t="str">
        <f>IF($I1049="","",IF($F1049=IFERROR(INDEX(Материалы!$G$2:$G$9000,MATCH($I1049,Материалы!$A$2:$A$9000,0)),""),"OK","!! не та группа"))</f>
        <v/>
      </c>
      <c r="L1049" s="10">
        <f>IFERROR(INDEX(Работы!$H$2:$H$6000,MATCH($C1049,Работы!$A$2:$A$6000,0))*(1-ДисконтТендер),0)</f>
        <v>0</v>
      </c>
      <c r="M1049" s="10">
        <f>IF($I1049="",0,IFERROR(INDEX(Материалы!$I$2:$I$9000,MATCH($I1049,Материалы!$A$2:$A$9000,0))*IF(INDEX(Материалы!$J$2:$J$9000,MATCH($I1049,Материалы!$A$2:$A$9000,0))="USD",КурсUSD,IF(INDEX(Материалы!$J$2:$J$9000,MATCH($I1049,Материалы!$A$2:$A$9000,0))="EUR",КурсEUR,1))*INDEX(Материалы!$K$2:$K$9000,MATCH($I1049,Материалы!$A$2:$A$9000,0))*(1+IFERROR(INDEX(Работы!$I$2:$I$6000,MATCH($C1049,Работы!$A$2:$A$6000,0))/100,0))*(1-ДисконтТендер),0))</f>
        <v>0</v>
      </c>
      <c r="N1049" s="10">
        <f t="shared" si="48"/>
        <v>0</v>
      </c>
      <c r="O1049" s="10">
        <f t="shared" si="49"/>
        <v>0</v>
      </c>
      <c r="P1049" s="10">
        <f t="shared" si="50"/>
        <v>0</v>
      </c>
      <c r="Q1049" t="str">
        <f>IFERROR(INDEX(Работы!$J$2:$J$6000,MATCH($C1049,Работы!$A$2:$A$6000,0)),"")</f>
        <v/>
      </c>
      <c r="R1049" t="s">
        <v>92</v>
      </c>
      <c r="T1049" t="str">
        <f>IF(AND($P1049&gt;0,$R1049="да"),MAX($T$1:$T1048)+1,"")</f>
        <v/>
      </c>
    </row>
    <row r="1050" spans="1:20" x14ac:dyDescent="0.3">
      <c r="A1050" s="11" t="str">
        <f>IFERROR(INDEX(Работы!$D$2:$D$6000,MATCH($C1050,Работы!$A$2:$A$6000,0)),"")</f>
        <v/>
      </c>
      <c r="B1050" t="str">
        <f>IFERROR(INDEX(Работы!$F$2:$F$6000,MATCH($C1050,Работы!$A$2:$A$6000,0)),"")</f>
        <v/>
      </c>
      <c r="C1050">
        <f>IFERROR(INDEX(Работы!$A$2:$A$6000,1049),"")</f>
        <v>0</v>
      </c>
      <c r="D1050" s="8" t="str">
        <f>IFERROR(INDEX(Работы!$B$2:$B$6000,MATCH($C1050,Работы!$A$2:$A$6000,0)),"")</f>
        <v/>
      </c>
      <c r="E1050" t="str">
        <f>IFERROR(INDEX(Работы!$C$2:$C$6000,MATCH($C1050,Работы!$A$2:$A$6000,0)),"")</f>
        <v/>
      </c>
      <c r="F1050" t="str">
        <f>IFERROR(INDEX(Работы!$G$2:$G$6000,MATCH($C1050,Работы!$A$2:$A$6000,0)),"")</f>
        <v/>
      </c>
      <c r="G1050" t="str">
        <f>IFERROR(INDEX(Работы!$K$2:$K$6000,MATCH($C1050,Работы!$A$2:$A$6000,0)),"")</f>
        <v/>
      </c>
      <c r="H1050" s="9"/>
      <c r="I1050" s="9"/>
      <c r="J1050" s="8" t="str">
        <f>IFERROR(INDEX(Материалы!$B$2:$B$9000,MATCH($I1050,Материалы!$A$2:$A$9000,0)),"")</f>
        <v/>
      </c>
      <c r="K1050" t="str">
        <f>IF($I1050="","",IF($F1050=IFERROR(INDEX(Материалы!$G$2:$G$9000,MATCH($I1050,Материалы!$A$2:$A$9000,0)),""),"OK","!! не та группа"))</f>
        <v/>
      </c>
      <c r="L1050" s="10">
        <f>IFERROR(INDEX(Работы!$H$2:$H$6000,MATCH($C1050,Работы!$A$2:$A$6000,0))*(1-ДисконтТендер),0)</f>
        <v>0</v>
      </c>
      <c r="M1050" s="10">
        <f>IF($I1050="",0,IFERROR(INDEX(Материалы!$I$2:$I$9000,MATCH($I1050,Материалы!$A$2:$A$9000,0))*IF(INDEX(Материалы!$J$2:$J$9000,MATCH($I1050,Материалы!$A$2:$A$9000,0))="USD",КурсUSD,IF(INDEX(Материалы!$J$2:$J$9000,MATCH($I1050,Материалы!$A$2:$A$9000,0))="EUR",КурсEUR,1))*INDEX(Материалы!$K$2:$K$9000,MATCH($I1050,Материалы!$A$2:$A$9000,0))*(1+IFERROR(INDEX(Работы!$I$2:$I$6000,MATCH($C1050,Работы!$A$2:$A$6000,0))/100,0))*(1-ДисконтТендер),0))</f>
        <v>0</v>
      </c>
      <c r="N1050" s="10">
        <f t="shared" si="48"/>
        <v>0</v>
      </c>
      <c r="O1050" s="10">
        <f t="shared" si="49"/>
        <v>0</v>
      </c>
      <c r="P1050" s="10">
        <f t="shared" si="50"/>
        <v>0</v>
      </c>
      <c r="Q1050" t="str">
        <f>IFERROR(INDEX(Работы!$J$2:$J$6000,MATCH($C1050,Работы!$A$2:$A$6000,0)),"")</f>
        <v/>
      </c>
      <c r="R1050" t="s">
        <v>92</v>
      </c>
      <c r="T1050" t="str">
        <f>IF(AND($P1050&gt;0,$R1050="да"),MAX($T$1:$T1049)+1,"")</f>
        <v/>
      </c>
    </row>
    <row r="1051" spans="1:20" x14ac:dyDescent="0.3">
      <c r="A1051" s="11" t="str">
        <f>IFERROR(INDEX(Работы!$D$2:$D$6000,MATCH($C1051,Работы!$A$2:$A$6000,0)),"")</f>
        <v/>
      </c>
      <c r="B1051" t="str">
        <f>IFERROR(INDEX(Работы!$F$2:$F$6000,MATCH($C1051,Работы!$A$2:$A$6000,0)),"")</f>
        <v/>
      </c>
      <c r="C1051">
        <f>IFERROR(INDEX(Работы!$A$2:$A$6000,1050),"")</f>
        <v>0</v>
      </c>
      <c r="D1051" s="8" t="str">
        <f>IFERROR(INDEX(Работы!$B$2:$B$6000,MATCH($C1051,Работы!$A$2:$A$6000,0)),"")</f>
        <v/>
      </c>
      <c r="E1051" t="str">
        <f>IFERROR(INDEX(Работы!$C$2:$C$6000,MATCH($C1051,Работы!$A$2:$A$6000,0)),"")</f>
        <v/>
      </c>
      <c r="F1051" t="str">
        <f>IFERROR(INDEX(Работы!$G$2:$G$6000,MATCH($C1051,Работы!$A$2:$A$6000,0)),"")</f>
        <v/>
      </c>
      <c r="G1051" t="str">
        <f>IFERROR(INDEX(Работы!$K$2:$K$6000,MATCH($C1051,Работы!$A$2:$A$6000,0)),"")</f>
        <v/>
      </c>
      <c r="H1051" s="9"/>
      <c r="I1051" s="9"/>
      <c r="J1051" s="8" t="str">
        <f>IFERROR(INDEX(Материалы!$B$2:$B$9000,MATCH($I1051,Материалы!$A$2:$A$9000,0)),"")</f>
        <v/>
      </c>
      <c r="K1051" t="str">
        <f>IF($I1051="","",IF($F1051=IFERROR(INDEX(Материалы!$G$2:$G$9000,MATCH($I1051,Материалы!$A$2:$A$9000,0)),""),"OK","!! не та группа"))</f>
        <v/>
      </c>
      <c r="L1051" s="10">
        <f>IFERROR(INDEX(Работы!$H$2:$H$6000,MATCH($C1051,Работы!$A$2:$A$6000,0))*(1-ДисконтТендер),0)</f>
        <v>0</v>
      </c>
      <c r="M1051" s="10">
        <f>IF($I1051="",0,IFERROR(INDEX(Материалы!$I$2:$I$9000,MATCH($I1051,Материалы!$A$2:$A$9000,0))*IF(INDEX(Материалы!$J$2:$J$9000,MATCH($I1051,Материалы!$A$2:$A$9000,0))="USD",КурсUSD,IF(INDEX(Материалы!$J$2:$J$9000,MATCH($I1051,Материалы!$A$2:$A$9000,0))="EUR",КурсEUR,1))*INDEX(Материалы!$K$2:$K$9000,MATCH($I1051,Материалы!$A$2:$A$9000,0))*(1+IFERROR(INDEX(Работы!$I$2:$I$6000,MATCH($C1051,Работы!$A$2:$A$6000,0))/100,0))*(1-ДисконтТендер),0))</f>
        <v>0</v>
      </c>
      <c r="N1051" s="10">
        <f t="shared" si="48"/>
        <v>0</v>
      </c>
      <c r="O1051" s="10">
        <f t="shared" si="49"/>
        <v>0</v>
      </c>
      <c r="P1051" s="10">
        <f t="shared" si="50"/>
        <v>0</v>
      </c>
      <c r="Q1051" t="str">
        <f>IFERROR(INDEX(Работы!$J$2:$J$6000,MATCH($C1051,Работы!$A$2:$A$6000,0)),"")</f>
        <v/>
      </c>
      <c r="R1051" t="s">
        <v>92</v>
      </c>
      <c r="T1051" t="str">
        <f>IF(AND($P1051&gt;0,$R1051="да"),MAX($T$1:$T1050)+1,"")</f>
        <v/>
      </c>
    </row>
    <row r="1052" spans="1:20" x14ac:dyDescent="0.3">
      <c r="A1052" s="11" t="str">
        <f>IFERROR(INDEX(Работы!$D$2:$D$6000,MATCH($C1052,Работы!$A$2:$A$6000,0)),"")</f>
        <v/>
      </c>
      <c r="B1052" t="str">
        <f>IFERROR(INDEX(Работы!$F$2:$F$6000,MATCH($C1052,Работы!$A$2:$A$6000,0)),"")</f>
        <v/>
      </c>
      <c r="C1052">
        <f>IFERROR(INDEX(Работы!$A$2:$A$6000,1051),"")</f>
        <v>0</v>
      </c>
      <c r="D1052" s="8" t="str">
        <f>IFERROR(INDEX(Работы!$B$2:$B$6000,MATCH($C1052,Работы!$A$2:$A$6000,0)),"")</f>
        <v/>
      </c>
      <c r="E1052" t="str">
        <f>IFERROR(INDEX(Работы!$C$2:$C$6000,MATCH($C1052,Работы!$A$2:$A$6000,0)),"")</f>
        <v/>
      </c>
      <c r="F1052" t="str">
        <f>IFERROR(INDEX(Работы!$G$2:$G$6000,MATCH($C1052,Работы!$A$2:$A$6000,0)),"")</f>
        <v/>
      </c>
      <c r="G1052" t="str">
        <f>IFERROR(INDEX(Работы!$K$2:$K$6000,MATCH($C1052,Работы!$A$2:$A$6000,0)),"")</f>
        <v/>
      </c>
      <c r="H1052" s="9"/>
      <c r="I1052" s="9"/>
      <c r="J1052" s="8" t="str">
        <f>IFERROR(INDEX(Материалы!$B$2:$B$9000,MATCH($I1052,Материалы!$A$2:$A$9000,0)),"")</f>
        <v/>
      </c>
      <c r="K1052" t="str">
        <f>IF($I1052="","",IF($F1052=IFERROR(INDEX(Материалы!$G$2:$G$9000,MATCH($I1052,Материалы!$A$2:$A$9000,0)),""),"OK","!! не та группа"))</f>
        <v/>
      </c>
      <c r="L1052" s="10">
        <f>IFERROR(INDEX(Работы!$H$2:$H$6000,MATCH($C1052,Работы!$A$2:$A$6000,0))*(1-ДисконтТендер),0)</f>
        <v>0</v>
      </c>
      <c r="M1052" s="10">
        <f>IF($I1052="",0,IFERROR(INDEX(Материалы!$I$2:$I$9000,MATCH($I1052,Материалы!$A$2:$A$9000,0))*IF(INDEX(Материалы!$J$2:$J$9000,MATCH($I1052,Материалы!$A$2:$A$9000,0))="USD",КурсUSD,IF(INDEX(Материалы!$J$2:$J$9000,MATCH($I1052,Материалы!$A$2:$A$9000,0))="EUR",КурсEUR,1))*INDEX(Материалы!$K$2:$K$9000,MATCH($I1052,Материалы!$A$2:$A$9000,0))*(1+IFERROR(INDEX(Работы!$I$2:$I$6000,MATCH($C1052,Работы!$A$2:$A$6000,0))/100,0))*(1-ДисконтТендер),0))</f>
        <v>0</v>
      </c>
      <c r="N1052" s="10">
        <f t="shared" si="48"/>
        <v>0</v>
      </c>
      <c r="O1052" s="10">
        <f t="shared" si="49"/>
        <v>0</v>
      </c>
      <c r="P1052" s="10">
        <f t="shared" si="50"/>
        <v>0</v>
      </c>
      <c r="Q1052" t="str">
        <f>IFERROR(INDEX(Работы!$J$2:$J$6000,MATCH($C1052,Работы!$A$2:$A$6000,0)),"")</f>
        <v/>
      </c>
      <c r="R1052" t="s">
        <v>92</v>
      </c>
      <c r="T1052" t="str">
        <f>IF(AND($P1052&gt;0,$R1052="да"),MAX($T$1:$T1051)+1,"")</f>
        <v/>
      </c>
    </row>
    <row r="1053" spans="1:20" x14ac:dyDescent="0.3">
      <c r="A1053" s="11" t="str">
        <f>IFERROR(INDEX(Работы!$D$2:$D$6000,MATCH($C1053,Работы!$A$2:$A$6000,0)),"")</f>
        <v/>
      </c>
      <c r="B1053" t="str">
        <f>IFERROR(INDEX(Работы!$F$2:$F$6000,MATCH($C1053,Работы!$A$2:$A$6000,0)),"")</f>
        <v/>
      </c>
      <c r="C1053">
        <f>IFERROR(INDEX(Работы!$A$2:$A$6000,1052),"")</f>
        <v>0</v>
      </c>
      <c r="D1053" s="8" t="str">
        <f>IFERROR(INDEX(Работы!$B$2:$B$6000,MATCH($C1053,Работы!$A$2:$A$6000,0)),"")</f>
        <v/>
      </c>
      <c r="E1053" t="str">
        <f>IFERROR(INDEX(Работы!$C$2:$C$6000,MATCH($C1053,Работы!$A$2:$A$6000,0)),"")</f>
        <v/>
      </c>
      <c r="F1053" t="str">
        <f>IFERROR(INDEX(Работы!$G$2:$G$6000,MATCH($C1053,Работы!$A$2:$A$6000,0)),"")</f>
        <v/>
      </c>
      <c r="G1053" t="str">
        <f>IFERROR(INDEX(Работы!$K$2:$K$6000,MATCH($C1053,Работы!$A$2:$A$6000,0)),"")</f>
        <v/>
      </c>
      <c r="H1053" s="9"/>
      <c r="I1053" s="9"/>
      <c r="J1053" s="8" t="str">
        <f>IFERROR(INDEX(Материалы!$B$2:$B$9000,MATCH($I1053,Материалы!$A$2:$A$9000,0)),"")</f>
        <v/>
      </c>
      <c r="K1053" t="str">
        <f>IF($I1053="","",IF($F1053=IFERROR(INDEX(Материалы!$G$2:$G$9000,MATCH($I1053,Материалы!$A$2:$A$9000,0)),""),"OK","!! не та группа"))</f>
        <v/>
      </c>
      <c r="L1053" s="10">
        <f>IFERROR(INDEX(Работы!$H$2:$H$6000,MATCH($C1053,Работы!$A$2:$A$6000,0))*(1-ДисконтТендер),0)</f>
        <v>0</v>
      </c>
      <c r="M1053" s="10">
        <f>IF($I1053="",0,IFERROR(INDEX(Материалы!$I$2:$I$9000,MATCH($I1053,Материалы!$A$2:$A$9000,0))*IF(INDEX(Материалы!$J$2:$J$9000,MATCH($I1053,Материалы!$A$2:$A$9000,0))="USD",КурсUSD,IF(INDEX(Материалы!$J$2:$J$9000,MATCH($I1053,Материалы!$A$2:$A$9000,0))="EUR",КурсEUR,1))*INDEX(Материалы!$K$2:$K$9000,MATCH($I1053,Материалы!$A$2:$A$9000,0))*(1+IFERROR(INDEX(Работы!$I$2:$I$6000,MATCH($C1053,Работы!$A$2:$A$6000,0))/100,0))*(1-ДисконтТендер),0))</f>
        <v>0</v>
      </c>
      <c r="N1053" s="10">
        <f t="shared" si="48"/>
        <v>0</v>
      </c>
      <c r="O1053" s="10">
        <f t="shared" si="49"/>
        <v>0</v>
      </c>
      <c r="P1053" s="10">
        <f t="shared" si="50"/>
        <v>0</v>
      </c>
      <c r="Q1053" t="str">
        <f>IFERROR(INDEX(Работы!$J$2:$J$6000,MATCH($C1053,Работы!$A$2:$A$6000,0)),"")</f>
        <v/>
      </c>
      <c r="R1053" t="s">
        <v>92</v>
      </c>
      <c r="T1053" t="str">
        <f>IF(AND($P1053&gt;0,$R1053="да"),MAX($T$1:$T1052)+1,"")</f>
        <v/>
      </c>
    </row>
    <row r="1054" spans="1:20" x14ac:dyDescent="0.3">
      <c r="A1054" s="11" t="str">
        <f>IFERROR(INDEX(Работы!$D$2:$D$6000,MATCH($C1054,Работы!$A$2:$A$6000,0)),"")</f>
        <v/>
      </c>
      <c r="B1054" t="str">
        <f>IFERROR(INDEX(Работы!$F$2:$F$6000,MATCH($C1054,Работы!$A$2:$A$6000,0)),"")</f>
        <v/>
      </c>
      <c r="C1054">
        <f>IFERROR(INDEX(Работы!$A$2:$A$6000,1053),"")</f>
        <v>0</v>
      </c>
      <c r="D1054" s="8" t="str">
        <f>IFERROR(INDEX(Работы!$B$2:$B$6000,MATCH($C1054,Работы!$A$2:$A$6000,0)),"")</f>
        <v/>
      </c>
      <c r="E1054" t="str">
        <f>IFERROR(INDEX(Работы!$C$2:$C$6000,MATCH($C1054,Работы!$A$2:$A$6000,0)),"")</f>
        <v/>
      </c>
      <c r="F1054" t="str">
        <f>IFERROR(INDEX(Работы!$G$2:$G$6000,MATCH($C1054,Работы!$A$2:$A$6000,0)),"")</f>
        <v/>
      </c>
      <c r="G1054" t="str">
        <f>IFERROR(INDEX(Работы!$K$2:$K$6000,MATCH($C1054,Работы!$A$2:$A$6000,0)),"")</f>
        <v/>
      </c>
      <c r="H1054" s="9"/>
      <c r="I1054" s="9"/>
      <c r="J1054" s="8" t="str">
        <f>IFERROR(INDEX(Материалы!$B$2:$B$9000,MATCH($I1054,Материалы!$A$2:$A$9000,0)),"")</f>
        <v/>
      </c>
      <c r="K1054" t="str">
        <f>IF($I1054="","",IF($F1054=IFERROR(INDEX(Материалы!$G$2:$G$9000,MATCH($I1054,Материалы!$A$2:$A$9000,0)),""),"OK","!! не та группа"))</f>
        <v/>
      </c>
      <c r="L1054" s="10">
        <f>IFERROR(INDEX(Работы!$H$2:$H$6000,MATCH($C1054,Работы!$A$2:$A$6000,0))*(1-ДисконтТендер),0)</f>
        <v>0</v>
      </c>
      <c r="M1054" s="10">
        <f>IF($I1054="",0,IFERROR(INDEX(Материалы!$I$2:$I$9000,MATCH($I1054,Материалы!$A$2:$A$9000,0))*IF(INDEX(Материалы!$J$2:$J$9000,MATCH($I1054,Материалы!$A$2:$A$9000,0))="USD",КурсUSD,IF(INDEX(Материалы!$J$2:$J$9000,MATCH($I1054,Материалы!$A$2:$A$9000,0))="EUR",КурсEUR,1))*INDEX(Материалы!$K$2:$K$9000,MATCH($I1054,Материалы!$A$2:$A$9000,0))*(1+IFERROR(INDEX(Работы!$I$2:$I$6000,MATCH($C1054,Работы!$A$2:$A$6000,0))/100,0))*(1-ДисконтТендер),0))</f>
        <v>0</v>
      </c>
      <c r="N1054" s="10">
        <f t="shared" si="48"/>
        <v>0</v>
      </c>
      <c r="O1054" s="10">
        <f t="shared" si="49"/>
        <v>0</v>
      </c>
      <c r="P1054" s="10">
        <f t="shared" si="50"/>
        <v>0</v>
      </c>
      <c r="Q1054" t="str">
        <f>IFERROR(INDEX(Работы!$J$2:$J$6000,MATCH($C1054,Работы!$A$2:$A$6000,0)),"")</f>
        <v/>
      </c>
      <c r="R1054" t="s">
        <v>92</v>
      </c>
      <c r="T1054" t="str">
        <f>IF(AND($P1054&gt;0,$R1054="да"),MAX($T$1:$T1053)+1,"")</f>
        <v/>
      </c>
    </row>
    <row r="1055" spans="1:20" x14ac:dyDescent="0.3">
      <c r="A1055" s="11" t="str">
        <f>IFERROR(INDEX(Работы!$D$2:$D$6000,MATCH($C1055,Работы!$A$2:$A$6000,0)),"")</f>
        <v/>
      </c>
      <c r="B1055" t="str">
        <f>IFERROR(INDEX(Работы!$F$2:$F$6000,MATCH($C1055,Работы!$A$2:$A$6000,0)),"")</f>
        <v/>
      </c>
      <c r="C1055">
        <f>IFERROR(INDEX(Работы!$A$2:$A$6000,1054),"")</f>
        <v>0</v>
      </c>
      <c r="D1055" s="8" t="str">
        <f>IFERROR(INDEX(Работы!$B$2:$B$6000,MATCH($C1055,Работы!$A$2:$A$6000,0)),"")</f>
        <v/>
      </c>
      <c r="E1055" t="str">
        <f>IFERROR(INDEX(Работы!$C$2:$C$6000,MATCH($C1055,Работы!$A$2:$A$6000,0)),"")</f>
        <v/>
      </c>
      <c r="F1055" t="str">
        <f>IFERROR(INDEX(Работы!$G$2:$G$6000,MATCH($C1055,Работы!$A$2:$A$6000,0)),"")</f>
        <v/>
      </c>
      <c r="G1055" t="str">
        <f>IFERROR(INDEX(Работы!$K$2:$K$6000,MATCH($C1055,Работы!$A$2:$A$6000,0)),"")</f>
        <v/>
      </c>
      <c r="H1055" s="9"/>
      <c r="I1055" s="9"/>
      <c r="J1055" s="8" t="str">
        <f>IFERROR(INDEX(Материалы!$B$2:$B$9000,MATCH($I1055,Материалы!$A$2:$A$9000,0)),"")</f>
        <v/>
      </c>
      <c r="K1055" t="str">
        <f>IF($I1055="","",IF($F1055=IFERROR(INDEX(Материалы!$G$2:$G$9000,MATCH($I1055,Материалы!$A$2:$A$9000,0)),""),"OK","!! не та группа"))</f>
        <v/>
      </c>
      <c r="L1055" s="10">
        <f>IFERROR(INDEX(Работы!$H$2:$H$6000,MATCH($C1055,Работы!$A$2:$A$6000,0))*(1-ДисконтТендер),0)</f>
        <v>0</v>
      </c>
      <c r="M1055" s="10">
        <f>IF($I1055="",0,IFERROR(INDEX(Материалы!$I$2:$I$9000,MATCH($I1055,Материалы!$A$2:$A$9000,0))*IF(INDEX(Материалы!$J$2:$J$9000,MATCH($I1055,Материалы!$A$2:$A$9000,0))="USD",КурсUSD,IF(INDEX(Материалы!$J$2:$J$9000,MATCH($I1055,Материалы!$A$2:$A$9000,0))="EUR",КурсEUR,1))*INDEX(Материалы!$K$2:$K$9000,MATCH($I1055,Материалы!$A$2:$A$9000,0))*(1+IFERROR(INDEX(Работы!$I$2:$I$6000,MATCH($C1055,Работы!$A$2:$A$6000,0))/100,0))*(1-ДисконтТендер),0))</f>
        <v>0</v>
      </c>
      <c r="N1055" s="10">
        <f t="shared" si="48"/>
        <v>0</v>
      </c>
      <c r="O1055" s="10">
        <f t="shared" si="49"/>
        <v>0</v>
      </c>
      <c r="P1055" s="10">
        <f t="shared" si="50"/>
        <v>0</v>
      </c>
      <c r="Q1055" t="str">
        <f>IFERROR(INDEX(Работы!$J$2:$J$6000,MATCH($C1055,Работы!$A$2:$A$6000,0)),"")</f>
        <v/>
      </c>
      <c r="R1055" t="s">
        <v>92</v>
      </c>
      <c r="T1055" t="str">
        <f>IF(AND($P1055&gt;0,$R1055="да"),MAX($T$1:$T1054)+1,"")</f>
        <v/>
      </c>
    </row>
    <row r="1056" spans="1:20" x14ac:dyDescent="0.3">
      <c r="A1056" s="11" t="str">
        <f>IFERROR(INDEX(Работы!$D$2:$D$6000,MATCH($C1056,Работы!$A$2:$A$6000,0)),"")</f>
        <v/>
      </c>
      <c r="B1056" t="str">
        <f>IFERROR(INDEX(Работы!$F$2:$F$6000,MATCH($C1056,Работы!$A$2:$A$6000,0)),"")</f>
        <v/>
      </c>
      <c r="C1056">
        <f>IFERROR(INDEX(Работы!$A$2:$A$6000,1055),"")</f>
        <v>0</v>
      </c>
      <c r="D1056" s="8" t="str">
        <f>IFERROR(INDEX(Работы!$B$2:$B$6000,MATCH($C1056,Работы!$A$2:$A$6000,0)),"")</f>
        <v/>
      </c>
      <c r="E1056" t="str">
        <f>IFERROR(INDEX(Работы!$C$2:$C$6000,MATCH($C1056,Работы!$A$2:$A$6000,0)),"")</f>
        <v/>
      </c>
      <c r="F1056" t="str">
        <f>IFERROR(INDEX(Работы!$G$2:$G$6000,MATCH($C1056,Работы!$A$2:$A$6000,0)),"")</f>
        <v/>
      </c>
      <c r="G1056" t="str">
        <f>IFERROR(INDEX(Работы!$K$2:$K$6000,MATCH($C1056,Работы!$A$2:$A$6000,0)),"")</f>
        <v/>
      </c>
      <c r="H1056" s="9"/>
      <c r="I1056" s="9"/>
      <c r="J1056" s="8" t="str">
        <f>IFERROR(INDEX(Материалы!$B$2:$B$9000,MATCH($I1056,Материалы!$A$2:$A$9000,0)),"")</f>
        <v/>
      </c>
      <c r="K1056" t="str">
        <f>IF($I1056="","",IF($F1056=IFERROR(INDEX(Материалы!$G$2:$G$9000,MATCH($I1056,Материалы!$A$2:$A$9000,0)),""),"OK","!! не та группа"))</f>
        <v/>
      </c>
      <c r="L1056" s="10">
        <f>IFERROR(INDEX(Работы!$H$2:$H$6000,MATCH($C1056,Работы!$A$2:$A$6000,0))*(1-ДисконтТендер),0)</f>
        <v>0</v>
      </c>
      <c r="M1056" s="10">
        <f>IF($I1056="",0,IFERROR(INDEX(Материалы!$I$2:$I$9000,MATCH($I1056,Материалы!$A$2:$A$9000,0))*IF(INDEX(Материалы!$J$2:$J$9000,MATCH($I1056,Материалы!$A$2:$A$9000,0))="USD",КурсUSD,IF(INDEX(Материалы!$J$2:$J$9000,MATCH($I1056,Материалы!$A$2:$A$9000,0))="EUR",КурсEUR,1))*INDEX(Материалы!$K$2:$K$9000,MATCH($I1056,Материалы!$A$2:$A$9000,0))*(1+IFERROR(INDEX(Работы!$I$2:$I$6000,MATCH($C1056,Работы!$A$2:$A$6000,0))/100,0))*(1-ДисконтТендер),0))</f>
        <v>0</v>
      </c>
      <c r="N1056" s="10">
        <f t="shared" si="48"/>
        <v>0</v>
      </c>
      <c r="O1056" s="10">
        <f t="shared" si="49"/>
        <v>0</v>
      </c>
      <c r="P1056" s="10">
        <f t="shared" si="50"/>
        <v>0</v>
      </c>
      <c r="Q1056" t="str">
        <f>IFERROR(INDEX(Работы!$J$2:$J$6000,MATCH($C1056,Работы!$A$2:$A$6000,0)),"")</f>
        <v/>
      </c>
      <c r="R1056" t="s">
        <v>92</v>
      </c>
      <c r="T1056" t="str">
        <f>IF(AND($P1056&gt;0,$R1056="да"),MAX($T$1:$T1055)+1,"")</f>
        <v/>
      </c>
    </row>
    <row r="1057" spans="1:20" x14ac:dyDescent="0.3">
      <c r="A1057" s="11" t="str">
        <f>IFERROR(INDEX(Работы!$D$2:$D$6000,MATCH($C1057,Работы!$A$2:$A$6000,0)),"")</f>
        <v/>
      </c>
      <c r="B1057" t="str">
        <f>IFERROR(INDEX(Работы!$F$2:$F$6000,MATCH($C1057,Работы!$A$2:$A$6000,0)),"")</f>
        <v/>
      </c>
      <c r="C1057">
        <f>IFERROR(INDEX(Работы!$A$2:$A$6000,1056),"")</f>
        <v>0</v>
      </c>
      <c r="D1057" s="8" t="str">
        <f>IFERROR(INDEX(Работы!$B$2:$B$6000,MATCH($C1057,Работы!$A$2:$A$6000,0)),"")</f>
        <v/>
      </c>
      <c r="E1057" t="str">
        <f>IFERROR(INDEX(Работы!$C$2:$C$6000,MATCH($C1057,Работы!$A$2:$A$6000,0)),"")</f>
        <v/>
      </c>
      <c r="F1057" t="str">
        <f>IFERROR(INDEX(Работы!$G$2:$G$6000,MATCH($C1057,Работы!$A$2:$A$6000,0)),"")</f>
        <v/>
      </c>
      <c r="G1057" t="str">
        <f>IFERROR(INDEX(Работы!$K$2:$K$6000,MATCH($C1057,Работы!$A$2:$A$6000,0)),"")</f>
        <v/>
      </c>
      <c r="H1057" s="9"/>
      <c r="I1057" s="9"/>
      <c r="J1057" s="8" t="str">
        <f>IFERROR(INDEX(Материалы!$B$2:$B$9000,MATCH($I1057,Материалы!$A$2:$A$9000,0)),"")</f>
        <v/>
      </c>
      <c r="K1057" t="str">
        <f>IF($I1057="","",IF($F1057=IFERROR(INDEX(Материалы!$G$2:$G$9000,MATCH($I1057,Материалы!$A$2:$A$9000,0)),""),"OK","!! не та группа"))</f>
        <v/>
      </c>
      <c r="L1057" s="10">
        <f>IFERROR(INDEX(Работы!$H$2:$H$6000,MATCH($C1057,Работы!$A$2:$A$6000,0))*(1-ДисконтТендер),0)</f>
        <v>0</v>
      </c>
      <c r="M1057" s="10">
        <f>IF($I1057="",0,IFERROR(INDEX(Материалы!$I$2:$I$9000,MATCH($I1057,Материалы!$A$2:$A$9000,0))*IF(INDEX(Материалы!$J$2:$J$9000,MATCH($I1057,Материалы!$A$2:$A$9000,0))="USD",КурсUSD,IF(INDEX(Материалы!$J$2:$J$9000,MATCH($I1057,Материалы!$A$2:$A$9000,0))="EUR",КурсEUR,1))*INDEX(Материалы!$K$2:$K$9000,MATCH($I1057,Материалы!$A$2:$A$9000,0))*(1+IFERROR(INDEX(Работы!$I$2:$I$6000,MATCH($C1057,Работы!$A$2:$A$6000,0))/100,0))*(1-ДисконтТендер),0))</f>
        <v>0</v>
      </c>
      <c r="N1057" s="10">
        <f t="shared" si="48"/>
        <v>0</v>
      </c>
      <c r="O1057" s="10">
        <f t="shared" si="49"/>
        <v>0</v>
      </c>
      <c r="P1057" s="10">
        <f t="shared" si="50"/>
        <v>0</v>
      </c>
      <c r="Q1057" t="str">
        <f>IFERROR(INDEX(Работы!$J$2:$J$6000,MATCH($C1057,Работы!$A$2:$A$6000,0)),"")</f>
        <v/>
      </c>
      <c r="R1057" t="s">
        <v>92</v>
      </c>
      <c r="T1057" t="str">
        <f>IF(AND($P1057&gt;0,$R1057="да"),MAX($T$1:$T1056)+1,"")</f>
        <v/>
      </c>
    </row>
    <row r="1058" spans="1:20" x14ac:dyDescent="0.3">
      <c r="A1058" s="11" t="str">
        <f>IFERROR(INDEX(Работы!$D$2:$D$6000,MATCH($C1058,Работы!$A$2:$A$6000,0)),"")</f>
        <v/>
      </c>
      <c r="B1058" t="str">
        <f>IFERROR(INDEX(Работы!$F$2:$F$6000,MATCH($C1058,Работы!$A$2:$A$6000,0)),"")</f>
        <v/>
      </c>
      <c r="C1058">
        <f>IFERROR(INDEX(Работы!$A$2:$A$6000,1057),"")</f>
        <v>0</v>
      </c>
      <c r="D1058" s="8" t="str">
        <f>IFERROR(INDEX(Работы!$B$2:$B$6000,MATCH($C1058,Работы!$A$2:$A$6000,0)),"")</f>
        <v/>
      </c>
      <c r="E1058" t="str">
        <f>IFERROR(INDEX(Работы!$C$2:$C$6000,MATCH($C1058,Работы!$A$2:$A$6000,0)),"")</f>
        <v/>
      </c>
      <c r="F1058" t="str">
        <f>IFERROR(INDEX(Работы!$G$2:$G$6000,MATCH($C1058,Работы!$A$2:$A$6000,0)),"")</f>
        <v/>
      </c>
      <c r="G1058" t="str">
        <f>IFERROR(INDEX(Работы!$K$2:$K$6000,MATCH($C1058,Работы!$A$2:$A$6000,0)),"")</f>
        <v/>
      </c>
      <c r="H1058" s="9"/>
      <c r="I1058" s="9"/>
      <c r="J1058" s="8" t="str">
        <f>IFERROR(INDEX(Материалы!$B$2:$B$9000,MATCH($I1058,Материалы!$A$2:$A$9000,0)),"")</f>
        <v/>
      </c>
      <c r="K1058" t="str">
        <f>IF($I1058="","",IF($F1058=IFERROR(INDEX(Материалы!$G$2:$G$9000,MATCH($I1058,Материалы!$A$2:$A$9000,0)),""),"OK","!! не та группа"))</f>
        <v/>
      </c>
      <c r="L1058" s="10">
        <f>IFERROR(INDEX(Работы!$H$2:$H$6000,MATCH($C1058,Работы!$A$2:$A$6000,0))*(1-ДисконтТендер),0)</f>
        <v>0</v>
      </c>
      <c r="M1058" s="10">
        <f>IF($I1058="",0,IFERROR(INDEX(Материалы!$I$2:$I$9000,MATCH($I1058,Материалы!$A$2:$A$9000,0))*IF(INDEX(Материалы!$J$2:$J$9000,MATCH($I1058,Материалы!$A$2:$A$9000,0))="USD",КурсUSD,IF(INDEX(Материалы!$J$2:$J$9000,MATCH($I1058,Материалы!$A$2:$A$9000,0))="EUR",КурсEUR,1))*INDEX(Материалы!$K$2:$K$9000,MATCH($I1058,Материалы!$A$2:$A$9000,0))*(1+IFERROR(INDEX(Работы!$I$2:$I$6000,MATCH($C1058,Работы!$A$2:$A$6000,0))/100,0))*(1-ДисконтТендер),0))</f>
        <v>0</v>
      </c>
      <c r="N1058" s="10">
        <f t="shared" si="48"/>
        <v>0</v>
      </c>
      <c r="O1058" s="10">
        <f t="shared" si="49"/>
        <v>0</v>
      </c>
      <c r="P1058" s="10">
        <f t="shared" si="50"/>
        <v>0</v>
      </c>
      <c r="Q1058" t="str">
        <f>IFERROR(INDEX(Работы!$J$2:$J$6000,MATCH($C1058,Работы!$A$2:$A$6000,0)),"")</f>
        <v/>
      </c>
      <c r="R1058" t="s">
        <v>92</v>
      </c>
      <c r="T1058" t="str">
        <f>IF(AND($P1058&gt;0,$R1058="да"),MAX($T$1:$T1057)+1,"")</f>
        <v/>
      </c>
    </row>
    <row r="1059" spans="1:20" x14ac:dyDescent="0.3">
      <c r="A1059" s="11" t="str">
        <f>IFERROR(INDEX(Работы!$D$2:$D$6000,MATCH($C1059,Работы!$A$2:$A$6000,0)),"")</f>
        <v/>
      </c>
      <c r="B1059" t="str">
        <f>IFERROR(INDEX(Работы!$F$2:$F$6000,MATCH($C1059,Работы!$A$2:$A$6000,0)),"")</f>
        <v/>
      </c>
      <c r="C1059">
        <f>IFERROR(INDEX(Работы!$A$2:$A$6000,1058),"")</f>
        <v>0</v>
      </c>
      <c r="D1059" s="8" t="str">
        <f>IFERROR(INDEX(Работы!$B$2:$B$6000,MATCH($C1059,Работы!$A$2:$A$6000,0)),"")</f>
        <v/>
      </c>
      <c r="E1059" t="str">
        <f>IFERROR(INDEX(Работы!$C$2:$C$6000,MATCH($C1059,Работы!$A$2:$A$6000,0)),"")</f>
        <v/>
      </c>
      <c r="F1059" t="str">
        <f>IFERROR(INDEX(Работы!$G$2:$G$6000,MATCH($C1059,Работы!$A$2:$A$6000,0)),"")</f>
        <v/>
      </c>
      <c r="G1059" t="str">
        <f>IFERROR(INDEX(Работы!$K$2:$K$6000,MATCH($C1059,Работы!$A$2:$A$6000,0)),"")</f>
        <v/>
      </c>
      <c r="H1059" s="9"/>
      <c r="I1059" s="9"/>
      <c r="J1059" s="8" t="str">
        <f>IFERROR(INDEX(Материалы!$B$2:$B$9000,MATCH($I1059,Материалы!$A$2:$A$9000,0)),"")</f>
        <v/>
      </c>
      <c r="K1059" t="str">
        <f>IF($I1059="","",IF($F1059=IFERROR(INDEX(Материалы!$G$2:$G$9000,MATCH($I1059,Материалы!$A$2:$A$9000,0)),""),"OK","!! не та группа"))</f>
        <v/>
      </c>
      <c r="L1059" s="10">
        <f>IFERROR(INDEX(Работы!$H$2:$H$6000,MATCH($C1059,Работы!$A$2:$A$6000,0))*(1-ДисконтТендер),0)</f>
        <v>0</v>
      </c>
      <c r="M1059" s="10">
        <f>IF($I1059="",0,IFERROR(INDEX(Материалы!$I$2:$I$9000,MATCH($I1059,Материалы!$A$2:$A$9000,0))*IF(INDEX(Материалы!$J$2:$J$9000,MATCH($I1059,Материалы!$A$2:$A$9000,0))="USD",КурсUSD,IF(INDEX(Материалы!$J$2:$J$9000,MATCH($I1059,Материалы!$A$2:$A$9000,0))="EUR",КурсEUR,1))*INDEX(Материалы!$K$2:$K$9000,MATCH($I1059,Материалы!$A$2:$A$9000,0))*(1+IFERROR(INDEX(Работы!$I$2:$I$6000,MATCH($C1059,Работы!$A$2:$A$6000,0))/100,0))*(1-ДисконтТендер),0))</f>
        <v>0</v>
      </c>
      <c r="N1059" s="10">
        <f t="shared" si="48"/>
        <v>0</v>
      </c>
      <c r="O1059" s="10">
        <f t="shared" si="49"/>
        <v>0</v>
      </c>
      <c r="P1059" s="10">
        <f t="shared" si="50"/>
        <v>0</v>
      </c>
      <c r="Q1059" t="str">
        <f>IFERROR(INDEX(Работы!$J$2:$J$6000,MATCH($C1059,Работы!$A$2:$A$6000,0)),"")</f>
        <v/>
      </c>
      <c r="R1059" t="s">
        <v>92</v>
      </c>
      <c r="T1059" t="str">
        <f>IF(AND($P1059&gt;0,$R1059="да"),MAX($T$1:$T1058)+1,"")</f>
        <v/>
      </c>
    </row>
    <row r="1060" spans="1:20" x14ac:dyDescent="0.3">
      <c r="A1060" s="11" t="str">
        <f>IFERROR(INDEX(Работы!$D$2:$D$6000,MATCH($C1060,Работы!$A$2:$A$6000,0)),"")</f>
        <v/>
      </c>
      <c r="B1060" t="str">
        <f>IFERROR(INDEX(Работы!$F$2:$F$6000,MATCH($C1060,Работы!$A$2:$A$6000,0)),"")</f>
        <v/>
      </c>
      <c r="C1060">
        <f>IFERROR(INDEX(Работы!$A$2:$A$6000,1059),"")</f>
        <v>0</v>
      </c>
      <c r="D1060" s="8" t="str">
        <f>IFERROR(INDEX(Работы!$B$2:$B$6000,MATCH($C1060,Работы!$A$2:$A$6000,0)),"")</f>
        <v/>
      </c>
      <c r="E1060" t="str">
        <f>IFERROR(INDEX(Работы!$C$2:$C$6000,MATCH($C1060,Работы!$A$2:$A$6000,0)),"")</f>
        <v/>
      </c>
      <c r="F1060" t="str">
        <f>IFERROR(INDEX(Работы!$G$2:$G$6000,MATCH($C1060,Работы!$A$2:$A$6000,0)),"")</f>
        <v/>
      </c>
      <c r="G1060" t="str">
        <f>IFERROR(INDEX(Работы!$K$2:$K$6000,MATCH($C1060,Работы!$A$2:$A$6000,0)),"")</f>
        <v/>
      </c>
      <c r="H1060" s="9"/>
      <c r="I1060" s="9"/>
      <c r="J1060" s="8" t="str">
        <f>IFERROR(INDEX(Материалы!$B$2:$B$9000,MATCH($I1060,Материалы!$A$2:$A$9000,0)),"")</f>
        <v/>
      </c>
      <c r="K1060" t="str">
        <f>IF($I1060="","",IF($F1060=IFERROR(INDEX(Материалы!$G$2:$G$9000,MATCH($I1060,Материалы!$A$2:$A$9000,0)),""),"OK","!! не та группа"))</f>
        <v/>
      </c>
      <c r="L1060" s="10">
        <f>IFERROR(INDEX(Работы!$H$2:$H$6000,MATCH($C1060,Работы!$A$2:$A$6000,0))*(1-ДисконтТендер),0)</f>
        <v>0</v>
      </c>
      <c r="M1060" s="10">
        <f>IF($I1060="",0,IFERROR(INDEX(Материалы!$I$2:$I$9000,MATCH($I1060,Материалы!$A$2:$A$9000,0))*IF(INDEX(Материалы!$J$2:$J$9000,MATCH($I1060,Материалы!$A$2:$A$9000,0))="USD",КурсUSD,IF(INDEX(Материалы!$J$2:$J$9000,MATCH($I1060,Материалы!$A$2:$A$9000,0))="EUR",КурсEUR,1))*INDEX(Материалы!$K$2:$K$9000,MATCH($I1060,Материалы!$A$2:$A$9000,0))*(1+IFERROR(INDEX(Работы!$I$2:$I$6000,MATCH($C1060,Работы!$A$2:$A$6000,0))/100,0))*(1-ДисконтТендер),0))</f>
        <v>0</v>
      </c>
      <c r="N1060" s="10">
        <f t="shared" si="48"/>
        <v>0</v>
      </c>
      <c r="O1060" s="10">
        <f t="shared" si="49"/>
        <v>0</v>
      </c>
      <c r="P1060" s="10">
        <f t="shared" si="50"/>
        <v>0</v>
      </c>
      <c r="Q1060" t="str">
        <f>IFERROR(INDEX(Работы!$J$2:$J$6000,MATCH($C1060,Работы!$A$2:$A$6000,0)),"")</f>
        <v/>
      </c>
      <c r="R1060" t="s">
        <v>92</v>
      </c>
      <c r="T1060" t="str">
        <f>IF(AND($P1060&gt;0,$R1060="да"),MAX($T$1:$T1059)+1,"")</f>
        <v/>
      </c>
    </row>
    <row r="1061" spans="1:20" x14ac:dyDescent="0.3">
      <c r="A1061" s="11" t="str">
        <f>IFERROR(INDEX(Работы!$D$2:$D$6000,MATCH($C1061,Работы!$A$2:$A$6000,0)),"")</f>
        <v/>
      </c>
      <c r="B1061" t="str">
        <f>IFERROR(INDEX(Работы!$F$2:$F$6000,MATCH($C1061,Работы!$A$2:$A$6000,0)),"")</f>
        <v/>
      </c>
      <c r="C1061">
        <f>IFERROR(INDEX(Работы!$A$2:$A$6000,1060),"")</f>
        <v>0</v>
      </c>
      <c r="D1061" s="8" t="str">
        <f>IFERROR(INDEX(Работы!$B$2:$B$6000,MATCH($C1061,Работы!$A$2:$A$6000,0)),"")</f>
        <v/>
      </c>
      <c r="E1061" t="str">
        <f>IFERROR(INDEX(Работы!$C$2:$C$6000,MATCH($C1061,Работы!$A$2:$A$6000,0)),"")</f>
        <v/>
      </c>
      <c r="F1061" t="str">
        <f>IFERROR(INDEX(Работы!$G$2:$G$6000,MATCH($C1061,Работы!$A$2:$A$6000,0)),"")</f>
        <v/>
      </c>
      <c r="G1061" t="str">
        <f>IFERROR(INDEX(Работы!$K$2:$K$6000,MATCH($C1061,Работы!$A$2:$A$6000,0)),"")</f>
        <v/>
      </c>
      <c r="H1061" s="9"/>
      <c r="I1061" s="9"/>
      <c r="J1061" s="8" t="str">
        <f>IFERROR(INDEX(Материалы!$B$2:$B$9000,MATCH($I1061,Материалы!$A$2:$A$9000,0)),"")</f>
        <v/>
      </c>
      <c r="K1061" t="str">
        <f>IF($I1061="","",IF($F1061=IFERROR(INDEX(Материалы!$G$2:$G$9000,MATCH($I1061,Материалы!$A$2:$A$9000,0)),""),"OK","!! не та группа"))</f>
        <v/>
      </c>
      <c r="L1061" s="10">
        <f>IFERROR(INDEX(Работы!$H$2:$H$6000,MATCH($C1061,Работы!$A$2:$A$6000,0))*(1-ДисконтТендер),0)</f>
        <v>0</v>
      </c>
      <c r="M1061" s="10">
        <f>IF($I1061="",0,IFERROR(INDEX(Материалы!$I$2:$I$9000,MATCH($I1061,Материалы!$A$2:$A$9000,0))*IF(INDEX(Материалы!$J$2:$J$9000,MATCH($I1061,Материалы!$A$2:$A$9000,0))="USD",КурсUSD,IF(INDEX(Материалы!$J$2:$J$9000,MATCH($I1061,Материалы!$A$2:$A$9000,0))="EUR",КурсEUR,1))*INDEX(Материалы!$K$2:$K$9000,MATCH($I1061,Материалы!$A$2:$A$9000,0))*(1+IFERROR(INDEX(Работы!$I$2:$I$6000,MATCH($C1061,Работы!$A$2:$A$6000,0))/100,0))*(1-ДисконтТендер),0))</f>
        <v>0</v>
      </c>
      <c r="N1061" s="10">
        <f t="shared" si="48"/>
        <v>0</v>
      </c>
      <c r="O1061" s="10">
        <f t="shared" si="49"/>
        <v>0</v>
      </c>
      <c r="P1061" s="10">
        <f t="shared" si="50"/>
        <v>0</v>
      </c>
      <c r="Q1061" t="str">
        <f>IFERROR(INDEX(Работы!$J$2:$J$6000,MATCH($C1061,Работы!$A$2:$A$6000,0)),"")</f>
        <v/>
      </c>
      <c r="R1061" t="s">
        <v>92</v>
      </c>
      <c r="T1061" t="str">
        <f>IF(AND($P1061&gt;0,$R1061="да"),MAX($T$1:$T1060)+1,"")</f>
        <v/>
      </c>
    </row>
    <row r="1062" spans="1:20" x14ac:dyDescent="0.3">
      <c r="A1062" s="11" t="str">
        <f>IFERROR(INDEX(Работы!$D$2:$D$6000,MATCH($C1062,Работы!$A$2:$A$6000,0)),"")</f>
        <v/>
      </c>
      <c r="B1062" t="str">
        <f>IFERROR(INDEX(Работы!$F$2:$F$6000,MATCH($C1062,Работы!$A$2:$A$6000,0)),"")</f>
        <v/>
      </c>
      <c r="C1062">
        <f>IFERROR(INDEX(Работы!$A$2:$A$6000,1061),"")</f>
        <v>0</v>
      </c>
      <c r="D1062" s="8" t="str">
        <f>IFERROR(INDEX(Работы!$B$2:$B$6000,MATCH($C1062,Работы!$A$2:$A$6000,0)),"")</f>
        <v/>
      </c>
      <c r="E1062" t="str">
        <f>IFERROR(INDEX(Работы!$C$2:$C$6000,MATCH($C1062,Работы!$A$2:$A$6000,0)),"")</f>
        <v/>
      </c>
      <c r="F1062" t="str">
        <f>IFERROR(INDEX(Работы!$G$2:$G$6000,MATCH($C1062,Работы!$A$2:$A$6000,0)),"")</f>
        <v/>
      </c>
      <c r="G1062" t="str">
        <f>IFERROR(INDEX(Работы!$K$2:$K$6000,MATCH($C1062,Работы!$A$2:$A$6000,0)),"")</f>
        <v/>
      </c>
      <c r="H1062" s="9"/>
      <c r="I1062" s="9"/>
      <c r="J1062" s="8" t="str">
        <f>IFERROR(INDEX(Материалы!$B$2:$B$9000,MATCH($I1062,Материалы!$A$2:$A$9000,0)),"")</f>
        <v/>
      </c>
      <c r="K1062" t="str">
        <f>IF($I1062="","",IF($F1062=IFERROR(INDEX(Материалы!$G$2:$G$9000,MATCH($I1062,Материалы!$A$2:$A$9000,0)),""),"OK","!! не та группа"))</f>
        <v/>
      </c>
      <c r="L1062" s="10">
        <f>IFERROR(INDEX(Работы!$H$2:$H$6000,MATCH($C1062,Работы!$A$2:$A$6000,0))*(1-ДисконтТендер),0)</f>
        <v>0</v>
      </c>
      <c r="M1062" s="10">
        <f>IF($I1062="",0,IFERROR(INDEX(Материалы!$I$2:$I$9000,MATCH($I1062,Материалы!$A$2:$A$9000,0))*IF(INDEX(Материалы!$J$2:$J$9000,MATCH($I1062,Материалы!$A$2:$A$9000,0))="USD",КурсUSD,IF(INDEX(Материалы!$J$2:$J$9000,MATCH($I1062,Материалы!$A$2:$A$9000,0))="EUR",КурсEUR,1))*INDEX(Материалы!$K$2:$K$9000,MATCH($I1062,Материалы!$A$2:$A$9000,0))*(1+IFERROR(INDEX(Работы!$I$2:$I$6000,MATCH($C1062,Работы!$A$2:$A$6000,0))/100,0))*(1-ДисконтТендер),0))</f>
        <v>0</v>
      </c>
      <c r="N1062" s="10">
        <f t="shared" si="48"/>
        <v>0</v>
      </c>
      <c r="O1062" s="10">
        <f t="shared" si="49"/>
        <v>0</v>
      </c>
      <c r="P1062" s="10">
        <f t="shared" si="50"/>
        <v>0</v>
      </c>
      <c r="Q1062" t="str">
        <f>IFERROR(INDEX(Работы!$J$2:$J$6000,MATCH($C1062,Работы!$A$2:$A$6000,0)),"")</f>
        <v/>
      </c>
      <c r="R1062" t="s">
        <v>92</v>
      </c>
      <c r="T1062" t="str">
        <f>IF(AND($P1062&gt;0,$R1062="да"),MAX($T$1:$T1061)+1,"")</f>
        <v/>
      </c>
    </row>
    <row r="1063" spans="1:20" x14ac:dyDescent="0.3">
      <c r="A1063" s="11" t="str">
        <f>IFERROR(INDEX(Работы!$D$2:$D$6000,MATCH($C1063,Работы!$A$2:$A$6000,0)),"")</f>
        <v/>
      </c>
      <c r="B1063" t="str">
        <f>IFERROR(INDEX(Работы!$F$2:$F$6000,MATCH($C1063,Работы!$A$2:$A$6000,0)),"")</f>
        <v/>
      </c>
      <c r="C1063">
        <f>IFERROR(INDEX(Работы!$A$2:$A$6000,1062),"")</f>
        <v>0</v>
      </c>
      <c r="D1063" s="8" t="str">
        <f>IFERROR(INDEX(Работы!$B$2:$B$6000,MATCH($C1063,Работы!$A$2:$A$6000,0)),"")</f>
        <v/>
      </c>
      <c r="E1063" t="str">
        <f>IFERROR(INDEX(Работы!$C$2:$C$6000,MATCH($C1063,Работы!$A$2:$A$6000,0)),"")</f>
        <v/>
      </c>
      <c r="F1063" t="str">
        <f>IFERROR(INDEX(Работы!$G$2:$G$6000,MATCH($C1063,Работы!$A$2:$A$6000,0)),"")</f>
        <v/>
      </c>
      <c r="G1063" t="str">
        <f>IFERROR(INDEX(Работы!$K$2:$K$6000,MATCH($C1063,Работы!$A$2:$A$6000,0)),"")</f>
        <v/>
      </c>
      <c r="H1063" s="9"/>
      <c r="I1063" s="9"/>
      <c r="J1063" s="8" t="str">
        <f>IFERROR(INDEX(Материалы!$B$2:$B$9000,MATCH($I1063,Материалы!$A$2:$A$9000,0)),"")</f>
        <v/>
      </c>
      <c r="K1063" t="str">
        <f>IF($I1063="","",IF($F1063=IFERROR(INDEX(Материалы!$G$2:$G$9000,MATCH($I1063,Материалы!$A$2:$A$9000,0)),""),"OK","!! не та группа"))</f>
        <v/>
      </c>
      <c r="L1063" s="10">
        <f>IFERROR(INDEX(Работы!$H$2:$H$6000,MATCH($C1063,Работы!$A$2:$A$6000,0))*(1-ДисконтТендер),0)</f>
        <v>0</v>
      </c>
      <c r="M1063" s="10">
        <f>IF($I1063="",0,IFERROR(INDEX(Материалы!$I$2:$I$9000,MATCH($I1063,Материалы!$A$2:$A$9000,0))*IF(INDEX(Материалы!$J$2:$J$9000,MATCH($I1063,Материалы!$A$2:$A$9000,0))="USD",КурсUSD,IF(INDEX(Материалы!$J$2:$J$9000,MATCH($I1063,Материалы!$A$2:$A$9000,0))="EUR",КурсEUR,1))*INDEX(Материалы!$K$2:$K$9000,MATCH($I1063,Материалы!$A$2:$A$9000,0))*(1+IFERROR(INDEX(Работы!$I$2:$I$6000,MATCH($C1063,Работы!$A$2:$A$6000,0))/100,0))*(1-ДисконтТендер),0))</f>
        <v>0</v>
      </c>
      <c r="N1063" s="10">
        <f t="shared" si="48"/>
        <v>0</v>
      </c>
      <c r="O1063" s="10">
        <f t="shared" si="49"/>
        <v>0</v>
      </c>
      <c r="P1063" s="10">
        <f t="shared" si="50"/>
        <v>0</v>
      </c>
      <c r="Q1063" t="str">
        <f>IFERROR(INDEX(Работы!$J$2:$J$6000,MATCH($C1063,Работы!$A$2:$A$6000,0)),"")</f>
        <v/>
      </c>
      <c r="R1063" t="s">
        <v>92</v>
      </c>
      <c r="T1063" t="str">
        <f>IF(AND($P1063&gt;0,$R1063="да"),MAX($T$1:$T1062)+1,"")</f>
        <v/>
      </c>
    </row>
    <row r="1064" spans="1:20" x14ac:dyDescent="0.3">
      <c r="A1064" s="11" t="str">
        <f>IFERROR(INDEX(Работы!$D$2:$D$6000,MATCH($C1064,Работы!$A$2:$A$6000,0)),"")</f>
        <v/>
      </c>
      <c r="B1064" t="str">
        <f>IFERROR(INDEX(Работы!$F$2:$F$6000,MATCH($C1064,Работы!$A$2:$A$6000,0)),"")</f>
        <v/>
      </c>
      <c r="C1064">
        <f>IFERROR(INDEX(Работы!$A$2:$A$6000,1063),"")</f>
        <v>0</v>
      </c>
      <c r="D1064" s="8" t="str">
        <f>IFERROR(INDEX(Работы!$B$2:$B$6000,MATCH($C1064,Работы!$A$2:$A$6000,0)),"")</f>
        <v/>
      </c>
      <c r="E1064" t="str">
        <f>IFERROR(INDEX(Работы!$C$2:$C$6000,MATCH($C1064,Работы!$A$2:$A$6000,0)),"")</f>
        <v/>
      </c>
      <c r="F1064" t="str">
        <f>IFERROR(INDEX(Работы!$G$2:$G$6000,MATCH($C1064,Работы!$A$2:$A$6000,0)),"")</f>
        <v/>
      </c>
      <c r="G1064" t="str">
        <f>IFERROR(INDEX(Работы!$K$2:$K$6000,MATCH($C1064,Работы!$A$2:$A$6000,0)),"")</f>
        <v/>
      </c>
      <c r="H1064" s="9"/>
      <c r="I1064" s="9"/>
      <c r="J1064" s="8" t="str">
        <f>IFERROR(INDEX(Материалы!$B$2:$B$9000,MATCH($I1064,Материалы!$A$2:$A$9000,0)),"")</f>
        <v/>
      </c>
      <c r="K1064" t="str">
        <f>IF($I1064="","",IF($F1064=IFERROR(INDEX(Материалы!$G$2:$G$9000,MATCH($I1064,Материалы!$A$2:$A$9000,0)),""),"OK","!! не та группа"))</f>
        <v/>
      </c>
      <c r="L1064" s="10">
        <f>IFERROR(INDEX(Работы!$H$2:$H$6000,MATCH($C1064,Работы!$A$2:$A$6000,0))*(1-ДисконтТендер),0)</f>
        <v>0</v>
      </c>
      <c r="M1064" s="10">
        <f>IF($I1064="",0,IFERROR(INDEX(Материалы!$I$2:$I$9000,MATCH($I1064,Материалы!$A$2:$A$9000,0))*IF(INDEX(Материалы!$J$2:$J$9000,MATCH($I1064,Материалы!$A$2:$A$9000,0))="USD",КурсUSD,IF(INDEX(Материалы!$J$2:$J$9000,MATCH($I1064,Материалы!$A$2:$A$9000,0))="EUR",КурсEUR,1))*INDEX(Материалы!$K$2:$K$9000,MATCH($I1064,Материалы!$A$2:$A$9000,0))*(1+IFERROR(INDEX(Работы!$I$2:$I$6000,MATCH($C1064,Работы!$A$2:$A$6000,0))/100,0))*(1-ДисконтТендер),0))</f>
        <v>0</v>
      </c>
      <c r="N1064" s="10">
        <f t="shared" si="48"/>
        <v>0</v>
      </c>
      <c r="O1064" s="10">
        <f t="shared" si="49"/>
        <v>0</v>
      </c>
      <c r="P1064" s="10">
        <f t="shared" si="50"/>
        <v>0</v>
      </c>
      <c r="Q1064" t="str">
        <f>IFERROR(INDEX(Работы!$J$2:$J$6000,MATCH($C1064,Работы!$A$2:$A$6000,0)),"")</f>
        <v/>
      </c>
      <c r="R1064" t="s">
        <v>92</v>
      </c>
      <c r="T1064" t="str">
        <f>IF(AND($P1064&gt;0,$R1064="да"),MAX($T$1:$T1063)+1,"")</f>
        <v/>
      </c>
    </row>
    <row r="1065" spans="1:20" x14ac:dyDescent="0.3">
      <c r="A1065" s="11" t="str">
        <f>IFERROR(INDEX(Работы!$D$2:$D$6000,MATCH($C1065,Работы!$A$2:$A$6000,0)),"")</f>
        <v/>
      </c>
      <c r="B1065" t="str">
        <f>IFERROR(INDEX(Работы!$F$2:$F$6000,MATCH($C1065,Работы!$A$2:$A$6000,0)),"")</f>
        <v/>
      </c>
      <c r="C1065">
        <f>IFERROR(INDEX(Работы!$A$2:$A$6000,1064),"")</f>
        <v>0</v>
      </c>
      <c r="D1065" s="8" t="str">
        <f>IFERROR(INDEX(Работы!$B$2:$B$6000,MATCH($C1065,Работы!$A$2:$A$6000,0)),"")</f>
        <v/>
      </c>
      <c r="E1065" t="str">
        <f>IFERROR(INDEX(Работы!$C$2:$C$6000,MATCH($C1065,Работы!$A$2:$A$6000,0)),"")</f>
        <v/>
      </c>
      <c r="F1065" t="str">
        <f>IFERROR(INDEX(Работы!$G$2:$G$6000,MATCH($C1065,Работы!$A$2:$A$6000,0)),"")</f>
        <v/>
      </c>
      <c r="G1065" t="str">
        <f>IFERROR(INDEX(Работы!$K$2:$K$6000,MATCH($C1065,Работы!$A$2:$A$6000,0)),"")</f>
        <v/>
      </c>
      <c r="H1065" s="9"/>
      <c r="I1065" s="9"/>
      <c r="J1065" s="8" t="str">
        <f>IFERROR(INDEX(Материалы!$B$2:$B$9000,MATCH($I1065,Материалы!$A$2:$A$9000,0)),"")</f>
        <v/>
      </c>
      <c r="K1065" t="str">
        <f>IF($I1065="","",IF($F1065=IFERROR(INDEX(Материалы!$G$2:$G$9000,MATCH($I1065,Материалы!$A$2:$A$9000,0)),""),"OK","!! не та группа"))</f>
        <v/>
      </c>
      <c r="L1065" s="10">
        <f>IFERROR(INDEX(Работы!$H$2:$H$6000,MATCH($C1065,Работы!$A$2:$A$6000,0))*(1-ДисконтТендер),0)</f>
        <v>0</v>
      </c>
      <c r="M1065" s="10">
        <f>IF($I1065="",0,IFERROR(INDEX(Материалы!$I$2:$I$9000,MATCH($I1065,Материалы!$A$2:$A$9000,0))*IF(INDEX(Материалы!$J$2:$J$9000,MATCH($I1065,Материалы!$A$2:$A$9000,0))="USD",КурсUSD,IF(INDEX(Материалы!$J$2:$J$9000,MATCH($I1065,Материалы!$A$2:$A$9000,0))="EUR",КурсEUR,1))*INDEX(Материалы!$K$2:$K$9000,MATCH($I1065,Материалы!$A$2:$A$9000,0))*(1+IFERROR(INDEX(Работы!$I$2:$I$6000,MATCH($C1065,Работы!$A$2:$A$6000,0))/100,0))*(1-ДисконтТендер),0))</f>
        <v>0</v>
      </c>
      <c r="N1065" s="10">
        <f t="shared" si="48"/>
        <v>0</v>
      </c>
      <c r="O1065" s="10">
        <f t="shared" si="49"/>
        <v>0</v>
      </c>
      <c r="P1065" s="10">
        <f t="shared" si="50"/>
        <v>0</v>
      </c>
      <c r="Q1065" t="str">
        <f>IFERROR(INDEX(Работы!$J$2:$J$6000,MATCH($C1065,Работы!$A$2:$A$6000,0)),"")</f>
        <v/>
      </c>
      <c r="R1065" t="s">
        <v>92</v>
      </c>
      <c r="T1065" t="str">
        <f>IF(AND($P1065&gt;0,$R1065="да"),MAX($T$1:$T1064)+1,"")</f>
        <v/>
      </c>
    </row>
    <row r="1066" spans="1:20" x14ac:dyDescent="0.3">
      <c r="A1066" s="11" t="str">
        <f>IFERROR(INDEX(Работы!$D$2:$D$6000,MATCH($C1066,Работы!$A$2:$A$6000,0)),"")</f>
        <v/>
      </c>
      <c r="B1066" t="str">
        <f>IFERROR(INDEX(Работы!$F$2:$F$6000,MATCH($C1066,Работы!$A$2:$A$6000,0)),"")</f>
        <v/>
      </c>
      <c r="C1066">
        <f>IFERROR(INDEX(Работы!$A$2:$A$6000,1065),"")</f>
        <v>0</v>
      </c>
      <c r="D1066" s="8" t="str">
        <f>IFERROR(INDEX(Работы!$B$2:$B$6000,MATCH($C1066,Работы!$A$2:$A$6000,0)),"")</f>
        <v/>
      </c>
      <c r="E1066" t="str">
        <f>IFERROR(INDEX(Работы!$C$2:$C$6000,MATCH($C1066,Работы!$A$2:$A$6000,0)),"")</f>
        <v/>
      </c>
      <c r="F1066" t="str">
        <f>IFERROR(INDEX(Работы!$G$2:$G$6000,MATCH($C1066,Работы!$A$2:$A$6000,0)),"")</f>
        <v/>
      </c>
      <c r="G1066" t="str">
        <f>IFERROR(INDEX(Работы!$K$2:$K$6000,MATCH($C1066,Работы!$A$2:$A$6000,0)),"")</f>
        <v/>
      </c>
      <c r="H1066" s="9"/>
      <c r="I1066" s="9"/>
      <c r="J1066" s="8" t="str">
        <f>IFERROR(INDEX(Материалы!$B$2:$B$9000,MATCH($I1066,Материалы!$A$2:$A$9000,0)),"")</f>
        <v/>
      </c>
      <c r="K1066" t="str">
        <f>IF($I1066="","",IF($F1066=IFERROR(INDEX(Материалы!$G$2:$G$9000,MATCH($I1066,Материалы!$A$2:$A$9000,0)),""),"OK","!! не та группа"))</f>
        <v/>
      </c>
      <c r="L1066" s="10">
        <f>IFERROR(INDEX(Работы!$H$2:$H$6000,MATCH($C1066,Работы!$A$2:$A$6000,0))*(1-ДисконтТендер),0)</f>
        <v>0</v>
      </c>
      <c r="M1066" s="10">
        <f>IF($I1066="",0,IFERROR(INDEX(Материалы!$I$2:$I$9000,MATCH($I1066,Материалы!$A$2:$A$9000,0))*IF(INDEX(Материалы!$J$2:$J$9000,MATCH($I1066,Материалы!$A$2:$A$9000,0))="USD",КурсUSD,IF(INDEX(Материалы!$J$2:$J$9000,MATCH($I1066,Материалы!$A$2:$A$9000,0))="EUR",КурсEUR,1))*INDEX(Материалы!$K$2:$K$9000,MATCH($I1066,Материалы!$A$2:$A$9000,0))*(1+IFERROR(INDEX(Работы!$I$2:$I$6000,MATCH($C1066,Работы!$A$2:$A$6000,0))/100,0))*(1-ДисконтТендер),0))</f>
        <v>0</v>
      </c>
      <c r="N1066" s="10">
        <f t="shared" si="48"/>
        <v>0</v>
      </c>
      <c r="O1066" s="10">
        <f t="shared" si="49"/>
        <v>0</v>
      </c>
      <c r="P1066" s="10">
        <f t="shared" si="50"/>
        <v>0</v>
      </c>
      <c r="Q1066" t="str">
        <f>IFERROR(INDEX(Работы!$J$2:$J$6000,MATCH($C1066,Работы!$A$2:$A$6000,0)),"")</f>
        <v/>
      </c>
      <c r="R1066" t="s">
        <v>92</v>
      </c>
      <c r="T1066" t="str">
        <f>IF(AND($P1066&gt;0,$R1066="да"),MAX($T$1:$T1065)+1,"")</f>
        <v/>
      </c>
    </row>
    <row r="1067" spans="1:20" x14ac:dyDescent="0.3">
      <c r="A1067" s="11" t="str">
        <f>IFERROR(INDEX(Работы!$D$2:$D$6000,MATCH($C1067,Работы!$A$2:$A$6000,0)),"")</f>
        <v/>
      </c>
      <c r="B1067" t="str">
        <f>IFERROR(INDEX(Работы!$F$2:$F$6000,MATCH($C1067,Работы!$A$2:$A$6000,0)),"")</f>
        <v/>
      </c>
      <c r="C1067">
        <f>IFERROR(INDEX(Работы!$A$2:$A$6000,1066),"")</f>
        <v>0</v>
      </c>
      <c r="D1067" s="8" t="str">
        <f>IFERROR(INDEX(Работы!$B$2:$B$6000,MATCH($C1067,Работы!$A$2:$A$6000,0)),"")</f>
        <v/>
      </c>
      <c r="E1067" t="str">
        <f>IFERROR(INDEX(Работы!$C$2:$C$6000,MATCH($C1067,Работы!$A$2:$A$6000,0)),"")</f>
        <v/>
      </c>
      <c r="F1067" t="str">
        <f>IFERROR(INDEX(Работы!$G$2:$G$6000,MATCH($C1067,Работы!$A$2:$A$6000,0)),"")</f>
        <v/>
      </c>
      <c r="G1067" t="str">
        <f>IFERROR(INDEX(Работы!$K$2:$K$6000,MATCH($C1067,Работы!$A$2:$A$6000,0)),"")</f>
        <v/>
      </c>
      <c r="H1067" s="9"/>
      <c r="I1067" s="9"/>
      <c r="J1067" s="8" t="str">
        <f>IFERROR(INDEX(Материалы!$B$2:$B$9000,MATCH($I1067,Материалы!$A$2:$A$9000,0)),"")</f>
        <v/>
      </c>
      <c r="K1067" t="str">
        <f>IF($I1067="","",IF($F1067=IFERROR(INDEX(Материалы!$G$2:$G$9000,MATCH($I1067,Материалы!$A$2:$A$9000,0)),""),"OK","!! не та группа"))</f>
        <v/>
      </c>
      <c r="L1067" s="10">
        <f>IFERROR(INDEX(Работы!$H$2:$H$6000,MATCH($C1067,Работы!$A$2:$A$6000,0))*(1-ДисконтТендер),0)</f>
        <v>0</v>
      </c>
      <c r="M1067" s="10">
        <f>IF($I1067="",0,IFERROR(INDEX(Материалы!$I$2:$I$9000,MATCH($I1067,Материалы!$A$2:$A$9000,0))*IF(INDEX(Материалы!$J$2:$J$9000,MATCH($I1067,Материалы!$A$2:$A$9000,0))="USD",КурсUSD,IF(INDEX(Материалы!$J$2:$J$9000,MATCH($I1067,Материалы!$A$2:$A$9000,0))="EUR",КурсEUR,1))*INDEX(Материалы!$K$2:$K$9000,MATCH($I1067,Материалы!$A$2:$A$9000,0))*(1+IFERROR(INDEX(Работы!$I$2:$I$6000,MATCH($C1067,Работы!$A$2:$A$6000,0))/100,0))*(1-ДисконтТендер),0))</f>
        <v>0</v>
      </c>
      <c r="N1067" s="10">
        <f t="shared" si="48"/>
        <v>0</v>
      </c>
      <c r="O1067" s="10">
        <f t="shared" si="49"/>
        <v>0</v>
      </c>
      <c r="P1067" s="10">
        <f t="shared" si="50"/>
        <v>0</v>
      </c>
      <c r="Q1067" t="str">
        <f>IFERROR(INDEX(Работы!$J$2:$J$6000,MATCH($C1067,Работы!$A$2:$A$6000,0)),"")</f>
        <v/>
      </c>
      <c r="R1067" t="s">
        <v>92</v>
      </c>
      <c r="T1067" t="str">
        <f>IF(AND($P1067&gt;0,$R1067="да"),MAX($T$1:$T1066)+1,"")</f>
        <v/>
      </c>
    </row>
    <row r="1068" spans="1:20" x14ac:dyDescent="0.3">
      <c r="A1068" s="11" t="str">
        <f>IFERROR(INDEX(Работы!$D$2:$D$6000,MATCH($C1068,Работы!$A$2:$A$6000,0)),"")</f>
        <v/>
      </c>
      <c r="B1068" t="str">
        <f>IFERROR(INDEX(Работы!$F$2:$F$6000,MATCH($C1068,Работы!$A$2:$A$6000,0)),"")</f>
        <v/>
      </c>
      <c r="C1068">
        <f>IFERROR(INDEX(Работы!$A$2:$A$6000,1067),"")</f>
        <v>0</v>
      </c>
      <c r="D1068" s="8" t="str">
        <f>IFERROR(INDEX(Работы!$B$2:$B$6000,MATCH($C1068,Работы!$A$2:$A$6000,0)),"")</f>
        <v/>
      </c>
      <c r="E1068" t="str">
        <f>IFERROR(INDEX(Работы!$C$2:$C$6000,MATCH($C1068,Работы!$A$2:$A$6000,0)),"")</f>
        <v/>
      </c>
      <c r="F1068" t="str">
        <f>IFERROR(INDEX(Работы!$G$2:$G$6000,MATCH($C1068,Работы!$A$2:$A$6000,0)),"")</f>
        <v/>
      </c>
      <c r="G1068" t="str">
        <f>IFERROR(INDEX(Работы!$K$2:$K$6000,MATCH($C1068,Работы!$A$2:$A$6000,0)),"")</f>
        <v/>
      </c>
      <c r="H1068" s="9"/>
      <c r="I1068" s="9"/>
      <c r="J1068" s="8" t="str">
        <f>IFERROR(INDEX(Материалы!$B$2:$B$9000,MATCH($I1068,Материалы!$A$2:$A$9000,0)),"")</f>
        <v/>
      </c>
      <c r="K1068" t="str">
        <f>IF($I1068="","",IF($F1068=IFERROR(INDEX(Материалы!$G$2:$G$9000,MATCH($I1068,Материалы!$A$2:$A$9000,0)),""),"OK","!! не та группа"))</f>
        <v/>
      </c>
      <c r="L1068" s="10">
        <f>IFERROR(INDEX(Работы!$H$2:$H$6000,MATCH($C1068,Работы!$A$2:$A$6000,0))*(1-ДисконтТендер),0)</f>
        <v>0</v>
      </c>
      <c r="M1068" s="10">
        <f>IF($I1068="",0,IFERROR(INDEX(Материалы!$I$2:$I$9000,MATCH($I1068,Материалы!$A$2:$A$9000,0))*IF(INDEX(Материалы!$J$2:$J$9000,MATCH($I1068,Материалы!$A$2:$A$9000,0))="USD",КурсUSD,IF(INDEX(Материалы!$J$2:$J$9000,MATCH($I1068,Материалы!$A$2:$A$9000,0))="EUR",КурсEUR,1))*INDEX(Материалы!$K$2:$K$9000,MATCH($I1068,Материалы!$A$2:$A$9000,0))*(1+IFERROR(INDEX(Работы!$I$2:$I$6000,MATCH($C1068,Работы!$A$2:$A$6000,0))/100,0))*(1-ДисконтТендер),0))</f>
        <v>0</v>
      </c>
      <c r="N1068" s="10">
        <f t="shared" si="48"/>
        <v>0</v>
      </c>
      <c r="O1068" s="10">
        <f t="shared" si="49"/>
        <v>0</v>
      </c>
      <c r="P1068" s="10">
        <f t="shared" si="50"/>
        <v>0</v>
      </c>
      <c r="Q1068" t="str">
        <f>IFERROR(INDEX(Работы!$J$2:$J$6000,MATCH($C1068,Работы!$A$2:$A$6000,0)),"")</f>
        <v/>
      </c>
      <c r="R1068" t="s">
        <v>92</v>
      </c>
      <c r="T1068" t="str">
        <f>IF(AND($P1068&gt;0,$R1068="да"),MAX($T$1:$T1067)+1,"")</f>
        <v/>
      </c>
    </row>
    <row r="1069" spans="1:20" x14ac:dyDescent="0.3">
      <c r="A1069" s="11" t="str">
        <f>IFERROR(INDEX(Работы!$D$2:$D$6000,MATCH($C1069,Работы!$A$2:$A$6000,0)),"")</f>
        <v/>
      </c>
      <c r="B1069" t="str">
        <f>IFERROR(INDEX(Работы!$F$2:$F$6000,MATCH($C1069,Работы!$A$2:$A$6000,0)),"")</f>
        <v/>
      </c>
      <c r="C1069">
        <f>IFERROR(INDEX(Работы!$A$2:$A$6000,1068),"")</f>
        <v>0</v>
      </c>
      <c r="D1069" s="8" t="str">
        <f>IFERROR(INDEX(Работы!$B$2:$B$6000,MATCH($C1069,Работы!$A$2:$A$6000,0)),"")</f>
        <v/>
      </c>
      <c r="E1069" t="str">
        <f>IFERROR(INDEX(Работы!$C$2:$C$6000,MATCH($C1069,Работы!$A$2:$A$6000,0)),"")</f>
        <v/>
      </c>
      <c r="F1069" t="str">
        <f>IFERROR(INDEX(Работы!$G$2:$G$6000,MATCH($C1069,Работы!$A$2:$A$6000,0)),"")</f>
        <v/>
      </c>
      <c r="G1069" t="str">
        <f>IFERROR(INDEX(Работы!$K$2:$K$6000,MATCH($C1069,Работы!$A$2:$A$6000,0)),"")</f>
        <v/>
      </c>
      <c r="H1069" s="9"/>
      <c r="I1069" s="9"/>
      <c r="J1069" s="8" t="str">
        <f>IFERROR(INDEX(Материалы!$B$2:$B$9000,MATCH($I1069,Материалы!$A$2:$A$9000,0)),"")</f>
        <v/>
      </c>
      <c r="K1069" t="str">
        <f>IF($I1069="","",IF($F1069=IFERROR(INDEX(Материалы!$G$2:$G$9000,MATCH($I1069,Материалы!$A$2:$A$9000,0)),""),"OK","!! не та группа"))</f>
        <v/>
      </c>
      <c r="L1069" s="10">
        <f>IFERROR(INDEX(Работы!$H$2:$H$6000,MATCH($C1069,Работы!$A$2:$A$6000,0))*(1-ДисконтТендер),0)</f>
        <v>0</v>
      </c>
      <c r="M1069" s="10">
        <f>IF($I1069="",0,IFERROR(INDEX(Материалы!$I$2:$I$9000,MATCH($I1069,Материалы!$A$2:$A$9000,0))*IF(INDEX(Материалы!$J$2:$J$9000,MATCH($I1069,Материалы!$A$2:$A$9000,0))="USD",КурсUSD,IF(INDEX(Материалы!$J$2:$J$9000,MATCH($I1069,Материалы!$A$2:$A$9000,0))="EUR",КурсEUR,1))*INDEX(Материалы!$K$2:$K$9000,MATCH($I1069,Материалы!$A$2:$A$9000,0))*(1+IFERROR(INDEX(Работы!$I$2:$I$6000,MATCH($C1069,Работы!$A$2:$A$6000,0))/100,0))*(1-ДисконтТендер),0))</f>
        <v>0</v>
      </c>
      <c r="N1069" s="10">
        <f t="shared" si="48"/>
        <v>0</v>
      </c>
      <c r="O1069" s="10">
        <f t="shared" si="49"/>
        <v>0</v>
      </c>
      <c r="P1069" s="10">
        <f t="shared" si="50"/>
        <v>0</v>
      </c>
      <c r="Q1069" t="str">
        <f>IFERROR(INDEX(Работы!$J$2:$J$6000,MATCH($C1069,Работы!$A$2:$A$6000,0)),"")</f>
        <v/>
      </c>
      <c r="R1069" t="s">
        <v>92</v>
      </c>
      <c r="T1069" t="str">
        <f>IF(AND($P1069&gt;0,$R1069="да"),MAX($T$1:$T1068)+1,"")</f>
        <v/>
      </c>
    </row>
    <row r="1070" spans="1:20" x14ac:dyDescent="0.3">
      <c r="A1070" s="11" t="str">
        <f>IFERROR(INDEX(Работы!$D$2:$D$6000,MATCH($C1070,Работы!$A$2:$A$6000,0)),"")</f>
        <v/>
      </c>
      <c r="B1070" t="str">
        <f>IFERROR(INDEX(Работы!$F$2:$F$6000,MATCH($C1070,Работы!$A$2:$A$6000,0)),"")</f>
        <v/>
      </c>
      <c r="C1070">
        <f>IFERROR(INDEX(Работы!$A$2:$A$6000,1069),"")</f>
        <v>0</v>
      </c>
      <c r="D1070" s="8" t="str">
        <f>IFERROR(INDEX(Работы!$B$2:$B$6000,MATCH($C1070,Работы!$A$2:$A$6000,0)),"")</f>
        <v/>
      </c>
      <c r="E1070" t="str">
        <f>IFERROR(INDEX(Работы!$C$2:$C$6000,MATCH($C1070,Работы!$A$2:$A$6000,0)),"")</f>
        <v/>
      </c>
      <c r="F1070" t="str">
        <f>IFERROR(INDEX(Работы!$G$2:$G$6000,MATCH($C1070,Работы!$A$2:$A$6000,0)),"")</f>
        <v/>
      </c>
      <c r="G1070" t="str">
        <f>IFERROR(INDEX(Работы!$K$2:$K$6000,MATCH($C1070,Работы!$A$2:$A$6000,0)),"")</f>
        <v/>
      </c>
      <c r="H1070" s="9"/>
      <c r="I1070" s="9"/>
      <c r="J1070" s="8" t="str">
        <f>IFERROR(INDEX(Материалы!$B$2:$B$9000,MATCH($I1070,Материалы!$A$2:$A$9000,0)),"")</f>
        <v/>
      </c>
      <c r="K1070" t="str">
        <f>IF($I1070="","",IF($F1070=IFERROR(INDEX(Материалы!$G$2:$G$9000,MATCH($I1070,Материалы!$A$2:$A$9000,0)),""),"OK","!! не та группа"))</f>
        <v/>
      </c>
      <c r="L1070" s="10">
        <f>IFERROR(INDEX(Работы!$H$2:$H$6000,MATCH($C1070,Работы!$A$2:$A$6000,0))*(1-ДисконтТендер),0)</f>
        <v>0</v>
      </c>
      <c r="M1070" s="10">
        <f>IF($I1070="",0,IFERROR(INDEX(Материалы!$I$2:$I$9000,MATCH($I1070,Материалы!$A$2:$A$9000,0))*IF(INDEX(Материалы!$J$2:$J$9000,MATCH($I1070,Материалы!$A$2:$A$9000,0))="USD",КурсUSD,IF(INDEX(Материалы!$J$2:$J$9000,MATCH($I1070,Материалы!$A$2:$A$9000,0))="EUR",КурсEUR,1))*INDEX(Материалы!$K$2:$K$9000,MATCH($I1070,Материалы!$A$2:$A$9000,0))*(1+IFERROR(INDEX(Работы!$I$2:$I$6000,MATCH($C1070,Работы!$A$2:$A$6000,0))/100,0))*(1-ДисконтТендер),0))</f>
        <v>0</v>
      </c>
      <c r="N1070" s="10">
        <f t="shared" si="48"/>
        <v>0</v>
      </c>
      <c r="O1070" s="10">
        <f t="shared" si="49"/>
        <v>0</v>
      </c>
      <c r="P1070" s="10">
        <f t="shared" si="50"/>
        <v>0</v>
      </c>
      <c r="Q1070" t="str">
        <f>IFERROR(INDEX(Работы!$J$2:$J$6000,MATCH($C1070,Работы!$A$2:$A$6000,0)),"")</f>
        <v/>
      </c>
      <c r="R1070" t="s">
        <v>92</v>
      </c>
      <c r="T1070" t="str">
        <f>IF(AND($P1070&gt;0,$R1070="да"),MAX($T$1:$T1069)+1,"")</f>
        <v/>
      </c>
    </row>
    <row r="1071" spans="1:20" x14ac:dyDescent="0.3">
      <c r="A1071" s="11" t="str">
        <f>IFERROR(INDEX(Работы!$D$2:$D$6000,MATCH($C1071,Работы!$A$2:$A$6000,0)),"")</f>
        <v/>
      </c>
      <c r="B1071" t="str">
        <f>IFERROR(INDEX(Работы!$F$2:$F$6000,MATCH($C1071,Работы!$A$2:$A$6000,0)),"")</f>
        <v/>
      </c>
      <c r="C1071">
        <f>IFERROR(INDEX(Работы!$A$2:$A$6000,1070),"")</f>
        <v>0</v>
      </c>
      <c r="D1071" s="8" t="str">
        <f>IFERROR(INDEX(Работы!$B$2:$B$6000,MATCH($C1071,Работы!$A$2:$A$6000,0)),"")</f>
        <v/>
      </c>
      <c r="E1071" t="str">
        <f>IFERROR(INDEX(Работы!$C$2:$C$6000,MATCH($C1071,Работы!$A$2:$A$6000,0)),"")</f>
        <v/>
      </c>
      <c r="F1071" t="str">
        <f>IFERROR(INDEX(Работы!$G$2:$G$6000,MATCH($C1071,Работы!$A$2:$A$6000,0)),"")</f>
        <v/>
      </c>
      <c r="G1071" t="str">
        <f>IFERROR(INDEX(Работы!$K$2:$K$6000,MATCH($C1071,Работы!$A$2:$A$6000,0)),"")</f>
        <v/>
      </c>
      <c r="H1071" s="9"/>
      <c r="I1071" s="9"/>
      <c r="J1071" s="8" t="str">
        <f>IFERROR(INDEX(Материалы!$B$2:$B$9000,MATCH($I1071,Материалы!$A$2:$A$9000,0)),"")</f>
        <v/>
      </c>
      <c r="K1071" t="str">
        <f>IF($I1071="","",IF($F1071=IFERROR(INDEX(Материалы!$G$2:$G$9000,MATCH($I1071,Материалы!$A$2:$A$9000,0)),""),"OK","!! не та группа"))</f>
        <v/>
      </c>
      <c r="L1071" s="10">
        <f>IFERROR(INDEX(Работы!$H$2:$H$6000,MATCH($C1071,Работы!$A$2:$A$6000,0))*(1-ДисконтТендер),0)</f>
        <v>0</v>
      </c>
      <c r="M1071" s="10">
        <f>IF($I1071="",0,IFERROR(INDEX(Материалы!$I$2:$I$9000,MATCH($I1071,Материалы!$A$2:$A$9000,0))*IF(INDEX(Материалы!$J$2:$J$9000,MATCH($I1071,Материалы!$A$2:$A$9000,0))="USD",КурсUSD,IF(INDEX(Материалы!$J$2:$J$9000,MATCH($I1071,Материалы!$A$2:$A$9000,0))="EUR",КурсEUR,1))*INDEX(Материалы!$K$2:$K$9000,MATCH($I1071,Материалы!$A$2:$A$9000,0))*(1+IFERROR(INDEX(Работы!$I$2:$I$6000,MATCH($C1071,Работы!$A$2:$A$6000,0))/100,0))*(1-ДисконтТендер),0))</f>
        <v>0</v>
      </c>
      <c r="N1071" s="10">
        <f t="shared" si="48"/>
        <v>0</v>
      </c>
      <c r="O1071" s="10">
        <f t="shared" si="49"/>
        <v>0</v>
      </c>
      <c r="P1071" s="10">
        <f t="shared" si="50"/>
        <v>0</v>
      </c>
      <c r="Q1071" t="str">
        <f>IFERROR(INDEX(Работы!$J$2:$J$6000,MATCH($C1071,Работы!$A$2:$A$6000,0)),"")</f>
        <v/>
      </c>
      <c r="R1071" t="s">
        <v>92</v>
      </c>
      <c r="T1071" t="str">
        <f>IF(AND($P1071&gt;0,$R1071="да"),MAX($T$1:$T1070)+1,"")</f>
        <v/>
      </c>
    </row>
    <row r="1072" spans="1:20" x14ac:dyDescent="0.3">
      <c r="A1072" s="11" t="str">
        <f>IFERROR(INDEX(Работы!$D$2:$D$6000,MATCH($C1072,Работы!$A$2:$A$6000,0)),"")</f>
        <v/>
      </c>
      <c r="B1072" t="str">
        <f>IFERROR(INDEX(Работы!$F$2:$F$6000,MATCH($C1072,Работы!$A$2:$A$6000,0)),"")</f>
        <v/>
      </c>
      <c r="C1072">
        <f>IFERROR(INDEX(Работы!$A$2:$A$6000,1071),"")</f>
        <v>0</v>
      </c>
      <c r="D1072" s="8" t="str">
        <f>IFERROR(INDEX(Работы!$B$2:$B$6000,MATCH($C1072,Работы!$A$2:$A$6000,0)),"")</f>
        <v/>
      </c>
      <c r="E1072" t="str">
        <f>IFERROR(INDEX(Работы!$C$2:$C$6000,MATCH($C1072,Работы!$A$2:$A$6000,0)),"")</f>
        <v/>
      </c>
      <c r="F1072" t="str">
        <f>IFERROR(INDEX(Работы!$G$2:$G$6000,MATCH($C1072,Работы!$A$2:$A$6000,0)),"")</f>
        <v/>
      </c>
      <c r="G1072" t="str">
        <f>IFERROR(INDEX(Работы!$K$2:$K$6000,MATCH($C1072,Работы!$A$2:$A$6000,0)),"")</f>
        <v/>
      </c>
      <c r="H1072" s="9"/>
      <c r="I1072" s="9"/>
      <c r="J1072" s="8" t="str">
        <f>IFERROR(INDEX(Материалы!$B$2:$B$9000,MATCH($I1072,Материалы!$A$2:$A$9000,0)),"")</f>
        <v/>
      </c>
      <c r="K1072" t="str">
        <f>IF($I1072="","",IF($F1072=IFERROR(INDEX(Материалы!$G$2:$G$9000,MATCH($I1072,Материалы!$A$2:$A$9000,0)),""),"OK","!! не та группа"))</f>
        <v/>
      </c>
      <c r="L1072" s="10">
        <f>IFERROR(INDEX(Работы!$H$2:$H$6000,MATCH($C1072,Работы!$A$2:$A$6000,0))*(1-ДисконтТендер),0)</f>
        <v>0</v>
      </c>
      <c r="M1072" s="10">
        <f>IF($I1072="",0,IFERROR(INDEX(Материалы!$I$2:$I$9000,MATCH($I1072,Материалы!$A$2:$A$9000,0))*IF(INDEX(Материалы!$J$2:$J$9000,MATCH($I1072,Материалы!$A$2:$A$9000,0))="USD",КурсUSD,IF(INDEX(Материалы!$J$2:$J$9000,MATCH($I1072,Материалы!$A$2:$A$9000,0))="EUR",КурсEUR,1))*INDEX(Материалы!$K$2:$K$9000,MATCH($I1072,Материалы!$A$2:$A$9000,0))*(1+IFERROR(INDEX(Работы!$I$2:$I$6000,MATCH($C1072,Работы!$A$2:$A$6000,0))/100,0))*(1-ДисконтТендер),0))</f>
        <v>0</v>
      </c>
      <c r="N1072" s="10">
        <f t="shared" si="48"/>
        <v>0</v>
      </c>
      <c r="O1072" s="10">
        <f t="shared" si="49"/>
        <v>0</v>
      </c>
      <c r="P1072" s="10">
        <f t="shared" si="50"/>
        <v>0</v>
      </c>
      <c r="Q1072" t="str">
        <f>IFERROR(INDEX(Работы!$J$2:$J$6000,MATCH($C1072,Работы!$A$2:$A$6000,0)),"")</f>
        <v/>
      </c>
      <c r="R1072" t="s">
        <v>92</v>
      </c>
      <c r="T1072" t="str">
        <f>IF(AND($P1072&gt;0,$R1072="да"),MAX($T$1:$T1071)+1,"")</f>
        <v/>
      </c>
    </row>
    <row r="1073" spans="1:20" x14ac:dyDescent="0.3">
      <c r="A1073" s="11" t="str">
        <f>IFERROR(INDEX(Работы!$D$2:$D$6000,MATCH($C1073,Работы!$A$2:$A$6000,0)),"")</f>
        <v/>
      </c>
      <c r="B1073" t="str">
        <f>IFERROR(INDEX(Работы!$F$2:$F$6000,MATCH($C1073,Работы!$A$2:$A$6000,0)),"")</f>
        <v/>
      </c>
      <c r="C1073">
        <f>IFERROR(INDEX(Работы!$A$2:$A$6000,1072),"")</f>
        <v>0</v>
      </c>
      <c r="D1073" s="8" t="str">
        <f>IFERROR(INDEX(Работы!$B$2:$B$6000,MATCH($C1073,Работы!$A$2:$A$6000,0)),"")</f>
        <v/>
      </c>
      <c r="E1073" t="str">
        <f>IFERROR(INDEX(Работы!$C$2:$C$6000,MATCH($C1073,Работы!$A$2:$A$6000,0)),"")</f>
        <v/>
      </c>
      <c r="F1073" t="str">
        <f>IFERROR(INDEX(Работы!$G$2:$G$6000,MATCH($C1073,Работы!$A$2:$A$6000,0)),"")</f>
        <v/>
      </c>
      <c r="G1073" t="str">
        <f>IFERROR(INDEX(Работы!$K$2:$K$6000,MATCH($C1073,Работы!$A$2:$A$6000,0)),"")</f>
        <v/>
      </c>
      <c r="H1073" s="9"/>
      <c r="I1073" s="9"/>
      <c r="J1073" s="8" t="str">
        <f>IFERROR(INDEX(Материалы!$B$2:$B$9000,MATCH($I1073,Материалы!$A$2:$A$9000,0)),"")</f>
        <v/>
      </c>
      <c r="K1073" t="str">
        <f>IF($I1073="","",IF($F1073=IFERROR(INDEX(Материалы!$G$2:$G$9000,MATCH($I1073,Материалы!$A$2:$A$9000,0)),""),"OK","!! не та группа"))</f>
        <v/>
      </c>
      <c r="L1073" s="10">
        <f>IFERROR(INDEX(Работы!$H$2:$H$6000,MATCH($C1073,Работы!$A$2:$A$6000,0))*(1-ДисконтТендер),0)</f>
        <v>0</v>
      </c>
      <c r="M1073" s="10">
        <f>IF($I1073="",0,IFERROR(INDEX(Материалы!$I$2:$I$9000,MATCH($I1073,Материалы!$A$2:$A$9000,0))*IF(INDEX(Материалы!$J$2:$J$9000,MATCH($I1073,Материалы!$A$2:$A$9000,0))="USD",КурсUSD,IF(INDEX(Материалы!$J$2:$J$9000,MATCH($I1073,Материалы!$A$2:$A$9000,0))="EUR",КурсEUR,1))*INDEX(Материалы!$K$2:$K$9000,MATCH($I1073,Материалы!$A$2:$A$9000,0))*(1+IFERROR(INDEX(Работы!$I$2:$I$6000,MATCH($C1073,Работы!$A$2:$A$6000,0))/100,0))*(1-ДисконтТендер),0))</f>
        <v>0</v>
      </c>
      <c r="N1073" s="10">
        <f t="shared" si="48"/>
        <v>0</v>
      </c>
      <c r="O1073" s="10">
        <f t="shared" si="49"/>
        <v>0</v>
      </c>
      <c r="P1073" s="10">
        <f t="shared" si="50"/>
        <v>0</v>
      </c>
      <c r="Q1073" t="str">
        <f>IFERROR(INDEX(Работы!$J$2:$J$6000,MATCH($C1073,Работы!$A$2:$A$6000,0)),"")</f>
        <v/>
      </c>
      <c r="R1073" t="s">
        <v>92</v>
      </c>
      <c r="T1073" t="str">
        <f>IF(AND($P1073&gt;0,$R1073="да"),MAX($T$1:$T1072)+1,"")</f>
        <v/>
      </c>
    </row>
    <row r="1074" spans="1:20" x14ac:dyDescent="0.3">
      <c r="A1074" s="11" t="str">
        <f>IFERROR(INDEX(Работы!$D$2:$D$6000,MATCH($C1074,Работы!$A$2:$A$6000,0)),"")</f>
        <v/>
      </c>
      <c r="B1074" t="str">
        <f>IFERROR(INDEX(Работы!$F$2:$F$6000,MATCH($C1074,Работы!$A$2:$A$6000,0)),"")</f>
        <v/>
      </c>
      <c r="C1074">
        <f>IFERROR(INDEX(Работы!$A$2:$A$6000,1073),"")</f>
        <v>0</v>
      </c>
      <c r="D1074" s="8" t="str">
        <f>IFERROR(INDEX(Работы!$B$2:$B$6000,MATCH($C1074,Работы!$A$2:$A$6000,0)),"")</f>
        <v/>
      </c>
      <c r="E1074" t="str">
        <f>IFERROR(INDEX(Работы!$C$2:$C$6000,MATCH($C1074,Работы!$A$2:$A$6000,0)),"")</f>
        <v/>
      </c>
      <c r="F1074" t="str">
        <f>IFERROR(INDEX(Работы!$G$2:$G$6000,MATCH($C1074,Работы!$A$2:$A$6000,0)),"")</f>
        <v/>
      </c>
      <c r="G1074" t="str">
        <f>IFERROR(INDEX(Работы!$K$2:$K$6000,MATCH($C1074,Работы!$A$2:$A$6000,0)),"")</f>
        <v/>
      </c>
      <c r="H1074" s="9"/>
      <c r="I1074" s="9"/>
      <c r="J1074" s="8" t="str">
        <f>IFERROR(INDEX(Материалы!$B$2:$B$9000,MATCH($I1074,Материалы!$A$2:$A$9000,0)),"")</f>
        <v/>
      </c>
      <c r="K1074" t="str">
        <f>IF($I1074="","",IF($F1074=IFERROR(INDEX(Материалы!$G$2:$G$9000,MATCH($I1074,Материалы!$A$2:$A$9000,0)),""),"OK","!! не та группа"))</f>
        <v/>
      </c>
      <c r="L1074" s="10">
        <f>IFERROR(INDEX(Работы!$H$2:$H$6000,MATCH($C1074,Работы!$A$2:$A$6000,0))*(1-ДисконтТендер),0)</f>
        <v>0</v>
      </c>
      <c r="M1074" s="10">
        <f>IF($I1074="",0,IFERROR(INDEX(Материалы!$I$2:$I$9000,MATCH($I1074,Материалы!$A$2:$A$9000,0))*IF(INDEX(Материалы!$J$2:$J$9000,MATCH($I1074,Материалы!$A$2:$A$9000,0))="USD",КурсUSD,IF(INDEX(Материалы!$J$2:$J$9000,MATCH($I1074,Материалы!$A$2:$A$9000,0))="EUR",КурсEUR,1))*INDEX(Материалы!$K$2:$K$9000,MATCH($I1074,Материалы!$A$2:$A$9000,0))*(1+IFERROR(INDEX(Работы!$I$2:$I$6000,MATCH($C1074,Работы!$A$2:$A$6000,0))/100,0))*(1-ДисконтТендер),0))</f>
        <v>0</v>
      </c>
      <c r="N1074" s="10">
        <f t="shared" si="48"/>
        <v>0</v>
      </c>
      <c r="O1074" s="10">
        <f t="shared" si="49"/>
        <v>0</v>
      </c>
      <c r="P1074" s="10">
        <f t="shared" si="50"/>
        <v>0</v>
      </c>
      <c r="Q1074" t="str">
        <f>IFERROR(INDEX(Работы!$J$2:$J$6000,MATCH($C1074,Работы!$A$2:$A$6000,0)),"")</f>
        <v/>
      </c>
      <c r="R1074" t="s">
        <v>92</v>
      </c>
      <c r="T1074" t="str">
        <f>IF(AND($P1074&gt;0,$R1074="да"),MAX($T$1:$T1073)+1,"")</f>
        <v/>
      </c>
    </row>
    <row r="1075" spans="1:20" x14ac:dyDescent="0.3">
      <c r="A1075" s="11" t="str">
        <f>IFERROR(INDEX(Работы!$D$2:$D$6000,MATCH($C1075,Работы!$A$2:$A$6000,0)),"")</f>
        <v/>
      </c>
      <c r="B1075" t="str">
        <f>IFERROR(INDEX(Работы!$F$2:$F$6000,MATCH($C1075,Работы!$A$2:$A$6000,0)),"")</f>
        <v/>
      </c>
      <c r="C1075">
        <f>IFERROR(INDEX(Работы!$A$2:$A$6000,1074),"")</f>
        <v>0</v>
      </c>
      <c r="D1075" s="8" t="str">
        <f>IFERROR(INDEX(Работы!$B$2:$B$6000,MATCH($C1075,Работы!$A$2:$A$6000,0)),"")</f>
        <v/>
      </c>
      <c r="E1075" t="str">
        <f>IFERROR(INDEX(Работы!$C$2:$C$6000,MATCH($C1075,Работы!$A$2:$A$6000,0)),"")</f>
        <v/>
      </c>
      <c r="F1075" t="str">
        <f>IFERROR(INDEX(Работы!$G$2:$G$6000,MATCH($C1075,Работы!$A$2:$A$6000,0)),"")</f>
        <v/>
      </c>
      <c r="G1075" t="str">
        <f>IFERROR(INDEX(Работы!$K$2:$K$6000,MATCH($C1075,Работы!$A$2:$A$6000,0)),"")</f>
        <v/>
      </c>
      <c r="H1075" s="9"/>
      <c r="I1075" s="9"/>
      <c r="J1075" s="8" t="str">
        <f>IFERROR(INDEX(Материалы!$B$2:$B$9000,MATCH($I1075,Материалы!$A$2:$A$9000,0)),"")</f>
        <v/>
      </c>
      <c r="K1075" t="str">
        <f>IF($I1075="","",IF($F1075=IFERROR(INDEX(Материалы!$G$2:$G$9000,MATCH($I1075,Материалы!$A$2:$A$9000,0)),""),"OK","!! не та группа"))</f>
        <v/>
      </c>
      <c r="L1075" s="10">
        <f>IFERROR(INDEX(Работы!$H$2:$H$6000,MATCH($C1075,Работы!$A$2:$A$6000,0))*(1-ДисконтТендер),0)</f>
        <v>0</v>
      </c>
      <c r="M1075" s="10">
        <f>IF($I1075="",0,IFERROR(INDEX(Материалы!$I$2:$I$9000,MATCH($I1075,Материалы!$A$2:$A$9000,0))*IF(INDEX(Материалы!$J$2:$J$9000,MATCH($I1075,Материалы!$A$2:$A$9000,0))="USD",КурсUSD,IF(INDEX(Материалы!$J$2:$J$9000,MATCH($I1075,Материалы!$A$2:$A$9000,0))="EUR",КурсEUR,1))*INDEX(Материалы!$K$2:$K$9000,MATCH($I1075,Материалы!$A$2:$A$9000,0))*(1+IFERROR(INDEX(Работы!$I$2:$I$6000,MATCH($C1075,Работы!$A$2:$A$6000,0))/100,0))*(1-ДисконтТендер),0))</f>
        <v>0</v>
      </c>
      <c r="N1075" s="10">
        <f t="shared" si="48"/>
        <v>0</v>
      </c>
      <c r="O1075" s="10">
        <f t="shared" si="49"/>
        <v>0</v>
      </c>
      <c r="P1075" s="10">
        <f t="shared" si="50"/>
        <v>0</v>
      </c>
      <c r="Q1075" t="str">
        <f>IFERROR(INDEX(Работы!$J$2:$J$6000,MATCH($C1075,Работы!$A$2:$A$6000,0)),"")</f>
        <v/>
      </c>
      <c r="R1075" t="s">
        <v>92</v>
      </c>
      <c r="T1075" t="str">
        <f>IF(AND($P1075&gt;0,$R1075="да"),MAX($T$1:$T1074)+1,"")</f>
        <v/>
      </c>
    </row>
    <row r="1076" spans="1:20" x14ac:dyDescent="0.3">
      <c r="A1076" s="11" t="str">
        <f>IFERROR(INDEX(Работы!$D$2:$D$6000,MATCH($C1076,Работы!$A$2:$A$6000,0)),"")</f>
        <v/>
      </c>
      <c r="B1076" t="str">
        <f>IFERROR(INDEX(Работы!$F$2:$F$6000,MATCH($C1076,Работы!$A$2:$A$6000,0)),"")</f>
        <v/>
      </c>
      <c r="C1076">
        <f>IFERROR(INDEX(Работы!$A$2:$A$6000,1075),"")</f>
        <v>0</v>
      </c>
      <c r="D1076" s="8" t="str">
        <f>IFERROR(INDEX(Работы!$B$2:$B$6000,MATCH($C1076,Работы!$A$2:$A$6000,0)),"")</f>
        <v/>
      </c>
      <c r="E1076" t="str">
        <f>IFERROR(INDEX(Работы!$C$2:$C$6000,MATCH($C1076,Работы!$A$2:$A$6000,0)),"")</f>
        <v/>
      </c>
      <c r="F1076" t="str">
        <f>IFERROR(INDEX(Работы!$G$2:$G$6000,MATCH($C1076,Работы!$A$2:$A$6000,0)),"")</f>
        <v/>
      </c>
      <c r="G1076" t="str">
        <f>IFERROR(INDEX(Работы!$K$2:$K$6000,MATCH($C1076,Работы!$A$2:$A$6000,0)),"")</f>
        <v/>
      </c>
      <c r="H1076" s="9"/>
      <c r="I1076" s="9"/>
      <c r="J1076" s="8" t="str">
        <f>IFERROR(INDEX(Материалы!$B$2:$B$9000,MATCH($I1076,Материалы!$A$2:$A$9000,0)),"")</f>
        <v/>
      </c>
      <c r="K1076" t="str">
        <f>IF($I1076="","",IF($F1076=IFERROR(INDEX(Материалы!$G$2:$G$9000,MATCH($I1076,Материалы!$A$2:$A$9000,0)),""),"OK","!! не та группа"))</f>
        <v/>
      </c>
      <c r="L1076" s="10">
        <f>IFERROR(INDEX(Работы!$H$2:$H$6000,MATCH($C1076,Работы!$A$2:$A$6000,0))*(1-ДисконтТендер),0)</f>
        <v>0</v>
      </c>
      <c r="M1076" s="10">
        <f>IF($I1076="",0,IFERROR(INDEX(Материалы!$I$2:$I$9000,MATCH($I1076,Материалы!$A$2:$A$9000,0))*IF(INDEX(Материалы!$J$2:$J$9000,MATCH($I1076,Материалы!$A$2:$A$9000,0))="USD",КурсUSD,IF(INDEX(Материалы!$J$2:$J$9000,MATCH($I1076,Материалы!$A$2:$A$9000,0))="EUR",КурсEUR,1))*INDEX(Материалы!$K$2:$K$9000,MATCH($I1076,Материалы!$A$2:$A$9000,0))*(1+IFERROR(INDEX(Работы!$I$2:$I$6000,MATCH($C1076,Работы!$A$2:$A$6000,0))/100,0))*(1-ДисконтТендер),0))</f>
        <v>0</v>
      </c>
      <c r="N1076" s="10">
        <f t="shared" si="48"/>
        <v>0</v>
      </c>
      <c r="O1076" s="10">
        <f t="shared" si="49"/>
        <v>0</v>
      </c>
      <c r="P1076" s="10">
        <f t="shared" si="50"/>
        <v>0</v>
      </c>
      <c r="Q1076" t="str">
        <f>IFERROR(INDEX(Работы!$J$2:$J$6000,MATCH($C1076,Работы!$A$2:$A$6000,0)),"")</f>
        <v/>
      </c>
      <c r="R1076" t="s">
        <v>92</v>
      </c>
      <c r="T1076" t="str">
        <f>IF(AND($P1076&gt;0,$R1076="да"),MAX($T$1:$T1075)+1,"")</f>
        <v/>
      </c>
    </row>
    <row r="1077" spans="1:20" x14ac:dyDescent="0.3">
      <c r="A1077" s="11" t="str">
        <f>IFERROR(INDEX(Работы!$D$2:$D$6000,MATCH($C1077,Работы!$A$2:$A$6000,0)),"")</f>
        <v/>
      </c>
      <c r="B1077" t="str">
        <f>IFERROR(INDEX(Работы!$F$2:$F$6000,MATCH($C1077,Работы!$A$2:$A$6000,0)),"")</f>
        <v/>
      </c>
      <c r="C1077">
        <f>IFERROR(INDEX(Работы!$A$2:$A$6000,1076),"")</f>
        <v>0</v>
      </c>
      <c r="D1077" s="8" t="str">
        <f>IFERROR(INDEX(Работы!$B$2:$B$6000,MATCH($C1077,Работы!$A$2:$A$6000,0)),"")</f>
        <v/>
      </c>
      <c r="E1077" t="str">
        <f>IFERROR(INDEX(Работы!$C$2:$C$6000,MATCH($C1077,Работы!$A$2:$A$6000,0)),"")</f>
        <v/>
      </c>
      <c r="F1077" t="str">
        <f>IFERROR(INDEX(Работы!$G$2:$G$6000,MATCH($C1077,Работы!$A$2:$A$6000,0)),"")</f>
        <v/>
      </c>
      <c r="G1077" t="str">
        <f>IFERROR(INDEX(Работы!$K$2:$K$6000,MATCH($C1077,Работы!$A$2:$A$6000,0)),"")</f>
        <v/>
      </c>
      <c r="H1077" s="9"/>
      <c r="I1077" s="9"/>
      <c r="J1077" s="8" t="str">
        <f>IFERROR(INDEX(Материалы!$B$2:$B$9000,MATCH($I1077,Материалы!$A$2:$A$9000,0)),"")</f>
        <v/>
      </c>
      <c r="K1077" t="str">
        <f>IF($I1077="","",IF($F1077=IFERROR(INDEX(Материалы!$G$2:$G$9000,MATCH($I1077,Материалы!$A$2:$A$9000,0)),""),"OK","!! не та группа"))</f>
        <v/>
      </c>
      <c r="L1077" s="10">
        <f>IFERROR(INDEX(Работы!$H$2:$H$6000,MATCH($C1077,Работы!$A$2:$A$6000,0))*(1-ДисконтТендер),0)</f>
        <v>0</v>
      </c>
      <c r="M1077" s="10">
        <f>IF($I1077="",0,IFERROR(INDEX(Материалы!$I$2:$I$9000,MATCH($I1077,Материалы!$A$2:$A$9000,0))*IF(INDEX(Материалы!$J$2:$J$9000,MATCH($I1077,Материалы!$A$2:$A$9000,0))="USD",КурсUSD,IF(INDEX(Материалы!$J$2:$J$9000,MATCH($I1077,Материалы!$A$2:$A$9000,0))="EUR",КурсEUR,1))*INDEX(Материалы!$K$2:$K$9000,MATCH($I1077,Материалы!$A$2:$A$9000,0))*(1+IFERROR(INDEX(Работы!$I$2:$I$6000,MATCH($C1077,Работы!$A$2:$A$6000,0))/100,0))*(1-ДисконтТендер),0))</f>
        <v>0</v>
      </c>
      <c r="N1077" s="10">
        <f t="shared" si="48"/>
        <v>0</v>
      </c>
      <c r="O1077" s="10">
        <f t="shared" si="49"/>
        <v>0</v>
      </c>
      <c r="P1077" s="10">
        <f t="shared" si="50"/>
        <v>0</v>
      </c>
      <c r="Q1077" t="str">
        <f>IFERROR(INDEX(Работы!$J$2:$J$6000,MATCH($C1077,Работы!$A$2:$A$6000,0)),"")</f>
        <v/>
      </c>
      <c r="R1077" t="s">
        <v>92</v>
      </c>
      <c r="T1077" t="str">
        <f>IF(AND($P1077&gt;0,$R1077="да"),MAX($T$1:$T1076)+1,"")</f>
        <v/>
      </c>
    </row>
    <row r="1078" spans="1:20" x14ac:dyDescent="0.3">
      <c r="A1078" s="11" t="str">
        <f>IFERROR(INDEX(Работы!$D$2:$D$6000,MATCH($C1078,Работы!$A$2:$A$6000,0)),"")</f>
        <v/>
      </c>
      <c r="B1078" t="str">
        <f>IFERROR(INDEX(Работы!$F$2:$F$6000,MATCH($C1078,Работы!$A$2:$A$6000,0)),"")</f>
        <v/>
      </c>
      <c r="C1078">
        <f>IFERROR(INDEX(Работы!$A$2:$A$6000,1077),"")</f>
        <v>0</v>
      </c>
      <c r="D1078" s="8" t="str">
        <f>IFERROR(INDEX(Работы!$B$2:$B$6000,MATCH($C1078,Работы!$A$2:$A$6000,0)),"")</f>
        <v/>
      </c>
      <c r="E1078" t="str">
        <f>IFERROR(INDEX(Работы!$C$2:$C$6000,MATCH($C1078,Работы!$A$2:$A$6000,0)),"")</f>
        <v/>
      </c>
      <c r="F1078" t="str">
        <f>IFERROR(INDEX(Работы!$G$2:$G$6000,MATCH($C1078,Работы!$A$2:$A$6000,0)),"")</f>
        <v/>
      </c>
      <c r="G1078" t="str">
        <f>IFERROR(INDEX(Работы!$K$2:$K$6000,MATCH($C1078,Работы!$A$2:$A$6000,0)),"")</f>
        <v/>
      </c>
      <c r="H1078" s="9"/>
      <c r="I1078" s="9"/>
      <c r="J1078" s="8" t="str">
        <f>IFERROR(INDEX(Материалы!$B$2:$B$9000,MATCH($I1078,Материалы!$A$2:$A$9000,0)),"")</f>
        <v/>
      </c>
      <c r="K1078" t="str">
        <f>IF($I1078="","",IF($F1078=IFERROR(INDEX(Материалы!$G$2:$G$9000,MATCH($I1078,Материалы!$A$2:$A$9000,0)),""),"OK","!! не та группа"))</f>
        <v/>
      </c>
      <c r="L1078" s="10">
        <f>IFERROR(INDEX(Работы!$H$2:$H$6000,MATCH($C1078,Работы!$A$2:$A$6000,0))*(1-ДисконтТендер),0)</f>
        <v>0</v>
      </c>
      <c r="M1078" s="10">
        <f>IF($I1078="",0,IFERROR(INDEX(Материалы!$I$2:$I$9000,MATCH($I1078,Материалы!$A$2:$A$9000,0))*IF(INDEX(Материалы!$J$2:$J$9000,MATCH($I1078,Материалы!$A$2:$A$9000,0))="USD",КурсUSD,IF(INDEX(Материалы!$J$2:$J$9000,MATCH($I1078,Материалы!$A$2:$A$9000,0))="EUR",КурсEUR,1))*INDEX(Материалы!$K$2:$K$9000,MATCH($I1078,Материалы!$A$2:$A$9000,0))*(1+IFERROR(INDEX(Работы!$I$2:$I$6000,MATCH($C1078,Работы!$A$2:$A$6000,0))/100,0))*(1-ДисконтТендер),0))</f>
        <v>0</v>
      </c>
      <c r="N1078" s="10">
        <f t="shared" si="48"/>
        <v>0</v>
      </c>
      <c r="O1078" s="10">
        <f t="shared" si="49"/>
        <v>0</v>
      </c>
      <c r="P1078" s="10">
        <f t="shared" si="50"/>
        <v>0</v>
      </c>
      <c r="Q1078" t="str">
        <f>IFERROR(INDEX(Работы!$J$2:$J$6000,MATCH($C1078,Работы!$A$2:$A$6000,0)),"")</f>
        <v/>
      </c>
      <c r="R1078" t="s">
        <v>92</v>
      </c>
      <c r="T1078" t="str">
        <f>IF(AND($P1078&gt;0,$R1078="да"),MAX($T$1:$T1077)+1,"")</f>
        <v/>
      </c>
    </row>
    <row r="1079" spans="1:20" x14ac:dyDescent="0.3">
      <c r="A1079" s="11" t="str">
        <f>IFERROR(INDEX(Работы!$D$2:$D$6000,MATCH($C1079,Работы!$A$2:$A$6000,0)),"")</f>
        <v/>
      </c>
      <c r="B1079" t="str">
        <f>IFERROR(INDEX(Работы!$F$2:$F$6000,MATCH($C1079,Работы!$A$2:$A$6000,0)),"")</f>
        <v/>
      </c>
      <c r="C1079">
        <f>IFERROR(INDEX(Работы!$A$2:$A$6000,1078),"")</f>
        <v>0</v>
      </c>
      <c r="D1079" s="8" t="str">
        <f>IFERROR(INDEX(Работы!$B$2:$B$6000,MATCH($C1079,Работы!$A$2:$A$6000,0)),"")</f>
        <v/>
      </c>
      <c r="E1079" t="str">
        <f>IFERROR(INDEX(Работы!$C$2:$C$6000,MATCH($C1079,Работы!$A$2:$A$6000,0)),"")</f>
        <v/>
      </c>
      <c r="F1079" t="str">
        <f>IFERROR(INDEX(Работы!$G$2:$G$6000,MATCH($C1079,Работы!$A$2:$A$6000,0)),"")</f>
        <v/>
      </c>
      <c r="G1079" t="str">
        <f>IFERROR(INDEX(Работы!$K$2:$K$6000,MATCH($C1079,Работы!$A$2:$A$6000,0)),"")</f>
        <v/>
      </c>
      <c r="H1079" s="9"/>
      <c r="I1079" s="9"/>
      <c r="J1079" s="8" t="str">
        <f>IFERROR(INDEX(Материалы!$B$2:$B$9000,MATCH($I1079,Материалы!$A$2:$A$9000,0)),"")</f>
        <v/>
      </c>
      <c r="K1079" t="str">
        <f>IF($I1079="","",IF($F1079=IFERROR(INDEX(Материалы!$G$2:$G$9000,MATCH($I1079,Материалы!$A$2:$A$9000,0)),""),"OK","!! не та группа"))</f>
        <v/>
      </c>
      <c r="L1079" s="10">
        <f>IFERROR(INDEX(Работы!$H$2:$H$6000,MATCH($C1079,Работы!$A$2:$A$6000,0))*(1-ДисконтТендер),0)</f>
        <v>0</v>
      </c>
      <c r="M1079" s="10">
        <f>IF($I1079="",0,IFERROR(INDEX(Материалы!$I$2:$I$9000,MATCH($I1079,Материалы!$A$2:$A$9000,0))*IF(INDEX(Материалы!$J$2:$J$9000,MATCH($I1079,Материалы!$A$2:$A$9000,0))="USD",КурсUSD,IF(INDEX(Материалы!$J$2:$J$9000,MATCH($I1079,Материалы!$A$2:$A$9000,0))="EUR",КурсEUR,1))*INDEX(Материалы!$K$2:$K$9000,MATCH($I1079,Материалы!$A$2:$A$9000,0))*(1+IFERROR(INDEX(Работы!$I$2:$I$6000,MATCH($C1079,Работы!$A$2:$A$6000,0))/100,0))*(1-ДисконтТендер),0))</f>
        <v>0</v>
      </c>
      <c r="N1079" s="10">
        <f t="shared" si="48"/>
        <v>0</v>
      </c>
      <c r="O1079" s="10">
        <f t="shared" si="49"/>
        <v>0</v>
      </c>
      <c r="P1079" s="10">
        <f t="shared" si="50"/>
        <v>0</v>
      </c>
      <c r="Q1079" t="str">
        <f>IFERROR(INDEX(Работы!$J$2:$J$6000,MATCH($C1079,Работы!$A$2:$A$6000,0)),"")</f>
        <v/>
      </c>
      <c r="R1079" t="s">
        <v>92</v>
      </c>
      <c r="T1079" t="str">
        <f>IF(AND($P1079&gt;0,$R1079="да"),MAX($T$1:$T1078)+1,"")</f>
        <v/>
      </c>
    </row>
    <row r="1080" spans="1:20" x14ac:dyDescent="0.3">
      <c r="A1080" s="11" t="str">
        <f>IFERROR(INDEX(Работы!$D$2:$D$6000,MATCH($C1080,Работы!$A$2:$A$6000,0)),"")</f>
        <v/>
      </c>
      <c r="B1080" t="str">
        <f>IFERROR(INDEX(Работы!$F$2:$F$6000,MATCH($C1080,Работы!$A$2:$A$6000,0)),"")</f>
        <v/>
      </c>
      <c r="C1080">
        <f>IFERROR(INDEX(Работы!$A$2:$A$6000,1079),"")</f>
        <v>0</v>
      </c>
      <c r="D1080" s="8" t="str">
        <f>IFERROR(INDEX(Работы!$B$2:$B$6000,MATCH($C1080,Работы!$A$2:$A$6000,0)),"")</f>
        <v/>
      </c>
      <c r="E1080" t="str">
        <f>IFERROR(INDEX(Работы!$C$2:$C$6000,MATCH($C1080,Работы!$A$2:$A$6000,0)),"")</f>
        <v/>
      </c>
      <c r="F1080" t="str">
        <f>IFERROR(INDEX(Работы!$G$2:$G$6000,MATCH($C1080,Работы!$A$2:$A$6000,0)),"")</f>
        <v/>
      </c>
      <c r="G1080" t="str">
        <f>IFERROR(INDEX(Работы!$K$2:$K$6000,MATCH($C1080,Работы!$A$2:$A$6000,0)),"")</f>
        <v/>
      </c>
      <c r="H1080" s="9"/>
      <c r="I1080" s="9"/>
      <c r="J1080" s="8" t="str">
        <f>IFERROR(INDEX(Материалы!$B$2:$B$9000,MATCH($I1080,Материалы!$A$2:$A$9000,0)),"")</f>
        <v/>
      </c>
      <c r="K1080" t="str">
        <f>IF($I1080="","",IF($F1080=IFERROR(INDEX(Материалы!$G$2:$G$9000,MATCH($I1080,Материалы!$A$2:$A$9000,0)),""),"OK","!! не та группа"))</f>
        <v/>
      </c>
      <c r="L1080" s="10">
        <f>IFERROR(INDEX(Работы!$H$2:$H$6000,MATCH($C1080,Работы!$A$2:$A$6000,0))*(1-ДисконтТендер),0)</f>
        <v>0</v>
      </c>
      <c r="M1080" s="10">
        <f>IF($I1080="",0,IFERROR(INDEX(Материалы!$I$2:$I$9000,MATCH($I1080,Материалы!$A$2:$A$9000,0))*IF(INDEX(Материалы!$J$2:$J$9000,MATCH($I1080,Материалы!$A$2:$A$9000,0))="USD",КурсUSD,IF(INDEX(Материалы!$J$2:$J$9000,MATCH($I1080,Материалы!$A$2:$A$9000,0))="EUR",КурсEUR,1))*INDEX(Материалы!$K$2:$K$9000,MATCH($I1080,Материалы!$A$2:$A$9000,0))*(1+IFERROR(INDEX(Работы!$I$2:$I$6000,MATCH($C1080,Работы!$A$2:$A$6000,0))/100,0))*(1-ДисконтТендер),0))</f>
        <v>0</v>
      </c>
      <c r="N1080" s="10">
        <f t="shared" si="48"/>
        <v>0</v>
      </c>
      <c r="O1080" s="10">
        <f t="shared" si="49"/>
        <v>0</v>
      </c>
      <c r="P1080" s="10">
        <f t="shared" si="50"/>
        <v>0</v>
      </c>
      <c r="Q1080" t="str">
        <f>IFERROR(INDEX(Работы!$J$2:$J$6000,MATCH($C1080,Работы!$A$2:$A$6000,0)),"")</f>
        <v/>
      </c>
      <c r="R1080" t="s">
        <v>92</v>
      </c>
      <c r="T1080" t="str">
        <f>IF(AND($P1080&gt;0,$R1080="да"),MAX($T$1:$T1079)+1,"")</f>
        <v/>
      </c>
    </row>
    <row r="1081" spans="1:20" x14ac:dyDescent="0.3">
      <c r="A1081" s="11" t="str">
        <f>IFERROR(INDEX(Работы!$D$2:$D$6000,MATCH($C1081,Работы!$A$2:$A$6000,0)),"")</f>
        <v/>
      </c>
      <c r="B1081" t="str">
        <f>IFERROR(INDEX(Работы!$F$2:$F$6000,MATCH($C1081,Работы!$A$2:$A$6000,0)),"")</f>
        <v/>
      </c>
      <c r="C1081">
        <f>IFERROR(INDEX(Работы!$A$2:$A$6000,1080),"")</f>
        <v>0</v>
      </c>
      <c r="D1081" s="8" t="str">
        <f>IFERROR(INDEX(Работы!$B$2:$B$6000,MATCH($C1081,Работы!$A$2:$A$6000,0)),"")</f>
        <v/>
      </c>
      <c r="E1081" t="str">
        <f>IFERROR(INDEX(Работы!$C$2:$C$6000,MATCH($C1081,Работы!$A$2:$A$6000,0)),"")</f>
        <v/>
      </c>
      <c r="F1081" t="str">
        <f>IFERROR(INDEX(Работы!$G$2:$G$6000,MATCH($C1081,Работы!$A$2:$A$6000,0)),"")</f>
        <v/>
      </c>
      <c r="G1081" t="str">
        <f>IFERROR(INDEX(Работы!$K$2:$K$6000,MATCH($C1081,Работы!$A$2:$A$6000,0)),"")</f>
        <v/>
      </c>
      <c r="H1081" s="9"/>
      <c r="I1081" s="9"/>
      <c r="J1081" s="8" t="str">
        <f>IFERROR(INDEX(Материалы!$B$2:$B$9000,MATCH($I1081,Материалы!$A$2:$A$9000,0)),"")</f>
        <v/>
      </c>
      <c r="K1081" t="str">
        <f>IF($I1081="","",IF($F1081=IFERROR(INDEX(Материалы!$G$2:$G$9000,MATCH($I1081,Материалы!$A$2:$A$9000,0)),""),"OK","!! не та группа"))</f>
        <v/>
      </c>
      <c r="L1081" s="10">
        <f>IFERROR(INDEX(Работы!$H$2:$H$6000,MATCH($C1081,Работы!$A$2:$A$6000,0))*(1-ДисконтТендер),0)</f>
        <v>0</v>
      </c>
      <c r="M1081" s="10">
        <f>IF($I1081="",0,IFERROR(INDEX(Материалы!$I$2:$I$9000,MATCH($I1081,Материалы!$A$2:$A$9000,0))*IF(INDEX(Материалы!$J$2:$J$9000,MATCH($I1081,Материалы!$A$2:$A$9000,0))="USD",КурсUSD,IF(INDEX(Материалы!$J$2:$J$9000,MATCH($I1081,Материалы!$A$2:$A$9000,0))="EUR",КурсEUR,1))*INDEX(Материалы!$K$2:$K$9000,MATCH($I1081,Материалы!$A$2:$A$9000,0))*(1+IFERROR(INDEX(Работы!$I$2:$I$6000,MATCH($C1081,Работы!$A$2:$A$6000,0))/100,0))*(1-ДисконтТендер),0))</f>
        <v>0</v>
      </c>
      <c r="N1081" s="10">
        <f t="shared" si="48"/>
        <v>0</v>
      </c>
      <c r="O1081" s="10">
        <f t="shared" si="49"/>
        <v>0</v>
      </c>
      <c r="P1081" s="10">
        <f t="shared" si="50"/>
        <v>0</v>
      </c>
      <c r="Q1081" t="str">
        <f>IFERROR(INDEX(Работы!$J$2:$J$6000,MATCH($C1081,Работы!$A$2:$A$6000,0)),"")</f>
        <v/>
      </c>
      <c r="R1081" t="s">
        <v>92</v>
      </c>
      <c r="T1081" t="str">
        <f>IF(AND($P1081&gt;0,$R1081="да"),MAX($T$1:$T1080)+1,"")</f>
        <v/>
      </c>
    </row>
    <row r="1082" spans="1:20" x14ac:dyDescent="0.3">
      <c r="A1082" s="11" t="str">
        <f>IFERROR(INDEX(Работы!$D$2:$D$6000,MATCH($C1082,Работы!$A$2:$A$6000,0)),"")</f>
        <v/>
      </c>
      <c r="B1082" t="str">
        <f>IFERROR(INDEX(Работы!$F$2:$F$6000,MATCH($C1082,Работы!$A$2:$A$6000,0)),"")</f>
        <v/>
      </c>
      <c r="C1082">
        <f>IFERROR(INDEX(Работы!$A$2:$A$6000,1081),"")</f>
        <v>0</v>
      </c>
      <c r="D1082" s="8" t="str">
        <f>IFERROR(INDEX(Работы!$B$2:$B$6000,MATCH($C1082,Работы!$A$2:$A$6000,0)),"")</f>
        <v/>
      </c>
      <c r="E1082" t="str">
        <f>IFERROR(INDEX(Работы!$C$2:$C$6000,MATCH($C1082,Работы!$A$2:$A$6000,0)),"")</f>
        <v/>
      </c>
      <c r="F1082" t="str">
        <f>IFERROR(INDEX(Работы!$G$2:$G$6000,MATCH($C1082,Работы!$A$2:$A$6000,0)),"")</f>
        <v/>
      </c>
      <c r="G1082" t="str">
        <f>IFERROR(INDEX(Работы!$K$2:$K$6000,MATCH($C1082,Работы!$A$2:$A$6000,0)),"")</f>
        <v/>
      </c>
      <c r="H1082" s="9"/>
      <c r="I1082" s="9"/>
      <c r="J1082" s="8" t="str">
        <f>IFERROR(INDEX(Материалы!$B$2:$B$9000,MATCH($I1082,Материалы!$A$2:$A$9000,0)),"")</f>
        <v/>
      </c>
      <c r="K1082" t="str">
        <f>IF($I1082="","",IF($F1082=IFERROR(INDEX(Материалы!$G$2:$G$9000,MATCH($I1082,Материалы!$A$2:$A$9000,0)),""),"OK","!! не та группа"))</f>
        <v/>
      </c>
      <c r="L1082" s="10">
        <f>IFERROR(INDEX(Работы!$H$2:$H$6000,MATCH($C1082,Работы!$A$2:$A$6000,0))*(1-ДисконтТендер),0)</f>
        <v>0</v>
      </c>
      <c r="M1082" s="10">
        <f>IF($I1082="",0,IFERROR(INDEX(Материалы!$I$2:$I$9000,MATCH($I1082,Материалы!$A$2:$A$9000,0))*IF(INDEX(Материалы!$J$2:$J$9000,MATCH($I1082,Материалы!$A$2:$A$9000,0))="USD",КурсUSD,IF(INDEX(Материалы!$J$2:$J$9000,MATCH($I1082,Материалы!$A$2:$A$9000,0))="EUR",КурсEUR,1))*INDEX(Материалы!$K$2:$K$9000,MATCH($I1082,Материалы!$A$2:$A$9000,0))*(1+IFERROR(INDEX(Работы!$I$2:$I$6000,MATCH($C1082,Работы!$A$2:$A$6000,0))/100,0))*(1-ДисконтТендер),0))</f>
        <v>0</v>
      </c>
      <c r="N1082" s="10">
        <f t="shared" si="48"/>
        <v>0</v>
      </c>
      <c r="O1082" s="10">
        <f t="shared" si="49"/>
        <v>0</v>
      </c>
      <c r="P1082" s="10">
        <f t="shared" si="50"/>
        <v>0</v>
      </c>
      <c r="Q1082" t="str">
        <f>IFERROR(INDEX(Работы!$J$2:$J$6000,MATCH($C1082,Работы!$A$2:$A$6000,0)),"")</f>
        <v/>
      </c>
      <c r="R1082" t="s">
        <v>92</v>
      </c>
      <c r="T1082" t="str">
        <f>IF(AND($P1082&gt;0,$R1082="да"),MAX($T$1:$T1081)+1,"")</f>
        <v/>
      </c>
    </row>
    <row r="1083" spans="1:20" x14ac:dyDescent="0.3">
      <c r="A1083" s="11" t="str">
        <f>IFERROR(INDEX(Работы!$D$2:$D$6000,MATCH($C1083,Работы!$A$2:$A$6000,0)),"")</f>
        <v/>
      </c>
      <c r="B1083" t="str">
        <f>IFERROR(INDEX(Работы!$F$2:$F$6000,MATCH($C1083,Работы!$A$2:$A$6000,0)),"")</f>
        <v/>
      </c>
      <c r="C1083">
        <f>IFERROR(INDEX(Работы!$A$2:$A$6000,1082),"")</f>
        <v>0</v>
      </c>
      <c r="D1083" s="8" t="str">
        <f>IFERROR(INDEX(Работы!$B$2:$B$6000,MATCH($C1083,Работы!$A$2:$A$6000,0)),"")</f>
        <v/>
      </c>
      <c r="E1083" t="str">
        <f>IFERROR(INDEX(Работы!$C$2:$C$6000,MATCH($C1083,Работы!$A$2:$A$6000,0)),"")</f>
        <v/>
      </c>
      <c r="F1083" t="str">
        <f>IFERROR(INDEX(Работы!$G$2:$G$6000,MATCH($C1083,Работы!$A$2:$A$6000,0)),"")</f>
        <v/>
      </c>
      <c r="G1083" t="str">
        <f>IFERROR(INDEX(Работы!$K$2:$K$6000,MATCH($C1083,Работы!$A$2:$A$6000,0)),"")</f>
        <v/>
      </c>
      <c r="H1083" s="9"/>
      <c r="I1083" s="9"/>
      <c r="J1083" s="8" t="str">
        <f>IFERROR(INDEX(Материалы!$B$2:$B$9000,MATCH($I1083,Материалы!$A$2:$A$9000,0)),"")</f>
        <v/>
      </c>
      <c r="K1083" t="str">
        <f>IF($I1083="","",IF($F1083=IFERROR(INDEX(Материалы!$G$2:$G$9000,MATCH($I1083,Материалы!$A$2:$A$9000,0)),""),"OK","!! не та группа"))</f>
        <v/>
      </c>
      <c r="L1083" s="10">
        <f>IFERROR(INDEX(Работы!$H$2:$H$6000,MATCH($C1083,Работы!$A$2:$A$6000,0))*(1-ДисконтТендер),0)</f>
        <v>0</v>
      </c>
      <c r="M1083" s="10">
        <f>IF($I1083="",0,IFERROR(INDEX(Материалы!$I$2:$I$9000,MATCH($I1083,Материалы!$A$2:$A$9000,0))*IF(INDEX(Материалы!$J$2:$J$9000,MATCH($I1083,Материалы!$A$2:$A$9000,0))="USD",КурсUSD,IF(INDEX(Материалы!$J$2:$J$9000,MATCH($I1083,Материалы!$A$2:$A$9000,0))="EUR",КурсEUR,1))*INDEX(Материалы!$K$2:$K$9000,MATCH($I1083,Материалы!$A$2:$A$9000,0))*(1+IFERROR(INDEX(Работы!$I$2:$I$6000,MATCH($C1083,Работы!$A$2:$A$6000,0))/100,0))*(1-ДисконтТендер),0))</f>
        <v>0</v>
      </c>
      <c r="N1083" s="10">
        <f t="shared" si="48"/>
        <v>0</v>
      </c>
      <c r="O1083" s="10">
        <f t="shared" si="49"/>
        <v>0</v>
      </c>
      <c r="P1083" s="10">
        <f t="shared" si="50"/>
        <v>0</v>
      </c>
      <c r="Q1083" t="str">
        <f>IFERROR(INDEX(Работы!$J$2:$J$6000,MATCH($C1083,Работы!$A$2:$A$6000,0)),"")</f>
        <v/>
      </c>
      <c r="R1083" t="s">
        <v>92</v>
      </c>
      <c r="T1083" t="str">
        <f>IF(AND($P1083&gt;0,$R1083="да"),MAX($T$1:$T1082)+1,"")</f>
        <v/>
      </c>
    </row>
    <row r="1084" spans="1:20" x14ac:dyDescent="0.3">
      <c r="A1084" s="11" t="str">
        <f>IFERROR(INDEX(Работы!$D$2:$D$6000,MATCH($C1084,Работы!$A$2:$A$6000,0)),"")</f>
        <v/>
      </c>
      <c r="B1084" t="str">
        <f>IFERROR(INDEX(Работы!$F$2:$F$6000,MATCH($C1084,Работы!$A$2:$A$6000,0)),"")</f>
        <v/>
      </c>
      <c r="C1084">
        <f>IFERROR(INDEX(Работы!$A$2:$A$6000,1083),"")</f>
        <v>0</v>
      </c>
      <c r="D1084" s="8" t="str">
        <f>IFERROR(INDEX(Работы!$B$2:$B$6000,MATCH($C1084,Работы!$A$2:$A$6000,0)),"")</f>
        <v/>
      </c>
      <c r="E1084" t="str">
        <f>IFERROR(INDEX(Работы!$C$2:$C$6000,MATCH($C1084,Работы!$A$2:$A$6000,0)),"")</f>
        <v/>
      </c>
      <c r="F1084" t="str">
        <f>IFERROR(INDEX(Работы!$G$2:$G$6000,MATCH($C1084,Работы!$A$2:$A$6000,0)),"")</f>
        <v/>
      </c>
      <c r="G1084" t="str">
        <f>IFERROR(INDEX(Работы!$K$2:$K$6000,MATCH($C1084,Работы!$A$2:$A$6000,0)),"")</f>
        <v/>
      </c>
      <c r="H1084" s="9"/>
      <c r="I1084" s="9"/>
      <c r="J1084" s="8" t="str">
        <f>IFERROR(INDEX(Материалы!$B$2:$B$9000,MATCH($I1084,Материалы!$A$2:$A$9000,0)),"")</f>
        <v/>
      </c>
      <c r="K1084" t="str">
        <f>IF($I1084="","",IF($F1084=IFERROR(INDEX(Материалы!$G$2:$G$9000,MATCH($I1084,Материалы!$A$2:$A$9000,0)),""),"OK","!! не та группа"))</f>
        <v/>
      </c>
      <c r="L1084" s="10">
        <f>IFERROR(INDEX(Работы!$H$2:$H$6000,MATCH($C1084,Работы!$A$2:$A$6000,0))*(1-ДисконтТендер),0)</f>
        <v>0</v>
      </c>
      <c r="M1084" s="10">
        <f>IF($I1084="",0,IFERROR(INDEX(Материалы!$I$2:$I$9000,MATCH($I1084,Материалы!$A$2:$A$9000,0))*IF(INDEX(Материалы!$J$2:$J$9000,MATCH($I1084,Материалы!$A$2:$A$9000,0))="USD",КурсUSD,IF(INDEX(Материалы!$J$2:$J$9000,MATCH($I1084,Материалы!$A$2:$A$9000,0))="EUR",КурсEUR,1))*INDEX(Материалы!$K$2:$K$9000,MATCH($I1084,Материалы!$A$2:$A$9000,0))*(1+IFERROR(INDEX(Работы!$I$2:$I$6000,MATCH($C1084,Работы!$A$2:$A$6000,0))/100,0))*(1-ДисконтТендер),0))</f>
        <v>0</v>
      </c>
      <c r="N1084" s="10">
        <f t="shared" si="48"/>
        <v>0</v>
      </c>
      <c r="O1084" s="10">
        <f t="shared" si="49"/>
        <v>0</v>
      </c>
      <c r="P1084" s="10">
        <f t="shared" si="50"/>
        <v>0</v>
      </c>
      <c r="Q1084" t="str">
        <f>IFERROR(INDEX(Работы!$J$2:$J$6000,MATCH($C1084,Работы!$A$2:$A$6000,0)),"")</f>
        <v/>
      </c>
      <c r="R1084" t="s">
        <v>92</v>
      </c>
      <c r="T1084" t="str">
        <f>IF(AND($P1084&gt;0,$R1084="да"),MAX($T$1:$T1083)+1,"")</f>
        <v/>
      </c>
    </row>
    <row r="1085" spans="1:20" x14ac:dyDescent="0.3">
      <c r="A1085" s="11" t="str">
        <f>IFERROR(INDEX(Работы!$D$2:$D$6000,MATCH($C1085,Работы!$A$2:$A$6000,0)),"")</f>
        <v/>
      </c>
      <c r="B1085" t="str">
        <f>IFERROR(INDEX(Работы!$F$2:$F$6000,MATCH($C1085,Работы!$A$2:$A$6000,0)),"")</f>
        <v/>
      </c>
      <c r="C1085">
        <f>IFERROR(INDEX(Работы!$A$2:$A$6000,1084),"")</f>
        <v>0</v>
      </c>
      <c r="D1085" s="8" t="str">
        <f>IFERROR(INDEX(Работы!$B$2:$B$6000,MATCH($C1085,Работы!$A$2:$A$6000,0)),"")</f>
        <v/>
      </c>
      <c r="E1085" t="str">
        <f>IFERROR(INDEX(Работы!$C$2:$C$6000,MATCH($C1085,Работы!$A$2:$A$6000,0)),"")</f>
        <v/>
      </c>
      <c r="F1085" t="str">
        <f>IFERROR(INDEX(Работы!$G$2:$G$6000,MATCH($C1085,Работы!$A$2:$A$6000,0)),"")</f>
        <v/>
      </c>
      <c r="G1085" t="str">
        <f>IFERROR(INDEX(Работы!$K$2:$K$6000,MATCH($C1085,Работы!$A$2:$A$6000,0)),"")</f>
        <v/>
      </c>
      <c r="H1085" s="9"/>
      <c r="I1085" s="9"/>
      <c r="J1085" s="8" t="str">
        <f>IFERROR(INDEX(Материалы!$B$2:$B$9000,MATCH($I1085,Материалы!$A$2:$A$9000,0)),"")</f>
        <v/>
      </c>
      <c r="K1085" t="str">
        <f>IF($I1085="","",IF($F1085=IFERROR(INDEX(Материалы!$G$2:$G$9000,MATCH($I1085,Материалы!$A$2:$A$9000,0)),""),"OK","!! не та группа"))</f>
        <v/>
      </c>
      <c r="L1085" s="10">
        <f>IFERROR(INDEX(Работы!$H$2:$H$6000,MATCH($C1085,Работы!$A$2:$A$6000,0))*(1-ДисконтТендер),0)</f>
        <v>0</v>
      </c>
      <c r="M1085" s="10">
        <f>IF($I1085="",0,IFERROR(INDEX(Материалы!$I$2:$I$9000,MATCH($I1085,Материалы!$A$2:$A$9000,0))*IF(INDEX(Материалы!$J$2:$J$9000,MATCH($I1085,Материалы!$A$2:$A$9000,0))="USD",КурсUSD,IF(INDEX(Материалы!$J$2:$J$9000,MATCH($I1085,Материалы!$A$2:$A$9000,0))="EUR",КурсEUR,1))*INDEX(Материалы!$K$2:$K$9000,MATCH($I1085,Материалы!$A$2:$A$9000,0))*(1+IFERROR(INDEX(Работы!$I$2:$I$6000,MATCH($C1085,Работы!$A$2:$A$6000,0))/100,0))*(1-ДисконтТендер),0))</f>
        <v>0</v>
      </c>
      <c r="N1085" s="10">
        <f t="shared" si="48"/>
        <v>0</v>
      </c>
      <c r="O1085" s="10">
        <f t="shared" si="49"/>
        <v>0</v>
      </c>
      <c r="P1085" s="10">
        <f t="shared" si="50"/>
        <v>0</v>
      </c>
      <c r="Q1085" t="str">
        <f>IFERROR(INDEX(Работы!$J$2:$J$6000,MATCH($C1085,Работы!$A$2:$A$6000,0)),"")</f>
        <v/>
      </c>
      <c r="R1085" t="s">
        <v>92</v>
      </c>
      <c r="T1085" t="str">
        <f>IF(AND($P1085&gt;0,$R1085="да"),MAX($T$1:$T1084)+1,"")</f>
        <v/>
      </c>
    </row>
    <row r="1086" spans="1:20" x14ac:dyDescent="0.3">
      <c r="A1086" s="11" t="str">
        <f>IFERROR(INDEX(Работы!$D$2:$D$6000,MATCH($C1086,Работы!$A$2:$A$6000,0)),"")</f>
        <v/>
      </c>
      <c r="B1086" t="str">
        <f>IFERROR(INDEX(Работы!$F$2:$F$6000,MATCH($C1086,Работы!$A$2:$A$6000,0)),"")</f>
        <v/>
      </c>
      <c r="C1086">
        <f>IFERROR(INDEX(Работы!$A$2:$A$6000,1085),"")</f>
        <v>0</v>
      </c>
      <c r="D1086" s="8" t="str">
        <f>IFERROR(INDEX(Работы!$B$2:$B$6000,MATCH($C1086,Работы!$A$2:$A$6000,0)),"")</f>
        <v/>
      </c>
      <c r="E1086" t="str">
        <f>IFERROR(INDEX(Работы!$C$2:$C$6000,MATCH($C1086,Работы!$A$2:$A$6000,0)),"")</f>
        <v/>
      </c>
      <c r="F1086" t="str">
        <f>IFERROR(INDEX(Работы!$G$2:$G$6000,MATCH($C1086,Работы!$A$2:$A$6000,0)),"")</f>
        <v/>
      </c>
      <c r="G1086" t="str">
        <f>IFERROR(INDEX(Работы!$K$2:$K$6000,MATCH($C1086,Работы!$A$2:$A$6000,0)),"")</f>
        <v/>
      </c>
      <c r="H1086" s="9"/>
      <c r="I1086" s="9"/>
      <c r="J1086" s="8" t="str">
        <f>IFERROR(INDEX(Материалы!$B$2:$B$9000,MATCH($I1086,Материалы!$A$2:$A$9000,0)),"")</f>
        <v/>
      </c>
      <c r="K1086" t="str">
        <f>IF($I1086="","",IF($F1086=IFERROR(INDEX(Материалы!$G$2:$G$9000,MATCH($I1086,Материалы!$A$2:$A$9000,0)),""),"OK","!! не та группа"))</f>
        <v/>
      </c>
      <c r="L1086" s="10">
        <f>IFERROR(INDEX(Работы!$H$2:$H$6000,MATCH($C1086,Работы!$A$2:$A$6000,0))*(1-ДисконтТендер),0)</f>
        <v>0</v>
      </c>
      <c r="M1086" s="10">
        <f>IF($I1086="",0,IFERROR(INDEX(Материалы!$I$2:$I$9000,MATCH($I1086,Материалы!$A$2:$A$9000,0))*IF(INDEX(Материалы!$J$2:$J$9000,MATCH($I1086,Материалы!$A$2:$A$9000,0))="USD",КурсUSD,IF(INDEX(Материалы!$J$2:$J$9000,MATCH($I1086,Материалы!$A$2:$A$9000,0))="EUR",КурсEUR,1))*INDEX(Материалы!$K$2:$K$9000,MATCH($I1086,Материалы!$A$2:$A$9000,0))*(1+IFERROR(INDEX(Работы!$I$2:$I$6000,MATCH($C1086,Работы!$A$2:$A$6000,0))/100,0))*(1-ДисконтТендер),0))</f>
        <v>0</v>
      </c>
      <c r="N1086" s="10">
        <f t="shared" si="48"/>
        <v>0</v>
      </c>
      <c r="O1086" s="10">
        <f t="shared" si="49"/>
        <v>0</v>
      </c>
      <c r="P1086" s="10">
        <f t="shared" si="50"/>
        <v>0</v>
      </c>
      <c r="Q1086" t="str">
        <f>IFERROR(INDEX(Работы!$J$2:$J$6000,MATCH($C1086,Работы!$A$2:$A$6000,0)),"")</f>
        <v/>
      </c>
      <c r="R1086" t="s">
        <v>92</v>
      </c>
      <c r="T1086" t="str">
        <f>IF(AND($P1086&gt;0,$R1086="да"),MAX($T$1:$T1085)+1,"")</f>
        <v/>
      </c>
    </row>
    <row r="1087" spans="1:20" x14ac:dyDescent="0.3">
      <c r="A1087" s="11" t="str">
        <f>IFERROR(INDEX(Работы!$D$2:$D$6000,MATCH($C1087,Работы!$A$2:$A$6000,0)),"")</f>
        <v/>
      </c>
      <c r="B1087" t="str">
        <f>IFERROR(INDEX(Работы!$F$2:$F$6000,MATCH($C1087,Работы!$A$2:$A$6000,0)),"")</f>
        <v/>
      </c>
      <c r="C1087">
        <f>IFERROR(INDEX(Работы!$A$2:$A$6000,1086),"")</f>
        <v>0</v>
      </c>
      <c r="D1087" s="8" t="str">
        <f>IFERROR(INDEX(Работы!$B$2:$B$6000,MATCH($C1087,Работы!$A$2:$A$6000,0)),"")</f>
        <v/>
      </c>
      <c r="E1087" t="str">
        <f>IFERROR(INDEX(Работы!$C$2:$C$6000,MATCH($C1087,Работы!$A$2:$A$6000,0)),"")</f>
        <v/>
      </c>
      <c r="F1087" t="str">
        <f>IFERROR(INDEX(Работы!$G$2:$G$6000,MATCH($C1087,Работы!$A$2:$A$6000,0)),"")</f>
        <v/>
      </c>
      <c r="G1087" t="str">
        <f>IFERROR(INDEX(Работы!$K$2:$K$6000,MATCH($C1087,Работы!$A$2:$A$6000,0)),"")</f>
        <v/>
      </c>
      <c r="H1087" s="9"/>
      <c r="I1087" s="9"/>
      <c r="J1087" s="8" t="str">
        <f>IFERROR(INDEX(Материалы!$B$2:$B$9000,MATCH($I1087,Материалы!$A$2:$A$9000,0)),"")</f>
        <v/>
      </c>
      <c r="K1087" t="str">
        <f>IF($I1087="","",IF($F1087=IFERROR(INDEX(Материалы!$G$2:$G$9000,MATCH($I1087,Материалы!$A$2:$A$9000,0)),""),"OK","!! не та группа"))</f>
        <v/>
      </c>
      <c r="L1087" s="10">
        <f>IFERROR(INDEX(Работы!$H$2:$H$6000,MATCH($C1087,Работы!$A$2:$A$6000,0))*(1-ДисконтТендер),0)</f>
        <v>0</v>
      </c>
      <c r="M1087" s="10">
        <f>IF($I1087="",0,IFERROR(INDEX(Материалы!$I$2:$I$9000,MATCH($I1087,Материалы!$A$2:$A$9000,0))*IF(INDEX(Материалы!$J$2:$J$9000,MATCH($I1087,Материалы!$A$2:$A$9000,0))="USD",КурсUSD,IF(INDEX(Материалы!$J$2:$J$9000,MATCH($I1087,Материалы!$A$2:$A$9000,0))="EUR",КурсEUR,1))*INDEX(Материалы!$K$2:$K$9000,MATCH($I1087,Материалы!$A$2:$A$9000,0))*(1+IFERROR(INDEX(Работы!$I$2:$I$6000,MATCH($C1087,Работы!$A$2:$A$6000,0))/100,0))*(1-ДисконтТендер),0))</f>
        <v>0</v>
      </c>
      <c r="N1087" s="10">
        <f t="shared" si="48"/>
        <v>0</v>
      </c>
      <c r="O1087" s="10">
        <f t="shared" si="49"/>
        <v>0</v>
      </c>
      <c r="P1087" s="10">
        <f t="shared" si="50"/>
        <v>0</v>
      </c>
      <c r="Q1087" t="str">
        <f>IFERROR(INDEX(Работы!$J$2:$J$6000,MATCH($C1087,Работы!$A$2:$A$6000,0)),"")</f>
        <v/>
      </c>
      <c r="R1087" t="s">
        <v>92</v>
      </c>
      <c r="T1087" t="str">
        <f>IF(AND($P1087&gt;0,$R1087="да"),MAX($T$1:$T1086)+1,"")</f>
        <v/>
      </c>
    </row>
    <row r="1088" spans="1:20" x14ac:dyDescent="0.3">
      <c r="A1088" s="11" t="str">
        <f>IFERROR(INDEX(Работы!$D$2:$D$6000,MATCH($C1088,Работы!$A$2:$A$6000,0)),"")</f>
        <v/>
      </c>
      <c r="B1088" t="str">
        <f>IFERROR(INDEX(Работы!$F$2:$F$6000,MATCH($C1088,Работы!$A$2:$A$6000,0)),"")</f>
        <v/>
      </c>
      <c r="C1088">
        <f>IFERROR(INDEX(Работы!$A$2:$A$6000,1087),"")</f>
        <v>0</v>
      </c>
      <c r="D1088" s="8" t="str">
        <f>IFERROR(INDEX(Работы!$B$2:$B$6000,MATCH($C1088,Работы!$A$2:$A$6000,0)),"")</f>
        <v/>
      </c>
      <c r="E1088" t="str">
        <f>IFERROR(INDEX(Работы!$C$2:$C$6000,MATCH($C1088,Работы!$A$2:$A$6000,0)),"")</f>
        <v/>
      </c>
      <c r="F1088" t="str">
        <f>IFERROR(INDEX(Работы!$G$2:$G$6000,MATCH($C1088,Работы!$A$2:$A$6000,0)),"")</f>
        <v/>
      </c>
      <c r="G1088" t="str">
        <f>IFERROR(INDEX(Работы!$K$2:$K$6000,MATCH($C1088,Работы!$A$2:$A$6000,0)),"")</f>
        <v/>
      </c>
      <c r="H1088" s="9"/>
      <c r="I1088" s="9"/>
      <c r="J1088" s="8" t="str">
        <f>IFERROR(INDEX(Материалы!$B$2:$B$9000,MATCH($I1088,Материалы!$A$2:$A$9000,0)),"")</f>
        <v/>
      </c>
      <c r="K1088" t="str">
        <f>IF($I1088="","",IF($F1088=IFERROR(INDEX(Материалы!$G$2:$G$9000,MATCH($I1088,Материалы!$A$2:$A$9000,0)),""),"OK","!! не та группа"))</f>
        <v/>
      </c>
      <c r="L1088" s="10">
        <f>IFERROR(INDEX(Работы!$H$2:$H$6000,MATCH($C1088,Работы!$A$2:$A$6000,0))*(1-ДисконтТендер),0)</f>
        <v>0</v>
      </c>
      <c r="M1088" s="10">
        <f>IF($I1088="",0,IFERROR(INDEX(Материалы!$I$2:$I$9000,MATCH($I1088,Материалы!$A$2:$A$9000,0))*IF(INDEX(Материалы!$J$2:$J$9000,MATCH($I1088,Материалы!$A$2:$A$9000,0))="USD",КурсUSD,IF(INDEX(Материалы!$J$2:$J$9000,MATCH($I1088,Материалы!$A$2:$A$9000,0))="EUR",КурсEUR,1))*INDEX(Материалы!$K$2:$K$9000,MATCH($I1088,Материалы!$A$2:$A$9000,0))*(1+IFERROR(INDEX(Работы!$I$2:$I$6000,MATCH($C1088,Работы!$A$2:$A$6000,0))/100,0))*(1-ДисконтТендер),0))</f>
        <v>0</v>
      </c>
      <c r="N1088" s="10">
        <f t="shared" si="48"/>
        <v>0</v>
      </c>
      <c r="O1088" s="10">
        <f t="shared" si="49"/>
        <v>0</v>
      </c>
      <c r="P1088" s="10">
        <f t="shared" si="50"/>
        <v>0</v>
      </c>
      <c r="Q1088" t="str">
        <f>IFERROR(INDEX(Работы!$J$2:$J$6000,MATCH($C1088,Работы!$A$2:$A$6000,0)),"")</f>
        <v/>
      </c>
      <c r="R1088" t="s">
        <v>92</v>
      </c>
      <c r="T1088" t="str">
        <f>IF(AND($P1088&gt;0,$R1088="да"),MAX($T$1:$T1087)+1,"")</f>
        <v/>
      </c>
    </row>
    <row r="1089" spans="1:20" x14ac:dyDescent="0.3">
      <c r="A1089" s="11" t="str">
        <f>IFERROR(INDEX(Работы!$D$2:$D$6000,MATCH($C1089,Работы!$A$2:$A$6000,0)),"")</f>
        <v/>
      </c>
      <c r="B1089" t="str">
        <f>IFERROR(INDEX(Работы!$F$2:$F$6000,MATCH($C1089,Работы!$A$2:$A$6000,0)),"")</f>
        <v/>
      </c>
      <c r="C1089">
        <f>IFERROR(INDEX(Работы!$A$2:$A$6000,1088),"")</f>
        <v>0</v>
      </c>
      <c r="D1089" s="8" t="str">
        <f>IFERROR(INDEX(Работы!$B$2:$B$6000,MATCH($C1089,Работы!$A$2:$A$6000,0)),"")</f>
        <v/>
      </c>
      <c r="E1089" t="str">
        <f>IFERROR(INDEX(Работы!$C$2:$C$6000,MATCH($C1089,Работы!$A$2:$A$6000,0)),"")</f>
        <v/>
      </c>
      <c r="F1089" t="str">
        <f>IFERROR(INDEX(Работы!$G$2:$G$6000,MATCH($C1089,Работы!$A$2:$A$6000,0)),"")</f>
        <v/>
      </c>
      <c r="G1089" t="str">
        <f>IFERROR(INDEX(Работы!$K$2:$K$6000,MATCH($C1089,Работы!$A$2:$A$6000,0)),"")</f>
        <v/>
      </c>
      <c r="H1089" s="9"/>
      <c r="I1089" s="9"/>
      <c r="J1089" s="8" t="str">
        <f>IFERROR(INDEX(Материалы!$B$2:$B$9000,MATCH($I1089,Материалы!$A$2:$A$9000,0)),"")</f>
        <v/>
      </c>
      <c r="K1089" t="str">
        <f>IF($I1089="","",IF($F1089=IFERROR(INDEX(Материалы!$G$2:$G$9000,MATCH($I1089,Материалы!$A$2:$A$9000,0)),""),"OK","!! не та группа"))</f>
        <v/>
      </c>
      <c r="L1089" s="10">
        <f>IFERROR(INDEX(Работы!$H$2:$H$6000,MATCH($C1089,Работы!$A$2:$A$6000,0))*(1-ДисконтТендер),0)</f>
        <v>0</v>
      </c>
      <c r="M1089" s="10">
        <f>IF($I1089="",0,IFERROR(INDEX(Материалы!$I$2:$I$9000,MATCH($I1089,Материалы!$A$2:$A$9000,0))*IF(INDEX(Материалы!$J$2:$J$9000,MATCH($I1089,Материалы!$A$2:$A$9000,0))="USD",КурсUSD,IF(INDEX(Материалы!$J$2:$J$9000,MATCH($I1089,Материалы!$A$2:$A$9000,0))="EUR",КурсEUR,1))*INDEX(Материалы!$K$2:$K$9000,MATCH($I1089,Материалы!$A$2:$A$9000,0))*(1+IFERROR(INDEX(Работы!$I$2:$I$6000,MATCH($C1089,Работы!$A$2:$A$6000,0))/100,0))*(1-ДисконтТендер),0))</f>
        <v>0</v>
      </c>
      <c r="N1089" s="10">
        <f t="shared" si="48"/>
        <v>0</v>
      </c>
      <c r="O1089" s="10">
        <f t="shared" si="49"/>
        <v>0</v>
      </c>
      <c r="P1089" s="10">
        <f t="shared" si="50"/>
        <v>0</v>
      </c>
      <c r="Q1089" t="str">
        <f>IFERROR(INDEX(Работы!$J$2:$J$6000,MATCH($C1089,Работы!$A$2:$A$6000,0)),"")</f>
        <v/>
      </c>
      <c r="R1089" t="s">
        <v>92</v>
      </c>
      <c r="T1089" t="str">
        <f>IF(AND($P1089&gt;0,$R1089="да"),MAX($T$1:$T1088)+1,"")</f>
        <v/>
      </c>
    </row>
    <row r="1090" spans="1:20" x14ac:dyDescent="0.3">
      <c r="A1090" s="11" t="str">
        <f>IFERROR(INDEX(Работы!$D$2:$D$6000,MATCH($C1090,Работы!$A$2:$A$6000,0)),"")</f>
        <v/>
      </c>
      <c r="B1090" t="str">
        <f>IFERROR(INDEX(Работы!$F$2:$F$6000,MATCH($C1090,Работы!$A$2:$A$6000,0)),"")</f>
        <v/>
      </c>
      <c r="C1090">
        <f>IFERROR(INDEX(Работы!$A$2:$A$6000,1089),"")</f>
        <v>0</v>
      </c>
      <c r="D1090" s="8" t="str">
        <f>IFERROR(INDEX(Работы!$B$2:$B$6000,MATCH($C1090,Работы!$A$2:$A$6000,0)),"")</f>
        <v/>
      </c>
      <c r="E1090" t="str">
        <f>IFERROR(INDEX(Работы!$C$2:$C$6000,MATCH($C1090,Работы!$A$2:$A$6000,0)),"")</f>
        <v/>
      </c>
      <c r="F1090" t="str">
        <f>IFERROR(INDEX(Работы!$G$2:$G$6000,MATCH($C1090,Работы!$A$2:$A$6000,0)),"")</f>
        <v/>
      </c>
      <c r="G1090" t="str">
        <f>IFERROR(INDEX(Работы!$K$2:$K$6000,MATCH($C1090,Работы!$A$2:$A$6000,0)),"")</f>
        <v/>
      </c>
      <c r="H1090" s="9"/>
      <c r="I1090" s="9"/>
      <c r="J1090" s="8" t="str">
        <f>IFERROR(INDEX(Материалы!$B$2:$B$9000,MATCH($I1090,Материалы!$A$2:$A$9000,0)),"")</f>
        <v/>
      </c>
      <c r="K1090" t="str">
        <f>IF($I1090="","",IF($F1090=IFERROR(INDEX(Материалы!$G$2:$G$9000,MATCH($I1090,Материалы!$A$2:$A$9000,0)),""),"OK","!! не та группа"))</f>
        <v/>
      </c>
      <c r="L1090" s="10">
        <f>IFERROR(INDEX(Работы!$H$2:$H$6000,MATCH($C1090,Работы!$A$2:$A$6000,0))*(1-ДисконтТендер),0)</f>
        <v>0</v>
      </c>
      <c r="M1090" s="10">
        <f>IF($I1090="",0,IFERROR(INDEX(Материалы!$I$2:$I$9000,MATCH($I1090,Материалы!$A$2:$A$9000,0))*IF(INDEX(Материалы!$J$2:$J$9000,MATCH($I1090,Материалы!$A$2:$A$9000,0))="USD",КурсUSD,IF(INDEX(Материалы!$J$2:$J$9000,MATCH($I1090,Материалы!$A$2:$A$9000,0))="EUR",КурсEUR,1))*INDEX(Материалы!$K$2:$K$9000,MATCH($I1090,Материалы!$A$2:$A$9000,0))*(1+IFERROR(INDEX(Работы!$I$2:$I$6000,MATCH($C1090,Работы!$A$2:$A$6000,0))/100,0))*(1-ДисконтТендер),0))</f>
        <v>0</v>
      </c>
      <c r="N1090" s="10">
        <f t="shared" ref="N1090:N1153" si="51">IF(AND($R1090="да",$H1090&lt;&gt;""),ROUND($H1090*$L1090,2),0)</f>
        <v>0</v>
      </c>
      <c r="O1090" s="10">
        <f t="shared" ref="O1090:O1153" si="52">IF(AND($R1090="да",$H1090&lt;&gt;""),ROUND($H1090*$M1090,2),0)</f>
        <v>0</v>
      </c>
      <c r="P1090" s="10">
        <f t="shared" ref="P1090:P1153" si="53">$N1090+$O1090</f>
        <v>0</v>
      </c>
      <c r="Q1090" t="str">
        <f>IFERROR(INDEX(Работы!$J$2:$J$6000,MATCH($C1090,Работы!$A$2:$A$6000,0)),"")</f>
        <v/>
      </c>
      <c r="R1090" t="s">
        <v>92</v>
      </c>
      <c r="T1090" t="str">
        <f>IF(AND($P1090&gt;0,$R1090="да"),MAX($T$1:$T1089)+1,"")</f>
        <v/>
      </c>
    </row>
    <row r="1091" spans="1:20" x14ac:dyDescent="0.3">
      <c r="A1091" s="11" t="str">
        <f>IFERROR(INDEX(Работы!$D$2:$D$6000,MATCH($C1091,Работы!$A$2:$A$6000,0)),"")</f>
        <v/>
      </c>
      <c r="B1091" t="str">
        <f>IFERROR(INDEX(Работы!$F$2:$F$6000,MATCH($C1091,Работы!$A$2:$A$6000,0)),"")</f>
        <v/>
      </c>
      <c r="C1091">
        <f>IFERROR(INDEX(Работы!$A$2:$A$6000,1090),"")</f>
        <v>0</v>
      </c>
      <c r="D1091" s="8" t="str">
        <f>IFERROR(INDEX(Работы!$B$2:$B$6000,MATCH($C1091,Работы!$A$2:$A$6000,0)),"")</f>
        <v/>
      </c>
      <c r="E1091" t="str">
        <f>IFERROR(INDEX(Работы!$C$2:$C$6000,MATCH($C1091,Работы!$A$2:$A$6000,0)),"")</f>
        <v/>
      </c>
      <c r="F1091" t="str">
        <f>IFERROR(INDEX(Работы!$G$2:$G$6000,MATCH($C1091,Работы!$A$2:$A$6000,0)),"")</f>
        <v/>
      </c>
      <c r="G1091" t="str">
        <f>IFERROR(INDEX(Работы!$K$2:$K$6000,MATCH($C1091,Работы!$A$2:$A$6000,0)),"")</f>
        <v/>
      </c>
      <c r="H1091" s="9"/>
      <c r="I1091" s="9"/>
      <c r="J1091" s="8" t="str">
        <f>IFERROR(INDEX(Материалы!$B$2:$B$9000,MATCH($I1091,Материалы!$A$2:$A$9000,0)),"")</f>
        <v/>
      </c>
      <c r="K1091" t="str">
        <f>IF($I1091="","",IF($F1091=IFERROR(INDEX(Материалы!$G$2:$G$9000,MATCH($I1091,Материалы!$A$2:$A$9000,0)),""),"OK","!! не та группа"))</f>
        <v/>
      </c>
      <c r="L1091" s="10">
        <f>IFERROR(INDEX(Работы!$H$2:$H$6000,MATCH($C1091,Работы!$A$2:$A$6000,0))*(1-ДисконтТендер),0)</f>
        <v>0</v>
      </c>
      <c r="M1091" s="10">
        <f>IF($I1091="",0,IFERROR(INDEX(Материалы!$I$2:$I$9000,MATCH($I1091,Материалы!$A$2:$A$9000,0))*IF(INDEX(Материалы!$J$2:$J$9000,MATCH($I1091,Материалы!$A$2:$A$9000,0))="USD",КурсUSD,IF(INDEX(Материалы!$J$2:$J$9000,MATCH($I1091,Материалы!$A$2:$A$9000,0))="EUR",КурсEUR,1))*INDEX(Материалы!$K$2:$K$9000,MATCH($I1091,Материалы!$A$2:$A$9000,0))*(1+IFERROR(INDEX(Работы!$I$2:$I$6000,MATCH($C1091,Работы!$A$2:$A$6000,0))/100,0))*(1-ДисконтТендер),0))</f>
        <v>0</v>
      </c>
      <c r="N1091" s="10">
        <f t="shared" si="51"/>
        <v>0</v>
      </c>
      <c r="O1091" s="10">
        <f t="shared" si="52"/>
        <v>0</v>
      </c>
      <c r="P1091" s="10">
        <f t="shared" si="53"/>
        <v>0</v>
      </c>
      <c r="Q1091" t="str">
        <f>IFERROR(INDEX(Работы!$J$2:$J$6000,MATCH($C1091,Работы!$A$2:$A$6000,0)),"")</f>
        <v/>
      </c>
      <c r="R1091" t="s">
        <v>92</v>
      </c>
      <c r="T1091" t="str">
        <f>IF(AND($P1091&gt;0,$R1091="да"),MAX($T$1:$T1090)+1,"")</f>
        <v/>
      </c>
    </row>
    <row r="1092" spans="1:20" x14ac:dyDescent="0.3">
      <c r="A1092" s="11" t="str">
        <f>IFERROR(INDEX(Работы!$D$2:$D$6000,MATCH($C1092,Работы!$A$2:$A$6000,0)),"")</f>
        <v/>
      </c>
      <c r="B1092" t="str">
        <f>IFERROR(INDEX(Работы!$F$2:$F$6000,MATCH($C1092,Работы!$A$2:$A$6000,0)),"")</f>
        <v/>
      </c>
      <c r="C1092">
        <f>IFERROR(INDEX(Работы!$A$2:$A$6000,1091),"")</f>
        <v>0</v>
      </c>
      <c r="D1092" s="8" t="str">
        <f>IFERROR(INDEX(Работы!$B$2:$B$6000,MATCH($C1092,Работы!$A$2:$A$6000,0)),"")</f>
        <v/>
      </c>
      <c r="E1092" t="str">
        <f>IFERROR(INDEX(Работы!$C$2:$C$6000,MATCH($C1092,Работы!$A$2:$A$6000,0)),"")</f>
        <v/>
      </c>
      <c r="F1092" t="str">
        <f>IFERROR(INDEX(Работы!$G$2:$G$6000,MATCH($C1092,Работы!$A$2:$A$6000,0)),"")</f>
        <v/>
      </c>
      <c r="G1092" t="str">
        <f>IFERROR(INDEX(Работы!$K$2:$K$6000,MATCH($C1092,Работы!$A$2:$A$6000,0)),"")</f>
        <v/>
      </c>
      <c r="H1092" s="9"/>
      <c r="I1092" s="9"/>
      <c r="J1092" s="8" t="str">
        <f>IFERROR(INDEX(Материалы!$B$2:$B$9000,MATCH($I1092,Материалы!$A$2:$A$9000,0)),"")</f>
        <v/>
      </c>
      <c r="K1092" t="str">
        <f>IF($I1092="","",IF($F1092=IFERROR(INDEX(Материалы!$G$2:$G$9000,MATCH($I1092,Материалы!$A$2:$A$9000,0)),""),"OK","!! не та группа"))</f>
        <v/>
      </c>
      <c r="L1092" s="10">
        <f>IFERROR(INDEX(Работы!$H$2:$H$6000,MATCH($C1092,Работы!$A$2:$A$6000,0))*(1-ДисконтТендер),0)</f>
        <v>0</v>
      </c>
      <c r="M1092" s="10">
        <f>IF($I1092="",0,IFERROR(INDEX(Материалы!$I$2:$I$9000,MATCH($I1092,Материалы!$A$2:$A$9000,0))*IF(INDEX(Материалы!$J$2:$J$9000,MATCH($I1092,Материалы!$A$2:$A$9000,0))="USD",КурсUSD,IF(INDEX(Материалы!$J$2:$J$9000,MATCH($I1092,Материалы!$A$2:$A$9000,0))="EUR",КурсEUR,1))*INDEX(Материалы!$K$2:$K$9000,MATCH($I1092,Материалы!$A$2:$A$9000,0))*(1+IFERROR(INDEX(Работы!$I$2:$I$6000,MATCH($C1092,Работы!$A$2:$A$6000,0))/100,0))*(1-ДисконтТендер),0))</f>
        <v>0</v>
      </c>
      <c r="N1092" s="10">
        <f t="shared" si="51"/>
        <v>0</v>
      </c>
      <c r="O1092" s="10">
        <f t="shared" si="52"/>
        <v>0</v>
      </c>
      <c r="P1092" s="10">
        <f t="shared" si="53"/>
        <v>0</v>
      </c>
      <c r="Q1092" t="str">
        <f>IFERROR(INDEX(Работы!$J$2:$J$6000,MATCH($C1092,Работы!$A$2:$A$6000,0)),"")</f>
        <v/>
      </c>
      <c r="R1092" t="s">
        <v>92</v>
      </c>
      <c r="T1092" t="str">
        <f>IF(AND($P1092&gt;0,$R1092="да"),MAX($T$1:$T1091)+1,"")</f>
        <v/>
      </c>
    </row>
    <row r="1093" spans="1:20" x14ac:dyDescent="0.3">
      <c r="A1093" s="11" t="str">
        <f>IFERROR(INDEX(Работы!$D$2:$D$6000,MATCH($C1093,Работы!$A$2:$A$6000,0)),"")</f>
        <v/>
      </c>
      <c r="B1093" t="str">
        <f>IFERROR(INDEX(Работы!$F$2:$F$6000,MATCH($C1093,Работы!$A$2:$A$6000,0)),"")</f>
        <v/>
      </c>
      <c r="C1093">
        <f>IFERROR(INDEX(Работы!$A$2:$A$6000,1092),"")</f>
        <v>0</v>
      </c>
      <c r="D1093" s="8" t="str">
        <f>IFERROR(INDEX(Работы!$B$2:$B$6000,MATCH($C1093,Работы!$A$2:$A$6000,0)),"")</f>
        <v/>
      </c>
      <c r="E1093" t="str">
        <f>IFERROR(INDEX(Работы!$C$2:$C$6000,MATCH($C1093,Работы!$A$2:$A$6000,0)),"")</f>
        <v/>
      </c>
      <c r="F1093" t="str">
        <f>IFERROR(INDEX(Работы!$G$2:$G$6000,MATCH($C1093,Работы!$A$2:$A$6000,0)),"")</f>
        <v/>
      </c>
      <c r="G1093" t="str">
        <f>IFERROR(INDEX(Работы!$K$2:$K$6000,MATCH($C1093,Работы!$A$2:$A$6000,0)),"")</f>
        <v/>
      </c>
      <c r="H1093" s="9"/>
      <c r="I1093" s="9"/>
      <c r="J1093" s="8" t="str">
        <f>IFERROR(INDEX(Материалы!$B$2:$B$9000,MATCH($I1093,Материалы!$A$2:$A$9000,0)),"")</f>
        <v/>
      </c>
      <c r="K1093" t="str">
        <f>IF($I1093="","",IF($F1093=IFERROR(INDEX(Материалы!$G$2:$G$9000,MATCH($I1093,Материалы!$A$2:$A$9000,0)),""),"OK","!! не та группа"))</f>
        <v/>
      </c>
      <c r="L1093" s="10">
        <f>IFERROR(INDEX(Работы!$H$2:$H$6000,MATCH($C1093,Работы!$A$2:$A$6000,0))*(1-ДисконтТендер),0)</f>
        <v>0</v>
      </c>
      <c r="M1093" s="10">
        <f>IF($I1093="",0,IFERROR(INDEX(Материалы!$I$2:$I$9000,MATCH($I1093,Материалы!$A$2:$A$9000,0))*IF(INDEX(Материалы!$J$2:$J$9000,MATCH($I1093,Материалы!$A$2:$A$9000,0))="USD",КурсUSD,IF(INDEX(Материалы!$J$2:$J$9000,MATCH($I1093,Материалы!$A$2:$A$9000,0))="EUR",КурсEUR,1))*INDEX(Материалы!$K$2:$K$9000,MATCH($I1093,Материалы!$A$2:$A$9000,0))*(1+IFERROR(INDEX(Работы!$I$2:$I$6000,MATCH($C1093,Работы!$A$2:$A$6000,0))/100,0))*(1-ДисконтТендер),0))</f>
        <v>0</v>
      </c>
      <c r="N1093" s="10">
        <f t="shared" si="51"/>
        <v>0</v>
      </c>
      <c r="O1093" s="10">
        <f t="shared" si="52"/>
        <v>0</v>
      </c>
      <c r="P1093" s="10">
        <f t="shared" si="53"/>
        <v>0</v>
      </c>
      <c r="Q1093" t="str">
        <f>IFERROR(INDEX(Работы!$J$2:$J$6000,MATCH($C1093,Работы!$A$2:$A$6000,0)),"")</f>
        <v/>
      </c>
      <c r="R1093" t="s">
        <v>92</v>
      </c>
      <c r="T1093" t="str">
        <f>IF(AND($P1093&gt;0,$R1093="да"),MAX($T$1:$T1092)+1,"")</f>
        <v/>
      </c>
    </row>
    <row r="1094" spans="1:20" x14ac:dyDescent="0.3">
      <c r="A1094" s="11" t="str">
        <f>IFERROR(INDEX(Работы!$D$2:$D$6000,MATCH($C1094,Работы!$A$2:$A$6000,0)),"")</f>
        <v/>
      </c>
      <c r="B1094" t="str">
        <f>IFERROR(INDEX(Работы!$F$2:$F$6000,MATCH($C1094,Работы!$A$2:$A$6000,0)),"")</f>
        <v/>
      </c>
      <c r="C1094">
        <f>IFERROR(INDEX(Работы!$A$2:$A$6000,1093),"")</f>
        <v>0</v>
      </c>
      <c r="D1094" s="8" t="str">
        <f>IFERROR(INDEX(Работы!$B$2:$B$6000,MATCH($C1094,Работы!$A$2:$A$6000,0)),"")</f>
        <v/>
      </c>
      <c r="E1094" t="str">
        <f>IFERROR(INDEX(Работы!$C$2:$C$6000,MATCH($C1094,Работы!$A$2:$A$6000,0)),"")</f>
        <v/>
      </c>
      <c r="F1094" t="str">
        <f>IFERROR(INDEX(Работы!$G$2:$G$6000,MATCH($C1094,Работы!$A$2:$A$6000,0)),"")</f>
        <v/>
      </c>
      <c r="G1094" t="str">
        <f>IFERROR(INDEX(Работы!$K$2:$K$6000,MATCH($C1094,Работы!$A$2:$A$6000,0)),"")</f>
        <v/>
      </c>
      <c r="H1094" s="9"/>
      <c r="I1094" s="9"/>
      <c r="J1094" s="8" t="str">
        <f>IFERROR(INDEX(Материалы!$B$2:$B$9000,MATCH($I1094,Материалы!$A$2:$A$9000,0)),"")</f>
        <v/>
      </c>
      <c r="K1094" t="str">
        <f>IF($I1094="","",IF($F1094=IFERROR(INDEX(Материалы!$G$2:$G$9000,MATCH($I1094,Материалы!$A$2:$A$9000,0)),""),"OK","!! не та группа"))</f>
        <v/>
      </c>
      <c r="L1094" s="10">
        <f>IFERROR(INDEX(Работы!$H$2:$H$6000,MATCH($C1094,Работы!$A$2:$A$6000,0))*(1-ДисконтТендер),0)</f>
        <v>0</v>
      </c>
      <c r="M1094" s="10">
        <f>IF($I1094="",0,IFERROR(INDEX(Материалы!$I$2:$I$9000,MATCH($I1094,Материалы!$A$2:$A$9000,0))*IF(INDEX(Материалы!$J$2:$J$9000,MATCH($I1094,Материалы!$A$2:$A$9000,0))="USD",КурсUSD,IF(INDEX(Материалы!$J$2:$J$9000,MATCH($I1094,Материалы!$A$2:$A$9000,0))="EUR",КурсEUR,1))*INDEX(Материалы!$K$2:$K$9000,MATCH($I1094,Материалы!$A$2:$A$9000,0))*(1+IFERROR(INDEX(Работы!$I$2:$I$6000,MATCH($C1094,Работы!$A$2:$A$6000,0))/100,0))*(1-ДисконтТендер),0))</f>
        <v>0</v>
      </c>
      <c r="N1094" s="10">
        <f t="shared" si="51"/>
        <v>0</v>
      </c>
      <c r="O1094" s="10">
        <f t="shared" si="52"/>
        <v>0</v>
      </c>
      <c r="P1094" s="10">
        <f t="shared" si="53"/>
        <v>0</v>
      </c>
      <c r="Q1094" t="str">
        <f>IFERROR(INDEX(Работы!$J$2:$J$6000,MATCH($C1094,Работы!$A$2:$A$6000,0)),"")</f>
        <v/>
      </c>
      <c r="R1094" t="s">
        <v>92</v>
      </c>
      <c r="T1094" t="str">
        <f>IF(AND($P1094&gt;0,$R1094="да"),MAX($T$1:$T1093)+1,"")</f>
        <v/>
      </c>
    </row>
    <row r="1095" spans="1:20" x14ac:dyDescent="0.3">
      <c r="A1095" s="11" t="str">
        <f>IFERROR(INDEX(Работы!$D$2:$D$6000,MATCH($C1095,Работы!$A$2:$A$6000,0)),"")</f>
        <v/>
      </c>
      <c r="B1095" t="str">
        <f>IFERROR(INDEX(Работы!$F$2:$F$6000,MATCH($C1095,Работы!$A$2:$A$6000,0)),"")</f>
        <v/>
      </c>
      <c r="C1095">
        <f>IFERROR(INDEX(Работы!$A$2:$A$6000,1094),"")</f>
        <v>0</v>
      </c>
      <c r="D1095" s="8" t="str">
        <f>IFERROR(INDEX(Работы!$B$2:$B$6000,MATCH($C1095,Работы!$A$2:$A$6000,0)),"")</f>
        <v/>
      </c>
      <c r="E1095" t="str">
        <f>IFERROR(INDEX(Работы!$C$2:$C$6000,MATCH($C1095,Работы!$A$2:$A$6000,0)),"")</f>
        <v/>
      </c>
      <c r="F1095" t="str">
        <f>IFERROR(INDEX(Работы!$G$2:$G$6000,MATCH($C1095,Работы!$A$2:$A$6000,0)),"")</f>
        <v/>
      </c>
      <c r="G1095" t="str">
        <f>IFERROR(INDEX(Работы!$K$2:$K$6000,MATCH($C1095,Работы!$A$2:$A$6000,0)),"")</f>
        <v/>
      </c>
      <c r="H1095" s="9"/>
      <c r="I1095" s="9"/>
      <c r="J1095" s="8" t="str">
        <f>IFERROR(INDEX(Материалы!$B$2:$B$9000,MATCH($I1095,Материалы!$A$2:$A$9000,0)),"")</f>
        <v/>
      </c>
      <c r="K1095" t="str">
        <f>IF($I1095="","",IF($F1095=IFERROR(INDEX(Материалы!$G$2:$G$9000,MATCH($I1095,Материалы!$A$2:$A$9000,0)),""),"OK","!! не та группа"))</f>
        <v/>
      </c>
      <c r="L1095" s="10">
        <f>IFERROR(INDEX(Работы!$H$2:$H$6000,MATCH($C1095,Работы!$A$2:$A$6000,0))*(1-ДисконтТендер),0)</f>
        <v>0</v>
      </c>
      <c r="M1095" s="10">
        <f>IF($I1095="",0,IFERROR(INDEX(Материалы!$I$2:$I$9000,MATCH($I1095,Материалы!$A$2:$A$9000,0))*IF(INDEX(Материалы!$J$2:$J$9000,MATCH($I1095,Материалы!$A$2:$A$9000,0))="USD",КурсUSD,IF(INDEX(Материалы!$J$2:$J$9000,MATCH($I1095,Материалы!$A$2:$A$9000,0))="EUR",КурсEUR,1))*INDEX(Материалы!$K$2:$K$9000,MATCH($I1095,Материалы!$A$2:$A$9000,0))*(1+IFERROR(INDEX(Работы!$I$2:$I$6000,MATCH($C1095,Работы!$A$2:$A$6000,0))/100,0))*(1-ДисконтТендер),0))</f>
        <v>0</v>
      </c>
      <c r="N1095" s="10">
        <f t="shared" si="51"/>
        <v>0</v>
      </c>
      <c r="O1095" s="10">
        <f t="shared" si="52"/>
        <v>0</v>
      </c>
      <c r="P1095" s="10">
        <f t="shared" si="53"/>
        <v>0</v>
      </c>
      <c r="Q1095" t="str">
        <f>IFERROR(INDEX(Работы!$J$2:$J$6000,MATCH($C1095,Работы!$A$2:$A$6000,0)),"")</f>
        <v/>
      </c>
      <c r="R1095" t="s">
        <v>92</v>
      </c>
      <c r="T1095" t="str">
        <f>IF(AND($P1095&gt;0,$R1095="да"),MAX($T$1:$T1094)+1,"")</f>
        <v/>
      </c>
    </row>
    <row r="1096" spans="1:20" x14ac:dyDescent="0.3">
      <c r="A1096" s="11" t="str">
        <f>IFERROR(INDEX(Работы!$D$2:$D$6000,MATCH($C1096,Работы!$A$2:$A$6000,0)),"")</f>
        <v/>
      </c>
      <c r="B1096" t="str">
        <f>IFERROR(INDEX(Работы!$F$2:$F$6000,MATCH($C1096,Работы!$A$2:$A$6000,0)),"")</f>
        <v/>
      </c>
      <c r="C1096">
        <f>IFERROR(INDEX(Работы!$A$2:$A$6000,1095),"")</f>
        <v>0</v>
      </c>
      <c r="D1096" s="8" t="str">
        <f>IFERROR(INDEX(Работы!$B$2:$B$6000,MATCH($C1096,Работы!$A$2:$A$6000,0)),"")</f>
        <v/>
      </c>
      <c r="E1096" t="str">
        <f>IFERROR(INDEX(Работы!$C$2:$C$6000,MATCH($C1096,Работы!$A$2:$A$6000,0)),"")</f>
        <v/>
      </c>
      <c r="F1096" t="str">
        <f>IFERROR(INDEX(Работы!$G$2:$G$6000,MATCH($C1096,Работы!$A$2:$A$6000,0)),"")</f>
        <v/>
      </c>
      <c r="G1096" t="str">
        <f>IFERROR(INDEX(Работы!$K$2:$K$6000,MATCH($C1096,Работы!$A$2:$A$6000,0)),"")</f>
        <v/>
      </c>
      <c r="H1096" s="9"/>
      <c r="I1096" s="9"/>
      <c r="J1096" s="8" t="str">
        <f>IFERROR(INDEX(Материалы!$B$2:$B$9000,MATCH($I1096,Материалы!$A$2:$A$9000,0)),"")</f>
        <v/>
      </c>
      <c r="K1096" t="str">
        <f>IF($I1096="","",IF($F1096=IFERROR(INDEX(Материалы!$G$2:$G$9000,MATCH($I1096,Материалы!$A$2:$A$9000,0)),""),"OK","!! не та группа"))</f>
        <v/>
      </c>
      <c r="L1096" s="10">
        <f>IFERROR(INDEX(Работы!$H$2:$H$6000,MATCH($C1096,Работы!$A$2:$A$6000,0))*(1-ДисконтТендер),0)</f>
        <v>0</v>
      </c>
      <c r="M1096" s="10">
        <f>IF($I1096="",0,IFERROR(INDEX(Материалы!$I$2:$I$9000,MATCH($I1096,Материалы!$A$2:$A$9000,0))*IF(INDEX(Материалы!$J$2:$J$9000,MATCH($I1096,Материалы!$A$2:$A$9000,0))="USD",КурсUSD,IF(INDEX(Материалы!$J$2:$J$9000,MATCH($I1096,Материалы!$A$2:$A$9000,0))="EUR",КурсEUR,1))*INDEX(Материалы!$K$2:$K$9000,MATCH($I1096,Материалы!$A$2:$A$9000,0))*(1+IFERROR(INDEX(Работы!$I$2:$I$6000,MATCH($C1096,Работы!$A$2:$A$6000,0))/100,0))*(1-ДисконтТендер),0))</f>
        <v>0</v>
      </c>
      <c r="N1096" s="10">
        <f t="shared" si="51"/>
        <v>0</v>
      </c>
      <c r="O1096" s="10">
        <f t="shared" si="52"/>
        <v>0</v>
      </c>
      <c r="P1096" s="10">
        <f t="shared" si="53"/>
        <v>0</v>
      </c>
      <c r="Q1096" t="str">
        <f>IFERROR(INDEX(Работы!$J$2:$J$6000,MATCH($C1096,Работы!$A$2:$A$6000,0)),"")</f>
        <v/>
      </c>
      <c r="R1096" t="s">
        <v>92</v>
      </c>
      <c r="T1096" t="str">
        <f>IF(AND($P1096&gt;0,$R1096="да"),MAX($T$1:$T1095)+1,"")</f>
        <v/>
      </c>
    </row>
    <row r="1097" spans="1:20" x14ac:dyDescent="0.3">
      <c r="A1097" s="11" t="str">
        <f>IFERROR(INDEX(Работы!$D$2:$D$6000,MATCH($C1097,Работы!$A$2:$A$6000,0)),"")</f>
        <v/>
      </c>
      <c r="B1097" t="str">
        <f>IFERROR(INDEX(Работы!$F$2:$F$6000,MATCH($C1097,Работы!$A$2:$A$6000,0)),"")</f>
        <v/>
      </c>
      <c r="C1097">
        <f>IFERROR(INDEX(Работы!$A$2:$A$6000,1096),"")</f>
        <v>0</v>
      </c>
      <c r="D1097" s="8" t="str">
        <f>IFERROR(INDEX(Работы!$B$2:$B$6000,MATCH($C1097,Работы!$A$2:$A$6000,0)),"")</f>
        <v/>
      </c>
      <c r="E1097" t="str">
        <f>IFERROR(INDEX(Работы!$C$2:$C$6000,MATCH($C1097,Работы!$A$2:$A$6000,0)),"")</f>
        <v/>
      </c>
      <c r="F1097" t="str">
        <f>IFERROR(INDEX(Работы!$G$2:$G$6000,MATCH($C1097,Работы!$A$2:$A$6000,0)),"")</f>
        <v/>
      </c>
      <c r="G1097" t="str">
        <f>IFERROR(INDEX(Работы!$K$2:$K$6000,MATCH($C1097,Работы!$A$2:$A$6000,0)),"")</f>
        <v/>
      </c>
      <c r="H1097" s="9"/>
      <c r="I1097" s="9"/>
      <c r="J1097" s="8" t="str">
        <f>IFERROR(INDEX(Материалы!$B$2:$B$9000,MATCH($I1097,Материалы!$A$2:$A$9000,0)),"")</f>
        <v/>
      </c>
      <c r="K1097" t="str">
        <f>IF($I1097="","",IF($F1097=IFERROR(INDEX(Материалы!$G$2:$G$9000,MATCH($I1097,Материалы!$A$2:$A$9000,0)),""),"OK","!! не та группа"))</f>
        <v/>
      </c>
      <c r="L1097" s="10">
        <f>IFERROR(INDEX(Работы!$H$2:$H$6000,MATCH($C1097,Работы!$A$2:$A$6000,0))*(1-ДисконтТендер),0)</f>
        <v>0</v>
      </c>
      <c r="M1097" s="10">
        <f>IF($I1097="",0,IFERROR(INDEX(Материалы!$I$2:$I$9000,MATCH($I1097,Материалы!$A$2:$A$9000,0))*IF(INDEX(Материалы!$J$2:$J$9000,MATCH($I1097,Материалы!$A$2:$A$9000,0))="USD",КурсUSD,IF(INDEX(Материалы!$J$2:$J$9000,MATCH($I1097,Материалы!$A$2:$A$9000,0))="EUR",КурсEUR,1))*INDEX(Материалы!$K$2:$K$9000,MATCH($I1097,Материалы!$A$2:$A$9000,0))*(1+IFERROR(INDEX(Работы!$I$2:$I$6000,MATCH($C1097,Работы!$A$2:$A$6000,0))/100,0))*(1-ДисконтТендер),0))</f>
        <v>0</v>
      </c>
      <c r="N1097" s="10">
        <f t="shared" si="51"/>
        <v>0</v>
      </c>
      <c r="O1097" s="10">
        <f t="shared" si="52"/>
        <v>0</v>
      </c>
      <c r="P1097" s="10">
        <f t="shared" si="53"/>
        <v>0</v>
      </c>
      <c r="Q1097" t="str">
        <f>IFERROR(INDEX(Работы!$J$2:$J$6000,MATCH($C1097,Работы!$A$2:$A$6000,0)),"")</f>
        <v/>
      </c>
      <c r="R1097" t="s">
        <v>92</v>
      </c>
      <c r="T1097" t="str">
        <f>IF(AND($P1097&gt;0,$R1097="да"),MAX($T$1:$T1096)+1,"")</f>
        <v/>
      </c>
    </row>
    <row r="1098" spans="1:20" x14ac:dyDescent="0.3">
      <c r="A1098" s="11" t="str">
        <f>IFERROR(INDEX(Работы!$D$2:$D$6000,MATCH($C1098,Работы!$A$2:$A$6000,0)),"")</f>
        <v/>
      </c>
      <c r="B1098" t="str">
        <f>IFERROR(INDEX(Работы!$F$2:$F$6000,MATCH($C1098,Работы!$A$2:$A$6000,0)),"")</f>
        <v/>
      </c>
      <c r="C1098">
        <f>IFERROR(INDEX(Работы!$A$2:$A$6000,1097),"")</f>
        <v>0</v>
      </c>
      <c r="D1098" s="8" t="str">
        <f>IFERROR(INDEX(Работы!$B$2:$B$6000,MATCH($C1098,Работы!$A$2:$A$6000,0)),"")</f>
        <v/>
      </c>
      <c r="E1098" t="str">
        <f>IFERROR(INDEX(Работы!$C$2:$C$6000,MATCH($C1098,Работы!$A$2:$A$6000,0)),"")</f>
        <v/>
      </c>
      <c r="F1098" t="str">
        <f>IFERROR(INDEX(Работы!$G$2:$G$6000,MATCH($C1098,Работы!$A$2:$A$6000,0)),"")</f>
        <v/>
      </c>
      <c r="G1098" t="str">
        <f>IFERROR(INDEX(Работы!$K$2:$K$6000,MATCH($C1098,Работы!$A$2:$A$6000,0)),"")</f>
        <v/>
      </c>
      <c r="H1098" s="9"/>
      <c r="I1098" s="9"/>
      <c r="J1098" s="8" t="str">
        <f>IFERROR(INDEX(Материалы!$B$2:$B$9000,MATCH($I1098,Материалы!$A$2:$A$9000,0)),"")</f>
        <v/>
      </c>
      <c r="K1098" t="str">
        <f>IF($I1098="","",IF($F1098=IFERROR(INDEX(Материалы!$G$2:$G$9000,MATCH($I1098,Материалы!$A$2:$A$9000,0)),""),"OK","!! не та группа"))</f>
        <v/>
      </c>
      <c r="L1098" s="10">
        <f>IFERROR(INDEX(Работы!$H$2:$H$6000,MATCH($C1098,Работы!$A$2:$A$6000,0))*(1-ДисконтТендер),0)</f>
        <v>0</v>
      </c>
      <c r="M1098" s="10">
        <f>IF($I1098="",0,IFERROR(INDEX(Материалы!$I$2:$I$9000,MATCH($I1098,Материалы!$A$2:$A$9000,0))*IF(INDEX(Материалы!$J$2:$J$9000,MATCH($I1098,Материалы!$A$2:$A$9000,0))="USD",КурсUSD,IF(INDEX(Материалы!$J$2:$J$9000,MATCH($I1098,Материалы!$A$2:$A$9000,0))="EUR",КурсEUR,1))*INDEX(Материалы!$K$2:$K$9000,MATCH($I1098,Материалы!$A$2:$A$9000,0))*(1+IFERROR(INDEX(Работы!$I$2:$I$6000,MATCH($C1098,Работы!$A$2:$A$6000,0))/100,0))*(1-ДисконтТендер),0))</f>
        <v>0</v>
      </c>
      <c r="N1098" s="10">
        <f t="shared" si="51"/>
        <v>0</v>
      </c>
      <c r="O1098" s="10">
        <f t="shared" si="52"/>
        <v>0</v>
      </c>
      <c r="P1098" s="10">
        <f t="shared" si="53"/>
        <v>0</v>
      </c>
      <c r="Q1098" t="str">
        <f>IFERROR(INDEX(Работы!$J$2:$J$6000,MATCH($C1098,Работы!$A$2:$A$6000,0)),"")</f>
        <v/>
      </c>
      <c r="R1098" t="s">
        <v>92</v>
      </c>
      <c r="T1098" t="str">
        <f>IF(AND($P1098&gt;0,$R1098="да"),MAX($T$1:$T1097)+1,"")</f>
        <v/>
      </c>
    </row>
    <row r="1099" spans="1:20" x14ac:dyDescent="0.3">
      <c r="A1099" s="11" t="str">
        <f>IFERROR(INDEX(Работы!$D$2:$D$6000,MATCH($C1099,Работы!$A$2:$A$6000,0)),"")</f>
        <v/>
      </c>
      <c r="B1099" t="str">
        <f>IFERROR(INDEX(Работы!$F$2:$F$6000,MATCH($C1099,Работы!$A$2:$A$6000,0)),"")</f>
        <v/>
      </c>
      <c r="C1099">
        <f>IFERROR(INDEX(Работы!$A$2:$A$6000,1098),"")</f>
        <v>0</v>
      </c>
      <c r="D1099" s="8" t="str">
        <f>IFERROR(INDEX(Работы!$B$2:$B$6000,MATCH($C1099,Работы!$A$2:$A$6000,0)),"")</f>
        <v/>
      </c>
      <c r="E1099" t="str">
        <f>IFERROR(INDEX(Работы!$C$2:$C$6000,MATCH($C1099,Работы!$A$2:$A$6000,0)),"")</f>
        <v/>
      </c>
      <c r="F1099" t="str">
        <f>IFERROR(INDEX(Работы!$G$2:$G$6000,MATCH($C1099,Работы!$A$2:$A$6000,0)),"")</f>
        <v/>
      </c>
      <c r="G1099" t="str">
        <f>IFERROR(INDEX(Работы!$K$2:$K$6000,MATCH($C1099,Работы!$A$2:$A$6000,0)),"")</f>
        <v/>
      </c>
      <c r="H1099" s="9"/>
      <c r="I1099" s="9"/>
      <c r="J1099" s="8" t="str">
        <f>IFERROR(INDEX(Материалы!$B$2:$B$9000,MATCH($I1099,Материалы!$A$2:$A$9000,0)),"")</f>
        <v/>
      </c>
      <c r="K1099" t="str">
        <f>IF($I1099="","",IF($F1099=IFERROR(INDEX(Материалы!$G$2:$G$9000,MATCH($I1099,Материалы!$A$2:$A$9000,0)),""),"OK","!! не та группа"))</f>
        <v/>
      </c>
      <c r="L1099" s="10">
        <f>IFERROR(INDEX(Работы!$H$2:$H$6000,MATCH($C1099,Работы!$A$2:$A$6000,0))*(1-ДисконтТендер),0)</f>
        <v>0</v>
      </c>
      <c r="M1099" s="10">
        <f>IF($I1099="",0,IFERROR(INDEX(Материалы!$I$2:$I$9000,MATCH($I1099,Материалы!$A$2:$A$9000,0))*IF(INDEX(Материалы!$J$2:$J$9000,MATCH($I1099,Материалы!$A$2:$A$9000,0))="USD",КурсUSD,IF(INDEX(Материалы!$J$2:$J$9000,MATCH($I1099,Материалы!$A$2:$A$9000,0))="EUR",КурсEUR,1))*INDEX(Материалы!$K$2:$K$9000,MATCH($I1099,Материалы!$A$2:$A$9000,0))*(1+IFERROR(INDEX(Работы!$I$2:$I$6000,MATCH($C1099,Работы!$A$2:$A$6000,0))/100,0))*(1-ДисконтТендер),0))</f>
        <v>0</v>
      </c>
      <c r="N1099" s="10">
        <f t="shared" si="51"/>
        <v>0</v>
      </c>
      <c r="O1099" s="10">
        <f t="shared" si="52"/>
        <v>0</v>
      </c>
      <c r="P1099" s="10">
        <f t="shared" si="53"/>
        <v>0</v>
      </c>
      <c r="Q1099" t="str">
        <f>IFERROR(INDEX(Работы!$J$2:$J$6000,MATCH($C1099,Работы!$A$2:$A$6000,0)),"")</f>
        <v/>
      </c>
      <c r="R1099" t="s">
        <v>92</v>
      </c>
      <c r="T1099" t="str">
        <f>IF(AND($P1099&gt;0,$R1099="да"),MAX($T$1:$T1098)+1,"")</f>
        <v/>
      </c>
    </row>
    <row r="1100" spans="1:20" x14ac:dyDescent="0.3">
      <c r="A1100" s="11" t="str">
        <f>IFERROR(INDEX(Работы!$D$2:$D$6000,MATCH($C1100,Работы!$A$2:$A$6000,0)),"")</f>
        <v/>
      </c>
      <c r="B1100" t="str">
        <f>IFERROR(INDEX(Работы!$F$2:$F$6000,MATCH($C1100,Работы!$A$2:$A$6000,0)),"")</f>
        <v/>
      </c>
      <c r="C1100">
        <f>IFERROR(INDEX(Работы!$A$2:$A$6000,1099),"")</f>
        <v>0</v>
      </c>
      <c r="D1100" s="8" t="str">
        <f>IFERROR(INDEX(Работы!$B$2:$B$6000,MATCH($C1100,Работы!$A$2:$A$6000,0)),"")</f>
        <v/>
      </c>
      <c r="E1100" t="str">
        <f>IFERROR(INDEX(Работы!$C$2:$C$6000,MATCH($C1100,Работы!$A$2:$A$6000,0)),"")</f>
        <v/>
      </c>
      <c r="F1100" t="str">
        <f>IFERROR(INDEX(Работы!$G$2:$G$6000,MATCH($C1100,Работы!$A$2:$A$6000,0)),"")</f>
        <v/>
      </c>
      <c r="G1100" t="str">
        <f>IFERROR(INDEX(Работы!$K$2:$K$6000,MATCH($C1100,Работы!$A$2:$A$6000,0)),"")</f>
        <v/>
      </c>
      <c r="H1100" s="9"/>
      <c r="I1100" s="9"/>
      <c r="J1100" s="8" t="str">
        <f>IFERROR(INDEX(Материалы!$B$2:$B$9000,MATCH($I1100,Материалы!$A$2:$A$9000,0)),"")</f>
        <v/>
      </c>
      <c r="K1100" t="str">
        <f>IF($I1100="","",IF($F1100=IFERROR(INDEX(Материалы!$G$2:$G$9000,MATCH($I1100,Материалы!$A$2:$A$9000,0)),""),"OK","!! не та группа"))</f>
        <v/>
      </c>
      <c r="L1100" s="10">
        <f>IFERROR(INDEX(Работы!$H$2:$H$6000,MATCH($C1100,Работы!$A$2:$A$6000,0))*(1-ДисконтТендер),0)</f>
        <v>0</v>
      </c>
      <c r="M1100" s="10">
        <f>IF($I1100="",0,IFERROR(INDEX(Материалы!$I$2:$I$9000,MATCH($I1100,Материалы!$A$2:$A$9000,0))*IF(INDEX(Материалы!$J$2:$J$9000,MATCH($I1100,Материалы!$A$2:$A$9000,0))="USD",КурсUSD,IF(INDEX(Материалы!$J$2:$J$9000,MATCH($I1100,Материалы!$A$2:$A$9000,0))="EUR",КурсEUR,1))*INDEX(Материалы!$K$2:$K$9000,MATCH($I1100,Материалы!$A$2:$A$9000,0))*(1+IFERROR(INDEX(Работы!$I$2:$I$6000,MATCH($C1100,Работы!$A$2:$A$6000,0))/100,0))*(1-ДисконтТендер),0))</f>
        <v>0</v>
      </c>
      <c r="N1100" s="10">
        <f t="shared" si="51"/>
        <v>0</v>
      </c>
      <c r="O1100" s="10">
        <f t="shared" si="52"/>
        <v>0</v>
      </c>
      <c r="P1100" s="10">
        <f t="shared" si="53"/>
        <v>0</v>
      </c>
      <c r="Q1100" t="str">
        <f>IFERROR(INDEX(Работы!$J$2:$J$6000,MATCH($C1100,Работы!$A$2:$A$6000,0)),"")</f>
        <v/>
      </c>
      <c r="R1100" t="s">
        <v>92</v>
      </c>
      <c r="T1100" t="str">
        <f>IF(AND($P1100&gt;0,$R1100="да"),MAX($T$1:$T1099)+1,"")</f>
        <v/>
      </c>
    </row>
    <row r="1101" spans="1:20" x14ac:dyDescent="0.3">
      <c r="A1101" s="11" t="str">
        <f>IFERROR(INDEX(Работы!$D$2:$D$6000,MATCH($C1101,Работы!$A$2:$A$6000,0)),"")</f>
        <v/>
      </c>
      <c r="B1101" t="str">
        <f>IFERROR(INDEX(Работы!$F$2:$F$6000,MATCH($C1101,Работы!$A$2:$A$6000,0)),"")</f>
        <v/>
      </c>
      <c r="C1101">
        <f>IFERROR(INDEX(Работы!$A$2:$A$6000,1100),"")</f>
        <v>0</v>
      </c>
      <c r="D1101" s="8" t="str">
        <f>IFERROR(INDEX(Работы!$B$2:$B$6000,MATCH($C1101,Работы!$A$2:$A$6000,0)),"")</f>
        <v/>
      </c>
      <c r="E1101" t="str">
        <f>IFERROR(INDEX(Работы!$C$2:$C$6000,MATCH($C1101,Работы!$A$2:$A$6000,0)),"")</f>
        <v/>
      </c>
      <c r="F1101" t="str">
        <f>IFERROR(INDEX(Работы!$G$2:$G$6000,MATCH($C1101,Работы!$A$2:$A$6000,0)),"")</f>
        <v/>
      </c>
      <c r="G1101" t="str">
        <f>IFERROR(INDEX(Работы!$K$2:$K$6000,MATCH($C1101,Работы!$A$2:$A$6000,0)),"")</f>
        <v/>
      </c>
      <c r="H1101" s="9"/>
      <c r="I1101" s="9"/>
      <c r="J1101" s="8" t="str">
        <f>IFERROR(INDEX(Материалы!$B$2:$B$9000,MATCH($I1101,Материалы!$A$2:$A$9000,0)),"")</f>
        <v/>
      </c>
      <c r="K1101" t="str">
        <f>IF($I1101="","",IF($F1101=IFERROR(INDEX(Материалы!$G$2:$G$9000,MATCH($I1101,Материалы!$A$2:$A$9000,0)),""),"OK","!! не та группа"))</f>
        <v/>
      </c>
      <c r="L1101" s="10">
        <f>IFERROR(INDEX(Работы!$H$2:$H$6000,MATCH($C1101,Работы!$A$2:$A$6000,0))*(1-ДисконтТендер),0)</f>
        <v>0</v>
      </c>
      <c r="M1101" s="10">
        <f>IF($I1101="",0,IFERROR(INDEX(Материалы!$I$2:$I$9000,MATCH($I1101,Материалы!$A$2:$A$9000,0))*IF(INDEX(Материалы!$J$2:$J$9000,MATCH($I1101,Материалы!$A$2:$A$9000,0))="USD",КурсUSD,IF(INDEX(Материалы!$J$2:$J$9000,MATCH($I1101,Материалы!$A$2:$A$9000,0))="EUR",КурсEUR,1))*INDEX(Материалы!$K$2:$K$9000,MATCH($I1101,Материалы!$A$2:$A$9000,0))*(1+IFERROR(INDEX(Работы!$I$2:$I$6000,MATCH($C1101,Работы!$A$2:$A$6000,0))/100,0))*(1-ДисконтТендер),0))</f>
        <v>0</v>
      </c>
      <c r="N1101" s="10">
        <f t="shared" si="51"/>
        <v>0</v>
      </c>
      <c r="O1101" s="10">
        <f t="shared" si="52"/>
        <v>0</v>
      </c>
      <c r="P1101" s="10">
        <f t="shared" si="53"/>
        <v>0</v>
      </c>
      <c r="Q1101" t="str">
        <f>IFERROR(INDEX(Работы!$J$2:$J$6000,MATCH($C1101,Работы!$A$2:$A$6000,0)),"")</f>
        <v/>
      </c>
      <c r="R1101" t="s">
        <v>92</v>
      </c>
      <c r="T1101" t="str">
        <f>IF(AND($P1101&gt;0,$R1101="да"),MAX($T$1:$T1100)+1,"")</f>
        <v/>
      </c>
    </row>
    <row r="1102" spans="1:20" x14ac:dyDescent="0.3">
      <c r="A1102" s="11" t="str">
        <f>IFERROR(INDEX(Работы!$D$2:$D$6000,MATCH($C1102,Работы!$A$2:$A$6000,0)),"")</f>
        <v/>
      </c>
      <c r="B1102" t="str">
        <f>IFERROR(INDEX(Работы!$F$2:$F$6000,MATCH($C1102,Работы!$A$2:$A$6000,0)),"")</f>
        <v/>
      </c>
      <c r="C1102">
        <f>IFERROR(INDEX(Работы!$A$2:$A$6000,1101),"")</f>
        <v>0</v>
      </c>
      <c r="D1102" s="8" t="str">
        <f>IFERROR(INDEX(Работы!$B$2:$B$6000,MATCH($C1102,Работы!$A$2:$A$6000,0)),"")</f>
        <v/>
      </c>
      <c r="E1102" t="str">
        <f>IFERROR(INDEX(Работы!$C$2:$C$6000,MATCH($C1102,Работы!$A$2:$A$6000,0)),"")</f>
        <v/>
      </c>
      <c r="F1102" t="str">
        <f>IFERROR(INDEX(Работы!$G$2:$G$6000,MATCH($C1102,Работы!$A$2:$A$6000,0)),"")</f>
        <v/>
      </c>
      <c r="G1102" t="str">
        <f>IFERROR(INDEX(Работы!$K$2:$K$6000,MATCH($C1102,Работы!$A$2:$A$6000,0)),"")</f>
        <v/>
      </c>
      <c r="H1102" s="9"/>
      <c r="I1102" s="9"/>
      <c r="J1102" s="8" t="str">
        <f>IFERROR(INDEX(Материалы!$B$2:$B$9000,MATCH($I1102,Материалы!$A$2:$A$9000,0)),"")</f>
        <v/>
      </c>
      <c r="K1102" t="str">
        <f>IF($I1102="","",IF($F1102=IFERROR(INDEX(Материалы!$G$2:$G$9000,MATCH($I1102,Материалы!$A$2:$A$9000,0)),""),"OK","!! не та группа"))</f>
        <v/>
      </c>
      <c r="L1102" s="10">
        <f>IFERROR(INDEX(Работы!$H$2:$H$6000,MATCH($C1102,Работы!$A$2:$A$6000,0))*(1-ДисконтТендер),0)</f>
        <v>0</v>
      </c>
      <c r="M1102" s="10">
        <f>IF($I1102="",0,IFERROR(INDEX(Материалы!$I$2:$I$9000,MATCH($I1102,Материалы!$A$2:$A$9000,0))*IF(INDEX(Материалы!$J$2:$J$9000,MATCH($I1102,Материалы!$A$2:$A$9000,0))="USD",КурсUSD,IF(INDEX(Материалы!$J$2:$J$9000,MATCH($I1102,Материалы!$A$2:$A$9000,0))="EUR",КурсEUR,1))*INDEX(Материалы!$K$2:$K$9000,MATCH($I1102,Материалы!$A$2:$A$9000,0))*(1+IFERROR(INDEX(Работы!$I$2:$I$6000,MATCH($C1102,Работы!$A$2:$A$6000,0))/100,0))*(1-ДисконтТендер),0))</f>
        <v>0</v>
      </c>
      <c r="N1102" s="10">
        <f t="shared" si="51"/>
        <v>0</v>
      </c>
      <c r="O1102" s="10">
        <f t="shared" si="52"/>
        <v>0</v>
      </c>
      <c r="P1102" s="10">
        <f t="shared" si="53"/>
        <v>0</v>
      </c>
      <c r="Q1102" t="str">
        <f>IFERROR(INDEX(Работы!$J$2:$J$6000,MATCH($C1102,Работы!$A$2:$A$6000,0)),"")</f>
        <v/>
      </c>
      <c r="R1102" t="s">
        <v>92</v>
      </c>
      <c r="T1102" t="str">
        <f>IF(AND($P1102&gt;0,$R1102="да"),MAX($T$1:$T1101)+1,"")</f>
        <v/>
      </c>
    </row>
    <row r="1103" spans="1:20" x14ac:dyDescent="0.3">
      <c r="A1103" s="11" t="str">
        <f>IFERROR(INDEX(Работы!$D$2:$D$6000,MATCH($C1103,Работы!$A$2:$A$6000,0)),"")</f>
        <v/>
      </c>
      <c r="B1103" t="str">
        <f>IFERROR(INDEX(Работы!$F$2:$F$6000,MATCH($C1103,Работы!$A$2:$A$6000,0)),"")</f>
        <v/>
      </c>
      <c r="C1103">
        <f>IFERROR(INDEX(Работы!$A$2:$A$6000,1102),"")</f>
        <v>0</v>
      </c>
      <c r="D1103" s="8" t="str">
        <f>IFERROR(INDEX(Работы!$B$2:$B$6000,MATCH($C1103,Работы!$A$2:$A$6000,0)),"")</f>
        <v/>
      </c>
      <c r="E1103" t="str">
        <f>IFERROR(INDEX(Работы!$C$2:$C$6000,MATCH($C1103,Работы!$A$2:$A$6000,0)),"")</f>
        <v/>
      </c>
      <c r="F1103" t="str">
        <f>IFERROR(INDEX(Работы!$G$2:$G$6000,MATCH($C1103,Работы!$A$2:$A$6000,0)),"")</f>
        <v/>
      </c>
      <c r="G1103" t="str">
        <f>IFERROR(INDEX(Работы!$K$2:$K$6000,MATCH($C1103,Работы!$A$2:$A$6000,0)),"")</f>
        <v/>
      </c>
      <c r="H1103" s="9"/>
      <c r="I1103" s="9"/>
      <c r="J1103" s="8" t="str">
        <f>IFERROR(INDEX(Материалы!$B$2:$B$9000,MATCH($I1103,Материалы!$A$2:$A$9000,0)),"")</f>
        <v/>
      </c>
      <c r="K1103" t="str">
        <f>IF($I1103="","",IF($F1103=IFERROR(INDEX(Материалы!$G$2:$G$9000,MATCH($I1103,Материалы!$A$2:$A$9000,0)),""),"OK","!! не та группа"))</f>
        <v/>
      </c>
      <c r="L1103" s="10">
        <f>IFERROR(INDEX(Работы!$H$2:$H$6000,MATCH($C1103,Работы!$A$2:$A$6000,0))*(1-ДисконтТендер),0)</f>
        <v>0</v>
      </c>
      <c r="M1103" s="10">
        <f>IF($I1103="",0,IFERROR(INDEX(Материалы!$I$2:$I$9000,MATCH($I1103,Материалы!$A$2:$A$9000,0))*IF(INDEX(Материалы!$J$2:$J$9000,MATCH($I1103,Материалы!$A$2:$A$9000,0))="USD",КурсUSD,IF(INDEX(Материалы!$J$2:$J$9000,MATCH($I1103,Материалы!$A$2:$A$9000,0))="EUR",КурсEUR,1))*INDEX(Материалы!$K$2:$K$9000,MATCH($I1103,Материалы!$A$2:$A$9000,0))*(1+IFERROR(INDEX(Работы!$I$2:$I$6000,MATCH($C1103,Работы!$A$2:$A$6000,0))/100,0))*(1-ДисконтТендер),0))</f>
        <v>0</v>
      </c>
      <c r="N1103" s="10">
        <f t="shared" si="51"/>
        <v>0</v>
      </c>
      <c r="O1103" s="10">
        <f t="shared" si="52"/>
        <v>0</v>
      </c>
      <c r="P1103" s="10">
        <f t="shared" si="53"/>
        <v>0</v>
      </c>
      <c r="Q1103" t="str">
        <f>IFERROR(INDEX(Работы!$J$2:$J$6000,MATCH($C1103,Работы!$A$2:$A$6000,0)),"")</f>
        <v/>
      </c>
      <c r="R1103" t="s">
        <v>92</v>
      </c>
      <c r="T1103" t="str">
        <f>IF(AND($P1103&gt;0,$R1103="да"),MAX($T$1:$T1102)+1,"")</f>
        <v/>
      </c>
    </row>
    <row r="1104" spans="1:20" x14ac:dyDescent="0.3">
      <c r="A1104" s="11" t="str">
        <f>IFERROR(INDEX(Работы!$D$2:$D$6000,MATCH($C1104,Работы!$A$2:$A$6000,0)),"")</f>
        <v/>
      </c>
      <c r="B1104" t="str">
        <f>IFERROR(INDEX(Работы!$F$2:$F$6000,MATCH($C1104,Работы!$A$2:$A$6000,0)),"")</f>
        <v/>
      </c>
      <c r="C1104">
        <f>IFERROR(INDEX(Работы!$A$2:$A$6000,1103),"")</f>
        <v>0</v>
      </c>
      <c r="D1104" s="8" t="str">
        <f>IFERROR(INDEX(Работы!$B$2:$B$6000,MATCH($C1104,Работы!$A$2:$A$6000,0)),"")</f>
        <v/>
      </c>
      <c r="E1104" t="str">
        <f>IFERROR(INDEX(Работы!$C$2:$C$6000,MATCH($C1104,Работы!$A$2:$A$6000,0)),"")</f>
        <v/>
      </c>
      <c r="F1104" t="str">
        <f>IFERROR(INDEX(Работы!$G$2:$G$6000,MATCH($C1104,Работы!$A$2:$A$6000,0)),"")</f>
        <v/>
      </c>
      <c r="G1104" t="str">
        <f>IFERROR(INDEX(Работы!$K$2:$K$6000,MATCH($C1104,Работы!$A$2:$A$6000,0)),"")</f>
        <v/>
      </c>
      <c r="H1104" s="9"/>
      <c r="I1104" s="9"/>
      <c r="J1104" s="8" t="str">
        <f>IFERROR(INDEX(Материалы!$B$2:$B$9000,MATCH($I1104,Материалы!$A$2:$A$9000,0)),"")</f>
        <v/>
      </c>
      <c r="K1104" t="str">
        <f>IF($I1104="","",IF($F1104=IFERROR(INDEX(Материалы!$G$2:$G$9000,MATCH($I1104,Материалы!$A$2:$A$9000,0)),""),"OK","!! не та группа"))</f>
        <v/>
      </c>
      <c r="L1104" s="10">
        <f>IFERROR(INDEX(Работы!$H$2:$H$6000,MATCH($C1104,Работы!$A$2:$A$6000,0))*(1-ДисконтТендер),0)</f>
        <v>0</v>
      </c>
      <c r="M1104" s="10">
        <f>IF($I1104="",0,IFERROR(INDEX(Материалы!$I$2:$I$9000,MATCH($I1104,Материалы!$A$2:$A$9000,0))*IF(INDEX(Материалы!$J$2:$J$9000,MATCH($I1104,Материалы!$A$2:$A$9000,0))="USD",КурсUSD,IF(INDEX(Материалы!$J$2:$J$9000,MATCH($I1104,Материалы!$A$2:$A$9000,0))="EUR",КурсEUR,1))*INDEX(Материалы!$K$2:$K$9000,MATCH($I1104,Материалы!$A$2:$A$9000,0))*(1+IFERROR(INDEX(Работы!$I$2:$I$6000,MATCH($C1104,Работы!$A$2:$A$6000,0))/100,0))*(1-ДисконтТендер),0))</f>
        <v>0</v>
      </c>
      <c r="N1104" s="10">
        <f t="shared" si="51"/>
        <v>0</v>
      </c>
      <c r="O1104" s="10">
        <f t="shared" si="52"/>
        <v>0</v>
      </c>
      <c r="P1104" s="10">
        <f t="shared" si="53"/>
        <v>0</v>
      </c>
      <c r="Q1104" t="str">
        <f>IFERROR(INDEX(Работы!$J$2:$J$6000,MATCH($C1104,Работы!$A$2:$A$6000,0)),"")</f>
        <v/>
      </c>
      <c r="R1104" t="s">
        <v>92</v>
      </c>
      <c r="T1104" t="str">
        <f>IF(AND($P1104&gt;0,$R1104="да"),MAX($T$1:$T1103)+1,"")</f>
        <v/>
      </c>
    </row>
    <row r="1105" spans="1:20" x14ac:dyDescent="0.3">
      <c r="A1105" s="11" t="str">
        <f>IFERROR(INDEX(Работы!$D$2:$D$6000,MATCH($C1105,Работы!$A$2:$A$6000,0)),"")</f>
        <v/>
      </c>
      <c r="B1105" t="str">
        <f>IFERROR(INDEX(Работы!$F$2:$F$6000,MATCH($C1105,Работы!$A$2:$A$6000,0)),"")</f>
        <v/>
      </c>
      <c r="C1105">
        <f>IFERROR(INDEX(Работы!$A$2:$A$6000,1104),"")</f>
        <v>0</v>
      </c>
      <c r="D1105" s="8" t="str">
        <f>IFERROR(INDEX(Работы!$B$2:$B$6000,MATCH($C1105,Работы!$A$2:$A$6000,0)),"")</f>
        <v/>
      </c>
      <c r="E1105" t="str">
        <f>IFERROR(INDEX(Работы!$C$2:$C$6000,MATCH($C1105,Работы!$A$2:$A$6000,0)),"")</f>
        <v/>
      </c>
      <c r="F1105" t="str">
        <f>IFERROR(INDEX(Работы!$G$2:$G$6000,MATCH($C1105,Работы!$A$2:$A$6000,0)),"")</f>
        <v/>
      </c>
      <c r="G1105" t="str">
        <f>IFERROR(INDEX(Работы!$K$2:$K$6000,MATCH($C1105,Работы!$A$2:$A$6000,0)),"")</f>
        <v/>
      </c>
      <c r="H1105" s="9"/>
      <c r="I1105" s="9"/>
      <c r="J1105" s="8" t="str">
        <f>IFERROR(INDEX(Материалы!$B$2:$B$9000,MATCH($I1105,Материалы!$A$2:$A$9000,0)),"")</f>
        <v/>
      </c>
      <c r="K1105" t="str">
        <f>IF($I1105="","",IF($F1105=IFERROR(INDEX(Материалы!$G$2:$G$9000,MATCH($I1105,Материалы!$A$2:$A$9000,0)),""),"OK","!! не та группа"))</f>
        <v/>
      </c>
      <c r="L1105" s="10">
        <f>IFERROR(INDEX(Работы!$H$2:$H$6000,MATCH($C1105,Работы!$A$2:$A$6000,0))*(1-ДисконтТендер),0)</f>
        <v>0</v>
      </c>
      <c r="M1105" s="10">
        <f>IF($I1105="",0,IFERROR(INDEX(Материалы!$I$2:$I$9000,MATCH($I1105,Материалы!$A$2:$A$9000,0))*IF(INDEX(Материалы!$J$2:$J$9000,MATCH($I1105,Материалы!$A$2:$A$9000,0))="USD",КурсUSD,IF(INDEX(Материалы!$J$2:$J$9000,MATCH($I1105,Материалы!$A$2:$A$9000,0))="EUR",КурсEUR,1))*INDEX(Материалы!$K$2:$K$9000,MATCH($I1105,Материалы!$A$2:$A$9000,0))*(1+IFERROR(INDEX(Работы!$I$2:$I$6000,MATCH($C1105,Работы!$A$2:$A$6000,0))/100,0))*(1-ДисконтТендер),0))</f>
        <v>0</v>
      </c>
      <c r="N1105" s="10">
        <f t="shared" si="51"/>
        <v>0</v>
      </c>
      <c r="O1105" s="10">
        <f t="shared" si="52"/>
        <v>0</v>
      </c>
      <c r="P1105" s="10">
        <f t="shared" si="53"/>
        <v>0</v>
      </c>
      <c r="Q1105" t="str">
        <f>IFERROR(INDEX(Работы!$J$2:$J$6000,MATCH($C1105,Работы!$A$2:$A$6000,0)),"")</f>
        <v/>
      </c>
      <c r="R1105" t="s">
        <v>92</v>
      </c>
      <c r="T1105" t="str">
        <f>IF(AND($P1105&gt;0,$R1105="да"),MAX($T$1:$T1104)+1,"")</f>
        <v/>
      </c>
    </row>
    <row r="1106" spans="1:20" x14ac:dyDescent="0.3">
      <c r="A1106" s="11" t="str">
        <f>IFERROR(INDEX(Работы!$D$2:$D$6000,MATCH($C1106,Работы!$A$2:$A$6000,0)),"")</f>
        <v/>
      </c>
      <c r="B1106" t="str">
        <f>IFERROR(INDEX(Работы!$F$2:$F$6000,MATCH($C1106,Работы!$A$2:$A$6000,0)),"")</f>
        <v/>
      </c>
      <c r="C1106">
        <f>IFERROR(INDEX(Работы!$A$2:$A$6000,1105),"")</f>
        <v>0</v>
      </c>
      <c r="D1106" s="8" t="str">
        <f>IFERROR(INDEX(Работы!$B$2:$B$6000,MATCH($C1106,Работы!$A$2:$A$6000,0)),"")</f>
        <v/>
      </c>
      <c r="E1106" t="str">
        <f>IFERROR(INDEX(Работы!$C$2:$C$6000,MATCH($C1106,Работы!$A$2:$A$6000,0)),"")</f>
        <v/>
      </c>
      <c r="F1106" t="str">
        <f>IFERROR(INDEX(Работы!$G$2:$G$6000,MATCH($C1106,Работы!$A$2:$A$6000,0)),"")</f>
        <v/>
      </c>
      <c r="G1106" t="str">
        <f>IFERROR(INDEX(Работы!$K$2:$K$6000,MATCH($C1106,Работы!$A$2:$A$6000,0)),"")</f>
        <v/>
      </c>
      <c r="H1106" s="9"/>
      <c r="I1106" s="9"/>
      <c r="J1106" s="8" t="str">
        <f>IFERROR(INDEX(Материалы!$B$2:$B$9000,MATCH($I1106,Материалы!$A$2:$A$9000,0)),"")</f>
        <v/>
      </c>
      <c r="K1106" t="str">
        <f>IF($I1106="","",IF($F1106=IFERROR(INDEX(Материалы!$G$2:$G$9000,MATCH($I1106,Материалы!$A$2:$A$9000,0)),""),"OK","!! не та группа"))</f>
        <v/>
      </c>
      <c r="L1106" s="10">
        <f>IFERROR(INDEX(Работы!$H$2:$H$6000,MATCH($C1106,Работы!$A$2:$A$6000,0))*(1-ДисконтТендер),0)</f>
        <v>0</v>
      </c>
      <c r="M1106" s="10">
        <f>IF($I1106="",0,IFERROR(INDEX(Материалы!$I$2:$I$9000,MATCH($I1106,Материалы!$A$2:$A$9000,0))*IF(INDEX(Материалы!$J$2:$J$9000,MATCH($I1106,Материалы!$A$2:$A$9000,0))="USD",КурсUSD,IF(INDEX(Материалы!$J$2:$J$9000,MATCH($I1106,Материалы!$A$2:$A$9000,0))="EUR",КурсEUR,1))*INDEX(Материалы!$K$2:$K$9000,MATCH($I1106,Материалы!$A$2:$A$9000,0))*(1+IFERROR(INDEX(Работы!$I$2:$I$6000,MATCH($C1106,Работы!$A$2:$A$6000,0))/100,0))*(1-ДисконтТендер),0))</f>
        <v>0</v>
      </c>
      <c r="N1106" s="10">
        <f t="shared" si="51"/>
        <v>0</v>
      </c>
      <c r="O1106" s="10">
        <f t="shared" si="52"/>
        <v>0</v>
      </c>
      <c r="P1106" s="10">
        <f t="shared" si="53"/>
        <v>0</v>
      </c>
      <c r="Q1106" t="str">
        <f>IFERROR(INDEX(Работы!$J$2:$J$6000,MATCH($C1106,Работы!$A$2:$A$6000,0)),"")</f>
        <v/>
      </c>
      <c r="R1106" t="s">
        <v>92</v>
      </c>
      <c r="T1106" t="str">
        <f>IF(AND($P1106&gt;0,$R1106="да"),MAX($T$1:$T1105)+1,"")</f>
        <v/>
      </c>
    </row>
    <row r="1107" spans="1:20" x14ac:dyDescent="0.3">
      <c r="A1107" s="11" t="str">
        <f>IFERROR(INDEX(Работы!$D$2:$D$6000,MATCH($C1107,Работы!$A$2:$A$6000,0)),"")</f>
        <v/>
      </c>
      <c r="B1107" t="str">
        <f>IFERROR(INDEX(Работы!$F$2:$F$6000,MATCH($C1107,Работы!$A$2:$A$6000,0)),"")</f>
        <v/>
      </c>
      <c r="C1107">
        <f>IFERROR(INDEX(Работы!$A$2:$A$6000,1106),"")</f>
        <v>0</v>
      </c>
      <c r="D1107" s="8" t="str">
        <f>IFERROR(INDEX(Работы!$B$2:$B$6000,MATCH($C1107,Работы!$A$2:$A$6000,0)),"")</f>
        <v/>
      </c>
      <c r="E1107" t="str">
        <f>IFERROR(INDEX(Работы!$C$2:$C$6000,MATCH($C1107,Работы!$A$2:$A$6000,0)),"")</f>
        <v/>
      </c>
      <c r="F1107" t="str">
        <f>IFERROR(INDEX(Работы!$G$2:$G$6000,MATCH($C1107,Работы!$A$2:$A$6000,0)),"")</f>
        <v/>
      </c>
      <c r="G1107" t="str">
        <f>IFERROR(INDEX(Работы!$K$2:$K$6000,MATCH($C1107,Работы!$A$2:$A$6000,0)),"")</f>
        <v/>
      </c>
      <c r="H1107" s="9"/>
      <c r="I1107" s="9"/>
      <c r="J1107" s="8" t="str">
        <f>IFERROR(INDEX(Материалы!$B$2:$B$9000,MATCH($I1107,Материалы!$A$2:$A$9000,0)),"")</f>
        <v/>
      </c>
      <c r="K1107" t="str">
        <f>IF($I1107="","",IF($F1107=IFERROR(INDEX(Материалы!$G$2:$G$9000,MATCH($I1107,Материалы!$A$2:$A$9000,0)),""),"OK","!! не та группа"))</f>
        <v/>
      </c>
      <c r="L1107" s="10">
        <f>IFERROR(INDEX(Работы!$H$2:$H$6000,MATCH($C1107,Работы!$A$2:$A$6000,0))*(1-ДисконтТендер),0)</f>
        <v>0</v>
      </c>
      <c r="M1107" s="10">
        <f>IF($I1107="",0,IFERROR(INDEX(Материалы!$I$2:$I$9000,MATCH($I1107,Материалы!$A$2:$A$9000,0))*IF(INDEX(Материалы!$J$2:$J$9000,MATCH($I1107,Материалы!$A$2:$A$9000,0))="USD",КурсUSD,IF(INDEX(Материалы!$J$2:$J$9000,MATCH($I1107,Материалы!$A$2:$A$9000,0))="EUR",КурсEUR,1))*INDEX(Материалы!$K$2:$K$9000,MATCH($I1107,Материалы!$A$2:$A$9000,0))*(1+IFERROR(INDEX(Работы!$I$2:$I$6000,MATCH($C1107,Работы!$A$2:$A$6000,0))/100,0))*(1-ДисконтТендер),0))</f>
        <v>0</v>
      </c>
      <c r="N1107" s="10">
        <f t="shared" si="51"/>
        <v>0</v>
      </c>
      <c r="O1107" s="10">
        <f t="shared" si="52"/>
        <v>0</v>
      </c>
      <c r="P1107" s="10">
        <f t="shared" si="53"/>
        <v>0</v>
      </c>
      <c r="Q1107" t="str">
        <f>IFERROR(INDEX(Работы!$J$2:$J$6000,MATCH($C1107,Работы!$A$2:$A$6000,0)),"")</f>
        <v/>
      </c>
      <c r="R1107" t="s">
        <v>92</v>
      </c>
      <c r="T1107" t="str">
        <f>IF(AND($P1107&gt;0,$R1107="да"),MAX($T$1:$T1106)+1,"")</f>
        <v/>
      </c>
    </row>
    <row r="1108" spans="1:20" x14ac:dyDescent="0.3">
      <c r="A1108" s="11" t="str">
        <f>IFERROR(INDEX(Работы!$D$2:$D$6000,MATCH($C1108,Работы!$A$2:$A$6000,0)),"")</f>
        <v/>
      </c>
      <c r="B1108" t="str">
        <f>IFERROR(INDEX(Работы!$F$2:$F$6000,MATCH($C1108,Работы!$A$2:$A$6000,0)),"")</f>
        <v/>
      </c>
      <c r="C1108">
        <f>IFERROR(INDEX(Работы!$A$2:$A$6000,1107),"")</f>
        <v>0</v>
      </c>
      <c r="D1108" s="8" t="str">
        <f>IFERROR(INDEX(Работы!$B$2:$B$6000,MATCH($C1108,Работы!$A$2:$A$6000,0)),"")</f>
        <v/>
      </c>
      <c r="E1108" t="str">
        <f>IFERROR(INDEX(Работы!$C$2:$C$6000,MATCH($C1108,Работы!$A$2:$A$6000,0)),"")</f>
        <v/>
      </c>
      <c r="F1108" t="str">
        <f>IFERROR(INDEX(Работы!$G$2:$G$6000,MATCH($C1108,Работы!$A$2:$A$6000,0)),"")</f>
        <v/>
      </c>
      <c r="G1108" t="str">
        <f>IFERROR(INDEX(Работы!$K$2:$K$6000,MATCH($C1108,Работы!$A$2:$A$6000,0)),"")</f>
        <v/>
      </c>
      <c r="H1108" s="9"/>
      <c r="I1108" s="9"/>
      <c r="J1108" s="8" t="str">
        <f>IFERROR(INDEX(Материалы!$B$2:$B$9000,MATCH($I1108,Материалы!$A$2:$A$9000,0)),"")</f>
        <v/>
      </c>
      <c r="K1108" t="str">
        <f>IF($I1108="","",IF($F1108=IFERROR(INDEX(Материалы!$G$2:$G$9000,MATCH($I1108,Материалы!$A$2:$A$9000,0)),""),"OK","!! не та группа"))</f>
        <v/>
      </c>
      <c r="L1108" s="10">
        <f>IFERROR(INDEX(Работы!$H$2:$H$6000,MATCH($C1108,Работы!$A$2:$A$6000,0))*(1-ДисконтТендер),0)</f>
        <v>0</v>
      </c>
      <c r="M1108" s="10">
        <f>IF($I1108="",0,IFERROR(INDEX(Материалы!$I$2:$I$9000,MATCH($I1108,Материалы!$A$2:$A$9000,0))*IF(INDEX(Материалы!$J$2:$J$9000,MATCH($I1108,Материалы!$A$2:$A$9000,0))="USD",КурсUSD,IF(INDEX(Материалы!$J$2:$J$9000,MATCH($I1108,Материалы!$A$2:$A$9000,0))="EUR",КурсEUR,1))*INDEX(Материалы!$K$2:$K$9000,MATCH($I1108,Материалы!$A$2:$A$9000,0))*(1+IFERROR(INDEX(Работы!$I$2:$I$6000,MATCH($C1108,Работы!$A$2:$A$6000,0))/100,0))*(1-ДисконтТендер),0))</f>
        <v>0</v>
      </c>
      <c r="N1108" s="10">
        <f t="shared" si="51"/>
        <v>0</v>
      </c>
      <c r="O1108" s="10">
        <f t="shared" si="52"/>
        <v>0</v>
      </c>
      <c r="P1108" s="10">
        <f t="shared" si="53"/>
        <v>0</v>
      </c>
      <c r="Q1108" t="str">
        <f>IFERROR(INDEX(Работы!$J$2:$J$6000,MATCH($C1108,Работы!$A$2:$A$6000,0)),"")</f>
        <v/>
      </c>
      <c r="R1108" t="s">
        <v>92</v>
      </c>
      <c r="T1108" t="str">
        <f>IF(AND($P1108&gt;0,$R1108="да"),MAX($T$1:$T1107)+1,"")</f>
        <v/>
      </c>
    </row>
    <row r="1109" spans="1:20" x14ac:dyDescent="0.3">
      <c r="A1109" s="11" t="str">
        <f>IFERROR(INDEX(Работы!$D$2:$D$6000,MATCH($C1109,Работы!$A$2:$A$6000,0)),"")</f>
        <v/>
      </c>
      <c r="B1109" t="str">
        <f>IFERROR(INDEX(Работы!$F$2:$F$6000,MATCH($C1109,Работы!$A$2:$A$6000,0)),"")</f>
        <v/>
      </c>
      <c r="C1109">
        <f>IFERROR(INDEX(Работы!$A$2:$A$6000,1108),"")</f>
        <v>0</v>
      </c>
      <c r="D1109" s="8" t="str">
        <f>IFERROR(INDEX(Работы!$B$2:$B$6000,MATCH($C1109,Работы!$A$2:$A$6000,0)),"")</f>
        <v/>
      </c>
      <c r="E1109" t="str">
        <f>IFERROR(INDEX(Работы!$C$2:$C$6000,MATCH($C1109,Работы!$A$2:$A$6000,0)),"")</f>
        <v/>
      </c>
      <c r="F1109" t="str">
        <f>IFERROR(INDEX(Работы!$G$2:$G$6000,MATCH($C1109,Работы!$A$2:$A$6000,0)),"")</f>
        <v/>
      </c>
      <c r="G1109" t="str">
        <f>IFERROR(INDEX(Работы!$K$2:$K$6000,MATCH($C1109,Работы!$A$2:$A$6000,0)),"")</f>
        <v/>
      </c>
      <c r="H1109" s="9"/>
      <c r="I1109" s="9"/>
      <c r="J1109" s="8" t="str">
        <f>IFERROR(INDEX(Материалы!$B$2:$B$9000,MATCH($I1109,Материалы!$A$2:$A$9000,0)),"")</f>
        <v/>
      </c>
      <c r="K1109" t="str">
        <f>IF($I1109="","",IF($F1109=IFERROR(INDEX(Материалы!$G$2:$G$9000,MATCH($I1109,Материалы!$A$2:$A$9000,0)),""),"OK","!! не та группа"))</f>
        <v/>
      </c>
      <c r="L1109" s="10">
        <f>IFERROR(INDEX(Работы!$H$2:$H$6000,MATCH($C1109,Работы!$A$2:$A$6000,0))*(1-ДисконтТендер),0)</f>
        <v>0</v>
      </c>
      <c r="M1109" s="10">
        <f>IF($I1109="",0,IFERROR(INDEX(Материалы!$I$2:$I$9000,MATCH($I1109,Материалы!$A$2:$A$9000,0))*IF(INDEX(Материалы!$J$2:$J$9000,MATCH($I1109,Материалы!$A$2:$A$9000,0))="USD",КурсUSD,IF(INDEX(Материалы!$J$2:$J$9000,MATCH($I1109,Материалы!$A$2:$A$9000,0))="EUR",КурсEUR,1))*INDEX(Материалы!$K$2:$K$9000,MATCH($I1109,Материалы!$A$2:$A$9000,0))*(1+IFERROR(INDEX(Работы!$I$2:$I$6000,MATCH($C1109,Работы!$A$2:$A$6000,0))/100,0))*(1-ДисконтТендер),0))</f>
        <v>0</v>
      </c>
      <c r="N1109" s="10">
        <f t="shared" si="51"/>
        <v>0</v>
      </c>
      <c r="O1109" s="10">
        <f t="shared" si="52"/>
        <v>0</v>
      </c>
      <c r="P1109" s="10">
        <f t="shared" si="53"/>
        <v>0</v>
      </c>
      <c r="Q1109" t="str">
        <f>IFERROR(INDEX(Работы!$J$2:$J$6000,MATCH($C1109,Работы!$A$2:$A$6000,0)),"")</f>
        <v/>
      </c>
      <c r="R1109" t="s">
        <v>92</v>
      </c>
      <c r="T1109" t="str">
        <f>IF(AND($P1109&gt;0,$R1109="да"),MAX($T$1:$T1108)+1,"")</f>
        <v/>
      </c>
    </row>
    <row r="1110" spans="1:20" x14ac:dyDescent="0.3">
      <c r="A1110" s="11" t="str">
        <f>IFERROR(INDEX(Работы!$D$2:$D$6000,MATCH($C1110,Работы!$A$2:$A$6000,0)),"")</f>
        <v/>
      </c>
      <c r="B1110" t="str">
        <f>IFERROR(INDEX(Работы!$F$2:$F$6000,MATCH($C1110,Работы!$A$2:$A$6000,0)),"")</f>
        <v/>
      </c>
      <c r="C1110">
        <f>IFERROR(INDEX(Работы!$A$2:$A$6000,1109),"")</f>
        <v>0</v>
      </c>
      <c r="D1110" s="8" t="str">
        <f>IFERROR(INDEX(Работы!$B$2:$B$6000,MATCH($C1110,Работы!$A$2:$A$6000,0)),"")</f>
        <v/>
      </c>
      <c r="E1110" t="str">
        <f>IFERROR(INDEX(Работы!$C$2:$C$6000,MATCH($C1110,Работы!$A$2:$A$6000,0)),"")</f>
        <v/>
      </c>
      <c r="F1110" t="str">
        <f>IFERROR(INDEX(Работы!$G$2:$G$6000,MATCH($C1110,Работы!$A$2:$A$6000,0)),"")</f>
        <v/>
      </c>
      <c r="G1110" t="str">
        <f>IFERROR(INDEX(Работы!$K$2:$K$6000,MATCH($C1110,Работы!$A$2:$A$6000,0)),"")</f>
        <v/>
      </c>
      <c r="H1110" s="9"/>
      <c r="I1110" s="9"/>
      <c r="J1110" s="8" t="str">
        <f>IFERROR(INDEX(Материалы!$B$2:$B$9000,MATCH($I1110,Материалы!$A$2:$A$9000,0)),"")</f>
        <v/>
      </c>
      <c r="K1110" t="str">
        <f>IF($I1110="","",IF($F1110=IFERROR(INDEX(Материалы!$G$2:$G$9000,MATCH($I1110,Материалы!$A$2:$A$9000,0)),""),"OK","!! не та группа"))</f>
        <v/>
      </c>
      <c r="L1110" s="10">
        <f>IFERROR(INDEX(Работы!$H$2:$H$6000,MATCH($C1110,Работы!$A$2:$A$6000,0))*(1-ДисконтТендер),0)</f>
        <v>0</v>
      </c>
      <c r="M1110" s="10">
        <f>IF($I1110="",0,IFERROR(INDEX(Материалы!$I$2:$I$9000,MATCH($I1110,Материалы!$A$2:$A$9000,0))*IF(INDEX(Материалы!$J$2:$J$9000,MATCH($I1110,Материалы!$A$2:$A$9000,0))="USD",КурсUSD,IF(INDEX(Материалы!$J$2:$J$9000,MATCH($I1110,Материалы!$A$2:$A$9000,0))="EUR",КурсEUR,1))*INDEX(Материалы!$K$2:$K$9000,MATCH($I1110,Материалы!$A$2:$A$9000,0))*(1+IFERROR(INDEX(Работы!$I$2:$I$6000,MATCH($C1110,Работы!$A$2:$A$6000,0))/100,0))*(1-ДисконтТендер),0))</f>
        <v>0</v>
      </c>
      <c r="N1110" s="10">
        <f t="shared" si="51"/>
        <v>0</v>
      </c>
      <c r="O1110" s="10">
        <f t="shared" si="52"/>
        <v>0</v>
      </c>
      <c r="P1110" s="10">
        <f t="shared" si="53"/>
        <v>0</v>
      </c>
      <c r="Q1110" t="str">
        <f>IFERROR(INDEX(Работы!$J$2:$J$6000,MATCH($C1110,Работы!$A$2:$A$6000,0)),"")</f>
        <v/>
      </c>
      <c r="R1110" t="s">
        <v>92</v>
      </c>
      <c r="T1110" t="str">
        <f>IF(AND($P1110&gt;0,$R1110="да"),MAX($T$1:$T1109)+1,"")</f>
        <v/>
      </c>
    </row>
    <row r="1111" spans="1:20" x14ac:dyDescent="0.3">
      <c r="A1111" s="11" t="str">
        <f>IFERROR(INDEX(Работы!$D$2:$D$6000,MATCH($C1111,Работы!$A$2:$A$6000,0)),"")</f>
        <v/>
      </c>
      <c r="B1111" t="str">
        <f>IFERROR(INDEX(Работы!$F$2:$F$6000,MATCH($C1111,Работы!$A$2:$A$6000,0)),"")</f>
        <v/>
      </c>
      <c r="C1111">
        <f>IFERROR(INDEX(Работы!$A$2:$A$6000,1110),"")</f>
        <v>0</v>
      </c>
      <c r="D1111" s="8" t="str">
        <f>IFERROR(INDEX(Работы!$B$2:$B$6000,MATCH($C1111,Работы!$A$2:$A$6000,0)),"")</f>
        <v/>
      </c>
      <c r="E1111" t="str">
        <f>IFERROR(INDEX(Работы!$C$2:$C$6000,MATCH($C1111,Работы!$A$2:$A$6000,0)),"")</f>
        <v/>
      </c>
      <c r="F1111" t="str">
        <f>IFERROR(INDEX(Работы!$G$2:$G$6000,MATCH($C1111,Работы!$A$2:$A$6000,0)),"")</f>
        <v/>
      </c>
      <c r="G1111" t="str">
        <f>IFERROR(INDEX(Работы!$K$2:$K$6000,MATCH($C1111,Работы!$A$2:$A$6000,0)),"")</f>
        <v/>
      </c>
      <c r="H1111" s="9"/>
      <c r="I1111" s="9"/>
      <c r="J1111" s="8" t="str">
        <f>IFERROR(INDEX(Материалы!$B$2:$B$9000,MATCH($I1111,Материалы!$A$2:$A$9000,0)),"")</f>
        <v/>
      </c>
      <c r="K1111" t="str">
        <f>IF($I1111="","",IF($F1111=IFERROR(INDEX(Материалы!$G$2:$G$9000,MATCH($I1111,Материалы!$A$2:$A$9000,0)),""),"OK","!! не та группа"))</f>
        <v/>
      </c>
      <c r="L1111" s="10">
        <f>IFERROR(INDEX(Работы!$H$2:$H$6000,MATCH($C1111,Работы!$A$2:$A$6000,0))*(1-ДисконтТендер),0)</f>
        <v>0</v>
      </c>
      <c r="M1111" s="10">
        <f>IF($I1111="",0,IFERROR(INDEX(Материалы!$I$2:$I$9000,MATCH($I1111,Материалы!$A$2:$A$9000,0))*IF(INDEX(Материалы!$J$2:$J$9000,MATCH($I1111,Материалы!$A$2:$A$9000,0))="USD",КурсUSD,IF(INDEX(Материалы!$J$2:$J$9000,MATCH($I1111,Материалы!$A$2:$A$9000,0))="EUR",КурсEUR,1))*INDEX(Материалы!$K$2:$K$9000,MATCH($I1111,Материалы!$A$2:$A$9000,0))*(1+IFERROR(INDEX(Работы!$I$2:$I$6000,MATCH($C1111,Работы!$A$2:$A$6000,0))/100,0))*(1-ДисконтТендер),0))</f>
        <v>0</v>
      </c>
      <c r="N1111" s="10">
        <f t="shared" si="51"/>
        <v>0</v>
      </c>
      <c r="O1111" s="10">
        <f t="shared" si="52"/>
        <v>0</v>
      </c>
      <c r="P1111" s="10">
        <f t="shared" si="53"/>
        <v>0</v>
      </c>
      <c r="Q1111" t="str">
        <f>IFERROR(INDEX(Работы!$J$2:$J$6000,MATCH($C1111,Работы!$A$2:$A$6000,0)),"")</f>
        <v/>
      </c>
      <c r="R1111" t="s">
        <v>92</v>
      </c>
      <c r="T1111" t="str">
        <f>IF(AND($P1111&gt;0,$R1111="да"),MAX($T$1:$T1110)+1,"")</f>
        <v/>
      </c>
    </row>
    <row r="1112" spans="1:20" x14ac:dyDescent="0.3">
      <c r="A1112" s="11" t="str">
        <f>IFERROR(INDEX(Работы!$D$2:$D$6000,MATCH($C1112,Работы!$A$2:$A$6000,0)),"")</f>
        <v/>
      </c>
      <c r="B1112" t="str">
        <f>IFERROR(INDEX(Работы!$F$2:$F$6000,MATCH($C1112,Работы!$A$2:$A$6000,0)),"")</f>
        <v/>
      </c>
      <c r="C1112">
        <f>IFERROR(INDEX(Работы!$A$2:$A$6000,1111),"")</f>
        <v>0</v>
      </c>
      <c r="D1112" s="8" t="str">
        <f>IFERROR(INDEX(Работы!$B$2:$B$6000,MATCH($C1112,Работы!$A$2:$A$6000,0)),"")</f>
        <v/>
      </c>
      <c r="E1112" t="str">
        <f>IFERROR(INDEX(Работы!$C$2:$C$6000,MATCH($C1112,Работы!$A$2:$A$6000,0)),"")</f>
        <v/>
      </c>
      <c r="F1112" t="str">
        <f>IFERROR(INDEX(Работы!$G$2:$G$6000,MATCH($C1112,Работы!$A$2:$A$6000,0)),"")</f>
        <v/>
      </c>
      <c r="G1112" t="str">
        <f>IFERROR(INDEX(Работы!$K$2:$K$6000,MATCH($C1112,Работы!$A$2:$A$6000,0)),"")</f>
        <v/>
      </c>
      <c r="H1112" s="9"/>
      <c r="I1112" s="9"/>
      <c r="J1112" s="8" t="str">
        <f>IFERROR(INDEX(Материалы!$B$2:$B$9000,MATCH($I1112,Материалы!$A$2:$A$9000,0)),"")</f>
        <v/>
      </c>
      <c r="K1112" t="str">
        <f>IF($I1112="","",IF($F1112=IFERROR(INDEX(Материалы!$G$2:$G$9000,MATCH($I1112,Материалы!$A$2:$A$9000,0)),""),"OK","!! не та группа"))</f>
        <v/>
      </c>
      <c r="L1112" s="10">
        <f>IFERROR(INDEX(Работы!$H$2:$H$6000,MATCH($C1112,Работы!$A$2:$A$6000,0))*(1-ДисконтТендер),0)</f>
        <v>0</v>
      </c>
      <c r="M1112" s="10">
        <f>IF($I1112="",0,IFERROR(INDEX(Материалы!$I$2:$I$9000,MATCH($I1112,Материалы!$A$2:$A$9000,0))*IF(INDEX(Материалы!$J$2:$J$9000,MATCH($I1112,Материалы!$A$2:$A$9000,0))="USD",КурсUSD,IF(INDEX(Материалы!$J$2:$J$9000,MATCH($I1112,Материалы!$A$2:$A$9000,0))="EUR",КурсEUR,1))*INDEX(Материалы!$K$2:$K$9000,MATCH($I1112,Материалы!$A$2:$A$9000,0))*(1+IFERROR(INDEX(Работы!$I$2:$I$6000,MATCH($C1112,Работы!$A$2:$A$6000,0))/100,0))*(1-ДисконтТендер),0))</f>
        <v>0</v>
      </c>
      <c r="N1112" s="10">
        <f t="shared" si="51"/>
        <v>0</v>
      </c>
      <c r="O1112" s="10">
        <f t="shared" si="52"/>
        <v>0</v>
      </c>
      <c r="P1112" s="10">
        <f t="shared" si="53"/>
        <v>0</v>
      </c>
      <c r="Q1112" t="str">
        <f>IFERROR(INDEX(Работы!$J$2:$J$6000,MATCH($C1112,Работы!$A$2:$A$6000,0)),"")</f>
        <v/>
      </c>
      <c r="R1112" t="s">
        <v>92</v>
      </c>
      <c r="T1112" t="str">
        <f>IF(AND($P1112&gt;0,$R1112="да"),MAX($T$1:$T1111)+1,"")</f>
        <v/>
      </c>
    </row>
    <row r="1113" spans="1:20" x14ac:dyDescent="0.3">
      <c r="A1113" s="11" t="str">
        <f>IFERROR(INDEX(Работы!$D$2:$D$6000,MATCH($C1113,Работы!$A$2:$A$6000,0)),"")</f>
        <v/>
      </c>
      <c r="B1113" t="str">
        <f>IFERROR(INDEX(Работы!$F$2:$F$6000,MATCH($C1113,Работы!$A$2:$A$6000,0)),"")</f>
        <v/>
      </c>
      <c r="C1113">
        <f>IFERROR(INDEX(Работы!$A$2:$A$6000,1112),"")</f>
        <v>0</v>
      </c>
      <c r="D1113" s="8" t="str">
        <f>IFERROR(INDEX(Работы!$B$2:$B$6000,MATCH($C1113,Работы!$A$2:$A$6000,0)),"")</f>
        <v/>
      </c>
      <c r="E1113" t="str">
        <f>IFERROR(INDEX(Работы!$C$2:$C$6000,MATCH($C1113,Работы!$A$2:$A$6000,0)),"")</f>
        <v/>
      </c>
      <c r="F1113" t="str">
        <f>IFERROR(INDEX(Работы!$G$2:$G$6000,MATCH($C1113,Работы!$A$2:$A$6000,0)),"")</f>
        <v/>
      </c>
      <c r="G1113" t="str">
        <f>IFERROR(INDEX(Работы!$K$2:$K$6000,MATCH($C1113,Работы!$A$2:$A$6000,0)),"")</f>
        <v/>
      </c>
      <c r="H1113" s="9"/>
      <c r="I1113" s="9"/>
      <c r="J1113" s="8" t="str">
        <f>IFERROR(INDEX(Материалы!$B$2:$B$9000,MATCH($I1113,Материалы!$A$2:$A$9000,0)),"")</f>
        <v/>
      </c>
      <c r="K1113" t="str">
        <f>IF($I1113="","",IF($F1113=IFERROR(INDEX(Материалы!$G$2:$G$9000,MATCH($I1113,Материалы!$A$2:$A$9000,0)),""),"OK","!! не та группа"))</f>
        <v/>
      </c>
      <c r="L1113" s="10">
        <f>IFERROR(INDEX(Работы!$H$2:$H$6000,MATCH($C1113,Работы!$A$2:$A$6000,0))*(1-ДисконтТендер),0)</f>
        <v>0</v>
      </c>
      <c r="M1113" s="10">
        <f>IF($I1113="",0,IFERROR(INDEX(Материалы!$I$2:$I$9000,MATCH($I1113,Материалы!$A$2:$A$9000,0))*IF(INDEX(Материалы!$J$2:$J$9000,MATCH($I1113,Материалы!$A$2:$A$9000,0))="USD",КурсUSD,IF(INDEX(Материалы!$J$2:$J$9000,MATCH($I1113,Материалы!$A$2:$A$9000,0))="EUR",КурсEUR,1))*INDEX(Материалы!$K$2:$K$9000,MATCH($I1113,Материалы!$A$2:$A$9000,0))*(1+IFERROR(INDEX(Работы!$I$2:$I$6000,MATCH($C1113,Работы!$A$2:$A$6000,0))/100,0))*(1-ДисконтТендер),0))</f>
        <v>0</v>
      </c>
      <c r="N1113" s="10">
        <f t="shared" si="51"/>
        <v>0</v>
      </c>
      <c r="O1113" s="10">
        <f t="shared" si="52"/>
        <v>0</v>
      </c>
      <c r="P1113" s="10">
        <f t="shared" si="53"/>
        <v>0</v>
      </c>
      <c r="Q1113" t="str">
        <f>IFERROR(INDEX(Работы!$J$2:$J$6000,MATCH($C1113,Работы!$A$2:$A$6000,0)),"")</f>
        <v/>
      </c>
      <c r="R1113" t="s">
        <v>92</v>
      </c>
      <c r="T1113" t="str">
        <f>IF(AND($P1113&gt;0,$R1113="да"),MAX($T$1:$T1112)+1,"")</f>
        <v/>
      </c>
    </row>
    <row r="1114" spans="1:20" x14ac:dyDescent="0.3">
      <c r="A1114" s="11" t="str">
        <f>IFERROR(INDEX(Работы!$D$2:$D$6000,MATCH($C1114,Работы!$A$2:$A$6000,0)),"")</f>
        <v/>
      </c>
      <c r="B1114" t="str">
        <f>IFERROR(INDEX(Работы!$F$2:$F$6000,MATCH($C1114,Работы!$A$2:$A$6000,0)),"")</f>
        <v/>
      </c>
      <c r="C1114">
        <f>IFERROR(INDEX(Работы!$A$2:$A$6000,1113),"")</f>
        <v>0</v>
      </c>
      <c r="D1114" s="8" t="str">
        <f>IFERROR(INDEX(Работы!$B$2:$B$6000,MATCH($C1114,Работы!$A$2:$A$6000,0)),"")</f>
        <v/>
      </c>
      <c r="E1114" t="str">
        <f>IFERROR(INDEX(Работы!$C$2:$C$6000,MATCH($C1114,Работы!$A$2:$A$6000,0)),"")</f>
        <v/>
      </c>
      <c r="F1114" t="str">
        <f>IFERROR(INDEX(Работы!$G$2:$G$6000,MATCH($C1114,Работы!$A$2:$A$6000,0)),"")</f>
        <v/>
      </c>
      <c r="G1114" t="str">
        <f>IFERROR(INDEX(Работы!$K$2:$K$6000,MATCH($C1114,Работы!$A$2:$A$6000,0)),"")</f>
        <v/>
      </c>
      <c r="H1114" s="9"/>
      <c r="I1114" s="9"/>
      <c r="J1114" s="8" t="str">
        <f>IFERROR(INDEX(Материалы!$B$2:$B$9000,MATCH($I1114,Материалы!$A$2:$A$9000,0)),"")</f>
        <v/>
      </c>
      <c r="K1114" t="str">
        <f>IF($I1114="","",IF($F1114=IFERROR(INDEX(Материалы!$G$2:$G$9000,MATCH($I1114,Материалы!$A$2:$A$9000,0)),""),"OK","!! не та группа"))</f>
        <v/>
      </c>
      <c r="L1114" s="10">
        <f>IFERROR(INDEX(Работы!$H$2:$H$6000,MATCH($C1114,Работы!$A$2:$A$6000,0))*(1-ДисконтТендер),0)</f>
        <v>0</v>
      </c>
      <c r="M1114" s="10">
        <f>IF($I1114="",0,IFERROR(INDEX(Материалы!$I$2:$I$9000,MATCH($I1114,Материалы!$A$2:$A$9000,0))*IF(INDEX(Материалы!$J$2:$J$9000,MATCH($I1114,Материалы!$A$2:$A$9000,0))="USD",КурсUSD,IF(INDEX(Материалы!$J$2:$J$9000,MATCH($I1114,Материалы!$A$2:$A$9000,0))="EUR",КурсEUR,1))*INDEX(Материалы!$K$2:$K$9000,MATCH($I1114,Материалы!$A$2:$A$9000,0))*(1+IFERROR(INDEX(Работы!$I$2:$I$6000,MATCH($C1114,Работы!$A$2:$A$6000,0))/100,0))*(1-ДисконтТендер),0))</f>
        <v>0</v>
      </c>
      <c r="N1114" s="10">
        <f t="shared" si="51"/>
        <v>0</v>
      </c>
      <c r="O1114" s="10">
        <f t="shared" si="52"/>
        <v>0</v>
      </c>
      <c r="P1114" s="10">
        <f t="shared" si="53"/>
        <v>0</v>
      </c>
      <c r="Q1114" t="str">
        <f>IFERROR(INDEX(Работы!$J$2:$J$6000,MATCH($C1114,Работы!$A$2:$A$6000,0)),"")</f>
        <v/>
      </c>
      <c r="R1114" t="s">
        <v>92</v>
      </c>
      <c r="T1114" t="str">
        <f>IF(AND($P1114&gt;0,$R1114="да"),MAX($T$1:$T1113)+1,"")</f>
        <v/>
      </c>
    </row>
    <row r="1115" spans="1:20" x14ac:dyDescent="0.3">
      <c r="A1115" s="11" t="str">
        <f>IFERROR(INDEX(Работы!$D$2:$D$6000,MATCH($C1115,Работы!$A$2:$A$6000,0)),"")</f>
        <v/>
      </c>
      <c r="B1115" t="str">
        <f>IFERROR(INDEX(Работы!$F$2:$F$6000,MATCH($C1115,Работы!$A$2:$A$6000,0)),"")</f>
        <v/>
      </c>
      <c r="C1115">
        <f>IFERROR(INDEX(Работы!$A$2:$A$6000,1114),"")</f>
        <v>0</v>
      </c>
      <c r="D1115" s="8" t="str">
        <f>IFERROR(INDEX(Работы!$B$2:$B$6000,MATCH($C1115,Работы!$A$2:$A$6000,0)),"")</f>
        <v/>
      </c>
      <c r="E1115" t="str">
        <f>IFERROR(INDEX(Работы!$C$2:$C$6000,MATCH($C1115,Работы!$A$2:$A$6000,0)),"")</f>
        <v/>
      </c>
      <c r="F1115" t="str">
        <f>IFERROR(INDEX(Работы!$G$2:$G$6000,MATCH($C1115,Работы!$A$2:$A$6000,0)),"")</f>
        <v/>
      </c>
      <c r="G1115" t="str">
        <f>IFERROR(INDEX(Работы!$K$2:$K$6000,MATCH($C1115,Работы!$A$2:$A$6000,0)),"")</f>
        <v/>
      </c>
      <c r="H1115" s="9"/>
      <c r="I1115" s="9"/>
      <c r="J1115" s="8" t="str">
        <f>IFERROR(INDEX(Материалы!$B$2:$B$9000,MATCH($I1115,Материалы!$A$2:$A$9000,0)),"")</f>
        <v/>
      </c>
      <c r="K1115" t="str">
        <f>IF($I1115="","",IF($F1115=IFERROR(INDEX(Материалы!$G$2:$G$9000,MATCH($I1115,Материалы!$A$2:$A$9000,0)),""),"OK","!! не та группа"))</f>
        <v/>
      </c>
      <c r="L1115" s="10">
        <f>IFERROR(INDEX(Работы!$H$2:$H$6000,MATCH($C1115,Работы!$A$2:$A$6000,0))*(1-ДисконтТендер),0)</f>
        <v>0</v>
      </c>
      <c r="M1115" s="10">
        <f>IF($I1115="",0,IFERROR(INDEX(Материалы!$I$2:$I$9000,MATCH($I1115,Материалы!$A$2:$A$9000,0))*IF(INDEX(Материалы!$J$2:$J$9000,MATCH($I1115,Материалы!$A$2:$A$9000,0))="USD",КурсUSD,IF(INDEX(Материалы!$J$2:$J$9000,MATCH($I1115,Материалы!$A$2:$A$9000,0))="EUR",КурсEUR,1))*INDEX(Материалы!$K$2:$K$9000,MATCH($I1115,Материалы!$A$2:$A$9000,0))*(1+IFERROR(INDEX(Работы!$I$2:$I$6000,MATCH($C1115,Работы!$A$2:$A$6000,0))/100,0))*(1-ДисконтТендер),0))</f>
        <v>0</v>
      </c>
      <c r="N1115" s="10">
        <f t="shared" si="51"/>
        <v>0</v>
      </c>
      <c r="O1115" s="10">
        <f t="shared" si="52"/>
        <v>0</v>
      </c>
      <c r="P1115" s="10">
        <f t="shared" si="53"/>
        <v>0</v>
      </c>
      <c r="Q1115" t="str">
        <f>IFERROR(INDEX(Работы!$J$2:$J$6000,MATCH($C1115,Работы!$A$2:$A$6000,0)),"")</f>
        <v/>
      </c>
      <c r="R1115" t="s">
        <v>92</v>
      </c>
      <c r="T1115" t="str">
        <f>IF(AND($P1115&gt;0,$R1115="да"),MAX($T$1:$T1114)+1,"")</f>
        <v/>
      </c>
    </row>
    <row r="1116" spans="1:20" x14ac:dyDescent="0.3">
      <c r="A1116" s="11" t="str">
        <f>IFERROR(INDEX(Работы!$D$2:$D$6000,MATCH($C1116,Работы!$A$2:$A$6000,0)),"")</f>
        <v/>
      </c>
      <c r="B1116" t="str">
        <f>IFERROR(INDEX(Работы!$F$2:$F$6000,MATCH($C1116,Работы!$A$2:$A$6000,0)),"")</f>
        <v/>
      </c>
      <c r="C1116">
        <f>IFERROR(INDEX(Работы!$A$2:$A$6000,1115),"")</f>
        <v>0</v>
      </c>
      <c r="D1116" s="8" t="str">
        <f>IFERROR(INDEX(Работы!$B$2:$B$6000,MATCH($C1116,Работы!$A$2:$A$6000,0)),"")</f>
        <v/>
      </c>
      <c r="E1116" t="str">
        <f>IFERROR(INDEX(Работы!$C$2:$C$6000,MATCH($C1116,Работы!$A$2:$A$6000,0)),"")</f>
        <v/>
      </c>
      <c r="F1116" t="str">
        <f>IFERROR(INDEX(Работы!$G$2:$G$6000,MATCH($C1116,Работы!$A$2:$A$6000,0)),"")</f>
        <v/>
      </c>
      <c r="G1116" t="str">
        <f>IFERROR(INDEX(Работы!$K$2:$K$6000,MATCH($C1116,Работы!$A$2:$A$6000,0)),"")</f>
        <v/>
      </c>
      <c r="H1116" s="9"/>
      <c r="I1116" s="9"/>
      <c r="J1116" s="8" t="str">
        <f>IFERROR(INDEX(Материалы!$B$2:$B$9000,MATCH($I1116,Материалы!$A$2:$A$9000,0)),"")</f>
        <v/>
      </c>
      <c r="K1116" t="str">
        <f>IF($I1116="","",IF($F1116=IFERROR(INDEX(Материалы!$G$2:$G$9000,MATCH($I1116,Материалы!$A$2:$A$9000,0)),""),"OK","!! не та группа"))</f>
        <v/>
      </c>
      <c r="L1116" s="10">
        <f>IFERROR(INDEX(Работы!$H$2:$H$6000,MATCH($C1116,Работы!$A$2:$A$6000,0))*(1-ДисконтТендер),0)</f>
        <v>0</v>
      </c>
      <c r="M1116" s="10">
        <f>IF($I1116="",0,IFERROR(INDEX(Материалы!$I$2:$I$9000,MATCH($I1116,Материалы!$A$2:$A$9000,0))*IF(INDEX(Материалы!$J$2:$J$9000,MATCH($I1116,Материалы!$A$2:$A$9000,0))="USD",КурсUSD,IF(INDEX(Материалы!$J$2:$J$9000,MATCH($I1116,Материалы!$A$2:$A$9000,0))="EUR",КурсEUR,1))*INDEX(Материалы!$K$2:$K$9000,MATCH($I1116,Материалы!$A$2:$A$9000,0))*(1+IFERROR(INDEX(Работы!$I$2:$I$6000,MATCH($C1116,Работы!$A$2:$A$6000,0))/100,0))*(1-ДисконтТендер),0))</f>
        <v>0</v>
      </c>
      <c r="N1116" s="10">
        <f t="shared" si="51"/>
        <v>0</v>
      </c>
      <c r="O1116" s="10">
        <f t="shared" si="52"/>
        <v>0</v>
      </c>
      <c r="P1116" s="10">
        <f t="shared" si="53"/>
        <v>0</v>
      </c>
      <c r="Q1116" t="str">
        <f>IFERROR(INDEX(Работы!$J$2:$J$6000,MATCH($C1116,Работы!$A$2:$A$6000,0)),"")</f>
        <v/>
      </c>
      <c r="R1116" t="s">
        <v>92</v>
      </c>
      <c r="T1116" t="str">
        <f>IF(AND($P1116&gt;0,$R1116="да"),MAX($T$1:$T1115)+1,"")</f>
        <v/>
      </c>
    </row>
    <row r="1117" spans="1:20" x14ac:dyDescent="0.3">
      <c r="A1117" s="11" t="str">
        <f>IFERROR(INDEX(Работы!$D$2:$D$6000,MATCH($C1117,Работы!$A$2:$A$6000,0)),"")</f>
        <v/>
      </c>
      <c r="B1117" t="str">
        <f>IFERROR(INDEX(Работы!$F$2:$F$6000,MATCH($C1117,Работы!$A$2:$A$6000,0)),"")</f>
        <v/>
      </c>
      <c r="C1117">
        <f>IFERROR(INDEX(Работы!$A$2:$A$6000,1116),"")</f>
        <v>0</v>
      </c>
      <c r="D1117" s="8" t="str">
        <f>IFERROR(INDEX(Работы!$B$2:$B$6000,MATCH($C1117,Работы!$A$2:$A$6000,0)),"")</f>
        <v/>
      </c>
      <c r="E1117" t="str">
        <f>IFERROR(INDEX(Работы!$C$2:$C$6000,MATCH($C1117,Работы!$A$2:$A$6000,0)),"")</f>
        <v/>
      </c>
      <c r="F1117" t="str">
        <f>IFERROR(INDEX(Работы!$G$2:$G$6000,MATCH($C1117,Работы!$A$2:$A$6000,0)),"")</f>
        <v/>
      </c>
      <c r="G1117" t="str">
        <f>IFERROR(INDEX(Работы!$K$2:$K$6000,MATCH($C1117,Работы!$A$2:$A$6000,0)),"")</f>
        <v/>
      </c>
      <c r="H1117" s="9"/>
      <c r="I1117" s="9"/>
      <c r="J1117" s="8" t="str">
        <f>IFERROR(INDEX(Материалы!$B$2:$B$9000,MATCH($I1117,Материалы!$A$2:$A$9000,0)),"")</f>
        <v/>
      </c>
      <c r="K1117" t="str">
        <f>IF($I1117="","",IF($F1117=IFERROR(INDEX(Материалы!$G$2:$G$9000,MATCH($I1117,Материалы!$A$2:$A$9000,0)),""),"OK","!! не та группа"))</f>
        <v/>
      </c>
      <c r="L1117" s="10">
        <f>IFERROR(INDEX(Работы!$H$2:$H$6000,MATCH($C1117,Работы!$A$2:$A$6000,0))*(1-ДисконтТендер),0)</f>
        <v>0</v>
      </c>
      <c r="M1117" s="10">
        <f>IF($I1117="",0,IFERROR(INDEX(Материалы!$I$2:$I$9000,MATCH($I1117,Материалы!$A$2:$A$9000,0))*IF(INDEX(Материалы!$J$2:$J$9000,MATCH($I1117,Материалы!$A$2:$A$9000,0))="USD",КурсUSD,IF(INDEX(Материалы!$J$2:$J$9000,MATCH($I1117,Материалы!$A$2:$A$9000,0))="EUR",КурсEUR,1))*INDEX(Материалы!$K$2:$K$9000,MATCH($I1117,Материалы!$A$2:$A$9000,0))*(1+IFERROR(INDEX(Работы!$I$2:$I$6000,MATCH($C1117,Работы!$A$2:$A$6000,0))/100,0))*(1-ДисконтТендер),0))</f>
        <v>0</v>
      </c>
      <c r="N1117" s="10">
        <f t="shared" si="51"/>
        <v>0</v>
      </c>
      <c r="O1117" s="10">
        <f t="shared" si="52"/>
        <v>0</v>
      </c>
      <c r="P1117" s="10">
        <f t="shared" si="53"/>
        <v>0</v>
      </c>
      <c r="Q1117" t="str">
        <f>IFERROR(INDEX(Работы!$J$2:$J$6000,MATCH($C1117,Работы!$A$2:$A$6000,0)),"")</f>
        <v/>
      </c>
      <c r="R1117" t="s">
        <v>92</v>
      </c>
      <c r="T1117" t="str">
        <f>IF(AND($P1117&gt;0,$R1117="да"),MAX($T$1:$T1116)+1,"")</f>
        <v/>
      </c>
    </row>
    <row r="1118" spans="1:20" x14ac:dyDescent="0.3">
      <c r="A1118" s="11" t="str">
        <f>IFERROR(INDEX(Работы!$D$2:$D$6000,MATCH($C1118,Работы!$A$2:$A$6000,0)),"")</f>
        <v/>
      </c>
      <c r="B1118" t="str">
        <f>IFERROR(INDEX(Работы!$F$2:$F$6000,MATCH($C1118,Работы!$A$2:$A$6000,0)),"")</f>
        <v/>
      </c>
      <c r="C1118">
        <f>IFERROR(INDEX(Работы!$A$2:$A$6000,1117),"")</f>
        <v>0</v>
      </c>
      <c r="D1118" s="8" t="str">
        <f>IFERROR(INDEX(Работы!$B$2:$B$6000,MATCH($C1118,Работы!$A$2:$A$6000,0)),"")</f>
        <v/>
      </c>
      <c r="E1118" t="str">
        <f>IFERROR(INDEX(Работы!$C$2:$C$6000,MATCH($C1118,Работы!$A$2:$A$6000,0)),"")</f>
        <v/>
      </c>
      <c r="F1118" t="str">
        <f>IFERROR(INDEX(Работы!$G$2:$G$6000,MATCH($C1118,Работы!$A$2:$A$6000,0)),"")</f>
        <v/>
      </c>
      <c r="G1118" t="str">
        <f>IFERROR(INDEX(Работы!$K$2:$K$6000,MATCH($C1118,Работы!$A$2:$A$6000,0)),"")</f>
        <v/>
      </c>
      <c r="H1118" s="9"/>
      <c r="I1118" s="9"/>
      <c r="J1118" s="8" t="str">
        <f>IFERROR(INDEX(Материалы!$B$2:$B$9000,MATCH($I1118,Материалы!$A$2:$A$9000,0)),"")</f>
        <v/>
      </c>
      <c r="K1118" t="str">
        <f>IF($I1118="","",IF($F1118=IFERROR(INDEX(Материалы!$G$2:$G$9000,MATCH($I1118,Материалы!$A$2:$A$9000,0)),""),"OK","!! не та группа"))</f>
        <v/>
      </c>
      <c r="L1118" s="10">
        <f>IFERROR(INDEX(Работы!$H$2:$H$6000,MATCH($C1118,Работы!$A$2:$A$6000,0))*(1-ДисконтТендер),0)</f>
        <v>0</v>
      </c>
      <c r="M1118" s="10">
        <f>IF($I1118="",0,IFERROR(INDEX(Материалы!$I$2:$I$9000,MATCH($I1118,Материалы!$A$2:$A$9000,0))*IF(INDEX(Материалы!$J$2:$J$9000,MATCH($I1118,Материалы!$A$2:$A$9000,0))="USD",КурсUSD,IF(INDEX(Материалы!$J$2:$J$9000,MATCH($I1118,Материалы!$A$2:$A$9000,0))="EUR",КурсEUR,1))*INDEX(Материалы!$K$2:$K$9000,MATCH($I1118,Материалы!$A$2:$A$9000,0))*(1+IFERROR(INDEX(Работы!$I$2:$I$6000,MATCH($C1118,Работы!$A$2:$A$6000,0))/100,0))*(1-ДисконтТендер),0))</f>
        <v>0</v>
      </c>
      <c r="N1118" s="10">
        <f t="shared" si="51"/>
        <v>0</v>
      </c>
      <c r="O1118" s="10">
        <f t="shared" si="52"/>
        <v>0</v>
      </c>
      <c r="P1118" s="10">
        <f t="shared" si="53"/>
        <v>0</v>
      </c>
      <c r="Q1118" t="str">
        <f>IFERROR(INDEX(Работы!$J$2:$J$6000,MATCH($C1118,Работы!$A$2:$A$6000,0)),"")</f>
        <v/>
      </c>
      <c r="R1118" t="s">
        <v>92</v>
      </c>
      <c r="T1118" t="str">
        <f>IF(AND($P1118&gt;0,$R1118="да"),MAX($T$1:$T1117)+1,"")</f>
        <v/>
      </c>
    </row>
    <row r="1119" spans="1:20" x14ac:dyDescent="0.3">
      <c r="A1119" s="11" t="str">
        <f>IFERROR(INDEX(Работы!$D$2:$D$6000,MATCH($C1119,Работы!$A$2:$A$6000,0)),"")</f>
        <v/>
      </c>
      <c r="B1119" t="str">
        <f>IFERROR(INDEX(Работы!$F$2:$F$6000,MATCH($C1119,Работы!$A$2:$A$6000,0)),"")</f>
        <v/>
      </c>
      <c r="C1119">
        <f>IFERROR(INDEX(Работы!$A$2:$A$6000,1118),"")</f>
        <v>0</v>
      </c>
      <c r="D1119" s="8" t="str">
        <f>IFERROR(INDEX(Работы!$B$2:$B$6000,MATCH($C1119,Работы!$A$2:$A$6000,0)),"")</f>
        <v/>
      </c>
      <c r="E1119" t="str">
        <f>IFERROR(INDEX(Работы!$C$2:$C$6000,MATCH($C1119,Работы!$A$2:$A$6000,0)),"")</f>
        <v/>
      </c>
      <c r="F1119" t="str">
        <f>IFERROR(INDEX(Работы!$G$2:$G$6000,MATCH($C1119,Работы!$A$2:$A$6000,0)),"")</f>
        <v/>
      </c>
      <c r="G1119" t="str">
        <f>IFERROR(INDEX(Работы!$K$2:$K$6000,MATCH($C1119,Работы!$A$2:$A$6000,0)),"")</f>
        <v/>
      </c>
      <c r="H1119" s="9"/>
      <c r="I1119" s="9"/>
      <c r="J1119" s="8" t="str">
        <f>IFERROR(INDEX(Материалы!$B$2:$B$9000,MATCH($I1119,Материалы!$A$2:$A$9000,0)),"")</f>
        <v/>
      </c>
      <c r="K1119" t="str">
        <f>IF($I1119="","",IF($F1119=IFERROR(INDEX(Материалы!$G$2:$G$9000,MATCH($I1119,Материалы!$A$2:$A$9000,0)),""),"OK","!! не та группа"))</f>
        <v/>
      </c>
      <c r="L1119" s="10">
        <f>IFERROR(INDEX(Работы!$H$2:$H$6000,MATCH($C1119,Работы!$A$2:$A$6000,0))*(1-ДисконтТендер),0)</f>
        <v>0</v>
      </c>
      <c r="M1119" s="10">
        <f>IF($I1119="",0,IFERROR(INDEX(Материалы!$I$2:$I$9000,MATCH($I1119,Материалы!$A$2:$A$9000,0))*IF(INDEX(Материалы!$J$2:$J$9000,MATCH($I1119,Материалы!$A$2:$A$9000,0))="USD",КурсUSD,IF(INDEX(Материалы!$J$2:$J$9000,MATCH($I1119,Материалы!$A$2:$A$9000,0))="EUR",КурсEUR,1))*INDEX(Материалы!$K$2:$K$9000,MATCH($I1119,Материалы!$A$2:$A$9000,0))*(1+IFERROR(INDEX(Работы!$I$2:$I$6000,MATCH($C1119,Работы!$A$2:$A$6000,0))/100,0))*(1-ДисконтТендер),0))</f>
        <v>0</v>
      </c>
      <c r="N1119" s="10">
        <f t="shared" si="51"/>
        <v>0</v>
      </c>
      <c r="O1119" s="10">
        <f t="shared" si="52"/>
        <v>0</v>
      </c>
      <c r="P1119" s="10">
        <f t="shared" si="53"/>
        <v>0</v>
      </c>
      <c r="Q1119" t="str">
        <f>IFERROR(INDEX(Работы!$J$2:$J$6000,MATCH($C1119,Работы!$A$2:$A$6000,0)),"")</f>
        <v/>
      </c>
      <c r="R1119" t="s">
        <v>92</v>
      </c>
      <c r="T1119" t="str">
        <f>IF(AND($P1119&gt;0,$R1119="да"),MAX($T$1:$T1118)+1,"")</f>
        <v/>
      </c>
    </row>
    <row r="1120" spans="1:20" x14ac:dyDescent="0.3">
      <c r="A1120" s="11" t="str">
        <f>IFERROR(INDEX(Работы!$D$2:$D$6000,MATCH($C1120,Работы!$A$2:$A$6000,0)),"")</f>
        <v/>
      </c>
      <c r="B1120" t="str">
        <f>IFERROR(INDEX(Работы!$F$2:$F$6000,MATCH($C1120,Работы!$A$2:$A$6000,0)),"")</f>
        <v/>
      </c>
      <c r="C1120">
        <f>IFERROR(INDEX(Работы!$A$2:$A$6000,1119),"")</f>
        <v>0</v>
      </c>
      <c r="D1120" s="8" t="str">
        <f>IFERROR(INDEX(Работы!$B$2:$B$6000,MATCH($C1120,Работы!$A$2:$A$6000,0)),"")</f>
        <v/>
      </c>
      <c r="E1120" t="str">
        <f>IFERROR(INDEX(Работы!$C$2:$C$6000,MATCH($C1120,Работы!$A$2:$A$6000,0)),"")</f>
        <v/>
      </c>
      <c r="F1120" t="str">
        <f>IFERROR(INDEX(Работы!$G$2:$G$6000,MATCH($C1120,Работы!$A$2:$A$6000,0)),"")</f>
        <v/>
      </c>
      <c r="G1120" t="str">
        <f>IFERROR(INDEX(Работы!$K$2:$K$6000,MATCH($C1120,Работы!$A$2:$A$6000,0)),"")</f>
        <v/>
      </c>
      <c r="H1120" s="9"/>
      <c r="I1120" s="9"/>
      <c r="J1120" s="8" t="str">
        <f>IFERROR(INDEX(Материалы!$B$2:$B$9000,MATCH($I1120,Материалы!$A$2:$A$9000,0)),"")</f>
        <v/>
      </c>
      <c r="K1120" t="str">
        <f>IF($I1120="","",IF($F1120=IFERROR(INDEX(Материалы!$G$2:$G$9000,MATCH($I1120,Материалы!$A$2:$A$9000,0)),""),"OK","!! не та группа"))</f>
        <v/>
      </c>
      <c r="L1120" s="10">
        <f>IFERROR(INDEX(Работы!$H$2:$H$6000,MATCH($C1120,Работы!$A$2:$A$6000,0))*(1-ДисконтТендер),0)</f>
        <v>0</v>
      </c>
      <c r="M1120" s="10">
        <f>IF($I1120="",0,IFERROR(INDEX(Материалы!$I$2:$I$9000,MATCH($I1120,Материалы!$A$2:$A$9000,0))*IF(INDEX(Материалы!$J$2:$J$9000,MATCH($I1120,Материалы!$A$2:$A$9000,0))="USD",КурсUSD,IF(INDEX(Материалы!$J$2:$J$9000,MATCH($I1120,Материалы!$A$2:$A$9000,0))="EUR",КурсEUR,1))*INDEX(Материалы!$K$2:$K$9000,MATCH($I1120,Материалы!$A$2:$A$9000,0))*(1+IFERROR(INDEX(Работы!$I$2:$I$6000,MATCH($C1120,Работы!$A$2:$A$6000,0))/100,0))*(1-ДисконтТендер),0))</f>
        <v>0</v>
      </c>
      <c r="N1120" s="10">
        <f t="shared" si="51"/>
        <v>0</v>
      </c>
      <c r="O1120" s="10">
        <f t="shared" si="52"/>
        <v>0</v>
      </c>
      <c r="P1120" s="10">
        <f t="shared" si="53"/>
        <v>0</v>
      </c>
      <c r="Q1120" t="str">
        <f>IFERROR(INDEX(Работы!$J$2:$J$6000,MATCH($C1120,Работы!$A$2:$A$6000,0)),"")</f>
        <v/>
      </c>
      <c r="R1120" t="s">
        <v>92</v>
      </c>
      <c r="T1120" t="str">
        <f>IF(AND($P1120&gt;0,$R1120="да"),MAX($T$1:$T1119)+1,"")</f>
        <v/>
      </c>
    </row>
    <row r="1121" spans="1:20" x14ac:dyDescent="0.3">
      <c r="A1121" s="11" t="str">
        <f>IFERROR(INDEX(Работы!$D$2:$D$6000,MATCH($C1121,Работы!$A$2:$A$6000,0)),"")</f>
        <v/>
      </c>
      <c r="B1121" t="str">
        <f>IFERROR(INDEX(Работы!$F$2:$F$6000,MATCH($C1121,Работы!$A$2:$A$6000,0)),"")</f>
        <v/>
      </c>
      <c r="C1121">
        <f>IFERROR(INDEX(Работы!$A$2:$A$6000,1120),"")</f>
        <v>0</v>
      </c>
      <c r="D1121" s="8" t="str">
        <f>IFERROR(INDEX(Работы!$B$2:$B$6000,MATCH($C1121,Работы!$A$2:$A$6000,0)),"")</f>
        <v/>
      </c>
      <c r="E1121" t="str">
        <f>IFERROR(INDEX(Работы!$C$2:$C$6000,MATCH($C1121,Работы!$A$2:$A$6000,0)),"")</f>
        <v/>
      </c>
      <c r="F1121" t="str">
        <f>IFERROR(INDEX(Работы!$G$2:$G$6000,MATCH($C1121,Работы!$A$2:$A$6000,0)),"")</f>
        <v/>
      </c>
      <c r="G1121" t="str">
        <f>IFERROR(INDEX(Работы!$K$2:$K$6000,MATCH($C1121,Работы!$A$2:$A$6000,0)),"")</f>
        <v/>
      </c>
      <c r="H1121" s="9"/>
      <c r="I1121" s="9"/>
      <c r="J1121" s="8" t="str">
        <f>IFERROR(INDEX(Материалы!$B$2:$B$9000,MATCH($I1121,Материалы!$A$2:$A$9000,0)),"")</f>
        <v/>
      </c>
      <c r="K1121" t="str">
        <f>IF($I1121="","",IF($F1121=IFERROR(INDEX(Материалы!$G$2:$G$9000,MATCH($I1121,Материалы!$A$2:$A$9000,0)),""),"OK","!! не та группа"))</f>
        <v/>
      </c>
      <c r="L1121" s="10">
        <f>IFERROR(INDEX(Работы!$H$2:$H$6000,MATCH($C1121,Работы!$A$2:$A$6000,0))*(1-ДисконтТендер),0)</f>
        <v>0</v>
      </c>
      <c r="M1121" s="10">
        <f>IF($I1121="",0,IFERROR(INDEX(Материалы!$I$2:$I$9000,MATCH($I1121,Материалы!$A$2:$A$9000,0))*IF(INDEX(Материалы!$J$2:$J$9000,MATCH($I1121,Материалы!$A$2:$A$9000,0))="USD",КурсUSD,IF(INDEX(Материалы!$J$2:$J$9000,MATCH($I1121,Материалы!$A$2:$A$9000,0))="EUR",КурсEUR,1))*INDEX(Материалы!$K$2:$K$9000,MATCH($I1121,Материалы!$A$2:$A$9000,0))*(1+IFERROR(INDEX(Работы!$I$2:$I$6000,MATCH($C1121,Работы!$A$2:$A$6000,0))/100,0))*(1-ДисконтТендер),0))</f>
        <v>0</v>
      </c>
      <c r="N1121" s="10">
        <f t="shared" si="51"/>
        <v>0</v>
      </c>
      <c r="O1121" s="10">
        <f t="shared" si="52"/>
        <v>0</v>
      </c>
      <c r="P1121" s="10">
        <f t="shared" si="53"/>
        <v>0</v>
      </c>
      <c r="Q1121" t="str">
        <f>IFERROR(INDEX(Работы!$J$2:$J$6000,MATCH($C1121,Работы!$A$2:$A$6000,0)),"")</f>
        <v/>
      </c>
      <c r="R1121" t="s">
        <v>92</v>
      </c>
      <c r="T1121" t="str">
        <f>IF(AND($P1121&gt;0,$R1121="да"),MAX($T$1:$T1120)+1,"")</f>
        <v/>
      </c>
    </row>
    <row r="1122" spans="1:20" x14ac:dyDescent="0.3">
      <c r="A1122" s="11" t="str">
        <f>IFERROR(INDEX(Работы!$D$2:$D$6000,MATCH($C1122,Работы!$A$2:$A$6000,0)),"")</f>
        <v/>
      </c>
      <c r="B1122" t="str">
        <f>IFERROR(INDEX(Работы!$F$2:$F$6000,MATCH($C1122,Работы!$A$2:$A$6000,0)),"")</f>
        <v/>
      </c>
      <c r="C1122">
        <f>IFERROR(INDEX(Работы!$A$2:$A$6000,1121),"")</f>
        <v>0</v>
      </c>
      <c r="D1122" s="8" t="str">
        <f>IFERROR(INDEX(Работы!$B$2:$B$6000,MATCH($C1122,Работы!$A$2:$A$6000,0)),"")</f>
        <v/>
      </c>
      <c r="E1122" t="str">
        <f>IFERROR(INDEX(Работы!$C$2:$C$6000,MATCH($C1122,Работы!$A$2:$A$6000,0)),"")</f>
        <v/>
      </c>
      <c r="F1122" t="str">
        <f>IFERROR(INDEX(Работы!$G$2:$G$6000,MATCH($C1122,Работы!$A$2:$A$6000,0)),"")</f>
        <v/>
      </c>
      <c r="G1122" t="str">
        <f>IFERROR(INDEX(Работы!$K$2:$K$6000,MATCH($C1122,Работы!$A$2:$A$6000,0)),"")</f>
        <v/>
      </c>
      <c r="H1122" s="9"/>
      <c r="I1122" s="9"/>
      <c r="J1122" s="8" t="str">
        <f>IFERROR(INDEX(Материалы!$B$2:$B$9000,MATCH($I1122,Материалы!$A$2:$A$9000,0)),"")</f>
        <v/>
      </c>
      <c r="K1122" t="str">
        <f>IF($I1122="","",IF($F1122=IFERROR(INDEX(Материалы!$G$2:$G$9000,MATCH($I1122,Материалы!$A$2:$A$9000,0)),""),"OK","!! не та группа"))</f>
        <v/>
      </c>
      <c r="L1122" s="10">
        <f>IFERROR(INDEX(Работы!$H$2:$H$6000,MATCH($C1122,Работы!$A$2:$A$6000,0))*(1-ДисконтТендер),0)</f>
        <v>0</v>
      </c>
      <c r="M1122" s="10">
        <f>IF($I1122="",0,IFERROR(INDEX(Материалы!$I$2:$I$9000,MATCH($I1122,Материалы!$A$2:$A$9000,0))*IF(INDEX(Материалы!$J$2:$J$9000,MATCH($I1122,Материалы!$A$2:$A$9000,0))="USD",КурсUSD,IF(INDEX(Материалы!$J$2:$J$9000,MATCH($I1122,Материалы!$A$2:$A$9000,0))="EUR",КурсEUR,1))*INDEX(Материалы!$K$2:$K$9000,MATCH($I1122,Материалы!$A$2:$A$9000,0))*(1+IFERROR(INDEX(Работы!$I$2:$I$6000,MATCH($C1122,Работы!$A$2:$A$6000,0))/100,0))*(1-ДисконтТендер),0))</f>
        <v>0</v>
      </c>
      <c r="N1122" s="10">
        <f t="shared" si="51"/>
        <v>0</v>
      </c>
      <c r="O1122" s="10">
        <f t="shared" si="52"/>
        <v>0</v>
      </c>
      <c r="P1122" s="10">
        <f t="shared" si="53"/>
        <v>0</v>
      </c>
      <c r="Q1122" t="str">
        <f>IFERROR(INDEX(Работы!$J$2:$J$6000,MATCH($C1122,Работы!$A$2:$A$6000,0)),"")</f>
        <v/>
      </c>
      <c r="R1122" t="s">
        <v>92</v>
      </c>
      <c r="T1122" t="str">
        <f>IF(AND($P1122&gt;0,$R1122="да"),MAX($T$1:$T1121)+1,"")</f>
        <v/>
      </c>
    </row>
    <row r="1123" spans="1:20" x14ac:dyDescent="0.3">
      <c r="A1123" s="11" t="str">
        <f>IFERROR(INDEX(Работы!$D$2:$D$6000,MATCH($C1123,Работы!$A$2:$A$6000,0)),"")</f>
        <v/>
      </c>
      <c r="B1123" t="str">
        <f>IFERROR(INDEX(Работы!$F$2:$F$6000,MATCH($C1123,Работы!$A$2:$A$6000,0)),"")</f>
        <v/>
      </c>
      <c r="C1123">
        <f>IFERROR(INDEX(Работы!$A$2:$A$6000,1122),"")</f>
        <v>0</v>
      </c>
      <c r="D1123" s="8" t="str">
        <f>IFERROR(INDEX(Работы!$B$2:$B$6000,MATCH($C1123,Работы!$A$2:$A$6000,0)),"")</f>
        <v/>
      </c>
      <c r="E1123" t="str">
        <f>IFERROR(INDEX(Работы!$C$2:$C$6000,MATCH($C1123,Работы!$A$2:$A$6000,0)),"")</f>
        <v/>
      </c>
      <c r="F1123" t="str">
        <f>IFERROR(INDEX(Работы!$G$2:$G$6000,MATCH($C1123,Работы!$A$2:$A$6000,0)),"")</f>
        <v/>
      </c>
      <c r="G1123" t="str">
        <f>IFERROR(INDEX(Работы!$K$2:$K$6000,MATCH($C1123,Работы!$A$2:$A$6000,0)),"")</f>
        <v/>
      </c>
      <c r="H1123" s="9"/>
      <c r="I1123" s="9"/>
      <c r="J1123" s="8" t="str">
        <f>IFERROR(INDEX(Материалы!$B$2:$B$9000,MATCH($I1123,Материалы!$A$2:$A$9000,0)),"")</f>
        <v/>
      </c>
      <c r="K1123" t="str">
        <f>IF($I1123="","",IF($F1123=IFERROR(INDEX(Материалы!$G$2:$G$9000,MATCH($I1123,Материалы!$A$2:$A$9000,0)),""),"OK","!! не та группа"))</f>
        <v/>
      </c>
      <c r="L1123" s="10">
        <f>IFERROR(INDEX(Работы!$H$2:$H$6000,MATCH($C1123,Работы!$A$2:$A$6000,0))*(1-ДисконтТендер),0)</f>
        <v>0</v>
      </c>
      <c r="M1123" s="10">
        <f>IF($I1123="",0,IFERROR(INDEX(Материалы!$I$2:$I$9000,MATCH($I1123,Материалы!$A$2:$A$9000,0))*IF(INDEX(Материалы!$J$2:$J$9000,MATCH($I1123,Материалы!$A$2:$A$9000,0))="USD",КурсUSD,IF(INDEX(Материалы!$J$2:$J$9000,MATCH($I1123,Материалы!$A$2:$A$9000,0))="EUR",КурсEUR,1))*INDEX(Материалы!$K$2:$K$9000,MATCH($I1123,Материалы!$A$2:$A$9000,0))*(1+IFERROR(INDEX(Работы!$I$2:$I$6000,MATCH($C1123,Работы!$A$2:$A$6000,0))/100,0))*(1-ДисконтТендер),0))</f>
        <v>0</v>
      </c>
      <c r="N1123" s="10">
        <f t="shared" si="51"/>
        <v>0</v>
      </c>
      <c r="O1123" s="10">
        <f t="shared" si="52"/>
        <v>0</v>
      </c>
      <c r="P1123" s="10">
        <f t="shared" si="53"/>
        <v>0</v>
      </c>
      <c r="Q1123" t="str">
        <f>IFERROR(INDEX(Работы!$J$2:$J$6000,MATCH($C1123,Работы!$A$2:$A$6000,0)),"")</f>
        <v/>
      </c>
      <c r="R1123" t="s">
        <v>92</v>
      </c>
      <c r="T1123" t="str">
        <f>IF(AND($P1123&gt;0,$R1123="да"),MAX($T$1:$T1122)+1,"")</f>
        <v/>
      </c>
    </row>
    <row r="1124" spans="1:20" x14ac:dyDescent="0.3">
      <c r="A1124" s="11" t="str">
        <f>IFERROR(INDEX(Работы!$D$2:$D$6000,MATCH($C1124,Работы!$A$2:$A$6000,0)),"")</f>
        <v/>
      </c>
      <c r="B1124" t="str">
        <f>IFERROR(INDEX(Работы!$F$2:$F$6000,MATCH($C1124,Работы!$A$2:$A$6000,0)),"")</f>
        <v/>
      </c>
      <c r="C1124">
        <f>IFERROR(INDEX(Работы!$A$2:$A$6000,1123),"")</f>
        <v>0</v>
      </c>
      <c r="D1124" s="8" t="str">
        <f>IFERROR(INDEX(Работы!$B$2:$B$6000,MATCH($C1124,Работы!$A$2:$A$6000,0)),"")</f>
        <v/>
      </c>
      <c r="E1124" t="str">
        <f>IFERROR(INDEX(Работы!$C$2:$C$6000,MATCH($C1124,Работы!$A$2:$A$6000,0)),"")</f>
        <v/>
      </c>
      <c r="F1124" t="str">
        <f>IFERROR(INDEX(Работы!$G$2:$G$6000,MATCH($C1124,Работы!$A$2:$A$6000,0)),"")</f>
        <v/>
      </c>
      <c r="G1124" t="str">
        <f>IFERROR(INDEX(Работы!$K$2:$K$6000,MATCH($C1124,Работы!$A$2:$A$6000,0)),"")</f>
        <v/>
      </c>
      <c r="H1124" s="9"/>
      <c r="I1124" s="9"/>
      <c r="J1124" s="8" t="str">
        <f>IFERROR(INDEX(Материалы!$B$2:$B$9000,MATCH($I1124,Материалы!$A$2:$A$9000,0)),"")</f>
        <v/>
      </c>
      <c r="K1124" t="str">
        <f>IF($I1124="","",IF($F1124=IFERROR(INDEX(Материалы!$G$2:$G$9000,MATCH($I1124,Материалы!$A$2:$A$9000,0)),""),"OK","!! не та группа"))</f>
        <v/>
      </c>
      <c r="L1124" s="10">
        <f>IFERROR(INDEX(Работы!$H$2:$H$6000,MATCH($C1124,Работы!$A$2:$A$6000,0))*(1-ДисконтТендер),0)</f>
        <v>0</v>
      </c>
      <c r="M1124" s="10">
        <f>IF($I1124="",0,IFERROR(INDEX(Материалы!$I$2:$I$9000,MATCH($I1124,Материалы!$A$2:$A$9000,0))*IF(INDEX(Материалы!$J$2:$J$9000,MATCH($I1124,Материалы!$A$2:$A$9000,0))="USD",КурсUSD,IF(INDEX(Материалы!$J$2:$J$9000,MATCH($I1124,Материалы!$A$2:$A$9000,0))="EUR",КурсEUR,1))*INDEX(Материалы!$K$2:$K$9000,MATCH($I1124,Материалы!$A$2:$A$9000,0))*(1+IFERROR(INDEX(Работы!$I$2:$I$6000,MATCH($C1124,Работы!$A$2:$A$6000,0))/100,0))*(1-ДисконтТендер),0))</f>
        <v>0</v>
      </c>
      <c r="N1124" s="10">
        <f t="shared" si="51"/>
        <v>0</v>
      </c>
      <c r="O1124" s="10">
        <f t="shared" si="52"/>
        <v>0</v>
      </c>
      <c r="P1124" s="10">
        <f t="shared" si="53"/>
        <v>0</v>
      </c>
      <c r="Q1124" t="str">
        <f>IFERROR(INDEX(Работы!$J$2:$J$6000,MATCH($C1124,Работы!$A$2:$A$6000,0)),"")</f>
        <v/>
      </c>
      <c r="R1124" t="s">
        <v>92</v>
      </c>
      <c r="T1124" t="str">
        <f>IF(AND($P1124&gt;0,$R1124="да"),MAX($T$1:$T1123)+1,"")</f>
        <v/>
      </c>
    </row>
    <row r="1125" spans="1:20" x14ac:dyDescent="0.3">
      <c r="A1125" s="11" t="str">
        <f>IFERROR(INDEX(Работы!$D$2:$D$6000,MATCH($C1125,Работы!$A$2:$A$6000,0)),"")</f>
        <v/>
      </c>
      <c r="B1125" t="str">
        <f>IFERROR(INDEX(Работы!$F$2:$F$6000,MATCH($C1125,Работы!$A$2:$A$6000,0)),"")</f>
        <v/>
      </c>
      <c r="C1125">
        <f>IFERROR(INDEX(Работы!$A$2:$A$6000,1124),"")</f>
        <v>0</v>
      </c>
      <c r="D1125" s="8" t="str">
        <f>IFERROR(INDEX(Работы!$B$2:$B$6000,MATCH($C1125,Работы!$A$2:$A$6000,0)),"")</f>
        <v/>
      </c>
      <c r="E1125" t="str">
        <f>IFERROR(INDEX(Работы!$C$2:$C$6000,MATCH($C1125,Работы!$A$2:$A$6000,0)),"")</f>
        <v/>
      </c>
      <c r="F1125" t="str">
        <f>IFERROR(INDEX(Работы!$G$2:$G$6000,MATCH($C1125,Работы!$A$2:$A$6000,0)),"")</f>
        <v/>
      </c>
      <c r="G1125" t="str">
        <f>IFERROR(INDEX(Работы!$K$2:$K$6000,MATCH($C1125,Работы!$A$2:$A$6000,0)),"")</f>
        <v/>
      </c>
      <c r="H1125" s="9"/>
      <c r="I1125" s="9"/>
      <c r="J1125" s="8" t="str">
        <f>IFERROR(INDEX(Материалы!$B$2:$B$9000,MATCH($I1125,Материалы!$A$2:$A$9000,0)),"")</f>
        <v/>
      </c>
      <c r="K1125" t="str">
        <f>IF($I1125="","",IF($F1125=IFERROR(INDEX(Материалы!$G$2:$G$9000,MATCH($I1125,Материалы!$A$2:$A$9000,0)),""),"OK","!! не та группа"))</f>
        <v/>
      </c>
      <c r="L1125" s="10">
        <f>IFERROR(INDEX(Работы!$H$2:$H$6000,MATCH($C1125,Работы!$A$2:$A$6000,0))*(1-ДисконтТендер),0)</f>
        <v>0</v>
      </c>
      <c r="M1125" s="10">
        <f>IF($I1125="",0,IFERROR(INDEX(Материалы!$I$2:$I$9000,MATCH($I1125,Материалы!$A$2:$A$9000,0))*IF(INDEX(Материалы!$J$2:$J$9000,MATCH($I1125,Материалы!$A$2:$A$9000,0))="USD",КурсUSD,IF(INDEX(Материалы!$J$2:$J$9000,MATCH($I1125,Материалы!$A$2:$A$9000,0))="EUR",КурсEUR,1))*INDEX(Материалы!$K$2:$K$9000,MATCH($I1125,Материалы!$A$2:$A$9000,0))*(1+IFERROR(INDEX(Работы!$I$2:$I$6000,MATCH($C1125,Работы!$A$2:$A$6000,0))/100,0))*(1-ДисконтТендер),0))</f>
        <v>0</v>
      </c>
      <c r="N1125" s="10">
        <f t="shared" si="51"/>
        <v>0</v>
      </c>
      <c r="O1125" s="10">
        <f t="shared" si="52"/>
        <v>0</v>
      </c>
      <c r="P1125" s="10">
        <f t="shared" si="53"/>
        <v>0</v>
      </c>
      <c r="Q1125" t="str">
        <f>IFERROR(INDEX(Работы!$J$2:$J$6000,MATCH($C1125,Работы!$A$2:$A$6000,0)),"")</f>
        <v/>
      </c>
      <c r="R1125" t="s">
        <v>92</v>
      </c>
      <c r="T1125" t="str">
        <f>IF(AND($P1125&gt;0,$R1125="да"),MAX($T$1:$T1124)+1,"")</f>
        <v/>
      </c>
    </row>
    <row r="1126" spans="1:20" x14ac:dyDescent="0.3">
      <c r="A1126" s="11" t="str">
        <f>IFERROR(INDEX(Работы!$D$2:$D$6000,MATCH($C1126,Работы!$A$2:$A$6000,0)),"")</f>
        <v/>
      </c>
      <c r="B1126" t="str">
        <f>IFERROR(INDEX(Работы!$F$2:$F$6000,MATCH($C1126,Работы!$A$2:$A$6000,0)),"")</f>
        <v/>
      </c>
      <c r="C1126">
        <f>IFERROR(INDEX(Работы!$A$2:$A$6000,1125),"")</f>
        <v>0</v>
      </c>
      <c r="D1126" s="8" t="str">
        <f>IFERROR(INDEX(Работы!$B$2:$B$6000,MATCH($C1126,Работы!$A$2:$A$6000,0)),"")</f>
        <v/>
      </c>
      <c r="E1126" t="str">
        <f>IFERROR(INDEX(Работы!$C$2:$C$6000,MATCH($C1126,Работы!$A$2:$A$6000,0)),"")</f>
        <v/>
      </c>
      <c r="F1126" t="str">
        <f>IFERROR(INDEX(Работы!$G$2:$G$6000,MATCH($C1126,Работы!$A$2:$A$6000,0)),"")</f>
        <v/>
      </c>
      <c r="G1126" t="str">
        <f>IFERROR(INDEX(Работы!$K$2:$K$6000,MATCH($C1126,Работы!$A$2:$A$6000,0)),"")</f>
        <v/>
      </c>
      <c r="H1126" s="9"/>
      <c r="I1126" s="9"/>
      <c r="J1126" s="8" t="str">
        <f>IFERROR(INDEX(Материалы!$B$2:$B$9000,MATCH($I1126,Материалы!$A$2:$A$9000,0)),"")</f>
        <v/>
      </c>
      <c r="K1126" t="str">
        <f>IF($I1126="","",IF($F1126=IFERROR(INDEX(Материалы!$G$2:$G$9000,MATCH($I1126,Материалы!$A$2:$A$9000,0)),""),"OK","!! не та группа"))</f>
        <v/>
      </c>
      <c r="L1126" s="10">
        <f>IFERROR(INDEX(Работы!$H$2:$H$6000,MATCH($C1126,Работы!$A$2:$A$6000,0))*(1-ДисконтТендер),0)</f>
        <v>0</v>
      </c>
      <c r="M1126" s="10">
        <f>IF($I1126="",0,IFERROR(INDEX(Материалы!$I$2:$I$9000,MATCH($I1126,Материалы!$A$2:$A$9000,0))*IF(INDEX(Материалы!$J$2:$J$9000,MATCH($I1126,Материалы!$A$2:$A$9000,0))="USD",КурсUSD,IF(INDEX(Материалы!$J$2:$J$9000,MATCH($I1126,Материалы!$A$2:$A$9000,0))="EUR",КурсEUR,1))*INDEX(Материалы!$K$2:$K$9000,MATCH($I1126,Материалы!$A$2:$A$9000,0))*(1+IFERROR(INDEX(Работы!$I$2:$I$6000,MATCH($C1126,Работы!$A$2:$A$6000,0))/100,0))*(1-ДисконтТендер),0))</f>
        <v>0</v>
      </c>
      <c r="N1126" s="10">
        <f t="shared" si="51"/>
        <v>0</v>
      </c>
      <c r="O1126" s="10">
        <f t="shared" si="52"/>
        <v>0</v>
      </c>
      <c r="P1126" s="10">
        <f t="shared" si="53"/>
        <v>0</v>
      </c>
      <c r="Q1126" t="str">
        <f>IFERROR(INDEX(Работы!$J$2:$J$6000,MATCH($C1126,Работы!$A$2:$A$6000,0)),"")</f>
        <v/>
      </c>
      <c r="R1126" t="s">
        <v>92</v>
      </c>
      <c r="T1126" t="str">
        <f>IF(AND($P1126&gt;0,$R1126="да"),MAX($T$1:$T1125)+1,"")</f>
        <v/>
      </c>
    </row>
    <row r="1127" spans="1:20" x14ac:dyDescent="0.3">
      <c r="A1127" s="11" t="str">
        <f>IFERROR(INDEX(Работы!$D$2:$D$6000,MATCH($C1127,Работы!$A$2:$A$6000,0)),"")</f>
        <v/>
      </c>
      <c r="B1127" t="str">
        <f>IFERROR(INDEX(Работы!$F$2:$F$6000,MATCH($C1127,Работы!$A$2:$A$6000,0)),"")</f>
        <v/>
      </c>
      <c r="C1127">
        <f>IFERROR(INDEX(Работы!$A$2:$A$6000,1126),"")</f>
        <v>0</v>
      </c>
      <c r="D1127" s="8" t="str">
        <f>IFERROR(INDEX(Работы!$B$2:$B$6000,MATCH($C1127,Работы!$A$2:$A$6000,0)),"")</f>
        <v/>
      </c>
      <c r="E1127" t="str">
        <f>IFERROR(INDEX(Работы!$C$2:$C$6000,MATCH($C1127,Работы!$A$2:$A$6000,0)),"")</f>
        <v/>
      </c>
      <c r="F1127" t="str">
        <f>IFERROR(INDEX(Работы!$G$2:$G$6000,MATCH($C1127,Работы!$A$2:$A$6000,0)),"")</f>
        <v/>
      </c>
      <c r="G1127" t="str">
        <f>IFERROR(INDEX(Работы!$K$2:$K$6000,MATCH($C1127,Работы!$A$2:$A$6000,0)),"")</f>
        <v/>
      </c>
      <c r="H1127" s="9"/>
      <c r="I1127" s="9"/>
      <c r="J1127" s="8" t="str">
        <f>IFERROR(INDEX(Материалы!$B$2:$B$9000,MATCH($I1127,Материалы!$A$2:$A$9000,0)),"")</f>
        <v/>
      </c>
      <c r="K1127" t="str">
        <f>IF($I1127="","",IF($F1127=IFERROR(INDEX(Материалы!$G$2:$G$9000,MATCH($I1127,Материалы!$A$2:$A$9000,0)),""),"OK","!! не та группа"))</f>
        <v/>
      </c>
      <c r="L1127" s="10">
        <f>IFERROR(INDEX(Работы!$H$2:$H$6000,MATCH($C1127,Работы!$A$2:$A$6000,0))*(1-ДисконтТендер),0)</f>
        <v>0</v>
      </c>
      <c r="M1127" s="10">
        <f>IF($I1127="",0,IFERROR(INDEX(Материалы!$I$2:$I$9000,MATCH($I1127,Материалы!$A$2:$A$9000,0))*IF(INDEX(Материалы!$J$2:$J$9000,MATCH($I1127,Материалы!$A$2:$A$9000,0))="USD",КурсUSD,IF(INDEX(Материалы!$J$2:$J$9000,MATCH($I1127,Материалы!$A$2:$A$9000,0))="EUR",КурсEUR,1))*INDEX(Материалы!$K$2:$K$9000,MATCH($I1127,Материалы!$A$2:$A$9000,0))*(1+IFERROR(INDEX(Работы!$I$2:$I$6000,MATCH($C1127,Работы!$A$2:$A$6000,0))/100,0))*(1-ДисконтТендер),0))</f>
        <v>0</v>
      </c>
      <c r="N1127" s="10">
        <f t="shared" si="51"/>
        <v>0</v>
      </c>
      <c r="O1127" s="10">
        <f t="shared" si="52"/>
        <v>0</v>
      </c>
      <c r="P1127" s="10">
        <f t="shared" si="53"/>
        <v>0</v>
      </c>
      <c r="Q1127" t="str">
        <f>IFERROR(INDEX(Работы!$J$2:$J$6000,MATCH($C1127,Работы!$A$2:$A$6000,0)),"")</f>
        <v/>
      </c>
      <c r="R1127" t="s">
        <v>92</v>
      </c>
      <c r="T1127" t="str">
        <f>IF(AND($P1127&gt;0,$R1127="да"),MAX($T$1:$T1126)+1,"")</f>
        <v/>
      </c>
    </row>
    <row r="1128" spans="1:20" x14ac:dyDescent="0.3">
      <c r="A1128" s="11" t="str">
        <f>IFERROR(INDEX(Работы!$D$2:$D$6000,MATCH($C1128,Работы!$A$2:$A$6000,0)),"")</f>
        <v/>
      </c>
      <c r="B1128" t="str">
        <f>IFERROR(INDEX(Работы!$F$2:$F$6000,MATCH($C1128,Работы!$A$2:$A$6000,0)),"")</f>
        <v/>
      </c>
      <c r="C1128">
        <f>IFERROR(INDEX(Работы!$A$2:$A$6000,1127),"")</f>
        <v>0</v>
      </c>
      <c r="D1128" s="8" t="str">
        <f>IFERROR(INDEX(Работы!$B$2:$B$6000,MATCH($C1128,Работы!$A$2:$A$6000,0)),"")</f>
        <v/>
      </c>
      <c r="E1128" t="str">
        <f>IFERROR(INDEX(Работы!$C$2:$C$6000,MATCH($C1128,Работы!$A$2:$A$6000,0)),"")</f>
        <v/>
      </c>
      <c r="F1128" t="str">
        <f>IFERROR(INDEX(Работы!$G$2:$G$6000,MATCH($C1128,Работы!$A$2:$A$6000,0)),"")</f>
        <v/>
      </c>
      <c r="G1128" t="str">
        <f>IFERROR(INDEX(Работы!$K$2:$K$6000,MATCH($C1128,Работы!$A$2:$A$6000,0)),"")</f>
        <v/>
      </c>
      <c r="H1128" s="9"/>
      <c r="I1128" s="9"/>
      <c r="J1128" s="8" t="str">
        <f>IFERROR(INDEX(Материалы!$B$2:$B$9000,MATCH($I1128,Материалы!$A$2:$A$9000,0)),"")</f>
        <v/>
      </c>
      <c r="K1128" t="str">
        <f>IF($I1128="","",IF($F1128=IFERROR(INDEX(Материалы!$G$2:$G$9000,MATCH($I1128,Материалы!$A$2:$A$9000,0)),""),"OK","!! не та группа"))</f>
        <v/>
      </c>
      <c r="L1128" s="10">
        <f>IFERROR(INDEX(Работы!$H$2:$H$6000,MATCH($C1128,Работы!$A$2:$A$6000,0))*(1-ДисконтТендер),0)</f>
        <v>0</v>
      </c>
      <c r="M1128" s="10">
        <f>IF($I1128="",0,IFERROR(INDEX(Материалы!$I$2:$I$9000,MATCH($I1128,Материалы!$A$2:$A$9000,0))*IF(INDEX(Материалы!$J$2:$J$9000,MATCH($I1128,Материалы!$A$2:$A$9000,0))="USD",КурсUSD,IF(INDEX(Материалы!$J$2:$J$9000,MATCH($I1128,Материалы!$A$2:$A$9000,0))="EUR",КурсEUR,1))*INDEX(Материалы!$K$2:$K$9000,MATCH($I1128,Материалы!$A$2:$A$9000,0))*(1+IFERROR(INDEX(Работы!$I$2:$I$6000,MATCH($C1128,Работы!$A$2:$A$6000,0))/100,0))*(1-ДисконтТендер),0))</f>
        <v>0</v>
      </c>
      <c r="N1128" s="10">
        <f t="shared" si="51"/>
        <v>0</v>
      </c>
      <c r="O1128" s="10">
        <f t="shared" si="52"/>
        <v>0</v>
      </c>
      <c r="P1128" s="10">
        <f t="shared" si="53"/>
        <v>0</v>
      </c>
      <c r="Q1128" t="str">
        <f>IFERROR(INDEX(Работы!$J$2:$J$6000,MATCH($C1128,Работы!$A$2:$A$6000,0)),"")</f>
        <v/>
      </c>
      <c r="R1128" t="s">
        <v>92</v>
      </c>
      <c r="T1128" t="str">
        <f>IF(AND($P1128&gt;0,$R1128="да"),MAX($T$1:$T1127)+1,"")</f>
        <v/>
      </c>
    </row>
    <row r="1129" spans="1:20" x14ac:dyDescent="0.3">
      <c r="A1129" s="11" t="str">
        <f>IFERROR(INDEX(Работы!$D$2:$D$6000,MATCH($C1129,Работы!$A$2:$A$6000,0)),"")</f>
        <v/>
      </c>
      <c r="B1129" t="str">
        <f>IFERROR(INDEX(Работы!$F$2:$F$6000,MATCH($C1129,Работы!$A$2:$A$6000,0)),"")</f>
        <v/>
      </c>
      <c r="C1129">
        <f>IFERROR(INDEX(Работы!$A$2:$A$6000,1128),"")</f>
        <v>0</v>
      </c>
      <c r="D1129" s="8" t="str">
        <f>IFERROR(INDEX(Работы!$B$2:$B$6000,MATCH($C1129,Работы!$A$2:$A$6000,0)),"")</f>
        <v/>
      </c>
      <c r="E1129" t="str">
        <f>IFERROR(INDEX(Работы!$C$2:$C$6000,MATCH($C1129,Работы!$A$2:$A$6000,0)),"")</f>
        <v/>
      </c>
      <c r="F1129" t="str">
        <f>IFERROR(INDEX(Работы!$G$2:$G$6000,MATCH($C1129,Работы!$A$2:$A$6000,0)),"")</f>
        <v/>
      </c>
      <c r="G1129" t="str">
        <f>IFERROR(INDEX(Работы!$K$2:$K$6000,MATCH($C1129,Работы!$A$2:$A$6000,0)),"")</f>
        <v/>
      </c>
      <c r="H1129" s="9"/>
      <c r="I1129" s="9"/>
      <c r="J1129" s="8" t="str">
        <f>IFERROR(INDEX(Материалы!$B$2:$B$9000,MATCH($I1129,Материалы!$A$2:$A$9000,0)),"")</f>
        <v/>
      </c>
      <c r="K1129" t="str">
        <f>IF($I1129="","",IF($F1129=IFERROR(INDEX(Материалы!$G$2:$G$9000,MATCH($I1129,Материалы!$A$2:$A$9000,0)),""),"OK","!! не та группа"))</f>
        <v/>
      </c>
      <c r="L1129" s="10">
        <f>IFERROR(INDEX(Работы!$H$2:$H$6000,MATCH($C1129,Работы!$A$2:$A$6000,0))*(1-ДисконтТендер),0)</f>
        <v>0</v>
      </c>
      <c r="M1129" s="10">
        <f>IF($I1129="",0,IFERROR(INDEX(Материалы!$I$2:$I$9000,MATCH($I1129,Материалы!$A$2:$A$9000,0))*IF(INDEX(Материалы!$J$2:$J$9000,MATCH($I1129,Материалы!$A$2:$A$9000,0))="USD",КурсUSD,IF(INDEX(Материалы!$J$2:$J$9000,MATCH($I1129,Материалы!$A$2:$A$9000,0))="EUR",КурсEUR,1))*INDEX(Материалы!$K$2:$K$9000,MATCH($I1129,Материалы!$A$2:$A$9000,0))*(1+IFERROR(INDEX(Работы!$I$2:$I$6000,MATCH($C1129,Работы!$A$2:$A$6000,0))/100,0))*(1-ДисконтТендер),0))</f>
        <v>0</v>
      </c>
      <c r="N1129" s="10">
        <f t="shared" si="51"/>
        <v>0</v>
      </c>
      <c r="O1129" s="10">
        <f t="shared" si="52"/>
        <v>0</v>
      </c>
      <c r="P1129" s="10">
        <f t="shared" si="53"/>
        <v>0</v>
      </c>
      <c r="Q1129" t="str">
        <f>IFERROR(INDEX(Работы!$J$2:$J$6000,MATCH($C1129,Работы!$A$2:$A$6000,0)),"")</f>
        <v/>
      </c>
      <c r="R1129" t="s">
        <v>92</v>
      </c>
      <c r="T1129" t="str">
        <f>IF(AND($P1129&gt;0,$R1129="да"),MAX($T$1:$T1128)+1,"")</f>
        <v/>
      </c>
    </row>
    <row r="1130" spans="1:20" x14ac:dyDescent="0.3">
      <c r="A1130" s="11" t="str">
        <f>IFERROR(INDEX(Работы!$D$2:$D$6000,MATCH($C1130,Работы!$A$2:$A$6000,0)),"")</f>
        <v/>
      </c>
      <c r="B1130" t="str">
        <f>IFERROR(INDEX(Работы!$F$2:$F$6000,MATCH($C1130,Работы!$A$2:$A$6000,0)),"")</f>
        <v/>
      </c>
      <c r="C1130">
        <f>IFERROR(INDEX(Работы!$A$2:$A$6000,1129),"")</f>
        <v>0</v>
      </c>
      <c r="D1130" s="8" t="str">
        <f>IFERROR(INDEX(Работы!$B$2:$B$6000,MATCH($C1130,Работы!$A$2:$A$6000,0)),"")</f>
        <v/>
      </c>
      <c r="E1130" t="str">
        <f>IFERROR(INDEX(Работы!$C$2:$C$6000,MATCH($C1130,Работы!$A$2:$A$6000,0)),"")</f>
        <v/>
      </c>
      <c r="F1130" t="str">
        <f>IFERROR(INDEX(Работы!$G$2:$G$6000,MATCH($C1130,Работы!$A$2:$A$6000,0)),"")</f>
        <v/>
      </c>
      <c r="G1130" t="str">
        <f>IFERROR(INDEX(Работы!$K$2:$K$6000,MATCH($C1130,Работы!$A$2:$A$6000,0)),"")</f>
        <v/>
      </c>
      <c r="H1130" s="9"/>
      <c r="I1130" s="9"/>
      <c r="J1130" s="8" t="str">
        <f>IFERROR(INDEX(Материалы!$B$2:$B$9000,MATCH($I1130,Материалы!$A$2:$A$9000,0)),"")</f>
        <v/>
      </c>
      <c r="K1130" t="str">
        <f>IF($I1130="","",IF($F1130=IFERROR(INDEX(Материалы!$G$2:$G$9000,MATCH($I1130,Материалы!$A$2:$A$9000,0)),""),"OK","!! не та группа"))</f>
        <v/>
      </c>
      <c r="L1130" s="10">
        <f>IFERROR(INDEX(Работы!$H$2:$H$6000,MATCH($C1130,Работы!$A$2:$A$6000,0))*(1-ДисконтТендер),0)</f>
        <v>0</v>
      </c>
      <c r="M1130" s="10">
        <f>IF($I1130="",0,IFERROR(INDEX(Материалы!$I$2:$I$9000,MATCH($I1130,Материалы!$A$2:$A$9000,0))*IF(INDEX(Материалы!$J$2:$J$9000,MATCH($I1130,Материалы!$A$2:$A$9000,0))="USD",КурсUSD,IF(INDEX(Материалы!$J$2:$J$9000,MATCH($I1130,Материалы!$A$2:$A$9000,0))="EUR",КурсEUR,1))*INDEX(Материалы!$K$2:$K$9000,MATCH($I1130,Материалы!$A$2:$A$9000,0))*(1+IFERROR(INDEX(Работы!$I$2:$I$6000,MATCH($C1130,Работы!$A$2:$A$6000,0))/100,0))*(1-ДисконтТендер),0))</f>
        <v>0</v>
      </c>
      <c r="N1130" s="10">
        <f t="shared" si="51"/>
        <v>0</v>
      </c>
      <c r="O1130" s="10">
        <f t="shared" si="52"/>
        <v>0</v>
      </c>
      <c r="P1130" s="10">
        <f t="shared" si="53"/>
        <v>0</v>
      </c>
      <c r="Q1130" t="str">
        <f>IFERROR(INDEX(Работы!$J$2:$J$6000,MATCH($C1130,Работы!$A$2:$A$6000,0)),"")</f>
        <v/>
      </c>
      <c r="R1130" t="s">
        <v>92</v>
      </c>
      <c r="T1130" t="str">
        <f>IF(AND($P1130&gt;0,$R1130="да"),MAX($T$1:$T1129)+1,"")</f>
        <v/>
      </c>
    </row>
    <row r="1131" spans="1:20" x14ac:dyDescent="0.3">
      <c r="A1131" s="11" t="str">
        <f>IFERROR(INDEX(Работы!$D$2:$D$6000,MATCH($C1131,Работы!$A$2:$A$6000,0)),"")</f>
        <v/>
      </c>
      <c r="B1131" t="str">
        <f>IFERROR(INDEX(Работы!$F$2:$F$6000,MATCH($C1131,Работы!$A$2:$A$6000,0)),"")</f>
        <v/>
      </c>
      <c r="C1131">
        <f>IFERROR(INDEX(Работы!$A$2:$A$6000,1130),"")</f>
        <v>0</v>
      </c>
      <c r="D1131" s="8" t="str">
        <f>IFERROR(INDEX(Работы!$B$2:$B$6000,MATCH($C1131,Работы!$A$2:$A$6000,0)),"")</f>
        <v/>
      </c>
      <c r="E1131" t="str">
        <f>IFERROR(INDEX(Работы!$C$2:$C$6000,MATCH($C1131,Работы!$A$2:$A$6000,0)),"")</f>
        <v/>
      </c>
      <c r="F1131" t="str">
        <f>IFERROR(INDEX(Работы!$G$2:$G$6000,MATCH($C1131,Работы!$A$2:$A$6000,0)),"")</f>
        <v/>
      </c>
      <c r="G1131" t="str">
        <f>IFERROR(INDEX(Работы!$K$2:$K$6000,MATCH($C1131,Работы!$A$2:$A$6000,0)),"")</f>
        <v/>
      </c>
      <c r="H1131" s="9"/>
      <c r="I1131" s="9"/>
      <c r="J1131" s="8" t="str">
        <f>IFERROR(INDEX(Материалы!$B$2:$B$9000,MATCH($I1131,Материалы!$A$2:$A$9000,0)),"")</f>
        <v/>
      </c>
      <c r="K1131" t="str">
        <f>IF($I1131="","",IF($F1131=IFERROR(INDEX(Материалы!$G$2:$G$9000,MATCH($I1131,Материалы!$A$2:$A$9000,0)),""),"OK","!! не та группа"))</f>
        <v/>
      </c>
      <c r="L1131" s="10">
        <f>IFERROR(INDEX(Работы!$H$2:$H$6000,MATCH($C1131,Работы!$A$2:$A$6000,0))*(1-ДисконтТендер),0)</f>
        <v>0</v>
      </c>
      <c r="M1131" s="10">
        <f>IF($I1131="",0,IFERROR(INDEX(Материалы!$I$2:$I$9000,MATCH($I1131,Материалы!$A$2:$A$9000,0))*IF(INDEX(Материалы!$J$2:$J$9000,MATCH($I1131,Материалы!$A$2:$A$9000,0))="USD",КурсUSD,IF(INDEX(Материалы!$J$2:$J$9000,MATCH($I1131,Материалы!$A$2:$A$9000,0))="EUR",КурсEUR,1))*INDEX(Материалы!$K$2:$K$9000,MATCH($I1131,Материалы!$A$2:$A$9000,0))*(1+IFERROR(INDEX(Работы!$I$2:$I$6000,MATCH($C1131,Работы!$A$2:$A$6000,0))/100,0))*(1-ДисконтТендер),0))</f>
        <v>0</v>
      </c>
      <c r="N1131" s="10">
        <f t="shared" si="51"/>
        <v>0</v>
      </c>
      <c r="O1131" s="10">
        <f t="shared" si="52"/>
        <v>0</v>
      </c>
      <c r="P1131" s="10">
        <f t="shared" si="53"/>
        <v>0</v>
      </c>
      <c r="Q1131" t="str">
        <f>IFERROR(INDEX(Работы!$J$2:$J$6000,MATCH($C1131,Работы!$A$2:$A$6000,0)),"")</f>
        <v/>
      </c>
      <c r="R1131" t="s">
        <v>92</v>
      </c>
      <c r="T1131" t="str">
        <f>IF(AND($P1131&gt;0,$R1131="да"),MAX($T$1:$T1130)+1,"")</f>
        <v/>
      </c>
    </row>
    <row r="1132" spans="1:20" x14ac:dyDescent="0.3">
      <c r="A1132" s="11" t="str">
        <f>IFERROR(INDEX(Работы!$D$2:$D$6000,MATCH($C1132,Работы!$A$2:$A$6000,0)),"")</f>
        <v/>
      </c>
      <c r="B1132" t="str">
        <f>IFERROR(INDEX(Работы!$F$2:$F$6000,MATCH($C1132,Работы!$A$2:$A$6000,0)),"")</f>
        <v/>
      </c>
      <c r="C1132">
        <f>IFERROR(INDEX(Работы!$A$2:$A$6000,1131),"")</f>
        <v>0</v>
      </c>
      <c r="D1132" s="8" t="str">
        <f>IFERROR(INDEX(Работы!$B$2:$B$6000,MATCH($C1132,Работы!$A$2:$A$6000,0)),"")</f>
        <v/>
      </c>
      <c r="E1132" t="str">
        <f>IFERROR(INDEX(Работы!$C$2:$C$6000,MATCH($C1132,Работы!$A$2:$A$6000,0)),"")</f>
        <v/>
      </c>
      <c r="F1132" t="str">
        <f>IFERROR(INDEX(Работы!$G$2:$G$6000,MATCH($C1132,Работы!$A$2:$A$6000,0)),"")</f>
        <v/>
      </c>
      <c r="G1132" t="str">
        <f>IFERROR(INDEX(Работы!$K$2:$K$6000,MATCH($C1132,Работы!$A$2:$A$6000,0)),"")</f>
        <v/>
      </c>
      <c r="H1132" s="9"/>
      <c r="I1132" s="9"/>
      <c r="J1132" s="8" t="str">
        <f>IFERROR(INDEX(Материалы!$B$2:$B$9000,MATCH($I1132,Материалы!$A$2:$A$9000,0)),"")</f>
        <v/>
      </c>
      <c r="K1132" t="str">
        <f>IF($I1132="","",IF($F1132=IFERROR(INDEX(Материалы!$G$2:$G$9000,MATCH($I1132,Материалы!$A$2:$A$9000,0)),""),"OK","!! не та группа"))</f>
        <v/>
      </c>
      <c r="L1132" s="10">
        <f>IFERROR(INDEX(Работы!$H$2:$H$6000,MATCH($C1132,Работы!$A$2:$A$6000,0))*(1-ДисконтТендер),0)</f>
        <v>0</v>
      </c>
      <c r="M1132" s="10">
        <f>IF($I1132="",0,IFERROR(INDEX(Материалы!$I$2:$I$9000,MATCH($I1132,Материалы!$A$2:$A$9000,0))*IF(INDEX(Материалы!$J$2:$J$9000,MATCH($I1132,Материалы!$A$2:$A$9000,0))="USD",КурсUSD,IF(INDEX(Материалы!$J$2:$J$9000,MATCH($I1132,Материалы!$A$2:$A$9000,0))="EUR",КурсEUR,1))*INDEX(Материалы!$K$2:$K$9000,MATCH($I1132,Материалы!$A$2:$A$9000,0))*(1+IFERROR(INDEX(Работы!$I$2:$I$6000,MATCH($C1132,Работы!$A$2:$A$6000,0))/100,0))*(1-ДисконтТендер),0))</f>
        <v>0</v>
      </c>
      <c r="N1132" s="10">
        <f t="shared" si="51"/>
        <v>0</v>
      </c>
      <c r="O1132" s="10">
        <f t="shared" si="52"/>
        <v>0</v>
      </c>
      <c r="P1132" s="10">
        <f t="shared" si="53"/>
        <v>0</v>
      </c>
      <c r="Q1132" t="str">
        <f>IFERROR(INDEX(Работы!$J$2:$J$6000,MATCH($C1132,Работы!$A$2:$A$6000,0)),"")</f>
        <v/>
      </c>
      <c r="R1132" t="s">
        <v>92</v>
      </c>
      <c r="T1132" t="str">
        <f>IF(AND($P1132&gt;0,$R1132="да"),MAX($T$1:$T1131)+1,"")</f>
        <v/>
      </c>
    </row>
    <row r="1133" spans="1:20" x14ac:dyDescent="0.3">
      <c r="A1133" s="11" t="str">
        <f>IFERROR(INDEX(Работы!$D$2:$D$6000,MATCH($C1133,Работы!$A$2:$A$6000,0)),"")</f>
        <v/>
      </c>
      <c r="B1133" t="str">
        <f>IFERROR(INDEX(Работы!$F$2:$F$6000,MATCH($C1133,Работы!$A$2:$A$6000,0)),"")</f>
        <v/>
      </c>
      <c r="C1133">
        <f>IFERROR(INDEX(Работы!$A$2:$A$6000,1132),"")</f>
        <v>0</v>
      </c>
      <c r="D1133" s="8" t="str">
        <f>IFERROR(INDEX(Работы!$B$2:$B$6000,MATCH($C1133,Работы!$A$2:$A$6000,0)),"")</f>
        <v/>
      </c>
      <c r="E1133" t="str">
        <f>IFERROR(INDEX(Работы!$C$2:$C$6000,MATCH($C1133,Работы!$A$2:$A$6000,0)),"")</f>
        <v/>
      </c>
      <c r="F1133" t="str">
        <f>IFERROR(INDEX(Работы!$G$2:$G$6000,MATCH($C1133,Работы!$A$2:$A$6000,0)),"")</f>
        <v/>
      </c>
      <c r="G1133" t="str">
        <f>IFERROR(INDEX(Работы!$K$2:$K$6000,MATCH($C1133,Работы!$A$2:$A$6000,0)),"")</f>
        <v/>
      </c>
      <c r="H1133" s="9"/>
      <c r="I1133" s="9"/>
      <c r="J1133" s="8" t="str">
        <f>IFERROR(INDEX(Материалы!$B$2:$B$9000,MATCH($I1133,Материалы!$A$2:$A$9000,0)),"")</f>
        <v/>
      </c>
      <c r="K1133" t="str">
        <f>IF($I1133="","",IF($F1133=IFERROR(INDEX(Материалы!$G$2:$G$9000,MATCH($I1133,Материалы!$A$2:$A$9000,0)),""),"OK","!! не та группа"))</f>
        <v/>
      </c>
      <c r="L1133" s="10">
        <f>IFERROR(INDEX(Работы!$H$2:$H$6000,MATCH($C1133,Работы!$A$2:$A$6000,0))*(1-ДисконтТендер),0)</f>
        <v>0</v>
      </c>
      <c r="M1133" s="10">
        <f>IF($I1133="",0,IFERROR(INDEX(Материалы!$I$2:$I$9000,MATCH($I1133,Материалы!$A$2:$A$9000,0))*IF(INDEX(Материалы!$J$2:$J$9000,MATCH($I1133,Материалы!$A$2:$A$9000,0))="USD",КурсUSD,IF(INDEX(Материалы!$J$2:$J$9000,MATCH($I1133,Материалы!$A$2:$A$9000,0))="EUR",КурсEUR,1))*INDEX(Материалы!$K$2:$K$9000,MATCH($I1133,Материалы!$A$2:$A$9000,0))*(1+IFERROR(INDEX(Работы!$I$2:$I$6000,MATCH($C1133,Работы!$A$2:$A$6000,0))/100,0))*(1-ДисконтТендер),0))</f>
        <v>0</v>
      </c>
      <c r="N1133" s="10">
        <f t="shared" si="51"/>
        <v>0</v>
      </c>
      <c r="O1133" s="10">
        <f t="shared" si="52"/>
        <v>0</v>
      </c>
      <c r="P1133" s="10">
        <f t="shared" si="53"/>
        <v>0</v>
      </c>
      <c r="Q1133" t="str">
        <f>IFERROR(INDEX(Работы!$J$2:$J$6000,MATCH($C1133,Работы!$A$2:$A$6000,0)),"")</f>
        <v/>
      </c>
      <c r="R1133" t="s">
        <v>92</v>
      </c>
      <c r="T1133" t="str">
        <f>IF(AND($P1133&gt;0,$R1133="да"),MAX($T$1:$T1132)+1,"")</f>
        <v/>
      </c>
    </row>
    <row r="1134" spans="1:20" x14ac:dyDescent="0.3">
      <c r="A1134" s="11" t="str">
        <f>IFERROR(INDEX(Работы!$D$2:$D$6000,MATCH($C1134,Работы!$A$2:$A$6000,0)),"")</f>
        <v/>
      </c>
      <c r="B1134" t="str">
        <f>IFERROR(INDEX(Работы!$F$2:$F$6000,MATCH($C1134,Работы!$A$2:$A$6000,0)),"")</f>
        <v/>
      </c>
      <c r="C1134">
        <f>IFERROR(INDEX(Работы!$A$2:$A$6000,1133),"")</f>
        <v>0</v>
      </c>
      <c r="D1134" s="8" t="str">
        <f>IFERROR(INDEX(Работы!$B$2:$B$6000,MATCH($C1134,Работы!$A$2:$A$6000,0)),"")</f>
        <v/>
      </c>
      <c r="E1134" t="str">
        <f>IFERROR(INDEX(Работы!$C$2:$C$6000,MATCH($C1134,Работы!$A$2:$A$6000,0)),"")</f>
        <v/>
      </c>
      <c r="F1134" t="str">
        <f>IFERROR(INDEX(Работы!$G$2:$G$6000,MATCH($C1134,Работы!$A$2:$A$6000,0)),"")</f>
        <v/>
      </c>
      <c r="G1134" t="str">
        <f>IFERROR(INDEX(Работы!$K$2:$K$6000,MATCH($C1134,Работы!$A$2:$A$6000,0)),"")</f>
        <v/>
      </c>
      <c r="H1134" s="9"/>
      <c r="I1134" s="9"/>
      <c r="J1134" s="8" t="str">
        <f>IFERROR(INDEX(Материалы!$B$2:$B$9000,MATCH($I1134,Материалы!$A$2:$A$9000,0)),"")</f>
        <v/>
      </c>
      <c r="K1134" t="str">
        <f>IF($I1134="","",IF($F1134=IFERROR(INDEX(Материалы!$G$2:$G$9000,MATCH($I1134,Материалы!$A$2:$A$9000,0)),""),"OK","!! не та группа"))</f>
        <v/>
      </c>
      <c r="L1134" s="10">
        <f>IFERROR(INDEX(Работы!$H$2:$H$6000,MATCH($C1134,Работы!$A$2:$A$6000,0))*(1-ДисконтТендер),0)</f>
        <v>0</v>
      </c>
      <c r="M1134" s="10">
        <f>IF($I1134="",0,IFERROR(INDEX(Материалы!$I$2:$I$9000,MATCH($I1134,Материалы!$A$2:$A$9000,0))*IF(INDEX(Материалы!$J$2:$J$9000,MATCH($I1134,Материалы!$A$2:$A$9000,0))="USD",КурсUSD,IF(INDEX(Материалы!$J$2:$J$9000,MATCH($I1134,Материалы!$A$2:$A$9000,0))="EUR",КурсEUR,1))*INDEX(Материалы!$K$2:$K$9000,MATCH($I1134,Материалы!$A$2:$A$9000,0))*(1+IFERROR(INDEX(Работы!$I$2:$I$6000,MATCH($C1134,Работы!$A$2:$A$6000,0))/100,0))*(1-ДисконтТендер),0))</f>
        <v>0</v>
      </c>
      <c r="N1134" s="10">
        <f t="shared" si="51"/>
        <v>0</v>
      </c>
      <c r="O1134" s="10">
        <f t="shared" si="52"/>
        <v>0</v>
      </c>
      <c r="P1134" s="10">
        <f t="shared" si="53"/>
        <v>0</v>
      </c>
      <c r="Q1134" t="str">
        <f>IFERROR(INDEX(Работы!$J$2:$J$6000,MATCH($C1134,Работы!$A$2:$A$6000,0)),"")</f>
        <v/>
      </c>
      <c r="R1134" t="s">
        <v>92</v>
      </c>
      <c r="T1134" t="str">
        <f>IF(AND($P1134&gt;0,$R1134="да"),MAX($T$1:$T1133)+1,"")</f>
        <v/>
      </c>
    </row>
    <row r="1135" spans="1:20" x14ac:dyDescent="0.3">
      <c r="A1135" s="11" t="str">
        <f>IFERROR(INDEX(Работы!$D$2:$D$6000,MATCH($C1135,Работы!$A$2:$A$6000,0)),"")</f>
        <v/>
      </c>
      <c r="B1135" t="str">
        <f>IFERROR(INDEX(Работы!$F$2:$F$6000,MATCH($C1135,Работы!$A$2:$A$6000,0)),"")</f>
        <v/>
      </c>
      <c r="C1135">
        <f>IFERROR(INDEX(Работы!$A$2:$A$6000,1134),"")</f>
        <v>0</v>
      </c>
      <c r="D1135" s="8" t="str">
        <f>IFERROR(INDEX(Работы!$B$2:$B$6000,MATCH($C1135,Работы!$A$2:$A$6000,0)),"")</f>
        <v/>
      </c>
      <c r="E1135" t="str">
        <f>IFERROR(INDEX(Работы!$C$2:$C$6000,MATCH($C1135,Работы!$A$2:$A$6000,0)),"")</f>
        <v/>
      </c>
      <c r="F1135" t="str">
        <f>IFERROR(INDEX(Работы!$G$2:$G$6000,MATCH($C1135,Работы!$A$2:$A$6000,0)),"")</f>
        <v/>
      </c>
      <c r="G1135" t="str">
        <f>IFERROR(INDEX(Работы!$K$2:$K$6000,MATCH($C1135,Работы!$A$2:$A$6000,0)),"")</f>
        <v/>
      </c>
      <c r="H1135" s="9"/>
      <c r="I1135" s="9"/>
      <c r="J1135" s="8" t="str">
        <f>IFERROR(INDEX(Материалы!$B$2:$B$9000,MATCH($I1135,Материалы!$A$2:$A$9000,0)),"")</f>
        <v/>
      </c>
      <c r="K1135" t="str">
        <f>IF($I1135="","",IF($F1135=IFERROR(INDEX(Материалы!$G$2:$G$9000,MATCH($I1135,Материалы!$A$2:$A$9000,0)),""),"OK","!! не та группа"))</f>
        <v/>
      </c>
      <c r="L1135" s="10">
        <f>IFERROR(INDEX(Работы!$H$2:$H$6000,MATCH($C1135,Работы!$A$2:$A$6000,0))*(1-ДисконтТендер),0)</f>
        <v>0</v>
      </c>
      <c r="M1135" s="10">
        <f>IF($I1135="",0,IFERROR(INDEX(Материалы!$I$2:$I$9000,MATCH($I1135,Материалы!$A$2:$A$9000,0))*IF(INDEX(Материалы!$J$2:$J$9000,MATCH($I1135,Материалы!$A$2:$A$9000,0))="USD",КурсUSD,IF(INDEX(Материалы!$J$2:$J$9000,MATCH($I1135,Материалы!$A$2:$A$9000,0))="EUR",КурсEUR,1))*INDEX(Материалы!$K$2:$K$9000,MATCH($I1135,Материалы!$A$2:$A$9000,0))*(1+IFERROR(INDEX(Работы!$I$2:$I$6000,MATCH($C1135,Работы!$A$2:$A$6000,0))/100,0))*(1-ДисконтТендер),0))</f>
        <v>0</v>
      </c>
      <c r="N1135" s="10">
        <f t="shared" si="51"/>
        <v>0</v>
      </c>
      <c r="O1135" s="10">
        <f t="shared" si="52"/>
        <v>0</v>
      </c>
      <c r="P1135" s="10">
        <f t="shared" si="53"/>
        <v>0</v>
      </c>
      <c r="Q1135" t="str">
        <f>IFERROR(INDEX(Работы!$J$2:$J$6000,MATCH($C1135,Работы!$A$2:$A$6000,0)),"")</f>
        <v/>
      </c>
      <c r="R1135" t="s">
        <v>92</v>
      </c>
      <c r="T1135" t="str">
        <f>IF(AND($P1135&gt;0,$R1135="да"),MAX($T$1:$T1134)+1,"")</f>
        <v/>
      </c>
    </row>
    <row r="1136" spans="1:20" x14ac:dyDescent="0.3">
      <c r="A1136" s="11" t="str">
        <f>IFERROR(INDEX(Работы!$D$2:$D$6000,MATCH($C1136,Работы!$A$2:$A$6000,0)),"")</f>
        <v/>
      </c>
      <c r="B1136" t="str">
        <f>IFERROR(INDEX(Работы!$F$2:$F$6000,MATCH($C1136,Работы!$A$2:$A$6000,0)),"")</f>
        <v/>
      </c>
      <c r="C1136">
        <f>IFERROR(INDEX(Работы!$A$2:$A$6000,1135),"")</f>
        <v>0</v>
      </c>
      <c r="D1136" s="8" t="str">
        <f>IFERROR(INDEX(Работы!$B$2:$B$6000,MATCH($C1136,Работы!$A$2:$A$6000,0)),"")</f>
        <v/>
      </c>
      <c r="E1136" t="str">
        <f>IFERROR(INDEX(Работы!$C$2:$C$6000,MATCH($C1136,Работы!$A$2:$A$6000,0)),"")</f>
        <v/>
      </c>
      <c r="F1136" t="str">
        <f>IFERROR(INDEX(Работы!$G$2:$G$6000,MATCH($C1136,Работы!$A$2:$A$6000,0)),"")</f>
        <v/>
      </c>
      <c r="G1136" t="str">
        <f>IFERROR(INDEX(Работы!$K$2:$K$6000,MATCH($C1136,Работы!$A$2:$A$6000,0)),"")</f>
        <v/>
      </c>
      <c r="H1136" s="9"/>
      <c r="I1136" s="9"/>
      <c r="J1136" s="8" t="str">
        <f>IFERROR(INDEX(Материалы!$B$2:$B$9000,MATCH($I1136,Материалы!$A$2:$A$9000,0)),"")</f>
        <v/>
      </c>
      <c r="K1136" t="str">
        <f>IF($I1136="","",IF($F1136=IFERROR(INDEX(Материалы!$G$2:$G$9000,MATCH($I1136,Материалы!$A$2:$A$9000,0)),""),"OK","!! не та группа"))</f>
        <v/>
      </c>
      <c r="L1136" s="10">
        <f>IFERROR(INDEX(Работы!$H$2:$H$6000,MATCH($C1136,Работы!$A$2:$A$6000,0))*(1-ДисконтТендер),0)</f>
        <v>0</v>
      </c>
      <c r="M1136" s="10">
        <f>IF($I1136="",0,IFERROR(INDEX(Материалы!$I$2:$I$9000,MATCH($I1136,Материалы!$A$2:$A$9000,0))*IF(INDEX(Материалы!$J$2:$J$9000,MATCH($I1136,Материалы!$A$2:$A$9000,0))="USD",КурсUSD,IF(INDEX(Материалы!$J$2:$J$9000,MATCH($I1136,Материалы!$A$2:$A$9000,0))="EUR",КурсEUR,1))*INDEX(Материалы!$K$2:$K$9000,MATCH($I1136,Материалы!$A$2:$A$9000,0))*(1+IFERROR(INDEX(Работы!$I$2:$I$6000,MATCH($C1136,Работы!$A$2:$A$6000,0))/100,0))*(1-ДисконтТендер),0))</f>
        <v>0</v>
      </c>
      <c r="N1136" s="10">
        <f t="shared" si="51"/>
        <v>0</v>
      </c>
      <c r="O1136" s="10">
        <f t="shared" si="52"/>
        <v>0</v>
      </c>
      <c r="P1136" s="10">
        <f t="shared" si="53"/>
        <v>0</v>
      </c>
      <c r="Q1136" t="str">
        <f>IFERROR(INDEX(Работы!$J$2:$J$6000,MATCH($C1136,Работы!$A$2:$A$6000,0)),"")</f>
        <v/>
      </c>
      <c r="R1136" t="s">
        <v>92</v>
      </c>
      <c r="T1136" t="str">
        <f>IF(AND($P1136&gt;0,$R1136="да"),MAX($T$1:$T1135)+1,"")</f>
        <v/>
      </c>
    </row>
    <row r="1137" spans="1:20" x14ac:dyDescent="0.3">
      <c r="A1137" s="11" t="str">
        <f>IFERROR(INDEX(Работы!$D$2:$D$6000,MATCH($C1137,Работы!$A$2:$A$6000,0)),"")</f>
        <v/>
      </c>
      <c r="B1137" t="str">
        <f>IFERROR(INDEX(Работы!$F$2:$F$6000,MATCH($C1137,Работы!$A$2:$A$6000,0)),"")</f>
        <v/>
      </c>
      <c r="C1137">
        <f>IFERROR(INDEX(Работы!$A$2:$A$6000,1136),"")</f>
        <v>0</v>
      </c>
      <c r="D1137" s="8" t="str">
        <f>IFERROR(INDEX(Работы!$B$2:$B$6000,MATCH($C1137,Работы!$A$2:$A$6000,0)),"")</f>
        <v/>
      </c>
      <c r="E1137" t="str">
        <f>IFERROR(INDEX(Работы!$C$2:$C$6000,MATCH($C1137,Работы!$A$2:$A$6000,0)),"")</f>
        <v/>
      </c>
      <c r="F1137" t="str">
        <f>IFERROR(INDEX(Работы!$G$2:$G$6000,MATCH($C1137,Работы!$A$2:$A$6000,0)),"")</f>
        <v/>
      </c>
      <c r="G1137" t="str">
        <f>IFERROR(INDEX(Работы!$K$2:$K$6000,MATCH($C1137,Работы!$A$2:$A$6000,0)),"")</f>
        <v/>
      </c>
      <c r="H1137" s="9"/>
      <c r="I1137" s="9"/>
      <c r="J1137" s="8" t="str">
        <f>IFERROR(INDEX(Материалы!$B$2:$B$9000,MATCH($I1137,Материалы!$A$2:$A$9000,0)),"")</f>
        <v/>
      </c>
      <c r="K1137" t="str">
        <f>IF($I1137="","",IF($F1137=IFERROR(INDEX(Материалы!$G$2:$G$9000,MATCH($I1137,Материалы!$A$2:$A$9000,0)),""),"OK","!! не та группа"))</f>
        <v/>
      </c>
      <c r="L1137" s="10">
        <f>IFERROR(INDEX(Работы!$H$2:$H$6000,MATCH($C1137,Работы!$A$2:$A$6000,0))*(1-ДисконтТендер),0)</f>
        <v>0</v>
      </c>
      <c r="M1137" s="10">
        <f>IF($I1137="",0,IFERROR(INDEX(Материалы!$I$2:$I$9000,MATCH($I1137,Материалы!$A$2:$A$9000,0))*IF(INDEX(Материалы!$J$2:$J$9000,MATCH($I1137,Материалы!$A$2:$A$9000,0))="USD",КурсUSD,IF(INDEX(Материалы!$J$2:$J$9000,MATCH($I1137,Материалы!$A$2:$A$9000,0))="EUR",КурсEUR,1))*INDEX(Материалы!$K$2:$K$9000,MATCH($I1137,Материалы!$A$2:$A$9000,0))*(1+IFERROR(INDEX(Работы!$I$2:$I$6000,MATCH($C1137,Работы!$A$2:$A$6000,0))/100,0))*(1-ДисконтТендер),0))</f>
        <v>0</v>
      </c>
      <c r="N1137" s="10">
        <f t="shared" si="51"/>
        <v>0</v>
      </c>
      <c r="O1137" s="10">
        <f t="shared" si="52"/>
        <v>0</v>
      </c>
      <c r="P1137" s="10">
        <f t="shared" si="53"/>
        <v>0</v>
      </c>
      <c r="Q1137" t="str">
        <f>IFERROR(INDEX(Работы!$J$2:$J$6000,MATCH($C1137,Работы!$A$2:$A$6000,0)),"")</f>
        <v/>
      </c>
      <c r="R1137" t="s">
        <v>92</v>
      </c>
      <c r="T1137" t="str">
        <f>IF(AND($P1137&gt;0,$R1137="да"),MAX($T$1:$T1136)+1,"")</f>
        <v/>
      </c>
    </row>
    <row r="1138" spans="1:20" x14ac:dyDescent="0.3">
      <c r="A1138" s="11" t="str">
        <f>IFERROR(INDEX(Работы!$D$2:$D$6000,MATCH($C1138,Работы!$A$2:$A$6000,0)),"")</f>
        <v/>
      </c>
      <c r="B1138" t="str">
        <f>IFERROR(INDEX(Работы!$F$2:$F$6000,MATCH($C1138,Работы!$A$2:$A$6000,0)),"")</f>
        <v/>
      </c>
      <c r="C1138">
        <f>IFERROR(INDEX(Работы!$A$2:$A$6000,1137),"")</f>
        <v>0</v>
      </c>
      <c r="D1138" s="8" t="str">
        <f>IFERROR(INDEX(Работы!$B$2:$B$6000,MATCH($C1138,Работы!$A$2:$A$6000,0)),"")</f>
        <v/>
      </c>
      <c r="E1138" t="str">
        <f>IFERROR(INDEX(Работы!$C$2:$C$6000,MATCH($C1138,Работы!$A$2:$A$6000,0)),"")</f>
        <v/>
      </c>
      <c r="F1138" t="str">
        <f>IFERROR(INDEX(Работы!$G$2:$G$6000,MATCH($C1138,Работы!$A$2:$A$6000,0)),"")</f>
        <v/>
      </c>
      <c r="G1138" t="str">
        <f>IFERROR(INDEX(Работы!$K$2:$K$6000,MATCH($C1138,Работы!$A$2:$A$6000,0)),"")</f>
        <v/>
      </c>
      <c r="H1138" s="9"/>
      <c r="I1138" s="9"/>
      <c r="J1138" s="8" t="str">
        <f>IFERROR(INDEX(Материалы!$B$2:$B$9000,MATCH($I1138,Материалы!$A$2:$A$9000,0)),"")</f>
        <v/>
      </c>
      <c r="K1138" t="str">
        <f>IF($I1138="","",IF($F1138=IFERROR(INDEX(Материалы!$G$2:$G$9000,MATCH($I1138,Материалы!$A$2:$A$9000,0)),""),"OK","!! не та группа"))</f>
        <v/>
      </c>
      <c r="L1138" s="10">
        <f>IFERROR(INDEX(Работы!$H$2:$H$6000,MATCH($C1138,Работы!$A$2:$A$6000,0))*(1-ДисконтТендер),0)</f>
        <v>0</v>
      </c>
      <c r="M1138" s="10">
        <f>IF($I1138="",0,IFERROR(INDEX(Материалы!$I$2:$I$9000,MATCH($I1138,Материалы!$A$2:$A$9000,0))*IF(INDEX(Материалы!$J$2:$J$9000,MATCH($I1138,Материалы!$A$2:$A$9000,0))="USD",КурсUSD,IF(INDEX(Материалы!$J$2:$J$9000,MATCH($I1138,Материалы!$A$2:$A$9000,0))="EUR",КурсEUR,1))*INDEX(Материалы!$K$2:$K$9000,MATCH($I1138,Материалы!$A$2:$A$9000,0))*(1+IFERROR(INDEX(Работы!$I$2:$I$6000,MATCH($C1138,Работы!$A$2:$A$6000,0))/100,0))*(1-ДисконтТендер),0))</f>
        <v>0</v>
      </c>
      <c r="N1138" s="10">
        <f t="shared" si="51"/>
        <v>0</v>
      </c>
      <c r="O1138" s="10">
        <f t="shared" si="52"/>
        <v>0</v>
      </c>
      <c r="P1138" s="10">
        <f t="shared" si="53"/>
        <v>0</v>
      </c>
      <c r="Q1138" t="str">
        <f>IFERROR(INDEX(Работы!$J$2:$J$6000,MATCH($C1138,Работы!$A$2:$A$6000,0)),"")</f>
        <v/>
      </c>
      <c r="R1138" t="s">
        <v>92</v>
      </c>
      <c r="T1138" t="str">
        <f>IF(AND($P1138&gt;0,$R1138="да"),MAX($T$1:$T1137)+1,"")</f>
        <v/>
      </c>
    </row>
    <row r="1139" spans="1:20" x14ac:dyDescent="0.3">
      <c r="A1139" s="11" t="str">
        <f>IFERROR(INDEX(Работы!$D$2:$D$6000,MATCH($C1139,Работы!$A$2:$A$6000,0)),"")</f>
        <v/>
      </c>
      <c r="B1139" t="str">
        <f>IFERROR(INDEX(Работы!$F$2:$F$6000,MATCH($C1139,Работы!$A$2:$A$6000,0)),"")</f>
        <v/>
      </c>
      <c r="C1139">
        <f>IFERROR(INDEX(Работы!$A$2:$A$6000,1138),"")</f>
        <v>0</v>
      </c>
      <c r="D1139" s="8" t="str">
        <f>IFERROR(INDEX(Работы!$B$2:$B$6000,MATCH($C1139,Работы!$A$2:$A$6000,0)),"")</f>
        <v/>
      </c>
      <c r="E1139" t="str">
        <f>IFERROR(INDEX(Работы!$C$2:$C$6000,MATCH($C1139,Работы!$A$2:$A$6000,0)),"")</f>
        <v/>
      </c>
      <c r="F1139" t="str">
        <f>IFERROR(INDEX(Работы!$G$2:$G$6000,MATCH($C1139,Работы!$A$2:$A$6000,0)),"")</f>
        <v/>
      </c>
      <c r="G1139" t="str">
        <f>IFERROR(INDEX(Работы!$K$2:$K$6000,MATCH($C1139,Работы!$A$2:$A$6000,0)),"")</f>
        <v/>
      </c>
      <c r="H1139" s="9"/>
      <c r="I1139" s="9"/>
      <c r="J1139" s="8" t="str">
        <f>IFERROR(INDEX(Материалы!$B$2:$B$9000,MATCH($I1139,Материалы!$A$2:$A$9000,0)),"")</f>
        <v/>
      </c>
      <c r="K1139" t="str">
        <f>IF($I1139="","",IF($F1139=IFERROR(INDEX(Материалы!$G$2:$G$9000,MATCH($I1139,Материалы!$A$2:$A$9000,0)),""),"OK","!! не та группа"))</f>
        <v/>
      </c>
      <c r="L1139" s="10">
        <f>IFERROR(INDEX(Работы!$H$2:$H$6000,MATCH($C1139,Работы!$A$2:$A$6000,0))*(1-ДисконтТендер),0)</f>
        <v>0</v>
      </c>
      <c r="M1139" s="10">
        <f>IF($I1139="",0,IFERROR(INDEX(Материалы!$I$2:$I$9000,MATCH($I1139,Материалы!$A$2:$A$9000,0))*IF(INDEX(Материалы!$J$2:$J$9000,MATCH($I1139,Материалы!$A$2:$A$9000,0))="USD",КурсUSD,IF(INDEX(Материалы!$J$2:$J$9000,MATCH($I1139,Материалы!$A$2:$A$9000,0))="EUR",КурсEUR,1))*INDEX(Материалы!$K$2:$K$9000,MATCH($I1139,Материалы!$A$2:$A$9000,0))*(1+IFERROR(INDEX(Работы!$I$2:$I$6000,MATCH($C1139,Работы!$A$2:$A$6000,0))/100,0))*(1-ДисконтТендер),0))</f>
        <v>0</v>
      </c>
      <c r="N1139" s="10">
        <f t="shared" si="51"/>
        <v>0</v>
      </c>
      <c r="O1139" s="10">
        <f t="shared" si="52"/>
        <v>0</v>
      </c>
      <c r="P1139" s="10">
        <f t="shared" si="53"/>
        <v>0</v>
      </c>
      <c r="Q1139" t="str">
        <f>IFERROR(INDEX(Работы!$J$2:$J$6000,MATCH($C1139,Работы!$A$2:$A$6000,0)),"")</f>
        <v/>
      </c>
      <c r="R1139" t="s">
        <v>92</v>
      </c>
      <c r="T1139" t="str">
        <f>IF(AND($P1139&gt;0,$R1139="да"),MAX($T$1:$T1138)+1,"")</f>
        <v/>
      </c>
    </row>
    <row r="1140" spans="1:20" x14ac:dyDescent="0.3">
      <c r="A1140" s="11" t="str">
        <f>IFERROR(INDEX(Работы!$D$2:$D$6000,MATCH($C1140,Работы!$A$2:$A$6000,0)),"")</f>
        <v/>
      </c>
      <c r="B1140" t="str">
        <f>IFERROR(INDEX(Работы!$F$2:$F$6000,MATCH($C1140,Работы!$A$2:$A$6000,0)),"")</f>
        <v/>
      </c>
      <c r="C1140">
        <f>IFERROR(INDEX(Работы!$A$2:$A$6000,1139),"")</f>
        <v>0</v>
      </c>
      <c r="D1140" s="8" t="str">
        <f>IFERROR(INDEX(Работы!$B$2:$B$6000,MATCH($C1140,Работы!$A$2:$A$6000,0)),"")</f>
        <v/>
      </c>
      <c r="E1140" t="str">
        <f>IFERROR(INDEX(Работы!$C$2:$C$6000,MATCH($C1140,Работы!$A$2:$A$6000,0)),"")</f>
        <v/>
      </c>
      <c r="F1140" t="str">
        <f>IFERROR(INDEX(Работы!$G$2:$G$6000,MATCH($C1140,Работы!$A$2:$A$6000,0)),"")</f>
        <v/>
      </c>
      <c r="G1140" t="str">
        <f>IFERROR(INDEX(Работы!$K$2:$K$6000,MATCH($C1140,Работы!$A$2:$A$6000,0)),"")</f>
        <v/>
      </c>
      <c r="H1140" s="9"/>
      <c r="I1140" s="9"/>
      <c r="J1140" s="8" t="str">
        <f>IFERROR(INDEX(Материалы!$B$2:$B$9000,MATCH($I1140,Материалы!$A$2:$A$9000,0)),"")</f>
        <v/>
      </c>
      <c r="K1140" t="str">
        <f>IF($I1140="","",IF($F1140=IFERROR(INDEX(Материалы!$G$2:$G$9000,MATCH($I1140,Материалы!$A$2:$A$9000,0)),""),"OK","!! не та группа"))</f>
        <v/>
      </c>
      <c r="L1140" s="10">
        <f>IFERROR(INDEX(Работы!$H$2:$H$6000,MATCH($C1140,Работы!$A$2:$A$6000,0))*(1-ДисконтТендер),0)</f>
        <v>0</v>
      </c>
      <c r="M1140" s="10">
        <f>IF($I1140="",0,IFERROR(INDEX(Материалы!$I$2:$I$9000,MATCH($I1140,Материалы!$A$2:$A$9000,0))*IF(INDEX(Материалы!$J$2:$J$9000,MATCH($I1140,Материалы!$A$2:$A$9000,0))="USD",КурсUSD,IF(INDEX(Материалы!$J$2:$J$9000,MATCH($I1140,Материалы!$A$2:$A$9000,0))="EUR",КурсEUR,1))*INDEX(Материалы!$K$2:$K$9000,MATCH($I1140,Материалы!$A$2:$A$9000,0))*(1+IFERROR(INDEX(Работы!$I$2:$I$6000,MATCH($C1140,Работы!$A$2:$A$6000,0))/100,0))*(1-ДисконтТендер),0))</f>
        <v>0</v>
      </c>
      <c r="N1140" s="10">
        <f t="shared" si="51"/>
        <v>0</v>
      </c>
      <c r="O1140" s="10">
        <f t="shared" si="52"/>
        <v>0</v>
      </c>
      <c r="P1140" s="10">
        <f t="shared" si="53"/>
        <v>0</v>
      </c>
      <c r="Q1140" t="str">
        <f>IFERROR(INDEX(Работы!$J$2:$J$6000,MATCH($C1140,Работы!$A$2:$A$6000,0)),"")</f>
        <v/>
      </c>
      <c r="R1140" t="s">
        <v>92</v>
      </c>
      <c r="T1140" t="str">
        <f>IF(AND($P1140&gt;0,$R1140="да"),MAX($T$1:$T1139)+1,"")</f>
        <v/>
      </c>
    </row>
    <row r="1141" spans="1:20" x14ac:dyDescent="0.3">
      <c r="A1141" s="11" t="str">
        <f>IFERROR(INDEX(Работы!$D$2:$D$6000,MATCH($C1141,Работы!$A$2:$A$6000,0)),"")</f>
        <v/>
      </c>
      <c r="B1141" t="str">
        <f>IFERROR(INDEX(Работы!$F$2:$F$6000,MATCH($C1141,Работы!$A$2:$A$6000,0)),"")</f>
        <v/>
      </c>
      <c r="C1141">
        <f>IFERROR(INDEX(Работы!$A$2:$A$6000,1140),"")</f>
        <v>0</v>
      </c>
      <c r="D1141" s="8" t="str">
        <f>IFERROR(INDEX(Работы!$B$2:$B$6000,MATCH($C1141,Работы!$A$2:$A$6000,0)),"")</f>
        <v/>
      </c>
      <c r="E1141" t="str">
        <f>IFERROR(INDEX(Работы!$C$2:$C$6000,MATCH($C1141,Работы!$A$2:$A$6000,0)),"")</f>
        <v/>
      </c>
      <c r="F1141" t="str">
        <f>IFERROR(INDEX(Работы!$G$2:$G$6000,MATCH($C1141,Работы!$A$2:$A$6000,0)),"")</f>
        <v/>
      </c>
      <c r="G1141" t="str">
        <f>IFERROR(INDEX(Работы!$K$2:$K$6000,MATCH($C1141,Работы!$A$2:$A$6000,0)),"")</f>
        <v/>
      </c>
      <c r="H1141" s="9"/>
      <c r="I1141" s="9"/>
      <c r="J1141" s="8" t="str">
        <f>IFERROR(INDEX(Материалы!$B$2:$B$9000,MATCH($I1141,Материалы!$A$2:$A$9000,0)),"")</f>
        <v/>
      </c>
      <c r="K1141" t="str">
        <f>IF($I1141="","",IF($F1141=IFERROR(INDEX(Материалы!$G$2:$G$9000,MATCH($I1141,Материалы!$A$2:$A$9000,0)),""),"OK","!! не та группа"))</f>
        <v/>
      </c>
      <c r="L1141" s="10">
        <f>IFERROR(INDEX(Работы!$H$2:$H$6000,MATCH($C1141,Работы!$A$2:$A$6000,0))*(1-ДисконтТендер),0)</f>
        <v>0</v>
      </c>
      <c r="M1141" s="10">
        <f>IF($I1141="",0,IFERROR(INDEX(Материалы!$I$2:$I$9000,MATCH($I1141,Материалы!$A$2:$A$9000,0))*IF(INDEX(Материалы!$J$2:$J$9000,MATCH($I1141,Материалы!$A$2:$A$9000,0))="USD",КурсUSD,IF(INDEX(Материалы!$J$2:$J$9000,MATCH($I1141,Материалы!$A$2:$A$9000,0))="EUR",КурсEUR,1))*INDEX(Материалы!$K$2:$K$9000,MATCH($I1141,Материалы!$A$2:$A$9000,0))*(1+IFERROR(INDEX(Работы!$I$2:$I$6000,MATCH($C1141,Работы!$A$2:$A$6000,0))/100,0))*(1-ДисконтТендер),0))</f>
        <v>0</v>
      </c>
      <c r="N1141" s="10">
        <f t="shared" si="51"/>
        <v>0</v>
      </c>
      <c r="O1141" s="10">
        <f t="shared" si="52"/>
        <v>0</v>
      </c>
      <c r="P1141" s="10">
        <f t="shared" si="53"/>
        <v>0</v>
      </c>
      <c r="Q1141" t="str">
        <f>IFERROR(INDEX(Работы!$J$2:$J$6000,MATCH($C1141,Работы!$A$2:$A$6000,0)),"")</f>
        <v/>
      </c>
      <c r="R1141" t="s">
        <v>92</v>
      </c>
      <c r="T1141" t="str">
        <f>IF(AND($P1141&gt;0,$R1141="да"),MAX($T$1:$T1140)+1,"")</f>
        <v/>
      </c>
    </row>
    <row r="1142" spans="1:20" x14ac:dyDescent="0.3">
      <c r="A1142" s="11" t="str">
        <f>IFERROR(INDEX(Работы!$D$2:$D$6000,MATCH($C1142,Работы!$A$2:$A$6000,0)),"")</f>
        <v/>
      </c>
      <c r="B1142" t="str">
        <f>IFERROR(INDEX(Работы!$F$2:$F$6000,MATCH($C1142,Работы!$A$2:$A$6000,0)),"")</f>
        <v/>
      </c>
      <c r="C1142">
        <f>IFERROR(INDEX(Работы!$A$2:$A$6000,1141),"")</f>
        <v>0</v>
      </c>
      <c r="D1142" s="8" t="str">
        <f>IFERROR(INDEX(Работы!$B$2:$B$6000,MATCH($C1142,Работы!$A$2:$A$6000,0)),"")</f>
        <v/>
      </c>
      <c r="E1142" t="str">
        <f>IFERROR(INDEX(Работы!$C$2:$C$6000,MATCH($C1142,Работы!$A$2:$A$6000,0)),"")</f>
        <v/>
      </c>
      <c r="F1142" t="str">
        <f>IFERROR(INDEX(Работы!$G$2:$G$6000,MATCH($C1142,Работы!$A$2:$A$6000,0)),"")</f>
        <v/>
      </c>
      <c r="G1142" t="str">
        <f>IFERROR(INDEX(Работы!$K$2:$K$6000,MATCH($C1142,Работы!$A$2:$A$6000,0)),"")</f>
        <v/>
      </c>
      <c r="H1142" s="9"/>
      <c r="I1142" s="9"/>
      <c r="J1142" s="8" t="str">
        <f>IFERROR(INDEX(Материалы!$B$2:$B$9000,MATCH($I1142,Материалы!$A$2:$A$9000,0)),"")</f>
        <v/>
      </c>
      <c r="K1142" t="str">
        <f>IF($I1142="","",IF($F1142=IFERROR(INDEX(Материалы!$G$2:$G$9000,MATCH($I1142,Материалы!$A$2:$A$9000,0)),""),"OK","!! не та группа"))</f>
        <v/>
      </c>
      <c r="L1142" s="10">
        <f>IFERROR(INDEX(Работы!$H$2:$H$6000,MATCH($C1142,Работы!$A$2:$A$6000,0))*(1-ДисконтТендер),0)</f>
        <v>0</v>
      </c>
      <c r="M1142" s="10">
        <f>IF($I1142="",0,IFERROR(INDEX(Материалы!$I$2:$I$9000,MATCH($I1142,Материалы!$A$2:$A$9000,0))*IF(INDEX(Материалы!$J$2:$J$9000,MATCH($I1142,Материалы!$A$2:$A$9000,0))="USD",КурсUSD,IF(INDEX(Материалы!$J$2:$J$9000,MATCH($I1142,Материалы!$A$2:$A$9000,0))="EUR",КурсEUR,1))*INDEX(Материалы!$K$2:$K$9000,MATCH($I1142,Материалы!$A$2:$A$9000,0))*(1+IFERROR(INDEX(Работы!$I$2:$I$6000,MATCH($C1142,Работы!$A$2:$A$6000,0))/100,0))*(1-ДисконтТендер),0))</f>
        <v>0</v>
      </c>
      <c r="N1142" s="10">
        <f t="shared" si="51"/>
        <v>0</v>
      </c>
      <c r="O1142" s="10">
        <f t="shared" si="52"/>
        <v>0</v>
      </c>
      <c r="P1142" s="10">
        <f t="shared" si="53"/>
        <v>0</v>
      </c>
      <c r="Q1142" t="str">
        <f>IFERROR(INDEX(Работы!$J$2:$J$6000,MATCH($C1142,Работы!$A$2:$A$6000,0)),"")</f>
        <v/>
      </c>
      <c r="R1142" t="s">
        <v>92</v>
      </c>
      <c r="T1142" t="str">
        <f>IF(AND($P1142&gt;0,$R1142="да"),MAX($T$1:$T1141)+1,"")</f>
        <v/>
      </c>
    </row>
    <row r="1143" spans="1:20" x14ac:dyDescent="0.3">
      <c r="A1143" s="11" t="str">
        <f>IFERROR(INDEX(Работы!$D$2:$D$6000,MATCH($C1143,Работы!$A$2:$A$6000,0)),"")</f>
        <v/>
      </c>
      <c r="B1143" t="str">
        <f>IFERROR(INDEX(Работы!$F$2:$F$6000,MATCH($C1143,Работы!$A$2:$A$6000,0)),"")</f>
        <v/>
      </c>
      <c r="C1143">
        <f>IFERROR(INDEX(Работы!$A$2:$A$6000,1142),"")</f>
        <v>0</v>
      </c>
      <c r="D1143" s="8" t="str">
        <f>IFERROR(INDEX(Работы!$B$2:$B$6000,MATCH($C1143,Работы!$A$2:$A$6000,0)),"")</f>
        <v/>
      </c>
      <c r="E1143" t="str">
        <f>IFERROR(INDEX(Работы!$C$2:$C$6000,MATCH($C1143,Работы!$A$2:$A$6000,0)),"")</f>
        <v/>
      </c>
      <c r="F1143" t="str">
        <f>IFERROR(INDEX(Работы!$G$2:$G$6000,MATCH($C1143,Работы!$A$2:$A$6000,0)),"")</f>
        <v/>
      </c>
      <c r="G1143" t="str">
        <f>IFERROR(INDEX(Работы!$K$2:$K$6000,MATCH($C1143,Работы!$A$2:$A$6000,0)),"")</f>
        <v/>
      </c>
      <c r="H1143" s="9"/>
      <c r="I1143" s="9"/>
      <c r="J1143" s="8" t="str">
        <f>IFERROR(INDEX(Материалы!$B$2:$B$9000,MATCH($I1143,Материалы!$A$2:$A$9000,0)),"")</f>
        <v/>
      </c>
      <c r="K1143" t="str">
        <f>IF($I1143="","",IF($F1143=IFERROR(INDEX(Материалы!$G$2:$G$9000,MATCH($I1143,Материалы!$A$2:$A$9000,0)),""),"OK","!! не та группа"))</f>
        <v/>
      </c>
      <c r="L1143" s="10">
        <f>IFERROR(INDEX(Работы!$H$2:$H$6000,MATCH($C1143,Работы!$A$2:$A$6000,0))*(1-ДисконтТендер),0)</f>
        <v>0</v>
      </c>
      <c r="M1143" s="10">
        <f>IF($I1143="",0,IFERROR(INDEX(Материалы!$I$2:$I$9000,MATCH($I1143,Материалы!$A$2:$A$9000,0))*IF(INDEX(Материалы!$J$2:$J$9000,MATCH($I1143,Материалы!$A$2:$A$9000,0))="USD",КурсUSD,IF(INDEX(Материалы!$J$2:$J$9000,MATCH($I1143,Материалы!$A$2:$A$9000,0))="EUR",КурсEUR,1))*INDEX(Материалы!$K$2:$K$9000,MATCH($I1143,Материалы!$A$2:$A$9000,0))*(1+IFERROR(INDEX(Работы!$I$2:$I$6000,MATCH($C1143,Работы!$A$2:$A$6000,0))/100,0))*(1-ДисконтТендер),0))</f>
        <v>0</v>
      </c>
      <c r="N1143" s="10">
        <f t="shared" si="51"/>
        <v>0</v>
      </c>
      <c r="O1143" s="10">
        <f t="shared" si="52"/>
        <v>0</v>
      </c>
      <c r="P1143" s="10">
        <f t="shared" si="53"/>
        <v>0</v>
      </c>
      <c r="Q1143" t="str">
        <f>IFERROR(INDEX(Работы!$J$2:$J$6000,MATCH($C1143,Работы!$A$2:$A$6000,0)),"")</f>
        <v/>
      </c>
      <c r="R1143" t="s">
        <v>92</v>
      </c>
      <c r="T1143" t="str">
        <f>IF(AND($P1143&gt;0,$R1143="да"),MAX($T$1:$T1142)+1,"")</f>
        <v/>
      </c>
    </row>
    <row r="1144" spans="1:20" x14ac:dyDescent="0.3">
      <c r="A1144" s="11" t="str">
        <f>IFERROR(INDEX(Работы!$D$2:$D$6000,MATCH($C1144,Работы!$A$2:$A$6000,0)),"")</f>
        <v/>
      </c>
      <c r="B1144" t="str">
        <f>IFERROR(INDEX(Работы!$F$2:$F$6000,MATCH($C1144,Работы!$A$2:$A$6000,0)),"")</f>
        <v/>
      </c>
      <c r="C1144">
        <f>IFERROR(INDEX(Работы!$A$2:$A$6000,1143),"")</f>
        <v>0</v>
      </c>
      <c r="D1144" s="8" t="str">
        <f>IFERROR(INDEX(Работы!$B$2:$B$6000,MATCH($C1144,Работы!$A$2:$A$6000,0)),"")</f>
        <v/>
      </c>
      <c r="E1144" t="str">
        <f>IFERROR(INDEX(Работы!$C$2:$C$6000,MATCH($C1144,Работы!$A$2:$A$6000,0)),"")</f>
        <v/>
      </c>
      <c r="F1144" t="str">
        <f>IFERROR(INDEX(Работы!$G$2:$G$6000,MATCH($C1144,Работы!$A$2:$A$6000,0)),"")</f>
        <v/>
      </c>
      <c r="G1144" t="str">
        <f>IFERROR(INDEX(Работы!$K$2:$K$6000,MATCH($C1144,Работы!$A$2:$A$6000,0)),"")</f>
        <v/>
      </c>
      <c r="H1144" s="9"/>
      <c r="I1144" s="9"/>
      <c r="J1144" s="8" t="str">
        <f>IFERROR(INDEX(Материалы!$B$2:$B$9000,MATCH($I1144,Материалы!$A$2:$A$9000,0)),"")</f>
        <v/>
      </c>
      <c r="K1144" t="str">
        <f>IF($I1144="","",IF($F1144=IFERROR(INDEX(Материалы!$G$2:$G$9000,MATCH($I1144,Материалы!$A$2:$A$9000,0)),""),"OK","!! не та группа"))</f>
        <v/>
      </c>
      <c r="L1144" s="10">
        <f>IFERROR(INDEX(Работы!$H$2:$H$6000,MATCH($C1144,Работы!$A$2:$A$6000,0))*(1-ДисконтТендер),0)</f>
        <v>0</v>
      </c>
      <c r="M1144" s="10">
        <f>IF($I1144="",0,IFERROR(INDEX(Материалы!$I$2:$I$9000,MATCH($I1144,Материалы!$A$2:$A$9000,0))*IF(INDEX(Материалы!$J$2:$J$9000,MATCH($I1144,Материалы!$A$2:$A$9000,0))="USD",КурсUSD,IF(INDEX(Материалы!$J$2:$J$9000,MATCH($I1144,Материалы!$A$2:$A$9000,0))="EUR",КурсEUR,1))*INDEX(Материалы!$K$2:$K$9000,MATCH($I1144,Материалы!$A$2:$A$9000,0))*(1+IFERROR(INDEX(Работы!$I$2:$I$6000,MATCH($C1144,Работы!$A$2:$A$6000,0))/100,0))*(1-ДисконтТендер),0))</f>
        <v>0</v>
      </c>
      <c r="N1144" s="10">
        <f t="shared" si="51"/>
        <v>0</v>
      </c>
      <c r="O1144" s="10">
        <f t="shared" si="52"/>
        <v>0</v>
      </c>
      <c r="P1144" s="10">
        <f t="shared" si="53"/>
        <v>0</v>
      </c>
      <c r="Q1144" t="str">
        <f>IFERROR(INDEX(Работы!$J$2:$J$6000,MATCH($C1144,Работы!$A$2:$A$6000,0)),"")</f>
        <v/>
      </c>
      <c r="R1144" t="s">
        <v>92</v>
      </c>
      <c r="T1144" t="str">
        <f>IF(AND($P1144&gt;0,$R1144="да"),MAX($T$1:$T1143)+1,"")</f>
        <v/>
      </c>
    </row>
    <row r="1145" spans="1:20" x14ac:dyDescent="0.3">
      <c r="A1145" s="11" t="str">
        <f>IFERROR(INDEX(Работы!$D$2:$D$6000,MATCH($C1145,Работы!$A$2:$A$6000,0)),"")</f>
        <v/>
      </c>
      <c r="B1145" t="str">
        <f>IFERROR(INDEX(Работы!$F$2:$F$6000,MATCH($C1145,Работы!$A$2:$A$6000,0)),"")</f>
        <v/>
      </c>
      <c r="C1145">
        <f>IFERROR(INDEX(Работы!$A$2:$A$6000,1144),"")</f>
        <v>0</v>
      </c>
      <c r="D1145" s="8" t="str">
        <f>IFERROR(INDEX(Работы!$B$2:$B$6000,MATCH($C1145,Работы!$A$2:$A$6000,0)),"")</f>
        <v/>
      </c>
      <c r="E1145" t="str">
        <f>IFERROR(INDEX(Работы!$C$2:$C$6000,MATCH($C1145,Работы!$A$2:$A$6000,0)),"")</f>
        <v/>
      </c>
      <c r="F1145" t="str">
        <f>IFERROR(INDEX(Работы!$G$2:$G$6000,MATCH($C1145,Работы!$A$2:$A$6000,0)),"")</f>
        <v/>
      </c>
      <c r="G1145" t="str">
        <f>IFERROR(INDEX(Работы!$K$2:$K$6000,MATCH($C1145,Работы!$A$2:$A$6000,0)),"")</f>
        <v/>
      </c>
      <c r="H1145" s="9"/>
      <c r="I1145" s="9"/>
      <c r="J1145" s="8" t="str">
        <f>IFERROR(INDEX(Материалы!$B$2:$B$9000,MATCH($I1145,Материалы!$A$2:$A$9000,0)),"")</f>
        <v/>
      </c>
      <c r="K1145" t="str">
        <f>IF($I1145="","",IF($F1145=IFERROR(INDEX(Материалы!$G$2:$G$9000,MATCH($I1145,Материалы!$A$2:$A$9000,0)),""),"OK","!! не та группа"))</f>
        <v/>
      </c>
      <c r="L1145" s="10">
        <f>IFERROR(INDEX(Работы!$H$2:$H$6000,MATCH($C1145,Работы!$A$2:$A$6000,0))*(1-ДисконтТендер),0)</f>
        <v>0</v>
      </c>
      <c r="M1145" s="10">
        <f>IF($I1145="",0,IFERROR(INDEX(Материалы!$I$2:$I$9000,MATCH($I1145,Материалы!$A$2:$A$9000,0))*IF(INDEX(Материалы!$J$2:$J$9000,MATCH($I1145,Материалы!$A$2:$A$9000,0))="USD",КурсUSD,IF(INDEX(Материалы!$J$2:$J$9000,MATCH($I1145,Материалы!$A$2:$A$9000,0))="EUR",КурсEUR,1))*INDEX(Материалы!$K$2:$K$9000,MATCH($I1145,Материалы!$A$2:$A$9000,0))*(1+IFERROR(INDEX(Работы!$I$2:$I$6000,MATCH($C1145,Работы!$A$2:$A$6000,0))/100,0))*(1-ДисконтТендер),0))</f>
        <v>0</v>
      </c>
      <c r="N1145" s="10">
        <f t="shared" si="51"/>
        <v>0</v>
      </c>
      <c r="O1145" s="10">
        <f t="shared" si="52"/>
        <v>0</v>
      </c>
      <c r="P1145" s="10">
        <f t="shared" si="53"/>
        <v>0</v>
      </c>
      <c r="Q1145" t="str">
        <f>IFERROR(INDEX(Работы!$J$2:$J$6000,MATCH($C1145,Работы!$A$2:$A$6000,0)),"")</f>
        <v/>
      </c>
      <c r="R1145" t="s">
        <v>92</v>
      </c>
      <c r="T1145" t="str">
        <f>IF(AND($P1145&gt;0,$R1145="да"),MAX($T$1:$T1144)+1,"")</f>
        <v/>
      </c>
    </row>
    <row r="1146" spans="1:20" x14ac:dyDescent="0.3">
      <c r="A1146" s="11" t="str">
        <f>IFERROR(INDEX(Работы!$D$2:$D$6000,MATCH($C1146,Работы!$A$2:$A$6000,0)),"")</f>
        <v/>
      </c>
      <c r="B1146" t="str">
        <f>IFERROR(INDEX(Работы!$F$2:$F$6000,MATCH($C1146,Работы!$A$2:$A$6000,0)),"")</f>
        <v/>
      </c>
      <c r="C1146">
        <f>IFERROR(INDEX(Работы!$A$2:$A$6000,1145),"")</f>
        <v>0</v>
      </c>
      <c r="D1146" s="8" t="str">
        <f>IFERROR(INDEX(Работы!$B$2:$B$6000,MATCH($C1146,Работы!$A$2:$A$6000,0)),"")</f>
        <v/>
      </c>
      <c r="E1146" t="str">
        <f>IFERROR(INDEX(Работы!$C$2:$C$6000,MATCH($C1146,Работы!$A$2:$A$6000,0)),"")</f>
        <v/>
      </c>
      <c r="F1146" t="str">
        <f>IFERROR(INDEX(Работы!$G$2:$G$6000,MATCH($C1146,Работы!$A$2:$A$6000,0)),"")</f>
        <v/>
      </c>
      <c r="G1146" t="str">
        <f>IFERROR(INDEX(Работы!$K$2:$K$6000,MATCH($C1146,Работы!$A$2:$A$6000,0)),"")</f>
        <v/>
      </c>
      <c r="H1146" s="9"/>
      <c r="I1146" s="9"/>
      <c r="J1146" s="8" t="str">
        <f>IFERROR(INDEX(Материалы!$B$2:$B$9000,MATCH($I1146,Материалы!$A$2:$A$9000,0)),"")</f>
        <v/>
      </c>
      <c r="K1146" t="str">
        <f>IF($I1146="","",IF($F1146=IFERROR(INDEX(Материалы!$G$2:$G$9000,MATCH($I1146,Материалы!$A$2:$A$9000,0)),""),"OK","!! не та группа"))</f>
        <v/>
      </c>
      <c r="L1146" s="10">
        <f>IFERROR(INDEX(Работы!$H$2:$H$6000,MATCH($C1146,Работы!$A$2:$A$6000,0))*(1-ДисконтТендер),0)</f>
        <v>0</v>
      </c>
      <c r="M1146" s="10">
        <f>IF($I1146="",0,IFERROR(INDEX(Материалы!$I$2:$I$9000,MATCH($I1146,Материалы!$A$2:$A$9000,0))*IF(INDEX(Материалы!$J$2:$J$9000,MATCH($I1146,Материалы!$A$2:$A$9000,0))="USD",КурсUSD,IF(INDEX(Материалы!$J$2:$J$9000,MATCH($I1146,Материалы!$A$2:$A$9000,0))="EUR",КурсEUR,1))*INDEX(Материалы!$K$2:$K$9000,MATCH($I1146,Материалы!$A$2:$A$9000,0))*(1+IFERROR(INDEX(Работы!$I$2:$I$6000,MATCH($C1146,Работы!$A$2:$A$6000,0))/100,0))*(1-ДисконтТендер),0))</f>
        <v>0</v>
      </c>
      <c r="N1146" s="10">
        <f t="shared" si="51"/>
        <v>0</v>
      </c>
      <c r="O1146" s="10">
        <f t="shared" si="52"/>
        <v>0</v>
      </c>
      <c r="P1146" s="10">
        <f t="shared" si="53"/>
        <v>0</v>
      </c>
      <c r="Q1146" t="str">
        <f>IFERROR(INDEX(Работы!$J$2:$J$6000,MATCH($C1146,Работы!$A$2:$A$6000,0)),"")</f>
        <v/>
      </c>
      <c r="R1146" t="s">
        <v>92</v>
      </c>
      <c r="T1146" t="str">
        <f>IF(AND($P1146&gt;0,$R1146="да"),MAX($T$1:$T1145)+1,"")</f>
        <v/>
      </c>
    </row>
    <row r="1147" spans="1:20" x14ac:dyDescent="0.3">
      <c r="A1147" s="11" t="str">
        <f>IFERROR(INDEX(Работы!$D$2:$D$6000,MATCH($C1147,Работы!$A$2:$A$6000,0)),"")</f>
        <v/>
      </c>
      <c r="B1147" t="str">
        <f>IFERROR(INDEX(Работы!$F$2:$F$6000,MATCH($C1147,Работы!$A$2:$A$6000,0)),"")</f>
        <v/>
      </c>
      <c r="C1147">
        <f>IFERROR(INDEX(Работы!$A$2:$A$6000,1146),"")</f>
        <v>0</v>
      </c>
      <c r="D1147" s="8" t="str">
        <f>IFERROR(INDEX(Работы!$B$2:$B$6000,MATCH($C1147,Работы!$A$2:$A$6000,0)),"")</f>
        <v/>
      </c>
      <c r="E1147" t="str">
        <f>IFERROR(INDEX(Работы!$C$2:$C$6000,MATCH($C1147,Работы!$A$2:$A$6000,0)),"")</f>
        <v/>
      </c>
      <c r="F1147" t="str">
        <f>IFERROR(INDEX(Работы!$G$2:$G$6000,MATCH($C1147,Работы!$A$2:$A$6000,0)),"")</f>
        <v/>
      </c>
      <c r="G1147" t="str">
        <f>IFERROR(INDEX(Работы!$K$2:$K$6000,MATCH($C1147,Работы!$A$2:$A$6000,0)),"")</f>
        <v/>
      </c>
      <c r="H1147" s="9"/>
      <c r="I1147" s="9"/>
      <c r="J1147" s="8" t="str">
        <f>IFERROR(INDEX(Материалы!$B$2:$B$9000,MATCH($I1147,Материалы!$A$2:$A$9000,0)),"")</f>
        <v/>
      </c>
      <c r="K1147" t="str">
        <f>IF($I1147="","",IF($F1147=IFERROR(INDEX(Материалы!$G$2:$G$9000,MATCH($I1147,Материалы!$A$2:$A$9000,0)),""),"OK","!! не та группа"))</f>
        <v/>
      </c>
      <c r="L1147" s="10">
        <f>IFERROR(INDEX(Работы!$H$2:$H$6000,MATCH($C1147,Работы!$A$2:$A$6000,0))*(1-ДисконтТендер),0)</f>
        <v>0</v>
      </c>
      <c r="M1147" s="10">
        <f>IF($I1147="",0,IFERROR(INDEX(Материалы!$I$2:$I$9000,MATCH($I1147,Материалы!$A$2:$A$9000,0))*IF(INDEX(Материалы!$J$2:$J$9000,MATCH($I1147,Материалы!$A$2:$A$9000,0))="USD",КурсUSD,IF(INDEX(Материалы!$J$2:$J$9000,MATCH($I1147,Материалы!$A$2:$A$9000,0))="EUR",КурсEUR,1))*INDEX(Материалы!$K$2:$K$9000,MATCH($I1147,Материалы!$A$2:$A$9000,0))*(1+IFERROR(INDEX(Работы!$I$2:$I$6000,MATCH($C1147,Работы!$A$2:$A$6000,0))/100,0))*(1-ДисконтТендер),0))</f>
        <v>0</v>
      </c>
      <c r="N1147" s="10">
        <f t="shared" si="51"/>
        <v>0</v>
      </c>
      <c r="O1147" s="10">
        <f t="shared" si="52"/>
        <v>0</v>
      </c>
      <c r="P1147" s="10">
        <f t="shared" si="53"/>
        <v>0</v>
      </c>
      <c r="Q1147" t="str">
        <f>IFERROR(INDEX(Работы!$J$2:$J$6000,MATCH($C1147,Работы!$A$2:$A$6000,0)),"")</f>
        <v/>
      </c>
      <c r="R1147" t="s">
        <v>92</v>
      </c>
      <c r="T1147" t="str">
        <f>IF(AND($P1147&gt;0,$R1147="да"),MAX($T$1:$T1146)+1,"")</f>
        <v/>
      </c>
    </row>
    <row r="1148" spans="1:20" x14ac:dyDescent="0.3">
      <c r="A1148" s="11" t="str">
        <f>IFERROR(INDEX(Работы!$D$2:$D$6000,MATCH($C1148,Работы!$A$2:$A$6000,0)),"")</f>
        <v/>
      </c>
      <c r="B1148" t="str">
        <f>IFERROR(INDEX(Работы!$F$2:$F$6000,MATCH($C1148,Работы!$A$2:$A$6000,0)),"")</f>
        <v/>
      </c>
      <c r="C1148">
        <f>IFERROR(INDEX(Работы!$A$2:$A$6000,1147),"")</f>
        <v>0</v>
      </c>
      <c r="D1148" s="8" t="str">
        <f>IFERROR(INDEX(Работы!$B$2:$B$6000,MATCH($C1148,Работы!$A$2:$A$6000,0)),"")</f>
        <v/>
      </c>
      <c r="E1148" t="str">
        <f>IFERROR(INDEX(Работы!$C$2:$C$6000,MATCH($C1148,Работы!$A$2:$A$6000,0)),"")</f>
        <v/>
      </c>
      <c r="F1148" t="str">
        <f>IFERROR(INDEX(Работы!$G$2:$G$6000,MATCH($C1148,Работы!$A$2:$A$6000,0)),"")</f>
        <v/>
      </c>
      <c r="G1148" t="str">
        <f>IFERROR(INDEX(Работы!$K$2:$K$6000,MATCH($C1148,Работы!$A$2:$A$6000,0)),"")</f>
        <v/>
      </c>
      <c r="H1148" s="9"/>
      <c r="I1148" s="9"/>
      <c r="J1148" s="8" t="str">
        <f>IFERROR(INDEX(Материалы!$B$2:$B$9000,MATCH($I1148,Материалы!$A$2:$A$9000,0)),"")</f>
        <v/>
      </c>
      <c r="K1148" t="str">
        <f>IF($I1148="","",IF($F1148=IFERROR(INDEX(Материалы!$G$2:$G$9000,MATCH($I1148,Материалы!$A$2:$A$9000,0)),""),"OK","!! не та группа"))</f>
        <v/>
      </c>
      <c r="L1148" s="10">
        <f>IFERROR(INDEX(Работы!$H$2:$H$6000,MATCH($C1148,Работы!$A$2:$A$6000,0))*(1-ДисконтТендер),0)</f>
        <v>0</v>
      </c>
      <c r="M1148" s="10">
        <f>IF($I1148="",0,IFERROR(INDEX(Материалы!$I$2:$I$9000,MATCH($I1148,Материалы!$A$2:$A$9000,0))*IF(INDEX(Материалы!$J$2:$J$9000,MATCH($I1148,Материалы!$A$2:$A$9000,0))="USD",КурсUSD,IF(INDEX(Материалы!$J$2:$J$9000,MATCH($I1148,Материалы!$A$2:$A$9000,0))="EUR",КурсEUR,1))*INDEX(Материалы!$K$2:$K$9000,MATCH($I1148,Материалы!$A$2:$A$9000,0))*(1+IFERROR(INDEX(Работы!$I$2:$I$6000,MATCH($C1148,Работы!$A$2:$A$6000,0))/100,0))*(1-ДисконтТендер),0))</f>
        <v>0</v>
      </c>
      <c r="N1148" s="10">
        <f t="shared" si="51"/>
        <v>0</v>
      </c>
      <c r="O1148" s="10">
        <f t="shared" si="52"/>
        <v>0</v>
      </c>
      <c r="P1148" s="10">
        <f t="shared" si="53"/>
        <v>0</v>
      </c>
      <c r="Q1148" t="str">
        <f>IFERROR(INDEX(Работы!$J$2:$J$6000,MATCH($C1148,Работы!$A$2:$A$6000,0)),"")</f>
        <v/>
      </c>
      <c r="R1148" t="s">
        <v>92</v>
      </c>
      <c r="T1148" t="str">
        <f>IF(AND($P1148&gt;0,$R1148="да"),MAX($T$1:$T1147)+1,"")</f>
        <v/>
      </c>
    </row>
    <row r="1149" spans="1:20" x14ac:dyDescent="0.3">
      <c r="A1149" s="11" t="str">
        <f>IFERROR(INDEX(Работы!$D$2:$D$6000,MATCH($C1149,Работы!$A$2:$A$6000,0)),"")</f>
        <v/>
      </c>
      <c r="B1149" t="str">
        <f>IFERROR(INDEX(Работы!$F$2:$F$6000,MATCH($C1149,Работы!$A$2:$A$6000,0)),"")</f>
        <v/>
      </c>
      <c r="C1149">
        <f>IFERROR(INDEX(Работы!$A$2:$A$6000,1148),"")</f>
        <v>0</v>
      </c>
      <c r="D1149" s="8" t="str">
        <f>IFERROR(INDEX(Работы!$B$2:$B$6000,MATCH($C1149,Работы!$A$2:$A$6000,0)),"")</f>
        <v/>
      </c>
      <c r="E1149" t="str">
        <f>IFERROR(INDEX(Работы!$C$2:$C$6000,MATCH($C1149,Работы!$A$2:$A$6000,0)),"")</f>
        <v/>
      </c>
      <c r="F1149" t="str">
        <f>IFERROR(INDEX(Работы!$G$2:$G$6000,MATCH($C1149,Работы!$A$2:$A$6000,0)),"")</f>
        <v/>
      </c>
      <c r="G1149" t="str">
        <f>IFERROR(INDEX(Работы!$K$2:$K$6000,MATCH($C1149,Работы!$A$2:$A$6000,0)),"")</f>
        <v/>
      </c>
      <c r="H1149" s="9"/>
      <c r="I1149" s="9"/>
      <c r="J1149" s="8" t="str">
        <f>IFERROR(INDEX(Материалы!$B$2:$B$9000,MATCH($I1149,Материалы!$A$2:$A$9000,0)),"")</f>
        <v/>
      </c>
      <c r="K1149" t="str">
        <f>IF($I1149="","",IF($F1149=IFERROR(INDEX(Материалы!$G$2:$G$9000,MATCH($I1149,Материалы!$A$2:$A$9000,0)),""),"OK","!! не та группа"))</f>
        <v/>
      </c>
      <c r="L1149" s="10">
        <f>IFERROR(INDEX(Работы!$H$2:$H$6000,MATCH($C1149,Работы!$A$2:$A$6000,0))*(1-ДисконтТендер),0)</f>
        <v>0</v>
      </c>
      <c r="M1149" s="10">
        <f>IF($I1149="",0,IFERROR(INDEX(Материалы!$I$2:$I$9000,MATCH($I1149,Материалы!$A$2:$A$9000,0))*IF(INDEX(Материалы!$J$2:$J$9000,MATCH($I1149,Материалы!$A$2:$A$9000,0))="USD",КурсUSD,IF(INDEX(Материалы!$J$2:$J$9000,MATCH($I1149,Материалы!$A$2:$A$9000,0))="EUR",КурсEUR,1))*INDEX(Материалы!$K$2:$K$9000,MATCH($I1149,Материалы!$A$2:$A$9000,0))*(1+IFERROR(INDEX(Работы!$I$2:$I$6000,MATCH($C1149,Работы!$A$2:$A$6000,0))/100,0))*(1-ДисконтТендер),0))</f>
        <v>0</v>
      </c>
      <c r="N1149" s="10">
        <f t="shared" si="51"/>
        <v>0</v>
      </c>
      <c r="O1149" s="10">
        <f t="shared" si="52"/>
        <v>0</v>
      </c>
      <c r="P1149" s="10">
        <f t="shared" si="53"/>
        <v>0</v>
      </c>
      <c r="Q1149" t="str">
        <f>IFERROR(INDEX(Работы!$J$2:$J$6000,MATCH($C1149,Работы!$A$2:$A$6000,0)),"")</f>
        <v/>
      </c>
      <c r="R1149" t="s">
        <v>92</v>
      </c>
      <c r="T1149" t="str">
        <f>IF(AND($P1149&gt;0,$R1149="да"),MAX($T$1:$T1148)+1,"")</f>
        <v/>
      </c>
    </row>
    <row r="1150" spans="1:20" x14ac:dyDescent="0.3">
      <c r="A1150" s="11" t="str">
        <f>IFERROR(INDEX(Работы!$D$2:$D$6000,MATCH($C1150,Работы!$A$2:$A$6000,0)),"")</f>
        <v/>
      </c>
      <c r="B1150" t="str">
        <f>IFERROR(INDEX(Работы!$F$2:$F$6000,MATCH($C1150,Работы!$A$2:$A$6000,0)),"")</f>
        <v/>
      </c>
      <c r="C1150">
        <f>IFERROR(INDEX(Работы!$A$2:$A$6000,1149),"")</f>
        <v>0</v>
      </c>
      <c r="D1150" s="8" t="str">
        <f>IFERROR(INDEX(Работы!$B$2:$B$6000,MATCH($C1150,Работы!$A$2:$A$6000,0)),"")</f>
        <v/>
      </c>
      <c r="E1150" t="str">
        <f>IFERROR(INDEX(Работы!$C$2:$C$6000,MATCH($C1150,Работы!$A$2:$A$6000,0)),"")</f>
        <v/>
      </c>
      <c r="F1150" t="str">
        <f>IFERROR(INDEX(Работы!$G$2:$G$6000,MATCH($C1150,Работы!$A$2:$A$6000,0)),"")</f>
        <v/>
      </c>
      <c r="G1150" t="str">
        <f>IFERROR(INDEX(Работы!$K$2:$K$6000,MATCH($C1150,Работы!$A$2:$A$6000,0)),"")</f>
        <v/>
      </c>
      <c r="H1150" s="9"/>
      <c r="I1150" s="9"/>
      <c r="J1150" s="8" t="str">
        <f>IFERROR(INDEX(Материалы!$B$2:$B$9000,MATCH($I1150,Материалы!$A$2:$A$9000,0)),"")</f>
        <v/>
      </c>
      <c r="K1150" t="str">
        <f>IF($I1150="","",IF($F1150=IFERROR(INDEX(Материалы!$G$2:$G$9000,MATCH($I1150,Материалы!$A$2:$A$9000,0)),""),"OK","!! не та группа"))</f>
        <v/>
      </c>
      <c r="L1150" s="10">
        <f>IFERROR(INDEX(Работы!$H$2:$H$6000,MATCH($C1150,Работы!$A$2:$A$6000,0))*(1-ДисконтТендер),0)</f>
        <v>0</v>
      </c>
      <c r="M1150" s="10">
        <f>IF($I1150="",0,IFERROR(INDEX(Материалы!$I$2:$I$9000,MATCH($I1150,Материалы!$A$2:$A$9000,0))*IF(INDEX(Материалы!$J$2:$J$9000,MATCH($I1150,Материалы!$A$2:$A$9000,0))="USD",КурсUSD,IF(INDEX(Материалы!$J$2:$J$9000,MATCH($I1150,Материалы!$A$2:$A$9000,0))="EUR",КурсEUR,1))*INDEX(Материалы!$K$2:$K$9000,MATCH($I1150,Материалы!$A$2:$A$9000,0))*(1+IFERROR(INDEX(Работы!$I$2:$I$6000,MATCH($C1150,Работы!$A$2:$A$6000,0))/100,0))*(1-ДисконтТендер),0))</f>
        <v>0</v>
      </c>
      <c r="N1150" s="10">
        <f t="shared" si="51"/>
        <v>0</v>
      </c>
      <c r="O1150" s="10">
        <f t="shared" si="52"/>
        <v>0</v>
      </c>
      <c r="P1150" s="10">
        <f t="shared" si="53"/>
        <v>0</v>
      </c>
      <c r="Q1150" t="str">
        <f>IFERROR(INDEX(Работы!$J$2:$J$6000,MATCH($C1150,Работы!$A$2:$A$6000,0)),"")</f>
        <v/>
      </c>
      <c r="R1150" t="s">
        <v>92</v>
      </c>
      <c r="T1150" t="str">
        <f>IF(AND($P1150&gt;0,$R1150="да"),MAX($T$1:$T1149)+1,"")</f>
        <v/>
      </c>
    </row>
    <row r="1151" spans="1:20" x14ac:dyDescent="0.3">
      <c r="A1151" s="11" t="str">
        <f>IFERROR(INDEX(Работы!$D$2:$D$6000,MATCH($C1151,Работы!$A$2:$A$6000,0)),"")</f>
        <v/>
      </c>
      <c r="B1151" t="str">
        <f>IFERROR(INDEX(Работы!$F$2:$F$6000,MATCH($C1151,Работы!$A$2:$A$6000,0)),"")</f>
        <v/>
      </c>
      <c r="C1151">
        <f>IFERROR(INDEX(Работы!$A$2:$A$6000,1150),"")</f>
        <v>0</v>
      </c>
      <c r="D1151" s="8" t="str">
        <f>IFERROR(INDEX(Работы!$B$2:$B$6000,MATCH($C1151,Работы!$A$2:$A$6000,0)),"")</f>
        <v/>
      </c>
      <c r="E1151" t="str">
        <f>IFERROR(INDEX(Работы!$C$2:$C$6000,MATCH($C1151,Работы!$A$2:$A$6000,0)),"")</f>
        <v/>
      </c>
      <c r="F1151" t="str">
        <f>IFERROR(INDEX(Работы!$G$2:$G$6000,MATCH($C1151,Работы!$A$2:$A$6000,0)),"")</f>
        <v/>
      </c>
      <c r="G1151" t="str">
        <f>IFERROR(INDEX(Работы!$K$2:$K$6000,MATCH($C1151,Работы!$A$2:$A$6000,0)),"")</f>
        <v/>
      </c>
      <c r="H1151" s="9"/>
      <c r="I1151" s="9"/>
      <c r="J1151" s="8" t="str">
        <f>IFERROR(INDEX(Материалы!$B$2:$B$9000,MATCH($I1151,Материалы!$A$2:$A$9000,0)),"")</f>
        <v/>
      </c>
      <c r="K1151" t="str">
        <f>IF($I1151="","",IF($F1151=IFERROR(INDEX(Материалы!$G$2:$G$9000,MATCH($I1151,Материалы!$A$2:$A$9000,0)),""),"OK","!! не та группа"))</f>
        <v/>
      </c>
      <c r="L1151" s="10">
        <f>IFERROR(INDEX(Работы!$H$2:$H$6000,MATCH($C1151,Работы!$A$2:$A$6000,0))*(1-ДисконтТендер),0)</f>
        <v>0</v>
      </c>
      <c r="M1151" s="10">
        <f>IF($I1151="",0,IFERROR(INDEX(Материалы!$I$2:$I$9000,MATCH($I1151,Материалы!$A$2:$A$9000,0))*IF(INDEX(Материалы!$J$2:$J$9000,MATCH($I1151,Материалы!$A$2:$A$9000,0))="USD",КурсUSD,IF(INDEX(Материалы!$J$2:$J$9000,MATCH($I1151,Материалы!$A$2:$A$9000,0))="EUR",КурсEUR,1))*INDEX(Материалы!$K$2:$K$9000,MATCH($I1151,Материалы!$A$2:$A$9000,0))*(1+IFERROR(INDEX(Работы!$I$2:$I$6000,MATCH($C1151,Работы!$A$2:$A$6000,0))/100,0))*(1-ДисконтТендер),0))</f>
        <v>0</v>
      </c>
      <c r="N1151" s="10">
        <f t="shared" si="51"/>
        <v>0</v>
      </c>
      <c r="O1151" s="10">
        <f t="shared" si="52"/>
        <v>0</v>
      </c>
      <c r="P1151" s="10">
        <f t="shared" si="53"/>
        <v>0</v>
      </c>
      <c r="Q1151" t="str">
        <f>IFERROR(INDEX(Работы!$J$2:$J$6000,MATCH($C1151,Работы!$A$2:$A$6000,0)),"")</f>
        <v/>
      </c>
      <c r="R1151" t="s">
        <v>92</v>
      </c>
      <c r="T1151" t="str">
        <f>IF(AND($P1151&gt;0,$R1151="да"),MAX($T$1:$T1150)+1,"")</f>
        <v/>
      </c>
    </row>
    <row r="1152" spans="1:20" x14ac:dyDescent="0.3">
      <c r="A1152" s="11" t="str">
        <f>IFERROR(INDEX(Работы!$D$2:$D$6000,MATCH($C1152,Работы!$A$2:$A$6000,0)),"")</f>
        <v/>
      </c>
      <c r="B1152" t="str">
        <f>IFERROR(INDEX(Работы!$F$2:$F$6000,MATCH($C1152,Работы!$A$2:$A$6000,0)),"")</f>
        <v/>
      </c>
      <c r="C1152">
        <f>IFERROR(INDEX(Работы!$A$2:$A$6000,1151),"")</f>
        <v>0</v>
      </c>
      <c r="D1152" s="8" t="str">
        <f>IFERROR(INDEX(Работы!$B$2:$B$6000,MATCH($C1152,Работы!$A$2:$A$6000,0)),"")</f>
        <v/>
      </c>
      <c r="E1152" t="str">
        <f>IFERROR(INDEX(Работы!$C$2:$C$6000,MATCH($C1152,Работы!$A$2:$A$6000,0)),"")</f>
        <v/>
      </c>
      <c r="F1152" t="str">
        <f>IFERROR(INDEX(Работы!$G$2:$G$6000,MATCH($C1152,Работы!$A$2:$A$6000,0)),"")</f>
        <v/>
      </c>
      <c r="G1152" t="str">
        <f>IFERROR(INDEX(Работы!$K$2:$K$6000,MATCH($C1152,Работы!$A$2:$A$6000,0)),"")</f>
        <v/>
      </c>
      <c r="H1152" s="9"/>
      <c r="I1152" s="9"/>
      <c r="J1152" s="8" t="str">
        <f>IFERROR(INDEX(Материалы!$B$2:$B$9000,MATCH($I1152,Материалы!$A$2:$A$9000,0)),"")</f>
        <v/>
      </c>
      <c r="K1152" t="str">
        <f>IF($I1152="","",IF($F1152=IFERROR(INDEX(Материалы!$G$2:$G$9000,MATCH($I1152,Материалы!$A$2:$A$9000,0)),""),"OK","!! не та группа"))</f>
        <v/>
      </c>
      <c r="L1152" s="10">
        <f>IFERROR(INDEX(Работы!$H$2:$H$6000,MATCH($C1152,Работы!$A$2:$A$6000,0))*(1-ДисконтТендер),0)</f>
        <v>0</v>
      </c>
      <c r="M1152" s="10">
        <f>IF($I1152="",0,IFERROR(INDEX(Материалы!$I$2:$I$9000,MATCH($I1152,Материалы!$A$2:$A$9000,0))*IF(INDEX(Материалы!$J$2:$J$9000,MATCH($I1152,Материалы!$A$2:$A$9000,0))="USD",КурсUSD,IF(INDEX(Материалы!$J$2:$J$9000,MATCH($I1152,Материалы!$A$2:$A$9000,0))="EUR",КурсEUR,1))*INDEX(Материалы!$K$2:$K$9000,MATCH($I1152,Материалы!$A$2:$A$9000,0))*(1+IFERROR(INDEX(Работы!$I$2:$I$6000,MATCH($C1152,Работы!$A$2:$A$6000,0))/100,0))*(1-ДисконтТендер),0))</f>
        <v>0</v>
      </c>
      <c r="N1152" s="10">
        <f t="shared" si="51"/>
        <v>0</v>
      </c>
      <c r="O1152" s="10">
        <f t="shared" si="52"/>
        <v>0</v>
      </c>
      <c r="P1152" s="10">
        <f t="shared" si="53"/>
        <v>0</v>
      </c>
      <c r="Q1152" t="str">
        <f>IFERROR(INDEX(Работы!$J$2:$J$6000,MATCH($C1152,Работы!$A$2:$A$6000,0)),"")</f>
        <v/>
      </c>
      <c r="R1152" t="s">
        <v>92</v>
      </c>
      <c r="T1152" t="str">
        <f>IF(AND($P1152&gt;0,$R1152="да"),MAX($T$1:$T1151)+1,"")</f>
        <v/>
      </c>
    </row>
    <row r="1153" spans="1:20" x14ac:dyDescent="0.3">
      <c r="A1153" s="11" t="str">
        <f>IFERROR(INDEX(Работы!$D$2:$D$6000,MATCH($C1153,Работы!$A$2:$A$6000,0)),"")</f>
        <v/>
      </c>
      <c r="B1153" t="str">
        <f>IFERROR(INDEX(Работы!$F$2:$F$6000,MATCH($C1153,Работы!$A$2:$A$6000,0)),"")</f>
        <v/>
      </c>
      <c r="C1153">
        <f>IFERROR(INDEX(Работы!$A$2:$A$6000,1152),"")</f>
        <v>0</v>
      </c>
      <c r="D1153" s="8" t="str">
        <f>IFERROR(INDEX(Работы!$B$2:$B$6000,MATCH($C1153,Работы!$A$2:$A$6000,0)),"")</f>
        <v/>
      </c>
      <c r="E1153" t="str">
        <f>IFERROR(INDEX(Работы!$C$2:$C$6000,MATCH($C1153,Работы!$A$2:$A$6000,0)),"")</f>
        <v/>
      </c>
      <c r="F1153" t="str">
        <f>IFERROR(INDEX(Работы!$G$2:$G$6000,MATCH($C1153,Работы!$A$2:$A$6000,0)),"")</f>
        <v/>
      </c>
      <c r="G1153" t="str">
        <f>IFERROR(INDEX(Работы!$K$2:$K$6000,MATCH($C1153,Работы!$A$2:$A$6000,0)),"")</f>
        <v/>
      </c>
      <c r="H1153" s="9"/>
      <c r="I1153" s="9"/>
      <c r="J1153" s="8" t="str">
        <f>IFERROR(INDEX(Материалы!$B$2:$B$9000,MATCH($I1153,Материалы!$A$2:$A$9000,0)),"")</f>
        <v/>
      </c>
      <c r="K1153" t="str">
        <f>IF($I1153="","",IF($F1153=IFERROR(INDEX(Материалы!$G$2:$G$9000,MATCH($I1153,Материалы!$A$2:$A$9000,0)),""),"OK","!! не та группа"))</f>
        <v/>
      </c>
      <c r="L1153" s="10">
        <f>IFERROR(INDEX(Работы!$H$2:$H$6000,MATCH($C1153,Работы!$A$2:$A$6000,0))*(1-ДисконтТендер),0)</f>
        <v>0</v>
      </c>
      <c r="M1153" s="10">
        <f>IF($I1153="",0,IFERROR(INDEX(Материалы!$I$2:$I$9000,MATCH($I1153,Материалы!$A$2:$A$9000,0))*IF(INDEX(Материалы!$J$2:$J$9000,MATCH($I1153,Материалы!$A$2:$A$9000,0))="USD",КурсUSD,IF(INDEX(Материалы!$J$2:$J$9000,MATCH($I1153,Материалы!$A$2:$A$9000,0))="EUR",КурсEUR,1))*INDEX(Материалы!$K$2:$K$9000,MATCH($I1153,Материалы!$A$2:$A$9000,0))*(1+IFERROR(INDEX(Работы!$I$2:$I$6000,MATCH($C1153,Работы!$A$2:$A$6000,0))/100,0))*(1-ДисконтТендер),0))</f>
        <v>0</v>
      </c>
      <c r="N1153" s="10">
        <f t="shared" si="51"/>
        <v>0</v>
      </c>
      <c r="O1153" s="10">
        <f t="shared" si="52"/>
        <v>0</v>
      </c>
      <c r="P1153" s="10">
        <f t="shared" si="53"/>
        <v>0</v>
      </c>
      <c r="Q1153" t="str">
        <f>IFERROR(INDEX(Работы!$J$2:$J$6000,MATCH($C1153,Работы!$A$2:$A$6000,0)),"")</f>
        <v/>
      </c>
      <c r="R1153" t="s">
        <v>92</v>
      </c>
      <c r="T1153" t="str">
        <f>IF(AND($P1153&gt;0,$R1153="да"),MAX($T$1:$T1152)+1,"")</f>
        <v/>
      </c>
    </row>
    <row r="1154" spans="1:20" x14ac:dyDescent="0.3">
      <c r="A1154" s="11" t="str">
        <f>IFERROR(INDEX(Работы!$D$2:$D$6000,MATCH($C1154,Работы!$A$2:$A$6000,0)),"")</f>
        <v/>
      </c>
      <c r="B1154" t="str">
        <f>IFERROR(INDEX(Работы!$F$2:$F$6000,MATCH($C1154,Работы!$A$2:$A$6000,0)),"")</f>
        <v/>
      </c>
      <c r="C1154">
        <f>IFERROR(INDEX(Работы!$A$2:$A$6000,1153),"")</f>
        <v>0</v>
      </c>
      <c r="D1154" s="8" t="str">
        <f>IFERROR(INDEX(Работы!$B$2:$B$6000,MATCH($C1154,Работы!$A$2:$A$6000,0)),"")</f>
        <v/>
      </c>
      <c r="E1154" t="str">
        <f>IFERROR(INDEX(Работы!$C$2:$C$6000,MATCH($C1154,Работы!$A$2:$A$6000,0)),"")</f>
        <v/>
      </c>
      <c r="F1154" t="str">
        <f>IFERROR(INDEX(Работы!$G$2:$G$6000,MATCH($C1154,Работы!$A$2:$A$6000,0)),"")</f>
        <v/>
      </c>
      <c r="G1154" t="str">
        <f>IFERROR(INDEX(Работы!$K$2:$K$6000,MATCH($C1154,Работы!$A$2:$A$6000,0)),"")</f>
        <v/>
      </c>
      <c r="H1154" s="9"/>
      <c r="I1154" s="9"/>
      <c r="J1154" s="8" t="str">
        <f>IFERROR(INDEX(Материалы!$B$2:$B$9000,MATCH($I1154,Материалы!$A$2:$A$9000,0)),"")</f>
        <v/>
      </c>
      <c r="K1154" t="str">
        <f>IF($I1154="","",IF($F1154=IFERROR(INDEX(Материалы!$G$2:$G$9000,MATCH($I1154,Материалы!$A$2:$A$9000,0)),""),"OK","!! не та группа"))</f>
        <v/>
      </c>
      <c r="L1154" s="10">
        <f>IFERROR(INDEX(Работы!$H$2:$H$6000,MATCH($C1154,Работы!$A$2:$A$6000,0))*(1-ДисконтТендер),0)</f>
        <v>0</v>
      </c>
      <c r="M1154" s="10">
        <f>IF($I1154="",0,IFERROR(INDEX(Материалы!$I$2:$I$9000,MATCH($I1154,Материалы!$A$2:$A$9000,0))*IF(INDEX(Материалы!$J$2:$J$9000,MATCH($I1154,Материалы!$A$2:$A$9000,0))="USD",КурсUSD,IF(INDEX(Материалы!$J$2:$J$9000,MATCH($I1154,Материалы!$A$2:$A$9000,0))="EUR",КурсEUR,1))*INDEX(Материалы!$K$2:$K$9000,MATCH($I1154,Материалы!$A$2:$A$9000,0))*(1+IFERROR(INDEX(Работы!$I$2:$I$6000,MATCH($C1154,Работы!$A$2:$A$6000,0))/100,0))*(1-ДисконтТендер),0))</f>
        <v>0</v>
      </c>
      <c r="N1154" s="10">
        <f t="shared" ref="N1154:N1212" si="54">IF(AND($R1154="да",$H1154&lt;&gt;""),ROUND($H1154*$L1154,2),0)</f>
        <v>0</v>
      </c>
      <c r="O1154" s="10">
        <f t="shared" ref="O1154:O1212" si="55">IF(AND($R1154="да",$H1154&lt;&gt;""),ROUND($H1154*$M1154,2),0)</f>
        <v>0</v>
      </c>
      <c r="P1154" s="10">
        <f t="shared" ref="P1154:P1212" si="56">$N1154+$O1154</f>
        <v>0</v>
      </c>
      <c r="Q1154" t="str">
        <f>IFERROR(INDEX(Работы!$J$2:$J$6000,MATCH($C1154,Работы!$A$2:$A$6000,0)),"")</f>
        <v/>
      </c>
      <c r="R1154" t="s">
        <v>92</v>
      </c>
      <c r="T1154" t="str">
        <f>IF(AND($P1154&gt;0,$R1154="да"),MAX($T$1:$T1153)+1,"")</f>
        <v/>
      </c>
    </row>
    <row r="1155" spans="1:20" x14ac:dyDescent="0.3">
      <c r="A1155" s="11" t="str">
        <f>IFERROR(INDEX(Работы!$D$2:$D$6000,MATCH($C1155,Работы!$A$2:$A$6000,0)),"")</f>
        <v/>
      </c>
      <c r="B1155" t="str">
        <f>IFERROR(INDEX(Работы!$F$2:$F$6000,MATCH($C1155,Работы!$A$2:$A$6000,0)),"")</f>
        <v/>
      </c>
      <c r="C1155">
        <f>IFERROR(INDEX(Работы!$A$2:$A$6000,1154),"")</f>
        <v>0</v>
      </c>
      <c r="D1155" s="8" t="str">
        <f>IFERROR(INDEX(Работы!$B$2:$B$6000,MATCH($C1155,Работы!$A$2:$A$6000,0)),"")</f>
        <v/>
      </c>
      <c r="E1155" t="str">
        <f>IFERROR(INDEX(Работы!$C$2:$C$6000,MATCH($C1155,Работы!$A$2:$A$6000,0)),"")</f>
        <v/>
      </c>
      <c r="F1155" t="str">
        <f>IFERROR(INDEX(Работы!$G$2:$G$6000,MATCH($C1155,Работы!$A$2:$A$6000,0)),"")</f>
        <v/>
      </c>
      <c r="G1155" t="str">
        <f>IFERROR(INDEX(Работы!$K$2:$K$6000,MATCH($C1155,Работы!$A$2:$A$6000,0)),"")</f>
        <v/>
      </c>
      <c r="H1155" s="9"/>
      <c r="I1155" s="9"/>
      <c r="J1155" s="8" t="str">
        <f>IFERROR(INDEX(Материалы!$B$2:$B$9000,MATCH($I1155,Материалы!$A$2:$A$9000,0)),"")</f>
        <v/>
      </c>
      <c r="K1155" t="str">
        <f>IF($I1155="","",IF($F1155=IFERROR(INDEX(Материалы!$G$2:$G$9000,MATCH($I1155,Материалы!$A$2:$A$9000,0)),""),"OK","!! не та группа"))</f>
        <v/>
      </c>
      <c r="L1155" s="10">
        <f>IFERROR(INDEX(Работы!$H$2:$H$6000,MATCH($C1155,Работы!$A$2:$A$6000,0))*(1-ДисконтТендер),0)</f>
        <v>0</v>
      </c>
      <c r="M1155" s="10">
        <f>IF($I1155="",0,IFERROR(INDEX(Материалы!$I$2:$I$9000,MATCH($I1155,Материалы!$A$2:$A$9000,0))*IF(INDEX(Материалы!$J$2:$J$9000,MATCH($I1155,Материалы!$A$2:$A$9000,0))="USD",КурсUSD,IF(INDEX(Материалы!$J$2:$J$9000,MATCH($I1155,Материалы!$A$2:$A$9000,0))="EUR",КурсEUR,1))*INDEX(Материалы!$K$2:$K$9000,MATCH($I1155,Материалы!$A$2:$A$9000,0))*(1+IFERROR(INDEX(Работы!$I$2:$I$6000,MATCH($C1155,Работы!$A$2:$A$6000,0))/100,0))*(1-ДисконтТендер),0))</f>
        <v>0</v>
      </c>
      <c r="N1155" s="10">
        <f t="shared" si="54"/>
        <v>0</v>
      </c>
      <c r="O1155" s="10">
        <f t="shared" si="55"/>
        <v>0</v>
      </c>
      <c r="P1155" s="10">
        <f t="shared" si="56"/>
        <v>0</v>
      </c>
      <c r="Q1155" t="str">
        <f>IFERROR(INDEX(Работы!$J$2:$J$6000,MATCH($C1155,Работы!$A$2:$A$6000,0)),"")</f>
        <v/>
      </c>
      <c r="R1155" t="s">
        <v>92</v>
      </c>
      <c r="T1155" t="str">
        <f>IF(AND($P1155&gt;0,$R1155="да"),MAX($T$1:$T1154)+1,"")</f>
        <v/>
      </c>
    </row>
    <row r="1156" spans="1:20" x14ac:dyDescent="0.3">
      <c r="A1156" s="11" t="str">
        <f>IFERROR(INDEX(Работы!$D$2:$D$6000,MATCH($C1156,Работы!$A$2:$A$6000,0)),"")</f>
        <v/>
      </c>
      <c r="B1156" t="str">
        <f>IFERROR(INDEX(Работы!$F$2:$F$6000,MATCH($C1156,Работы!$A$2:$A$6000,0)),"")</f>
        <v/>
      </c>
      <c r="C1156">
        <f>IFERROR(INDEX(Работы!$A$2:$A$6000,1155),"")</f>
        <v>0</v>
      </c>
      <c r="D1156" s="8" t="str">
        <f>IFERROR(INDEX(Работы!$B$2:$B$6000,MATCH($C1156,Работы!$A$2:$A$6000,0)),"")</f>
        <v/>
      </c>
      <c r="E1156" t="str">
        <f>IFERROR(INDEX(Работы!$C$2:$C$6000,MATCH($C1156,Работы!$A$2:$A$6000,0)),"")</f>
        <v/>
      </c>
      <c r="F1156" t="str">
        <f>IFERROR(INDEX(Работы!$G$2:$G$6000,MATCH($C1156,Работы!$A$2:$A$6000,0)),"")</f>
        <v/>
      </c>
      <c r="G1156" t="str">
        <f>IFERROR(INDEX(Работы!$K$2:$K$6000,MATCH($C1156,Работы!$A$2:$A$6000,0)),"")</f>
        <v/>
      </c>
      <c r="H1156" s="9"/>
      <c r="I1156" s="9"/>
      <c r="J1156" s="8" t="str">
        <f>IFERROR(INDEX(Материалы!$B$2:$B$9000,MATCH($I1156,Материалы!$A$2:$A$9000,0)),"")</f>
        <v/>
      </c>
      <c r="K1156" t="str">
        <f>IF($I1156="","",IF($F1156=IFERROR(INDEX(Материалы!$G$2:$G$9000,MATCH($I1156,Материалы!$A$2:$A$9000,0)),""),"OK","!! не та группа"))</f>
        <v/>
      </c>
      <c r="L1156" s="10">
        <f>IFERROR(INDEX(Работы!$H$2:$H$6000,MATCH($C1156,Работы!$A$2:$A$6000,0))*(1-ДисконтТендер),0)</f>
        <v>0</v>
      </c>
      <c r="M1156" s="10">
        <f>IF($I1156="",0,IFERROR(INDEX(Материалы!$I$2:$I$9000,MATCH($I1156,Материалы!$A$2:$A$9000,0))*IF(INDEX(Материалы!$J$2:$J$9000,MATCH($I1156,Материалы!$A$2:$A$9000,0))="USD",КурсUSD,IF(INDEX(Материалы!$J$2:$J$9000,MATCH($I1156,Материалы!$A$2:$A$9000,0))="EUR",КурсEUR,1))*INDEX(Материалы!$K$2:$K$9000,MATCH($I1156,Материалы!$A$2:$A$9000,0))*(1+IFERROR(INDEX(Работы!$I$2:$I$6000,MATCH($C1156,Работы!$A$2:$A$6000,0))/100,0))*(1-ДисконтТендер),0))</f>
        <v>0</v>
      </c>
      <c r="N1156" s="10">
        <f t="shared" si="54"/>
        <v>0</v>
      </c>
      <c r="O1156" s="10">
        <f t="shared" si="55"/>
        <v>0</v>
      </c>
      <c r="P1156" s="10">
        <f t="shared" si="56"/>
        <v>0</v>
      </c>
      <c r="Q1156" t="str">
        <f>IFERROR(INDEX(Работы!$J$2:$J$6000,MATCH($C1156,Работы!$A$2:$A$6000,0)),"")</f>
        <v/>
      </c>
      <c r="R1156" t="s">
        <v>92</v>
      </c>
      <c r="T1156" t="str">
        <f>IF(AND($P1156&gt;0,$R1156="да"),MAX($T$1:$T1155)+1,"")</f>
        <v/>
      </c>
    </row>
    <row r="1157" spans="1:20" x14ac:dyDescent="0.3">
      <c r="A1157" s="11" t="str">
        <f>IFERROR(INDEX(Работы!$D$2:$D$6000,MATCH($C1157,Работы!$A$2:$A$6000,0)),"")</f>
        <v/>
      </c>
      <c r="B1157" t="str">
        <f>IFERROR(INDEX(Работы!$F$2:$F$6000,MATCH($C1157,Работы!$A$2:$A$6000,0)),"")</f>
        <v/>
      </c>
      <c r="C1157">
        <f>IFERROR(INDEX(Работы!$A$2:$A$6000,1156),"")</f>
        <v>0</v>
      </c>
      <c r="D1157" s="8" t="str">
        <f>IFERROR(INDEX(Работы!$B$2:$B$6000,MATCH($C1157,Работы!$A$2:$A$6000,0)),"")</f>
        <v/>
      </c>
      <c r="E1157" t="str">
        <f>IFERROR(INDEX(Работы!$C$2:$C$6000,MATCH($C1157,Работы!$A$2:$A$6000,0)),"")</f>
        <v/>
      </c>
      <c r="F1157" t="str">
        <f>IFERROR(INDEX(Работы!$G$2:$G$6000,MATCH($C1157,Работы!$A$2:$A$6000,0)),"")</f>
        <v/>
      </c>
      <c r="G1157" t="str">
        <f>IFERROR(INDEX(Работы!$K$2:$K$6000,MATCH($C1157,Работы!$A$2:$A$6000,0)),"")</f>
        <v/>
      </c>
      <c r="H1157" s="9"/>
      <c r="I1157" s="9"/>
      <c r="J1157" s="8" t="str">
        <f>IFERROR(INDEX(Материалы!$B$2:$B$9000,MATCH($I1157,Материалы!$A$2:$A$9000,0)),"")</f>
        <v/>
      </c>
      <c r="K1157" t="str">
        <f>IF($I1157="","",IF($F1157=IFERROR(INDEX(Материалы!$G$2:$G$9000,MATCH($I1157,Материалы!$A$2:$A$9000,0)),""),"OK","!! не та группа"))</f>
        <v/>
      </c>
      <c r="L1157" s="10">
        <f>IFERROR(INDEX(Работы!$H$2:$H$6000,MATCH($C1157,Работы!$A$2:$A$6000,0))*(1-ДисконтТендер),0)</f>
        <v>0</v>
      </c>
      <c r="M1157" s="10">
        <f>IF($I1157="",0,IFERROR(INDEX(Материалы!$I$2:$I$9000,MATCH($I1157,Материалы!$A$2:$A$9000,0))*IF(INDEX(Материалы!$J$2:$J$9000,MATCH($I1157,Материалы!$A$2:$A$9000,0))="USD",КурсUSD,IF(INDEX(Материалы!$J$2:$J$9000,MATCH($I1157,Материалы!$A$2:$A$9000,0))="EUR",КурсEUR,1))*INDEX(Материалы!$K$2:$K$9000,MATCH($I1157,Материалы!$A$2:$A$9000,0))*(1+IFERROR(INDEX(Работы!$I$2:$I$6000,MATCH($C1157,Работы!$A$2:$A$6000,0))/100,0))*(1-ДисконтТендер),0))</f>
        <v>0</v>
      </c>
      <c r="N1157" s="10">
        <f t="shared" si="54"/>
        <v>0</v>
      </c>
      <c r="O1157" s="10">
        <f t="shared" si="55"/>
        <v>0</v>
      </c>
      <c r="P1157" s="10">
        <f t="shared" si="56"/>
        <v>0</v>
      </c>
      <c r="Q1157" t="str">
        <f>IFERROR(INDEX(Работы!$J$2:$J$6000,MATCH($C1157,Работы!$A$2:$A$6000,0)),"")</f>
        <v/>
      </c>
      <c r="R1157" t="s">
        <v>92</v>
      </c>
      <c r="T1157" t="str">
        <f>IF(AND($P1157&gt;0,$R1157="да"),MAX($T$1:$T1156)+1,"")</f>
        <v/>
      </c>
    </row>
    <row r="1158" spans="1:20" x14ac:dyDescent="0.3">
      <c r="A1158" s="11" t="str">
        <f>IFERROR(INDEX(Работы!$D$2:$D$6000,MATCH($C1158,Работы!$A$2:$A$6000,0)),"")</f>
        <v/>
      </c>
      <c r="B1158" t="str">
        <f>IFERROR(INDEX(Работы!$F$2:$F$6000,MATCH($C1158,Работы!$A$2:$A$6000,0)),"")</f>
        <v/>
      </c>
      <c r="C1158">
        <f>IFERROR(INDEX(Работы!$A$2:$A$6000,1157),"")</f>
        <v>0</v>
      </c>
      <c r="D1158" s="8" t="str">
        <f>IFERROR(INDEX(Работы!$B$2:$B$6000,MATCH($C1158,Работы!$A$2:$A$6000,0)),"")</f>
        <v/>
      </c>
      <c r="E1158" t="str">
        <f>IFERROR(INDEX(Работы!$C$2:$C$6000,MATCH($C1158,Работы!$A$2:$A$6000,0)),"")</f>
        <v/>
      </c>
      <c r="F1158" t="str">
        <f>IFERROR(INDEX(Работы!$G$2:$G$6000,MATCH($C1158,Работы!$A$2:$A$6000,0)),"")</f>
        <v/>
      </c>
      <c r="G1158" t="str">
        <f>IFERROR(INDEX(Работы!$K$2:$K$6000,MATCH($C1158,Работы!$A$2:$A$6000,0)),"")</f>
        <v/>
      </c>
      <c r="H1158" s="9"/>
      <c r="I1158" s="9"/>
      <c r="J1158" s="8" t="str">
        <f>IFERROR(INDEX(Материалы!$B$2:$B$9000,MATCH($I1158,Материалы!$A$2:$A$9000,0)),"")</f>
        <v/>
      </c>
      <c r="K1158" t="str">
        <f>IF($I1158="","",IF($F1158=IFERROR(INDEX(Материалы!$G$2:$G$9000,MATCH($I1158,Материалы!$A$2:$A$9000,0)),""),"OK","!! не та группа"))</f>
        <v/>
      </c>
      <c r="L1158" s="10">
        <f>IFERROR(INDEX(Работы!$H$2:$H$6000,MATCH($C1158,Работы!$A$2:$A$6000,0))*(1-ДисконтТендер),0)</f>
        <v>0</v>
      </c>
      <c r="M1158" s="10">
        <f>IF($I1158="",0,IFERROR(INDEX(Материалы!$I$2:$I$9000,MATCH($I1158,Материалы!$A$2:$A$9000,0))*IF(INDEX(Материалы!$J$2:$J$9000,MATCH($I1158,Материалы!$A$2:$A$9000,0))="USD",КурсUSD,IF(INDEX(Материалы!$J$2:$J$9000,MATCH($I1158,Материалы!$A$2:$A$9000,0))="EUR",КурсEUR,1))*INDEX(Материалы!$K$2:$K$9000,MATCH($I1158,Материалы!$A$2:$A$9000,0))*(1+IFERROR(INDEX(Работы!$I$2:$I$6000,MATCH($C1158,Работы!$A$2:$A$6000,0))/100,0))*(1-ДисконтТендер),0))</f>
        <v>0</v>
      </c>
      <c r="N1158" s="10">
        <f t="shared" si="54"/>
        <v>0</v>
      </c>
      <c r="O1158" s="10">
        <f t="shared" si="55"/>
        <v>0</v>
      </c>
      <c r="P1158" s="10">
        <f t="shared" si="56"/>
        <v>0</v>
      </c>
      <c r="Q1158" t="str">
        <f>IFERROR(INDEX(Работы!$J$2:$J$6000,MATCH($C1158,Работы!$A$2:$A$6000,0)),"")</f>
        <v/>
      </c>
      <c r="R1158" t="s">
        <v>92</v>
      </c>
      <c r="T1158" t="str">
        <f>IF(AND($P1158&gt;0,$R1158="да"),MAX($T$1:$T1157)+1,"")</f>
        <v/>
      </c>
    </row>
    <row r="1159" spans="1:20" x14ac:dyDescent="0.3">
      <c r="A1159" s="11" t="str">
        <f>IFERROR(INDEX(Работы!$D$2:$D$6000,MATCH($C1159,Работы!$A$2:$A$6000,0)),"")</f>
        <v/>
      </c>
      <c r="B1159" t="str">
        <f>IFERROR(INDEX(Работы!$F$2:$F$6000,MATCH($C1159,Работы!$A$2:$A$6000,0)),"")</f>
        <v/>
      </c>
      <c r="C1159">
        <f>IFERROR(INDEX(Работы!$A$2:$A$6000,1158),"")</f>
        <v>0</v>
      </c>
      <c r="D1159" s="8" t="str">
        <f>IFERROR(INDEX(Работы!$B$2:$B$6000,MATCH($C1159,Работы!$A$2:$A$6000,0)),"")</f>
        <v/>
      </c>
      <c r="E1159" t="str">
        <f>IFERROR(INDEX(Работы!$C$2:$C$6000,MATCH($C1159,Работы!$A$2:$A$6000,0)),"")</f>
        <v/>
      </c>
      <c r="F1159" t="str">
        <f>IFERROR(INDEX(Работы!$G$2:$G$6000,MATCH($C1159,Работы!$A$2:$A$6000,0)),"")</f>
        <v/>
      </c>
      <c r="G1159" t="str">
        <f>IFERROR(INDEX(Работы!$K$2:$K$6000,MATCH($C1159,Работы!$A$2:$A$6000,0)),"")</f>
        <v/>
      </c>
      <c r="H1159" s="9"/>
      <c r="I1159" s="9"/>
      <c r="J1159" s="8" t="str">
        <f>IFERROR(INDEX(Материалы!$B$2:$B$9000,MATCH($I1159,Материалы!$A$2:$A$9000,0)),"")</f>
        <v/>
      </c>
      <c r="K1159" t="str">
        <f>IF($I1159="","",IF($F1159=IFERROR(INDEX(Материалы!$G$2:$G$9000,MATCH($I1159,Материалы!$A$2:$A$9000,0)),""),"OK","!! не та группа"))</f>
        <v/>
      </c>
      <c r="L1159" s="10">
        <f>IFERROR(INDEX(Работы!$H$2:$H$6000,MATCH($C1159,Работы!$A$2:$A$6000,0))*(1-ДисконтТендер),0)</f>
        <v>0</v>
      </c>
      <c r="M1159" s="10">
        <f>IF($I1159="",0,IFERROR(INDEX(Материалы!$I$2:$I$9000,MATCH($I1159,Материалы!$A$2:$A$9000,0))*IF(INDEX(Материалы!$J$2:$J$9000,MATCH($I1159,Материалы!$A$2:$A$9000,0))="USD",КурсUSD,IF(INDEX(Материалы!$J$2:$J$9000,MATCH($I1159,Материалы!$A$2:$A$9000,0))="EUR",КурсEUR,1))*INDEX(Материалы!$K$2:$K$9000,MATCH($I1159,Материалы!$A$2:$A$9000,0))*(1+IFERROR(INDEX(Работы!$I$2:$I$6000,MATCH($C1159,Работы!$A$2:$A$6000,0))/100,0))*(1-ДисконтТендер),0))</f>
        <v>0</v>
      </c>
      <c r="N1159" s="10">
        <f t="shared" si="54"/>
        <v>0</v>
      </c>
      <c r="O1159" s="10">
        <f t="shared" si="55"/>
        <v>0</v>
      </c>
      <c r="P1159" s="10">
        <f t="shared" si="56"/>
        <v>0</v>
      </c>
      <c r="Q1159" t="str">
        <f>IFERROR(INDEX(Работы!$J$2:$J$6000,MATCH($C1159,Работы!$A$2:$A$6000,0)),"")</f>
        <v/>
      </c>
      <c r="R1159" t="s">
        <v>92</v>
      </c>
      <c r="T1159" t="str">
        <f>IF(AND($P1159&gt;0,$R1159="да"),MAX($T$1:$T1158)+1,"")</f>
        <v/>
      </c>
    </row>
    <row r="1160" spans="1:20" x14ac:dyDescent="0.3">
      <c r="A1160" s="11" t="str">
        <f>IFERROR(INDEX(Работы!$D$2:$D$6000,MATCH($C1160,Работы!$A$2:$A$6000,0)),"")</f>
        <v/>
      </c>
      <c r="B1160" t="str">
        <f>IFERROR(INDEX(Работы!$F$2:$F$6000,MATCH($C1160,Работы!$A$2:$A$6000,0)),"")</f>
        <v/>
      </c>
      <c r="C1160">
        <f>IFERROR(INDEX(Работы!$A$2:$A$6000,1159),"")</f>
        <v>0</v>
      </c>
      <c r="D1160" s="8" t="str">
        <f>IFERROR(INDEX(Работы!$B$2:$B$6000,MATCH($C1160,Работы!$A$2:$A$6000,0)),"")</f>
        <v/>
      </c>
      <c r="E1160" t="str">
        <f>IFERROR(INDEX(Работы!$C$2:$C$6000,MATCH($C1160,Работы!$A$2:$A$6000,0)),"")</f>
        <v/>
      </c>
      <c r="F1160" t="str">
        <f>IFERROR(INDEX(Работы!$G$2:$G$6000,MATCH($C1160,Работы!$A$2:$A$6000,0)),"")</f>
        <v/>
      </c>
      <c r="G1160" t="str">
        <f>IFERROR(INDEX(Работы!$K$2:$K$6000,MATCH($C1160,Работы!$A$2:$A$6000,0)),"")</f>
        <v/>
      </c>
      <c r="H1160" s="9"/>
      <c r="I1160" s="9"/>
      <c r="J1160" s="8" t="str">
        <f>IFERROR(INDEX(Материалы!$B$2:$B$9000,MATCH($I1160,Материалы!$A$2:$A$9000,0)),"")</f>
        <v/>
      </c>
      <c r="K1160" t="str">
        <f>IF($I1160="","",IF($F1160=IFERROR(INDEX(Материалы!$G$2:$G$9000,MATCH($I1160,Материалы!$A$2:$A$9000,0)),""),"OK","!! не та группа"))</f>
        <v/>
      </c>
      <c r="L1160" s="10">
        <f>IFERROR(INDEX(Работы!$H$2:$H$6000,MATCH($C1160,Работы!$A$2:$A$6000,0))*(1-ДисконтТендер),0)</f>
        <v>0</v>
      </c>
      <c r="M1160" s="10">
        <f>IF($I1160="",0,IFERROR(INDEX(Материалы!$I$2:$I$9000,MATCH($I1160,Материалы!$A$2:$A$9000,0))*IF(INDEX(Материалы!$J$2:$J$9000,MATCH($I1160,Материалы!$A$2:$A$9000,0))="USD",КурсUSD,IF(INDEX(Материалы!$J$2:$J$9000,MATCH($I1160,Материалы!$A$2:$A$9000,0))="EUR",КурсEUR,1))*INDEX(Материалы!$K$2:$K$9000,MATCH($I1160,Материалы!$A$2:$A$9000,0))*(1+IFERROR(INDEX(Работы!$I$2:$I$6000,MATCH($C1160,Работы!$A$2:$A$6000,0))/100,0))*(1-ДисконтТендер),0))</f>
        <v>0</v>
      </c>
      <c r="N1160" s="10">
        <f t="shared" si="54"/>
        <v>0</v>
      </c>
      <c r="O1160" s="10">
        <f t="shared" si="55"/>
        <v>0</v>
      </c>
      <c r="P1160" s="10">
        <f t="shared" si="56"/>
        <v>0</v>
      </c>
      <c r="Q1160" t="str">
        <f>IFERROR(INDEX(Работы!$J$2:$J$6000,MATCH($C1160,Работы!$A$2:$A$6000,0)),"")</f>
        <v/>
      </c>
      <c r="R1160" t="s">
        <v>92</v>
      </c>
      <c r="T1160" t="str">
        <f>IF(AND($P1160&gt;0,$R1160="да"),MAX($T$1:$T1159)+1,"")</f>
        <v/>
      </c>
    </row>
    <row r="1161" spans="1:20" x14ac:dyDescent="0.3">
      <c r="A1161" s="11" t="str">
        <f>IFERROR(INDEX(Работы!$D$2:$D$6000,MATCH($C1161,Работы!$A$2:$A$6000,0)),"")</f>
        <v/>
      </c>
      <c r="B1161" t="str">
        <f>IFERROR(INDEX(Работы!$F$2:$F$6000,MATCH($C1161,Работы!$A$2:$A$6000,0)),"")</f>
        <v/>
      </c>
      <c r="C1161">
        <f>IFERROR(INDEX(Работы!$A$2:$A$6000,1160),"")</f>
        <v>0</v>
      </c>
      <c r="D1161" s="8" t="str">
        <f>IFERROR(INDEX(Работы!$B$2:$B$6000,MATCH($C1161,Работы!$A$2:$A$6000,0)),"")</f>
        <v/>
      </c>
      <c r="E1161" t="str">
        <f>IFERROR(INDEX(Работы!$C$2:$C$6000,MATCH($C1161,Работы!$A$2:$A$6000,0)),"")</f>
        <v/>
      </c>
      <c r="F1161" t="str">
        <f>IFERROR(INDEX(Работы!$G$2:$G$6000,MATCH($C1161,Работы!$A$2:$A$6000,0)),"")</f>
        <v/>
      </c>
      <c r="G1161" t="str">
        <f>IFERROR(INDEX(Работы!$K$2:$K$6000,MATCH($C1161,Работы!$A$2:$A$6000,0)),"")</f>
        <v/>
      </c>
      <c r="H1161" s="9"/>
      <c r="I1161" s="9"/>
      <c r="J1161" s="8" t="str">
        <f>IFERROR(INDEX(Материалы!$B$2:$B$9000,MATCH($I1161,Материалы!$A$2:$A$9000,0)),"")</f>
        <v/>
      </c>
      <c r="K1161" t="str">
        <f>IF($I1161="","",IF($F1161=IFERROR(INDEX(Материалы!$G$2:$G$9000,MATCH($I1161,Материалы!$A$2:$A$9000,0)),""),"OK","!! не та группа"))</f>
        <v/>
      </c>
      <c r="L1161" s="10">
        <f>IFERROR(INDEX(Работы!$H$2:$H$6000,MATCH($C1161,Работы!$A$2:$A$6000,0))*(1-ДисконтТендер),0)</f>
        <v>0</v>
      </c>
      <c r="M1161" s="10">
        <f>IF($I1161="",0,IFERROR(INDEX(Материалы!$I$2:$I$9000,MATCH($I1161,Материалы!$A$2:$A$9000,0))*IF(INDEX(Материалы!$J$2:$J$9000,MATCH($I1161,Материалы!$A$2:$A$9000,0))="USD",КурсUSD,IF(INDEX(Материалы!$J$2:$J$9000,MATCH($I1161,Материалы!$A$2:$A$9000,0))="EUR",КурсEUR,1))*INDEX(Материалы!$K$2:$K$9000,MATCH($I1161,Материалы!$A$2:$A$9000,0))*(1+IFERROR(INDEX(Работы!$I$2:$I$6000,MATCH($C1161,Работы!$A$2:$A$6000,0))/100,0))*(1-ДисконтТендер),0))</f>
        <v>0</v>
      </c>
      <c r="N1161" s="10">
        <f t="shared" si="54"/>
        <v>0</v>
      </c>
      <c r="O1161" s="10">
        <f t="shared" si="55"/>
        <v>0</v>
      </c>
      <c r="P1161" s="10">
        <f t="shared" si="56"/>
        <v>0</v>
      </c>
      <c r="Q1161" t="str">
        <f>IFERROR(INDEX(Работы!$J$2:$J$6000,MATCH($C1161,Работы!$A$2:$A$6000,0)),"")</f>
        <v/>
      </c>
      <c r="R1161" t="s">
        <v>92</v>
      </c>
      <c r="T1161" t="str">
        <f>IF(AND($P1161&gt;0,$R1161="да"),MAX($T$1:$T1160)+1,"")</f>
        <v/>
      </c>
    </row>
    <row r="1162" spans="1:20" x14ac:dyDescent="0.3">
      <c r="A1162" s="11" t="str">
        <f>IFERROR(INDEX(Работы!$D$2:$D$6000,MATCH($C1162,Работы!$A$2:$A$6000,0)),"")</f>
        <v/>
      </c>
      <c r="B1162" t="str">
        <f>IFERROR(INDEX(Работы!$F$2:$F$6000,MATCH($C1162,Работы!$A$2:$A$6000,0)),"")</f>
        <v/>
      </c>
      <c r="C1162">
        <f>IFERROR(INDEX(Работы!$A$2:$A$6000,1161),"")</f>
        <v>0</v>
      </c>
      <c r="D1162" s="8" t="str">
        <f>IFERROR(INDEX(Работы!$B$2:$B$6000,MATCH($C1162,Работы!$A$2:$A$6000,0)),"")</f>
        <v/>
      </c>
      <c r="E1162" t="str">
        <f>IFERROR(INDEX(Работы!$C$2:$C$6000,MATCH($C1162,Работы!$A$2:$A$6000,0)),"")</f>
        <v/>
      </c>
      <c r="F1162" t="str">
        <f>IFERROR(INDEX(Работы!$G$2:$G$6000,MATCH($C1162,Работы!$A$2:$A$6000,0)),"")</f>
        <v/>
      </c>
      <c r="G1162" t="str">
        <f>IFERROR(INDEX(Работы!$K$2:$K$6000,MATCH($C1162,Работы!$A$2:$A$6000,0)),"")</f>
        <v/>
      </c>
      <c r="H1162" s="9"/>
      <c r="I1162" s="9"/>
      <c r="J1162" s="8" t="str">
        <f>IFERROR(INDEX(Материалы!$B$2:$B$9000,MATCH($I1162,Материалы!$A$2:$A$9000,0)),"")</f>
        <v/>
      </c>
      <c r="K1162" t="str">
        <f>IF($I1162="","",IF($F1162=IFERROR(INDEX(Материалы!$G$2:$G$9000,MATCH($I1162,Материалы!$A$2:$A$9000,0)),""),"OK","!! не та группа"))</f>
        <v/>
      </c>
      <c r="L1162" s="10">
        <f>IFERROR(INDEX(Работы!$H$2:$H$6000,MATCH($C1162,Работы!$A$2:$A$6000,0))*(1-ДисконтТендер),0)</f>
        <v>0</v>
      </c>
      <c r="M1162" s="10">
        <f>IF($I1162="",0,IFERROR(INDEX(Материалы!$I$2:$I$9000,MATCH($I1162,Материалы!$A$2:$A$9000,0))*IF(INDEX(Материалы!$J$2:$J$9000,MATCH($I1162,Материалы!$A$2:$A$9000,0))="USD",КурсUSD,IF(INDEX(Материалы!$J$2:$J$9000,MATCH($I1162,Материалы!$A$2:$A$9000,0))="EUR",КурсEUR,1))*INDEX(Материалы!$K$2:$K$9000,MATCH($I1162,Материалы!$A$2:$A$9000,0))*(1+IFERROR(INDEX(Работы!$I$2:$I$6000,MATCH($C1162,Работы!$A$2:$A$6000,0))/100,0))*(1-ДисконтТендер),0))</f>
        <v>0</v>
      </c>
      <c r="N1162" s="10">
        <f t="shared" si="54"/>
        <v>0</v>
      </c>
      <c r="O1162" s="10">
        <f t="shared" si="55"/>
        <v>0</v>
      </c>
      <c r="P1162" s="10">
        <f t="shared" si="56"/>
        <v>0</v>
      </c>
      <c r="Q1162" t="str">
        <f>IFERROR(INDEX(Работы!$J$2:$J$6000,MATCH($C1162,Работы!$A$2:$A$6000,0)),"")</f>
        <v/>
      </c>
      <c r="R1162" t="s">
        <v>92</v>
      </c>
      <c r="T1162" t="str">
        <f>IF(AND($P1162&gt;0,$R1162="да"),MAX($T$1:$T1161)+1,"")</f>
        <v/>
      </c>
    </row>
    <row r="1163" spans="1:20" x14ac:dyDescent="0.3">
      <c r="A1163" s="11" t="str">
        <f>IFERROR(INDEX(Работы!$D$2:$D$6000,MATCH($C1163,Работы!$A$2:$A$6000,0)),"")</f>
        <v/>
      </c>
      <c r="B1163" t="str">
        <f>IFERROR(INDEX(Работы!$F$2:$F$6000,MATCH($C1163,Работы!$A$2:$A$6000,0)),"")</f>
        <v/>
      </c>
      <c r="C1163">
        <f>IFERROR(INDEX(Работы!$A$2:$A$6000,1162),"")</f>
        <v>0</v>
      </c>
      <c r="D1163" s="8" t="str">
        <f>IFERROR(INDEX(Работы!$B$2:$B$6000,MATCH($C1163,Работы!$A$2:$A$6000,0)),"")</f>
        <v/>
      </c>
      <c r="E1163" t="str">
        <f>IFERROR(INDEX(Работы!$C$2:$C$6000,MATCH($C1163,Работы!$A$2:$A$6000,0)),"")</f>
        <v/>
      </c>
      <c r="F1163" t="str">
        <f>IFERROR(INDEX(Работы!$G$2:$G$6000,MATCH($C1163,Работы!$A$2:$A$6000,0)),"")</f>
        <v/>
      </c>
      <c r="G1163" t="str">
        <f>IFERROR(INDEX(Работы!$K$2:$K$6000,MATCH($C1163,Работы!$A$2:$A$6000,0)),"")</f>
        <v/>
      </c>
      <c r="H1163" s="9"/>
      <c r="I1163" s="9"/>
      <c r="J1163" s="8" t="str">
        <f>IFERROR(INDEX(Материалы!$B$2:$B$9000,MATCH($I1163,Материалы!$A$2:$A$9000,0)),"")</f>
        <v/>
      </c>
      <c r="K1163" t="str">
        <f>IF($I1163="","",IF($F1163=IFERROR(INDEX(Материалы!$G$2:$G$9000,MATCH($I1163,Материалы!$A$2:$A$9000,0)),""),"OK","!! не та группа"))</f>
        <v/>
      </c>
      <c r="L1163" s="10">
        <f>IFERROR(INDEX(Работы!$H$2:$H$6000,MATCH($C1163,Работы!$A$2:$A$6000,0))*(1-ДисконтТендер),0)</f>
        <v>0</v>
      </c>
      <c r="M1163" s="10">
        <f>IF($I1163="",0,IFERROR(INDEX(Материалы!$I$2:$I$9000,MATCH($I1163,Материалы!$A$2:$A$9000,0))*IF(INDEX(Материалы!$J$2:$J$9000,MATCH($I1163,Материалы!$A$2:$A$9000,0))="USD",КурсUSD,IF(INDEX(Материалы!$J$2:$J$9000,MATCH($I1163,Материалы!$A$2:$A$9000,0))="EUR",КурсEUR,1))*INDEX(Материалы!$K$2:$K$9000,MATCH($I1163,Материалы!$A$2:$A$9000,0))*(1+IFERROR(INDEX(Работы!$I$2:$I$6000,MATCH($C1163,Работы!$A$2:$A$6000,0))/100,0))*(1-ДисконтТендер),0))</f>
        <v>0</v>
      </c>
      <c r="N1163" s="10">
        <f t="shared" si="54"/>
        <v>0</v>
      </c>
      <c r="O1163" s="10">
        <f t="shared" si="55"/>
        <v>0</v>
      </c>
      <c r="P1163" s="10">
        <f t="shared" si="56"/>
        <v>0</v>
      </c>
      <c r="Q1163" t="str">
        <f>IFERROR(INDEX(Работы!$J$2:$J$6000,MATCH($C1163,Работы!$A$2:$A$6000,0)),"")</f>
        <v/>
      </c>
      <c r="R1163" t="s">
        <v>92</v>
      </c>
      <c r="T1163" t="str">
        <f>IF(AND($P1163&gt;0,$R1163="да"),MAX($T$1:$T1162)+1,"")</f>
        <v/>
      </c>
    </row>
    <row r="1164" spans="1:20" x14ac:dyDescent="0.3">
      <c r="A1164" s="11" t="str">
        <f>IFERROR(INDEX(Работы!$D$2:$D$6000,MATCH($C1164,Работы!$A$2:$A$6000,0)),"")</f>
        <v/>
      </c>
      <c r="B1164" t="str">
        <f>IFERROR(INDEX(Работы!$F$2:$F$6000,MATCH($C1164,Работы!$A$2:$A$6000,0)),"")</f>
        <v/>
      </c>
      <c r="C1164">
        <f>IFERROR(INDEX(Работы!$A$2:$A$6000,1163),"")</f>
        <v>0</v>
      </c>
      <c r="D1164" s="8" t="str">
        <f>IFERROR(INDEX(Работы!$B$2:$B$6000,MATCH($C1164,Работы!$A$2:$A$6000,0)),"")</f>
        <v/>
      </c>
      <c r="E1164" t="str">
        <f>IFERROR(INDEX(Работы!$C$2:$C$6000,MATCH($C1164,Работы!$A$2:$A$6000,0)),"")</f>
        <v/>
      </c>
      <c r="F1164" t="str">
        <f>IFERROR(INDEX(Работы!$G$2:$G$6000,MATCH($C1164,Работы!$A$2:$A$6000,0)),"")</f>
        <v/>
      </c>
      <c r="G1164" t="str">
        <f>IFERROR(INDEX(Работы!$K$2:$K$6000,MATCH($C1164,Работы!$A$2:$A$6000,0)),"")</f>
        <v/>
      </c>
      <c r="H1164" s="9"/>
      <c r="I1164" s="9"/>
      <c r="J1164" s="8" t="str">
        <f>IFERROR(INDEX(Материалы!$B$2:$B$9000,MATCH($I1164,Материалы!$A$2:$A$9000,0)),"")</f>
        <v/>
      </c>
      <c r="K1164" t="str">
        <f>IF($I1164="","",IF($F1164=IFERROR(INDEX(Материалы!$G$2:$G$9000,MATCH($I1164,Материалы!$A$2:$A$9000,0)),""),"OK","!! не та группа"))</f>
        <v/>
      </c>
      <c r="L1164" s="10">
        <f>IFERROR(INDEX(Работы!$H$2:$H$6000,MATCH($C1164,Работы!$A$2:$A$6000,0))*(1-ДисконтТендер),0)</f>
        <v>0</v>
      </c>
      <c r="M1164" s="10">
        <f>IF($I1164="",0,IFERROR(INDEX(Материалы!$I$2:$I$9000,MATCH($I1164,Материалы!$A$2:$A$9000,0))*IF(INDEX(Материалы!$J$2:$J$9000,MATCH($I1164,Материалы!$A$2:$A$9000,0))="USD",КурсUSD,IF(INDEX(Материалы!$J$2:$J$9000,MATCH($I1164,Материалы!$A$2:$A$9000,0))="EUR",КурсEUR,1))*INDEX(Материалы!$K$2:$K$9000,MATCH($I1164,Материалы!$A$2:$A$9000,0))*(1+IFERROR(INDEX(Работы!$I$2:$I$6000,MATCH($C1164,Работы!$A$2:$A$6000,0))/100,0))*(1-ДисконтТендер),0))</f>
        <v>0</v>
      </c>
      <c r="N1164" s="10">
        <f t="shared" si="54"/>
        <v>0</v>
      </c>
      <c r="O1164" s="10">
        <f t="shared" si="55"/>
        <v>0</v>
      </c>
      <c r="P1164" s="10">
        <f t="shared" si="56"/>
        <v>0</v>
      </c>
      <c r="Q1164" t="str">
        <f>IFERROR(INDEX(Работы!$J$2:$J$6000,MATCH($C1164,Работы!$A$2:$A$6000,0)),"")</f>
        <v/>
      </c>
      <c r="R1164" t="s">
        <v>92</v>
      </c>
      <c r="T1164" t="str">
        <f>IF(AND($P1164&gt;0,$R1164="да"),MAX($T$1:$T1163)+1,"")</f>
        <v/>
      </c>
    </row>
    <row r="1165" spans="1:20" x14ac:dyDescent="0.3">
      <c r="A1165" s="11" t="str">
        <f>IFERROR(INDEX(Работы!$D$2:$D$6000,MATCH($C1165,Работы!$A$2:$A$6000,0)),"")</f>
        <v/>
      </c>
      <c r="B1165" t="str">
        <f>IFERROR(INDEX(Работы!$F$2:$F$6000,MATCH($C1165,Работы!$A$2:$A$6000,0)),"")</f>
        <v/>
      </c>
      <c r="C1165">
        <f>IFERROR(INDEX(Работы!$A$2:$A$6000,1164),"")</f>
        <v>0</v>
      </c>
      <c r="D1165" s="8" t="str">
        <f>IFERROR(INDEX(Работы!$B$2:$B$6000,MATCH($C1165,Работы!$A$2:$A$6000,0)),"")</f>
        <v/>
      </c>
      <c r="E1165" t="str">
        <f>IFERROR(INDEX(Работы!$C$2:$C$6000,MATCH($C1165,Работы!$A$2:$A$6000,0)),"")</f>
        <v/>
      </c>
      <c r="F1165" t="str">
        <f>IFERROR(INDEX(Работы!$G$2:$G$6000,MATCH($C1165,Работы!$A$2:$A$6000,0)),"")</f>
        <v/>
      </c>
      <c r="G1165" t="str">
        <f>IFERROR(INDEX(Работы!$K$2:$K$6000,MATCH($C1165,Работы!$A$2:$A$6000,0)),"")</f>
        <v/>
      </c>
      <c r="H1165" s="9"/>
      <c r="I1165" s="9"/>
      <c r="J1165" s="8" t="str">
        <f>IFERROR(INDEX(Материалы!$B$2:$B$9000,MATCH($I1165,Материалы!$A$2:$A$9000,0)),"")</f>
        <v/>
      </c>
      <c r="K1165" t="str">
        <f>IF($I1165="","",IF($F1165=IFERROR(INDEX(Материалы!$G$2:$G$9000,MATCH($I1165,Материалы!$A$2:$A$9000,0)),""),"OK","!! не та группа"))</f>
        <v/>
      </c>
      <c r="L1165" s="10">
        <f>IFERROR(INDEX(Работы!$H$2:$H$6000,MATCH($C1165,Работы!$A$2:$A$6000,0))*(1-ДисконтТендер),0)</f>
        <v>0</v>
      </c>
      <c r="M1165" s="10">
        <f>IF($I1165="",0,IFERROR(INDEX(Материалы!$I$2:$I$9000,MATCH($I1165,Материалы!$A$2:$A$9000,0))*IF(INDEX(Материалы!$J$2:$J$9000,MATCH($I1165,Материалы!$A$2:$A$9000,0))="USD",КурсUSD,IF(INDEX(Материалы!$J$2:$J$9000,MATCH($I1165,Материалы!$A$2:$A$9000,0))="EUR",КурсEUR,1))*INDEX(Материалы!$K$2:$K$9000,MATCH($I1165,Материалы!$A$2:$A$9000,0))*(1+IFERROR(INDEX(Работы!$I$2:$I$6000,MATCH($C1165,Работы!$A$2:$A$6000,0))/100,0))*(1-ДисконтТендер),0))</f>
        <v>0</v>
      </c>
      <c r="N1165" s="10">
        <f t="shared" si="54"/>
        <v>0</v>
      </c>
      <c r="O1165" s="10">
        <f t="shared" si="55"/>
        <v>0</v>
      </c>
      <c r="P1165" s="10">
        <f t="shared" si="56"/>
        <v>0</v>
      </c>
      <c r="Q1165" t="str">
        <f>IFERROR(INDEX(Работы!$J$2:$J$6000,MATCH($C1165,Работы!$A$2:$A$6000,0)),"")</f>
        <v/>
      </c>
      <c r="R1165" t="s">
        <v>92</v>
      </c>
      <c r="T1165" t="str">
        <f>IF(AND($P1165&gt;0,$R1165="да"),MAX($T$1:$T1164)+1,"")</f>
        <v/>
      </c>
    </row>
    <row r="1166" spans="1:20" x14ac:dyDescent="0.3">
      <c r="A1166" s="11" t="str">
        <f>IFERROR(INDEX(Работы!$D$2:$D$6000,MATCH($C1166,Работы!$A$2:$A$6000,0)),"")</f>
        <v/>
      </c>
      <c r="B1166" t="str">
        <f>IFERROR(INDEX(Работы!$F$2:$F$6000,MATCH($C1166,Работы!$A$2:$A$6000,0)),"")</f>
        <v/>
      </c>
      <c r="C1166">
        <f>IFERROR(INDEX(Работы!$A$2:$A$6000,1165),"")</f>
        <v>0</v>
      </c>
      <c r="D1166" s="8" t="str">
        <f>IFERROR(INDEX(Работы!$B$2:$B$6000,MATCH($C1166,Работы!$A$2:$A$6000,0)),"")</f>
        <v/>
      </c>
      <c r="E1166" t="str">
        <f>IFERROR(INDEX(Работы!$C$2:$C$6000,MATCH($C1166,Работы!$A$2:$A$6000,0)),"")</f>
        <v/>
      </c>
      <c r="F1166" t="str">
        <f>IFERROR(INDEX(Работы!$G$2:$G$6000,MATCH($C1166,Работы!$A$2:$A$6000,0)),"")</f>
        <v/>
      </c>
      <c r="G1166" t="str">
        <f>IFERROR(INDEX(Работы!$K$2:$K$6000,MATCH($C1166,Работы!$A$2:$A$6000,0)),"")</f>
        <v/>
      </c>
      <c r="H1166" s="9"/>
      <c r="I1166" s="9"/>
      <c r="J1166" s="8" t="str">
        <f>IFERROR(INDEX(Материалы!$B$2:$B$9000,MATCH($I1166,Материалы!$A$2:$A$9000,0)),"")</f>
        <v/>
      </c>
      <c r="K1166" t="str">
        <f>IF($I1166="","",IF($F1166=IFERROR(INDEX(Материалы!$G$2:$G$9000,MATCH($I1166,Материалы!$A$2:$A$9000,0)),""),"OK","!! не та группа"))</f>
        <v/>
      </c>
      <c r="L1166" s="10">
        <f>IFERROR(INDEX(Работы!$H$2:$H$6000,MATCH($C1166,Работы!$A$2:$A$6000,0))*(1-ДисконтТендер),0)</f>
        <v>0</v>
      </c>
      <c r="M1166" s="10">
        <f>IF($I1166="",0,IFERROR(INDEX(Материалы!$I$2:$I$9000,MATCH($I1166,Материалы!$A$2:$A$9000,0))*IF(INDEX(Материалы!$J$2:$J$9000,MATCH($I1166,Материалы!$A$2:$A$9000,0))="USD",КурсUSD,IF(INDEX(Материалы!$J$2:$J$9000,MATCH($I1166,Материалы!$A$2:$A$9000,0))="EUR",КурсEUR,1))*INDEX(Материалы!$K$2:$K$9000,MATCH($I1166,Материалы!$A$2:$A$9000,0))*(1+IFERROR(INDEX(Работы!$I$2:$I$6000,MATCH($C1166,Работы!$A$2:$A$6000,0))/100,0))*(1-ДисконтТендер),0))</f>
        <v>0</v>
      </c>
      <c r="N1166" s="10">
        <f t="shared" si="54"/>
        <v>0</v>
      </c>
      <c r="O1166" s="10">
        <f t="shared" si="55"/>
        <v>0</v>
      </c>
      <c r="P1166" s="10">
        <f t="shared" si="56"/>
        <v>0</v>
      </c>
      <c r="Q1166" t="str">
        <f>IFERROR(INDEX(Работы!$J$2:$J$6000,MATCH($C1166,Работы!$A$2:$A$6000,0)),"")</f>
        <v/>
      </c>
      <c r="R1166" t="s">
        <v>92</v>
      </c>
      <c r="T1166" t="str">
        <f>IF(AND($P1166&gt;0,$R1166="да"),MAX($T$1:$T1165)+1,"")</f>
        <v/>
      </c>
    </row>
    <row r="1167" spans="1:20" x14ac:dyDescent="0.3">
      <c r="A1167" s="11" t="str">
        <f>IFERROR(INDEX(Работы!$D$2:$D$6000,MATCH($C1167,Работы!$A$2:$A$6000,0)),"")</f>
        <v/>
      </c>
      <c r="B1167" t="str">
        <f>IFERROR(INDEX(Работы!$F$2:$F$6000,MATCH($C1167,Работы!$A$2:$A$6000,0)),"")</f>
        <v/>
      </c>
      <c r="C1167">
        <f>IFERROR(INDEX(Работы!$A$2:$A$6000,1166),"")</f>
        <v>0</v>
      </c>
      <c r="D1167" s="8" t="str">
        <f>IFERROR(INDEX(Работы!$B$2:$B$6000,MATCH($C1167,Работы!$A$2:$A$6000,0)),"")</f>
        <v/>
      </c>
      <c r="E1167" t="str">
        <f>IFERROR(INDEX(Работы!$C$2:$C$6000,MATCH($C1167,Работы!$A$2:$A$6000,0)),"")</f>
        <v/>
      </c>
      <c r="F1167" t="str">
        <f>IFERROR(INDEX(Работы!$G$2:$G$6000,MATCH($C1167,Работы!$A$2:$A$6000,0)),"")</f>
        <v/>
      </c>
      <c r="G1167" t="str">
        <f>IFERROR(INDEX(Работы!$K$2:$K$6000,MATCH($C1167,Работы!$A$2:$A$6000,0)),"")</f>
        <v/>
      </c>
      <c r="H1167" s="9"/>
      <c r="I1167" s="9"/>
      <c r="J1167" s="8" t="str">
        <f>IFERROR(INDEX(Материалы!$B$2:$B$9000,MATCH($I1167,Материалы!$A$2:$A$9000,0)),"")</f>
        <v/>
      </c>
      <c r="K1167" t="str">
        <f>IF($I1167="","",IF($F1167=IFERROR(INDEX(Материалы!$G$2:$G$9000,MATCH($I1167,Материалы!$A$2:$A$9000,0)),""),"OK","!! не та группа"))</f>
        <v/>
      </c>
      <c r="L1167" s="10">
        <f>IFERROR(INDEX(Работы!$H$2:$H$6000,MATCH($C1167,Работы!$A$2:$A$6000,0))*(1-ДисконтТендер),0)</f>
        <v>0</v>
      </c>
      <c r="M1167" s="10">
        <f>IF($I1167="",0,IFERROR(INDEX(Материалы!$I$2:$I$9000,MATCH($I1167,Материалы!$A$2:$A$9000,0))*IF(INDEX(Материалы!$J$2:$J$9000,MATCH($I1167,Материалы!$A$2:$A$9000,0))="USD",КурсUSD,IF(INDEX(Материалы!$J$2:$J$9000,MATCH($I1167,Материалы!$A$2:$A$9000,0))="EUR",КурсEUR,1))*INDEX(Материалы!$K$2:$K$9000,MATCH($I1167,Материалы!$A$2:$A$9000,0))*(1+IFERROR(INDEX(Работы!$I$2:$I$6000,MATCH($C1167,Работы!$A$2:$A$6000,0))/100,0))*(1-ДисконтТендер),0))</f>
        <v>0</v>
      </c>
      <c r="N1167" s="10">
        <f t="shared" si="54"/>
        <v>0</v>
      </c>
      <c r="O1167" s="10">
        <f t="shared" si="55"/>
        <v>0</v>
      </c>
      <c r="P1167" s="10">
        <f t="shared" si="56"/>
        <v>0</v>
      </c>
      <c r="Q1167" t="str">
        <f>IFERROR(INDEX(Работы!$J$2:$J$6000,MATCH($C1167,Работы!$A$2:$A$6000,0)),"")</f>
        <v/>
      </c>
      <c r="R1167" t="s">
        <v>92</v>
      </c>
      <c r="T1167" t="str">
        <f>IF(AND($P1167&gt;0,$R1167="да"),MAX($T$1:$T1166)+1,"")</f>
        <v/>
      </c>
    </row>
    <row r="1168" spans="1:20" x14ac:dyDescent="0.3">
      <c r="A1168" s="11" t="str">
        <f>IFERROR(INDEX(Работы!$D$2:$D$6000,MATCH($C1168,Работы!$A$2:$A$6000,0)),"")</f>
        <v/>
      </c>
      <c r="B1168" t="str">
        <f>IFERROR(INDEX(Работы!$F$2:$F$6000,MATCH($C1168,Работы!$A$2:$A$6000,0)),"")</f>
        <v/>
      </c>
      <c r="C1168">
        <f>IFERROR(INDEX(Работы!$A$2:$A$6000,1167),"")</f>
        <v>0</v>
      </c>
      <c r="D1168" s="8" t="str">
        <f>IFERROR(INDEX(Работы!$B$2:$B$6000,MATCH($C1168,Работы!$A$2:$A$6000,0)),"")</f>
        <v/>
      </c>
      <c r="E1168" t="str">
        <f>IFERROR(INDEX(Работы!$C$2:$C$6000,MATCH($C1168,Работы!$A$2:$A$6000,0)),"")</f>
        <v/>
      </c>
      <c r="F1168" t="str">
        <f>IFERROR(INDEX(Работы!$G$2:$G$6000,MATCH($C1168,Работы!$A$2:$A$6000,0)),"")</f>
        <v/>
      </c>
      <c r="G1168" t="str">
        <f>IFERROR(INDEX(Работы!$K$2:$K$6000,MATCH($C1168,Работы!$A$2:$A$6000,0)),"")</f>
        <v/>
      </c>
      <c r="H1168" s="9"/>
      <c r="I1168" s="9"/>
      <c r="J1168" s="8" t="str">
        <f>IFERROR(INDEX(Материалы!$B$2:$B$9000,MATCH($I1168,Материалы!$A$2:$A$9000,0)),"")</f>
        <v/>
      </c>
      <c r="K1168" t="str">
        <f>IF($I1168="","",IF($F1168=IFERROR(INDEX(Материалы!$G$2:$G$9000,MATCH($I1168,Материалы!$A$2:$A$9000,0)),""),"OK","!! не та группа"))</f>
        <v/>
      </c>
      <c r="L1168" s="10">
        <f>IFERROR(INDEX(Работы!$H$2:$H$6000,MATCH($C1168,Работы!$A$2:$A$6000,0))*(1-ДисконтТендер),0)</f>
        <v>0</v>
      </c>
      <c r="M1168" s="10">
        <f>IF($I1168="",0,IFERROR(INDEX(Материалы!$I$2:$I$9000,MATCH($I1168,Материалы!$A$2:$A$9000,0))*IF(INDEX(Материалы!$J$2:$J$9000,MATCH($I1168,Материалы!$A$2:$A$9000,0))="USD",КурсUSD,IF(INDEX(Материалы!$J$2:$J$9000,MATCH($I1168,Материалы!$A$2:$A$9000,0))="EUR",КурсEUR,1))*INDEX(Материалы!$K$2:$K$9000,MATCH($I1168,Материалы!$A$2:$A$9000,0))*(1+IFERROR(INDEX(Работы!$I$2:$I$6000,MATCH($C1168,Работы!$A$2:$A$6000,0))/100,0))*(1-ДисконтТендер),0))</f>
        <v>0</v>
      </c>
      <c r="N1168" s="10">
        <f t="shared" si="54"/>
        <v>0</v>
      </c>
      <c r="O1168" s="10">
        <f t="shared" si="55"/>
        <v>0</v>
      </c>
      <c r="P1168" s="10">
        <f t="shared" si="56"/>
        <v>0</v>
      </c>
      <c r="Q1168" t="str">
        <f>IFERROR(INDEX(Работы!$J$2:$J$6000,MATCH($C1168,Работы!$A$2:$A$6000,0)),"")</f>
        <v/>
      </c>
      <c r="R1168" t="s">
        <v>92</v>
      </c>
      <c r="T1168" t="str">
        <f>IF(AND($P1168&gt;0,$R1168="да"),MAX($T$1:$T1167)+1,"")</f>
        <v/>
      </c>
    </row>
    <row r="1169" spans="1:20" x14ac:dyDescent="0.3">
      <c r="A1169" s="11" t="str">
        <f>IFERROR(INDEX(Работы!$D$2:$D$6000,MATCH($C1169,Работы!$A$2:$A$6000,0)),"")</f>
        <v/>
      </c>
      <c r="B1169" t="str">
        <f>IFERROR(INDEX(Работы!$F$2:$F$6000,MATCH($C1169,Работы!$A$2:$A$6000,0)),"")</f>
        <v/>
      </c>
      <c r="C1169">
        <f>IFERROR(INDEX(Работы!$A$2:$A$6000,1168),"")</f>
        <v>0</v>
      </c>
      <c r="D1169" s="8" t="str">
        <f>IFERROR(INDEX(Работы!$B$2:$B$6000,MATCH($C1169,Работы!$A$2:$A$6000,0)),"")</f>
        <v/>
      </c>
      <c r="E1169" t="str">
        <f>IFERROR(INDEX(Работы!$C$2:$C$6000,MATCH($C1169,Работы!$A$2:$A$6000,0)),"")</f>
        <v/>
      </c>
      <c r="F1169" t="str">
        <f>IFERROR(INDEX(Работы!$G$2:$G$6000,MATCH($C1169,Работы!$A$2:$A$6000,0)),"")</f>
        <v/>
      </c>
      <c r="G1169" t="str">
        <f>IFERROR(INDEX(Работы!$K$2:$K$6000,MATCH($C1169,Работы!$A$2:$A$6000,0)),"")</f>
        <v/>
      </c>
      <c r="H1169" s="9"/>
      <c r="I1169" s="9"/>
      <c r="J1169" s="8" t="str">
        <f>IFERROR(INDEX(Материалы!$B$2:$B$9000,MATCH($I1169,Материалы!$A$2:$A$9000,0)),"")</f>
        <v/>
      </c>
      <c r="K1169" t="str">
        <f>IF($I1169="","",IF($F1169=IFERROR(INDEX(Материалы!$G$2:$G$9000,MATCH($I1169,Материалы!$A$2:$A$9000,0)),""),"OK","!! не та группа"))</f>
        <v/>
      </c>
      <c r="L1169" s="10">
        <f>IFERROR(INDEX(Работы!$H$2:$H$6000,MATCH($C1169,Работы!$A$2:$A$6000,0))*(1-ДисконтТендер),0)</f>
        <v>0</v>
      </c>
      <c r="M1169" s="10">
        <f>IF($I1169="",0,IFERROR(INDEX(Материалы!$I$2:$I$9000,MATCH($I1169,Материалы!$A$2:$A$9000,0))*IF(INDEX(Материалы!$J$2:$J$9000,MATCH($I1169,Материалы!$A$2:$A$9000,0))="USD",КурсUSD,IF(INDEX(Материалы!$J$2:$J$9000,MATCH($I1169,Материалы!$A$2:$A$9000,0))="EUR",КурсEUR,1))*INDEX(Материалы!$K$2:$K$9000,MATCH($I1169,Материалы!$A$2:$A$9000,0))*(1+IFERROR(INDEX(Работы!$I$2:$I$6000,MATCH($C1169,Работы!$A$2:$A$6000,0))/100,0))*(1-ДисконтТендер),0))</f>
        <v>0</v>
      </c>
      <c r="N1169" s="10">
        <f t="shared" si="54"/>
        <v>0</v>
      </c>
      <c r="O1169" s="10">
        <f t="shared" si="55"/>
        <v>0</v>
      </c>
      <c r="P1169" s="10">
        <f t="shared" si="56"/>
        <v>0</v>
      </c>
      <c r="Q1169" t="str">
        <f>IFERROR(INDEX(Работы!$J$2:$J$6000,MATCH($C1169,Работы!$A$2:$A$6000,0)),"")</f>
        <v/>
      </c>
      <c r="R1169" t="s">
        <v>92</v>
      </c>
      <c r="T1169" t="str">
        <f>IF(AND($P1169&gt;0,$R1169="да"),MAX($T$1:$T1168)+1,"")</f>
        <v/>
      </c>
    </row>
    <row r="1170" spans="1:20" x14ac:dyDescent="0.3">
      <c r="A1170" s="11" t="str">
        <f>IFERROR(INDEX(Работы!$D$2:$D$6000,MATCH($C1170,Работы!$A$2:$A$6000,0)),"")</f>
        <v/>
      </c>
      <c r="B1170" t="str">
        <f>IFERROR(INDEX(Работы!$F$2:$F$6000,MATCH($C1170,Работы!$A$2:$A$6000,0)),"")</f>
        <v/>
      </c>
      <c r="C1170">
        <f>IFERROR(INDEX(Работы!$A$2:$A$6000,1169),"")</f>
        <v>0</v>
      </c>
      <c r="D1170" s="8" t="str">
        <f>IFERROR(INDEX(Работы!$B$2:$B$6000,MATCH($C1170,Работы!$A$2:$A$6000,0)),"")</f>
        <v/>
      </c>
      <c r="E1170" t="str">
        <f>IFERROR(INDEX(Работы!$C$2:$C$6000,MATCH($C1170,Работы!$A$2:$A$6000,0)),"")</f>
        <v/>
      </c>
      <c r="F1170" t="str">
        <f>IFERROR(INDEX(Работы!$G$2:$G$6000,MATCH($C1170,Работы!$A$2:$A$6000,0)),"")</f>
        <v/>
      </c>
      <c r="G1170" t="str">
        <f>IFERROR(INDEX(Работы!$K$2:$K$6000,MATCH($C1170,Работы!$A$2:$A$6000,0)),"")</f>
        <v/>
      </c>
      <c r="H1170" s="9"/>
      <c r="I1170" s="9"/>
      <c r="J1170" s="8" t="str">
        <f>IFERROR(INDEX(Материалы!$B$2:$B$9000,MATCH($I1170,Материалы!$A$2:$A$9000,0)),"")</f>
        <v/>
      </c>
      <c r="K1170" t="str">
        <f>IF($I1170="","",IF($F1170=IFERROR(INDEX(Материалы!$G$2:$G$9000,MATCH($I1170,Материалы!$A$2:$A$9000,0)),""),"OK","!! не та группа"))</f>
        <v/>
      </c>
      <c r="L1170" s="10">
        <f>IFERROR(INDEX(Работы!$H$2:$H$6000,MATCH($C1170,Работы!$A$2:$A$6000,0))*(1-ДисконтТендер),0)</f>
        <v>0</v>
      </c>
      <c r="M1170" s="10">
        <f>IF($I1170="",0,IFERROR(INDEX(Материалы!$I$2:$I$9000,MATCH($I1170,Материалы!$A$2:$A$9000,0))*IF(INDEX(Материалы!$J$2:$J$9000,MATCH($I1170,Материалы!$A$2:$A$9000,0))="USD",КурсUSD,IF(INDEX(Материалы!$J$2:$J$9000,MATCH($I1170,Материалы!$A$2:$A$9000,0))="EUR",КурсEUR,1))*INDEX(Материалы!$K$2:$K$9000,MATCH($I1170,Материалы!$A$2:$A$9000,0))*(1+IFERROR(INDEX(Работы!$I$2:$I$6000,MATCH($C1170,Работы!$A$2:$A$6000,0))/100,0))*(1-ДисконтТендер),0))</f>
        <v>0</v>
      </c>
      <c r="N1170" s="10">
        <f t="shared" si="54"/>
        <v>0</v>
      </c>
      <c r="O1170" s="10">
        <f t="shared" si="55"/>
        <v>0</v>
      </c>
      <c r="P1170" s="10">
        <f t="shared" si="56"/>
        <v>0</v>
      </c>
      <c r="Q1170" t="str">
        <f>IFERROR(INDEX(Работы!$J$2:$J$6000,MATCH($C1170,Работы!$A$2:$A$6000,0)),"")</f>
        <v/>
      </c>
      <c r="R1170" t="s">
        <v>92</v>
      </c>
      <c r="T1170" t="str">
        <f>IF(AND($P1170&gt;0,$R1170="да"),MAX($T$1:$T1169)+1,"")</f>
        <v/>
      </c>
    </row>
    <row r="1171" spans="1:20" x14ac:dyDescent="0.3">
      <c r="A1171" s="11" t="str">
        <f>IFERROR(INDEX(Работы!$D$2:$D$6000,MATCH($C1171,Работы!$A$2:$A$6000,0)),"")</f>
        <v/>
      </c>
      <c r="B1171" t="str">
        <f>IFERROR(INDEX(Работы!$F$2:$F$6000,MATCH($C1171,Работы!$A$2:$A$6000,0)),"")</f>
        <v/>
      </c>
      <c r="C1171">
        <f>IFERROR(INDEX(Работы!$A$2:$A$6000,1170),"")</f>
        <v>0</v>
      </c>
      <c r="D1171" s="8" t="str">
        <f>IFERROR(INDEX(Работы!$B$2:$B$6000,MATCH($C1171,Работы!$A$2:$A$6000,0)),"")</f>
        <v/>
      </c>
      <c r="E1171" t="str">
        <f>IFERROR(INDEX(Работы!$C$2:$C$6000,MATCH($C1171,Работы!$A$2:$A$6000,0)),"")</f>
        <v/>
      </c>
      <c r="F1171" t="str">
        <f>IFERROR(INDEX(Работы!$G$2:$G$6000,MATCH($C1171,Работы!$A$2:$A$6000,0)),"")</f>
        <v/>
      </c>
      <c r="G1171" t="str">
        <f>IFERROR(INDEX(Работы!$K$2:$K$6000,MATCH($C1171,Работы!$A$2:$A$6000,0)),"")</f>
        <v/>
      </c>
      <c r="H1171" s="9"/>
      <c r="I1171" s="9"/>
      <c r="J1171" s="8" t="str">
        <f>IFERROR(INDEX(Материалы!$B$2:$B$9000,MATCH($I1171,Материалы!$A$2:$A$9000,0)),"")</f>
        <v/>
      </c>
      <c r="K1171" t="str">
        <f>IF($I1171="","",IF($F1171=IFERROR(INDEX(Материалы!$G$2:$G$9000,MATCH($I1171,Материалы!$A$2:$A$9000,0)),""),"OK","!! не та группа"))</f>
        <v/>
      </c>
      <c r="L1171" s="10">
        <f>IFERROR(INDEX(Работы!$H$2:$H$6000,MATCH($C1171,Работы!$A$2:$A$6000,0))*(1-ДисконтТендер),0)</f>
        <v>0</v>
      </c>
      <c r="M1171" s="10">
        <f>IF($I1171="",0,IFERROR(INDEX(Материалы!$I$2:$I$9000,MATCH($I1171,Материалы!$A$2:$A$9000,0))*IF(INDEX(Материалы!$J$2:$J$9000,MATCH($I1171,Материалы!$A$2:$A$9000,0))="USD",КурсUSD,IF(INDEX(Материалы!$J$2:$J$9000,MATCH($I1171,Материалы!$A$2:$A$9000,0))="EUR",КурсEUR,1))*INDEX(Материалы!$K$2:$K$9000,MATCH($I1171,Материалы!$A$2:$A$9000,0))*(1+IFERROR(INDEX(Работы!$I$2:$I$6000,MATCH($C1171,Работы!$A$2:$A$6000,0))/100,0))*(1-ДисконтТендер),0))</f>
        <v>0</v>
      </c>
      <c r="N1171" s="10">
        <f t="shared" si="54"/>
        <v>0</v>
      </c>
      <c r="O1171" s="10">
        <f t="shared" si="55"/>
        <v>0</v>
      </c>
      <c r="P1171" s="10">
        <f t="shared" si="56"/>
        <v>0</v>
      </c>
      <c r="Q1171" t="str">
        <f>IFERROR(INDEX(Работы!$J$2:$J$6000,MATCH($C1171,Работы!$A$2:$A$6000,0)),"")</f>
        <v/>
      </c>
      <c r="R1171" t="s">
        <v>92</v>
      </c>
      <c r="T1171" t="str">
        <f>IF(AND($P1171&gt;0,$R1171="да"),MAX($T$1:$T1170)+1,"")</f>
        <v/>
      </c>
    </row>
    <row r="1172" spans="1:20" x14ac:dyDescent="0.3">
      <c r="A1172" s="11" t="str">
        <f>IFERROR(INDEX(Работы!$D$2:$D$6000,MATCH($C1172,Работы!$A$2:$A$6000,0)),"")</f>
        <v/>
      </c>
      <c r="B1172" t="str">
        <f>IFERROR(INDEX(Работы!$F$2:$F$6000,MATCH($C1172,Работы!$A$2:$A$6000,0)),"")</f>
        <v/>
      </c>
      <c r="C1172">
        <f>IFERROR(INDEX(Работы!$A$2:$A$6000,1171),"")</f>
        <v>0</v>
      </c>
      <c r="D1172" s="8" t="str">
        <f>IFERROR(INDEX(Работы!$B$2:$B$6000,MATCH($C1172,Работы!$A$2:$A$6000,0)),"")</f>
        <v/>
      </c>
      <c r="E1172" t="str">
        <f>IFERROR(INDEX(Работы!$C$2:$C$6000,MATCH($C1172,Работы!$A$2:$A$6000,0)),"")</f>
        <v/>
      </c>
      <c r="F1172" t="str">
        <f>IFERROR(INDEX(Работы!$G$2:$G$6000,MATCH($C1172,Работы!$A$2:$A$6000,0)),"")</f>
        <v/>
      </c>
      <c r="G1172" t="str">
        <f>IFERROR(INDEX(Работы!$K$2:$K$6000,MATCH($C1172,Работы!$A$2:$A$6000,0)),"")</f>
        <v/>
      </c>
      <c r="H1172" s="9"/>
      <c r="I1172" s="9"/>
      <c r="J1172" s="8" t="str">
        <f>IFERROR(INDEX(Материалы!$B$2:$B$9000,MATCH($I1172,Материалы!$A$2:$A$9000,0)),"")</f>
        <v/>
      </c>
      <c r="K1172" t="str">
        <f>IF($I1172="","",IF($F1172=IFERROR(INDEX(Материалы!$G$2:$G$9000,MATCH($I1172,Материалы!$A$2:$A$9000,0)),""),"OK","!! не та группа"))</f>
        <v/>
      </c>
      <c r="L1172" s="10">
        <f>IFERROR(INDEX(Работы!$H$2:$H$6000,MATCH($C1172,Работы!$A$2:$A$6000,0))*(1-ДисконтТендер),0)</f>
        <v>0</v>
      </c>
      <c r="M1172" s="10">
        <f>IF($I1172="",0,IFERROR(INDEX(Материалы!$I$2:$I$9000,MATCH($I1172,Материалы!$A$2:$A$9000,0))*IF(INDEX(Материалы!$J$2:$J$9000,MATCH($I1172,Материалы!$A$2:$A$9000,0))="USD",КурсUSD,IF(INDEX(Материалы!$J$2:$J$9000,MATCH($I1172,Материалы!$A$2:$A$9000,0))="EUR",КурсEUR,1))*INDEX(Материалы!$K$2:$K$9000,MATCH($I1172,Материалы!$A$2:$A$9000,0))*(1+IFERROR(INDEX(Работы!$I$2:$I$6000,MATCH($C1172,Работы!$A$2:$A$6000,0))/100,0))*(1-ДисконтТендер),0))</f>
        <v>0</v>
      </c>
      <c r="N1172" s="10">
        <f t="shared" si="54"/>
        <v>0</v>
      </c>
      <c r="O1172" s="10">
        <f t="shared" si="55"/>
        <v>0</v>
      </c>
      <c r="P1172" s="10">
        <f t="shared" si="56"/>
        <v>0</v>
      </c>
      <c r="Q1172" t="str">
        <f>IFERROR(INDEX(Работы!$J$2:$J$6000,MATCH($C1172,Работы!$A$2:$A$6000,0)),"")</f>
        <v/>
      </c>
      <c r="R1172" t="s">
        <v>92</v>
      </c>
      <c r="T1172" t="str">
        <f>IF(AND($P1172&gt;0,$R1172="да"),MAX($T$1:$T1171)+1,"")</f>
        <v/>
      </c>
    </row>
    <row r="1173" spans="1:20" x14ac:dyDescent="0.3">
      <c r="A1173" s="11" t="str">
        <f>IFERROR(INDEX(Работы!$D$2:$D$6000,MATCH($C1173,Работы!$A$2:$A$6000,0)),"")</f>
        <v/>
      </c>
      <c r="B1173" t="str">
        <f>IFERROR(INDEX(Работы!$F$2:$F$6000,MATCH($C1173,Работы!$A$2:$A$6000,0)),"")</f>
        <v/>
      </c>
      <c r="C1173">
        <f>IFERROR(INDEX(Работы!$A$2:$A$6000,1172),"")</f>
        <v>0</v>
      </c>
      <c r="D1173" s="8" t="str">
        <f>IFERROR(INDEX(Работы!$B$2:$B$6000,MATCH($C1173,Работы!$A$2:$A$6000,0)),"")</f>
        <v/>
      </c>
      <c r="E1173" t="str">
        <f>IFERROR(INDEX(Работы!$C$2:$C$6000,MATCH($C1173,Работы!$A$2:$A$6000,0)),"")</f>
        <v/>
      </c>
      <c r="F1173" t="str">
        <f>IFERROR(INDEX(Работы!$G$2:$G$6000,MATCH($C1173,Работы!$A$2:$A$6000,0)),"")</f>
        <v/>
      </c>
      <c r="G1173" t="str">
        <f>IFERROR(INDEX(Работы!$K$2:$K$6000,MATCH($C1173,Работы!$A$2:$A$6000,0)),"")</f>
        <v/>
      </c>
      <c r="H1173" s="9"/>
      <c r="I1173" s="9"/>
      <c r="J1173" s="8" t="str">
        <f>IFERROR(INDEX(Материалы!$B$2:$B$9000,MATCH($I1173,Материалы!$A$2:$A$9000,0)),"")</f>
        <v/>
      </c>
      <c r="K1173" t="str">
        <f>IF($I1173="","",IF($F1173=IFERROR(INDEX(Материалы!$G$2:$G$9000,MATCH($I1173,Материалы!$A$2:$A$9000,0)),""),"OK","!! не та группа"))</f>
        <v/>
      </c>
      <c r="L1173" s="10">
        <f>IFERROR(INDEX(Работы!$H$2:$H$6000,MATCH($C1173,Работы!$A$2:$A$6000,0))*(1-ДисконтТендер),0)</f>
        <v>0</v>
      </c>
      <c r="M1173" s="10">
        <f>IF($I1173="",0,IFERROR(INDEX(Материалы!$I$2:$I$9000,MATCH($I1173,Материалы!$A$2:$A$9000,0))*IF(INDEX(Материалы!$J$2:$J$9000,MATCH($I1173,Материалы!$A$2:$A$9000,0))="USD",КурсUSD,IF(INDEX(Материалы!$J$2:$J$9000,MATCH($I1173,Материалы!$A$2:$A$9000,0))="EUR",КурсEUR,1))*INDEX(Материалы!$K$2:$K$9000,MATCH($I1173,Материалы!$A$2:$A$9000,0))*(1+IFERROR(INDEX(Работы!$I$2:$I$6000,MATCH($C1173,Работы!$A$2:$A$6000,0))/100,0))*(1-ДисконтТендер),0))</f>
        <v>0</v>
      </c>
      <c r="N1173" s="10">
        <f t="shared" si="54"/>
        <v>0</v>
      </c>
      <c r="O1173" s="10">
        <f t="shared" si="55"/>
        <v>0</v>
      </c>
      <c r="P1173" s="10">
        <f t="shared" si="56"/>
        <v>0</v>
      </c>
      <c r="Q1173" t="str">
        <f>IFERROR(INDEX(Работы!$J$2:$J$6000,MATCH($C1173,Работы!$A$2:$A$6000,0)),"")</f>
        <v/>
      </c>
      <c r="R1173" t="s">
        <v>92</v>
      </c>
      <c r="T1173" t="str">
        <f>IF(AND($P1173&gt;0,$R1173="да"),MAX($T$1:$T1172)+1,"")</f>
        <v/>
      </c>
    </row>
    <row r="1174" spans="1:20" x14ac:dyDescent="0.3">
      <c r="A1174" s="11" t="str">
        <f>IFERROR(INDEX(Работы!$D$2:$D$6000,MATCH($C1174,Работы!$A$2:$A$6000,0)),"")</f>
        <v/>
      </c>
      <c r="B1174" t="str">
        <f>IFERROR(INDEX(Работы!$F$2:$F$6000,MATCH($C1174,Работы!$A$2:$A$6000,0)),"")</f>
        <v/>
      </c>
      <c r="C1174">
        <f>IFERROR(INDEX(Работы!$A$2:$A$6000,1173),"")</f>
        <v>0</v>
      </c>
      <c r="D1174" s="8" t="str">
        <f>IFERROR(INDEX(Работы!$B$2:$B$6000,MATCH($C1174,Работы!$A$2:$A$6000,0)),"")</f>
        <v/>
      </c>
      <c r="E1174" t="str">
        <f>IFERROR(INDEX(Работы!$C$2:$C$6000,MATCH($C1174,Работы!$A$2:$A$6000,0)),"")</f>
        <v/>
      </c>
      <c r="F1174" t="str">
        <f>IFERROR(INDEX(Работы!$G$2:$G$6000,MATCH($C1174,Работы!$A$2:$A$6000,0)),"")</f>
        <v/>
      </c>
      <c r="G1174" t="str">
        <f>IFERROR(INDEX(Работы!$K$2:$K$6000,MATCH($C1174,Работы!$A$2:$A$6000,0)),"")</f>
        <v/>
      </c>
      <c r="H1174" s="9"/>
      <c r="I1174" s="9"/>
      <c r="J1174" s="8" t="str">
        <f>IFERROR(INDEX(Материалы!$B$2:$B$9000,MATCH($I1174,Материалы!$A$2:$A$9000,0)),"")</f>
        <v/>
      </c>
      <c r="K1174" t="str">
        <f>IF($I1174="","",IF($F1174=IFERROR(INDEX(Материалы!$G$2:$G$9000,MATCH($I1174,Материалы!$A$2:$A$9000,0)),""),"OK","!! не та группа"))</f>
        <v/>
      </c>
      <c r="L1174" s="10">
        <f>IFERROR(INDEX(Работы!$H$2:$H$6000,MATCH($C1174,Работы!$A$2:$A$6000,0))*(1-ДисконтТендер),0)</f>
        <v>0</v>
      </c>
      <c r="M1174" s="10">
        <f>IF($I1174="",0,IFERROR(INDEX(Материалы!$I$2:$I$9000,MATCH($I1174,Материалы!$A$2:$A$9000,0))*IF(INDEX(Материалы!$J$2:$J$9000,MATCH($I1174,Материалы!$A$2:$A$9000,0))="USD",КурсUSD,IF(INDEX(Материалы!$J$2:$J$9000,MATCH($I1174,Материалы!$A$2:$A$9000,0))="EUR",КурсEUR,1))*INDEX(Материалы!$K$2:$K$9000,MATCH($I1174,Материалы!$A$2:$A$9000,0))*(1+IFERROR(INDEX(Работы!$I$2:$I$6000,MATCH($C1174,Работы!$A$2:$A$6000,0))/100,0))*(1-ДисконтТендер),0))</f>
        <v>0</v>
      </c>
      <c r="N1174" s="10">
        <f t="shared" si="54"/>
        <v>0</v>
      </c>
      <c r="O1174" s="10">
        <f t="shared" si="55"/>
        <v>0</v>
      </c>
      <c r="P1174" s="10">
        <f t="shared" si="56"/>
        <v>0</v>
      </c>
      <c r="Q1174" t="str">
        <f>IFERROR(INDEX(Работы!$J$2:$J$6000,MATCH($C1174,Работы!$A$2:$A$6000,0)),"")</f>
        <v/>
      </c>
      <c r="R1174" t="s">
        <v>92</v>
      </c>
      <c r="T1174" t="str">
        <f>IF(AND($P1174&gt;0,$R1174="да"),MAX($T$1:$T1173)+1,"")</f>
        <v/>
      </c>
    </row>
    <row r="1175" spans="1:20" x14ac:dyDescent="0.3">
      <c r="A1175" s="11" t="str">
        <f>IFERROR(INDEX(Работы!$D$2:$D$6000,MATCH($C1175,Работы!$A$2:$A$6000,0)),"")</f>
        <v/>
      </c>
      <c r="B1175" t="str">
        <f>IFERROR(INDEX(Работы!$F$2:$F$6000,MATCH($C1175,Работы!$A$2:$A$6000,0)),"")</f>
        <v/>
      </c>
      <c r="C1175">
        <f>IFERROR(INDEX(Работы!$A$2:$A$6000,1174),"")</f>
        <v>0</v>
      </c>
      <c r="D1175" s="8" t="str">
        <f>IFERROR(INDEX(Работы!$B$2:$B$6000,MATCH($C1175,Работы!$A$2:$A$6000,0)),"")</f>
        <v/>
      </c>
      <c r="E1175" t="str">
        <f>IFERROR(INDEX(Работы!$C$2:$C$6000,MATCH($C1175,Работы!$A$2:$A$6000,0)),"")</f>
        <v/>
      </c>
      <c r="F1175" t="str">
        <f>IFERROR(INDEX(Работы!$G$2:$G$6000,MATCH($C1175,Работы!$A$2:$A$6000,0)),"")</f>
        <v/>
      </c>
      <c r="G1175" t="str">
        <f>IFERROR(INDEX(Работы!$K$2:$K$6000,MATCH($C1175,Работы!$A$2:$A$6000,0)),"")</f>
        <v/>
      </c>
      <c r="H1175" s="9"/>
      <c r="I1175" s="9"/>
      <c r="J1175" s="8" t="str">
        <f>IFERROR(INDEX(Материалы!$B$2:$B$9000,MATCH($I1175,Материалы!$A$2:$A$9000,0)),"")</f>
        <v/>
      </c>
      <c r="K1175" t="str">
        <f>IF($I1175="","",IF($F1175=IFERROR(INDEX(Материалы!$G$2:$G$9000,MATCH($I1175,Материалы!$A$2:$A$9000,0)),""),"OK","!! не та группа"))</f>
        <v/>
      </c>
      <c r="L1175" s="10">
        <f>IFERROR(INDEX(Работы!$H$2:$H$6000,MATCH($C1175,Работы!$A$2:$A$6000,0))*(1-ДисконтТендер),0)</f>
        <v>0</v>
      </c>
      <c r="M1175" s="10">
        <f>IF($I1175="",0,IFERROR(INDEX(Материалы!$I$2:$I$9000,MATCH($I1175,Материалы!$A$2:$A$9000,0))*IF(INDEX(Материалы!$J$2:$J$9000,MATCH($I1175,Материалы!$A$2:$A$9000,0))="USD",КурсUSD,IF(INDEX(Материалы!$J$2:$J$9000,MATCH($I1175,Материалы!$A$2:$A$9000,0))="EUR",КурсEUR,1))*INDEX(Материалы!$K$2:$K$9000,MATCH($I1175,Материалы!$A$2:$A$9000,0))*(1+IFERROR(INDEX(Работы!$I$2:$I$6000,MATCH($C1175,Работы!$A$2:$A$6000,0))/100,0))*(1-ДисконтТендер),0))</f>
        <v>0</v>
      </c>
      <c r="N1175" s="10">
        <f t="shared" si="54"/>
        <v>0</v>
      </c>
      <c r="O1175" s="10">
        <f t="shared" si="55"/>
        <v>0</v>
      </c>
      <c r="P1175" s="10">
        <f t="shared" si="56"/>
        <v>0</v>
      </c>
      <c r="Q1175" t="str">
        <f>IFERROR(INDEX(Работы!$J$2:$J$6000,MATCH($C1175,Работы!$A$2:$A$6000,0)),"")</f>
        <v/>
      </c>
      <c r="R1175" t="s">
        <v>92</v>
      </c>
      <c r="T1175" t="str">
        <f>IF(AND($P1175&gt;0,$R1175="да"),MAX($T$1:$T1174)+1,"")</f>
        <v/>
      </c>
    </row>
    <row r="1176" spans="1:20" x14ac:dyDescent="0.3">
      <c r="A1176" s="11" t="str">
        <f>IFERROR(INDEX(Работы!$D$2:$D$6000,MATCH($C1176,Работы!$A$2:$A$6000,0)),"")</f>
        <v/>
      </c>
      <c r="B1176" t="str">
        <f>IFERROR(INDEX(Работы!$F$2:$F$6000,MATCH($C1176,Работы!$A$2:$A$6000,0)),"")</f>
        <v/>
      </c>
      <c r="C1176">
        <f>IFERROR(INDEX(Работы!$A$2:$A$6000,1175),"")</f>
        <v>0</v>
      </c>
      <c r="D1176" s="8" t="str">
        <f>IFERROR(INDEX(Работы!$B$2:$B$6000,MATCH($C1176,Работы!$A$2:$A$6000,0)),"")</f>
        <v/>
      </c>
      <c r="E1176" t="str">
        <f>IFERROR(INDEX(Работы!$C$2:$C$6000,MATCH($C1176,Работы!$A$2:$A$6000,0)),"")</f>
        <v/>
      </c>
      <c r="F1176" t="str">
        <f>IFERROR(INDEX(Работы!$G$2:$G$6000,MATCH($C1176,Работы!$A$2:$A$6000,0)),"")</f>
        <v/>
      </c>
      <c r="G1176" t="str">
        <f>IFERROR(INDEX(Работы!$K$2:$K$6000,MATCH($C1176,Работы!$A$2:$A$6000,0)),"")</f>
        <v/>
      </c>
      <c r="H1176" s="9"/>
      <c r="I1176" s="9"/>
      <c r="J1176" s="8" t="str">
        <f>IFERROR(INDEX(Материалы!$B$2:$B$9000,MATCH($I1176,Материалы!$A$2:$A$9000,0)),"")</f>
        <v/>
      </c>
      <c r="K1176" t="str">
        <f>IF($I1176="","",IF($F1176=IFERROR(INDEX(Материалы!$G$2:$G$9000,MATCH($I1176,Материалы!$A$2:$A$9000,0)),""),"OK","!! не та группа"))</f>
        <v/>
      </c>
      <c r="L1176" s="10">
        <f>IFERROR(INDEX(Работы!$H$2:$H$6000,MATCH($C1176,Работы!$A$2:$A$6000,0))*(1-ДисконтТендер),0)</f>
        <v>0</v>
      </c>
      <c r="M1176" s="10">
        <f>IF($I1176="",0,IFERROR(INDEX(Материалы!$I$2:$I$9000,MATCH($I1176,Материалы!$A$2:$A$9000,0))*IF(INDEX(Материалы!$J$2:$J$9000,MATCH($I1176,Материалы!$A$2:$A$9000,0))="USD",КурсUSD,IF(INDEX(Материалы!$J$2:$J$9000,MATCH($I1176,Материалы!$A$2:$A$9000,0))="EUR",КурсEUR,1))*INDEX(Материалы!$K$2:$K$9000,MATCH($I1176,Материалы!$A$2:$A$9000,0))*(1+IFERROR(INDEX(Работы!$I$2:$I$6000,MATCH($C1176,Работы!$A$2:$A$6000,0))/100,0))*(1-ДисконтТендер),0))</f>
        <v>0</v>
      </c>
      <c r="N1176" s="10">
        <f t="shared" si="54"/>
        <v>0</v>
      </c>
      <c r="O1176" s="10">
        <f t="shared" si="55"/>
        <v>0</v>
      </c>
      <c r="P1176" s="10">
        <f t="shared" si="56"/>
        <v>0</v>
      </c>
      <c r="Q1176" t="str">
        <f>IFERROR(INDEX(Работы!$J$2:$J$6000,MATCH($C1176,Работы!$A$2:$A$6000,0)),"")</f>
        <v/>
      </c>
      <c r="R1176" t="s">
        <v>92</v>
      </c>
      <c r="T1176" t="str">
        <f>IF(AND($P1176&gt;0,$R1176="да"),MAX($T$1:$T1175)+1,"")</f>
        <v/>
      </c>
    </row>
    <row r="1177" spans="1:20" x14ac:dyDescent="0.3">
      <c r="A1177" s="11" t="str">
        <f>IFERROR(INDEX(Работы!$D$2:$D$6000,MATCH($C1177,Работы!$A$2:$A$6000,0)),"")</f>
        <v/>
      </c>
      <c r="B1177" t="str">
        <f>IFERROR(INDEX(Работы!$F$2:$F$6000,MATCH($C1177,Работы!$A$2:$A$6000,0)),"")</f>
        <v/>
      </c>
      <c r="C1177">
        <f>IFERROR(INDEX(Работы!$A$2:$A$6000,1176),"")</f>
        <v>0</v>
      </c>
      <c r="D1177" s="8" t="str">
        <f>IFERROR(INDEX(Работы!$B$2:$B$6000,MATCH($C1177,Работы!$A$2:$A$6000,0)),"")</f>
        <v/>
      </c>
      <c r="E1177" t="str">
        <f>IFERROR(INDEX(Работы!$C$2:$C$6000,MATCH($C1177,Работы!$A$2:$A$6000,0)),"")</f>
        <v/>
      </c>
      <c r="F1177" t="str">
        <f>IFERROR(INDEX(Работы!$G$2:$G$6000,MATCH($C1177,Работы!$A$2:$A$6000,0)),"")</f>
        <v/>
      </c>
      <c r="G1177" t="str">
        <f>IFERROR(INDEX(Работы!$K$2:$K$6000,MATCH($C1177,Работы!$A$2:$A$6000,0)),"")</f>
        <v/>
      </c>
      <c r="H1177" s="9"/>
      <c r="I1177" s="9"/>
      <c r="J1177" s="8" t="str">
        <f>IFERROR(INDEX(Материалы!$B$2:$B$9000,MATCH($I1177,Материалы!$A$2:$A$9000,0)),"")</f>
        <v/>
      </c>
      <c r="K1177" t="str">
        <f>IF($I1177="","",IF($F1177=IFERROR(INDEX(Материалы!$G$2:$G$9000,MATCH($I1177,Материалы!$A$2:$A$9000,0)),""),"OK","!! не та группа"))</f>
        <v/>
      </c>
      <c r="L1177" s="10">
        <f>IFERROR(INDEX(Работы!$H$2:$H$6000,MATCH($C1177,Работы!$A$2:$A$6000,0))*(1-ДисконтТендер),0)</f>
        <v>0</v>
      </c>
      <c r="M1177" s="10">
        <f>IF($I1177="",0,IFERROR(INDEX(Материалы!$I$2:$I$9000,MATCH($I1177,Материалы!$A$2:$A$9000,0))*IF(INDEX(Материалы!$J$2:$J$9000,MATCH($I1177,Материалы!$A$2:$A$9000,0))="USD",КурсUSD,IF(INDEX(Материалы!$J$2:$J$9000,MATCH($I1177,Материалы!$A$2:$A$9000,0))="EUR",КурсEUR,1))*INDEX(Материалы!$K$2:$K$9000,MATCH($I1177,Материалы!$A$2:$A$9000,0))*(1+IFERROR(INDEX(Работы!$I$2:$I$6000,MATCH($C1177,Работы!$A$2:$A$6000,0))/100,0))*(1-ДисконтТендер),0))</f>
        <v>0</v>
      </c>
      <c r="N1177" s="10">
        <f t="shared" si="54"/>
        <v>0</v>
      </c>
      <c r="O1177" s="10">
        <f t="shared" si="55"/>
        <v>0</v>
      </c>
      <c r="P1177" s="10">
        <f t="shared" si="56"/>
        <v>0</v>
      </c>
      <c r="Q1177" t="str">
        <f>IFERROR(INDEX(Работы!$J$2:$J$6000,MATCH($C1177,Работы!$A$2:$A$6000,0)),"")</f>
        <v/>
      </c>
      <c r="R1177" t="s">
        <v>92</v>
      </c>
      <c r="T1177" t="str">
        <f>IF(AND($P1177&gt;0,$R1177="да"),MAX($T$1:$T1176)+1,"")</f>
        <v/>
      </c>
    </row>
    <row r="1178" spans="1:20" x14ac:dyDescent="0.3">
      <c r="A1178" s="11" t="str">
        <f>IFERROR(INDEX(Работы!$D$2:$D$6000,MATCH($C1178,Работы!$A$2:$A$6000,0)),"")</f>
        <v/>
      </c>
      <c r="B1178" t="str">
        <f>IFERROR(INDEX(Работы!$F$2:$F$6000,MATCH($C1178,Работы!$A$2:$A$6000,0)),"")</f>
        <v/>
      </c>
      <c r="C1178">
        <f>IFERROR(INDEX(Работы!$A$2:$A$6000,1177),"")</f>
        <v>0</v>
      </c>
      <c r="D1178" s="8" t="str">
        <f>IFERROR(INDEX(Работы!$B$2:$B$6000,MATCH($C1178,Работы!$A$2:$A$6000,0)),"")</f>
        <v/>
      </c>
      <c r="E1178" t="str">
        <f>IFERROR(INDEX(Работы!$C$2:$C$6000,MATCH($C1178,Работы!$A$2:$A$6000,0)),"")</f>
        <v/>
      </c>
      <c r="F1178" t="str">
        <f>IFERROR(INDEX(Работы!$G$2:$G$6000,MATCH($C1178,Работы!$A$2:$A$6000,0)),"")</f>
        <v/>
      </c>
      <c r="G1178" t="str">
        <f>IFERROR(INDEX(Работы!$K$2:$K$6000,MATCH($C1178,Работы!$A$2:$A$6000,0)),"")</f>
        <v/>
      </c>
      <c r="H1178" s="9"/>
      <c r="I1178" s="9"/>
      <c r="J1178" s="8" t="str">
        <f>IFERROR(INDEX(Материалы!$B$2:$B$9000,MATCH($I1178,Материалы!$A$2:$A$9000,0)),"")</f>
        <v/>
      </c>
      <c r="K1178" t="str">
        <f>IF($I1178="","",IF($F1178=IFERROR(INDEX(Материалы!$G$2:$G$9000,MATCH($I1178,Материалы!$A$2:$A$9000,0)),""),"OK","!! не та группа"))</f>
        <v/>
      </c>
      <c r="L1178" s="10">
        <f>IFERROR(INDEX(Работы!$H$2:$H$6000,MATCH($C1178,Работы!$A$2:$A$6000,0))*(1-ДисконтТендер),0)</f>
        <v>0</v>
      </c>
      <c r="M1178" s="10">
        <f>IF($I1178="",0,IFERROR(INDEX(Материалы!$I$2:$I$9000,MATCH($I1178,Материалы!$A$2:$A$9000,0))*IF(INDEX(Материалы!$J$2:$J$9000,MATCH($I1178,Материалы!$A$2:$A$9000,0))="USD",КурсUSD,IF(INDEX(Материалы!$J$2:$J$9000,MATCH($I1178,Материалы!$A$2:$A$9000,0))="EUR",КурсEUR,1))*INDEX(Материалы!$K$2:$K$9000,MATCH($I1178,Материалы!$A$2:$A$9000,0))*(1+IFERROR(INDEX(Работы!$I$2:$I$6000,MATCH($C1178,Работы!$A$2:$A$6000,0))/100,0))*(1-ДисконтТендер),0))</f>
        <v>0</v>
      </c>
      <c r="N1178" s="10">
        <f t="shared" si="54"/>
        <v>0</v>
      </c>
      <c r="O1178" s="10">
        <f t="shared" si="55"/>
        <v>0</v>
      </c>
      <c r="P1178" s="10">
        <f t="shared" si="56"/>
        <v>0</v>
      </c>
      <c r="Q1178" t="str">
        <f>IFERROR(INDEX(Работы!$J$2:$J$6000,MATCH($C1178,Работы!$A$2:$A$6000,0)),"")</f>
        <v/>
      </c>
      <c r="R1178" t="s">
        <v>92</v>
      </c>
      <c r="T1178" t="str">
        <f>IF(AND($P1178&gt;0,$R1178="да"),MAX($T$1:$T1177)+1,"")</f>
        <v/>
      </c>
    </row>
    <row r="1179" spans="1:20" x14ac:dyDescent="0.3">
      <c r="A1179" s="11" t="str">
        <f>IFERROR(INDEX(Работы!$D$2:$D$6000,MATCH($C1179,Работы!$A$2:$A$6000,0)),"")</f>
        <v/>
      </c>
      <c r="B1179" t="str">
        <f>IFERROR(INDEX(Работы!$F$2:$F$6000,MATCH($C1179,Работы!$A$2:$A$6000,0)),"")</f>
        <v/>
      </c>
      <c r="C1179">
        <f>IFERROR(INDEX(Работы!$A$2:$A$6000,1178),"")</f>
        <v>0</v>
      </c>
      <c r="D1179" s="8" t="str">
        <f>IFERROR(INDEX(Работы!$B$2:$B$6000,MATCH($C1179,Работы!$A$2:$A$6000,0)),"")</f>
        <v/>
      </c>
      <c r="E1179" t="str">
        <f>IFERROR(INDEX(Работы!$C$2:$C$6000,MATCH($C1179,Работы!$A$2:$A$6000,0)),"")</f>
        <v/>
      </c>
      <c r="F1179" t="str">
        <f>IFERROR(INDEX(Работы!$G$2:$G$6000,MATCH($C1179,Работы!$A$2:$A$6000,0)),"")</f>
        <v/>
      </c>
      <c r="G1179" t="str">
        <f>IFERROR(INDEX(Работы!$K$2:$K$6000,MATCH($C1179,Работы!$A$2:$A$6000,0)),"")</f>
        <v/>
      </c>
      <c r="H1179" s="9"/>
      <c r="I1179" s="9"/>
      <c r="J1179" s="8" t="str">
        <f>IFERROR(INDEX(Материалы!$B$2:$B$9000,MATCH($I1179,Материалы!$A$2:$A$9000,0)),"")</f>
        <v/>
      </c>
      <c r="K1179" t="str">
        <f>IF($I1179="","",IF($F1179=IFERROR(INDEX(Материалы!$G$2:$G$9000,MATCH($I1179,Материалы!$A$2:$A$9000,0)),""),"OK","!! не та группа"))</f>
        <v/>
      </c>
      <c r="L1179" s="10">
        <f>IFERROR(INDEX(Работы!$H$2:$H$6000,MATCH($C1179,Работы!$A$2:$A$6000,0))*(1-ДисконтТендер),0)</f>
        <v>0</v>
      </c>
      <c r="M1179" s="10">
        <f>IF($I1179="",0,IFERROR(INDEX(Материалы!$I$2:$I$9000,MATCH($I1179,Материалы!$A$2:$A$9000,0))*IF(INDEX(Материалы!$J$2:$J$9000,MATCH($I1179,Материалы!$A$2:$A$9000,0))="USD",КурсUSD,IF(INDEX(Материалы!$J$2:$J$9000,MATCH($I1179,Материалы!$A$2:$A$9000,0))="EUR",КурсEUR,1))*INDEX(Материалы!$K$2:$K$9000,MATCH($I1179,Материалы!$A$2:$A$9000,0))*(1+IFERROR(INDEX(Работы!$I$2:$I$6000,MATCH($C1179,Работы!$A$2:$A$6000,0))/100,0))*(1-ДисконтТендер),0))</f>
        <v>0</v>
      </c>
      <c r="N1179" s="10">
        <f t="shared" si="54"/>
        <v>0</v>
      </c>
      <c r="O1179" s="10">
        <f t="shared" si="55"/>
        <v>0</v>
      </c>
      <c r="P1179" s="10">
        <f t="shared" si="56"/>
        <v>0</v>
      </c>
      <c r="Q1179" t="str">
        <f>IFERROR(INDEX(Работы!$J$2:$J$6000,MATCH($C1179,Работы!$A$2:$A$6000,0)),"")</f>
        <v/>
      </c>
      <c r="R1179" t="s">
        <v>92</v>
      </c>
      <c r="T1179" t="str">
        <f>IF(AND($P1179&gt;0,$R1179="да"),MAX($T$1:$T1178)+1,"")</f>
        <v/>
      </c>
    </row>
    <row r="1180" spans="1:20" x14ac:dyDescent="0.3">
      <c r="A1180" s="11" t="str">
        <f>IFERROR(INDEX(Работы!$D$2:$D$6000,MATCH($C1180,Работы!$A$2:$A$6000,0)),"")</f>
        <v/>
      </c>
      <c r="B1180" t="str">
        <f>IFERROR(INDEX(Работы!$F$2:$F$6000,MATCH($C1180,Работы!$A$2:$A$6000,0)),"")</f>
        <v/>
      </c>
      <c r="C1180">
        <f>IFERROR(INDEX(Работы!$A$2:$A$6000,1179),"")</f>
        <v>0</v>
      </c>
      <c r="D1180" s="8" t="str">
        <f>IFERROR(INDEX(Работы!$B$2:$B$6000,MATCH($C1180,Работы!$A$2:$A$6000,0)),"")</f>
        <v/>
      </c>
      <c r="E1180" t="str">
        <f>IFERROR(INDEX(Работы!$C$2:$C$6000,MATCH($C1180,Работы!$A$2:$A$6000,0)),"")</f>
        <v/>
      </c>
      <c r="F1180" t="str">
        <f>IFERROR(INDEX(Работы!$G$2:$G$6000,MATCH($C1180,Работы!$A$2:$A$6000,0)),"")</f>
        <v/>
      </c>
      <c r="G1180" t="str">
        <f>IFERROR(INDEX(Работы!$K$2:$K$6000,MATCH($C1180,Работы!$A$2:$A$6000,0)),"")</f>
        <v/>
      </c>
      <c r="H1180" s="9"/>
      <c r="I1180" s="9"/>
      <c r="J1180" s="8" t="str">
        <f>IFERROR(INDEX(Материалы!$B$2:$B$9000,MATCH($I1180,Материалы!$A$2:$A$9000,0)),"")</f>
        <v/>
      </c>
      <c r="K1180" t="str">
        <f>IF($I1180="","",IF($F1180=IFERROR(INDEX(Материалы!$G$2:$G$9000,MATCH($I1180,Материалы!$A$2:$A$9000,0)),""),"OK","!! не та группа"))</f>
        <v/>
      </c>
      <c r="L1180" s="10">
        <f>IFERROR(INDEX(Работы!$H$2:$H$6000,MATCH($C1180,Работы!$A$2:$A$6000,0))*(1-ДисконтТендер),0)</f>
        <v>0</v>
      </c>
      <c r="M1180" s="10">
        <f>IF($I1180="",0,IFERROR(INDEX(Материалы!$I$2:$I$9000,MATCH($I1180,Материалы!$A$2:$A$9000,0))*IF(INDEX(Материалы!$J$2:$J$9000,MATCH($I1180,Материалы!$A$2:$A$9000,0))="USD",КурсUSD,IF(INDEX(Материалы!$J$2:$J$9000,MATCH($I1180,Материалы!$A$2:$A$9000,0))="EUR",КурсEUR,1))*INDEX(Материалы!$K$2:$K$9000,MATCH($I1180,Материалы!$A$2:$A$9000,0))*(1+IFERROR(INDEX(Работы!$I$2:$I$6000,MATCH($C1180,Работы!$A$2:$A$6000,0))/100,0))*(1-ДисконтТендер),0))</f>
        <v>0</v>
      </c>
      <c r="N1180" s="10">
        <f t="shared" si="54"/>
        <v>0</v>
      </c>
      <c r="O1180" s="10">
        <f t="shared" si="55"/>
        <v>0</v>
      </c>
      <c r="P1180" s="10">
        <f t="shared" si="56"/>
        <v>0</v>
      </c>
      <c r="Q1180" t="str">
        <f>IFERROR(INDEX(Работы!$J$2:$J$6000,MATCH($C1180,Работы!$A$2:$A$6000,0)),"")</f>
        <v/>
      </c>
      <c r="R1180" t="s">
        <v>92</v>
      </c>
      <c r="T1180" t="str">
        <f>IF(AND($P1180&gt;0,$R1180="да"),MAX($T$1:$T1179)+1,"")</f>
        <v/>
      </c>
    </row>
    <row r="1181" spans="1:20" x14ac:dyDescent="0.3">
      <c r="A1181" s="11" t="str">
        <f>IFERROR(INDEX(Работы!$D$2:$D$6000,MATCH($C1181,Работы!$A$2:$A$6000,0)),"")</f>
        <v/>
      </c>
      <c r="B1181" t="str">
        <f>IFERROR(INDEX(Работы!$F$2:$F$6000,MATCH($C1181,Работы!$A$2:$A$6000,0)),"")</f>
        <v/>
      </c>
      <c r="C1181">
        <f>IFERROR(INDEX(Работы!$A$2:$A$6000,1180),"")</f>
        <v>0</v>
      </c>
      <c r="D1181" s="8" t="str">
        <f>IFERROR(INDEX(Работы!$B$2:$B$6000,MATCH($C1181,Работы!$A$2:$A$6000,0)),"")</f>
        <v/>
      </c>
      <c r="E1181" t="str">
        <f>IFERROR(INDEX(Работы!$C$2:$C$6000,MATCH($C1181,Работы!$A$2:$A$6000,0)),"")</f>
        <v/>
      </c>
      <c r="F1181" t="str">
        <f>IFERROR(INDEX(Работы!$G$2:$G$6000,MATCH($C1181,Работы!$A$2:$A$6000,0)),"")</f>
        <v/>
      </c>
      <c r="G1181" t="str">
        <f>IFERROR(INDEX(Работы!$K$2:$K$6000,MATCH($C1181,Работы!$A$2:$A$6000,0)),"")</f>
        <v/>
      </c>
      <c r="H1181" s="9"/>
      <c r="I1181" s="9"/>
      <c r="J1181" s="8" t="str">
        <f>IFERROR(INDEX(Материалы!$B$2:$B$9000,MATCH($I1181,Материалы!$A$2:$A$9000,0)),"")</f>
        <v/>
      </c>
      <c r="K1181" t="str">
        <f>IF($I1181="","",IF($F1181=IFERROR(INDEX(Материалы!$G$2:$G$9000,MATCH($I1181,Материалы!$A$2:$A$9000,0)),""),"OK","!! не та группа"))</f>
        <v/>
      </c>
      <c r="L1181" s="10">
        <f>IFERROR(INDEX(Работы!$H$2:$H$6000,MATCH($C1181,Работы!$A$2:$A$6000,0))*(1-ДисконтТендер),0)</f>
        <v>0</v>
      </c>
      <c r="M1181" s="10">
        <f>IF($I1181="",0,IFERROR(INDEX(Материалы!$I$2:$I$9000,MATCH($I1181,Материалы!$A$2:$A$9000,0))*IF(INDEX(Материалы!$J$2:$J$9000,MATCH($I1181,Материалы!$A$2:$A$9000,0))="USD",КурсUSD,IF(INDEX(Материалы!$J$2:$J$9000,MATCH($I1181,Материалы!$A$2:$A$9000,0))="EUR",КурсEUR,1))*INDEX(Материалы!$K$2:$K$9000,MATCH($I1181,Материалы!$A$2:$A$9000,0))*(1+IFERROR(INDEX(Работы!$I$2:$I$6000,MATCH($C1181,Работы!$A$2:$A$6000,0))/100,0))*(1-ДисконтТендер),0))</f>
        <v>0</v>
      </c>
      <c r="N1181" s="10">
        <f t="shared" si="54"/>
        <v>0</v>
      </c>
      <c r="O1181" s="10">
        <f t="shared" si="55"/>
        <v>0</v>
      </c>
      <c r="P1181" s="10">
        <f t="shared" si="56"/>
        <v>0</v>
      </c>
      <c r="Q1181" t="str">
        <f>IFERROR(INDEX(Работы!$J$2:$J$6000,MATCH($C1181,Работы!$A$2:$A$6000,0)),"")</f>
        <v/>
      </c>
      <c r="R1181" t="s">
        <v>92</v>
      </c>
      <c r="T1181" t="str">
        <f>IF(AND($P1181&gt;0,$R1181="да"),MAX($T$1:$T1180)+1,"")</f>
        <v/>
      </c>
    </row>
    <row r="1182" spans="1:20" x14ac:dyDescent="0.3">
      <c r="A1182" s="11" t="str">
        <f>IFERROR(INDEX(Работы!$D$2:$D$6000,MATCH($C1182,Работы!$A$2:$A$6000,0)),"")</f>
        <v/>
      </c>
      <c r="B1182" t="str">
        <f>IFERROR(INDEX(Работы!$F$2:$F$6000,MATCH($C1182,Работы!$A$2:$A$6000,0)),"")</f>
        <v/>
      </c>
      <c r="C1182">
        <f>IFERROR(INDEX(Работы!$A$2:$A$6000,1181),"")</f>
        <v>0</v>
      </c>
      <c r="D1182" s="8" t="str">
        <f>IFERROR(INDEX(Работы!$B$2:$B$6000,MATCH($C1182,Работы!$A$2:$A$6000,0)),"")</f>
        <v/>
      </c>
      <c r="E1182" t="str">
        <f>IFERROR(INDEX(Работы!$C$2:$C$6000,MATCH($C1182,Работы!$A$2:$A$6000,0)),"")</f>
        <v/>
      </c>
      <c r="F1182" t="str">
        <f>IFERROR(INDEX(Работы!$G$2:$G$6000,MATCH($C1182,Работы!$A$2:$A$6000,0)),"")</f>
        <v/>
      </c>
      <c r="G1182" t="str">
        <f>IFERROR(INDEX(Работы!$K$2:$K$6000,MATCH($C1182,Работы!$A$2:$A$6000,0)),"")</f>
        <v/>
      </c>
      <c r="H1182" s="9"/>
      <c r="I1182" s="9"/>
      <c r="J1182" s="8" t="str">
        <f>IFERROR(INDEX(Материалы!$B$2:$B$9000,MATCH($I1182,Материалы!$A$2:$A$9000,0)),"")</f>
        <v/>
      </c>
      <c r="K1182" t="str">
        <f>IF($I1182="","",IF($F1182=IFERROR(INDEX(Материалы!$G$2:$G$9000,MATCH($I1182,Материалы!$A$2:$A$9000,0)),""),"OK","!! не та группа"))</f>
        <v/>
      </c>
      <c r="L1182" s="10">
        <f>IFERROR(INDEX(Работы!$H$2:$H$6000,MATCH($C1182,Работы!$A$2:$A$6000,0))*(1-ДисконтТендер),0)</f>
        <v>0</v>
      </c>
      <c r="M1182" s="10">
        <f>IF($I1182="",0,IFERROR(INDEX(Материалы!$I$2:$I$9000,MATCH($I1182,Материалы!$A$2:$A$9000,0))*IF(INDEX(Материалы!$J$2:$J$9000,MATCH($I1182,Материалы!$A$2:$A$9000,0))="USD",КурсUSD,IF(INDEX(Материалы!$J$2:$J$9000,MATCH($I1182,Материалы!$A$2:$A$9000,0))="EUR",КурсEUR,1))*INDEX(Материалы!$K$2:$K$9000,MATCH($I1182,Материалы!$A$2:$A$9000,0))*(1+IFERROR(INDEX(Работы!$I$2:$I$6000,MATCH($C1182,Работы!$A$2:$A$6000,0))/100,0))*(1-ДисконтТендер),0))</f>
        <v>0</v>
      </c>
      <c r="N1182" s="10">
        <f t="shared" si="54"/>
        <v>0</v>
      </c>
      <c r="O1182" s="10">
        <f t="shared" si="55"/>
        <v>0</v>
      </c>
      <c r="P1182" s="10">
        <f t="shared" si="56"/>
        <v>0</v>
      </c>
      <c r="Q1182" t="str">
        <f>IFERROR(INDEX(Работы!$J$2:$J$6000,MATCH($C1182,Работы!$A$2:$A$6000,0)),"")</f>
        <v/>
      </c>
      <c r="R1182" t="s">
        <v>92</v>
      </c>
      <c r="T1182" t="str">
        <f>IF(AND($P1182&gt;0,$R1182="да"),MAX($T$1:$T1181)+1,"")</f>
        <v/>
      </c>
    </row>
    <row r="1183" spans="1:20" x14ac:dyDescent="0.3">
      <c r="A1183" s="11" t="str">
        <f>IFERROR(INDEX(Работы!$D$2:$D$6000,MATCH($C1183,Работы!$A$2:$A$6000,0)),"")</f>
        <v/>
      </c>
      <c r="B1183" t="str">
        <f>IFERROR(INDEX(Работы!$F$2:$F$6000,MATCH($C1183,Работы!$A$2:$A$6000,0)),"")</f>
        <v/>
      </c>
      <c r="C1183">
        <f>IFERROR(INDEX(Работы!$A$2:$A$6000,1182),"")</f>
        <v>0</v>
      </c>
      <c r="D1183" s="8" t="str">
        <f>IFERROR(INDEX(Работы!$B$2:$B$6000,MATCH($C1183,Работы!$A$2:$A$6000,0)),"")</f>
        <v/>
      </c>
      <c r="E1183" t="str">
        <f>IFERROR(INDEX(Работы!$C$2:$C$6000,MATCH($C1183,Работы!$A$2:$A$6000,0)),"")</f>
        <v/>
      </c>
      <c r="F1183" t="str">
        <f>IFERROR(INDEX(Работы!$G$2:$G$6000,MATCH($C1183,Работы!$A$2:$A$6000,0)),"")</f>
        <v/>
      </c>
      <c r="G1183" t="str">
        <f>IFERROR(INDEX(Работы!$K$2:$K$6000,MATCH($C1183,Работы!$A$2:$A$6000,0)),"")</f>
        <v/>
      </c>
      <c r="H1183" s="9"/>
      <c r="I1183" s="9"/>
      <c r="J1183" s="8" t="str">
        <f>IFERROR(INDEX(Материалы!$B$2:$B$9000,MATCH($I1183,Материалы!$A$2:$A$9000,0)),"")</f>
        <v/>
      </c>
      <c r="K1183" t="str">
        <f>IF($I1183="","",IF($F1183=IFERROR(INDEX(Материалы!$G$2:$G$9000,MATCH($I1183,Материалы!$A$2:$A$9000,0)),""),"OK","!! не та группа"))</f>
        <v/>
      </c>
      <c r="L1183" s="10">
        <f>IFERROR(INDEX(Работы!$H$2:$H$6000,MATCH($C1183,Работы!$A$2:$A$6000,0))*(1-ДисконтТендер),0)</f>
        <v>0</v>
      </c>
      <c r="M1183" s="10">
        <f>IF($I1183="",0,IFERROR(INDEX(Материалы!$I$2:$I$9000,MATCH($I1183,Материалы!$A$2:$A$9000,0))*IF(INDEX(Материалы!$J$2:$J$9000,MATCH($I1183,Материалы!$A$2:$A$9000,0))="USD",КурсUSD,IF(INDEX(Материалы!$J$2:$J$9000,MATCH($I1183,Материалы!$A$2:$A$9000,0))="EUR",КурсEUR,1))*INDEX(Материалы!$K$2:$K$9000,MATCH($I1183,Материалы!$A$2:$A$9000,0))*(1+IFERROR(INDEX(Работы!$I$2:$I$6000,MATCH($C1183,Работы!$A$2:$A$6000,0))/100,0))*(1-ДисконтТендер),0))</f>
        <v>0</v>
      </c>
      <c r="N1183" s="10">
        <f t="shared" si="54"/>
        <v>0</v>
      </c>
      <c r="O1183" s="10">
        <f t="shared" si="55"/>
        <v>0</v>
      </c>
      <c r="P1183" s="10">
        <f t="shared" si="56"/>
        <v>0</v>
      </c>
      <c r="Q1183" t="str">
        <f>IFERROR(INDEX(Работы!$J$2:$J$6000,MATCH($C1183,Работы!$A$2:$A$6000,0)),"")</f>
        <v/>
      </c>
      <c r="R1183" t="s">
        <v>92</v>
      </c>
      <c r="T1183" t="str">
        <f>IF(AND($P1183&gt;0,$R1183="да"),MAX($T$1:$T1182)+1,"")</f>
        <v/>
      </c>
    </row>
    <row r="1184" spans="1:20" x14ac:dyDescent="0.3">
      <c r="A1184" s="11" t="str">
        <f>IFERROR(INDEX(Работы!$D$2:$D$6000,MATCH($C1184,Работы!$A$2:$A$6000,0)),"")</f>
        <v/>
      </c>
      <c r="B1184" t="str">
        <f>IFERROR(INDEX(Работы!$F$2:$F$6000,MATCH($C1184,Работы!$A$2:$A$6000,0)),"")</f>
        <v/>
      </c>
      <c r="C1184">
        <f>IFERROR(INDEX(Работы!$A$2:$A$6000,1183),"")</f>
        <v>0</v>
      </c>
      <c r="D1184" s="8" t="str">
        <f>IFERROR(INDEX(Работы!$B$2:$B$6000,MATCH($C1184,Работы!$A$2:$A$6000,0)),"")</f>
        <v/>
      </c>
      <c r="E1184" t="str">
        <f>IFERROR(INDEX(Работы!$C$2:$C$6000,MATCH($C1184,Работы!$A$2:$A$6000,0)),"")</f>
        <v/>
      </c>
      <c r="F1184" t="str">
        <f>IFERROR(INDEX(Работы!$G$2:$G$6000,MATCH($C1184,Работы!$A$2:$A$6000,0)),"")</f>
        <v/>
      </c>
      <c r="G1184" t="str">
        <f>IFERROR(INDEX(Работы!$K$2:$K$6000,MATCH($C1184,Работы!$A$2:$A$6000,0)),"")</f>
        <v/>
      </c>
      <c r="H1184" s="9"/>
      <c r="I1184" s="9"/>
      <c r="J1184" s="8" t="str">
        <f>IFERROR(INDEX(Материалы!$B$2:$B$9000,MATCH($I1184,Материалы!$A$2:$A$9000,0)),"")</f>
        <v/>
      </c>
      <c r="K1184" t="str">
        <f>IF($I1184="","",IF($F1184=IFERROR(INDEX(Материалы!$G$2:$G$9000,MATCH($I1184,Материалы!$A$2:$A$9000,0)),""),"OK","!! не та группа"))</f>
        <v/>
      </c>
      <c r="L1184" s="10">
        <f>IFERROR(INDEX(Работы!$H$2:$H$6000,MATCH($C1184,Работы!$A$2:$A$6000,0))*(1-ДисконтТендер),0)</f>
        <v>0</v>
      </c>
      <c r="M1184" s="10">
        <f>IF($I1184="",0,IFERROR(INDEX(Материалы!$I$2:$I$9000,MATCH($I1184,Материалы!$A$2:$A$9000,0))*IF(INDEX(Материалы!$J$2:$J$9000,MATCH($I1184,Материалы!$A$2:$A$9000,0))="USD",КурсUSD,IF(INDEX(Материалы!$J$2:$J$9000,MATCH($I1184,Материалы!$A$2:$A$9000,0))="EUR",КурсEUR,1))*INDEX(Материалы!$K$2:$K$9000,MATCH($I1184,Материалы!$A$2:$A$9000,0))*(1+IFERROR(INDEX(Работы!$I$2:$I$6000,MATCH($C1184,Работы!$A$2:$A$6000,0))/100,0))*(1-ДисконтТендер),0))</f>
        <v>0</v>
      </c>
      <c r="N1184" s="10">
        <f t="shared" si="54"/>
        <v>0</v>
      </c>
      <c r="O1184" s="10">
        <f t="shared" si="55"/>
        <v>0</v>
      </c>
      <c r="P1184" s="10">
        <f t="shared" si="56"/>
        <v>0</v>
      </c>
      <c r="Q1184" t="str">
        <f>IFERROR(INDEX(Работы!$J$2:$J$6000,MATCH($C1184,Работы!$A$2:$A$6000,0)),"")</f>
        <v/>
      </c>
      <c r="R1184" t="s">
        <v>92</v>
      </c>
      <c r="T1184" t="str">
        <f>IF(AND($P1184&gt;0,$R1184="да"),MAX($T$1:$T1183)+1,"")</f>
        <v/>
      </c>
    </row>
    <row r="1185" spans="1:20" x14ac:dyDescent="0.3">
      <c r="A1185" s="11" t="str">
        <f>IFERROR(INDEX(Работы!$D$2:$D$6000,MATCH($C1185,Работы!$A$2:$A$6000,0)),"")</f>
        <v/>
      </c>
      <c r="B1185" t="str">
        <f>IFERROR(INDEX(Работы!$F$2:$F$6000,MATCH($C1185,Работы!$A$2:$A$6000,0)),"")</f>
        <v/>
      </c>
      <c r="C1185">
        <f>IFERROR(INDEX(Работы!$A$2:$A$6000,1184),"")</f>
        <v>0</v>
      </c>
      <c r="D1185" s="8" t="str">
        <f>IFERROR(INDEX(Работы!$B$2:$B$6000,MATCH($C1185,Работы!$A$2:$A$6000,0)),"")</f>
        <v/>
      </c>
      <c r="E1185" t="str">
        <f>IFERROR(INDEX(Работы!$C$2:$C$6000,MATCH($C1185,Работы!$A$2:$A$6000,0)),"")</f>
        <v/>
      </c>
      <c r="F1185" t="str">
        <f>IFERROR(INDEX(Работы!$G$2:$G$6000,MATCH($C1185,Работы!$A$2:$A$6000,0)),"")</f>
        <v/>
      </c>
      <c r="G1185" t="str">
        <f>IFERROR(INDEX(Работы!$K$2:$K$6000,MATCH($C1185,Работы!$A$2:$A$6000,0)),"")</f>
        <v/>
      </c>
      <c r="H1185" s="9"/>
      <c r="I1185" s="9"/>
      <c r="J1185" s="8" t="str">
        <f>IFERROR(INDEX(Материалы!$B$2:$B$9000,MATCH($I1185,Материалы!$A$2:$A$9000,0)),"")</f>
        <v/>
      </c>
      <c r="K1185" t="str">
        <f>IF($I1185="","",IF($F1185=IFERROR(INDEX(Материалы!$G$2:$G$9000,MATCH($I1185,Материалы!$A$2:$A$9000,0)),""),"OK","!! не та группа"))</f>
        <v/>
      </c>
      <c r="L1185" s="10">
        <f>IFERROR(INDEX(Работы!$H$2:$H$6000,MATCH($C1185,Работы!$A$2:$A$6000,0))*(1-ДисконтТендер),0)</f>
        <v>0</v>
      </c>
      <c r="M1185" s="10">
        <f>IF($I1185="",0,IFERROR(INDEX(Материалы!$I$2:$I$9000,MATCH($I1185,Материалы!$A$2:$A$9000,0))*IF(INDEX(Материалы!$J$2:$J$9000,MATCH($I1185,Материалы!$A$2:$A$9000,0))="USD",КурсUSD,IF(INDEX(Материалы!$J$2:$J$9000,MATCH($I1185,Материалы!$A$2:$A$9000,0))="EUR",КурсEUR,1))*INDEX(Материалы!$K$2:$K$9000,MATCH($I1185,Материалы!$A$2:$A$9000,0))*(1+IFERROR(INDEX(Работы!$I$2:$I$6000,MATCH($C1185,Работы!$A$2:$A$6000,0))/100,0))*(1-ДисконтТендер),0))</f>
        <v>0</v>
      </c>
      <c r="N1185" s="10">
        <f t="shared" si="54"/>
        <v>0</v>
      </c>
      <c r="O1185" s="10">
        <f t="shared" si="55"/>
        <v>0</v>
      </c>
      <c r="P1185" s="10">
        <f t="shared" si="56"/>
        <v>0</v>
      </c>
      <c r="Q1185" t="str">
        <f>IFERROR(INDEX(Работы!$J$2:$J$6000,MATCH($C1185,Работы!$A$2:$A$6000,0)),"")</f>
        <v/>
      </c>
      <c r="R1185" t="s">
        <v>92</v>
      </c>
      <c r="T1185" t="str">
        <f>IF(AND($P1185&gt;0,$R1185="да"),MAX($T$1:$T1184)+1,"")</f>
        <v/>
      </c>
    </row>
    <row r="1186" spans="1:20" x14ac:dyDescent="0.3">
      <c r="A1186" s="11" t="str">
        <f>IFERROR(INDEX(Работы!$D$2:$D$6000,MATCH($C1186,Работы!$A$2:$A$6000,0)),"")</f>
        <v/>
      </c>
      <c r="B1186" t="str">
        <f>IFERROR(INDEX(Работы!$F$2:$F$6000,MATCH($C1186,Работы!$A$2:$A$6000,0)),"")</f>
        <v/>
      </c>
      <c r="C1186">
        <f>IFERROR(INDEX(Работы!$A$2:$A$6000,1185),"")</f>
        <v>0</v>
      </c>
      <c r="D1186" s="8" t="str">
        <f>IFERROR(INDEX(Работы!$B$2:$B$6000,MATCH($C1186,Работы!$A$2:$A$6000,0)),"")</f>
        <v/>
      </c>
      <c r="E1186" t="str">
        <f>IFERROR(INDEX(Работы!$C$2:$C$6000,MATCH($C1186,Работы!$A$2:$A$6000,0)),"")</f>
        <v/>
      </c>
      <c r="F1186" t="str">
        <f>IFERROR(INDEX(Работы!$G$2:$G$6000,MATCH($C1186,Работы!$A$2:$A$6000,0)),"")</f>
        <v/>
      </c>
      <c r="G1186" t="str">
        <f>IFERROR(INDEX(Работы!$K$2:$K$6000,MATCH($C1186,Работы!$A$2:$A$6000,0)),"")</f>
        <v/>
      </c>
      <c r="H1186" s="9"/>
      <c r="I1186" s="9"/>
      <c r="J1186" s="8" t="str">
        <f>IFERROR(INDEX(Материалы!$B$2:$B$9000,MATCH($I1186,Материалы!$A$2:$A$9000,0)),"")</f>
        <v/>
      </c>
      <c r="K1186" t="str">
        <f>IF($I1186="","",IF($F1186=IFERROR(INDEX(Материалы!$G$2:$G$9000,MATCH($I1186,Материалы!$A$2:$A$9000,0)),""),"OK","!! не та группа"))</f>
        <v/>
      </c>
      <c r="L1186" s="10">
        <f>IFERROR(INDEX(Работы!$H$2:$H$6000,MATCH($C1186,Работы!$A$2:$A$6000,0))*(1-ДисконтТендер),0)</f>
        <v>0</v>
      </c>
      <c r="M1186" s="10">
        <f>IF($I1186="",0,IFERROR(INDEX(Материалы!$I$2:$I$9000,MATCH($I1186,Материалы!$A$2:$A$9000,0))*IF(INDEX(Материалы!$J$2:$J$9000,MATCH($I1186,Материалы!$A$2:$A$9000,0))="USD",КурсUSD,IF(INDEX(Материалы!$J$2:$J$9000,MATCH($I1186,Материалы!$A$2:$A$9000,0))="EUR",КурсEUR,1))*INDEX(Материалы!$K$2:$K$9000,MATCH($I1186,Материалы!$A$2:$A$9000,0))*(1+IFERROR(INDEX(Работы!$I$2:$I$6000,MATCH($C1186,Работы!$A$2:$A$6000,0))/100,0))*(1-ДисконтТендер),0))</f>
        <v>0</v>
      </c>
      <c r="N1186" s="10">
        <f t="shared" si="54"/>
        <v>0</v>
      </c>
      <c r="O1186" s="10">
        <f t="shared" si="55"/>
        <v>0</v>
      </c>
      <c r="P1186" s="10">
        <f t="shared" si="56"/>
        <v>0</v>
      </c>
      <c r="Q1186" t="str">
        <f>IFERROR(INDEX(Работы!$J$2:$J$6000,MATCH($C1186,Работы!$A$2:$A$6000,0)),"")</f>
        <v/>
      </c>
      <c r="R1186" t="s">
        <v>92</v>
      </c>
      <c r="T1186" t="str">
        <f>IF(AND($P1186&gt;0,$R1186="да"),MAX($T$1:$T1185)+1,"")</f>
        <v/>
      </c>
    </row>
    <row r="1187" spans="1:20" x14ac:dyDescent="0.3">
      <c r="A1187" s="11" t="str">
        <f>IFERROR(INDEX(Работы!$D$2:$D$6000,MATCH($C1187,Работы!$A$2:$A$6000,0)),"")</f>
        <v/>
      </c>
      <c r="B1187" t="str">
        <f>IFERROR(INDEX(Работы!$F$2:$F$6000,MATCH($C1187,Работы!$A$2:$A$6000,0)),"")</f>
        <v/>
      </c>
      <c r="C1187">
        <f>IFERROR(INDEX(Работы!$A$2:$A$6000,1186),"")</f>
        <v>0</v>
      </c>
      <c r="D1187" s="8" t="str">
        <f>IFERROR(INDEX(Работы!$B$2:$B$6000,MATCH($C1187,Работы!$A$2:$A$6000,0)),"")</f>
        <v/>
      </c>
      <c r="E1187" t="str">
        <f>IFERROR(INDEX(Работы!$C$2:$C$6000,MATCH($C1187,Работы!$A$2:$A$6000,0)),"")</f>
        <v/>
      </c>
      <c r="F1187" t="str">
        <f>IFERROR(INDEX(Работы!$G$2:$G$6000,MATCH($C1187,Работы!$A$2:$A$6000,0)),"")</f>
        <v/>
      </c>
      <c r="G1187" t="str">
        <f>IFERROR(INDEX(Работы!$K$2:$K$6000,MATCH($C1187,Работы!$A$2:$A$6000,0)),"")</f>
        <v/>
      </c>
      <c r="H1187" s="9"/>
      <c r="I1187" s="9"/>
      <c r="J1187" s="8" t="str">
        <f>IFERROR(INDEX(Материалы!$B$2:$B$9000,MATCH($I1187,Материалы!$A$2:$A$9000,0)),"")</f>
        <v/>
      </c>
      <c r="K1187" t="str">
        <f>IF($I1187="","",IF($F1187=IFERROR(INDEX(Материалы!$G$2:$G$9000,MATCH($I1187,Материалы!$A$2:$A$9000,0)),""),"OK","!! не та группа"))</f>
        <v/>
      </c>
      <c r="L1187" s="10">
        <f>IFERROR(INDEX(Работы!$H$2:$H$6000,MATCH($C1187,Работы!$A$2:$A$6000,0))*(1-ДисконтТендер),0)</f>
        <v>0</v>
      </c>
      <c r="M1187" s="10">
        <f>IF($I1187="",0,IFERROR(INDEX(Материалы!$I$2:$I$9000,MATCH($I1187,Материалы!$A$2:$A$9000,0))*IF(INDEX(Материалы!$J$2:$J$9000,MATCH($I1187,Материалы!$A$2:$A$9000,0))="USD",КурсUSD,IF(INDEX(Материалы!$J$2:$J$9000,MATCH($I1187,Материалы!$A$2:$A$9000,0))="EUR",КурсEUR,1))*INDEX(Материалы!$K$2:$K$9000,MATCH($I1187,Материалы!$A$2:$A$9000,0))*(1+IFERROR(INDEX(Работы!$I$2:$I$6000,MATCH($C1187,Работы!$A$2:$A$6000,0))/100,0))*(1-ДисконтТендер),0))</f>
        <v>0</v>
      </c>
      <c r="N1187" s="10">
        <f t="shared" si="54"/>
        <v>0</v>
      </c>
      <c r="O1187" s="10">
        <f t="shared" si="55"/>
        <v>0</v>
      </c>
      <c r="P1187" s="10">
        <f t="shared" si="56"/>
        <v>0</v>
      </c>
      <c r="Q1187" t="str">
        <f>IFERROR(INDEX(Работы!$J$2:$J$6000,MATCH($C1187,Работы!$A$2:$A$6000,0)),"")</f>
        <v/>
      </c>
      <c r="R1187" t="s">
        <v>92</v>
      </c>
      <c r="T1187" t="str">
        <f>IF(AND($P1187&gt;0,$R1187="да"),MAX($T$1:$T1186)+1,"")</f>
        <v/>
      </c>
    </row>
    <row r="1188" spans="1:20" x14ac:dyDescent="0.3">
      <c r="A1188" s="11" t="str">
        <f>IFERROR(INDEX(Работы!$D$2:$D$6000,MATCH($C1188,Работы!$A$2:$A$6000,0)),"")</f>
        <v/>
      </c>
      <c r="B1188" t="str">
        <f>IFERROR(INDEX(Работы!$F$2:$F$6000,MATCH($C1188,Работы!$A$2:$A$6000,0)),"")</f>
        <v/>
      </c>
      <c r="C1188">
        <f>IFERROR(INDEX(Работы!$A$2:$A$6000,1187),"")</f>
        <v>0</v>
      </c>
      <c r="D1188" s="8" t="str">
        <f>IFERROR(INDEX(Работы!$B$2:$B$6000,MATCH($C1188,Работы!$A$2:$A$6000,0)),"")</f>
        <v/>
      </c>
      <c r="E1188" t="str">
        <f>IFERROR(INDEX(Работы!$C$2:$C$6000,MATCH($C1188,Работы!$A$2:$A$6000,0)),"")</f>
        <v/>
      </c>
      <c r="F1188" t="str">
        <f>IFERROR(INDEX(Работы!$G$2:$G$6000,MATCH($C1188,Работы!$A$2:$A$6000,0)),"")</f>
        <v/>
      </c>
      <c r="G1188" t="str">
        <f>IFERROR(INDEX(Работы!$K$2:$K$6000,MATCH($C1188,Работы!$A$2:$A$6000,0)),"")</f>
        <v/>
      </c>
      <c r="H1188" s="9"/>
      <c r="I1188" s="9"/>
      <c r="J1188" s="8" t="str">
        <f>IFERROR(INDEX(Материалы!$B$2:$B$9000,MATCH($I1188,Материалы!$A$2:$A$9000,0)),"")</f>
        <v/>
      </c>
      <c r="K1188" t="str">
        <f>IF($I1188="","",IF($F1188=IFERROR(INDEX(Материалы!$G$2:$G$9000,MATCH($I1188,Материалы!$A$2:$A$9000,0)),""),"OK","!! не та группа"))</f>
        <v/>
      </c>
      <c r="L1188" s="10">
        <f>IFERROR(INDEX(Работы!$H$2:$H$6000,MATCH($C1188,Работы!$A$2:$A$6000,0))*(1-ДисконтТендер),0)</f>
        <v>0</v>
      </c>
      <c r="M1188" s="10">
        <f>IF($I1188="",0,IFERROR(INDEX(Материалы!$I$2:$I$9000,MATCH($I1188,Материалы!$A$2:$A$9000,0))*IF(INDEX(Материалы!$J$2:$J$9000,MATCH($I1188,Материалы!$A$2:$A$9000,0))="USD",КурсUSD,IF(INDEX(Материалы!$J$2:$J$9000,MATCH($I1188,Материалы!$A$2:$A$9000,0))="EUR",КурсEUR,1))*INDEX(Материалы!$K$2:$K$9000,MATCH($I1188,Материалы!$A$2:$A$9000,0))*(1+IFERROR(INDEX(Работы!$I$2:$I$6000,MATCH($C1188,Работы!$A$2:$A$6000,0))/100,0))*(1-ДисконтТендер),0))</f>
        <v>0</v>
      </c>
      <c r="N1188" s="10">
        <f t="shared" si="54"/>
        <v>0</v>
      </c>
      <c r="O1188" s="10">
        <f t="shared" si="55"/>
        <v>0</v>
      </c>
      <c r="P1188" s="10">
        <f t="shared" si="56"/>
        <v>0</v>
      </c>
      <c r="Q1188" t="str">
        <f>IFERROR(INDEX(Работы!$J$2:$J$6000,MATCH($C1188,Работы!$A$2:$A$6000,0)),"")</f>
        <v/>
      </c>
      <c r="R1188" t="s">
        <v>92</v>
      </c>
      <c r="T1188" t="str">
        <f>IF(AND($P1188&gt;0,$R1188="да"),MAX($T$1:$T1187)+1,"")</f>
        <v/>
      </c>
    </row>
    <row r="1189" spans="1:20" x14ac:dyDescent="0.3">
      <c r="A1189" s="11" t="str">
        <f>IFERROR(INDEX(Работы!$D$2:$D$6000,MATCH($C1189,Работы!$A$2:$A$6000,0)),"")</f>
        <v/>
      </c>
      <c r="B1189" t="str">
        <f>IFERROR(INDEX(Работы!$F$2:$F$6000,MATCH($C1189,Работы!$A$2:$A$6000,0)),"")</f>
        <v/>
      </c>
      <c r="C1189">
        <f>IFERROR(INDEX(Работы!$A$2:$A$6000,1188),"")</f>
        <v>0</v>
      </c>
      <c r="D1189" s="8" t="str">
        <f>IFERROR(INDEX(Работы!$B$2:$B$6000,MATCH($C1189,Работы!$A$2:$A$6000,0)),"")</f>
        <v/>
      </c>
      <c r="E1189" t="str">
        <f>IFERROR(INDEX(Работы!$C$2:$C$6000,MATCH($C1189,Работы!$A$2:$A$6000,0)),"")</f>
        <v/>
      </c>
      <c r="F1189" t="str">
        <f>IFERROR(INDEX(Работы!$G$2:$G$6000,MATCH($C1189,Работы!$A$2:$A$6000,0)),"")</f>
        <v/>
      </c>
      <c r="G1189" t="str">
        <f>IFERROR(INDEX(Работы!$K$2:$K$6000,MATCH($C1189,Работы!$A$2:$A$6000,0)),"")</f>
        <v/>
      </c>
      <c r="H1189" s="9"/>
      <c r="I1189" s="9"/>
      <c r="J1189" s="8" t="str">
        <f>IFERROR(INDEX(Материалы!$B$2:$B$9000,MATCH($I1189,Материалы!$A$2:$A$9000,0)),"")</f>
        <v/>
      </c>
      <c r="K1189" t="str">
        <f>IF($I1189="","",IF($F1189=IFERROR(INDEX(Материалы!$G$2:$G$9000,MATCH($I1189,Материалы!$A$2:$A$9000,0)),""),"OK","!! не та группа"))</f>
        <v/>
      </c>
      <c r="L1189" s="10">
        <f>IFERROR(INDEX(Работы!$H$2:$H$6000,MATCH($C1189,Работы!$A$2:$A$6000,0))*(1-ДисконтТендер),0)</f>
        <v>0</v>
      </c>
      <c r="M1189" s="10">
        <f>IF($I1189="",0,IFERROR(INDEX(Материалы!$I$2:$I$9000,MATCH($I1189,Материалы!$A$2:$A$9000,0))*IF(INDEX(Материалы!$J$2:$J$9000,MATCH($I1189,Материалы!$A$2:$A$9000,0))="USD",КурсUSD,IF(INDEX(Материалы!$J$2:$J$9000,MATCH($I1189,Материалы!$A$2:$A$9000,0))="EUR",КурсEUR,1))*INDEX(Материалы!$K$2:$K$9000,MATCH($I1189,Материалы!$A$2:$A$9000,0))*(1+IFERROR(INDEX(Работы!$I$2:$I$6000,MATCH($C1189,Работы!$A$2:$A$6000,0))/100,0))*(1-ДисконтТендер),0))</f>
        <v>0</v>
      </c>
      <c r="N1189" s="10">
        <f t="shared" si="54"/>
        <v>0</v>
      </c>
      <c r="O1189" s="10">
        <f t="shared" si="55"/>
        <v>0</v>
      </c>
      <c r="P1189" s="10">
        <f t="shared" si="56"/>
        <v>0</v>
      </c>
      <c r="Q1189" t="str">
        <f>IFERROR(INDEX(Работы!$J$2:$J$6000,MATCH($C1189,Работы!$A$2:$A$6000,0)),"")</f>
        <v/>
      </c>
      <c r="R1189" t="s">
        <v>92</v>
      </c>
      <c r="T1189" t="str">
        <f>IF(AND($P1189&gt;0,$R1189="да"),MAX($T$1:$T1188)+1,"")</f>
        <v/>
      </c>
    </row>
    <row r="1190" spans="1:20" x14ac:dyDescent="0.3">
      <c r="A1190" s="11" t="str">
        <f>IFERROR(INDEX(Работы!$D$2:$D$6000,MATCH($C1190,Работы!$A$2:$A$6000,0)),"")</f>
        <v/>
      </c>
      <c r="B1190" t="str">
        <f>IFERROR(INDEX(Работы!$F$2:$F$6000,MATCH($C1190,Работы!$A$2:$A$6000,0)),"")</f>
        <v/>
      </c>
      <c r="C1190">
        <f>IFERROR(INDEX(Работы!$A$2:$A$6000,1189),"")</f>
        <v>0</v>
      </c>
      <c r="D1190" s="8" t="str">
        <f>IFERROR(INDEX(Работы!$B$2:$B$6000,MATCH($C1190,Работы!$A$2:$A$6000,0)),"")</f>
        <v/>
      </c>
      <c r="E1190" t="str">
        <f>IFERROR(INDEX(Работы!$C$2:$C$6000,MATCH($C1190,Работы!$A$2:$A$6000,0)),"")</f>
        <v/>
      </c>
      <c r="F1190" t="str">
        <f>IFERROR(INDEX(Работы!$G$2:$G$6000,MATCH($C1190,Работы!$A$2:$A$6000,0)),"")</f>
        <v/>
      </c>
      <c r="G1190" t="str">
        <f>IFERROR(INDEX(Работы!$K$2:$K$6000,MATCH($C1190,Работы!$A$2:$A$6000,0)),"")</f>
        <v/>
      </c>
      <c r="H1190" s="9"/>
      <c r="I1190" s="9"/>
      <c r="J1190" s="8" t="str">
        <f>IFERROR(INDEX(Материалы!$B$2:$B$9000,MATCH($I1190,Материалы!$A$2:$A$9000,0)),"")</f>
        <v/>
      </c>
      <c r="K1190" t="str">
        <f>IF($I1190="","",IF($F1190=IFERROR(INDEX(Материалы!$G$2:$G$9000,MATCH($I1190,Материалы!$A$2:$A$9000,0)),""),"OK","!! не та группа"))</f>
        <v/>
      </c>
      <c r="L1190" s="10">
        <f>IFERROR(INDEX(Работы!$H$2:$H$6000,MATCH($C1190,Работы!$A$2:$A$6000,0))*(1-ДисконтТендер),0)</f>
        <v>0</v>
      </c>
      <c r="M1190" s="10">
        <f>IF($I1190="",0,IFERROR(INDEX(Материалы!$I$2:$I$9000,MATCH($I1190,Материалы!$A$2:$A$9000,0))*IF(INDEX(Материалы!$J$2:$J$9000,MATCH($I1190,Материалы!$A$2:$A$9000,0))="USD",КурсUSD,IF(INDEX(Материалы!$J$2:$J$9000,MATCH($I1190,Материалы!$A$2:$A$9000,0))="EUR",КурсEUR,1))*INDEX(Материалы!$K$2:$K$9000,MATCH($I1190,Материалы!$A$2:$A$9000,0))*(1+IFERROR(INDEX(Работы!$I$2:$I$6000,MATCH($C1190,Работы!$A$2:$A$6000,0))/100,0))*(1-ДисконтТендер),0))</f>
        <v>0</v>
      </c>
      <c r="N1190" s="10">
        <f t="shared" si="54"/>
        <v>0</v>
      </c>
      <c r="O1190" s="10">
        <f t="shared" si="55"/>
        <v>0</v>
      </c>
      <c r="P1190" s="10">
        <f t="shared" si="56"/>
        <v>0</v>
      </c>
      <c r="Q1190" t="str">
        <f>IFERROR(INDEX(Работы!$J$2:$J$6000,MATCH($C1190,Работы!$A$2:$A$6000,0)),"")</f>
        <v/>
      </c>
      <c r="R1190" t="s">
        <v>92</v>
      </c>
      <c r="T1190" t="str">
        <f>IF(AND($P1190&gt;0,$R1190="да"),MAX($T$1:$T1189)+1,"")</f>
        <v/>
      </c>
    </row>
    <row r="1191" spans="1:20" x14ac:dyDescent="0.3">
      <c r="A1191" s="11" t="str">
        <f>IFERROR(INDEX(Работы!$D$2:$D$6000,MATCH($C1191,Работы!$A$2:$A$6000,0)),"")</f>
        <v/>
      </c>
      <c r="B1191" t="str">
        <f>IFERROR(INDEX(Работы!$F$2:$F$6000,MATCH($C1191,Работы!$A$2:$A$6000,0)),"")</f>
        <v/>
      </c>
      <c r="C1191">
        <f>IFERROR(INDEX(Работы!$A$2:$A$6000,1190),"")</f>
        <v>0</v>
      </c>
      <c r="D1191" s="8" t="str">
        <f>IFERROR(INDEX(Работы!$B$2:$B$6000,MATCH($C1191,Работы!$A$2:$A$6000,0)),"")</f>
        <v/>
      </c>
      <c r="E1191" t="str">
        <f>IFERROR(INDEX(Работы!$C$2:$C$6000,MATCH($C1191,Работы!$A$2:$A$6000,0)),"")</f>
        <v/>
      </c>
      <c r="F1191" t="str">
        <f>IFERROR(INDEX(Работы!$G$2:$G$6000,MATCH($C1191,Работы!$A$2:$A$6000,0)),"")</f>
        <v/>
      </c>
      <c r="G1191" t="str">
        <f>IFERROR(INDEX(Работы!$K$2:$K$6000,MATCH($C1191,Работы!$A$2:$A$6000,0)),"")</f>
        <v/>
      </c>
      <c r="H1191" s="9"/>
      <c r="I1191" s="9"/>
      <c r="J1191" s="8" t="str">
        <f>IFERROR(INDEX(Материалы!$B$2:$B$9000,MATCH($I1191,Материалы!$A$2:$A$9000,0)),"")</f>
        <v/>
      </c>
      <c r="K1191" t="str">
        <f>IF($I1191="","",IF($F1191=IFERROR(INDEX(Материалы!$G$2:$G$9000,MATCH($I1191,Материалы!$A$2:$A$9000,0)),""),"OK","!! не та группа"))</f>
        <v/>
      </c>
      <c r="L1191" s="10">
        <f>IFERROR(INDEX(Работы!$H$2:$H$6000,MATCH($C1191,Работы!$A$2:$A$6000,0))*(1-ДисконтТендер),0)</f>
        <v>0</v>
      </c>
      <c r="M1191" s="10">
        <f>IF($I1191="",0,IFERROR(INDEX(Материалы!$I$2:$I$9000,MATCH($I1191,Материалы!$A$2:$A$9000,0))*IF(INDEX(Материалы!$J$2:$J$9000,MATCH($I1191,Материалы!$A$2:$A$9000,0))="USD",КурсUSD,IF(INDEX(Материалы!$J$2:$J$9000,MATCH($I1191,Материалы!$A$2:$A$9000,0))="EUR",КурсEUR,1))*INDEX(Материалы!$K$2:$K$9000,MATCH($I1191,Материалы!$A$2:$A$9000,0))*(1+IFERROR(INDEX(Работы!$I$2:$I$6000,MATCH($C1191,Работы!$A$2:$A$6000,0))/100,0))*(1-ДисконтТендер),0))</f>
        <v>0</v>
      </c>
      <c r="N1191" s="10">
        <f t="shared" si="54"/>
        <v>0</v>
      </c>
      <c r="O1191" s="10">
        <f t="shared" si="55"/>
        <v>0</v>
      </c>
      <c r="P1191" s="10">
        <f t="shared" si="56"/>
        <v>0</v>
      </c>
      <c r="Q1191" t="str">
        <f>IFERROR(INDEX(Работы!$J$2:$J$6000,MATCH($C1191,Работы!$A$2:$A$6000,0)),"")</f>
        <v/>
      </c>
      <c r="R1191" t="s">
        <v>92</v>
      </c>
      <c r="T1191" t="str">
        <f>IF(AND($P1191&gt;0,$R1191="да"),MAX($T$1:$T1190)+1,"")</f>
        <v/>
      </c>
    </row>
    <row r="1192" spans="1:20" x14ac:dyDescent="0.3">
      <c r="A1192" s="11" t="str">
        <f>IFERROR(INDEX(Работы!$D$2:$D$6000,MATCH($C1192,Работы!$A$2:$A$6000,0)),"")</f>
        <v/>
      </c>
      <c r="B1192" t="str">
        <f>IFERROR(INDEX(Работы!$F$2:$F$6000,MATCH($C1192,Работы!$A$2:$A$6000,0)),"")</f>
        <v/>
      </c>
      <c r="C1192">
        <f>IFERROR(INDEX(Работы!$A$2:$A$6000,1191),"")</f>
        <v>0</v>
      </c>
      <c r="D1192" s="8" t="str">
        <f>IFERROR(INDEX(Работы!$B$2:$B$6000,MATCH($C1192,Работы!$A$2:$A$6000,0)),"")</f>
        <v/>
      </c>
      <c r="E1192" t="str">
        <f>IFERROR(INDEX(Работы!$C$2:$C$6000,MATCH($C1192,Работы!$A$2:$A$6000,0)),"")</f>
        <v/>
      </c>
      <c r="F1192" t="str">
        <f>IFERROR(INDEX(Работы!$G$2:$G$6000,MATCH($C1192,Работы!$A$2:$A$6000,0)),"")</f>
        <v/>
      </c>
      <c r="G1192" t="str">
        <f>IFERROR(INDEX(Работы!$K$2:$K$6000,MATCH($C1192,Работы!$A$2:$A$6000,0)),"")</f>
        <v/>
      </c>
      <c r="H1192" s="9"/>
      <c r="I1192" s="9"/>
      <c r="J1192" s="8" t="str">
        <f>IFERROR(INDEX(Материалы!$B$2:$B$9000,MATCH($I1192,Материалы!$A$2:$A$9000,0)),"")</f>
        <v/>
      </c>
      <c r="K1192" t="str">
        <f>IF($I1192="","",IF($F1192=IFERROR(INDEX(Материалы!$G$2:$G$9000,MATCH($I1192,Материалы!$A$2:$A$9000,0)),""),"OK","!! не та группа"))</f>
        <v/>
      </c>
      <c r="L1192" s="10">
        <f>IFERROR(INDEX(Работы!$H$2:$H$6000,MATCH($C1192,Работы!$A$2:$A$6000,0))*(1-ДисконтТендер),0)</f>
        <v>0</v>
      </c>
      <c r="M1192" s="10">
        <f>IF($I1192="",0,IFERROR(INDEX(Материалы!$I$2:$I$9000,MATCH($I1192,Материалы!$A$2:$A$9000,0))*IF(INDEX(Материалы!$J$2:$J$9000,MATCH($I1192,Материалы!$A$2:$A$9000,0))="USD",КурсUSD,IF(INDEX(Материалы!$J$2:$J$9000,MATCH($I1192,Материалы!$A$2:$A$9000,0))="EUR",КурсEUR,1))*INDEX(Материалы!$K$2:$K$9000,MATCH($I1192,Материалы!$A$2:$A$9000,0))*(1+IFERROR(INDEX(Работы!$I$2:$I$6000,MATCH($C1192,Работы!$A$2:$A$6000,0))/100,0))*(1-ДисконтТендер),0))</f>
        <v>0</v>
      </c>
      <c r="N1192" s="10">
        <f t="shared" si="54"/>
        <v>0</v>
      </c>
      <c r="O1192" s="10">
        <f t="shared" si="55"/>
        <v>0</v>
      </c>
      <c r="P1192" s="10">
        <f t="shared" si="56"/>
        <v>0</v>
      </c>
      <c r="Q1192" t="str">
        <f>IFERROR(INDEX(Работы!$J$2:$J$6000,MATCH($C1192,Работы!$A$2:$A$6000,0)),"")</f>
        <v/>
      </c>
      <c r="R1192" t="s">
        <v>92</v>
      </c>
      <c r="T1192" t="str">
        <f>IF(AND($P1192&gt;0,$R1192="да"),MAX($T$1:$T1191)+1,"")</f>
        <v/>
      </c>
    </row>
    <row r="1193" spans="1:20" x14ac:dyDescent="0.3">
      <c r="A1193" s="11" t="str">
        <f>IFERROR(INDEX(Работы!$D$2:$D$6000,MATCH($C1193,Работы!$A$2:$A$6000,0)),"")</f>
        <v/>
      </c>
      <c r="B1193" t="str">
        <f>IFERROR(INDEX(Работы!$F$2:$F$6000,MATCH($C1193,Работы!$A$2:$A$6000,0)),"")</f>
        <v/>
      </c>
      <c r="C1193">
        <f>IFERROR(INDEX(Работы!$A$2:$A$6000,1192),"")</f>
        <v>0</v>
      </c>
      <c r="D1193" s="8" t="str">
        <f>IFERROR(INDEX(Работы!$B$2:$B$6000,MATCH($C1193,Работы!$A$2:$A$6000,0)),"")</f>
        <v/>
      </c>
      <c r="E1193" t="str">
        <f>IFERROR(INDEX(Работы!$C$2:$C$6000,MATCH($C1193,Работы!$A$2:$A$6000,0)),"")</f>
        <v/>
      </c>
      <c r="F1193" t="str">
        <f>IFERROR(INDEX(Работы!$G$2:$G$6000,MATCH($C1193,Работы!$A$2:$A$6000,0)),"")</f>
        <v/>
      </c>
      <c r="G1193" t="str">
        <f>IFERROR(INDEX(Работы!$K$2:$K$6000,MATCH($C1193,Работы!$A$2:$A$6000,0)),"")</f>
        <v/>
      </c>
      <c r="H1193" s="9"/>
      <c r="I1193" s="9"/>
      <c r="J1193" s="8" t="str">
        <f>IFERROR(INDEX(Материалы!$B$2:$B$9000,MATCH($I1193,Материалы!$A$2:$A$9000,0)),"")</f>
        <v/>
      </c>
      <c r="K1193" t="str">
        <f>IF($I1193="","",IF($F1193=IFERROR(INDEX(Материалы!$G$2:$G$9000,MATCH($I1193,Материалы!$A$2:$A$9000,0)),""),"OK","!! не та группа"))</f>
        <v/>
      </c>
      <c r="L1193" s="10">
        <f>IFERROR(INDEX(Работы!$H$2:$H$6000,MATCH($C1193,Работы!$A$2:$A$6000,0))*(1-ДисконтТендер),0)</f>
        <v>0</v>
      </c>
      <c r="M1193" s="10">
        <f>IF($I1193="",0,IFERROR(INDEX(Материалы!$I$2:$I$9000,MATCH($I1193,Материалы!$A$2:$A$9000,0))*IF(INDEX(Материалы!$J$2:$J$9000,MATCH($I1193,Материалы!$A$2:$A$9000,0))="USD",КурсUSD,IF(INDEX(Материалы!$J$2:$J$9000,MATCH($I1193,Материалы!$A$2:$A$9000,0))="EUR",КурсEUR,1))*INDEX(Материалы!$K$2:$K$9000,MATCH($I1193,Материалы!$A$2:$A$9000,0))*(1+IFERROR(INDEX(Работы!$I$2:$I$6000,MATCH($C1193,Работы!$A$2:$A$6000,0))/100,0))*(1-ДисконтТендер),0))</f>
        <v>0</v>
      </c>
      <c r="N1193" s="10">
        <f t="shared" si="54"/>
        <v>0</v>
      </c>
      <c r="O1193" s="10">
        <f t="shared" si="55"/>
        <v>0</v>
      </c>
      <c r="P1193" s="10">
        <f t="shared" si="56"/>
        <v>0</v>
      </c>
      <c r="Q1193" t="str">
        <f>IFERROR(INDEX(Работы!$J$2:$J$6000,MATCH($C1193,Работы!$A$2:$A$6000,0)),"")</f>
        <v/>
      </c>
      <c r="R1193" t="s">
        <v>92</v>
      </c>
      <c r="T1193" t="str">
        <f>IF(AND($P1193&gt;0,$R1193="да"),MAX($T$1:$T1192)+1,"")</f>
        <v/>
      </c>
    </row>
    <row r="1194" spans="1:20" x14ac:dyDescent="0.3">
      <c r="A1194" s="11" t="str">
        <f>IFERROR(INDEX(Работы!$D$2:$D$6000,MATCH($C1194,Работы!$A$2:$A$6000,0)),"")</f>
        <v/>
      </c>
      <c r="B1194" t="str">
        <f>IFERROR(INDEX(Работы!$F$2:$F$6000,MATCH($C1194,Работы!$A$2:$A$6000,0)),"")</f>
        <v/>
      </c>
      <c r="C1194">
        <f>IFERROR(INDEX(Работы!$A$2:$A$6000,1193),"")</f>
        <v>0</v>
      </c>
      <c r="D1194" s="8" t="str">
        <f>IFERROR(INDEX(Работы!$B$2:$B$6000,MATCH($C1194,Работы!$A$2:$A$6000,0)),"")</f>
        <v/>
      </c>
      <c r="E1194" t="str">
        <f>IFERROR(INDEX(Работы!$C$2:$C$6000,MATCH($C1194,Работы!$A$2:$A$6000,0)),"")</f>
        <v/>
      </c>
      <c r="F1194" t="str">
        <f>IFERROR(INDEX(Работы!$G$2:$G$6000,MATCH($C1194,Работы!$A$2:$A$6000,0)),"")</f>
        <v/>
      </c>
      <c r="G1194" t="str">
        <f>IFERROR(INDEX(Работы!$K$2:$K$6000,MATCH($C1194,Работы!$A$2:$A$6000,0)),"")</f>
        <v/>
      </c>
      <c r="H1194" s="9"/>
      <c r="I1194" s="9"/>
      <c r="J1194" s="8" t="str">
        <f>IFERROR(INDEX(Материалы!$B$2:$B$9000,MATCH($I1194,Материалы!$A$2:$A$9000,0)),"")</f>
        <v/>
      </c>
      <c r="K1194" t="str">
        <f>IF($I1194="","",IF($F1194=IFERROR(INDEX(Материалы!$G$2:$G$9000,MATCH($I1194,Материалы!$A$2:$A$9000,0)),""),"OK","!! не та группа"))</f>
        <v/>
      </c>
      <c r="L1194" s="10">
        <f>IFERROR(INDEX(Работы!$H$2:$H$6000,MATCH($C1194,Работы!$A$2:$A$6000,0))*(1-ДисконтТендер),0)</f>
        <v>0</v>
      </c>
      <c r="M1194" s="10">
        <f>IF($I1194="",0,IFERROR(INDEX(Материалы!$I$2:$I$9000,MATCH($I1194,Материалы!$A$2:$A$9000,0))*IF(INDEX(Материалы!$J$2:$J$9000,MATCH($I1194,Материалы!$A$2:$A$9000,0))="USD",КурсUSD,IF(INDEX(Материалы!$J$2:$J$9000,MATCH($I1194,Материалы!$A$2:$A$9000,0))="EUR",КурсEUR,1))*INDEX(Материалы!$K$2:$K$9000,MATCH($I1194,Материалы!$A$2:$A$9000,0))*(1+IFERROR(INDEX(Работы!$I$2:$I$6000,MATCH($C1194,Работы!$A$2:$A$6000,0))/100,0))*(1-ДисконтТендер),0))</f>
        <v>0</v>
      </c>
      <c r="N1194" s="10">
        <f t="shared" si="54"/>
        <v>0</v>
      </c>
      <c r="O1194" s="10">
        <f t="shared" si="55"/>
        <v>0</v>
      </c>
      <c r="P1194" s="10">
        <f t="shared" si="56"/>
        <v>0</v>
      </c>
      <c r="Q1194" t="str">
        <f>IFERROR(INDEX(Работы!$J$2:$J$6000,MATCH($C1194,Работы!$A$2:$A$6000,0)),"")</f>
        <v/>
      </c>
      <c r="R1194" t="s">
        <v>92</v>
      </c>
      <c r="T1194" t="str">
        <f>IF(AND($P1194&gt;0,$R1194="да"),MAX($T$1:$T1193)+1,"")</f>
        <v/>
      </c>
    </row>
    <row r="1195" spans="1:20" x14ac:dyDescent="0.3">
      <c r="A1195" s="11" t="str">
        <f>IFERROR(INDEX(Работы!$D$2:$D$6000,MATCH($C1195,Работы!$A$2:$A$6000,0)),"")</f>
        <v/>
      </c>
      <c r="B1195" t="str">
        <f>IFERROR(INDEX(Работы!$F$2:$F$6000,MATCH($C1195,Работы!$A$2:$A$6000,0)),"")</f>
        <v/>
      </c>
      <c r="C1195">
        <f>IFERROR(INDEX(Работы!$A$2:$A$6000,1194),"")</f>
        <v>0</v>
      </c>
      <c r="D1195" s="8" t="str">
        <f>IFERROR(INDEX(Работы!$B$2:$B$6000,MATCH($C1195,Работы!$A$2:$A$6000,0)),"")</f>
        <v/>
      </c>
      <c r="E1195" t="str">
        <f>IFERROR(INDEX(Работы!$C$2:$C$6000,MATCH($C1195,Работы!$A$2:$A$6000,0)),"")</f>
        <v/>
      </c>
      <c r="F1195" t="str">
        <f>IFERROR(INDEX(Работы!$G$2:$G$6000,MATCH($C1195,Работы!$A$2:$A$6000,0)),"")</f>
        <v/>
      </c>
      <c r="G1195" t="str">
        <f>IFERROR(INDEX(Работы!$K$2:$K$6000,MATCH($C1195,Работы!$A$2:$A$6000,0)),"")</f>
        <v/>
      </c>
      <c r="H1195" s="9"/>
      <c r="I1195" s="9"/>
      <c r="J1195" s="8" t="str">
        <f>IFERROR(INDEX(Материалы!$B$2:$B$9000,MATCH($I1195,Материалы!$A$2:$A$9000,0)),"")</f>
        <v/>
      </c>
      <c r="K1195" t="str">
        <f>IF($I1195="","",IF($F1195=IFERROR(INDEX(Материалы!$G$2:$G$9000,MATCH($I1195,Материалы!$A$2:$A$9000,0)),""),"OK","!! не та группа"))</f>
        <v/>
      </c>
      <c r="L1195" s="10">
        <f>IFERROR(INDEX(Работы!$H$2:$H$6000,MATCH($C1195,Работы!$A$2:$A$6000,0))*(1-ДисконтТендер),0)</f>
        <v>0</v>
      </c>
      <c r="M1195" s="10">
        <f>IF($I1195="",0,IFERROR(INDEX(Материалы!$I$2:$I$9000,MATCH($I1195,Материалы!$A$2:$A$9000,0))*IF(INDEX(Материалы!$J$2:$J$9000,MATCH($I1195,Материалы!$A$2:$A$9000,0))="USD",КурсUSD,IF(INDEX(Материалы!$J$2:$J$9000,MATCH($I1195,Материалы!$A$2:$A$9000,0))="EUR",КурсEUR,1))*INDEX(Материалы!$K$2:$K$9000,MATCH($I1195,Материалы!$A$2:$A$9000,0))*(1+IFERROR(INDEX(Работы!$I$2:$I$6000,MATCH($C1195,Работы!$A$2:$A$6000,0))/100,0))*(1-ДисконтТендер),0))</f>
        <v>0</v>
      </c>
      <c r="N1195" s="10">
        <f t="shared" si="54"/>
        <v>0</v>
      </c>
      <c r="O1195" s="10">
        <f t="shared" si="55"/>
        <v>0</v>
      </c>
      <c r="P1195" s="10">
        <f t="shared" si="56"/>
        <v>0</v>
      </c>
      <c r="Q1195" t="str">
        <f>IFERROR(INDEX(Работы!$J$2:$J$6000,MATCH($C1195,Работы!$A$2:$A$6000,0)),"")</f>
        <v/>
      </c>
      <c r="R1195" t="s">
        <v>92</v>
      </c>
      <c r="T1195" t="str">
        <f>IF(AND($P1195&gt;0,$R1195="да"),MAX($T$1:$T1194)+1,"")</f>
        <v/>
      </c>
    </row>
    <row r="1196" spans="1:20" x14ac:dyDescent="0.3">
      <c r="A1196" s="11" t="str">
        <f>IFERROR(INDEX(Работы!$D$2:$D$6000,MATCH($C1196,Работы!$A$2:$A$6000,0)),"")</f>
        <v/>
      </c>
      <c r="B1196" t="str">
        <f>IFERROR(INDEX(Работы!$F$2:$F$6000,MATCH($C1196,Работы!$A$2:$A$6000,0)),"")</f>
        <v/>
      </c>
      <c r="C1196">
        <f>IFERROR(INDEX(Работы!$A$2:$A$6000,1195),"")</f>
        <v>0</v>
      </c>
      <c r="D1196" s="8" t="str">
        <f>IFERROR(INDEX(Работы!$B$2:$B$6000,MATCH($C1196,Работы!$A$2:$A$6000,0)),"")</f>
        <v/>
      </c>
      <c r="E1196" t="str">
        <f>IFERROR(INDEX(Работы!$C$2:$C$6000,MATCH($C1196,Работы!$A$2:$A$6000,0)),"")</f>
        <v/>
      </c>
      <c r="F1196" t="str">
        <f>IFERROR(INDEX(Работы!$G$2:$G$6000,MATCH($C1196,Работы!$A$2:$A$6000,0)),"")</f>
        <v/>
      </c>
      <c r="G1196" t="str">
        <f>IFERROR(INDEX(Работы!$K$2:$K$6000,MATCH($C1196,Работы!$A$2:$A$6000,0)),"")</f>
        <v/>
      </c>
      <c r="H1196" s="9"/>
      <c r="I1196" s="9"/>
      <c r="J1196" s="8" t="str">
        <f>IFERROR(INDEX(Материалы!$B$2:$B$9000,MATCH($I1196,Материалы!$A$2:$A$9000,0)),"")</f>
        <v/>
      </c>
      <c r="K1196" t="str">
        <f>IF($I1196="","",IF($F1196=IFERROR(INDEX(Материалы!$G$2:$G$9000,MATCH($I1196,Материалы!$A$2:$A$9000,0)),""),"OK","!! не та группа"))</f>
        <v/>
      </c>
      <c r="L1196" s="10">
        <f>IFERROR(INDEX(Работы!$H$2:$H$6000,MATCH($C1196,Работы!$A$2:$A$6000,0))*(1-ДисконтТендер),0)</f>
        <v>0</v>
      </c>
      <c r="M1196" s="10">
        <f>IF($I1196="",0,IFERROR(INDEX(Материалы!$I$2:$I$9000,MATCH($I1196,Материалы!$A$2:$A$9000,0))*IF(INDEX(Материалы!$J$2:$J$9000,MATCH($I1196,Материалы!$A$2:$A$9000,0))="USD",КурсUSD,IF(INDEX(Материалы!$J$2:$J$9000,MATCH($I1196,Материалы!$A$2:$A$9000,0))="EUR",КурсEUR,1))*INDEX(Материалы!$K$2:$K$9000,MATCH($I1196,Материалы!$A$2:$A$9000,0))*(1+IFERROR(INDEX(Работы!$I$2:$I$6000,MATCH($C1196,Работы!$A$2:$A$6000,0))/100,0))*(1-ДисконтТендер),0))</f>
        <v>0</v>
      </c>
      <c r="N1196" s="10">
        <f t="shared" si="54"/>
        <v>0</v>
      </c>
      <c r="O1196" s="10">
        <f t="shared" si="55"/>
        <v>0</v>
      </c>
      <c r="P1196" s="10">
        <f t="shared" si="56"/>
        <v>0</v>
      </c>
      <c r="Q1196" t="str">
        <f>IFERROR(INDEX(Работы!$J$2:$J$6000,MATCH($C1196,Работы!$A$2:$A$6000,0)),"")</f>
        <v/>
      </c>
      <c r="R1196" t="s">
        <v>92</v>
      </c>
      <c r="T1196" t="str">
        <f>IF(AND($P1196&gt;0,$R1196="да"),MAX($T$1:$T1195)+1,"")</f>
        <v/>
      </c>
    </row>
    <row r="1197" spans="1:20" x14ac:dyDescent="0.3">
      <c r="A1197" s="11" t="str">
        <f>IFERROR(INDEX(Работы!$D$2:$D$6000,MATCH($C1197,Работы!$A$2:$A$6000,0)),"")</f>
        <v/>
      </c>
      <c r="B1197" t="str">
        <f>IFERROR(INDEX(Работы!$F$2:$F$6000,MATCH($C1197,Работы!$A$2:$A$6000,0)),"")</f>
        <v/>
      </c>
      <c r="C1197">
        <f>IFERROR(INDEX(Работы!$A$2:$A$6000,1196),"")</f>
        <v>0</v>
      </c>
      <c r="D1197" s="8" t="str">
        <f>IFERROR(INDEX(Работы!$B$2:$B$6000,MATCH($C1197,Работы!$A$2:$A$6000,0)),"")</f>
        <v/>
      </c>
      <c r="E1197" t="str">
        <f>IFERROR(INDEX(Работы!$C$2:$C$6000,MATCH($C1197,Работы!$A$2:$A$6000,0)),"")</f>
        <v/>
      </c>
      <c r="F1197" t="str">
        <f>IFERROR(INDEX(Работы!$G$2:$G$6000,MATCH($C1197,Работы!$A$2:$A$6000,0)),"")</f>
        <v/>
      </c>
      <c r="G1197" t="str">
        <f>IFERROR(INDEX(Работы!$K$2:$K$6000,MATCH($C1197,Работы!$A$2:$A$6000,0)),"")</f>
        <v/>
      </c>
      <c r="H1197" s="9"/>
      <c r="I1197" s="9"/>
      <c r="J1197" s="8" t="str">
        <f>IFERROR(INDEX(Материалы!$B$2:$B$9000,MATCH($I1197,Материалы!$A$2:$A$9000,0)),"")</f>
        <v/>
      </c>
      <c r="K1197" t="str">
        <f>IF($I1197="","",IF($F1197=IFERROR(INDEX(Материалы!$G$2:$G$9000,MATCH($I1197,Материалы!$A$2:$A$9000,0)),""),"OK","!! не та группа"))</f>
        <v/>
      </c>
      <c r="L1197" s="10">
        <f>IFERROR(INDEX(Работы!$H$2:$H$6000,MATCH($C1197,Работы!$A$2:$A$6000,0))*(1-ДисконтТендер),0)</f>
        <v>0</v>
      </c>
      <c r="M1197" s="10">
        <f>IF($I1197="",0,IFERROR(INDEX(Материалы!$I$2:$I$9000,MATCH($I1197,Материалы!$A$2:$A$9000,0))*IF(INDEX(Материалы!$J$2:$J$9000,MATCH($I1197,Материалы!$A$2:$A$9000,0))="USD",КурсUSD,IF(INDEX(Материалы!$J$2:$J$9000,MATCH($I1197,Материалы!$A$2:$A$9000,0))="EUR",КурсEUR,1))*INDEX(Материалы!$K$2:$K$9000,MATCH($I1197,Материалы!$A$2:$A$9000,0))*(1+IFERROR(INDEX(Работы!$I$2:$I$6000,MATCH($C1197,Работы!$A$2:$A$6000,0))/100,0))*(1-ДисконтТендер),0))</f>
        <v>0</v>
      </c>
      <c r="N1197" s="10">
        <f t="shared" si="54"/>
        <v>0</v>
      </c>
      <c r="O1197" s="10">
        <f t="shared" si="55"/>
        <v>0</v>
      </c>
      <c r="P1197" s="10">
        <f t="shared" si="56"/>
        <v>0</v>
      </c>
      <c r="Q1197" t="str">
        <f>IFERROR(INDEX(Работы!$J$2:$J$6000,MATCH($C1197,Работы!$A$2:$A$6000,0)),"")</f>
        <v/>
      </c>
      <c r="R1197" t="s">
        <v>92</v>
      </c>
      <c r="T1197" t="str">
        <f>IF(AND($P1197&gt;0,$R1197="да"),MAX($T$1:$T1196)+1,"")</f>
        <v/>
      </c>
    </row>
    <row r="1198" spans="1:20" x14ac:dyDescent="0.3">
      <c r="A1198" s="11" t="str">
        <f>IFERROR(INDEX(Работы!$D$2:$D$6000,MATCH($C1198,Работы!$A$2:$A$6000,0)),"")</f>
        <v/>
      </c>
      <c r="B1198" t="str">
        <f>IFERROR(INDEX(Работы!$F$2:$F$6000,MATCH($C1198,Работы!$A$2:$A$6000,0)),"")</f>
        <v/>
      </c>
      <c r="C1198">
        <f>IFERROR(INDEX(Работы!$A$2:$A$6000,1197),"")</f>
        <v>0</v>
      </c>
      <c r="D1198" s="8" t="str">
        <f>IFERROR(INDEX(Работы!$B$2:$B$6000,MATCH($C1198,Работы!$A$2:$A$6000,0)),"")</f>
        <v/>
      </c>
      <c r="E1198" t="str">
        <f>IFERROR(INDEX(Работы!$C$2:$C$6000,MATCH($C1198,Работы!$A$2:$A$6000,0)),"")</f>
        <v/>
      </c>
      <c r="F1198" t="str">
        <f>IFERROR(INDEX(Работы!$G$2:$G$6000,MATCH($C1198,Работы!$A$2:$A$6000,0)),"")</f>
        <v/>
      </c>
      <c r="G1198" t="str">
        <f>IFERROR(INDEX(Работы!$K$2:$K$6000,MATCH($C1198,Работы!$A$2:$A$6000,0)),"")</f>
        <v/>
      </c>
      <c r="H1198" s="9"/>
      <c r="I1198" s="9"/>
      <c r="J1198" s="8" t="str">
        <f>IFERROR(INDEX(Материалы!$B$2:$B$9000,MATCH($I1198,Материалы!$A$2:$A$9000,0)),"")</f>
        <v/>
      </c>
      <c r="K1198" t="str">
        <f>IF($I1198="","",IF($F1198=IFERROR(INDEX(Материалы!$G$2:$G$9000,MATCH($I1198,Материалы!$A$2:$A$9000,0)),""),"OK","!! не та группа"))</f>
        <v/>
      </c>
      <c r="L1198" s="10">
        <f>IFERROR(INDEX(Работы!$H$2:$H$6000,MATCH($C1198,Работы!$A$2:$A$6000,0))*(1-ДисконтТендер),0)</f>
        <v>0</v>
      </c>
      <c r="M1198" s="10">
        <f>IF($I1198="",0,IFERROR(INDEX(Материалы!$I$2:$I$9000,MATCH($I1198,Материалы!$A$2:$A$9000,0))*IF(INDEX(Материалы!$J$2:$J$9000,MATCH($I1198,Материалы!$A$2:$A$9000,0))="USD",КурсUSD,IF(INDEX(Материалы!$J$2:$J$9000,MATCH($I1198,Материалы!$A$2:$A$9000,0))="EUR",КурсEUR,1))*INDEX(Материалы!$K$2:$K$9000,MATCH($I1198,Материалы!$A$2:$A$9000,0))*(1+IFERROR(INDEX(Работы!$I$2:$I$6000,MATCH($C1198,Работы!$A$2:$A$6000,0))/100,0))*(1-ДисконтТендер),0))</f>
        <v>0</v>
      </c>
      <c r="N1198" s="10">
        <f t="shared" si="54"/>
        <v>0</v>
      </c>
      <c r="O1198" s="10">
        <f t="shared" si="55"/>
        <v>0</v>
      </c>
      <c r="P1198" s="10">
        <f t="shared" si="56"/>
        <v>0</v>
      </c>
      <c r="Q1198" t="str">
        <f>IFERROR(INDEX(Работы!$J$2:$J$6000,MATCH($C1198,Работы!$A$2:$A$6000,0)),"")</f>
        <v/>
      </c>
      <c r="R1198" t="s">
        <v>92</v>
      </c>
      <c r="T1198" t="str">
        <f>IF(AND($P1198&gt;0,$R1198="да"),MAX($T$1:$T1197)+1,"")</f>
        <v/>
      </c>
    </row>
    <row r="1199" spans="1:20" x14ac:dyDescent="0.3">
      <c r="A1199" s="11" t="str">
        <f>IFERROR(INDEX(Работы!$D$2:$D$6000,MATCH($C1199,Работы!$A$2:$A$6000,0)),"")</f>
        <v/>
      </c>
      <c r="B1199" t="str">
        <f>IFERROR(INDEX(Работы!$F$2:$F$6000,MATCH($C1199,Работы!$A$2:$A$6000,0)),"")</f>
        <v/>
      </c>
      <c r="C1199">
        <f>IFERROR(INDEX(Работы!$A$2:$A$6000,1198),"")</f>
        <v>0</v>
      </c>
      <c r="D1199" s="8" t="str">
        <f>IFERROR(INDEX(Работы!$B$2:$B$6000,MATCH($C1199,Работы!$A$2:$A$6000,0)),"")</f>
        <v/>
      </c>
      <c r="E1199" t="str">
        <f>IFERROR(INDEX(Работы!$C$2:$C$6000,MATCH($C1199,Работы!$A$2:$A$6000,0)),"")</f>
        <v/>
      </c>
      <c r="F1199" t="str">
        <f>IFERROR(INDEX(Работы!$G$2:$G$6000,MATCH($C1199,Работы!$A$2:$A$6000,0)),"")</f>
        <v/>
      </c>
      <c r="G1199" t="str">
        <f>IFERROR(INDEX(Работы!$K$2:$K$6000,MATCH($C1199,Работы!$A$2:$A$6000,0)),"")</f>
        <v/>
      </c>
      <c r="H1199" s="9"/>
      <c r="I1199" s="9"/>
      <c r="J1199" s="8" t="str">
        <f>IFERROR(INDEX(Материалы!$B$2:$B$9000,MATCH($I1199,Материалы!$A$2:$A$9000,0)),"")</f>
        <v/>
      </c>
      <c r="K1199" t="str">
        <f>IF($I1199="","",IF($F1199=IFERROR(INDEX(Материалы!$G$2:$G$9000,MATCH($I1199,Материалы!$A$2:$A$9000,0)),""),"OK","!! не та группа"))</f>
        <v/>
      </c>
      <c r="L1199" s="10">
        <f>IFERROR(INDEX(Работы!$H$2:$H$6000,MATCH($C1199,Работы!$A$2:$A$6000,0))*(1-ДисконтТендер),0)</f>
        <v>0</v>
      </c>
      <c r="M1199" s="10">
        <f>IF($I1199="",0,IFERROR(INDEX(Материалы!$I$2:$I$9000,MATCH($I1199,Материалы!$A$2:$A$9000,0))*IF(INDEX(Материалы!$J$2:$J$9000,MATCH($I1199,Материалы!$A$2:$A$9000,0))="USD",КурсUSD,IF(INDEX(Материалы!$J$2:$J$9000,MATCH($I1199,Материалы!$A$2:$A$9000,0))="EUR",КурсEUR,1))*INDEX(Материалы!$K$2:$K$9000,MATCH($I1199,Материалы!$A$2:$A$9000,0))*(1+IFERROR(INDEX(Работы!$I$2:$I$6000,MATCH($C1199,Работы!$A$2:$A$6000,0))/100,0))*(1-ДисконтТендер),0))</f>
        <v>0</v>
      </c>
      <c r="N1199" s="10">
        <f t="shared" si="54"/>
        <v>0</v>
      </c>
      <c r="O1199" s="10">
        <f t="shared" si="55"/>
        <v>0</v>
      </c>
      <c r="P1199" s="10">
        <f t="shared" si="56"/>
        <v>0</v>
      </c>
      <c r="Q1199" t="str">
        <f>IFERROR(INDEX(Работы!$J$2:$J$6000,MATCH($C1199,Работы!$A$2:$A$6000,0)),"")</f>
        <v/>
      </c>
      <c r="R1199" t="s">
        <v>92</v>
      </c>
      <c r="T1199" t="str">
        <f>IF(AND($P1199&gt;0,$R1199="да"),MAX($T$1:$T1198)+1,"")</f>
        <v/>
      </c>
    </row>
    <row r="1200" spans="1:20" x14ac:dyDescent="0.3">
      <c r="A1200" s="11" t="str">
        <f>IFERROR(INDEX(Работы!$D$2:$D$6000,MATCH($C1200,Работы!$A$2:$A$6000,0)),"")</f>
        <v/>
      </c>
      <c r="B1200" t="str">
        <f>IFERROR(INDEX(Работы!$F$2:$F$6000,MATCH($C1200,Работы!$A$2:$A$6000,0)),"")</f>
        <v/>
      </c>
      <c r="C1200">
        <f>IFERROR(INDEX(Работы!$A$2:$A$6000,1199),"")</f>
        <v>0</v>
      </c>
      <c r="D1200" s="8" t="str">
        <f>IFERROR(INDEX(Работы!$B$2:$B$6000,MATCH($C1200,Работы!$A$2:$A$6000,0)),"")</f>
        <v/>
      </c>
      <c r="E1200" t="str">
        <f>IFERROR(INDEX(Работы!$C$2:$C$6000,MATCH($C1200,Работы!$A$2:$A$6000,0)),"")</f>
        <v/>
      </c>
      <c r="F1200" t="str">
        <f>IFERROR(INDEX(Работы!$G$2:$G$6000,MATCH($C1200,Работы!$A$2:$A$6000,0)),"")</f>
        <v/>
      </c>
      <c r="G1200" t="str">
        <f>IFERROR(INDEX(Работы!$K$2:$K$6000,MATCH($C1200,Работы!$A$2:$A$6000,0)),"")</f>
        <v/>
      </c>
      <c r="H1200" s="9"/>
      <c r="I1200" s="9"/>
      <c r="J1200" s="8" t="str">
        <f>IFERROR(INDEX(Материалы!$B$2:$B$9000,MATCH($I1200,Материалы!$A$2:$A$9000,0)),"")</f>
        <v/>
      </c>
      <c r="K1200" t="str">
        <f>IF($I1200="","",IF($F1200=IFERROR(INDEX(Материалы!$G$2:$G$9000,MATCH($I1200,Материалы!$A$2:$A$9000,0)),""),"OK","!! не та группа"))</f>
        <v/>
      </c>
      <c r="L1200" s="10">
        <f>IFERROR(INDEX(Работы!$H$2:$H$6000,MATCH($C1200,Работы!$A$2:$A$6000,0))*(1-ДисконтТендер),0)</f>
        <v>0</v>
      </c>
      <c r="M1200" s="10">
        <f>IF($I1200="",0,IFERROR(INDEX(Материалы!$I$2:$I$9000,MATCH($I1200,Материалы!$A$2:$A$9000,0))*IF(INDEX(Материалы!$J$2:$J$9000,MATCH($I1200,Материалы!$A$2:$A$9000,0))="USD",КурсUSD,IF(INDEX(Материалы!$J$2:$J$9000,MATCH($I1200,Материалы!$A$2:$A$9000,0))="EUR",КурсEUR,1))*INDEX(Материалы!$K$2:$K$9000,MATCH($I1200,Материалы!$A$2:$A$9000,0))*(1+IFERROR(INDEX(Работы!$I$2:$I$6000,MATCH($C1200,Работы!$A$2:$A$6000,0))/100,0))*(1-ДисконтТендер),0))</f>
        <v>0</v>
      </c>
      <c r="N1200" s="10">
        <f t="shared" si="54"/>
        <v>0</v>
      </c>
      <c r="O1200" s="10">
        <f t="shared" si="55"/>
        <v>0</v>
      </c>
      <c r="P1200" s="10">
        <f t="shared" si="56"/>
        <v>0</v>
      </c>
      <c r="Q1200" t="str">
        <f>IFERROR(INDEX(Работы!$J$2:$J$6000,MATCH($C1200,Работы!$A$2:$A$6000,0)),"")</f>
        <v/>
      </c>
      <c r="R1200" t="s">
        <v>92</v>
      </c>
      <c r="T1200" t="str">
        <f>IF(AND($P1200&gt;0,$R1200="да"),MAX($T$1:$T1199)+1,"")</f>
        <v/>
      </c>
    </row>
    <row r="1201" spans="1:20" x14ac:dyDescent="0.3">
      <c r="A1201" s="11" t="str">
        <f>IFERROR(INDEX(Работы!$D$2:$D$6000,MATCH($C1201,Работы!$A$2:$A$6000,0)),"")</f>
        <v/>
      </c>
      <c r="B1201" t="str">
        <f>IFERROR(INDEX(Работы!$F$2:$F$6000,MATCH($C1201,Работы!$A$2:$A$6000,0)),"")</f>
        <v/>
      </c>
      <c r="C1201">
        <f>IFERROR(INDEX(Работы!$A$2:$A$6000,1200),"")</f>
        <v>0</v>
      </c>
      <c r="D1201" s="8" t="str">
        <f>IFERROR(INDEX(Работы!$B$2:$B$6000,MATCH($C1201,Работы!$A$2:$A$6000,0)),"")</f>
        <v/>
      </c>
      <c r="E1201" t="str">
        <f>IFERROR(INDEX(Работы!$C$2:$C$6000,MATCH($C1201,Работы!$A$2:$A$6000,0)),"")</f>
        <v/>
      </c>
      <c r="F1201" t="str">
        <f>IFERROR(INDEX(Работы!$G$2:$G$6000,MATCH($C1201,Работы!$A$2:$A$6000,0)),"")</f>
        <v/>
      </c>
      <c r="G1201" t="str">
        <f>IFERROR(INDEX(Работы!$K$2:$K$6000,MATCH($C1201,Работы!$A$2:$A$6000,0)),"")</f>
        <v/>
      </c>
      <c r="H1201" s="9"/>
      <c r="I1201" s="9"/>
      <c r="J1201" s="8" t="str">
        <f>IFERROR(INDEX(Материалы!$B$2:$B$9000,MATCH($I1201,Материалы!$A$2:$A$9000,0)),"")</f>
        <v/>
      </c>
      <c r="K1201" t="str">
        <f>IF($I1201="","",IF($F1201=IFERROR(INDEX(Материалы!$G$2:$G$9000,MATCH($I1201,Материалы!$A$2:$A$9000,0)),""),"OK","!! не та группа"))</f>
        <v/>
      </c>
      <c r="L1201" s="10">
        <f>IFERROR(INDEX(Работы!$H$2:$H$6000,MATCH($C1201,Работы!$A$2:$A$6000,0))*(1-ДисконтТендер),0)</f>
        <v>0</v>
      </c>
      <c r="M1201" s="10">
        <f>IF($I1201="",0,IFERROR(INDEX(Материалы!$I$2:$I$9000,MATCH($I1201,Материалы!$A$2:$A$9000,0))*IF(INDEX(Материалы!$J$2:$J$9000,MATCH($I1201,Материалы!$A$2:$A$9000,0))="USD",КурсUSD,IF(INDEX(Материалы!$J$2:$J$9000,MATCH($I1201,Материалы!$A$2:$A$9000,0))="EUR",КурсEUR,1))*INDEX(Материалы!$K$2:$K$9000,MATCH($I1201,Материалы!$A$2:$A$9000,0))*(1+IFERROR(INDEX(Работы!$I$2:$I$6000,MATCH($C1201,Работы!$A$2:$A$6000,0))/100,0))*(1-ДисконтТендер),0))</f>
        <v>0</v>
      </c>
      <c r="N1201" s="10">
        <f t="shared" si="54"/>
        <v>0</v>
      </c>
      <c r="O1201" s="10">
        <f t="shared" si="55"/>
        <v>0</v>
      </c>
      <c r="P1201" s="10">
        <f t="shared" si="56"/>
        <v>0</v>
      </c>
      <c r="Q1201" t="str">
        <f>IFERROR(INDEX(Работы!$J$2:$J$6000,MATCH($C1201,Работы!$A$2:$A$6000,0)),"")</f>
        <v/>
      </c>
      <c r="R1201" t="s">
        <v>92</v>
      </c>
      <c r="T1201" t="str">
        <f>IF(AND($P1201&gt;0,$R1201="да"),MAX($T$1:$T1200)+1,"")</f>
        <v/>
      </c>
    </row>
    <row r="1202" spans="1:20" x14ac:dyDescent="0.3">
      <c r="A1202" s="11" t="str">
        <f>IFERROR(INDEX(Работы!$D$2:$D$6000,MATCH($C1202,Работы!$A$2:$A$6000,0)),"")</f>
        <v/>
      </c>
      <c r="B1202" t="str">
        <f>IFERROR(INDEX(Работы!$F$2:$F$6000,MATCH($C1202,Работы!$A$2:$A$6000,0)),"")</f>
        <v/>
      </c>
      <c r="C1202">
        <f>IFERROR(INDEX(Работы!$A$2:$A$6000,1201),"")</f>
        <v>0</v>
      </c>
      <c r="D1202" s="8" t="str">
        <f>IFERROR(INDEX(Работы!$B$2:$B$6000,MATCH($C1202,Работы!$A$2:$A$6000,0)),"")</f>
        <v/>
      </c>
      <c r="E1202" t="str">
        <f>IFERROR(INDEX(Работы!$C$2:$C$6000,MATCH($C1202,Работы!$A$2:$A$6000,0)),"")</f>
        <v/>
      </c>
      <c r="F1202" t="str">
        <f>IFERROR(INDEX(Работы!$G$2:$G$6000,MATCH($C1202,Работы!$A$2:$A$6000,0)),"")</f>
        <v/>
      </c>
      <c r="G1202" t="str">
        <f>IFERROR(INDEX(Работы!$K$2:$K$6000,MATCH($C1202,Работы!$A$2:$A$6000,0)),"")</f>
        <v/>
      </c>
      <c r="H1202" s="9"/>
      <c r="I1202" s="9"/>
      <c r="J1202" s="8" t="str">
        <f>IFERROR(INDEX(Материалы!$B$2:$B$9000,MATCH($I1202,Материалы!$A$2:$A$9000,0)),"")</f>
        <v/>
      </c>
      <c r="K1202" t="str">
        <f>IF($I1202="","",IF($F1202=IFERROR(INDEX(Материалы!$G$2:$G$9000,MATCH($I1202,Материалы!$A$2:$A$9000,0)),""),"OK","!! не та группа"))</f>
        <v/>
      </c>
      <c r="L1202" s="10">
        <f>IFERROR(INDEX(Работы!$H$2:$H$6000,MATCH($C1202,Работы!$A$2:$A$6000,0))*(1-ДисконтТендер),0)</f>
        <v>0</v>
      </c>
      <c r="M1202" s="10">
        <f>IF($I1202="",0,IFERROR(INDEX(Материалы!$I$2:$I$9000,MATCH($I1202,Материалы!$A$2:$A$9000,0))*IF(INDEX(Материалы!$J$2:$J$9000,MATCH($I1202,Материалы!$A$2:$A$9000,0))="USD",КурсUSD,IF(INDEX(Материалы!$J$2:$J$9000,MATCH($I1202,Материалы!$A$2:$A$9000,0))="EUR",КурсEUR,1))*INDEX(Материалы!$K$2:$K$9000,MATCH($I1202,Материалы!$A$2:$A$9000,0))*(1+IFERROR(INDEX(Работы!$I$2:$I$6000,MATCH($C1202,Работы!$A$2:$A$6000,0))/100,0))*(1-ДисконтТендер),0))</f>
        <v>0</v>
      </c>
      <c r="N1202" s="10">
        <f t="shared" si="54"/>
        <v>0</v>
      </c>
      <c r="O1202" s="10">
        <f t="shared" si="55"/>
        <v>0</v>
      </c>
      <c r="P1202" s="10">
        <f t="shared" si="56"/>
        <v>0</v>
      </c>
      <c r="Q1202" t="str">
        <f>IFERROR(INDEX(Работы!$J$2:$J$6000,MATCH($C1202,Работы!$A$2:$A$6000,0)),"")</f>
        <v/>
      </c>
      <c r="R1202" t="s">
        <v>92</v>
      </c>
      <c r="T1202" t="str">
        <f>IF(AND($P1202&gt;0,$R1202="да"),MAX($T$1:$T1201)+1,"")</f>
        <v/>
      </c>
    </row>
    <row r="1203" spans="1:20" x14ac:dyDescent="0.3">
      <c r="A1203" s="11" t="str">
        <f>IFERROR(INDEX(Работы!$D$2:$D$6000,MATCH($C1203,Работы!$A$2:$A$6000,0)),"")</f>
        <v/>
      </c>
      <c r="B1203" t="str">
        <f>IFERROR(INDEX(Работы!$F$2:$F$6000,MATCH($C1203,Работы!$A$2:$A$6000,0)),"")</f>
        <v/>
      </c>
      <c r="C1203">
        <f>IFERROR(INDEX(Работы!$A$2:$A$6000,1202),"")</f>
        <v>0</v>
      </c>
      <c r="D1203" s="8" t="str">
        <f>IFERROR(INDEX(Работы!$B$2:$B$6000,MATCH($C1203,Работы!$A$2:$A$6000,0)),"")</f>
        <v/>
      </c>
      <c r="E1203" t="str">
        <f>IFERROR(INDEX(Работы!$C$2:$C$6000,MATCH($C1203,Работы!$A$2:$A$6000,0)),"")</f>
        <v/>
      </c>
      <c r="F1203" t="str">
        <f>IFERROR(INDEX(Работы!$G$2:$G$6000,MATCH($C1203,Работы!$A$2:$A$6000,0)),"")</f>
        <v/>
      </c>
      <c r="G1203" t="str">
        <f>IFERROR(INDEX(Работы!$K$2:$K$6000,MATCH($C1203,Работы!$A$2:$A$6000,0)),"")</f>
        <v/>
      </c>
      <c r="H1203" s="9"/>
      <c r="I1203" s="9"/>
      <c r="J1203" s="8" t="str">
        <f>IFERROR(INDEX(Материалы!$B$2:$B$9000,MATCH($I1203,Материалы!$A$2:$A$9000,0)),"")</f>
        <v/>
      </c>
      <c r="K1203" t="str">
        <f>IF($I1203="","",IF($F1203=IFERROR(INDEX(Материалы!$G$2:$G$9000,MATCH($I1203,Материалы!$A$2:$A$9000,0)),""),"OK","!! не та группа"))</f>
        <v/>
      </c>
      <c r="L1203" s="10">
        <f>IFERROR(INDEX(Работы!$H$2:$H$6000,MATCH($C1203,Работы!$A$2:$A$6000,0))*(1-ДисконтТендер),0)</f>
        <v>0</v>
      </c>
      <c r="M1203" s="10">
        <f>IF($I1203="",0,IFERROR(INDEX(Материалы!$I$2:$I$9000,MATCH($I1203,Материалы!$A$2:$A$9000,0))*IF(INDEX(Материалы!$J$2:$J$9000,MATCH($I1203,Материалы!$A$2:$A$9000,0))="USD",КурсUSD,IF(INDEX(Материалы!$J$2:$J$9000,MATCH($I1203,Материалы!$A$2:$A$9000,0))="EUR",КурсEUR,1))*INDEX(Материалы!$K$2:$K$9000,MATCH($I1203,Материалы!$A$2:$A$9000,0))*(1+IFERROR(INDEX(Работы!$I$2:$I$6000,MATCH($C1203,Работы!$A$2:$A$6000,0))/100,0))*(1-ДисконтТендер),0))</f>
        <v>0</v>
      </c>
      <c r="N1203" s="10">
        <f t="shared" si="54"/>
        <v>0</v>
      </c>
      <c r="O1203" s="10">
        <f t="shared" si="55"/>
        <v>0</v>
      </c>
      <c r="P1203" s="10">
        <f t="shared" si="56"/>
        <v>0</v>
      </c>
      <c r="Q1203" t="str">
        <f>IFERROR(INDEX(Работы!$J$2:$J$6000,MATCH($C1203,Работы!$A$2:$A$6000,0)),"")</f>
        <v/>
      </c>
      <c r="R1203" t="s">
        <v>92</v>
      </c>
      <c r="T1203" t="str">
        <f>IF(AND($P1203&gt;0,$R1203="да"),MAX($T$1:$T1202)+1,"")</f>
        <v/>
      </c>
    </row>
    <row r="1204" spans="1:20" x14ac:dyDescent="0.3">
      <c r="A1204" s="11" t="str">
        <f>IFERROR(INDEX(Работы!$D$2:$D$6000,MATCH($C1204,Работы!$A$2:$A$6000,0)),"")</f>
        <v/>
      </c>
      <c r="B1204" t="str">
        <f>IFERROR(INDEX(Работы!$F$2:$F$6000,MATCH($C1204,Работы!$A$2:$A$6000,0)),"")</f>
        <v/>
      </c>
      <c r="C1204">
        <f>IFERROR(INDEX(Работы!$A$2:$A$6000,1203),"")</f>
        <v>0</v>
      </c>
      <c r="D1204" s="8" t="str">
        <f>IFERROR(INDEX(Работы!$B$2:$B$6000,MATCH($C1204,Работы!$A$2:$A$6000,0)),"")</f>
        <v/>
      </c>
      <c r="E1204" t="str">
        <f>IFERROR(INDEX(Работы!$C$2:$C$6000,MATCH($C1204,Работы!$A$2:$A$6000,0)),"")</f>
        <v/>
      </c>
      <c r="F1204" t="str">
        <f>IFERROR(INDEX(Работы!$G$2:$G$6000,MATCH($C1204,Работы!$A$2:$A$6000,0)),"")</f>
        <v/>
      </c>
      <c r="G1204" t="str">
        <f>IFERROR(INDEX(Работы!$K$2:$K$6000,MATCH($C1204,Работы!$A$2:$A$6000,0)),"")</f>
        <v/>
      </c>
      <c r="H1204" s="9"/>
      <c r="I1204" s="9"/>
      <c r="J1204" s="8" t="str">
        <f>IFERROR(INDEX(Материалы!$B$2:$B$9000,MATCH($I1204,Материалы!$A$2:$A$9000,0)),"")</f>
        <v/>
      </c>
      <c r="K1204" t="str">
        <f>IF($I1204="","",IF($F1204=IFERROR(INDEX(Материалы!$G$2:$G$9000,MATCH($I1204,Материалы!$A$2:$A$9000,0)),""),"OK","!! не та группа"))</f>
        <v/>
      </c>
      <c r="L1204" s="10">
        <f>IFERROR(INDEX(Работы!$H$2:$H$6000,MATCH($C1204,Работы!$A$2:$A$6000,0))*(1-ДисконтТендер),0)</f>
        <v>0</v>
      </c>
      <c r="M1204" s="10">
        <f>IF($I1204="",0,IFERROR(INDEX(Материалы!$I$2:$I$9000,MATCH($I1204,Материалы!$A$2:$A$9000,0))*IF(INDEX(Материалы!$J$2:$J$9000,MATCH($I1204,Материалы!$A$2:$A$9000,0))="USD",КурсUSD,IF(INDEX(Материалы!$J$2:$J$9000,MATCH($I1204,Материалы!$A$2:$A$9000,0))="EUR",КурсEUR,1))*INDEX(Материалы!$K$2:$K$9000,MATCH($I1204,Материалы!$A$2:$A$9000,0))*(1+IFERROR(INDEX(Работы!$I$2:$I$6000,MATCH($C1204,Работы!$A$2:$A$6000,0))/100,0))*(1-ДисконтТендер),0))</f>
        <v>0</v>
      </c>
      <c r="N1204" s="10">
        <f t="shared" si="54"/>
        <v>0</v>
      </c>
      <c r="O1204" s="10">
        <f t="shared" si="55"/>
        <v>0</v>
      </c>
      <c r="P1204" s="10">
        <f t="shared" si="56"/>
        <v>0</v>
      </c>
      <c r="Q1204" t="str">
        <f>IFERROR(INDEX(Работы!$J$2:$J$6000,MATCH($C1204,Работы!$A$2:$A$6000,0)),"")</f>
        <v/>
      </c>
      <c r="R1204" t="s">
        <v>92</v>
      </c>
      <c r="T1204" t="str">
        <f>IF(AND($P1204&gt;0,$R1204="да"),MAX($T$1:$T1203)+1,"")</f>
        <v/>
      </c>
    </row>
    <row r="1205" spans="1:20" x14ac:dyDescent="0.3">
      <c r="A1205" s="11" t="str">
        <f>IFERROR(INDEX(Работы!$D$2:$D$6000,MATCH($C1205,Работы!$A$2:$A$6000,0)),"")</f>
        <v/>
      </c>
      <c r="B1205" t="str">
        <f>IFERROR(INDEX(Работы!$F$2:$F$6000,MATCH($C1205,Работы!$A$2:$A$6000,0)),"")</f>
        <v/>
      </c>
      <c r="C1205">
        <f>IFERROR(INDEX(Работы!$A$2:$A$6000,1204),"")</f>
        <v>0</v>
      </c>
      <c r="D1205" s="8" t="str">
        <f>IFERROR(INDEX(Работы!$B$2:$B$6000,MATCH($C1205,Работы!$A$2:$A$6000,0)),"")</f>
        <v/>
      </c>
      <c r="E1205" t="str">
        <f>IFERROR(INDEX(Работы!$C$2:$C$6000,MATCH($C1205,Работы!$A$2:$A$6000,0)),"")</f>
        <v/>
      </c>
      <c r="F1205" t="str">
        <f>IFERROR(INDEX(Работы!$G$2:$G$6000,MATCH($C1205,Работы!$A$2:$A$6000,0)),"")</f>
        <v/>
      </c>
      <c r="G1205" t="str">
        <f>IFERROR(INDEX(Работы!$K$2:$K$6000,MATCH($C1205,Работы!$A$2:$A$6000,0)),"")</f>
        <v/>
      </c>
      <c r="H1205" s="9"/>
      <c r="I1205" s="9"/>
      <c r="J1205" s="8" t="str">
        <f>IFERROR(INDEX(Материалы!$B$2:$B$9000,MATCH($I1205,Материалы!$A$2:$A$9000,0)),"")</f>
        <v/>
      </c>
      <c r="K1205" t="str">
        <f>IF($I1205="","",IF($F1205=IFERROR(INDEX(Материалы!$G$2:$G$9000,MATCH($I1205,Материалы!$A$2:$A$9000,0)),""),"OK","!! не та группа"))</f>
        <v/>
      </c>
      <c r="L1205" s="10">
        <f>IFERROR(INDEX(Работы!$H$2:$H$6000,MATCH($C1205,Работы!$A$2:$A$6000,0))*(1-ДисконтТендер),0)</f>
        <v>0</v>
      </c>
      <c r="M1205" s="10">
        <f>IF($I1205="",0,IFERROR(INDEX(Материалы!$I$2:$I$9000,MATCH($I1205,Материалы!$A$2:$A$9000,0))*IF(INDEX(Материалы!$J$2:$J$9000,MATCH($I1205,Материалы!$A$2:$A$9000,0))="USD",КурсUSD,IF(INDEX(Материалы!$J$2:$J$9000,MATCH($I1205,Материалы!$A$2:$A$9000,0))="EUR",КурсEUR,1))*INDEX(Материалы!$K$2:$K$9000,MATCH($I1205,Материалы!$A$2:$A$9000,0))*(1+IFERROR(INDEX(Работы!$I$2:$I$6000,MATCH($C1205,Работы!$A$2:$A$6000,0))/100,0))*(1-ДисконтТендер),0))</f>
        <v>0</v>
      </c>
      <c r="N1205" s="10">
        <f t="shared" si="54"/>
        <v>0</v>
      </c>
      <c r="O1205" s="10">
        <f t="shared" si="55"/>
        <v>0</v>
      </c>
      <c r="P1205" s="10">
        <f t="shared" si="56"/>
        <v>0</v>
      </c>
      <c r="Q1205" t="str">
        <f>IFERROR(INDEX(Работы!$J$2:$J$6000,MATCH($C1205,Работы!$A$2:$A$6000,0)),"")</f>
        <v/>
      </c>
      <c r="R1205" t="s">
        <v>92</v>
      </c>
      <c r="T1205" t="str">
        <f>IF(AND($P1205&gt;0,$R1205="да"),MAX($T$1:$T1204)+1,"")</f>
        <v/>
      </c>
    </row>
    <row r="1206" spans="1:20" x14ac:dyDescent="0.3">
      <c r="A1206" s="11" t="str">
        <f>IFERROR(INDEX(Работы!$D$2:$D$6000,MATCH($C1206,Работы!$A$2:$A$6000,0)),"")</f>
        <v/>
      </c>
      <c r="B1206" t="str">
        <f>IFERROR(INDEX(Работы!$F$2:$F$6000,MATCH($C1206,Работы!$A$2:$A$6000,0)),"")</f>
        <v/>
      </c>
      <c r="C1206">
        <f>IFERROR(INDEX(Работы!$A$2:$A$6000,1205),"")</f>
        <v>0</v>
      </c>
      <c r="D1206" s="8" t="str">
        <f>IFERROR(INDEX(Работы!$B$2:$B$6000,MATCH($C1206,Работы!$A$2:$A$6000,0)),"")</f>
        <v/>
      </c>
      <c r="E1206" t="str">
        <f>IFERROR(INDEX(Работы!$C$2:$C$6000,MATCH($C1206,Работы!$A$2:$A$6000,0)),"")</f>
        <v/>
      </c>
      <c r="F1206" t="str">
        <f>IFERROR(INDEX(Работы!$G$2:$G$6000,MATCH($C1206,Работы!$A$2:$A$6000,0)),"")</f>
        <v/>
      </c>
      <c r="G1206" t="str">
        <f>IFERROR(INDEX(Работы!$K$2:$K$6000,MATCH($C1206,Работы!$A$2:$A$6000,0)),"")</f>
        <v/>
      </c>
      <c r="H1206" s="9"/>
      <c r="I1206" s="9"/>
      <c r="J1206" s="8" t="str">
        <f>IFERROR(INDEX(Материалы!$B$2:$B$9000,MATCH($I1206,Материалы!$A$2:$A$9000,0)),"")</f>
        <v/>
      </c>
      <c r="K1206" t="str">
        <f>IF($I1206="","",IF($F1206=IFERROR(INDEX(Материалы!$G$2:$G$9000,MATCH($I1206,Материалы!$A$2:$A$9000,0)),""),"OK","!! не та группа"))</f>
        <v/>
      </c>
      <c r="L1206" s="10">
        <f>IFERROR(INDEX(Работы!$H$2:$H$6000,MATCH($C1206,Работы!$A$2:$A$6000,0))*(1-ДисконтТендер),0)</f>
        <v>0</v>
      </c>
      <c r="M1206" s="10">
        <f>IF($I1206="",0,IFERROR(INDEX(Материалы!$I$2:$I$9000,MATCH($I1206,Материалы!$A$2:$A$9000,0))*IF(INDEX(Материалы!$J$2:$J$9000,MATCH($I1206,Материалы!$A$2:$A$9000,0))="USD",КурсUSD,IF(INDEX(Материалы!$J$2:$J$9000,MATCH($I1206,Материалы!$A$2:$A$9000,0))="EUR",КурсEUR,1))*INDEX(Материалы!$K$2:$K$9000,MATCH($I1206,Материалы!$A$2:$A$9000,0))*(1+IFERROR(INDEX(Работы!$I$2:$I$6000,MATCH($C1206,Работы!$A$2:$A$6000,0))/100,0))*(1-ДисконтТендер),0))</f>
        <v>0</v>
      </c>
      <c r="N1206" s="10">
        <f t="shared" si="54"/>
        <v>0</v>
      </c>
      <c r="O1206" s="10">
        <f t="shared" si="55"/>
        <v>0</v>
      </c>
      <c r="P1206" s="10">
        <f t="shared" si="56"/>
        <v>0</v>
      </c>
      <c r="Q1206" t="str">
        <f>IFERROR(INDEX(Работы!$J$2:$J$6000,MATCH($C1206,Работы!$A$2:$A$6000,0)),"")</f>
        <v/>
      </c>
      <c r="R1206" t="s">
        <v>92</v>
      </c>
      <c r="T1206" t="str">
        <f>IF(AND($P1206&gt;0,$R1206="да"),MAX($T$1:$T1205)+1,"")</f>
        <v/>
      </c>
    </row>
    <row r="1207" spans="1:20" x14ac:dyDescent="0.3">
      <c r="A1207" s="11" t="str">
        <f>IFERROR(INDEX(Работы!$D$2:$D$6000,MATCH($C1207,Работы!$A$2:$A$6000,0)),"")</f>
        <v/>
      </c>
      <c r="B1207" t="str">
        <f>IFERROR(INDEX(Работы!$F$2:$F$6000,MATCH($C1207,Работы!$A$2:$A$6000,0)),"")</f>
        <v/>
      </c>
      <c r="C1207">
        <f>IFERROR(INDEX(Работы!$A$2:$A$6000,1206),"")</f>
        <v>0</v>
      </c>
      <c r="D1207" s="8" t="str">
        <f>IFERROR(INDEX(Работы!$B$2:$B$6000,MATCH($C1207,Работы!$A$2:$A$6000,0)),"")</f>
        <v/>
      </c>
      <c r="E1207" t="str">
        <f>IFERROR(INDEX(Работы!$C$2:$C$6000,MATCH($C1207,Работы!$A$2:$A$6000,0)),"")</f>
        <v/>
      </c>
      <c r="F1207" t="str">
        <f>IFERROR(INDEX(Работы!$G$2:$G$6000,MATCH($C1207,Работы!$A$2:$A$6000,0)),"")</f>
        <v/>
      </c>
      <c r="G1207" t="str">
        <f>IFERROR(INDEX(Работы!$K$2:$K$6000,MATCH($C1207,Работы!$A$2:$A$6000,0)),"")</f>
        <v/>
      </c>
      <c r="H1207" s="9"/>
      <c r="I1207" s="9"/>
      <c r="J1207" s="8" t="str">
        <f>IFERROR(INDEX(Материалы!$B$2:$B$9000,MATCH($I1207,Материалы!$A$2:$A$9000,0)),"")</f>
        <v/>
      </c>
      <c r="K1207" t="str">
        <f>IF($I1207="","",IF($F1207=IFERROR(INDEX(Материалы!$G$2:$G$9000,MATCH($I1207,Материалы!$A$2:$A$9000,0)),""),"OK","!! не та группа"))</f>
        <v/>
      </c>
      <c r="L1207" s="10">
        <f>IFERROR(INDEX(Работы!$H$2:$H$6000,MATCH($C1207,Работы!$A$2:$A$6000,0))*(1-ДисконтТендер),0)</f>
        <v>0</v>
      </c>
      <c r="M1207" s="10">
        <f>IF($I1207="",0,IFERROR(INDEX(Материалы!$I$2:$I$9000,MATCH($I1207,Материалы!$A$2:$A$9000,0))*IF(INDEX(Материалы!$J$2:$J$9000,MATCH($I1207,Материалы!$A$2:$A$9000,0))="USD",КурсUSD,IF(INDEX(Материалы!$J$2:$J$9000,MATCH($I1207,Материалы!$A$2:$A$9000,0))="EUR",КурсEUR,1))*INDEX(Материалы!$K$2:$K$9000,MATCH($I1207,Материалы!$A$2:$A$9000,0))*(1+IFERROR(INDEX(Работы!$I$2:$I$6000,MATCH($C1207,Работы!$A$2:$A$6000,0))/100,0))*(1-ДисконтТендер),0))</f>
        <v>0</v>
      </c>
      <c r="N1207" s="10">
        <f t="shared" si="54"/>
        <v>0</v>
      </c>
      <c r="O1207" s="10">
        <f t="shared" si="55"/>
        <v>0</v>
      </c>
      <c r="P1207" s="10">
        <f t="shared" si="56"/>
        <v>0</v>
      </c>
      <c r="Q1207" t="str">
        <f>IFERROR(INDEX(Работы!$J$2:$J$6000,MATCH($C1207,Работы!$A$2:$A$6000,0)),"")</f>
        <v/>
      </c>
      <c r="R1207" t="s">
        <v>92</v>
      </c>
      <c r="T1207" t="str">
        <f>IF(AND($P1207&gt;0,$R1207="да"),MAX($T$1:$T1206)+1,"")</f>
        <v/>
      </c>
    </row>
    <row r="1208" spans="1:20" x14ac:dyDescent="0.3">
      <c r="A1208" s="11" t="str">
        <f>IFERROR(INDEX(Работы!$D$2:$D$6000,MATCH($C1208,Работы!$A$2:$A$6000,0)),"")</f>
        <v/>
      </c>
      <c r="B1208" t="str">
        <f>IFERROR(INDEX(Работы!$F$2:$F$6000,MATCH($C1208,Работы!$A$2:$A$6000,0)),"")</f>
        <v/>
      </c>
      <c r="C1208">
        <f>IFERROR(INDEX(Работы!$A$2:$A$6000,1207),"")</f>
        <v>0</v>
      </c>
      <c r="D1208" s="8" t="str">
        <f>IFERROR(INDEX(Работы!$B$2:$B$6000,MATCH($C1208,Работы!$A$2:$A$6000,0)),"")</f>
        <v/>
      </c>
      <c r="E1208" t="str">
        <f>IFERROR(INDEX(Работы!$C$2:$C$6000,MATCH($C1208,Работы!$A$2:$A$6000,0)),"")</f>
        <v/>
      </c>
      <c r="F1208" t="str">
        <f>IFERROR(INDEX(Работы!$G$2:$G$6000,MATCH($C1208,Работы!$A$2:$A$6000,0)),"")</f>
        <v/>
      </c>
      <c r="G1208" t="str">
        <f>IFERROR(INDEX(Работы!$K$2:$K$6000,MATCH($C1208,Работы!$A$2:$A$6000,0)),"")</f>
        <v/>
      </c>
      <c r="H1208" s="9"/>
      <c r="I1208" s="9"/>
      <c r="J1208" s="8" t="str">
        <f>IFERROR(INDEX(Материалы!$B$2:$B$9000,MATCH($I1208,Материалы!$A$2:$A$9000,0)),"")</f>
        <v/>
      </c>
      <c r="K1208" t="str">
        <f>IF($I1208="","",IF($F1208=IFERROR(INDEX(Материалы!$G$2:$G$9000,MATCH($I1208,Материалы!$A$2:$A$9000,0)),""),"OK","!! не та группа"))</f>
        <v/>
      </c>
      <c r="L1208" s="10">
        <f>IFERROR(INDEX(Работы!$H$2:$H$6000,MATCH($C1208,Работы!$A$2:$A$6000,0))*(1-ДисконтТендер),0)</f>
        <v>0</v>
      </c>
      <c r="M1208" s="10">
        <f>IF($I1208="",0,IFERROR(INDEX(Материалы!$I$2:$I$9000,MATCH($I1208,Материалы!$A$2:$A$9000,0))*IF(INDEX(Материалы!$J$2:$J$9000,MATCH($I1208,Материалы!$A$2:$A$9000,0))="USD",КурсUSD,IF(INDEX(Материалы!$J$2:$J$9000,MATCH($I1208,Материалы!$A$2:$A$9000,0))="EUR",КурсEUR,1))*INDEX(Материалы!$K$2:$K$9000,MATCH($I1208,Материалы!$A$2:$A$9000,0))*(1+IFERROR(INDEX(Работы!$I$2:$I$6000,MATCH($C1208,Работы!$A$2:$A$6000,0))/100,0))*(1-ДисконтТендер),0))</f>
        <v>0</v>
      </c>
      <c r="N1208" s="10">
        <f t="shared" si="54"/>
        <v>0</v>
      </c>
      <c r="O1208" s="10">
        <f t="shared" si="55"/>
        <v>0</v>
      </c>
      <c r="P1208" s="10">
        <f t="shared" si="56"/>
        <v>0</v>
      </c>
      <c r="Q1208" t="str">
        <f>IFERROR(INDEX(Работы!$J$2:$J$6000,MATCH($C1208,Работы!$A$2:$A$6000,0)),"")</f>
        <v/>
      </c>
      <c r="R1208" t="s">
        <v>92</v>
      </c>
      <c r="T1208" t="str">
        <f>IF(AND($P1208&gt;0,$R1208="да"),MAX($T$1:$T1207)+1,"")</f>
        <v/>
      </c>
    </row>
    <row r="1209" spans="1:20" x14ac:dyDescent="0.3">
      <c r="A1209" s="11" t="str">
        <f>IFERROR(INDEX(Работы!$D$2:$D$6000,MATCH($C1209,Работы!$A$2:$A$6000,0)),"")</f>
        <v/>
      </c>
      <c r="B1209" t="str">
        <f>IFERROR(INDEX(Работы!$F$2:$F$6000,MATCH($C1209,Работы!$A$2:$A$6000,0)),"")</f>
        <v/>
      </c>
      <c r="C1209">
        <f>IFERROR(INDEX(Работы!$A$2:$A$6000,1208),"")</f>
        <v>0</v>
      </c>
      <c r="D1209" s="8" t="str">
        <f>IFERROR(INDEX(Работы!$B$2:$B$6000,MATCH($C1209,Работы!$A$2:$A$6000,0)),"")</f>
        <v/>
      </c>
      <c r="E1209" t="str">
        <f>IFERROR(INDEX(Работы!$C$2:$C$6000,MATCH($C1209,Работы!$A$2:$A$6000,0)),"")</f>
        <v/>
      </c>
      <c r="F1209" t="str">
        <f>IFERROR(INDEX(Работы!$G$2:$G$6000,MATCH($C1209,Работы!$A$2:$A$6000,0)),"")</f>
        <v/>
      </c>
      <c r="G1209" t="str">
        <f>IFERROR(INDEX(Работы!$K$2:$K$6000,MATCH($C1209,Работы!$A$2:$A$6000,0)),"")</f>
        <v/>
      </c>
      <c r="H1209" s="9"/>
      <c r="I1209" s="9"/>
      <c r="J1209" s="8" t="str">
        <f>IFERROR(INDEX(Материалы!$B$2:$B$9000,MATCH($I1209,Материалы!$A$2:$A$9000,0)),"")</f>
        <v/>
      </c>
      <c r="K1209" t="str">
        <f>IF($I1209="","",IF($F1209=IFERROR(INDEX(Материалы!$G$2:$G$9000,MATCH($I1209,Материалы!$A$2:$A$9000,0)),""),"OK","!! не та группа"))</f>
        <v/>
      </c>
      <c r="L1209" s="10">
        <f>IFERROR(INDEX(Работы!$H$2:$H$6000,MATCH($C1209,Работы!$A$2:$A$6000,0))*(1-ДисконтТендер),0)</f>
        <v>0</v>
      </c>
      <c r="M1209" s="10">
        <f>IF($I1209="",0,IFERROR(INDEX(Материалы!$I$2:$I$9000,MATCH($I1209,Материалы!$A$2:$A$9000,0))*IF(INDEX(Материалы!$J$2:$J$9000,MATCH($I1209,Материалы!$A$2:$A$9000,0))="USD",КурсUSD,IF(INDEX(Материалы!$J$2:$J$9000,MATCH($I1209,Материалы!$A$2:$A$9000,0))="EUR",КурсEUR,1))*INDEX(Материалы!$K$2:$K$9000,MATCH($I1209,Материалы!$A$2:$A$9000,0))*(1+IFERROR(INDEX(Работы!$I$2:$I$6000,MATCH($C1209,Работы!$A$2:$A$6000,0))/100,0))*(1-ДисконтТендер),0))</f>
        <v>0</v>
      </c>
      <c r="N1209" s="10">
        <f t="shared" si="54"/>
        <v>0</v>
      </c>
      <c r="O1209" s="10">
        <f t="shared" si="55"/>
        <v>0</v>
      </c>
      <c r="P1209" s="10">
        <f t="shared" si="56"/>
        <v>0</v>
      </c>
      <c r="Q1209" t="str">
        <f>IFERROR(INDEX(Работы!$J$2:$J$6000,MATCH($C1209,Работы!$A$2:$A$6000,0)),"")</f>
        <v/>
      </c>
      <c r="R1209" t="s">
        <v>92</v>
      </c>
      <c r="T1209" t="str">
        <f>IF(AND($P1209&gt;0,$R1209="да"),MAX($T$1:$T1208)+1,"")</f>
        <v/>
      </c>
    </row>
    <row r="1210" spans="1:20" x14ac:dyDescent="0.3">
      <c r="A1210" s="11" t="str">
        <f>IFERROR(INDEX(Работы!$D$2:$D$6000,MATCH($C1210,Работы!$A$2:$A$6000,0)),"")</f>
        <v/>
      </c>
      <c r="B1210" t="str">
        <f>IFERROR(INDEX(Работы!$F$2:$F$6000,MATCH($C1210,Работы!$A$2:$A$6000,0)),"")</f>
        <v/>
      </c>
      <c r="C1210">
        <f>IFERROR(INDEX(Работы!$A$2:$A$6000,1209),"")</f>
        <v>0</v>
      </c>
      <c r="D1210" s="8" t="str">
        <f>IFERROR(INDEX(Работы!$B$2:$B$6000,MATCH($C1210,Работы!$A$2:$A$6000,0)),"")</f>
        <v/>
      </c>
      <c r="E1210" t="str">
        <f>IFERROR(INDEX(Работы!$C$2:$C$6000,MATCH($C1210,Работы!$A$2:$A$6000,0)),"")</f>
        <v/>
      </c>
      <c r="F1210" t="str">
        <f>IFERROR(INDEX(Работы!$G$2:$G$6000,MATCH($C1210,Работы!$A$2:$A$6000,0)),"")</f>
        <v/>
      </c>
      <c r="G1210" t="str">
        <f>IFERROR(INDEX(Работы!$K$2:$K$6000,MATCH($C1210,Работы!$A$2:$A$6000,0)),"")</f>
        <v/>
      </c>
      <c r="H1210" s="9"/>
      <c r="I1210" s="9"/>
      <c r="J1210" s="8" t="str">
        <f>IFERROR(INDEX(Материалы!$B$2:$B$9000,MATCH($I1210,Материалы!$A$2:$A$9000,0)),"")</f>
        <v/>
      </c>
      <c r="K1210" t="str">
        <f>IF($I1210="","",IF($F1210=IFERROR(INDEX(Материалы!$G$2:$G$9000,MATCH($I1210,Материалы!$A$2:$A$9000,0)),""),"OK","!! не та группа"))</f>
        <v/>
      </c>
      <c r="L1210" s="10">
        <f>IFERROR(INDEX(Работы!$H$2:$H$6000,MATCH($C1210,Работы!$A$2:$A$6000,0))*(1-ДисконтТендер),0)</f>
        <v>0</v>
      </c>
      <c r="M1210" s="10">
        <f>IF($I1210="",0,IFERROR(INDEX(Материалы!$I$2:$I$9000,MATCH($I1210,Материалы!$A$2:$A$9000,0))*IF(INDEX(Материалы!$J$2:$J$9000,MATCH($I1210,Материалы!$A$2:$A$9000,0))="USD",КурсUSD,IF(INDEX(Материалы!$J$2:$J$9000,MATCH($I1210,Материалы!$A$2:$A$9000,0))="EUR",КурсEUR,1))*INDEX(Материалы!$K$2:$K$9000,MATCH($I1210,Материалы!$A$2:$A$9000,0))*(1+IFERROR(INDEX(Работы!$I$2:$I$6000,MATCH($C1210,Работы!$A$2:$A$6000,0))/100,0))*(1-ДисконтТендер),0))</f>
        <v>0</v>
      </c>
      <c r="N1210" s="10">
        <f t="shared" si="54"/>
        <v>0</v>
      </c>
      <c r="O1210" s="10">
        <f t="shared" si="55"/>
        <v>0</v>
      </c>
      <c r="P1210" s="10">
        <f t="shared" si="56"/>
        <v>0</v>
      </c>
      <c r="Q1210" t="str">
        <f>IFERROR(INDEX(Работы!$J$2:$J$6000,MATCH($C1210,Работы!$A$2:$A$6000,0)),"")</f>
        <v/>
      </c>
      <c r="R1210" t="s">
        <v>92</v>
      </c>
      <c r="T1210" t="str">
        <f>IF(AND($P1210&gt;0,$R1210="да"),MAX($T$1:$T1209)+1,"")</f>
        <v/>
      </c>
    </row>
    <row r="1211" spans="1:20" x14ac:dyDescent="0.3">
      <c r="A1211" s="11" t="str">
        <f>IFERROR(INDEX(Работы!$D$2:$D$6000,MATCH($C1211,Работы!$A$2:$A$6000,0)),"")</f>
        <v/>
      </c>
      <c r="B1211" t="str">
        <f>IFERROR(INDEX(Работы!$F$2:$F$6000,MATCH($C1211,Работы!$A$2:$A$6000,0)),"")</f>
        <v/>
      </c>
      <c r="C1211">
        <f>IFERROR(INDEX(Работы!$A$2:$A$6000,1210),"")</f>
        <v>0</v>
      </c>
      <c r="D1211" s="8" t="str">
        <f>IFERROR(INDEX(Работы!$B$2:$B$6000,MATCH($C1211,Работы!$A$2:$A$6000,0)),"")</f>
        <v/>
      </c>
      <c r="E1211" t="str">
        <f>IFERROR(INDEX(Работы!$C$2:$C$6000,MATCH($C1211,Работы!$A$2:$A$6000,0)),"")</f>
        <v/>
      </c>
      <c r="F1211" t="str">
        <f>IFERROR(INDEX(Работы!$G$2:$G$6000,MATCH($C1211,Работы!$A$2:$A$6000,0)),"")</f>
        <v/>
      </c>
      <c r="G1211" t="str">
        <f>IFERROR(INDEX(Работы!$K$2:$K$6000,MATCH($C1211,Работы!$A$2:$A$6000,0)),"")</f>
        <v/>
      </c>
      <c r="H1211" s="9"/>
      <c r="I1211" s="9"/>
      <c r="J1211" s="8" t="str">
        <f>IFERROR(INDEX(Материалы!$B$2:$B$9000,MATCH($I1211,Материалы!$A$2:$A$9000,0)),"")</f>
        <v/>
      </c>
      <c r="K1211" t="str">
        <f>IF($I1211="","",IF($F1211=IFERROR(INDEX(Материалы!$G$2:$G$9000,MATCH($I1211,Материалы!$A$2:$A$9000,0)),""),"OK","!! не та группа"))</f>
        <v/>
      </c>
      <c r="L1211" s="10">
        <f>IFERROR(INDEX(Работы!$H$2:$H$6000,MATCH($C1211,Работы!$A$2:$A$6000,0))*(1-ДисконтТендер),0)</f>
        <v>0</v>
      </c>
      <c r="M1211" s="10">
        <f>IF($I1211="",0,IFERROR(INDEX(Материалы!$I$2:$I$9000,MATCH($I1211,Материалы!$A$2:$A$9000,0))*IF(INDEX(Материалы!$J$2:$J$9000,MATCH($I1211,Материалы!$A$2:$A$9000,0))="USD",КурсUSD,IF(INDEX(Материалы!$J$2:$J$9000,MATCH($I1211,Материалы!$A$2:$A$9000,0))="EUR",КурсEUR,1))*INDEX(Материалы!$K$2:$K$9000,MATCH($I1211,Материалы!$A$2:$A$9000,0))*(1+IFERROR(INDEX(Работы!$I$2:$I$6000,MATCH($C1211,Работы!$A$2:$A$6000,0))/100,0))*(1-ДисконтТендер),0))</f>
        <v>0</v>
      </c>
      <c r="N1211" s="10">
        <f t="shared" si="54"/>
        <v>0</v>
      </c>
      <c r="O1211" s="10">
        <f t="shared" si="55"/>
        <v>0</v>
      </c>
      <c r="P1211" s="10">
        <f t="shared" si="56"/>
        <v>0</v>
      </c>
      <c r="Q1211" t="str">
        <f>IFERROR(INDEX(Работы!$J$2:$J$6000,MATCH($C1211,Работы!$A$2:$A$6000,0)),"")</f>
        <v/>
      </c>
      <c r="R1211" t="s">
        <v>92</v>
      </c>
      <c r="T1211" t="str">
        <f>IF(AND($P1211&gt;0,$R1211="да"),MAX($T$1:$T1210)+1,"")</f>
        <v/>
      </c>
    </row>
    <row r="1212" spans="1:20" x14ac:dyDescent="0.3">
      <c r="A1212" s="11" t="str">
        <f>IFERROR(INDEX(Работы!$D$2:$D$6000,MATCH($C1212,Работы!$A$2:$A$6000,0)),"")</f>
        <v/>
      </c>
      <c r="B1212" t="str">
        <f>IFERROR(INDEX(Работы!$F$2:$F$6000,MATCH($C1212,Работы!$A$2:$A$6000,0)),"")</f>
        <v/>
      </c>
      <c r="C1212">
        <f>IFERROR(INDEX(Работы!$A$2:$A$6000,1211),"")</f>
        <v>0</v>
      </c>
      <c r="D1212" s="8" t="str">
        <f>IFERROR(INDEX(Работы!$B$2:$B$6000,MATCH($C1212,Работы!$A$2:$A$6000,0)),"")</f>
        <v/>
      </c>
      <c r="E1212" t="str">
        <f>IFERROR(INDEX(Работы!$C$2:$C$6000,MATCH($C1212,Работы!$A$2:$A$6000,0)),"")</f>
        <v/>
      </c>
      <c r="F1212" t="str">
        <f>IFERROR(INDEX(Работы!$G$2:$G$6000,MATCH($C1212,Работы!$A$2:$A$6000,0)),"")</f>
        <v/>
      </c>
      <c r="G1212" t="str">
        <f>IFERROR(INDEX(Работы!$K$2:$K$6000,MATCH($C1212,Работы!$A$2:$A$6000,0)),"")</f>
        <v/>
      </c>
      <c r="H1212" s="9"/>
      <c r="I1212" s="9"/>
      <c r="J1212" s="8" t="str">
        <f>IFERROR(INDEX(Материалы!$B$2:$B$9000,MATCH($I1212,Материалы!$A$2:$A$9000,0)),"")</f>
        <v/>
      </c>
      <c r="K1212" t="str">
        <f>IF($I1212="","",IF($F1212=IFERROR(INDEX(Материалы!$G$2:$G$9000,MATCH($I1212,Материалы!$A$2:$A$9000,0)),""),"OK","!! не та группа"))</f>
        <v/>
      </c>
      <c r="L1212" s="10">
        <f>IFERROR(INDEX(Работы!$H$2:$H$6000,MATCH($C1212,Работы!$A$2:$A$6000,0))*(1-ДисконтТендер),0)</f>
        <v>0</v>
      </c>
      <c r="M1212" s="10">
        <f>IF($I1212="",0,IFERROR(INDEX(Материалы!$I$2:$I$9000,MATCH($I1212,Материалы!$A$2:$A$9000,0))*IF(INDEX(Материалы!$J$2:$J$9000,MATCH($I1212,Материалы!$A$2:$A$9000,0))="USD",КурсUSD,IF(INDEX(Материалы!$J$2:$J$9000,MATCH($I1212,Материалы!$A$2:$A$9000,0))="EUR",КурсEUR,1))*INDEX(Материалы!$K$2:$K$9000,MATCH($I1212,Материалы!$A$2:$A$9000,0))*(1+IFERROR(INDEX(Работы!$I$2:$I$6000,MATCH($C1212,Работы!$A$2:$A$6000,0))/100,0))*(1-ДисконтТендер),0))</f>
        <v>0</v>
      </c>
      <c r="N1212" s="10">
        <f t="shared" si="54"/>
        <v>0</v>
      </c>
      <c r="O1212" s="10">
        <f t="shared" si="55"/>
        <v>0</v>
      </c>
      <c r="P1212" s="10">
        <f t="shared" si="56"/>
        <v>0</v>
      </c>
      <c r="Q1212" t="str">
        <f>IFERROR(INDEX(Работы!$J$2:$J$6000,MATCH($C1212,Работы!$A$2:$A$6000,0)),"")</f>
        <v/>
      </c>
      <c r="R1212" t="s">
        <v>92</v>
      </c>
      <c r="T1212" t="str">
        <f>IF(AND($P1212&gt;0,$R1212="да"),MAX($T$1:$T1211)+1,"")</f>
        <v/>
      </c>
    </row>
  </sheetData>
  <autoFilter ref="A1:T1212" xr:uid="{00000000-0009-0000-0000-000002000000}"/>
  <conditionalFormatting sqref="K2:K1212">
    <cfRule type="expression" dxfId="2" priority="1">
      <formula>$K2="!! не та группа"</formula>
    </cfRule>
  </conditionalFormatting>
  <dataValidations count="2">
    <dataValidation type="list" allowBlank="1" prompt="Материал из группы этой работы. Пустой список = прайс по группе не загружен." sqref="I2:I1212" xr:uid="{00000000-0002-0000-0200-000000000000}">
      <formula1>INDIRECT("мат_"&amp;SUBSTITUTE(SUBSTITUTE(SUBSTITUTE($F2,".","_")," ","_"),"/","_"))</formula1>
    </dataValidation>
    <dataValidation type="list" sqref="R2:R1212" xr:uid="{00000000-0002-0000-0200-000001000000}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1031"/>
  <sheetViews>
    <sheetView zoomScale="70" workbookViewId="0">
      <pane ySplit="20" topLeftCell="A21" activePane="bottomLeft" state="frozen"/>
      <selection pane="bottomLeft" activeCell="D17" sqref="D17"/>
    </sheetView>
  </sheetViews>
  <sheetFormatPr defaultRowHeight="14.4" x14ac:dyDescent="0.3"/>
  <cols>
    <col min="1" max="1" width="30" customWidth="1"/>
    <col min="2" max="2" width="16" customWidth="1"/>
    <col min="3" max="3" width="60" customWidth="1"/>
    <col min="4" max="4" width="9" customWidth="1"/>
    <col min="5" max="5" width="10" customWidth="1"/>
    <col min="6" max="6" width="15" customWidth="1"/>
    <col min="7" max="7" width="18" customWidth="1"/>
    <col min="8" max="8" width="17" customWidth="1"/>
    <col min="9" max="9" width="19" customWidth="1"/>
    <col min="10" max="10" width="16" customWidth="1"/>
    <col min="11" max="12" width="6" hidden="1" customWidth="1"/>
  </cols>
  <sheetData>
    <row r="1" spans="1:3" ht="18" x14ac:dyDescent="0.35">
      <c r="A1" s="1" t="s">
        <v>93</v>
      </c>
    </row>
    <row r="2" spans="1:3" x14ac:dyDescent="0.3">
      <c r="A2" s="2" t="s">
        <v>94</v>
      </c>
      <c r="C2" t="str">
        <f>ФорматОбъекта</f>
        <v>ККО</v>
      </c>
    </row>
    <row r="3" spans="1:3" x14ac:dyDescent="0.3">
      <c r="A3" s="2" t="s">
        <v>95</v>
      </c>
      <c r="C3">
        <f>Адрес</f>
        <v>0</v>
      </c>
    </row>
    <row r="4" spans="1:3" x14ac:dyDescent="0.3">
      <c r="A4" s="2" t="s">
        <v>96</v>
      </c>
      <c r="C4">
        <f>S_общая</f>
        <v>0</v>
      </c>
    </row>
    <row r="5" spans="1:3" x14ac:dyDescent="0.3">
      <c r="A5" s="2" t="s">
        <v>97</v>
      </c>
      <c r="C5" t="str">
        <f>Срок</f>
        <v>Согласно план-графику производства работ</v>
      </c>
    </row>
    <row r="6" spans="1:3" x14ac:dyDescent="0.3">
      <c r="A6" s="2" t="s">
        <v>98</v>
      </c>
      <c r="C6">
        <f>Подрядчик</f>
        <v>0</v>
      </c>
    </row>
    <row r="7" spans="1:3" x14ac:dyDescent="0.3">
      <c r="A7" s="2" t="s">
        <v>99</v>
      </c>
      <c r="C7">
        <f>ЮрАдрес</f>
        <v>0</v>
      </c>
    </row>
    <row r="8" spans="1:3" x14ac:dyDescent="0.3">
      <c r="A8" s="2" t="s">
        <v>100</v>
      </c>
      <c r="C8">
        <f>ЭлАдрес</f>
        <v>0</v>
      </c>
    </row>
    <row r="9" spans="1:3" x14ac:dyDescent="0.3">
      <c r="A9" s="2" t="s">
        <v>101</v>
      </c>
      <c r="C9">
        <f>КонтЛицо</f>
        <v>0</v>
      </c>
    </row>
    <row r="10" spans="1:3" x14ac:dyDescent="0.3">
      <c r="A10" s="2" t="s">
        <v>102</v>
      </c>
      <c r="C10">
        <f>КонтТел</f>
        <v>0</v>
      </c>
    </row>
    <row r="11" spans="1:3" x14ac:dyDescent="0.3">
      <c r="A11" s="2" t="s">
        <v>103</v>
      </c>
      <c r="C11">
        <f>Реквизиты</f>
        <v>0</v>
      </c>
    </row>
    <row r="12" spans="1:3" x14ac:dyDescent="0.3">
      <c r="A12" s="2" t="s">
        <v>104</v>
      </c>
      <c r="C12" s="10">
        <f>'Свод+ТЭП'!$E$23</f>
        <v>0</v>
      </c>
    </row>
    <row r="13" spans="1:3" x14ac:dyDescent="0.3">
      <c r="A13" s="2" t="s">
        <v>105</v>
      </c>
      <c r="C13" s="12">
        <f>ДатаЦен</f>
        <v>46265</v>
      </c>
    </row>
    <row r="15" spans="1:3" x14ac:dyDescent="0.3">
      <c r="A15" t="s">
        <v>106</v>
      </c>
      <c r="C15">
        <f>КурсUSD</f>
        <v>81</v>
      </c>
    </row>
    <row r="16" spans="1:3" x14ac:dyDescent="0.3">
      <c r="A16" t="s">
        <v>107</v>
      </c>
      <c r="C16">
        <f>КурсEUR</f>
        <v>95</v>
      </c>
    </row>
    <row r="17" spans="1:12" x14ac:dyDescent="0.3">
      <c r="A17" t="s">
        <v>108</v>
      </c>
      <c r="C17">
        <f>ДисконтТендер</f>
        <v>0</v>
      </c>
    </row>
    <row r="18" spans="1:12" x14ac:dyDescent="0.3">
      <c r="A18" t="s">
        <v>109</v>
      </c>
    </row>
    <row r="19" spans="1:12" x14ac:dyDescent="0.3">
      <c r="A19" s="13" t="s">
        <v>110</v>
      </c>
    </row>
    <row r="20" spans="1:12" ht="43.2" x14ac:dyDescent="0.3">
      <c r="A20" s="3" t="s">
        <v>111</v>
      </c>
      <c r="B20" s="3" t="s">
        <v>112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117</v>
      </c>
      <c r="H20" s="3" t="s">
        <v>118</v>
      </c>
      <c r="I20" s="3" t="s">
        <v>119</v>
      </c>
      <c r="J20" s="3" t="s">
        <v>87</v>
      </c>
      <c r="K20" s="3" t="s">
        <v>120</v>
      </c>
      <c r="L20" s="3" t="s">
        <v>121</v>
      </c>
    </row>
    <row r="21" spans="1:12" hidden="1" x14ac:dyDescent="0.3">
      <c r="A21" t="str">
        <f>IF($K21="","",1)</f>
        <v/>
      </c>
      <c r="B21" t="str">
        <f>IF($K21="","",INDEX(Конструктор!$C$2:$C$1212,$K21))</f>
        <v/>
      </c>
      <c r="C21" s="8" t="str">
        <f>IF($K21="","",INDEX(Конструктор!$D$2:$D$1212,$K21)&amp;IF(INDEX(Конструктор!$J$2:$J$1212,$K21)&lt;&gt;""," — "&amp;INDEX(Конструктор!$J$2:$J$1212,$K21),""))</f>
        <v/>
      </c>
      <c r="D21" t="str">
        <f>IF($K21="","",INDEX(Конструктор!$E$2:$E$1212,$K21))</f>
        <v/>
      </c>
      <c r="E21" s="10" t="str">
        <f>IF($K21="","",INDEX(Конструктор!$H$2:$H$1212,$K21))</f>
        <v/>
      </c>
      <c r="F21" s="10" t="str">
        <f>IF($K21="","",INDEX(Конструктор!$L$2:$L$1212,$K21))</f>
        <v/>
      </c>
      <c r="G21" s="10" t="str">
        <f>IF($K21="","",INDEX(Конструктор!$M$2:$M$1212,$K21))</f>
        <v/>
      </c>
      <c r="H21" s="10" t="str">
        <f>IF($K21="","",INDEX(Конструктор!$N$2:$N$1212,$K21))</f>
        <v/>
      </c>
      <c r="I21" s="10" t="str">
        <f>IF($K21="","",INDEX(Конструктор!$O$2:$O$1212,$K21))</f>
        <v/>
      </c>
      <c r="J21" s="10" t="str">
        <f>IF($K21="","",INDEX(Конструктор!$P$2:$P$1212,$K21))</f>
        <v/>
      </c>
      <c r="K21" t="str">
        <f>IFERROR(MATCH(1,Конструктор!$T$2:$T$1212,0),"")</f>
        <v/>
      </c>
      <c r="L21" t="str">
        <f t="shared" ref="L21:L84" si="0">IF($K21="","","показать")</f>
        <v/>
      </c>
    </row>
    <row r="22" spans="1:12" hidden="1" x14ac:dyDescent="0.3">
      <c r="A22" t="str">
        <f>IF($K22="","",2)</f>
        <v/>
      </c>
      <c r="B22" t="str">
        <f>IF($K22="","",INDEX(Конструктор!$C$2:$C$1212,$K22))</f>
        <v/>
      </c>
      <c r="C22" s="8" t="str">
        <f>IF($K22="","",INDEX(Конструктор!$D$2:$D$1212,$K22)&amp;IF(INDEX(Конструктор!$J$2:$J$1212,$K22)&lt;&gt;""," — "&amp;INDEX(Конструктор!$J$2:$J$1212,$K22),""))</f>
        <v/>
      </c>
      <c r="D22" t="str">
        <f>IF($K22="","",INDEX(Конструктор!$E$2:$E$1212,$K22))</f>
        <v/>
      </c>
      <c r="E22" s="10" t="str">
        <f>IF($K22="","",INDEX(Конструктор!$H$2:$H$1212,$K22))</f>
        <v/>
      </c>
      <c r="F22" s="10" t="str">
        <f>IF($K22="","",INDEX(Конструктор!$L$2:$L$1212,$K22))</f>
        <v/>
      </c>
      <c r="G22" s="10" t="str">
        <f>IF($K22="","",INDEX(Конструктор!$M$2:$M$1212,$K22))</f>
        <v/>
      </c>
      <c r="H22" s="10" t="str">
        <f>IF($K22="","",INDEX(Конструктор!$N$2:$N$1212,$K22))</f>
        <v/>
      </c>
      <c r="I22" s="10" t="str">
        <f>IF($K22="","",INDEX(Конструктор!$O$2:$O$1212,$K22))</f>
        <v/>
      </c>
      <c r="J22" s="10" t="str">
        <f>IF($K22="","",INDEX(Конструктор!$P$2:$P$1212,$K22))</f>
        <v/>
      </c>
      <c r="K22" t="str">
        <f>IFERROR(MATCH(2,Конструктор!$T$2:$T$1212,0),"")</f>
        <v/>
      </c>
      <c r="L22" t="str">
        <f t="shared" si="0"/>
        <v/>
      </c>
    </row>
    <row r="23" spans="1:12" hidden="1" x14ac:dyDescent="0.3">
      <c r="A23" t="str">
        <f>IF($K23="","",3)</f>
        <v/>
      </c>
      <c r="B23" t="str">
        <f>IF($K23="","",INDEX(Конструктор!$C$2:$C$1212,$K23))</f>
        <v/>
      </c>
      <c r="C23" s="8" t="str">
        <f>IF($K23="","",INDEX(Конструктор!$D$2:$D$1212,$K23)&amp;IF(INDEX(Конструктор!$J$2:$J$1212,$K23)&lt;&gt;""," — "&amp;INDEX(Конструктор!$J$2:$J$1212,$K23),""))</f>
        <v/>
      </c>
      <c r="D23" t="str">
        <f>IF($K23="","",INDEX(Конструктор!$E$2:$E$1212,$K23))</f>
        <v/>
      </c>
      <c r="E23" s="10" t="str">
        <f>IF($K23="","",INDEX(Конструктор!$H$2:$H$1212,$K23))</f>
        <v/>
      </c>
      <c r="F23" s="10" t="str">
        <f>IF($K23="","",INDEX(Конструктор!$L$2:$L$1212,$K23))</f>
        <v/>
      </c>
      <c r="G23" s="10" t="str">
        <f>IF($K23="","",INDEX(Конструктор!$M$2:$M$1212,$K23))</f>
        <v/>
      </c>
      <c r="H23" s="10" t="str">
        <f>IF($K23="","",INDEX(Конструктор!$N$2:$N$1212,$K23))</f>
        <v/>
      </c>
      <c r="I23" s="10" t="str">
        <f>IF($K23="","",INDEX(Конструктор!$O$2:$O$1212,$K23))</f>
        <v/>
      </c>
      <c r="J23" s="10" t="str">
        <f>IF($K23="","",INDEX(Конструктор!$P$2:$P$1212,$K23))</f>
        <v/>
      </c>
      <c r="K23" t="str">
        <f>IFERROR(MATCH(3,Конструктор!$T$2:$T$1212,0),"")</f>
        <v/>
      </c>
      <c r="L23" t="str">
        <f t="shared" si="0"/>
        <v/>
      </c>
    </row>
    <row r="24" spans="1:12" hidden="1" x14ac:dyDescent="0.3">
      <c r="A24" t="str">
        <f>IF($K24="","",4)</f>
        <v/>
      </c>
      <c r="B24" t="str">
        <f>IF($K24="","",INDEX(Конструктор!$C$2:$C$1212,$K24))</f>
        <v/>
      </c>
      <c r="C24" s="8" t="str">
        <f>IF($K24="","",INDEX(Конструктор!$D$2:$D$1212,$K24)&amp;IF(INDEX(Конструктор!$J$2:$J$1212,$K24)&lt;&gt;""," — "&amp;INDEX(Конструктор!$J$2:$J$1212,$K24),""))</f>
        <v/>
      </c>
      <c r="D24" t="str">
        <f>IF($K24="","",INDEX(Конструктор!$E$2:$E$1212,$K24))</f>
        <v/>
      </c>
      <c r="E24" s="10" t="str">
        <f>IF($K24="","",INDEX(Конструктор!$H$2:$H$1212,$K24))</f>
        <v/>
      </c>
      <c r="F24" s="10" t="str">
        <f>IF($K24="","",INDEX(Конструктор!$L$2:$L$1212,$K24))</f>
        <v/>
      </c>
      <c r="G24" s="10" t="str">
        <f>IF($K24="","",INDEX(Конструктор!$M$2:$M$1212,$K24))</f>
        <v/>
      </c>
      <c r="H24" s="10" t="str">
        <f>IF($K24="","",INDEX(Конструктор!$N$2:$N$1212,$K24))</f>
        <v/>
      </c>
      <c r="I24" s="10" t="str">
        <f>IF($K24="","",INDEX(Конструктор!$O$2:$O$1212,$K24))</f>
        <v/>
      </c>
      <c r="J24" s="10" t="str">
        <f>IF($K24="","",INDEX(Конструктор!$P$2:$P$1212,$K24))</f>
        <v/>
      </c>
      <c r="K24" t="str">
        <f>IFERROR(MATCH(4,Конструктор!$T$2:$T$1212,0),"")</f>
        <v/>
      </c>
      <c r="L24" t="str">
        <f t="shared" si="0"/>
        <v/>
      </c>
    </row>
    <row r="25" spans="1:12" hidden="1" x14ac:dyDescent="0.3">
      <c r="A25" t="str">
        <f>IF($K25="","",5)</f>
        <v/>
      </c>
      <c r="B25" t="str">
        <f>IF($K25="","",INDEX(Конструктор!$C$2:$C$1212,$K25))</f>
        <v/>
      </c>
      <c r="C25" s="8" t="str">
        <f>IF($K25="","",INDEX(Конструктор!$D$2:$D$1212,$K25)&amp;IF(INDEX(Конструктор!$J$2:$J$1212,$K25)&lt;&gt;""," — "&amp;INDEX(Конструктор!$J$2:$J$1212,$K25),""))</f>
        <v/>
      </c>
      <c r="D25" t="str">
        <f>IF($K25="","",INDEX(Конструктор!$E$2:$E$1212,$K25))</f>
        <v/>
      </c>
      <c r="E25" s="10" t="str">
        <f>IF($K25="","",INDEX(Конструктор!$H$2:$H$1212,$K25))</f>
        <v/>
      </c>
      <c r="F25" s="10" t="str">
        <f>IF($K25="","",INDEX(Конструктор!$L$2:$L$1212,$K25))</f>
        <v/>
      </c>
      <c r="G25" s="10" t="str">
        <f>IF($K25="","",INDEX(Конструктор!$M$2:$M$1212,$K25))</f>
        <v/>
      </c>
      <c r="H25" s="10" t="str">
        <f>IF($K25="","",INDEX(Конструктор!$N$2:$N$1212,$K25))</f>
        <v/>
      </c>
      <c r="I25" s="10" t="str">
        <f>IF($K25="","",INDEX(Конструктор!$O$2:$O$1212,$K25))</f>
        <v/>
      </c>
      <c r="J25" s="10" t="str">
        <f>IF($K25="","",INDEX(Конструктор!$P$2:$P$1212,$K25))</f>
        <v/>
      </c>
      <c r="K25" t="str">
        <f>IFERROR(MATCH(5,Конструктор!$T$2:$T$1212,0),"")</f>
        <v/>
      </c>
      <c r="L25" t="str">
        <f t="shared" si="0"/>
        <v/>
      </c>
    </row>
    <row r="26" spans="1:12" hidden="1" x14ac:dyDescent="0.3">
      <c r="A26" t="str">
        <f>IF($K26="","",6)</f>
        <v/>
      </c>
      <c r="B26" t="str">
        <f>IF($K26="","",INDEX(Конструктор!$C$2:$C$1212,$K26))</f>
        <v/>
      </c>
      <c r="C26" s="8" t="str">
        <f>IF($K26="","",INDEX(Конструктор!$D$2:$D$1212,$K26)&amp;IF(INDEX(Конструктор!$J$2:$J$1212,$K26)&lt;&gt;""," — "&amp;INDEX(Конструктор!$J$2:$J$1212,$K26),""))</f>
        <v/>
      </c>
      <c r="D26" t="str">
        <f>IF($K26="","",INDEX(Конструктор!$E$2:$E$1212,$K26))</f>
        <v/>
      </c>
      <c r="E26" s="10" t="str">
        <f>IF($K26="","",INDEX(Конструктор!$H$2:$H$1212,$K26))</f>
        <v/>
      </c>
      <c r="F26" s="10" t="str">
        <f>IF($K26="","",INDEX(Конструктор!$L$2:$L$1212,$K26))</f>
        <v/>
      </c>
      <c r="G26" s="10" t="str">
        <f>IF($K26="","",INDEX(Конструктор!$M$2:$M$1212,$K26))</f>
        <v/>
      </c>
      <c r="H26" s="10" t="str">
        <f>IF($K26="","",INDEX(Конструктор!$N$2:$N$1212,$K26))</f>
        <v/>
      </c>
      <c r="I26" s="10" t="str">
        <f>IF($K26="","",INDEX(Конструктор!$O$2:$O$1212,$K26))</f>
        <v/>
      </c>
      <c r="J26" s="10" t="str">
        <f>IF($K26="","",INDEX(Конструктор!$P$2:$P$1212,$K26))</f>
        <v/>
      </c>
      <c r="K26" t="str">
        <f>IFERROR(MATCH(6,Конструктор!$T$2:$T$1212,0),"")</f>
        <v/>
      </c>
      <c r="L26" t="str">
        <f t="shared" si="0"/>
        <v/>
      </c>
    </row>
    <row r="27" spans="1:12" hidden="1" x14ac:dyDescent="0.3">
      <c r="A27" t="str">
        <f>IF($K27="","",7)</f>
        <v/>
      </c>
      <c r="B27" t="str">
        <f>IF($K27="","",INDEX(Конструктор!$C$2:$C$1212,$K27))</f>
        <v/>
      </c>
      <c r="C27" s="8" t="str">
        <f>IF($K27="","",INDEX(Конструктор!$D$2:$D$1212,$K27)&amp;IF(INDEX(Конструктор!$J$2:$J$1212,$K27)&lt;&gt;""," — "&amp;INDEX(Конструктор!$J$2:$J$1212,$K27),""))</f>
        <v/>
      </c>
      <c r="D27" t="str">
        <f>IF($K27="","",INDEX(Конструктор!$E$2:$E$1212,$K27))</f>
        <v/>
      </c>
      <c r="E27" s="10" t="str">
        <f>IF($K27="","",INDEX(Конструктор!$H$2:$H$1212,$K27))</f>
        <v/>
      </c>
      <c r="F27" s="10" t="str">
        <f>IF($K27="","",INDEX(Конструктор!$L$2:$L$1212,$K27))</f>
        <v/>
      </c>
      <c r="G27" s="10" t="str">
        <f>IF($K27="","",INDEX(Конструктор!$M$2:$M$1212,$K27))</f>
        <v/>
      </c>
      <c r="H27" s="10" t="str">
        <f>IF($K27="","",INDEX(Конструктор!$N$2:$N$1212,$K27))</f>
        <v/>
      </c>
      <c r="I27" s="10" t="str">
        <f>IF($K27="","",INDEX(Конструктор!$O$2:$O$1212,$K27))</f>
        <v/>
      </c>
      <c r="J27" s="10" t="str">
        <f>IF($K27="","",INDEX(Конструктор!$P$2:$P$1212,$K27))</f>
        <v/>
      </c>
      <c r="K27" t="str">
        <f>IFERROR(MATCH(7,Конструктор!$T$2:$T$1212,0),"")</f>
        <v/>
      </c>
      <c r="L27" t="str">
        <f t="shared" si="0"/>
        <v/>
      </c>
    </row>
    <row r="28" spans="1:12" hidden="1" x14ac:dyDescent="0.3">
      <c r="A28" t="str">
        <f>IF($K28="","",8)</f>
        <v/>
      </c>
      <c r="B28" t="str">
        <f>IF($K28="","",INDEX(Конструктор!$C$2:$C$1212,$K28))</f>
        <v/>
      </c>
      <c r="C28" s="8" t="str">
        <f>IF($K28="","",INDEX(Конструктор!$D$2:$D$1212,$K28)&amp;IF(INDEX(Конструктор!$J$2:$J$1212,$K28)&lt;&gt;""," — "&amp;INDEX(Конструктор!$J$2:$J$1212,$K28),""))</f>
        <v/>
      </c>
      <c r="D28" t="str">
        <f>IF($K28="","",INDEX(Конструктор!$E$2:$E$1212,$K28))</f>
        <v/>
      </c>
      <c r="E28" s="10" t="str">
        <f>IF($K28="","",INDEX(Конструктор!$H$2:$H$1212,$K28))</f>
        <v/>
      </c>
      <c r="F28" s="10" t="str">
        <f>IF($K28="","",INDEX(Конструктор!$L$2:$L$1212,$K28))</f>
        <v/>
      </c>
      <c r="G28" s="10" t="str">
        <f>IF($K28="","",INDEX(Конструктор!$M$2:$M$1212,$K28))</f>
        <v/>
      </c>
      <c r="H28" s="10" t="str">
        <f>IF($K28="","",INDEX(Конструктор!$N$2:$N$1212,$K28))</f>
        <v/>
      </c>
      <c r="I28" s="10" t="str">
        <f>IF($K28="","",INDEX(Конструктор!$O$2:$O$1212,$K28))</f>
        <v/>
      </c>
      <c r="J28" s="10" t="str">
        <f>IF($K28="","",INDEX(Конструктор!$P$2:$P$1212,$K28))</f>
        <v/>
      </c>
      <c r="K28" t="str">
        <f>IFERROR(MATCH(8,Конструктор!$T$2:$T$1212,0),"")</f>
        <v/>
      </c>
      <c r="L28" t="str">
        <f t="shared" si="0"/>
        <v/>
      </c>
    </row>
    <row r="29" spans="1:12" hidden="1" x14ac:dyDescent="0.3">
      <c r="A29" t="str">
        <f>IF($K29="","",9)</f>
        <v/>
      </c>
      <c r="B29" t="str">
        <f>IF($K29="","",INDEX(Конструктор!$C$2:$C$1212,$K29))</f>
        <v/>
      </c>
      <c r="C29" s="8" t="str">
        <f>IF($K29="","",INDEX(Конструктор!$D$2:$D$1212,$K29)&amp;IF(INDEX(Конструктор!$J$2:$J$1212,$K29)&lt;&gt;""," — "&amp;INDEX(Конструктор!$J$2:$J$1212,$K29),""))</f>
        <v/>
      </c>
      <c r="D29" t="str">
        <f>IF($K29="","",INDEX(Конструктор!$E$2:$E$1212,$K29))</f>
        <v/>
      </c>
      <c r="E29" s="10" t="str">
        <f>IF($K29="","",INDEX(Конструктор!$H$2:$H$1212,$K29))</f>
        <v/>
      </c>
      <c r="F29" s="10" t="str">
        <f>IF($K29="","",INDEX(Конструктор!$L$2:$L$1212,$K29))</f>
        <v/>
      </c>
      <c r="G29" s="10" t="str">
        <f>IF($K29="","",INDEX(Конструктор!$M$2:$M$1212,$K29))</f>
        <v/>
      </c>
      <c r="H29" s="10" t="str">
        <f>IF($K29="","",INDEX(Конструктор!$N$2:$N$1212,$K29))</f>
        <v/>
      </c>
      <c r="I29" s="10" t="str">
        <f>IF($K29="","",INDEX(Конструктор!$O$2:$O$1212,$K29))</f>
        <v/>
      </c>
      <c r="J29" s="10" t="str">
        <f>IF($K29="","",INDEX(Конструктор!$P$2:$P$1212,$K29))</f>
        <v/>
      </c>
      <c r="K29" t="str">
        <f>IFERROR(MATCH(9,Конструктор!$T$2:$T$1212,0),"")</f>
        <v/>
      </c>
      <c r="L29" t="str">
        <f t="shared" si="0"/>
        <v/>
      </c>
    </row>
    <row r="30" spans="1:12" hidden="1" x14ac:dyDescent="0.3">
      <c r="A30" t="str">
        <f>IF($K30="","",10)</f>
        <v/>
      </c>
      <c r="B30" t="str">
        <f>IF($K30="","",INDEX(Конструктор!$C$2:$C$1212,$K30))</f>
        <v/>
      </c>
      <c r="C30" s="8" t="str">
        <f>IF($K30="","",INDEX(Конструктор!$D$2:$D$1212,$K30)&amp;IF(INDEX(Конструктор!$J$2:$J$1212,$K30)&lt;&gt;""," — "&amp;INDEX(Конструктор!$J$2:$J$1212,$K30),""))</f>
        <v/>
      </c>
      <c r="D30" t="str">
        <f>IF($K30="","",INDEX(Конструктор!$E$2:$E$1212,$K30))</f>
        <v/>
      </c>
      <c r="E30" s="10" t="str">
        <f>IF($K30="","",INDEX(Конструктор!$H$2:$H$1212,$K30))</f>
        <v/>
      </c>
      <c r="F30" s="10" t="str">
        <f>IF($K30="","",INDEX(Конструктор!$L$2:$L$1212,$K30))</f>
        <v/>
      </c>
      <c r="G30" s="10" t="str">
        <f>IF($K30="","",INDEX(Конструктор!$M$2:$M$1212,$K30))</f>
        <v/>
      </c>
      <c r="H30" s="10" t="str">
        <f>IF($K30="","",INDEX(Конструктор!$N$2:$N$1212,$K30))</f>
        <v/>
      </c>
      <c r="I30" s="10" t="str">
        <f>IF($K30="","",INDEX(Конструктор!$O$2:$O$1212,$K30))</f>
        <v/>
      </c>
      <c r="J30" s="10" t="str">
        <f>IF($K30="","",INDEX(Конструктор!$P$2:$P$1212,$K30))</f>
        <v/>
      </c>
      <c r="K30" t="str">
        <f>IFERROR(MATCH(10,Конструктор!$T$2:$T$1212,0),"")</f>
        <v/>
      </c>
      <c r="L30" t="str">
        <f t="shared" si="0"/>
        <v/>
      </c>
    </row>
    <row r="31" spans="1:12" hidden="1" x14ac:dyDescent="0.3">
      <c r="A31" t="str">
        <f>IF($K31="","",11)</f>
        <v/>
      </c>
      <c r="B31" t="str">
        <f>IF($K31="","",INDEX(Конструктор!$C$2:$C$1212,$K31))</f>
        <v/>
      </c>
      <c r="C31" s="8" t="str">
        <f>IF($K31="","",INDEX(Конструктор!$D$2:$D$1212,$K31)&amp;IF(INDEX(Конструктор!$J$2:$J$1212,$K31)&lt;&gt;""," — "&amp;INDEX(Конструктор!$J$2:$J$1212,$K31),""))</f>
        <v/>
      </c>
      <c r="D31" t="str">
        <f>IF($K31="","",INDEX(Конструктор!$E$2:$E$1212,$K31))</f>
        <v/>
      </c>
      <c r="E31" s="10" t="str">
        <f>IF($K31="","",INDEX(Конструктор!$H$2:$H$1212,$K31))</f>
        <v/>
      </c>
      <c r="F31" s="10" t="str">
        <f>IF($K31="","",INDEX(Конструктор!$L$2:$L$1212,$K31))</f>
        <v/>
      </c>
      <c r="G31" s="10" t="str">
        <f>IF($K31="","",INDEX(Конструктор!$M$2:$M$1212,$K31))</f>
        <v/>
      </c>
      <c r="H31" s="10" t="str">
        <f>IF($K31="","",INDEX(Конструктор!$N$2:$N$1212,$K31))</f>
        <v/>
      </c>
      <c r="I31" s="10" t="str">
        <f>IF($K31="","",INDEX(Конструктор!$O$2:$O$1212,$K31))</f>
        <v/>
      </c>
      <c r="J31" s="10" t="str">
        <f>IF($K31="","",INDEX(Конструктор!$P$2:$P$1212,$K31))</f>
        <v/>
      </c>
      <c r="K31" t="str">
        <f>IFERROR(MATCH(11,Конструктор!$T$2:$T$1212,0),"")</f>
        <v/>
      </c>
      <c r="L31" t="str">
        <f t="shared" si="0"/>
        <v/>
      </c>
    </row>
    <row r="32" spans="1:12" hidden="1" x14ac:dyDescent="0.3">
      <c r="A32" t="str">
        <f>IF($K32="","",12)</f>
        <v/>
      </c>
      <c r="B32" t="str">
        <f>IF($K32="","",INDEX(Конструктор!$C$2:$C$1212,$K32))</f>
        <v/>
      </c>
      <c r="C32" s="8" t="str">
        <f>IF($K32="","",INDEX(Конструктор!$D$2:$D$1212,$K32)&amp;IF(INDEX(Конструктор!$J$2:$J$1212,$K32)&lt;&gt;""," — "&amp;INDEX(Конструктор!$J$2:$J$1212,$K32),""))</f>
        <v/>
      </c>
      <c r="D32" t="str">
        <f>IF($K32="","",INDEX(Конструктор!$E$2:$E$1212,$K32))</f>
        <v/>
      </c>
      <c r="E32" s="10" t="str">
        <f>IF($K32="","",INDEX(Конструктор!$H$2:$H$1212,$K32))</f>
        <v/>
      </c>
      <c r="F32" s="10" t="str">
        <f>IF($K32="","",INDEX(Конструктор!$L$2:$L$1212,$K32))</f>
        <v/>
      </c>
      <c r="G32" s="10" t="str">
        <f>IF($K32="","",INDEX(Конструктор!$M$2:$M$1212,$K32))</f>
        <v/>
      </c>
      <c r="H32" s="10" t="str">
        <f>IF($K32="","",INDEX(Конструктор!$N$2:$N$1212,$K32))</f>
        <v/>
      </c>
      <c r="I32" s="10" t="str">
        <f>IF($K32="","",INDEX(Конструктор!$O$2:$O$1212,$K32))</f>
        <v/>
      </c>
      <c r="J32" s="10" t="str">
        <f>IF($K32="","",INDEX(Конструктор!$P$2:$P$1212,$K32))</f>
        <v/>
      </c>
      <c r="K32" t="str">
        <f>IFERROR(MATCH(12,Конструктор!$T$2:$T$1212,0),"")</f>
        <v/>
      </c>
      <c r="L32" t="str">
        <f t="shared" si="0"/>
        <v/>
      </c>
    </row>
    <row r="33" spans="1:12" hidden="1" x14ac:dyDescent="0.3">
      <c r="A33" t="str">
        <f>IF($K33="","",13)</f>
        <v/>
      </c>
      <c r="B33" t="str">
        <f>IF($K33="","",INDEX(Конструктор!$C$2:$C$1212,$K33))</f>
        <v/>
      </c>
      <c r="C33" s="8" t="str">
        <f>IF($K33="","",INDEX(Конструктор!$D$2:$D$1212,$K33)&amp;IF(INDEX(Конструктор!$J$2:$J$1212,$K33)&lt;&gt;""," — "&amp;INDEX(Конструктор!$J$2:$J$1212,$K33),""))</f>
        <v/>
      </c>
      <c r="D33" t="str">
        <f>IF($K33="","",INDEX(Конструктор!$E$2:$E$1212,$K33))</f>
        <v/>
      </c>
      <c r="E33" s="10" t="str">
        <f>IF($K33="","",INDEX(Конструктор!$H$2:$H$1212,$K33))</f>
        <v/>
      </c>
      <c r="F33" s="10" t="str">
        <f>IF($K33="","",INDEX(Конструктор!$L$2:$L$1212,$K33))</f>
        <v/>
      </c>
      <c r="G33" s="10" t="str">
        <f>IF($K33="","",INDEX(Конструктор!$M$2:$M$1212,$K33))</f>
        <v/>
      </c>
      <c r="H33" s="10" t="str">
        <f>IF($K33="","",INDEX(Конструктор!$N$2:$N$1212,$K33))</f>
        <v/>
      </c>
      <c r="I33" s="10" t="str">
        <f>IF($K33="","",INDEX(Конструктор!$O$2:$O$1212,$K33))</f>
        <v/>
      </c>
      <c r="J33" s="10" t="str">
        <f>IF($K33="","",INDEX(Конструктор!$P$2:$P$1212,$K33))</f>
        <v/>
      </c>
      <c r="K33" t="str">
        <f>IFERROR(MATCH(13,Конструктор!$T$2:$T$1212,0),"")</f>
        <v/>
      </c>
      <c r="L33" t="str">
        <f t="shared" si="0"/>
        <v/>
      </c>
    </row>
    <row r="34" spans="1:12" hidden="1" x14ac:dyDescent="0.3">
      <c r="A34" t="str">
        <f>IF($K34="","",14)</f>
        <v/>
      </c>
      <c r="B34" t="str">
        <f>IF($K34="","",INDEX(Конструктор!$C$2:$C$1212,$K34))</f>
        <v/>
      </c>
      <c r="C34" s="8" t="str">
        <f>IF($K34="","",INDEX(Конструктор!$D$2:$D$1212,$K34)&amp;IF(INDEX(Конструктор!$J$2:$J$1212,$K34)&lt;&gt;""," — "&amp;INDEX(Конструктор!$J$2:$J$1212,$K34),""))</f>
        <v/>
      </c>
      <c r="D34" t="str">
        <f>IF($K34="","",INDEX(Конструктор!$E$2:$E$1212,$K34))</f>
        <v/>
      </c>
      <c r="E34" s="10" t="str">
        <f>IF($K34="","",INDEX(Конструктор!$H$2:$H$1212,$K34))</f>
        <v/>
      </c>
      <c r="F34" s="10" t="str">
        <f>IF($K34="","",INDEX(Конструктор!$L$2:$L$1212,$K34))</f>
        <v/>
      </c>
      <c r="G34" s="10" t="str">
        <f>IF($K34="","",INDEX(Конструктор!$M$2:$M$1212,$K34))</f>
        <v/>
      </c>
      <c r="H34" s="10" t="str">
        <f>IF($K34="","",INDEX(Конструктор!$N$2:$N$1212,$K34))</f>
        <v/>
      </c>
      <c r="I34" s="10" t="str">
        <f>IF($K34="","",INDEX(Конструктор!$O$2:$O$1212,$K34))</f>
        <v/>
      </c>
      <c r="J34" s="10" t="str">
        <f>IF($K34="","",INDEX(Конструктор!$P$2:$P$1212,$K34))</f>
        <v/>
      </c>
      <c r="K34" t="str">
        <f>IFERROR(MATCH(14,Конструктор!$T$2:$T$1212,0),"")</f>
        <v/>
      </c>
      <c r="L34" t="str">
        <f t="shared" si="0"/>
        <v/>
      </c>
    </row>
    <row r="35" spans="1:12" hidden="1" x14ac:dyDescent="0.3">
      <c r="A35" t="str">
        <f>IF($K35="","",15)</f>
        <v/>
      </c>
      <c r="B35" t="str">
        <f>IF($K35="","",INDEX(Конструктор!$C$2:$C$1212,$K35))</f>
        <v/>
      </c>
      <c r="C35" s="8" t="str">
        <f>IF($K35="","",INDEX(Конструктор!$D$2:$D$1212,$K35)&amp;IF(INDEX(Конструктор!$J$2:$J$1212,$K35)&lt;&gt;""," — "&amp;INDEX(Конструктор!$J$2:$J$1212,$K35),""))</f>
        <v/>
      </c>
      <c r="D35" t="str">
        <f>IF($K35="","",INDEX(Конструктор!$E$2:$E$1212,$K35))</f>
        <v/>
      </c>
      <c r="E35" s="10" t="str">
        <f>IF($K35="","",INDEX(Конструктор!$H$2:$H$1212,$K35))</f>
        <v/>
      </c>
      <c r="F35" s="10" t="str">
        <f>IF($K35="","",INDEX(Конструктор!$L$2:$L$1212,$K35))</f>
        <v/>
      </c>
      <c r="G35" s="10" t="str">
        <f>IF($K35="","",INDEX(Конструктор!$M$2:$M$1212,$K35))</f>
        <v/>
      </c>
      <c r="H35" s="10" t="str">
        <f>IF($K35="","",INDEX(Конструктор!$N$2:$N$1212,$K35))</f>
        <v/>
      </c>
      <c r="I35" s="10" t="str">
        <f>IF($K35="","",INDEX(Конструктор!$O$2:$O$1212,$K35))</f>
        <v/>
      </c>
      <c r="J35" s="10" t="str">
        <f>IF($K35="","",INDEX(Конструктор!$P$2:$P$1212,$K35))</f>
        <v/>
      </c>
      <c r="K35" t="str">
        <f>IFERROR(MATCH(15,Конструктор!$T$2:$T$1212,0),"")</f>
        <v/>
      </c>
      <c r="L35" t="str">
        <f t="shared" si="0"/>
        <v/>
      </c>
    </row>
    <row r="36" spans="1:12" hidden="1" x14ac:dyDescent="0.3">
      <c r="A36" t="str">
        <f>IF($K36="","",16)</f>
        <v/>
      </c>
      <c r="B36" t="str">
        <f>IF($K36="","",INDEX(Конструктор!$C$2:$C$1212,$K36))</f>
        <v/>
      </c>
      <c r="C36" s="8" t="str">
        <f>IF($K36="","",INDEX(Конструктор!$D$2:$D$1212,$K36)&amp;IF(INDEX(Конструктор!$J$2:$J$1212,$K36)&lt;&gt;""," — "&amp;INDEX(Конструктор!$J$2:$J$1212,$K36),""))</f>
        <v/>
      </c>
      <c r="D36" t="str">
        <f>IF($K36="","",INDEX(Конструктор!$E$2:$E$1212,$K36))</f>
        <v/>
      </c>
      <c r="E36" s="10" t="str">
        <f>IF($K36="","",INDEX(Конструктор!$H$2:$H$1212,$K36))</f>
        <v/>
      </c>
      <c r="F36" s="10" t="str">
        <f>IF($K36="","",INDEX(Конструктор!$L$2:$L$1212,$K36))</f>
        <v/>
      </c>
      <c r="G36" s="10" t="str">
        <f>IF($K36="","",INDEX(Конструктор!$M$2:$M$1212,$K36))</f>
        <v/>
      </c>
      <c r="H36" s="10" t="str">
        <f>IF($K36="","",INDEX(Конструктор!$N$2:$N$1212,$K36))</f>
        <v/>
      </c>
      <c r="I36" s="10" t="str">
        <f>IF($K36="","",INDEX(Конструктор!$O$2:$O$1212,$K36))</f>
        <v/>
      </c>
      <c r="J36" s="10" t="str">
        <f>IF($K36="","",INDEX(Конструктор!$P$2:$P$1212,$K36))</f>
        <v/>
      </c>
      <c r="K36" t="str">
        <f>IFERROR(MATCH(16,Конструктор!$T$2:$T$1212,0),"")</f>
        <v/>
      </c>
      <c r="L36" t="str">
        <f t="shared" si="0"/>
        <v/>
      </c>
    </row>
    <row r="37" spans="1:12" hidden="1" x14ac:dyDescent="0.3">
      <c r="A37" t="str">
        <f>IF($K37="","",17)</f>
        <v/>
      </c>
      <c r="B37" t="str">
        <f>IF($K37="","",INDEX(Конструктор!$C$2:$C$1212,$K37))</f>
        <v/>
      </c>
      <c r="C37" s="8" t="str">
        <f>IF($K37="","",INDEX(Конструктор!$D$2:$D$1212,$K37)&amp;IF(INDEX(Конструктор!$J$2:$J$1212,$K37)&lt;&gt;""," — "&amp;INDEX(Конструктор!$J$2:$J$1212,$K37),""))</f>
        <v/>
      </c>
      <c r="D37" t="str">
        <f>IF($K37="","",INDEX(Конструктор!$E$2:$E$1212,$K37))</f>
        <v/>
      </c>
      <c r="E37" s="10" t="str">
        <f>IF($K37="","",INDEX(Конструктор!$H$2:$H$1212,$K37))</f>
        <v/>
      </c>
      <c r="F37" s="10" t="str">
        <f>IF($K37="","",INDEX(Конструктор!$L$2:$L$1212,$K37))</f>
        <v/>
      </c>
      <c r="G37" s="10" t="str">
        <f>IF($K37="","",INDEX(Конструктор!$M$2:$M$1212,$K37))</f>
        <v/>
      </c>
      <c r="H37" s="10" t="str">
        <f>IF($K37="","",INDEX(Конструктор!$N$2:$N$1212,$K37))</f>
        <v/>
      </c>
      <c r="I37" s="10" t="str">
        <f>IF($K37="","",INDEX(Конструктор!$O$2:$O$1212,$K37))</f>
        <v/>
      </c>
      <c r="J37" s="10" t="str">
        <f>IF($K37="","",INDEX(Конструктор!$P$2:$P$1212,$K37))</f>
        <v/>
      </c>
      <c r="K37" t="str">
        <f>IFERROR(MATCH(17,Конструктор!$T$2:$T$1212,0),"")</f>
        <v/>
      </c>
      <c r="L37" t="str">
        <f t="shared" si="0"/>
        <v/>
      </c>
    </row>
    <row r="38" spans="1:12" hidden="1" x14ac:dyDescent="0.3">
      <c r="A38" t="str">
        <f>IF($K38="","",18)</f>
        <v/>
      </c>
      <c r="B38" t="str">
        <f>IF($K38="","",INDEX(Конструктор!$C$2:$C$1212,$K38))</f>
        <v/>
      </c>
      <c r="C38" s="8" t="str">
        <f>IF($K38="","",INDEX(Конструктор!$D$2:$D$1212,$K38)&amp;IF(INDEX(Конструктор!$J$2:$J$1212,$K38)&lt;&gt;""," — "&amp;INDEX(Конструктор!$J$2:$J$1212,$K38),""))</f>
        <v/>
      </c>
      <c r="D38" t="str">
        <f>IF($K38="","",INDEX(Конструктор!$E$2:$E$1212,$K38))</f>
        <v/>
      </c>
      <c r="E38" s="10" t="str">
        <f>IF($K38="","",INDEX(Конструктор!$H$2:$H$1212,$K38))</f>
        <v/>
      </c>
      <c r="F38" s="10" t="str">
        <f>IF($K38="","",INDEX(Конструктор!$L$2:$L$1212,$K38))</f>
        <v/>
      </c>
      <c r="G38" s="10" t="str">
        <f>IF($K38="","",INDEX(Конструктор!$M$2:$M$1212,$K38))</f>
        <v/>
      </c>
      <c r="H38" s="10" t="str">
        <f>IF($K38="","",INDEX(Конструктор!$N$2:$N$1212,$K38))</f>
        <v/>
      </c>
      <c r="I38" s="10" t="str">
        <f>IF($K38="","",INDEX(Конструктор!$O$2:$O$1212,$K38))</f>
        <v/>
      </c>
      <c r="J38" s="10" t="str">
        <f>IF($K38="","",INDEX(Конструктор!$P$2:$P$1212,$K38))</f>
        <v/>
      </c>
      <c r="K38" t="str">
        <f>IFERROR(MATCH(18,Конструктор!$T$2:$T$1212,0),"")</f>
        <v/>
      </c>
      <c r="L38" t="str">
        <f t="shared" si="0"/>
        <v/>
      </c>
    </row>
    <row r="39" spans="1:12" hidden="1" x14ac:dyDescent="0.3">
      <c r="A39" t="str">
        <f>IF($K39="","",19)</f>
        <v/>
      </c>
      <c r="B39" t="str">
        <f>IF($K39="","",INDEX(Конструктор!$C$2:$C$1212,$K39))</f>
        <v/>
      </c>
      <c r="C39" s="8" t="str">
        <f>IF($K39="","",INDEX(Конструктор!$D$2:$D$1212,$K39)&amp;IF(INDEX(Конструктор!$J$2:$J$1212,$K39)&lt;&gt;""," — "&amp;INDEX(Конструктор!$J$2:$J$1212,$K39),""))</f>
        <v/>
      </c>
      <c r="D39" t="str">
        <f>IF($K39="","",INDEX(Конструктор!$E$2:$E$1212,$K39))</f>
        <v/>
      </c>
      <c r="E39" s="10" t="str">
        <f>IF($K39="","",INDEX(Конструктор!$H$2:$H$1212,$K39))</f>
        <v/>
      </c>
      <c r="F39" s="10" t="str">
        <f>IF($K39="","",INDEX(Конструктор!$L$2:$L$1212,$K39))</f>
        <v/>
      </c>
      <c r="G39" s="10" t="str">
        <f>IF($K39="","",INDEX(Конструктор!$M$2:$M$1212,$K39))</f>
        <v/>
      </c>
      <c r="H39" s="10" t="str">
        <f>IF($K39="","",INDEX(Конструктор!$N$2:$N$1212,$K39))</f>
        <v/>
      </c>
      <c r="I39" s="10" t="str">
        <f>IF($K39="","",INDEX(Конструктор!$O$2:$O$1212,$K39))</f>
        <v/>
      </c>
      <c r="J39" s="10" t="str">
        <f>IF($K39="","",INDEX(Конструктор!$P$2:$P$1212,$K39))</f>
        <v/>
      </c>
      <c r="K39" t="str">
        <f>IFERROR(MATCH(19,Конструктор!$T$2:$T$1212,0),"")</f>
        <v/>
      </c>
      <c r="L39" t="str">
        <f t="shared" si="0"/>
        <v/>
      </c>
    </row>
    <row r="40" spans="1:12" hidden="1" x14ac:dyDescent="0.3">
      <c r="A40" t="str">
        <f>IF($K40="","",20)</f>
        <v/>
      </c>
      <c r="B40" t="str">
        <f>IF($K40="","",INDEX(Конструктор!$C$2:$C$1212,$K40))</f>
        <v/>
      </c>
      <c r="C40" s="8" t="str">
        <f>IF($K40="","",INDEX(Конструктор!$D$2:$D$1212,$K40)&amp;IF(INDEX(Конструктор!$J$2:$J$1212,$K40)&lt;&gt;""," — "&amp;INDEX(Конструктор!$J$2:$J$1212,$K40),""))</f>
        <v/>
      </c>
      <c r="D40" t="str">
        <f>IF($K40="","",INDEX(Конструктор!$E$2:$E$1212,$K40))</f>
        <v/>
      </c>
      <c r="E40" s="10" t="str">
        <f>IF($K40="","",INDEX(Конструктор!$H$2:$H$1212,$K40))</f>
        <v/>
      </c>
      <c r="F40" s="10" t="str">
        <f>IF($K40="","",INDEX(Конструктор!$L$2:$L$1212,$K40))</f>
        <v/>
      </c>
      <c r="G40" s="10" t="str">
        <f>IF($K40="","",INDEX(Конструктор!$M$2:$M$1212,$K40))</f>
        <v/>
      </c>
      <c r="H40" s="10" t="str">
        <f>IF($K40="","",INDEX(Конструктор!$N$2:$N$1212,$K40))</f>
        <v/>
      </c>
      <c r="I40" s="10" t="str">
        <f>IF($K40="","",INDEX(Конструктор!$O$2:$O$1212,$K40))</f>
        <v/>
      </c>
      <c r="J40" s="10" t="str">
        <f>IF($K40="","",INDEX(Конструктор!$P$2:$P$1212,$K40))</f>
        <v/>
      </c>
      <c r="K40" t="str">
        <f>IFERROR(MATCH(20,Конструктор!$T$2:$T$1212,0),"")</f>
        <v/>
      </c>
      <c r="L40" t="str">
        <f t="shared" si="0"/>
        <v/>
      </c>
    </row>
    <row r="41" spans="1:12" hidden="1" x14ac:dyDescent="0.3">
      <c r="A41" t="str">
        <f>IF($K41="","",21)</f>
        <v/>
      </c>
      <c r="B41" t="str">
        <f>IF($K41="","",INDEX(Конструктор!$C$2:$C$1212,$K41))</f>
        <v/>
      </c>
      <c r="C41" s="8" t="str">
        <f>IF($K41="","",INDEX(Конструктор!$D$2:$D$1212,$K41)&amp;IF(INDEX(Конструктор!$J$2:$J$1212,$K41)&lt;&gt;""," — "&amp;INDEX(Конструктор!$J$2:$J$1212,$K41),""))</f>
        <v/>
      </c>
      <c r="D41" t="str">
        <f>IF($K41="","",INDEX(Конструктор!$E$2:$E$1212,$K41))</f>
        <v/>
      </c>
      <c r="E41" s="10" t="str">
        <f>IF($K41="","",INDEX(Конструктор!$H$2:$H$1212,$K41))</f>
        <v/>
      </c>
      <c r="F41" s="10" t="str">
        <f>IF($K41="","",INDEX(Конструктор!$L$2:$L$1212,$K41))</f>
        <v/>
      </c>
      <c r="G41" s="10" t="str">
        <f>IF($K41="","",INDEX(Конструктор!$M$2:$M$1212,$K41))</f>
        <v/>
      </c>
      <c r="H41" s="10" t="str">
        <f>IF($K41="","",INDEX(Конструктор!$N$2:$N$1212,$K41))</f>
        <v/>
      </c>
      <c r="I41" s="10" t="str">
        <f>IF($K41="","",INDEX(Конструктор!$O$2:$O$1212,$K41))</f>
        <v/>
      </c>
      <c r="J41" s="10" t="str">
        <f>IF($K41="","",INDEX(Конструктор!$P$2:$P$1212,$K41))</f>
        <v/>
      </c>
      <c r="K41" t="str">
        <f>IFERROR(MATCH(21,Конструктор!$T$2:$T$1212,0),"")</f>
        <v/>
      </c>
      <c r="L41" t="str">
        <f t="shared" si="0"/>
        <v/>
      </c>
    </row>
    <row r="42" spans="1:12" hidden="1" x14ac:dyDescent="0.3">
      <c r="A42" t="str">
        <f>IF($K42="","",22)</f>
        <v/>
      </c>
      <c r="B42" t="str">
        <f>IF($K42="","",INDEX(Конструктор!$C$2:$C$1212,$K42))</f>
        <v/>
      </c>
      <c r="C42" s="8" t="str">
        <f>IF($K42="","",INDEX(Конструктор!$D$2:$D$1212,$K42)&amp;IF(INDEX(Конструктор!$J$2:$J$1212,$K42)&lt;&gt;""," — "&amp;INDEX(Конструктор!$J$2:$J$1212,$K42),""))</f>
        <v/>
      </c>
      <c r="D42" t="str">
        <f>IF($K42="","",INDEX(Конструктор!$E$2:$E$1212,$K42))</f>
        <v/>
      </c>
      <c r="E42" s="10" t="str">
        <f>IF($K42="","",INDEX(Конструктор!$H$2:$H$1212,$K42))</f>
        <v/>
      </c>
      <c r="F42" s="10" t="str">
        <f>IF($K42="","",INDEX(Конструктор!$L$2:$L$1212,$K42))</f>
        <v/>
      </c>
      <c r="G42" s="10" t="str">
        <f>IF($K42="","",INDEX(Конструктор!$M$2:$M$1212,$K42))</f>
        <v/>
      </c>
      <c r="H42" s="10" t="str">
        <f>IF($K42="","",INDEX(Конструктор!$N$2:$N$1212,$K42))</f>
        <v/>
      </c>
      <c r="I42" s="10" t="str">
        <f>IF($K42="","",INDEX(Конструктор!$O$2:$O$1212,$K42))</f>
        <v/>
      </c>
      <c r="J42" s="10" t="str">
        <f>IF($K42="","",INDEX(Конструктор!$P$2:$P$1212,$K42))</f>
        <v/>
      </c>
      <c r="K42" t="str">
        <f>IFERROR(MATCH(22,Конструктор!$T$2:$T$1212,0),"")</f>
        <v/>
      </c>
      <c r="L42" t="str">
        <f t="shared" si="0"/>
        <v/>
      </c>
    </row>
    <row r="43" spans="1:12" hidden="1" x14ac:dyDescent="0.3">
      <c r="A43" t="str">
        <f>IF($K43="","",23)</f>
        <v/>
      </c>
      <c r="B43" t="str">
        <f>IF($K43="","",INDEX(Конструктор!$C$2:$C$1212,$K43))</f>
        <v/>
      </c>
      <c r="C43" s="8" t="str">
        <f>IF($K43="","",INDEX(Конструктор!$D$2:$D$1212,$K43)&amp;IF(INDEX(Конструктор!$J$2:$J$1212,$K43)&lt;&gt;""," — "&amp;INDEX(Конструктор!$J$2:$J$1212,$K43),""))</f>
        <v/>
      </c>
      <c r="D43" t="str">
        <f>IF($K43="","",INDEX(Конструктор!$E$2:$E$1212,$K43))</f>
        <v/>
      </c>
      <c r="E43" s="10" t="str">
        <f>IF($K43="","",INDEX(Конструктор!$H$2:$H$1212,$K43))</f>
        <v/>
      </c>
      <c r="F43" s="10" t="str">
        <f>IF($K43="","",INDEX(Конструктор!$L$2:$L$1212,$K43))</f>
        <v/>
      </c>
      <c r="G43" s="10" t="str">
        <f>IF($K43="","",INDEX(Конструктор!$M$2:$M$1212,$K43))</f>
        <v/>
      </c>
      <c r="H43" s="10" t="str">
        <f>IF($K43="","",INDEX(Конструктор!$N$2:$N$1212,$K43))</f>
        <v/>
      </c>
      <c r="I43" s="10" t="str">
        <f>IF($K43="","",INDEX(Конструктор!$O$2:$O$1212,$K43))</f>
        <v/>
      </c>
      <c r="J43" s="10" t="str">
        <f>IF($K43="","",INDEX(Конструктор!$P$2:$P$1212,$K43))</f>
        <v/>
      </c>
      <c r="K43" t="str">
        <f>IFERROR(MATCH(23,Конструктор!$T$2:$T$1212,0),"")</f>
        <v/>
      </c>
      <c r="L43" t="str">
        <f t="shared" si="0"/>
        <v/>
      </c>
    </row>
    <row r="44" spans="1:12" hidden="1" x14ac:dyDescent="0.3">
      <c r="A44" t="str">
        <f>IF($K44="","",24)</f>
        <v/>
      </c>
      <c r="B44" t="str">
        <f>IF($K44="","",INDEX(Конструктор!$C$2:$C$1212,$K44))</f>
        <v/>
      </c>
      <c r="C44" s="8" t="str">
        <f>IF($K44="","",INDEX(Конструктор!$D$2:$D$1212,$K44)&amp;IF(INDEX(Конструктор!$J$2:$J$1212,$K44)&lt;&gt;""," — "&amp;INDEX(Конструктор!$J$2:$J$1212,$K44),""))</f>
        <v/>
      </c>
      <c r="D44" t="str">
        <f>IF($K44="","",INDEX(Конструктор!$E$2:$E$1212,$K44))</f>
        <v/>
      </c>
      <c r="E44" s="10" t="str">
        <f>IF($K44="","",INDEX(Конструктор!$H$2:$H$1212,$K44))</f>
        <v/>
      </c>
      <c r="F44" s="10" t="str">
        <f>IF($K44="","",INDEX(Конструктор!$L$2:$L$1212,$K44))</f>
        <v/>
      </c>
      <c r="G44" s="10" t="str">
        <f>IF($K44="","",INDEX(Конструктор!$M$2:$M$1212,$K44))</f>
        <v/>
      </c>
      <c r="H44" s="10" t="str">
        <f>IF($K44="","",INDEX(Конструктор!$N$2:$N$1212,$K44))</f>
        <v/>
      </c>
      <c r="I44" s="10" t="str">
        <f>IF($K44="","",INDEX(Конструктор!$O$2:$O$1212,$K44))</f>
        <v/>
      </c>
      <c r="J44" s="10" t="str">
        <f>IF($K44="","",INDEX(Конструктор!$P$2:$P$1212,$K44))</f>
        <v/>
      </c>
      <c r="K44" t="str">
        <f>IFERROR(MATCH(24,Конструктор!$T$2:$T$1212,0),"")</f>
        <v/>
      </c>
      <c r="L44" t="str">
        <f t="shared" si="0"/>
        <v/>
      </c>
    </row>
    <row r="45" spans="1:12" hidden="1" x14ac:dyDescent="0.3">
      <c r="A45" t="str">
        <f>IF($K45="","",25)</f>
        <v/>
      </c>
      <c r="B45" t="str">
        <f>IF($K45="","",INDEX(Конструктор!$C$2:$C$1212,$K45))</f>
        <v/>
      </c>
      <c r="C45" s="8" t="str">
        <f>IF($K45="","",INDEX(Конструктор!$D$2:$D$1212,$K45)&amp;IF(INDEX(Конструктор!$J$2:$J$1212,$K45)&lt;&gt;""," — "&amp;INDEX(Конструктор!$J$2:$J$1212,$K45),""))</f>
        <v/>
      </c>
      <c r="D45" t="str">
        <f>IF($K45="","",INDEX(Конструктор!$E$2:$E$1212,$K45))</f>
        <v/>
      </c>
      <c r="E45" s="10" t="str">
        <f>IF($K45="","",INDEX(Конструктор!$H$2:$H$1212,$K45))</f>
        <v/>
      </c>
      <c r="F45" s="10" t="str">
        <f>IF($K45="","",INDEX(Конструктор!$L$2:$L$1212,$K45))</f>
        <v/>
      </c>
      <c r="G45" s="10" t="str">
        <f>IF($K45="","",INDEX(Конструктор!$M$2:$M$1212,$K45))</f>
        <v/>
      </c>
      <c r="H45" s="10" t="str">
        <f>IF($K45="","",INDEX(Конструктор!$N$2:$N$1212,$K45))</f>
        <v/>
      </c>
      <c r="I45" s="10" t="str">
        <f>IF($K45="","",INDEX(Конструктор!$O$2:$O$1212,$K45))</f>
        <v/>
      </c>
      <c r="J45" s="10" t="str">
        <f>IF($K45="","",INDEX(Конструктор!$P$2:$P$1212,$K45))</f>
        <v/>
      </c>
      <c r="K45" t="str">
        <f>IFERROR(MATCH(25,Конструктор!$T$2:$T$1212,0),"")</f>
        <v/>
      </c>
      <c r="L45" t="str">
        <f t="shared" si="0"/>
        <v/>
      </c>
    </row>
    <row r="46" spans="1:12" hidden="1" x14ac:dyDescent="0.3">
      <c r="A46" t="str">
        <f>IF($K46="","",26)</f>
        <v/>
      </c>
      <c r="B46" t="str">
        <f>IF($K46="","",INDEX(Конструктор!$C$2:$C$1212,$K46))</f>
        <v/>
      </c>
      <c r="C46" s="8" t="str">
        <f>IF($K46="","",INDEX(Конструктор!$D$2:$D$1212,$K46)&amp;IF(INDEX(Конструктор!$J$2:$J$1212,$K46)&lt;&gt;""," — "&amp;INDEX(Конструктор!$J$2:$J$1212,$K46),""))</f>
        <v/>
      </c>
      <c r="D46" t="str">
        <f>IF($K46="","",INDEX(Конструктор!$E$2:$E$1212,$K46))</f>
        <v/>
      </c>
      <c r="E46" s="10" t="str">
        <f>IF($K46="","",INDEX(Конструктор!$H$2:$H$1212,$K46))</f>
        <v/>
      </c>
      <c r="F46" s="10" t="str">
        <f>IF($K46="","",INDEX(Конструктор!$L$2:$L$1212,$K46))</f>
        <v/>
      </c>
      <c r="G46" s="10" t="str">
        <f>IF($K46="","",INDEX(Конструктор!$M$2:$M$1212,$K46))</f>
        <v/>
      </c>
      <c r="H46" s="10" t="str">
        <f>IF($K46="","",INDEX(Конструктор!$N$2:$N$1212,$K46))</f>
        <v/>
      </c>
      <c r="I46" s="10" t="str">
        <f>IF($K46="","",INDEX(Конструктор!$O$2:$O$1212,$K46))</f>
        <v/>
      </c>
      <c r="J46" s="10" t="str">
        <f>IF($K46="","",INDEX(Конструктор!$P$2:$P$1212,$K46))</f>
        <v/>
      </c>
      <c r="K46" t="str">
        <f>IFERROR(MATCH(26,Конструктор!$T$2:$T$1212,0),"")</f>
        <v/>
      </c>
      <c r="L46" t="str">
        <f t="shared" si="0"/>
        <v/>
      </c>
    </row>
    <row r="47" spans="1:12" hidden="1" x14ac:dyDescent="0.3">
      <c r="A47" t="str">
        <f>IF($K47="","",27)</f>
        <v/>
      </c>
      <c r="B47" t="str">
        <f>IF($K47="","",INDEX(Конструктор!$C$2:$C$1212,$K47))</f>
        <v/>
      </c>
      <c r="C47" s="8" t="str">
        <f>IF($K47="","",INDEX(Конструктор!$D$2:$D$1212,$K47)&amp;IF(INDEX(Конструктор!$J$2:$J$1212,$K47)&lt;&gt;""," — "&amp;INDEX(Конструктор!$J$2:$J$1212,$K47),""))</f>
        <v/>
      </c>
      <c r="D47" t="str">
        <f>IF($K47="","",INDEX(Конструктор!$E$2:$E$1212,$K47))</f>
        <v/>
      </c>
      <c r="E47" s="10" t="str">
        <f>IF($K47="","",INDEX(Конструктор!$H$2:$H$1212,$K47))</f>
        <v/>
      </c>
      <c r="F47" s="10" t="str">
        <f>IF($K47="","",INDEX(Конструктор!$L$2:$L$1212,$K47))</f>
        <v/>
      </c>
      <c r="G47" s="10" t="str">
        <f>IF($K47="","",INDEX(Конструктор!$M$2:$M$1212,$K47))</f>
        <v/>
      </c>
      <c r="H47" s="10" t="str">
        <f>IF($K47="","",INDEX(Конструктор!$N$2:$N$1212,$K47))</f>
        <v/>
      </c>
      <c r="I47" s="10" t="str">
        <f>IF($K47="","",INDEX(Конструктор!$O$2:$O$1212,$K47))</f>
        <v/>
      </c>
      <c r="J47" s="10" t="str">
        <f>IF($K47="","",INDEX(Конструктор!$P$2:$P$1212,$K47))</f>
        <v/>
      </c>
      <c r="K47" t="str">
        <f>IFERROR(MATCH(27,Конструктор!$T$2:$T$1212,0),"")</f>
        <v/>
      </c>
      <c r="L47" t="str">
        <f t="shared" si="0"/>
        <v/>
      </c>
    </row>
    <row r="48" spans="1:12" hidden="1" x14ac:dyDescent="0.3">
      <c r="A48" t="str">
        <f>IF($K48="","",28)</f>
        <v/>
      </c>
      <c r="B48" t="str">
        <f>IF($K48="","",INDEX(Конструктор!$C$2:$C$1212,$K48))</f>
        <v/>
      </c>
      <c r="C48" s="8" t="str">
        <f>IF($K48="","",INDEX(Конструктор!$D$2:$D$1212,$K48)&amp;IF(INDEX(Конструктор!$J$2:$J$1212,$K48)&lt;&gt;""," — "&amp;INDEX(Конструктор!$J$2:$J$1212,$K48),""))</f>
        <v/>
      </c>
      <c r="D48" t="str">
        <f>IF($K48="","",INDEX(Конструктор!$E$2:$E$1212,$K48))</f>
        <v/>
      </c>
      <c r="E48" s="10" t="str">
        <f>IF($K48="","",INDEX(Конструктор!$H$2:$H$1212,$K48))</f>
        <v/>
      </c>
      <c r="F48" s="10" t="str">
        <f>IF($K48="","",INDEX(Конструктор!$L$2:$L$1212,$K48))</f>
        <v/>
      </c>
      <c r="G48" s="10" t="str">
        <f>IF($K48="","",INDEX(Конструктор!$M$2:$M$1212,$K48))</f>
        <v/>
      </c>
      <c r="H48" s="10" t="str">
        <f>IF($K48="","",INDEX(Конструктор!$N$2:$N$1212,$K48))</f>
        <v/>
      </c>
      <c r="I48" s="10" t="str">
        <f>IF($K48="","",INDEX(Конструктор!$O$2:$O$1212,$K48))</f>
        <v/>
      </c>
      <c r="J48" s="10" t="str">
        <f>IF($K48="","",INDEX(Конструктор!$P$2:$P$1212,$K48))</f>
        <v/>
      </c>
      <c r="K48" t="str">
        <f>IFERROR(MATCH(28,Конструктор!$T$2:$T$1212,0),"")</f>
        <v/>
      </c>
      <c r="L48" t="str">
        <f t="shared" si="0"/>
        <v/>
      </c>
    </row>
    <row r="49" spans="1:12" hidden="1" x14ac:dyDescent="0.3">
      <c r="A49" t="str">
        <f>IF($K49="","",29)</f>
        <v/>
      </c>
      <c r="B49" t="str">
        <f>IF($K49="","",INDEX(Конструктор!$C$2:$C$1212,$K49))</f>
        <v/>
      </c>
      <c r="C49" s="8" t="str">
        <f>IF($K49="","",INDEX(Конструктор!$D$2:$D$1212,$K49)&amp;IF(INDEX(Конструктор!$J$2:$J$1212,$K49)&lt;&gt;""," — "&amp;INDEX(Конструктор!$J$2:$J$1212,$K49),""))</f>
        <v/>
      </c>
      <c r="D49" t="str">
        <f>IF($K49="","",INDEX(Конструктор!$E$2:$E$1212,$K49))</f>
        <v/>
      </c>
      <c r="E49" s="10" t="str">
        <f>IF($K49="","",INDEX(Конструктор!$H$2:$H$1212,$K49))</f>
        <v/>
      </c>
      <c r="F49" s="10" t="str">
        <f>IF($K49="","",INDEX(Конструктор!$L$2:$L$1212,$K49))</f>
        <v/>
      </c>
      <c r="G49" s="10" t="str">
        <f>IF($K49="","",INDEX(Конструктор!$M$2:$M$1212,$K49))</f>
        <v/>
      </c>
      <c r="H49" s="10" t="str">
        <f>IF($K49="","",INDEX(Конструктор!$N$2:$N$1212,$K49))</f>
        <v/>
      </c>
      <c r="I49" s="10" t="str">
        <f>IF($K49="","",INDEX(Конструктор!$O$2:$O$1212,$K49))</f>
        <v/>
      </c>
      <c r="J49" s="10" t="str">
        <f>IF($K49="","",INDEX(Конструктор!$P$2:$P$1212,$K49))</f>
        <v/>
      </c>
      <c r="K49" t="str">
        <f>IFERROR(MATCH(29,Конструктор!$T$2:$T$1212,0),"")</f>
        <v/>
      </c>
      <c r="L49" t="str">
        <f t="shared" si="0"/>
        <v/>
      </c>
    </row>
    <row r="50" spans="1:12" hidden="1" x14ac:dyDescent="0.3">
      <c r="A50" t="str">
        <f>IF($K50="","",30)</f>
        <v/>
      </c>
      <c r="B50" t="str">
        <f>IF($K50="","",INDEX(Конструктор!$C$2:$C$1212,$K50))</f>
        <v/>
      </c>
      <c r="C50" s="8" t="str">
        <f>IF($K50="","",INDEX(Конструктор!$D$2:$D$1212,$K50)&amp;IF(INDEX(Конструктор!$J$2:$J$1212,$K50)&lt;&gt;""," — "&amp;INDEX(Конструктор!$J$2:$J$1212,$K50),""))</f>
        <v/>
      </c>
      <c r="D50" t="str">
        <f>IF($K50="","",INDEX(Конструктор!$E$2:$E$1212,$K50))</f>
        <v/>
      </c>
      <c r="E50" s="10" t="str">
        <f>IF($K50="","",INDEX(Конструктор!$H$2:$H$1212,$K50))</f>
        <v/>
      </c>
      <c r="F50" s="10" t="str">
        <f>IF($K50="","",INDEX(Конструктор!$L$2:$L$1212,$K50))</f>
        <v/>
      </c>
      <c r="G50" s="10" t="str">
        <f>IF($K50="","",INDEX(Конструктор!$M$2:$M$1212,$K50))</f>
        <v/>
      </c>
      <c r="H50" s="10" t="str">
        <f>IF($K50="","",INDEX(Конструктор!$N$2:$N$1212,$K50))</f>
        <v/>
      </c>
      <c r="I50" s="10" t="str">
        <f>IF($K50="","",INDEX(Конструктор!$O$2:$O$1212,$K50))</f>
        <v/>
      </c>
      <c r="J50" s="10" t="str">
        <f>IF($K50="","",INDEX(Конструктор!$P$2:$P$1212,$K50))</f>
        <v/>
      </c>
      <c r="K50" t="str">
        <f>IFERROR(MATCH(30,Конструктор!$T$2:$T$1212,0),"")</f>
        <v/>
      </c>
      <c r="L50" t="str">
        <f t="shared" si="0"/>
        <v/>
      </c>
    </row>
    <row r="51" spans="1:12" hidden="1" x14ac:dyDescent="0.3">
      <c r="A51" t="str">
        <f>IF($K51="","",31)</f>
        <v/>
      </c>
      <c r="B51" t="str">
        <f>IF($K51="","",INDEX(Конструктор!$C$2:$C$1212,$K51))</f>
        <v/>
      </c>
      <c r="C51" s="8" t="str">
        <f>IF($K51="","",INDEX(Конструктор!$D$2:$D$1212,$K51)&amp;IF(INDEX(Конструктор!$J$2:$J$1212,$K51)&lt;&gt;""," — "&amp;INDEX(Конструктор!$J$2:$J$1212,$K51),""))</f>
        <v/>
      </c>
      <c r="D51" t="str">
        <f>IF($K51="","",INDEX(Конструктор!$E$2:$E$1212,$K51))</f>
        <v/>
      </c>
      <c r="E51" s="10" t="str">
        <f>IF($K51="","",INDEX(Конструктор!$H$2:$H$1212,$K51))</f>
        <v/>
      </c>
      <c r="F51" s="10" t="str">
        <f>IF($K51="","",INDEX(Конструктор!$L$2:$L$1212,$K51))</f>
        <v/>
      </c>
      <c r="G51" s="10" t="str">
        <f>IF($K51="","",INDEX(Конструктор!$M$2:$M$1212,$K51))</f>
        <v/>
      </c>
      <c r="H51" s="10" t="str">
        <f>IF($K51="","",INDEX(Конструктор!$N$2:$N$1212,$K51))</f>
        <v/>
      </c>
      <c r="I51" s="10" t="str">
        <f>IF($K51="","",INDEX(Конструктор!$O$2:$O$1212,$K51))</f>
        <v/>
      </c>
      <c r="J51" s="10" t="str">
        <f>IF($K51="","",INDEX(Конструктор!$P$2:$P$1212,$K51))</f>
        <v/>
      </c>
      <c r="K51" t="str">
        <f>IFERROR(MATCH(31,Конструктор!$T$2:$T$1212,0),"")</f>
        <v/>
      </c>
      <c r="L51" t="str">
        <f t="shared" si="0"/>
        <v/>
      </c>
    </row>
    <row r="52" spans="1:12" hidden="1" x14ac:dyDescent="0.3">
      <c r="A52" t="str">
        <f>IF($K52="","",32)</f>
        <v/>
      </c>
      <c r="B52" t="str">
        <f>IF($K52="","",INDEX(Конструктор!$C$2:$C$1212,$K52))</f>
        <v/>
      </c>
      <c r="C52" s="8" t="str">
        <f>IF($K52="","",INDEX(Конструктор!$D$2:$D$1212,$K52)&amp;IF(INDEX(Конструктор!$J$2:$J$1212,$K52)&lt;&gt;""," — "&amp;INDEX(Конструктор!$J$2:$J$1212,$K52),""))</f>
        <v/>
      </c>
      <c r="D52" t="str">
        <f>IF($K52="","",INDEX(Конструктор!$E$2:$E$1212,$K52))</f>
        <v/>
      </c>
      <c r="E52" s="10" t="str">
        <f>IF($K52="","",INDEX(Конструктор!$H$2:$H$1212,$K52))</f>
        <v/>
      </c>
      <c r="F52" s="10" t="str">
        <f>IF($K52="","",INDEX(Конструктор!$L$2:$L$1212,$K52))</f>
        <v/>
      </c>
      <c r="G52" s="10" t="str">
        <f>IF($K52="","",INDEX(Конструктор!$M$2:$M$1212,$K52))</f>
        <v/>
      </c>
      <c r="H52" s="10" t="str">
        <f>IF($K52="","",INDEX(Конструктор!$N$2:$N$1212,$K52))</f>
        <v/>
      </c>
      <c r="I52" s="10" t="str">
        <f>IF($K52="","",INDEX(Конструктор!$O$2:$O$1212,$K52))</f>
        <v/>
      </c>
      <c r="J52" s="10" t="str">
        <f>IF($K52="","",INDEX(Конструктор!$P$2:$P$1212,$K52))</f>
        <v/>
      </c>
      <c r="K52" t="str">
        <f>IFERROR(MATCH(32,Конструктор!$T$2:$T$1212,0),"")</f>
        <v/>
      </c>
      <c r="L52" t="str">
        <f t="shared" si="0"/>
        <v/>
      </c>
    </row>
    <row r="53" spans="1:12" hidden="1" x14ac:dyDescent="0.3">
      <c r="A53" t="str">
        <f>IF($K53="","",33)</f>
        <v/>
      </c>
      <c r="B53" t="str">
        <f>IF($K53="","",INDEX(Конструктор!$C$2:$C$1212,$K53))</f>
        <v/>
      </c>
      <c r="C53" s="8" t="str">
        <f>IF($K53="","",INDEX(Конструктор!$D$2:$D$1212,$K53)&amp;IF(INDEX(Конструктор!$J$2:$J$1212,$K53)&lt;&gt;""," — "&amp;INDEX(Конструктор!$J$2:$J$1212,$K53),""))</f>
        <v/>
      </c>
      <c r="D53" t="str">
        <f>IF($K53="","",INDEX(Конструктор!$E$2:$E$1212,$K53))</f>
        <v/>
      </c>
      <c r="E53" s="10" t="str">
        <f>IF($K53="","",INDEX(Конструктор!$H$2:$H$1212,$K53))</f>
        <v/>
      </c>
      <c r="F53" s="10" t="str">
        <f>IF($K53="","",INDEX(Конструктор!$L$2:$L$1212,$K53))</f>
        <v/>
      </c>
      <c r="G53" s="10" t="str">
        <f>IF($K53="","",INDEX(Конструктор!$M$2:$M$1212,$K53))</f>
        <v/>
      </c>
      <c r="H53" s="10" t="str">
        <f>IF($K53="","",INDEX(Конструктор!$N$2:$N$1212,$K53))</f>
        <v/>
      </c>
      <c r="I53" s="10" t="str">
        <f>IF($K53="","",INDEX(Конструктор!$O$2:$O$1212,$K53))</f>
        <v/>
      </c>
      <c r="J53" s="10" t="str">
        <f>IF($K53="","",INDEX(Конструктор!$P$2:$P$1212,$K53))</f>
        <v/>
      </c>
      <c r="K53" t="str">
        <f>IFERROR(MATCH(33,Конструктор!$T$2:$T$1212,0),"")</f>
        <v/>
      </c>
      <c r="L53" t="str">
        <f t="shared" si="0"/>
        <v/>
      </c>
    </row>
    <row r="54" spans="1:12" hidden="1" x14ac:dyDescent="0.3">
      <c r="A54" t="str">
        <f>IF($K54="","",34)</f>
        <v/>
      </c>
      <c r="B54" t="str">
        <f>IF($K54="","",INDEX(Конструктор!$C$2:$C$1212,$K54))</f>
        <v/>
      </c>
      <c r="C54" s="8" t="str">
        <f>IF($K54="","",INDEX(Конструктор!$D$2:$D$1212,$K54)&amp;IF(INDEX(Конструктор!$J$2:$J$1212,$K54)&lt;&gt;""," — "&amp;INDEX(Конструктор!$J$2:$J$1212,$K54),""))</f>
        <v/>
      </c>
      <c r="D54" t="str">
        <f>IF($K54="","",INDEX(Конструктор!$E$2:$E$1212,$K54))</f>
        <v/>
      </c>
      <c r="E54" s="10" t="str">
        <f>IF($K54="","",INDEX(Конструктор!$H$2:$H$1212,$K54))</f>
        <v/>
      </c>
      <c r="F54" s="10" t="str">
        <f>IF($K54="","",INDEX(Конструктор!$L$2:$L$1212,$K54))</f>
        <v/>
      </c>
      <c r="G54" s="10" t="str">
        <f>IF($K54="","",INDEX(Конструктор!$M$2:$M$1212,$K54))</f>
        <v/>
      </c>
      <c r="H54" s="10" t="str">
        <f>IF($K54="","",INDEX(Конструктор!$N$2:$N$1212,$K54))</f>
        <v/>
      </c>
      <c r="I54" s="10" t="str">
        <f>IF($K54="","",INDEX(Конструктор!$O$2:$O$1212,$K54))</f>
        <v/>
      </c>
      <c r="J54" s="10" t="str">
        <f>IF($K54="","",INDEX(Конструктор!$P$2:$P$1212,$K54))</f>
        <v/>
      </c>
      <c r="K54" t="str">
        <f>IFERROR(MATCH(34,Конструктор!$T$2:$T$1212,0),"")</f>
        <v/>
      </c>
      <c r="L54" t="str">
        <f t="shared" si="0"/>
        <v/>
      </c>
    </row>
    <row r="55" spans="1:12" hidden="1" x14ac:dyDescent="0.3">
      <c r="A55" t="str">
        <f>IF($K55="","",35)</f>
        <v/>
      </c>
      <c r="B55" t="str">
        <f>IF($K55="","",INDEX(Конструктор!$C$2:$C$1212,$K55))</f>
        <v/>
      </c>
      <c r="C55" s="8" t="str">
        <f>IF($K55="","",INDEX(Конструктор!$D$2:$D$1212,$K55)&amp;IF(INDEX(Конструктор!$J$2:$J$1212,$K55)&lt;&gt;""," — "&amp;INDEX(Конструктор!$J$2:$J$1212,$K55),""))</f>
        <v/>
      </c>
      <c r="D55" t="str">
        <f>IF($K55="","",INDEX(Конструктор!$E$2:$E$1212,$K55))</f>
        <v/>
      </c>
      <c r="E55" s="10" t="str">
        <f>IF($K55="","",INDEX(Конструктор!$H$2:$H$1212,$K55))</f>
        <v/>
      </c>
      <c r="F55" s="10" t="str">
        <f>IF($K55="","",INDEX(Конструктор!$L$2:$L$1212,$K55))</f>
        <v/>
      </c>
      <c r="G55" s="10" t="str">
        <f>IF($K55="","",INDEX(Конструктор!$M$2:$M$1212,$K55))</f>
        <v/>
      </c>
      <c r="H55" s="10" t="str">
        <f>IF($K55="","",INDEX(Конструктор!$N$2:$N$1212,$K55))</f>
        <v/>
      </c>
      <c r="I55" s="10" t="str">
        <f>IF($K55="","",INDEX(Конструктор!$O$2:$O$1212,$K55))</f>
        <v/>
      </c>
      <c r="J55" s="10" t="str">
        <f>IF($K55="","",INDEX(Конструктор!$P$2:$P$1212,$K55))</f>
        <v/>
      </c>
      <c r="K55" t="str">
        <f>IFERROR(MATCH(35,Конструктор!$T$2:$T$1212,0),"")</f>
        <v/>
      </c>
      <c r="L55" t="str">
        <f t="shared" si="0"/>
        <v/>
      </c>
    </row>
    <row r="56" spans="1:12" hidden="1" x14ac:dyDescent="0.3">
      <c r="A56" t="str">
        <f>IF($K56="","",36)</f>
        <v/>
      </c>
      <c r="B56" t="str">
        <f>IF($K56="","",INDEX(Конструктор!$C$2:$C$1212,$K56))</f>
        <v/>
      </c>
      <c r="C56" s="8" t="str">
        <f>IF($K56="","",INDEX(Конструктор!$D$2:$D$1212,$K56)&amp;IF(INDEX(Конструктор!$J$2:$J$1212,$K56)&lt;&gt;""," — "&amp;INDEX(Конструктор!$J$2:$J$1212,$K56),""))</f>
        <v/>
      </c>
      <c r="D56" t="str">
        <f>IF($K56="","",INDEX(Конструктор!$E$2:$E$1212,$K56))</f>
        <v/>
      </c>
      <c r="E56" s="10" t="str">
        <f>IF($K56="","",INDEX(Конструктор!$H$2:$H$1212,$K56))</f>
        <v/>
      </c>
      <c r="F56" s="10" t="str">
        <f>IF($K56="","",INDEX(Конструктор!$L$2:$L$1212,$K56))</f>
        <v/>
      </c>
      <c r="G56" s="10" t="str">
        <f>IF($K56="","",INDEX(Конструктор!$M$2:$M$1212,$K56))</f>
        <v/>
      </c>
      <c r="H56" s="10" t="str">
        <f>IF($K56="","",INDEX(Конструктор!$N$2:$N$1212,$K56))</f>
        <v/>
      </c>
      <c r="I56" s="10" t="str">
        <f>IF($K56="","",INDEX(Конструктор!$O$2:$O$1212,$K56))</f>
        <v/>
      </c>
      <c r="J56" s="10" t="str">
        <f>IF($K56="","",INDEX(Конструктор!$P$2:$P$1212,$K56))</f>
        <v/>
      </c>
      <c r="K56" t="str">
        <f>IFERROR(MATCH(36,Конструктор!$T$2:$T$1212,0),"")</f>
        <v/>
      </c>
      <c r="L56" t="str">
        <f t="shared" si="0"/>
        <v/>
      </c>
    </row>
    <row r="57" spans="1:12" hidden="1" x14ac:dyDescent="0.3">
      <c r="A57" t="str">
        <f>IF($K57="","",37)</f>
        <v/>
      </c>
      <c r="B57" t="str">
        <f>IF($K57="","",INDEX(Конструктор!$C$2:$C$1212,$K57))</f>
        <v/>
      </c>
      <c r="C57" s="8" t="str">
        <f>IF($K57="","",INDEX(Конструктор!$D$2:$D$1212,$K57)&amp;IF(INDEX(Конструктор!$J$2:$J$1212,$K57)&lt;&gt;""," — "&amp;INDEX(Конструктор!$J$2:$J$1212,$K57),""))</f>
        <v/>
      </c>
      <c r="D57" t="str">
        <f>IF($K57="","",INDEX(Конструктор!$E$2:$E$1212,$K57))</f>
        <v/>
      </c>
      <c r="E57" s="10" t="str">
        <f>IF($K57="","",INDEX(Конструктор!$H$2:$H$1212,$K57))</f>
        <v/>
      </c>
      <c r="F57" s="10" t="str">
        <f>IF($K57="","",INDEX(Конструктор!$L$2:$L$1212,$K57))</f>
        <v/>
      </c>
      <c r="G57" s="10" t="str">
        <f>IF($K57="","",INDEX(Конструктор!$M$2:$M$1212,$K57))</f>
        <v/>
      </c>
      <c r="H57" s="10" t="str">
        <f>IF($K57="","",INDEX(Конструктор!$N$2:$N$1212,$K57))</f>
        <v/>
      </c>
      <c r="I57" s="10" t="str">
        <f>IF($K57="","",INDEX(Конструктор!$O$2:$O$1212,$K57))</f>
        <v/>
      </c>
      <c r="J57" s="10" t="str">
        <f>IF($K57="","",INDEX(Конструктор!$P$2:$P$1212,$K57))</f>
        <v/>
      </c>
      <c r="K57" t="str">
        <f>IFERROR(MATCH(37,Конструктор!$T$2:$T$1212,0),"")</f>
        <v/>
      </c>
      <c r="L57" t="str">
        <f t="shared" si="0"/>
        <v/>
      </c>
    </row>
    <row r="58" spans="1:12" hidden="1" x14ac:dyDescent="0.3">
      <c r="A58" t="str">
        <f>IF($K58="","",38)</f>
        <v/>
      </c>
      <c r="B58" t="str">
        <f>IF($K58="","",INDEX(Конструктор!$C$2:$C$1212,$K58))</f>
        <v/>
      </c>
      <c r="C58" s="8" t="str">
        <f>IF($K58="","",INDEX(Конструктор!$D$2:$D$1212,$K58)&amp;IF(INDEX(Конструктор!$J$2:$J$1212,$K58)&lt;&gt;""," — "&amp;INDEX(Конструктор!$J$2:$J$1212,$K58),""))</f>
        <v/>
      </c>
      <c r="D58" t="str">
        <f>IF($K58="","",INDEX(Конструктор!$E$2:$E$1212,$K58))</f>
        <v/>
      </c>
      <c r="E58" s="10" t="str">
        <f>IF($K58="","",INDEX(Конструктор!$H$2:$H$1212,$K58))</f>
        <v/>
      </c>
      <c r="F58" s="10" t="str">
        <f>IF($K58="","",INDEX(Конструктор!$L$2:$L$1212,$K58))</f>
        <v/>
      </c>
      <c r="G58" s="10" t="str">
        <f>IF($K58="","",INDEX(Конструктор!$M$2:$M$1212,$K58))</f>
        <v/>
      </c>
      <c r="H58" s="10" t="str">
        <f>IF($K58="","",INDEX(Конструктор!$N$2:$N$1212,$K58))</f>
        <v/>
      </c>
      <c r="I58" s="10" t="str">
        <f>IF($K58="","",INDEX(Конструктор!$O$2:$O$1212,$K58))</f>
        <v/>
      </c>
      <c r="J58" s="10" t="str">
        <f>IF($K58="","",INDEX(Конструктор!$P$2:$P$1212,$K58))</f>
        <v/>
      </c>
      <c r="K58" t="str">
        <f>IFERROR(MATCH(38,Конструктор!$T$2:$T$1212,0),"")</f>
        <v/>
      </c>
      <c r="L58" t="str">
        <f t="shared" si="0"/>
        <v/>
      </c>
    </row>
    <row r="59" spans="1:12" hidden="1" x14ac:dyDescent="0.3">
      <c r="A59" t="str">
        <f>IF($K59="","",39)</f>
        <v/>
      </c>
      <c r="B59" t="str">
        <f>IF($K59="","",INDEX(Конструктор!$C$2:$C$1212,$K59))</f>
        <v/>
      </c>
      <c r="C59" s="8" t="str">
        <f>IF($K59="","",INDEX(Конструктор!$D$2:$D$1212,$K59)&amp;IF(INDEX(Конструктор!$J$2:$J$1212,$K59)&lt;&gt;""," — "&amp;INDEX(Конструктор!$J$2:$J$1212,$K59),""))</f>
        <v/>
      </c>
      <c r="D59" t="str">
        <f>IF($K59="","",INDEX(Конструктор!$E$2:$E$1212,$K59))</f>
        <v/>
      </c>
      <c r="E59" s="10" t="str">
        <f>IF($K59="","",INDEX(Конструктор!$H$2:$H$1212,$K59))</f>
        <v/>
      </c>
      <c r="F59" s="10" t="str">
        <f>IF($K59="","",INDEX(Конструктор!$L$2:$L$1212,$K59))</f>
        <v/>
      </c>
      <c r="G59" s="10" t="str">
        <f>IF($K59="","",INDEX(Конструктор!$M$2:$M$1212,$K59))</f>
        <v/>
      </c>
      <c r="H59" s="10" t="str">
        <f>IF($K59="","",INDEX(Конструктор!$N$2:$N$1212,$K59))</f>
        <v/>
      </c>
      <c r="I59" s="10" t="str">
        <f>IF($K59="","",INDEX(Конструктор!$O$2:$O$1212,$K59))</f>
        <v/>
      </c>
      <c r="J59" s="10" t="str">
        <f>IF($K59="","",INDEX(Конструктор!$P$2:$P$1212,$K59))</f>
        <v/>
      </c>
      <c r="K59" t="str">
        <f>IFERROR(MATCH(39,Конструктор!$T$2:$T$1212,0),"")</f>
        <v/>
      </c>
      <c r="L59" t="str">
        <f t="shared" si="0"/>
        <v/>
      </c>
    </row>
    <row r="60" spans="1:12" hidden="1" x14ac:dyDescent="0.3">
      <c r="A60" t="str">
        <f>IF($K60="","",40)</f>
        <v/>
      </c>
      <c r="B60" t="str">
        <f>IF($K60="","",INDEX(Конструктор!$C$2:$C$1212,$K60))</f>
        <v/>
      </c>
      <c r="C60" s="8" t="str">
        <f>IF($K60="","",INDEX(Конструктор!$D$2:$D$1212,$K60)&amp;IF(INDEX(Конструктор!$J$2:$J$1212,$K60)&lt;&gt;""," — "&amp;INDEX(Конструктор!$J$2:$J$1212,$K60),""))</f>
        <v/>
      </c>
      <c r="D60" t="str">
        <f>IF($K60="","",INDEX(Конструктор!$E$2:$E$1212,$K60))</f>
        <v/>
      </c>
      <c r="E60" s="10" t="str">
        <f>IF($K60="","",INDEX(Конструктор!$H$2:$H$1212,$K60))</f>
        <v/>
      </c>
      <c r="F60" s="10" t="str">
        <f>IF($K60="","",INDEX(Конструктор!$L$2:$L$1212,$K60))</f>
        <v/>
      </c>
      <c r="G60" s="10" t="str">
        <f>IF($K60="","",INDEX(Конструктор!$M$2:$M$1212,$K60))</f>
        <v/>
      </c>
      <c r="H60" s="10" t="str">
        <f>IF($K60="","",INDEX(Конструктор!$N$2:$N$1212,$K60))</f>
        <v/>
      </c>
      <c r="I60" s="10" t="str">
        <f>IF($K60="","",INDEX(Конструктор!$O$2:$O$1212,$K60))</f>
        <v/>
      </c>
      <c r="J60" s="10" t="str">
        <f>IF($K60="","",INDEX(Конструктор!$P$2:$P$1212,$K60))</f>
        <v/>
      </c>
      <c r="K60" t="str">
        <f>IFERROR(MATCH(40,Конструктор!$T$2:$T$1212,0),"")</f>
        <v/>
      </c>
      <c r="L60" t="str">
        <f t="shared" si="0"/>
        <v/>
      </c>
    </row>
    <row r="61" spans="1:12" hidden="1" x14ac:dyDescent="0.3">
      <c r="A61" t="str">
        <f>IF($K61="","",41)</f>
        <v/>
      </c>
      <c r="B61" t="str">
        <f>IF($K61="","",INDEX(Конструктор!$C$2:$C$1212,$K61))</f>
        <v/>
      </c>
      <c r="C61" s="8" t="str">
        <f>IF($K61="","",INDEX(Конструктор!$D$2:$D$1212,$K61)&amp;IF(INDEX(Конструктор!$J$2:$J$1212,$K61)&lt;&gt;""," — "&amp;INDEX(Конструктор!$J$2:$J$1212,$K61),""))</f>
        <v/>
      </c>
      <c r="D61" t="str">
        <f>IF($K61="","",INDEX(Конструктор!$E$2:$E$1212,$K61))</f>
        <v/>
      </c>
      <c r="E61" s="10" t="str">
        <f>IF($K61="","",INDEX(Конструктор!$H$2:$H$1212,$K61))</f>
        <v/>
      </c>
      <c r="F61" s="10" t="str">
        <f>IF($K61="","",INDEX(Конструктор!$L$2:$L$1212,$K61))</f>
        <v/>
      </c>
      <c r="G61" s="10" t="str">
        <f>IF($K61="","",INDEX(Конструктор!$M$2:$M$1212,$K61))</f>
        <v/>
      </c>
      <c r="H61" s="10" t="str">
        <f>IF($K61="","",INDEX(Конструктор!$N$2:$N$1212,$K61))</f>
        <v/>
      </c>
      <c r="I61" s="10" t="str">
        <f>IF($K61="","",INDEX(Конструктор!$O$2:$O$1212,$K61))</f>
        <v/>
      </c>
      <c r="J61" s="10" t="str">
        <f>IF($K61="","",INDEX(Конструктор!$P$2:$P$1212,$K61))</f>
        <v/>
      </c>
      <c r="K61" t="str">
        <f>IFERROR(MATCH(41,Конструктор!$T$2:$T$1212,0),"")</f>
        <v/>
      </c>
      <c r="L61" t="str">
        <f t="shared" si="0"/>
        <v/>
      </c>
    </row>
    <row r="62" spans="1:12" hidden="1" x14ac:dyDescent="0.3">
      <c r="A62" t="str">
        <f>IF($K62="","",42)</f>
        <v/>
      </c>
      <c r="B62" t="str">
        <f>IF($K62="","",INDEX(Конструктор!$C$2:$C$1212,$K62))</f>
        <v/>
      </c>
      <c r="C62" s="8" t="str">
        <f>IF($K62="","",INDEX(Конструктор!$D$2:$D$1212,$K62)&amp;IF(INDEX(Конструктор!$J$2:$J$1212,$K62)&lt;&gt;""," — "&amp;INDEX(Конструктор!$J$2:$J$1212,$K62),""))</f>
        <v/>
      </c>
      <c r="D62" t="str">
        <f>IF($K62="","",INDEX(Конструктор!$E$2:$E$1212,$K62))</f>
        <v/>
      </c>
      <c r="E62" s="10" t="str">
        <f>IF($K62="","",INDEX(Конструктор!$H$2:$H$1212,$K62))</f>
        <v/>
      </c>
      <c r="F62" s="10" t="str">
        <f>IF($K62="","",INDEX(Конструктор!$L$2:$L$1212,$K62))</f>
        <v/>
      </c>
      <c r="G62" s="10" t="str">
        <f>IF($K62="","",INDEX(Конструктор!$M$2:$M$1212,$K62))</f>
        <v/>
      </c>
      <c r="H62" s="10" t="str">
        <f>IF($K62="","",INDEX(Конструктор!$N$2:$N$1212,$K62))</f>
        <v/>
      </c>
      <c r="I62" s="10" t="str">
        <f>IF($K62="","",INDEX(Конструктор!$O$2:$O$1212,$K62))</f>
        <v/>
      </c>
      <c r="J62" s="10" t="str">
        <f>IF($K62="","",INDEX(Конструктор!$P$2:$P$1212,$K62))</f>
        <v/>
      </c>
      <c r="K62" t="str">
        <f>IFERROR(MATCH(42,Конструктор!$T$2:$T$1212,0),"")</f>
        <v/>
      </c>
      <c r="L62" t="str">
        <f t="shared" si="0"/>
        <v/>
      </c>
    </row>
    <row r="63" spans="1:12" hidden="1" x14ac:dyDescent="0.3">
      <c r="A63" t="str">
        <f>IF($K63="","",43)</f>
        <v/>
      </c>
      <c r="B63" t="str">
        <f>IF($K63="","",INDEX(Конструктор!$C$2:$C$1212,$K63))</f>
        <v/>
      </c>
      <c r="C63" s="8" t="str">
        <f>IF($K63="","",INDEX(Конструктор!$D$2:$D$1212,$K63)&amp;IF(INDEX(Конструктор!$J$2:$J$1212,$K63)&lt;&gt;""," — "&amp;INDEX(Конструктор!$J$2:$J$1212,$K63),""))</f>
        <v/>
      </c>
      <c r="D63" t="str">
        <f>IF($K63="","",INDEX(Конструктор!$E$2:$E$1212,$K63))</f>
        <v/>
      </c>
      <c r="E63" s="10" t="str">
        <f>IF($K63="","",INDEX(Конструктор!$H$2:$H$1212,$K63))</f>
        <v/>
      </c>
      <c r="F63" s="10" t="str">
        <f>IF($K63="","",INDEX(Конструктор!$L$2:$L$1212,$K63))</f>
        <v/>
      </c>
      <c r="G63" s="10" t="str">
        <f>IF($K63="","",INDEX(Конструктор!$M$2:$M$1212,$K63))</f>
        <v/>
      </c>
      <c r="H63" s="10" t="str">
        <f>IF($K63="","",INDEX(Конструктор!$N$2:$N$1212,$K63))</f>
        <v/>
      </c>
      <c r="I63" s="10" t="str">
        <f>IF($K63="","",INDEX(Конструктор!$O$2:$O$1212,$K63))</f>
        <v/>
      </c>
      <c r="J63" s="10" t="str">
        <f>IF($K63="","",INDEX(Конструктор!$P$2:$P$1212,$K63))</f>
        <v/>
      </c>
      <c r="K63" t="str">
        <f>IFERROR(MATCH(43,Конструктор!$T$2:$T$1212,0),"")</f>
        <v/>
      </c>
      <c r="L63" t="str">
        <f t="shared" si="0"/>
        <v/>
      </c>
    </row>
    <row r="64" spans="1:12" hidden="1" x14ac:dyDescent="0.3">
      <c r="A64" t="str">
        <f>IF($K64="","",44)</f>
        <v/>
      </c>
      <c r="B64" t="str">
        <f>IF($K64="","",INDEX(Конструктор!$C$2:$C$1212,$K64))</f>
        <v/>
      </c>
      <c r="C64" s="8" t="str">
        <f>IF($K64="","",INDEX(Конструктор!$D$2:$D$1212,$K64)&amp;IF(INDEX(Конструктор!$J$2:$J$1212,$K64)&lt;&gt;""," — "&amp;INDEX(Конструктор!$J$2:$J$1212,$K64),""))</f>
        <v/>
      </c>
      <c r="D64" t="str">
        <f>IF($K64="","",INDEX(Конструктор!$E$2:$E$1212,$K64))</f>
        <v/>
      </c>
      <c r="E64" s="10" t="str">
        <f>IF($K64="","",INDEX(Конструктор!$H$2:$H$1212,$K64))</f>
        <v/>
      </c>
      <c r="F64" s="10" t="str">
        <f>IF($K64="","",INDEX(Конструктор!$L$2:$L$1212,$K64))</f>
        <v/>
      </c>
      <c r="G64" s="10" t="str">
        <f>IF($K64="","",INDEX(Конструктор!$M$2:$M$1212,$K64))</f>
        <v/>
      </c>
      <c r="H64" s="10" t="str">
        <f>IF($K64="","",INDEX(Конструктор!$N$2:$N$1212,$K64))</f>
        <v/>
      </c>
      <c r="I64" s="10" t="str">
        <f>IF($K64="","",INDEX(Конструктор!$O$2:$O$1212,$K64))</f>
        <v/>
      </c>
      <c r="J64" s="10" t="str">
        <f>IF($K64="","",INDEX(Конструктор!$P$2:$P$1212,$K64))</f>
        <v/>
      </c>
      <c r="K64" t="str">
        <f>IFERROR(MATCH(44,Конструктор!$T$2:$T$1212,0),"")</f>
        <v/>
      </c>
      <c r="L64" t="str">
        <f t="shared" si="0"/>
        <v/>
      </c>
    </row>
    <row r="65" spans="1:12" hidden="1" x14ac:dyDescent="0.3">
      <c r="A65" t="str">
        <f>IF($K65="","",45)</f>
        <v/>
      </c>
      <c r="B65" t="str">
        <f>IF($K65="","",INDEX(Конструктор!$C$2:$C$1212,$K65))</f>
        <v/>
      </c>
      <c r="C65" s="8" t="str">
        <f>IF($K65="","",INDEX(Конструктор!$D$2:$D$1212,$K65)&amp;IF(INDEX(Конструктор!$J$2:$J$1212,$K65)&lt;&gt;""," — "&amp;INDEX(Конструктор!$J$2:$J$1212,$K65),""))</f>
        <v/>
      </c>
      <c r="D65" t="str">
        <f>IF($K65="","",INDEX(Конструктор!$E$2:$E$1212,$K65))</f>
        <v/>
      </c>
      <c r="E65" s="10" t="str">
        <f>IF($K65="","",INDEX(Конструктор!$H$2:$H$1212,$K65))</f>
        <v/>
      </c>
      <c r="F65" s="10" t="str">
        <f>IF($K65="","",INDEX(Конструктор!$L$2:$L$1212,$K65))</f>
        <v/>
      </c>
      <c r="G65" s="10" t="str">
        <f>IF($K65="","",INDEX(Конструктор!$M$2:$M$1212,$K65))</f>
        <v/>
      </c>
      <c r="H65" s="10" t="str">
        <f>IF($K65="","",INDEX(Конструктор!$N$2:$N$1212,$K65))</f>
        <v/>
      </c>
      <c r="I65" s="10" t="str">
        <f>IF($K65="","",INDEX(Конструктор!$O$2:$O$1212,$K65))</f>
        <v/>
      </c>
      <c r="J65" s="10" t="str">
        <f>IF($K65="","",INDEX(Конструктор!$P$2:$P$1212,$K65))</f>
        <v/>
      </c>
      <c r="K65" t="str">
        <f>IFERROR(MATCH(45,Конструктор!$T$2:$T$1212,0),"")</f>
        <v/>
      </c>
      <c r="L65" t="str">
        <f t="shared" si="0"/>
        <v/>
      </c>
    </row>
    <row r="66" spans="1:12" hidden="1" x14ac:dyDescent="0.3">
      <c r="A66" t="str">
        <f>IF($K66="","",46)</f>
        <v/>
      </c>
      <c r="B66" t="str">
        <f>IF($K66="","",INDEX(Конструктор!$C$2:$C$1212,$K66))</f>
        <v/>
      </c>
      <c r="C66" s="8" t="str">
        <f>IF($K66="","",INDEX(Конструктор!$D$2:$D$1212,$K66)&amp;IF(INDEX(Конструктор!$J$2:$J$1212,$K66)&lt;&gt;""," — "&amp;INDEX(Конструктор!$J$2:$J$1212,$K66),""))</f>
        <v/>
      </c>
      <c r="D66" t="str">
        <f>IF($K66="","",INDEX(Конструктор!$E$2:$E$1212,$K66))</f>
        <v/>
      </c>
      <c r="E66" s="10" t="str">
        <f>IF($K66="","",INDEX(Конструктор!$H$2:$H$1212,$K66))</f>
        <v/>
      </c>
      <c r="F66" s="10" t="str">
        <f>IF($K66="","",INDEX(Конструктор!$L$2:$L$1212,$K66))</f>
        <v/>
      </c>
      <c r="G66" s="10" t="str">
        <f>IF($K66="","",INDEX(Конструктор!$M$2:$M$1212,$K66))</f>
        <v/>
      </c>
      <c r="H66" s="10" t="str">
        <f>IF($K66="","",INDEX(Конструктор!$N$2:$N$1212,$K66))</f>
        <v/>
      </c>
      <c r="I66" s="10" t="str">
        <f>IF($K66="","",INDEX(Конструктор!$O$2:$O$1212,$K66))</f>
        <v/>
      </c>
      <c r="J66" s="10" t="str">
        <f>IF($K66="","",INDEX(Конструктор!$P$2:$P$1212,$K66))</f>
        <v/>
      </c>
      <c r="K66" t="str">
        <f>IFERROR(MATCH(46,Конструктор!$T$2:$T$1212,0),"")</f>
        <v/>
      </c>
      <c r="L66" t="str">
        <f t="shared" si="0"/>
        <v/>
      </c>
    </row>
    <row r="67" spans="1:12" hidden="1" x14ac:dyDescent="0.3">
      <c r="A67" t="str">
        <f>IF($K67="","",47)</f>
        <v/>
      </c>
      <c r="B67" t="str">
        <f>IF($K67="","",INDEX(Конструктор!$C$2:$C$1212,$K67))</f>
        <v/>
      </c>
      <c r="C67" s="8" t="str">
        <f>IF($K67="","",INDEX(Конструктор!$D$2:$D$1212,$K67)&amp;IF(INDEX(Конструктор!$J$2:$J$1212,$K67)&lt;&gt;""," — "&amp;INDEX(Конструктор!$J$2:$J$1212,$K67),""))</f>
        <v/>
      </c>
      <c r="D67" t="str">
        <f>IF($K67="","",INDEX(Конструктор!$E$2:$E$1212,$K67))</f>
        <v/>
      </c>
      <c r="E67" s="10" t="str">
        <f>IF($K67="","",INDEX(Конструктор!$H$2:$H$1212,$K67))</f>
        <v/>
      </c>
      <c r="F67" s="10" t="str">
        <f>IF($K67="","",INDEX(Конструктор!$L$2:$L$1212,$K67))</f>
        <v/>
      </c>
      <c r="G67" s="10" t="str">
        <f>IF($K67="","",INDEX(Конструктор!$M$2:$M$1212,$K67))</f>
        <v/>
      </c>
      <c r="H67" s="10" t="str">
        <f>IF($K67="","",INDEX(Конструктор!$N$2:$N$1212,$K67))</f>
        <v/>
      </c>
      <c r="I67" s="10" t="str">
        <f>IF($K67="","",INDEX(Конструктор!$O$2:$O$1212,$K67))</f>
        <v/>
      </c>
      <c r="J67" s="10" t="str">
        <f>IF($K67="","",INDEX(Конструктор!$P$2:$P$1212,$K67))</f>
        <v/>
      </c>
      <c r="K67" t="str">
        <f>IFERROR(MATCH(47,Конструктор!$T$2:$T$1212,0),"")</f>
        <v/>
      </c>
      <c r="L67" t="str">
        <f t="shared" si="0"/>
        <v/>
      </c>
    </row>
    <row r="68" spans="1:12" hidden="1" x14ac:dyDescent="0.3">
      <c r="A68" t="str">
        <f>IF($K68="","",48)</f>
        <v/>
      </c>
      <c r="B68" t="str">
        <f>IF($K68="","",INDEX(Конструктор!$C$2:$C$1212,$K68))</f>
        <v/>
      </c>
      <c r="C68" s="8" t="str">
        <f>IF($K68="","",INDEX(Конструктор!$D$2:$D$1212,$K68)&amp;IF(INDEX(Конструктор!$J$2:$J$1212,$K68)&lt;&gt;""," — "&amp;INDEX(Конструктор!$J$2:$J$1212,$K68),""))</f>
        <v/>
      </c>
      <c r="D68" t="str">
        <f>IF($K68="","",INDEX(Конструктор!$E$2:$E$1212,$K68))</f>
        <v/>
      </c>
      <c r="E68" s="10" t="str">
        <f>IF($K68="","",INDEX(Конструктор!$H$2:$H$1212,$K68))</f>
        <v/>
      </c>
      <c r="F68" s="10" t="str">
        <f>IF($K68="","",INDEX(Конструктор!$L$2:$L$1212,$K68))</f>
        <v/>
      </c>
      <c r="G68" s="10" t="str">
        <f>IF($K68="","",INDEX(Конструктор!$M$2:$M$1212,$K68))</f>
        <v/>
      </c>
      <c r="H68" s="10" t="str">
        <f>IF($K68="","",INDEX(Конструктор!$N$2:$N$1212,$K68))</f>
        <v/>
      </c>
      <c r="I68" s="10" t="str">
        <f>IF($K68="","",INDEX(Конструктор!$O$2:$O$1212,$K68))</f>
        <v/>
      </c>
      <c r="J68" s="10" t="str">
        <f>IF($K68="","",INDEX(Конструктор!$P$2:$P$1212,$K68))</f>
        <v/>
      </c>
      <c r="K68" t="str">
        <f>IFERROR(MATCH(48,Конструктор!$T$2:$T$1212,0),"")</f>
        <v/>
      </c>
      <c r="L68" t="str">
        <f t="shared" si="0"/>
        <v/>
      </c>
    </row>
    <row r="69" spans="1:12" hidden="1" x14ac:dyDescent="0.3">
      <c r="A69" t="str">
        <f>IF($K69="","",49)</f>
        <v/>
      </c>
      <c r="B69" t="str">
        <f>IF($K69="","",INDEX(Конструктор!$C$2:$C$1212,$K69))</f>
        <v/>
      </c>
      <c r="C69" s="8" t="str">
        <f>IF($K69="","",INDEX(Конструктор!$D$2:$D$1212,$K69)&amp;IF(INDEX(Конструктор!$J$2:$J$1212,$K69)&lt;&gt;""," — "&amp;INDEX(Конструктор!$J$2:$J$1212,$K69),""))</f>
        <v/>
      </c>
      <c r="D69" t="str">
        <f>IF($K69="","",INDEX(Конструктор!$E$2:$E$1212,$K69))</f>
        <v/>
      </c>
      <c r="E69" s="10" t="str">
        <f>IF($K69="","",INDEX(Конструктор!$H$2:$H$1212,$K69))</f>
        <v/>
      </c>
      <c r="F69" s="10" t="str">
        <f>IF($K69="","",INDEX(Конструктор!$L$2:$L$1212,$K69))</f>
        <v/>
      </c>
      <c r="G69" s="10" t="str">
        <f>IF($K69="","",INDEX(Конструктор!$M$2:$M$1212,$K69))</f>
        <v/>
      </c>
      <c r="H69" s="10" t="str">
        <f>IF($K69="","",INDEX(Конструктор!$N$2:$N$1212,$K69))</f>
        <v/>
      </c>
      <c r="I69" s="10" t="str">
        <f>IF($K69="","",INDEX(Конструктор!$O$2:$O$1212,$K69))</f>
        <v/>
      </c>
      <c r="J69" s="10" t="str">
        <f>IF($K69="","",INDEX(Конструктор!$P$2:$P$1212,$K69))</f>
        <v/>
      </c>
      <c r="K69" t="str">
        <f>IFERROR(MATCH(49,Конструктор!$T$2:$T$1212,0),"")</f>
        <v/>
      </c>
      <c r="L69" t="str">
        <f t="shared" si="0"/>
        <v/>
      </c>
    </row>
    <row r="70" spans="1:12" hidden="1" x14ac:dyDescent="0.3">
      <c r="A70" t="str">
        <f>IF($K70="","",50)</f>
        <v/>
      </c>
      <c r="B70" t="str">
        <f>IF($K70="","",INDEX(Конструктор!$C$2:$C$1212,$K70))</f>
        <v/>
      </c>
      <c r="C70" s="8" t="str">
        <f>IF($K70="","",INDEX(Конструктор!$D$2:$D$1212,$K70)&amp;IF(INDEX(Конструктор!$J$2:$J$1212,$K70)&lt;&gt;""," — "&amp;INDEX(Конструктор!$J$2:$J$1212,$K70),""))</f>
        <v/>
      </c>
      <c r="D70" t="str">
        <f>IF($K70="","",INDEX(Конструктор!$E$2:$E$1212,$K70))</f>
        <v/>
      </c>
      <c r="E70" s="10" t="str">
        <f>IF($K70="","",INDEX(Конструктор!$H$2:$H$1212,$K70))</f>
        <v/>
      </c>
      <c r="F70" s="10" t="str">
        <f>IF($K70="","",INDEX(Конструктор!$L$2:$L$1212,$K70))</f>
        <v/>
      </c>
      <c r="G70" s="10" t="str">
        <f>IF($K70="","",INDEX(Конструктор!$M$2:$M$1212,$K70))</f>
        <v/>
      </c>
      <c r="H70" s="10" t="str">
        <f>IF($K70="","",INDEX(Конструктор!$N$2:$N$1212,$K70))</f>
        <v/>
      </c>
      <c r="I70" s="10" t="str">
        <f>IF($K70="","",INDEX(Конструктор!$O$2:$O$1212,$K70))</f>
        <v/>
      </c>
      <c r="J70" s="10" t="str">
        <f>IF($K70="","",INDEX(Конструктор!$P$2:$P$1212,$K70))</f>
        <v/>
      </c>
      <c r="K70" t="str">
        <f>IFERROR(MATCH(50,Конструктор!$T$2:$T$1212,0),"")</f>
        <v/>
      </c>
      <c r="L70" t="str">
        <f t="shared" si="0"/>
        <v/>
      </c>
    </row>
    <row r="71" spans="1:12" hidden="1" x14ac:dyDescent="0.3">
      <c r="A71" t="str">
        <f>IF($K71="","",51)</f>
        <v/>
      </c>
      <c r="B71" t="str">
        <f>IF($K71="","",INDEX(Конструктор!$C$2:$C$1212,$K71))</f>
        <v/>
      </c>
      <c r="C71" s="8" t="str">
        <f>IF($K71="","",INDEX(Конструктор!$D$2:$D$1212,$K71)&amp;IF(INDEX(Конструктор!$J$2:$J$1212,$K71)&lt;&gt;""," — "&amp;INDEX(Конструктор!$J$2:$J$1212,$K71),""))</f>
        <v/>
      </c>
      <c r="D71" t="str">
        <f>IF($K71="","",INDEX(Конструктор!$E$2:$E$1212,$K71))</f>
        <v/>
      </c>
      <c r="E71" s="10" t="str">
        <f>IF($K71="","",INDEX(Конструктор!$H$2:$H$1212,$K71))</f>
        <v/>
      </c>
      <c r="F71" s="10" t="str">
        <f>IF($K71="","",INDEX(Конструктор!$L$2:$L$1212,$K71))</f>
        <v/>
      </c>
      <c r="G71" s="10" t="str">
        <f>IF($K71="","",INDEX(Конструктор!$M$2:$M$1212,$K71))</f>
        <v/>
      </c>
      <c r="H71" s="10" t="str">
        <f>IF($K71="","",INDEX(Конструктор!$N$2:$N$1212,$K71))</f>
        <v/>
      </c>
      <c r="I71" s="10" t="str">
        <f>IF($K71="","",INDEX(Конструктор!$O$2:$O$1212,$K71))</f>
        <v/>
      </c>
      <c r="J71" s="10" t="str">
        <f>IF($K71="","",INDEX(Конструктор!$P$2:$P$1212,$K71))</f>
        <v/>
      </c>
      <c r="K71" t="str">
        <f>IFERROR(MATCH(51,Конструктор!$T$2:$T$1212,0),"")</f>
        <v/>
      </c>
      <c r="L71" t="str">
        <f t="shared" si="0"/>
        <v/>
      </c>
    </row>
    <row r="72" spans="1:12" hidden="1" x14ac:dyDescent="0.3">
      <c r="A72" t="str">
        <f>IF($K72="","",52)</f>
        <v/>
      </c>
      <c r="B72" t="str">
        <f>IF($K72="","",INDEX(Конструктор!$C$2:$C$1212,$K72))</f>
        <v/>
      </c>
      <c r="C72" s="8" t="str">
        <f>IF($K72="","",INDEX(Конструктор!$D$2:$D$1212,$K72)&amp;IF(INDEX(Конструктор!$J$2:$J$1212,$K72)&lt;&gt;""," — "&amp;INDEX(Конструктор!$J$2:$J$1212,$K72),""))</f>
        <v/>
      </c>
      <c r="D72" t="str">
        <f>IF($K72="","",INDEX(Конструктор!$E$2:$E$1212,$K72))</f>
        <v/>
      </c>
      <c r="E72" s="10" t="str">
        <f>IF($K72="","",INDEX(Конструктор!$H$2:$H$1212,$K72))</f>
        <v/>
      </c>
      <c r="F72" s="10" t="str">
        <f>IF($K72="","",INDEX(Конструктор!$L$2:$L$1212,$K72))</f>
        <v/>
      </c>
      <c r="G72" s="10" t="str">
        <f>IF($K72="","",INDEX(Конструктор!$M$2:$M$1212,$K72))</f>
        <v/>
      </c>
      <c r="H72" s="10" t="str">
        <f>IF($K72="","",INDEX(Конструктор!$N$2:$N$1212,$K72))</f>
        <v/>
      </c>
      <c r="I72" s="10" t="str">
        <f>IF($K72="","",INDEX(Конструктор!$O$2:$O$1212,$K72))</f>
        <v/>
      </c>
      <c r="J72" s="10" t="str">
        <f>IF($K72="","",INDEX(Конструктор!$P$2:$P$1212,$K72))</f>
        <v/>
      </c>
      <c r="K72" t="str">
        <f>IFERROR(MATCH(52,Конструктор!$T$2:$T$1212,0),"")</f>
        <v/>
      </c>
      <c r="L72" t="str">
        <f t="shared" si="0"/>
        <v/>
      </c>
    </row>
    <row r="73" spans="1:12" hidden="1" x14ac:dyDescent="0.3">
      <c r="A73" t="str">
        <f>IF($K73="","",53)</f>
        <v/>
      </c>
      <c r="B73" t="str">
        <f>IF($K73="","",INDEX(Конструктор!$C$2:$C$1212,$K73))</f>
        <v/>
      </c>
      <c r="C73" s="8" t="str">
        <f>IF($K73="","",INDEX(Конструктор!$D$2:$D$1212,$K73)&amp;IF(INDEX(Конструктор!$J$2:$J$1212,$K73)&lt;&gt;""," — "&amp;INDEX(Конструктор!$J$2:$J$1212,$K73),""))</f>
        <v/>
      </c>
      <c r="D73" t="str">
        <f>IF($K73="","",INDEX(Конструктор!$E$2:$E$1212,$K73))</f>
        <v/>
      </c>
      <c r="E73" s="10" t="str">
        <f>IF($K73="","",INDEX(Конструктор!$H$2:$H$1212,$K73))</f>
        <v/>
      </c>
      <c r="F73" s="10" t="str">
        <f>IF($K73="","",INDEX(Конструктор!$L$2:$L$1212,$K73))</f>
        <v/>
      </c>
      <c r="G73" s="10" t="str">
        <f>IF($K73="","",INDEX(Конструктор!$M$2:$M$1212,$K73))</f>
        <v/>
      </c>
      <c r="H73" s="10" t="str">
        <f>IF($K73="","",INDEX(Конструктор!$N$2:$N$1212,$K73))</f>
        <v/>
      </c>
      <c r="I73" s="10" t="str">
        <f>IF($K73="","",INDEX(Конструктор!$O$2:$O$1212,$K73))</f>
        <v/>
      </c>
      <c r="J73" s="10" t="str">
        <f>IF($K73="","",INDEX(Конструктор!$P$2:$P$1212,$K73))</f>
        <v/>
      </c>
      <c r="K73" t="str">
        <f>IFERROR(MATCH(53,Конструктор!$T$2:$T$1212,0),"")</f>
        <v/>
      </c>
      <c r="L73" t="str">
        <f t="shared" si="0"/>
        <v/>
      </c>
    </row>
    <row r="74" spans="1:12" hidden="1" x14ac:dyDescent="0.3">
      <c r="A74" t="str">
        <f>IF($K74="","",54)</f>
        <v/>
      </c>
      <c r="B74" t="str">
        <f>IF($K74="","",INDEX(Конструктор!$C$2:$C$1212,$K74))</f>
        <v/>
      </c>
      <c r="C74" s="8" t="str">
        <f>IF($K74="","",INDEX(Конструктор!$D$2:$D$1212,$K74)&amp;IF(INDEX(Конструктор!$J$2:$J$1212,$K74)&lt;&gt;""," — "&amp;INDEX(Конструктор!$J$2:$J$1212,$K74),""))</f>
        <v/>
      </c>
      <c r="D74" t="str">
        <f>IF($K74="","",INDEX(Конструктор!$E$2:$E$1212,$K74))</f>
        <v/>
      </c>
      <c r="E74" s="10" t="str">
        <f>IF($K74="","",INDEX(Конструктор!$H$2:$H$1212,$K74))</f>
        <v/>
      </c>
      <c r="F74" s="10" t="str">
        <f>IF($K74="","",INDEX(Конструктор!$L$2:$L$1212,$K74))</f>
        <v/>
      </c>
      <c r="G74" s="10" t="str">
        <f>IF($K74="","",INDEX(Конструктор!$M$2:$M$1212,$K74))</f>
        <v/>
      </c>
      <c r="H74" s="10" t="str">
        <f>IF($K74="","",INDEX(Конструктор!$N$2:$N$1212,$K74))</f>
        <v/>
      </c>
      <c r="I74" s="10" t="str">
        <f>IF($K74="","",INDEX(Конструктор!$O$2:$O$1212,$K74))</f>
        <v/>
      </c>
      <c r="J74" s="10" t="str">
        <f>IF($K74="","",INDEX(Конструктор!$P$2:$P$1212,$K74))</f>
        <v/>
      </c>
      <c r="K74" t="str">
        <f>IFERROR(MATCH(54,Конструктор!$T$2:$T$1212,0),"")</f>
        <v/>
      </c>
      <c r="L74" t="str">
        <f t="shared" si="0"/>
        <v/>
      </c>
    </row>
    <row r="75" spans="1:12" hidden="1" x14ac:dyDescent="0.3">
      <c r="A75" t="str">
        <f>IF($K75="","",55)</f>
        <v/>
      </c>
      <c r="B75" t="str">
        <f>IF($K75="","",INDEX(Конструктор!$C$2:$C$1212,$K75))</f>
        <v/>
      </c>
      <c r="C75" s="8" t="str">
        <f>IF($K75="","",INDEX(Конструктор!$D$2:$D$1212,$K75)&amp;IF(INDEX(Конструктор!$J$2:$J$1212,$K75)&lt;&gt;""," — "&amp;INDEX(Конструктор!$J$2:$J$1212,$K75),""))</f>
        <v/>
      </c>
      <c r="D75" t="str">
        <f>IF($K75="","",INDEX(Конструктор!$E$2:$E$1212,$K75))</f>
        <v/>
      </c>
      <c r="E75" s="10" t="str">
        <f>IF($K75="","",INDEX(Конструктор!$H$2:$H$1212,$K75))</f>
        <v/>
      </c>
      <c r="F75" s="10" t="str">
        <f>IF($K75="","",INDEX(Конструктор!$L$2:$L$1212,$K75))</f>
        <v/>
      </c>
      <c r="G75" s="10" t="str">
        <f>IF($K75="","",INDEX(Конструктор!$M$2:$M$1212,$K75))</f>
        <v/>
      </c>
      <c r="H75" s="10" t="str">
        <f>IF($K75="","",INDEX(Конструктор!$N$2:$N$1212,$K75))</f>
        <v/>
      </c>
      <c r="I75" s="10" t="str">
        <f>IF($K75="","",INDEX(Конструктор!$O$2:$O$1212,$K75))</f>
        <v/>
      </c>
      <c r="J75" s="10" t="str">
        <f>IF($K75="","",INDEX(Конструктор!$P$2:$P$1212,$K75))</f>
        <v/>
      </c>
      <c r="K75" t="str">
        <f>IFERROR(MATCH(55,Конструктор!$T$2:$T$1212,0),"")</f>
        <v/>
      </c>
      <c r="L75" t="str">
        <f t="shared" si="0"/>
        <v/>
      </c>
    </row>
    <row r="76" spans="1:12" hidden="1" x14ac:dyDescent="0.3">
      <c r="A76" t="str">
        <f>IF($K76="","",56)</f>
        <v/>
      </c>
      <c r="B76" t="str">
        <f>IF($K76="","",INDEX(Конструктор!$C$2:$C$1212,$K76))</f>
        <v/>
      </c>
      <c r="C76" s="8" t="str">
        <f>IF($K76="","",INDEX(Конструктор!$D$2:$D$1212,$K76)&amp;IF(INDEX(Конструктор!$J$2:$J$1212,$K76)&lt;&gt;""," — "&amp;INDEX(Конструктор!$J$2:$J$1212,$K76),""))</f>
        <v/>
      </c>
      <c r="D76" t="str">
        <f>IF($K76="","",INDEX(Конструктор!$E$2:$E$1212,$K76))</f>
        <v/>
      </c>
      <c r="E76" s="10" t="str">
        <f>IF($K76="","",INDEX(Конструктор!$H$2:$H$1212,$K76))</f>
        <v/>
      </c>
      <c r="F76" s="10" t="str">
        <f>IF($K76="","",INDEX(Конструктор!$L$2:$L$1212,$K76))</f>
        <v/>
      </c>
      <c r="G76" s="10" t="str">
        <f>IF($K76="","",INDEX(Конструктор!$M$2:$M$1212,$K76))</f>
        <v/>
      </c>
      <c r="H76" s="10" t="str">
        <f>IF($K76="","",INDEX(Конструктор!$N$2:$N$1212,$K76))</f>
        <v/>
      </c>
      <c r="I76" s="10" t="str">
        <f>IF($K76="","",INDEX(Конструктор!$O$2:$O$1212,$K76))</f>
        <v/>
      </c>
      <c r="J76" s="10" t="str">
        <f>IF($K76="","",INDEX(Конструктор!$P$2:$P$1212,$K76))</f>
        <v/>
      </c>
      <c r="K76" t="str">
        <f>IFERROR(MATCH(56,Конструктор!$T$2:$T$1212,0),"")</f>
        <v/>
      </c>
      <c r="L76" t="str">
        <f t="shared" si="0"/>
        <v/>
      </c>
    </row>
    <row r="77" spans="1:12" hidden="1" x14ac:dyDescent="0.3">
      <c r="A77" t="str">
        <f>IF($K77="","",57)</f>
        <v/>
      </c>
      <c r="B77" t="str">
        <f>IF($K77="","",INDEX(Конструктор!$C$2:$C$1212,$K77))</f>
        <v/>
      </c>
      <c r="C77" s="8" t="str">
        <f>IF($K77="","",INDEX(Конструктор!$D$2:$D$1212,$K77)&amp;IF(INDEX(Конструктор!$J$2:$J$1212,$K77)&lt;&gt;""," — "&amp;INDEX(Конструктор!$J$2:$J$1212,$K77),""))</f>
        <v/>
      </c>
      <c r="D77" t="str">
        <f>IF($K77="","",INDEX(Конструктор!$E$2:$E$1212,$K77))</f>
        <v/>
      </c>
      <c r="E77" s="10" t="str">
        <f>IF($K77="","",INDEX(Конструктор!$H$2:$H$1212,$K77))</f>
        <v/>
      </c>
      <c r="F77" s="10" t="str">
        <f>IF($K77="","",INDEX(Конструктор!$L$2:$L$1212,$K77))</f>
        <v/>
      </c>
      <c r="G77" s="10" t="str">
        <f>IF($K77="","",INDEX(Конструктор!$M$2:$M$1212,$K77))</f>
        <v/>
      </c>
      <c r="H77" s="10" t="str">
        <f>IF($K77="","",INDEX(Конструктор!$N$2:$N$1212,$K77))</f>
        <v/>
      </c>
      <c r="I77" s="10" t="str">
        <f>IF($K77="","",INDEX(Конструктор!$O$2:$O$1212,$K77))</f>
        <v/>
      </c>
      <c r="J77" s="10" t="str">
        <f>IF($K77="","",INDEX(Конструктор!$P$2:$P$1212,$K77))</f>
        <v/>
      </c>
      <c r="K77" t="str">
        <f>IFERROR(MATCH(57,Конструктор!$T$2:$T$1212,0),"")</f>
        <v/>
      </c>
      <c r="L77" t="str">
        <f t="shared" si="0"/>
        <v/>
      </c>
    </row>
    <row r="78" spans="1:12" hidden="1" x14ac:dyDescent="0.3">
      <c r="A78" t="str">
        <f>IF($K78="","",58)</f>
        <v/>
      </c>
      <c r="B78" t="str">
        <f>IF($K78="","",INDEX(Конструктор!$C$2:$C$1212,$K78))</f>
        <v/>
      </c>
      <c r="C78" s="8" t="str">
        <f>IF($K78="","",INDEX(Конструктор!$D$2:$D$1212,$K78)&amp;IF(INDEX(Конструктор!$J$2:$J$1212,$K78)&lt;&gt;""," — "&amp;INDEX(Конструктор!$J$2:$J$1212,$K78),""))</f>
        <v/>
      </c>
      <c r="D78" t="str">
        <f>IF($K78="","",INDEX(Конструктор!$E$2:$E$1212,$K78))</f>
        <v/>
      </c>
      <c r="E78" s="10" t="str">
        <f>IF($K78="","",INDEX(Конструктор!$H$2:$H$1212,$K78))</f>
        <v/>
      </c>
      <c r="F78" s="10" t="str">
        <f>IF($K78="","",INDEX(Конструктор!$L$2:$L$1212,$K78))</f>
        <v/>
      </c>
      <c r="G78" s="10" t="str">
        <f>IF($K78="","",INDEX(Конструктор!$M$2:$M$1212,$K78))</f>
        <v/>
      </c>
      <c r="H78" s="10" t="str">
        <f>IF($K78="","",INDEX(Конструктор!$N$2:$N$1212,$K78))</f>
        <v/>
      </c>
      <c r="I78" s="10" t="str">
        <f>IF($K78="","",INDEX(Конструктор!$O$2:$O$1212,$K78))</f>
        <v/>
      </c>
      <c r="J78" s="10" t="str">
        <f>IF($K78="","",INDEX(Конструктор!$P$2:$P$1212,$K78))</f>
        <v/>
      </c>
      <c r="K78" t="str">
        <f>IFERROR(MATCH(58,Конструктор!$T$2:$T$1212,0),"")</f>
        <v/>
      </c>
      <c r="L78" t="str">
        <f t="shared" si="0"/>
        <v/>
      </c>
    </row>
    <row r="79" spans="1:12" hidden="1" x14ac:dyDescent="0.3">
      <c r="A79" t="str">
        <f>IF($K79="","",59)</f>
        <v/>
      </c>
      <c r="B79" t="str">
        <f>IF($K79="","",INDEX(Конструктор!$C$2:$C$1212,$K79))</f>
        <v/>
      </c>
      <c r="C79" s="8" t="str">
        <f>IF($K79="","",INDEX(Конструктор!$D$2:$D$1212,$K79)&amp;IF(INDEX(Конструктор!$J$2:$J$1212,$K79)&lt;&gt;""," — "&amp;INDEX(Конструктор!$J$2:$J$1212,$K79),""))</f>
        <v/>
      </c>
      <c r="D79" t="str">
        <f>IF($K79="","",INDEX(Конструктор!$E$2:$E$1212,$K79))</f>
        <v/>
      </c>
      <c r="E79" s="10" t="str">
        <f>IF($K79="","",INDEX(Конструктор!$H$2:$H$1212,$K79))</f>
        <v/>
      </c>
      <c r="F79" s="10" t="str">
        <f>IF($K79="","",INDEX(Конструктор!$L$2:$L$1212,$K79))</f>
        <v/>
      </c>
      <c r="G79" s="10" t="str">
        <f>IF($K79="","",INDEX(Конструктор!$M$2:$M$1212,$K79))</f>
        <v/>
      </c>
      <c r="H79" s="10" t="str">
        <f>IF($K79="","",INDEX(Конструктор!$N$2:$N$1212,$K79))</f>
        <v/>
      </c>
      <c r="I79" s="10" t="str">
        <f>IF($K79="","",INDEX(Конструктор!$O$2:$O$1212,$K79))</f>
        <v/>
      </c>
      <c r="J79" s="10" t="str">
        <f>IF($K79="","",INDEX(Конструктор!$P$2:$P$1212,$K79))</f>
        <v/>
      </c>
      <c r="K79" t="str">
        <f>IFERROR(MATCH(59,Конструктор!$T$2:$T$1212,0),"")</f>
        <v/>
      </c>
      <c r="L79" t="str">
        <f t="shared" si="0"/>
        <v/>
      </c>
    </row>
    <row r="80" spans="1:12" hidden="1" x14ac:dyDescent="0.3">
      <c r="A80" t="str">
        <f>IF($K80="","",60)</f>
        <v/>
      </c>
      <c r="B80" t="str">
        <f>IF($K80="","",INDEX(Конструктор!$C$2:$C$1212,$K80))</f>
        <v/>
      </c>
      <c r="C80" s="8" t="str">
        <f>IF($K80="","",INDEX(Конструктор!$D$2:$D$1212,$K80)&amp;IF(INDEX(Конструктор!$J$2:$J$1212,$K80)&lt;&gt;""," — "&amp;INDEX(Конструктор!$J$2:$J$1212,$K80),""))</f>
        <v/>
      </c>
      <c r="D80" t="str">
        <f>IF($K80="","",INDEX(Конструктор!$E$2:$E$1212,$K80))</f>
        <v/>
      </c>
      <c r="E80" s="10" t="str">
        <f>IF($K80="","",INDEX(Конструктор!$H$2:$H$1212,$K80))</f>
        <v/>
      </c>
      <c r="F80" s="10" t="str">
        <f>IF($K80="","",INDEX(Конструктор!$L$2:$L$1212,$K80))</f>
        <v/>
      </c>
      <c r="G80" s="10" t="str">
        <f>IF($K80="","",INDEX(Конструктор!$M$2:$M$1212,$K80))</f>
        <v/>
      </c>
      <c r="H80" s="10" t="str">
        <f>IF($K80="","",INDEX(Конструктор!$N$2:$N$1212,$K80))</f>
        <v/>
      </c>
      <c r="I80" s="10" t="str">
        <f>IF($K80="","",INDEX(Конструктор!$O$2:$O$1212,$K80))</f>
        <v/>
      </c>
      <c r="J80" s="10" t="str">
        <f>IF($K80="","",INDEX(Конструктор!$P$2:$P$1212,$K80))</f>
        <v/>
      </c>
      <c r="K80" t="str">
        <f>IFERROR(MATCH(60,Конструктор!$T$2:$T$1212,0),"")</f>
        <v/>
      </c>
      <c r="L80" t="str">
        <f t="shared" si="0"/>
        <v/>
      </c>
    </row>
    <row r="81" spans="1:12" hidden="1" x14ac:dyDescent="0.3">
      <c r="A81" t="str">
        <f>IF($K81="","",61)</f>
        <v/>
      </c>
      <c r="B81" t="str">
        <f>IF($K81="","",INDEX(Конструктор!$C$2:$C$1212,$K81))</f>
        <v/>
      </c>
      <c r="C81" s="8" t="str">
        <f>IF($K81="","",INDEX(Конструктор!$D$2:$D$1212,$K81)&amp;IF(INDEX(Конструктор!$J$2:$J$1212,$K81)&lt;&gt;""," — "&amp;INDEX(Конструктор!$J$2:$J$1212,$K81),""))</f>
        <v/>
      </c>
      <c r="D81" t="str">
        <f>IF($K81="","",INDEX(Конструктор!$E$2:$E$1212,$K81))</f>
        <v/>
      </c>
      <c r="E81" s="10" t="str">
        <f>IF($K81="","",INDEX(Конструктор!$H$2:$H$1212,$K81))</f>
        <v/>
      </c>
      <c r="F81" s="10" t="str">
        <f>IF($K81="","",INDEX(Конструктор!$L$2:$L$1212,$K81))</f>
        <v/>
      </c>
      <c r="G81" s="10" t="str">
        <f>IF($K81="","",INDEX(Конструктор!$M$2:$M$1212,$K81))</f>
        <v/>
      </c>
      <c r="H81" s="10" t="str">
        <f>IF($K81="","",INDEX(Конструктор!$N$2:$N$1212,$K81))</f>
        <v/>
      </c>
      <c r="I81" s="10" t="str">
        <f>IF($K81="","",INDEX(Конструктор!$O$2:$O$1212,$K81))</f>
        <v/>
      </c>
      <c r="J81" s="10" t="str">
        <f>IF($K81="","",INDEX(Конструктор!$P$2:$P$1212,$K81))</f>
        <v/>
      </c>
      <c r="K81" t="str">
        <f>IFERROR(MATCH(61,Конструктор!$T$2:$T$1212,0),"")</f>
        <v/>
      </c>
      <c r="L81" t="str">
        <f t="shared" si="0"/>
        <v/>
      </c>
    </row>
    <row r="82" spans="1:12" hidden="1" x14ac:dyDescent="0.3">
      <c r="A82" t="str">
        <f>IF($K82="","",62)</f>
        <v/>
      </c>
      <c r="B82" t="str">
        <f>IF($K82="","",INDEX(Конструктор!$C$2:$C$1212,$K82))</f>
        <v/>
      </c>
      <c r="C82" s="8" t="str">
        <f>IF($K82="","",INDEX(Конструктор!$D$2:$D$1212,$K82)&amp;IF(INDEX(Конструктор!$J$2:$J$1212,$K82)&lt;&gt;""," — "&amp;INDEX(Конструктор!$J$2:$J$1212,$K82),""))</f>
        <v/>
      </c>
      <c r="D82" t="str">
        <f>IF($K82="","",INDEX(Конструктор!$E$2:$E$1212,$K82))</f>
        <v/>
      </c>
      <c r="E82" s="10" t="str">
        <f>IF($K82="","",INDEX(Конструктор!$H$2:$H$1212,$K82))</f>
        <v/>
      </c>
      <c r="F82" s="10" t="str">
        <f>IF($K82="","",INDEX(Конструктор!$L$2:$L$1212,$K82))</f>
        <v/>
      </c>
      <c r="G82" s="10" t="str">
        <f>IF($K82="","",INDEX(Конструктор!$M$2:$M$1212,$K82))</f>
        <v/>
      </c>
      <c r="H82" s="10" t="str">
        <f>IF($K82="","",INDEX(Конструктор!$N$2:$N$1212,$K82))</f>
        <v/>
      </c>
      <c r="I82" s="10" t="str">
        <f>IF($K82="","",INDEX(Конструктор!$O$2:$O$1212,$K82))</f>
        <v/>
      </c>
      <c r="J82" s="10" t="str">
        <f>IF($K82="","",INDEX(Конструктор!$P$2:$P$1212,$K82))</f>
        <v/>
      </c>
      <c r="K82" t="str">
        <f>IFERROR(MATCH(62,Конструктор!$T$2:$T$1212,0),"")</f>
        <v/>
      </c>
      <c r="L82" t="str">
        <f t="shared" si="0"/>
        <v/>
      </c>
    </row>
    <row r="83" spans="1:12" hidden="1" x14ac:dyDescent="0.3">
      <c r="A83" t="str">
        <f>IF($K83="","",63)</f>
        <v/>
      </c>
      <c r="B83" t="str">
        <f>IF($K83="","",INDEX(Конструктор!$C$2:$C$1212,$K83))</f>
        <v/>
      </c>
      <c r="C83" s="8" t="str">
        <f>IF($K83="","",INDEX(Конструктор!$D$2:$D$1212,$K83)&amp;IF(INDEX(Конструктор!$J$2:$J$1212,$K83)&lt;&gt;""," — "&amp;INDEX(Конструктор!$J$2:$J$1212,$K83),""))</f>
        <v/>
      </c>
      <c r="D83" t="str">
        <f>IF($K83="","",INDEX(Конструктор!$E$2:$E$1212,$K83))</f>
        <v/>
      </c>
      <c r="E83" s="10" t="str">
        <f>IF($K83="","",INDEX(Конструктор!$H$2:$H$1212,$K83))</f>
        <v/>
      </c>
      <c r="F83" s="10" t="str">
        <f>IF($K83="","",INDEX(Конструктор!$L$2:$L$1212,$K83))</f>
        <v/>
      </c>
      <c r="G83" s="10" t="str">
        <f>IF($K83="","",INDEX(Конструктор!$M$2:$M$1212,$K83))</f>
        <v/>
      </c>
      <c r="H83" s="10" t="str">
        <f>IF($K83="","",INDEX(Конструктор!$N$2:$N$1212,$K83))</f>
        <v/>
      </c>
      <c r="I83" s="10" t="str">
        <f>IF($K83="","",INDEX(Конструктор!$O$2:$O$1212,$K83))</f>
        <v/>
      </c>
      <c r="J83" s="10" t="str">
        <f>IF($K83="","",INDEX(Конструктор!$P$2:$P$1212,$K83))</f>
        <v/>
      </c>
      <c r="K83" t="str">
        <f>IFERROR(MATCH(63,Конструктор!$T$2:$T$1212,0),"")</f>
        <v/>
      </c>
      <c r="L83" t="str">
        <f t="shared" si="0"/>
        <v/>
      </c>
    </row>
    <row r="84" spans="1:12" hidden="1" x14ac:dyDescent="0.3">
      <c r="A84" t="str">
        <f>IF($K84="","",64)</f>
        <v/>
      </c>
      <c r="B84" t="str">
        <f>IF($K84="","",INDEX(Конструктор!$C$2:$C$1212,$K84))</f>
        <v/>
      </c>
      <c r="C84" s="8" t="str">
        <f>IF($K84="","",INDEX(Конструктор!$D$2:$D$1212,$K84)&amp;IF(INDEX(Конструктор!$J$2:$J$1212,$K84)&lt;&gt;""," — "&amp;INDEX(Конструктор!$J$2:$J$1212,$K84),""))</f>
        <v/>
      </c>
      <c r="D84" t="str">
        <f>IF($K84="","",INDEX(Конструктор!$E$2:$E$1212,$K84))</f>
        <v/>
      </c>
      <c r="E84" s="10" t="str">
        <f>IF($K84="","",INDEX(Конструктор!$H$2:$H$1212,$K84))</f>
        <v/>
      </c>
      <c r="F84" s="10" t="str">
        <f>IF($K84="","",INDEX(Конструктор!$L$2:$L$1212,$K84))</f>
        <v/>
      </c>
      <c r="G84" s="10" t="str">
        <f>IF($K84="","",INDEX(Конструктор!$M$2:$M$1212,$K84))</f>
        <v/>
      </c>
      <c r="H84" s="10" t="str">
        <f>IF($K84="","",INDEX(Конструктор!$N$2:$N$1212,$K84))</f>
        <v/>
      </c>
      <c r="I84" s="10" t="str">
        <f>IF($K84="","",INDEX(Конструктор!$O$2:$O$1212,$K84))</f>
        <v/>
      </c>
      <c r="J84" s="10" t="str">
        <f>IF($K84="","",INDEX(Конструктор!$P$2:$P$1212,$K84))</f>
        <v/>
      </c>
      <c r="K84" t="str">
        <f>IFERROR(MATCH(64,Конструктор!$T$2:$T$1212,0),"")</f>
        <v/>
      </c>
      <c r="L84" t="str">
        <f t="shared" si="0"/>
        <v/>
      </c>
    </row>
    <row r="85" spans="1:12" hidden="1" x14ac:dyDescent="0.3">
      <c r="A85" t="str">
        <f>IF($K85="","",65)</f>
        <v/>
      </c>
      <c r="B85" t="str">
        <f>IF($K85="","",INDEX(Конструктор!$C$2:$C$1212,$K85))</f>
        <v/>
      </c>
      <c r="C85" s="8" t="str">
        <f>IF($K85="","",INDEX(Конструктор!$D$2:$D$1212,$K85)&amp;IF(INDEX(Конструктор!$J$2:$J$1212,$K85)&lt;&gt;""," — "&amp;INDEX(Конструктор!$J$2:$J$1212,$K85),""))</f>
        <v/>
      </c>
      <c r="D85" t="str">
        <f>IF($K85="","",INDEX(Конструктор!$E$2:$E$1212,$K85))</f>
        <v/>
      </c>
      <c r="E85" s="10" t="str">
        <f>IF($K85="","",INDEX(Конструктор!$H$2:$H$1212,$K85))</f>
        <v/>
      </c>
      <c r="F85" s="10" t="str">
        <f>IF($K85="","",INDEX(Конструктор!$L$2:$L$1212,$K85))</f>
        <v/>
      </c>
      <c r="G85" s="10" t="str">
        <f>IF($K85="","",INDEX(Конструктор!$M$2:$M$1212,$K85))</f>
        <v/>
      </c>
      <c r="H85" s="10" t="str">
        <f>IF($K85="","",INDEX(Конструктор!$N$2:$N$1212,$K85))</f>
        <v/>
      </c>
      <c r="I85" s="10" t="str">
        <f>IF($K85="","",INDEX(Конструктор!$O$2:$O$1212,$K85))</f>
        <v/>
      </c>
      <c r="J85" s="10" t="str">
        <f>IF($K85="","",INDEX(Конструктор!$P$2:$P$1212,$K85))</f>
        <v/>
      </c>
      <c r="K85" t="str">
        <f>IFERROR(MATCH(65,Конструктор!$T$2:$T$1212,0),"")</f>
        <v/>
      </c>
      <c r="L85" t="str">
        <f t="shared" ref="L85:L148" si="1">IF($K85="","","показать")</f>
        <v/>
      </c>
    </row>
    <row r="86" spans="1:12" hidden="1" x14ac:dyDescent="0.3">
      <c r="A86" t="str">
        <f>IF($K86="","",66)</f>
        <v/>
      </c>
      <c r="B86" t="str">
        <f>IF($K86="","",INDEX(Конструктор!$C$2:$C$1212,$K86))</f>
        <v/>
      </c>
      <c r="C86" s="8" t="str">
        <f>IF($K86="","",INDEX(Конструктор!$D$2:$D$1212,$K86)&amp;IF(INDEX(Конструктор!$J$2:$J$1212,$K86)&lt;&gt;""," — "&amp;INDEX(Конструктор!$J$2:$J$1212,$K86),""))</f>
        <v/>
      </c>
      <c r="D86" t="str">
        <f>IF($K86="","",INDEX(Конструктор!$E$2:$E$1212,$K86))</f>
        <v/>
      </c>
      <c r="E86" s="10" t="str">
        <f>IF($K86="","",INDEX(Конструктор!$H$2:$H$1212,$K86))</f>
        <v/>
      </c>
      <c r="F86" s="10" t="str">
        <f>IF($K86="","",INDEX(Конструктор!$L$2:$L$1212,$K86))</f>
        <v/>
      </c>
      <c r="G86" s="10" t="str">
        <f>IF($K86="","",INDEX(Конструктор!$M$2:$M$1212,$K86))</f>
        <v/>
      </c>
      <c r="H86" s="10" t="str">
        <f>IF($K86="","",INDEX(Конструктор!$N$2:$N$1212,$K86))</f>
        <v/>
      </c>
      <c r="I86" s="10" t="str">
        <f>IF($K86="","",INDEX(Конструктор!$O$2:$O$1212,$K86))</f>
        <v/>
      </c>
      <c r="J86" s="10" t="str">
        <f>IF($K86="","",INDEX(Конструктор!$P$2:$P$1212,$K86))</f>
        <v/>
      </c>
      <c r="K86" t="str">
        <f>IFERROR(MATCH(66,Конструктор!$T$2:$T$1212,0),"")</f>
        <v/>
      </c>
      <c r="L86" t="str">
        <f t="shared" si="1"/>
        <v/>
      </c>
    </row>
    <row r="87" spans="1:12" hidden="1" x14ac:dyDescent="0.3">
      <c r="A87" t="str">
        <f>IF($K87="","",67)</f>
        <v/>
      </c>
      <c r="B87" t="str">
        <f>IF($K87="","",INDEX(Конструктор!$C$2:$C$1212,$K87))</f>
        <v/>
      </c>
      <c r="C87" s="8" t="str">
        <f>IF($K87="","",INDEX(Конструктор!$D$2:$D$1212,$K87)&amp;IF(INDEX(Конструктор!$J$2:$J$1212,$K87)&lt;&gt;""," — "&amp;INDEX(Конструктор!$J$2:$J$1212,$K87),""))</f>
        <v/>
      </c>
      <c r="D87" t="str">
        <f>IF($K87="","",INDEX(Конструктор!$E$2:$E$1212,$K87))</f>
        <v/>
      </c>
      <c r="E87" s="10" t="str">
        <f>IF($K87="","",INDEX(Конструктор!$H$2:$H$1212,$K87))</f>
        <v/>
      </c>
      <c r="F87" s="10" t="str">
        <f>IF($K87="","",INDEX(Конструктор!$L$2:$L$1212,$K87))</f>
        <v/>
      </c>
      <c r="G87" s="10" t="str">
        <f>IF($K87="","",INDEX(Конструктор!$M$2:$M$1212,$K87))</f>
        <v/>
      </c>
      <c r="H87" s="10" t="str">
        <f>IF($K87="","",INDEX(Конструктор!$N$2:$N$1212,$K87))</f>
        <v/>
      </c>
      <c r="I87" s="10" t="str">
        <f>IF($K87="","",INDEX(Конструктор!$O$2:$O$1212,$K87))</f>
        <v/>
      </c>
      <c r="J87" s="10" t="str">
        <f>IF($K87="","",INDEX(Конструктор!$P$2:$P$1212,$K87))</f>
        <v/>
      </c>
      <c r="K87" t="str">
        <f>IFERROR(MATCH(67,Конструктор!$T$2:$T$1212,0),"")</f>
        <v/>
      </c>
      <c r="L87" t="str">
        <f t="shared" si="1"/>
        <v/>
      </c>
    </row>
    <row r="88" spans="1:12" hidden="1" x14ac:dyDescent="0.3">
      <c r="A88" t="str">
        <f>IF($K88="","",68)</f>
        <v/>
      </c>
      <c r="B88" t="str">
        <f>IF($K88="","",INDEX(Конструктор!$C$2:$C$1212,$K88))</f>
        <v/>
      </c>
      <c r="C88" s="8" t="str">
        <f>IF($K88="","",INDEX(Конструктор!$D$2:$D$1212,$K88)&amp;IF(INDEX(Конструктор!$J$2:$J$1212,$K88)&lt;&gt;""," — "&amp;INDEX(Конструктор!$J$2:$J$1212,$K88),""))</f>
        <v/>
      </c>
      <c r="D88" t="str">
        <f>IF($K88="","",INDEX(Конструктор!$E$2:$E$1212,$K88))</f>
        <v/>
      </c>
      <c r="E88" s="10" t="str">
        <f>IF($K88="","",INDEX(Конструктор!$H$2:$H$1212,$K88))</f>
        <v/>
      </c>
      <c r="F88" s="10" t="str">
        <f>IF($K88="","",INDEX(Конструктор!$L$2:$L$1212,$K88))</f>
        <v/>
      </c>
      <c r="G88" s="10" t="str">
        <f>IF($K88="","",INDEX(Конструктор!$M$2:$M$1212,$K88))</f>
        <v/>
      </c>
      <c r="H88" s="10" t="str">
        <f>IF($K88="","",INDEX(Конструктор!$N$2:$N$1212,$K88))</f>
        <v/>
      </c>
      <c r="I88" s="10" t="str">
        <f>IF($K88="","",INDEX(Конструктор!$O$2:$O$1212,$K88))</f>
        <v/>
      </c>
      <c r="J88" s="10" t="str">
        <f>IF($K88="","",INDEX(Конструктор!$P$2:$P$1212,$K88))</f>
        <v/>
      </c>
      <c r="K88" t="str">
        <f>IFERROR(MATCH(68,Конструктор!$T$2:$T$1212,0),"")</f>
        <v/>
      </c>
      <c r="L88" t="str">
        <f t="shared" si="1"/>
        <v/>
      </c>
    </row>
    <row r="89" spans="1:12" hidden="1" x14ac:dyDescent="0.3">
      <c r="A89" t="str">
        <f>IF($K89="","",69)</f>
        <v/>
      </c>
      <c r="B89" t="str">
        <f>IF($K89="","",INDEX(Конструктор!$C$2:$C$1212,$K89))</f>
        <v/>
      </c>
      <c r="C89" s="8" t="str">
        <f>IF($K89="","",INDEX(Конструктор!$D$2:$D$1212,$K89)&amp;IF(INDEX(Конструктор!$J$2:$J$1212,$K89)&lt;&gt;""," — "&amp;INDEX(Конструктор!$J$2:$J$1212,$K89),""))</f>
        <v/>
      </c>
      <c r="D89" t="str">
        <f>IF($K89="","",INDEX(Конструктор!$E$2:$E$1212,$K89))</f>
        <v/>
      </c>
      <c r="E89" s="10" t="str">
        <f>IF($K89="","",INDEX(Конструктор!$H$2:$H$1212,$K89))</f>
        <v/>
      </c>
      <c r="F89" s="10" t="str">
        <f>IF($K89="","",INDEX(Конструктор!$L$2:$L$1212,$K89))</f>
        <v/>
      </c>
      <c r="G89" s="10" t="str">
        <f>IF($K89="","",INDEX(Конструктор!$M$2:$M$1212,$K89))</f>
        <v/>
      </c>
      <c r="H89" s="10" t="str">
        <f>IF($K89="","",INDEX(Конструктор!$N$2:$N$1212,$K89))</f>
        <v/>
      </c>
      <c r="I89" s="10" t="str">
        <f>IF($K89="","",INDEX(Конструктор!$O$2:$O$1212,$K89))</f>
        <v/>
      </c>
      <c r="J89" s="10" t="str">
        <f>IF($K89="","",INDEX(Конструктор!$P$2:$P$1212,$K89))</f>
        <v/>
      </c>
      <c r="K89" t="str">
        <f>IFERROR(MATCH(69,Конструктор!$T$2:$T$1212,0),"")</f>
        <v/>
      </c>
      <c r="L89" t="str">
        <f t="shared" si="1"/>
        <v/>
      </c>
    </row>
    <row r="90" spans="1:12" hidden="1" x14ac:dyDescent="0.3">
      <c r="A90" t="str">
        <f>IF($K90="","",70)</f>
        <v/>
      </c>
      <c r="B90" t="str">
        <f>IF($K90="","",INDEX(Конструктор!$C$2:$C$1212,$K90))</f>
        <v/>
      </c>
      <c r="C90" s="8" t="str">
        <f>IF($K90="","",INDEX(Конструктор!$D$2:$D$1212,$K90)&amp;IF(INDEX(Конструктор!$J$2:$J$1212,$K90)&lt;&gt;""," — "&amp;INDEX(Конструктор!$J$2:$J$1212,$K90),""))</f>
        <v/>
      </c>
      <c r="D90" t="str">
        <f>IF($K90="","",INDEX(Конструктор!$E$2:$E$1212,$K90))</f>
        <v/>
      </c>
      <c r="E90" s="10" t="str">
        <f>IF($K90="","",INDEX(Конструктор!$H$2:$H$1212,$K90))</f>
        <v/>
      </c>
      <c r="F90" s="10" t="str">
        <f>IF($K90="","",INDEX(Конструктор!$L$2:$L$1212,$K90))</f>
        <v/>
      </c>
      <c r="G90" s="10" t="str">
        <f>IF($K90="","",INDEX(Конструктор!$M$2:$M$1212,$K90))</f>
        <v/>
      </c>
      <c r="H90" s="10" t="str">
        <f>IF($K90="","",INDEX(Конструктор!$N$2:$N$1212,$K90))</f>
        <v/>
      </c>
      <c r="I90" s="10" t="str">
        <f>IF($K90="","",INDEX(Конструктор!$O$2:$O$1212,$K90))</f>
        <v/>
      </c>
      <c r="J90" s="10" t="str">
        <f>IF($K90="","",INDEX(Конструктор!$P$2:$P$1212,$K90))</f>
        <v/>
      </c>
      <c r="K90" t="str">
        <f>IFERROR(MATCH(70,Конструктор!$T$2:$T$1212,0),"")</f>
        <v/>
      </c>
      <c r="L90" t="str">
        <f t="shared" si="1"/>
        <v/>
      </c>
    </row>
    <row r="91" spans="1:12" hidden="1" x14ac:dyDescent="0.3">
      <c r="A91" t="str">
        <f>IF($K91="","",71)</f>
        <v/>
      </c>
      <c r="B91" t="str">
        <f>IF($K91="","",INDEX(Конструктор!$C$2:$C$1212,$K91))</f>
        <v/>
      </c>
      <c r="C91" s="8" t="str">
        <f>IF($K91="","",INDEX(Конструктор!$D$2:$D$1212,$K91)&amp;IF(INDEX(Конструктор!$J$2:$J$1212,$K91)&lt;&gt;""," — "&amp;INDEX(Конструктор!$J$2:$J$1212,$K91),""))</f>
        <v/>
      </c>
      <c r="D91" t="str">
        <f>IF($K91="","",INDEX(Конструктор!$E$2:$E$1212,$K91))</f>
        <v/>
      </c>
      <c r="E91" s="10" t="str">
        <f>IF($K91="","",INDEX(Конструктор!$H$2:$H$1212,$K91))</f>
        <v/>
      </c>
      <c r="F91" s="10" t="str">
        <f>IF($K91="","",INDEX(Конструктор!$L$2:$L$1212,$K91))</f>
        <v/>
      </c>
      <c r="G91" s="10" t="str">
        <f>IF($K91="","",INDEX(Конструктор!$M$2:$M$1212,$K91))</f>
        <v/>
      </c>
      <c r="H91" s="10" t="str">
        <f>IF($K91="","",INDEX(Конструктор!$N$2:$N$1212,$K91))</f>
        <v/>
      </c>
      <c r="I91" s="10" t="str">
        <f>IF($K91="","",INDEX(Конструктор!$O$2:$O$1212,$K91))</f>
        <v/>
      </c>
      <c r="J91" s="10" t="str">
        <f>IF($K91="","",INDEX(Конструктор!$P$2:$P$1212,$K91))</f>
        <v/>
      </c>
      <c r="K91" t="str">
        <f>IFERROR(MATCH(71,Конструктор!$T$2:$T$1212,0),"")</f>
        <v/>
      </c>
      <c r="L91" t="str">
        <f t="shared" si="1"/>
        <v/>
      </c>
    </row>
    <row r="92" spans="1:12" hidden="1" x14ac:dyDescent="0.3">
      <c r="A92" t="str">
        <f>IF($K92="","",72)</f>
        <v/>
      </c>
      <c r="B92" t="str">
        <f>IF($K92="","",INDEX(Конструктор!$C$2:$C$1212,$K92))</f>
        <v/>
      </c>
      <c r="C92" s="8" t="str">
        <f>IF($K92="","",INDEX(Конструктор!$D$2:$D$1212,$K92)&amp;IF(INDEX(Конструктор!$J$2:$J$1212,$K92)&lt;&gt;""," — "&amp;INDEX(Конструктор!$J$2:$J$1212,$K92),""))</f>
        <v/>
      </c>
      <c r="D92" t="str">
        <f>IF($K92="","",INDEX(Конструктор!$E$2:$E$1212,$K92))</f>
        <v/>
      </c>
      <c r="E92" s="10" t="str">
        <f>IF($K92="","",INDEX(Конструктор!$H$2:$H$1212,$K92))</f>
        <v/>
      </c>
      <c r="F92" s="10" t="str">
        <f>IF($K92="","",INDEX(Конструктор!$L$2:$L$1212,$K92))</f>
        <v/>
      </c>
      <c r="G92" s="10" t="str">
        <f>IF($K92="","",INDEX(Конструктор!$M$2:$M$1212,$K92))</f>
        <v/>
      </c>
      <c r="H92" s="10" t="str">
        <f>IF($K92="","",INDEX(Конструктор!$N$2:$N$1212,$K92))</f>
        <v/>
      </c>
      <c r="I92" s="10" t="str">
        <f>IF($K92="","",INDEX(Конструктор!$O$2:$O$1212,$K92))</f>
        <v/>
      </c>
      <c r="J92" s="10" t="str">
        <f>IF($K92="","",INDEX(Конструктор!$P$2:$P$1212,$K92))</f>
        <v/>
      </c>
      <c r="K92" t="str">
        <f>IFERROR(MATCH(72,Конструктор!$T$2:$T$1212,0),"")</f>
        <v/>
      </c>
      <c r="L92" t="str">
        <f t="shared" si="1"/>
        <v/>
      </c>
    </row>
    <row r="93" spans="1:12" hidden="1" x14ac:dyDescent="0.3">
      <c r="A93" t="str">
        <f>IF($K93="","",73)</f>
        <v/>
      </c>
      <c r="B93" t="str">
        <f>IF($K93="","",INDEX(Конструктор!$C$2:$C$1212,$K93))</f>
        <v/>
      </c>
      <c r="C93" s="8" t="str">
        <f>IF($K93="","",INDEX(Конструктор!$D$2:$D$1212,$K93)&amp;IF(INDEX(Конструктор!$J$2:$J$1212,$K93)&lt;&gt;""," — "&amp;INDEX(Конструктор!$J$2:$J$1212,$K93),""))</f>
        <v/>
      </c>
      <c r="D93" t="str">
        <f>IF($K93="","",INDEX(Конструктор!$E$2:$E$1212,$K93))</f>
        <v/>
      </c>
      <c r="E93" s="10" t="str">
        <f>IF($K93="","",INDEX(Конструктор!$H$2:$H$1212,$K93))</f>
        <v/>
      </c>
      <c r="F93" s="10" t="str">
        <f>IF($K93="","",INDEX(Конструктор!$L$2:$L$1212,$K93))</f>
        <v/>
      </c>
      <c r="G93" s="10" t="str">
        <f>IF($K93="","",INDEX(Конструктор!$M$2:$M$1212,$K93))</f>
        <v/>
      </c>
      <c r="H93" s="10" t="str">
        <f>IF($K93="","",INDEX(Конструктор!$N$2:$N$1212,$K93))</f>
        <v/>
      </c>
      <c r="I93" s="10" t="str">
        <f>IF($K93="","",INDEX(Конструктор!$O$2:$O$1212,$K93))</f>
        <v/>
      </c>
      <c r="J93" s="10" t="str">
        <f>IF($K93="","",INDEX(Конструктор!$P$2:$P$1212,$K93))</f>
        <v/>
      </c>
      <c r="K93" t="str">
        <f>IFERROR(MATCH(73,Конструктор!$T$2:$T$1212,0),"")</f>
        <v/>
      </c>
      <c r="L93" t="str">
        <f t="shared" si="1"/>
        <v/>
      </c>
    </row>
    <row r="94" spans="1:12" hidden="1" x14ac:dyDescent="0.3">
      <c r="A94" t="str">
        <f>IF($K94="","",74)</f>
        <v/>
      </c>
      <c r="B94" t="str">
        <f>IF($K94="","",INDEX(Конструктор!$C$2:$C$1212,$K94))</f>
        <v/>
      </c>
      <c r="C94" s="8" t="str">
        <f>IF($K94="","",INDEX(Конструктор!$D$2:$D$1212,$K94)&amp;IF(INDEX(Конструктор!$J$2:$J$1212,$K94)&lt;&gt;""," — "&amp;INDEX(Конструктор!$J$2:$J$1212,$K94),""))</f>
        <v/>
      </c>
      <c r="D94" t="str">
        <f>IF($K94="","",INDEX(Конструктор!$E$2:$E$1212,$K94))</f>
        <v/>
      </c>
      <c r="E94" s="10" t="str">
        <f>IF($K94="","",INDEX(Конструктор!$H$2:$H$1212,$K94))</f>
        <v/>
      </c>
      <c r="F94" s="10" t="str">
        <f>IF($K94="","",INDEX(Конструктор!$L$2:$L$1212,$K94))</f>
        <v/>
      </c>
      <c r="G94" s="10" t="str">
        <f>IF($K94="","",INDEX(Конструктор!$M$2:$M$1212,$K94))</f>
        <v/>
      </c>
      <c r="H94" s="10" t="str">
        <f>IF($K94="","",INDEX(Конструктор!$N$2:$N$1212,$K94))</f>
        <v/>
      </c>
      <c r="I94" s="10" t="str">
        <f>IF($K94="","",INDEX(Конструктор!$O$2:$O$1212,$K94))</f>
        <v/>
      </c>
      <c r="J94" s="10" t="str">
        <f>IF($K94="","",INDEX(Конструктор!$P$2:$P$1212,$K94))</f>
        <v/>
      </c>
      <c r="K94" t="str">
        <f>IFERROR(MATCH(74,Конструктор!$T$2:$T$1212,0),"")</f>
        <v/>
      </c>
      <c r="L94" t="str">
        <f t="shared" si="1"/>
        <v/>
      </c>
    </row>
    <row r="95" spans="1:12" hidden="1" x14ac:dyDescent="0.3">
      <c r="A95" t="str">
        <f>IF($K95="","",75)</f>
        <v/>
      </c>
      <c r="B95" t="str">
        <f>IF($K95="","",INDEX(Конструктор!$C$2:$C$1212,$K95))</f>
        <v/>
      </c>
      <c r="C95" s="8" t="str">
        <f>IF($K95="","",INDEX(Конструктор!$D$2:$D$1212,$K95)&amp;IF(INDEX(Конструктор!$J$2:$J$1212,$K95)&lt;&gt;""," — "&amp;INDEX(Конструктор!$J$2:$J$1212,$K95),""))</f>
        <v/>
      </c>
      <c r="D95" t="str">
        <f>IF($K95="","",INDEX(Конструктор!$E$2:$E$1212,$K95))</f>
        <v/>
      </c>
      <c r="E95" s="10" t="str">
        <f>IF($K95="","",INDEX(Конструктор!$H$2:$H$1212,$K95))</f>
        <v/>
      </c>
      <c r="F95" s="10" t="str">
        <f>IF($K95="","",INDEX(Конструктор!$L$2:$L$1212,$K95))</f>
        <v/>
      </c>
      <c r="G95" s="10" t="str">
        <f>IF($K95="","",INDEX(Конструктор!$M$2:$M$1212,$K95))</f>
        <v/>
      </c>
      <c r="H95" s="10" t="str">
        <f>IF($K95="","",INDEX(Конструктор!$N$2:$N$1212,$K95))</f>
        <v/>
      </c>
      <c r="I95" s="10" t="str">
        <f>IF($K95="","",INDEX(Конструктор!$O$2:$O$1212,$K95))</f>
        <v/>
      </c>
      <c r="J95" s="10" t="str">
        <f>IF($K95="","",INDEX(Конструктор!$P$2:$P$1212,$K95))</f>
        <v/>
      </c>
      <c r="K95" t="str">
        <f>IFERROR(MATCH(75,Конструктор!$T$2:$T$1212,0),"")</f>
        <v/>
      </c>
      <c r="L95" t="str">
        <f t="shared" si="1"/>
        <v/>
      </c>
    </row>
    <row r="96" spans="1:12" hidden="1" x14ac:dyDescent="0.3">
      <c r="A96" t="str">
        <f>IF($K96="","",76)</f>
        <v/>
      </c>
      <c r="B96" t="str">
        <f>IF($K96="","",INDEX(Конструктор!$C$2:$C$1212,$K96))</f>
        <v/>
      </c>
      <c r="C96" s="8" t="str">
        <f>IF($K96="","",INDEX(Конструктор!$D$2:$D$1212,$K96)&amp;IF(INDEX(Конструктор!$J$2:$J$1212,$K96)&lt;&gt;""," — "&amp;INDEX(Конструктор!$J$2:$J$1212,$K96),""))</f>
        <v/>
      </c>
      <c r="D96" t="str">
        <f>IF($K96="","",INDEX(Конструктор!$E$2:$E$1212,$K96))</f>
        <v/>
      </c>
      <c r="E96" s="10" t="str">
        <f>IF($K96="","",INDEX(Конструктор!$H$2:$H$1212,$K96))</f>
        <v/>
      </c>
      <c r="F96" s="10" t="str">
        <f>IF($K96="","",INDEX(Конструктор!$L$2:$L$1212,$K96))</f>
        <v/>
      </c>
      <c r="G96" s="10" t="str">
        <f>IF($K96="","",INDEX(Конструктор!$M$2:$M$1212,$K96))</f>
        <v/>
      </c>
      <c r="H96" s="10" t="str">
        <f>IF($K96="","",INDEX(Конструктор!$N$2:$N$1212,$K96))</f>
        <v/>
      </c>
      <c r="I96" s="10" t="str">
        <f>IF($K96="","",INDEX(Конструктор!$O$2:$O$1212,$K96))</f>
        <v/>
      </c>
      <c r="J96" s="10" t="str">
        <f>IF($K96="","",INDEX(Конструктор!$P$2:$P$1212,$K96))</f>
        <v/>
      </c>
      <c r="K96" t="str">
        <f>IFERROR(MATCH(76,Конструктор!$T$2:$T$1212,0),"")</f>
        <v/>
      </c>
      <c r="L96" t="str">
        <f t="shared" si="1"/>
        <v/>
      </c>
    </row>
    <row r="97" spans="1:12" hidden="1" x14ac:dyDescent="0.3">
      <c r="A97" t="str">
        <f>IF($K97="","",77)</f>
        <v/>
      </c>
      <c r="B97" t="str">
        <f>IF($K97="","",INDEX(Конструктор!$C$2:$C$1212,$K97))</f>
        <v/>
      </c>
      <c r="C97" s="8" t="str">
        <f>IF($K97="","",INDEX(Конструктор!$D$2:$D$1212,$K97)&amp;IF(INDEX(Конструктор!$J$2:$J$1212,$K97)&lt;&gt;""," — "&amp;INDEX(Конструктор!$J$2:$J$1212,$K97),""))</f>
        <v/>
      </c>
      <c r="D97" t="str">
        <f>IF($K97="","",INDEX(Конструктор!$E$2:$E$1212,$K97))</f>
        <v/>
      </c>
      <c r="E97" s="10" t="str">
        <f>IF($K97="","",INDEX(Конструктор!$H$2:$H$1212,$K97))</f>
        <v/>
      </c>
      <c r="F97" s="10" t="str">
        <f>IF($K97="","",INDEX(Конструктор!$L$2:$L$1212,$K97))</f>
        <v/>
      </c>
      <c r="G97" s="10" t="str">
        <f>IF($K97="","",INDEX(Конструктор!$M$2:$M$1212,$K97))</f>
        <v/>
      </c>
      <c r="H97" s="10" t="str">
        <f>IF($K97="","",INDEX(Конструктор!$N$2:$N$1212,$K97))</f>
        <v/>
      </c>
      <c r="I97" s="10" t="str">
        <f>IF($K97="","",INDEX(Конструктор!$O$2:$O$1212,$K97))</f>
        <v/>
      </c>
      <c r="J97" s="10" t="str">
        <f>IF($K97="","",INDEX(Конструктор!$P$2:$P$1212,$K97))</f>
        <v/>
      </c>
      <c r="K97" t="str">
        <f>IFERROR(MATCH(77,Конструктор!$T$2:$T$1212,0),"")</f>
        <v/>
      </c>
      <c r="L97" t="str">
        <f t="shared" si="1"/>
        <v/>
      </c>
    </row>
    <row r="98" spans="1:12" hidden="1" x14ac:dyDescent="0.3">
      <c r="A98" t="str">
        <f>IF($K98="","",78)</f>
        <v/>
      </c>
      <c r="B98" t="str">
        <f>IF($K98="","",INDEX(Конструктор!$C$2:$C$1212,$K98))</f>
        <v/>
      </c>
      <c r="C98" s="8" t="str">
        <f>IF($K98="","",INDEX(Конструктор!$D$2:$D$1212,$K98)&amp;IF(INDEX(Конструктор!$J$2:$J$1212,$K98)&lt;&gt;""," — "&amp;INDEX(Конструктор!$J$2:$J$1212,$K98),""))</f>
        <v/>
      </c>
      <c r="D98" t="str">
        <f>IF($K98="","",INDEX(Конструктор!$E$2:$E$1212,$K98))</f>
        <v/>
      </c>
      <c r="E98" s="10" t="str">
        <f>IF($K98="","",INDEX(Конструктор!$H$2:$H$1212,$K98))</f>
        <v/>
      </c>
      <c r="F98" s="10" t="str">
        <f>IF($K98="","",INDEX(Конструктор!$L$2:$L$1212,$K98))</f>
        <v/>
      </c>
      <c r="G98" s="10" t="str">
        <f>IF($K98="","",INDEX(Конструктор!$M$2:$M$1212,$K98))</f>
        <v/>
      </c>
      <c r="H98" s="10" t="str">
        <f>IF($K98="","",INDEX(Конструктор!$N$2:$N$1212,$K98))</f>
        <v/>
      </c>
      <c r="I98" s="10" t="str">
        <f>IF($K98="","",INDEX(Конструктор!$O$2:$O$1212,$K98))</f>
        <v/>
      </c>
      <c r="J98" s="10" t="str">
        <f>IF($K98="","",INDEX(Конструктор!$P$2:$P$1212,$K98))</f>
        <v/>
      </c>
      <c r="K98" t="str">
        <f>IFERROR(MATCH(78,Конструктор!$T$2:$T$1212,0),"")</f>
        <v/>
      </c>
      <c r="L98" t="str">
        <f t="shared" si="1"/>
        <v/>
      </c>
    </row>
    <row r="99" spans="1:12" hidden="1" x14ac:dyDescent="0.3">
      <c r="A99" t="str">
        <f>IF($K99="","",79)</f>
        <v/>
      </c>
      <c r="B99" t="str">
        <f>IF($K99="","",INDEX(Конструктор!$C$2:$C$1212,$K99))</f>
        <v/>
      </c>
      <c r="C99" s="8" t="str">
        <f>IF($K99="","",INDEX(Конструктор!$D$2:$D$1212,$K99)&amp;IF(INDEX(Конструктор!$J$2:$J$1212,$K99)&lt;&gt;""," — "&amp;INDEX(Конструктор!$J$2:$J$1212,$K99),""))</f>
        <v/>
      </c>
      <c r="D99" t="str">
        <f>IF($K99="","",INDEX(Конструктор!$E$2:$E$1212,$K99))</f>
        <v/>
      </c>
      <c r="E99" s="10" t="str">
        <f>IF($K99="","",INDEX(Конструктор!$H$2:$H$1212,$K99))</f>
        <v/>
      </c>
      <c r="F99" s="10" t="str">
        <f>IF($K99="","",INDEX(Конструктор!$L$2:$L$1212,$K99))</f>
        <v/>
      </c>
      <c r="G99" s="10" t="str">
        <f>IF($K99="","",INDEX(Конструктор!$M$2:$M$1212,$K99))</f>
        <v/>
      </c>
      <c r="H99" s="10" t="str">
        <f>IF($K99="","",INDEX(Конструктор!$N$2:$N$1212,$K99))</f>
        <v/>
      </c>
      <c r="I99" s="10" t="str">
        <f>IF($K99="","",INDEX(Конструктор!$O$2:$O$1212,$K99))</f>
        <v/>
      </c>
      <c r="J99" s="10" t="str">
        <f>IF($K99="","",INDEX(Конструктор!$P$2:$P$1212,$K99))</f>
        <v/>
      </c>
      <c r="K99" t="str">
        <f>IFERROR(MATCH(79,Конструктор!$T$2:$T$1212,0),"")</f>
        <v/>
      </c>
      <c r="L99" t="str">
        <f t="shared" si="1"/>
        <v/>
      </c>
    </row>
    <row r="100" spans="1:12" hidden="1" x14ac:dyDescent="0.3">
      <c r="A100" t="str">
        <f>IF($K100="","",80)</f>
        <v/>
      </c>
      <c r="B100" t="str">
        <f>IF($K100="","",INDEX(Конструктор!$C$2:$C$1212,$K100))</f>
        <v/>
      </c>
      <c r="C100" s="8" t="str">
        <f>IF($K100="","",INDEX(Конструктор!$D$2:$D$1212,$K100)&amp;IF(INDEX(Конструктор!$J$2:$J$1212,$K100)&lt;&gt;""," — "&amp;INDEX(Конструктор!$J$2:$J$1212,$K100),""))</f>
        <v/>
      </c>
      <c r="D100" t="str">
        <f>IF($K100="","",INDEX(Конструктор!$E$2:$E$1212,$K100))</f>
        <v/>
      </c>
      <c r="E100" s="10" t="str">
        <f>IF($K100="","",INDEX(Конструктор!$H$2:$H$1212,$K100))</f>
        <v/>
      </c>
      <c r="F100" s="10" t="str">
        <f>IF($K100="","",INDEX(Конструктор!$L$2:$L$1212,$K100))</f>
        <v/>
      </c>
      <c r="G100" s="10" t="str">
        <f>IF($K100="","",INDEX(Конструктор!$M$2:$M$1212,$K100))</f>
        <v/>
      </c>
      <c r="H100" s="10" t="str">
        <f>IF($K100="","",INDEX(Конструктор!$N$2:$N$1212,$K100))</f>
        <v/>
      </c>
      <c r="I100" s="10" t="str">
        <f>IF($K100="","",INDEX(Конструктор!$O$2:$O$1212,$K100))</f>
        <v/>
      </c>
      <c r="J100" s="10" t="str">
        <f>IF($K100="","",INDEX(Конструктор!$P$2:$P$1212,$K100))</f>
        <v/>
      </c>
      <c r="K100" t="str">
        <f>IFERROR(MATCH(80,Конструктор!$T$2:$T$1212,0),"")</f>
        <v/>
      </c>
      <c r="L100" t="str">
        <f t="shared" si="1"/>
        <v/>
      </c>
    </row>
    <row r="101" spans="1:12" hidden="1" x14ac:dyDescent="0.3">
      <c r="A101" t="str">
        <f>IF($K101="","",81)</f>
        <v/>
      </c>
      <c r="B101" t="str">
        <f>IF($K101="","",INDEX(Конструктор!$C$2:$C$1212,$K101))</f>
        <v/>
      </c>
      <c r="C101" s="8" t="str">
        <f>IF($K101="","",INDEX(Конструктор!$D$2:$D$1212,$K101)&amp;IF(INDEX(Конструктор!$J$2:$J$1212,$K101)&lt;&gt;""," — "&amp;INDEX(Конструктор!$J$2:$J$1212,$K101),""))</f>
        <v/>
      </c>
      <c r="D101" t="str">
        <f>IF($K101="","",INDEX(Конструктор!$E$2:$E$1212,$K101))</f>
        <v/>
      </c>
      <c r="E101" s="10" t="str">
        <f>IF($K101="","",INDEX(Конструктор!$H$2:$H$1212,$K101))</f>
        <v/>
      </c>
      <c r="F101" s="10" t="str">
        <f>IF($K101="","",INDEX(Конструктор!$L$2:$L$1212,$K101))</f>
        <v/>
      </c>
      <c r="G101" s="10" t="str">
        <f>IF($K101="","",INDEX(Конструктор!$M$2:$M$1212,$K101))</f>
        <v/>
      </c>
      <c r="H101" s="10" t="str">
        <f>IF($K101="","",INDEX(Конструктор!$N$2:$N$1212,$K101))</f>
        <v/>
      </c>
      <c r="I101" s="10" t="str">
        <f>IF($K101="","",INDEX(Конструктор!$O$2:$O$1212,$K101))</f>
        <v/>
      </c>
      <c r="J101" s="10" t="str">
        <f>IF($K101="","",INDEX(Конструктор!$P$2:$P$1212,$K101))</f>
        <v/>
      </c>
      <c r="K101" t="str">
        <f>IFERROR(MATCH(81,Конструктор!$T$2:$T$1212,0),"")</f>
        <v/>
      </c>
      <c r="L101" t="str">
        <f t="shared" si="1"/>
        <v/>
      </c>
    </row>
    <row r="102" spans="1:12" hidden="1" x14ac:dyDescent="0.3">
      <c r="A102" t="str">
        <f>IF($K102="","",82)</f>
        <v/>
      </c>
      <c r="B102" t="str">
        <f>IF($K102="","",INDEX(Конструктор!$C$2:$C$1212,$K102))</f>
        <v/>
      </c>
      <c r="C102" s="8" t="str">
        <f>IF($K102="","",INDEX(Конструктор!$D$2:$D$1212,$K102)&amp;IF(INDEX(Конструктор!$J$2:$J$1212,$K102)&lt;&gt;""," — "&amp;INDEX(Конструктор!$J$2:$J$1212,$K102),""))</f>
        <v/>
      </c>
      <c r="D102" t="str">
        <f>IF($K102="","",INDEX(Конструктор!$E$2:$E$1212,$K102))</f>
        <v/>
      </c>
      <c r="E102" s="10" t="str">
        <f>IF($K102="","",INDEX(Конструктор!$H$2:$H$1212,$K102))</f>
        <v/>
      </c>
      <c r="F102" s="10" t="str">
        <f>IF($K102="","",INDEX(Конструктор!$L$2:$L$1212,$K102))</f>
        <v/>
      </c>
      <c r="G102" s="10" t="str">
        <f>IF($K102="","",INDEX(Конструктор!$M$2:$M$1212,$K102))</f>
        <v/>
      </c>
      <c r="H102" s="10" t="str">
        <f>IF($K102="","",INDEX(Конструктор!$N$2:$N$1212,$K102))</f>
        <v/>
      </c>
      <c r="I102" s="10" t="str">
        <f>IF($K102="","",INDEX(Конструктор!$O$2:$O$1212,$K102))</f>
        <v/>
      </c>
      <c r="J102" s="10" t="str">
        <f>IF($K102="","",INDEX(Конструктор!$P$2:$P$1212,$K102))</f>
        <v/>
      </c>
      <c r="K102" t="str">
        <f>IFERROR(MATCH(82,Конструктор!$T$2:$T$1212,0),"")</f>
        <v/>
      </c>
      <c r="L102" t="str">
        <f t="shared" si="1"/>
        <v/>
      </c>
    </row>
    <row r="103" spans="1:12" hidden="1" x14ac:dyDescent="0.3">
      <c r="A103" t="str">
        <f>IF($K103="","",83)</f>
        <v/>
      </c>
      <c r="B103" t="str">
        <f>IF($K103="","",INDEX(Конструктор!$C$2:$C$1212,$K103))</f>
        <v/>
      </c>
      <c r="C103" s="8" t="str">
        <f>IF($K103="","",INDEX(Конструктор!$D$2:$D$1212,$K103)&amp;IF(INDEX(Конструктор!$J$2:$J$1212,$K103)&lt;&gt;""," — "&amp;INDEX(Конструктор!$J$2:$J$1212,$K103),""))</f>
        <v/>
      </c>
      <c r="D103" t="str">
        <f>IF($K103="","",INDEX(Конструктор!$E$2:$E$1212,$K103))</f>
        <v/>
      </c>
      <c r="E103" s="10" t="str">
        <f>IF($K103="","",INDEX(Конструктор!$H$2:$H$1212,$K103))</f>
        <v/>
      </c>
      <c r="F103" s="10" t="str">
        <f>IF($K103="","",INDEX(Конструктор!$L$2:$L$1212,$K103))</f>
        <v/>
      </c>
      <c r="G103" s="10" t="str">
        <f>IF($K103="","",INDEX(Конструктор!$M$2:$M$1212,$K103))</f>
        <v/>
      </c>
      <c r="H103" s="10" t="str">
        <f>IF($K103="","",INDEX(Конструктор!$N$2:$N$1212,$K103))</f>
        <v/>
      </c>
      <c r="I103" s="10" t="str">
        <f>IF($K103="","",INDEX(Конструктор!$O$2:$O$1212,$K103))</f>
        <v/>
      </c>
      <c r="J103" s="10" t="str">
        <f>IF($K103="","",INDEX(Конструктор!$P$2:$P$1212,$K103))</f>
        <v/>
      </c>
      <c r="K103" t="str">
        <f>IFERROR(MATCH(83,Конструктор!$T$2:$T$1212,0),"")</f>
        <v/>
      </c>
      <c r="L103" t="str">
        <f t="shared" si="1"/>
        <v/>
      </c>
    </row>
    <row r="104" spans="1:12" hidden="1" x14ac:dyDescent="0.3">
      <c r="A104" t="str">
        <f>IF($K104="","",84)</f>
        <v/>
      </c>
      <c r="B104" t="str">
        <f>IF($K104="","",INDEX(Конструктор!$C$2:$C$1212,$K104))</f>
        <v/>
      </c>
      <c r="C104" s="8" t="str">
        <f>IF($K104="","",INDEX(Конструктор!$D$2:$D$1212,$K104)&amp;IF(INDEX(Конструктор!$J$2:$J$1212,$K104)&lt;&gt;""," — "&amp;INDEX(Конструктор!$J$2:$J$1212,$K104),""))</f>
        <v/>
      </c>
      <c r="D104" t="str">
        <f>IF($K104="","",INDEX(Конструктор!$E$2:$E$1212,$K104))</f>
        <v/>
      </c>
      <c r="E104" s="10" t="str">
        <f>IF($K104="","",INDEX(Конструктор!$H$2:$H$1212,$K104))</f>
        <v/>
      </c>
      <c r="F104" s="10" t="str">
        <f>IF($K104="","",INDEX(Конструктор!$L$2:$L$1212,$K104))</f>
        <v/>
      </c>
      <c r="G104" s="10" t="str">
        <f>IF($K104="","",INDEX(Конструктор!$M$2:$M$1212,$K104))</f>
        <v/>
      </c>
      <c r="H104" s="10" t="str">
        <f>IF($K104="","",INDEX(Конструктор!$N$2:$N$1212,$K104))</f>
        <v/>
      </c>
      <c r="I104" s="10" t="str">
        <f>IF($K104="","",INDEX(Конструктор!$O$2:$O$1212,$K104))</f>
        <v/>
      </c>
      <c r="J104" s="10" t="str">
        <f>IF($K104="","",INDEX(Конструктор!$P$2:$P$1212,$K104))</f>
        <v/>
      </c>
      <c r="K104" t="str">
        <f>IFERROR(MATCH(84,Конструктор!$T$2:$T$1212,0),"")</f>
        <v/>
      </c>
      <c r="L104" t="str">
        <f t="shared" si="1"/>
        <v/>
      </c>
    </row>
    <row r="105" spans="1:12" hidden="1" x14ac:dyDescent="0.3">
      <c r="A105" t="str">
        <f>IF($K105="","",85)</f>
        <v/>
      </c>
      <c r="B105" t="str">
        <f>IF($K105="","",INDEX(Конструктор!$C$2:$C$1212,$K105))</f>
        <v/>
      </c>
      <c r="C105" s="8" t="str">
        <f>IF($K105="","",INDEX(Конструктор!$D$2:$D$1212,$K105)&amp;IF(INDEX(Конструктор!$J$2:$J$1212,$K105)&lt;&gt;""," — "&amp;INDEX(Конструктор!$J$2:$J$1212,$K105),""))</f>
        <v/>
      </c>
      <c r="D105" t="str">
        <f>IF($K105="","",INDEX(Конструктор!$E$2:$E$1212,$K105))</f>
        <v/>
      </c>
      <c r="E105" s="10" t="str">
        <f>IF($K105="","",INDEX(Конструктор!$H$2:$H$1212,$K105))</f>
        <v/>
      </c>
      <c r="F105" s="10" t="str">
        <f>IF($K105="","",INDEX(Конструктор!$L$2:$L$1212,$K105))</f>
        <v/>
      </c>
      <c r="G105" s="10" t="str">
        <f>IF($K105="","",INDEX(Конструктор!$M$2:$M$1212,$K105))</f>
        <v/>
      </c>
      <c r="H105" s="10" t="str">
        <f>IF($K105="","",INDEX(Конструктор!$N$2:$N$1212,$K105))</f>
        <v/>
      </c>
      <c r="I105" s="10" t="str">
        <f>IF($K105="","",INDEX(Конструктор!$O$2:$O$1212,$K105))</f>
        <v/>
      </c>
      <c r="J105" s="10" t="str">
        <f>IF($K105="","",INDEX(Конструктор!$P$2:$P$1212,$K105))</f>
        <v/>
      </c>
      <c r="K105" t="str">
        <f>IFERROR(MATCH(85,Конструктор!$T$2:$T$1212,0),"")</f>
        <v/>
      </c>
      <c r="L105" t="str">
        <f t="shared" si="1"/>
        <v/>
      </c>
    </row>
    <row r="106" spans="1:12" hidden="1" x14ac:dyDescent="0.3">
      <c r="A106" t="str">
        <f>IF($K106="","",86)</f>
        <v/>
      </c>
      <c r="B106" t="str">
        <f>IF($K106="","",INDEX(Конструктор!$C$2:$C$1212,$K106))</f>
        <v/>
      </c>
      <c r="C106" s="8" t="str">
        <f>IF($K106="","",INDEX(Конструктор!$D$2:$D$1212,$K106)&amp;IF(INDEX(Конструктор!$J$2:$J$1212,$K106)&lt;&gt;""," — "&amp;INDEX(Конструктор!$J$2:$J$1212,$K106),""))</f>
        <v/>
      </c>
      <c r="D106" t="str">
        <f>IF($K106="","",INDEX(Конструктор!$E$2:$E$1212,$K106))</f>
        <v/>
      </c>
      <c r="E106" s="10" t="str">
        <f>IF($K106="","",INDEX(Конструктор!$H$2:$H$1212,$K106))</f>
        <v/>
      </c>
      <c r="F106" s="10" t="str">
        <f>IF($K106="","",INDEX(Конструктор!$L$2:$L$1212,$K106))</f>
        <v/>
      </c>
      <c r="G106" s="10" t="str">
        <f>IF($K106="","",INDEX(Конструктор!$M$2:$M$1212,$K106))</f>
        <v/>
      </c>
      <c r="H106" s="10" t="str">
        <f>IF($K106="","",INDEX(Конструктор!$N$2:$N$1212,$K106))</f>
        <v/>
      </c>
      <c r="I106" s="10" t="str">
        <f>IF($K106="","",INDEX(Конструктор!$O$2:$O$1212,$K106))</f>
        <v/>
      </c>
      <c r="J106" s="10" t="str">
        <f>IF($K106="","",INDEX(Конструктор!$P$2:$P$1212,$K106))</f>
        <v/>
      </c>
      <c r="K106" t="str">
        <f>IFERROR(MATCH(86,Конструктор!$T$2:$T$1212,0),"")</f>
        <v/>
      </c>
      <c r="L106" t="str">
        <f t="shared" si="1"/>
        <v/>
      </c>
    </row>
    <row r="107" spans="1:12" hidden="1" x14ac:dyDescent="0.3">
      <c r="A107" t="str">
        <f>IF($K107="","",87)</f>
        <v/>
      </c>
      <c r="B107" t="str">
        <f>IF($K107="","",INDEX(Конструктор!$C$2:$C$1212,$K107))</f>
        <v/>
      </c>
      <c r="C107" s="8" t="str">
        <f>IF($K107="","",INDEX(Конструктор!$D$2:$D$1212,$K107)&amp;IF(INDEX(Конструктор!$J$2:$J$1212,$K107)&lt;&gt;""," — "&amp;INDEX(Конструктор!$J$2:$J$1212,$K107),""))</f>
        <v/>
      </c>
      <c r="D107" t="str">
        <f>IF($K107="","",INDEX(Конструктор!$E$2:$E$1212,$K107))</f>
        <v/>
      </c>
      <c r="E107" s="10" t="str">
        <f>IF($K107="","",INDEX(Конструктор!$H$2:$H$1212,$K107))</f>
        <v/>
      </c>
      <c r="F107" s="10" t="str">
        <f>IF($K107="","",INDEX(Конструктор!$L$2:$L$1212,$K107))</f>
        <v/>
      </c>
      <c r="G107" s="10" t="str">
        <f>IF($K107="","",INDEX(Конструктор!$M$2:$M$1212,$K107))</f>
        <v/>
      </c>
      <c r="H107" s="10" t="str">
        <f>IF($K107="","",INDEX(Конструктор!$N$2:$N$1212,$K107))</f>
        <v/>
      </c>
      <c r="I107" s="10" t="str">
        <f>IF($K107="","",INDEX(Конструктор!$O$2:$O$1212,$K107))</f>
        <v/>
      </c>
      <c r="J107" s="10" t="str">
        <f>IF($K107="","",INDEX(Конструктор!$P$2:$P$1212,$K107))</f>
        <v/>
      </c>
      <c r="K107" t="str">
        <f>IFERROR(MATCH(87,Конструктор!$T$2:$T$1212,0),"")</f>
        <v/>
      </c>
      <c r="L107" t="str">
        <f t="shared" si="1"/>
        <v/>
      </c>
    </row>
    <row r="108" spans="1:12" hidden="1" x14ac:dyDescent="0.3">
      <c r="A108" t="str">
        <f>IF($K108="","",88)</f>
        <v/>
      </c>
      <c r="B108" t="str">
        <f>IF($K108="","",INDEX(Конструктор!$C$2:$C$1212,$K108))</f>
        <v/>
      </c>
      <c r="C108" s="8" t="str">
        <f>IF($K108="","",INDEX(Конструктор!$D$2:$D$1212,$K108)&amp;IF(INDEX(Конструктор!$J$2:$J$1212,$K108)&lt;&gt;""," — "&amp;INDEX(Конструктор!$J$2:$J$1212,$K108),""))</f>
        <v/>
      </c>
      <c r="D108" t="str">
        <f>IF($K108="","",INDEX(Конструктор!$E$2:$E$1212,$K108))</f>
        <v/>
      </c>
      <c r="E108" s="10" t="str">
        <f>IF($K108="","",INDEX(Конструктор!$H$2:$H$1212,$K108))</f>
        <v/>
      </c>
      <c r="F108" s="10" t="str">
        <f>IF($K108="","",INDEX(Конструктор!$L$2:$L$1212,$K108))</f>
        <v/>
      </c>
      <c r="G108" s="10" t="str">
        <f>IF($K108="","",INDEX(Конструктор!$M$2:$M$1212,$K108))</f>
        <v/>
      </c>
      <c r="H108" s="10" t="str">
        <f>IF($K108="","",INDEX(Конструктор!$N$2:$N$1212,$K108))</f>
        <v/>
      </c>
      <c r="I108" s="10" t="str">
        <f>IF($K108="","",INDEX(Конструктор!$O$2:$O$1212,$K108))</f>
        <v/>
      </c>
      <c r="J108" s="10" t="str">
        <f>IF($K108="","",INDEX(Конструктор!$P$2:$P$1212,$K108))</f>
        <v/>
      </c>
      <c r="K108" t="str">
        <f>IFERROR(MATCH(88,Конструктор!$T$2:$T$1212,0),"")</f>
        <v/>
      </c>
      <c r="L108" t="str">
        <f t="shared" si="1"/>
        <v/>
      </c>
    </row>
    <row r="109" spans="1:12" hidden="1" x14ac:dyDescent="0.3">
      <c r="A109" t="str">
        <f>IF($K109="","",89)</f>
        <v/>
      </c>
      <c r="B109" t="str">
        <f>IF($K109="","",INDEX(Конструктор!$C$2:$C$1212,$K109))</f>
        <v/>
      </c>
      <c r="C109" s="8" t="str">
        <f>IF($K109="","",INDEX(Конструктор!$D$2:$D$1212,$K109)&amp;IF(INDEX(Конструктор!$J$2:$J$1212,$K109)&lt;&gt;""," — "&amp;INDEX(Конструктор!$J$2:$J$1212,$K109),""))</f>
        <v/>
      </c>
      <c r="D109" t="str">
        <f>IF($K109="","",INDEX(Конструктор!$E$2:$E$1212,$K109))</f>
        <v/>
      </c>
      <c r="E109" s="10" t="str">
        <f>IF($K109="","",INDEX(Конструктор!$H$2:$H$1212,$K109))</f>
        <v/>
      </c>
      <c r="F109" s="10" t="str">
        <f>IF($K109="","",INDEX(Конструктор!$L$2:$L$1212,$K109))</f>
        <v/>
      </c>
      <c r="G109" s="10" t="str">
        <f>IF($K109="","",INDEX(Конструктор!$M$2:$M$1212,$K109))</f>
        <v/>
      </c>
      <c r="H109" s="10" t="str">
        <f>IF($K109="","",INDEX(Конструктор!$N$2:$N$1212,$K109))</f>
        <v/>
      </c>
      <c r="I109" s="10" t="str">
        <f>IF($K109="","",INDEX(Конструктор!$O$2:$O$1212,$K109))</f>
        <v/>
      </c>
      <c r="J109" s="10" t="str">
        <f>IF($K109="","",INDEX(Конструктор!$P$2:$P$1212,$K109))</f>
        <v/>
      </c>
      <c r="K109" t="str">
        <f>IFERROR(MATCH(89,Конструктор!$T$2:$T$1212,0),"")</f>
        <v/>
      </c>
      <c r="L109" t="str">
        <f t="shared" si="1"/>
        <v/>
      </c>
    </row>
    <row r="110" spans="1:12" hidden="1" x14ac:dyDescent="0.3">
      <c r="A110" t="str">
        <f>IF($K110="","",90)</f>
        <v/>
      </c>
      <c r="B110" t="str">
        <f>IF($K110="","",INDEX(Конструктор!$C$2:$C$1212,$K110))</f>
        <v/>
      </c>
      <c r="C110" s="8" t="str">
        <f>IF($K110="","",INDEX(Конструктор!$D$2:$D$1212,$K110)&amp;IF(INDEX(Конструктор!$J$2:$J$1212,$K110)&lt;&gt;""," — "&amp;INDEX(Конструктор!$J$2:$J$1212,$K110),""))</f>
        <v/>
      </c>
      <c r="D110" t="str">
        <f>IF($K110="","",INDEX(Конструктор!$E$2:$E$1212,$K110))</f>
        <v/>
      </c>
      <c r="E110" s="10" t="str">
        <f>IF($K110="","",INDEX(Конструктор!$H$2:$H$1212,$K110))</f>
        <v/>
      </c>
      <c r="F110" s="10" t="str">
        <f>IF($K110="","",INDEX(Конструктор!$L$2:$L$1212,$K110))</f>
        <v/>
      </c>
      <c r="G110" s="10" t="str">
        <f>IF($K110="","",INDEX(Конструктор!$M$2:$M$1212,$K110))</f>
        <v/>
      </c>
      <c r="H110" s="10" t="str">
        <f>IF($K110="","",INDEX(Конструктор!$N$2:$N$1212,$K110))</f>
        <v/>
      </c>
      <c r="I110" s="10" t="str">
        <f>IF($K110="","",INDEX(Конструктор!$O$2:$O$1212,$K110))</f>
        <v/>
      </c>
      <c r="J110" s="10" t="str">
        <f>IF($K110="","",INDEX(Конструктор!$P$2:$P$1212,$K110))</f>
        <v/>
      </c>
      <c r="K110" t="str">
        <f>IFERROR(MATCH(90,Конструктор!$T$2:$T$1212,0),"")</f>
        <v/>
      </c>
      <c r="L110" t="str">
        <f t="shared" si="1"/>
        <v/>
      </c>
    </row>
    <row r="111" spans="1:12" hidden="1" x14ac:dyDescent="0.3">
      <c r="A111" t="str">
        <f>IF($K111="","",91)</f>
        <v/>
      </c>
      <c r="B111" t="str">
        <f>IF($K111="","",INDEX(Конструктор!$C$2:$C$1212,$K111))</f>
        <v/>
      </c>
      <c r="C111" s="8" t="str">
        <f>IF($K111="","",INDEX(Конструктор!$D$2:$D$1212,$K111)&amp;IF(INDEX(Конструктор!$J$2:$J$1212,$K111)&lt;&gt;""," — "&amp;INDEX(Конструктор!$J$2:$J$1212,$K111),""))</f>
        <v/>
      </c>
      <c r="D111" t="str">
        <f>IF($K111="","",INDEX(Конструктор!$E$2:$E$1212,$K111))</f>
        <v/>
      </c>
      <c r="E111" s="10" t="str">
        <f>IF($K111="","",INDEX(Конструктор!$H$2:$H$1212,$K111))</f>
        <v/>
      </c>
      <c r="F111" s="10" t="str">
        <f>IF($K111="","",INDEX(Конструктор!$L$2:$L$1212,$K111))</f>
        <v/>
      </c>
      <c r="G111" s="10" t="str">
        <f>IF($K111="","",INDEX(Конструктор!$M$2:$M$1212,$K111))</f>
        <v/>
      </c>
      <c r="H111" s="10" t="str">
        <f>IF($K111="","",INDEX(Конструктор!$N$2:$N$1212,$K111))</f>
        <v/>
      </c>
      <c r="I111" s="10" t="str">
        <f>IF($K111="","",INDEX(Конструктор!$O$2:$O$1212,$K111))</f>
        <v/>
      </c>
      <c r="J111" s="10" t="str">
        <f>IF($K111="","",INDEX(Конструктор!$P$2:$P$1212,$K111))</f>
        <v/>
      </c>
      <c r="K111" t="str">
        <f>IFERROR(MATCH(91,Конструктор!$T$2:$T$1212,0),"")</f>
        <v/>
      </c>
      <c r="L111" t="str">
        <f t="shared" si="1"/>
        <v/>
      </c>
    </row>
    <row r="112" spans="1:12" hidden="1" x14ac:dyDescent="0.3">
      <c r="A112" t="str">
        <f>IF($K112="","",92)</f>
        <v/>
      </c>
      <c r="B112" t="str">
        <f>IF($K112="","",INDEX(Конструктор!$C$2:$C$1212,$K112))</f>
        <v/>
      </c>
      <c r="C112" s="8" t="str">
        <f>IF($K112="","",INDEX(Конструктор!$D$2:$D$1212,$K112)&amp;IF(INDEX(Конструктор!$J$2:$J$1212,$K112)&lt;&gt;""," — "&amp;INDEX(Конструктор!$J$2:$J$1212,$K112),""))</f>
        <v/>
      </c>
      <c r="D112" t="str">
        <f>IF($K112="","",INDEX(Конструктор!$E$2:$E$1212,$K112))</f>
        <v/>
      </c>
      <c r="E112" s="10" t="str">
        <f>IF($K112="","",INDEX(Конструктор!$H$2:$H$1212,$K112))</f>
        <v/>
      </c>
      <c r="F112" s="10" t="str">
        <f>IF($K112="","",INDEX(Конструктор!$L$2:$L$1212,$K112))</f>
        <v/>
      </c>
      <c r="G112" s="10" t="str">
        <f>IF($K112="","",INDEX(Конструктор!$M$2:$M$1212,$K112))</f>
        <v/>
      </c>
      <c r="H112" s="10" t="str">
        <f>IF($K112="","",INDEX(Конструктор!$N$2:$N$1212,$K112))</f>
        <v/>
      </c>
      <c r="I112" s="10" t="str">
        <f>IF($K112="","",INDEX(Конструктор!$O$2:$O$1212,$K112))</f>
        <v/>
      </c>
      <c r="J112" s="10" t="str">
        <f>IF($K112="","",INDEX(Конструктор!$P$2:$P$1212,$K112))</f>
        <v/>
      </c>
      <c r="K112" t="str">
        <f>IFERROR(MATCH(92,Конструктор!$T$2:$T$1212,0),"")</f>
        <v/>
      </c>
      <c r="L112" t="str">
        <f t="shared" si="1"/>
        <v/>
      </c>
    </row>
    <row r="113" spans="1:12" hidden="1" x14ac:dyDescent="0.3">
      <c r="A113" t="str">
        <f>IF($K113="","",93)</f>
        <v/>
      </c>
      <c r="B113" t="str">
        <f>IF($K113="","",INDEX(Конструктор!$C$2:$C$1212,$K113))</f>
        <v/>
      </c>
      <c r="C113" s="8" t="str">
        <f>IF($K113="","",INDEX(Конструктор!$D$2:$D$1212,$K113)&amp;IF(INDEX(Конструктор!$J$2:$J$1212,$K113)&lt;&gt;""," — "&amp;INDEX(Конструктор!$J$2:$J$1212,$K113),""))</f>
        <v/>
      </c>
      <c r="D113" t="str">
        <f>IF($K113="","",INDEX(Конструктор!$E$2:$E$1212,$K113))</f>
        <v/>
      </c>
      <c r="E113" s="10" t="str">
        <f>IF($K113="","",INDEX(Конструктор!$H$2:$H$1212,$K113))</f>
        <v/>
      </c>
      <c r="F113" s="10" t="str">
        <f>IF($K113="","",INDEX(Конструктор!$L$2:$L$1212,$K113))</f>
        <v/>
      </c>
      <c r="G113" s="10" t="str">
        <f>IF($K113="","",INDEX(Конструктор!$M$2:$M$1212,$K113))</f>
        <v/>
      </c>
      <c r="H113" s="10" t="str">
        <f>IF($K113="","",INDEX(Конструктор!$N$2:$N$1212,$K113))</f>
        <v/>
      </c>
      <c r="I113" s="10" t="str">
        <f>IF($K113="","",INDEX(Конструктор!$O$2:$O$1212,$K113))</f>
        <v/>
      </c>
      <c r="J113" s="10" t="str">
        <f>IF($K113="","",INDEX(Конструктор!$P$2:$P$1212,$K113))</f>
        <v/>
      </c>
      <c r="K113" t="str">
        <f>IFERROR(MATCH(93,Конструктор!$T$2:$T$1212,0),"")</f>
        <v/>
      </c>
      <c r="L113" t="str">
        <f t="shared" si="1"/>
        <v/>
      </c>
    </row>
    <row r="114" spans="1:12" hidden="1" x14ac:dyDescent="0.3">
      <c r="A114" t="str">
        <f>IF($K114="","",94)</f>
        <v/>
      </c>
      <c r="B114" t="str">
        <f>IF($K114="","",INDEX(Конструктор!$C$2:$C$1212,$K114))</f>
        <v/>
      </c>
      <c r="C114" s="8" t="str">
        <f>IF($K114="","",INDEX(Конструктор!$D$2:$D$1212,$K114)&amp;IF(INDEX(Конструктор!$J$2:$J$1212,$K114)&lt;&gt;""," — "&amp;INDEX(Конструктор!$J$2:$J$1212,$K114),""))</f>
        <v/>
      </c>
      <c r="D114" t="str">
        <f>IF($K114="","",INDEX(Конструктор!$E$2:$E$1212,$K114))</f>
        <v/>
      </c>
      <c r="E114" s="10" t="str">
        <f>IF($K114="","",INDEX(Конструктор!$H$2:$H$1212,$K114))</f>
        <v/>
      </c>
      <c r="F114" s="10" t="str">
        <f>IF($K114="","",INDEX(Конструктор!$L$2:$L$1212,$K114))</f>
        <v/>
      </c>
      <c r="G114" s="10" t="str">
        <f>IF($K114="","",INDEX(Конструктор!$M$2:$M$1212,$K114))</f>
        <v/>
      </c>
      <c r="H114" s="10" t="str">
        <f>IF($K114="","",INDEX(Конструктор!$N$2:$N$1212,$K114))</f>
        <v/>
      </c>
      <c r="I114" s="10" t="str">
        <f>IF($K114="","",INDEX(Конструктор!$O$2:$O$1212,$K114))</f>
        <v/>
      </c>
      <c r="J114" s="10" t="str">
        <f>IF($K114="","",INDEX(Конструктор!$P$2:$P$1212,$K114))</f>
        <v/>
      </c>
      <c r="K114" t="str">
        <f>IFERROR(MATCH(94,Конструктор!$T$2:$T$1212,0),"")</f>
        <v/>
      </c>
      <c r="L114" t="str">
        <f t="shared" si="1"/>
        <v/>
      </c>
    </row>
    <row r="115" spans="1:12" hidden="1" x14ac:dyDescent="0.3">
      <c r="A115" t="str">
        <f>IF($K115="","",95)</f>
        <v/>
      </c>
      <c r="B115" t="str">
        <f>IF($K115="","",INDEX(Конструктор!$C$2:$C$1212,$K115))</f>
        <v/>
      </c>
      <c r="C115" s="8" t="str">
        <f>IF($K115="","",INDEX(Конструктор!$D$2:$D$1212,$K115)&amp;IF(INDEX(Конструктор!$J$2:$J$1212,$K115)&lt;&gt;""," — "&amp;INDEX(Конструктор!$J$2:$J$1212,$K115),""))</f>
        <v/>
      </c>
      <c r="D115" t="str">
        <f>IF($K115="","",INDEX(Конструктор!$E$2:$E$1212,$K115))</f>
        <v/>
      </c>
      <c r="E115" s="10" t="str">
        <f>IF($K115="","",INDEX(Конструктор!$H$2:$H$1212,$K115))</f>
        <v/>
      </c>
      <c r="F115" s="10" t="str">
        <f>IF($K115="","",INDEX(Конструктор!$L$2:$L$1212,$K115))</f>
        <v/>
      </c>
      <c r="G115" s="10" t="str">
        <f>IF($K115="","",INDEX(Конструктор!$M$2:$M$1212,$K115))</f>
        <v/>
      </c>
      <c r="H115" s="10" t="str">
        <f>IF($K115="","",INDEX(Конструктор!$N$2:$N$1212,$K115))</f>
        <v/>
      </c>
      <c r="I115" s="10" t="str">
        <f>IF($K115="","",INDEX(Конструктор!$O$2:$O$1212,$K115))</f>
        <v/>
      </c>
      <c r="J115" s="10" t="str">
        <f>IF($K115="","",INDEX(Конструктор!$P$2:$P$1212,$K115))</f>
        <v/>
      </c>
      <c r="K115" t="str">
        <f>IFERROR(MATCH(95,Конструктор!$T$2:$T$1212,0),"")</f>
        <v/>
      </c>
      <c r="L115" t="str">
        <f t="shared" si="1"/>
        <v/>
      </c>
    </row>
    <row r="116" spans="1:12" hidden="1" x14ac:dyDescent="0.3">
      <c r="A116" t="str">
        <f>IF($K116="","",96)</f>
        <v/>
      </c>
      <c r="B116" t="str">
        <f>IF($K116="","",INDEX(Конструктор!$C$2:$C$1212,$K116))</f>
        <v/>
      </c>
      <c r="C116" s="8" t="str">
        <f>IF($K116="","",INDEX(Конструктор!$D$2:$D$1212,$K116)&amp;IF(INDEX(Конструктор!$J$2:$J$1212,$K116)&lt;&gt;""," — "&amp;INDEX(Конструктор!$J$2:$J$1212,$K116),""))</f>
        <v/>
      </c>
      <c r="D116" t="str">
        <f>IF($K116="","",INDEX(Конструктор!$E$2:$E$1212,$K116))</f>
        <v/>
      </c>
      <c r="E116" s="10" t="str">
        <f>IF($K116="","",INDEX(Конструктор!$H$2:$H$1212,$K116))</f>
        <v/>
      </c>
      <c r="F116" s="10" t="str">
        <f>IF($K116="","",INDEX(Конструктор!$L$2:$L$1212,$K116))</f>
        <v/>
      </c>
      <c r="G116" s="10" t="str">
        <f>IF($K116="","",INDEX(Конструктор!$M$2:$M$1212,$K116))</f>
        <v/>
      </c>
      <c r="H116" s="10" t="str">
        <f>IF($K116="","",INDEX(Конструктор!$N$2:$N$1212,$K116))</f>
        <v/>
      </c>
      <c r="I116" s="10" t="str">
        <f>IF($K116="","",INDEX(Конструктор!$O$2:$O$1212,$K116))</f>
        <v/>
      </c>
      <c r="J116" s="10" t="str">
        <f>IF($K116="","",INDEX(Конструктор!$P$2:$P$1212,$K116))</f>
        <v/>
      </c>
      <c r="K116" t="str">
        <f>IFERROR(MATCH(96,Конструктор!$T$2:$T$1212,0),"")</f>
        <v/>
      </c>
      <c r="L116" t="str">
        <f t="shared" si="1"/>
        <v/>
      </c>
    </row>
    <row r="117" spans="1:12" hidden="1" x14ac:dyDescent="0.3">
      <c r="A117" t="str">
        <f>IF($K117="","",97)</f>
        <v/>
      </c>
      <c r="B117" t="str">
        <f>IF($K117="","",INDEX(Конструктор!$C$2:$C$1212,$K117))</f>
        <v/>
      </c>
      <c r="C117" s="8" t="str">
        <f>IF($K117="","",INDEX(Конструктор!$D$2:$D$1212,$K117)&amp;IF(INDEX(Конструктор!$J$2:$J$1212,$K117)&lt;&gt;""," — "&amp;INDEX(Конструктор!$J$2:$J$1212,$K117),""))</f>
        <v/>
      </c>
      <c r="D117" t="str">
        <f>IF($K117="","",INDEX(Конструктор!$E$2:$E$1212,$K117))</f>
        <v/>
      </c>
      <c r="E117" s="10" t="str">
        <f>IF($K117="","",INDEX(Конструктор!$H$2:$H$1212,$K117))</f>
        <v/>
      </c>
      <c r="F117" s="10" t="str">
        <f>IF($K117="","",INDEX(Конструктор!$L$2:$L$1212,$K117))</f>
        <v/>
      </c>
      <c r="G117" s="10" t="str">
        <f>IF($K117="","",INDEX(Конструктор!$M$2:$M$1212,$K117))</f>
        <v/>
      </c>
      <c r="H117" s="10" t="str">
        <f>IF($K117="","",INDEX(Конструктор!$N$2:$N$1212,$K117))</f>
        <v/>
      </c>
      <c r="I117" s="10" t="str">
        <f>IF($K117="","",INDEX(Конструктор!$O$2:$O$1212,$K117))</f>
        <v/>
      </c>
      <c r="J117" s="10" t="str">
        <f>IF($K117="","",INDEX(Конструктор!$P$2:$P$1212,$K117))</f>
        <v/>
      </c>
      <c r="K117" t="str">
        <f>IFERROR(MATCH(97,Конструктор!$T$2:$T$1212,0),"")</f>
        <v/>
      </c>
      <c r="L117" t="str">
        <f t="shared" si="1"/>
        <v/>
      </c>
    </row>
    <row r="118" spans="1:12" hidden="1" x14ac:dyDescent="0.3">
      <c r="A118" t="str">
        <f>IF($K118="","",98)</f>
        <v/>
      </c>
      <c r="B118" t="str">
        <f>IF($K118="","",INDEX(Конструктор!$C$2:$C$1212,$K118))</f>
        <v/>
      </c>
      <c r="C118" s="8" t="str">
        <f>IF($K118="","",INDEX(Конструктор!$D$2:$D$1212,$K118)&amp;IF(INDEX(Конструктор!$J$2:$J$1212,$K118)&lt;&gt;""," — "&amp;INDEX(Конструктор!$J$2:$J$1212,$K118),""))</f>
        <v/>
      </c>
      <c r="D118" t="str">
        <f>IF($K118="","",INDEX(Конструктор!$E$2:$E$1212,$K118))</f>
        <v/>
      </c>
      <c r="E118" s="10" t="str">
        <f>IF($K118="","",INDEX(Конструктор!$H$2:$H$1212,$K118))</f>
        <v/>
      </c>
      <c r="F118" s="10" t="str">
        <f>IF($K118="","",INDEX(Конструктор!$L$2:$L$1212,$K118))</f>
        <v/>
      </c>
      <c r="G118" s="10" t="str">
        <f>IF($K118="","",INDEX(Конструктор!$M$2:$M$1212,$K118))</f>
        <v/>
      </c>
      <c r="H118" s="10" t="str">
        <f>IF($K118="","",INDEX(Конструктор!$N$2:$N$1212,$K118))</f>
        <v/>
      </c>
      <c r="I118" s="10" t="str">
        <f>IF($K118="","",INDEX(Конструктор!$O$2:$O$1212,$K118))</f>
        <v/>
      </c>
      <c r="J118" s="10" t="str">
        <f>IF($K118="","",INDEX(Конструктор!$P$2:$P$1212,$K118))</f>
        <v/>
      </c>
      <c r="K118" t="str">
        <f>IFERROR(MATCH(98,Конструктор!$T$2:$T$1212,0),"")</f>
        <v/>
      </c>
      <c r="L118" t="str">
        <f t="shared" si="1"/>
        <v/>
      </c>
    </row>
    <row r="119" spans="1:12" hidden="1" x14ac:dyDescent="0.3">
      <c r="A119" t="str">
        <f>IF($K119="","",99)</f>
        <v/>
      </c>
      <c r="B119" t="str">
        <f>IF($K119="","",INDEX(Конструктор!$C$2:$C$1212,$K119))</f>
        <v/>
      </c>
      <c r="C119" s="8" t="str">
        <f>IF($K119="","",INDEX(Конструктор!$D$2:$D$1212,$K119)&amp;IF(INDEX(Конструктор!$J$2:$J$1212,$K119)&lt;&gt;""," — "&amp;INDEX(Конструктор!$J$2:$J$1212,$K119),""))</f>
        <v/>
      </c>
      <c r="D119" t="str">
        <f>IF($K119="","",INDEX(Конструктор!$E$2:$E$1212,$K119))</f>
        <v/>
      </c>
      <c r="E119" s="10" t="str">
        <f>IF($K119="","",INDEX(Конструктор!$H$2:$H$1212,$K119))</f>
        <v/>
      </c>
      <c r="F119" s="10" t="str">
        <f>IF($K119="","",INDEX(Конструктор!$L$2:$L$1212,$K119))</f>
        <v/>
      </c>
      <c r="G119" s="10" t="str">
        <f>IF($K119="","",INDEX(Конструктор!$M$2:$M$1212,$K119))</f>
        <v/>
      </c>
      <c r="H119" s="10" t="str">
        <f>IF($K119="","",INDEX(Конструктор!$N$2:$N$1212,$K119))</f>
        <v/>
      </c>
      <c r="I119" s="10" t="str">
        <f>IF($K119="","",INDEX(Конструктор!$O$2:$O$1212,$K119))</f>
        <v/>
      </c>
      <c r="J119" s="10" t="str">
        <f>IF($K119="","",INDEX(Конструктор!$P$2:$P$1212,$K119))</f>
        <v/>
      </c>
      <c r="K119" t="str">
        <f>IFERROR(MATCH(99,Конструктор!$T$2:$T$1212,0),"")</f>
        <v/>
      </c>
      <c r="L119" t="str">
        <f t="shared" si="1"/>
        <v/>
      </c>
    </row>
    <row r="120" spans="1:12" hidden="1" x14ac:dyDescent="0.3">
      <c r="A120" t="str">
        <f>IF($K120="","",100)</f>
        <v/>
      </c>
      <c r="B120" t="str">
        <f>IF($K120="","",INDEX(Конструктор!$C$2:$C$1212,$K120))</f>
        <v/>
      </c>
      <c r="C120" s="8" t="str">
        <f>IF($K120="","",INDEX(Конструктор!$D$2:$D$1212,$K120)&amp;IF(INDEX(Конструктор!$J$2:$J$1212,$K120)&lt;&gt;""," — "&amp;INDEX(Конструктор!$J$2:$J$1212,$K120),""))</f>
        <v/>
      </c>
      <c r="D120" t="str">
        <f>IF($K120="","",INDEX(Конструктор!$E$2:$E$1212,$K120))</f>
        <v/>
      </c>
      <c r="E120" s="10" t="str">
        <f>IF($K120="","",INDEX(Конструктор!$H$2:$H$1212,$K120))</f>
        <v/>
      </c>
      <c r="F120" s="10" t="str">
        <f>IF($K120="","",INDEX(Конструктор!$L$2:$L$1212,$K120))</f>
        <v/>
      </c>
      <c r="G120" s="10" t="str">
        <f>IF($K120="","",INDEX(Конструктор!$M$2:$M$1212,$K120))</f>
        <v/>
      </c>
      <c r="H120" s="10" t="str">
        <f>IF($K120="","",INDEX(Конструктор!$N$2:$N$1212,$K120))</f>
        <v/>
      </c>
      <c r="I120" s="10" t="str">
        <f>IF($K120="","",INDEX(Конструктор!$O$2:$O$1212,$K120))</f>
        <v/>
      </c>
      <c r="J120" s="10" t="str">
        <f>IF($K120="","",INDEX(Конструктор!$P$2:$P$1212,$K120))</f>
        <v/>
      </c>
      <c r="K120" t="str">
        <f>IFERROR(MATCH(100,Конструктор!$T$2:$T$1212,0),"")</f>
        <v/>
      </c>
      <c r="L120" t="str">
        <f t="shared" si="1"/>
        <v/>
      </c>
    </row>
    <row r="121" spans="1:12" hidden="1" x14ac:dyDescent="0.3">
      <c r="A121" t="str">
        <f>IF($K121="","",101)</f>
        <v/>
      </c>
      <c r="B121" t="str">
        <f>IF($K121="","",INDEX(Конструктор!$C$2:$C$1212,$K121))</f>
        <v/>
      </c>
      <c r="C121" s="8" t="str">
        <f>IF($K121="","",INDEX(Конструктор!$D$2:$D$1212,$K121)&amp;IF(INDEX(Конструктор!$J$2:$J$1212,$K121)&lt;&gt;""," — "&amp;INDEX(Конструктор!$J$2:$J$1212,$K121),""))</f>
        <v/>
      </c>
      <c r="D121" t="str">
        <f>IF($K121="","",INDEX(Конструктор!$E$2:$E$1212,$K121))</f>
        <v/>
      </c>
      <c r="E121" s="10" t="str">
        <f>IF($K121="","",INDEX(Конструктор!$H$2:$H$1212,$K121))</f>
        <v/>
      </c>
      <c r="F121" s="10" t="str">
        <f>IF($K121="","",INDEX(Конструктор!$L$2:$L$1212,$K121))</f>
        <v/>
      </c>
      <c r="G121" s="10" t="str">
        <f>IF($K121="","",INDEX(Конструктор!$M$2:$M$1212,$K121))</f>
        <v/>
      </c>
      <c r="H121" s="10" t="str">
        <f>IF($K121="","",INDEX(Конструктор!$N$2:$N$1212,$K121))</f>
        <v/>
      </c>
      <c r="I121" s="10" t="str">
        <f>IF($K121="","",INDEX(Конструктор!$O$2:$O$1212,$K121))</f>
        <v/>
      </c>
      <c r="J121" s="10" t="str">
        <f>IF($K121="","",INDEX(Конструктор!$P$2:$P$1212,$K121))</f>
        <v/>
      </c>
      <c r="K121" t="str">
        <f>IFERROR(MATCH(101,Конструктор!$T$2:$T$1212,0),"")</f>
        <v/>
      </c>
      <c r="L121" t="str">
        <f t="shared" si="1"/>
        <v/>
      </c>
    </row>
    <row r="122" spans="1:12" hidden="1" x14ac:dyDescent="0.3">
      <c r="A122" t="str">
        <f>IF($K122="","",102)</f>
        <v/>
      </c>
      <c r="B122" t="str">
        <f>IF($K122="","",INDEX(Конструктор!$C$2:$C$1212,$K122))</f>
        <v/>
      </c>
      <c r="C122" s="8" t="str">
        <f>IF($K122="","",INDEX(Конструктор!$D$2:$D$1212,$K122)&amp;IF(INDEX(Конструктор!$J$2:$J$1212,$K122)&lt;&gt;""," — "&amp;INDEX(Конструктор!$J$2:$J$1212,$K122),""))</f>
        <v/>
      </c>
      <c r="D122" t="str">
        <f>IF($K122="","",INDEX(Конструктор!$E$2:$E$1212,$K122))</f>
        <v/>
      </c>
      <c r="E122" s="10" t="str">
        <f>IF($K122="","",INDEX(Конструктор!$H$2:$H$1212,$K122))</f>
        <v/>
      </c>
      <c r="F122" s="10" t="str">
        <f>IF($K122="","",INDEX(Конструктор!$L$2:$L$1212,$K122))</f>
        <v/>
      </c>
      <c r="G122" s="10" t="str">
        <f>IF($K122="","",INDEX(Конструктор!$M$2:$M$1212,$K122))</f>
        <v/>
      </c>
      <c r="H122" s="10" t="str">
        <f>IF($K122="","",INDEX(Конструктор!$N$2:$N$1212,$K122))</f>
        <v/>
      </c>
      <c r="I122" s="10" t="str">
        <f>IF($K122="","",INDEX(Конструктор!$O$2:$O$1212,$K122))</f>
        <v/>
      </c>
      <c r="J122" s="10" t="str">
        <f>IF($K122="","",INDEX(Конструктор!$P$2:$P$1212,$K122))</f>
        <v/>
      </c>
      <c r="K122" t="str">
        <f>IFERROR(MATCH(102,Конструктор!$T$2:$T$1212,0),"")</f>
        <v/>
      </c>
      <c r="L122" t="str">
        <f t="shared" si="1"/>
        <v/>
      </c>
    </row>
    <row r="123" spans="1:12" hidden="1" x14ac:dyDescent="0.3">
      <c r="A123" t="str">
        <f>IF($K123="","",103)</f>
        <v/>
      </c>
      <c r="B123" t="str">
        <f>IF($K123="","",INDEX(Конструктор!$C$2:$C$1212,$K123))</f>
        <v/>
      </c>
      <c r="C123" s="8" t="str">
        <f>IF($K123="","",INDEX(Конструктор!$D$2:$D$1212,$K123)&amp;IF(INDEX(Конструктор!$J$2:$J$1212,$K123)&lt;&gt;""," — "&amp;INDEX(Конструктор!$J$2:$J$1212,$K123),""))</f>
        <v/>
      </c>
      <c r="D123" t="str">
        <f>IF($K123="","",INDEX(Конструктор!$E$2:$E$1212,$K123))</f>
        <v/>
      </c>
      <c r="E123" s="10" t="str">
        <f>IF($K123="","",INDEX(Конструктор!$H$2:$H$1212,$K123))</f>
        <v/>
      </c>
      <c r="F123" s="10" t="str">
        <f>IF($K123="","",INDEX(Конструктор!$L$2:$L$1212,$K123))</f>
        <v/>
      </c>
      <c r="G123" s="10" t="str">
        <f>IF($K123="","",INDEX(Конструктор!$M$2:$M$1212,$K123))</f>
        <v/>
      </c>
      <c r="H123" s="10" t="str">
        <f>IF($K123="","",INDEX(Конструктор!$N$2:$N$1212,$K123))</f>
        <v/>
      </c>
      <c r="I123" s="10" t="str">
        <f>IF($K123="","",INDEX(Конструктор!$O$2:$O$1212,$K123))</f>
        <v/>
      </c>
      <c r="J123" s="10" t="str">
        <f>IF($K123="","",INDEX(Конструктор!$P$2:$P$1212,$K123))</f>
        <v/>
      </c>
      <c r="K123" t="str">
        <f>IFERROR(MATCH(103,Конструктор!$T$2:$T$1212,0),"")</f>
        <v/>
      </c>
      <c r="L123" t="str">
        <f t="shared" si="1"/>
        <v/>
      </c>
    </row>
    <row r="124" spans="1:12" hidden="1" x14ac:dyDescent="0.3">
      <c r="A124" t="str">
        <f>IF($K124="","",104)</f>
        <v/>
      </c>
      <c r="B124" t="str">
        <f>IF($K124="","",INDEX(Конструктор!$C$2:$C$1212,$K124))</f>
        <v/>
      </c>
      <c r="C124" s="8" t="str">
        <f>IF($K124="","",INDEX(Конструктор!$D$2:$D$1212,$K124)&amp;IF(INDEX(Конструктор!$J$2:$J$1212,$K124)&lt;&gt;""," — "&amp;INDEX(Конструктор!$J$2:$J$1212,$K124),""))</f>
        <v/>
      </c>
      <c r="D124" t="str">
        <f>IF($K124="","",INDEX(Конструктор!$E$2:$E$1212,$K124))</f>
        <v/>
      </c>
      <c r="E124" s="10" t="str">
        <f>IF($K124="","",INDEX(Конструктор!$H$2:$H$1212,$K124))</f>
        <v/>
      </c>
      <c r="F124" s="10" t="str">
        <f>IF($K124="","",INDEX(Конструктор!$L$2:$L$1212,$K124))</f>
        <v/>
      </c>
      <c r="G124" s="10" t="str">
        <f>IF($K124="","",INDEX(Конструктор!$M$2:$M$1212,$K124))</f>
        <v/>
      </c>
      <c r="H124" s="10" t="str">
        <f>IF($K124="","",INDEX(Конструктор!$N$2:$N$1212,$K124))</f>
        <v/>
      </c>
      <c r="I124" s="10" t="str">
        <f>IF($K124="","",INDEX(Конструктор!$O$2:$O$1212,$K124))</f>
        <v/>
      </c>
      <c r="J124" s="10" t="str">
        <f>IF($K124="","",INDEX(Конструктор!$P$2:$P$1212,$K124))</f>
        <v/>
      </c>
      <c r="K124" t="str">
        <f>IFERROR(MATCH(104,Конструктор!$T$2:$T$1212,0),"")</f>
        <v/>
      </c>
      <c r="L124" t="str">
        <f t="shared" si="1"/>
        <v/>
      </c>
    </row>
    <row r="125" spans="1:12" hidden="1" x14ac:dyDescent="0.3">
      <c r="A125" t="str">
        <f>IF($K125="","",105)</f>
        <v/>
      </c>
      <c r="B125" t="str">
        <f>IF($K125="","",INDEX(Конструктор!$C$2:$C$1212,$K125))</f>
        <v/>
      </c>
      <c r="C125" s="8" t="str">
        <f>IF($K125="","",INDEX(Конструктор!$D$2:$D$1212,$K125)&amp;IF(INDEX(Конструктор!$J$2:$J$1212,$K125)&lt;&gt;""," — "&amp;INDEX(Конструктор!$J$2:$J$1212,$K125),""))</f>
        <v/>
      </c>
      <c r="D125" t="str">
        <f>IF($K125="","",INDEX(Конструктор!$E$2:$E$1212,$K125))</f>
        <v/>
      </c>
      <c r="E125" s="10" t="str">
        <f>IF($K125="","",INDEX(Конструктор!$H$2:$H$1212,$K125))</f>
        <v/>
      </c>
      <c r="F125" s="10" t="str">
        <f>IF($K125="","",INDEX(Конструктор!$L$2:$L$1212,$K125))</f>
        <v/>
      </c>
      <c r="G125" s="10" t="str">
        <f>IF($K125="","",INDEX(Конструктор!$M$2:$M$1212,$K125))</f>
        <v/>
      </c>
      <c r="H125" s="10" t="str">
        <f>IF($K125="","",INDEX(Конструктор!$N$2:$N$1212,$K125))</f>
        <v/>
      </c>
      <c r="I125" s="10" t="str">
        <f>IF($K125="","",INDEX(Конструктор!$O$2:$O$1212,$K125))</f>
        <v/>
      </c>
      <c r="J125" s="10" t="str">
        <f>IF($K125="","",INDEX(Конструктор!$P$2:$P$1212,$K125))</f>
        <v/>
      </c>
      <c r="K125" t="str">
        <f>IFERROR(MATCH(105,Конструктор!$T$2:$T$1212,0),"")</f>
        <v/>
      </c>
      <c r="L125" t="str">
        <f t="shared" si="1"/>
        <v/>
      </c>
    </row>
    <row r="126" spans="1:12" hidden="1" x14ac:dyDescent="0.3">
      <c r="A126" t="str">
        <f>IF($K126="","",106)</f>
        <v/>
      </c>
      <c r="B126" t="str">
        <f>IF($K126="","",INDEX(Конструктор!$C$2:$C$1212,$K126))</f>
        <v/>
      </c>
      <c r="C126" s="8" t="str">
        <f>IF($K126="","",INDEX(Конструктор!$D$2:$D$1212,$K126)&amp;IF(INDEX(Конструктор!$J$2:$J$1212,$K126)&lt;&gt;""," — "&amp;INDEX(Конструктор!$J$2:$J$1212,$K126),""))</f>
        <v/>
      </c>
      <c r="D126" t="str">
        <f>IF($K126="","",INDEX(Конструктор!$E$2:$E$1212,$K126))</f>
        <v/>
      </c>
      <c r="E126" s="10" t="str">
        <f>IF($K126="","",INDEX(Конструктор!$H$2:$H$1212,$K126))</f>
        <v/>
      </c>
      <c r="F126" s="10" t="str">
        <f>IF($K126="","",INDEX(Конструктор!$L$2:$L$1212,$K126))</f>
        <v/>
      </c>
      <c r="G126" s="10" t="str">
        <f>IF($K126="","",INDEX(Конструктор!$M$2:$M$1212,$K126))</f>
        <v/>
      </c>
      <c r="H126" s="10" t="str">
        <f>IF($K126="","",INDEX(Конструктор!$N$2:$N$1212,$K126))</f>
        <v/>
      </c>
      <c r="I126" s="10" t="str">
        <f>IF($K126="","",INDEX(Конструктор!$O$2:$O$1212,$K126))</f>
        <v/>
      </c>
      <c r="J126" s="10" t="str">
        <f>IF($K126="","",INDEX(Конструктор!$P$2:$P$1212,$K126))</f>
        <v/>
      </c>
      <c r="K126" t="str">
        <f>IFERROR(MATCH(106,Конструктор!$T$2:$T$1212,0),"")</f>
        <v/>
      </c>
      <c r="L126" t="str">
        <f t="shared" si="1"/>
        <v/>
      </c>
    </row>
    <row r="127" spans="1:12" hidden="1" x14ac:dyDescent="0.3">
      <c r="A127" t="str">
        <f>IF($K127="","",107)</f>
        <v/>
      </c>
      <c r="B127" t="str">
        <f>IF($K127="","",INDEX(Конструктор!$C$2:$C$1212,$K127))</f>
        <v/>
      </c>
      <c r="C127" s="8" t="str">
        <f>IF($K127="","",INDEX(Конструктор!$D$2:$D$1212,$K127)&amp;IF(INDEX(Конструктор!$J$2:$J$1212,$K127)&lt;&gt;""," — "&amp;INDEX(Конструктор!$J$2:$J$1212,$K127),""))</f>
        <v/>
      </c>
      <c r="D127" t="str">
        <f>IF($K127="","",INDEX(Конструктор!$E$2:$E$1212,$K127))</f>
        <v/>
      </c>
      <c r="E127" s="10" t="str">
        <f>IF($K127="","",INDEX(Конструктор!$H$2:$H$1212,$K127))</f>
        <v/>
      </c>
      <c r="F127" s="10" t="str">
        <f>IF($K127="","",INDEX(Конструктор!$L$2:$L$1212,$K127))</f>
        <v/>
      </c>
      <c r="G127" s="10" t="str">
        <f>IF($K127="","",INDEX(Конструктор!$M$2:$M$1212,$K127))</f>
        <v/>
      </c>
      <c r="H127" s="10" t="str">
        <f>IF($K127="","",INDEX(Конструктор!$N$2:$N$1212,$K127))</f>
        <v/>
      </c>
      <c r="I127" s="10" t="str">
        <f>IF($K127="","",INDEX(Конструктор!$O$2:$O$1212,$K127))</f>
        <v/>
      </c>
      <c r="J127" s="10" t="str">
        <f>IF($K127="","",INDEX(Конструктор!$P$2:$P$1212,$K127))</f>
        <v/>
      </c>
      <c r="K127" t="str">
        <f>IFERROR(MATCH(107,Конструктор!$T$2:$T$1212,0),"")</f>
        <v/>
      </c>
      <c r="L127" t="str">
        <f t="shared" si="1"/>
        <v/>
      </c>
    </row>
    <row r="128" spans="1:12" hidden="1" x14ac:dyDescent="0.3">
      <c r="A128" t="str">
        <f>IF($K128="","",108)</f>
        <v/>
      </c>
      <c r="B128" t="str">
        <f>IF($K128="","",INDEX(Конструктор!$C$2:$C$1212,$K128))</f>
        <v/>
      </c>
      <c r="C128" s="8" t="str">
        <f>IF($K128="","",INDEX(Конструктор!$D$2:$D$1212,$K128)&amp;IF(INDEX(Конструктор!$J$2:$J$1212,$K128)&lt;&gt;""," — "&amp;INDEX(Конструктор!$J$2:$J$1212,$K128),""))</f>
        <v/>
      </c>
      <c r="D128" t="str">
        <f>IF($K128="","",INDEX(Конструктор!$E$2:$E$1212,$K128))</f>
        <v/>
      </c>
      <c r="E128" s="10" t="str">
        <f>IF($K128="","",INDEX(Конструктор!$H$2:$H$1212,$K128))</f>
        <v/>
      </c>
      <c r="F128" s="10" t="str">
        <f>IF($K128="","",INDEX(Конструктор!$L$2:$L$1212,$K128))</f>
        <v/>
      </c>
      <c r="G128" s="10" t="str">
        <f>IF($K128="","",INDEX(Конструктор!$M$2:$M$1212,$K128))</f>
        <v/>
      </c>
      <c r="H128" s="10" t="str">
        <f>IF($K128="","",INDEX(Конструктор!$N$2:$N$1212,$K128))</f>
        <v/>
      </c>
      <c r="I128" s="10" t="str">
        <f>IF($K128="","",INDEX(Конструктор!$O$2:$O$1212,$K128))</f>
        <v/>
      </c>
      <c r="J128" s="10" t="str">
        <f>IF($K128="","",INDEX(Конструктор!$P$2:$P$1212,$K128))</f>
        <v/>
      </c>
      <c r="K128" t="str">
        <f>IFERROR(MATCH(108,Конструктор!$T$2:$T$1212,0),"")</f>
        <v/>
      </c>
      <c r="L128" t="str">
        <f t="shared" si="1"/>
        <v/>
      </c>
    </row>
    <row r="129" spans="1:12" hidden="1" x14ac:dyDescent="0.3">
      <c r="A129" t="str">
        <f>IF($K129="","",109)</f>
        <v/>
      </c>
      <c r="B129" t="str">
        <f>IF($K129="","",INDEX(Конструктор!$C$2:$C$1212,$K129))</f>
        <v/>
      </c>
      <c r="C129" s="8" t="str">
        <f>IF($K129="","",INDEX(Конструктор!$D$2:$D$1212,$K129)&amp;IF(INDEX(Конструктор!$J$2:$J$1212,$K129)&lt;&gt;""," — "&amp;INDEX(Конструктор!$J$2:$J$1212,$K129),""))</f>
        <v/>
      </c>
      <c r="D129" t="str">
        <f>IF($K129="","",INDEX(Конструктор!$E$2:$E$1212,$K129))</f>
        <v/>
      </c>
      <c r="E129" s="10" t="str">
        <f>IF($K129="","",INDEX(Конструктор!$H$2:$H$1212,$K129))</f>
        <v/>
      </c>
      <c r="F129" s="10" t="str">
        <f>IF($K129="","",INDEX(Конструктор!$L$2:$L$1212,$K129))</f>
        <v/>
      </c>
      <c r="G129" s="10" t="str">
        <f>IF($K129="","",INDEX(Конструктор!$M$2:$M$1212,$K129))</f>
        <v/>
      </c>
      <c r="H129" s="10" t="str">
        <f>IF($K129="","",INDEX(Конструктор!$N$2:$N$1212,$K129))</f>
        <v/>
      </c>
      <c r="I129" s="10" t="str">
        <f>IF($K129="","",INDEX(Конструктор!$O$2:$O$1212,$K129))</f>
        <v/>
      </c>
      <c r="J129" s="10" t="str">
        <f>IF($K129="","",INDEX(Конструктор!$P$2:$P$1212,$K129))</f>
        <v/>
      </c>
      <c r="K129" t="str">
        <f>IFERROR(MATCH(109,Конструктор!$T$2:$T$1212,0),"")</f>
        <v/>
      </c>
      <c r="L129" t="str">
        <f t="shared" si="1"/>
        <v/>
      </c>
    </row>
    <row r="130" spans="1:12" hidden="1" x14ac:dyDescent="0.3">
      <c r="A130" t="str">
        <f>IF($K130="","",110)</f>
        <v/>
      </c>
      <c r="B130" t="str">
        <f>IF($K130="","",INDEX(Конструктор!$C$2:$C$1212,$K130))</f>
        <v/>
      </c>
      <c r="C130" s="8" t="str">
        <f>IF($K130="","",INDEX(Конструктор!$D$2:$D$1212,$K130)&amp;IF(INDEX(Конструктор!$J$2:$J$1212,$K130)&lt;&gt;""," — "&amp;INDEX(Конструктор!$J$2:$J$1212,$K130),""))</f>
        <v/>
      </c>
      <c r="D130" t="str">
        <f>IF($K130="","",INDEX(Конструктор!$E$2:$E$1212,$K130))</f>
        <v/>
      </c>
      <c r="E130" s="10" t="str">
        <f>IF($K130="","",INDEX(Конструктор!$H$2:$H$1212,$K130))</f>
        <v/>
      </c>
      <c r="F130" s="10" t="str">
        <f>IF($K130="","",INDEX(Конструктор!$L$2:$L$1212,$K130))</f>
        <v/>
      </c>
      <c r="G130" s="10" t="str">
        <f>IF($K130="","",INDEX(Конструктор!$M$2:$M$1212,$K130))</f>
        <v/>
      </c>
      <c r="H130" s="10" t="str">
        <f>IF($K130="","",INDEX(Конструктор!$N$2:$N$1212,$K130))</f>
        <v/>
      </c>
      <c r="I130" s="10" t="str">
        <f>IF($K130="","",INDEX(Конструктор!$O$2:$O$1212,$K130))</f>
        <v/>
      </c>
      <c r="J130" s="10" t="str">
        <f>IF($K130="","",INDEX(Конструктор!$P$2:$P$1212,$K130))</f>
        <v/>
      </c>
      <c r="K130" t="str">
        <f>IFERROR(MATCH(110,Конструктор!$T$2:$T$1212,0),"")</f>
        <v/>
      </c>
      <c r="L130" t="str">
        <f t="shared" si="1"/>
        <v/>
      </c>
    </row>
    <row r="131" spans="1:12" hidden="1" x14ac:dyDescent="0.3">
      <c r="A131" t="str">
        <f>IF($K131="","",111)</f>
        <v/>
      </c>
      <c r="B131" t="str">
        <f>IF($K131="","",INDEX(Конструктор!$C$2:$C$1212,$K131))</f>
        <v/>
      </c>
      <c r="C131" s="8" t="str">
        <f>IF($K131="","",INDEX(Конструктор!$D$2:$D$1212,$K131)&amp;IF(INDEX(Конструктор!$J$2:$J$1212,$K131)&lt;&gt;""," — "&amp;INDEX(Конструктор!$J$2:$J$1212,$K131),""))</f>
        <v/>
      </c>
      <c r="D131" t="str">
        <f>IF($K131="","",INDEX(Конструктор!$E$2:$E$1212,$K131))</f>
        <v/>
      </c>
      <c r="E131" s="10" t="str">
        <f>IF($K131="","",INDEX(Конструктор!$H$2:$H$1212,$K131))</f>
        <v/>
      </c>
      <c r="F131" s="10" t="str">
        <f>IF($K131="","",INDEX(Конструктор!$L$2:$L$1212,$K131))</f>
        <v/>
      </c>
      <c r="G131" s="10" t="str">
        <f>IF($K131="","",INDEX(Конструктор!$M$2:$M$1212,$K131))</f>
        <v/>
      </c>
      <c r="H131" s="10" t="str">
        <f>IF($K131="","",INDEX(Конструктор!$N$2:$N$1212,$K131))</f>
        <v/>
      </c>
      <c r="I131" s="10" t="str">
        <f>IF($K131="","",INDEX(Конструктор!$O$2:$O$1212,$K131))</f>
        <v/>
      </c>
      <c r="J131" s="10" t="str">
        <f>IF($K131="","",INDEX(Конструктор!$P$2:$P$1212,$K131))</f>
        <v/>
      </c>
      <c r="K131" t="str">
        <f>IFERROR(MATCH(111,Конструктор!$T$2:$T$1212,0),"")</f>
        <v/>
      </c>
      <c r="L131" t="str">
        <f t="shared" si="1"/>
        <v/>
      </c>
    </row>
    <row r="132" spans="1:12" hidden="1" x14ac:dyDescent="0.3">
      <c r="A132" t="str">
        <f>IF($K132="","",112)</f>
        <v/>
      </c>
      <c r="B132" t="str">
        <f>IF($K132="","",INDEX(Конструктор!$C$2:$C$1212,$K132))</f>
        <v/>
      </c>
      <c r="C132" s="8" t="str">
        <f>IF($K132="","",INDEX(Конструктор!$D$2:$D$1212,$K132)&amp;IF(INDEX(Конструктор!$J$2:$J$1212,$K132)&lt;&gt;""," — "&amp;INDEX(Конструктор!$J$2:$J$1212,$K132),""))</f>
        <v/>
      </c>
      <c r="D132" t="str">
        <f>IF($K132="","",INDEX(Конструктор!$E$2:$E$1212,$K132))</f>
        <v/>
      </c>
      <c r="E132" s="10" t="str">
        <f>IF($K132="","",INDEX(Конструктор!$H$2:$H$1212,$K132))</f>
        <v/>
      </c>
      <c r="F132" s="10" t="str">
        <f>IF($K132="","",INDEX(Конструктор!$L$2:$L$1212,$K132))</f>
        <v/>
      </c>
      <c r="G132" s="10" t="str">
        <f>IF($K132="","",INDEX(Конструктор!$M$2:$M$1212,$K132))</f>
        <v/>
      </c>
      <c r="H132" s="10" t="str">
        <f>IF($K132="","",INDEX(Конструктор!$N$2:$N$1212,$K132))</f>
        <v/>
      </c>
      <c r="I132" s="10" t="str">
        <f>IF($K132="","",INDEX(Конструктор!$O$2:$O$1212,$K132))</f>
        <v/>
      </c>
      <c r="J132" s="10" t="str">
        <f>IF($K132="","",INDEX(Конструктор!$P$2:$P$1212,$K132))</f>
        <v/>
      </c>
      <c r="K132" t="str">
        <f>IFERROR(MATCH(112,Конструктор!$T$2:$T$1212,0),"")</f>
        <v/>
      </c>
      <c r="L132" t="str">
        <f t="shared" si="1"/>
        <v/>
      </c>
    </row>
    <row r="133" spans="1:12" hidden="1" x14ac:dyDescent="0.3">
      <c r="A133" t="str">
        <f>IF($K133="","",113)</f>
        <v/>
      </c>
      <c r="B133" t="str">
        <f>IF($K133="","",INDEX(Конструктор!$C$2:$C$1212,$K133))</f>
        <v/>
      </c>
      <c r="C133" s="8" t="str">
        <f>IF($K133="","",INDEX(Конструктор!$D$2:$D$1212,$K133)&amp;IF(INDEX(Конструктор!$J$2:$J$1212,$K133)&lt;&gt;""," — "&amp;INDEX(Конструктор!$J$2:$J$1212,$K133),""))</f>
        <v/>
      </c>
      <c r="D133" t="str">
        <f>IF($K133="","",INDEX(Конструктор!$E$2:$E$1212,$K133))</f>
        <v/>
      </c>
      <c r="E133" s="10" t="str">
        <f>IF($K133="","",INDEX(Конструктор!$H$2:$H$1212,$K133))</f>
        <v/>
      </c>
      <c r="F133" s="10" t="str">
        <f>IF($K133="","",INDEX(Конструктор!$L$2:$L$1212,$K133))</f>
        <v/>
      </c>
      <c r="G133" s="10" t="str">
        <f>IF($K133="","",INDEX(Конструктор!$M$2:$M$1212,$K133))</f>
        <v/>
      </c>
      <c r="H133" s="10" t="str">
        <f>IF($K133="","",INDEX(Конструктор!$N$2:$N$1212,$K133))</f>
        <v/>
      </c>
      <c r="I133" s="10" t="str">
        <f>IF($K133="","",INDEX(Конструктор!$O$2:$O$1212,$K133))</f>
        <v/>
      </c>
      <c r="J133" s="10" t="str">
        <f>IF($K133="","",INDEX(Конструктор!$P$2:$P$1212,$K133))</f>
        <v/>
      </c>
      <c r="K133" t="str">
        <f>IFERROR(MATCH(113,Конструктор!$T$2:$T$1212,0),"")</f>
        <v/>
      </c>
      <c r="L133" t="str">
        <f t="shared" si="1"/>
        <v/>
      </c>
    </row>
    <row r="134" spans="1:12" hidden="1" x14ac:dyDescent="0.3">
      <c r="A134" t="str">
        <f>IF($K134="","",114)</f>
        <v/>
      </c>
      <c r="B134" t="str">
        <f>IF($K134="","",INDEX(Конструктор!$C$2:$C$1212,$K134))</f>
        <v/>
      </c>
      <c r="C134" s="8" t="str">
        <f>IF($K134="","",INDEX(Конструктор!$D$2:$D$1212,$K134)&amp;IF(INDEX(Конструктор!$J$2:$J$1212,$K134)&lt;&gt;""," — "&amp;INDEX(Конструктор!$J$2:$J$1212,$K134),""))</f>
        <v/>
      </c>
      <c r="D134" t="str">
        <f>IF($K134="","",INDEX(Конструктор!$E$2:$E$1212,$K134))</f>
        <v/>
      </c>
      <c r="E134" s="10" t="str">
        <f>IF($K134="","",INDEX(Конструктор!$H$2:$H$1212,$K134))</f>
        <v/>
      </c>
      <c r="F134" s="10" t="str">
        <f>IF($K134="","",INDEX(Конструктор!$L$2:$L$1212,$K134))</f>
        <v/>
      </c>
      <c r="G134" s="10" t="str">
        <f>IF($K134="","",INDEX(Конструктор!$M$2:$M$1212,$K134))</f>
        <v/>
      </c>
      <c r="H134" s="10" t="str">
        <f>IF($K134="","",INDEX(Конструктор!$N$2:$N$1212,$K134))</f>
        <v/>
      </c>
      <c r="I134" s="10" t="str">
        <f>IF($K134="","",INDEX(Конструктор!$O$2:$O$1212,$K134))</f>
        <v/>
      </c>
      <c r="J134" s="10" t="str">
        <f>IF($K134="","",INDEX(Конструктор!$P$2:$P$1212,$K134))</f>
        <v/>
      </c>
      <c r="K134" t="str">
        <f>IFERROR(MATCH(114,Конструктор!$T$2:$T$1212,0),"")</f>
        <v/>
      </c>
      <c r="L134" t="str">
        <f t="shared" si="1"/>
        <v/>
      </c>
    </row>
    <row r="135" spans="1:12" hidden="1" x14ac:dyDescent="0.3">
      <c r="A135" t="str">
        <f>IF($K135="","",115)</f>
        <v/>
      </c>
      <c r="B135" t="str">
        <f>IF($K135="","",INDEX(Конструктор!$C$2:$C$1212,$K135))</f>
        <v/>
      </c>
      <c r="C135" s="8" t="str">
        <f>IF($K135="","",INDEX(Конструктор!$D$2:$D$1212,$K135)&amp;IF(INDEX(Конструктор!$J$2:$J$1212,$K135)&lt;&gt;""," — "&amp;INDEX(Конструктор!$J$2:$J$1212,$K135),""))</f>
        <v/>
      </c>
      <c r="D135" t="str">
        <f>IF($K135="","",INDEX(Конструктор!$E$2:$E$1212,$K135))</f>
        <v/>
      </c>
      <c r="E135" s="10" t="str">
        <f>IF($K135="","",INDEX(Конструктор!$H$2:$H$1212,$K135))</f>
        <v/>
      </c>
      <c r="F135" s="10" t="str">
        <f>IF($K135="","",INDEX(Конструктор!$L$2:$L$1212,$K135))</f>
        <v/>
      </c>
      <c r="G135" s="10" t="str">
        <f>IF($K135="","",INDEX(Конструктор!$M$2:$M$1212,$K135))</f>
        <v/>
      </c>
      <c r="H135" s="10" t="str">
        <f>IF($K135="","",INDEX(Конструктор!$N$2:$N$1212,$K135))</f>
        <v/>
      </c>
      <c r="I135" s="10" t="str">
        <f>IF($K135="","",INDEX(Конструктор!$O$2:$O$1212,$K135))</f>
        <v/>
      </c>
      <c r="J135" s="10" t="str">
        <f>IF($K135="","",INDEX(Конструктор!$P$2:$P$1212,$K135))</f>
        <v/>
      </c>
      <c r="K135" t="str">
        <f>IFERROR(MATCH(115,Конструктор!$T$2:$T$1212,0),"")</f>
        <v/>
      </c>
      <c r="L135" t="str">
        <f t="shared" si="1"/>
        <v/>
      </c>
    </row>
    <row r="136" spans="1:12" hidden="1" x14ac:dyDescent="0.3">
      <c r="A136" t="str">
        <f>IF($K136="","",116)</f>
        <v/>
      </c>
      <c r="B136" t="str">
        <f>IF($K136="","",INDEX(Конструктор!$C$2:$C$1212,$K136))</f>
        <v/>
      </c>
      <c r="C136" s="8" t="str">
        <f>IF($K136="","",INDEX(Конструктор!$D$2:$D$1212,$K136)&amp;IF(INDEX(Конструктор!$J$2:$J$1212,$K136)&lt;&gt;""," — "&amp;INDEX(Конструктор!$J$2:$J$1212,$K136),""))</f>
        <v/>
      </c>
      <c r="D136" t="str">
        <f>IF($K136="","",INDEX(Конструктор!$E$2:$E$1212,$K136))</f>
        <v/>
      </c>
      <c r="E136" s="10" t="str">
        <f>IF($K136="","",INDEX(Конструктор!$H$2:$H$1212,$K136))</f>
        <v/>
      </c>
      <c r="F136" s="10" t="str">
        <f>IF($K136="","",INDEX(Конструктор!$L$2:$L$1212,$K136))</f>
        <v/>
      </c>
      <c r="G136" s="10" t="str">
        <f>IF($K136="","",INDEX(Конструктор!$M$2:$M$1212,$K136))</f>
        <v/>
      </c>
      <c r="H136" s="10" t="str">
        <f>IF($K136="","",INDEX(Конструктор!$N$2:$N$1212,$K136))</f>
        <v/>
      </c>
      <c r="I136" s="10" t="str">
        <f>IF($K136="","",INDEX(Конструктор!$O$2:$O$1212,$K136))</f>
        <v/>
      </c>
      <c r="J136" s="10" t="str">
        <f>IF($K136="","",INDEX(Конструктор!$P$2:$P$1212,$K136))</f>
        <v/>
      </c>
      <c r="K136" t="str">
        <f>IFERROR(MATCH(116,Конструктор!$T$2:$T$1212,0),"")</f>
        <v/>
      </c>
      <c r="L136" t="str">
        <f t="shared" si="1"/>
        <v/>
      </c>
    </row>
    <row r="137" spans="1:12" hidden="1" x14ac:dyDescent="0.3">
      <c r="A137" t="str">
        <f>IF($K137="","",117)</f>
        <v/>
      </c>
      <c r="B137" t="str">
        <f>IF($K137="","",INDEX(Конструктор!$C$2:$C$1212,$K137))</f>
        <v/>
      </c>
      <c r="C137" s="8" t="str">
        <f>IF($K137="","",INDEX(Конструктор!$D$2:$D$1212,$K137)&amp;IF(INDEX(Конструктор!$J$2:$J$1212,$K137)&lt;&gt;""," — "&amp;INDEX(Конструктор!$J$2:$J$1212,$K137),""))</f>
        <v/>
      </c>
      <c r="D137" t="str">
        <f>IF($K137="","",INDEX(Конструктор!$E$2:$E$1212,$K137))</f>
        <v/>
      </c>
      <c r="E137" s="10" t="str">
        <f>IF($K137="","",INDEX(Конструктор!$H$2:$H$1212,$K137))</f>
        <v/>
      </c>
      <c r="F137" s="10" t="str">
        <f>IF($K137="","",INDEX(Конструктор!$L$2:$L$1212,$K137))</f>
        <v/>
      </c>
      <c r="G137" s="10" t="str">
        <f>IF($K137="","",INDEX(Конструктор!$M$2:$M$1212,$K137))</f>
        <v/>
      </c>
      <c r="H137" s="10" t="str">
        <f>IF($K137="","",INDEX(Конструктор!$N$2:$N$1212,$K137))</f>
        <v/>
      </c>
      <c r="I137" s="10" t="str">
        <f>IF($K137="","",INDEX(Конструктор!$O$2:$O$1212,$K137))</f>
        <v/>
      </c>
      <c r="J137" s="10" t="str">
        <f>IF($K137="","",INDEX(Конструктор!$P$2:$P$1212,$K137))</f>
        <v/>
      </c>
      <c r="K137" t="str">
        <f>IFERROR(MATCH(117,Конструктор!$T$2:$T$1212,0),"")</f>
        <v/>
      </c>
      <c r="L137" t="str">
        <f t="shared" si="1"/>
        <v/>
      </c>
    </row>
    <row r="138" spans="1:12" hidden="1" x14ac:dyDescent="0.3">
      <c r="A138" t="str">
        <f>IF($K138="","",118)</f>
        <v/>
      </c>
      <c r="B138" t="str">
        <f>IF($K138="","",INDEX(Конструктор!$C$2:$C$1212,$K138))</f>
        <v/>
      </c>
      <c r="C138" s="8" t="str">
        <f>IF($K138="","",INDEX(Конструктор!$D$2:$D$1212,$K138)&amp;IF(INDEX(Конструктор!$J$2:$J$1212,$K138)&lt;&gt;""," — "&amp;INDEX(Конструктор!$J$2:$J$1212,$K138),""))</f>
        <v/>
      </c>
      <c r="D138" t="str">
        <f>IF($K138="","",INDEX(Конструктор!$E$2:$E$1212,$K138))</f>
        <v/>
      </c>
      <c r="E138" s="10" t="str">
        <f>IF($K138="","",INDEX(Конструктор!$H$2:$H$1212,$K138))</f>
        <v/>
      </c>
      <c r="F138" s="10" t="str">
        <f>IF($K138="","",INDEX(Конструктор!$L$2:$L$1212,$K138))</f>
        <v/>
      </c>
      <c r="G138" s="10" t="str">
        <f>IF($K138="","",INDEX(Конструктор!$M$2:$M$1212,$K138))</f>
        <v/>
      </c>
      <c r="H138" s="10" t="str">
        <f>IF($K138="","",INDEX(Конструктор!$N$2:$N$1212,$K138))</f>
        <v/>
      </c>
      <c r="I138" s="10" t="str">
        <f>IF($K138="","",INDEX(Конструктор!$O$2:$O$1212,$K138))</f>
        <v/>
      </c>
      <c r="J138" s="10" t="str">
        <f>IF($K138="","",INDEX(Конструктор!$P$2:$P$1212,$K138))</f>
        <v/>
      </c>
      <c r="K138" t="str">
        <f>IFERROR(MATCH(118,Конструктор!$T$2:$T$1212,0),"")</f>
        <v/>
      </c>
      <c r="L138" t="str">
        <f t="shared" si="1"/>
        <v/>
      </c>
    </row>
    <row r="139" spans="1:12" hidden="1" x14ac:dyDescent="0.3">
      <c r="A139" t="str">
        <f>IF($K139="","",119)</f>
        <v/>
      </c>
      <c r="B139" t="str">
        <f>IF($K139="","",INDEX(Конструктор!$C$2:$C$1212,$K139))</f>
        <v/>
      </c>
      <c r="C139" s="8" t="str">
        <f>IF($K139="","",INDEX(Конструктор!$D$2:$D$1212,$K139)&amp;IF(INDEX(Конструктор!$J$2:$J$1212,$K139)&lt;&gt;""," — "&amp;INDEX(Конструктор!$J$2:$J$1212,$K139),""))</f>
        <v/>
      </c>
      <c r="D139" t="str">
        <f>IF($K139="","",INDEX(Конструктор!$E$2:$E$1212,$K139))</f>
        <v/>
      </c>
      <c r="E139" s="10" t="str">
        <f>IF($K139="","",INDEX(Конструктор!$H$2:$H$1212,$K139))</f>
        <v/>
      </c>
      <c r="F139" s="10" t="str">
        <f>IF($K139="","",INDEX(Конструктор!$L$2:$L$1212,$K139))</f>
        <v/>
      </c>
      <c r="G139" s="10" t="str">
        <f>IF($K139="","",INDEX(Конструктор!$M$2:$M$1212,$K139))</f>
        <v/>
      </c>
      <c r="H139" s="10" t="str">
        <f>IF($K139="","",INDEX(Конструктор!$N$2:$N$1212,$K139))</f>
        <v/>
      </c>
      <c r="I139" s="10" t="str">
        <f>IF($K139="","",INDEX(Конструктор!$O$2:$O$1212,$K139))</f>
        <v/>
      </c>
      <c r="J139" s="10" t="str">
        <f>IF($K139="","",INDEX(Конструктор!$P$2:$P$1212,$K139))</f>
        <v/>
      </c>
      <c r="K139" t="str">
        <f>IFERROR(MATCH(119,Конструктор!$T$2:$T$1212,0),"")</f>
        <v/>
      </c>
      <c r="L139" t="str">
        <f t="shared" si="1"/>
        <v/>
      </c>
    </row>
    <row r="140" spans="1:12" hidden="1" x14ac:dyDescent="0.3">
      <c r="A140" t="str">
        <f>IF($K140="","",120)</f>
        <v/>
      </c>
      <c r="B140" t="str">
        <f>IF($K140="","",INDEX(Конструктор!$C$2:$C$1212,$K140))</f>
        <v/>
      </c>
      <c r="C140" s="8" t="str">
        <f>IF($K140="","",INDEX(Конструктор!$D$2:$D$1212,$K140)&amp;IF(INDEX(Конструктор!$J$2:$J$1212,$K140)&lt;&gt;""," — "&amp;INDEX(Конструктор!$J$2:$J$1212,$K140),""))</f>
        <v/>
      </c>
      <c r="D140" t="str">
        <f>IF($K140="","",INDEX(Конструктор!$E$2:$E$1212,$K140))</f>
        <v/>
      </c>
      <c r="E140" s="10" t="str">
        <f>IF($K140="","",INDEX(Конструктор!$H$2:$H$1212,$K140))</f>
        <v/>
      </c>
      <c r="F140" s="10" t="str">
        <f>IF($K140="","",INDEX(Конструктор!$L$2:$L$1212,$K140))</f>
        <v/>
      </c>
      <c r="G140" s="10" t="str">
        <f>IF($K140="","",INDEX(Конструктор!$M$2:$M$1212,$K140))</f>
        <v/>
      </c>
      <c r="H140" s="10" t="str">
        <f>IF($K140="","",INDEX(Конструктор!$N$2:$N$1212,$K140))</f>
        <v/>
      </c>
      <c r="I140" s="10" t="str">
        <f>IF($K140="","",INDEX(Конструктор!$O$2:$O$1212,$K140))</f>
        <v/>
      </c>
      <c r="J140" s="10" t="str">
        <f>IF($K140="","",INDEX(Конструктор!$P$2:$P$1212,$K140))</f>
        <v/>
      </c>
      <c r="K140" t="str">
        <f>IFERROR(MATCH(120,Конструктор!$T$2:$T$1212,0),"")</f>
        <v/>
      </c>
      <c r="L140" t="str">
        <f t="shared" si="1"/>
        <v/>
      </c>
    </row>
    <row r="141" spans="1:12" hidden="1" x14ac:dyDescent="0.3">
      <c r="A141" t="str">
        <f>IF($K141="","",121)</f>
        <v/>
      </c>
      <c r="B141" t="str">
        <f>IF($K141="","",INDEX(Конструктор!$C$2:$C$1212,$K141))</f>
        <v/>
      </c>
      <c r="C141" s="8" t="str">
        <f>IF($K141="","",INDEX(Конструктор!$D$2:$D$1212,$K141)&amp;IF(INDEX(Конструктор!$J$2:$J$1212,$K141)&lt;&gt;""," — "&amp;INDEX(Конструктор!$J$2:$J$1212,$K141),""))</f>
        <v/>
      </c>
      <c r="D141" t="str">
        <f>IF($K141="","",INDEX(Конструктор!$E$2:$E$1212,$K141))</f>
        <v/>
      </c>
      <c r="E141" s="10" t="str">
        <f>IF($K141="","",INDEX(Конструктор!$H$2:$H$1212,$K141))</f>
        <v/>
      </c>
      <c r="F141" s="10" t="str">
        <f>IF($K141="","",INDEX(Конструктор!$L$2:$L$1212,$K141))</f>
        <v/>
      </c>
      <c r="G141" s="10" t="str">
        <f>IF($K141="","",INDEX(Конструктор!$M$2:$M$1212,$K141))</f>
        <v/>
      </c>
      <c r="H141" s="10" t="str">
        <f>IF($K141="","",INDEX(Конструктор!$N$2:$N$1212,$K141))</f>
        <v/>
      </c>
      <c r="I141" s="10" t="str">
        <f>IF($K141="","",INDEX(Конструктор!$O$2:$O$1212,$K141))</f>
        <v/>
      </c>
      <c r="J141" s="10" t="str">
        <f>IF($K141="","",INDEX(Конструктор!$P$2:$P$1212,$K141))</f>
        <v/>
      </c>
      <c r="K141" t="str">
        <f>IFERROR(MATCH(121,Конструктор!$T$2:$T$1212,0),"")</f>
        <v/>
      </c>
      <c r="L141" t="str">
        <f t="shared" si="1"/>
        <v/>
      </c>
    </row>
    <row r="142" spans="1:12" hidden="1" x14ac:dyDescent="0.3">
      <c r="A142" t="str">
        <f>IF($K142="","",122)</f>
        <v/>
      </c>
      <c r="B142" t="str">
        <f>IF($K142="","",INDEX(Конструктор!$C$2:$C$1212,$K142))</f>
        <v/>
      </c>
      <c r="C142" s="8" t="str">
        <f>IF($K142="","",INDEX(Конструктор!$D$2:$D$1212,$K142)&amp;IF(INDEX(Конструктор!$J$2:$J$1212,$K142)&lt;&gt;""," — "&amp;INDEX(Конструктор!$J$2:$J$1212,$K142),""))</f>
        <v/>
      </c>
      <c r="D142" t="str">
        <f>IF($K142="","",INDEX(Конструктор!$E$2:$E$1212,$K142))</f>
        <v/>
      </c>
      <c r="E142" s="10" t="str">
        <f>IF($K142="","",INDEX(Конструктор!$H$2:$H$1212,$K142))</f>
        <v/>
      </c>
      <c r="F142" s="10" t="str">
        <f>IF($K142="","",INDEX(Конструктор!$L$2:$L$1212,$K142))</f>
        <v/>
      </c>
      <c r="G142" s="10" t="str">
        <f>IF($K142="","",INDEX(Конструктор!$M$2:$M$1212,$K142))</f>
        <v/>
      </c>
      <c r="H142" s="10" t="str">
        <f>IF($K142="","",INDEX(Конструктор!$N$2:$N$1212,$K142))</f>
        <v/>
      </c>
      <c r="I142" s="10" t="str">
        <f>IF($K142="","",INDEX(Конструктор!$O$2:$O$1212,$K142))</f>
        <v/>
      </c>
      <c r="J142" s="10" t="str">
        <f>IF($K142="","",INDEX(Конструктор!$P$2:$P$1212,$K142))</f>
        <v/>
      </c>
      <c r="K142" t="str">
        <f>IFERROR(MATCH(122,Конструктор!$T$2:$T$1212,0),"")</f>
        <v/>
      </c>
      <c r="L142" t="str">
        <f t="shared" si="1"/>
        <v/>
      </c>
    </row>
    <row r="143" spans="1:12" hidden="1" x14ac:dyDescent="0.3">
      <c r="A143" t="str">
        <f>IF($K143="","",123)</f>
        <v/>
      </c>
      <c r="B143" t="str">
        <f>IF($K143="","",INDEX(Конструктор!$C$2:$C$1212,$K143))</f>
        <v/>
      </c>
      <c r="C143" s="8" t="str">
        <f>IF($K143="","",INDEX(Конструктор!$D$2:$D$1212,$K143)&amp;IF(INDEX(Конструктор!$J$2:$J$1212,$K143)&lt;&gt;""," — "&amp;INDEX(Конструктор!$J$2:$J$1212,$K143),""))</f>
        <v/>
      </c>
      <c r="D143" t="str">
        <f>IF($K143="","",INDEX(Конструктор!$E$2:$E$1212,$K143))</f>
        <v/>
      </c>
      <c r="E143" s="10" t="str">
        <f>IF($K143="","",INDEX(Конструктор!$H$2:$H$1212,$K143))</f>
        <v/>
      </c>
      <c r="F143" s="10" t="str">
        <f>IF($K143="","",INDEX(Конструктор!$L$2:$L$1212,$K143))</f>
        <v/>
      </c>
      <c r="G143" s="10" t="str">
        <f>IF($K143="","",INDEX(Конструктор!$M$2:$M$1212,$K143))</f>
        <v/>
      </c>
      <c r="H143" s="10" t="str">
        <f>IF($K143="","",INDEX(Конструктор!$N$2:$N$1212,$K143))</f>
        <v/>
      </c>
      <c r="I143" s="10" t="str">
        <f>IF($K143="","",INDEX(Конструктор!$O$2:$O$1212,$K143))</f>
        <v/>
      </c>
      <c r="J143" s="10" t="str">
        <f>IF($K143="","",INDEX(Конструктор!$P$2:$P$1212,$K143))</f>
        <v/>
      </c>
      <c r="K143" t="str">
        <f>IFERROR(MATCH(123,Конструктор!$T$2:$T$1212,0),"")</f>
        <v/>
      </c>
      <c r="L143" t="str">
        <f t="shared" si="1"/>
        <v/>
      </c>
    </row>
    <row r="144" spans="1:12" hidden="1" x14ac:dyDescent="0.3">
      <c r="A144" t="str">
        <f>IF($K144="","",124)</f>
        <v/>
      </c>
      <c r="B144" t="str">
        <f>IF($K144="","",INDEX(Конструктор!$C$2:$C$1212,$K144))</f>
        <v/>
      </c>
      <c r="C144" s="8" t="str">
        <f>IF($K144="","",INDEX(Конструктор!$D$2:$D$1212,$K144)&amp;IF(INDEX(Конструктор!$J$2:$J$1212,$K144)&lt;&gt;""," — "&amp;INDEX(Конструктор!$J$2:$J$1212,$K144),""))</f>
        <v/>
      </c>
      <c r="D144" t="str">
        <f>IF($K144="","",INDEX(Конструктор!$E$2:$E$1212,$K144))</f>
        <v/>
      </c>
      <c r="E144" s="10" t="str">
        <f>IF($K144="","",INDEX(Конструктор!$H$2:$H$1212,$K144))</f>
        <v/>
      </c>
      <c r="F144" s="10" t="str">
        <f>IF($K144="","",INDEX(Конструктор!$L$2:$L$1212,$K144))</f>
        <v/>
      </c>
      <c r="G144" s="10" t="str">
        <f>IF($K144="","",INDEX(Конструктор!$M$2:$M$1212,$K144))</f>
        <v/>
      </c>
      <c r="H144" s="10" t="str">
        <f>IF($K144="","",INDEX(Конструктор!$N$2:$N$1212,$K144))</f>
        <v/>
      </c>
      <c r="I144" s="10" t="str">
        <f>IF($K144="","",INDEX(Конструктор!$O$2:$O$1212,$K144))</f>
        <v/>
      </c>
      <c r="J144" s="10" t="str">
        <f>IF($K144="","",INDEX(Конструктор!$P$2:$P$1212,$K144))</f>
        <v/>
      </c>
      <c r="K144" t="str">
        <f>IFERROR(MATCH(124,Конструктор!$T$2:$T$1212,0),"")</f>
        <v/>
      </c>
      <c r="L144" t="str">
        <f t="shared" si="1"/>
        <v/>
      </c>
    </row>
    <row r="145" spans="1:12" hidden="1" x14ac:dyDescent="0.3">
      <c r="A145" t="str">
        <f>IF($K145="","",125)</f>
        <v/>
      </c>
      <c r="B145" t="str">
        <f>IF($K145="","",INDEX(Конструктор!$C$2:$C$1212,$K145))</f>
        <v/>
      </c>
      <c r="C145" s="8" t="str">
        <f>IF($K145="","",INDEX(Конструктор!$D$2:$D$1212,$K145)&amp;IF(INDEX(Конструктор!$J$2:$J$1212,$K145)&lt;&gt;""," — "&amp;INDEX(Конструктор!$J$2:$J$1212,$K145),""))</f>
        <v/>
      </c>
      <c r="D145" t="str">
        <f>IF($K145="","",INDEX(Конструктор!$E$2:$E$1212,$K145))</f>
        <v/>
      </c>
      <c r="E145" s="10" t="str">
        <f>IF($K145="","",INDEX(Конструктор!$H$2:$H$1212,$K145))</f>
        <v/>
      </c>
      <c r="F145" s="10" t="str">
        <f>IF($K145="","",INDEX(Конструктор!$L$2:$L$1212,$K145))</f>
        <v/>
      </c>
      <c r="G145" s="10" t="str">
        <f>IF($K145="","",INDEX(Конструктор!$M$2:$M$1212,$K145))</f>
        <v/>
      </c>
      <c r="H145" s="10" t="str">
        <f>IF($K145="","",INDEX(Конструктор!$N$2:$N$1212,$K145))</f>
        <v/>
      </c>
      <c r="I145" s="10" t="str">
        <f>IF($K145="","",INDEX(Конструктор!$O$2:$O$1212,$K145))</f>
        <v/>
      </c>
      <c r="J145" s="10" t="str">
        <f>IF($K145="","",INDEX(Конструктор!$P$2:$P$1212,$K145))</f>
        <v/>
      </c>
      <c r="K145" t="str">
        <f>IFERROR(MATCH(125,Конструктор!$T$2:$T$1212,0),"")</f>
        <v/>
      </c>
      <c r="L145" t="str">
        <f t="shared" si="1"/>
        <v/>
      </c>
    </row>
    <row r="146" spans="1:12" hidden="1" x14ac:dyDescent="0.3">
      <c r="A146" t="str">
        <f>IF($K146="","",126)</f>
        <v/>
      </c>
      <c r="B146" t="str">
        <f>IF($K146="","",INDEX(Конструктор!$C$2:$C$1212,$K146))</f>
        <v/>
      </c>
      <c r="C146" s="8" t="str">
        <f>IF($K146="","",INDEX(Конструктор!$D$2:$D$1212,$K146)&amp;IF(INDEX(Конструктор!$J$2:$J$1212,$K146)&lt;&gt;""," — "&amp;INDEX(Конструктор!$J$2:$J$1212,$K146),""))</f>
        <v/>
      </c>
      <c r="D146" t="str">
        <f>IF($K146="","",INDEX(Конструктор!$E$2:$E$1212,$K146))</f>
        <v/>
      </c>
      <c r="E146" s="10" t="str">
        <f>IF($K146="","",INDEX(Конструктор!$H$2:$H$1212,$K146))</f>
        <v/>
      </c>
      <c r="F146" s="10" t="str">
        <f>IF($K146="","",INDEX(Конструктор!$L$2:$L$1212,$K146))</f>
        <v/>
      </c>
      <c r="G146" s="10" t="str">
        <f>IF($K146="","",INDEX(Конструктор!$M$2:$M$1212,$K146))</f>
        <v/>
      </c>
      <c r="H146" s="10" t="str">
        <f>IF($K146="","",INDEX(Конструктор!$N$2:$N$1212,$K146))</f>
        <v/>
      </c>
      <c r="I146" s="10" t="str">
        <f>IF($K146="","",INDEX(Конструктор!$O$2:$O$1212,$K146))</f>
        <v/>
      </c>
      <c r="J146" s="10" t="str">
        <f>IF($K146="","",INDEX(Конструктор!$P$2:$P$1212,$K146))</f>
        <v/>
      </c>
      <c r="K146" t="str">
        <f>IFERROR(MATCH(126,Конструктор!$T$2:$T$1212,0),"")</f>
        <v/>
      </c>
      <c r="L146" t="str">
        <f t="shared" si="1"/>
        <v/>
      </c>
    </row>
    <row r="147" spans="1:12" hidden="1" x14ac:dyDescent="0.3">
      <c r="A147" t="str">
        <f>IF($K147="","",127)</f>
        <v/>
      </c>
      <c r="B147" t="str">
        <f>IF($K147="","",INDEX(Конструктор!$C$2:$C$1212,$K147))</f>
        <v/>
      </c>
      <c r="C147" s="8" t="str">
        <f>IF($K147="","",INDEX(Конструктор!$D$2:$D$1212,$K147)&amp;IF(INDEX(Конструктор!$J$2:$J$1212,$K147)&lt;&gt;""," — "&amp;INDEX(Конструктор!$J$2:$J$1212,$K147),""))</f>
        <v/>
      </c>
      <c r="D147" t="str">
        <f>IF($K147="","",INDEX(Конструктор!$E$2:$E$1212,$K147))</f>
        <v/>
      </c>
      <c r="E147" s="10" t="str">
        <f>IF($K147="","",INDEX(Конструктор!$H$2:$H$1212,$K147))</f>
        <v/>
      </c>
      <c r="F147" s="10" t="str">
        <f>IF($K147="","",INDEX(Конструктор!$L$2:$L$1212,$K147))</f>
        <v/>
      </c>
      <c r="G147" s="10" t="str">
        <f>IF($K147="","",INDEX(Конструктор!$M$2:$M$1212,$K147))</f>
        <v/>
      </c>
      <c r="H147" s="10" t="str">
        <f>IF($K147="","",INDEX(Конструктор!$N$2:$N$1212,$K147))</f>
        <v/>
      </c>
      <c r="I147" s="10" t="str">
        <f>IF($K147="","",INDEX(Конструктор!$O$2:$O$1212,$K147))</f>
        <v/>
      </c>
      <c r="J147" s="10" t="str">
        <f>IF($K147="","",INDEX(Конструктор!$P$2:$P$1212,$K147))</f>
        <v/>
      </c>
      <c r="K147" t="str">
        <f>IFERROR(MATCH(127,Конструктор!$T$2:$T$1212,0),"")</f>
        <v/>
      </c>
      <c r="L147" t="str">
        <f t="shared" si="1"/>
        <v/>
      </c>
    </row>
    <row r="148" spans="1:12" hidden="1" x14ac:dyDescent="0.3">
      <c r="A148" t="str">
        <f>IF($K148="","",128)</f>
        <v/>
      </c>
      <c r="B148" t="str">
        <f>IF($K148="","",INDEX(Конструктор!$C$2:$C$1212,$K148))</f>
        <v/>
      </c>
      <c r="C148" s="8" t="str">
        <f>IF($K148="","",INDEX(Конструктор!$D$2:$D$1212,$K148)&amp;IF(INDEX(Конструктор!$J$2:$J$1212,$K148)&lt;&gt;""," — "&amp;INDEX(Конструктор!$J$2:$J$1212,$K148),""))</f>
        <v/>
      </c>
      <c r="D148" t="str">
        <f>IF($K148="","",INDEX(Конструктор!$E$2:$E$1212,$K148))</f>
        <v/>
      </c>
      <c r="E148" s="10" t="str">
        <f>IF($K148="","",INDEX(Конструктор!$H$2:$H$1212,$K148))</f>
        <v/>
      </c>
      <c r="F148" s="10" t="str">
        <f>IF($K148="","",INDEX(Конструктор!$L$2:$L$1212,$K148))</f>
        <v/>
      </c>
      <c r="G148" s="10" t="str">
        <f>IF($K148="","",INDEX(Конструктор!$M$2:$M$1212,$K148))</f>
        <v/>
      </c>
      <c r="H148" s="10" t="str">
        <f>IF($K148="","",INDEX(Конструктор!$N$2:$N$1212,$K148))</f>
        <v/>
      </c>
      <c r="I148" s="10" t="str">
        <f>IF($K148="","",INDEX(Конструктор!$O$2:$O$1212,$K148))</f>
        <v/>
      </c>
      <c r="J148" s="10" t="str">
        <f>IF($K148="","",INDEX(Конструктор!$P$2:$P$1212,$K148))</f>
        <v/>
      </c>
      <c r="K148" t="str">
        <f>IFERROR(MATCH(128,Конструктор!$T$2:$T$1212,0),"")</f>
        <v/>
      </c>
      <c r="L148" t="str">
        <f t="shared" si="1"/>
        <v/>
      </c>
    </row>
    <row r="149" spans="1:12" hidden="1" x14ac:dyDescent="0.3">
      <c r="A149" t="str">
        <f>IF($K149="","",129)</f>
        <v/>
      </c>
      <c r="B149" t="str">
        <f>IF($K149="","",INDEX(Конструктор!$C$2:$C$1212,$K149))</f>
        <v/>
      </c>
      <c r="C149" s="8" t="str">
        <f>IF($K149="","",INDEX(Конструктор!$D$2:$D$1212,$K149)&amp;IF(INDEX(Конструктор!$J$2:$J$1212,$K149)&lt;&gt;""," — "&amp;INDEX(Конструктор!$J$2:$J$1212,$K149),""))</f>
        <v/>
      </c>
      <c r="D149" t="str">
        <f>IF($K149="","",INDEX(Конструктор!$E$2:$E$1212,$K149))</f>
        <v/>
      </c>
      <c r="E149" s="10" t="str">
        <f>IF($K149="","",INDEX(Конструктор!$H$2:$H$1212,$K149))</f>
        <v/>
      </c>
      <c r="F149" s="10" t="str">
        <f>IF($K149="","",INDEX(Конструктор!$L$2:$L$1212,$K149))</f>
        <v/>
      </c>
      <c r="G149" s="10" t="str">
        <f>IF($K149="","",INDEX(Конструктор!$M$2:$M$1212,$K149))</f>
        <v/>
      </c>
      <c r="H149" s="10" t="str">
        <f>IF($K149="","",INDEX(Конструктор!$N$2:$N$1212,$K149))</f>
        <v/>
      </c>
      <c r="I149" s="10" t="str">
        <f>IF($K149="","",INDEX(Конструктор!$O$2:$O$1212,$K149))</f>
        <v/>
      </c>
      <c r="J149" s="10" t="str">
        <f>IF($K149="","",INDEX(Конструктор!$P$2:$P$1212,$K149))</f>
        <v/>
      </c>
      <c r="K149" t="str">
        <f>IFERROR(MATCH(129,Конструктор!$T$2:$T$1212,0),"")</f>
        <v/>
      </c>
      <c r="L149" t="str">
        <f t="shared" ref="L149:L212" si="2">IF($K149="","","показать")</f>
        <v/>
      </c>
    </row>
    <row r="150" spans="1:12" hidden="1" x14ac:dyDescent="0.3">
      <c r="A150" t="str">
        <f>IF($K150="","",130)</f>
        <v/>
      </c>
      <c r="B150" t="str">
        <f>IF($K150="","",INDEX(Конструктор!$C$2:$C$1212,$K150))</f>
        <v/>
      </c>
      <c r="C150" s="8" t="str">
        <f>IF($K150="","",INDEX(Конструктор!$D$2:$D$1212,$K150)&amp;IF(INDEX(Конструктор!$J$2:$J$1212,$K150)&lt;&gt;""," — "&amp;INDEX(Конструктор!$J$2:$J$1212,$K150),""))</f>
        <v/>
      </c>
      <c r="D150" t="str">
        <f>IF($K150="","",INDEX(Конструктор!$E$2:$E$1212,$K150))</f>
        <v/>
      </c>
      <c r="E150" s="10" t="str">
        <f>IF($K150="","",INDEX(Конструктор!$H$2:$H$1212,$K150))</f>
        <v/>
      </c>
      <c r="F150" s="10" t="str">
        <f>IF($K150="","",INDEX(Конструктор!$L$2:$L$1212,$K150))</f>
        <v/>
      </c>
      <c r="G150" s="10" t="str">
        <f>IF($K150="","",INDEX(Конструктор!$M$2:$M$1212,$K150))</f>
        <v/>
      </c>
      <c r="H150" s="10" t="str">
        <f>IF($K150="","",INDEX(Конструктор!$N$2:$N$1212,$K150))</f>
        <v/>
      </c>
      <c r="I150" s="10" t="str">
        <f>IF($K150="","",INDEX(Конструктор!$O$2:$O$1212,$K150))</f>
        <v/>
      </c>
      <c r="J150" s="10" t="str">
        <f>IF($K150="","",INDEX(Конструктор!$P$2:$P$1212,$K150))</f>
        <v/>
      </c>
      <c r="K150" t="str">
        <f>IFERROR(MATCH(130,Конструктор!$T$2:$T$1212,0),"")</f>
        <v/>
      </c>
      <c r="L150" t="str">
        <f t="shared" si="2"/>
        <v/>
      </c>
    </row>
    <row r="151" spans="1:12" hidden="1" x14ac:dyDescent="0.3">
      <c r="A151" t="str">
        <f>IF($K151="","",131)</f>
        <v/>
      </c>
      <c r="B151" t="str">
        <f>IF($K151="","",INDEX(Конструктор!$C$2:$C$1212,$K151))</f>
        <v/>
      </c>
      <c r="C151" s="8" t="str">
        <f>IF($K151="","",INDEX(Конструктор!$D$2:$D$1212,$K151)&amp;IF(INDEX(Конструктор!$J$2:$J$1212,$K151)&lt;&gt;""," — "&amp;INDEX(Конструктор!$J$2:$J$1212,$K151),""))</f>
        <v/>
      </c>
      <c r="D151" t="str">
        <f>IF($K151="","",INDEX(Конструктор!$E$2:$E$1212,$K151))</f>
        <v/>
      </c>
      <c r="E151" s="10" t="str">
        <f>IF($K151="","",INDEX(Конструктор!$H$2:$H$1212,$K151))</f>
        <v/>
      </c>
      <c r="F151" s="10" t="str">
        <f>IF($K151="","",INDEX(Конструктор!$L$2:$L$1212,$K151))</f>
        <v/>
      </c>
      <c r="G151" s="10" t="str">
        <f>IF($K151="","",INDEX(Конструктор!$M$2:$M$1212,$K151))</f>
        <v/>
      </c>
      <c r="H151" s="10" t="str">
        <f>IF($K151="","",INDEX(Конструктор!$N$2:$N$1212,$K151))</f>
        <v/>
      </c>
      <c r="I151" s="10" t="str">
        <f>IF($K151="","",INDEX(Конструктор!$O$2:$O$1212,$K151))</f>
        <v/>
      </c>
      <c r="J151" s="10" t="str">
        <f>IF($K151="","",INDEX(Конструктор!$P$2:$P$1212,$K151))</f>
        <v/>
      </c>
      <c r="K151" t="str">
        <f>IFERROR(MATCH(131,Конструктор!$T$2:$T$1212,0),"")</f>
        <v/>
      </c>
      <c r="L151" t="str">
        <f t="shared" si="2"/>
        <v/>
      </c>
    </row>
    <row r="152" spans="1:12" hidden="1" x14ac:dyDescent="0.3">
      <c r="A152" t="str">
        <f>IF($K152="","",132)</f>
        <v/>
      </c>
      <c r="B152" t="str">
        <f>IF($K152="","",INDEX(Конструктор!$C$2:$C$1212,$K152))</f>
        <v/>
      </c>
      <c r="C152" s="8" t="str">
        <f>IF($K152="","",INDEX(Конструктор!$D$2:$D$1212,$K152)&amp;IF(INDEX(Конструктор!$J$2:$J$1212,$K152)&lt;&gt;""," — "&amp;INDEX(Конструктор!$J$2:$J$1212,$K152),""))</f>
        <v/>
      </c>
      <c r="D152" t="str">
        <f>IF($K152="","",INDEX(Конструктор!$E$2:$E$1212,$K152))</f>
        <v/>
      </c>
      <c r="E152" s="10" t="str">
        <f>IF($K152="","",INDEX(Конструктор!$H$2:$H$1212,$K152))</f>
        <v/>
      </c>
      <c r="F152" s="10" t="str">
        <f>IF($K152="","",INDEX(Конструктор!$L$2:$L$1212,$K152))</f>
        <v/>
      </c>
      <c r="G152" s="10" t="str">
        <f>IF($K152="","",INDEX(Конструктор!$M$2:$M$1212,$K152))</f>
        <v/>
      </c>
      <c r="H152" s="10" t="str">
        <f>IF($K152="","",INDEX(Конструктор!$N$2:$N$1212,$K152))</f>
        <v/>
      </c>
      <c r="I152" s="10" t="str">
        <f>IF($K152="","",INDEX(Конструктор!$O$2:$O$1212,$K152))</f>
        <v/>
      </c>
      <c r="J152" s="10" t="str">
        <f>IF($K152="","",INDEX(Конструктор!$P$2:$P$1212,$K152))</f>
        <v/>
      </c>
      <c r="K152" t="str">
        <f>IFERROR(MATCH(132,Конструктор!$T$2:$T$1212,0),"")</f>
        <v/>
      </c>
      <c r="L152" t="str">
        <f t="shared" si="2"/>
        <v/>
      </c>
    </row>
    <row r="153" spans="1:12" hidden="1" x14ac:dyDescent="0.3">
      <c r="A153" t="str">
        <f>IF($K153="","",133)</f>
        <v/>
      </c>
      <c r="B153" t="str">
        <f>IF($K153="","",INDEX(Конструктор!$C$2:$C$1212,$K153))</f>
        <v/>
      </c>
      <c r="C153" s="8" t="str">
        <f>IF($K153="","",INDEX(Конструктор!$D$2:$D$1212,$K153)&amp;IF(INDEX(Конструктор!$J$2:$J$1212,$K153)&lt;&gt;""," — "&amp;INDEX(Конструктор!$J$2:$J$1212,$K153),""))</f>
        <v/>
      </c>
      <c r="D153" t="str">
        <f>IF($K153="","",INDEX(Конструктор!$E$2:$E$1212,$K153))</f>
        <v/>
      </c>
      <c r="E153" s="10" t="str">
        <f>IF($K153="","",INDEX(Конструктор!$H$2:$H$1212,$K153))</f>
        <v/>
      </c>
      <c r="F153" s="10" t="str">
        <f>IF($K153="","",INDEX(Конструктор!$L$2:$L$1212,$K153))</f>
        <v/>
      </c>
      <c r="G153" s="10" t="str">
        <f>IF($K153="","",INDEX(Конструктор!$M$2:$M$1212,$K153))</f>
        <v/>
      </c>
      <c r="H153" s="10" t="str">
        <f>IF($K153="","",INDEX(Конструктор!$N$2:$N$1212,$K153))</f>
        <v/>
      </c>
      <c r="I153" s="10" t="str">
        <f>IF($K153="","",INDEX(Конструктор!$O$2:$O$1212,$K153))</f>
        <v/>
      </c>
      <c r="J153" s="10" t="str">
        <f>IF($K153="","",INDEX(Конструктор!$P$2:$P$1212,$K153))</f>
        <v/>
      </c>
      <c r="K153" t="str">
        <f>IFERROR(MATCH(133,Конструктор!$T$2:$T$1212,0),"")</f>
        <v/>
      </c>
      <c r="L153" t="str">
        <f t="shared" si="2"/>
        <v/>
      </c>
    </row>
    <row r="154" spans="1:12" hidden="1" x14ac:dyDescent="0.3">
      <c r="A154" t="str">
        <f>IF($K154="","",134)</f>
        <v/>
      </c>
      <c r="B154" t="str">
        <f>IF($K154="","",INDEX(Конструктор!$C$2:$C$1212,$K154))</f>
        <v/>
      </c>
      <c r="C154" s="8" t="str">
        <f>IF($K154="","",INDEX(Конструктор!$D$2:$D$1212,$K154)&amp;IF(INDEX(Конструктор!$J$2:$J$1212,$K154)&lt;&gt;""," — "&amp;INDEX(Конструктор!$J$2:$J$1212,$K154),""))</f>
        <v/>
      </c>
      <c r="D154" t="str">
        <f>IF($K154="","",INDEX(Конструктор!$E$2:$E$1212,$K154))</f>
        <v/>
      </c>
      <c r="E154" s="10" t="str">
        <f>IF($K154="","",INDEX(Конструктор!$H$2:$H$1212,$K154))</f>
        <v/>
      </c>
      <c r="F154" s="10" t="str">
        <f>IF($K154="","",INDEX(Конструктор!$L$2:$L$1212,$K154))</f>
        <v/>
      </c>
      <c r="G154" s="10" t="str">
        <f>IF($K154="","",INDEX(Конструктор!$M$2:$M$1212,$K154))</f>
        <v/>
      </c>
      <c r="H154" s="10" t="str">
        <f>IF($K154="","",INDEX(Конструктор!$N$2:$N$1212,$K154))</f>
        <v/>
      </c>
      <c r="I154" s="10" t="str">
        <f>IF($K154="","",INDEX(Конструктор!$O$2:$O$1212,$K154))</f>
        <v/>
      </c>
      <c r="J154" s="10" t="str">
        <f>IF($K154="","",INDEX(Конструктор!$P$2:$P$1212,$K154))</f>
        <v/>
      </c>
      <c r="K154" t="str">
        <f>IFERROR(MATCH(134,Конструктор!$T$2:$T$1212,0),"")</f>
        <v/>
      </c>
      <c r="L154" t="str">
        <f t="shared" si="2"/>
        <v/>
      </c>
    </row>
    <row r="155" spans="1:12" hidden="1" x14ac:dyDescent="0.3">
      <c r="A155" t="str">
        <f>IF($K155="","",135)</f>
        <v/>
      </c>
      <c r="B155" t="str">
        <f>IF($K155="","",INDEX(Конструктор!$C$2:$C$1212,$K155))</f>
        <v/>
      </c>
      <c r="C155" s="8" t="str">
        <f>IF($K155="","",INDEX(Конструктор!$D$2:$D$1212,$K155)&amp;IF(INDEX(Конструктор!$J$2:$J$1212,$K155)&lt;&gt;""," — "&amp;INDEX(Конструктор!$J$2:$J$1212,$K155),""))</f>
        <v/>
      </c>
      <c r="D155" t="str">
        <f>IF($K155="","",INDEX(Конструктор!$E$2:$E$1212,$K155))</f>
        <v/>
      </c>
      <c r="E155" s="10" t="str">
        <f>IF($K155="","",INDEX(Конструктор!$H$2:$H$1212,$K155))</f>
        <v/>
      </c>
      <c r="F155" s="10" t="str">
        <f>IF($K155="","",INDEX(Конструктор!$L$2:$L$1212,$K155))</f>
        <v/>
      </c>
      <c r="G155" s="10" t="str">
        <f>IF($K155="","",INDEX(Конструктор!$M$2:$M$1212,$K155))</f>
        <v/>
      </c>
      <c r="H155" s="10" t="str">
        <f>IF($K155="","",INDEX(Конструктор!$N$2:$N$1212,$K155))</f>
        <v/>
      </c>
      <c r="I155" s="10" t="str">
        <f>IF($K155="","",INDEX(Конструктор!$O$2:$O$1212,$K155))</f>
        <v/>
      </c>
      <c r="J155" s="10" t="str">
        <f>IF($K155="","",INDEX(Конструктор!$P$2:$P$1212,$K155))</f>
        <v/>
      </c>
      <c r="K155" t="str">
        <f>IFERROR(MATCH(135,Конструктор!$T$2:$T$1212,0),"")</f>
        <v/>
      </c>
      <c r="L155" t="str">
        <f t="shared" si="2"/>
        <v/>
      </c>
    </row>
    <row r="156" spans="1:12" hidden="1" x14ac:dyDescent="0.3">
      <c r="A156" t="str">
        <f>IF($K156="","",136)</f>
        <v/>
      </c>
      <c r="B156" t="str">
        <f>IF($K156="","",INDEX(Конструктор!$C$2:$C$1212,$K156))</f>
        <v/>
      </c>
      <c r="C156" s="8" t="str">
        <f>IF($K156="","",INDEX(Конструктор!$D$2:$D$1212,$K156)&amp;IF(INDEX(Конструктор!$J$2:$J$1212,$K156)&lt;&gt;""," — "&amp;INDEX(Конструктор!$J$2:$J$1212,$K156),""))</f>
        <v/>
      </c>
      <c r="D156" t="str">
        <f>IF($K156="","",INDEX(Конструктор!$E$2:$E$1212,$K156))</f>
        <v/>
      </c>
      <c r="E156" s="10" t="str">
        <f>IF($K156="","",INDEX(Конструктор!$H$2:$H$1212,$K156))</f>
        <v/>
      </c>
      <c r="F156" s="10" t="str">
        <f>IF($K156="","",INDEX(Конструктор!$L$2:$L$1212,$K156))</f>
        <v/>
      </c>
      <c r="G156" s="10" t="str">
        <f>IF($K156="","",INDEX(Конструктор!$M$2:$M$1212,$K156))</f>
        <v/>
      </c>
      <c r="H156" s="10" t="str">
        <f>IF($K156="","",INDEX(Конструктор!$N$2:$N$1212,$K156))</f>
        <v/>
      </c>
      <c r="I156" s="10" t="str">
        <f>IF($K156="","",INDEX(Конструктор!$O$2:$O$1212,$K156))</f>
        <v/>
      </c>
      <c r="J156" s="10" t="str">
        <f>IF($K156="","",INDEX(Конструктор!$P$2:$P$1212,$K156))</f>
        <v/>
      </c>
      <c r="K156" t="str">
        <f>IFERROR(MATCH(136,Конструктор!$T$2:$T$1212,0),"")</f>
        <v/>
      </c>
      <c r="L156" t="str">
        <f t="shared" si="2"/>
        <v/>
      </c>
    </row>
    <row r="157" spans="1:12" hidden="1" x14ac:dyDescent="0.3">
      <c r="A157" t="str">
        <f>IF($K157="","",137)</f>
        <v/>
      </c>
      <c r="B157" t="str">
        <f>IF($K157="","",INDEX(Конструктор!$C$2:$C$1212,$K157))</f>
        <v/>
      </c>
      <c r="C157" s="8" t="str">
        <f>IF($K157="","",INDEX(Конструктор!$D$2:$D$1212,$K157)&amp;IF(INDEX(Конструктор!$J$2:$J$1212,$K157)&lt;&gt;""," — "&amp;INDEX(Конструктор!$J$2:$J$1212,$K157),""))</f>
        <v/>
      </c>
      <c r="D157" t="str">
        <f>IF($K157="","",INDEX(Конструктор!$E$2:$E$1212,$K157))</f>
        <v/>
      </c>
      <c r="E157" s="10" t="str">
        <f>IF($K157="","",INDEX(Конструктор!$H$2:$H$1212,$K157))</f>
        <v/>
      </c>
      <c r="F157" s="10" t="str">
        <f>IF($K157="","",INDEX(Конструктор!$L$2:$L$1212,$K157))</f>
        <v/>
      </c>
      <c r="G157" s="10" t="str">
        <f>IF($K157="","",INDEX(Конструктор!$M$2:$M$1212,$K157))</f>
        <v/>
      </c>
      <c r="H157" s="10" t="str">
        <f>IF($K157="","",INDEX(Конструктор!$N$2:$N$1212,$K157))</f>
        <v/>
      </c>
      <c r="I157" s="10" t="str">
        <f>IF($K157="","",INDEX(Конструктор!$O$2:$O$1212,$K157))</f>
        <v/>
      </c>
      <c r="J157" s="10" t="str">
        <f>IF($K157="","",INDEX(Конструктор!$P$2:$P$1212,$K157))</f>
        <v/>
      </c>
      <c r="K157" t="str">
        <f>IFERROR(MATCH(137,Конструктор!$T$2:$T$1212,0),"")</f>
        <v/>
      </c>
      <c r="L157" t="str">
        <f t="shared" si="2"/>
        <v/>
      </c>
    </row>
    <row r="158" spans="1:12" hidden="1" x14ac:dyDescent="0.3">
      <c r="A158" t="str">
        <f>IF($K158="","",138)</f>
        <v/>
      </c>
      <c r="B158" t="str">
        <f>IF($K158="","",INDEX(Конструктор!$C$2:$C$1212,$K158))</f>
        <v/>
      </c>
      <c r="C158" s="8" t="str">
        <f>IF($K158="","",INDEX(Конструктор!$D$2:$D$1212,$K158)&amp;IF(INDEX(Конструктор!$J$2:$J$1212,$K158)&lt;&gt;""," — "&amp;INDEX(Конструктор!$J$2:$J$1212,$K158),""))</f>
        <v/>
      </c>
      <c r="D158" t="str">
        <f>IF($K158="","",INDEX(Конструктор!$E$2:$E$1212,$K158))</f>
        <v/>
      </c>
      <c r="E158" s="10" t="str">
        <f>IF($K158="","",INDEX(Конструктор!$H$2:$H$1212,$K158))</f>
        <v/>
      </c>
      <c r="F158" s="10" t="str">
        <f>IF($K158="","",INDEX(Конструктор!$L$2:$L$1212,$K158))</f>
        <v/>
      </c>
      <c r="G158" s="10" t="str">
        <f>IF($K158="","",INDEX(Конструктор!$M$2:$M$1212,$K158))</f>
        <v/>
      </c>
      <c r="H158" s="10" t="str">
        <f>IF($K158="","",INDEX(Конструктор!$N$2:$N$1212,$K158))</f>
        <v/>
      </c>
      <c r="I158" s="10" t="str">
        <f>IF($K158="","",INDEX(Конструктор!$O$2:$O$1212,$K158))</f>
        <v/>
      </c>
      <c r="J158" s="10" t="str">
        <f>IF($K158="","",INDEX(Конструктор!$P$2:$P$1212,$K158))</f>
        <v/>
      </c>
      <c r="K158" t="str">
        <f>IFERROR(MATCH(138,Конструктор!$T$2:$T$1212,0),"")</f>
        <v/>
      </c>
      <c r="L158" t="str">
        <f t="shared" si="2"/>
        <v/>
      </c>
    </row>
    <row r="159" spans="1:12" hidden="1" x14ac:dyDescent="0.3">
      <c r="A159" t="str">
        <f>IF($K159="","",139)</f>
        <v/>
      </c>
      <c r="B159" t="str">
        <f>IF($K159="","",INDEX(Конструктор!$C$2:$C$1212,$K159))</f>
        <v/>
      </c>
      <c r="C159" s="8" t="str">
        <f>IF($K159="","",INDEX(Конструктор!$D$2:$D$1212,$K159)&amp;IF(INDEX(Конструктор!$J$2:$J$1212,$K159)&lt;&gt;""," — "&amp;INDEX(Конструктор!$J$2:$J$1212,$K159),""))</f>
        <v/>
      </c>
      <c r="D159" t="str">
        <f>IF($K159="","",INDEX(Конструктор!$E$2:$E$1212,$K159))</f>
        <v/>
      </c>
      <c r="E159" s="10" t="str">
        <f>IF($K159="","",INDEX(Конструктор!$H$2:$H$1212,$K159))</f>
        <v/>
      </c>
      <c r="F159" s="10" t="str">
        <f>IF($K159="","",INDEX(Конструктор!$L$2:$L$1212,$K159))</f>
        <v/>
      </c>
      <c r="G159" s="10" t="str">
        <f>IF($K159="","",INDEX(Конструктор!$M$2:$M$1212,$K159))</f>
        <v/>
      </c>
      <c r="H159" s="10" t="str">
        <f>IF($K159="","",INDEX(Конструктор!$N$2:$N$1212,$K159))</f>
        <v/>
      </c>
      <c r="I159" s="10" t="str">
        <f>IF($K159="","",INDEX(Конструктор!$O$2:$O$1212,$K159))</f>
        <v/>
      </c>
      <c r="J159" s="10" t="str">
        <f>IF($K159="","",INDEX(Конструктор!$P$2:$P$1212,$K159))</f>
        <v/>
      </c>
      <c r="K159" t="str">
        <f>IFERROR(MATCH(139,Конструктор!$T$2:$T$1212,0),"")</f>
        <v/>
      </c>
      <c r="L159" t="str">
        <f t="shared" si="2"/>
        <v/>
      </c>
    </row>
    <row r="160" spans="1:12" hidden="1" x14ac:dyDescent="0.3">
      <c r="A160" t="str">
        <f>IF($K160="","",140)</f>
        <v/>
      </c>
      <c r="B160" t="str">
        <f>IF($K160="","",INDEX(Конструктор!$C$2:$C$1212,$K160))</f>
        <v/>
      </c>
      <c r="C160" s="8" t="str">
        <f>IF($K160="","",INDEX(Конструктор!$D$2:$D$1212,$K160)&amp;IF(INDEX(Конструктор!$J$2:$J$1212,$K160)&lt;&gt;""," — "&amp;INDEX(Конструктор!$J$2:$J$1212,$K160),""))</f>
        <v/>
      </c>
      <c r="D160" t="str">
        <f>IF($K160="","",INDEX(Конструктор!$E$2:$E$1212,$K160))</f>
        <v/>
      </c>
      <c r="E160" s="10" t="str">
        <f>IF($K160="","",INDEX(Конструктор!$H$2:$H$1212,$K160))</f>
        <v/>
      </c>
      <c r="F160" s="10" t="str">
        <f>IF($K160="","",INDEX(Конструктор!$L$2:$L$1212,$K160))</f>
        <v/>
      </c>
      <c r="G160" s="10" t="str">
        <f>IF($K160="","",INDEX(Конструктор!$M$2:$M$1212,$K160))</f>
        <v/>
      </c>
      <c r="H160" s="10" t="str">
        <f>IF($K160="","",INDEX(Конструктор!$N$2:$N$1212,$K160))</f>
        <v/>
      </c>
      <c r="I160" s="10" t="str">
        <f>IF($K160="","",INDEX(Конструктор!$O$2:$O$1212,$K160))</f>
        <v/>
      </c>
      <c r="J160" s="10" t="str">
        <f>IF($K160="","",INDEX(Конструктор!$P$2:$P$1212,$K160))</f>
        <v/>
      </c>
      <c r="K160" t="str">
        <f>IFERROR(MATCH(140,Конструктор!$T$2:$T$1212,0),"")</f>
        <v/>
      </c>
      <c r="L160" t="str">
        <f t="shared" si="2"/>
        <v/>
      </c>
    </row>
    <row r="161" spans="1:12" hidden="1" x14ac:dyDescent="0.3">
      <c r="A161" t="str">
        <f>IF($K161="","",141)</f>
        <v/>
      </c>
      <c r="B161" t="str">
        <f>IF($K161="","",INDEX(Конструктор!$C$2:$C$1212,$K161))</f>
        <v/>
      </c>
      <c r="C161" s="8" t="str">
        <f>IF($K161="","",INDEX(Конструктор!$D$2:$D$1212,$K161)&amp;IF(INDEX(Конструктор!$J$2:$J$1212,$K161)&lt;&gt;""," — "&amp;INDEX(Конструктор!$J$2:$J$1212,$K161),""))</f>
        <v/>
      </c>
      <c r="D161" t="str">
        <f>IF($K161="","",INDEX(Конструктор!$E$2:$E$1212,$K161))</f>
        <v/>
      </c>
      <c r="E161" s="10" t="str">
        <f>IF($K161="","",INDEX(Конструктор!$H$2:$H$1212,$K161))</f>
        <v/>
      </c>
      <c r="F161" s="10" t="str">
        <f>IF($K161="","",INDEX(Конструктор!$L$2:$L$1212,$K161))</f>
        <v/>
      </c>
      <c r="G161" s="10" t="str">
        <f>IF($K161="","",INDEX(Конструктор!$M$2:$M$1212,$K161))</f>
        <v/>
      </c>
      <c r="H161" s="10" t="str">
        <f>IF($K161="","",INDEX(Конструктор!$N$2:$N$1212,$K161))</f>
        <v/>
      </c>
      <c r="I161" s="10" t="str">
        <f>IF($K161="","",INDEX(Конструктор!$O$2:$O$1212,$K161))</f>
        <v/>
      </c>
      <c r="J161" s="10" t="str">
        <f>IF($K161="","",INDEX(Конструктор!$P$2:$P$1212,$K161))</f>
        <v/>
      </c>
      <c r="K161" t="str">
        <f>IFERROR(MATCH(141,Конструктор!$T$2:$T$1212,0),"")</f>
        <v/>
      </c>
      <c r="L161" t="str">
        <f t="shared" si="2"/>
        <v/>
      </c>
    </row>
    <row r="162" spans="1:12" hidden="1" x14ac:dyDescent="0.3">
      <c r="A162" t="str">
        <f>IF($K162="","",142)</f>
        <v/>
      </c>
      <c r="B162" t="str">
        <f>IF($K162="","",INDEX(Конструктор!$C$2:$C$1212,$K162))</f>
        <v/>
      </c>
      <c r="C162" s="8" t="str">
        <f>IF($K162="","",INDEX(Конструктор!$D$2:$D$1212,$K162)&amp;IF(INDEX(Конструктор!$J$2:$J$1212,$K162)&lt;&gt;""," — "&amp;INDEX(Конструктор!$J$2:$J$1212,$K162),""))</f>
        <v/>
      </c>
      <c r="D162" t="str">
        <f>IF($K162="","",INDEX(Конструктор!$E$2:$E$1212,$K162))</f>
        <v/>
      </c>
      <c r="E162" s="10" t="str">
        <f>IF($K162="","",INDEX(Конструктор!$H$2:$H$1212,$K162))</f>
        <v/>
      </c>
      <c r="F162" s="10" t="str">
        <f>IF($K162="","",INDEX(Конструктор!$L$2:$L$1212,$K162))</f>
        <v/>
      </c>
      <c r="G162" s="10" t="str">
        <f>IF($K162="","",INDEX(Конструктор!$M$2:$M$1212,$K162))</f>
        <v/>
      </c>
      <c r="H162" s="10" t="str">
        <f>IF($K162="","",INDEX(Конструктор!$N$2:$N$1212,$K162))</f>
        <v/>
      </c>
      <c r="I162" s="10" t="str">
        <f>IF($K162="","",INDEX(Конструктор!$O$2:$O$1212,$K162))</f>
        <v/>
      </c>
      <c r="J162" s="10" t="str">
        <f>IF($K162="","",INDEX(Конструктор!$P$2:$P$1212,$K162))</f>
        <v/>
      </c>
      <c r="K162" t="str">
        <f>IFERROR(MATCH(142,Конструктор!$T$2:$T$1212,0),"")</f>
        <v/>
      </c>
      <c r="L162" t="str">
        <f t="shared" si="2"/>
        <v/>
      </c>
    </row>
    <row r="163" spans="1:12" hidden="1" x14ac:dyDescent="0.3">
      <c r="A163" t="str">
        <f>IF($K163="","",143)</f>
        <v/>
      </c>
      <c r="B163" t="str">
        <f>IF($K163="","",INDEX(Конструктор!$C$2:$C$1212,$K163))</f>
        <v/>
      </c>
      <c r="C163" s="8" t="str">
        <f>IF($K163="","",INDEX(Конструктор!$D$2:$D$1212,$K163)&amp;IF(INDEX(Конструктор!$J$2:$J$1212,$K163)&lt;&gt;""," — "&amp;INDEX(Конструктор!$J$2:$J$1212,$K163),""))</f>
        <v/>
      </c>
      <c r="D163" t="str">
        <f>IF($K163="","",INDEX(Конструктор!$E$2:$E$1212,$K163))</f>
        <v/>
      </c>
      <c r="E163" s="10" t="str">
        <f>IF($K163="","",INDEX(Конструктор!$H$2:$H$1212,$K163))</f>
        <v/>
      </c>
      <c r="F163" s="10" t="str">
        <f>IF($K163="","",INDEX(Конструктор!$L$2:$L$1212,$K163))</f>
        <v/>
      </c>
      <c r="G163" s="10" t="str">
        <f>IF($K163="","",INDEX(Конструктор!$M$2:$M$1212,$K163))</f>
        <v/>
      </c>
      <c r="H163" s="10" t="str">
        <f>IF($K163="","",INDEX(Конструктор!$N$2:$N$1212,$K163))</f>
        <v/>
      </c>
      <c r="I163" s="10" t="str">
        <f>IF($K163="","",INDEX(Конструктор!$O$2:$O$1212,$K163))</f>
        <v/>
      </c>
      <c r="J163" s="10" t="str">
        <f>IF($K163="","",INDEX(Конструктор!$P$2:$P$1212,$K163))</f>
        <v/>
      </c>
      <c r="K163" t="str">
        <f>IFERROR(MATCH(143,Конструктор!$T$2:$T$1212,0),"")</f>
        <v/>
      </c>
      <c r="L163" t="str">
        <f t="shared" si="2"/>
        <v/>
      </c>
    </row>
    <row r="164" spans="1:12" hidden="1" x14ac:dyDescent="0.3">
      <c r="A164" t="str">
        <f>IF($K164="","",144)</f>
        <v/>
      </c>
      <c r="B164" t="str">
        <f>IF($K164="","",INDEX(Конструктор!$C$2:$C$1212,$K164))</f>
        <v/>
      </c>
      <c r="C164" s="8" t="str">
        <f>IF($K164="","",INDEX(Конструктор!$D$2:$D$1212,$K164)&amp;IF(INDEX(Конструктор!$J$2:$J$1212,$K164)&lt;&gt;""," — "&amp;INDEX(Конструктор!$J$2:$J$1212,$K164),""))</f>
        <v/>
      </c>
      <c r="D164" t="str">
        <f>IF($K164="","",INDEX(Конструктор!$E$2:$E$1212,$K164))</f>
        <v/>
      </c>
      <c r="E164" s="10" t="str">
        <f>IF($K164="","",INDEX(Конструктор!$H$2:$H$1212,$K164))</f>
        <v/>
      </c>
      <c r="F164" s="10" t="str">
        <f>IF($K164="","",INDEX(Конструктор!$L$2:$L$1212,$K164))</f>
        <v/>
      </c>
      <c r="G164" s="10" t="str">
        <f>IF($K164="","",INDEX(Конструктор!$M$2:$M$1212,$K164))</f>
        <v/>
      </c>
      <c r="H164" s="10" t="str">
        <f>IF($K164="","",INDEX(Конструктор!$N$2:$N$1212,$K164))</f>
        <v/>
      </c>
      <c r="I164" s="10" t="str">
        <f>IF($K164="","",INDEX(Конструктор!$O$2:$O$1212,$K164))</f>
        <v/>
      </c>
      <c r="J164" s="10" t="str">
        <f>IF($K164="","",INDEX(Конструктор!$P$2:$P$1212,$K164))</f>
        <v/>
      </c>
      <c r="K164" t="str">
        <f>IFERROR(MATCH(144,Конструктор!$T$2:$T$1212,0),"")</f>
        <v/>
      </c>
      <c r="L164" t="str">
        <f t="shared" si="2"/>
        <v/>
      </c>
    </row>
    <row r="165" spans="1:12" hidden="1" x14ac:dyDescent="0.3">
      <c r="A165" t="str">
        <f>IF($K165="","",145)</f>
        <v/>
      </c>
      <c r="B165" t="str">
        <f>IF($K165="","",INDEX(Конструктор!$C$2:$C$1212,$K165))</f>
        <v/>
      </c>
      <c r="C165" s="8" t="str">
        <f>IF($K165="","",INDEX(Конструктор!$D$2:$D$1212,$K165)&amp;IF(INDEX(Конструктор!$J$2:$J$1212,$K165)&lt;&gt;""," — "&amp;INDEX(Конструктор!$J$2:$J$1212,$K165),""))</f>
        <v/>
      </c>
      <c r="D165" t="str">
        <f>IF($K165="","",INDEX(Конструктор!$E$2:$E$1212,$K165))</f>
        <v/>
      </c>
      <c r="E165" s="10" t="str">
        <f>IF($K165="","",INDEX(Конструктор!$H$2:$H$1212,$K165))</f>
        <v/>
      </c>
      <c r="F165" s="10" t="str">
        <f>IF($K165="","",INDEX(Конструктор!$L$2:$L$1212,$K165))</f>
        <v/>
      </c>
      <c r="G165" s="10" t="str">
        <f>IF($K165="","",INDEX(Конструктор!$M$2:$M$1212,$K165))</f>
        <v/>
      </c>
      <c r="H165" s="10" t="str">
        <f>IF($K165="","",INDEX(Конструктор!$N$2:$N$1212,$K165))</f>
        <v/>
      </c>
      <c r="I165" s="10" t="str">
        <f>IF($K165="","",INDEX(Конструктор!$O$2:$O$1212,$K165))</f>
        <v/>
      </c>
      <c r="J165" s="10" t="str">
        <f>IF($K165="","",INDEX(Конструктор!$P$2:$P$1212,$K165))</f>
        <v/>
      </c>
      <c r="K165" t="str">
        <f>IFERROR(MATCH(145,Конструктор!$T$2:$T$1212,0),"")</f>
        <v/>
      </c>
      <c r="L165" t="str">
        <f t="shared" si="2"/>
        <v/>
      </c>
    </row>
    <row r="166" spans="1:12" hidden="1" x14ac:dyDescent="0.3">
      <c r="A166" t="str">
        <f>IF($K166="","",146)</f>
        <v/>
      </c>
      <c r="B166" t="str">
        <f>IF($K166="","",INDEX(Конструктор!$C$2:$C$1212,$K166))</f>
        <v/>
      </c>
      <c r="C166" s="8" t="str">
        <f>IF($K166="","",INDEX(Конструктор!$D$2:$D$1212,$K166)&amp;IF(INDEX(Конструктор!$J$2:$J$1212,$K166)&lt;&gt;""," — "&amp;INDEX(Конструктор!$J$2:$J$1212,$K166),""))</f>
        <v/>
      </c>
      <c r="D166" t="str">
        <f>IF($K166="","",INDEX(Конструктор!$E$2:$E$1212,$K166))</f>
        <v/>
      </c>
      <c r="E166" s="10" t="str">
        <f>IF($K166="","",INDEX(Конструктор!$H$2:$H$1212,$K166))</f>
        <v/>
      </c>
      <c r="F166" s="10" t="str">
        <f>IF($K166="","",INDEX(Конструктор!$L$2:$L$1212,$K166))</f>
        <v/>
      </c>
      <c r="G166" s="10" t="str">
        <f>IF($K166="","",INDEX(Конструктор!$M$2:$M$1212,$K166))</f>
        <v/>
      </c>
      <c r="H166" s="10" t="str">
        <f>IF($K166="","",INDEX(Конструктор!$N$2:$N$1212,$K166))</f>
        <v/>
      </c>
      <c r="I166" s="10" t="str">
        <f>IF($K166="","",INDEX(Конструктор!$O$2:$O$1212,$K166))</f>
        <v/>
      </c>
      <c r="J166" s="10" t="str">
        <f>IF($K166="","",INDEX(Конструктор!$P$2:$P$1212,$K166))</f>
        <v/>
      </c>
      <c r="K166" t="str">
        <f>IFERROR(MATCH(146,Конструктор!$T$2:$T$1212,0),"")</f>
        <v/>
      </c>
      <c r="L166" t="str">
        <f t="shared" si="2"/>
        <v/>
      </c>
    </row>
    <row r="167" spans="1:12" hidden="1" x14ac:dyDescent="0.3">
      <c r="A167" t="str">
        <f>IF($K167="","",147)</f>
        <v/>
      </c>
      <c r="B167" t="str">
        <f>IF($K167="","",INDEX(Конструктор!$C$2:$C$1212,$K167))</f>
        <v/>
      </c>
      <c r="C167" s="8" t="str">
        <f>IF($K167="","",INDEX(Конструктор!$D$2:$D$1212,$K167)&amp;IF(INDEX(Конструктор!$J$2:$J$1212,$K167)&lt;&gt;""," — "&amp;INDEX(Конструктор!$J$2:$J$1212,$K167),""))</f>
        <v/>
      </c>
      <c r="D167" t="str">
        <f>IF($K167="","",INDEX(Конструктор!$E$2:$E$1212,$K167))</f>
        <v/>
      </c>
      <c r="E167" s="10" t="str">
        <f>IF($K167="","",INDEX(Конструктор!$H$2:$H$1212,$K167))</f>
        <v/>
      </c>
      <c r="F167" s="10" t="str">
        <f>IF($K167="","",INDEX(Конструктор!$L$2:$L$1212,$K167))</f>
        <v/>
      </c>
      <c r="G167" s="10" t="str">
        <f>IF($K167="","",INDEX(Конструктор!$M$2:$M$1212,$K167))</f>
        <v/>
      </c>
      <c r="H167" s="10" t="str">
        <f>IF($K167="","",INDEX(Конструктор!$N$2:$N$1212,$K167))</f>
        <v/>
      </c>
      <c r="I167" s="10" t="str">
        <f>IF($K167="","",INDEX(Конструктор!$O$2:$O$1212,$K167))</f>
        <v/>
      </c>
      <c r="J167" s="10" t="str">
        <f>IF($K167="","",INDEX(Конструктор!$P$2:$P$1212,$K167))</f>
        <v/>
      </c>
      <c r="K167" t="str">
        <f>IFERROR(MATCH(147,Конструктор!$T$2:$T$1212,0),"")</f>
        <v/>
      </c>
      <c r="L167" t="str">
        <f t="shared" si="2"/>
        <v/>
      </c>
    </row>
    <row r="168" spans="1:12" hidden="1" x14ac:dyDescent="0.3">
      <c r="A168" t="str">
        <f>IF($K168="","",148)</f>
        <v/>
      </c>
      <c r="B168" t="str">
        <f>IF($K168="","",INDEX(Конструктор!$C$2:$C$1212,$K168))</f>
        <v/>
      </c>
      <c r="C168" s="8" t="str">
        <f>IF($K168="","",INDEX(Конструктор!$D$2:$D$1212,$K168)&amp;IF(INDEX(Конструктор!$J$2:$J$1212,$K168)&lt;&gt;""," — "&amp;INDEX(Конструктор!$J$2:$J$1212,$K168),""))</f>
        <v/>
      </c>
      <c r="D168" t="str">
        <f>IF($K168="","",INDEX(Конструктор!$E$2:$E$1212,$K168))</f>
        <v/>
      </c>
      <c r="E168" s="10" t="str">
        <f>IF($K168="","",INDEX(Конструктор!$H$2:$H$1212,$K168))</f>
        <v/>
      </c>
      <c r="F168" s="10" t="str">
        <f>IF($K168="","",INDEX(Конструктор!$L$2:$L$1212,$K168))</f>
        <v/>
      </c>
      <c r="G168" s="10" t="str">
        <f>IF($K168="","",INDEX(Конструктор!$M$2:$M$1212,$K168))</f>
        <v/>
      </c>
      <c r="H168" s="10" t="str">
        <f>IF($K168="","",INDEX(Конструктор!$N$2:$N$1212,$K168))</f>
        <v/>
      </c>
      <c r="I168" s="10" t="str">
        <f>IF($K168="","",INDEX(Конструктор!$O$2:$O$1212,$K168))</f>
        <v/>
      </c>
      <c r="J168" s="10" t="str">
        <f>IF($K168="","",INDEX(Конструктор!$P$2:$P$1212,$K168))</f>
        <v/>
      </c>
      <c r="K168" t="str">
        <f>IFERROR(MATCH(148,Конструктор!$T$2:$T$1212,0),"")</f>
        <v/>
      </c>
      <c r="L168" t="str">
        <f t="shared" si="2"/>
        <v/>
      </c>
    </row>
    <row r="169" spans="1:12" hidden="1" x14ac:dyDescent="0.3">
      <c r="A169" t="str">
        <f>IF($K169="","",149)</f>
        <v/>
      </c>
      <c r="B169" t="str">
        <f>IF($K169="","",INDEX(Конструктор!$C$2:$C$1212,$K169))</f>
        <v/>
      </c>
      <c r="C169" s="8" t="str">
        <f>IF($K169="","",INDEX(Конструктор!$D$2:$D$1212,$K169)&amp;IF(INDEX(Конструктор!$J$2:$J$1212,$K169)&lt;&gt;""," — "&amp;INDEX(Конструктор!$J$2:$J$1212,$K169),""))</f>
        <v/>
      </c>
      <c r="D169" t="str">
        <f>IF($K169="","",INDEX(Конструктор!$E$2:$E$1212,$K169))</f>
        <v/>
      </c>
      <c r="E169" s="10" t="str">
        <f>IF($K169="","",INDEX(Конструктор!$H$2:$H$1212,$K169))</f>
        <v/>
      </c>
      <c r="F169" s="10" t="str">
        <f>IF($K169="","",INDEX(Конструктор!$L$2:$L$1212,$K169))</f>
        <v/>
      </c>
      <c r="G169" s="10" t="str">
        <f>IF($K169="","",INDEX(Конструктор!$M$2:$M$1212,$K169))</f>
        <v/>
      </c>
      <c r="H169" s="10" t="str">
        <f>IF($K169="","",INDEX(Конструктор!$N$2:$N$1212,$K169))</f>
        <v/>
      </c>
      <c r="I169" s="10" t="str">
        <f>IF($K169="","",INDEX(Конструктор!$O$2:$O$1212,$K169))</f>
        <v/>
      </c>
      <c r="J169" s="10" t="str">
        <f>IF($K169="","",INDEX(Конструктор!$P$2:$P$1212,$K169))</f>
        <v/>
      </c>
      <c r="K169" t="str">
        <f>IFERROR(MATCH(149,Конструктор!$T$2:$T$1212,0),"")</f>
        <v/>
      </c>
      <c r="L169" t="str">
        <f t="shared" si="2"/>
        <v/>
      </c>
    </row>
    <row r="170" spans="1:12" hidden="1" x14ac:dyDescent="0.3">
      <c r="A170" t="str">
        <f>IF($K170="","",150)</f>
        <v/>
      </c>
      <c r="B170" t="str">
        <f>IF($K170="","",INDEX(Конструктор!$C$2:$C$1212,$K170))</f>
        <v/>
      </c>
      <c r="C170" s="8" t="str">
        <f>IF($K170="","",INDEX(Конструктор!$D$2:$D$1212,$K170)&amp;IF(INDEX(Конструктор!$J$2:$J$1212,$K170)&lt;&gt;""," — "&amp;INDEX(Конструктор!$J$2:$J$1212,$K170),""))</f>
        <v/>
      </c>
      <c r="D170" t="str">
        <f>IF($K170="","",INDEX(Конструктор!$E$2:$E$1212,$K170))</f>
        <v/>
      </c>
      <c r="E170" s="10" t="str">
        <f>IF($K170="","",INDEX(Конструктор!$H$2:$H$1212,$K170))</f>
        <v/>
      </c>
      <c r="F170" s="10" t="str">
        <f>IF($K170="","",INDEX(Конструктор!$L$2:$L$1212,$K170))</f>
        <v/>
      </c>
      <c r="G170" s="10" t="str">
        <f>IF($K170="","",INDEX(Конструктор!$M$2:$M$1212,$K170))</f>
        <v/>
      </c>
      <c r="H170" s="10" t="str">
        <f>IF($K170="","",INDEX(Конструктор!$N$2:$N$1212,$K170))</f>
        <v/>
      </c>
      <c r="I170" s="10" t="str">
        <f>IF($K170="","",INDEX(Конструктор!$O$2:$O$1212,$K170))</f>
        <v/>
      </c>
      <c r="J170" s="10" t="str">
        <f>IF($K170="","",INDEX(Конструктор!$P$2:$P$1212,$K170))</f>
        <v/>
      </c>
      <c r="K170" t="str">
        <f>IFERROR(MATCH(150,Конструктор!$T$2:$T$1212,0),"")</f>
        <v/>
      </c>
      <c r="L170" t="str">
        <f t="shared" si="2"/>
        <v/>
      </c>
    </row>
    <row r="171" spans="1:12" hidden="1" x14ac:dyDescent="0.3">
      <c r="A171" t="str">
        <f>IF($K171="","",151)</f>
        <v/>
      </c>
      <c r="B171" t="str">
        <f>IF($K171="","",INDEX(Конструктор!$C$2:$C$1212,$K171))</f>
        <v/>
      </c>
      <c r="C171" s="8" t="str">
        <f>IF($K171="","",INDEX(Конструктор!$D$2:$D$1212,$K171)&amp;IF(INDEX(Конструктор!$J$2:$J$1212,$K171)&lt;&gt;""," — "&amp;INDEX(Конструктор!$J$2:$J$1212,$K171),""))</f>
        <v/>
      </c>
      <c r="D171" t="str">
        <f>IF($K171="","",INDEX(Конструктор!$E$2:$E$1212,$K171))</f>
        <v/>
      </c>
      <c r="E171" s="10" t="str">
        <f>IF($K171="","",INDEX(Конструктор!$H$2:$H$1212,$K171))</f>
        <v/>
      </c>
      <c r="F171" s="10" t="str">
        <f>IF($K171="","",INDEX(Конструктор!$L$2:$L$1212,$K171))</f>
        <v/>
      </c>
      <c r="G171" s="10" t="str">
        <f>IF($K171="","",INDEX(Конструктор!$M$2:$M$1212,$K171))</f>
        <v/>
      </c>
      <c r="H171" s="10" t="str">
        <f>IF($K171="","",INDEX(Конструктор!$N$2:$N$1212,$K171))</f>
        <v/>
      </c>
      <c r="I171" s="10" t="str">
        <f>IF($K171="","",INDEX(Конструктор!$O$2:$O$1212,$K171))</f>
        <v/>
      </c>
      <c r="J171" s="10" t="str">
        <f>IF($K171="","",INDEX(Конструктор!$P$2:$P$1212,$K171))</f>
        <v/>
      </c>
      <c r="K171" t="str">
        <f>IFERROR(MATCH(151,Конструктор!$T$2:$T$1212,0),"")</f>
        <v/>
      </c>
      <c r="L171" t="str">
        <f t="shared" si="2"/>
        <v/>
      </c>
    </row>
    <row r="172" spans="1:12" hidden="1" x14ac:dyDescent="0.3">
      <c r="A172" t="str">
        <f>IF($K172="","",152)</f>
        <v/>
      </c>
      <c r="B172" t="str">
        <f>IF($K172="","",INDEX(Конструктор!$C$2:$C$1212,$K172))</f>
        <v/>
      </c>
      <c r="C172" s="8" t="str">
        <f>IF($K172="","",INDEX(Конструктор!$D$2:$D$1212,$K172)&amp;IF(INDEX(Конструктор!$J$2:$J$1212,$K172)&lt;&gt;""," — "&amp;INDEX(Конструктор!$J$2:$J$1212,$K172),""))</f>
        <v/>
      </c>
      <c r="D172" t="str">
        <f>IF($K172="","",INDEX(Конструктор!$E$2:$E$1212,$K172))</f>
        <v/>
      </c>
      <c r="E172" s="10" t="str">
        <f>IF($K172="","",INDEX(Конструктор!$H$2:$H$1212,$K172))</f>
        <v/>
      </c>
      <c r="F172" s="10" t="str">
        <f>IF($K172="","",INDEX(Конструктор!$L$2:$L$1212,$K172))</f>
        <v/>
      </c>
      <c r="G172" s="10" t="str">
        <f>IF($K172="","",INDEX(Конструктор!$M$2:$M$1212,$K172))</f>
        <v/>
      </c>
      <c r="H172" s="10" t="str">
        <f>IF($K172="","",INDEX(Конструктор!$N$2:$N$1212,$K172))</f>
        <v/>
      </c>
      <c r="I172" s="10" t="str">
        <f>IF($K172="","",INDEX(Конструктор!$O$2:$O$1212,$K172))</f>
        <v/>
      </c>
      <c r="J172" s="10" t="str">
        <f>IF($K172="","",INDEX(Конструктор!$P$2:$P$1212,$K172))</f>
        <v/>
      </c>
      <c r="K172" t="str">
        <f>IFERROR(MATCH(152,Конструктор!$T$2:$T$1212,0),"")</f>
        <v/>
      </c>
      <c r="L172" t="str">
        <f t="shared" si="2"/>
        <v/>
      </c>
    </row>
    <row r="173" spans="1:12" hidden="1" x14ac:dyDescent="0.3">
      <c r="A173" t="str">
        <f>IF($K173="","",153)</f>
        <v/>
      </c>
      <c r="B173" t="str">
        <f>IF($K173="","",INDEX(Конструктор!$C$2:$C$1212,$K173))</f>
        <v/>
      </c>
      <c r="C173" s="8" t="str">
        <f>IF($K173="","",INDEX(Конструктор!$D$2:$D$1212,$K173)&amp;IF(INDEX(Конструктор!$J$2:$J$1212,$K173)&lt;&gt;""," — "&amp;INDEX(Конструктор!$J$2:$J$1212,$K173),""))</f>
        <v/>
      </c>
      <c r="D173" t="str">
        <f>IF($K173="","",INDEX(Конструктор!$E$2:$E$1212,$K173))</f>
        <v/>
      </c>
      <c r="E173" s="10" t="str">
        <f>IF($K173="","",INDEX(Конструктор!$H$2:$H$1212,$K173))</f>
        <v/>
      </c>
      <c r="F173" s="10" t="str">
        <f>IF($K173="","",INDEX(Конструктор!$L$2:$L$1212,$K173))</f>
        <v/>
      </c>
      <c r="G173" s="10" t="str">
        <f>IF($K173="","",INDEX(Конструктор!$M$2:$M$1212,$K173))</f>
        <v/>
      </c>
      <c r="H173" s="10" t="str">
        <f>IF($K173="","",INDEX(Конструктор!$N$2:$N$1212,$K173))</f>
        <v/>
      </c>
      <c r="I173" s="10" t="str">
        <f>IF($K173="","",INDEX(Конструктор!$O$2:$O$1212,$K173))</f>
        <v/>
      </c>
      <c r="J173" s="10" t="str">
        <f>IF($K173="","",INDEX(Конструктор!$P$2:$P$1212,$K173))</f>
        <v/>
      </c>
      <c r="K173" t="str">
        <f>IFERROR(MATCH(153,Конструктор!$T$2:$T$1212,0),"")</f>
        <v/>
      </c>
      <c r="L173" t="str">
        <f t="shared" si="2"/>
        <v/>
      </c>
    </row>
    <row r="174" spans="1:12" hidden="1" x14ac:dyDescent="0.3">
      <c r="A174" t="str">
        <f>IF($K174="","",154)</f>
        <v/>
      </c>
      <c r="B174" t="str">
        <f>IF($K174="","",INDEX(Конструктор!$C$2:$C$1212,$K174))</f>
        <v/>
      </c>
      <c r="C174" s="8" t="str">
        <f>IF($K174="","",INDEX(Конструктор!$D$2:$D$1212,$K174)&amp;IF(INDEX(Конструктор!$J$2:$J$1212,$K174)&lt;&gt;""," — "&amp;INDEX(Конструктор!$J$2:$J$1212,$K174),""))</f>
        <v/>
      </c>
      <c r="D174" t="str">
        <f>IF($K174="","",INDEX(Конструктор!$E$2:$E$1212,$K174))</f>
        <v/>
      </c>
      <c r="E174" s="10" t="str">
        <f>IF($K174="","",INDEX(Конструктор!$H$2:$H$1212,$K174))</f>
        <v/>
      </c>
      <c r="F174" s="10" t="str">
        <f>IF($K174="","",INDEX(Конструктор!$L$2:$L$1212,$K174))</f>
        <v/>
      </c>
      <c r="G174" s="10" t="str">
        <f>IF($K174="","",INDEX(Конструктор!$M$2:$M$1212,$K174))</f>
        <v/>
      </c>
      <c r="H174" s="10" t="str">
        <f>IF($K174="","",INDEX(Конструктор!$N$2:$N$1212,$K174))</f>
        <v/>
      </c>
      <c r="I174" s="10" t="str">
        <f>IF($K174="","",INDEX(Конструктор!$O$2:$O$1212,$K174))</f>
        <v/>
      </c>
      <c r="J174" s="10" t="str">
        <f>IF($K174="","",INDEX(Конструктор!$P$2:$P$1212,$K174))</f>
        <v/>
      </c>
      <c r="K174" t="str">
        <f>IFERROR(MATCH(154,Конструктор!$T$2:$T$1212,0),"")</f>
        <v/>
      </c>
      <c r="L174" t="str">
        <f t="shared" si="2"/>
        <v/>
      </c>
    </row>
    <row r="175" spans="1:12" hidden="1" x14ac:dyDescent="0.3">
      <c r="A175" t="str">
        <f>IF($K175="","",155)</f>
        <v/>
      </c>
      <c r="B175" t="str">
        <f>IF($K175="","",INDEX(Конструктор!$C$2:$C$1212,$K175))</f>
        <v/>
      </c>
      <c r="C175" s="8" t="str">
        <f>IF($K175="","",INDEX(Конструктор!$D$2:$D$1212,$K175)&amp;IF(INDEX(Конструктор!$J$2:$J$1212,$K175)&lt;&gt;""," — "&amp;INDEX(Конструктор!$J$2:$J$1212,$K175),""))</f>
        <v/>
      </c>
      <c r="D175" t="str">
        <f>IF($K175="","",INDEX(Конструктор!$E$2:$E$1212,$K175))</f>
        <v/>
      </c>
      <c r="E175" s="10" t="str">
        <f>IF($K175="","",INDEX(Конструктор!$H$2:$H$1212,$K175))</f>
        <v/>
      </c>
      <c r="F175" s="10" t="str">
        <f>IF($K175="","",INDEX(Конструктор!$L$2:$L$1212,$K175))</f>
        <v/>
      </c>
      <c r="G175" s="10" t="str">
        <f>IF($K175="","",INDEX(Конструктор!$M$2:$M$1212,$K175))</f>
        <v/>
      </c>
      <c r="H175" s="10" t="str">
        <f>IF($K175="","",INDEX(Конструктор!$N$2:$N$1212,$K175))</f>
        <v/>
      </c>
      <c r="I175" s="10" t="str">
        <f>IF($K175="","",INDEX(Конструктор!$O$2:$O$1212,$K175))</f>
        <v/>
      </c>
      <c r="J175" s="10" t="str">
        <f>IF($K175="","",INDEX(Конструктор!$P$2:$P$1212,$K175))</f>
        <v/>
      </c>
      <c r="K175" t="str">
        <f>IFERROR(MATCH(155,Конструктор!$T$2:$T$1212,0),"")</f>
        <v/>
      </c>
      <c r="L175" t="str">
        <f t="shared" si="2"/>
        <v/>
      </c>
    </row>
    <row r="176" spans="1:12" hidden="1" x14ac:dyDescent="0.3">
      <c r="A176" t="str">
        <f>IF($K176="","",156)</f>
        <v/>
      </c>
      <c r="B176" t="str">
        <f>IF($K176="","",INDEX(Конструктор!$C$2:$C$1212,$K176))</f>
        <v/>
      </c>
      <c r="C176" s="8" t="str">
        <f>IF($K176="","",INDEX(Конструктор!$D$2:$D$1212,$K176)&amp;IF(INDEX(Конструктор!$J$2:$J$1212,$K176)&lt;&gt;""," — "&amp;INDEX(Конструктор!$J$2:$J$1212,$K176),""))</f>
        <v/>
      </c>
      <c r="D176" t="str">
        <f>IF($K176="","",INDEX(Конструктор!$E$2:$E$1212,$K176))</f>
        <v/>
      </c>
      <c r="E176" s="10" t="str">
        <f>IF($K176="","",INDEX(Конструктор!$H$2:$H$1212,$K176))</f>
        <v/>
      </c>
      <c r="F176" s="10" t="str">
        <f>IF($K176="","",INDEX(Конструктор!$L$2:$L$1212,$K176))</f>
        <v/>
      </c>
      <c r="G176" s="10" t="str">
        <f>IF($K176="","",INDEX(Конструктор!$M$2:$M$1212,$K176))</f>
        <v/>
      </c>
      <c r="H176" s="10" t="str">
        <f>IF($K176="","",INDEX(Конструктор!$N$2:$N$1212,$K176))</f>
        <v/>
      </c>
      <c r="I176" s="10" t="str">
        <f>IF($K176="","",INDEX(Конструктор!$O$2:$O$1212,$K176))</f>
        <v/>
      </c>
      <c r="J176" s="10" t="str">
        <f>IF($K176="","",INDEX(Конструктор!$P$2:$P$1212,$K176))</f>
        <v/>
      </c>
      <c r="K176" t="str">
        <f>IFERROR(MATCH(156,Конструктор!$T$2:$T$1212,0),"")</f>
        <v/>
      </c>
      <c r="L176" t="str">
        <f t="shared" si="2"/>
        <v/>
      </c>
    </row>
    <row r="177" spans="1:12" hidden="1" x14ac:dyDescent="0.3">
      <c r="A177" t="str">
        <f>IF($K177="","",157)</f>
        <v/>
      </c>
      <c r="B177" t="str">
        <f>IF($K177="","",INDEX(Конструктор!$C$2:$C$1212,$K177))</f>
        <v/>
      </c>
      <c r="C177" s="8" t="str">
        <f>IF($K177="","",INDEX(Конструктор!$D$2:$D$1212,$K177)&amp;IF(INDEX(Конструктор!$J$2:$J$1212,$K177)&lt;&gt;""," — "&amp;INDEX(Конструктор!$J$2:$J$1212,$K177),""))</f>
        <v/>
      </c>
      <c r="D177" t="str">
        <f>IF($K177="","",INDEX(Конструктор!$E$2:$E$1212,$K177))</f>
        <v/>
      </c>
      <c r="E177" s="10" t="str">
        <f>IF($K177="","",INDEX(Конструктор!$H$2:$H$1212,$K177))</f>
        <v/>
      </c>
      <c r="F177" s="10" t="str">
        <f>IF($K177="","",INDEX(Конструктор!$L$2:$L$1212,$K177))</f>
        <v/>
      </c>
      <c r="G177" s="10" t="str">
        <f>IF($K177="","",INDEX(Конструктор!$M$2:$M$1212,$K177))</f>
        <v/>
      </c>
      <c r="H177" s="10" t="str">
        <f>IF($K177="","",INDEX(Конструктор!$N$2:$N$1212,$K177))</f>
        <v/>
      </c>
      <c r="I177" s="10" t="str">
        <f>IF($K177="","",INDEX(Конструктор!$O$2:$O$1212,$K177))</f>
        <v/>
      </c>
      <c r="J177" s="10" t="str">
        <f>IF($K177="","",INDEX(Конструктор!$P$2:$P$1212,$K177))</f>
        <v/>
      </c>
      <c r="K177" t="str">
        <f>IFERROR(MATCH(157,Конструктор!$T$2:$T$1212,0),"")</f>
        <v/>
      </c>
      <c r="L177" t="str">
        <f t="shared" si="2"/>
        <v/>
      </c>
    </row>
    <row r="178" spans="1:12" hidden="1" x14ac:dyDescent="0.3">
      <c r="A178" t="str">
        <f>IF($K178="","",158)</f>
        <v/>
      </c>
      <c r="B178" t="str">
        <f>IF($K178="","",INDEX(Конструктор!$C$2:$C$1212,$K178))</f>
        <v/>
      </c>
      <c r="C178" s="8" t="str">
        <f>IF($K178="","",INDEX(Конструктор!$D$2:$D$1212,$K178)&amp;IF(INDEX(Конструктор!$J$2:$J$1212,$K178)&lt;&gt;""," — "&amp;INDEX(Конструктор!$J$2:$J$1212,$K178),""))</f>
        <v/>
      </c>
      <c r="D178" t="str">
        <f>IF($K178="","",INDEX(Конструктор!$E$2:$E$1212,$K178))</f>
        <v/>
      </c>
      <c r="E178" s="10" t="str">
        <f>IF($K178="","",INDEX(Конструктор!$H$2:$H$1212,$K178))</f>
        <v/>
      </c>
      <c r="F178" s="10" t="str">
        <f>IF($K178="","",INDEX(Конструктор!$L$2:$L$1212,$K178))</f>
        <v/>
      </c>
      <c r="G178" s="10" t="str">
        <f>IF($K178="","",INDEX(Конструктор!$M$2:$M$1212,$K178))</f>
        <v/>
      </c>
      <c r="H178" s="10" t="str">
        <f>IF($K178="","",INDEX(Конструктор!$N$2:$N$1212,$K178))</f>
        <v/>
      </c>
      <c r="I178" s="10" t="str">
        <f>IF($K178="","",INDEX(Конструктор!$O$2:$O$1212,$K178))</f>
        <v/>
      </c>
      <c r="J178" s="10" t="str">
        <f>IF($K178="","",INDEX(Конструктор!$P$2:$P$1212,$K178))</f>
        <v/>
      </c>
      <c r="K178" t="str">
        <f>IFERROR(MATCH(158,Конструктор!$T$2:$T$1212,0),"")</f>
        <v/>
      </c>
      <c r="L178" t="str">
        <f t="shared" si="2"/>
        <v/>
      </c>
    </row>
    <row r="179" spans="1:12" hidden="1" x14ac:dyDescent="0.3">
      <c r="A179" t="str">
        <f>IF($K179="","",159)</f>
        <v/>
      </c>
      <c r="B179" t="str">
        <f>IF($K179="","",INDEX(Конструктор!$C$2:$C$1212,$K179))</f>
        <v/>
      </c>
      <c r="C179" s="8" t="str">
        <f>IF($K179="","",INDEX(Конструктор!$D$2:$D$1212,$K179)&amp;IF(INDEX(Конструктор!$J$2:$J$1212,$K179)&lt;&gt;""," — "&amp;INDEX(Конструктор!$J$2:$J$1212,$K179),""))</f>
        <v/>
      </c>
      <c r="D179" t="str">
        <f>IF($K179="","",INDEX(Конструктор!$E$2:$E$1212,$K179))</f>
        <v/>
      </c>
      <c r="E179" s="10" t="str">
        <f>IF($K179="","",INDEX(Конструктор!$H$2:$H$1212,$K179))</f>
        <v/>
      </c>
      <c r="F179" s="10" t="str">
        <f>IF($K179="","",INDEX(Конструктор!$L$2:$L$1212,$K179))</f>
        <v/>
      </c>
      <c r="G179" s="10" t="str">
        <f>IF($K179="","",INDEX(Конструктор!$M$2:$M$1212,$K179))</f>
        <v/>
      </c>
      <c r="H179" s="10" t="str">
        <f>IF($K179="","",INDEX(Конструктор!$N$2:$N$1212,$K179))</f>
        <v/>
      </c>
      <c r="I179" s="10" t="str">
        <f>IF($K179="","",INDEX(Конструктор!$O$2:$O$1212,$K179))</f>
        <v/>
      </c>
      <c r="J179" s="10" t="str">
        <f>IF($K179="","",INDEX(Конструктор!$P$2:$P$1212,$K179))</f>
        <v/>
      </c>
      <c r="K179" t="str">
        <f>IFERROR(MATCH(159,Конструктор!$T$2:$T$1212,0),"")</f>
        <v/>
      </c>
      <c r="L179" t="str">
        <f t="shared" si="2"/>
        <v/>
      </c>
    </row>
    <row r="180" spans="1:12" hidden="1" x14ac:dyDescent="0.3">
      <c r="A180" t="str">
        <f>IF($K180="","",160)</f>
        <v/>
      </c>
      <c r="B180" t="str">
        <f>IF($K180="","",INDEX(Конструктор!$C$2:$C$1212,$K180))</f>
        <v/>
      </c>
      <c r="C180" s="8" t="str">
        <f>IF($K180="","",INDEX(Конструктор!$D$2:$D$1212,$K180)&amp;IF(INDEX(Конструктор!$J$2:$J$1212,$K180)&lt;&gt;""," — "&amp;INDEX(Конструктор!$J$2:$J$1212,$K180),""))</f>
        <v/>
      </c>
      <c r="D180" t="str">
        <f>IF($K180="","",INDEX(Конструктор!$E$2:$E$1212,$K180))</f>
        <v/>
      </c>
      <c r="E180" s="10" t="str">
        <f>IF($K180="","",INDEX(Конструктор!$H$2:$H$1212,$K180))</f>
        <v/>
      </c>
      <c r="F180" s="10" t="str">
        <f>IF($K180="","",INDEX(Конструктор!$L$2:$L$1212,$K180))</f>
        <v/>
      </c>
      <c r="G180" s="10" t="str">
        <f>IF($K180="","",INDEX(Конструктор!$M$2:$M$1212,$K180))</f>
        <v/>
      </c>
      <c r="H180" s="10" t="str">
        <f>IF($K180="","",INDEX(Конструктор!$N$2:$N$1212,$K180))</f>
        <v/>
      </c>
      <c r="I180" s="10" t="str">
        <f>IF($K180="","",INDEX(Конструктор!$O$2:$O$1212,$K180))</f>
        <v/>
      </c>
      <c r="J180" s="10" t="str">
        <f>IF($K180="","",INDEX(Конструктор!$P$2:$P$1212,$K180))</f>
        <v/>
      </c>
      <c r="K180" t="str">
        <f>IFERROR(MATCH(160,Конструктор!$T$2:$T$1212,0),"")</f>
        <v/>
      </c>
      <c r="L180" t="str">
        <f t="shared" si="2"/>
        <v/>
      </c>
    </row>
    <row r="181" spans="1:12" hidden="1" x14ac:dyDescent="0.3">
      <c r="A181" t="str">
        <f>IF($K181="","",161)</f>
        <v/>
      </c>
      <c r="B181" t="str">
        <f>IF($K181="","",INDEX(Конструктор!$C$2:$C$1212,$K181))</f>
        <v/>
      </c>
      <c r="C181" s="8" t="str">
        <f>IF($K181="","",INDEX(Конструктор!$D$2:$D$1212,$K181)&amp;IF(INDEX(Конструктор!$J$2:$J$1212,$K181)&lt;&gt;""," — "&amp;INDEX(Конструктор!$J$2:$J$1212,$K181),""))</f>
        <v/>
      </c>
      <c r="D181" t="str">
        <f>IF($K181="","",INDEX(Конструктор!$E$2:$E$1212,$K181))</f>
        <v/>
      </c>
      <c r="E181" s="10" t="str">
        <f>IF($K181="","",INDEX(Конструктор!$H$2:$H$1212,$K181))</f>
        <v/>
      </c>
      <c r="F181" s="10" t="str">
        <f>IF($K181="","",INDEX(Конструктор!$L$2:$L$1212,$K181))</f>
        <v/>
      </c>
      <c r="G181" s="10" t="str">
        <f>IF($K181="","",INDEX(Конструктор!$M$2:$M$1212,$K181))</f>
        <v/>
      </c>
      <c r="H181" s="10" t="str">
        <f>IF($K181="","",INDEX(Конструктор!$N$2:$N$1212,$K181))</f>
        <v/>
      </c>
      <c r="I181" s="10" t="str">
        <f>IF($K181="","",INDEX(Конструктор!$O$2:$O$1212,$K181))</f>
        <v/>
      </c>
      <c r="J181" s="10" t="str">
        <f>IF($K181="","",INDEX(Конструктор!$P$2:$P$1212,$K181))</f>
        <v/>
      </c>
      <c r="K181" t="str">
        <f>IFERROR(MATCH(161,Конструктор!$T$2:$T$1212,0),"")</f>
        <v/>
      </c>
      <c r="L181" t="str">
        <f t="shared" si="2"/>
        <v/>
      </c>
    </row>
    <row r="182" spans="1:12" hidden="1" x14ac:dyDescent="0.3">
      <c r="A182" t="str">
        <f>IF($K182="","",162)</f>
        <v/>
      </c>
      <c r="B182" t="str">
        <f>IF($K182="","",INDEX(Конструктор!$C$2:$C$1212,$K182))</f>
        <v/>
      </c>
      <c r="C182" s="8" t="str">
        <f>IF($K182="","",INDEX(Конструктор!$D$2:$D$1212,$K182)&amp;IF(INDEX(Конструктор!$J$2:$J$1212,$K182)&lt;&gt;""," — "&amp;INDEX(Конструктор!$J$2:$J$1212,$K182),""))</f>
        <v/>
      </c>
      <c r="D182" t="str">
        <f>IF($K182="","",INDEX(Конструктор!$E$2:$E$1212,$K182))</f>
        <v/>
      </c>
      <c r="E182" s="10" t="str">
        <f>IF($K182="","",INDEX(Конструктор!$H$2:$H$1212,$K182))</f>
        <v/>
      </c>
      <c r="F182" s="10" t="str">
        <f>IF($K182="","",INDEX(Конструктор!$L$2:$L$1212,$K182))</f>
        <v/>
      </c>
      <c r="G182" s="10" t="str">
        <f>IF($K182="","",INDEX(Конструктор!$M$2:$M$1212,$K182))</f>
        <v/>
      </c>
      <c r="H182" s="10" t="str">
        <f>IF($K182="","",INDEX(Конструктор!$N$2:$N$1212,$K182))</f>
        <v/>
      </c>
      <c r="I182" s="10" t="str">
        <f>IF($K182="","",INDEX(Конструктор!$O$2:$O$1212,$K182))</f>
        <v/>
      </c>
      <c r="J182" s="10" t="str">
        <f>IF($K182="","",INDEX(Конструктор!$P$2:$P$1212,$K182))</f>
        <v/>
      </c>
      <c r="K182" t="str">
        <f>IFERROR(MATCH(162,Конструктор!$T$2:$T$1212,0),"")</f>
        <v/>
      </c>
      <c r="L182" t="str">
        <f t="shared" si="2"/>
        <v/>
      </c>
    </row>
    <row r="183" spans="1:12" hidden="1" x14ac:dyDescent="0.3">
      <c r="A183" t="str">
        <f>IF($K183="","",163)</f>
        <v/>
      </c>
      <c r="B183" t="str">
        <f>IF($K183="","",INDEX(Конструктор!$C$2:$C$1212,$K183))</f>
        <v/>
      </c>
      <c r="C183" s="8" t="str">
        <f>IF($K183="","",INDEX(Конструктор!$D$2:$D$1212,$K183)&amp;IF(INDEX(Конструктор!$J$2:$J$1212,$K183)&lt;&gt;""," — "&amp;INDEX(Конструктор!$J$2:$J$1212,$K183),""))</f>
        <v/>
      </c>
      <c r="D183" t="str">
        <f>IF($K183="","",INDEX(Конструктор!$E$2:$E$1212,$K183))</f>
        <v/>
      </c>
      <c r="E183" s="10" t="str">
        <f>IF($K183="","",INDEX(Конструктор!$H$2:$H$1212,$K183))</f>
        <v/>
      </c>
      <c r="F183" s="10" t="str">
        <f>IF($K183="","",INDEX(Конструктор!$L$2:$L$1212,$K183))</f>
        <v/>
      </c>
      <c r="G183" s="10" t="str">
        <f>IF($K183="","",INDEX(Конструктор!$M$2:$M$1212,$K183))</f>
        <v/>
      </c>
      <c r="H183" s="10" t="str">
        <f>IF($K183="","",INDEX(Конструктор!$N$2:$N$1212,$K183))</f>
        <v/>
      </c>
      <c r="I183" s="10" t="str">
        <f>IF($K183="","",INDEX(Конструктор!$O$2:$O$1212,$K183))</f>
        <v/>
      </c>
      <c r="J183" s="10" t="str">
        <f>IF($K183="","",INDEX(Конструктор!$P$2:$P$1212,$K183))</f>
        <v/>
      </c>
      <c r="K183" t="str">
        <f>IFERROR(MATCH(163,Конструктор!$T$2:$T$1212,0),"")</f>
        <v/>
      </c>
      <c r="L183" t="str">
        <f t="shared" si="2"/>
        <v/>
      </c>
    </row>
    <row r="184" spans="1:12" hidden="1" x14ac:dyDescent="0.3">
      <c r="A184" t="str">
        <f>IF($K184="","",164)</f>
        <v/>
      </c>
      <c r="B184" t="str">
        <f>IF($K184="","",INDEX(Конструктор!$C$2:$C$1212,$K184))</f>
        <v/>
      </c>
      <c r="C184" s="8" t="str">
        <f>IF($K184="","",INDEX(Конструктор!$D$2:$D$1212,$K184)&amp;IF(INDEX(Конструктор!$J$2:$J$1212,$K184)&lt;&gt;""," — "&amp;INDEX(Конструктор!$J$2:$J$1212,$K184),""))</f>
        <v/>
      </c>
      <c r="D184" t="str">
        <f>IF($K184="","",INDEX(Конструктор!$E$2:$E$1212,$K184))</f>
        <v/>
      </c>
      <c r="E184" s="10" t="str">
        <f>IF($K184="","",INDEX(Конструктор!$H$2:$H$1212,$K184))</f>
        <v/>
      </c>
      <c r="F184" s="10" t="str">
        <f>IF($K184="","",INDEX(Конструктор!$L$2:$L$1212,$K184))</f>
        <v/>
      </c>
      <c r="G184" s="10" t="str">
        <f>IF($K184="","",INDEX(Конструктор!$M$2:$M$1212,$K184))</f>
        <v/>
      </c>
      <c r="H184" s="10" t="str">
        <f>IF($K184="","",INDEX(Конструктор!$N$2:$N$1212,$K184))</f>
        <v/>
      </c>
      <c r="I184" s="10" t="str">
        <f>IF($K184="","",INDEX(Конструктор!$O$2:$O$1212,$K184))</f>
        <v/>
      </c>
      <c r="J184" s="10" t="str">
        <f>IF($K184="","",INDEX(Конструктор!$P$2:$P$1212,$K184))</f>
        <v/>
      </c>
      <c r="K184" t="str">
        <f>IFERROR(MATCH(164,Конструктор!$T$2:$T$1212,0),"")</f>
        <v/>
      </c>
      <c r="L184" t="str">
        <f t="shared" si="2"/>
        <v/>
      </c>
    </row>
    <row r="185" spans="1:12" hidden="1" x14ac:dyDescent="0.3">
      <c r="A185" t="str">
        <f>IF($K185="","",165)</f>
        <v/>
      </c>
      <c r="B185" t="str">
        <f>IF($K185="","",INDEX(Конструктор!$C$2:$C$1212,$K185))</f>
        <v/>
      </c>
      <c r="C185" s="8" t="str">
        <f>IF($K185="","",INDEX(Конструктор!$D$2:$D$1212,$K185)&amp;IF(INDEX(Конструктор!$J$2:$J$1212,$K185)&lt;&gt;""," — "&amp;INDEX(Конструктор!$J$2:$J$1212,$K185),""))</f>
        <v/>
      </c>
      <c r="D185" t="str">
        <f>IF($K185="","",INDEX(Конструктор!$E$2:$E$1212,$K185))</f>
        <v/>
      </c>
      <c r="E185" s="10" t="str">
        <f>IF($K185="","",INDEX(Конструктор!$H$2:$H$1212,$K185))</f>
        <v/>
      </c>
      <c r="F185" s="10" t="str">
        <f>IF($K185="","",INDEX(Конструктор!$L$2:$L$1212,$K185))</f>
        <v/>
      </c>
      <c r="G185" s="10" t="str">
        <f>IF($K185="","",INDEX(Конструктор!$M$2:$M$1212,$K185))</f>
        <v/>
      </c>
      <c r="H185" s="10" t="str">
        <f>IF($K185="","",INDEX(Конструктор!$N$2:$N$1212,$K185))</f>
        <v/>
      </c>
      <c r="I185" s="10" t="str">
        <f>IF($K185="","",INDEX(Конструктор!$O$2:$O$1212,$K185))</f>
        <v/>
      </c>
      <c r="J185" s="10" t="str">
        <f>IF($K185="","",INDEX(Конструктор!$P$2:$P$1212,$K185))</f>
        <v/>
      </c>
      <c r="K185" t="str">
        <f>IFERROR(MATCH(165,Конструктор!$T$2:$T$1212,0),"")</f>
        <v/>
      </c>
      <c r="L185" t="str">
        <f t="shared" si="2"/>
        <v/>
      </c>
    </row>
    <row r="186" spans="1:12" hidden="1" x14ac:dyDescent="0.3">
      <c r="A186" t="str">
        <f>IF($K186="","",166)</f>
        <v/>
      </c>
      <c r="B186" t="str">
        <f>IF($K186="","",INDEX(Конструктор!$C$2:$C$1212,$K186))</f>
        <v/>
      </c>
      <c r="C186" s="8" t="str">
        <f>IF($K186="","",INDEX(Конструктор!$D$2:$D$1212,$K186)&amp;IF(INDEX(Конструктор!$J$2:$J$1212,$K186)&lt;&gt;""," — "&amp;INDEX(Конструктор!$J$2:$J$1212,$K186),""))</f>
        <v/>
      </c>
      <c r="D186" t="str">
        <f>IF($K186="","",INDEX(Конструктор!$E$2:$E$1212,$K186))</f>
        <v/>
      </c>
      <c r="E186" s="10" t="str">
        <f>IF($K186="","",INDEX(Конструктор!$H$2:$H$1212,$K186))</f>
        <v/>
      </c>
      <c r="F186" s="10" t="str">
        <f>IF($K186="","",INDEX(Конструктор!$L$2:$L$1212,$K186))</f>
        <v/>
      </c>
      <c r="G186" s="10" t="str">
        <f>IF($K186="","",INDEX(Конструктор!$M$2:$M$1212,$K186))</f>
        <v/>
      </c>
      <c r="H186" s="10" t="str">
        <f>IF($K186="","",INDEX(Конструктор!$N$2:$N$1212,$K186))</f>
        <v/>
      </c>
      <c r="I186" s="10" t="str">
        <f>IF($K186="","",INDEX(Конструктор!$O$2:$O$1212,$K186))</f>
        <v/>
      </c>
      <c r="J186" s="10" t="str">
        <f>IF($K186="","",INDEX(Конструктор!$P$2:$P$1212,$K186))</f>
        <v/>
      </c>
      <c r="K186" t="str">
        <f>IFERROR(MATCH(166,Конструктор!$T$2:$T$1212,0),"")</f>
        <v/>
      </c>
      <c r="L186" t="str">
        <f t="shared" si="2"/>
        <v/>
      </c>
    </row>
    <row r="187" spans="1:12" hidden="1" x14ac:dyDescent="0.3">
      <c r="A187" t="str">
        <f>IF($K187="","",167)</f>
        <v/>
      </c>
      <c r="B187" t="str">
        <f>IF($K187="","",INDEX(Конструктор!$C$2:$C$1212,$K187))</f>
        <v/>
      </c>
      <c r="C187" s="8" t="str">
        <f>IF($K187="","",INDEX(Конструктор!$D$2:$D$1212,$K187)&amp;IF(INDEX(Конструктор!$J$2:$J$1212,$K187)&lt;&gt;""," — "&amp;INDEX(Конструктор!$J$2:$J$1212,$K187),""))</f>
        <v/>
      </c>
      <c r="D187" t="str">
        <f>IF($K187="","",INDEX(Конструктор!$E$2:$E$1212,$K187))</f>
        <v/>
      </c>
      <c r="E187" s="10" t="str">
        <f>IF($K187="","",INDEX(Конструктор!$H$2:$H$1212,$K187))</f>
        <v/>
      </c>
      <c r="F187" s="10" t="str">
        <f>IF($K187="","",INDEX(Конструктор!$L$2:$L$1212,$K187))</f>
        <v/>
      </c>
      <c r="G187" s="10" t="str">
        <f>IF($K187="","",INDEX(Конструктор!$M$2:$M$1212,$K187))</f>
        <v/>
      </c>
      <c r="H187" s="10" t="str">
        <f>IF($K187="","",INDEX(Конструктор!$N$2:$N$1212,$K187))</f>
        <v/>
      </c>
      <c r="I187" s="10" t="str">
        <f>IF($K187="","",INDEX(Конструктор!$O$2:$O$1212,$K187))</f>
        <v/>
      </c>
      <c r="J187" s="10" t="str">
        <f>IF($K187="","",INDEX(Конструктор!$P$2:$P$1212,$K187))</f>
        <v/>
      </c>
      <c r="K187" t="str">
        <f>IFERROR(MATCH(167,Конструктор!$T$2:$T$1212,0),"")</f>
        <v/>
      </c>
      <c r="L187" t="str">
        <f t="shared" si="2"/>
        <v/>
      </c>
    </row>
    <row r="188" spans="1:12" hidden="1" x14ac:dyDescent="0.3">
      <c r="A188" t="str">
        <f>IF($K188="","",168)</f>
        <v/>
      </c>
      <c r="B188" t="str">
        <f>IF($K188="","",INDEX(Конструктор!$C$2:$C$1212,$K188))</f>
        <v/>
      </c>
      <c r="C188" s="8" t="str">
        <f>IF($K188="","",INDEX(Конструктор!$D$2:$D$1212,$K188)&amp;IF(INDEX(Конструктор!$J$2:$J$1212,$K188)&lt;&gt;""," — "&amp;INDEX(Конструктор!$J$2:$J$1212,$K188),""))</f>
        <v/>
      </c>
      <c r="D188" t="str">
        <f>IF($K188="","",INDEX(Конструктор!$E$2:$E$1212,$K188))</f>
        <v/>
      </c>
      <c r="E188" s="10" t="str">
        <f>IF($K188="","",INDEX(Конструктор!$H$2:$H$1212,$K188))</f>
        <v/>
      </c>
      <c r="F188" s="10" t="str">
        <f>IF($K188="","",INDEX(Конструктор!$L$2:$L$1212,$K188))</f>
        <v/>
      </c>
      <c r="G188" s="10" t="str">
        <f>IF($K188="","",INDEX(Конструктор!$M$2:$M$1212,$K188))</f>
        <v/>
      </c>
      <c r="H188" s="10" t="str">
        <f>IF($K188="","",INDEX(Конструктор!$N$2:$N$1212,$K188))</f>
        <v/>
      </c>
      <c r="I188" s="10" t="str">
        <f>IF($K188="","",INDEX(Конструктор!$O$2:$O$1212,$K188))</f>
        <v/>
      </c>
      <c r="J188" s="10" t="str">
        <f>IF($K188="","",INDEX(Конструктор!$P$2:$P$1212,$K188))</f>
        <v/>
      </c>
      <c r="K188" t="str">
        <f>IFERROR(MATCH(168,Конструктор!$T$2:$T$1212,0),"")</f>
        <v/>
      </c>
      <c r="L188" t="str">
        <f t="shared" si="2"/>
        <v/>
      </c>
    </row>
    <row r="189" spans="1:12" hidden="1" x14ac:dyDescent="0.3">
      <c r="A189" t="str">
        <f>IF($K189="","",169)</f>
        <v/>
      </c>
      <c r="B189" t="str">
        <f>IF($K189="","",INDEX(Конструктор!$C$2:$C$1212,$K189))</f>
        <v/>
      </c>
      <c r="C189" s="8" t="str">
        <f>IF($K189="","",INDEX(Конструктор!$D$2:$D$1212,$K189)&amp;IF(INDEX(Конструктор!$J$2:$J$1212,$K189)&lt;&gt;""," — "&amp;INDEX(Конструктор!$J$2:$J$1212,$K189),""))</f>
        <v/>
      </c>
      <c r="D189" t="str">
        <f>IF($K189="","",INDEX(Конструктор!$E$2:$E$1212,$K189))</f>
        <v/>
      </c>
      <c r="E189" s="10" t="str">
        <f>IF($K189="","",INDEX(Конструктор!$H$2:$H$1212,$K189))</f>
        <v/>
      </c>
      <c r="F189" s="10" t="str">
        <f>IF($K189="","",INDEX(Конструктор!$L$2:$L$1212,$K189))</f>
        <v/>
      </c>
      <c r="G189" s="10" t="str">
        <f>IF($K189="","",INDEX(Конструктор!$M$2:$M$1212,$K189))</f>
        <v/>
      </c>
      <c r="H189" s="10" t="str">
        <f>IF($K189="","",INDEX(Конструктор!$N$2:$N$1212,$K189))</f>
        <v/>
      </c>
      <c r="I189" s="10" t="str">
        <f>IF($K189="","",INDEX(Конструктор!$O$2:$O$1212,$K189))</f>
        <v/>
      </c>
      <c r="J189" s="10" t="str">
        <f>IF($K189="","",INDEX(Конструктор!$P$2:$P$1212,$K189))</f>
        <v/>
      </c>
      <c r="K189" t="str">
        <f>IFERROR(MATCH(169,Конструктор!$T$2:$T$1212,0),"")</f>
        <v/>
      </c>
      <c r="L189" t="str">
        <f t="shared" si="2"/>
        <v/>
      </c>
    </row>
    <row r="190" spans="1:12" hidden="1" x14ac:dyDescent="0.3">
      <c r="A190" t="str">
        <f>IF($K190="","",170)</f>
        <v/>
      </c>
      <c r="B190" t="str">
        <f>IF($K190="","",INDEX(Конструктор!$C$2:$C$1212,$K190))</f>
        <v/>
      </c>
      <c r="C190" s="8" t="str">
        <f>IF($K190="","",INDEX(Конструктор!$D$2:$D$1212,$K190)&amp;IF(INDEX(Конструктор!$J$2:$J$1212,$K190)&lt;&gt;""," — "&amp;INDEX(Конструктор!$J$2:$J$1212,$K190),""))</f>
        <v/>
      </c>
      <c r="D190" t="str">
        <f>IF($K190="","",INDEX(Конструктор!$E$2:$E$1212,$K190))</f>
        <v/>
      </c>
      <c r="E190" s="10" t="str">
        <f>IF($K190="","",INDEX(Конструктор!$H$2:$H$1212,$K190))</f>
        <v/>
      </c>
      <c r="F190" s="10" t="str">
        <f>IF($K190="","",INDEX(Конструктор!$L$2:$L$1212,$K190))</f>
        <v/>
      </c>
      <c r="G190" s="10" t="str">
        <f>IF($K190="","",INDEX(Конструктор!$M$2:$M$1212,$K190))</f>
        <v/>
      </c>
      <c r="H190" s="10" t="str">
        <f>IF($K190="","",INDEX(Конструктор!$N$2:$N$1212,$K190))</f>
        <v/>
      </c>
      <c r="I190" s="10" t="str">
        <f>IF($K190="","",INDEX(Конструктор!$O$2:$O$1212,$K190))</f>
        <v/>
      </c>
      <c r="J190" s="10" t="str">
        <f>IF($K190="","",INDEX(Конструктор!$P$2:$P$1212,$K190))</f>
        <v/>
      </c>
      <c r="K190" t="str">
        <f>IFERROR(MATCH(170,Конструктор!$T$2:$T$1212,0),"")</f>
        <v/>
      </c>
      <c r="L190" t="str">
        <f t="shared" si="2"/>
        <v/>
      </c>
    </row>
    <row r="191" spans="1:12" hidden="1" x14ac:dyDescent="0.3">
      <c r="A191" t="str">
        <f>IF($K191="","",171)</f>
        <v/>
      </c>
      <c r="B191" t="str">
        <f>IF($K191="","",INDEX(Конструктор!$C$2:$C$1212,$K191))</f>
        <v/>
      </c>
      <c r="C191" s="8" t="str">
        <f>IF($K191="","",INDEX(Конструктор!$D$2:$D$1212,$K191)&amp;IF(INDEX(Конструктор!$J$2:$J$1212,$K191)&lt;&gt;""," — "&amp;INDEX(Конструктор!$J$2:$J$1212,$K191),""))</f>
        <v/>
      </c>
      <c r="D191" t="str">
        <f>IF($K191="","",INDEX(Конструктор!$E$2:$E$1212,$K191))</f>
        <v/>
      </c>
      <c r="E191" s="10" t="str">
        <f>IF($K191="","",INDEX(Конструктор!$H$2:$H$1212,$K191))</f>
        <v/>
      </c>
      <c r="F191" s="10" t="str">
        <f>IF($K191="","",INDEX(Конструктор!$L$2:$L$1212,$K191))</f>
        <v/>
      </c>
      <c r="G191" s="10" t="str">
        <f>IF($K191="","",INDEX(Конструктор!$M$2:$M$1212,$K191))</f>
        <v/>
      </c>
      <c r="H191" s="10" t="str">
        <f>IF($K191="","",INDEX(Конструктор!$N$2:$N$1212,$K191))</f>
        <v/>
      </c>
      <c r="I191" s="10" t="str">
        <f>IF($K191="","",INDEX(Конструктор!$O$2:$O$1212,$K191))</f>
        <v/>
      </c>
      <c r="J191" s="10" t="str">
        <f>IF($K191="","",INDEX(Конструктор!$P$2:$P$1212,$K191))</f>
        <v/>
      </c>
      <c r="K191" t="str">
        <f>IFERROR(MATCH(171,Конструктор!$T$2:$T$1212,0),"")</f>
        <v/>
      </c>
      <c r="L191" t="str">
        <f t="shared" si="2"/>
        <v/>
      </c>
    </row>
    <row r="192" spans="1:12" hidden="1" x14ac:dyDescent="0.3">
      <c r="A192" t="str">
        <f>IF($K192="","",172)</f>
        <v/>
      </c>
      <c r="B192" t="str">
        <f>IF($K192="","",INDEX(Конструктор!$C$2:$C$1212,$K192))</f>
        <v/>
      </c>
      <c r="C192" s="8" t="str">
        <f>IF($K192="","",INDEX(Конструктор!$D$2:$D$1212,$K192)&amp;IF(INDEX(Конструктор!$J$2:$J$1212,$K192)&lt;&gt;""," — "&amp;INDEX(Конструктор!$J$2:$J$1212,$K192),""))</f>
        <v/>
      </c>
      <c r="D192" t="str">
        <f>IF($K192="","",INDEX(Конструктор!$E$2:$E$1212,$K192))</f>
        <v/>
      </c>
      <c r="E192" s="10" t="str">
        <f>IF($K192="","",INDEX(Конструктор!$H$2:$H$1212,$K192))</f>
        <v/>
      </c>
      <c r="F192" s="10" t="str">
        <f>IF($K192="","",INDEX(Конструктор!$L$2:$L$1212,$K192))</f>
        <v/>
      </c>
      <c r="G192" s="10" t="str">
        <f>IF($K192="","",INDEX(Конструктор!$M$2:$M$1212,$K192))</f>
        <v/>
      </c>
      <c r="H192" s="10" t="str">
        <f>IF($K192="","",INDEX(Конструктор!$N$2:$N$1212,$K192))</f>
        <v/>
      </c>
      <c r="I192" s="10" t="str">
        <f>IF($K192="","",INDEX(Конструктор!$O$2:$O$1212,$K192))</f>
        <v/>
      </c>
      <c r="J192" s="10" t="str">
        <f>IF($K192="","",INDEX(Конструктор!$P$2:$P$1212,$K192))</f>
        <v/>
      </c>
      <c r="K192" t="str">
        <f>IFERROR(MATCH(172,Конструктор!$T$2:$T$1212,0),"")</f>
        <v/>
      </c>
      <c r="L192" t="str">
        <f t="shared" si="2"/>
        <v/>
      </c>
    </row>
    <row r="193" spans="1:12" hidden="1" x14ac:dyDescent="0.3">
      <c r="A193" t="str">
        <f>IF($K193="","",173)</f>
        <v/>
      </c>
      <c r="B193" t="str">
        <f>IF($K193="","",INDEX(Конструктор!$C$2:$C$1212,$K193))</f>
        <v/>
      </c>
      <c r="C193" s="8" t="str">
        <f>IF($K193="","",INDEX(Конструктор!$D$2:$D$1212,$K193)&amp;IF(INDEX(Конструктор!$J$2:$J$1212,$K193)&lt;&gt;""," — "&amp;INDEX(Конструктор!$J$2:$J$1212,$K193),""))</f>
        <v/>
      </c>
      <c r="D193" t="str">
        <f>IF($K193="","",INDEX(Конструктор!$E$2:$E$1212,$K193))</f>
        <v/>
      </c>
      <c r="E193" s="10" t="str">
        <f>IF($K193="","",INDEX(Конструктор!$H$2:$H$1212,$K193))</f>
        <v/>
      </c>
      <c r="F193" s="10" t="str">
        <f>IF($K193="","",INDEX(Конструктор!$L$2:$L$1212,$K193))</f>
        <v/>
      </c>
      <c r="G193" s="10" t="str">
        <f>IF($K193="","",INDEX(Конструктор!$M$2:$M$1212,$K193))</f>
        <v/>
      </c>
      <c r="H193" s="10" t="str">
        <f>IF($K193="","",INDEX(Конструктор!$N$2:$N$1212,$K193))</f>
        <v/>
      </c>
      <c r="I193" s="10" t="str">
        <f>IF($K193="","",INDEX(Конструктор!$O$2:$O$1212,$K193))</f>
        <v/>
      </c>
      <c r="J193" s="10" t="str">
        <f>IF($K193="","",INDEX(Конструктор!$P$2:$P$1212,$K193))</f>
        <v/>
      </c>
      <c r="K193" t="str">
        <f>IFERROR(MATCH(173,Конструктор!$T$2:$T$1212,0),"")</f>
        <v/>
      </c>
      <c r="L193" t="str">
        <f t="shared" si="2"/>
        <v/>
      </c>
    </row>
    <row r="194" spans="1:12" hidden="1" x14ac:dyDescent="0.3">
      <c r="A194" t="str">
        <f>IF($K194="","",174)</f>
        <v/>
      </c>
      <c r="B194" t="str">
        <f>IF($K194="","",INDEX(Конструктор!$C$2:$C$1212,$K194))</f>
        <v/>
      </c>
      <c r="C194" s="8" t="str">
        <f>IF($K194="","",INDEX(Конструктор!$D$2:$D$1212,$K194)&amp;IF(INDEX(Конструктор!$J$2:$J$1212,$K194)&lt;&gt;""," — "&amp;INDEX(Конструктор!$J$2:$J$1212,$K194),""))</f>
        <v/>
      </c>
      <c r="D194" t="str">
        <f>IF($K194="","",INDEX(Конструктор!$E$2:$E$1212,$K194))</f>
        <v/>
      </c>
      <c r="E194" s="10" t="str">
        <f>IF($K194="","",INDEX(Конструктор!$H$2:$H$1212,$K194))</f>
        <v/>
      </c>
      <c r="F194" s="10" t="str">
        <f>IF($K194="","",INDEX(Конструктор!$L$2:$L$1212,$K194))</f>
        <v/>
      </c>
      <c r="G194" s="10" t="str">
        <f>IF($K194="","",INDEX(Конструктор!$M$2:$M$1212,$K194))</f>
        <v/>
      </c>
      <c r="H194" s="10" t="str">
        <f>IF($K194="","",INDEX(Конструктор!$N$2:$N$1212,$K194))</f>
        <v/>
      </c>
      <c r="I194" s="10" t="str">
        <f>IF($K194="","",INDEX(Конструктор!$O$2:$O$1212,$K194))</f>
        <v/>
      </c>
      <c r="J194" s="10" t="str">
        <f>IF($K194="","",INDEX(Конструктор!$P$2:$P$1212,$K194))</f>
        <v/>
      </c>
      <c r="K194" t="str">
        <f>IFERROR(MATCH(174,Конструктор!$T$2:$T$1212,0),"")</f>
        <v/>
      </c>
      <c r="L194" t="str">
        <f t="shared" si="2"/>
        <v/>
      </c>
    </row>
    <row r="195" spans="1:12" hidden="1" x14ac:dyDescent="0.3">
      <c r="A195" t="str">
        <f>IF($K195="","",175)</f>
        <v/>
      </c>
      <c r="B195" t="str">
        <f>IF($K195="","",INDEX(Конструктор!$C$2:$C$1212,$K195))</f>
        <v/>
      </c>
      <c r="C195" s="8" t="str">
        <f>IF($K195="","",INDEX(Конструктор!$D$2:$D$1212,$K195)&amp;IF(INDEX(Конструктор!$J$2:$J$1212,$K195)&lt;&gt;""," — "&amp;INDEX(Конструктор!$J$2:$J$1212,$K195),""))</f>
        <v/>
      </c>
      <c r="D195" t="str">
        <f>IF($K195="","",INDEX(Конструктор!$E$2:$E$1212,$K195))</f>
        <v/>
      </c>
      <c r="E195" s="10" t="str">
        <f>IF($K195="","",INDEX(Конструктор!$H$2:$H$1212,$K195))</f>
        <v/>
      </c>
      <c r="F195" s="10" t="str">
        <f>IF($K195="","",INDEX(Конструктор!$L$2:$L$1212,$K195))</f>
        <v/>
      </c>
      <c r="G195" s="10" t="str">
        <f>IF($K195="","",INDEX(Конструктор!$M$2:$M$1212,$K195))</f>
        <v/>
      </c>
      <c r="H195" s="10" t="str">
        <f>IF($K195="","",INDEX(Конструктор!$N$2:$N$1212,$K195))</f>
        <v/>
      </c>
      <c r="I195" s="10" t="str">
        <f>IF($K195="","",INDEX(Конструктор!$O$2:$O$1212,$K195))</f>
        <v/>
      </c>
      <c r="J195" s="10" t="str">
        <f>IF($K195="","",INDEX(Конструктор!$P$2:$P$1212,$K195))</f>
        <v/>
      </c>
      <c r="K195" t="str">
        <f>IFERROR(MATCH(175,Конструктор!$T$2:$T$1212,0),"")</f>
        <v/>
      </c>
      <c r="L195" t="str">
        <f t="shared" si="2"/>
        <v/>
      </c>
    </row>
    <row r="196" spans="1:12" hidden="1" x14ac:dyDescent="0.3">
      <c r="A196" t="str">
        <f>IF($K196="","",176)</f>
        <v/>
      </c>
      <c r="B196" t="str">
        <f>IF($K196="","",INDEX(Конструктор!$C$2:$C$1212,$K196))</f>
        <v/>
      </c>
      <c r="C196" s="8" t="str">
        <f>IF($K196="","",INDEX(Конструктор!$D$2:$D$1212,$K196)&amp;IF(INDEX(Конструктор!$J$2:$J$1212,$K196)&lt;&gt;""," — "&amp;INDEX(Конструктор!$J$2:$J$1212,$K196),""))</f>
        <v/>
      </c>
      <c r="D196" t="str">
        <f>IF($K196="","",INDEX(Конструктор!$E$2:$E$1212,$K196))</f>
        <v/>
      </c>
      <c r="E196" s="10" t="str">
        <f>IF($K196="","",INDEX(Конструктор!$H$2:$H$1212,$K196))</f>
        <v/>
      </c>
      <c r="F196" s="10" t="str">
        <f>IF($K196="","",INDEX(Конструктор!$L$2:$L$1212,$K196))</f>
        <v/>
      </c>
      <c r="G196" s="10" t="str">
        <f>IF($K196="","",INDEX(Конструктор!$M$2:$M$1212,$K196))</f>
        <v/>
      </c>
      <c r="H196" s="10" t="str">
        <f>IF($K196="","",INDEX(Конструктор!$N$2:$N$1212,$K196))</f>
        <v/>
      </c>
      <c r="I196" s="10" t="str">
        <f>IF($K196="","",INDEX(Конструктор!$O$2:$O$1212,$K196))</f>
        <v/>
      </c>
      <c r="J196" s="10" t="str">
        <f>IF($K196="","",INDEX(Конструктор!$P$2:$P$1212,$K196))</f>
        <v/>
      </c>
      <c r="K196" t="str">
        <f>IFERROR(MATCH(176,Конструктор!$T$2:$T$1212,0),"")</f>
        <v/>
      </c>
      <c r="L196" t="str">
        <f t="shared" si="2"/>
        <v/>
      </c>
    </row>
    <row r="197" spans="1:12" hidden="1" x14ac:dyDescent="0.3">
      <c r="A197" t="str">
        <f>IF($K197="","",177)</f>
        <v/>
      </c>
      <c r="B197" t="str">
        <f>IF($K197="","",INDEX(Конструктор!$C$2:$C$1212,$K197))</f>
        <v/>
      </c>
      <c r="C197" s="8" t="str">
        <f>IF($K197="","",INDEX(Конструктор!$D$2:$D$1212,$K197)&amp;IF(INDEX(Конструктор!$J$2:$J$1212,$K197)&lt;&gt;""," — "&amp;INDEX(Конструктор!$J$2:$J$1212,$K197),""))</f>
        <v/>
      </c>
      <c r="D197" t="str">
        <f>IF($K197="","",INDEX(Конструктор!$E$2:$E$1212,$K197))</f>
        <v/>
      </c>
      <c r="E197" s="10" t="str">
        <f>IF($K197="","",INDEX(Конструктор!$H$2:$H$1212,$K197))</f>
        <v/>
      </c>
      <c r="F197" s="10" t="str">
        <f>IF($K197="","",INDEX(Конструктор!$L$2:$L$1212,$K197))</f>
        <v/>
      </c>
      <c r="G197" s="10" t="str">
        <f>IF($K197="","",INDEX(Конструктор!$M$2:$M$1212,$K197))</f>
        <v/>
      </c>
      <c r="H197" s="10" t="str">
        <f>IF($K197="","",INDEX(Конструктор!$N$2:$N$1212,$K197))</f>
        <v/>
      </c>
      <c r="I197" s="10" t="str">
        <f>IF($K197="","",INDEX(Конструктор!$O$2:$O$1212,$K197))</f>
        <v/>
      </c>
      <c r="J197" s="10" t="str">
        <f>IF($K197="","",INDEX(Конструктор!$P$2:$P$1212,$K197))</f>
        <v/>
      </c>
      <c r="K197" t="str">
        <f>IFERROR(MATCH(177,Конструктор!$T$2:$T$1212,0),"")</f>
        <v/>
      </c>
      <c r="L197" t="str">
        <f t="shared" si="2"/>
        <v/>
      </c>
    </row>
    <row r="198" spans="1:12" hidden="1" x14ac:dyDescent="0.3">
      <c r="A198" t="str">
        <f>IF($K198="","",178)</f>
        <v/>
      </c>
      <c r="B198" t="str">
        <f>IF($K198="","",INDEX(Конструктор!$C$2:$C$1212,$K198))</f>
        <v/>
      </c>
      <c r="C198" s="8" t="str">
        <f>IF($K198="","",INDEX(Конструктор!$D$2:$D$1212,$K198)&amp;IF(INDEX(Конструктор!$J$2:$J$1212,$K198)&lt;&gt;""," — "&amp;INDEX(Конструктор!$J$2:$J$1212,$K198),""))</f>
        <v/>
      </c>
      <c r="D198" t="str">
        <f>IF($K198="","",INDEX(Конструктор!$E$2:$E$1212,$K198))</f>
        <v/>
      </c>
      <c r="E198" s="10" t="str">
        <f>IF($K198="","",INDEX(Конструктор!$H$2:$H$1212,$K198))</f>
        <v/>
      </c>
      <c r="F198" s="10" t="str">
        <f>IF($K198="","",INDEX(Конструктор!$L$2:$L$1212,$K198))</f>
        <v/>
      </c>
      <c r="G198" s="10" t="str">
        <f>IF($K198="","",INDEX(Конструктор!$M$2:$M$1212,$K198))</f>
        <v/>
      </c>
      <c r="H198" s="10" t="str">
        <f>IF($K198="","",INDEX(Конструктор!$N$2:$N$1212,$K198))</f>
        <v/>
      </c>
      <c r="I198" s="10" t="str">
        <f>IF($K198="","",INDEX(Конструктор!$O$2:$O$1212,$K198))</f>
        <v/>
      </c>
      <c r="J198" s="10" t="str">
        <f>IF($K198="","",INDEX(Конструктор!$P$2:$P$1212,$K198))</f>
        <v/>
      </c>
      <c r="K198" t="str">
        <f>IFERROR(MATCH(178,Конструктор!$T$2:$T$1212,0),"")</f>
        <v/>
      </c>
      <c r="L198" t="str">
        <f t="shared" si="2"/>
        <v/>
      </c>
    </row>
    <row r="199" spans="1:12" hidden="1" x14ac:dyDescent="0.3">
      <c r="A199" t="str">
        <f>IF($K199="","",179)</f>
        <v/>
      </c>
      <c r="B199" t="str">
        <f>IF($K199="","",INDEX(Конструктор!$C$2:$C$1212,$K199))</f>
        <v/>
      </c>
      <c r="C199" s="8" t="str">
        <f>IF($K199="","",INDEX(Конструктор!$D$2:$D$1212,$K199)&amp;IF(INDEX(Конструктор!$J$2:$J$1212,$K199)&lt;&gt;""," — "&amp;INDEX(Конструктор!$J$2:$J$1212,$K199),""))</f>
        <v/>
      </c>
      <c r="D199" t="str">
        <f>IF($K199="","",INDEX(Конструктор!$E$2:$E$1212,$K199))</f>
        <v/>
      </c>
      <c r="E199" s="10" t="str">
        <f>IF($K199="","",INDEX(Конструктор!$H$2:$H$1212,$K199))</f>
        <v/>
      </c>
      <c r="F199" s="10" t="str">
        <f>IF($K199="","",INDEX(Конструктор!$L$2:$L$1212,$K199))</f>
        <v/>
      </c>
      <c r="G199" s="10" t="str">
        <f>IF($K199="","",INDEX(Конструктор!$M$2:$M$1212,$K199))</f>
        <v/>
      </c>
      <c r="H199" s="10" t="str">
        <f>IF($K199="","",INDEX(Конструктор!$N$2:$N$1212,$K199))</f>
        <v/>
      </c>
      <c r="I199" s="10" t="str">
        <f>IF($K199="","",INDEX(Конструктор!$O$2:$O$1212,$K199))</f>
        <v/>
      </c>
      <c r="J199" s="10" t="str">
        <f>IF($K199="","",INDEX(Конструктор!$P$2:$P$1212,$K199))</f>
        <v/>
      </c>
      <c r="K199" t="str">
        <f>IFERROR(MATCH(179,Конструктор!$T$2:$T$1212,0),"")</f>
        <v/>
      </c>
      <c r="L199" t="str">
        <f t="shared" si="2"/>
        <v/>
      </c>
    </row>
    <row r="200" spans="1:12" hidden="1" x14ac:dyDescent="0.3">
      <c r="A200" t="str">
        <f>IF($K200="","",180)</f>
        <v/>
      </c>
      <c r="B200" t="str">
        <f>IF($K200="","",INDEX(Конструктор!$C$2:$C$1212,$K200))</f>
        <v/>
      </c>
      <c r="C200" s="8" t="str">
        <f>IF($K200="","",INDEX(Конструктор!$D$2:$D$1212,$K200)&amp;IF(INDEX(Конструктор!$J$2:$J$1212,$K200)&lt;&gt;""," — "&amp;INDEX(Конструктор!$J$2:$J$1212,$K200),""))</f>
        <v/>
      </c>
      <c r="D200" t="str">
        <f>IF($K200="","",INDEX(Конструктор!$E$2:$E$1212,$K200))</f>
        <v/>
      </c>
      <c r="E200" s="10" t="str">
        <f>IF($K200="","",INDEX(Конструктор!$H$2:$H$1212,$K200))</f>
        <v/>
      </c>
      <c r="F200" s="10" t="str">
        <f>IF($K200="","",INDEX(Конструктор!$L$2:$L$1212,$K200))</f>
        <v/>
      </c>
      <c r="G200" s="10" t="str">
        <f>IF($K200="","",INDEX(Конструктор!$M$2:$M$1212,$K200))</f>
        <v/>
      </c>
      <c r="H200" s="10" t="str">
        <f>IF($K200="","",INDEX(Конструктор!$N$2:$N$1212,$K200))</f>
        <v/>
      </c>
      <c r="I200" s="10" t="str">
        <f>IF($K200="","",INDEX(Конструктор!$O$2:$O$1212,$K200))</f>
        <v/>
      </c>
      <c r="J200" s="10" t="str">
        <f>IF($K200="","",INDEX(Конструктор!$P$2:$P$1212,$K200))</f>
        <v/>
      </c>
      <c r="K200" t="str">
        <f>IFERROR(MATCH(180,Конструктор!$T$2:$T$1212,0),"")</f>
        <v/>
      </c>
      <c r="L200" t="str">
        <f t="shared" si="2"/>
        <v/>
      </c>
    </row>
    <row r="201" spans="1:12" hidden="1" x14ac:dyDescent="0.3">
      <c r="A201" t="str">
        <f>IF($K201="","",181)</f>
        <v/>
      </c>
      <c r="B201" t="str">
        <f>IF($K201="","",INDEX(Конструктор!$C$2:$C$1212,$K201))</f>
        <v/>
      </c>
      <c r="C201" s="8" t="str">
        <f>IF($K201="","",INDEX(Конструктор!$D$2:$D$1212,$K201)&amp;IF(INDEX(Конструктор!$J$2:$J$1212,$K201)&lt;&gt;""," — "&amp;INDEX(Конструктор!$J$2:$J$1212,$K201),""))</f>
        <v/>
      </c>
      <c r="D201" t="str">
        <f>IF($K201="","",INDEX(Конструктор!$E$2:$E$1212,$K201))</f>
        <v/>
      </c>
      <c r="E201" s="10" t="str">
        <f>IF($K201="","",INDEX(Конструктор!$H$2:$H$1212,$K201))</f>
        <v/>
      </c>
      <c r="F201" s="10" t="str">
        <f>IF($K201="","",INDEX(Конструктор!$L$2:$L$1212,$K201))</f>
        <v/>
      </c>
      <c r="G201" s="10" t="str">
        <f>IF($K201="","",INDEX(Конструктор!$M$2:$M$1212,$K201))</f>
        <v/>
      </c>
      <c r="H201" s="10" t="str">
        <f>IF($K201="","",INDEX(Конструктор!$N$2:$N$1212,$K201))</f>
        <v/>
      </c>
      <c r="I201" s="10" t="str">
        <f>IF($K201="","",INDEX(Конструктор!$O$2:$O$1212,$K201))</f>
        <v/>
      </c>
      <c r="J201" s="10" t="str">
        <f>IF($K201="","",INDEX(Конструктор!$P$2:$P$1212,$K201))</f>
        <v/>
      </c>
      <c r="K201" t="str">
        <f>IFERROR(MATCH(181,Конструктор!$T$2:$T$1212,0),"")</f>
        <v/>
      </c>
      <c r="L201" t="str">
        <f t="shared" si="2"/>
        <v/>
      </c>
    </row>
    <row r="202" spans="1:12" hidden="1" x14ac:dyDescent="0.3">
      <c r="A202" t="str">
        <f>IF($K202="","",182)</f>
        <v/>
      </c>
      <c r="B202" t="str">
        <f>IF($K202="","",INDEX(Конструктор!$C$2:$C$1212,$K202))</f>
        <v/>
      </c>
      <c r="C202" s="8" t="str">
        <f>IF($K202="","",INDEX(Конструктор!$D$2:$D$1212,$K202)&amp;IF(INDEX(Конструктор!$J$2:$J$1212,$K202)&lt;&gt;""," — "&amp;INDEX(Конструктор!$J$2:$J$1212,$K202),""))</f>
        <v/>
      </c>
      <c r="D202" t="str">
        <f>IF($K202="","",INDEX(Конструктор!$E$2:$E$1212,$K202))</f>
        <v/>
      </c>
      <c r="E202" s="10" t="str">
        <f>IF($K202="","",INDEX(Конструктор!$H$2:$H$1212,$K202))</f>
        <v/>
      </c>
      <c r="F202" s="10" t="str">
        <f>IF($K202="","",INDEX(Конструктор!$L$2:$L$1212,$K202))</f>
        <v/>
      </c>
      <c r="G202" s="10" t="str">
        <f>IF($K202="","",INDEX(Конструктор!$M$2:$M$1212,$K202))</f>
        <v/>
      </c>
      <c r="H202" s="10" t="str">
        <f>IF($K202="","",INDEX(Конструктор!$N$2:$N$1212,$K202))</f>
        <v/>
      </c>
      <c r="I202" s="10" t="str">
        <f>IF($K202="","",INDEX(Конструктор!$O$2:$O$1212,$K202))</f>
        <v/>
      </c>
      <c r="J202" s="10" t="str">
        <f>IF($K202="","",INDEX(Конструктор!$P$2:$P$1212,$K202))</f>
        <v/>
      </c>
      <c r="K202" t="str">
        <f>IFERROR(MATCH(182,Конструктор!$T$2:$T$1212,0),"")</f>
        <v/>
      </c>
      <c r="L202" t="str">
        <f t="shared" si="2"/>
        <v/>
      </c>
    </row>
    <row r="203" spans="1:12" hidden="1" x14ac:dyDescent="0.3">
      <c r="A203" t="str">
        <f>IF($K203="","",183)</f>
        <v/>
      </c>
      <c r="B203" t="str">
        <f>IF($K203="","",INDEX(Конструктор!$C$2:$C$1212,$K203))</f>
        <v/>
      </c>
      <c r="C203" s="8" t="str">
        <f>IF($K203="","",INDEX(Конструктор!$D$2:$D$1212,$K203)&amp;IF(INDEX(Конструктор!$J$2:$J$1212,$K203)&lt;&gt;""," — "&amp;INDEX(Конструктор!$J$2:$J$1212,$K203),""))</f>
        <v/>
      </c>
      <c r="D203" t="str">
        <f>IF($K203="","",INDEX(Конструктор!$E$2:$E$1212,$K203))</f>
        <v/>
      </c>
      <c r="E203" s="10" t="str">
        <f>IF($K203="","",INDEX(Конструктор!$H$2:$H$1212,$K203))</f>
        <v/>
      </c>
      <c r="F203" s="10" t="str">
        <f>IF($K203="","",INDEX(Конструктор!$L$2:$L$1212,$K203))</f>
        <v/>
      </c>
      <c r="G203" s="10" t="str">
        <f>IF($K203="","",INDEX(Конструктор!$M$2:$M$1212,$K203))</f>
        <v/>
      </c>
      <c r="H203" s="10" t="str">
        <f>IF($K203="","",INDEX(Конструктор!$N$2:$N$1212,$K203))</f>
        <v/>
      </c>
      <c r="I203" s="10" t="str">
        <f>IF($K203="","",INDEX(Конструктор!$O$2:$O$1212,$K203))</f>
        <v/>
      </c>
      <c r="J203" s="10" t="str">
        <f>IF($K203="","",INDEX(Конструктор!$P$2:$P$1212,$K203))</f>
        <v/>
      </c>
      <c r="K203" t="str">
        <f>IFERROR(MATCH(183,Конструктор!$T$2:$T$1212,0),"")</f>
        <v/>
      </c>
      <c r="L203" t="str">
        <f t="shared" si="2"/>
        <v/>
      </c>
    </row>
    <row r="204" spans="1:12" hidden="1" x14ac:dyDescent="0.3">
      <c r="A204" t="str">
        <f>IF($K204="","",184)</f>
        <v/>
      </c>
      <c r="B204" t="str">
        <f>IF($K204="","",INDEX(Конструктор!$C$2:$C$1212,$K204))</f>
        <v/>
      </c>
      <c r="C204" s="8" t="str">
        <f>IF($K204="","",INDEX(Конструктор!$D$2:$D$1212,$K204)&amp;IF(INDEX(Конструктор!$J$2:$J$1212,$K204)&lt;&gt;""," — "&amp;INDEX(Конструктор!$J$2:$J$1212,$K204),""))</f>
        <v/>
      </c>
      <c r="D204" t="str">
        <f>IF($K204="","",INDEX(Конструктор!$E$2:$E$1212,$K204))</f>
        <v/>
      </c>
      <c r="E204" s="10" t="str">
        <f>IF($K204="","",INDEX(Конструктор!$H$2:$H$1212,$K204))</f>
        <v/>
      </c>
      <c r="F204" s="10" t="str">
        <f>IF($K204="","",INDEX(Конструктор!$L$2:$L$1212,$K204))</f>
        <v/>
      </c>
      <c r="G204" s="10" t="str">
        <f>IF($K204="","",INDEX(Конструктор!$M$2:$M$1212,$K204))</f>
        <v/>
      </c>
      <c r="H204" s="10" t="str">
        <f>IF($K204="","",INDEX(Конструктор!$N$2:$N$1212,$K204))</f>
        <v/>
      </c>
      <c r="I204" s="10" t="str">
        <f>IF($K204="","",INDEX(Конструктор!$O$2:$O$1212,$K204))</f>
        <v/>
      </c>
      <c r="J204" s="10" t="str">
        <f>IF($K204="","",INDEX(Конструктор!$P$2:$P$1212,$K204))</f>
        <v/>
      </c>
      <c r="K204" t="str">
        <f>IFERROR(MATCH(184,Конструктор!$T$2:$T$1212,0),"")</f>
        <v/>
      </c>
      <c r="L204" t="str">
        <f t="shared" si="2"/>
        <v/>
      </c>
    </row>
    <row r="205" spans="1:12" hidden="1" x14ac:dyDescent="0.3">
      <c r="A205" t="str">
        <f>IF($K205="","",185)</f>
        <v/>
      </c>
      <c r="B205" t="str">
        <f>IF($K205="","",INDEX(Конструктор!$C$2:$C$1212,$K205))</f>
        <v/>
      </c>
      <c r="C205" s="8" t="str">
        <f>IF($K205="","",INDEX(Конструктор!$D$2:$D$1212,$K205)&amp;IF(INDEX(Конструктор!$J$2:$J$1212,$K205)&lt;&gt;""," — "&amp;INDEX(Конструктор!$J$2:$J$1212,$K205),""))</f>
        <v/>
      </c>
      <c r="D205" t="str">
        <f>IF($K205="","",INDEX(Конструктор!$E$2:$E$1212,$K205))</f>
        <v/>
      </c>
      <c r="E205" s="10" t="str">
        <f>IF($K205="","",INDEX(Конструктор!$H$2:$H$1212,$K205))</f>
        <v/>
      </c>
      <c r="F205" s="10" t="str">
        <f>IF($K205="","",INDEX(Конструктор!$L$2:$L$1212,$K205))</f>
        <v/>
      </c>
      <c r="G205" s="10" t="str">
        <f>IF($K205="","",INDEX(Конструктор!$M$2:$M$1212,$K205))</f>
        <v/>
      </c>
      <c r="H205" s="10" t="str">
        <f>IF($K205="","",INDEX(Конструктор!$N$2:$N$1212,$K205))</f>
        <v/>
      </c>
      <c r="I205" s="10" t="str">
        <f>IF($K205="","",INDEX(Конструктор!$O$2:$O$1212,$K205))</f>
        <v/>
      </c>
      <c r="J205" s="10" t="str">
        <f>IF($K205="","",INDEX(Конструктор!$P$2:$P$1212,$K205))</f>
        <v/>
      </c>
      <c r="K205" t="str">
        <f>IFERROR(MATCH(185,Конструктор!$T$2:$T$1212,0),"")</f>
        <v/>
      </c>
      <c r="L205" t="str">
        <f t="shared" si="2"/>
        <v/>
      </c>
    </row>
    <row r="206" spans="1:12" hidden="1" x14ac:dyDescent="0.3">
      <c r="A206" t="str">
        <f>IF($K206="","",186)</f>
        <v/>
      </c>
      <c r="B206" t="str">
        <f>IF($K206="","",INDEX(Конструктор!$C$2:$C$1212,$K206))</f>
        <v/>
      </c>
      <c r="C206" s="8" t="str">
        <f>IF($K206="","",INDEX(Конструктор!$D$2:$D$1212,$K206)&amp;IF(INDEX(Конструктор!$J$2:$J$1212,$K206)&lt;&gt;""," — "&amp;INDEX(Конструктор!$J$2:$J$1212,$K206),""))</f>
        <v/>
      </c>
      <c r="D206" t="str">
        <f>IF($K206="","",INDEX(Конструктор!$E$2:$E$1212,$K206))</f>
        <v/>
      </c>
      <c r="E206" s="10" t="str">
        <f>IF($K206="","",INDEX(Конструктор!$H$2:$H$1212,$K206))</f>
        <v/>
      </c>
      <c r="F206" s="10" t="str">
        <f>IF($K206="","",INDEX(Конструктор!$L$2:$L$1212,$K206))</f>
        <v/>
      </c>
      <c r="G206" s="10" t="str">
        <f>IF($K206="","",INDEX(Конструктор!$M$2:$M$1212,$K206))</f>
        <v/>
      </c>
      <c r="H206" s="10" t="str">
        <f>IF($K206="","",INDEX(Конструктор!$N$2:$N$1212,$K206))</f>
        <v/>
      </c>
      <c r="I206" s="10" t="str">
        <f>IF($K206="","",INDEX(Конструктор!$O$2:$O$1212,$K206))</f>
        <v/>
      </c>
      <c r="J206" s="10" t="str">
        <f>IF($K206="","",INDEX(Конструктор!$P$2:$P$1212,$K206))</f>
        <v/>
      </c>
      <c r="K206" t="str">
        <f>IFERROR(MATCH(186,Конструктор!$T$2:$T$1212,0),"")</f>
        <v/>
      </c>
      <c r="L206" t="str">
        <f t="shared" si="2"/>
        <v/>
      </c>
    </row>
    <row r="207" spans="1:12" hidden="1" x14ac:dyDescent="0.3">
      <c r="A207" t="str">
        <f>IF($K207="","",187)</f>
        <v/>
      </c>
      <c r="B207" t="str">
        <f>IF($K207="","",INDEX(Конструктор!$C$2:$C$1212,$K207))</f>
        <v/>
      </c>
      <c r="C207" s="8" t="str">
        <f>IF($K207="","",INDEX(Конструктор!$D$2:$D$1212,$K207)&amp;IF(INDEX(Конструктор!$J$2:$J$1212,$K207)&lt;&gt;""," — "&amp;INDEX(Конструктор!$J$2:$J$1212,$K207),""))</f>
        <v/>
      </c>
      <c r="D207" t="str">
        <f>IF($K207="","",INDEX(Конструктор!$E$2:$E$1212,$K207))</f>
        <v/>
      </c>
      <c r="E207" s="10" t="str">
        <f>IF($K207="","",INDEX(Конструктор!$H$2:$H$1212,$K207))</f>
        <v/>
      </c>
      <c r="F207" s="10" t="str">
        <f>IF($K207="","",INDEX(Конструктор!$L$2:$L$1212,$K207))</f>
        <v/>
      </c>
      <c r="G207" s="10" t="str">
        <f>IF($K207="","",INDEX(Конструктор!$M$2:$M$1212,$K207))</f>
        <v/>
      </c>
      <c r="H207" s="10" t="str">
        <f>IF($K207="","",INDEX(Конструктор!$N$2:$N$1212,$K207))</f>
        <v/>
      </c>
      <c r="I207" s="10" t="str">
        <f>IF($K207="","",INDEX(Конструктор!$O$2:$O$1212,$K207))</f>
        <v/>
      </c>
      <c r="J207" s="10" t="str">
        <f>IF($K207="","",INDEX(Конструктор!$P$2:$P$1212,$K207))</f>
        <v/>
      </c>
      <c r="K207" t="str">
        <f>IFERROR(MATCH(187,Конструктор!$T$2:$T$1212,0),"")</f>
        <v/>
      </c>
      <c r="L207" t="str">
        <f t="shared" si="2"/>
        <v/>
      </c>
    </row>
    <row r="208" spans="1:12" hidden="1" x14ac:dyDescent="0.3">
      <c r="A208" t="str">
        <f>IF($K208="","",188)</f>
        <v/>
      </c>
      <c r="B208" t="str">
        <f>IF($K208="","",INDEX(Конструктор!$C$2:$C$1212,$K208))</f>
        <v/>
      </c>
      <c r="C208" s="8" t="str">
        <f>IF($K208="","",INDEX(Конструктор!$D$2:$D$1212,$K208)&amp;IF(INDEX(Конструктор!$J$2:$J$1212,$K208)&lt;&gt;""," — "&amp;INDEX(Конструктор!$J$2:$J$1212,$K208),""))</f>
        <v/>
      </c>
      <c r="D208" t="str">
        <f>IF($K208="","",INDEX(Конструктор!$E$2:$E$1212,$K208))</f>
        <v/>
      </c>
      <c r="E208" s="10" t="str">
        <f>IF($K208="","",INDEX(Конструктор!$H$2:$H$1212,$K208))</f>
        <v/>
      </c>
      <c r="F208" s="10" t="str">
        <f>IF($K208="","",INDEX(Конструктор!$L$2:$L$1212,$K208))</f>
        <v/>
      </c>
      <c r="G208" s="10" t="str">
        <f>IF($K208="","",INDEX(Конструктор!$M$2:$M$1212,$K208))</f>
        <v/>
      </c>
      <c r="H208" s="10" t="str">
        <f>IF($K208="","",INDEX(Конструктор!$N$2:$N$1212,$K208))</f>
        <v/>
      </c>
      <c r="I208" s="10" t="str">
        <f>IF($K208="","",INDEX(Конструктор!$O$2:$O$1212,$K208))</f>
        <v/>
      </c>
      <c r="J208" s="10" t="str">
        <f>IF($K208="","",INDEX(Конструктор!$P$2:$P$1212,$K208))</f>
        <v/>
      </c>
      <c r="K208" t="str">
        <f>IFERROR(MATCH(188,Конструктор!$T$2:$T$1212,0),"")</f>
        <v/>
      </c>
      <c r="L208" t="str">
        <f t="shared" si="2"/>
        <v/>
      </c>
    </row>
    <row r="209" spans="1:12" hidden="1" x14ac:dyDescent="0.3">
      <c r="A209" t="str">
        <f>IF($K209="","",189)</f>
        <v/>
      </c>
      <c r="B209" t="str">
        <f>IF($K209="","",INDEX(Конструктор!$C$2:$C$1212,$K209))</f>
        <v/>
      </c>
      <c r="C209" s="8" t="str">
        <f>IF($K209="","",INDEX(Конструктор!$D$2:$D$1212,$K209)&amp;IF(INDEX(Конструктор!$J$2:$J$1212,$K209)&lt;&gt;""," — "&amp;INDEX(Конструктор!$J$2:$J$1212,$K209),""))</f>
        <v/>
      </c>
      <c r="D209" t="str">
        <f>IF($K209="","",INDEX(Конструктор!$E$2:$E$1212,$K209))</f>
        <v/>
      </c>
      <c r="E209" s="10" t="str">
        <f>IF($K209="","",INDEX(Конструктор!$H$2:$H$1212,$K209))</f>
        <v/>
      </c>
      <c r="F209" s="10" t="str">
        <f>IF($K209="","",INDEX(Конструктор!$L$2:$L$1212,$K209))</f>
        <v/>
      </c>
      <c r="G209" s="10" t="str">
        <f>IF($K209="","",INDEX(Конструктор!$M$2:$M$1212,$K209))</f>
        <v/>
      </c>
      <c r="H209" s="10" t="str">
        <f>IF($K209="","",INDEX(Конструктор!$N$2:$N$1212,$K209))</f>
        <v/>
      </c>
      <c r="I209" s="10" t="str">
        <f>IF($K209="","",INDEX(Конструктор!$O$2:$O$1212,$K209))</f>
        <v/>
      </c>
      <c r="J209" s="10" t="str">
        <f>IF($K209="","",INDEX(Конструктор!$P$2:$P$1212,$K209))</f>
        <v/>
      </c>
      <c r="K209" t="str">
        <f>IFERROR(MATCH(189,Конструктор!$T$2:$T$1212,0),"")</f>
        <v/>
      </c>
      <c r="L209" t="str">
        <f t="shared" si="2"/>
        <v/>
      </c>
    </row>
    <row r="210" spans="1:12" hidden="1" x14ac:dyDescent="0.3">
      <c r="A210" t="str">
        <f>IF($K210="","",190)</f>
        <v/>
      </c>
      <c r="B210" t="str">
        <f>IF($K210="","",INDEX(Конструктор!$C$2:$C$1212,$K210))</f>
        <v/>
      </c>
      <c r="C210" s="8" t="str">
        <f>IF($K210="","",INDEX(Конструктор!$D$2:$D$1212,$K210)&amp;IF(INDEX(Конструктор!$J$2:$J$1212,$K210)&lt;&gt;""," — "&amp;INDEX(Конструктор!$J$2:$J$1212,$K210),""))</f>
        <v/>
      </c>
      <c r="D210" t="str">
        <f>IF($K210="","",INDEX(Конструктор!$E$2:$E$1212,$K210))</f>
        <v/>
      </c>
      <c r="E210" s="10" t="str">
        <f>IF($K210="","",INDEX(Конструктор!$H$2:$H$1212,$K210))</f>
        <v/>
      </c>
      <c r="F210" s="10" t="str">
        <f>IF($K210="","",INDEX(Конструктор!$L$2:$L$1212,$K210))</f>
        <v/>
      </c>
      <c r="G210" s="10" t="str">
        <f>IF($K210="","",INDEX(Конструктор!$M$2:$M$1212,$K210))</f>
        <v/>
      </c>
      <c r="H210" s="10" t="str">
        <f>IF($K210="","",INDEX(Конструктор!$N$2:$N$1212,$K210))</f>
        <v/>
      </c>
      <c r="I210" s="10" t="str">
        <f>IF($K210="","",INDEX(Конструктор!$O$2:$O$1212,$K210))</f>
        <v/>
      </c>
      <c r="J210" s="10" t="str">
        <f>IF($K210="","",INDEX(Конструктор!$P$2:$P$1212,$K210))</f>
        <v/>
      </c>
      <c r="K210" t="str">
        <f>IFERROR(MATCH(190,Конструктор!$T$2:$T$1212,0),"")</f>
        <v/>
      </c>
      <c r="L210" t="str">
        <f t="shared" si="2"/>
        <v/>
      </c>
    </row>
    <row r="211" spans="1:12" hidden="1" x14ac:dyDescent="0.3">
      <c r="A211" t="str">
        <f>IF($K211="","",191)</f>
        <v/>
      </c>
      <c r="B211" t="str">
        <f>IF($K211="","",INDEX(Конструктор!$C$2:$C$1212,$K211))</f>
        <v/>
      </c>
      <c r="C211" s="8" t="str">
        <f>IF($K211="","",INDEX(Конструктор!$D$2:$D$1212,$K211)&amp;IF(INDEX(Конструктор!$J$2:$J$1212,$K211)&lt;&gt;""," — "&amp;INDEX(Конструктор!$J$2:$J$1212,$K211),""))</f>
        <v/>
      </c>
      <c r="D211" t="str">
        <f>IF($K211="","",INDEX(Конструктор!$E$2:$E$1212,$K211))</f>
        <v/>
      </c>
      <c r="E211" s="10" t="str">
        <f>IF($K211="","",INDEX(Конструктор!$H$2:$H$1212,$K211))</f>
        <v/>
      </c>
      <c r="F211" s="10" t="str">
        <f>IF($K211="","",INDEX(Конструктор!$L$2:$L$1212,$K211))</f>
        <v/>
      </c>
      <c r="G211" s="10" t="str">
        <f>IF($K211="","",INDEX(Конструктор!$M$2:$M$1212,$K211))</f>
        <v/>
      </c>
      <c r="H211" s="10" t="str">
        <f>IF($K211="","",INDEX(Конструктор!$N$2:$N$1212,$K211))</f>
        <v/>
      </c>
      <c r="I211" s="10" t="str">
        <f>IF($K211="","",INDEX(Конструктор!$O$2:$O$1212,$K211))</f>
        <v/>
      </c>
      <c r="J211" s="10" t="str">
        <f>IF($K211="","",INDEX(Конструктор!$P$2:$P$1212,$K211))</f>
        <v/>
      </c>
      <c r="K211" t="str">
        <f>IFERROR(MATCH(191,Конструктор!$T$2:$T$1212,0),"")</f>
        <v/>
      </c>
      <c r="L211" t="str">
        <f t="shared" si="2"/>
        <v/>
      </c>
    </row>
    <row r="212" spans="1:12" hidden="1" x14ac:dyDescent="0.3">
      <c r="A212" t="str">
        <f>IF($K212="","",192)</f>
        <v/>
      </c>
      <c r="B212" t="str">
        <f>IF($K212="","",INDEX(Конструктор!$C$2:$C$1212,$K212))</f>
        <v/>
      </c>
      <c r="C212" s="8" t="str">
        <f>IF($K212="","",INDEX(Конструктор!$D$2:$D$1212,$K212)&amp;IF(INDEX(Конструктор!$J$2:$J$1212,$K212)&lt;&gt;""," — "&amp;INDEX(Конструктор!$J$2:$J$1212,$K212),""))</f>
        <v/>
      </c>
      <c r="D212" t="str">
        <f>IF($K212="","",INDEX(Конструктор!$E$2:$E$1212,$K212))</f>
        <v/>
      </c>
      <c r="E212" s="10" t="str">
        <f>IF($K212="","",INDEX(Конструктор!$H$2:$H$1212,$K212))</f>
        <v/>
      </c>
      <c r="F212" s="10" t="str">
        <f>IF($K212="","",INDEX(Конструктор!$L$2:$L$1212,$K212))</f>
        <v/>
      </c>
      <c r="G212" s="10" t="str">
        <f>IF($K212="","",INDEX(Конструктор!$M$2:$M$1212,$K212))</f>
        <v/>
      </c>
      <c r="H212" s="10" t="str">
        <f>IF($K212="","",INDEX(Конструктор!$N$2:$N$1212,$K212))</f>
        <v/>
      </c>
      <c r="I212" s="10" t="str">
        <f>IF($K212="","",INDEX(Конструктор!$O$2:$O$1212,$K212))</f>
        <v/>
      </c>
      <c r="J212" s="10" t="str">
        <f>IF($K212="","",INDEX(Конструктор!$P$2:$P$1212,$K212))</f>
        <v/>
      </c>
      <c r="K212" t="str">
        <f>IFERROR(MATCH(192,Конструктор!$T$2:$T$1212,0),"")</f>
        <v/>
      </c>
      <c r="L212" t="str">
        <f t="shared" si="2"/>
        <v/>
      </c>
    </row>
    <row r="213" spans="1:12" hidden="1" x14ac:dyDescent="0.3">
      <c r="A213" t="str">
        <f>IF($K213="","",193)</f>
        <v/>
      </c>
      <c r="B213" t="str">
        <f>IF($K213="","",INDEX(Конструктор!$C$2:$C$1212,$K213))</f>
        <v/>
      </c>
      <c r="C213" s="8" t="str">
        <f>IF($K213="","",INDEX(Конструктор!$D$2:$D$1212,$K213)&amp;IF(INDEX(Конструктор!$J$2:$J$1212,$K213)&lt;&gt;""," — "&amp;INDEX(Конструктор!$J$2:$J$1212,$K213),""))</f>
        <v/>
      </c>
      <c r="D213" t="str">
        <f>IF($K213="","",INDEX(Конструктор!$E$2:$E$1212,$K213))</f>
        <v/>
      </c>
      <c r="E213" s="10" t="str">
        <f>IF($K213="","",INDEX(Конструктор!$H$2:$H$1212,$K213))</f>
        <v/>
      </c>
      <c r="F213" s="10" t="str">
        <f>IF($K213="","",INDEX(Конструктор!$L$2:$L$1212,$K213))</f>
        <v/>
      </c>
      <c r="G213" s="10" t="str">
        <f>IF($K213="","",INDEX(Конструктор!$M$2:$M$1212,$K213))</f>
        <v/>
      </c>
      <c r="H213" s="10" t="str">
        <f>IF($K213="","",INDEX(Конструктор!$N$2:$N$1212,$K213))</f>
        <v/>
      </c>
      <c r="I213" s="10" t="str">
        <f>IF($K213="","",INDEX(Конструктор!$O$2:$O$1212,$K213))</f>
        <v/>
      </c>
      <c r="J213" s="10" t="str">
        <f>IF($K213="","",INDEX(Конструктор!$P$2:$P$1212,$K213))</f>
        <v/>
      </c>
      <c r="K213" t="str">
        <f>IFERROR(MATCH(193,Конструктор!$T$2:$T$1212,0),"")</f>
        <v/>
      </c>
      <c r="L213" t="str">
        <f t="shared" ref="L213:L276" si="3">IF($K213="","","показать")</f>
        <v/>
      </c>
    </row>
    <row r="214" spans="1:12" hidden="1" x14ac:dyDescent="0.3">
      <c r="A214" t="str">
        <f>IF($K214="","",194)</f>
        <v/>
      </c>
      <c r="B214" t="str">
        <f>IF($K214="","",INDEX(Конструктор!$C$2:$C$1212,$K214))</f>
        <v/>
      </c>
      <c r="C214" s="8" t="str">
        <f>IF($K214="","",INDEX(Конструктор!$D$2:$D$1212,$K214)&amp;IF(INDEX(Конструктор!$J$2:$J$1212,$K214)&lt;&gt;""," — "&amp;INDEX(Конструктор!$J$2:$J$1212,$K214),""))</f>
        <v/>
      </c>
      <c r="D214" t="str">
        <f>IF($K214="","",INDEX(Конструктор!$E$2:$E$1212,$K214))</f>
        <v/>
      </c>
      <c r="E214" s="10" t="str">
        <f>IF($K214="","",INDEX(Конструктор!$H$2:$H$1212,$K214))</f>
        <v/>
      </c>
      <c r="F214" s="10" t="str">
        <f>IF($K214="","",INDEX(Конструктор!$L$2:$L$1212,$K214))</f>
        <v/>
      </c>
      <c r="G214" s="10" t="str">
        <f>IF($K214="","",INDEX(Конструктор!$M$2:$M$1212,$K214))</f>
        <v/>
      </c>
      <c r="H214" s="10" t="str">
        <f>IF($K214="","",INDEX(Конструктор!$N$2:$N$1212,$K214))</f>
        <v/>
      </c>
      <c r="I214" s="10" t="str">
        <f>IF($K214="","",INDEX(Конструктор!$O$2:$O$1212,$K214))</f>
        <v/>
      </c>
      <c r="J214" s="10" t="str">
        <f>IF($K214="","",INDEX(Конструктор!$P$2:$P$1212,$K214))</f>
        <v/>
      </c>
      <c r="K214" t="str">
        <f>IFERROR(MATCH(194,Конструктор!$T$2:$T$1212,0),"")</f>
        <v/>
      </c>
      <c r="L214" t="str">
        <f t="shared" si="3"/>
        <v/>
      </c>
    </row>
    <row r="215" spans="1:12" hidden="1" x14ac:dyDescent="0.3">
      <c r="A215" t="str">
        <f>IF($K215="","",195)</f>
        <v/>
      </c>
      <c r="B215" t="str">
        <f>IF($K215="","",INDEX(Конструктор!$C$2:$C$1212,$K215))</f>
        <v/>
      </c>
      <c r="C215" s="8" t="str">
        <f>IF($K215="","",INDEX(Конструктор!$D$2:$D$1212,$K215)&amp;IF(INDEX(Конструктор!$J$2:$J$1212,$K215)&lt;&gt;""," — "&amp;INDEX(Конструктор!$J$2:$J$1212,$K215),""))</f>
        <v/>
      </c>
      <c r="D215" t="str">
        <f>IF($K215="","",INDEX(Конструктор!$E$2:$E$1212,$K215))</f>
        <v/>
      </c>
      <c r="E215" s="10" t="str">
        <f>IF($K215="","",INDEX(Конструктор!$H$2:$H$1212,$K215))</f>
        <v/>
      </c>
      <c r="F215" s="10" t="str">
        <f>IF($K215="","",INDEX(Конструктор!$L$2:$L$1212,$K215))</f>
        <v/>
      </c>
      <c r="G215" s="10" t="str">
        <f>IF($K215="","",INDEX(Конструктор!$M$2:$M$1212,$K215))</f>
        <v/>
      </c>
      <c r="H215" s="10" t="str">
        <f>IF($K215="","",INDEX(Конструктор!$N$2:$N$1212,$K215))</f>
        <v/>
      </c>
      <c r="I215" s="10" t="str">
        <f>IF($K215="","",INDEX(Конструктор!$O$2:$O$1212,$K215))</f>
        <v/>
      </c>
      <c r="J215" s="10" t="str">
        <f>IF($K215="","",INDEX(Конструктор!$P$2:$P$1212,$K215))</f>
        <v/>
      </c>
      <c r="K215" t="str">
        <f>IFERROR(MATCH(195,Конструктор!$T$2:$T$1212,0),"")</f>
        <v/>
      </c>
      <c r="L215" t="str">
        <f t="shared" si="3"/>
        <v/>
      </c>
    </row>
    <row r="216" spans="1:12" hidden="1" x14ac:dyDescent="0.3">
      <c r="A216" t="str">
        <f>IF($K216="","",196)</f>
        <v/>
      </c>
      <c r="B216" t="str">
        <f>IF($K216="","",INDEX(Конструктор!$C$2:$C$1212,$K216))</f>
        <v/>
      </c>
      <c r="C216" s="8" t="str">
        <f>IF($K216="","",INDEX(Конструктор!$D$2:$D$1212,$K216)&amp;IF(INDEX(Конструктор!$J$2:$J$1212,$K216)&lt;&gt;""," — "&amp;INDEX(Конструктор!$J$2:$J$1212,$K216),""))</f>
        <v/>
      </c>
      <c r="D216" t="str">
        <f>IF($K216="","",INDEX(Конструктор!$E$2:$E$1212,$K216))</f>
        <v/>
      </c>
      <c r="E216" s="10" t="str">
        <f>IF($K216="","",INDEX(Конструктор!$H$2:$H$1212,$K216))</f>
        <v/>
      </c>
      <c r="F216" s="10" t="str">
        <f>IF($K216="","",INDEX(Конструктор!$L$2:$L$1212,$K216))</f>
        <v/>
      </c>
      <c r="G216" s="10" t="str">
        <f>IF($K216="","",INDEX(Конструктор!$M$2:$M$1212,$K216))</f>
        <v/>
      </c>
      <c r="H216" s="10" t="str">
        <f>IF($K216="","",INDEX(Конструктор!$N$2:$N$1212,$K216))</f>
        <v/>
      </c>
      <c r="I216" s="10" t="str">
        <f>IF($K216="","",INDEX(Конструктор!$O$2:$O$1212,$K216))</f>
        <v/>
      </c>
      <c r="J216" s="10" t="str">
        <f>IF($K216="","",INDEX(Конструктор!$P$2:$P$1212,$K216))</f>
        <v/>
      </c>
      <c r="K216" t="str">
        <f>IFERROR(MATCH(196,Конструктор!$T$2:$T$1212,0),"")</f>
        <v/>
      </c>
      <c r="L216" t="str">
        <f t="shared" si="3"/>
        <v/>
      </c>
    </row>
    <row r="217" spans="1:12" hidden="1" x14ac:dyDescent="0.3">
      <c r="A217" t="str">
        <f>IF($K217="","",197)</f>
        <v/>
      </c>
      <c r="B217" t="str">
        <f>IF($K217="","",INDEX(Конструктор!$C$2:$C$1212,$K217))</f>
        <v/>
      </c>
      <c r="C217" s="8" t="str">
        <f>IF($K217="","",INDEX(Конструктор!$D$2:$D$1212,$K217)&amp;IF(INDEX(Конструктор!$J$2:$J$1212,$K217)&lt;&gt;""," — "&amp;INDEX(Конструктор!$J$2:$J$1212,$K217),""))</f>
        <v/>
      </c>
      <c r="D217" t="str">
        <f>IF($K217="","",INDEX(Конструктор!$E$2:$E$1212,$K217))</f>
        <v/>
      </c>
      <c r="E217" s="10" t="str">
        <f>IF($K217="","",INDEX(Конструктор!$H$2:$H$1212,$K217))</f>
        <v/>
      </c>
      <c r="F217" s="10" t="str">
        <f>IF($K217="","",INDEX(Конструктор!$L$2:$L$1212,$K217))</f>
        <v/>
      </c>
      <c r="G217" s="10" t="str">
        <f>IF($K217="","",INDEX(Конструктор!$M$2:$M$1212,$K217))</f>
        <v/>
      </c>
      <c r="H217" s="10" t="str">
        <f>IF($K217="","",INDEX(Конструктор!$N$2:$N$1212,$K217))</f>
        <v/>
      </c>
      <c r="I217" s="10" t="str">
        <f>IF($K217="","",INDEX(Конструктор!$O$2:$O$1212,$K217))</f>
        <v/>
      </c>
      <c r="J217" s="10" t="str">
        <f>IF($K217="","",INDEX(Конструктор!$P$2:$P$1212,$K217))</f>
        <v/>
      </c>
      <c r="K217" t="str">
        <f>IFERROR(MATCH(197,Конструктор!$T$2:$T$1212,0),"")</f>
        <v/>
      </c>
      <c r="L217" t="str">
        <f t="shared" si="3"/>
        <v/>
      </c>
    </row>
    <row r="218" spans="1:12" hidden="1" x14ac:dyDescent="0.3">
      <c r="A218" t="str">
        <f>IF($K218="","",198)</f>
        <v/>
      </c>
      <c r="B218" t="str">
        <f>IF($K218="","",INDEX(Конструктор!$C$2:$C$1212,$K218))</f>
        <v/>
      </c>
      <c r="C218" s="8" t="str">
        <f>IF($K218="","",INDEX(Конструктор!$D$2:$D$1212,$K218)&amp;IF(INDEX(Конструктор!$J$2:$J$1212,$K218)&lt;&gt;""," — "&amp;INDEX(Конструктор!$J$2:$J$1212,$K218),""))</f>
        <v/>
      </c>
      <c r="D218" t="str">
        <f>IF($K218="","",INDEX(Конструктор!$E$2:$E$1212,$K218))</f>
        <v/>
      </c>
      <c r="E218" s="10" t="str">
        <f>IF($K218="","",INDEX(Конструктор!$H$2:$H$1212,$K218))</f>
        <v/>
      </c>
      <c r="F218" s="10" t="str">
        <f>IF($K218="","",INDEX(Конструктор!$L$2:$L$1212,$K218))</f>
        <v/>
      </c>
      <c r="G218" s="10" t="str">
        <f>IF($K218="","",INDEX(Конструктор!$M$2:$M$1212,$K218))</f>
        <v/>
      </c>
      <c r="H218" s="10" t="str">
        <f>IF($K218="","",INDEX(Конструктор!$N$2:$N$1212,$K218))</f>
        <v/>
      </c>
      <c r="I218" s="10" t="str">
        <f>IF($K218="","",INDEX(Конструктор!$O$2:$O$1212,$K218))</f>
        <v/>
      </c>
      <c r="J218" s="10" t="str">
        <f>IF($K218="","",INDEX(Конструктор!$P$2:$P$1212,$K218))</f>
        <v/>
      </c>
      <c r="K218" t="str">
        <f>IFERROR(MATCH(198,Конструктор!$T$2:$T$1212,0),"")</f>
        <v/>
      </c>
      <c r="L218" t="str">
        <f t="shared" si="3"/>
        <v/>
      </c>
    </row>
    <row r="219" spans="1:12" hidden="1" x14ac:dyDescent="0.3">
      <c r="A219" t="str">
        <f>IF($K219="","",199)</f>
        <v/>
      </c>
      <c r="B219" t="str">
        <f>IF($K219="","",INDEX(Конструктор!$C$2:$C$1212,$K219))</f>
        <v/>
      </c>
      <c r="C219" s="8" t="str">
        <f>IF($K219="","",INDEX(Конструктор!$D$2:$D$1212,$K219)&amp;IF(INDEX(Конструктор!$J$2:$J$1212,$K219)&lt;&gt;""," — "&amp;INDEX(Конструктор!$J$2:$J$1212,$K219),""))</f>
        <v/>
      </c>
      <c r="D219" t="str">
        <f>IF($K219="","",INDEX(Конструктор!$E$2:$E$1212,$K219))</f>
        <v/>
      </c>
      <c r="E219" s="10" t="str">
        <f>IF($K219="","",INDEX(Конструктор!$H$2:$H$1212,$K219))</f>
        <v/>
      </c>
      <c r="F219" s="10" t="str">
        <f>IF($K219="","",INDEX(Конструктор!$L$2:$L$1212,$K219))</f>
        <v/>
      </c>
      <c r="G219" s="10" t="str">
        <f>IF($K219="","",INDEX(Конструктор!$M$2:$M$1212,$K219))</f>
        <v/>
      </c>
      <c r="H219" s="10" t="str">
        <f>IF($K219="","",INDEX(Конструктор!$N$2:$N$1212,$K219))</f>
        <v/>
      </c>
      <c r="I219" s="10" t="str">
        <f>IF($K219="","",INDEX(Конструктор!$O$2:$O$1212,$K219))</f>
        <v/>
      </c>
      <c r="J219" s="10" t="str">
        <f>IF($K219="","",INDEX(Конструктор!$P$2:$P$1212,$K219))</f>
        <v/>
      </c>
      <c r="K219" t="str">
        <f>IFERROR(MATCH(199,Конструктор!$T$2:$T$1212,0),"")</f>
        <v/>
      </c>
      <c r="L219" t="str">
        <f t="shared" si="3"/>
        <v/>
      </c>
    </row>
    <row r="220" spans="1:12" hidden="1" x14ac:dyDescent="0.3">
      <c r="A220" t="str">
        <f>IF($K220="","",200)</f>
        <v/>
      </c>
      <c r="B220" t="str">
        <f>IF($K220="","",INDEX(Конструктор!$C$2:$C$1212,$K220))</f>
        <v/>
      </c>
      <c r="C220" s="8" t="str">
        <f>IF($K220="","",INDEX(Конструктор!$D$2:$D$1212,$K220)&amp;IF(INDEX(Конструктор!$J$2:$J$1212,$K220)&lt;&gt;""," — "&amp;INDEX(Конструктор!$J$2:$J$1212,$K220),""))</f>
        <v/>
      </c>
      <c r="D220" t="str">
        <f>IF($K220="","",INDEX(Конструктор!$E$2:$E$1212,$K220))</f>
        <v/>
      </c>
      <c r="E220" s="10" t="str">
        <f>IF($K220="","",INDEX(Конструктор!$H$2:$H$1212,$K220))</f>
        <v/>
      </c>
      <c r="F220" s="10" t="str">
        <f>IF($K220="","",INDEX(Конструктор!$L$2:$L$1212,$K220))</f>
        <v/>
      </c>
      <c r="G220" s="10" t="str">
        <f>IF($K220="","",INDEX(Конструктор!$M$2:$M$1212,$K220))</f>
        <v/>
      </c>
      <c r="H220" s="10" t="str">
        <f>IF($K220="","",INDEX(Конструктор!$N$2:$N$1212,$K220))</f>
        <v/>
      </c>
      <c r="I220" s="10" t="str">
        <f>IF($K220="","",INDEX(Конструктор!$O$2:$O$1212,$K220))</f>
        <v/>
      </c>
      <c r="J220" s="10" t="str">
        <f>IF($K220="","",INDEX(Конструктор!$P$2:$P$1212,$K220))</f>
        <v/>
      </c>
      <c r="K220" t="str">
        <f>IFERROR(MATCH(200,Конструктор!$T$2:$T$1212,0),"")</f>
        <v/>
      </c>
      <c r="L220" t="str">
        <f t="shared" si="3"/>
        <v/>
      </c>
    </row>
    <row r="221" spans="1:12" hidden="1" x14ac:dyDescent="0.3">
      <c r="A221" t="str">
        <f>IF($K221="","",201)</f>
        <v/>
      </c>
      <c r="B221" t="str">
        <f>IF($K221="","",INDEX(Конструктор!$C$2:$C$1212,$K221))</f>
        <v/>
      </c>
      <c r="C221" s="8" t="str">
        <f>IF($K221="","",INDEX(Конструктор!$D$2:$D$1212,$K221)&amp;IF(INDEX(Конструктор!$J$2:$J$1212,$K221)&lt;&gt;""," — "&amp;INDEX(Конструктор!$J$2:$J$1212,$K221),""))</f>
        <v/>
      </c>
      <c r="D221" t="str">
        <f>IF($K221="","",INDEX(Конструктор!$E$2:$E$1212,$K221))</f>
        <v/>
      </c>
      <c r="E221" s="10" t="str">
        <f>IF($K221="","",INDEX(Конструктор!$H$2:$H$1212,$K221))</f>
        <v/>
      </c>
      <c r="F221" s="10" t="str">
        <f>IF($K221="","",INDEX(Конструктор!$L$2:$L$1212,$K221))</f>
        <v/>
      </c>
      <c r="G221" s="10" t="str">
        <f>IF($K221="","",INDEX(Конструктор!$M$2:$M$1212,$K221))</f>
        <v/>
      </c>
      <c r="H221" s="10" t="str">
        <f>IF($K221="","",INDEX(Конструктор!$N$2:$N$1212,$K221))</f>
        <v/>
      </c>
      <c r="I221" s="10" t="str">
        <f>IF($K221="","",INDEX(Конструктор!$O$2:$O$1212,$K221))</f>
        <v/>
      </c>
      <c r="J221" s="10" t="str">
        <f>IF($K221="","",INDEX(Конструктор!$P$2:$P$1212,$K221))</f>
        <v/>
      </c>
      <c r="K221" t="str">
        <f>IFERROR(MATCH(201,Конструктор!$T$2:$T$1212,0),"")</f>
        <v/>
      </c>
      <c r="L221" t="str">
        <f t="shared" si="3"/>
        <v/>
      </c>
    </row>
    <row r="222" spans="1:12" hidden="1" x14ac:dyDescent="0.3">
      <c r="A222" t="str">
        <f>IF($K222="","",202)</f>
        <v/>
      </c>
      <c r="B222" t="str">
        <f>IF($K222="","",INDEX(Конструктор!$C$2:$C$1212,$K222))</f>
        <v/>
      </c>
      <c r="C222" s="8" t="str">
        <f>IF($K222="","",INDEX(Конструктор!$D$2:$D$1212,$K222)&amp;IF(INDEX(Конструктор!$J$2:$J$1212,$K222)&lt;&gt;""," — "&amp;INDEX(Конструктор!$J$2:$J$1212,$K222),""))</f>
        <v/>
      </c>
      <c r="D222" t="str">
        <f>IF($K222="","",INDEX(Конструктор!$E$2:$E$1212,$K222))</f>
        <v/>
      </c>
      <c r="E222" s="10" t="str">
        <f>IF($K222="","",INDEX(Конструктор!$H$2:$H$1212,$K222))</f>
        <v/>
      </c>
      <c r="F222" s="10" t="str">
        <f>IF($K222="","",INDEX(Конструктор!$L$2:$L$1212,$K222))</f>
        <v/>
      </c>
      <c r="G222" s="10" t="str">
        <f>IF($K222="","",INDEX(Конструктор!$M$2:$M$1212,$K222))</f>
        <v/>
      </c>
      <c r="H222" s="10" t="str">
        <f>IF($K222="","",INDEX(Конструктор!$N$2:$N$1212,$K222))</f>
        <v/>
      </c>
      <c r="I222" s="10" t="str">
        <f>IF($K222="","",INDEX(Конструктор!$O$2:$O$1212,$K222))</f>
        <v/>
      </c>
      <c r="J222" s="10" t="str">
        <f>IF($K222="","",INDEX(Конструктор!$P$2:$P$1212,$K222))</f>
        <v/>
      </c>
      <c r="K222" t="str">
        <f>IFERROR(MATCH(202,Конструктор!$T$2:$T$1212,0),"")</f>
        <v/>
      </c>
      <c r="L222" t="str">
        <f t="shared" si="3"/>
        <v/>
      </c>
    </row>
    <row r="223" spans="1:12" hidden="1" x14ac:dyDescent="0.3">
      <c r="A223" t="str">
        <f>IF($K223="","",203)</f>
        <v/>
      </c>
      <c r="B223" t="str">
        <f>IF($K223="","",INDEX(Конструктор!$C$2:$C$1212,$K223))</f>
        <v/>
      </c>
      <c r="C223" s="8" t="str">
        <f>IF($K223="","",INDEX(Конструктор!$D$2:$D$1212,$K223)&amp;IF(INDEX(Конструктор!$J$2:$J$1212,$K223)&lt;&gt;""," — "&amp;INDEX(Конструктор!$J$2:$J$1212,$K223),""))</f>
        <v/>
      </c>
      <c r="D223" t="str">
        <f>IF($K223="","",INDEX(Конструктор!$E$2:$E$1212,$K223))</f>
        <v/>
      </c>
      <c r="E223" s="10" t="str">
        <f>IF($K223="","",INDEX(Конструктор!$H$2:$H$1212,$K223))</f>
        <v/>
      </c>
      <c r="F223" s="10" t="str">
        <f>IF($K223="","",INDEX(Конструктор!$L$2:$L$1212,$K223))</f>
        <v/>
      </c>
      <c r="G223" s="10" t="str">
        <f>IF($K223="","",INDEX(Конструктор!$M$2:$M$1212,$K223))</f>
        <v/>
      </c>
      <c r="H223" s="10" t="str">
        <f>IF($K223="","",INDEX(Конструктор!$N$2:$N$1212,$K223))</f>
        <v/>
      </c>
      <c r="I223" s="10" t="str">
        <f>IF($K223="","",INDEX(Конструктор!$O$2:$O$1212,$K223))</f>
        <v/>
      </c>
      <c r="J223" s="10" t="str">
        <f>IF($K223="","",INDEX(Конструктор!$P$2:$P$1212,$K223))</f>
        <v/>
      </c>
      <c r="K223" t="str">
        <f>IFERROR(MATCH(203,Конструктор!$T$2:$T$1212,0),"")</f>
        <v/>
      </c>
      <c r="L223" t="str">
        <f t="shared" si="3"/>
        <v/>
      </c>
    </row>
    <row r="224" spans="1:12" hidden="1" x14ac:dyDescent="0.3">
      <c r="A224" t="str">
        <f>IF($K224="","",204)</f>
        <v/>
      </c>
      <c r="B224" t="str">
        <f>IF($K224="","",INDEX(Конструктор!$C$2:$C$1212,$K224))</f>
        <v/>
      </c>
      <c r="C224" s="8" t="str">
        <f>IF($K224="","",INDEX(Конструктор!$D$2:$D$1212,$K224)&amp;IF(INDEX(Конструктор!$J$2:$J$1212,$K224)&lt;&gt;""," — "&amp;INDEX(Конструктор!$J$2:$J$1212,$K224),""))</f>
        <v/>
      </c>
      <c r="D224" t="str">
        <f>IF($K224="","",INDEX(Конструктор!$E$2:$E$1212,$K224))</f>
        <v/>
      </c>
      <c r="E224" s="10" t="str">
        <f>IF($K224="","",INDEX(Конструктор!$H$2:$H$1212,$K224))</f>
        <v/>
      </c>
      <c r="F224" s="10" t="str">
        <f>IF($K224="","",INDEX(Конструктор!$L$2:$L$1212,$K224))</f>
        <v/>
      </c>
      <c r="G224" s="10" t="str">
        <f>IF($K224="","",INDEX(Конструктор!$M$2:$M$1212,$K224))</f>
        <v/>
      </c>
      <c r="H224" s="10" t="str">
        <f>IF($K224="","",INDEX(Конструктор!$N$2:$N$1212,$K224))</f>
        <v/>
      </c>
      <c r="I224" s="10" t="str">
        <f>IF($K224="","",INDEX(Конструктор!$O$2:$O$1212,$K224))</f>
        <v/>
      </c>
      <c r="J224" s="10" t="str">
        <f>IF($K224="","",INDEX(Конструктор!$P$2:$P$1212,$K224))</f>
        <v/>
      </c>
      <c r="K224" t="str">
        <f>IFERROR(MATCH(204,Конструктор!$T$2:$T$1212,0),"")</f>
        <v/>
      </c>
      <c r="L224" t="str">
        <f t="shared" si="3"/>
        <v/>
      </c>
    </row>
    <row r="225" spans="1:12" hidden="1" x14ac:dyDescent="0.3">
      <c r="A225" t="str">
        <f>IF($K225="","",205)</f>
        <v/>
      </c>
      <c r="B225" t="str">
        <f>IF($K225="","",INDEX(Конструктор!$C$2:$C$1212,$K225))</f>
        <v/>
      </c>
      <c r="C225" s="8" t="str">
        <f>IF($K225="","",INDEX(Конструктор!$D$2:$D$1212,$K225)&amp;IF(INDEX(Конструктор!$J$2:$J$1212,$K225)&lt;&gt;""," — "&amp;INDEX(Конструктор!$J$2:$J$1212,$K225),""))</f>
        <v/>
      </c>
      <c r="D225" t="str">
        <f>IF($K225="","",INDEX(Конструктор!$E$2:$E$1212,$K225))</f>
        <v/>
      </c>
      <c r="E225" s="10" t="str">
        <f>IF($K225="","",INDEX(Конструктор!$H$2:$H$1212,$K225))</f>
        <v/>
      </c>
      <c r="F225" s="10" t="str">
        <f>IF($K225="","",INDEX(Конструктор!$L$2:$L$1212,$K225))</f>
        <v/>
      </c>
      <c r="G225" s="10" t="str">
        <f>IF($K225="","",INDEX(Конструктор!$M$2:$M$1212,$K225))</f>
        <v/>
      </c>
      <c r="H225" s="10" t="str">
        <f>IF($K225="","",INDEX(Конструктор!$N$2:$N$1212,$K225))</f>
        <v/>
      </c>
      <c r="I225" s="10" t="str">
        <f>IF($K225="","",INDEX(Конструктор!$O$2:$O$1212,$K225))</f>
        <v/>
      </c>
      <c r="J225" s="10" t="str">
        <f>IF($K225="","",INDEX(Конструктор!$P$2:$P$1212,$K225))</f>
        <v/>
      </c>
      <c r="K225" t="str">
        <f>IFERROR(MATCH(205,Конструктор!$T$2:$T$1212,0),"")</f>
        <v/>
      </c>
      <c r="L225" t="str">
        <f t="shared" si="3"/>
        <v/>
      </c>
    </row>
    <row r="226" spans="1:12" hidden="1" x14ac:dyDescent="0.3">
      <c r="A226" t="str">
        <f>IF($K226="","",206)</f>
        <v/>
      </c>
      <c r="B226" t="str">
        <f>IF($K226="","",INDEX(Конструктор!$C$2:$C$1212,$K226))</f>
        <v/>
      </c>
      <c r="C226" s="8" t="str">
        <f>IF($K226="","",INDEX(Конструктор!$D$2:$D$1212,$K226)&amp;IF(INDEX(Конструктор!$J$2:$J$1212,$K226)&lt;&gt;""," — "&amp;INDEX(Конструктор!$J$2:$J$1212,$K226),""))</f>
        <v/>
      </c>
      <c r="D226" t="str">
        <f>IF($K226="","",INDEX(Конструктор!$E$2:$E$1212,$K226))</f>
        <v/>
      </c>
      <c r="E226" s="10" t="str">
        <f>IF($K226="","",INDEX(Конструктор!$H$2:$H$1212,$K226))</f>
        <v/>
      </c>
      <c r="F226" s="10" t="str">
        <f>IF($K226="","",INDEX(Конструктор!$L$2:$L$1212,$K226))</f>
        <v/>
      </c>
      <c r="G226" s="10" t="str">
        <f>IF($K226="","",INDEX(Конструктор!$M$2:$M$1212,$K226))</f>
        <v/>
      </c>
      <c r="H226" s="10" t="str">
        <f>IF($K226="","",INDEX(Конструктор!$N$2:$N$1212,$K226))</f>
        <v/>
      </c>
      <c r="I226" s="10" t="str">
        <f>IF($K226="","",INDEX(Конструктор!$O$2:$O$1212,$K226))</f>
        <v/>
      </c>
      <c r="J226" s="10" t="str">
        <f>IF($K226="","",INDEX(Конструктор!$P$2:$P$1212,$K226))</f>
        <v/>
      </c>
      <c r="K226" t="str">
        <f>IFERROR(MATCH(206,Конструктор!$T$2:$T$1212,0),"")</f>
        <v/>
      </c>
      <c r="L226" t="str">
        <f t="shared" si="3"/>
        <v/>
      </c>
    </row>
    <row r="227" spans="1:12" hidden="1" x14ac:dyDescent="0.3">
      <c r="A227" t="str">
        <f>IF($K227="","",207)</f>
        <v/>
      </c>
      <c r="B227" t="str">
        <f>IF($K227="","",INDEX(Конструктор!$C$2:$C$1212,$K227))</f>
        <v/>
      </c>
      <c r="C227" s="8" t="str">
        <f>IF($K227="","",INDEX(Конструктор!$D$2:$D$1212,$K227)&amp;IF(INDEX(Конструктор!$J$2:$J$1212,$K227)&lt;&gt;""," — "&amp;INDEX(Конструктор!$J$2:$J$1212,$K227),""))</f>
        <v/>
      </c>
      <c r="D227" t="str">
        <f>IF($K227="","",INDEX(Конструктор!$E$2:$E$1212,$K227))</f>
        <v/>
      </c>
      <c r="E227" s="10" t="str">
        <f>IF($K227="","",INDEX(Конструктор!$H$2:$H$1212,$K227))</f>
        <v/>
      </c>
      <c r="F227" s="10" t="str">
        <f>IF($K227="","",INDEX(Конструктор!$L$2:$L$1212,$K227))</f>
        <v/>
      </c>
      <c r="G227" s="10" t="str">
        <f>IF($K227="","",INDEX(Конструктор!$M$2:$M$1212,$K227))</f>
        <v/>
      </c>
      <c r="H227" s="10" t="str">
        <f>IF($K227="","",INDEX(Конструктор!$N$2:$N$1212,$K227))</f>
        <v/>
      </c>
      <c r="I227" s="10" t="str">
        <f>IF($K227="","",INDEX(Конструктор!$O$2:$O$1212,$K227))</f>
        <v/>
      </c>
      <c r="J227" s="10" t="str">
        <f>IF($K227="","",INDEX(Конструктор!$P$2:$P$1212,$K227))</f>
        <v/>
      </c>
      <c r="K227" t="str">
        <f>IFERROR(MATCH(207,Конструктор!$T$2:$T$1212,0),"")</f>
        <v/>
      </c>
      <c r="L227" t="str">
        <f t="shared" si="3"/>
        <v/>
      </c>
    </row>
    <row r="228" spans="1:12" hidden="1" x14ac:dyDescent="0.3">
      <c r="A228" t="str">
        <f>IF($K228="","",208)</f>
        <v/>
      </c>
      <c r="B228" t="str">
        <f>IF($K228="","",INDEX(Конструктор!$C$2:$C$1212,$K228))</f>
        <v/>
      </c>
      <c r="C228" s="8" t="str">
        <f>IF($K228="","",INDEX(Конструктор!$D$2:$D$1212,$K228)&amp;IF(INDEX(Конструктор!$J$2:$J$1212,$K228)&lt;&gt;""," — "&amp;INDEX(Конструктор!$J$2:$J$1212,$K228),""))</f>
        <v/>
      </c>
      <c r="D228" t="str">
        <f>IF($K228="","",INDEX(Конструктор!$E$2:$E$1212,$K228))</f>
        <v/>
      </c>
      <c r="E228" s="10" t="str">
        <f>IF($K228="","",INDEX(Конструктор!$H$2:$H$1212,$K228))</f>
        <v/>
      </c>
      <c r="F228" s="10" t="str">
        <f>IF($K228="","",INDEX(Конструктор!$L$2:$L$1212,$K228))</f>
        <v/>
      </c>
      <c r="G228" s="10" t="str">
        <f>IF($K228="","",INDEX(Конструктор!$M$2:$M$1212,$K228))</f>
        <v/>
      </c>
      <c r="H228" s="10" t="str">
        <f>IF($K228="","",INDEX(Конструктор!$N$2:$N$1212,$K228))</f>
        <v/>
      </c>
      <c r="I228" s="10" t="str">
        <f>IF($K228="","",INDEX(Конструктор!$O$2:$O$1212,$K228))</f>
        <v/>
      </c>
      <c r="J228" s="10" t="str">
        <f>IF($K228="","",INDEX(Конструктор!$P$2:$P$1212,$K228))</f>
        <v/>
      </c>
      <c r="K228" t="str">
        <f>IFERROR(MATCH(208,Конструктор!$T$2:$T$1212,0),"")</f>
        <v/>
      </c>
      <c r="L228" t="str">
        <f t="shared" si="3"/>
        <v/>
      </c>
    </row>
    <row r="229" spans="1:12" hidden="1" x14ac:dyDescent="0.3">
      <c r="A229" t="str">
        <f>IF($K229="","",209)</f>
        <v/>
      </c>
      <c r="B229" t="str">
        <f>IF($K229="","",INDEX(Конструктор!$C$2:$C$1212,$K229))</f>
        <v/>
      </c>
      <c r="C229" s="8" t="str">
        <f>IF($K229="","",INDEX(Конструктор!$D$2:$D$1212,$K229)&amp;IF(INDEX(Конструктор!$J$2:$J$1212,$K229)&lt;&gt;""," — "&amp;INDEX(Конструктор!$J$2:$J$1212,$K229),""))</f>
        <v/>
      </c>
      <c r="D229" t="str">
        <f>IF($K229="","",INDEX(Конструктор!$E$2:$E$1212,$K229))</f>
        <v/>
      </c>
      <c r="E229" s="10" t="str">
        <f>IF($K229="","",INDEX(Конструктор!$H$2:$H$1212,$K229))</f>
        <v/>
      </c>
      <c r="F229" s="10" t="str">
        <f>IF($K229="","",INDEX(Конструктор!$L$2:$L$1212,$K229))</f>
        <v/>
      </c>
      <c r="G229" s="10" t="str">
        <f>IF($K229="","",INDEX(Конструктор!$M$2:$M$1212,$K229))</f>
        <v/>
      </c>
      <c r="H229" s="10" t="str">
        <f>IF($K229="","",INDEX(Конструктор!$N$2:$N$1212,$K229))</f>
        <v/>
      </c>
      <c r="I229" s="10" t="str">
        <f>IF($K229="","",INDEX(Конструктор!$O$2:$O$1212,$K229))</f>
        <v/>
      </c>
      <c r="J229" s="10" t="str">
        <f>IF($K229="","",INDEX(Конструктор!$P$2:$P$1212,$K229))</f>
        <v/>
      </c>
      <c r="K229" t="str">
        <f>IFERROR(MATCH(209,Конструктор!$T$2:$T$1212,0),"")</f>
        <v/>
      </c>
      <c r="L229" t="str">
        <f t="shared" si="3"/>
        <v/>
      </c>
    </row>
    <row r="230" spans="1:12" hidden="1" x14ac:dyDescent="0.3">
      <c r="A230" t="str">
        <f>IF($K230="","",210)</f>
        <v/>
      </c>
      <c r="B230" t="str">
        <f>IF($K230="","",INDEX(Конструктор!$C$2:$C$1212,$K230))</f>
        <v/>
      </c>
      <c r="C230" s="8" t="str">
        <f>IF($K230="","",INDEX(Конструктор!$D$2:$D$1212,$K230)&amp;IF(INDEX(Конструктор!$J$2:$J$1212,$K230)&lt;&gt;""," — "&amp;INDEX(Конструктор!$J$2:$J$1212,$K230),""))</f>
        <v/>
      </c>
      <c r="D230" t="str">
        <f>IF($K230="","",INDEX(Конструктор!$E$2:$E$1212,$K230))</f>
        <v/>
      </c>
      <c r="E230" s="10" t="str">
        <f>IF($K230="","",INDEX(Конструктор!$H$2:$H$1212,$K230))</f>
        <v/>
      </c>
      <c r="F230" s="10" t="str">
        <f>IF($K230="","",INDEX(Конструктор!$L$2:$L$1212,$K230))</f>
        <v/>
      </c>
      <c r="G230" s="10" t="str">
        <f>IF($K230="","",INDEX(Конструктор!$M$2:$M$1212,$K230))</f>
        <v/>
      </c>
      <c r="H230" s="10" t="str">
        <f>IF($K230="","",INDEX(Конструктор!$N$2:$N$1212,$K230))</f>
        <v/>
      </c>
      <c r="I230" s="10" t="str">
        <f>IF($K230="","",INDEX(Конструктор!$O$2:$O$1212,$K230))</f>
        <v/>
      </c>
      <c r="J230" s="10" t="str">
        <f>IF($K230="","",INDEX(Конструктор!$P$2:$P$1212,$K230))</f>
        <v/>
      </c>
      <c r="K230" t="str">
        <f>IFERROR(MATCH(210,Конструктор!$T$2:$T$1212,0),"")</f>
        <v/>
      </c>
      <c r="L230" t="str">
        <f t="shared" si="3"/>
        <v/>
      </c>
    </row>
    <row r="231" spans="1:12" hidden="1" x14ac:dyDescent="0.3">
      <c r="A231" t="str">
        <f>IF($K231="","",211)</f>
        <v/>
      </c>
      <c r="B231" t="str">
        <f>IF($K231="","",INDEX(Конструктор!$C$2:$C$1212,$K231))</f>
        <v/>
      </c>
      <c r="C231" s="8" t="str">
        <f>IF($K231="","",INDEX(Конструктор!$D$2:$D$1212,$K231)&amp;IF(INDEX(Конструктор!$J$2:$J$1212,$K231)&lt;&gt;""," — "&amp;INDEX(Конструктор!$J$2:$J$1212,$K231),""))</f>
        <v/>
      </c>
      <c r="D231" t="str">
        <f>IF($K231="","",INDEX(Конструктор!$E$2:$E$1212,$K231))</f>
        <v/>
      </c>
      <c r="E231" s="10" t="str">
        <f>IF($K231="","",INDEX(Конструктор!$H$2:$H$1212,$K231))</f>
        <v/>
      </c>
      <c r="F231" s="10" t="str">
        <f>IF($K231="","",INDEX(Конструктор!$L$2:$L$1212,$K231))</f>
        <v/>
      </c>
      <c r="G231" s="10" t="str">
        <f>IF($K231="","",INDEX(Конструктор!$M$2:$M$1212,$K231))</f>
        <v/>
      </c>
      <c r="H231" s="10" t="str">
        <f>IF($K231="","",INDEX(Конструктор!$N$2:$N$1212,$K231))</f>
        <v/>
      </c>
      <c r="I231" s="10" t="str">
        <f>IF($K231="","",INDEX(Конструктор!$O$2:$O$1212,$K231))</f>
        <v/>
      </c>
      <c r="J231" s="10" t="str">
        <f>IF($K231="","",INDEX(Конструктор!$P$2:$P$1212,$K231))</f>
        <v/>
      </c>
      <c r="K231" t="str">
        <f>IFERROR(MATCH(211,Конструктор!$T$2:$T$1212,0),"")</f>
        <v/>
      </c>
      <c r="L231" t="str">
        <f t="shared" si="3"/>
        <v/>
      </c>
    </row>
    <row r="232" spans="1:12" hidden="1" x14ac:dyDescent="0.3">
      <c r="A232" t="str">
        <f>IF($K232="","",212)</f>
        <v/>
      </c>
      <c r="B232" t="str">
        <f>IF($K232="","",INDEX(Конструктор!$C$2:$C$1212,$K232))</f>
        <v/>
      </c>
      <c r="C232" s="8" t="str">
        <f>IF($K232="","",INDEX(Конструктор!$D$2:$D$1212,$K232)&amp;IF(INDEX(Конструктор!$J$2:$J$1212,$K232)&lt;&gt;""," — "&amp;INDEX(Конструктор!$J$2:$J$1212,$K232),""))</f>
        <v/>
      </c>
      <c r="D232" t="str">
        <f>IF($K232="","",INDEX(Конструктор!$E$2:$E$1212,$K232))</f>
        <v/>
      </c>
      <c r="E232" s="10" t="str">
        <f>IF($K232="","",INDEX(Конструктор!$H$2:$H$1212,$K232))</f>
        <v/>
      </c>
      <c r="F232" s="10" t="str">
        <f>IF($K232="","",INDEX(Конструктор!$L$2:$L$1212,$K232))</f>
        <v/>
      </c>
      <c r="G232" s="10" t="str">
        <f>IF($K232="","",INDEX(Конструктор!$M$2:$M$1212,$K232))</f>
        <v/>
      </c>
      <c r="H232" s="10" t="str">
        <f>IF($K232="","",INDEX(Конструктор!$N$2:$N$1212,$K232))</f>
        <v/>
      </c>
      <c r="I232" s="10" t="str">
        <f>IF($K232="","",INDEX(Конструктор!$O$2:$O$1212,$K232))</f>
        <v/>
      </c>
      <c r="J232" s="10" t="str">
        <f>IF($K232="","",INDEX(Конструктор!$P$2:$P$1212,$K232))</f>
        <v/>
      </c>
      <c r="K232" t="str">
        <f>IFERROR(MATCH(212,Конструктор!$T$2:$T$1212,0),"")</f>
        <v/>
      </c>
      <c r="L232" t="str">
        <f t="shared" si="3"/>
        <v/>
      </c>
    </row>
    <row r="233" spans="1:12" hidden="1" x14ac:dyDescent="0.3">
      <c r="A233" t="str">
        <f>IF($K233="","",213)</f>
        <v/>
      </c>
      <c r="B233" t="str">
        <f>IF($K233="","",INDEX(Конструктор!$C$2:$C$1212,$K233))</f>
        <v/>
      </c>
      <c r="C233" s="8" t="str">
        <f>IF($K233="","",INDEX(Конструктор!$D$2:$D$1212,$K233)&amp;IF(INDEX(Конструктор!$J$2:$J$1212,$K233)&lt;&gt;""," — "&amp;INDEX(Конструктор!$J$2:$J$1212,$K233),""))</f>
        <v/>
      </c>
      <c r="D233" t="str">
        <f>IF($K233="","",INDEX(Конструктор!$E$2:$E$1212,$K233))</f>
        <v/>
      </c>
      <c r="E233" s="10" t="str">
        <f>IF($K233="","",INDEX(Конструктор!$H$2:$H$1212,$K233))</f>
        <v/>
      </c>
      <c r="F233" s="10" t="str">
        <f>IF($K233="","",INDEX(Конструктор!$L$2:$L$1212,$K233))</f>
        <v/>
      </c>
      <c r="G233" s="10" t="str">
        <f>IF($K233="","",INDEX(Конструктор!$M$2:$M$1212,$K233))</f>
        <v/>
      </c>
      <c r="H233" s="10" t="str">
        <f>IF($K233="","",INDEX(Конструктор!$N$2:$N$1212,$K233))</f>
        <v/>
      </c>
      <c r="I233" s="10" t="str">
        <f>IF($K233="","",INDEX(Конструктор!$O$2:$O$1212,$K233))</f>
        <v/>
      </c>
      <c r="J233" s="10" t="str">
        <f>IF($K233="","",INDEX(Конструктор!$P$2:$P$1212,$K233))</f>
        <v/>
      </c>
      <c r="K233" t="str">
        <f>IFERROR(MATCH(213,Конструктор!$T$2:$T$1212,0),"")</f>
        <v/>
      </c>
      <c r="L233" t="str">
        <f t="shared" si="3"/>
        <v/>
      </c>
    </row>
    <row r="234" spans="1:12" hidden="1" x14ac:dyDescent="0.3">
      <c r="A234" t="str">
        <f>IF($K234="","",214)</f>
        <v/>
      </c>
      <c r="B234" t="str">
        <f>IF($K234="","",INDEX(Конструктор!$C$2:$C$1212,$K234))</f>
        <v/>
      </c>
      <c r="C234" s="8" t="str">
        <f>IF($K234="","",INDEX(Конструктор!$D$2:$D$1212,$K234)&amp;IF(INDEX(Конструктор!$J$2:$J$1212,$K234)&lt;&gt;""," — "&amp;INDEX(Конструктор!$J$2:$J$1212,$K234),""))</f>
        <v/>
      </c>
      <c r="D234" t="str">
        <f>IF($K234="","",INDEX(Конструктор!$E$2:$E$1212,$K234))</f>
        <v/>
      </c>
      <c r="E234" s="10" t="str">
        <f>IF($K234="","",INDEX(Конструктор!$H$2:$H$1212,$K234))</f>
        <v/>
      </c>
      <c r="F234" s="10" t="str">
        <f>IF($K234="","",INDEX(Конструктор!$L$2:$L$1212,$K234))</f>
        <v/>
      </c>
      <c r="G234" s="10" t="str">
        <f>IF($K234="","",INDEX(Конструктор!$M$2:$M$1212,$K234))</f>
        <v/>
      </c>
      <c r="H234" s="10" t="str">
        <f>IF($K234="","",INDEX(Конструктор!$N$2:$N$1212,$K234))</f>
        <v/>
      </c>
      <c r="I234" s="10" t="str">
        <f>IF($K234="","",INDEX(Конструктор!$O$2:$O$1212,$K234))</f>
        <v/>
      </c>
      <c r="J234" s="10" t="str">
        <f>IF($K234="","",INDEX(Конструктор!$P$2:$P$1212,$K234))</f>
        <v/>
      </c>
      <c r="K234" t="str">
        <f>IFERROR(MATCH(214,Конструктор!$T$2:$T$1212,0),"")</f>
        <v/>
      </c>
      <c r="L234" t="str">
        <f t="shared" si="3"/>
        <v/>
      </c>
    </row>
    <row r="235" spans="1:12" hidden="1" x14ac:dyDescent="0.3">
      <c r="A235" t="str">
        <f>IF($K235="","",215)</f>
        <v/>
      </c>
      <c r="B235" t="str">
        <f>IF($K235="","",INDEX(Конструктор!$C$2:$C$1212,$K235))</f>
        <v/>
      </c>
      <c r="C235" s="8" t="str">
        <f>IF($K235="","",INDEX(Конструктор!$D$2:$D$1212,$K235)&amp;IF(INDEX(Конструктор!$J$2:$J$1212,$K235)&lt;&gt;""," — "&amp;INDEX(Конструктор!$J$2:$J$1212,$K235),""))</f>
        <v/>
      </c>
      <c r="D235" t="str">
        <f>IF($K235="","",INDEX(Конструктор!$E$2:$E$1212,$K235))</f>
        <v/>
      </c>
      <c r="E235" s="10" t="str">
        <f>IF($K235="","",INDEX(Конструктор!$H$2:$H$1212,$K235))</f>
        <v/>
      </c>
      <c r="F235" s="10" t="str">
        <f>IF($K235="","",INDEX(Конструктор!$L$2:$L$1212,$K235))</f>
        <v/>
      </c>
      <c r="G235" s="10" t="str">
        <f>IF($K235="","",INDEX(Конструктор!$M$2:$M$1212,$K235))</f>
        <v/>
      </c>
      <c r="H235" s="10" t="str">
        <f>IF($K235="","",INDEX(Конструктор!$N$2:$N$1212,$K235))</f>
        <v/>
      </c>
      <c r="I235" s="10" t="str">
        <f>IF($K235="","",INDEX(Конструктор!$O$2:$O$1212,$K235))</f>
        <v/>
      </c>
      <c r="J235" s="10" t="str">
        <f>IF($K235="","",INDEX(Конструктор!$P$2:$P$1212,$K235))</f>
        <v/>
      </c>
      <c r="K235" t="str">
        <f>IFERROR(MATCH(215,Конструктор!$T$2:$T$1212,0),"")</f>
        <v/>
      </c>
      <c r="L235" t="str">
        <f t="shared" si="3"/>
        <v/>
      </c>
    </row>
    <row r="236" spans="1:12" hidden="1" x14ac:dyDescent="0.3">
      <c r="A236" t="str">
        <f>IF($K236="","",216)</f>
        <v/>
      </c>
      <c r="B236" t="str">
        <f>IF($K236="","",INDEX(Конструктор!$C$2:$C$1212,$K236))</f>
        <v/>
      </c>
      <c r="C236" s="8" t="str">
        <f>IF($K236="","",INDEX(Конструктор!$D$2:$D$1212,$K236)&amp;IF(INDEX(Конструктор!$J$2:$J$1212,$K236)&lt;&gt;""," — "&amp;INDEX(Конструктор!$J$2:$J$1212,$K236),""))</f>
        <v/>
      </c>
      <c r="D236" t="str">
        <f>IF($K236="","",INDEX(Конструктор!$E$2:$E$1212,$K236))</f>
        <v/>
      </c>
      <c r="E236" s="10" t="str">
        <f>IF($K236="","",INDEX(Конструктор!$H$2:$H$1212,$K236))</f>
        <v/>
      </c>
      <c r="F236" s="10" t="str">
        <f>IF($K236="","",INDEX(Конструктор!$L$2:$L$1212,$K236))</f>
        <v/>
      </c>
      <c r="G236" s="10" t="str">
        <f>IF($K236="","",INDEX(Конструктор!$M$2:$M$1212,$K236))</f>
        <v/>
      </c>
      <c r="H236" s="10" t="str">
        <f>IF($K236="","",INDEX(Конструктор!$N$2:$N$1212,$K236))</f>
        <v/>
      </c>
      <c r="I236" s="10" t="str">
        <f>IF($K236="","",INDEX(Конструктор!$O$2:$O$1212,$K236))</f>
        <v/>
      </c>
      <c r="J236" s="10" t="str">
        <f>IF($K236="","",INDEX(Конструктор!$P$2:$P$1212,$K236))</f>
        <v/>
      </c>
      <c r="K236" t="str">
        <f>IFERROR(MATCH(216,Конструктор!$T$2:$T$1212,0),"")</f>
        <v/>
      </c>
      <c r="L236" t="str">
        <f t="shared" si="3"/>
        <v/>
      </c>
    </row>
    <row r="237" spans="1:12" hidden="1" x14ac:dyDescent="0.3">
      <c r="A237" t="str">
        <f>IF($K237="","",217)</f>
        <v/>
      </c>
      <c r="B237" t="str">
        <f>IF($K237="","",INDEX(Конструктор!$C$2:$C$1212,$K237))</f>
        <v/>
      </c>
      <c r="C237" s="8" t="str">
        <f>IF($K237="","",INDEX(Конструктор!$D$2:$D$1212,$K237)&amp;IF(INDEX(Конструктор!$J$2:$J$1212,$K237)&lt;&gt;""," — "&amp;INDEX(Конструктор!$J$2:$J$1212,$K237),""))</f>
        <v/>
      </c>
      <c r="D237" t="str">
        <f>IF($K237="","",INDEX(Конструктор!$E$2:$E$1212,$K237))</f>
        <v/>
      </c>
      <c r="E237" s="10" t="str">
        <f>IF($K237="","",INDEX(Конструктор!$H$2:$H$1212,$K237))</f>
        <v/>
      </c>
      <c r="F237" s="10" t="str">
        <f>IF($K237="","",INDEX(Конструктор!$L$2:$L$1212,$K237))</f>
        <v/>
      </c>
      <c r="G237" s="10" t="str">
        <f>IF($K237="","",INDEX(Конструктор!$M$2:$M$1212,$K237))</f>
        <v/>
      </c>
      <c r="H237" s="10" t="str">
        <f>IF($K237="","",INDEX(Конструктор!$N$2:$N$1212,$K237))</f>
        <v/>
      </c>
      <c r="I237" s="10" t="str">
        <f>IF($K237="","",INDEX(Конструктор!$O$2:$O$1212,$K237))</f>
        <v/>
      </c>
      <c r="J237" s="10" t="str">
        <f>IF($K237="","",INDEX(Конструктор!$P$2:$P$1212,$K237))</f>
        <v/>
      </c>
      <c r="K237" t="str">
        <f>IFERROR(MATCH(217,Конструктор!$T$2:$T$1212,0),"")</f>
        <v/>
      </c>
      <c r="L237" t="str">
        <f t="shared" si="3"/>
        <v/>
      </c>
    </row>
    <row r="238" spans="1:12" hidden="1" x14ac:dyDescent="0.3">
      <c r="A238" t="str">
        <f>IF($K238="","",218)</f>
        <v/>
      </c>
      <c r="B238" t="str">
        <f>IF($K238="","",INDEX(Конструктор!$C$2:$C$1212,$K238))</f>
        <v/>
      </c>
      <c r="C238" s="8" t="str">
        <f>IF($K238="","",INDEX(Конструктор!$D$2:$D$1212,$K238)&amp;IF(INDEX(Конструктор!$J$2:$J$1212,$K238)&lt;&gt;""," — "&amp;INDEX(Конструктор!$J$2:$J$1212,$K238),""))</f>
        <v/>
      </c>
      <c r="D238" t="str">
        <f>IF($K238="","",INDEX(Конструктор!$E$2:$E$1212,$K238))</f>
        <v/>
      </c>
      <c r="E238" s="10" t="str">
        <f>IF($K238="","",INDEX(Конструктор!$H$2:$H$1212,$K238))</f>
        <v/>
      </c>
      <c r="F238" s="10" t="str">
        <f>IF($K238="","",INDEX(Конструктор!$L$2:$L$1212,$K238))</f>
        <v/>
      </c>
      <c r="G238" s="10" t="str">
        <f>IF($K238="","",INDEX(Конструктор!$M$2:$M$1212,$K238))</f>
        <v/>
      </c>
      <c r="H238" s="10" t="str">
        <f>IF($K238="","",INDEX(Конструктор!$N$2:$N$1212,$K238))</f>
        <v/>
      </c>
      <c r="I238" s="10" t="str">
        <f>IF($K238="","",INDEX(Конструктор!$O$2:$O$1212,$K238))</f>
        <v/>
      </c>
      <c r="J238" s="10" t="str">
        <f>IF($K238="","",INDEX(Конструктор!$P$2:$P$1212,$K238))</f>
        <v/>
      </c>
      <c r="K238" t="str">
        <f>IFERROR(MATCH(218,Конструктор!$T$2:$T$1212,0),"")</f>
        <v/>
      </c>
      <c r="L238" t="str">
        <f t="shared" si="3"/>
        <v/>
      </c>
    </row>
    <row r="239" spans="1:12" hidden="1" x14ac:dyDescent="0.3">
      <c r="A239" t="str">
        <f>IF($K239="","",219)</f>
        <v/>
      </c>
      <c r="B239" t="str">
        <f>IF($K239="","",INDEX(Конструктор!$C$2:$C$1212,$K239))</f>
        <v/>
      </c>
      <c r="C239" s="8" t="str">
        <f>IF($K239="","",INDEX(Конструктор!$D$2:$D$1212,$K239)&amp;IF(INDEX(Конструктор!$J$2:$J$1212,$K239)&lt;&gt;""," — "&amp;INDEX(Конструктор!$J$2:$J$1212,$K239),""))</f>
        <v/>
      </c>
      <c r="D239" t="str">
        <f>IF($K239="","",INDEX(Конструктор!$E$2:$E$1212,$K239))</f>
        <v/>
      </c>
      <c r="E239" s="10" t="str">
        <f>IF($K239="","",INDEX(Конструктор!$H$2:$H$1212,$K239))</f>
        <v/>
      </c>
      <c r="F239" s="10" t="str">
        <f>IF($K239="","",INDEX(Конструктор!$L$2:$L$1212,$K239))</f>
        <v/>
      </c>
      <c r="G239" s="10" t="str">
        <f>IF($K239="","",INDEX(Конструктор!$M$2:$M$1212,$K239))</f>
        <v/>
      </c>
      <c r="H239" s="10" t="str">
        <f>IF($K239="","",INDEX(Конструктор!$N$2:$N$1212,$K239))</f>
        <v/>
      </c>
      <c r="I239" s="10" t="str">
        <f>IF($K239="","",INDEX(Конструктор!$O$2:$O$1212,$K239))</f>
        <v/>
      </c>
      <c r="J239" s="10" t="str">
        <f>IF($K239="","",INDEX(Конструктор!$P$2:$P$1212,$K239))</f>
        <v/>
      </c>
      <c r="K239" t="str">
        <f>IFERROR(MATCH(219,Конструктор!$T$2:$T$1212,0),"")</f>
        <v/>
      </c>
      <c r="L239" t="str">
        <f t="shared" si="3"/>
        <v/>
      </c>
    </row>
    <row r="240" spans="1:12" hidden="1" x14ac:dyDescent="0.3">
      <c r="A240" t="str">
        <f>IF($K240="","",220)</f>
        <v/>
      </c>
      <c r="B240" t="str">
        <f>IF($K240="","",INDEX(Конструктор!$C$2:$C$1212,$K240))</f>
        <v/>
      </c>
      <c r="C240" s="8" t="str">
        <f>IF($K240="","",INDEX(Конструктор!$D$2:$D$1212,$K240)&amp;IF(INDEX(Конструктор!$J$2:$J$1212,$K240)&lt;&gt;""," — "&amp;INDEX(Конструктор!$J$2:$J$1212,$K240),""))</f>
        <v/>
      </c>
      <c r="D240" t="str">
        <f>IF($K240="","",INDEX(Конструктор!$E$2:$E$1212,$K240))</f>
        <v/>
      </c>
      <c r="E240" s="10" t="str">
        <f>IF($K240="","",INDEX(Конструктор!$H$2:$H$1212,$K240))</f>
        <v/>
      </c>
      <c r="F240" s="10" t="str">
        <f>IF($K240="","",INDEX(Конструктор!$L$2:$L$1212,$K240))</f>
        <v/>
      </c>
      <c r="G240" s="10" t="str">
        <f>IF($K240="","",INDEX(Конструктор!$M$2:$M$1212,$K240))</f>
        <v/>
      </c>
      <c r="H240" s="10" t="str">
        <f>IF($K240="","",INDEX(Конструктор!$N$2:$N$1212,$K240))</f>
        <v/>
      </c>
      <c r="I240" s="10" t="str">
        <f>IF($K240="","",INDEX(Конструктор!$O$2:$O$1212,$K240))</f>
        <v/>
      </c>
      <c r="J240" s="10" t="str">
        <f>IF($K240="","",INDEX(Конструктор!$P$2:$P$1212,$K240))</f>
        <v/>
      </c>
      <c r="K240" t="str">
        <f>IFERROR(MATCH(220,Конструктор!$T$2:$T$1212,0),"")</f>
        <v/>
      </c>
      <c r="L240" t="str">
        <f t="shared" si="3"/>
        <v/>
      </c>
    </row>
    <row r="241" spans="1:12" hidden="1" x14ac:dyDescent="0.3">
      <c r="A241" t="str">
        <f>IF($K241="","",221)</f>
        <v/>
      </c>
      <c r="B241" t="str">
        <f>IF($K241="","",INDEX(Конструктор!$C$2:$C$1212,$K241))</f>
        <v/>
      </c>
      <c r="C241" s="8" t="str">
        <f>IF($K241="","",INDEX(Конструктор!$D$2:$D$1212,$K241)&amp;IF(INDEX(Конструктор!$J$2:$J$1212,$K241)&lt;&gt;""," — "&amp;INDEX(Конструктор!$J$2:$J$1212,$K241),""))</f>
        <v/>
      </c>
      <c r="D241" t="str">
        <f>IF($K241="","",INDEX(Конструктор!$E$2:$E$1212,$K241))</f>
        <v/>
      </c>
      <c r="E241" s="10" t="str">
        <f>IF($K241="","",INDEX(Конструктор!$H$2:$H$1212,$K241))</f>
        <v/>
      </c>
      <c r="F241" s="10" t="str">
        <f>IF($K241="","",INDEX(Конструктор!$L$2:$L$1212,$K241))</f>
        <v/>
      </c>
      <c r="G241" s="10" t="str">
        <f>IF($K241="","",INDEX(Конструктор!$M$2:$M$1212,$K241))</f>
        <v/>
      </c>
      <c r="H241" s="10" t="str">
        <f>IF($K241="","",INDEX(Конструктор!$N$2:$N$1212,$K241))</f>
        <v/>
      </c>
      <c r="I241" s="10" t="str">
        <f>IF($K241="","",INDEX(Конструктор!$O$2:$O$1212,$K241))</f>
        <v/>
      </c>
      <c r="J241" s="10" t="str">
        <f>IF($K241="","",INDEX(Конструктор!$P$2:$P$1212,$K241))</f>
        <v/>
      </c>
      <c r="K241" t="str">
        <f>IFERROR(MATCH(221,Конструктор!$T$2:$T$1212,0),"")</f>
        <v/>
      </c>
      <c r="L241" t="str">
        <f t="shared" si="3"/>
        <v/>
      </c>
    </row>
    <row r="242" spans="1:12" hidden="1" x14ac:dyDescent="0.3">
      <c r="A242" t="str">
        <f>IF($K242="","",222)</f>
        <v/>
      </c>
      <c r="B242" t="str">
        <f>IF($K242="","",INDEX(Конструктор!$C$2:$C$1212,$K242))</f>
        <v/>
      </c>
      <c r="C242" s="8" t="str">
        <f>IF($K242="","",INDEX(Конструктор!$D$2:$D$1212,$K242)&amp;IF(INDEX(Конструктор!$J$2:$J$1212,$K242)&lt;&gt;""," — "&amp;INDEX(Конструктор!$J$2:$J$1212,$K242),""))</f>
        <v/>
      </c>
      <c r="D242" t="str">
        <f>IF($K242="","",INDEX(Конструктор!$E$2:$E$1212,$K242))</f>
        <v/>
      </c>
      <c r="E242" s="10" t="str">
        <f>IF($K242="","",INDEX(Конструктор!$H$2:$H$1212,$K242))</f>
        <v/>
      </c>
      <c r="F242" s="10" t="str">
        <f>IF($K242="","",INDEX(Конструктор!$L$2:$L$1212,$K242))</f>
        <v/>
      </c>
      <c r="G242" s="10" t="str">
        <f>IF($K242="","",INDEX(Конструктор!$M$2:$M$1212,$K242))</f>
        <v/>
      </c>
      <c r="H242" s="10" t="str">
        <f>IF($K242="","",INDEX(Конструктор!$N$2:$N$1212,$K242))</f>
        <v/>
      </c>
      <c r="I242" s="10" t="str">
        <f>IF($K242="","",INDEX(Конструктор!$O$2:$O$1212,$K242))</f>
        <v/>
      </c>
      <c r="J242" s="10" t="str">
        <f>IF($K242="","",INDEX(Конструктор!$P$2:$P$1212,$K242))</f>
        <v/>
      </c>
      <c r="K242" t="str">
        <f>IFERROR(MATCH(222,Конструктор!$T$2:$T$1212,0),"")</f>
        <v/>
      </c>
      <c r="L242" t="str">
        <f t="shared" si="3"/>
        <v/>
      </c>
    </row>
    <row r="243" spans="1:12" hidden="1" x14ac:dyDescent="0.3">
      <c r="A243" t="str">
        <f>IF($K243="","",223)</f>
        <v/>
      </c>
      <c r="B243" t="str">
        <f>IF($K243="","",INDEX(Конструктор!$C$2:$C$1212,$K243))</f>
        <v/>
      </c>
      <c r="C243" s="8" t="str">
        <f>IF($K243="","",INDEX(Конструктор!$D$2:$D$1212,$K243)&amp;IF(INDEX(Конструктор!$J$2:$J$1212,$K243)&lt;&gt;""," — "&amp;INDEX(Конструктор!$J$2:$J$1212,$K243),""))</f>
        <v/>
      </c>
      <c r="D243" t="str">
        <f>IF($K243="","",INDEX(Конструктор!$E$2:$E$1212,$K243))</f>
        <v/>
      </c>
      <c r="E243" s="10" t="str">
        <f>IF($K243="","",INDEX(Конструктор!$H$2:$H$1212,$K243))</f>
        <v/>
      </c>
      <c r="F243" s="10" t="str">
        <f>IF($K243="","",INDEX(Конструктор!$L$2:$L$1212,$K243))</f>
        <v/>
      </c>
      <c r="G243" s="10" t="str">
        <f>IF($K243="","",INDEX(Конструктор!$M$2:$M$1212,$K243))</f>
        <v/>
      </c>
      <c r="H243" s="10" t="str">
        <f>IF($K243="","",INDEX(Конструктор!$N$2:$N$1212,$K243))</f>
        <v/>
      </c>
      <c r="I243" s="10" t="str">
        <f>IF($K243="","",INDEX(Конструктор!$O$2:$O$1212,$K243))</f>
        <v/>
      </c>
      <c r="J243" s="10" t="str">
        <f>IF($K243="","",INDEX(Конструктор!$P$2:$P$1212,$K243))</f>
        <v/>
      </c>
      <c r="K243" t="str">
        <f>IFERROR(MATCH(223,Конструктор!$T$2:$T$1212,0),"")</f>
        <v/>
      </c>
      <c r="L243" t="str">
        <f t="shared" si="3"/>
        <v/>
      </c>
    </row>
    <row r="244" spans="1:12" hidden="1" x14ac:dyDescent="0.3">
      <c r="A244" t="str">
        <f>IF($K244="","",224)</f>
        <v/>
      </c>
      <c r="B244" t="str">
        <f>IF($K244="","",INDEX(Конструктор!$C$2:$C$1212,$K244))</f>
        <v/>
      </c>
      <c r="C244" s="8" t="str">
        <f>IF($K244="","",INDEX(Конструктор!$D$2:$D$1212,$K244)&amp;IF(INDEX(Конструктор!$J$2:$J$1212,$K244)&lt;&gt;""," — "&amp;INDEX(Конструктор!$J$2:$J$1212,$K244),""))</f>
        <v/>
      </c>
      <c r="D244" t="str">
        <f>IF($K244="","",INDEX(Конструктор!$E$2:$E$1212,$K244))</f>
        <v/>
      </c>
      <c r="E244" s="10" t="str">
        <f>IF($K244="","",INDEX(Конструктор!$H$2:$H$1212,$K244))</f>
        <v/>
      </c>
      <c r="F244" s="10" t="str">
        <f>IF($K244="","",INDEX(Конструктор!$L$2:$L$1212,$K244))</f>
        <v/>
      </c>
      <c r="G244" s="10" t="str">
        <f>IF($K244="","",INDEX(Конструктор!$M$2:$M$1212,$K244))</f>
        <v/>
      </c>
      <c r="H244" s="10" t="str">
        <f>IF($K244="","",INDEX(Конструктор!$N$2:$N$1212,$K244))</f>
        <v/>
      </c>
      <c r="I244" s="10" t="str">
        <f>IF($K244="","",INDEX(Конструктор!$O$2:$O$1212,$K244))</f>
        <v/>
      </c>
      <c r="J244" s="10" t="str">
        <f>IF($K244="","",INDEX(Конструктор!$P$2:$P$1212,$K244))</f>
        <v/>
      </c>
      <c r="K244" t="str">
        <f>IFERROR(MATCH(224,Конструктор!$T$2:$T$1212,0),"")</f>
        <v/>
      </c>
      <c r="L244" t="str">
        <f t="shared" si="3"/>
        <v/>
      </c>
    </row>
    <row r="245" spans="1:12" hidden="1" x14ac:dyDescent="0.3">
      <c r="A245" t="str">
        <f>IF($K245="","",225)</f>
        <v/>
      </c>
      <c r="B245" t="str">
        <f>IF($K245="","",INDEX(Конструктор!$C$2:$C$1212,$K245))</f>
        <v/>
      </c>
      <c r="C245" s="8" t="str">
        <f>IF($K245="","",INDEX(Конструктор!$D$2:$D$1212,$K245)&amp;IF(INDEX(Конструктор!$J$2:$J$1212,$K245)&lt;&gt;""," — "&amp;INDEX(Конструктор!$J$2:$J$1212,$K245),""))</f>
        <v/>
      </c>
      <c r="D245" t="str">
        <f>IF($K245="","",INDEX(Конструктор!$E$2:$E$1212,$K245))</f>
        <v/>
      </c>
      <c r="E245" s="10" t="str">
        <f>IF($K245="","",INDEX(Конструктор!$H$2:$H$1212,$K245))</f>
        <v/>
      </c>
      <c r="F245" s="10" t="str">
        <f>IF($K245="","",INDEX(Конструктор!$L$2:$L$1212,$K245))</f>
        <v/>
      </c>
      <c r="G245" s="10" t="str">
        <f>IF($K245="","",INDEX(Конструктор!$M$2:$M$1212,$K245))</f>
        <v/>
      </c>
      <c r="H245" s="10" t="str">
        <f>IF($K245="","",INDEX(Конструктор!$N$2:$N$1212,$K245))</f>
        <v/>
      </c>
      <c r="I245" s="10" t="str">
        <f>IF($K245="","",INDEX(Конструктор!$O$2:$O$1212,$K245))</f>
        <v/>
      </c>
      <c r="J245" s="10" t="str">
        <f>IF($K245="","",INDEX(Конструктор!$P$2:$P$1212,$K245))</f>
        <v/>
      </c>
      <c r="K245" t="str">
        <f>IFERROR(MATCH(225,Конструктор!$T$2:$T$1212,0),"")</f>
        <v/>
      </c>
      <c r="L245" t="str">
        <f t="shared" si="3"/>
        <v/>
      </c>
    </row>
    <row r="246" spans="1:12" hidden="1" x14ac:dyDescent="0.3">
      <c r="A246" t="str">
        <f>IF($K246="","",226)</f>
        <v/>
      </c>
      <c r="B246" t="str">
        <f>IF($K246="","",INDEX(Конструктор!$C$2:$C$1212,$K246))</f>
        <v/>
      </c>
      <c r="C246" s="8" t="str">
        <f>IF($K246="","",INDEX(Конструктор!$D$2:$D$1212,$K246)&amp;IF(INDEX(Конструктор!$J$2:$J$1212,$K246)&lt;&gt;""," — "&amp;INDEX(Конструктор!$J$2:$J$1212,$K246),""))</f>
        <v/>
      </c>
      <c r="D246" t="str">
        <f>IF($K246="","",INDEX(Конструктор!$E$2:$E$1212,$K246))</f>
        <v/>
      </c>
      <c r="E246" s="10" t="str">
        <f>IF($K246="","",INDEX(Конструктор!$H$2:$H$1212,$K246))</f>
        <v/>
      </c>
      <c r="F246" s="10" t="str">
        <f>IF($K246="","",INDEX(Конструктор!$L$2:$L$1212,$K246))</f>
        <v/>
      </c>
      <c r="G246" s="10" t="str">
        <f>IF($K246="","",INDEX(Конструктор!$M$2:$M$1212,$K246))</f>
        <v/>
      </c>
      <c r="H246" s="10" t="str">
        <f>IF($K246="","",INDEX(Конструктор!$N$2:$N$1212,$K246))</f>
        <v/>
      </c>
      <c r="I246" s="10" t="str">
        <f>IF($K246="","",INDEX(Конструктор!$O$2:$O$1212,$K246))</f>
        <v/>
      </c>
      <c r="J246" s="10" t="str">
        <f>IF($K246="","",INDEX(Конструктор!$P$2:$P$1212,$K246))</f>
        <v/>
      </c>
      <c r="K246" t="str">
        <f>IFERROR(MATCH(226,Конструктор!$T$2:$T$1212,0),"")</f>
        <v/>
      </c>
      <c r="L246" t="str">
        <f t="shared" si="3"/>
        <v/>
      </c>
    </row>
    <row r="247" spans="1:12" hidden="1" x14ac:dyDescent="0.3">
      <c r="A247" t="str">
        <f>IF($K247="","",227)</f>
        <v/>
      </c>
      <c r="B247" t="str">
        <f>IF($K247="","",INDEX(Конструктор!$C$2:$C$1212,$K247))</f>
        <v/>
      </c>
      <c r="C247" s="8" t="str">
        <f>IF($K247="","",INDEX(Конструктор!$D$2:$D$1212,$K247)&amp;IF(INDEX(Конструктор!$J$2:$J$1212,$K247)&lt;&gt;""," — "&amp;INDEX(Конструктор!$J$2:$J$1212,$K247),""))</f>
        <v/>
      </c>
      <c r="D247" t="str">
        <f>IF($K247="","",INDEX(Конструктор!$E$2:$E$1212,$K247))</f>
        <v/>
      </c>
      <c r="E247" s="10" t="str">
        <f>IF($K247="","",INDEX(Конструктор!$H$2:$H$1212,$K247))</f>
        <v/>
      </c>
      <c r="F247" s="10" t="str">
        <f>IF($K247="","",INDEX(Конструктор!$L$2:$L$1212,$K247))</f>
        <v/>
      </c>
      <c r="G247" s="10" t="str">
        <f>IF($K247="","",INDEX(Конструктор!$M$2:$M$1212,$K247))</f>
        <v/>
      </c>
      <c r="H247" s="10" t="str">
        <f>IF($K247="","",INDEX(Конструктор!$N$2:$N$1212,$K247))</f>
        <v/>
      </c>
      <c r="I247" s="10" t="str">
        <f>IF($K247="","",INDEX(Конструктор!$O$2:$O$1212,$K247))</f>
        <v/>
      </c>
      <c r="J247" s="10" t="str">
        <f>IF($K247="","",INDEX(Конструктор!$P$2:$P$1212,$K247))</f>
        <v/>
      </c>
      <c r="K247" t="str">
        <f>IFERROR(MATCH(227,Конструктор!$T$2:$T$1212,0),"")</f>
        <v/>
      </c>
      <c r="L247" t="str">
        <f t="shared" si="3"/>
        <v/>
      </c>
    </row>
    <row r="248" spans="1:12" hidden="1" x14ac:dyDescent="0.3">
      <c r="A248" t="str">
        <f>IF($K248="","",228)</f>
        <v/>
      </c>
      <c r="B248" t="str">
        <f>IF($K248="","",INDEX(Конструктор!$C$2:$C$1212,$K248))</f>
        <v/>
      </c>
      <c r="C248" s="8" t="str">
        <f>IF($K248="","",INDEX(Конструктор!$D$2:$D$1212,$K248)&amp;IF(INDEX(Конструктор!$J$2:$J$1212,$K248)&lt;&gt;""," — "&amp;INDEX(Конструктор!$J$2:$J$1212,$K248),""))</f>
        <v/>
      </c>
      <c r="D248" t="str">
        <f>IF($K248="","",INDEX(Конструктор!$E$2:$E$1212,$K248))</f>
        <v/>
      </c>
      <c r="E248" s="10" t="str">
        <f>IF($K248="","",INDEX(Конструктор!$H$2:$H$1212,$K248))</f>
        <v/>
      </c>
      <c r="F248" s="10" t="str">
        <f>IF($K248="","",INDEX(Конструктор!$L$2:$L$1212,$K248))</f>
        <v/>
      </c>
      <c r="G248" s="10" t="str">
        <f>IF($K248="","",INDEX(Конструктор!$M$2:$M$1212,$K248))</f>
        <v/>
      </c>
      <c r="H248" s="10" t="str">
        <f>IF($K248="","",INDEX(Конструктор!$N$2:$N$1212,$K248))</f>
        <v/>
      </c>
      <c r="I248" s="10" t="str">
        <f>IF($K248="","",INDEX(Конструктор!$O$2:$O$1212,$K248))</f>
        <v/>
      </c>
      <c r="J248" s="10" t="str">
        <f>IF($K248="","",INDEX(Конструктор!$P$2:$P$1212,$K248))</f>
        <v/>
      </c>
      <c r="K248" t="str">
        <f>IFERROR(MATCH(228,Конструктор!$T$2:$T$1212,0),"")</f>
        <v/>
      </c>
      <c r="L248" t="str">
        <f t="shared" si="3"/>
        <v/>
      </c>
    </row>
    <row r="249" spans="1:12" hidden="1" x14ac:dyDescent="0.3">
      <c r="A249" t="str">
        <f>IF($K249="","",229)</f>
        <v/>
      </c>
      <c r="B249" t="str">
        <f>IF($K249="","",INDEX(Конструктор!$C$2:$C$1212,$K249))</f>
        <v/>
      </c>
      <c r="C249" s="8" t="str">
        <f>IF($K249="","",INDEX(Конструктор!$D$2:$D$1212,$K249)&amp;IF(INDEX(Конструктор!$J$2:$J$1212,$K249)&lt;&gt;""," — "&amp;INDEX(Конструктор!$J$2:$J$1212,$K249),""))</f>
        <v/>
      </c>
      <c r="D249" t="str">
        <f>IF($K249="","",INDEX(Конструктор!$E$2:$E$1212,$K249))</f>
        <v/>
      </c>
      <c r="E249" s="10" t="str">
        <f>IF($K249="","",INDEX(Конструктор!$H$2:$H$1212,$K249))</f>
        <v/>
      </c>
      <c r="F249" s="10" t="str">
        <f>IF($K249="","",INDEX(Конструктор!$L$2:$L$1212,$K249))</f>
        <v/>
      </c>
      <c r="G249" s="10" t="str">
        <f>IF($K249="","",INDEX(Конструктор!$M$2:$M$1212,$K249))</f>
        <v/>
      </c>
      <c r="H249" s="10" t="str">
        <f>IF($K249="","",INDEX(Конструктор!$N$2:$N$1212,$K249))</f>
        <v/>
      </c>
      <c r="I249" s="10" t="str">
        <f>IF($K249="","",INDEX(Конструктор!$O$2:$O$1212,$K249))</f>
        <v/>
      </c>
      <c r="J249" s="10" t="str">
        <f>IF($K249="","",INDEX(Конструктор!$P$2:$P$1212,$K249))</f>
        <v/>
      </c>
      <c r="K249" t="str">
        <f>IFERROR(MATCH(229,Конструктор!$T$2:$T$1212,0),"")</f>
        <v/>
      </c>
      <c r="L249" t="str">
        <f t="shared" si="3"/>
        <v/>
      </c>
    </row>
    <row r="250" spans="1:12" hidden="1" x14ac:dyDescent="0.3">
      <c r="A250" t="str">
        <f>IF($K250="","",230)</f>
        <v/>
      </c>
      <c r="B250" t="str">
        <f>IF($K250="","",INDEX(Конструктор!$C$2:$C$1212,$K250))</f>
        <v/>
      </c>
      <c r="C250" s="8" t="str">
        <f>IF($K250="","",INDEX(Конструктор!$D$2:$D$1212,$K250)&amp;IF(INDEX(Конструктор!$J$2:$J$1212,$K250)&lt;&gt;""," — "&amp;INDEX(Конструктор!$J$2:$J$1212,$K250),""))</f>
        <v/>
      </c>
      <c r="D250" t="str">
        <f>IF($K250="","",INDEX(Конструктор!$E$2:$E$1212,$K250))</f>
        <v/>
      </c>
      <c r="E250" s="10" t="str">
        <f>IF($K250="","",INDEX(Конструктор!$H$2:$H$1212,$K250))</f>
        <v/>
      </c>
      <c r="F250" s="10" t="str">
        <f>IF($K250="","",INDEX(Конструктор!$L$2:$L$1212,$K250))</f>
        <v/>
      </c>
      <c r="G250" s="10" t="str">
        <f>IF($K250="","",INDEX(Конструктор!$M$2:$M$1212,$K250))</f>
        <v/>
      </c>
      <c r="H250" s="10" t="str">
        <f>IF($K250="","",INDEX(Конструктор!$N$2:$N$1212,$K250))</f>
        <v/>
      </c>
      <c r="I250" s="10" t="str">
        <f>IF($K250="","",INDEX(Конструктор!$O$2:$O$1212,$K250))</f>
        <v/>
      </c>
      <c r="J250" s="10" t="str">
        <f>IF($K250="","",INDEX(Конструктор!$P$2:$P$1212,$K250))</f>
        <v/>
      </c>
      <c r="K250" t="str">
        <f>IFERROR(MATCH(230,Конструктор!$T$2:$T$1212,0),"")</f>
        <v/>
      </c>
      <c r="L250" t="str">
        <f t="shared" si="3"/>
        <v/>
      </c>
    </row>
    <row r="251" spans="1:12" hidden="1" x14ac:dyDescent="0.3">
      <c r="A251" t="str">
        <f>IF($K251="","",231)</f>
        <v/>
      </c>
      <c r="B251" t="str">
        <f>IF($K251="","",INDEX(Конструктор!$C$2:$C$1212,$K251))</f>
        <v/>
      </c>
      <c r="C251" s="8" t="str">
        <f>IF($K251="","",INDEX(Конструктор!$D$2:$D$1212,$K251)&amp;IF(INDEX(Конструктор!$J$2:$J$1212,$K251)&lt;&gt;""," — "&amp;INDEX(Конструктор!$J$2:$J$1212,$K251),""))</f>
        <v/>
      </c>
      <c r="D251" t="str">
        <f>IF($K251="","",INDEX(Конструктор!$E$2:$E$1212,$K251))</f>
        <v/>
      </c>
      <c r="E251" s="10" t="str">
        <f>IF($K251="","",INDEX(Конструктор!$H$2:$H$1212,$K251))</f>
        <v/>
      </c>
      <c r="F251" s="10" t="str">
        <f>IF($K251="","",INDEX(Конструктор!$L$2:$L$1212,$K251))</f>
        <v/>
      </c>
      <c r="G251" s="10" t="str">
        <f>IF($K251="","",INDEX(Конструктор!$M$2:$M$1212,$K251))</f>
        <v/>
      </c>
      <c r="H251" s="10" t="str">
        <f>IF($K251="","",INDEX(Конструктор!$N$2:$N$1212,$K251))</f>
        <v/>
      </c>
      <c r="I251" s="10" t="str">
        <f>IF($K251="","",INDEX(Конструктор!$O$2:$O$1212,$K251))</f>
        <v/>
      </c>
      <c r="J251" s="10" t="str">
        <f>IF($K251="","",INDEX(Конструктор!$P$2:$P$1212,$K251))</f>
        <v/>
      </c>
      <c r="K251" t="str">
        <f>IFERROR(MATCH(231,Конструктор!$T$2:$T$1212,0),"")</f>
        <v/>
      </c>
      <c r="L251" t="str">
        <f t="shared" si="3"/>
        <v/>
      </c>
    </row>
    <row r="252" spans="1:12" hidden="1" x14ac:dyDescent="0.3">
      <c r="A252" t="str">
        <f>IF($K252="","",232)</f>
        <v/>
      </c>
      <c r="B252" t="str">
        <f>IF($K252="","",INDEX(Конструктор!$C$2:$C$1212,$K252))</f>
        <v/>
      </c>
      <c r="C252" s="8" t="str">
        <f>IF($K252="","",INDEX(Конструктор!$D$2:$D$1212,$K252)&amp;IF(INDEX(Конструктор!$J$2:$J$1212,$K252)&lt;&gt;""," — "&amp;INDEX(Конструктор!$J$2:$J$1212,$K252),""))</f>
        <v/>
      </c>
      <c r="D252" t="str">
        <f>IF($K252="","",INDEX(Конструктор!$E$2:$E$1212,$K252))</f>
        <v/>
      </c>
      <c r="E252" s="10" t="str">
        <f>IF($K252="","",INDEX(Конструктор!$H$2:$H$1212,$K252))</f>
        <v/>
      </c>
      <c r="F252" s="10" t="str">
        <f>IF($K252="","",INDEX(Конструктор!$L$2:$L$1212,$K252))</f>
        <v/>
      </c>
      <c r="G252" s="10" t="str">
        <f>IF($K252="","",INDEX(Конструктор!$M$2:$M$1212,$K252))</f>
        <v/>
      </c>
      <c r="H252" s="10" t="str">
        <f>IF($K252="","",INDEX(Конструктор!$N$2:$N$1212,$K252))</f>
        <v/>
      </c>
      <c r="I252" s="10" t="str">
        <f>IF($K252="","",INDEX(Конструктор!$O$2:$O$1212,$K252))</f>
        <v/>
      </c>
      <c r="J252" s="10" t="str">
        <f>IF($K252="","",INDEX(Конструктор!$P$2:$P$1212,$K252))</f>
        <v/>
      </c>
      <c r="K252" t="str">
        <f>IFERROR(MATCH(232,Конструктор!$T$2:$T$1212,0),"")</f>
        <v/>
      </c>
      <c r="L252" t="str">
        <f t="shared" si="3"/>
        <v/>
      </c>
    </row>
    <row r="253" spans="1:12" hidden="1" x14ac:dyDescent="0.3">
      <c r="A253" t="str">
        <f>IF($K253="","",233)</f>
        <v/>
      </c>
      <c r="B253" t="str">
        <f>IF($K253="","",INDEX(Конструктор!$C$2:$C$1212,$K253))</f>
        <v/>
      </c>
      <c r="C253" s="8" t="str">
        <f>IF($K253="","",INDEX(Конструктор!$D$2:$D$1212,$K253)&amp;IF(INDEX(Конструктор!$J$2:$J$1212,$K253)&lt;&gt;""," — "&amp;INDEX(Конструктор!$J$2:$J$1212,$K253),""))</f>
        <v/>
      </c>
      <c r="D253" t="str">
        <f>IF($K253="","",INDEX(Конструктор!$E$2:$E$1212,$K253))</f>
        <v/>
      </c>
      <c r="E253" s="10" t="str">
        <f>IF($K253="","",INDEX(Конструктор!$H$2:$H$1212,$K253))</f>
        <v/>
      </c>
      <c r="F253" s="10" t="str">
        <f>IF($K253="","",INDEX(Конструктор!$L$2:$L$1212,$K253))</f>
        <v/>
      </c>
      <c r="G253" s="10" t="str">
        <f>IF($K253="","",INDEX(Конструктор!$M$2:$M$1212,$K253))</f>
        <v/>
      </c>
      <c r="H253" s="10" t="str">
        <f>IF($K253="","",INDEX(Конструктор!$N$2:$N$1212,$K253))</f>
        <v/>
      </c>
      <c r="I253" s="10" t="str">
        <f>IF($K253="","",INDEX(Конструктор!$O$2:$O$1212,$K253))</f>
        <v/>
      </c>
      <c r="J253" s="10" t="str">
        <f>IF($K253="","",INDEX(Конструктор!$P$2:$P$1212,$K253))</f>
        <v/>
      </c>
      <c r="K253" t="str">
        <f>IFERROR(MATCH(233,Конструктор!$T$2:$T$1212,0),"")</f>
        <v/>
      </c>
      <c r="L253" t="str">
        <f t="shared" si="3"/>
        <v/>
      </c>
    </row>
    <row r="254" spans="1:12" hidden="1" x14ac:dyDescent="0.3">
      <c r="A254" t="str">
        <f>IF($K254="","",234)</f>
        <v/>
      </c>
      <c r="B254" t="str">
        <f>IF($K254="","",INDEX(Конструктор!$C$2:$C$1212,$K254))</f>
        <v/>
      </c>
      <c r="C254" s="8" t="str">
        <f>IF($K254="","",INDEX(Конструктор!$D$2:$D$1212,$K254)&amp;IF(INDEX(Конструктор!$J$2:$J$1212,$K254)&lt;&gt;""," — "&amp;INDEX(Конструктор!$J$2:$J$1212,$K254),""))</f>
        <v/>
      </c>
      <c r="D254" t="str">
        <f>IF($K254="","",INDEX(Конструктор!$E$2:$E$1212,$K254))</f>
        <v/>
      </c>
      <c r="E254" s="10" t="str">
        <f>IF($K254="","",INDEX(Конструктор!$H$2:$H$1212,$K254))</f>
        <v/>
      </c>
      <c r="F254" s="10" t="str">
        <f>IF($K254="","",INDEX(Конструктор!$L$2:$L$1212,$K254))</f>
        <v/>
      </c>
      <c r="G254" s="10" t="str">
        <f>IF($K254="","",INDEX(Конструктор!$M$2:$M$1212,$K254))</f>
        <v/>
      </c>
      <c r="H254" s="10" t="str">
        <f>IF($K254="","",INDEX(Конструктор!$N$2:$N$1212,$K254))</f>
        <v/>
      </c>
      <c r="I254" s="10" t="str">
        <f>IF($K254="","",INDEX(Конструктор!$O$2:$O$1212,$K254))</f>
        <v/>
      </c>
      <c r="J254" s="10" t="str">
        <f>IF($K254="","",INDEX(Конструктор!$P$2:$P$1212,$K254))</f>
        <v/>
      </c>
      <c r="K254" t="str">
        <f>IFERROR(MATCH(234,Конструктор!$T$2:$T$1212,0),"")</f>
        <v/>
      </c>
      <c r="L254" t="str">
        <f t="shared" si="3"/>
        <v/>
      </c>
    </row>
    <row r="255" spans="1:12" hidden="1" x14ac:dyDescent="0.3">
      <c r="A255" t="str">
        <f>IF($K255="","",235)</f>
        <v/>
      </c>
      <c r="B255" t="str">
        <f>IF($K255="","",INDEX(Конструктор!$C$2:$C$1212,$K255))</f>
        <v/>
      </c>
      <c r="C255" s="8" t="str">
        <f>IF($K255="","",INDEX(Конструктор!$D$2:$D$1212,$K255)&amp;IF(INDEX(Конструктор!$J$2:$J$1212,$K255)&lt;&gt;""," — "&amp;INDEX(Конструктор!$J$2:$J$1212,$K255),""))</f>
        <v/>
      </c>
      <c r="D255" t="str">
        <f>IF($K255="","",INDEX(Конструктор!$E$2:$E$1212,$K255))</f>
        <v/>
      </c>
      <c r="E255" s="10" t="str">
        <f>IF($K255="","",INDEX(Конструктор!$H$2:$H$1212,$K255))</f>
        <v/>
      </c>
      <c r="F255" s="10" t="str">
        <f>IF($K255="","",INDEX(Конструктор!$L$2:$L$1212,$K255))</f>
        <v/>
      </c>
      <c r="G255" s="10" t="str">
        <f>IF($K255="","",INDEX(Конструктор!$M$2:$M$1212,$K255))</f>
        <v/>
      </c>
      <c r="H255" s="10" t="str">
        <f>IF($K255="","",INDEX(Конструктор!$N$2:$N$1212,$K255))</f>
        <v/>
      </c>
      <c r="I255" s="10" t="str">
        <f>IF($K255="","",INDEX(Конструктор!$O$2:$O$1212,$K255))</f>
        <v/>
      </c>
      <c r="J255" s="10" t="str">
        <f>IF($K255="","",INDEX(Конструктор!$P$2:$P$1212,$K255))</f>
        <v/>
      </c>
      <c r="K255" t="str">
        <f>IFERROR(MATCH(235,Конструктор!$T$2:$T$1212,0),"")</f>
        <v/>
      </c>
      <c r="L255" t="str">
        <f t="shared" si="3"/>
        <v/>
      </c>
    </row>
    <row r="256" spans="1:12" hidden="1" x14ac:dyDescent="0.3">
      <c r="A256" t="str">
        <f>IF($K256="","",236)</f>
        <v/>
      </c>
      <c r="B256" t="str">
        <f>IF($K256="","",INDEX(Конструктор!$C$2:$C$1212,$K256))</f>
        <v/>
      </c>
      <c r="C256" s="8" t="str">
        <f>IF($K256="","",INDEX(Конструктор!$D$2:$D$1212,$K256)&amp;IF(INDEX(Конструктор!$J$2:$J$1212,$K256)&lt;&gt;""," — "&amp;INDEX(Конструктор!$J$2:$J$1212,$K256),""))</f>
        <v/>
      </c>
      <c r="D256" t="str">
        <f>IF($K256="","",INDEX(Конструктор!$E$2:$E$1212,$K256))</f>
        <v/>
      </c>
      <c r="E256" s="10" t="str">
        <f>IF($K256="","",INDEX(Конструктор!$H$2:$H$1212,$K256))</f>
        <v/>
      </c>
      <c r="F256" s="10" t="str">
        <f>IF($K256="","",INDEX(Конструктор!$L$2:$L$1212,$K256))</f>
        <v/>
      </c>
      <c r="G256" s="10" t="str">
        <f>IF($K256="","",INDEX(Конструктор!$M$2:$M$1212,$K256))</f>
        <v/>
      </c>
      <c r="H256" s="10" t="str">
        <f>IF($K256="","",INDEX(Конструктор!$N$2:$N$1212,$K256))</f>
        <v/>
      </c>
      <c r="I256" s="10" t="str">
        <f>IF($K256="","",INDEX(Конструктор!$O$2:$O$1212,$K256))</f>
        <v/>
      </c>
      <c r="J256" s="10" t="str">
        <f>IF($K256="","",INDEX(Конструктор!$P$2:$P$1212,$K256))</f>
        <v/>
      </c>
      <c r="K256" t="str">
        <f>IFERROR(MATCH(236,Конструктор!$T$2:$T$1212,0),"")</f>
        <v/>
      </c>
      <c r="L256" t="str">
        <f t="shared" si="3"/>
        <v/>
      </c>
    </row>
    <row r="257" spans="1:12" hidden="1" x14ac:dyDescent="0.3">
      <c r="A257" t="str">
        <f>IF($K257="","",237)</f>
        <v/>
      </c>
      <c r="B257" t="str">
        <f>IF($K257="","",INDEX(Конструктор!$C$2:$C$1212,$K257))</f>
        <v/>
      </c>
      <c r="C257" s="8" t="str">
        <f>IF($K257="","",INDEX(Конструктор!$D$2:$D$1212,$K257)&amp;IF(INDEX(Конструктор!$J$2:$J$1212,$K257)&lt;&gt;""," — "&amp;INDEX(Конструктор!$J$2:$J$1212,$K257),""))</f>
        <v/>
      </c>
      <c r="D257" t="str">
        <f>IF($K257="","",INDEX(Конструктор!$E$2:$E$1212,$K257))</f>
        <v/>
      </c>
      <c r="E257" s="10" t="str">
        <f>IF($K257="","",INDEX(Конструктор!$H$2:$H$1212,$K257))</f>
        <v/>
      </c>
      <c r="F257" s="10" t="str">
        <f>IF($K257="","",INDEX(Конструктор!$L$2:$L$1212,$K257))</f>
        <v/>
      </c>
      <c r="G257" s="10" t="str">
        <f>IF($K257="","",INDEX(Конструктор!$M$2:$M$1212,$K257))</f>
        <v/>
      </c>
      <c r="H257" s="10" t="str">
        <f>IF($K257="","",INDEX(Конструктор!$N$2:$N$1212,$K257))</f>
        <v/>
      </c>
      <c r="I257" s="10" t="str">
        <f>IF($K257="","",INDEX(Конструктор!$O$2:$O$1212,$K257))</f>
        <v/>
      </c>
      <c r="J257" s="10" t="str">
        <f>IF($K257="","",INDEX(Конструктор!$P$2:$P$1212,$K257))</f>
        <v/>
      </c>
      <c r="K257" t="str">
        <f>IFERROR(MATCH(237,Конструктор!$T$2:$T$1212,0),"")</f>
        <v/>
      </c>
      <c r="L257" t="str">
        <f t="shared" si="3"/>
        <v/>
      </c>
    </row>
    <row r="258" spans="1:12" hidden="1" x14ac:dyDescent="0.3">
      <c r="A258" t="str">
        <f>IF($K258="","",238)</f>
        <v/>
      </c>
      <c r="B258" t="str">
        <f>IF($K258="","",INDEX(Конструктор!$C$2:$C$1212,$K258))</f>
        <v/>
      </c>
      <c r="C258" s="8" t="str">
        <f>IF($K258="","",INDEX(Конструктор!$D$2:$D$1212,$K258)&amp;IF(INDEX(Конструктор!$J$2:$J$1212,$K258)&lt;&gt;""," — "&amp;INDEX(Конструктор!$J$2:$J$1212,$K258),""))</f>
        <v/>
      </c>
      <c r="D258" t="str">
        <f>IF($K258="","",INDEX(Конструктор!$E$2:$E$1212,$K258))</f>
        <v/>
      </c>
      <c r="E258" s="10" t="str">
        <f>IF($K258="","",INDEX(Конструктор!$H$2:$H$1212,$K258))</f>
        <v/>
      </c>
      <c r="F258" s="10" t="str">
        <f>IF($K258="","",INDEX(Конструктор!$L$2:$L$1212,$K258))</f>
        <v/>
      </c>
      <c r="G258" s="10" t="str">
        <f>IF($K258="","",INDEX(Конструктор!$M$2:$M$1212,$K258))</f>
        <v/>
      </c>
      <c r="H258" s="10" t="str">
        <f>IF($K258="","",INDEX(Конструктор!$N$2:$N$1212,$K258))</f>
        <v/>
      </c>
      <c r="I258" s="10" t="str">
        <f>IF($K258="","",INDEX(Конструктор!$O$2:$O$1212,$K258))</f>
        <v/>
      </c>
      <c r="J258" s="10" t="str">
        <f>IF($K258="","",INDEX(Конструктор!$P$2:$P$1212,$K258))</f>
        <v/>
      </c>
      <c r="K258" t="str">
        <f>IFERROR(MATCH(238,Конструктор!$T$2:$T$1212,0),"")</f>
        <v/>
      </c>
      <c r="L258" t="str">
        <f t="shared" si="3"/>
        <v/>
      </c>
    </row>
    <row r="259" spans="1:12" hidden="1" x14ac:dyDescent="0.3">
      <c r="A259" t="str">
        <f>IF($K259="","",239)</f>
        <v/>
      </c>
      <c r="B259" t="str">
        <f>IF($K259="","",INDEX(Конструктор!$C$2:$C$1212,$K259))</f>
        <v/>
      </c>
      <c r="C259" s="8" t="str">
        <f>IF($K259="","",INDEX(Конструктор!$D$2:$D$1212,$K259)&amp;IF(INDEX(Конструктор!$J$2:$J$1212,$K259)&lt;&gt;""," — "&amp;INDEX(Конструктор!$J$2:$J$1212,$K259),""))</f>
        <v/>
      </c>
      <c r="D259" t="str">
        <f>IF($K259="","",INDEX(Конструктор!$E$2:$E$1212,$K259))</f>
        <v/>
      </c>
      <c r="E259" s="10" t="str">
        <f>IF($K259="","",INDEX(Конструктор!$H$2:$H$1212,$K259))</f>
        <v/>
      </c>
      <c r="F259" s="10" t="str">
        <f>IF($K259="","",INDEX(Конструктор!$L$2:$L$1212,$K259))</f>
        <v/>
      </c>
      <c r="G259" s="10" t="str">
        <f>IF($K259="","",INDEX(Конструктор!$M$2:$M$1212,$K259))</f>
        <v/>
      </c>
      <c r="H259" s="10" t="str">
        <f>IF($K259="","",INDEX(Конструктор!$N$2:$N$1212,$K259))</f>
        <v/>
      </c>
      <c r="I259" s="10" t="str">
        <f>IF($K259="","",INDEX(Конструктор!$O$2:$O$1212,$K259))</f>
        <v/>
      </c>
      <c r="J259" s="10" t="str">
        <f>IF($K259="","",INDEX(Конструктор!$P$2:$P$1212,$K259))</f>
        <v/>
      </c>
      <c r="K259" t="str">
        <f>IFERROR(MATCH(239,Конструктор!$T$2:$T$1212,0),"")</f>
        <v/>
      </c>
      <c r="L259" t="str">
        <f t="shared" si="3"/>
        <v/>
      </c>
    </row>
    <row r="260" spans="1:12" hidden="1" x14ac:dyDescent="0.3">
      <c r="A260" t="str">
        <f>IF($K260="","",240)</f>
        <v/>
      </c>
      <c r="B260" t="str">
        <f>IF($K260="","",INDEX(Конструктор!$C$2:$C$1212,$K260))</f>
        <v/>
      </c>
      <c r="C260" s="8" t="str">
        <f>IF($K260="","",INDEX(Конструктор!$D$2:$D$1212,$K260)&amp;IF(INDEX(Конструктор!$J$2:$J$1212,$K260)&lt;&gt;""," — "&amp;INDEX(Конструктор!$J$2:$J$1212,$K260),""))</f>
        <v/>
      </c>
      <c r="D260" t="str">
        <f>IF($K260="","",INDEX(Конструктор!$E$2:$E$1212,$K260))</f>
        <v/>
      </c>
      <c r="E260" s="10" t="str">
        <f>IF($K260="","",INDEX(Конструктор!$H$2:$H$1212,$K260))</f>
        <v/>
      </c>
      <c r="F260" s="10" t="str">
        <f>IF($K260="","",INDEX(Конструктор!$L$2:$L$1212,$K260))</f>
        <v/>
      </c>
      <c r="G260" s="10" t="str">
        <f>IF($K260="","",INDEX(Конструктор!$M$2:$M$1212,$K260))</f>
        <v/>
      </c>
      <c r="H260" s="10" t="str">
        <f>IF($K260="","",INDEX(Конструктор!$N$2:$N$1212,$K260))</f>
        <v/>
      </c>
      <c r="I260" s="10" t="str">
        <f>IF($K260="","",INDEX(Конструктор!$O$2:$O$1212,$K260))</f>
        <v/>
      </c>
      <c r="J260" s="10" t="str">
        <f>IF($K260="","",INDEX(Конструктор!$P$2:$P$1212,$K260))</f>
        <v/>
      </c>
      <c r="K260" t="str">
        <f>IFERROR(MATCH(240,Конструктор!$T$2:$T$1212,0),"")</f>
        <v/>
      </c>
      <c r="L260" t="str">
        <f t="shared" si="3"/>
        <v/>
      </c>
    </row>
    <row r="261" spans="1:12" hidden="1" x14ac:dyDescent="0.3">
      <c r="A261" t="str">
        <f>IF($K261="","",241)</f>
        <v/>
      </c>
      <c r="B261" t="str">
        <f>IF($K261="","",INDEX(Конструктор!$C$2:$C$1212,$K261))</f>
        <v/>
      </c>
      <c r="C261" s="8" t="str">
        <f>IF($K261="","",INDEX(Конструктор!$D$2:$D$1212,$K261)&amp;IF(INDEX(Конструктор!$J$2:$J$1212,$K261)&lt;&gt;""," — "&amp;INDEX(Конструктор!$J$2:$J$1212,$K261),""))</f>
        <v/>
      </c>
      <c r="D261" t="str">
        <f>IF($K261="","",INDEX(Конструктор!$E$2:$E$1212,$K261))</f>
        <v/>
      </c>
      <c r="E261" s="10" t="str">
        <f>IF($K261="","",INDEX(Конструктор!$H$2:$H$1212,$K261))</f>
        <v/>
      </c>
      <c r="F261" s="10" t="str">
        <f>IF($K261="","",INDEX(Конструктор!$L$2:$L$1212,$K261))</f>
        <v/>
      </c>
      <c r="G261" s="10" t="str">
        <f>IF($K261="","",INDEX(Конструктор!$M$2:$M$1212,$K261))</f>
        <v/>
      </c>
      <c r="H261" s="10" t="str">
        <f>IF($K261="","",INDEX(Конструктор!$N$2:$N$1212,$K261))</f>
        <v/>
      </c>
      <c r="I261" s="10" t="str">
        <f>IF($K261="","",INDEX(Конструктор!$O$2:$O$1212,$K261))</f>
        <v/>
      </c>
      <c r="J261" s="10" t="str">
        <f>IF($K261="","",INDEX(Конструктор!$P$2:$P$1212,$K261))</f>
        <v/>
      </c>
      <c r="K261" t="str">
        <f>IFERROR(MATCH(241,Конструктор!$T$2:$T$1212,0),"")</f>
        <v/>
      </c>
      <c r="L261" t="str">
        <f t="shared" si="3"/>
        <v/>
      </c>
    </row>
    <row r="262" spans="1:12" hidden="1" x14ac:dyDescent="0.3">
      <c r="A262" t="str">
        <f>IF($K262="","",242)</f>
        <v/>
      </c>
      <c r="B262" t="str">
        <f>IF($K262="","",INDEX(Конструктор!$C$2:$C$1212,$K262))</f>
        <v/>
      </c>
      <c r="C262" s="8" t="str">
        <f>IF($K262="","",INDEX(Конструктор!$D$2:$D$1212,$K262)&amp;IF(INDEX(Конструктор!$J$2:$J$1212,$K262)&lt;&gt;""," — "&amp;INDEX(Конструктор!$J$2:$J$1212,$K262),""))</f>
        <v/>
      </c>
      <c r="D262" t="str">
        <f>IF($K262="","",INDEX(Конструктор!$E$2:$E$1212,$K262))</f>
        <v/>
      </c>
      <c r="E262" s="10" t="str">
        <f>IF($K262="","",INDEX(Конструктор!$H$2:$H$1212,$K262))</f>
        <v/>
      </c>
      <c r="F262" s="10" t="str">
        <f>IF($K262="","",INDEX(Конструктор!$L$2:$L$1212,$K262))</f>
        <v/>
      </c>
      <c r="G262" s="10" t="str">
        <f>IF($K262="","",INDEX(Конструктор!$M$2:$M$1212,$K262))</f>
        <v/>
      </c>
      <c r="H262" s="10" t="str">
        <f>IF($K262="","",INDEX(Конструктор!$N$2:$N$1212,$K262))</f>
        <v/>
      </c>
      <c r="I262" s="10" t="str">
        <f>IF($K262="","",INDEX(Конструктор!$O$2:$O$1212,$K262))</f>
        <v/>
      </c>
      <c r="J262" s="10" t="str">
        <f>IF($K262="","",INDEX(Конструктор!$P$2:$P$1212,$K262))</f>
        <v/>
      </c>
      <c r="K262" t="str">
        <f>IFERROR(MATCH(242,Конструктор!$T$2:$T$1212,0),"")</f>
        <v/>
      </c>
      <c r="L262" t="str">
        <f t="shared" si="3"/>
        <v/>
      </c>
    </row>
    <row r="263" spans="1:12" hidden="1" x14ac:dyDescent="0.3">
      <c r="A263" t="str">
        <f>IF($K263="","",243)</f>
        <v/>
      </c>
      <c r="B263" t="str">
        <f>IF($K263="","",INDEX(Конструктор!$C$2:$C$1212,$K263))</f>
        <v/>
      </c>
      <c r="C263" s="8" t="str">
        <f>IF($K263="","",INDEX(Конструктор!$D$2:$D$1212,$K263)&amp;IF(INDEX(Конструктор!$J$2:$J$1212,$K263)&lt;&gt;""," — "&amp;INDEX(Конструктор!$J$2:$J$1212,$K263),""))</f>
        <v/>
      </c>
      <c r="D263" t="str">
        <f>IF($K263="","",INDEX(Конструктор!$E$2:$E$1212,$K263))</f>
        <v/>
      </c>
      <c r="E263" s="10" t="str">
        <f>IF($K263="","",INDEX(Конструктор!$H$2:$H$1212,$K263))</f>
        <v/>
      </c>
      <c r="F263" s="10" t="str">
        <f>IF($K263="","",INDEX(Конструктор!$L$2:$L$1212,$K263))</f>
        <v/>
      </c>
      <c r="G263" s="10" t="str">
        <f>IF($K263="","",INDEX(Конструктор!$M$2:$M$1212,$K263))</f>
        <v/>
      </c>
      <c r="H263" s="10" t="str">
        <f>IF($K263="","",INDEX(Конструктор!$N$2:$N$1212,$K263))</f>
        <v/>
      </c>
      <c r="I263" s="10" t="str">
        <f>IF($K263="","",INDEX(Конструктор!$O$2:$O$1212,$K263))</f>
        <v/>
      </c>
      <c r="J263" s="10" t="str">
        <f>IF($K263="","",INDEX(Конструктор!$P$2:$P$1212,$K263))</f>
        <v/>
      </c>
      <c r="K263" t="str">
        <f>IFERROR(MATCH(243,Конструктор!$T$2:$T$1212,0),"")</f>
        <v/>
      </c>
      <c r="L263" t="str">
        <f t="shared" si="3"/>
        <v/>
      </c>
    </row>
    <row r="264" spans="1:12" hidden="1" x14ac:dyDescent="0.3">
      <c r="A264" t="str">
        <f>IF($K264="","",244)</f>
        <v/>
      </c>
      <c r="B264" t="str">
        <f>IF($K264="","",INDEX(Конструктор!$C$2:$C$1212,$K264))</f>
        <v/>
      </c>
      <c r="C264" s="8" t="str">
        <f>IF($K264="","",INDEX(Конструктор!$D$2:$D$1212,$K264)&amp;IF(INDEX(Конструктор!$J$2:$J$1212,$K264)&lt;&gt;""," — "&amp;INDEX(Конструктор!$J$2:$J$1212,$K264),""))</f>
        <v/>
      </c>
      <c r="D264" t="str">
        <f>IF($K264="","",INDEX(Конструктор!$E$2:$E$1212,$K264))</f>
        <v/>
      </c>
      <c r="E264" s="10" t="str">
        <f>IF($K264="","",INDEX(Конструктор!$H$2:$H$1212,$K264))</f>
        <v/>
      </c>
      <c r="F264" s="10" t="str">
        <f>IF($K264="","",INDEX(Конструктор!$L$2:$L$1212,$K264))</f>
        <v/>
      </c>
      <c r="G264" s="10" t="str">
        <f>IF($K264="","",INDEX(Конструктор!$M$2:$M$1212,$K264))</f>
        <v/>
      </c>
      <c r="H264" s="10" t="str">
        <f>IF($K264="","",INDEX(Конструктор!$N$2:$N$1212,$K264))</f>
        <v/>
      </c>
      <c r="I264" s="10" t="str">
        <f>IF($K264="","",INDEX(Конструктор!$O$2:$O$1212,$K264))</f>
        <v/>
      </c>
      <c r="J264" s="10" t="str">
        <f>IF($K264="","",INDEX(Конструктор!$P$2:$P$1212,$K264))</f>
        <v/>
      </c>
      <c r="K264" t="str">
        <f>IFERROR(MATCH(244,Конструктор!$T$2:$T$1212,0),"")</f>
        <v/>
      </c>
      <c r="L264" t="str">
        <f t="shared" si="3"/>
        <v/>
      </c>
    </row>
    <row r="265" spans="1:12" hidden="1" x14ac:dyDescent="0.3">
      <c r="A265" t="str">
        <f>IF($K265="","",245)</f>
        <v/>
      </c>
      <c r="B265" t="str">
        <f>IF($K265="","",INDEX(Конструктор!$C$2:$C$1212,$K265))</f>
        <v/>
      </c>
      <c r="C265" s="8" t="str">
        <f>IF($K265="","",INDEX(Конструктор!$D$2:$D$1212,$K265)&amp;IF(INDEX(Конструктор!$J$2:$J$1212,$K265)&lt;&gt;""," — "&amp;INDEX(Конструктор!$J$2:$J$1212,$K265),""))</f>
        <v/>
      </c>
      <c r="D265" t="str">
        <f>IF($K265="","",INDEX(Конструктор!$E$2:$E$1212,$K265))</f>
        <v/>
      </c>
      <c r="E265" s="10" t="str">
        <f>IF($K265="","",INDEX(Конструктор!$H$2:$H$1212,$K265))</f>
        <v/>
      </c>
      <c r="F265" s="10" t="str">
        <f>IF($K265="","",INDEX(Конструктор!$L$2:$L$1212,$K265))</f>
        <v/>
      </c>
      <c r="G265" s="10" t="str">
        <f>IF($K265="","",INDEX(Конструктор!$M$2:$M$1212,$K265))</f>
        <v/>
      </c>
      <c r="H265" s="10" t="str">
        <f>IF($K265="","",INDEX(Конструктор!$N$2:$N$1212,$K265))</f>
        <v/>
      </c>
      <c r="I265" s="10" t="str">
        <f>IF($K265="","",INDEX(Конструктор!$O$2:$O$1212,$K265))</f>
        <v/>
      </c>
      <c r="J265" s="10" t="str">
        <f>IF($K265="","",INDEX(Конструктор!$P$2:$P$1212,$K265))</f>
        <v/>
      </c>
      <c r="K265" t="str">
        <f>IFERROR(MATCH(245,Конструктор!$T$2:$T$1212,0),"")</f>
        <v/>
      </c>
      <c r="L265" t="str">
        <f t="shared" si="3"/>
        <v/>
      </c>
    </row>
    <row r="266" spans="1:12" hidden="1" x14ac:dyDescent="0.3">
      <c r="A266" t="str">
        <f>IF($K266="","",246)</f>
        <v/>
      </c>
      <c r="B266" t="str">
        <f>IF($K266="","",INDEX(Конструктор!$C$2:$C$1212,$K266))</f>
        <v/>
      </c>
      <c r="C266" s="8" t="str">
        <f>IF($K266="","",INDEX(Конструктор!$D$2:$D$1212,$K266)&amp;IF(INDEX(Конструктор!$J$2:$J$1212,$K266)&lt;&gt;""," — "&amp;INDEX(Конструктор!$J$2:$J$1212,$K266),""))</f>
        <v/>
      </c>
      <c r="D266" t="str">
        <f>IF($K266="","",INDEX(Конструктор!$E$2:$E$1212,$K266))</f>
        <v/>
      </c>
      <c r="E266" s="10" t="str">
        <f>IF($K266="","",INDEX(Конструктор!$H$2:$H$1212,$K266))</f>
        <v/>
      </c>
      <c r="F266" s="10" t="str">
        <f>IF($K266="","",INDEX(Конструктор!$L$2:$L$1212,$K266))</f>
        <v/>
      </c>
      <c r="G266" s="10" t="str">
        <f>IF($K266="","",INDEX(Конструктор!$M$2:$M$1212,$K266))</f>
        <v/>
      </c>
      <c r="H266" s="10" t="str">
        <f>IF($K266="","",INDEX(Конструктор!$N$2:$N$1212,$K266))</f>
        <v/>
      </c>
      <c r="I266" s="10" t="str">
        <f>IF($K266="","",INDEX(Конструктор!$O$2:$O$1212,$K266))</f>
        <v/>
      </c>
      <c r="J266" s="10" t="str">
        <f>IF($K266="","",INDEX(Конструктор!$P$2:$P$1212,$K266))</f>
        <v/>
      </c>
      <c r="K266" t="str">
        <f>IFERROR(MATCH(246,Конструктор!$T$2:$T$1212,0),"")</f>
        <v/>
      </c>
      <c r="L266" t="str">
        <f t="shared" si="3"/>
        <v/>
      </c>
    </row>
    <row r="267" spans="1:12" hidden="1" x14ac:dyDescent="0.3">
      <c r="A267" t="str">
        <f>IF($K267="","",247)</f>
        <v/>
      </c>
      <c r="B267" t="str">
        <f>IF($K267="","",INDEX(Конструктор!$C$2:$C$1212,$K267))</f>
        <v/>
      </c>
      <c r="C267" s="8" t="str">
        <f>IF($K267="","",INDEX(Конструктор!$D$2:$D$1212,$K267)&amp;IF(INDEX(Конструктор!$J$2:$J$1212,$K267)&lt;&gt;""," — "&amp;INDEX(Конструктор!$J$2:$J$1212,$K267),""))</f>
        <v/>
      </c>
      <c r="D267" t="str">
        <f>IF($K267="","",INDEX(Конструктор!$E$2:$E$1212,$K267))</f>
        <v/>
      </c>
      <c r="E267" s="10" t="str">
        <f>IF($K267="","",INDEX(Конструктор!$H$2:$H$1212,$K267))</f>
        <v/>
      </c>
      <c r="F267" s="10" t="str">
        <f>IF($K267="","",INDEX(Конструктор!$L$2:$L$1212,$K267))</f>
        <v/>
      </c>
      <c r="G267" s="10" t="str">
        <f>IF($K267="","",INDEX(Конструктор!$M$2:$M$1212,$K267))</f>
        <v/>
      </c>
      <c r="H267" s="10" t="str">
        <f>IF($K267="","",INDEX(Конструктор!$N$2:$N$1212,$K267))</f>
        <v/>
      </c>
      <c r="I267" s="10" t="str">
        <f>IF($K267="","",INDEX(Конструктор!$O$2:$O$1212,$K267))</f>
        <v/>
      </c>
      <c r="J267" s="10" t="str">
        <f>IF($K267="","",INDEX(Конструктор!$P$2:$P$1212,$K267))</f>
        <v/>
      </c>
      <c r="K267" t="str">
        <f>IFERROR(MATCH(247,Конструктор!$T$2:$T$1212,0),"")</f>
        <v/>
      </c>
      <c r="L267" t="str">
        <f t="shared" si="3"/>
        <v/>
      </c>
    </row>
    <row r="268" spans="1:12" hidden="1" x14ac:dyDescent="0.3">
      <c r="A268" t="str">
        <f>IF($K268="","",248)</f>
        <v/>
      </c>
      <c r="B268" t="str">
        <f>IF($K268="","",INDEX(Конструктор!$C$2:$C$1212,$K268))</f>
        <v/>
      </c>
      <c r="C268" s="8" t="str">
        <f>IF($K268="","",INDEX(Конструктор!$D$2:$D$1212,$K268)&amp;IF(INDEX(Конструктор!$J$2:$J$1212,$K268)&lt;&gt;""," — "&amp;INDEX(Конструктор!$J$2:$J$1212,$K268),""))</f>
        <v/>
      </c>
      <c r="D268" t="str">
        <f>IF($K268="","",INDEX(Конструктор!$E$2:$E$1212,$K268))</f>
        <v/>
      </c>
      <c r="E268" s="10" t="str">
        <f>IF($K268="","",INDEX(Конструктор!$H$2:$H$1212,$K268))</f>
        <v/>
      </c>
      <c r="F268" s="10" t="str">
        <f>IF($K268="","",INDEX(Конструктор!$L$2:$L$1212,$K268))</f>
        <v/>
      </c>
      <c r="G268" s="10" t="str">
        <f>IF($K268="","",INDEX(Конструктор!$M$2:$M$1212,$K268))</f>
        <v/>
      </c>
      <c r="H268" s="10" t="str">
        <f>IF($K268="","",INDEX(Конструктор!$N$2:$N$1212,$K268))</f>
        <v/>
      </c>
      <c r="I268" s="10" t="str">
        <f>IF($K268="","",INDEX(Конструктор!$O$2:$O$1212,$K268))</f>
        <v/>
      </c>
      <c r="J268" s="10" t="str">
        <f>IF($K268="","",INDEX(Конструктор!$P$2:$P$1212,$K268))</f>
        <v/>
      </c>
      <c r="K268" t="str">
        <f>IFERROR(MATCH(248,Конструктор!$T$2:$T$1212,0),"")</f>
        <v/>
      </c>
      <c r="L268" t="str">
        <f t="shared" si="3"/>
        <v/>
      </c>
    </row>
    <row r="269" spans="1:12" hidden="1" x14ac:dyDescent="0.3">
      <c r="A269" t="str">
        <f>IF($K269="","",249)</f>
        <v/>
      </c>
      <c r="B269" t="str">
        <f>IF($K269="","",INDEX(Конструктор!$C$2:$C$1212,$K269))</f>
        <v/>
      </c>
      <c r="C269" s="8" t="str">
        <f>IF($K269="","",INDEX(Конструктор!$D$2:$D$1212,$K269)&amp;IF(INDEX(Конструктор!$J$2:$J$1212,$K269)&lt;&gt;""," — "&amp;INDEX(Конструктор!$J$2:$J$1212,$K269),""))</f>
        <v/>
      </c>
      <c r="D269" t="str">
        <f>IF($K269="","",INDEX(Конструктор!$E$2:$E$1212,$K269))</f>
        <v/>
      </c>
      <c r="E269" s="10" t="str">
        <f>IF($K269="","",INDEX(Конструктор!$H$2:$H$1212,$K269))</f>
        <v/>
      </c>
      <c r="F269" s="10" t="str">
        <f>IF($K269="","",INDEX(Конструктор!$L$2:$L$1212,$K269))</f>
        <v/>
      </c>
      <c r="G269" s="10" t="str">
        <f>IF($K269="","",INDEX(Конструктор!$M$2:$M$1212,$K269))</f>
        <v/>
      </c>
      <c r="H269" s="10" t="str">
        <f>IF($K269="","",INDEX(Конструктор!$N$2:$N$1212,$K269))</f>
        <v/>
      </c>
      <c r="I269" s="10" t="str">
        <f>IF($K269="","",INDEX(Конструктор!$O$2:$O$1212,$K269))</f>
        <v/>
      </c>
      <c r="J269" s="10" t="str">
        <f>IF($K269="","",INDEX(Конструктор!$P$2:$P$1212,$K269))</f>
        <v/>
      </c>
      <c r="K269" t="str">
        <f>IFERROR(MATCH(249,Конструктор!$T$2:$T$1212,0),"")</f>
        <v/>
      </c>
      <c r="L269" t="str">
        <f t="shared" si="3"/>
        <v/>
      </c>
    </row>
    <row r="270" spans="1:12" hidden="1" x14ac:dyDescent="0.3">
      <c r="A270" t="str">
        <f>IF($K270="","",250)</f>
        <v/>
      </c>
      <c r="B270" t="str">
        <f>IF($K270="","",INDEX(Конструктор!$C$2:$C$1212,$K270))</f>
        <v/>
      </c>
      <c r="C270" s="8" t="str">
        <f>IF($K270="","",INDEX(Конструктор!$D$2:$D$1212,$K270)&amp;IF(INDEX(Конструктор!$J$2:$J$1212,$K270)&lt;&gt;""," — "&amp;INDEX(Конструктор!$J$2:$J$1212,$K270),""))</f>
        <v/>
      </c>
      <c r="D270" t="str">
        <f>IF($K270="","",INDEX(Конструктор!$E$2:$E$1212,$K270))</f>
        <v/>
      </c>
      <c r="E270" s="10" t="str">
        <f>IF($K270="","",INDEX(Конструктор!$H$2:$H$1212,$K270))</f>
        <v/>
      </c>
      <c r="F270" s="10" t="str">
        <f>IF($K270="","",INDEX(Конструктор!$L$2:$L$1212,$K270))</f>
        <v/>
      </c>
      <c r="G270" s="10" t="str">
        <f>IF($K270="","",INDEX(Конструктор!$M$2:$M$1212,$K270))</f>
        <v/>
      </c>
      <c r="H270" s="10" t="str">
        <f>IF($K270="","",INDEX(Конструктор!$N$2:$N$1212,$K270))</f>
        <v/>
      </c>
      <c r="I270" s="10" t="str">
        <f>IF($K270="","",INDEX(Конструктор!$O$2:$O$1212,$K270))</f>
        <v/>
      </c>
      <c r="J270" s="10" t="str">
        <f>IF($K270="","",INDEX(Конструктор!$P$2:$P$1212,$K270))</f>
        <v/>
      </c>
      <c r="K270" t="str">
        <f>IFERROR(MATCH(250,Конструктор!$T$2:$T$1212,0),"")</f>
        <v/>
      </c>
      <c r="L270" t="str">
        <f t="shared" si="3"/>
        <v/>
      </c>
    </row>
    <row r="271" spans="1:12" hidden="1" x14ac:dyDescent="0.3">
      <c r="A271" t="str">
        <f>IF($K271="","",251)</f>
        <v/>
      </c>
      <c r="B271" t="str">
        <f>IF($K271="","",INDEX(Конструктор!$C$2:$C$1212,$K271))</f>
        <v/>
      </c>
      <c r="C271" s="8" t="str">
        <f>IF($K271="","",INDEX(Конструктор!$D$2:$D$1212,$K271)&amp;IF(INDEX(Конструктор!$J$2:$J$1212,$K271)&lt;&gt;""," — "&amp;INDEX(Конструктор!$J$2:$J$1212,$K271),""))</f>
        <v/>
      </c>
      <c r="D271" t="str">
        <f>IF($K271="","",INDEX(Конструктор!$E$2:$E$1212,$K271))</f>
        <v/>
      </c>
      <c r="E271" s="10" t="str">
        <f>IF($K271="","",INDEX(Конструктор!$H$2:$H$1212,$K271))</f>
        <v/>
      </c>
      <c r="F271" s="10" t="str">
        <f>IF($K271="","",INDEX(Конструктор!$L$2:$L$1212,$K271))</f>
        <v/>
      </c>
      <c r="G271" s="10" t="str">
        <f>IF($K271="","",INDEX(Конструктор!$M$2:$M$1212,$K271))</f>
        <v/>
      </c>
      <c r="H271" s="10" t="str">
        <f>IF($K271="","",INDEX(Конструктор!$N$2:$N$1212,$K271))</f>
        <v/>
      </c>
      <c r="I271" s="10" t="str">
        <f>IF($K271="","",INDEX(Конструктор!$O$2:$O$1212,$K271))</f>
        <v/>
      </c>
      <c r="J271" s="10" t="str">
        <f>IF($K271="","",INDEX(Конструктор!$P$2:$P$1212,$K271))</f>
        <v/>
      </c>
      <c r="K271" t="str">
        <f>IFERROR(MATCH(251,Конструктор!$T$2:$T$1212,0),"")</f>
        <v/>
      </c>
      <c r="L271" t="str">
        <f t="shared" si="3"/>
        <v/>
      </c>
    </row>
    <row r="272" spans="1:12" hidden="1" x14ac:dyDescent="0.3">
      <c r="A272" t="str">
        <f>IF($K272="","",252)</f>
        <v/>
      </c>
      <c r="B272" t="str">
        <f>IF($K272="","",INDEX(Конструктор!$C$2:$C$1212,$K272))</f>
        <v/>
      </c>
      <c r="C272" s="8" t="str">
        <f>IF($K272="","",INDEX(Конструктор!$D$2:$D$1212,$K272)&amp;IF(INDEX(Конструктор!$J$2:$J$1212,$K272)&lt;&gt;""," — "&amp;INDEX(Конструктор!$J$2:$J$1212,$K272),""))</f>
        <v/>
      </c>
      <c r="D272" t="str">
        <f>IF($K272="","",INDEX(Конструктор!$E$2:$E$1212,$K272))</f>
        <v/>
      </c>
      <c r="E272" s="10" t="str">
        <f>IF($K272="","",INDEX(Конструктор!$H$2:$H$1212,$K272))</f>
        <v/>
      </c>
      <c r="F272" s="10" t="str">
        <f>IF($K272="","",INDEX(Конструктор!$L$2:$L$1212,$K272))</f>
        <v/>
      </c>
      <c r="G272" s="10" t="str">
        <f>IF($K272="","",INDEX(Конструктор!$M$2:$M$1212,$K272))</f>
        <v/>
      </c>
      <c r="H272" s="10" t="str">
        <f>IF($K272="","",INDEX(Конструктор!$N$2:$N$1212,$K272))</f>
        <v/>
      </c>
      <c r="I272" s="10" t="str">
        <f>IF($K272="","",INDEX(Конструктор!$O$2:$O$1212,$K272))</f>
        <v/>
      </c>
      <c r="J272" s="10" t="str">
        <f>IF($K272="","",INDEX(Конструктор!$P$2:$P$1212,$K272))</f>
        <v/>
      </c>
      <c r="K272" t="str">
        <f>IFERROR(MATCH(252,Конструктор!$T$2:$T$1212,0),"")</f>
        <v/>
      </c>
      <c r="L272" t="str">
        <f t="shared" si="3"/>
        <v/>
      </c>
    </row>
    <row r="273" spans="1:12" hidden="1" x14ac:dyDescent="0.3">
      <c r="A273" t="str">
        <f>IF($K273="","",253)</f>
        <v/>
      </c>
      <c r="B273" t="str">
        <f>IF($K273="","",INDEX(Конструктор!$C$2:$C$1212,$K273))</f>
        <v/>
      </c>
      <c r="C273" s="8" t="str">
        <f>IF($K273="","",INDEX(Конструктор!$D$2:$D$1212,$K273)&amp;IF(INDEX(Конструктор!$J$2:$J$1212,$K273)&lt;&gt;""," — "&amp;INDEX(Конструктор!$J$2:$J$1212,$K273),""))</f>
        <v/>
      </c>
      <c r="D273" t="str">
        <f>IF($K273="","",INDEX(Конструктор!$E$2:$E$1212,$K273))</f>
        <v/>
      </c>
      <c r="E273" s="10" t="str">
        <f>IF($K273="","",INDEX(Конструктор!$H$2:$H$1212,$K273))</f>
        <v/>
      </c>
      <c r="F273" s="10" t="str">
        <f>IF($K273="","",INDEX(Конструктор!$L$2:$L$1212,$K273))</f>
        <v/>
      </c>
      <c r="G273" s="10" t="str">
        <f>IF($K273="","",INDEX(Конструктор!$M$2:$M$1212,$K273))</f>
        <v/>
      </c>
      <c r="H273" s="10" t="str">
        <f>IF($K273="","",INDEX(Конструктор!$N$2:$N$1212,$K273))</f>
        <v/>
      </c>
      <c r="I273" s="10" t="str">
        <f>IF($K273="","",INDEX(Конструктор!$O$2:$O$1212,$K273))</f>
        <v/>
      </c>
      <c r="J273" s="10" t="str">
        <f>IF($K273="","",INDEX(Конструктор!$P$2:$P$1212,$K273))</f>
        <v/>
      </c>
      <c r="K273" t="str">
        <f>IFERROR(MATCH(253,Конструктор!$T$2:$T$1212,0),"")</f>
        <v/>
      </c>
      <c r="L273" t="str">
        <f t="shared" si="3"/>
        <v/>
      </c>
    </row>
    <row r="274" spans="1:12" hidden="1" x14ac:dyDescent="0.3">
      <c r="A274" t="str">
        <f>IF($K274="","",254)</f>
        <v/>
      </c>
      <c r="B274" t="str">
        <f>IF($K274="","",INDEX(Конструктор!$C$2:$C$1212,$K274))</f>
        <v/>
      </c>
      <c r="C274" s="8" t="str">
        <f>IF($K274="","",INDEX(Конструктор!$D$2:$D$1212,$K274)&amp;IF(INDEX(Конструктор!$J$2:$J$1212,$K274)&lt;&gt;""," — "&amp;INDEX(Конструктор!$J$2:$J$1212,$K274),""))</f>
        <v/>
      </c>
      <c r="D274" t="str">
        <f>IF($K274="","",INDEX(Конструктор!$E$2:$E$1212,$K274))</f>
        <v/>
      </c>
      <c r="E274" s="10" t="str">
        <f>IF($K274="","",INDEX(Конструктор!$H$2:$H$1212,$K274))</f>
        <v/>
      </c>
      <c r="F274" s="10" t="str">
        <f>IF($K274="","",INDEX(Конструктор!$L$2:$L$1212,$K274))</f>
        <v/>
      </c>
      <c r="G274" s="10" t="str">
        <f>IF($K274="","",INDEX(Конструктор!$M$2:$M$1212,$K274))</f>
        <v/>
      </c>
      <c r="H274" s="10" t="str">
        <f>IF($K274="","",INDEX(Конструктор!$N$2:$N$1212,$K274))</f>
        <v/>
      </c>
      <c r="I274" s="10" t="str">
        <f>IF($K274="","",INDEX(Конструктор!$O$2:$O$1212,$K274))</f>
        <v/>
      </c>
      <c r="J274" s="10" t="str">
        <f>IF($K274="","",INDEX(Конструктор!$P$2:$P$1212,$K274))</f>
        <v/>
      </c>
      <c r="K274" t="str">
        <f>IFERROR(MATCH(254,Конструктор!$T$2:$T$1212,0),"")</f>
        <v/>
      </c>
      <c r="L274" t="str">
        <f t="shared" si="3"/>
        <v/>
      </c>
    </row>
    <row r="275" spans="1:12" hidden="1" x14ac:dyDescent="0.3">
      <c r="A275" t="str">
        <f>IF($K275="","",255)</f>
        <v/>
      </c>
      <c r="B275" t="str">
        <f>IF($K275="","",INDEX(Конструктор!$C$2:$C$1212,$K275))</f>
        <v/>
      </c>
      <c r="C275" s="8" t="str">
        <f>IF($K275="","",INDEX(Конструктор!$D$2:$D$1212,$K275)&amp;IF(INDEX(Конструктор!$J$2:$J$1212,$K275)&lt;&gt;""," — "&amp;INDEX(Конструктор!$J$2:$J$1212,$K275),""))</f>
        <v/>
      </c>
      <c r="D275" t="str">
        <f>IF($K275="","",INDEX(Конструктор!$E$2:$E$1212,$K275))</f>
        <v/>
      </c>
      <c r="E275" s="10" t="str">
        <f>IF($K275="","",INDEX(Конструктор!$H$2:$H$1212,$K275))</f>
        <v/>
      </c>
      <c r="F275" s="10" t="str">
        <f>IF($K275="","",INDEX(Конструктор!$L$2:$L$1212,$K275))</f>
        <v/>
      </c>
      <c r="G275" s="10" t="str">
        <f>IF($K275="","",INDEX(Конструктор!$M$2:$M$1212,$K275))</f>
        <v/>
      </c>
      <c r="H275" s="10" t="str">
        <f>IF($K275="","",INDEX(Конструктор!$N$2:$N$1212,$K275))</f>
        <v/>
      </c>
      <c r="I275" s="10" t="str">
        <f>IF($K275="","",INDEX(Конструктор!$O$2:$O$1212,$K275))</f>
        <v/>
      </c>
      <c r="J275" s="10" t="str">
        <f>IF($K275="","",INDEX(Конструктор!$P$2:$P$1212,$K275))</f>
        <v/>
      </c>
      <c r="K275" t="str">
        <f>IFERROR(MATCH(255,Конструктор!$T$2:$T$1212,0),"")</f>
        <v/>
      </c>
      <c r="L275" t="str">
        <f t="shared" si="3"/>
        <v/>
      </c>
    </row>
    <row r="276" spans="1:12" hidden="1" x14ac:dyDescent="0.3">
      <c r="A276" t="str">
        <f>IF($K276="","",256)</f>
        <v/>
      </c>
      <c r="B276" t="str">
        <f>IF($K276="","",INDEX(Конструктор!$C$2:$C$1212,$K276))</f>
        <v/>
      </c>
      <c r="C276" s="8" t="str">
        <f>IF($K276="","",INDEX(Конструктор!$D$2:$D$1212,$K276)&amp;IF(INDEX(Конструктор!$J$2:$J$1212,$K276)&lt;&gt;""," — "&amp;INDEX(Конструктор!$J$2:$J$1212,$K276),""))</f>
        <v/>
      </c>
      <c r="D276" t="str">
        <f>IF($K276="","",INDEX(Конструктор!$E$2:$E$1212,$K276))</f>
        <v/>
      </c>
      <c r="E276" s="10" t="str">
        <f>IF($K276="","",INDEX(Конструктор!$H$2:$H$1212,$K276))</f>
        <v/>
      </c>
      <c r="F276" s="10" t="str">
        <f>IF($K276="","",INDEX(Конструктор!$L$2:$L$1212,$K276))</f>
        <v/>
      </c>
      <c r="G276" s="10" t="str">
        <f>IF($K276="","",INDEX(Конструктор!$M$2:$M$1212,$K276))</f>
        <v/>
      </c>
      <c r="H276" s="10" t="str">
        <f>IF($K276="","",INDEX(Конструктор!$N$2:$N$1212,$K276))</f>
        <v/>
      </c>
      <c r="I276" s="10" t="str">
        <f>IF($K276="","",INDEX(Конструктор!$O$2:$O$1212,$K276))</f>
        <v/>
      </c>
      <c r="J276" s="10" t="str">
        <f>IF($K276="","",INDEX(Конструктор!$P$2:$P$1212,$K276))</f>
        <v/>
      </c>
      <c r="K276" t="str">
        <f>IFERROR(MATCH(256,Конструктор!$T$2:$T$1212,0),"")</f>
        <v/>
      </c>
      <c r="L276" t="str">
        <f t="shared" si="3"/>
        <v/>
      </c>
    </row>
    <row r="277" spans="1:12" hidden="1" x14ac:dyDescent="0.3">
      <c r="A277" t="str">
        <f>IF($K277="","",257)</f>
        <v/>
      </c>
      <c r="B277" t="str">
        <f>IF($K277="","",INDEX(Конструктор!$C$2:$C$1212,$K277))</f>
        <v/>
      </c>
      <c r="C277" s="8" t="str">
        <f>IF($K277="","",INDEX(Конструктор!$D$2:$D$1212,$K277)&amp;IF(INDEX(Конструктор!$J$2:$J$1212,$K277)&lt;&gt;""," — "&amp;INDEX(Конструктор!$J$2:$J$1212,$K277),""))</f>
        <v/>
      </c>
      <c r="D277" t="str">
        <f>IF($K277="","",INDEX(Конструктор!$E$2:$E$1212,$K277))</f>
        <v/>
      </c>
      <c r="E277" s="10" t="str">
        <f>IF($K277="","",INDEX(Конструктор!$H$2:$H$1212,$K277))</f>
        <v/>
      </c>
      <c r="F277" s="10" t="str">
        <f>IF($K277="","",INDEX(Конструктор!$L$2:$L$1212,$K277))</f>
        <v/>
      </c>
      <c r="G277" s="10" t="str">
        <f>IF($K277="","",INDEX(Конструктор!$M$2:$M$1212,$K277))</f>
        <v/>
      </c>
      <c r="H277" s="10" t="str">
        <f>IF($K277="","",INDEX(Конструктор!$N$2:$N$1212,$K277))</f>
        <v/>
      </c>
      <c r="I277" s="10" t="str">
        <f>IF($K277="","",INDEX(Конструктор!$O$2:$O$1212,$K277))</f>
        <v/>
      </c>
      <c r="J277" s="10" t="str">
        <f>IF($K277="","",INDEX(Конструктор!$P$2:$P$1212,$K277))</f>
        <v/>
      </c>
      <c r="K277" t="str">
        <f>IFERROR(MATCH(257,Конструктор!$T$2:$T$1212,0),"")</f>
        <v/>
      </c>
      <c r="L277" t="str">
        <f t="shared" ref="L277:L340" si="4">IF($K277="","","показать")</f>
        <v/>
      </c>
    </row>
    <row r="278" spans="1:12" hidden="1" x14ac:dyDescent="0.3">
      <c r="A278" t="str">
        <f>IF($K278="","",258)</f>
        <v/>
      </c>
      <c r="B278" t="str">
        <f>IF($K278="","",INDEX(Конструктор!$C$2:$C$1212,$K278))</f>
        <v/>
      </c>
      <c r="C278" s="8" t="str">
        <f>IF($K278="","",INDEX(Конструктор!$D$2:$D$1212,$K278)&amp;IF(INDEX(Конструктор!$J$2:$J$1212,$K278)&lt;&gt;""," — "&amp;INDEX(Конструктор!$J$2:$J$1212,$K278),""))</f>
        <v/>
      </c>
      <c r="D278" t="str">
        <f>IF($K278="","",INDEX(Конструктор!$E$2:$E$1212,$K278))</f>
        <v/>
      </c>
      <c r="E278" s="10" t="str">
        <f>IF($K278="","",INDEX(Конструктор!$H$2:$H$1212,$K278))</f>
        <v/>
      </c>
      <c r="F278" s="10" t="str">
        <f>IF($K278="","",INDEX(Конструктор!$L$2:$L$1212,$K278))</f>
        <v/>
      </c>
      <c r="G278" s="10" t="str">
        <f>IF($K278="","",INDEX(Конструктор!$M$2:$M$1212,$K278))</f>
        <v/>
      </c>
      <c r="H278" s="10" t="str">
        <f>IF($K278="","",INDEX(Конструктор!$N$2:$N$1212,$K278))</f>
        <v/>
      </c>
      <c r="I278" s="10" t="str">
        <f>IF($K278="","",INDEX(Конструктор!$O$2:$O$1212,$K278))</f>
        <v/>
      </c>
      <c r="J278" s="10" t="str">
        <f>IF($K278="","",INDEX(Конструктор!$P$2:$P$1212,$K278))</f>
        <v/>
      </c>
      <c r="K278" t="str">
        <f>IFERROR(MATCH(258,Конструктор!$T$2:$T$1212,0),"")</f>
        <v/>
      </c>
      <c r="L278" t="str">
        <f t="shared" si="4"/>
        <v/>
      </c>
    </row>
    <row r="279" spans="1:12" hidden="1" x14ac:dyDescent="0.3">
      <c r="A279" t="str">
        <f>IF($K279="","",259)</f>
        <v/>
      </c>
      <c r="B279" t="str">
        <f>IF($K279="","",INDEX(Конструктор!$C$2:$C$1212,$K279))</f>
        <v/>
      </c>
      <c r="C279" s="8" t="str">
        <f>IF($K279="","",INDEX(Конструктор!$D$2:$D$1212,$K279)&amp;IF(INDEX(Конструктор!$J$2:$J$1212,$K279)&lt;&gt;""," — "&amp;INDEX(Конструктор!$J$2:$J$1212,$K279),""))</f>
        <v/>
      </c>
      <c r="D279" t="str">
        <f>IF($K279="","",INDEX(Конструктор!$E$2:$E$1212,$K279))</f>
        <v/>
      </c>
      <c r="E279" s="10" t="str">
        <f>IF($K279="","",INDEX(Конструктор!$H$2:$H$1212,$K279))</f>
        <v/>
      </c>
      <c r="F279" s="10" t="str">
        <f>IF($K279="","",INDEX(Конструктор!$L$2:$L$1212,$K279))</f>
        <v/>
      </c>
      <c r="G279" s="10" t="str">
        <f>IF($K279="","",INDEX(Конструктор!$M$2:$M$1212,$K279))</f>
        <v/>
      </c>
      <c r="H279" s="10" t="str">
        <f>IF($K279="","",INDEX(Конструктор!$N$2:$N$1212,$K279))</f>
        <v/>
      </c>
      <c r="I279" s="10" t="str">
        <f>IF($K279="","",INDEX(Конструктор!$O$2:$O$1212,$K279))</f>
        <v/>
      </c>
      <c r="J279" s="10" t="str">
        <f>IF($K279="","",INDEX(Конструктор!$P$2:$P$1212,$K279))</f>
        <v/>
      </c>
      <c r="K279" t="str">
        <f>IFERROR(MATCH(259,Конструктор!$T$2:$T$1212,0),"")</f>
        <v/>
      </c>
      <c r="L279" t="str">
        <f t="shared" si="4"/>
        <v/>
      </c>
    </row>
    <row r="280" spans="1:12" hidden="1" x14ac:dyDescent="0.3">
      <c r="A280" t="str">
        <f>IF($K280="","",260)</f>
        <v/>
      </c>
      <c r="B280" t="str">
        <f>IF($K280="","",INDEX(Конструктор!$C$2:$C$1212,$K280))</f>
        <v/>
      </c>
      <c r="C280" s="8" t="str">
        <f>IF($K280="","",INDEX(Конструктор!$D$2:$D$1212,$K280)&amp;IF(INDEX(Конструктор!$J$2:$J$1212,$K280)&lt;&gt;""," — "&amp;INDEX(Конструктор!$J$2:$J$1212,$K280),""))</f>
        <v/>
      </c>
      <c r="D280" t="str">
        <f>IF($K280="","",INDEX(Конструктор!$E$2:$E$1212,$K280))</f>
        <v/>
      </c>
      <c r="E280" s="10" t="str">
        <f>IF($K280="","",INDEX(Конструктор!$H$2:$H$1212,$K280))</f>
        <v/>
      </c>
      <c r="F280" s="10" t="str">
        <f>IF($K280="","",INDEX(Конструктор!$L$2:$L$1212,$K280))</f>
        <v/>
      </c>
      <c r="G280" s="10" t="str">
        <f>IF($K280="","",INDEX(Конструктор!$M$2:$M$1212,$K280))</f>
        <v/>
      </c>
      <c r="H280" s="10" t="str">
        <f>IF($K280="","",INDEX(Конструктор!$N$2:$N$1212,$K280))</f>
        <v/>
      </c>
      <c r="I280" s="10" t="str">
        <f>IF($K280="","",INDEX(Конструктор!$O$2:$O$1212,$K280))</f>
        <v/>
      </c>
      <c r="J280" s="10" t="str">
        <f>IF($K280="","",INDEX(Конструктор!$P$2:$P$1212,$K280))</f>
        <v/>
      </c>
      <c r="K280" t="str">
        <f>IFERROR(MATCH(260,Конструктор!$T$2:$T$1212,0),"")</f>
        <v/>
      </c>
      <c r="L280" t="str">
        <f t="shared" si="4"/>
        <v/>
      </c>
    </row>
    <row r="281" spans="1:12" hidden="1" x14ac:dyDescent="0.3">
      <c r="A281" t="str">
        <f>IF($K281="","",261)</f>
        <v/>
      </c>
      <c r="B281" t="str">
        <f>IF($K281="","",INDEX(Конструктор!$C$2:$C$1212,$K281))</f>
        <v/>
      </c>
      <c r="C281" s="8" t="str">
        <f>IF($K281="","",INDEX(Конструктор!$D$2:$D$1212,$K281)&amp;IF(INDEX(Конструктор!$J$2:$J$1212,$K281)&lt;&gt;""," — "&amp;INDEX(Конструктор!$J$2:$J$1212,$K281),""))</f>
        <v/>
      </c>
      <c r="D281" t="str">
        <f>IF($K281="","",INDEX(Конструктор!$E$2:$E$1212,$K281))</f>
        <v/>
      </c>
      <c r="E281" s="10" t="str">
        <f>IF($K281="","",INDEX(Конструктор!$H$2:$H$1212,$K281))</f>
        <v/>
      </c>
      <c r="F281" s="10" t="str">
        <f>IF($K281="","",INDEX(Конструктор!$L$2:$L$1212,$K281))</f>
        <v/>
      </c>
      <c r="G281" s="10" t="str">
        <f>IF($K281="","",INDEX(Конструктор!$M$2:$M$1212,$K281))</f>
        <v/>
      </c>
      <c r="H281" s="10" t="str">
        <f>IF($K281="","",INDEX(Конструктор!$N$2:$N$1212,$K281))</f>
        <v/>
      </c>
      <c r="I281" s="10" t="str">
        <f>IF($K281="","",INDEX(Конструктор!$O$2:$O$1212,$K281))</f>
        <v/>
      </c>
      <c r="J281" s="10" t="str">
        <f>IF($K281="","",INDEX(Конструктор!$P$2:$P$1212,$K281))</f>
        <v/>
      </c>
      <c r="K281" t="str">
        <f>IFERROR(MATCH(261,Конструктор!$T$2:$T$1212,0),"")</f>
        <v/>
      </c>
      <c r="L281" t="str">
        <f t="shared" si="4"/>
        <v/>
      </c>
    </row>
    <row r="282" spans="1:12" hidden="1" x14ac:dyDescent="0.3">
      <c r="A282" t="str">
        <f>IF($K282="","",262)</f>
        <v/>
      </c>
      <c r="B282" t="str">
        <f>IF($K282="","",INDEX(Конструктор!$C$2:$C$1212,$K282))</f>
        <v/>
      </c>
      <c r="C282" s="8" t="str">
        <f>IF($K282="","",INDEX(Конструктор!$D$2:$D$1212,$K282)&amp;IF(INDEX(Конструктор!$J$2:$J$1212,$K282)&lt;&gt;""," — "&amp;INDEX(Конструктор!$J$2:$J$1212,$K282),""))</f>
        <v/>
      </c>
      <c r="D282" t="str">
        <f>IF($K282="","",INDEX(Конструктор!$E$2:$E$1212,$K282))</f>
        <v/>
      </c>
      <c r="E282" s="10" t="str">
        <f>IF($K282="","",INDEX(Конструктор!$H$2:$H$1212,$K282))</f>
        <v/>
      </c>
      <c r="F282" s="10" t="str">
        <f>IF($K282="","",INDEX(Конструктор!$L$2:$L$1212,$K282))</f>
        <v/>
      </c>
      <c r="G282" s="10" t="str">
        <f>IF($K282="","",INDEX(Конструктор!$M$2:$M$1212,$K282))</f>
        <v/>
      </c>
      <c r="H282" s="10" t="str">
        <f>IF($K282="","",INDEX(Конструктор!$N$2:$N$1212,$K282))</f>
        <v/>
      </c>
      <c r="I282" s="10" t="str">
        <f>IF($K282="","",INDEX(Конструктор!$O$2:$O$1212,$K282))</f>
        <v/>
      </c>
      <c r="J282" s="10" t="str">
        <f>IF($K282="","",INDEX(Конструктор!$P$2:$P$1212,$K282))</f>
        <v/>
      </c>
      <c r="K282" t="str">
        <f>IFERROR(MATCH(262,Конструктор!$T$2:$T$1212,0),"")</f>
        <v/>
      </c>
      <c r="L282" t="str">
        <f t="shared" si="4"/>
        <v/>
      </c>
    </row>
    <row r="283" spans="1:12" hidden="1" x14ac:dyDescent="0.3">
      <c r="A283" t="str">
        <f>IF($K283="","",263)</f>
        <v/>
      </c>
      <c r="B283" t="str">
        <f>IF($K283="","",INDEX(Конструктор!$C$2:$C$1212,$K283))</f>
        <v/>
      </c>
      <c r="C283" s="8" t="str">
        <f>IF($K283="","",INDEX(Конструктор!$D$2:$D$1212,$K283)&amp;IF(INDEX(Конструктор!$J$2:$J$1212,$K283)&lt;&gt;""," — "&amp;INDEX(Конструктор!$J$2:$J$1212,$K283),""))</f>
        <v/>
      </c>
      <c r="D283" t="str">
        <f>IF($K283="","",INDEX(Конструктор!$E$2:$E$1212,$K283))</f>
        <v/>
      </c>
      <c r="E283" s="10" t="str">
        <f>IF($K283="","",INDEX(Конструктор!$H$2:$H$1212,$K283))</f>
        <v/>
      </c>
      <c r="F283" s="10" t="str">
        <f>IF($K283="","",INDEX(Конструктор!$L$2:$L$1212,$K283))</f>
        <v/>
      </c>
      <c r="G283" s="10" t="str">
        <f>IF($K283="","",INDEX(Конструктор!$M$2:$M$1212,$K283))</f>
        <v/>
      </c>
      <c r="H283" s="10" t="str">
        <f>IF($K283="","",INDEX(Конструктор!$N$2:$N$1212,$K283))</f>
        <v/>
      </c>
      <c r="I283" s="10" t="str">
        <f>IF($K283="","",INDEX(Конструктор!$O$2:$O$1212,$K283))</f>
        <v/>
      </c>
      <c r="J283" s="10" t="str">
        <f>IF($K283="","",INDEX(Конструктор!$P$2:$P$1212,$K283))</f>
        <v/>
      </c>
      <c r="K283" t="str">
        <f>IFERROR(MATCH(263,Конструктор!$T$2:$T$1212,0),"")</f>
        <v/>
      </c>
      <c r="L283" t="str">
        <f t="shared" si="4"/>
        <v/>
      </c>
    </row>
    <row r="284" spans="1:12" hidden="1" x14ac:dyDescent="0.3">
      <c r="A284" t="str">
        <f>IF($K284="","",264)</f>
        <v/>
      </c>
      <c r="B284" t="str">
        <f>IF($K284="","",INDEX(Конструктор!$C$2:$C$1212,$K284))</f>
        <v/>
      </c>
      <c r="C284" s="8" t="str">
        <f>IF($K284="","",INDEX(Конструктор!$D$2:$D$1212,$K284)&amp;IF(INDEX(Конструктор!$J$2:$J$1212,$K284)&lt;&gt;""," — "&amp;INDEX(Конструктор!$J$2:$J$1212,$K284),""))</f>
        <v/>
      </c>
      <c r="D284" t="str">
        <f>IF($K284="","",INDEX(Конструктор!$E$2:$E$1212,$K284))</f>
        <v/>
      </c>
      <c r="E284" s="10" t="str">
        <f>IF($K284="","",INDEX(Конструктор!$H$2:$H$1212,$K284))</f>
        <v/>
      </c>
      <c r="F284" s="10" t="str">
        <f>IF($K284="","",INDEX(Конструктор!$L$2:$L$1212,$K284))</f>
        <v/>
      </c>
      <c r="G284" s="10" t="str">
        <f>IF($K284="","",INDEX(Конструктор!$M$2:$M$1212,$K284))</f>
        <v/>
      </c>
      <c r="H284" s="10" t="str">
        <f>IF($K284="","",INDEX(Конструктор!$N$2:$N$1212,$K284))</f>
        <v/>
      </c>
      <c r="I284" s="10" t="str">
        <f>IF($K284="","",INDEX(Конструктор!$O$2:$O$1212,$K284))</f>
        <v/>
      </c>
      <c r="J284" s="10" t="str">
        <f>IF($K284="","",INDEX(Конструктор!$P$2:$P$1212,$K284))</f>
        <v/>
      </c>
      <c r="K284" t="str">
        <f>IFERROR(MATCH(264,Конструктор!$T$2:$T$1212,0),"")</f>
        <v/>
      </c>
      <c r="L284" t="str">
        <f t="shared" si="4"/>
        <v/>
      </c>
    </row>
    <row r="285" spans="1:12" hidden="1" x14ac:dyDescent="0.3">
      <c r="A285" t="str">
        <f>IF($K285="","",265)</f>
        <v/>
      </c>
      <c r="B285" t="str">
        <f>IF($K285="","",INDEX(Конструктор!$C$2:$C$1212,$K285))</f>
        <v/>
      </c>
      <c r="C285" s="8" t="str">
        <f>IF($K285="","",INDEX(Конструктор!$D$2:$D$1212,$K285)&amp;IF(INDEX(Конструктор!$J$2:$J$1212,$K285)&lt;&gt;""," — "&amp;INDEX(Конструктор!$J$2:$J$1212,$K285),""))</f>
        <v/>
      </c>
      <c r="D285" t="str">
        <f>IF($K285="","",INDEX(Конструктор!$E$2:$E$1212,$K285))</f>
        <v/>
      </c>
      <c r="E285" s="10" t="str">
        <f>IF($K285="","",INDEX(Конструктор!$H$2:$H$1212,$K285))</f>
        <v/>
      </c>
      <c r="F285" s="10" t="str">
        <f>IF($K285="","",INDEX(Конструктор!$L$2:$L$1212,$K285))</f>
        <v/>
      </c>
      <c r="G285" s="10" t="str">
        <f>IF($K285="","",INDEX(Конструктор!$M$2:$M$1212,$K285))</f>
        <v/>
      </c>
      <c r="H285" s="10" t="str">
        <f>IF($K285="","",INDEX(Конструктор!$N$2:$N$1212,$K285))</f>
        <v/>
      </c>
      <c r="I285" s="10" t="str">
        <f>IF($K285="","",INDEX(Конструктор!$O$2:$O$1212,$K285))</f>
        <v/>
      </c>
      <c r="J285" s="10" t="str">
        <f>IF($K285="","",INDEX(Конструктор!$P$2:$P$1212,$K285))</f>
        <v/>
      </c>
      <c r="K285" t="str">
        <f>IFERROR(MATCH(265,Конструктор!$T$2:$T$1212,0),"")</f>
        <v/>
      </c>
      <c r="L285" t="str">
        <f t="shared" si="4"/>
        <v/>
      </c>
    </row>
    <row r="286" spans="1:12" hidden="1" x14ac:dyDescent="0.3">
      <c r="A286" t="str">
        <f>IF($K286="","",266)</f>
        <v/>
      </c>
      <c r="B286" t="str">
        <f>IF($K286="","",INDEX(Конструктор!$C$2:$C$1212,$K286))</f>
        <v/>
      </c>
      <c r="C286" s="8" t="str">
        <f>IF($K286="","",INDEX(Конструктор!$D$2:$D$1212,$K286)&amp;IF(INDEX(Конструктор!$J$2:$J$1212,$K286)&lt;&gt;""," — "&amp;INDEX(Конструктор!$J$2:$J$1212,$K286),""))</f>
        <v/>
      </c>
      <c r="D286" t="str">
        <f>IF($K286="","",INDEX(Конструктор!$E$2:$E$1212,$K286))</f>
        <v/>
      </c>
      <c r="E286" s="10" t="str">
        <f>IF($K286="","",INDEX(Конструктор!$H$2:$H$1212,$K286))</f>
        <v/>
      </c>
      <c r="F286" s="10" t="str">
        <f>IF($K286="","",INDEX(Конструктор!$L$2:$L$1212,$K286))</f>
        <v/>
      </c>
      <c r="G286" s="10" t="str">
        <f>IF($K286="","",INDEX(Конструктор!$M$2:$M$1212,$K286))</f>
        <v/>
      </c>
      <c r="H286" s="10" t="str">
        <f>IF($K286="","",INDEX(Конструктор!$N$2:$N$1212,$K286))</f>
        <v/>
      </c>
      <c r="I286" s="10" t="str">
        <f>IF($K286="","",INDEX(Конструктор!$O$2:$O$1212,$K286))</f>
        <v/>
      </c>
      <c r="J286" s="10" t="str">
        <f>IF($K286="","",INDEX(Конструктор!$P$2:$P$1212,$K286))</f>
        <v/>
      </c>
      <c r="K286" t="str">
        <f>IFERROR(MATCH(266,Конструктор!$T$2:$T$1212,0),"")</f>
        <v/>
      </c>
      <c r="L286" t="str">
        <f t="shared" si="4"/>
        <v/>
      </c>
    </row>
    <row r="287" spans="1:12" hidden="1" x14ac:dyDescent="0.3">
      <c r="A287" t="str">
        <f>IF($K287="","",267)</f>
        <v/>
      </c>
      <c r="B287" t="str">
        <f>IF($K287="","",INDEX(Конструктор!$C$2:$C$1212,$K287))</f>
        <v/>
      </c>
      <c r="C287" s="8" t="str">
        <f>IF($K287="","",INDEX(Конструктор!$D$2:$D$1212,$K287)&amp;IF(INDEX(Конструктор!$J$2:$J$1212,$K287)&lt;&gt;""," — "&amp;INDEX(Конструктор!$J$2:$J$1212,$K287),""))</f>
        <v/>
      </c>
      <c r="D287" t="str">
        <f>IF($K287="","",INDEX(Конструктор!$E$2:$E$1212,$K287))</f>
        <v/>
      </c>
      <c r="E287" s="10" t="str">
        <f>IF($K287="","",INDEX(Конструктор!$H$2:$H$1212,$K287))</f>
        <v/>
      </c>
      <c r="F287" s="10" t="str">
        <f>IF($K287="","",INDEX(Конструктор!$L$2:$L$1212,$K287))</f>
        <v/>
      </c>
      <c r="G287" s="10" t="str">
        <f>IF($K287="","",INDEX(Конструктор!$M$2:$M$1212,$K287))</f>
        <v/>
      </c>
      <c r="H287" s="10" t="str">
        <f>IF($K287="","",INDEX(Конструктор!$N$2:$N$1212,$K287))</f>
        <v/>
      </c>
      <c r="I287" s="10" t="str">
        <f>IF($K287="","",INDEX(Конструктор!$O$2:$O$1212,$K287))</f>
        <v/>
      </c>
      <c r="J287" s="10" t="str">
        <f>IF($K287="","",INDEX(Конструктор!$P$2:$P$1212,$K287))</f>
        <v/>
      </c>
      <c r="K287" t="str">
        <f>IFERROR(MATCH(267,Конструктор!$T$2:$T$1212,0),"")</f>
        <v/>
      </c>
      <c r="L287" t="str">
        <f t="shared" si="4"/>
        <v/>
      </c>
    </row>
    <row r="288" spans="1:12" hidden="1" x14ac:dyDescent="0.3">
      <c r="A288" t="str">
        <f>IF($K288="","",268)</f>
        <v/>
      </c>
      <c r="B288" t="str">
        <f>IF($K288="","",INDEX(Конструктор!$C$2:$C$1212,$K288))</f>
        <v/>
      </c>
      <c r="C288" s="8" t="str">
        <f>IF($K288="","",INDEX(Конструктор!$D$2:$D$1212,$K288)&amp;IF(INDEX(Конструктор!$J$2:$J$1212,$K288)&lt;&gt;""," — "&amp;INDEX(Конструктор!$J$2:$J$1212,$K288),""))</f>
        <v/>
      </c>
      <c r="D288" t="str">
        <f>IF($K288="","",INDEX(Конструктор!$E$2:$E$1212,$K288))</f>
        <v/>
      </c>
      <c r="E288" s="10" t="str">
        <f>IF($K288="","",INDEX(Конструктор!$H$2:$H$1212,$K288))</f>
        <v/>
      </c>
      <c r="F288" s="10" t="str">
        <f>IF($K288="","",INDEX(Конструктор!$L$2:$L$1212,$K288))</f>
        <v/>
      </c>
      <c r="G288" s="10" t="str">
        <f>IF($K288="","",INDEX(Конструктор!$M$2:$M$1212,$K288))</f>
        <v/>
      </c>
      <c r="H288" s="10" t="str">
        <f>IF($K288="","",INDEX(Конструктор!$N$2:$N$1212,$K288))</f>
        <v/>
      </c>
      <c r="I288" s="10" t="str">
        <f>IF($K288="","",INDEX(Конструктор!$O$2:$O$1212,$K288))</f>
        <v/>
      </c>
      <c r="J288" s="10" t="str">
        <f>IF($K288="","",INDEX(Конструктор!$P$2:$P$1212,$K288))</f>
        <v/>
      </c>
      <c r="K288" t="str">
        <f>IFERROR(MATCH(268,Конструктор!$T$2:$T$1212,0),"")</f>
        <v/>
      </c>
      <c r="L288" t="str">
        <f t="shared" si="4"/>
        <v/>
      </c>
    </row>
    <row r="289" spans="1:12" hidden="1" x14ac:dyDescent="0.3">
      <c r="A289" t="str">
        <f>IF($K289="","",269)</f>
        <v/>
      </c>
      <c r="B289" t="str">
        <f>IF($K289="","",INDEX(Конструктор!$C$2:$C$1212,$K289))</f>
        <v/>
      </c>
      <c r="C289" s="8" t="str">
        <f>IF($K289="","",INDEX(Конструктор!$D$2:$D$1212,$K289)&amp;IF(INDEX(Конструктор!$J$2:$J$1212,$K289)&lt;&gt;""," — "&amp;INDEX(Конструктор!$J$2:$J$1212,$K289),""))</f>
        <v/>
      </c>
      <c r="D289" t="str">
        <f>IF($K289="","",INDEX(Конструктор!$E$2:$E$1212,$K289))</f>
        <v/>
      </c>
      <c r="E289" s="10" t="str">
        <f>IF($K289="","",INDEX(Конструктор!$H$2:$H$1212,$K289))</f>
        <v/>
      </c>
      <c r="F289" s="10" t="str">
        <f>IF($K289="","",INDEX(Конструктор!$L$2:$L$1212,$K289))</f>
        <v/>
      </c>
      <c r="G289" s="10" t="str">
        <f>IF($K289="","",INDEX(Конструктор!$M$2:$M$1212,$K289))</f>
        <v/>
      </c>
      <c r="H289" s="10" t="str">
        <f>IF($K289="","",INDEX(Конструктор!$N$2:$N$1212,$K289))</f>
        <v/>
      </c>
      <c r="I289" s="10" t="str">
        <f>IF($K289="","",INDEX(Конструктор!$O$2:$O$1212,$K289))</f>
        <v/>
      </c>
      <c r="J289" s="10" t="str">
        <f>IF($K289="","",INDEX(Конструктор!$P$2:$P$1212,$K289))</f>
        <v/>
      </c>
      <c r="K289" t="str">
        <f>IFERROR(MATCH(269,Конструктор!$T$2:$T$1212,0),"")</f>
        <v/>
      </c>
      <c r="L289" t="str">
        <f t="shared" si="4"/>
        <v/>
      </c>
    </row>
    <row r="290" spans="1:12" hidden="1" x14ac:dyDescent="0.3">
      <c r="A290" t="str">
        <f>IF($K290="","",270)</f>
        <v/>
      </c>
      <c r="B290" t="str">
        <f>IF($K290="","",INDEX(Конструктор!$C$2:$C$1212,$K290))</f>
        <v/>
      </c>
      <c r="C290" s="8" t="str">
        <f>IF($K290="","",INDEX(Конструктор!$D$2:$D$1212,$K290)&amp;IF(INDEX(Конструктор!$J$2:$J$1212,$K290)&lt;&gt;""," — "&amp;INDEX(Конструктор!$J$2:$J$1212,$K290),""))</f>
        <v/>
      </c>
      <c r="D290" t="str">
        <f>IF($K290="","",INDEX(Конструктор!$E$2:$E$1212,$K290))</f>
        <v/>
      </c>
      <c r="E290" s="10" t="str">
        <f>IF($K290="","",INDEX(Конструктор!$H$2:$H$1212,$K290))</f>
        <v/>
      </c>
      <c r="F290" s="10" t="str">
        <f>IF($K290="","",INDEX(Конструктор!$L$2:$L$1212,$K290))</f>
        <v/>
      </c>
      <c r="G290" s="10" t="str">
        <f>IF($K290="","",INDEX(Конструктор!$M$2:$M$1212,$K290))</f>
        <v/>
      </c>
      <c r="H290" s="10" t="str">
        <f>IF($K290="","",INDEX(Конструктор!$N$2:$N$1212,$K290))</f>
        <v/>
      </c>
      <c r="I290" s="10" t="str">
        <f>IF($K290="","",INDEX(Конструктор!$O$2:$O$1212,$K290))</f>
        <v/>
      </c>
      <c r="J290" s="10" t="str">
        <f>IF($K290="","",INDEX(Конструктор!$P$2:$P$1212,$K290))</f>
        <v/>
      </c>
      <c r="K290" t="str">
        <f>IFERROR(MATCH(270,Конструктор!$T$2:$T$1212,0),"")</f>
        <v/>
      </c>
      <c r="L290" t="str">
        <f t="shared" si="4"/>
        <v/>
      </c>
    </row>
    <row r="291" spans="1:12" hidden="1" x14ac:dyDescent="0.3">
      <c r="A291" t="str">
        <f>IF($K291="","",271)</f>
        <v/>
      </c>
      <c r="B291" t="str">
        <f>IF($K291="","",INDEX(Конструктор!$C$2:$C$1212,$K291))</f>
        <v/>
      </c>
      <c r="C291" s="8" t="str">
        <f>IF($K291="","",INDEX(Конструктор!$D$2:$D$1212,$K291)&amp;IF(INDEX(Конструктор!$J$2:$J$1212,$K291)&lt;&gt;""," — "&amp;INDEX(Конструктор!$J$2:$J$1212,$K291),""))</f>
        <v/>
      </c>
      <c r="D291" t="str">
        <f>IF($K291="","",INDEX(Конструктор!$E$2:$E$1212,$K291))</f>
        <v/>
      </c>
      <c r="E291" s="10" t="str">
        <f>IF($K291="","",INDEX(Конструктор!$H$2:$H$1212,$K291))</f>
        <v/>
      </c>
      <c r="F291" s="10" t="str">
        <f>IF($K291="","",INDEX(Конструктор!$L$2:$L$1212,$K291))</f>
        <v/>
      </c>
      <c r="G291" s="10" t="str">
        <f>IF($K291="","",INDEX(Конструктор!$M$2:$M$1212,$K291))</f>
        <v/>
      </c>
      <c r="H291" s="10" t="str">
        <f>IF($K291="","",INDEX(Конструктор!$N$2:$N$1212,$K291))</f>
        <v/>
      </c>
      <c r="I291" s="10" t="str">
        <f>IF($K291="","",INDEX(Конструктор!$O$2:$O$1212,$K291))</f>
        <v/>
      </c>
      <c r="J291" s="10" t="str">
        <f>IF($K291="","",INDEX(Конструктор!$P$2:$P$1212,$K291))</f>
        <v/>
      </c>
      <c r="K291" t="str">
        <f>IFERROR(MATCH(271,Конструктор!$T$2:$T$1212,0),"")</f>
        <v/>
      </c>
      <c r="L291" t="str">
        <f t="shared" si="4"/>
        <v/>
      </c>
    </row>
    <row r="292" spans="1:12" hidden="1" x14ac:dyDescent="0.3">
      <c r="A292" t="str">
        <f>IF($K292="","",272)</f>
        <v/>
      </c>
      <c r="B292" t="str">
        <f>IF($K292="","",INDEX(Конструктор!$C$2:$C$1212,$K292))</f>
        <v/>
      </c>
      <c r="C292" s="8" t="str">
        <f>IF($K292="","",INDEX(Конструктор!$D$2:$D$1212,$K292)&amp;IF(INDEX(Конструктор!$J$2:$J$1212,$K292)&lt;&gt;""," — "&amp;INDEX(Конструктор!$J$2:$J$1212,$K292),""))</f>
        <v/>
      </c>
      <c r="D292" t="str">
        <f>IF($K292="","",INDEX(Конструктор!$E$2:$E$1212,$K292))</f>
        <v/>
      </c>
      <c r="E292" s="10" t="str">
        <f>IF($K292="","",INDEX(Конструктор!$H$2:$H$1212,$K292))</f>
        <v/>
      </c>
      <c r="F292" s="10" t="str">
        <f>IF($K292="","",INDEX(Конструктор!$L$2:$L$1212,$K292))</f>
        <v/>
      </c>
      <c r="G292" s="10" t="str">
        <f>IF($K292="","",INDEX(Конструктор!$M$2:$M$1212,$K292))</f>
        <v/>
      </c>
      <c r="H292" s="10" t="str">
        <f>IF($K292="","",INDEX(Конструктор!$N$2:$N$1212,$K292))</f>
        <v/>
      </c>
      <c r="I292" s="10" t="str">
        <f>IF($K292="","",INDEX(Конструктор!$O$2:$O$1212,$K292))</f>
        <v/>
      </c>
      <c r="J292" s="10" t="str">
        <f>IF($K292="","",INDEX(Конструктор!$P$2:$P$1212,$K292))</f>
        <v/>
      </c>
      <c r="K292" t="str">
        <f>IFERROR(MATCH(272,Конструктор!$T$2:$T$1212,0),"")</f>
        <v/>
      </c>
      <c r="L292" t="str">
        <f t="shared" si="4"/>
        <v/>
      </c>
    </row>
    <row r="293" spans="1:12" hidden="1" x14ac:dyDescent="0.3">
      <c r="A293" t="str">
        <f>IF($K293="","",273)</f>
        <v/>
      </c>
      <c r="B293" t="str">
        <f>IF($K293="","",INDEX(Конструктор!$C$2:$C$1212,$K293))</f>
        <v/>
      </c>
      <c r="C293" s="8" t="str">
        <f>IF($K293="","",INDEX(Конструктор!$D$2:$D$1212,$K293)&amp;IF(INDEX(Конструктор!$J$2:$J$1212,$K293)&lt;&gt;""," — "&amp;INDEX(Конструктор!$J$2:$J$1212,$K293),""))</f>
        <v/>
      </c>
      <c r="D293" t="str">
        <f>IF($K293="","",INDEX(Конструктор!$E$2:$E$1212,$K293))</f>
        <v/>
      </c>
      <c r="E293" s="10" t="str">
        <f>IF($K293="","",INDEX(Конструктор!$H$2:$H$1212,$K293))</f>
        <v/>
      </c>
      <c r="F293" s="10" t="str">
        <f>IF($K293="","",INDEX(Конструктор!$L$2:$L$1212,$K293))</f>
        <v/>
      </c>
      <c r="G293" s="10" t="str">
        <f>IF($K293="","",INDEX(Конструктор!$M$2:$M$1212,$K293))</f>
        <v/>
      </c>
      <c r="H293" s="10" t="str">
        <f>IF($K293="","",INDEX(Конструктор!$N$2:$N$1212,$K293))</f>
        <v/>
      </c>
      <c r="I293" s="10" t="str">
        <f>IF($K293="","",INDEX(Конструктор!$O$2:$O$1212,$K293))</f>
        <v/>
      </c>
      <c r="J293" s="10" t="str">
        <f>IF($K293="","",INDEX(Конструктор!$P$2:$P$1212,$K293))</f>
        <v/>
      </c>
      <c r="K293" t="str">
        <f>IFERROR(MATCH(273,Конструктор!$T$2:$T$1212,0),"")</f>
        <v/>
      </c>
      <c r="L293" t="str">
        <f t="shared" si="4"/>
        <v/>
      </c>
    </row>
    <row r="294" spans="1:12" hidden="1" x14ac:dyDescent="0.3">
      <c r="A294" t="str">
        <f>IF($K294="","",274)</f>
        <v/>
      </c>
      <c r="B294" t="str">
        <f>IF($K294="","",INDEX(Конструктор!$C$2:$C$1212,$K294))</f>
        <v/>
      </c>
      <c r="C294" s="8" t="str">
        <f>IF($K294="","",INDEX(Конструктор!$D$2:$D$1212,$K294)&amp;IF(INDEX(Конструктор!$J$2:$J$1212,$K294)&lt;&gt;""," — "&amp;INDEX(Конструктор!$J$2:$J$1212,$K294),""))</f>
        <v/>
      </c>
      <c r="D294" t="str">
        <f>IF($K294="","",INDEX(Конструктор!$E$2:$E$1212,$K294))</f>
        <v/>
      </c>
      <c r="E294" s="10" t="str">
        <f>IF($K294="","",INDEX(Конструктор!$H$2:$H$1212,$K294))</f>
        <v/>
      </c>
      <c r="F294" s="10" t="str">
        <f>IF($K294="","",INDEX(Конструктор!$L$2:$L$1212,$K294))</f>
        <v/>
      </c>
      <c r="G294" s="10" t="str">
        <f>IF($K294="","",INDEX(Конструктор!$M$2:$M$1212,$K294))</f>
        <v/>
      </c>
      <c r="H294" s="10" t="str">
        <f>IF($K294="","",INDEX(Конструктор!$N$2:$N$1212,$K294))</f>
        <v/>
      </c>
      <c r="I294" s="10" t="str">
        <f>IF($K294="","",INDEX(Конструктор!$O$2:$O$1212,$K294))</f>
        <v/>
      </c>
      <c r="J294" s="10" t="str">
        <f>IF($K294="","",INDEX(Конструктор!$P$2:$P$1212,$K294))</f>
        <v/>
      </c>
      <c r="K294" t="str">
        <f>IFERROR(MATCH(274,Конструктор!$T$2:$T$1212,0),"")</f>
        <v/>
      </c>
      <c r="L294" t="str">
        <f t="shared" si="4"/>
        <v/>
      </c>
    </row>
    <row r="295" spans="1:12" hidden="1" x14ac:dyDescent="0.3">
      <c r="A295" t="str">
        <f>IF($K295="","",275)</f>
        <v/>
      </c>
      <c r="B295" t="str">
        <f>IF($K295="","",INDEX(Конструктор!$C$2:$C$1212,$K295))</f>
        <v/>
      </c>
      <c r="C295" s="8" t="str">
        <f>IF($K295="","",INDEX(Конструктор!$D$2:$D$1212,$K295)&amp;IF(INDEX(Конструктор!$J$2:$J$1212,$K295)&lt;&gt;""," — "&amp;INDEX(Конструктор!$J$2:$J$1212,$K295),""))</f>
        <v/>
      </c>
      <c r="D295" t="str">
        <f>IF($K295="","",INDEX(Конструктор!$E$2:$E$1212,$K295))</f>
        <v/>
      </c>
      <c r="E295" s="10" t="str">
        <f>IF($K295="","",INDEX(Конструктор!$H$2:$H$1212,$K295))</f>
        <v/>
      </c>
      <c r="F295" s="10" t="str">
        <f>IF($K295="","",INDEX(Конструктор!$L$2:$L$1212,$K295))</f>
        <v/>
      </c>
      <c r="G295" s="10" t="str">
        <f>IF($K295="","",INDEX(Конструктор!$M$2:$M$1212,$K295))</f>
        <v/>
      </c>
      <c r="H295" s="10" t="str">
        <f>IF($K295="","",INDEX(Конструктор!$N$2:$N$1212,$K295))</f>
        <v/>
      </c>
      <c r="I295" s="10" t="str">
        <f>IF($K295="","",INDEX(Конструктор!$O$2:$O$1212,$K295))</f>
        <v/>
      </c>
      <c r="J295" s="10" t="str">
        <f>IF($K295="","",INDEX(Конструктор!$P$2:$P$1212,$K295))</f>
        <v/>
      </c>
      <c r="K295" t="str">
        <f>IFERROR(MATCH(275,Конструктор!$T$2:$T$1212,0),"")</f>
        <v/>
      </c>
      <c r="L295" t="str">
        <f t="shared" si="4"/>
        <v/>
      </c>
    </row>
    <row r="296" spans="1:12" hidden="1" x14ac:dyDescent="0.3">
      <c r="A296" t="str">
        <f>IF($K296="","",276)</f>
        <v/>
      </c>
      <c r="B296" t="str">
        <f>IF($K296="","",INDEX(Конструктор!$C$2:$C$1212,$K296))</f>
        <v/>
      </c>
      <c r="C296" s="8" t="str">
        <f>IF($K296="","",INDEX(Конструктор!$D$2:$D$1212,$K296)&amp;IF(INDEX(Конструктор!$J$2:$J$1212,$K296)&lt;&gt;""," — "&amp;INDEX(Конструктор!$J$2:$J$1212,$K296),""))</f>
        <v/>
      </c>
      <c r="D296" t="str">
        <f>IF($K296="","",INDEX(Конструктор!$E$2:$E$1212,$K296))</f>
        <v/>
      </c>
      <c r="E296" s="10" t="str">
        <f>IF($K296="","",INDEX(Конструктор!$H$2:$H$1212,$K296))</f>
        <v/>
      </c>
      <c r="F296" s="10" t="str">
        <f>IF($K296="","",INDEX(Конструктор!$L$2:$L$1212,$K296))</f>
        <v/>
      </c>
      <c r="G296" s="10" t="str">
        <f>IF($K296="","",INDEX(Конструктор!$M$2:$M$1212,$K296))</f>
        <v/>
      </c>
      <c r="H296" s="10" t="str">
        <f>IF($K296="","",INDEX(Конструктор!$N$2:$N$1212,$K296))</f>
        <v/>
      </c>
      <c r="I296" s="10" t="str">
        <f>IF($K296="","",INDEX(Конструктор!$O$2:$O$1212,$K296))</f>
        <v/>
      </c>
      <c r="J296" s="10" t="str">
        <f>IF($K296="","",INDEX(Конструктор!$P$2:$P$1212,$K296))</f>
        <v/>
      </c>
      <c r="K296" t="str">
        <f>IFERROR(MATCH(276,Конструктор!$T$2:$T$1212,0),"")</f>
        <v/>
      </c>
      <c r="L296" t="str">
        <f t="shared" si="4"/>
        <v/>
      </c>
    </row>
    <row r="297" spans="1:12" hidden="1" x14ac:dyDescent="0.3">
      <c r="A297" t="str">
        <f>IF($K297="","",277)</f>
        <v/>
      </c>
      <c r="B297" t="str">
        <f>IF($K297="","",INDEX(Конструктор!$C$2:$C$1212,$K297))</f>
        <v/>
      </c>
      <c r="C297" s="8" t="str">
        <f>IF($K297="","",INDEX(Конструктор!$D$2:$D$1212,$K297)&amp;IF(INDEX(Конструктор!$J$2:$J$1212,$K297)&lt;&gt;""," — "&amp;INDEX(Конструктор!$J$2:$J$1212,$K297),""))</f>
        <v/>
      </c>
      <c r="D297" t="str">
        <f>IF($K297="","",INDEX(Конструктор!$E$2:$E$1212,$K297))</f>
        <v/>
      </c>
      <c r="E297" s="10" t="str">
        <f>IF($K297="","",INDEX(Конструктор!$H$2:$H$1212,$K297))</f>
        <v/>
      </c>
      <c r="F297" s="10" t="str">
        <f>IF($K297="","",INDEX(Конструктор!$L$2:$L$1212,$K297))</f>
        <v/>
      </c>
      <c r="G297" s="10" t="str">
        <f>IF($K297="","",INDEX(Конструктор!$M$2:$M$1212,$K297))</f>
        <v/>
      </c>
      <c r="H297" s="10" t="str">
        <f>IF($K297="","",INDEX(Конструктор!$N$2:$N$1212,$K297))</f>
        <v/>
      </c>
      <c r="I297" s="10" t="str">
        <f>IF($K297="","",INDEX(Конструктор!$O$2:$O$1212,$K297))</f>
        <v/>
      </c>
      <c r="J297" s="10" t="str">
        <f>IF($K297="","",INDEX(Конструктор!$P$2:$P$1212,$K297))</f>
        <v/>
      </c>
      <c r="K297" t="str">
        <f>IFERROR(MATCH(277,Конструктор!$T$2:$T$1212,0),"")</f>
        <v/>
      </c>
      <c r="L297" t="str">
        <f t="shared" si="4"/>
        <v/>
      </c>
    </row>
    <row r="298" spans="1:12" hidden="1" x14ac:dyDescent="0.3">
      <c r="A298" t="str">
        <f>IF($K298="","",278)</f>
        <v/>
      </c>
      <c r="B298" t="str">
        <f>IF($K298="","",INDEX(Конструктор!$C$2:$C$1212,$K298))</f>
        <v/>
      </c>
      <c r="C298" s="8" t="str">
        <f>IF($K298="","",INDEX(Конструктор!$D$2:$D$1212,$K298)&amp;IF(INDEX(Конструктор!$J$2:$J$1212,$K298)&lt;&gt;""," — "&amp;INDEX(Конструктор!$J$2:$J$1212,$K298),""))</f>
        <v/>
      </c>
      <c r="D298" t="str">
        <f>IF($K298="","",INDEX(Конструктор!$E$2:$E$1212,$K298))</f>
        <v/>
      </c>
      <c r="E298" s="10" t="str">
        <f>IF($K298="","",INDEX(Конструктор!$H$2:$H$1212,$K298))</f>
        <v/>
      </c>
      <c r="F298" s="10" t="str">
        <f>IF($K298="","",INDEX(Конструктор!$L$2:$L$1212,$K298))</f>
        <v/>
      </c>
      <c r="G298" s="10" t="str">
        <f>IF($K298="","",INDEX(Конструктор!$M$2:$M$1212,$K298))</f>
        <v/>
      </c>
      <c r="H298" s="10" t="str">
        <f>IF($K298="","",INDEX(Конструктор!$N$2:$N$1212,$K298))</f>
        <v/>
      </c>
      <c r="I298" s="10" t="str">
        <f>IF($K298="","",INDEX(Конструктор!$O$2:$O$1212,$K298))</f>
        <v/>
      </c>
      <c r="J298" s="10" t="str">
        <f>IF($K298="","",INDEX(Конструктор!$P$2:$P$1212,$K298))</f>
        <v/>
      </c>
      <c r="K298" t="str">
        <f>IFERROR(MATCH(278,Конструктор!$T$2:$T$1212,0),"")</f>
        <v/>
      </c>
      <c r="L298" t="str">
        <f t="shared" si="4"/>
        <v/>
      </c>
    </row>
    <row r="299" spans="1:12" hidden="1" x14ac:dyDescent="0.3">
      <c r="A299" t="str">
        <f>IF($K299="","",279)</f>
        <v/>
      </c>
      <c r="B299" t="str">
        <f>IF($K299="","",INDEX(Конструктор!$C$2:$C$1212,$K299))</f>
        <v/>
      </c>
      <c r="C299" s="8" t="str">
        <f>IF($K299="","",INDEX(Конструктор!$D$2:$D$1212,$K299)&amp;IF(INDEX(Конструктор!$J$2:$J$1212,$K299)&lt;&gt;""," — "&amp;INDEX(Конструктор!$J$2:$J$1212,$K299),""))</f>
        <v/>
      </c>
      <c r="D299" t="str">
        <f>IF($K299="","",INDEX(Конструктор!$E$2:$E$1212,$K299))</f>
        <v/>
      </c>
      <c r="E299" s="10" t="str">
        <f>IF($K299="","",INDEX(Конструктор!$H$2:$H$1212,$K299))</f>
        <v/>
      </c>
      <c r="F299" s="10" t="str">
        <f>IF($K299="","",INDEX(Конструктор!$L$2:$L$1212,$K299))</f>
        <v/>
      </c>
      <c r="G299" s="10" t="str">
        <f>IF($K299="","",INDEX(Конструктор!$M$2:$M$1212,$K299))</f>
        <v/>
      </c>
      <c r="H299" s="10" t="str">
        <f>IF($K299="","",INDEX(Конструктор!$N$2:$N$1212,$K299))</f>
        <v/>
      </c>
      <c r="I299" s="10" t="str">
        <f>IF($K299="","",INDEX(Конструктор!$O$2:$O$1212,$K299))</f>
        <v/>
      </c>
      <c r="J299" s="10" t="str">
        <f>IF($K299="","",INDEX(Конструктор!$P$2:$P$1212,$K299))</f>
        <v/>
      </c>
      <c r="K299" t="str">
        <f>IFERROR(MATCH(279,Конструктор!$T$2:$T$1212,0),"")</f>
        <v/>
      </c>
      <c r="L299" t="str">
        <f t="shared" si="4"/>
        <v/>
      </c>
    </row>
    <row r="300" spans="1:12" hidden="1" x14ac:dyDescent="0.3">
      <c r="A300" t="str">
        <f>IF($K300="","",280)</f>
        <v/>
      </c>
      <c r="B300" t="str">
        <f>IF($K300="","",INDEX(Конструктор!$C$2:$C$1212,$K300))</f>
        <v/>
      </c>
      <c r="C300" s="8" t="str">
        <f>IF($K300="","",INDEX(Конструктор!$D$2:$D$1212,$K300)&amp;IF(INDEX(Конструктор!$J$2:$J$1212,$K300)&lt;&gt;""," — "&amp;INDEX(Конструктор!$J$2:$J$1212,$K300),""))</f>
        <v/>
      </c>
      <c r="D300" t="str">
        <f>IF($K300="","",INDEX(Конструктор!$E$2:$E$1212,$K300))</f>
        <v/>
      </c>
      <c r="E300" s="10" t="str">
        <f>IF($K300="","",INDEX(Конструктор!$H$2:$H$1212,$K300))</f>
        <v/>
      </c>
      <c r="F300" s="10" t="str">
        <f>IF($K300="","",INDEX(Конструктор!$L$2:$L$1212,$K300))</f>
        <v/>
      </c>
      <c r="G300" s="10" t="str">
        <f>IF($K300="","",INDEX(Конструктор!$M$2:$M$1212,$K300))</f>
        <v/>
      </c>
      <c r="H300" s="10" t="str">
        <f>IF($K300="","",INDEX(Конструктор!$N$2:$N$1212,$K300))</f>
        <v/>
      </c>
      <c r="I300" s="10" t="str">
        <f>IF($K300="","",INDEX(Конструктор!$O$2:$O$1212,$K300))</f>
        <v/>
      </c>
      <c r="J300" s="10" t="str">
        <f>IF($K300="","",INDEX(Конструктор!$P$2:$P$1212,$K300))</f>
        <v/>
      </c>
      <c r="K300" t="str">
        <f>IFERROR(MATCH(280,Конструктор!$T$2:$T$1212,0),"")</f>
        <v/>
      </c>
      <c r="L300" t="str">
        <f t="shared" si="4"/>
        <v/>
      </c>
    </row>
    <row r="301" spans="1:12" hidden="1" x14ac:dyDescent="0.3">
      <c r="A301" t="str">
        <f>IF($K301="","",281)</f>
        <v/>
      </c>
      <c r="B301" t="str">
        <f>IF($K301="","",INDEX(Конструктор!$C$2:$C$1212,$K301))</f>
        <v/>
      </c>
      <c r="C301" s="8" t="str">
        <f>IF($K301="","",INDEX(Конструктор!$D$2:$D$1212,$K301)&amp;IF(INDEX(Конструктор!$J$2:$J$1212,$K301)&lt;&gt;""," — "&amp;INDEX(Конструктор!$J$2:$J$1212,$K301),""))</f>
        <v/>
      </c>
      <c r="D301" t="str">
        <f>IF($K301="","",INDEX(Конструктор!$E$2:$E$1212,$K301))</f>
        <v/>
      </c>
      <c r="E301" s="10" t="str">
        <f>IF($K301="","",INDEX(Конструктор!$H$2:$H$1212,$K301))</f>
        <v/>
      </c>
      <c r="F301" s="10" t="str">
        <f>IF($K301="","",INDEX(Конструктор!$L$2:$L$1212,$K301))</f>
        <v/>
      </c>
      <c r="G301" s="10" t="str">
        <f>IF($K301="","",INDEX(Конструктор!$M$2:$M$1212,$K301))</f>
        <v/>
      </c>
      <c r="H301" s="10" t="str">
        <f>IF($K301="","",INDEX(Конструктор!$N$2:$N$1212,$K301))</f>
        <v/>
      </c>
      <c r="I301" s="10" t="str">
        <f>IF($K301="","",INDEX(Конструктор!$O$2:$O$1212,$K301))</f>
        <v/>
      </c>
      <c r="J301" s="10" t="str">
        <f>IF($K301="","",INDEX(Конструктор!$P$2:$P$1212,$K301))</f>
        <v/>
      </c>
      <c r="K301" t="str">
        <f>IFERROR(MATCH(281,Конструктор!$T$2:$T$1212,0),"")</f>
        <v/>
      </c>
      <c r="L301" t="str">
        <f t="shared" si="4"/>
        <v/>
      </c>
    </row>
    <row r="302" spans="1:12" hidden="1" x14ac:dyDescent="0.3">
      <c r="A302" t="str">
        <f>IF($K302="","",282)</f>
        <v/>
      </c>
      <c r="B302" t="str">
        <f>IF($K302="","",INDEX(Конструктор!$C$2:$C$1212,$K302))</f>
        <v/>
      </c>
      <c r="C302" s="8" t="str">
        <f>IF($K302="","",INDEX(Конструктор!$D$2:$D$1212,$K302)&amp;IF(INDEX(Конструктор!$J$2:$J$1212,$K302)&lt;&gt;""," — "&amp;INDEX(Конструктор!$J$2:$J$1212,$K302),""))</f>
        <v/>
      </c>
      <c r="D302" t="str">
        <f>IF($K302="","",INDEX(Конструктор!$E$2:$E$1212,$K302))</f>
        <v/>
      </c>
      <c r="E302" s="10" t="str">
        <f>IF($K302="","",INDEX(Конструктор!$H$2:$H$1212,$K302))</f>
        <v/>
      </c>
      <c r="F302" s="10" t="str">
        <f>IF($K302="","",INDEX(Конструктор!$L$2:$L$1212,$K302))</f>
        <v/>
      </c>
      <c r="G302" s="10" t="str">
        <f>IF($K302="","",INDEX(Конструктор!$M$2:$M$1212,$K302))</f>
        <v/>
      </c>
      <c r="H302" s="10" t="str">
        <f>IF($K302="","",INDEX(Конструктор!$N$2:$N$1212,$K302))</f>
        <v/>
      </c>
      <c r="I302" s="10" t="str">
        <f>IF($K302="","",INDEX(Конструктор!$O$2:$O$1212,$K302))</f>
        <v/>
      </c>
      <c r="J302" s="10" t="str">
        <f>IF($K302="","",INDEX(Конструктор!$P$2:$P$1212,$K302))</f>
        <v/>
      </c>
      <c r="K302" t="str">
        <f>IFERROR(MATCH(282,Конструктор!$T$2:$T$1212,0),"")</f>
        <v/>
      </c>
      <c r="L302" t="str">
        <f t="shared" si="4"/>
        <v/>
      </c>
    </row>
    <row r="303" spans="1:12" hidden="1" x14ac:dyDescent="0.3">
      <c r="A303" t="str">
        <f>IF($K303="","",283)</f>
        <v/>
      </c>
      <c r="B303" t="str">
        <f>IF($K303="","",INDEX(Конструктор!$C$2:$C$1212,$K303))</f>
        <v/>
      </c>
      <c r="C303" s="8" t="str">
        <f>IF($K303="","",INDEX(Конструктор!$D$2:$D$1212,$K303)&amp;IF(INDEX(Конструктор!$J$2:$J$1212,$K303)&lt;&gt;""," — "&amp;INDEX(Конструктор!$J$2:$J$1212,$K303),""))</f>
        <v/>
      </c>
      <c r="D303" t="str">
        <f>IF($K303="","",INDEX(Конструктор!$E$2:$E$1212,$K303))</f>
        <v/>
      </c>
      <c r="E303" s="10" t="str">
        <f>IF($K303="","",INDEX(Конструктор!$H$2:$H$1212,$K303))</f>
        <v/>
      </c>
      <c r="F303" s="10" t="str">
        <f>IF($K303="","",INDEX(Конструктор!$L$2:$L$1212,$K303))</f>
        <v/>
      </c>
      <c r="G303" s="10" t="str">
        <f>IF($K303="","",INDEX(Конструктор!$M$2:$M$1212,$K303))</f>
        <v/>
      </c>
      <c r="H303" s="10" t="str">
        <f>IF($K303="","",INDEX(Конструктор!$N$2:$N$1212,$K303))</f>
        <v/>
      </c>
      <c r="I303" s="10" t="str">
        <f>IF($K303="","",INDEX(Конструктор!$O$2:$O$1212,$K303))</f>
        <v/>
      </c>
      <c r="J303" s="10" t="str">
        <f>IF($K303="","",INDEX(Конструктор!$P$2:$P$1212,$K303))</f>
        <v/>
      </c>
      <c r="K303" t="str">
        <f>IFERROR(MATCH(283,Конструктор!$T$2:$T$1212,0),"")</f>
        <v/>
      </c>
      <c r="L303" t="str">
        <f t="shared" si="4"/>
        <v/>
      </c>
    </row>
    <row r="304" spans="1:12" hidden="1" x14ac:dyDescent="0.3">
      <c r="A304" t="str">
        <f>IF($K304="","",284)</f>
        <v/>
      </c>
      <c r="B304" t="str">
        <f>IF($K304="","",INDEX(Конструктор!$C$2:$C$1212,$K304))</f>
        <v/>
      </c>
      <c r="C304" s="8" t="str">
        <f>IF($K304="","",INDEX(Конструктор!$D$2:$D$1212,$K304)&amp;IF(INDEX(Конструктор!$J$2:$J$1212,$K304)&lt;&gt;""," — "&amp;INDEX(Конструктор!$J$2:$J$1212,$K304),""))</f>
        <v/>
      </c>
      <c r="D304" t="str">
        <f>IF($K304="","",INDEX(Конструктор!$E$2:$E$1212,$K304))</f>
        <v/>
      </c>
      <c r="E304" s="10" t="str">
        <f>IF($K304="","",INDEX(Конструктор!$H$2:$H$1212,$K304))</f>
        <v/>
      </c>
      <c r="F304" s="10" t="str">
        <f>IF($K304="","",INDEX(Конструктор!$L$2:$L$1212,$K304))</f>
        <v/>
      </c>
      <c r="G304" s="10" t="str">
        <f>IF($K304="","",INDEX(Конструктор!$M$2:$M$1212,$K304))</f>
        <v/>
      </c>
      <c r="H304" s="10" t="str">
        <f>IF($K304="","",INDEX(Конструктор!$N$2:$N$1212,$K304))</f>
        <v/>
      </c>
      <c r="I304" s="10" t="str">
        <f>IF($K304="","",INDEX(Конструктор!$O$2:$O$1212,$K304))</f>
        <v/>
      </c>
      <c r="J304" s="10" t="str">
        <f>IF($K304="","",INDEX(Конструктор!$P$2:$P$1212,$K304))</f>
        <v/>
      </c>
      <c r="K304" t="str">
        <f>IFERROR(MATCH(284,Конструктор!$T$2:$T$1212,0),"")</f>
        <v/>
      </c>
      <c r="L304" t="str">
        <f t="shared" si="4"/>
        <v/>
      </c>
    </row>
    <row r="305" spans="1:12" hidden="1" x14ac:dyDescent="0.3">
      <c r="A305" t="str">
        <f>IF($K305="","",285)</f>
        <v/>
      </c>
      <c r="B305" t="str">
        <f>IF($K305="","",INDEX(Конструктор!$C$2:$C$1212,$K305))</f>
        <v/>
      </c>
      <c r="C305" s="8" t="str">
        <f>IF($K305="","",INDEX(Конструктор!$D$2:$D$1212,$K305)&amp;IF(INDEX(Конструктор!$J$2:$J$1212,$K305)&lt;&gt;""," — "&amp;INDEX(Конструктор!$J$2:$J$1212,$K305),""))</f>
        <v/>
      </c>
      <c r="D305" t="str">
        <f>IF($K305="","",INDEX(Конструктор!$E$2:$E$1212,$K305))</f>
        <v/>
      </c>
      <c r="E305" s="10" t="str">
        <f>IF($K305="","",INDEX(Конструктор!$H$2:$H$1212,$K305))</f>
        <v/>
      </c>
      <c r="F305" s="10" t="str">
        <f>IF($K305="","",INDEX(Конструктор!$L$2:$L$1212,$K305))</f>
        <v/>
      </c>
      <c r="G305" s="10" t="str">
        <f>IF($K305="","",INDEX(Конструктор!$M$2:$M$1212,$K305))</f>
        <v/>
      </c>
      <c r="H305" s="10" t="str">
        <f>IF($K305="","",INDEX(Конструктор!$N$2:$N$1212,$K305))</f>
        <v/>
      </c>
      <c r="I305" s="10" t="str">
        <f>IF($K305="","",INDEX(Конструктор!$O$2:$O$1212,$K305))</f>
        <v/>
      </c>
      <c r="J305" s="10" t="str">
        <f>IF($K305="","",INDEX(Конструктор!$P$2:$P$1212,$K305))</f>
        <v/>
      </c>
      <c r="K305" t="str">
        <f>IFERROR(MATCH(285,Конструктор!$T$2:$T$1212,0),"")</f>
        <v/>
      </c>
      <c r="L305" t="str">
        <f t="shared" si="4"/>
        <v/>
      </c>
    </row>
    <row r="306" spans="1:12" hidden="1" x14ac:dyDescent="0.3">
      <c r="A306" t="str">
        <f>IF($K306="","",286)</f>
        <v/>
      </c>
      <c r="B306" t="str">
        <f>IF($K306="","",INDEX(Конструктор!$C$2:$C$1212,$K306))</f>
        <v/>
      </c>
      <c r="C306" s="8" t="str">
        <f>IF($K306="","",INDEX(Конструктор!$D$2:$D$1212,$K306)&amp;IF(INDEX(Конструктор!$J$2:$J$1212,$K306)&lt;&gt;""," — "&amp;INDEX(Конструктор!$J$2:$J$1212,$K306),""))</f>
        <v/>
      </c>
      <c r="D306" t="str">
        <f>IF($K306="","",INDEX(Конструктор!$E$2:$E$1212,$K306))</f>
        <v/>
      </c>
      <c r="E306" s="10" t="str">
        <f>IF($K306="","",INDEX(Конструктор!$H$2:$H$1212,$K306))</f>
        <v/>
      </c>
      <c r="F306" s="10" t="str">
        <f>IF($K306="","",INDEX(Конструктор!$L$2:$L$1212,$K306))</f>
        <v/>
      </c>
      <c r="G306" s="10" t="str">
        <f>IF($K306="","",INDEX(Конструктор!$M$2:$M$1212,$K306))</f>
        <v/>
      </c>
      <c r="H306" s="10" t="str">
        <f>IF($K306="","",INDEX(Конструктор!$N$2:$N$1212,$K306))</f>
        <v/>
      </c>
      <c r="I306" s="10" t="str">
        <f>IF($K306="","",INDEX(Конструктор!$O$2:$O$1212,$K306))</f>
        <v/>
      </c>
      <c r="J306" s="10" t="str">
        <f>IF($K306="","",INDEX(Конструктор!$P$2:$P$1212,$K306))</f>
        <v/>
      </c>
      <c r="K306" t="str">
        <f>IFERROR(MATCH(286,Конструктор!$T$2:$T$1212,0),"")</f>
        <v/>
      </c>
      <c r="L306" t="str">
        <f t="shared" si="4"/>
        <v/>
      </c>
    </row>
    <row r="307" spans="1:12" hidden="1" x14ac:dyDescent="0.3">
      <c r="A307" t="str">
        <f>IF($K307="","",287)</f>
        <v/>
      </c>
      <c r="B307" t="str">
        <f>IF($K307="","",INDEX(Конструктор!$C$2:$C$1212,$K307))</f>
        <v/>
      </c>
      <c r="C307" s="8" t="str">
        <f>IF($K307="","",INDEX(Конструктор!$D$2:$D$1212,$K307)&amp;IF(INDEX(Конструктор!$J$2:$J$1212,$K307)&lt;&gt;""," — "&amp;INDEX(Конструктор!$J$2:$J$1212,$K307),""))</f>
        <v/>
      </c>
      <c r="D307" t="str">
        <f>IF($K307="","",INDEX(Конструктор!$E$2:$E$1212,$K307))</f>
        <v/>
      </c>
      <c r="E307" s="10" t="str">
        <f>IF($K307="","",INDEX(Конструктор!$H$2:$H$1212,$K307))</f>
        <v/>
      </c>
      <c r="F307" s="10" t="str">
        <f>IF($K307="","",INDEX(Конструктор!$L$2:$L$1212,$K307))</f>
        <v/>
      </c>
      <c r="G307" s="10" t="str">
        <f>IF($K307="","",INDEX(Конструктор!$M$2:$M$1212,$K307))</f>
        <v/>
      </c>
      <c r="H307" s="10" t="str">
        <f>IF($K307="","",INDEX(Конструктор!$N$2:$N$1212,$K307))</f>
        <v/>
      </c>
      <c r="I307" s="10" t="str">
        <f>IF($K307="","",INDEX(Конструктор!$O$2:$O$1212,$K307))</f>
        <v/>
      </c>
      <c r="J307" s="10" t="str">
        <f>IF($K307="","",INDEX(Конструктор!$P$2:$P$1212,$K307))</f>
        <v/>
      </c>
      <c r="K307" t="str">
        <f>IFERROR(MATCH(287,Конструктор!$T$2:$T$1212,0),"")</f>
        <v/>
      </c>
      <c r="L307" t="str">
        <f t="shared" si="4"/>
        <v/>
      </c>
    </row>
    <row r="308" spans="1:12" hidden="1" x14ac:dyDescent="0.3">
      <c r="A308" t="str">
        <f>IF($K308="","",288)</f>
        <v/>
      </c>
      <c r="B308" t="str">
        <f>IF($K308="","",INDEX(Конструктор!$C$2:$C$1212,$K308))</f>
        <v/>
      </c>
      <c r="C308" s="8" t="str">
        <f>IF($K308="","",INDEX(Конструктор!$D$2:$D$1212,$K308)&amp;IF(INDEX(Конструктор!$J$2:$J$1212,$K308)&lt;&gt;""," — "&amp;INDEX(Конструктор!$J$2:$J$1212,$K308),""))</f>
        <v/>
      </c>
      <c r="D308" t="str">
        <f>IF($K308="","",INDEX(Конструктор!$E$2:$E$1212,$K308))</f>
        <v/>
      </c>
      <c r="E308" s="10" t="str">
        <f>IF($K308="","",INDEX(Конструктор!$H$2:$H$1212,$K308))</f>
        <v/>
      </c>
      <c r="F308" s="10" t="str">
        <f>IF($K308="","",INDEX(Конструктор!$L$2:$L$1212,$K308))</f>
        <v/>
      </c>
      <c r="G308" s="10" t="str">
        <f>IF($K308="","",INDEX(Конструктор!$M$2:$M$1212,$K308))</f>
        <v/>
      </c>
      <c r="H308" s="10" t="str">
        <f>IF($K308="","",INDEX(Конструктор!$N$2:$N$1212,$K308))</f>
        <v/>
      </c>
      <c r="I308" s="10" t="str">
        <f>IF($K308="","",INDEX(Конструктор!$O$2:$O$1212,$K308))</f>
        <v/>
      </c>
      <c r="J308" s="10" t="str">
        <f>IF($K308="","",INDEX(Конструктор!$P$2:$P$1212,$K308))</f>
        <v/>
      </c>
      <c r="K308" t="str">
        <f>IFERROR(MATCH(288,Конструктор!$T$2:$T$1212,0),"")</f>
        <v/>
      </c>
      <c r="L308" t="str">
        <f t="shared" si="4"/>
        <v/>
      </c>
    </row>
    <row r="309" spans="1:12" hidden="1" x14ac:dyDescent="0.3">
      <c r="A309" t="str">
        <f>IF($K309="","",289)</f>
        <v/>
      </c>
      <c r="B309" t="str">
        <f>IF($K309="","",INDEX(Конструктор!$C$2:$C$1212,$K309))</f>
        <v/>
      </c>
      <c r="C309" s="8" t="str">
        <f>IF($K309="","",INDEX(Конструктор!$D$2:$D$1212,$K309)&amp;IF(INDEX(Конструктор!$J$2:$J$1212,$K309)&lt;&gt;""," — "&amp;INDEX(Конструктор!$J$2:$J$1212,$K309),""))</f>
        <v/>
      </c>
      <c r="D309" t="str">
        <f>IF($K309="","",INDEX(Конструктор!$E$2:$E$1212,$K309))</f>
        <v/>
      </c>
      <c r="E309" s="10" t="str">
        <f>IF($K309="","",INDEX(Конструктор!$H$2:$H$1212,$K309))</f>
        <v/>
      </c>
      <c r="F309" s="10" t="str">
        <f>IF($K309="","",INDEX(Конструктор!$L$2:$L$1212,$K309))</f>
        <v/>
      </c>
      <c r="G309" s="10" t="str">
        <f>IF($K309="","",INDEX(Конструктор!$M$2:$M$1212,$K309))</f>
        <v/>
      </c>
      <c r="H309" s="10" t="str">
        <f>IF($K309="","",INDEX(Конструктор!$N$2:$N$1212,$K309))</f>
        <v/>
      </c>
      <c r="I309" s="10" t="str">
        <f>IF($K309="","",INDEX(Конструктор!$O$2:$O$1212,$K309))</f>
        <v/>
      </c>
      <c r="J309" s="10" t="str">
        <f>IF($K309="","",INDEX(Конструктор!$P$2:$P$1212,$K309))</f>
        <v/>
      </c>
      <c r="K309" t="str">
        <f>IFERROR(MATCH(289,Конструктор!$T$2:$T$1212,0),"")</f>
        <v/>
      </c>
      <c r="L309" t="str">
        <f t="shared" si="4"/>
        <v/>
      </c>
    </row>
    <row r="310" spans="1:12" hidden="1" x14ac:dyDescent="0.3">
      <c r="A310" t="str">
        <f>IF($K310="","",290)</f>
        <v/>
      </c>
      <c r="B310" t="str">
        <f>IF($K310="","",INDEX(Конструктор!$C$2:$C$1212,$K310))</f>
        <v/>
      </c>
      <c r="C310" s="8" t="str">
        <f>IF($K310="","",INDEX(Конструктор!$D$2:$D$1212,$K310)&amp;IF(INDEX(Конструктор!$J$2:$J$1212,$K310)&lt;&gt;""," — "&amp;INDEX(Конструктор!$J$2:$J$1212,$K310),""))</f>
        <v/>
      </c>
      <c r="D310" t="str">
        <f>IF($K310="","",INDEX(Конструктор!$E$2:$E$1212,$K310))</f>
        <v/>
      </c>
      <c r="E310" s="10" t="str">
        <f>IF($K310="","",INDEX(Конструктор!$H$2:$H$1212,$K310))</f>
        <v/>
      </c>
      <c r="F310" s="10" t="str">
        <f>IF($K310="","",INDEX(Конструктор!$L$2:$L$1212,$K310))</f>
        <v/>
      </c>
      <c r="G310" s="10" t="str">
        <f>IF($K310="","",INDEX(Конструктор!$M$2:$M$1212,$K310))</f>
        <v/>
      </c>
      <c r="H310" s="10" t="str">
        <f>IF($K310="","",INDEX(Конструктор!$N$2:$N$1212,$K310))</f>
        <v/>
      </c>
      <c r="I310" s="10" t="str">
        <f>IF($K310="","",INDEX(Конструктор!$O$2:$O$1212,$K310))</f>
        <v/>
      </c>
      <c r="J310" s="10" t="str">
        <f>IF($K310="","",INDEX(Конструктор!$P$2:$P$1212,$K310))</f>
        <v/>
      </c>
      <c r="K310" t="str">
        <f>IFERROR(MATCH(290,Конструктор!$T$2:$T$1212,0),"")</f>
        <v/>
      </c>
      <c r="L310" t="str">
        <f t="shared" si="4"/>
        <v/>
      </c>
    </row>
    <row r="311" spans="1:12" hidden="1" x14ac:dyDescent="0.3">
      <c r="A311" t="str">
        <f>IF($K311="","",291)</f>
        <v/>
      </c>
      <c r="B311" t="str">
        <f>IF($K311="","",INDEX(Конструктор!$C$2:$C$1212,$K311))</f>
        <v/>
      </c>
      <c r="C311" s="8" t="str">
        <f>IF($K311="","",INDEX(Конструктор!$D$2:$D$1212,$K311)&amp;IF(INDEX(Конструктор!$J$2:$J$1212,$K311)&lt;&gt;""," — "&amp;INDEX(Конструктор!$J$2:$J$1212,$K311),""))</f>
        <v/>
      </c>
      <c r="D311" t="str">
        <f>IF($K311="","",INDEX(Конструктор!$E$2:$E$1212,$K311))</f>
        <v/>
      </c>
      <c r="E311" s="10" t="str">
        <f>IF($K311="","",INDEX(Конструктор!$H$2:$H$1212,$K311))</f>
        <v/>
      </c>
      <c r="F311" s="10" t="str">
        <f>IF($K311="","",INDEX(Конструктор!$L$2:$L$1212,$K311))</f>
        <v/>
      </c>
      <c r="G311" s="10" t="str">
        <f>IF($K311="","",INDEX(Конструктор!$M$2:$M$1212,$K311))</f>
        <v/>
      </c>
      <c r="H311" s="10" t="str">
        <f>IF($K311="","",INDEX(Конструктор!$N$2:$N$1212,$K311))</f>
        <v/>
      </c>
      <c r="I311" s="10" t="str">
        <f>IF($K311="","",INDEX(Конструктор!$O$2:$O$1212,$K311))</f>
        <v/>
      </c>
      <c r="J311" s="10" t="str">
        <f>IF($K311="","",INDEX(Конструктор!$P$2:$P$1212,$K311))</f>
        <v/>
      </c>
      <c r="K311" t="str">
        <f>IFERROR(MATCH(291,Конструктор!$T$2:$T$1212,0),"")</f>
        <v/>
      </c>
      <c r="L311" t="str">
        <f t="shared" si="4"/>
        <v/>
      </c>
    </row>
    <row r="312" spans="1:12" hidden="1" x14ac:dyDescent="0.3">
      <c r="A312" t="str">
        <f>IF($K312="","",292)</f>
        <v/>
      </c>
      <c r="B312" t="str">
        <f>IF($K312="","",INDEX(Конструктор!$C$2:$C$1212,$K312))</f>
        <v/>
      </c>
      <c r="C312" s="8" t="str">
        <f>IF($K312="","",INDEX(Конструктор!$D$2:$D$1212,$K312)&amp;IF(INDEX(Конструктор!$J$2:$J$1212,$K312)&lt;&gt;""," — "&amp;INDEX(Конструктор!$J$2:$J$1212,$K312),""))</f>
        <v/>
      </c>
      <c r="D312" t="str">
        <f>IF($K312="","",INDEX(Конструктор!$E$2:$E$1212,$K312))</f>
        <v/>
      </c>
      <c r="E312" s="10" t="str">
        <f>IF($K312="","",INDEX(Конструктор!$H$2:$H$1212,$K312))</f>
        <v/>
      </c>
      <c r="F312" s="10" t="str">
        <f>IF($K312="","",INDEX(Конструктор!$L$2:$L$1212,$K312))</f>
        <v/>
      </c>
      <c r="G312" s="10" t="str">
        <f>IF($K312="","",INDEX(Конструктор!$M$2:$M$1212,$K312))</f>
        <v/>
      </c>
      <c r="H312" s="10" t="str">
        <f>IF($K312="","",INDEX(Конструктор!$N$2:$N$1212,$K312))</f>
        <v/>
      </c>
      <c r="I312" s="10" t="str">
        <f>IF($K312="","",INDEX(Конструктор!$O$2:$O$1212,$K312))</f>
        <v/>
      </c>
      <c r="J312" s="10" t="str">
        <f>IF($K312="","",INDEX(Конструктор!$P$2:$P$1212,$K312))</f>
        <v/>
      </c>
      <c r="K312" t="str">
        <f>IFERROR(MATCH(292,Конструктор!$T$2:$T$1212,0),"")</f>
        <v/>
      </c>
      <c r="L312" t="str">
        <f t="shared" si="4"/>
        <v/>
      </c>
    </row>
    <row r="313" spans="1:12" hidden="1" x14ac:dyDescent="0.3">
      <c r="A313" t="str">
        <f>IF($K313="","",293)</f>
        <v/>
      </c>
      <c r="B313" t="str">
        <f>IF($K313="","",INDEX(Конструктор!$C$2:$C$1212,$K313))</f>
        <v/>
      </c>
      <c r="C313" s="8" t="str">
        <f>IF($K313="","",INDEX(Конструктор!$D$2:$D$1212,$K313)&amp;IF(INDEX(Конструктор!$J$2:$J$1212,$K313)&lt;&gt;""," — "&amp;INDEX(Конструктор!$J$2:$J$1212,$K313),""))</f>
        <v/>
      </c>
      <c r="D313" t="str">
        <f>IF($K313="","",INDEX(Конструктор!$E$2:$E$1212,$K313))</f>
        <v/>
      </c>
      <c r="E313" s="10" t="str">
        <f>IF($K313="","",INDEX(Конструктор!$H$2:$H$1212,$K313))</f>
        <v/>
      </c>
      <c r="F313" s="10" t="str">
        <f>IF($K313="","",INDEX(Конструктор!$L$2:$L$1212,$K313))</f>
        <v/>
      </c>
      <c r="G313" s="10" t="str">
        <f>IF($K313="","",INDEX(Конструктор!$M$2:$M$1212,$K313))</f>
        <v/>
      </c>
      <c r="H313" s="10" t="str">
        <f>IF($K313="","",INDEX(Конструктор!$N$2:$N$1212,$K313))</f>
        <v/>
      </c>
      <c r="I313" s="10" t="str">
        <f>IF($K313="","",INDEX(Конструктор!$O$2:$O$1212,$K313))</f>
        <v/>
      </c>
      <c r="J313" s="10" t="str">
        <f>IF($K313="","",INDEX(Конструктор!$P$2:$P$1212,$K313))</f>
        <v/>
      </c>
      <c r="K313" t="str">
        <f>IFERROR(MATCH(293,Конструктор!$T$2:$T$1212,0),"")</f>
        <v/>
      </c>
      <c r="L313" t="str">
        <f t="shared" si="4"/>
        <v/>
      </c>
    </row>
    <row r="314" spans="1:12" hidden="1" x14ac:dyDescent="0.3">
      <c r="A314" t="str">
        <f>IF($K314="","",294)</f>
        <v/>
      </c>
      <c r="B314" t="str">
        <f>IF($K314="","",INDEX(Конструктор!$C$2:$C$1212,$K314))</f>
        <v/>
      </c>
      <c r="C314" s="8" t="str">
        <f>IF($K314="","",INDEX(Конструктор!$D$2:$D$1212,$K314)&amp;IF(INDEX(Конструктор!$J$2:$J$1212,$K314)&lt;&gt;""," — "&amp;INDEX(Конструктор!$J$2:$J$1212,$K314),""))</f>
        <v/>
      </c>
      <c r="D314" t="str">
        <f>IF($K314="","",INDEX(Конструктор!$E$2:$E$1212,$K314))</f>
        <v/>
      </c>
      <c r="E314" s="10" t="str">
        <f>IF($K314="","",INDEX(Конструктор!$H$2:$H$1212,$K314))</f>
        <v/>
      </c>
      <c r="F314" s="10" t="str">
        <f>IF($K314="","",INDEX(Конструктор!$L$2:$L$1212,$K314))</f>
        <v/>
      </c>
      <c r="G314" s="10" t="str">
        <f>IF($K314="","",INDEX(Конструктор!$M$2:$M$1212,$K314))</f>
        <v/>
      </c>
      <c r="H314" s="10" t="str">
        <f>IF($K314="","",INDEX(Конструктор!$N$2:$N$1212,$K314))</f>
        <v/>
      </c>
      <c r="I314" s="10" t="str">
        <f>IF($K314="","",INDEX(Конструктор!$O$2:$O$1212,$K314))</f>
        <v/>
      </c>
      <c r="J314" s="10" t="str">
        <f>IF($K314="","",INDEX(Конструктор!$P$2:$P$1212,$K314))</f>
        <v/>
      </c>
      <c r="K314" t="str">
        <f>IFERROR(MATCH(294,Конструктор!$T$2:$T$1212,0),"")</f>
        <v/>
      </c>
      <c r="L314" t="str">
        <f t="shared" si="4"/>
        <v/>
      </c>
    </row>
    <row r="315" spans="1:12" hidden="1" x14ac:dyDescent="0.3">
      <c r="A315" t="str">
        <f>IF($K315="","",295)</f>
        <v/>
      </c>
      <c r="B315" t="str">
        <f>IF($K315="","",INDEX(Конструктор!$C$2:$C$1212,$K315))</f>
        <v/>
      </c>
      <c r="C315" s="8" t="str">
        <f>IF($K315="","",INDEX(Конструктор!$D$2:$D$1212,$K315)&amp;IF(INDEX(Конструктор!$J$2:$J$1212,$K315)&lt;&gt;""," — "&amp;INDEX(Конструктор!$J$2:$J$1212,$K315),""))</f>
        <v/>
      </c>
      <c r="D315" t="str">
        <f>IF($K315="","",INDEX(Конструктор!$E$2:$E$1212,$K315))</f>
        <v/>
      </c>
      <c r="E315" s="10" t="str">
        <f>IF($K315="","",INDEX(Конструктор!$H$2:$H$1212,$K315))</f>
        <v/>
      </c>
      <c r="F315" s="10" t="str">
        <f>IF($K315="","",INDEX(Конструктор!$L$2:$L$1212,$K315))</f>
        <v/>
      </c>
      <c r="G315" s="10" t="str">
        <f>IF($K315="","",INDEX(Конструктор!$M$2:$M$1212,$K315))</f>
        <v/>
      </c>
      <c r="H315" s="10" t="str">
        <f>IF($K315="","",INDEX(Конструктор!$N$2:$N$1212,$K315))</f>
        <v/>
      </c>
      <c r="I315" s="10" t="str">
        <f>IF($K315="","",INDEX(Конструктор!$O$2:$O$1212,$K315))</f>
        <v/>
      </c>
      <c r="J315" s="10" t="str">
        <f>IF($K315="","",INDEX(Конструктор!$P$2:$P$1212,$K315))</f>
        <v/>
      </c>
      <c r="K315" t="str">
        <f>IFERROR(MATCH(295,Конструктор!$T$2:$T$1212,0),"")</f>
        <v/>
      </c>
      <c r="L315" t="str">
        <f t="shared" si="4"/>
        <v/>
      </c>
    </row>
    <row r="316" spans="1:12" hidden="1" x14ac:dyDescent="0.3">
      <c r="A316" t="str">
        <f>IF($K316="","",296)</f>
        <v/>
      </c>
      <c r="B316" t="str">
        <f>IF($K316="","",INDEX(Конструктор!$C$2:$C$1212,$K316))</f>
        <v/>
      </c>
      <c r="C316" s="8" t="str">
        <f>IF($K316="","",INDEX(Конструктор!$D$2:$D$1212,$K316)&amp;IF(INDEX(Конструктор!$J$2:$J$1212,$K316)&lt;&gt;""," — "&amp;INDEX(Конструктор!$J$2:$J$1212,$K316),""))</f>
        <v/>
      </c>
      <c r="D316" t="str">
        <f>IF($K316="","",INDEX(Конструктор!$E$2:$E$1212,$K316))</f>
        <v/>
      </c>
      <c r="E316" s="10" t="str">
        <f>IF($K316="","",INDEX(Конструктор!$H$2:$H$1212,$K316))</f>
        <v/>
      </c>
      <c r="F316" s="10" t="str">
        <f>IF($K316="","",INDEX(Конструктор!$L$2:$L$1212,$K316))</f>
        <v/>
      </c>
      <c r="G316" s="10" t="str">
        <f>IF($K316="","",INDEX(Конструктор!$M$2:$M$1212,$K316))</f>
        <v/>
      </c>
      <c r="H316" s="10" t="str">
        <f>IF($K316="","",INDEX(Конструктор!$N$2:$N$1212,$K316))</f>
        <v/>
      </c>
      <c r="I316" s="10" t="str">
        <f>IF($K316="","",INDEX(Конструктор!$O$2:$O$1212,$K316))</f>
        <v/>
      </c>
      <c r="J316" s="10" t="str">
        <f>IF($K316="","",INDEX(Конструктор!$P$2:$P$1212,$K316))</f>
        <v/>
      </c>
      <c r="K316" t="str">
        <f>IFERROR(MATCH(296,Конструктор!$T$2:$T$1212,0),"")</f>
        <v/>
      </c>
      <c r="L316" t="str">
        <f t="shared" si="4"/>
        <v/>
      </c>
    </row>
    <row r="317" spans="1:12" hidden="1" x14ac:dyDescent="0.3">
      <c r="A317" t="str">
        <f>IF($K317="","",297)</f>
        <v/>
      </c>
      <c r="B317" t="str">
        <f>IF($K317="","",INDEX(Конструктор!$C$2:$C$1212,$K317))</f>
        <v/>
      </c>
      <c r="C317" s="8" t="str">
        <f>IF($K317="","",INDEX(Конструктор!$D$2:$D$1212,$K317)&amp;IF(INDEX(Конструктор!$J$2:$J$1212,$K317)&lt;&gt;""," — "&amp;INDEX(Конструктор!$J$2:$J$1212,$K317),""))</f>
        <v/>
      </c>
      <c r="D317" t="str">
        <f>IF($K317="","",INDEX(Конструктор!$E$2:$E$1212,$K317))</f>
        <v/>
      </c>
      <c r="E317" s="10" t="str">
        <f>IF($K317="","",INDEX(Конструктор!$H$2:$H$1212,$K317))</f>
        <v/>
      </c>
      <c r="F317" s="10" t="str">
        <f>IF($K317="","",INDEX(Конструктор!$L$2:$L$1212,$K317))</f>
        <v/>
      </c>
      <c r="G317" s="10" t="str">
        <f>IF($K317="","",INDEX(Конструктор!$M$2:$M$1212,$K317))</f>
        <v/>
      </c>
      <c r="H317" s="10" t="str">
        <f>IF($K317="","",INDEX(Конструктор!$N$2:$N$1212,$K317))</f>
        <v/>
      </c>
      <c r="I317" s="10" t="str">
        <f>IF($K317="","",INDEX(Конструктор!$O$2:$O$1212,$K317))</f>
        <v/>
      </c>
      <c r="J317" s="10" t="str">
        <f>IF($K317="","",INDEX(Конструктор!$P$2:$P$1212,$K317))</f>
        <v/>
      </c>
      <c r="K317" t="str">
        <f>IFERROR(MATCH(297,Конструктор!$T$2:$T$1212,0),"")</f>
        <v/>
      </c>
      <c r="L317" t="str">
        <f t="shared" si="4"/>
        <v/>
      </c>
    </row>
    <row r="318" spans="1:12" hidden="1" x14ac:dyDescent="0.3">
      <c r="A318" t="str">
        <f>IF($K318="","",298)</f>
        <v/>
      </c>
      <c r="B318" t="str">
        <f>IF($K318="","",INDEX(Конструктор!$C$2:$C$1212,$K318))</f>
        <v/>
      </c>
      <c r="C318" s="8" t="str">
        <f>IF($K318="","",INDEX(Конструктор!$D$2:$D$1212,$K318)&amp;IF(INDEX(Конструктор!$J$2:$J$1212,$K318)&lt;&gt;""," — "&amp;INDEX(Конструктор!$J$2:$J$1212,$K318),""))</f>
        <v/>
      </c>
      <c r="D318" t="str">
        <f>IF($K318="","",INDEX(Конструктор!$E$2:$E$1212,$K318))</f>
        <v/>
      </c>
      <c r="E318" s="10" t="str">
        <f>IF($K318="","",INDEX(Конструктор!$H$2:$H$1212,$K318))</f>
        <v/>
      </c>
      <c r="F318" s="10" t="str">
        <f>IF($K318="","",INDEX(Конструктор!$L$2:$L$1212,$K318))</f>
        <v/>
      </c>
      <c r="G318" s="10" t="str">
        <f>IF($K318="","",INDEX(Конструктор!$M$2:$M$1212,$K318))</f>
        <v/>
      </c>
      <c r="H318" s="10" t="str">
        <f>IF($K318="","",INDEX(Конструктор!$N$2:$N$1212,$K318))</f>
        <v/>
      </c>
      <c r="I318" s="10" t="str">
        <f>IF($K318="","",INDEX(Конструктор!$O$2:$O$1212,$K318))</f>
        <v/>
      </c>
      <c r="J318" s="10" t="str">
        <f>IF($K318="","",INDEX(Конструктор!$P$2:$P$1212,$K318))</f>
        <v/>
      </c>
      <c r="K318" t="str">
        <f>IFERROR(MATCH(298,Конструктор!$T$2:$T$1212,0),"")</f>
        <v/>
      </c>
      <c r="L318" t="str">
        <f t="shared" si="4"/>
        <v/>
      </c>
    </row>
    <row r="319" spans="1:12" hidden="1" x14ac:dyDescent="0.3">
      <c r="A319" t="str">
        <f>IF($K319="","",299)</f>
        <v/>
      </c>
      <c r="B319" t="str">
        <f>IF($K319="","",INDEX(Конструктор!$C$2:$C$1212,$K319))</f>
        <v/>
      </c>
      <c r="C319" s="8" t="str">
        <f>IF($K319="","",INDEX(Конструктор!$D$2:$D$1212,$K319)&amp;IF(INDEX(Конструктор!$J$2:$J$1212,$K319)&lt;&gt;""," — "&amp;INDEX(Конструктор!$J$2:$J$1212,$K319),""))</f>
        <v/>
      </c>
      <c r="D319" t="str">
        <f>IF($K319="","",INDEX(Конструктор!$E$2:$E$1212,$K319))</f>
        <v/>
      </c>
      <c r="E319" s="10" t="str">
        <f>IF($K319="","",INDEX(Конструктор!$H$2:$H$1212,$K319))</f>
        <v/>
      </c>
      <c r="F319" s="10" t="str">
        <f>IF($K319="","",INDEX(Конструктор!$L$2:$L$1212,$K319))</f>
        <v/>
      </c>
      <c r="G319" s="10" t="str">
        <f>IF($K319="","",INDEX(Конструктор!$M$2:$M$1212,$K319))</f>
        <v/>
      </c>
      <c r="H319" s="10" t="str">
        <f>IF($K319="","",INDEX(Конструктор!$N$2:$N$1212,$K319))</f>
        <v/>
      </c>
      <c r="I319" s="10" t="str">
        <f>IF($K319="","",INDEX(Конструктор!$O$2:$O$1212,$K319))</f>
        <v/>
      </c>
      <c r="J319" s="10" t="str">
        <f>IF($K319="","",INDEX(Конструктор!$P$2:$P$1212,$K319))</f>
        <v/>
      </c>
      <c r="K319" t="str">
        <f>IFERROR(MATCH(299,Конструктор!$T$2:$T$1212,0),"")</f>
        <v/>
      </c>
      <c r="L319" t="str">
        <f t="shared" si="4"/>
        <v/>
      </c>
    </row>
    <row r="320" spans="1:12" hidden="1" x14ac:dyDescent="0.3">
      <c r="A320" t="str">
        <f>IF($K320="","",300)</f>
        <v/>
      </c>
      <c r="B320" t="str">
        <f>IF($K320="","",INDEX(Конструктор!$C$2:$C$1212,$K320))</f>
        <v/>
      </c>
      <c r="C320" s="8" t="str">
        <f>IF($K320="","",INDEX(Конструктор!$D$2:$D$1212,$K320)&amp;IF(INDEX(Конструктор!$J$2:$J$1212,$K320)&lt;&gt;""," — "&amp;INDEX(Конструктор!$J$2:$J$1212,$K320),""))</f>
        <v/>
      </c>
      <c r="D320" t="str">
        <f>IF($K320="","",INDEX(Конструктор!$E$2:$E$1212,$K320))</f>
        <v/>
      </c>
      <c r="E320" s="10" t="str">
        <f>IF($K320="","",INDEX(Конструктор!$H$2:$H$1212,$K320))</f>
        <v/>
      </c>
      <c r="F320" s="10" t="str">
        <f>IF($K320="","",INDEX(Конструктор!$L$2:$L$1212,$K320))</f>
        <v/>
      </c>
      <c r="G320" s="10" t="str">
        <f>IF($K320="","",INDEX(Конструктор!$M$2:$M$1212,$K320))</f>
        <v/>
      </c>
      <c r="H320" s="10" t="str">
        <f>IF($K320="","",INDEX(Конструктор!$N$2:$N$1212,$K320))</f>
        <v/>
      </c>
      <c r="I320" s="10" t="str">
        <f>IF($K320="","",INDEX(Конструктор!$O$2:$O$1212,$K320))</f>
        <v/>
      </c>
      <c r="J320" s="10" t="str">
        <f>IF($K320="","",INDEX(Конструктор!$P$2:$P$1212,$K320))</f>
        <v/>
      </c>
      <c r="K320" t="str">
        <f>IFERROR(MATCH(300,Конструктор!$T$2:$T$1212,0),"")</f>
        <v/>
      </c>
      <c r="L320" t="str">
        <f t="shared" si="4"/>
        <v/>
      </c>
    </row>
    <row r="321" spans="1:12" hidden="1" x14ac:dyDescent="0.3">
      <c r="A321" t="str">
        <f>IF($K321="","",301)</f>
        <v/>
      </c>
      <c r="B321" t="str">
        <f>IF($K321="","",INDEX(Конструктор!$C$2:$C$1212,$K321))</f>
        <v/>
      </c>
      <c r="C321" s="8" t="str">
        <f>IF($K321="","",INDEX(Конструктор!$D$2:$D$1212,$K321)&amp;IF(INDEX(Конструктор!$J$2:$J$1212,$K321)&lt;&gt;""," — "&amp;INDEX(Конструктор!$J$2:$J$1212,$K321),""))</f>
        <v/>
      </c>
      <c r="D321" t="str">
        <f>IF($K321="","",INDEX(Конструктор!$E$2:$E$1212,$K321))</f>
        <v/>
      </c>
      <c r="E321" s="10" t="str">
        <f>IF($K321="","",INDEX(Конструктор!$H$2:$H$1212,$K321))</f>
        <v/>
      </c>
      <c r="F321" s="10" t="str">
        <f>IF($K321="","",INDEX(Конструктор!$L$2:$L$1212,$K321))</f>
        <v/>
      </c>
      <c r="G321" s="10" t="str">
        <f>IF($K321="","",INDEX(Конструктор!$M$2:$M$1212,$K321))</f>
        <v/>
      </c>
      <c r="H321" s="10" t="str">
        <f>IF($K321="","",INDEX(Конструктор!$N$2:$N$1212,$K321))</f>
        <v/>
      </c>
      <c r="I321" s="10" t="str">
        <f>IF($K321="","",INDEX(Конструктор!$O$2:$O$1212,$K321))</f>
        <v/>
      </c>
      <c r="J321" s="10" t="str">
        <f>IF($K321="","",INDEX(Конструктор!$P$2:$P$1212,$K321))</f>
        <v/>
      </c>
      <c r="K321" t="str">
        <f>IFERROR(MATCH(301,Конструктор!$T$2:$T$1212,0),"")</f>
        <v/>
      </c>
      <c r="L321" t="str">
        <f t="shared" si="4"/>
        <v/>
      </c>
    </row>
    <row r="322" spans="1:12" hidden="1" x14ac:dyDescent="0.3">
      <c r="A322" t="str">
        <f>IF($K322="","",302)</f>
        <v/>
      </c>
      <c r="B322" t="str">
        <f>IF($K322="","",INDEX(Конструктор!$C$2:$C$1212,$K322))</f>
        <v/>
      </c>
      <c r="C322" s="8" t="str">
        <f>IF($K322="","",INDEX(Конструктор!$D$2:$D$1212,$K322)&amp;IF(INDEX(Конструктор!$J$2:$J$1212,$K322)&lt;&gt;""," — "&amp;INDEX(Конструктор!$J$2:$J$1212,$K322),""))</f>
        <v/>
      </c>
      <c r="D322" t="str">
        <f>IF($K322="","",INDEX(Конструктор!$E$2:$E$1212,$K322))</f>
        <v/>
      </c>
      <c r="E322" s="10" t="str">
        <f>IF($K322="","",INDEX(Конструктор!$H$2:$H$1212,$K322))</f>
        <v/>
      </c>
      <c r="F322" s="10" t="str">
        <f>IF($K322="","",INDEX(Конструктор!$L$2:$L$1212,$K322))</f>
        <v/>
      </c>
      <c r="G322" s="10" t="str">
        <f>IF($K322="","",INDEX(Конструктор!$M$2:$M$1212,$K322))</f>
        <v/>
      </c>
      <c r="H322" s="10" t="str">
        <f>IF($K322="","",INDEX(Конструктор!$N$2:$N$1212,$K322))</f>
        <v/>
      </c>
      <c r="I322" s="10" t="str">
        <f>IF($K322="","",INDEX(Конструктор!$O$2:$O$1212,$K322))</f>
        <v/>
      </c>
      <c r="J322" s="10" t="str">
        <f>IF($K322="","",INDEX(Конструктор!$P$2:$P$1212,$K322))</f>
        <v/>
      </c>
      <c r="K322" t="str">
        <f>IFERROR(MATCH(302,Конструктор!$T$2:$T$1212,0),"")</f>
        <v/>
      </c>
      <c r="L322" t="str">
        <f t="shared" si="4"/>
        <v/>
      </c>
    </row>
    <row r="323" spans="1:12" hidden="1" x14ac:dyDescent="0.3">
      <c r="A323" t="str">
        <f>IF($K323="","",303)</f>
        <v/>
      </c>
      <c r="B323" t="str">
        <f>IF($K323="","",INDEX(Конструктор!$C$2:$C$1212,$K323))</f>
        <v/>
      </c>
      <c r="C323" s="8" t="str">
        <f>IF($K323="","",INDEX(Конструктор!$D$2:$D$1212,$K323)&amp;IF(INDEX(Конструктор!$J$2:$J$1212,$K323)&lt;&gt;""," — "&amp;INDEX(Конструктор!$J$2:$J$1212,$K323),""))</f>
        <v/>
      </c>
      <c r="D323" t="str">
        <f>IF($K323="","",INDEX(Конструктор!$E$2:$E$1212,$K323))</f>
        <v/>
      </c>
      <c r="E323" s="10" t="str">
        <f>IF($K323="","",INDEX(Конструктор!$H$2:$H$1212,$K323))</f>
        <v/>
      </c>
      <c r="F323" s="10" t="str">
        <f>IF($K323="","",INDEX(Конструктор!$L$2:$L$1212,$K323))</f>
        <v/>
      </c>
      <c r="G323" s="10" t="str">
        <f>IF($K323="","",INDEX(Конструктор!$M$2:$M$1212,$K323))</f>
        <v/>
      </c>
      <c r="H323" s="10" t="str">
        <f>IF($K323="","",INDEX(Конструктор!$N$2:$N$1212,$K323))</f>
        <v/>
      </c>
      <c r="I323" s="10" t="str">
        <f>IF($K323="","",INDEX(Конструктор!$O$2:$O$1212,$K323))</f>
        <v/>
      </c>
      <c r="J323" s="10" t="str">
        <f>IF($K323="","",INDEX(Конструктор!$P$2:$P$1212,$K323))</f>
        <v/>
      </c>
      <c r="K323" t="str">
        <f>IFERROR(MATCH(303,Конструктор!$T$2:$T$1212,0),"")</f>
        <v/>
      </c>
      <c r="L323" t="str">
        <f t="shared" si="4"/>
        <v/>
      </c>
    </row>
    <row r="324" spans="1:12" hidden="1" x14ac:dyDescent="0.3">
      <c r="A324" t="str">
        <f>IF($K324="","",304)</f>
        <v/>
      </c>
      <c r="B324" t="str">
        <f>IF($K324="","",INDEX(Конструктор!$C$2:$C$1212,$K324))</f>
        <v/>
      </c>
      <c r="C324" s="8" t="str">
        <f>IF($K324="","",INDEX(Конструктор!$D$2:$D$1212,$K324)&amp;IF(INDEX(Конструктор!$J$2:$J$1212,$K324)&lt;&gt;""," — "&amp;INDEX(Конструктор!$J$2:$J$1212,$K324),""))</f>
        <v/>
      </c>
      <c r="D324" t="str">
        <f>IF($K324="","",INDEX(Конструктор!$E$2:$E$1212,$K324))</f>
        <v/>
      </c>
      <c r="E324" s="10" t="str">
        <f>IF($K324="","",INDEX(Конструктор!$H$2:$H$1212,$K324))</f>
        <v/>
      </c>
      <c r="F324" s="10" t="str">
        <f>IF($K324="","",INDEX(Конструктор!$L$2:$L$1212,$K324))</f>
        <v/>
      </c>
      <c r="G324" s="10" t="str">
        <f>IF($K324="","",INDEX(Конструктор!$M$2:$M$1212,$K324))</f>
        <v/>
      </c>
      <c r="H324" s="10" t="str">
        <f>IF($K324="","",INDEX(Конструктор!$N$2:$N$1212,$K324))</f>
        <v/>
      </c>
      <c r="I324" s="10" t="str">
        <f>IF($K324="","",INDEX(Конструктор!$O$2:$O$1212,$K324))</f>
        <v/>
      </c>
      <c r="J324" s="10" t="str">
        <f>IF($K324="","",INDEX(Конструктор!$P$2:$P$1212,$K324))</f>
        <v/>
      </c>
      <c r="K324" t="str">
        <f>IFERROR(MATCH(304,Конструктор!$T$2:$T$1212,0),"")</f>
        <v/>
      </c>
      <c r="L324" t="str">
        <f t="shared" si="4"/>
        <v/>
      </c>
    </row>
    <row r="325" spans="1:12" hidden="1" x14ac:dyDescent="0.3">
      <c r="A325" t="str">
        <f>IF($K325="","",305)</f>
        <v/>
      </c>
      <c r="B325" t="str">
        <f>IF($K325="","",INDEX(Конструктор!$C$2:$C$1212,$K325))</f>
        <v/>
      </c>
      <c r="C325" s="8" t="str">
        <f>IF($K325="","",INDEX(Конструктор!$D$2:$D$1212,$K325)&amp;IF(INDEX(Конструктор!$J$2:$J$1212,$K325)&lt;&gt;""," — "&amp;INDEX(Конструктор!$J$2:$J$1212,$K325),""))</f>
        <v/>
      </c>
      <c r="D325" t="str">
        <f>IF($K325="","",INDEX(Конструктор!$E$2:$E$1212,$K325))</f>
        <v/>
      </c>
      <c r="E325" s="10" t="str">
        <f>IF($K325="","",INDEX(Конструктор!$H$2:$H$1212,$K325))</f>
        <v/>
      </c>
      <c r="F325" s="10" t="str">
        <f>IF($K325="","",INDEX(Конструктор!$L$2:$L$1212,$K325))</f>
        <v/>
      </c>
      <c r="G325" s="10" t="str">
        <f>IF($K325="","",INDEX(Конструктор!$M$2:$M$1212,$K325))</f>
        <v/>
      </c>
      <c r="H325" s="10" t="str">
        <f>IF($K325="","",INDEX(Конструктор!$N$2:$N$1212,$K325))</f>
        <v/>
      </c>
      <c r="I325" s="10" t="str">
        <f>IF($K325="","",INDEX(Конструктор!$O$2:$O$1212,$K325))</f>
        <v/>
      </c>
      <c r="J325" s="10" t="str">
        <f>IF($K325="","",INDEX(Конструктор!$P$2:$P$1212,$K325))</f>
        <v/>
      </c>
      <c r="K325" t="str">
        <f>IFERROR(MATCH(305,Конструктор!$T$2:$T$1212,0),"")</f>
        <v/>
      </c>
      <c r="L325" t="str">
        <f t="shared" si="4"/>
        <v/>
      </c>
    </row>
    <row r="326" spans="1:12" hidden="1" x14ac:dyDescent="0.3">
      <c r="A326" t="str">
        <f>IF($K326="","",306)</f>
        <v/>
      </c>
      <c r="B326" t="str">
        <f>IF($K326="","",INDEX(Конструктор!$C$2:$C$1212,$K326))</f>
        <v/>
      </c>
      <c r="C326" s="8" t="str">
        <f>IF($K326="","",INDEX(Конструктор!$D$2:$D$1212,$K326)&amp;IF(INDEX(Конструктор!$J$2:$J$1212,$K326)&lt;&gt;""," — "&amp;INDEX(Конструктор!$J$2:$J$1212,$K326),""))</f>
        <v/>
      </c>
      <c r="D326" t="str">
        <f>IF($K326="","",INDEX(Конструктор!$E$2:$E$1212,$K326))</f>
        <v/>
      </c>
      <c r="E326" s="10" t="str">
        <f>IF($K326="","",INDEX(Конструктор!$H$2:$H$1212,$K326))</f>
        <v/>
      </c>
      <c r="F326" s="10" t="str">
        <f>IF($K326="","",INDEX(Конструктор!$L$2:$L$1212,$K326))</f>
        <v/>
      </c>
      <c r="G326" s="10" t="str">
        <f>IF($K326="","",INDEX(Конструктор!$M$2:$M$1212,$K326))</f>
        <v/>
      </c>
      <c r="H326" s="10" t="str">
        <f>IF($K326="","",INDEX(Конструктор!$N$2:$N$1212,$K326))</f>
        <v/>
      </c>
      <c r="I326" s="10" t="str">
        <f>IF($K326="","",INDEX(Конструктор!$O$2:$O$1212,$K326))</f>
        <v/>
      </c>
      <c r="J326" s="10" t="str">
        <f>IF($K326="","",INDEX(Конструктор!$P$2:$P$1212,$K326))</f>
        <v/>
      </c>
      <c r="K326" t="str">
        <f>IFERROR(MATCH(306,Конструктор!$T$2:$T$1212,0),"")</f>
        <v/>
      </c>
      <c r="L326" t="str">
        <f t="shared" si="4"/>
        <v/>
      </c>
    </row>
    <row r="327" spans="1:12" hidden="1" x14ac:dyDescent="0.3">
      <c r="A327" t="str">
        <f>IF($K327="","",307)</f>
        <v/>
      </c>
      <c r="B327" t="str">
        <f>IF($K327="","",INDEX(Конструктор!$C$2:$C$1212,$K327))</f>
        <v/>
      </c>
      <c r="C327" s="8" t="str">
        <f>IF($K327="","",INDEX(Конструктор!$D$2:$D$1212,$K327)&amp;IF(INDEX(Конструктор!$J$2:$J$1212,$K327)&lt;&gt;""," — "&amp;INDEX(Конструктор!$J$2:$J$1212,$K327),""))</f>
        <v/>
      </c>
      <c r="D327" t="str">
        <f>IF($K327="","",INDEX(Конструктор!$E$2:$E$1212,$K327))</f>
        <v/>
      </c>
      <c r="E327" s="10" t="str">
        <f>IF($K327="","",INDEX(Конструктор!$H$2:$H$1212,$K327))</f>
        <v/>
      </c>
      <c r="F327" s="10" t="str">
        <f>IF($K327="","",INDEX(Конструктор!$L$2:$L$1212,$K327))</f>
        <v/>
      </c>
      <c r="G327" s="10" t="str">
        <f>IF($K327="","",INDEX(Конструктор!$M$2:$M$1212,$K327))</f>
        <v/>
      </c>
      <c r="H327" s="10" t="str">
        <f>IF($K327="","",INDEX(Конструктор!$N$2:$N$1212,$K327))</f>
        <v/>
      </c>
      <c r="I327" s="10" t="str">
        <f>IF($K327="","",INDEX(Конструктор!$O$2:$O$1212,$K327))</f>
        <v/>
      </c>
      <c r="J327" s="10" t="str">
        <f>IF($K327="","",INDEX(Конструктор!$P$2:$P$1212,$K327))</f>
        <v/>
      </c>
      <c r="K327" t="str">
        <f>IFERROR(MATCH(307,Конструктор!$T$2:$T$1212,0),"")</f>
        <v/>
      </c>
      <c r="L327" t="str">
        <f t="shared" si="4"/>
        <v/>
      </c>
    </row>
    <row r="328" spans="1:12" hidden="1" x14ac:dyDescent="0.3">
      <c r="A328" t="str">
        <f>IF($K328="","",308)</f>
        <v/>
      </c>
      <c r="B328" t="str">
        <f>IF($K328="","",INDEX(Конструктор!$C$2:$C$1212,$K328))</f>
        <v/>
      </c>
      <c r="C328" s="8" t="str">
        <f>IF($K328="","",INDEX(Конструктор!$D$2:$D$1212,$K328)&amp;IF(INDEX(Конструктор!$J$2:$J$1212,$K328)&lt;&gt;""," — "&amp;INDEX(Конструктор!$J$2:$J$1212,$K328),""))</f>
        <v/>
      </c>
      <c r="D328" t="str">
        <f>IF($K328="","",INDEX(Конструктор!$E$2:$E$1212,$K328))</f>
        <v/>
      </c>
      <c r="E328" s="10" t="str">
        <f>IF($K328="","",INDEX(Конструктор!$H$2:$H$1212,$K328))</f>
        <v/>
      </c>
      <c r="F328" s="10" t="str">
        <f>IF($K328="","",INDEX(Конструктор!$L$2:$L$1212,$K328))</f>
        <v/>
      </c>
      <c r="G328" s="10" t="str">
        <f>IF($K328="","",INDEX(Конструктор!$M$2:$M$1212,$K328))</f>
        <v/>
      </c>
      <c r="H328" s="10" t="str">
        <f>IF($K328="","",INDEX(Конструктор!$N$2:$N$1212,$K328))</f>
        <v/>
      </c>
      <c r="I328" s="10" t="str">
        <f>IF($K328="","",INDEX(Конструктор!$O$2:$O$1212,$K328))</f>
        <v/>
      </c>
      <c r="J328" s="10" t="str">
        <f>IF($K328="","",INDEX(Конструктор!$P$2:$P$1212,$K328))</f>
        <v/>
      </c>
      <c r="K328" t="str">
        <f>IFERROR(MATCH(308,Конструктор!$T$2:$T$1212,0),"")</f>
        <v/>
      </c>
      <c r="L328" t="str">
        <f t="shared" si="4"/>
        <v/>
      </c>
    </row>
    <row r="329" spans="1:12" hidden="1" x14ac:dyDescent="0.3">
      <c r="A329" t="str">
        <f>IF($K329="","",309)</f>
        <v/>
      </c>
      <c r="B329" t="str">
        <f>IF($K329="","",INDEX(Конструктор!$C$2:$C$1212,$K329))</f>
        <v/>
      </c>
      <c r="C329" s="8" t="str">
        <f>IF($K329="","",INDEX(Конструктор!$D$2:$D$1212,$K329)&amp;IF(INDEX(Конструктор!$J$2:$J$1212,$K329)&lt;&gt;""," — "&amp;INDEX(Конструктор!$J$2:$J$1212,$K329),""))</f>
        <v/>
      </c>
      <c r="D329" t="str">
        <f>IF($K329="","",INDEX(Конструктор!$E$2:$E$1212,$K329))</f>
        <v/>
      </c>
      <c r="E329" s="10" t="str">
        <f>IF($K329="","",INDEX(Конструктор!$H$2:$H$1212,$K329))</f>
        <v/>
      </c>
      <c r="F329" s="10" t="str">
        <f>IF($K329="","",INDEX(Конструктор!$L$2:$L$1212,$K329))</f>
        <v/>
      </c>
      <c r="G329" s="10" t="str">
        <f>IF($K329="","",INDEX(Конструктор!$M$2:$M$1212,$K329))</f>
        <v/>
      </c>
      <c r="H329" s="10" t="str">
        <f>IF($K329="","",INDEX(Конструктор!$N$2:$N$1212,$K329))</f>
        <v/>
      </c>
      <c r="I329" s="10" t="str">
        <f>IF($K329="","",INDEX(Конструктор!$O$2:$O$1212,$K329))</f>
        <v/>
      </c>
      <c r="J329" s="10" t="str">
        <f>IF($K329="","",INDEX(Конструктор!$P$2:$P$1212,$K329))</f>
        <v/>
      </c>
      <c r="K329" t="str">
        <f>IFERROR(MATCH(309,Конструктор!$T$2:$T$1212,0),"")</f>
        <v/>
      </c>
      <c r="L329" t="str">
        <f t="shared" si="4"/>
        <v/>
      </c>
    </row>
    <row r="330" spans="1:12" hidden="1" x14ac:dyDescent="0.3">
      <c r="A330" t="str">
        <f>IF($K330="","",310)</f>
        <v/>
      </c>
      <c r="B330" t="str">
        <f>IF($K330="","",INDEX(Конструктор!$C$2:$C$1212,$K330))</f>
        <v/>
      </c>
      <c r="C330" s="8" t="str">
        <f>IF($K330="","",INDEX(Конструктор!$D$2:$D$1212,$K330)&amp;IF(INDEX(Конструктор!$J$2:$J$1212,$K330)&lt;&gt;""," — "&amp;INDEX(Конструктор!$J$2:$J$1212,$K330),""))</f>
        <v/>
      </c>
      <c r="D330" t="str">
        <f>IF($K330="","",INDEX(Конструктор!$E$2:$E$1212,$K330))</f>
        <v/>
      </c>
      <c r="E330" s="10" t="str">
        <f>IF($K330="","",INDEX(Конструктор!$H$2:$H$1212,$K330))</f>
        <v/>
      </c>
      <c r="F330" s="10" t="str">
        <f>IF($K330="","",INDEX(Конструктор!$L$2:$L$1212,$K330))</f>
        <v/>
      </c>
      <c r="G330" s="10" t="str">
        <f>IF($K330="","",INDEX(Конструктор!$M$2:$M$1212,$K330))</f>
        <v/>
      </c>
      <c r="H330" s="10" t="str">
        <f>IF($K330="","",INDEX(Конструктор!$N$2:$N$1212,$K330))</f>
        <v/>
      </c>
      <c r="I330" s="10" t="str">
        <f>IF($K330="","",INDEX(Конструктор!$O$2:$O$1212,$K330))</f>
        <v/>
      </c>
      <c r="J330" s="10" t="str">
        <f>IF($K330="","",INDEX(Конструктор!$P$2:$P$1212,$K330))</f>
        <v/>
      </c>
      <c r="K330" t="str">
        <f>IFERROR(MATCH(310,Конструктор!$T$2:$T$1212,0),"")</f>
        <v/>
      </c>
      <c r="L330" t="str">
        <f t="shared" si="4"/>
        <v/>
      </c>
    </row>
    <row r="331" spans="1:12" hidden="1" x14ac:dyDescent="0.3">
      <c r="A331" t="str">
        <f>IF($K331="","",311)</f>
        <v/>
      </c>
      <c r="B331" t="str">
        <f>IF($K331="","",INDEX(Конструктор!$C$2:$C$1212,$K331))</f>
        <v/>
      </c>
      <c r="C331" s="8" t="str">
        <f>IF($K331="","",INDEX(Конструктор!$D$2:$D$1212,$K331)&amp;IF(INDEX(Конструктор!$J$2:$J$1212,$K331)&lt;&gt;""," — "&amp;INDEX(Конструктор!$J$2:$J$1212,$K331),""))</f>
        <v/>
      </c>
      <c r="D331" t="str">
        <f>IF($K331="","",INDEX(Конструктор!$E$2:$E$1212,$K331))</f>
        <v/>
      </c>
      <c r="E331" s="10" t="str">
        <f>IF($K331="","",INDEX(Конструктор!$H$2:$H$1212,$K331))</f>
        <v/>
      </c>
      <c r="F331" s="10" t="str">
        <f>IF($K331="","",INDEX(Конструктор!$L$2:$L$1212,$K331))</f>
        <v/>
      </c>
      <c r="G331" s="10" t="str">
        <f>IF($K331="","",INDEX(Конструктор!$M$2:$M$1212,$K331))</f>
        <v/>
      </c>
      <c r="H331" s="10" t="str">
        <f>IF($K331="","",INDEX(Конструктор!$N$2:$N$1212,$K331))</f>
        <v/>
      </c>
      <c r="I331" s="10" t="str">
        <f>IF($K331="","",INDEX(Конструктор!$O$2:$O$1212,$K331))</f>
        <v/>
      </c>
      <c r="J331" s="10" t="str">
        <f>IF($K331="","",INDEX(Конструктор!$P$2:$P$1212,$K331))</f>
        <v/>
      </c>
      <c r="K331" t="str">
        <f>IFERROR(MATCH(311,Конструктор!$T$2:$T$1212,0),"")</f>
        <v/>
      </c>
      <c r="L331" t="str">
        <f t="shared" si="4"/>
        <v/>
      </c>
    </row>
    <row r="332" spans="1:12" hidden="1" x14ac:dyDescent="0.3">
      <c r="A332" t="str">
        <f>IF($K332="","",312)</f>
        <v/>
      </c>
      <c r="B332" t="str">
        <f>IF($K332="","",INDEX(Конструктор!$C$2:$C$1212,$K332))</f>
        <v/>
      </c>
      <c r="C332" s="8" t="str">
        <f>IF($K332="","",INDEX(Конструктор!$D$2:$D$1212,$K332)&amp;IF(INDEX(Конструктор!$J$2:$J$1212,$K332)&lt;&gt;""," — "&amp;INDEX(Конструктор!$J$2:$J$1212,$K332),""))</f>
        <v/>
      </c>
      <c r="D332" t="str">
        <f>IF($K332="","",INDEX(Конструктор!$E$2:$E$1212,$K332))</f>
        <v/>
      </c>
      <c r="E332" s="10" t="str">
        <f>IF($K332="","",INDEX(Конструктор!$H$2:$H$1212,$K332))</f>
        <v/>
      </c>
      <c r="F332" s="10" t="str">
        <f>IF($K332="","",INDEX(Конструктор!$L$2:$L$1212,$K332))</f>
        <v/>
      </c>
      <c r="G332" s="10" t="str">
        <f>IF($K332="","",INDEX(Конструктор!$M$2:$M$1212,$K332))</f>
        <v/>
      </c>
      <c r="H332" s="10" t="str">
        <f>IF($K332="","",INDEX(Конструктор!$N$2:$N$1212,$K332))</f>
        <v/>
      </c>
      <c r="I332" s="10" t="str">
        <f>IF($K332="","",INDEX(Конструктор!$O$2:$O$1212,$K332))</f>
        <v/>
      </c>
      <c r="J332" s="10" t="str">
        <f>IF($K332="","",INDEX(Конструктор!$P$2:$P$1212,$K332))</f>
        <v/>
      </c>
      <c r="K332" t="str">
        <f>IFERROR(MATCH(312,Конструктор!$T$2:$T$1212,0),"")</f>
        <v/>
      </c>
      <c r="L332" t="str">
        <f t="shared" si="4"/>
        <v/>
      </c>
    </row>
    <row r="333" spans="1:12" hidden="1" x14ac:dyDescent="0.3">
      <c r="A333" t="str">
        <f>IF($K333="","",313)</f>
        <v/>
      </c>
      <c r="B333" t="str">
        <f>IF($K333="","",INDEX(Конструктор!$C$2:$C$1212,$K333))</f>
        <v/>
      </c>
      <c r="C333" s="8" t="str">
        <f>IF($K333="","",INDEX(Конструктор!$D$2:$D$1212,$K333)&amp;IF(INDEX(Конструктор!$J$2:$J$1212,$K333)&lt;&gt;""," — "&amp;INDEX(Конструктор!$J$2:$J$1212,$K333),""))</f>
        <v/>
      </c>
      <c r="D333" t="str">
        <f>IF($K333="","",INDEX(Конструктор!$E$2:$E$1212,$K333))</f>
        <v/>
      </c>
      <c r="E333" s="10" t="str">
        <f>IF($K333="","",INDEX(Конструктор!$H$2:$H$1212,$K333))</f>
        <v/>
      </c>
      <c r="F333" s="10" t="str">
        <f>IF($K333="","",INDEX(Конструктор!$L$2:$L$1212,$K333))</f>
        <v/>
      </c>
      <c r="G333" s="10" t="str">
        <f>IF($K333="","",INDEX(Конструктор!$M$2:$M$1212,$K333))</f>
        <v/>
      </c>
      <c r="H333" s="10" t="str">
        <f>IF($K333="","",INDEX(Конструктор!$N$2:$N$1212,$K333))</f>
        <v/>
      </c>
      <c r="I333" s="10" t="str">
        <f>IF($K333="","",INDEX(Конструктор!$O$2:$O$1212,$K333))</f>
        <v/>
      </c>
      <c r="J333" s="10" t="str">
        <f>IF($K333="","",INDEX(Конструктор!$P$2:$P$1212,$K333))</f>
        <v/>
      </c>
      <c r="K333" t="str">
        <f>IFERROR(MATCH(313,Конструктор!$T$2:$T$1212,0),"")</f>
        <v/>
      </c>
      <c r="L333" t="str">
        <f t="shared" si="4"/>
        <v/>
      </c>
    </row>
    <row r="334" spans="1:12" hidden="1" x14ac:dyDescent="0.3">
      <c r="A334" t="str">
        <f>IF($K334="","",314)</f>
        <v/>
      </c>
      <c r="B334" t="str">
        <f>IF($K334="","",INDEX(Конструктор!$C$2:$C$1212,$K334))</f>
        <v/>
      </c>
      <c r="C334" s="8" t="str">
        <f>IF($K334="","",INDEX(Конструктор!$D$2:$D$1212,$K334)&amp;IF(INDEX(Конструктор!$J$2:$J$1212,$K334)&lt;&gt;""," — "&amp;INDEX(Конструктор!$J$2:$J$1212,$K334),""))</f>
        <v/>
      </c>
      <c r="D334" t="str">
        <f>IF($K334="","",INDEX(Конструктор!$E$2:$E$1212,$K334))</f>
        <v/>
      </c>
      <c r="E334" s="10" t="str">
        <f>IF($K334="","",INDEX(Конструктор!$H$2:$H$1212,$K334))</f>
        <v/>
      </c>
      <c r="F334" s="10" t="str">
        <f>IF($K334="","",INDEX(Конструктор!$L$2:$L$1212,$K334))</f>
        <v/>
      </c>
      <c r="G334" s="10" t="str">
        <f>IF($K334="","",INDEX(Конструктор!$M$2:$M$1212,$K334))</f>
        <v/>
      </c>
      <c r="H334" s="10" t="str">
        <f>IF($K334="","",INDEX(Конструктор!$N$2:$N$1212,$K334))</f>
        <v/>
      </c>
      <c r="I334" s="10" t="str">
        <f>IF($K334="","",INDEX(Конструктор!$O$2:$O$1212,$K334))</f>
        <v/>
      </c>
      <c r="J334" s="10" t="str">
        <f>IF($K334="","",INDEX(Конструктор!$P$2:$P$1212,$K334))</f>
        <v/>
      </c>
      <c r="K334" t="str">
        <f>IFERROR(MATCH(314,Конструктор!$T$2:$T$1212,0),"")</f>
        <v/>
      </c>
      <c r="L334" t="str">
        <f t="shared" si="4"/>
        <v/>
      </c>
    </row>
    <row r="335" spans="1:12" hidden="1" x14ac:dyDescent="0.3">
      <c r="A335" t="str">
        <f>IF($K335="","",315)</f>
        <v/>
      </c>
      <c r="B335" t="str">
        <f>IF($K335="","",INDEX(Конструктор!$C$2:$C$1212,$K335))</f>
        <v/>
      </c>
      <c r="C335" s="8" t="str">
        <f>IF($K335="","",INDEX(Конструктор!$D$2:$D$1212,$K335)&amp;IF(INDEX(Конструктор!$J$2:$J$1212,$K335)&lt;&gt;""," — "&amp;INDEX(Конструктор!$J$2:$J$1212,$K335),""))</f>
        <v/>
      </c>
      <c r="D335" t="str">
        <f>IF($K335="","",INDEX(Конструктор!$E$2:$E$1212,$K335))</f>
        <v/>
      </c>
      <c r="E335" s="10" t="str">
        <f>IF($K335="","",INDEX(Конструктор!$H$2:$H$1212,$K335))</f>
        <v/>
      </c>
      <c r="F335" s="10" t="str">
        <f>IF($K335="","",INDEX(Конструктор!$L$2:$L$1212,$K335))</f>
        <v/>
      </c>
      <c r="G335" s="10" t="str">
        <f>IF($K335="","",INDEX(Конструктор!$M$2:$M$1212,$K335))</f>
        <v/>
      </c>
      <c r="H335" s="10" t="str">
        <f>IF($K335="","",INDEX(Конструктор!$N$2:$N$1212,$K335))</f>
        <v/>
      </c>
      <c r="I335" s="10" t="str">
        <f>IF($K335="","",INDEX(Конструктор!$O$2:$O$1212,$K335))</f>
        <v/>
      </c>
      <c r="J335" s="10" t="str">
        <f>IF($K335="","",INDEX(Конструктор!$P$2:$P$1212,$K335))</f>
        <v/>
      </c>
      <c r="K335" t="str">
        <f>IFERROR(MATCH(315,Конструктор!$T$2:$T$1212,0),"")</f>
        <v/>
      </c>
      <c r="L335" t="str">
        <f t="shared" si="4"/>
        <v/>
      </c>
    </row>
    <row r="336" spans="1:12" hidden="1" x14ac:dyDescent="0.3">
      <c r="A336" t="str">
        <f>IF($K336="","",316)</f>
        <v/>
      </c>
      <c r="B336" t="str">
        <f>IF($K336="","",INDEX(Конструктор!$C$2:$C$1212,$K336))</f>
        <v/>
      </c>
      <c r="C336" s="8" t="str">
        <f>IF($K336="","",INDEX(Конструктор!$D$2:$D$1212,$K336)&amp;IF(INDEX(Конструктор!$J$2:$J$1212,$K336)&lt;&gt;""," — "&amp;INDEX(Конструктор!$J$2:$J$1212,$K336),""))</f>
        <v/>
      </c>
      <c r="D336" t="str">
        <f>IF($K336="","",INDEX(Конструктор!$E$2:$E$1212,$K336))</f>
        <v/>
      </c>
      <c r="E336" s="10" t="str">
        <f>IF($K336="","",INDEX(Конструктор!$H$2:$H$1212,$K336))</f>
        <v/>
      </c>
      <c r="F336" s="10" t="str">
        <f>IF($K336="","",INDEX(Конструктор!$L$2:$L$1212,$K336))</f>
        <v/>
      </c>
      <c r="G336" s="10" t="str">
        <f>IF($K336="","",INDEX(Конструктор!$M$2:$M$1212,$K336))</f>
        <v/>
      </c>
      <c r="H336" s="10" t="str">
        <f>IF($K336="","",INDEX(Конструктор!$N$2:$N$1212,$K336))</f>
        <v/>
      </c>
      <c r="I336" s="10" t="str">
        <f>IF($K336="","",INDEX(Конструктор!$O$2:$O$1212,$K336))</f>
        <v/>
      </c>
      <c r="J336" s="10" t="str">
        <f>IF($K336="","",INDEX(Конструктор!$P$2:$P$1212,$K336))</f>
        <v/>
      </c>
      <c r="K336" t="str">
        <f>IFERROR(MATCH(316,Конструктор!$T$2:$T$1212,0),"")</f>
        <v/>
      </c>
      <c r="L336" t="str">
        <f t="shared" si="4"/>
        <v/>
      </c>
    </row>
    <row r="337" spans="1:12" hidden="1" x14ac:dyDescent="0.3">
      <c r="A337" t="str">
        <f>IF($K337="","",317)</f>
        <v/>
      </c>
      <c r="B337" t="str">
        <f>IF($K337="","",INDEX(Конструктор!$C$2:$C$1212,$K337))</f>
        <v/>
      </c>
      <c r="C337" s="8" t="str">
        <f>IF($K337="","",INDEX(Конструктор!$D$2:$D$1212,$K337)&amp;IF(INDEX(Конструктор!$J$2:$J$1212,$K337)&lt;&gt;""," — "&amp;INDEX(Конструктор!$J$2:$J$1212,$K337),""))</f>
        <v/>
      </c>
      <c r="D337" t="str">
        <f>IF($K337="","",INDEX(Конструктор!$E$2:$E$1212,$K337))</f>
        <v/>
      </c>
      <c r="E337" s="10" t="str">
        <f>IF($K337="","",INDEX(Конструктор!$H$2:$H$1212,$K337))</f>
        <v/>
      </c>
      <c r="F337" s="10" t="str">
        <f>IF($K337="","",INDEX(Конструктор!$L$2:$L$1212,$K337))</f>
        <v/>
      </c>
      <c r="G337" s="10" t="str">
        <f>IF($K337="","",INDEX(Конструктор!$M$2:$M$1212,$K337))</f>
        <v/>
      </c>
      <c r="H337" s="10" t="str">
        <f>IF($K337="","",INDEX(Конструктор!$N$2:$N$1212,$K337))</f>
        <v/>
      </c>
      <c r="I337" s="10" t="str">
        <f>IF($K337="","",INDEX(Конструктор!$O$2:$O$1212,$K337))</f>
        <v/>
      </c>
      <c r="J337" s="10" t="str">
        <f>IF($K337="","",INDEX(Конструктор!$P$2:$P$1212,$K337))</f>
        <v/>
      </c>
      <c r="K337" t="str">
        <f>IFERROR(MATCH(317,Конструктор!$T$2:$T$1212,0),"")</f>
        <v/>
      </c>
      <c r="L337" t="str">
        <f t="shared" si="4"/>
        <v/>
      </c>
    </row>
    <row r="338" spans="1:12" hidden="1" x14ac:dyDescent="0.3">
      <c r="A338" t="str">
        <f>IF($K338="","",318)</f>
        <v/>
      </c>
      <c r="B338" t="str">
        <f>IF($K338="","",INDEX(Конструктор!$C$2:$C$1212,$K338))</f>
        <v/>
      </c>
      <c r="C338" s="8" t="str">
        <f>IF($K338="","",INDEX(Конструктор!$D$2:$D$1212,$K338)&amp;IF(INDEX(Конструктор!$J$2:$J$1212,$K338)&lt;&gt;""," — "&amp;INDEX(Конструктор!$J$2:$J$1212,$K338),""))</f>
        <v/>
      </c>
      <c r="D338" t="str">
        <f>IF($K338="","",INDEX(Конструктор!$E$2:$E$1212,$K338))</f>
        <v/>
      </c>
      <c r="E338" s="10" t="str">
        <f>IF($K338="","",INDEX(Конструктор!$H$2:$H$1212,$K338))</f>
        <v/>
      </c>
      <c r="F338" s="10" t="str">
        <f>IF($K338="","",INDEX(Конструктор!$L$2:$L$1212,$K338))</f>
        <v/>
      </c>
      <c r="G338" s="10" t="str">
        <f>IF($K338="","",INDEX(Конструктор!$M$2:$M$1212,$K338))</f>
        <v/>
      </c>
      <c r="H338" s="10" t="str">
        <f>IF($K338="","",INDEX(Конструктор!$N$2:$N$1212,$K338))</f>
        <v/>
      </c>
      <c r="I338" s="10" t="str">
        <f>IF($K338="","",INDEX(Конструктор!$O$2:$O$1212,$K338))</f>
        <v/>
      </c>
      <c r="J338" s="10" t="str">
        <f>IF($K338="","",INDEX(Конструктор!$P$2:$P$1212,$K338))</f>
        <v/>
      </c>
      <c r="K338" t="str">
        <f>IFERROR(MATCH(318,Конструктор!$T$2:$T$1212,0),"")</f>
        <v/>
      </c>
      <c r="L338" t="str">
        <f t="shared" si="4"/>
        <v/>
      </c>
    </row>
    <row r="339" spans="1:12" hidden="1" x14ac:dyDescent="0.3">
      <c r="A339" t="str">
        <f>IF($K339="","",319)</f>
        <v/>
      </c>
      <c r="B339" t="str">
        <f>IF($K339="","",INDEX(Конструктор!$C$2:$C$1212,$K339))</f>
        <v/>
      </c>
      <c r="C339" s="8" t="str">
        <f>IF($K339="","",INDEX(Конструктор!$D$2:$D$1212,$K339)&amp;IF(INDEX(Конструктор!$J$2:$J$1212,$K339)&lt;&gt;""," — "&amp;INDEX(Конструктор!$J$2:$J$1212,$K339),""))</f>
        <v/>
      </c>
      <c r="D339" t="str">
        <f>IF($K339="","",INDEX(Конструктор!$E$2:$E$1212,$K339))</f>
        <v/>
      </c>
      <c r="E339" s="10" t="str">
        <f>IF($K339="","",INDEX(Конструктор!$H$2:$H$1212,$K339))</f>
        <v/>
      </c>
      <c r="F339" s="10" t="str">
        <f>IF($K339="","",INDEX(Конструктор!$L$2:$L$1212,$K339))</f>
        <v/>
      </c>
      <c r="G339" s="10" t="str">
        <f>IF($K339="","",INDEX(Конструктор!$M$2:$M$1212,$K339))</f>
        <v/>
      </c>
      <c r="H339" s="10" t="str">
        <f>IF($K339="","",INDEX(Конструктор!$N$2:$N$1212,$K339))</f>
        <v/>
      </c>
      <c r="I339" s="10" t="str">
        <f>IF($K339="","",INDEX(Конструктор!$O$2:$O$1212,$K339))</f>
        <v/>
      </c>
      <c r="J339" s="10" t="str">
        <f>IF($K339="","",INDEX(Конструктор!$P$2:$P$1212,$K339))</f>
        <v/>
      </c>
      <c r="K339" t="str">
        <f>IFERROR(MATCH(319,Конструктор!$T$2:$T$1212,0),"")</f>
        <v/>
      </c>
      <c r="L339" t="str">
        <f t="shared" si="4"/>
        <v/>
      </c>
    </row>
    <row r="340" spans="1:12" hidden="1" x14ac:dyDescent="0.3">
      <c r="A340" t="str">
        <f>IF($K340="","",320)</f>
        <v/>
      </c>
      <c r="B340" t="str">
        <f>IF($K340="","",INDEX(Конструктор!$C$2:$C$1212,$K340))</f>
        <v/>
      </c>
      <c r="C340" s="8" t="str">
        <f>IF($K340="","",INDEX(Конструктор!$D$2:$D$1212,$K340)&amp;IF(INDEX(Конструктор!$J$2:$J$1212,$K340)&lt;&gt;""," — "&amp;INDEX(Конструктор!$J$2:$J$1212,$K340),""))</f>
        <v/>
      </c>
      <c r="D340" t="str">
        <f>IF($K340="","",INDEX(Конструктор!$E$2:$E$1212,$K340))</f>
        <v/>
      </c>
      <c r="E340" s="10" t="str">
        <f>IF($K340="","",INDEX(Конструктор!$H$2:$H$1212,$K340))</f>
        <v/>
      </c>
      <c r="F340" s="10" t="str">
        <f>IF($K340="","",INDEX(Конструктор!$L$2:$L$1212,$K340))</f>
        <v/>
      </c>
      <c r="G340" s="10" t="str">
        <f>IF($K340="","",INDEX(Конструктор!$M$2:$M$1212,$K340))</f>
        <v/>
      </c>
      <c r="H340" s="10" t="str">
        <f>IF($K340="","",INDEX(Конструктор!$N$2:$N$1212,$K340))</f>
        <v/>
      </c>
      <c r="I340" s="10" t="str">
        <f>IF($K340="","",INDEX(Конструктор!$O$2:$O$1212,$K340))</f>
        <v/>
      </c>
      <c r="J340" s="10" t="str">
        <f>IF($K340="","",INDEX(Конструктор!$P$2:$P$1212,$K340))</f>
        <v/>
      </c>
      <c r="K340" t="str">
        <f>IFERROR(MATCH(320,Конструктор!$T$2:$T$1212,0),"")</f>
        <v/>
      </c>
      <c r="L340" t="str">
        <f t="shared" si="4"/>
        <v/>
      </c>
    </row>
    <row r="341" spans="1:12" hidden="1" x14ac:dyDescent="0.3">
      <c r="A341" t="str">
        <f>IF($K341="","",321)</f>
        <v/>
      </c>
      <c r="B341" t="str">
        <f>IF($K341="","",INDEX(Конструктор!$C$2:$C$1212,$K341))</f>
        <v/>
      </c>
      <c r="C341" s="8" t="str">
        <f>IF($K341="","",INDEX(Конструктор!$D$2:$D$1212,$K341)&amp;IF(INDEX(Конструктор!$J$2:$J$1212,$K341)&lt;&gt;""," — "&amp;INDEX(Конструктор!$J$2:$J$1212,$K341),""))</f>
        <v/>
      </c>
      <c r="D341" t="str">
        <f>IF($K341="","",INDEX(Конструктор!$E$2:$E$1212,$K341))</f>
        <v/>
      </c>
      <c r="E341" s="10" t="str">
        <f>IF($K341="","",INDEX(Конструктор!$H$2:$H$1212,$K341))</f>
        <v/>
      </c>
      <c r="F341" s="10" t="str">
        <f>IF($K341="","",INDEX(Конструктор!$L$2:$L$1212,$K341))</f>
        <v/>
      </c>
      <c r="G341" s="10" t="str">
        <f>IF($K341="","",INDEX(Конструктор!$M$2:$M$1212,$K341))</f>
        <v/>
      </c>
      <c r="H341" s="10" t="str">
        <f>IF($K341="","",INDEX(Конструктор!$N$2:$N$1212,$K341))</f>
        <v/>
      </c>
      <c r="I341" s="10" t="str">
        <f>IF($K341="","",INDEX(Конструктор!$O$2:$O$1212,$K341))</f>
        <v/>
      </c>
      <c r="J341" s="10" t="str">
        <f>IF($K341="","",INDEX(Конструктор!$P$2:$P$1212,$K341))</f>
        <v/>
      </c>
      <c r="K341" t="str">
        <f>IFERROR(MATCH(321,Конструктор!$T$2:$T$1212,0),"")</f>
        <v/>
      </c>
      <c r="L341" t="str">
        <f t="shared" ref="L341:L404" si="5">IF($K341="","","показать")</f>
        <v/>
      </c>
    </row>
    <row r="342" spans="1:12" hidden="1" x14ac:dyDescent="0.3">
      <c r="A342" t="str">
        <f>IF($K342="","",322)</f>
        <v/>
      </c>
      <c r="B342" t="str">
        <f>IF($K342="","",INDEX(Конструктор!$C$2:$C$1212,$K342))</f>
        <v/>
      </c>
      <c r="C342" s="8" t="str">
        <f>IF($K342="","",INDEX(Конструктор!$D$2:$D$1212,$K342)&amp;IF(INDEX(Конструктор!$J$2:$J$1212,$K342)&lt;&gt;""," — "&amp;INDEX(Конструктор!$J$2:$J$1212,$K342),""))</f>
        <v/>
      </c>
      <c r="D342" t="str">
        <f>IF($K342="","",INDEX(Конструктор!$E$2:$E$1212,$K342))</f>
        <v/>
      </c>
      <c r="E342" s="10" t="str">
        <f>IF($K342="","",INDEX(Конструктор!$H$2:$H$1212,$K342))</f>
        <v/>
      </c>
      <c r="F342" s="10" t="str">
        <f>IF($K342="","",INDEX(Конструктор!$L$2:$L$1212,$K342))</f>
        <v/>
      </c>
      <c r="G342" s="10" t="str">
        <f>IF($K342="","",INDEX(Конструктор!$M$2:$M$1212,$K342))</f>
        <v/>
      </c>
      <c r="H342" s="10" t="str">
        <f>IF($K342="","",INDEX(Конструктор!$N$2:$N$1212,$K342))</f>
        <v/>
      </c>
      <c r="I342" s="10" t="str">
        <f>IF($K342="","",INDEX(Конструктор!$O$2:$O$1212,$K342))</f>
        <v/>
      </c>
      <c r="J342" s="10" t="str">
        <f>IF($K342="","",INDEX(Конструктор!$P$2:$P$1212,$K342))</f>
        <v/>
      </c>
      <c r="K342" t="str">
        <f>IFERROR(MATCH(322,Конструктор!$T$2:$T$1212,0),"")</f>
        <v/>
      </c>
      <c r="L342" t="str">
        <f t="shared" si="5"/>
        <v/>
      </c>
    </row>
    <row r="343" spans="1:12" hidden="1" x14ac:dyDescent="0.3">
      <c r="A343" t="str">
        <f>IF($K343="","",323)</f>
        <v/>
      </c>
      <c r="B343" t="str">
        <f>IF($K343="","",INDEX(Конструктор!$C$2:$C$1212,$K343))</f>
        <v/>
      </c>
      <c r="C343" s="8" t="str">
        <f>IF($K343="","",INDEX(Конструктор!$D$2:$D$1212,$K343)&amp;IF(INDEX(Конструктор!$J$2:$J$1212,$K343)&lt;&gt;""," — "&amp;INDEX(Конструктор!$J$2:$J$1212,$K343),""))</f>
        <v/>
      </c>
      <c r="D343" t="str">
        <f>IF($K343="","",INDEX(Конструктор!$E$2:$E$1212,$K343))</f>
        <v/>
      </c>
      <c r="E343" s="10" t="str">
        <f>IF($K343="","",INDEX(Конструктор!$H$2:$H$1212,$K343))</f>
        <v/>
      </c>
      <c r="F343" s="10" t="str">
        <f>IF($K343="","",INDEX(Конструктор!$L$2:$L$1212,$K343))</f>
        <v/>
      </c>
      <c r="G343" s="10" t="str">
        <f>IF($K343="","",INDEX(Конструктор!$M$2:$M$1212,$K343))</f>
        <v/>
      </c>
      <c r="H343" s="10" t="str">
        <f>IF($K343="","",INDEX(Конструктор!$N$2:$N$1212,$K343))</f>
        <v/>
      </c>
      <c r="I343" s="10" t="str">
        <f>IF($K343="","",INDEX(Конструктор!$O$2:$O$1212,$K343))</f>
        <v/>
      </c>
      <c r="J343" s="10" t="str">
        <f>IF($K343="","",INDEX(Конструктор!$P$2:$P$1212,$K343))</f>
        <v/>
      </c>
      <c r="K343" t="str">
        <f>IFERROR(MATCH(323,Конструктор!$T$2:$T$1212,0),"")</f>
        <v/>
      </c>
      <c r="L343" t="str">
        <f t="shared" si="5"/>
        <v/>
      </c>
    </row>
    <row r="344" spans="1:12" hidden="1" x14ac:dyDescent="0.3">
      <c r="A344" t="str">
        <f>IF($K344="","",324)</f>
        <v/>
      </c>
      <c r="B344" t="str">
        <f>IF($K344="","",INDEX(Конструктор!$C$2:$C$1212,$K344))</f>
        <v/>
      </c>
      <c r="C344" s="8" t="str">
        <f>IF($K344="","",INDEX(Конструктор!$D$2:$D$1212,$K344)&amp;IF(INDEX(Конструктор!$J$2:$J$1212,$K344)&lt;&gt;""," — "&amp;INDEX(Конструктор!$J$2:$J$1212,$K344),""))</f>
        <v/>
      </c>
      <c r="D344" t="str">
        <f>IF($K344="","",INDEX(Конструктор!$E$2:$E$1212,$K344))</f>
        <v/>
      </c>
      <c r="E344" s="10" t="str">
        <f>IF($K344="","",INDEX(Конструктор!$H$2:$H$1212,$K344))</f>
        <v/>
      </c>
      <c r="F344" s="10" t="str">
        <f>IF($K344="","",INDEX(Конструктор!$L$2:$L$1212,$K344))</f>
        <v/>
      </c>
      <c r="G344" s="10" t="str">
        <f>IF($K344="","",INDEX(Конструктор!$M$2:$M$1212,$K344))</f>
        <v/>
      </c>
      <c r="H344" s="10" t="str">
        <f>IF($K344="","",INDEX(Конструктор!$N$2:$N$1212,$K344))</f>
        <v/>
      </c>
      <c r="I344" s="10" t="str">
        <f>IF($K344="","",INDEX(Конструктор!$O$2:$O$1212,$K344))</f>
        <v/>
      </c>
      <c r="J344" s="10" t="str">
        <f>IF($K344="","",INDEX(Конструктор!$P$2:$P$1212,$K344))</f>
        <v/>
      </c>
      <c r="K344" t="str">
        <f>IFERROR(MATCH(324,Конструктор!$T$2:$T$1212,0),"")</f>
        <v/>
      </c>
      <c r="L344" t="str">
        <f t="shared" si="5"/>
        <v/>
      </c>
    </row>
    <row r="345" spans="1:12" hidden="1" x14ac:dyDescent="0.3">
      <c r="A345" t="str">
        <f>IF($K345="","",325)</f>
        <v/>
      </c>
      <c r="B345" t="str">
        <f>IF($K345="","",INDEX(Конструктор!$C$2:$C$1212,$K345))</f>
        <v/>
      </c>
      <c r="C345" s="8" t="str">
        <f>IF($K345="","",INDEX(Конструктор!$D$2:$D$1212,$K345)&amp;IF(INDEX(Конструктор!$J$2:$J$1212,$K345)&lt;&gt;""," — "&amp;INDEX(Конструктор!$J$2:$J$1212,$K345),""))</f>
        <v/>
      </c>
      <c r="D345" t="str">
        <f>IF($K345="","",INDEX(Конструктор!$E$2:$E$1212,$K345))</f>
        <v/>
      </c>
      <c r="E345" s="10" t="str">
        <f>IF($K345="","",INDEX(Конструктор!$H$2:$H$1212,$K345))</f>
        <v/>
      </c>
      <c r="F345" s="10" t="str">
        <f>IF($K345="","",INDEX(Конструктор!$L$2:$L$1212,$K345))</f>
        <v/>
      </c>
      <c r="G345" s="10" t="str">
        <f>IF($K345="","",INDEX(Конструктор!$M$2:$M$1212,$K345))</f>
        <v/>
      </c>
      <c r="H345" s="10" t="str">
        <f>IF($K345="","",INDEX(Конструктор!$N$2:$N$1212,$K345))</f>
        <v/>
      </c>
      <c r="I345" s="10" t="str">
        <f>IF($K345="","",INDEX(Конструктор!$O$2:$O$1212,$K345))</f>
        <v/>
      </c>
      <c r="J345" s="10" t="str">
        <f>IF($K345="","",INDEX(Конструктор!$P$2:$P$1212,$K345))</f>
        <v/>
      </c>
      <c r="K345" t="str">
        <f>IFERROR(MATCH(325,Конструктор!$T$2:$T$1212,0),"")</f>
        <v/>
      </c>
      <c r="L345" t="str">
        <f t="shared" si="5"/>
        <v/>
      </c>
    </row>
    <row r="346" spans="1:12" hidden="1" x14ac:dyDescent="0.3">
      <c r="A346" t="str">
        <f>IF($K346="","",326)</f>
        <v/>
      </c>
      <c r="B346" t="str">
        <f>IF($K346="","",INDEX(Конструктор!$C$2:$C$1212,$K346))</f>
        <v/>
      </c>
      <c r="C346" s="8" t="str">
        <f>IF($K346="","",INDEX(Конструктор!$D$2:$D$1212,$K346)&amp;IF(INDEX(Конструктор!$J$2:$J$1212,$K346)&lt;&gt;""," — "&amp;INDEX(Конструктор!$J$2:$J$1212,$K346),""))</f>
        <v/>
      </c>
      <c r="D346" t="str">
        <f>IF($K346="","",INDEX(Конструктор!$E$2:$E$1212,$K346))</f>
        <v/>
      </c>
      <c r="E346" s="10" t="str">
        <f>IF($K346="","",INDEX(Конструктор!$H$2:$H$1212,$K346))</f>
        <v/>
      </c>
      <c r="F346" s="10" t="str">
        <f>IF($K346="","",INDEX(Конструктор!$L$2:$L$1212,$K346))</f>
        <v/>
      </c>
      <c r="G346" s="10" t="str">
        <f>IF($K346="","",INDEX(Конструктор!$M$2:$M$1212,$K346))</f>
        <v/>
      </c>
      <c r="H346" s="10" t="str">
        <f>IF($K346="","",INDEX(Конструктор!$N$2:$N$1212,$K346))</f>
        <v/>
      </c>
      <c r="I346" s="10" t="str">
        <f>IF($K346="","",INDEX(Конструктор!$O$2:$O$1212,$K346))</f>
        <v/>
      </c>
      <c r="J346" s="10" t="str">
        <f>IF($K346="","",INDEX(Конструктор!$P$2:$P$1212,$K346))</f>
        <v/>
      </c>
      <c r="K346" t="str">
        <f>IFERROR(MATCH(326,Конструктор!$T$2:$T$1212,0),"")</f>
        <v/>
      </c>
      <c r="L346" t="str">
        <f t="shared" si="5"/>
        <v/>
      </c>
    </row>
    <row r="347" spans="1:12" hidden="1" x14ac:dyDescent="0.3">
      <c r="A347" t="str">
        <f>IF($K347="","",327)</f>
        <v/>
      </c>
      <c r="B347" t="str">
        <f>IF($K347="","",INDEX(Конструктор!$C$2:$C$1212,$K347))</f>
        <v/>
      </c>
      <c r="C347" s="8" t="str">
        <f>IF($K347="","",INDEX(Конструктор!$D$2:$D$1212,$K347)&amp;IF(INDEX(Конструктор!$J$2:$J$1212,$K347)&lt;&gt;""," — "&amp;INDEX(Конструктор!$J$2:$J$1212,$K347),""))</f>
        <v/>
      </c>
      <c r="D347" t="str">
        <f>IF($K347="","",INDEX(Конструктор!$E$2:$E$1212,$K347))</f>
        <v/>
      </c>
      <c r="E347" s="10" t="str">
        <f>IF($K347="","",INDEX(Конструктор!$H$2:$H$1212,$K347))</f>
        <v/>
      </c>
      <c r="F347" s="10" t="str">
        <f>IF($K347="","",INDEX(Конструктор!$L$2:$L$1212,$K347))</f>
        <v/>
      </c>
      <c r="G347" s="10" t="str">
        <f>IF($K347="","",INDEX(Конструктор!$M$2:$M$1212,$K347))</f>
        <v/>
      </c>
      <c r="H347" s="10" t="str">
        <f>IF($K347="","",INDEX(Конструктор!$N$2:$N$1212,$K347))</f>
        <v/>
      </c>
      <c r="I347" s="10" t="str">
        <f>IF($K347="","",INDEX(Конструктор!$O$2:$O$1212,$K347))</f>
        <v/>
      </c>
      <c r="J347" s="10" t="str">
        <f>IF($K347="","",INDEX(Конструктор!$P$2:$P$1212,$K347))</f>
        <v/>
      </c>
      <c r="K347" t="str">
        <f>IFERROR(MATCH(327,Конструктор!$T$2:$T$1212,0),"")</f>
        <v/>
      </c>
      <c r="L347" t="str">
        <f t="shared" si="5"/>
        <v/>
      </c>
    </row>
    <row r="348" spans="1:12" hidden="1" x14ac:dyDescent="0.3">
      <c r="A348" t="str">
        <f>IF($K348="","",328)</f>
        <v/>
      </c>
      <c r="B348" t="str">
        <f>IF($K348="","",INDEX(Конструктор!$C$2:$C$1212,$K348))</f>
        <v/>
      </c>
      <c r="C348" s="8" t="str">
        <f>IF($K348="","",INDEX(Конструктор!$D$2:$D$1212,$K348)&amp;IF(INDEX(Конструктор!$J$2:$J$1212,$K348)&lt;&gt;""," — "&amp;INDEX(Конструктор!$J$2:$J$1212,$K348),""))</f>
        <v/>
      </c>
      <c r="D348" t="str">
        <f>IF($K348="","",INDEX(Конструктор!$E$2:$E$1212,$K348))</f>
        <v/>
      </c>
      <c r="E348" s="10" t="str">
        <f>IF($K348="","",INDEX(Конструктор!$H$2:$H$1212,$K348))</f>
        <v/>
      </c>
      <c r="F348" s="10" t="str">
        <f>IF($K348="","",INDEX(Конструктор!$L$2:$L$1212,$K348))</f>
        <v/>
      </c>
      <c r="G348" s="10" t="str">
        <f>IF($K348="","",INDEX(Конструктор!$M$2:$M$1212,$K348))</f>
        <v/>
      </c>
      <c r="H348" s="10" t="str">
        <f>IF($K348="","",INDEX(Конструктор!$N$2:$N$1212,$K348))</f>
        <v/>
      </c>
      <c r="I348" s="10" t="str">
        <f>IF($K348="","",INDEX(Конструктор!$O$2:$O$1212,$K348))</f>
        <v/>
      </c>
      <c r="J348" s="10" t="str">
        <f>IF($K348="","",INDEX(Конструктор!$P$2:$P$1212,$K348))</f>
        <v/>
      </c>
      <c r="K348" t="str">
        <f>IFERROR(MATCH(328,Конструктор!$T$2:$T$1212,0),"")</f>
        <v/>
      </c>
      <c r="L348" t="str">
        <f t="shared" si="5"/>
        <v/>
      </c>
    </row>
    <row r="349" spans="1:12" hidden="1" x14ac:dyDescent="0.3">
      <c r="A349" t="str">
        <f>IF($K349="","",329)</f>
        <v/>
      </c>
      <c r="B349" t="str">
        <f>IF($K349="","",INDEX(Конструктор!$C$2:$C$1212,$K349))</f>
        <v/>
      </c>
      <c r="C349" s="8" t="str">
        <f>IF($K349="","",INDEX(Конструктор!$D$2:$D$1212,$K349)&amp;IF(INDEX(Конструктор!$J$2:$J$1212,$K349)&lt;&gt;""," — "&amp;INDEX(Конструктор!$J$2:$J$1212,$K349),""))</f>
        <v/>
      </c>
      <c r="D349" t="str">
        <f>IF($K349="","",INDEX(Конструктор!$E$2:$E$1212,$K349))</f>
        <v/>
      </c>
      <c r="E349" s="10" t="str">
        <f>IF($K349="","",INDEX(Конструктор!$H$2:$H$1212,$K349))</f>
        <v/>
      </c>
      <c r="F349" s="10" t="str">
        <f>IF($K349="","",INDEX(Конструктор!$L$2:$L$1212,$K349))</f>
        <v/>
      </c>
      <c r="G349" s="10" t="str">
        <f>IF($K349="","",INDEX(Конструктор!$M$2:$M$1212,$K349))</f>
        <v/>
      </c>
      <c r="H349" s="10" t="str">
        <f>IF($K349="","",INDEX(Конструктор!$N$2:$N$1212,$K349))</f>
        <v/>
      </c>
      <c r="I349" s="10" t="str">
        <f>IF($K349="","",INDEX(Конструктор!$O$2:$O$1212,$K349))</f>
        <v/>
      </c>
      <c r="J349" s="10" t="str">
        <f>IF($K349="","",INDEX(Конструктор!$P$2:$P$1212,$K349))</f>
        <v/>
      </c>
      <c r="K349" t="str">
        <f>IFERROR(MATCH(329,Конструктор!$T$2:$T$1212,0),"")</f>
        <v/>
      </c>
      <c r="L349" t="str">
        <f t="shared" si="5"/>
        <v/>
      </c>
    </row>
    <row r="350" spans="1:12" hidden="1" x14ac:dyDescent="0.3">
      <c r="A350" t="str">
        <f>IF($K350="","",330)</f>
        <v/>
      </c>
      <c r="B350" t="str">
        <f>IF($K350="","",INDEX(Конструктор!$C$2:$C$1212,$K350))</f>
        <v/>
      </c>
      <c r="C350" s="8" t="str">
        <f>IF($K350="","",INDEX(Конструктор!$D$2:$D$1212,$K350)&amp;IF(INDEX(Конструктор!$J$2:$J$1212,$K350)&lt;&gt;""," — "&amp;INDEX(Конструктор!$J$2:$J$1212,$K350),""))</f>
        <v/>
      </c>
      <c r="D350" t="str">
        <f>IF($K350="","",INDEX(Конструктор!$E$2:$E$1212,$K350))</f>
        <v/>
      </c>
      <c r="E350" s="10" t="str">
        <f>IF($K350="","",INDEX(Конструктор!$H$2:$H$1212,$K350))</f>
        <v/>
      </c>
      <c r="F350" s="10" t="str">
        <f>IF($K350="","",INDEX(Конструктор!$L$2:$L$1212,$K350))</f>
        <v/>
      </c>
      <c r="G350" s="10" t="str">
        <f>IF($K350="","",INDEX(Конструктор!$M$2:$M$1212,$K350))</f>
        <v/>
      </c>
      <c r="H350" s="10" t="str">
        <f>IF($K350="","",INDEX(Конструктор!$N$2:$N$1212,$K350))</f>
        <v/>
      </c>
      <c r="I350" s="10" t="str">
        <f>IF($K350="","",INDEX(Конструктор!$O$2:$O$1212,$K350))</f>
        <v/>
      </c>
      <c r="J350" s="10" t="str">
        <f>IF($K350="","",INDEX(Конструктор!$P$2:$P$1212,$K350))</f>
        <v/>
      </c>
      <c r="K350" t="str">
        <f>IFERROR(MATCH(330,Конструктор!$T$2:$T$1212,0),"")</f>
        <v/>
      </c>
      <c r="L350" t="str">
        <f t="shared" si="5"/>
        <v/>
      </c>
    </row>
    <row r="351" spans="1:12" hidden="1" x14ac:dyDescent="0.3">
      <c r="A351" t="str">
        <f>IF($K351="","",331)</f>
        <v/>
      </c>
      <c r="B351" t="str">
        <f>IF($K351="","",INDEX(Конструктор!$C$2:$C$1212,$K351))</f>
        <v/>
      </c>
      <c r="C351" s="8" t="str">
        <f>IF($K351="","",INDEX(Конструктор!$D$2:$D$1212,$K351)&amp;IF(INDEX(Конструктор!$J$2:$J$1212,$K351)&lt;&gt;""," — "&amp;INDEX(Конструктор!$J$2:$J$1212,$K351),""))</f>
        <v/>
      </c>
      <c r="D351" t="str">
        <f>IF($K351="","",INDEX(Конструктор!$E$2:$E$1212,$K351))</f>
        <v/>
      </c>
      <c r="E351" s="10" t="str">
        <f>IF($K351="","",INDEX(Конструктор!$H$2:$H$1212,$K351))</f>
        <v/>
      </c>
      <c r="F351" s="10" t="str">
        <f>IF($K351="","",INDEX(Конструктор!$L$2:$L$1212,$K351))</f>
        <v/>
      </c>
      <c r="G351" s="10" t="str">
        <f>IF($K351="","",INDEX(Конструктор!$M$2:$M$1212,$K351))</f>
        <v/>
      </c>
      <c r="H351" s="10" t="str">
        <f>IF($K351="","",INDEX(Конструктор!$N$2:$N$1212,$K351))</f>
        <v/>
      </c>
      <c r="I351" s="10" t="str">
        <f>IF($K351="","",INDEX(Конструктор!$O$2:$O$1212,$K351))</f>
        <v/>
      </c>
      <c r="J351" s="10" t="str">
        <f>IF($K351="","",INDEX(Конструктор!$P$2:$P$1212,$K351))</f>
        <v/>
      </c>
      <c r="K351" t="str">
        <f>IFERROR(MATCH(331,Конструктор!$T$2:$T$1212,0),"")</f>
        <v/>
      </c>
      <c r="L351" t="str">
        <f t="shared" si="5"/>
        <v/>
      </c>
    </row>
    <row r="352" spans="1:12" hidden="1" x14ac:dyDescent="0.3">
      <c r="A352" t="str">
        <f>IF($K352="","",332)</f>
        <v/>
      </c>
      <c r="B352" t="str">
        <f>IF($K352="","",INDEX(Конструктор!$C$2:$C$1212,$K352))</f>
        <v/>
      </c>
      <c r="C352" s="8" t="str">
        <f>IF($K352="","",INDEX(Конструктор!$D$2:$D$1212,$K352)&amp;IF(INDEX(Конструктор!$J$2:$J$1212,$K352)&lt;&gt;""," — "&amp;INDEX(Конструктор!$J$2:$J$1212,$K352),""))</f>
        <v/>
      </c>
      <c r="D352" t="str">
        <f>IF($K352="","",INDEX(Конструктор!$E$2:$E$1212,$K352))</f>
        <v/>
      </c>
      <c r="E352" s="10" t="str">
        <f>IF($K352="","",INDEX(Конструктор!$H$2:$H$1212,$K352))</f>
        <v/>
      </c>
      <c r="F352" s="10" t="str">
        <f>IF($K352="","",INDEX(Конструктор!$L$2:$L$1212,$K352))</f>
        <v/>
      </c>
      <c r="G352" s="10" t="str">
        <f>IF($K352="","",INDEX(Конструктор!$M$2:$M$1212,$K352))</f>
        <v/>
      </c>
      <c r="H352" s="10" t="str">
        <f>IF($K352="","",INDEX(Конструктор!$N$2:$N$1212,$K352))</f>
        <v/>
      </c>
      <c r="I352" s="10" t="str">
        <f>IF($K352="","",INDEX(Конструктор!$O$2:$O$1212,$K352))</f>
        <v/>
      </c>
      <c r="J352" s="10" t="str">
        <f>IF($K352="","",INDEX(Конструктор!$P$2:$P$1212,$K352))</f>
        <v/>
      </c>
      <c r="K352" t="str">
        <f>IFERROR(MATCH(332,Конструктор!$T$2:$T$1212,0),"")</f>
        <v/>
      </c>
      <c r="L352" t="str">
        <f t="shared" si="5"/>
        <v/>
      </c>
    </row>
    <row r="353" spans="1:12" hidden="1" x14ac:dyDescent="0.3">
      <c r="A353" t="str">
        <f>IF($K353="","",333)</f>
        <v/>
      </c>
      <c r="B353" t="str">
        <f>IF($K353="","",INDEX(Конструктор!$C$2:$C$1212,$K353))</f>
        <v/>
      </c>
      <c r="C353" s="8" t="str">
        <f>IF($K353="","",INDEX(Конструктор!$D$2:$D$1212,$K353)&amp;IF(INDEX(Конструктор!$J$2:$J$1212,$K353)&lt;&gt;""," — "&amp;INDEX(Конструктор!$J$2:$J$1212,$K353),""))</f>
        <v/>
      </c>
      <c r="D353" t="str">
        <f>IF($K353="","",INDEX(Конструктор!$E$2:$E$1212,$K353))</f>
        <v/>
      </c>
      <c r="E353" s="10" t="str">
        <f>IF($K353="","",INDEX(Конструктор!$H$2:$H$1212,$K353))</f>
        <v/>
      </c>
      <c r="F353" s="10" t="str">
        <f>IF($K353="","",INDEX(Конструктор!$L$2:$L$1212,$K353))</f>
        <v/>
      </c>
      <c r="G353" s="10" t="str">
        <f>IF($K353="","",INDEX(Конструктор!$M$2:$M$1212,$K353))</f>
        <v/>
      </c>
      <c r="H353" s="10" t="str">
        <f>IF($K353="","",INDEX(Конструктор!$N$2:$N$1212,$K353))</f>
        <v/>
      </c>
      <c r="I353" s="10" t="str">
        <f>IF($K353="","",INDEX(Конструктор!$O$2:$O$1212,$K353))</f>
        <v/>
      </c>
      <c r="J353" s="10" t="str">
        <f>IF($K353="","",INDEX(Конструктор!$P$2:$P$1212,$K353))</f>
        <v/>
      </c>
      <c r="K353" t="str">
        <f>IFERROR(MATCH(333,Конструктор!$T$2:$T$1212,0),"")</f>
        <v/>
      </c>
      <c r="L353" t="str">
        <f t="shared" si="5"/>
        <v/>
      </c>
    </row>
    <row r="354" spans="1:12" hidden="1" x14ac:dyDescent="0.3">
      <c r="A354" t="str">
        <f>IF($K354="","",334)</f>
        <v/>
      </c>
      <c r="B354" t="str">
        <f>IF($K354="","",INDEX(Конструктор!$C$2:$C$1212,$K354))</f>
        <v/>
      </c>
      <c r="C354" s="8" t="str">
        <f>IF($K354="","",INDEX(Конструктор!$D$2:$D$1212,$K354)&amp;IF(INDEX(Конструктор!$J$2:$J$1212,$K354)&lt;&gt;""," — "&amp;INDEX(Конструктор!$J$2:$J$1212,$K354),""))</f>
        <v/>
      </c>
      <c r="D354" t="str">
        <f>IF($K354="","",INDEX(Конструктор!$E$2:$E$1212,$K354))</f>
        <v/>
      </c>
      <c r="E354" s="10" t="str">
        <f>IF($K354="","",INDEX(Конструктор!$H$2:$H$1212,$K354))</f>
        <v/>
      </c>
      <c r="F354" s="10" t="str">
        <f>IF($K354="","",INDEX(Конструктор!$L$2:$L$1212,$K354))</f>
        <v/>
      </c>
      <c r="G354" s="10" t="str">
        <f>IF($K354="","",INDEX(Конструктор!$M$2:$M$1212,$K354))</f>
        <v/>
      </c>
      <c r="H354" s="10" t="str">
        <f>IF($K354="","",INDEX(Конструктор!$N$2:$N$1212,$K354))</f>
        <v/>
      </c>
      <c r="I354" s="10" t="str">
        <f>IF($K354="","",INDEX(Конструктор!$O$2:$O$1212,$K354))</f>
        <v/>
      </c>
      <c r="J354" s="10" t="str">
        <f>IF($K354="","",INDEX(Конструктор!$P$2:$P$1212,$K354))</f>
        <v/>
      </c>
      <c r="K354" t="str">
        <f>IFERROR(MATCH(334,Конструктор!$T$2:$T$1212,0),"")</f>
        <v/>
      </c>
      <c r="L354" t="str">
        <f t="shared" si="5"/>
        <v/>
      </c>
    </row>
    <row r="355" spans="1:12" hidden="1" x14ac:dyDescent="0.3">
      <c r="A355" t="str">
        <f>IF($K355="","",335)</f>
        <v/>
      </c>
      <c r="B355" t="str">
        <f>IF($K355="","",INDEX(Конструктор!$C$2:$C$1212,$K355))</f>
        <v/>
      </c>
      <c r="C355" s="8" t="str">
        <f>IF($K355="","",INDEX(Конструктор!$D$2:$D$1212,$K355)&amp;IF(INDEX(Конструктор!$J$2:$J$1212,$K355)&lt;&gt;""," — "&amp;INDEX(Конструктор!$J$2:$J$1212,$K355),""))</f>
        <v/>
      </c>
      <c r="D355" t="str">
        <f>IF($K355="","",INDEX(Конструктор!$E$2:$E$1212,$K355))</f>
        <v/>
      </c>
      <c r="E355" s="10" t="str">
        <f>IF($K355="","",INDEX(Конструктор!$H$2:$H$1212,$K355))</f>
        <v/>
      </c>
      <c r="F355" s="10" t="str">
        <f>IF($K355="","",INDEX(Конструктор!$L$2:$L$1212,$K355))</f>
        <v/>
      </c>
      <c r="G355" s="10" t="str">
        <f>IF($K355="","",INDEX(Конструктор!$M$2:$M$1212,$K355))</f>
        <v/>
      </c>
      <c r="H355" s="10" t="str">
        <f>IF($K355="","",INDEX(Конструктор!$N$2:$N$1212,$K355))</f>
        <v/>
      </c>
      <c r="I355" s="10" t="str">
        <f>IF($K355="","",INDEX(Конструктор!$O$2:$O$1212,$K355))</f>
        <v/>
      </c>
      <c r="J355" s="10" t="str">
        <f>IF($K355="","",INDEX(Конструктор!$P$2:$P$1212,$K355))</f>
        <v/>
      </c>
      <c r="K355" t="str">
        <f>IFERROR(MATCH(335,Конструктор!$T$2:$T$1212,0),"")</f>
        <v/>
      </c>
      <c r="L355" t="str">
        <f t="shared" si="5"/>
        <v/>
      </c>
    </row>
    <row r="356" spans="1:12" hidden="1" x14ac:dyDescent="0.3">
      <c r="A356" t="str">
        <f>IF($K356="","",336)</f>
        <v/>
      </c>
      <c r="B356" t="str">
        <f>IF($K356="","",INDEX(Конструктор!$C$2:$C$1212,$K356))</f>
        <v/>
      </c>
      <c r="C356" s="8" t="str">
        <f>IF($K356="","",INDEX(Конструктор!$D$2:$D$1212,$K356)&amp;IF(INDEX(Конструктор!$J$2:$J$1212,$K356)&lt;&gt;""," — "&amp;INDEX(Конструктор!$J$2:$J$1212,$K356),""))</f>
        <v/>
      </c>
      <c r="D356" t="str">
        <f>IF($K356="","",INDEX(Конструктор!$E$2:$E$1212,$K356))</f>
        <v/>
      </c>
      <c r="E356" s="10" t="str">
        <f>IF($K356="","",INDEX(Конструктор!$H$2:$H$1212,$K356))</f>
        <v/>
      </c>
      <c r="F356" s="10" t="str">
        <f>IF($K356="","",INDEX(Конструктор!$L$2:$L$1212,$K356))</f>
        <v/>
      </c>
      <c r="G356" s="10" t="str">
        <f>IF($K356="","",INDEX(Конструктор!$M$2:$M$1212,$K356))</f>
        <v/>
      </c>
      <c r="H356" s="10" t="str">
        <f>IF($K356="","",INDEX(Конструктор!$N$2:$N$1212,$K356))</f>
        <v/>
      </c>
      <c r="I356" s="10" t="str">
        <f>IF($K356="","",INDEX(Конструктор!$O$2:$O$1212,$K356))</f>
        <v/>
      </c>
      <c r="J356" s="10" t="str">
        <f>IF($K356="","",INDEX(Конструктор!$P$2:$P$1212,$K356))</f>
        <v/>
      </c>
      <c r="K356" t="str">
        <f>IFERROR(MATCH(336,Конструктор!$T$2:$T$1212,0),"")</f>
        <v/>
      </c>
      <c r="L356" t="str">
        <f t="shared" si="5"/>
        <v/>
      </c>
    </row>
    <row r="357" spans="1:12" hidden="1" x14ac:dyDescent="0.3">
      <c r="A357" t="str">
        <f>IF($K357="","",337)</f>
        <v/>
      </c>
      <c r="B357" t="str">
        <f>IF($K357="","",INDEX(Конструктор!$C$2:$C$1212,$K357))</f>
        <v/>
      </c>
      <c r="C357" s="8" t="str">
        <f>IF($K357="","",INDEX(Конструктор!$D$2:$D$1212,$K357)&amp;IF(INDEX(Конструктор!$J$2:$J$1212,$K357)&lt;&gt;""," — "&amp;INDEX(Конструктор!$J$2:$J$1212,$K357),""))</f>
        <v/>
      </c>
      <c r="D357" t="str">
        <f>IF($K357="","",INDEX(Конструктор!$E$2:$E$1212,$K357))</f>
        <v/>
      </c>
      <c r="E357" s="10" t="str">
        <f>IF($K357="","",INDEX(Конструктор!$H$2:$H$1212,$K357))</f>
        <v/>
      </c>
      <c r="F357" s="10" t="str">
        <f>IF($K357="","",INDEX(Конструктор!$L$2:$L$1212,$K357))</f>
        <v/>
      </c>
      <c r="G357" s="10" t="str">
        <f>IF($K357="","",INDEX(Конструктор!$M$2:$M$1212,$K357))</f>
        <v/>
      </c>
      <c r="H357" s="10" t="str">
        <f>IF($K357="","",INDEX(Конструктор!$N$2:$N$1212,$K357))</f>
        <v/>
      </c>
      <c r="I357" s="10" t="str">
        <f>IF($K357="","",INDEX(Конструктор!$O$2:$O$1212,$K357))</f>
        <v/>
      </c>
      <c r="J357" s="10" t="str">
        <f>IF($K357="","",INDEX(Конструктор!$P$2:$P$1212,$K357))</f>
        <v/>
      </c>
      <c r="K357" t="str">
        <f>IFERROR(MATCH(337,Конструктор!$T$2:$T$1212,0),"")</f>
        <v/>
      </c>
      <c r="L357" t="str">
        <f t="shared" si="5"/>
        <v/>
      </c>
    </row>
    <row r="358" spans="1:12" hidden="1" x14ac:dyDescent="0.3">
      <c r="A358" t="str">
        <f>IF($K358="","",338)</f>
        <v/>
      </c>
      <c r="B358" t="str">
        <f>IF($K358="","",INDEX(Конструктор!$C$2:$C$1212,$K358))</f>
        <v/>
      </c>
      <c r="C358" s="8" t="str">
        <f>IF($K358="","",INDEX(Конструктор!$D$2:$D$1212,$K358)&amp;IF(INDEX(Конструктор!$J$2:$J$1212,$K358)&lt;&gt;""," — "&amp;INDEX(Конструктор!$J$2:$J$1212,$K358),""))</f>
        <v/>
      </c>
      <c r="D358" t="str">
        <f>IF($K358="","",INDEX(Конструктор!$E$2:$E$1212,$K358))</f>
        <v/>
      </c>
      <c r="E358" s="10" t="str">
        <f>IF($K358="","",INDEX(Конструктор!$H$2:$H$1212,$K358))</f>
        <v/>
      </c>
      <c r="F358" s="10" t="str">
        <f>IF($K358="","",INDEX(Конструктор!$L$2:$L$1212,$K358))</f>
        <v/>
      </c>
      <c r="G358" s="10" t="str">
        <f>IF($K358="","",INDEX(Конструктор!$M$2:$M$1212,$K358))</f>
        <v/>
      </c>
      <c r="H358" s="10" t="str">
        <f>IF($K358="","",INDEX(Конструктор!$N$2:$N$1212,$K358))</f>
        <v/>
      </c>
      <c r="I358" s="10" t="str">
        <f>IF($K358="","",INDEX(Конструктор!$O$2:$O$1212,$K358))</f>
        <v/>
      </c>
      <c r="J358" s="10" t="str">
        <f>IF($K358="","",INDEX(Конструктор!$P$2:$P$1212,$K358))</f>
        <v/>
      </c>
      <c r="K358" t="str">
        <f>IFERROR(MATCH(338,Конструктор!$T$2:$T$1212,0),"")</f>
        <v/>
      </c>
      <c r="L358" t="str">
        <f t="shared" si="5"/>
        <v/>
      </c>
    </row>
    <row r="359" spans="1:12" hidden="1" x14ac:dyDescent="0.3">
      <c r="A359" t="str">
        <f>IF($K359="","",339)</f>
        <v/>
      </c>
      <c r="B359" t="str">
        <f>IF($K359="","",INDEX(Конструктор!$C$2:$C$1212,$K359))</f>
        <v/>
      </c>
      <c r="C359" s="8" t="str">
        <f>IF($K359="","",INDEX(Конструктор!$D$2:$D$1212,$K359)&amp;IF(INDEX(Конструктор!$J$2:$J$1212,$K359)&lt;&gt;""," — "&amp;INDEX(Конструктор!$J$2:$J$1212,$K359),""))</f>
        <v/>
      </c>
      <c r="D359" t="str">
        <f>IF($K359="","",INDEX(Конструктор!$E$2:$E$1212,$K359))</f>
        <v/>
      </c>
      <c r="E359" s="10" t="str">
        <f>IF($K359="","",INDEX(Конструктор!$H$2:$H$1212,$K359))</f>
        <v/>
      </c>
      <c r="F359" s="10" t="str">
        <f>IF($K359="","",INDEX(Конструктор!$L$2:$L$1212,$K359))</f>
        <v/>
      </c>
      <c r="G359" s="10" t="str">
        <f>IF($K359="","",INDEX(Конструктор!$M$2:$M$1212,$K359))</f>
        <v/>
      </c>
      <c r="H359" s="10" t="str">
        <f>IF($K359="","",INDEX(Конструктор!$N$2:$N$1212,$K359))</f>
        <v/>
      </c>
      <c r="I359" s="10" t="str">
        <f>IF($K359="","",INDEX(Конструктор!$O$2:$O$1212,$K359))</f>
        <v/>
      </c>
      <c r="J359" s="10" t="str">
        <f>IF($K359="","",INDEX(Конструктор!$P$2:$P$1212,$K359))</f>
        <v/>
      </c>
      <c r="K359" t="str">
        <f>IFERROR(MATCH(339,Конструктор!$T$2:$T$1212,0),"")</f>
        <v/>
      </c>
      <c r="L359" t="str">
        <f t="shared" si="5"/>
        <v/>
      </c>
    </row>
    <row r="360" spans="1:12" hidden="1" x14ac:dyDescent="0.3">
      <c r="A360" t="str">
        <f>IF($K360="","",340)</f>
        <v/>
      </c>
      <c r="B360" t="str">
        <f>IF($K360="","",INDEX(Конструктор!$C$2:$C$1212,$K360))</f>
        <v/>
      </c>
      <c r="C360" s="8" t="str">
        <f>IF($K360="","",INDEX(Конструктор!$D$2:$D$1212,$K360)&amp;IF(INDEX(Конструктор!$J$2:$J$1212,$K360)&lt;&gt;""," — "&amp;INDEX(Конструктор!$J$2:$J$1212,$K360),""))</f>
        <v/>
      </c>
      <c r="D360" t="str">
        <f>IF($K360="","",INDEX(Конструктор!$E$2:$E$1212,$K360))</f>
        <v/>
      </c>
      <c r="E360" s="10" t="str">
        <f>IF($K360="","",INDEX(Конструктор!$H$2:$H$1212,$K360))</f>
        <v/>
      </c>
      <c r="F360" s="10" t="str">
        <f>IF($K360="","",INDEX(Конструктор!$L$2:$L$1212,$K360))</f>
        <v/>
      </c>
      <c r="G360" s="10" t="str">
        <f>IF($K360="","",INDEX(Конструктор!$M$2:$M$1212,$K360))</f>
        <v/>
      </c>
      <c r="H360" s="10" t="str">
        <f>IF($K360="","",INDEX(Конструктор!$N$2:$N$1212,$K360))</f>
        <v/>
      </c>
      <c r="I360" s="10" t="str">
        <f>IF($K360="","",INDEX(Конструктор!$O$2:$O$1212,$K360))</f>
        <v/>
      </c>
      <c r="J360" s="10" t="str">
        <f>IF($K360="","",INDEX(Конструктор!$P$2:$P$1212,$K360))</f>
        <v/>
      </c>
      <c r="K360" t="str">
        <f>IFERROR(MATCH(340,Конструктор!$T$2:$T$1212,0),"")</f>
        <v/>
      </c>
      <c r="L360" t="str">
        <f t="shared" si="5"/>
        <v/>
      </c>
    </row>
    <row r="361" spans="1:12" hidden="1" x14ac:dyDescent="0.3">
      <c r="A361" t="str">
        <f>IF($K361="","",341)</f>
        <v/>
      </c>
      <c r="B361" t="str">
        <f>IF($K361="","",INDEX(Конструктор!$C$2:$C$1212,$K361))</f>
        <v/>
      </c>
      <c r="C361" s="8" t="str">
        <f>IF($K361="","",INDEX(Конструктор!$D$2:$D$1212,$K361)&amp;IF(INDEX(Конструктор!$J$2:$J$1212,$K361)&lt;&gt;""," — "&amp;INDEX(Конструктор!$J$2:$J$1212,$K361),""))</f>
        <v/>
      </c>
      <c r="D361" t="str">
        <f>IF($K361="","",INDEX(Конструктор!$E$2:$E$1212,$K361))</f>
        <v/>
      </c>
      <c r="E361" s="10" t="str">
        <f>IF($K361="","",INDEX(Конструктор!$H$2:$H$1212,$K361))</f>
        <v/>
      </c>
      <c r="F361" s="10" t="str">
        <f>IF($K361="","",INDEX(Конструктор!$L$2:$L$1212,$K361))</f>
        <v/>
      </c>
      <c r="G361" s="10" t="str">
        <f>IF($K361="","",INDEX(Конструктор!$M$2:$M$1212,$K361))</f>
        <v/>
      </c>
      <c r="H361" s="10" t="str">
        <f>IF($K361="","",INDEX(Конструктор!$N$2:$N$1212,$K361))</f>
        <v/>
      </c>
      <c r="I361" s="10" t="str">
        <f>IF($K361="","",INDEX(Конструктор!$O$2:$O$1212,$K361))</f>
        <v/>
      </c>
      <c r="J361" s="10" t="str">
        <f>IF($K361="","",INDEX(Конструктор!$P$2:$P$1212,$K361))</f>
        <v/>
      </c>
      <c r="K361" t="str">
        <f>IFERROR(MATCH(341,Конструктор!$T$2:$T$1212,0),"")</f>
        <v/>
      </c>
      <c r="L361" t="str">
        <f t="shared" si="5"/>
        <v/>
      </c>
    </row>
    <row r="362" spans="1:12" hidden="1" x14ac:dyDescent="0.3">
      <c r="A362" t="str">
        <f>IF($K362="","",342)</f>
        <v/>
      </c>
      <c r="B362" t="str">
        <f>IF($K362="","",INDEX(Конструктор!$C$2:$C$1212,$K362))</f>
        <v/>
      </c>
      <c r="C362" s="8" t="str">
        <f>IF($K362="","",INDEX(Конструктор!$D$2:$D$1212,$K362)&amp;IF(INDEX(Конструктор!$J$2:$J$1212,$K362)&lt;&gt;""," — "&amp;INDEX(Конструктор!$J$2:$J$1212,$K362),""))</f>
        <v/>
      </c>
      <c r="D362" t="str">
        <f>IF($K362="","",INDEX(Конструктор!$E$2:$E$1212,$K362))</f>
        <v/>
      </c>
      <c r="E362" s="10" t="str">
        <f>IF($K362="","",INDEX(Конструктор!$H$2:$H$1212,$K362))</f>
        <v/>
      </c>
      <c r="F362" s="10" t="str">
        <f>IF($K362="","",INDEX(Конструктор!$L$2:$L$1212,$K362))</f>
        <v/>
      </c>
      <c r="G362" s="10" t="str">
        <f>IF($K362="","",INDEX(Конструктор!$M$2:$M$1212,$K362))</f>
        <v/>
      </c>
      <c r="H362" s="10" t="str">
        <f>IF($K362="","",INDEX(Конструктор!$N$2:$N$1212,$K362))</f>
        <v/>
      </c>
      <c r="I362" s="10" t="str">
        <f>IF($K362="","",INDEX(Конструктор!$O$2:$O$1212,$K362))</f>
        <v/>
      </c>
      <c r="J362" s="10" t="str">
        <f>IF($K362="","",INDEX(Конструктор!$P$2:$P$1212,$K362))</f>
        <v/>
      </c>
      <c r="K362" t="str">
        <f>IFERROR(MATCH(342,Конструктор!$T$2:$T$1212,0),"")</f>
        <v/>
      </c>
      <c r="L362" t="str">
        <f t="shared" si="5"/>
        <v/>
      </c>
    </row>
    <row r="363" spans="1:12" hidden="1" x14ac:dyDescent="0.3">
      <c r="A363" t="str">
        <f>IF($K363="","",343)</f>
        <v/>
      </c>
      <c r="B363" t="str">
        <f>IF($K363="","",INDEX(Конструктор!$C$2:$C$1212,$K363))</f>
        <v/>
      </c>
      <c r="C363" s="8" t="str">
        <f>IF($K363="","",INDEX(Конструктор!$D$2:$D$1212,$K363)&amp;IF(INDEX(Конструктор!$J$2:$J$1212,$K363)&lt;&gt;""," — "&amp;INDEX(Конструктор!$J$2:$J$1212,$K363),""))</f>
        <v/>
      </c>
      <c r="D363" t="str">
        <f>IF($K363="","",INDEX(Конструктор!$E$2:$E$1212,$K363))</f>
        <v/>
      </c>
      <c r="E363" s="10" t="str">
        <f>IF($K363="","",INDEX(Конструктор!$H$2:$H$1212,$K363))</f>
        <v/>
      </c>
      <c r="F363" s="10" t="str">
        <f>IF($K363="","",INDEX(Конструктор!$L$2:$L$1212,$K363))</f>
        <v/>
      </c>
      <c r="G363" s="10" t="str">
        <f>IF($K363="","",INDEX(Конструктор!$M$2:$M$1212,$K363))</f>
        <v/>
      </c>
      <c r="H363" s="10" t="str">
        <f>IF($K363="","",INDEX(Конструктор!$N$2:$N$1212,$K363))</f>
        <v/>
      </c>
      <c r="I363" s="10" t="str">
        <f>IF($K363="","",INDEX(Конструктор!$O$2:$O$1212,$K363))</f>
        <v/>
      </c>
      <c r="J363" s="10" t="str">
        <f>IF($K363="","",INDEX(Конструктор!$P$2:$P$1212,$K363))</f>
        <v/>
      </c>
      <c r="K363" t="str">
        <f>IFERROR(MATCH(343,Конструктор!$T$2:$T$1212,0),"")</f>
        <v/>
      </c>
      <c r="L363" t="str">
        <f t="shared" si="5"/>
        <v/>
      </c>
    </row>
    <row r="364" spans="1:12" hidden="1" x14ac:dyDescent="0.3">
      <c r="A364" t="str">
        <f>IF($K364="","",344)</f>
        <v/>
      </c>
      <c r="B364" t="str">
        <f>IF($K364="","",INDEX(Конструктор!$C$2:$C$1212,$K364))</f>
        <v/>
      </c>
      <c r="C364" s="8" t="str">
        <f>IF($K364="","",INDEX(Конструктор!$D$2:$D$1212,$K364)&amp;IF(INDEX(Конструктор!$J$2:$J$1212,$K364)&lt;&gt;""," — "&amp;INDEX(Конструктор!$J$2:$J$1212,$K364),""))</f>
        <v/>
      </c>
      <c r="D364" t="str">
        <f>IF($K364="","",INDEX(Конструктор!$E$2:$E$1212,$K364))</f>
        <v/>
      </c>
      <c r="E364" s="10" t="str">
        <f>IF($K364="","",INDEX(Конструктор!$H$2:$H$1212,$K364))</f>
        <v/>
      </c>
      <c r="F364" s="10" t="str">
        <f>IF($K364="","",INDEX(Конструктор!$L$2:$L$1212,$K364))</f>
        <v/>
      </c>
      <c r="G364" s="10" t="str">
        <f>IF($K364="","",INDEX(Конструктор!$M$2:$M$1212,$K364))</f>
        <v/>
      </c>
      <c r="H364" s="10" t="str">
        <f>IF($K364="","",INDEX(Конструктор!$N$2:$N$1212,$K364))</f>
        <v/>
      </c>
      <c r="I364" s="10" t="str">
        <f>IF($K364="","",INDEX(Конструктор!$O$2:$O$1212,$K364))</f>
        <v/>
      </c>
      <c r="J364" s="10" t="str">
        <f>IF($K364="","",INDEX(Конструктор!$P$2:$P$1212,$K364))</f>
        <v/>
      </c>
      <c r="K364" t="str">
        <f>IFERROR(MATCH(344,Конструктор!$T$2:$T$1212,0),"")</f>
        <v/>
      </c>
      <c r="L364" t="str">
        <f t="shared" si="5"/>
        <v/>
      </c>
    </row>
    <row r="365" spans="1:12" hidden="1" x14ac:dyDescent="0.3">
      <c r="A365" t="str">
        <f>IF($K365="","",345)</f>
        <v/>
      </c>
      <c r="B365" t="str">
        <f>IF($K365="","",INDEX(Конструктор!$C$2:$C$1212,$K365))</f>
        <v/>
      </c>
      <c r="C365" s="8" t="str">
        <f>IF($K365="","",INDEX(Конструктор!$D$2:$D$1212,$K365)&amp;IF(INDEX(Конструктор!$J$2:$J$1212,$K365)&lt;&gt;""," — "&amp;INDEX(Конструктор!$J$2:$J$1212,$K365),""))</f>
        <v/>
      </c>
      <c r="D365" t="str">
        <f>IF($K365="","",INDEX(Конструктор!$E$2:$E$1212,$K365))</f>
        <v/>
      </c>
      <c r="E365" s="10" t="str">
        <f>IF($K365="","",INDEX(Конструктор!$H$2:$H$1212,$K365))</f>
        <v/>
      </c>
      <c r="F365" s="10" t="str">
        <f>IF($K365="","",INDEX(Конструктор!$L$2:$L$1212,$K365))</f>
        <v/>
      </c>
      <c r="G365" s="10" t="str">
        <f>IF($K365="","",INDEX(Конструктор!$M$2:$M$1212,$K365))</f>
        <v/>
      </c>
      <c r="H365" s="10" t="str">
        <f>IF($K365="","",INDEX(Конструктор!$N$2:$N$1212,$K365))</f>
        <v/>
      </c>
      <c r="I365" s="10" t="str">
        <f>IF($K365="","",INDEX(Конструктор!$O$2:$O$1212,$K365))</f>
        <v/>
      </c>
      <c r="J365" s="10" t="str">
        <f>IF($K365="","",INDEX(Конструктор!$P$2:$P$1212,$K365))</f>
        <v/>
      </c>
      <c r="K365" t="str">
        <f>IFERROR(MATCH(345,Конструктор!$T$2:$T$1212,0),"")</f>
        <v/>
      </c>
      <c r="L365" t="str">
        <f t="shared" si="5"/>
        <v/>
      </c>
    </row>
    <row r="366" spans="1:12" hidden="1" x14ac:dyDescent="0.3">
      <c r="A366" t="str">
        <f>IF($K366="","",346)</f>
        <v/>
      </c>
      <c r="B366" t="str">
        <f>IF($K366="","",INDEX(Конструктор!$C$2:$C$1212,$K366))</f>
        <v/>
      </c>
      <c r="C366" s="8" t="str">
        <f>IF($K366="","",INDEX(Конструктор!$D$2:$D$1212,$K366)&amp;IF(INDEX(Конструктор!$J$2:$J$1212,$K366)&lt;&gt;""," — "&amp;INDEX(Конструктор!$J$2:$J$1212,$K366),""))</f>
        <v/>
      </c>
      <c r="D366" t="str">
        <f>IF($K366="","",INDEX(Конструктор!$E$2:$E$1212,$K366))</f>
        <v/>
      </c>
      <c r="E366" s="10" t="str">
        <f>IF($K366="","",INDEX(Конструктор!$H$2:$H$1212,$K366))</f>
        <v/>
      </c>
      <c r="F366" s="10" t="str">
        <f>IF($K366="","",INDEX(Конструктор!$L$2:$L$1212,$K366))</f>
        <v/>
      </c>
      <c r="G366" s="10" t="str">
        <f>IF($K366="","",INDEX(Конструктор!$M$2:$M$1212,$K366))</f>
        <v/>
      </c>
      <c r="H366" s="10" t="str">
        <f>IF($K366="","",INDEX(Конструктор!$N$2:$N$1212,$K366))</f>
        <v/>
      </c>
      <c r="I366" s="10" t="str">
        <f>IF($K366="","",INDEX(Конструктор!$O$2:$O$1212,$K366))</f>
        <v/>
      </c>
      <c r="J366" s="10" t="str">
        <f>IF($K366="","",INDEX(Конструктор!$P$2:$P$1212,$K366))</f>
        <v/>
      </c>
      <c r="K366" t="str">
        <f>IFERROR(MATCH(346,Конструктор!$T$2:$T$1212,0),"")</f>
        <v/>
      </c>
      <c r="L366" t="str">
        <f t="shared" si="5"/>
        <v/>
      </c>
    </row>
    <row r="367" spans="1:12" hidden="1" x14ac:dyDescent="0.3">
      <c r="A367" t="str">
        <f>IF($K367="","",347)</f>
        <v/>
      </c>
      <c r="B367" t="str">
        <f>IF($K367="","",INDEX(Конструктор!$C$2:$C$1212,$K367))</f>
        <v/>
      </c>
      <c r="C367" s="8" t="str">
        <f>IF($K367="","",INDEX(Конструктор!$D$2:$D$1212,$K367)&amp;IF(INDEX(Конструктор!$J$2:$J$1212,$K367)&lt;&gt;""," — "&amp;INDEX(Конструктор!$J$2:$J$1212,$K367),""))</f>
        <v/>
      </c>
      <c r="D367" t="str">
        <f>IF($K367="","",INDEX(Конструктор!$E$2:$E$1212,$K367))</f>
        <v/>
      </c>
      <c r="E367" s="10" t="str">
        <f>IF($K367="","",INDEX(Конструктор!$H$2:$H$1212,$K367))</f>
        <v/>
      </c>
      <c r="F367" s="10" t="str">
        <f>IF($K367="","",INDEX(Конструктор!$L$2:$L$1212,$K367))</f>
        <v/>
      </c>
      <c r="G367" s="10" t="str">
        <f>IF($K367="","",INDEX(Конструктор!$M$2:$M$1212,$K367))</f>
        <v/>
      </c>
      <c r="H367" s="10" t="str">
        <f>IF($K367="","",INDEX(Конструктор!$N$2:$N$1212,$K367))</f>
        <v/>
      </c>
      <c r="I367" s="10" t="str">
        <f>IF($K367="","",INDEX(Конструктор!$O$2:$O$1212,$K367))</f>
        <v/>
      </c>
      <c r="J367" s="10" t="str">
        <f>IF($K367="","",INDEX(Конструктор!$P$2:$P$1212,$K367))</f>
        <v/>
      </c>
      <c r="K367" t="str">
        <f>IFERROR(MATCH(347,Конструктор!$T$2:$T$1212,0),"")</f>
        <v/>
      </c>
      <c r="L367" t="str">
        <f t="shared" si="5"/>
        <v/>
      </c>
    </row>
    <row r="368" spans="1:12" hidden="1" x14ac:dyDescent="0.3">
      <c r="A368" t="str">
        <f>IF($K368="","",348)</f>
        <v/>
      </c>
      <c r="B368" t="str">
        <f>IF($K368="","",INDEX(Конструктор!$C$2:$C$1212,$K368))</f>
        <v/>
      </c>
      <c r="C368" s="8" t="str">
        <f>IF($K368="","",INDEX(Конструктор!$D$2:$D$1212,$K368)&amp;IF(INDEX(Конструктор!$J$2:$J$1212,$K368)&lt;&gt;""," — "&amp;INDEX(Конструктор!$J$2:$J$1212,$K368),""))</f>
        <v/>
      </c>
      <c r="D368" t="str">
        <f>IF($K368="","",INDEX(Конструктор!$E$2:$E$1212,$K368))</f>
        <v/>
      </c>
      <c r="E368" s="10" t="str">
        <f>IF($K368="","",INDEX(Конструктор!$H$2:$H$1212,$K368))</f>
        <v/>
      </c>
      <c r="F368" s="10" t="str">
        <f>IF($K368="","",INDEX(Конструктор!$L$2:$L$1212,$K368))</f>
        <v/>
      </c>
      <c r="G368" s="10" t="str">
        <f>IF($K368="","",INDEX(Конструктор!$M$2:$M$1212,$K368))</f>
        <v/>
      </c>
      <c r="H368" s="10" t="str">
        <f>IF($K368="","",INDEX(Конструктор!$N$2:$N$1212,$K368))</f>
        <v/>
      </c>
      <c r="I368" s="10" t="str">
        <f>IF($K368="","",INDEX(Конструктор!$O$2:$O$1212,$K368))</f>
        <v/>
      </c>
      <c r="J368" s="10" t="str">
        <f>IF($K368="","",INDEX(Конструктор!$P$2:$P$1212,$K368))</f>
        <v/>
      </c>
      <c r="K368" t="str">
        <f>IFERROR(MATCH(348,Конструктор!$T$2:$T$1212,0),"")</f>
        <v/>
      </c>
      <c r="L368" t="str">
        <f t="shared" si="5"/>
        <v/>
      </c>
    </row>
    <row r="369" spans="1:12" hidden="1" x14ac:dyDescent="0.3">
      <c r="A369" t="str">
        <f>IF($K369="","",349)</f>
        <v/>
      </c>
      <c r="B369" t="str">
        <f>IF($K369="","",INDEX(Конструктор!$C$2:$C$1212,$K369))</f>
        <v/>
      </c>
      <c r="C369" s="8" t="str">
        <f>IF($K369="","",INDEX(Конструктор!$D$2:$D$1212,$K369)&amp;IF(INDEX(Конструктор!$J$2:$J$1212,$K369)&lt;&gt;""," — "&amp;INDEX(Конструктор!$J$2:$J$1212,$K369),""))</f>
        <v/>
      </c>
      <c r="D369" t="str">
        <f>IF($K369="","",INDEX(Конструктор!$E$2:$E$1212,$K369))</f>
        <v/>
      </c>
      <c r="E369" s="10" t="str">
        <f>IF($K369="","",INDEX(Конструктор!$H$2:$H$1212,$K369))</f>
        <v/>
      </c>
      <c r="F369" s="10" t="str">
        <f>IF($K369="","",INDEX(Конструктор!$L$2:$L$1212,$K369))</f>
        <v/>
      </c>
      <c r="G369" s="10" t="str">
        <f>IF($K369="","",INDEX(Конструктор!$M$2:$M$1212,$K369))</f>
        <v/>
      </c>
      <c r="H369" s="10" t="str">
        <f>IF($K369="","",INDEX(Конструктор!$N$2:$N$1212,$K369))</f>
        <v/>
      </c>
      <c r="I369" s="10" t="str">
        <f>IF($K369="","",INDEX(Конструктор!$O$2:$O$1212,$K369))</f>
        <v/>
      </c>
      <c r="J369" s="10" t="str">
        <f>IF($K369="","",INDEX(Конструктор!$P$2:$P$1212,$K369))</f>
        <v/>
      </c>
      <c r="K369" t="str">
        <f>IFERROR(MATCH(349,Конструктор!$T$2:$T$1212,0),"")</f>
        <v/>
      </c>
      <c r="L369" t="str">
        <f t="shared" si="5"/>
        <v/>
      </c>
    </row>
    <row r="370" spans="1:12" hidden="1" x14ac:dyDescent="0.3">
      <c r="A370" t="str">
        <f>IF($K370="","",350)</f>
        <v/>
      </c>
      <c r="B370" t="str">
        <f>IF($K370="","",INDEX(Конструктор!$C$2:$C$1212,$K370))</f>
        <v/>
      </c>
      <c r="C370" s="8" t="str">
        <f>IF($K370="","",INDEX(Конструктор!$D$2:$D$1212,$K370)&amp;IF(INDEX(Конструктор!$J$2:$J$1212,$K370)&lt;&gt;""," — "&amp;INDEX(Конструктор!$J$2:$J$1212,$K370),""))</f>
        <v/>
      </c>
      <c r="D370" t="str">
        <f>IF($K370="","",INDEX(Конструктор!$E$2:$E$1212,$K370))</f>
        <v/>
      </c>
      <c r="E370" s="10" t="str">
        <f>IF($K370="","",INDEX(Конструктор!$H$2:$H$1212,$K370))</f>
        <v/>
      </c>
      <c r="F370" s="10" t="str">
        <f>IF($K370="","",INDEX(Конструктор!$L$2:$L$1212,$K370))</f>
        <v/>
      </c>
      <c r="G370" s="10" t="str">
        <f>IF($K370="","",INDEX(Конструктор!$M$2:$M$1212,$K370))</f>
        <v/>
      </c>
      <c r="H370" s="10" t="str">
        <f>IF($K370="","",INDEX(Конструктор!$N$2:$N$1212,$K370))</f>
        <v/>
      </c>
      <c r="I370" s="10" t="str">
        <f>IF($K370="","",INDEX(Конструктор!$O$2:$O$1212,$K370))</f>
        <v/>
      </c>
      <c r="J370" s="10" t="str">
        <f>IF($K370="","",INDEX(Конструктор!$P$2:$P$1212,$K370))</f>
        <v/>
      </c>
      <c r="K370" t="str">
        <f>IFERROR(MATCH(350,Конструктор!$T$2:$T$1212,0),"")</f>
        <v/>
      </c>
      <c r="L370" t="str">
        <f t="shared" si="5"/>
        <v/>
      </c>
    </row>
    <row r="371" spans="1:12" hidden="1" x14ac:dyDescent="0.3">
      <c r="A371" t="str">
        <f>IF($K371="","",351)</f>
        <v/>
      </c>
      <c r="B371" t="str">
        <f>IF($K371="","",INDEX(Конструктор!$C$2:$C$1212,$K371))</f>
        <v/>
      </c>
      <c r="C371" s="8" t="str">
        <f>IF($K371="","",INDEX(Конструктор!$D$2:$D$1212,$K371)&amp;IF(INDEX(Конструктор!$J$2:$J$1212,$K371)&lt;&gt;""," — "&amp;INDEX(Конструктор!$J$2:$J$1212,$K371),""))</f>
        <v/>
      </c>
      <c r="D371" t="str">
        <f>IF($K371="","",INDEX(Конструктор!$E$2:$E$1212,$K371))</f>
        <v/>
      </c>
      <c r="E371" s="10" t="str">
        <f>IF($K371="","",INDEX(Конструктор!$H$2:$H$1212,$K371))</f>
        <v/>
      </c>
      <c r="F371" s="10" t="str">
        <f>IF($K371="","",INDEX(Конструктор!$L$2:$L$1212,$K371))</f>
        <v/>
      </c>
      <c r="G371" s="10" t="str">
        <f>IF($K371="","",INDEX(Конструктор!$M$2:$M$1212,$K371))</f>
        <v/>
      </c>
      <c r="H371" s="10" t="str">
        <f>IF($K371="","",INDEX(Конструктор!$N$2:$N$1212,$K371))</f>
        <v/>
      </c>
      <c r="I371" s="10" t="str">
        <f>IF($K371="","",INDEX(Конструктор!$O$2:$O$1212,$K371))</f>
        <v/>
      </c>
      <c r="J371" s="10" t="str">
        <f>IF($K371="","",INDEX(Конструктор!$P$2:$P$1212,$K371))</f>
        <v/>
      </c>
      <c r="K371" t="str">
        <f>IFERROR(MATCH(351,Конструктор!$T$2:$T$1212,0),"")</f>
        <v/>
      </c>
      <c r="L371" t="str">
        <f t="shared" si="5"/>
        <v/>
      </c>
    </row>
    <row r="372" spans="1:12" hidden="1" x14ac:dyDescent="0.3">
      <c r="A372" t="str">
        <f>IF($K372="","",352)</f>
        <v/>
      </c>
      <c r="B372" t="str">
        <f>IF($K372="","",INDEX(Конструктор!$C$2:$C$1212,$K372))</f>
        <v/>
      </c>
      <c r="C372" s="8" t="str">
        <f>IF($K372="","",INDEX(Конструктор!$D$2:$D$1212,$K372)&amp;IF(INDEX(Конструктор!$J$2:$J$1212,$K372)&lt;&gt;""," — "&amp;INDEX(Конструктор!$J$2:$J$1212,$K372),""))</f>
        <v/>
      </c>
      <c r="D372" t="str">
        <f>IF($K372="","",INDEX(Конструктор!$E$2:$E$1212,$K372))</f>
        <v/>
      </c>
      <c r="E372" s="10" t="str">
        <f>IF($K372="","",INDEX(Конструктор!$H$2:$H$1212,$K372))</f>
        <v/>
      </c>
      <c r="F372" s="10" t="str">
        <f>IF($K372="","",INDEX(Конструктор!$L$2:$L$1212,$K372))</f>
        <v/>
      </c>
      <c r="G372" s="10" t="str">
        <f>IF($K372="","",INDEX(Конструктор!$M$2:$M$1212,$K372))</f>
        <v/>
      </c>
      <c r="H372" s="10" t="str">
        <f>IF($K372="","",INDEX(Конструктор!$N$2:$N$1212,$K372))</f>
        <v/>
      </c>
      <c r="I372" s="10" t="str">
        <f>IF($K372="","",INDEX(Конструктор!$O$2:$O$1212,$K372))</f>
        <v/>
      </c>
      <c r="J372" s="10" t="str">
        <f>IF($K372="","",INDEX(Конструктор!$P$2:$P$1212,$K372))</f>
        <v/>
      </c>
      <c r="K372" t="str">
        <f>IFERROR(MATCH(352,Конструктор!$T$2:$T$1212,0),"")</f>
        <v/>
      </c>
      <c r="L372" t="str">
        <f t="shared" si="5"/>
        <v/>
      </c>
    </row>
    <row r="373" spans="1:12" hidden="1" x14ac:dyDescent="0.3">
      <c r="A373" t="str">
        <f>IF($K373="","",353)</f>
        <v/>
      </c>
      <c r="B373" t="str">
        <f>IF($K373="","",INDEX(Конструктор!$C$2:$C$1212,$K373))</f>
        <v/>
      </c>
      <c r="C373" s="8" t="str">
        <f>IF($K373="","",INDEX(Конструктор!$D$2:$D$1212,$K373)&amp;IF(INDEX(Конструктор!$J$2:$J$1212,$K373)&lt;&gt;""," — "&amp;INDEX(Конструктор!$J$2:$J$1212,$K373),""))</f>
        <v/>
      </c>
      <c r="D373" t="str">
        <f>IF($K373="","",INDEX(Конструктор!$E$2:$E$1212,$K373))</f>
        <v/>
      </c>
      <c r="E373" s="10" t="str">
        <f>IF($K373="","",INDEX(Конструктор!$H$2:$H$1212,$K373))</f>
        <v/>
      </c>
      <c r="F373" s="10" t="str">
        <f>IF($K373="","",INDEX(Конструктор!$L$2:$L$1212,$K373))</f>
        <v/>
      </c>
      <c r="G373" s="10" t="str">
        <f>IF($K373="","",INDEX(Конструктор!$M$2:$M$1212,$K373))</f>
        <v/>
      </c>
      <c r="H373" s="10" t="str">
        <f>IF($K373="","",INDEX(Конструктор!$N$2:$N$1212,$K373))</f>
        <v/>
      </c>
      <c r="I373" s="10" t="str">
        <f>IF($K373="","",INDEX(Конструктор!$O$2:$O$1212,$K373))</f>
        <v/>
      </c>
      <c r="J373" s="10" t="str">
        <f>IF($K373="","",INDEX(Конструктор!$P$2:$P$1212,$K373))</f>
        <v/>
      </c>
      <c r="K373" t="str">
        <f>IFERROR(MATCH(353,Конструктор!$T$2:$T$1212,0),"")</f>
        <v/>
      </c>
      <c r="L373" t="str">
        <f t="shared" si="5"/>
        <v/>
      </c>
    </row>
    <row r="374" spans="1:12" hidden="1" x14ac:dyDescent="0.3">
      <c r="A374" t="str">
        <f>IF($K374="","",354)</f>
        <v/>
      </c>
      <c r="B374" t="str">
        <f>IF($K374="","",INDEX(Конструктор!$C$2:$C$1212,$K374))</f>
        <v/>
      </c>
      <c r="C374" s="8" t="str">
        <f>IF($K374="","",INDEX(Конструктор!$D$2:$D$1212,$K374)&amp;IF(INDEX(Конструктор!$J$2:$J$1212,$K374)&lt;&gt;""," — "&amp;INDEX(Конструктор!$J$2:$J$1212,$K374),""))</f>
        <v/>
      </c>
      <c r="D374" t="str">
        <f>IF($K374="","",INDEX(Конструктор!$E$2:$E$1212,$K374))</f>
        <v/>
      </c>
      <c r="E374" s="10" t="str">
        <f>IF($K374="","",INDEX(Конструктор!$H$2:$H$1212,$K374))</f>
        <v/>
      </c>
      <c r="F374" s="10" t="str">
        <f>IF($K374="","",INDEX(Конструктор!$L$2:$L$1212,$K374))</f>
        <v/>
      </c>
      <c r="G374" s="10" t="str">
        <f>IF($K374="","",INDEX(Конструктор!$M$2:$M$1212,$K374))</f>
        <v/>
      </c>
      <c r="H374" s="10" t="str">
        <f>IF($K374="","",INDEX(Конструктор!$N$2:$N$1212,$K374))</f>
        <v/>
      </c>
      <c r="I374" s="10" t="str">
        <f>IF($K374="","",INDEX(Конструктор!$O$2:$O$1212,$K374))</f>
        <v/>
      </c>
      <c r="J374" s="10" t="str">
        <f>IF($K374="","",INDEX(Конструктор!$P$2:$P$1212,$K374))</f>
        <v/>
      </c>
      <c r="K374" t="str">
        <f>IFERROR(MATCH(354,Конструктор!$T$2:$T$1212,0),"")</f>
        <v/>
      </c>
      <c r="L374" t="str">
        <f t="shared" si="5"/>
        <v/>
      </c>
    </row>
    <row r="375" spans="1:12" hidden="1" x14ac:dyDescent="0.3">
      <c r="A375" t="str">
        <f>IF($K375="","",355)</f>
        <v/>
      </c>
      <c r="B375" t="str">
        <f>IF($K375="","",INDEX(Конструктор!$C$2:$C$1212,$K375))</f>
        <v/>
      </c>
      <c r="C375" s="8" t="str">
        <f>IF($K375="","",INDEX(Конструктор!$D$2:$D$1212,$K375)&amp;IF(INDEX(Конструктор!$J$2:$J$1212,$K375)&lt;&gt;""," — "&amp;INDEX(Конструктор!$J$2:$J$1212,$K375),""))</f>
        <v/>
      </c>
      <c r="D375" t="str">
        <f>IF($K375="","",INDEX(Конструктор!$E$2:$E$1212,$K375))</f>
        <v/>
      </c>
      <c r="E375" s="10" t="str">
        <f>IF($K375="","",INDEX(Конструктор!$H$2:$H$1212,$K375))</f>
        <v/>
      </c>
      <c r="F375" s="10" t="str">
        <f>IF($K375="","",INDEX(Конструктор!$L$2:$L$1212,$K375))</f>
        <v/>
      </c>
      <c r="G375" s="10" t="str">
        <f>IF($K375="","",INDEX(Конструктор!$M$2:$M$1212,$K375))</f>
        <v/>
      </c>
      <c r="H375" s="10" t="str">
        <f>IF($K375="","",INDEX(Конструктор!$N$2:$N$1212,$K375))</f>
        <v/>
      </c>
      <c r="I375" s="10" t="str">
        <f>IF($K375="","",INDEX(Конструктор!$O$2:$O$1212,$K375))</f>
        <v/>
      </c>
      <c r="J375" s="10" t="str">
        <f>IF($K375="","",INDEX(Конструктор!$P$2:$P$1212,$K375))</f>
        <v/>
      </c>
      <c r="K375" t="str">
        <f>IFERROR(MATCH(355,Конструктор!$T$2:$T$1212,0),"")</f>
        <v/>
      </c>
      <c r="L375" t="str">
        <f t="shared" si="5"/>
        <v/>
      </c>
    </row>
    <row r="376" spans="1:12" hidden="1" x14ac:dyDescent="0.3">
      <c r="A376" t="str">
        <f>IF($K376="","",356)</f>
        <v/>
      </c>
      <c r="B376" t="str">
        <f>IF($K376="","",INDEX(Конструктор!$C$2:$C$1212,$K376))</f>
        <v/>
      </c>
      <c r="C376" s="8" t="str">
        <f>IF($K376="","",INDEX(Конструктор!$D$2:$D$1212,$K376)&amp;IF(INDEX(Конструктор!$J$2:$J$1212,$K376)&lt;&gt;""," — "&amp;INDEX(Конструктор!$J$2:$J$1212,$K376),""))</f>
        <v/>
      </c>
      <c r="D376" t="str">
        <f>IF($K376="","",INDEX(Конструктор!$E$2:$E$1212,$K376))</f>
        <v/>
      </c>
      <c r="E376" s="10" t="str">
        <f>IF($K376="","",INDEX(Конструктор!$H$2:$H$1212,$K376))</f>
        <v/>
      </c>
      <c r="F376" s="10" t="str">
        <f>IF($K376="","",INDEX(Конструктор!$L$2:$L$1212,$K376))</f>
        <v/>
      </c>
      <c r="G376" s="10" t="str">
        <f>IF($K376="","",INDEX(Конструктор!$M$2:$M$1212,$K376))</f>
        <v/>
      </c>
      <c r="H376" s="10" t="str">
        <f>IF($K376="","",INDEX(Конструктор!$N$2:$N$1212,$K376))</f>
        <v/>
      </c>
      <c r="I376" s="10" t="str">
        <f>IF($K376="","",INDEX(Конструктор!$O$2:$O$1212,$K376))</f>
        <v/>
      </c>
      <c r="J376" s="10" t="str">
        <f>IF($K376="","",INDEX(Конструктор!$P$2:$P$1212,$K376))</f>
        <v/>
      </c>
      <c r="K376" t="str">
        <f>IFERROR(MATCH(356,Конструктор!$T$2:$T$1212,0),"")</f>
        <v/>
      </c>
      <c r="L376" t="str">
        <f t="shared" si="5"/>
        <v/>
      </c>
    </row>
    <row r="377" spans="1:12" hidden="1" x14ac:dyDescent="0.3">
      <c r="A377" t="str">
        <f>IF($K377="","",357)</f>
        <v/>
      </c>
      <c r="B377" t="str">
        <f>IF($K377="","",INDEX(Конструктор!$C$2:$C$1212,$K377))</f>
        <v/>
      </c>
      <c r="C377" s="8" t="str">
        <f>IF($K377="","",INDEX(Конструктор!$D$2:$D$1212,$K377)&amp;IF(INDEX(Конструктор!$J$2:$J$1212,$K377)&lt;&gt;""," — "&amp;INDEX(Конструктор!$J$2:$J$1212,$K377),""))</f>
        <v/>
      </c>
      <c r="D377" t="str">
        <f>IF($K377="","",INDEX(Конструктор!$E$2:$E$1212,$K377))</f>
        <v/>
      </c>
      <c r="E377" s="10" t="str">
        <f>IF($K377="","",INDEX(Конструктор!$H$2:$H$1212,$K377))</f>
        <v/>
      </c>
      <c r="F377" s="10" t="str">
        <f>IF($K377="","",INDEX(Конструктор!$L$2:$L$1212,$K377))</f>
        <v/>
      </c>
      <c r="G377" s="10" t="str">
        <f>IF($K377="","",INDEX(Конструктор!$M$2:$M$1212,$K377))</f>
        <v/>
      </c>
      <c r="H377" s="10" t="str">
        <f>IF($K377="","",INDEX(Конструктор!$N$2:$N$1212,$K377))</f>
        <v/>
      </c>
      <c r="I377" s="10" t="str">
        <f>IF($K377="","",INDEX(Конструктор!$O$2:$O$1212,$K377))</f>
        <v/>
      </c>
      <c r="J377" s="10" t="str">
        <f>IF($K377="","",INDEX(Конструктор!$P$2:$P$1212,$K377))</f>
        <v/>
      </c>
      <c r="K377" t="str">
        <f>IFERROR(MATCH(357,Конструктор!$T$2:$T$1212,0),"")</f>
        <v/>
      </c>
      <c r="L377" t="str">
        <f t="shared" si="5"/>
        <v/>
      </c>
    </row>
    <row r="378" spans="1:12" hidden="1" x14ac:dyDescent="0.3">
      <c r="A378" t="str">
        <f>IF($K378="","",358)</f>
        <v/>
      </c>
      <c r="B378" t="str">
        <f>IF($K378="","",INDEX(Конструктор!$C$2:$C$1212,$K378))</f>
        <v/>
      </c>
      <c r="C378" s="8" t="str">
        <f>IF($K378="","",INDEX(Конструктор!$D$2:$D$1212,$K378)&amp;IF(INDEX(Конструктор!$J$2:$J$1212,$K378)&lt;&gt;""," — "&amp;INDEX(Конструктор!$J$2:$J$1212,$K378),""))</f>
        <v/>
      </c>
      <c r="D378" t="str">
        <f>IF($K378="","",INDEX(Конструктор!$E$2:$E$1212,$K378))</f>
        <v/>
      </c>
      <c r="E378" s="10" t="str">
        <f>IF($K378="","",INDEX(Конструктор!$H$2:$H$1212,$K378))</f>
        <v/>
      </c>
      <c r="F378" s="10" t="str">
        <f>IF($K378="","",INDEX(Конструктор!$L$2:$L$1212,$K378))</f>
        <v/>
      </c>
      <c r="G378" s="10" t="str">
        <f>IF($K378="","",INDEX(Конструктор!$M$2:$M$1212,$K378))</f>
        <v/>
      </c>
      <c r="H378" s="10" t="str">
        <f>IF($K378="","",INDEX(Конструктор!$N$2:$N$1212,$K378))</f>
        <v/>
      </c>
      <c r="I378" s="10" t="str">
        <f>IF($K378="","",INDEX(Конструктор!$O$2:$O$1212,$K378))</f>
        <v/>
      </c>
      <c r="J378" s="10" t="str">
        <f>IF($K378="","",INDEX(Конструктор!$P$2:$P$1212,$K378))</f>
        <v/>
      </c>
      <c r="K378" t="str">
        <f>IFERROR(MATCH(358,Конструктор!$T$2:$T$1212,0),"")</f>
        <v/>
      </c>
      <c r="L378" t="str">
        <f t="shared" si="5"/>
        <v/>
      </c>
    </row>
    <row r="379" spans="1:12" hidden="1" x14ac:dyDescent="0.3">
      <c r="A379" t="str">
        <f>IF($K379="","",359)</f>
        <v/>
      </c>
      <c r="B379" t="str">
        <f>IF($K379="","",INDEX(Конструктор!$C$2:$C$1212,$K379))</f>
        <v/>
      </c>
      <c r="C379" s="8" t="str">
        <f>IF($K379="","",INDEX(Конструктор!$D$2:$D$1212,$K379)&amp;IF(INDEX(Конструктор!$J$2:$J$1212,$K379)&lt;&gt;""," — "&amp;INDEX(Конструктор!$J$2:$J$1212,$K379),""))</f>
        <v/>
      </c>
      <c r="D379" t="str">
        <f>IF($K379="","",INDEX(Конструктор!$E$2:$E$1212,$K379))</f>
        <v/>
      </c>
      <c r="E379" s="10" t="str">
        <f>IF($K379="","",INDEX(Конструктор!$H$2:$H$1212,$K379))</f>
        <v/>
      </c>
      <c r="F379" s="10" t="str">
        <f>IF($K379="","",INDEX(Конструктор!$L$2:$L$1212,$K379))</f>
        <v/>
      </c>
      <c r="G379" s="10" t="str">
        <f>IF($K379="","",INDEX(Конструктор!$M$2:$M$1212,$K379))</f>
        <v/>
      </c>
      <c r="H379" s="10" t="str">
        <f>IF($K379="","",INDEX(Конструктор!$N$2:$N$1212,$K379))</f>
        <v/>
      </c>
      <c r="I379" s="10" t="str">
        <f>IF($K379="","",INDEX(Конструктор!$O$2:$O$1212,$K379))</f>
        <v/>
      </c>
      <c r="J379" s="10" t="str">
        <f>IF($K379="","",INDEX(Конструктор!$P$2:$P$1212,$K379))</f>
        <v/>
      </c>
      <c r="K379" t="str">
        <f>IFERROR(MATCH(359,Конструктор!$T$2:$T$1212,0),"")</f>
        <v/>
      </c>
      <c r="L379" t="str">
        <f t="shared" si="5"/>
        <v/>
      </c>
    </row>
    <row r="380" spans="1:12" hidden="1" x14ac:dyDescent="0.3">
      <c r="A380" t="str">
        <f>IF($K380="","",360)</f>
        <v/>
      </c>
      <c r="B380" t="str">
        <f>IF($K380="","",INDEX(Конструктор!$C$2:$C$1212,$K380))</f>
        <v/>
      </c>
      <c r="C380" s="8" t="str">
        <f>IF($K380="","",INDEX(Конструктор!$D$2:$D$1212,$K380)&amp;IF(INDEX(Конструктор!$J$2:$J$1212,$K380)&lt;&gt;""," — "&amp;INDEX(Конструктор!$J$2:$J$1212,$K380),""))</f>
        <v/>
      </c>
      <c r="D380" t="str">
        <f>IF($K380="","",INDEX(Конструктор!$E$2:$E$1212,$K380))</f>
        <v/>
      </c>
      <c r="E380" s="10" t="str">
        <f>IF($K380="","",INDEX(Конструктор!$H$2:$H$1212,$K380))</f>
        <v/>
      </c>
      <c r="F380" s="10" t="str">
        <f>IF($K380="","",INDEX(Конструктор!$L$2:$L$1212,$K380))</f>
        <v/>
      </c>
      <c r="G380" s="10" t="str">
        <f>IF($K380="","",INDEX(Конструктор!$M$2:$M$1212,$K380))</f>
        <v/>
      </c>
      <c r="H380" s="10" t="str">
        <f>IF($K380="","",INDEX(Конструктор!$N$2:$N$1212,$K380))</f>
        <v/>
      </c>
      <c r="I380" s="10" t="str">
        <f>IF($K380="","",INDEX(Конструктор!$O$2:$O$1212,$K380))</f>
        <v/>
      </c>
      <c r="J380" s="10" t="str">
        <f>IF($K380="","",INDEX(Конструктор!$P$2:$P$1212,$K380))</f>
        <v/>
      </c>
      <c r="K380" t="str">
        <f>IFERROR(MATCH(360,Конструктор!$T$2:$T$1212,0),"")</f>
        <v/>
      </c>
      <c r="L380" t="str">
        <f t="shared" si="5"/>
        <v/>
      </c>
    </row>
    <row r="381" spans="1:12" hidden="1" x14ac:dyDescent="0.3">
      <c r="A381" t="str">
        <f>IF($K381="","",361)</f>
        <v/>
      </c>
      <c r="B381" t="str">
        <f>IF($K381="","",INDEX(Конструктор!$C$2:$C$1212,$K381))</f>
        <v/>
      </c>
      <c r="C381" s="8" t="str">
        <f>IF($K381="","",INDEX(Конструктор!$D$2:$D$1212,$K381)&amp;IF(INDEX(Конструктор!$J$2:$J$1212,$K381)&lt;&gt;""," — "&amp;INDEX(Конструктор!$J$2:$J$1212,$K381),""))</f>
        <v/>
      </c>
      <c r="D381" t="str">
        <f>IF($K381="","",INDEX(Конструктор!$E$2:$E$1212,$K381))</f>
        <v/>
      </c>
      <c r="E381" s="10" t="str">
        <f>IF($K381="","",INDEX(Конструктор!$H$2:$H$1212,$K381))</f>
        <v/>
      </c>
      <c r="F381" s="10" t="str">
        <f>IF($K381="","",INDEX(Конструктор!$L$2:$L$1212,$K381))</f>
        <v/>
      </c>
      <c r="G381" s="10" t="str">
        <f>IF($K381="","",INDEX(Конструктор!$M$2:$M$1212,$K381))</f>
        <v/>
      </c>
      <c r="H381" s="10" t="str">
        <f>IF($K381="","",INDEX(Конструктор!$N$2:$N$1212,$K381))</f>
        <v/>
      </c>
      <c r="I381" s="10" t="str">
        <f>IF($K381="","",INDEX(Конструктор!$O$2:$O$1212,$K381))</f>
        <v/>
      </c>
      <c r="J381" s="10" t="str">
        <f>IF($K381="","",INDEX(Конструктор!$P$2:$P$1212,$K381))</f>
        <v/>
      </c>
      <c r="K381" t="str">
        <f>IFERROR(MATCH(361,Конструктор!$T$2:$T$1212,0),"")</f>
        <v/>
      </c>
      <c r="L381" t="str">
        <f t="shared" si="5"/>
        <v/>
      </c>
    </row>
    <row r="382" spans="1:12" hidden="1" x14ac:dyDescent="0.3">
      <c r="A382" t="str">
        <f>IF($K382="","",362)</f>
        <v/>
      </c>
      <c r="B382" t="str">
        <f>IF($K382="","",INDEX(Конструктор!$C$2:$C$1212,$K382))</f>
        <v/>
      </c>
      <c r="C382" s="8" t="str">
        <f>IF($K382="","",INDEX(Конструктор!$D$2:$D$1212,$K382)&amp;IF(INDEX(Конструктор!$J$2:$J$1212,$K382)&lt;&gt;""," — "&amp;INDEX(Конструктор!$J$2:$J$1212,$K382),""))</f>
        <v/>
      </c>
      <c r="D382" t="str">
        <f>IF($K382="","",INDEX(Конструктор!$E$2:$E$1212,$K382))</f>
        <v/>
      </c>
      <c r="E382" s="10" t="str">
        <f>IF($K382="","",INDEX(Конструктор!$H$2:$H$1212,$K382))</f>
        <v/>
      </c>
      <c r="F382" s="10" t="str">
        <f>IF($K382="","",INDEX(Конструктор!$L$2:$L$1212,$K382))</f>
        <v/>
      </c>
      <c r="G382" s="10" t="str">
        <f>IF($K382="","",INDEX(Конструктор!$M$2:$M$1212,$K382))</f>
        <v/>
      </c>
      <c r="H382" s="10" t="str">
        <f>IF($K382="","",INDEX(Конструктор!$N$2:$N$1212,$K382))</f>
        <v/>
      </c>
      <c r="I382" s="10" t="str">
        <f>IF($K382="","",INDEX(Конструктор!$O$2:$O$1212,$K382))</f>
        <v/>
      </c>
      <c r="J382" s="10" t="str">
        <f>IF($K382="","",INDEX(Конструктор!$P$2:$P$1212,$K382))</f>
        <v/>
      </c>
      <c r="K382" t="str">
        <f>IFERROR(MATCH(362,Конструктор!$T$2:$T$1212,0),"")</f>
        <v/>
      </c>
      <c r="L382" t="str">
        <f t="shared" si="5"/>
        <v/>
      </c>
    </row>
    <row r="383" spans="1:12" hidden="1" x14ac:dyDescent="0.3">
      <c r="A383" t="str">
        <f>IF($K383="","",363)</f>
        <v/>
      </c>
      <c r="B383" t="str">
        <f>IF($K383="","",INDEX(Конструктор!$C$2:$C$1212,$K383))</f>
        <v/>
      </c>
      <c r="C383" s="8" t="str">
        <f>IF($K383="","",INDEX(Конструктор!$D$2:$D$1212,$K383)&amp;IF(INDEX(Конструктор!$J$2:$J$1212,$K383)&lt;&gt;""," — "&amp;INDEX(Конструктор!$J$2:$J$1212,$K383),""))</f>
        <v/>
      </c>
      <c r="D383" t="str">
        <f>IF($K383="","",INDEX(Конструктор!$E$2:$E$1212,$K383))</f>
        <v/>
      </c>
      <c r="E383" s="10" t="str">
        <f>IF($K383="","",INDEX(Конструктор!$H$2:$H$1212,$K383))</f>
        <v/>
      </c>
      <c r="F383" s="10" t="str">
        <f>IF($K383="","",INDEX(Конструктор!$L$2:$L$1212,$K383))</f>
        <v/>
      </c>
      <c r="G383" s="10" t="str">
        <f>IF($K383="","",INDEX(Конструктор!$M$2:$M$1212,$K383))</f>
        <v/>
      </c>
      <c r="H383" s="10" t="str">
        <f>IF($K383="","",INDEX(Конструктор!$N$2:$N$1212,$K383))</f>
        <v/>
      </c>
      <c r="I383" s="10" t="str">
        <f>IF($K383="","",INDEX(Конструктор!$O$2:$O$1212,$K383))</f>
        <v/>
      </c>
      <c r="J383" s="10" t="str">
        <f>IF($K383="","",INDEX(Конструктор!$P$2:$P$1212,$K383))</f>
        <v/>
      </c>
      <c r="K383" t="str">
        <f>IFERROR(MATCH(363,Конструктор!$T$2:$T$1212,0),"")</f>
        <v/>
      </c>
      <c r="L383" t="str">
        <f t="shared" si="5"/>
        <v/>
      </c>
    </row>
    <row r="384" spans="1:12" hidden="1" x14ac:dyDescent="0.3">
      <c r="A384" t="str">
        <f>IF($K384="","",364)</f>
        <v/>
      </c>
      <c r="B384" t="str">
        <f>IF($K384="","",INDEX(Конструктор!$C$2:$C$1212,$K384))</f>
        <v/>
      </c>
      <c r="C384" s="8" t="str">
        <f>IF($K384="","",INDEX(Конструктор!$D$2:$D$1212,$K384)&amp;IF(INDEX(Конструктор!$J$2:$J$1212,$K384)&lt;&gt;""," — "&amp;INDEX(Конструктор!$J$2:$J$1212,$K384),""))</f>
        <v/>
      </c>
      <c r="D384" t="str">
        <f>IF($K384="","",INDEX(Конструктор!$E$2:$E$1212,$K384))</f>
        <v/>
      </c>
      <c r="E384" s="10" t="str">
        <f>IF($K384="","",INDEX(Конструктор!$H$2:$H$1212,$K384))</f>
        <v/>
      </c>
      <c r="F384" s="10" t="str">
        <f>IF($K384="","",INDEX(Конструктор!$L$2:$L$1212,$K384))</f>
        <v/>
      </c>
      <c r="G384" s="10" t="str">
        <f>IF($K384="","",INDEX(Конструктор!$M$2:$M$1212,$K384))</f>
        <v/>
      </c>
      <c r="H384" s="10" t="str">
        <f>IF($K384="","",INDEX(Конструктор!$N$2:$N$1212,$K384))</f>
        <v/>
      </c>
      <c r="I384" s="10" t="str">
        <f>IF($K384="","",INDEX(Конструктор!$O$2:$O$1212,$K384))</f>
        <v/>
      </c>
      <c r="J384" s="10" t="str">
        <f>IF($K384="","",INDEX(Конструктор!$P$2:$P$1212,$K384))</f>
        <v/>
      </c>
      <c r="K384" t="str">
        <f>IFERROR(MATCH(364,Конструктор!$T$2:$T$1212,0),"")</f>
        <v/>
      </c>
      <c r="L384" t="str">
        <f t="shared" si="5"/>
        <v/>
      </c>
    </row>
    <row r="385" spans="1:12" hidden="1" x14ac:dyDescent="0.3">
      <c r="A385" t="str">
        <f>IF($K385="","",365)</f>
        <v/>
      </c>
      <c r="B385" t="str">
        <f>IF($K385="","",INDEX(Конструктор!$C$2:$C$1212,$K385))</f>
        <v/>
      </c>
      <c r="C385" s="8" t="str">
        <f>IF($K385="","",INDEX(Конструктор!$D$2:$D$1212,$K385)&amp;IF(INDEX(Конструктор!$J$2:$J$1212,$K385)&lt;&gt;""," — "&amp;INDEX(Конструктор!$J$2:$J$1212,$K385),""))</f>
        <v/>
      </c>
      <c r="D385" t="str">
        <f>IF($K385="","",INDEX(Конструктор!$E$2:$E$1212,$K385))</f>
        <v/>
      </c>
      <c r="E385" s="10" t="str">
        <f>IF($K385="","",INDEX(Конструктор!$H$2:$H$1212,$K385))</f>
        <v/>
      </c>
      <c r="F385" s="10" t="str">
        <f>IF($K385="","",INDEX(Конструктор!$L$2:$L$1212,$K385))</f>
        <v/>
      </c>
      <c r="G385" s="10" t="str">
        <f>IF($K385="","",INDEX(Конструктор!$M$2:$M$1212,$K385))</f>
        <v/>
      </c>
      <c r="H385" s="10" t="str">
        <f>IF($K385="","",INDEX(Конструктор!$N$2:$N$1212,$K385))</f>
        <v/>
      </c>
      <c r="I385" s="10" t="str">
        <f>IF($K385="","",INDEX(Конструктор!$O$2:$O$1212,$K385))</f>
        <v/>
      </c>
      <c r="J385" s="10" t="str">
        <f>IF($K385="","",INDEX(Конструктор!$P$2:$P$1212,$K385))</f>
        <v/>
      </c>
      <c r="K385" t="str">
        <f>IFERROR(MATCH(365,Конструктор!$T$2:$T$1212,0),"")</f>
        <v/>
      </c>
      <c r="L385" t="str">
        <f t="shared" si="5"/>
        <v/>
      </c>
    </row>
    <row r="386" spans="1:12" hidden="1" x14ac:dyDescent="0.3">
      <c r="A386" t="str">
        <f>IF($K386="","",366)</f>
        <v/>
      </c>
      <c r="B386" t="str">
        <f>IF($K386="","",INDEX(Конструктор!$C$2:$C$1212,$K386))</f>
        <v/>
      </c>
      <c r="C386" s="8" t="str">
        <f>IF($K386="","",INDEX(Конструктор!$D$2:$D$1212,$K386)&amp;IF(INDEX(Конструктор!$J$2:$J$1212,$K386)&lt;&gt;""," — "&amp;INDEX(Конструктор!$J$2:$J$1212,$K386),""))</f>
        <v/>
      </c>
      <c r="D386" t="str">
        <f>IF($K386="","",INDEX(Конструктор!$E$2:$E$1212,$K386))</f>
        <v/>
      </c>
      <c r="E386" s="10" t="str">
        <f>IF($K386="","",INDEX(Конструктор!$H$2:$H$1212,$K386))</f>
        <v/>
      </c>
      <c r="F386" s="10" t="str">
        <f>IF($K386="","",INDEX(Конструктор!$L$2:$L$1212,$K386))</f>
        <v/>
      </c>
      <c r="G386" s="10" t="str">
        <f>IF($K386="","",INDEX(Конструктор!$M$2:$M$1212,$K386))</f>
        <v/>
      </c>
      <c r="H386" s="10" t="str">
        <f>IF($K386="","",INDEX(Конструктор!$N$2:$N$1212,$K386))</f>
        <v/>
      </c>
      <c r="I386" s="10" t="str">
        <f>IF($K386="","",INDEX(Конструктор!$O$2:$O$1212,$K386))</f>
        <v/>
      </c>
      <c r="J386" s="10" t="str">
        <f>IF($K386="","",INDEX(Конструктор!$P$2:$P$1212,$K386))</f>
        <v/>
      </c>
      <c r="K386" t="str">
        <f>IFERROR(MATCH(366,Конструктор!$T$2:$T$1212,0),"")</f>
        <v/>
      </c>
      <c r="L386" t="str">
        <f t="shared" si="5"/>
        <v/>
      </c>
    </row>
    <row r="387" spans="1:12" hidden="1" x14ac:dyDescent="0.3">
      <c r="A387" t="str">
        <f>IF($K387="","",367)</f>
        <v/>
      </c>
      <c r="B387" t="str">
        <f>IF($K387="","",INDEX(Конструктор!$C$2:$C$1212,$K387))</f>
        <v/>
      </c>
      <c r="C387" s="8" t="str">
        <f>IF($K387="","",INDEX(Конструктор!$D$2:$D$1212,$K387)&amp;IF(INDEX(Конструктор!$J$2:$J$1212,$K387)&lt;&gt;""," — "&amp;INDEX(Конструктор!$J$2:$J$1212,$K387),""))</f>
        <v/>
      </c>
      <c r="D387" t="str">
        <f>IF($K387="","",INDEX(Конструктор!$E$2:$E$1212,$K387))</f>
        <v/>
      </c>
      <c r="E387" s="10" t="str">
        <f>IF($K387="","",INDEX(Конструктор!$H$2:$H$1212,$K387))</f>
        <v/>
      </c>
      <c r="F387" s="10" t="str">
        <f>IF($K387="","",INDEX(Конструктор!$L$2:$L$1212,$K387))</f>
        <v/>
      </c>
      <c r="G387" s="10" t="str">
        <f>IF($K387="","",INDEX(Конструктор!$M$2:$M$1212,$K387))</f>
        <v/>
      </c>
      <c r="H387" s="10" t="str">
        <f>IF($K387="","",INDEX(Конструктор!$N$2:$N$1212,$K387))</f>
        <v/>
      </c>
      <c r="I387" s="10" t="str">
        <f>IF($K387="","",INDEX(Конструктор!$O$2:$O$1212,$K387))</f>
        <v/>
      </c>
      <c r="J387" s="10" t="str">
        <f>IF($K387="","",INDEX(Конструктор!$P$2:$P$1212,$K387))</f>
        <v/>
      </c>
      <c r="K387" t="str">
        <f>IFERROR(MATCH(367,Конструктор!$T$2:$T$1212,0),"")</f>
        <v/>
      </c>
      <c r="L387" t="str">
        <f t="shared" si="5"/>
        <v/>
      </c>
    </row>
    <row r="388" spans="1:12" hidden="1" x14ac:dyDescent="0.3">
      <c r="A388" t="str">
        <f>IF($K388="","",368)</f>
        <v/>
      </c>
      <c r="B388" t="str">
        <f>IF($K388="","",INDEX(Конструктор!$C$2:$C$1212,$K388))</f>
        <v/>
      </c>
      <c r="C388" s="8" t="str">
        <f>IF($K388="","",INDEX(Конструктор!$D$2:$D$1212,$K388)&amp;IF(INDEX(Конструктор!$J$2:$J$1212,$K388)&lt;&gt;""," — "&amp;INDEX(Конструктор!$J$2:$J$1212,$K388),""))</f>
        <v/>
      </c>
      <c r="D388" t="str">
        <f>IF($K388="","",INDEX(Конструктор!$E$2:$E$1212,$K388))</f>
        <v/>
      </c>
      <c r="E388" s="10" t="str">
        <f>IF($K388="","",INDEX(Конструктор!$H$2:$H$1212,$K388))</f>
        <v/>
      </c>
      <c r="F388" s="10" t="str">
        <f>IF($K388="","",INDEX(Конструктор!$L$2:$L$1212,$K388))</f>
        <v/>
      </c>
      <c r="G388" s="10" t="str">
        <f>IF($K388="","",INDEX(Конструктор!$M$2:$M$1212,$K388))</f>
        <v/>
      </c>
      <c r="H388" s="10" t="str">
        <f>IF($K388="","",INDEX(Конструктор!$N$2:$N$1212,$K388))</f>
        <v/>
      </c>
      <c r="I388" s="10" t="str">
        <f>IF($K388="","",INDEX(Конструктор!$O$2:$O$1212,$K388))</f>
        <v/>
      </c>
      <c r="J388" s="10" t="str">
        <f>IF($K388="","",INDEX(Конструктор!$P$2:$P$1212,$K388))</f>
        <v/>
      </c>
      <c r="K388" t="str">
        <f>IFERROR(MATCH(368,Конструктор!$T$2:$T$1212,0),"")</f>
        <v/>
      </c>
      <c r="L388" t="str">
        <f t="shared" si="5"/>
        <v/>
      </c>
    </row>
    <row r="389" spans="1:12" hidden="1" x14ac:dyDescent="0.3">
      <c r="A389" t="str">
        <f>IF($K389="","",369)</f>
        <v/>
      </c>
      <c r="B389" t="str">
        <f>IF($K389="","",INDEX(Конструктор!$C$2:$C$1212,$K389))</f>
        <v/>
      </c>
      <c r="C389" s="8" t="str">
        <f>IF($K389="","",INDEX(Конструктор!$D$2:$D$1212,$K389)&amp;IF(INDEX(Конструктор!$J$2:$J$1212,$K389)&lt;&gt;""," — "&amp;INDEX(Конструктор!$J$2:$J$1212,$K389),""))</f>
        <v/>
      </c>
      <c r="D389" t="str">
        <f>IF($K389="","",INDEX(Конструктор!$E$2:$E$1212,$K389))</f>
        <v/>
      </c>
      <c r="E389" s="10" t="str">
        <f>IF($K389="","",INDEX(Конструктор!$H$2:$H$1212,$K389))</f>
        <v/>
      </c>
      <c r="F389" s="10" t="str">
        <f>IF($K389="","",INDEX(Конструктор!$L$2:$L$1212,$K389))</f>
        <v/>
      </c>
      <c r="G389" s="10" t="str">
        <f>IF($K389="","",INDEX(Конструктор!$M$2:$M$1212,$K389))</f>
        <v/>
      </c>
      <c r="H389" s="10" t="str">
        <f>IF($K389="","",INDEX(Конструктор!$N$2:$N$1212,$K389))</f>
        <v/>
      </c>
      <c r="I389" s="10" t="str">
        <f>IF($K389="","",INDEX(Конструктор!$O$2:$O$1212,$K389))</f>
        <v/>
      </c>
      <c r="J389" s="10" t="str">
        <f>IF($K389="","",INDEX(Конструктор!$P$2:$P$1212,$K389))</f>
        <v/>
      </c>
      <c r="K389" t="str">
        <f>IFERROR(MATCH(369,Конструктор!$T$2:$T$1212,0),"")</f>
        <v/>
      </c>
      <c r="L389" t="str">
        <f t="shared" si="5"/>
        <v/>
      </c>
    </row>
    <row r="390" spans="1:12" hidden="1" x14ac:dyDescent="0.3">
      <c r="A390" t="str">
        <f>IF($K390="","",370)</f>
        <v/>
      </c>
      <c r="B390" t="str">
        <f>IF($K390="","",INDEX(Конструктор!$C$2:$C$1212,$K390))</f>
        <v/>
      </c>
      <c r="C390" s="8" t="str">
        <f>IF($K390="","",INDEX(Конструктор!$D$2:$D$1212,$K390)&amp;IF(INDEX(Конструктор!$J$2:$J$1212,$K390)&lt;&gt;""," — "&amp;INDEX(Конструктор!$J$2:$J$1212,$K390),""))</f>
        <v/>
      </c>
      <c r="D390" t="str">
        <f>IF($K390="","",INDEX(Конструктор!$E$2:$E$1212,$K390))</f>
        <v/>
      </c>
      <c r="E390" s="10" t="str">
        <f>IF($K390="","",INDEX(Конструктор!$H$2:$H$1212,$K390))</f>
        <v/>
      </c>
      <c r="F390" s="10" t="str">
        <f>IF($K390="","",INDEX(Конструктор!$L$2:$L$1212,$K390))</f>
        <v/>
      </c>
      <c r="G390" s="10" t="str">
        <f>IF($K390="","",INDEX(Конструктор!$M$2:$M$1212,$K390))</f>
        <v/>
      </c>
      <c r="H390" s="10" t="str">
        <f>IF($K390="","",INDEX(Конструктор!$N$2:$N$1212,$K390))</f>
        <v/>
      </c>
      <c r="I390" s="10" t="str">
        <f>IF($K390="","",INDEX(Конструктор!$O$2:$O$1212,$K390))</f>
        <v/>
      </c>
      <c r="J390" s="10" t="str">
        <f>IF($K390="","",INDEX(Конструктор!$P$2:$P$1212,$K390))</f>
        <v/>
      </c>
      <c r="K390" t="str">
        <f>IFERROR(MATCH(370,Конструктор!$T$2:$T$1212,0),"")</f>
        <v/>
      </c>
      <c r="L390" t="str">
        <f t="shared" si="5"/>
        <v/>
      </c>
    </row>
    <row r="391" spans="1:12" hidden="1" x14ac:dyDescent="0.3">
      <c r="A391" t="str">
        <f>IF($K391="","",371)</f>
        <v/>
      </c>
      <c r="B391" t="str">
        <f>IF($K391="","",INDEX(Конструктор!$C$2:$C$1212,$K391))</f>
        <v/>
      </c>
      <c r="C391" s="8" t="str">
        <f>IF($K391="","",INDEX(Конструктор!$D$2:$D$1212,$K391)&amp;IF(INDEX(Конструктор!$J$2:$J$1212,$K391)&lt;&gt;""," — "&amp;INDEX(Конструктор!$J$2:$J$1212,$K391),""))</f>
        <v/>
      </c>
      <c r="D391" t="str">
        <f>IF($K391="","",INDEX(Конструктор!$E$2:$E$1212,$K391))</f>
        <v/>
      </c>
      <c r="E391" s="10" t="str">
        <f>IF($K391="","",INDEX(Конструктор!$H$2:$H$1212,$K391))</f>
        <v/>
      </c>
      <c r="F391" s="10" t="str">
        <f>IF($K391="","",INDEX(Конструктор!$L$2:$L$1212,$K391))</f>
        <v/>
      </c>
      <c r="G391" s="10" t="str">
        <f>IF($K391="","",INDEX(Конструктор!$M$2:$M$1212,$K391))</f>
        <v/>
      </c>
      <c r="H391" s="10" t="str">
        <f>IF($K391="","",INDEX(Конструктор!$N$2:$N$1212,$K391))</f>
        <v/>
      </c>
      <c r="I391" s="10" t="str">
        <f>IF($K391="","",INDEX(Конструктор!$O$2:$O$1212,$K391))</f>
        <v/>
      </c>
      <c r="J391" s="10" t="str">
        <f>IF($K391="","",INDEX(Конструктор!$P$2:$P$1212,$K391))</f>
        <v/>
      </c>
      <c r="K391" t="str">
        <f>IFERROR(MATCH(371,Конструктор!$T$2:$T$1212,0),"")</f>
        <v/>
      </c>
      <c r="L391" t="str">
        <f t="shared" si="5"/>
        <v/>
      </c>
    </row>
    <row r="392" spans="1:12" hidden="1" x14ac:dyDescent="0.3">
      <c r="A392" t="str">
        <f>IF($K392="","",372)</f>
        <v/>
      </c>
      <c r="B392" t="str">
        <f>IF($K392="","",INDEX(Конструктор!$C$2:$C$1212,$K392))</f>
        <v/>
      </c>
      <c r="C392" s="8" t="str">
        <f>IF($K392="","",INDEX(Конструктор!$D$2:$D$1212,$K392)&amp;IF(INDEX(Конструктор!$J$2:$J$1212,$K392)&lt;&gt;""," — "&amp;INDEX(Конструктор!$J$2:$J$1212,$K392),""))</f>
        <v/>
      </c>
      <c r="D392" t="str">
        <f>IF($K392="","",INDEX(Конструктор!$E$2:$E$1212,$K392))</f>
        <v/>
      </c>
      <c r="E392" s="10" t="str">
        <f>IF($K392="","",INDEX(Конструктор!$H$2:$H$1212,$K392))</f>
        <v/>
      </c>
      <c r="F392" s="10" t="str">
        <f>IF($K392="","",INDEX(Конструктор!$L$2:$L$1212,$K392))</f>
        <v/>
      </c>
      <c r="G392" s="10" t="str">
        <f>IF($K392="","",INDEX(Конструктор!$M$2:$M$1212,$K392))</f>
        <v/>
      </c>
      <c r="H392" s="10" t="str">
        <f>IF($K392="","",INDEX(Конструктор!$N$2:$N$1212,$K392))</f>
        <v/>
      </c>
      <c r="I392" s="10" t="str">
        <f>IF($K392="","",INDEX(Конструктор!$O$2:$O$1212,$K392))</f>
        <v/>
      </c>
      <c r="J392" s="10" t="str">
        <f>IF($K392="","",INDEX(Конструктор!$P$2:$P$1212,$K392))</f>
        <v/>
      </c>
      <c r="K392" t="str">
        <f>IFERROR(MATCH(372,Конструктор!$T$2:$T$1212,0),"")</f>
        <v/>
      </c>
      <c r="L392" t="str">
        <f t="shared" si="5"/>
        <v/>
      </c>
    </row>
    <row r="393" spans="1:12" hidden="1" x14ac:dyDescent="0.3">
      <c r="A393" t="str">
        <f>IF($K393="","",373)</f>
        <v/>
      </c>
      <c r="B393" t="str">
        <f>IF($K393="","",INDEX(Конструктор!$C$2:$C$1212,$K393))</f>
        <v/>
      </c>
      <c r="C393" s="8" t="str">
        <f>IF($K393="","",INDEX(Конструктор!$D$2:$D$1212,$K393)&amp;IF(INDEX(Конструктор!$J$2:$J$1212,$K393)&lt;&gt;""," — "&amp;INDEX(Конструктор!$J$2:$J$1212,$K393),""))</f>
        <v/>
      </c>
      <c r="D393" t="str">
        <f>IF($K393="","",INDEX(Конструктор!$E$2:$E$1212,$K393))</f>
        <v/>
      </c>
      <c r="E393" s="10" t="str">
        <f>IF($K393="","",INDEX(Конструктор!$H$2:$H$1212,$K393))</f>
        <v/>
      </c>
      <c r="F393" s="10" t="str">
        <f>IF($K393="","",INDEX(Конструктор!$L$2:$L$1212,$K393))</f>
        <v/>
      </c>
      <c r="G393" s="10" t="str">
        <f>IF($K393="","",INDEX(Конструктор!$M$2:$M$1212,$K393))</f>
        <v/>
      </c>
      <c r="H393" s="10" t="str">
        <f>IF($K393="","",INDEX(Конструктор!$N$2:$N$1212,$K393))</f>
        <v/>
      </c>
      <c r="I393" s="10" t="str">
        <f>IF($K393="","",INDEX(Конструктор!$O$2:$O$1212,$K393))</f>
        <v/>
      </c>
      <c r="J393" s="10" t="str">
        <f>IF($K393="","",INDEX(Конструктор!$P$2:$P$1212,$K393))</f>
        <v/>
      </c>
      <c r="K393" t="str">
        <f>IFERROR(MATCH(373,Конструктор!$T$2:$T$1212,0),"")</f>
        <v/>
      </c>
      <c r="L393" t="str">
        <f t="shared" si="5"/>
        <v/>
      </c>
    </row>
    <row r="394" spans="1:12" hidden="1" x14ac:dyDescent="0.3">
      <c r="A394" t="str">
        <f>IF($K394="","",374)</f>
        <v/>
      </c>
      <c r="B394" t="str">
        <f>IF($K394="","",INDEX(Конструктор!$C$2:$C$1212,$K394))</f>
        <v/>
      </c>
      <c r="C394" s="8" t="str">
        <f>IF($K394="","",INDEX(Конструктор!$D$2:$D$1212,$K394)&amp;IF(INDEX(Конструктор!$J$2:$J$1212,$K394)&lt;&gt;""," — "&amp;INDEX(Конструктор!$J$2:$J$1212,$K394),""))</f>
        <v/>
      </c>
      <c r="D394" t="str">
        <f>IF($K394="","",INDEX(Конструктор!$E$2:$E$1212,$K394))</f>
        <v/>
      </c>
      <c r="E394" s="10" t="str">
        <f>IF($K394="","",INDEX(Конструктор!$H$2:$H$1212,$K394))</f>
        <v/>
      </c>
      <c r="F394" s="10" t="str">
        <f>IF($K394="","",INDEX(Конструктор!$L$2:$L$1212,$K394))</f>
        <v/>
      </c>
      <c r="G394" s="10" t="str">
        <f>IF($K394="","",INDEX(Конструктор!$M$2:$M$1212,$K394))</f>
        <v/>
      </c>
      <c r="H394" s="10" t="str">
        <f>IF($K394="","",INDEX(Конструктор!$N$2:$N$1212,$K394))</f>
        <v/>
      </c>
      <c r="I394" s="10" t="str">
        <f>IF($K394="","",INDEX(Конструктор!$O$2:$O$1212,$K394))</f>
        <v/>
      </c>
      <c r="J394" s="10" t="str">
        <f>IF($K394="","",INDEX(Конструктор!$P$2:$P$1212,$K394))</f>
        <v/>
      </c>
      <c r="K394" t="str">
        <f>IFERROR(MATCH(374,Конструктор!$T$2:$T$1212,0),"")</f>
        <v/>
      </c>
      <c r="L394" t="str">
        <f t="shared" si="5"/>
        <v/>
      </c>
    </row>
    <row r="395" spans="1:12" hidden="1" x14ac:dyDescent="0.3">
      <c r="A395" t="str">
        <f>IF($K395="","",375)</f>
        <v/>
      </c>
      <c r="B395" t="str">
        <f>IF($K395="","",INDEX(Конструктор!$C$2:$C$1212,$K395))</f>
        <v/>
      </c>
      <c r="C395" s="8" t="str">
        <f>IF($K395="","",INDEX(Конструктор!$D$2:$D$1212,$K395)&amp;IF(INDEX(Конструктор!$J$2:$J$1212,$K395)&lt;&gt;""," — "&amp;INDEX(Конструктор!$J$2:$J$1212,$K395),""))</f>
        <v/>
      </c>
      <c r="D395" t="str">
        <f>IF($K395="","",INDEX(Конструктор!$E$2:$E$1212,$K395))</f>
        <v/>
      </c>
      <c r="E395" s="10" t="str">
        <f>IF($K395="","",INDEX(Конструктор!$H$2:$H$1212,$K395))</f>
        <v/>
      </c>
      <c r="F395" s="10" t="str">
        <f>IF($K395="","",INDEX(Конструктор!$L$2:$L$1212,$K395))</f>
        <v/>
      </c>
      <c r="G395" s="10" t="str">
        <f>IF($K395="","",INDEX(Конструктор!$M$2:$M$1212,$K395))</f>
        <v/>
      </c>
      <c r="H395" s="10" t="str">
        <f>IF($K395="","",INDEX(Конструктор!$N$2:$N$1212,$K395))</f>
        <v/>
      </c>
      <c r="I395" s="10" t="str">
        <f>IF($K395="","",INDEX(Конструктор!$O$2:$O$1212,$K395))</f>
        <v/>
      </c>
      <c r="J395" s="10" t="str">
        <f>IF($K395="","",INDEX(Конструктор!$P$2:$P$1212,$K395))</f>
        <v/>
      </c>
      <c r="K395" t="str">
        <f>IFERROR(MATCH(375,Конструктор!$T$2:$T$1212,0),"")</f>
        <v/>
      </c>
      <c r="L395" t="str">
        <f t="shared" si="5"/>
        <v/>
      </c>
    </row>
    <row r="396" spans="1:12" hidden="1" x14ac:dyDescent="0.3">
      <c r="A396" t="str">
        <f>IF($K396="","",376)</f>
        <v/>
      </c>
      <c r="B396" t="str">
        <f>IF($K396="","",INDEX(Конструктор!$C$2:$C$1212,$K396))</f>
        <v/>
      </c>
      <c r="C396" s="8" t="str">
        <f>IF($K396="","",INDEX(Конструктор!$D$2:$D$1212,$K396)&amp;IF(INDEX(Конструктор!$J$2:$J$1212,$K396)&lt;&gt;""," — "&amp;INDEX(Конструктор!$J$2:$J$1212,$K396),""))</f>
        <v/>
      </c>
      <c r="D396" t="str">
        <f>IF($K396="","",INDEX(Конструктор!$E$2:$E$1212,$K396))</f>
        <v/>
      </c>
      <c r="E396" s="10" t="str">
        <f>IF($K396="","",INDEX(Конструктор!$H$2:$H$1212,$K396))</f>
        <v/>
      </c>
      <c r="F396" s="10" t="str">
        <f>IF($K396="","",INDEX(Конструктор!$L$2:$L$1212,$K396))</f>
        <v/>
      </c>
      <c r="G396" s="10" t="str">
        <f>IF($K396="","",INDEX(Конструктор!$M$2:$M$1212,$K396))</f>
        <v/>
      </c>
      <c r="H396" s="10" t="str">
        <f>IF($K396="","",INDEX(Конструктор!$N$2:$N$1212,$K396))</f>
        <v/>
      </c>
      <c r="I396" s="10" t="str">
        <f>IF($K396="","",INDEX(Конструктор!$O$2:$O$1212,$K396))</f>
        <v/>
      </c>
      <c r="J396" s="10" t="str">
        <f>IF($K396="","",INDEX(Конструктор!$P$2:$P$1212,$K396))</f>
        <v/>
      </c>
      <c r="K396" t="str">
        <f>IFERROR(MATCH(376,Конструктор!$T$2:$T$1212,0),"")</f>
        <v/>
      </c>
      <c r="L396" t="str">
        <f t="shared" si="5"/>
        <v/>
      </c>
    </row>
    <row r="397" spans="1:12" hidden="1" x14ac:dyDescent="0.3">
      <c r="A397" t="str">
        <f>IF($K397="","",377)</f>
        <v/>
      </c>
      <c r="B397" t="str">
        <f>IF($K397="","",INDEX(Конструктор!$C$2:$C$1212,$K397))</f>
        <v/>
      </c>
      <c r="C397" s="8" t="str">
        <f>IF($K397="","",INDEX(Конструктор!$D$2:$D$1212,$K397)&amp;IF(INDEX(Конструктор!$J$2:$J$1212,$K397)&lt;&gt;""," — "&amp;INDEX(Конструктор!$J$2:$J$1212,$K397),""))</f>
        <v/>
      </c>
      <c r="D397" t="str">
        <f>IF($K397="","",INDEX(Конструктор!$E$2:$E$1212,$K397))</f>
        <v/>
      </c>
      <c r="E397" s="10" t="str">
        <f>IF($K397="","",INDEX(Конструктор!$H$2:$H$1212,$K397))</f>
        <v/>
      </c>
      <c r="F397" s="10" t="str">
        <f>IF($K397="","",INDEX(Конструктор!$L$2:$L$1212,$K397))</f>
        <v/>
      </c>
      <c r="G397" s="10" t="str">
        <f>IF($K397="","",INDEX(Конструктор!$M$2:$M$1212,$K397))</f>
        <v/>
      </c>
      <c r="H397" s="10" t="str">
        <f>IF($K397="","",INDEX(Конструктор!$N$2:$N$1212,$K397))</f>
        <v/>
      </c>
      <c r="I397" s="10" t="str">
        <f>IF($K397="","",INDEX(Конструктор!$O$2:$O$1212,$K397))</f>
        <v/>
      </c>
      <c r="J397" s="10" t="str">
        <f>IF($K397="","",INDEX(Конструктор!$P$2:$P$1212,$K397))</f>
        <v/>
      </c>
      <c r="K397" t="str">
        <f>IFERROR(MATCH(377,Конструктор!$T$2:$T$1212,0),"")</f>
        <v/>
      </c>
      <c r="L397" t="str">
        <f t="shared" si="5"/>
        <v/>
      </c>
    </row>
    <row r="398" spans="1:12" hidden="1" x14ac:dyDescent="0.3">
      <c r="A398" t="str">
        <f>IF($K398="","",378)</f>
        <v/>
      </c>
      <c r="B398" t="str">
        <f>IF($K398="","",INDEX(Конструктор!$C$2:$C$1212,$K398))</f>
        <v/>
      </c>
      <c r="C398" s="8" t="str">
        <f>IF($K398="","",INDEX(Конструктор!$D$2:$D$1212,$K398)&amp;IF(INDEX(Конструктор!$J$2:$J$1212,$K398)&lt;&gt;""," — "&amp;INDEX(Конструктор!$J$2:$J$1212,$K398),""))</f>
        <v/>
      </c>
      <c r="D398" t="str">
        <f>IF($K398="","",INDEX(Конструктор!$E$2:$E$1212,$K398))</f>
        <v/>
      </c>
      <c r="E398" s="10" t="str">
        <f>IF($K398="","",INDEX(Конструктор!$H$2:$H$1212,$K398))</f>
        <v/>
      </c>
      <c r="F398" s="10" t="str">
        <f>IF($K398="","",INDEX(Конструктор!$L$2:$L$1212,$K398))</f>
        <v/>
      </c>
      <c r="G398" s="10" t="str">
        <f>IF($K398="","",INDEX(Конструктор!$M$2:$M$1212,$K398))</f>
        <v/>
      </c>
      <c r="H398" s="10" t="str">
        <f>IF($K398="","",INDEX(Конструктор!$N$2:$N$1212,$K398))</f>
        <v/>
      </c>
      <c r="I398" s="10" t="str">
        <f>IF($K398="","",INDEX(Конструктор!$O$2:$O$1212,$K398))</f>
        <v/>
      </c>
      <c r="J398" s="10" t="str">
        <f>IF($K398="","",INDEX(Конструктор!$P$2:$P$1212,$K398))</f>
        <v/>
      </c>
      <c r="K398" t="str">
        <f>IFERROR(MATCH(378,Конструктор!$T$2:$T$1212,0),"")</f>
        <v/>
      </c>
      <c r="L398" t="str">
        <f t="shared" si="5"/>
        <v/>
      </c>
    </row>
    <row r="399" spans="1:12" hidden="1" x14ac:dyDescent="0.3">
      <c r="A399" t="str">
        <f>IF($K399="","",379)</f>
        <v/>
      </c>
      <c r="B399" t="str">
        <f>IF($K399="","",INDEX(Конструктор!$C$2:$C$1212,$K399))</f>
        <v/>
      </c>
      <c r="C399" s="8" t="str">
        <f>IF($K399="","",INDEX(Конструктор!$D$2:$D$1212,$K399)&amp;IF(INDEX(Конструктор!$J$2:$J$1212,$K399)&lt;&gt;""," — "&amp;INDEX(Конструктор!$J$2:$J$1212,$K399),""))</f>
        <v/>
      </c>
      <c r="D399" t="str">
        <f>IF($K399="","",INDEX(Конструктор!$E$2:$E$1212,$K399))</f>
        <v/>
      </c>
      <c r="E399" s="10" t="str">
        <f>IF($K399="","",INDEX(Конструктор!$H$2:$H$1212,$K399))</f>
        <v/>
      </c>
      <c r="F399" s="10" t="str">
        <f>IF($K399="","",INDEX(Конструктор!$L$2:$L$1212,$K399))</f>
        <v/>
      </c>
      <c r="G399" s="10" t="str">
        <f>IF($K399="","",INDEX(Конструктор!$M$2:$M$1212,$K399))</f>
        <v/>
      </c>
      <c r="H399" s="10" t="str">
        <f>IF($K399="","",INDEX(Конструктор!$N$2:$N$1212,$K399))</f>
        <v/>
      </c>
      <c r="I399" s="10" t="str">
        <f>IF($K399="","",INDEX(Конструктор!$O$2:$O$1212,$K399))</f>
        <v/>
      </c>
      <c r="J399" s="10" t="str">
        <f>IF($K399="","",INDEX(Конструктор!$P$2:$P$1212,$K399))</f>
        <v/>
      </c>
      <c r="K399" t="str">
        <f>IFERROR(MATCH(379,Конструктор!$T$2:$T$1212,0),"")</f>
        <v/>
      </c>
      <c r="L399" t="str">
        <f t="shared" si="5"/>
        <v/>
      </c>
    </row>
    <row r="400" spans="1:12" hidden="1" x14ac:dyDescent="0.3">
      <c r="A400" t="str">
        <f>IF($K400="","",380)</f>
        <v/>
      </c>
      <c r="B400" t="str">
        <f>IF($K400="","",INDEX(Конструктор!$C$2:$C$1212,$K400))</f>
        <v/>
      </c>
      <c r="C400" s="8" t="str">
        <f>IF($K400="","",INDEX(Конструктор!$D$2:$D$1212,$K400)&amp;IF(INDEX(Конструктор!$J$2:$J$1212,$K400)&lt;&gt;""," — "&amp;INDEX(Конструктор!$J$2:$J$1212,$K400),""))</f>
        <v/>
      </c>
      <c r="D400" t="str">
        <f>IF($K400="","",INDEX(Конструктор!$E$2:$E$1212,$K400))</f>
        <v/>
      </c>
      <c r="E400" s="10" t="str">
        <f>IF($K400="","",INDEX(Конструктор!$H$2:$H$1212,$K400))</f>
        <v/>
      </c>
      <c r="F400" s="10" t="str">
        <f>IF($K400="","",INDEX(Конструктор!$L$2:$L$1212,$K400))</f>
        <v/>
      </c>
      <c r="G400" s="10" t="str">
        <f>IF($K400="","",INDEX(Конструктор!$M$2:$M$1212,$K400))</f>
        <v/>
      </c>
      <c r="H400" s="10" t="str">
        <f>IF($K400="","",INDEX(Конструктор!$N$2:$N$1212,$K400))</f>
        <v/>
      </c>
      <c r="I400" s="10" t="str">
        <f>IF($K400="","",INDEX(Конструктор!$O$2:$O$1212,$K400))</f>
        <v/>
      </c>
      <c r="J400" s="10" t="str">
        <f>IF($K400="","",INDEX(Конструктор!$P$2:$P$1212,$K400))</f>
        <v/>
      </c>
      <c r="K400" t="str">
        <f>IFERROR(MATCH(380,Конструктор!$T$2:$T$1212,0),"")</f>
        <v/>
      </c>
      <c r="L400" t="str">
        <f t="shared" si="5"/>
        <v/>
      </c>
    </row>
    <row r="401" spans="1:12" hidden="1" x14ac:dyDescent="0.3">
      <c r="A401" t="str">
        <f>IF($K401="","",381)</f>
        <v/>
      </c>
      <c r="B401" t="str">
        <f>IF($K401="","",INDEX(Конструктор!$C$2:$C$1212,$K401))</f>
        <v/>
      </c>
      <c r="C401" s="8" t="str">
        <f>IF($K401="","",INDEX(Конструктор!$D$2:$D$1212,$K401)&amp;IF(INDEX(Конструктор!$J$2:$J$1212,$K401)&lt;&gt;""," — "&amp;INDEX(Конструктор!$J$2:$J$1212,$K401),""))</f>
        <v/>
      </c>
      <c r="D401" t="str">
        <f>IF($K401="","",INDEX(Конструктор!$E$2:$E$1212,$K401))</f>
        <v/>
      </c>
      <c r="E401" s="10" t="str">
        <f>IF($K401="","",INDEX(Конструктор!$H$2:$H$1212,$K401))</f>
        <v/>
      </c>
      <c r="F401" s="10" t="str">
        <f>IF($K401="","",INDEX(Конструктор!$L$2:$L$1212,$K401))</f>
        <v/>
      </c>
      <c r="G401" s="10" t="str">
        <f>IF($K401="","",INDEX(Конструктор!$M$2:$M$1212,$K401))</f>
        <v/>
      </c>
      <c r="H401" s="10" t="str">
        <f>IF($K401="","",INDEX(Конструктор!$N$2:$N$1212,$K401))</f>
        <v/>
      </c>
      <c r="I401" s="10" t="str">
        <f>IF($K401="","",INDEX(Конструктор!$O$2:$O$1212,$K401))</f>
        <v/>
      </c>
      <c r="J401" s="10" t="str">
        <f>IF($K401="","",INDEX(Конструктор!$P$2:$P$1212,$K401))</f>
        <v/>
      </c>
      <c r="K401" t="str">
        <f>IFERROR(MATCH(381,Конструктор!$T$2:$T$1212,0),"")</f>
        <v/>
      </c>
      <c r="L401" t="str">
        <f t="shared" si="5"/>
        <v/>
      </c>
    </row>
    <row r="402" spans="1:12" hidden="1" x14ac:dyDescent="0.3">
      <c r="A402" t="str">
        <f>IF($K402="","",382)</f>
        <v/>
      </c>
      <c r="B402" t="str">
        <f>IF($K402="","",INDEX(Конструктор!$C$2:$C$1212,$K402))</f>
        <v/>
      </c>
      <c r="C402" s="8" t="str">
        <f>IF($K402="","",INDEX(Конструктор!$D$2:$D$1212,$K402)&amp;IF(INDEX(Конструктор!$J$2:$J$1212,$K402)&lt;&gt;""," — "&amp;INDEX(Конструктор!$J$2:$J$1212,$K402),""))</f>
        <v/>
      </c>
      <c r="D402" t="str">
        <f>IF($K402="","",INDEX(Конструктор!$E$2:$E$1212,$K402))</f>
        <v/>
      </c>
      <c r="E402" s="10" t="str">
        <f>IF($K402="","",INDEX(Конструктор!$H$2:$H$1212,$K402))</f>
        <v/>
      </c>
      <c r="F402" s="10" t="str">
        <f>IF($K402="","",INDEX(Конструктор!$L$2:$L$1212,$K402))</f>
        <v/>
      </c>
      <c r="G402" s="10" t="str">
        <f>IF($K402="","",INDEX(Конструктор!$M$2:$M$1212,$K402))</f>
        <v/>
      </c>
      <c r="H402" s="10" t="str">
        <f>IF($K402="","",INDEX(Конструктор!$N$2:$N$1212,$K402))</f>
        <v/>
      </c>
      <c r="I402" s="10" t="str">
        <f>IF($K402="","",INDEX(Конструктор!$O$2:$O$1212,$K402))</f>
        <v/>
      </c>
      <c r="J402" s="10" t="str">
        <f>IF($K402="","",INDEX(Конструктор!$P$2:$P$1212,$K402))</f>
        <v/>
      </c>
      <c r="K402" t="str">
        <f>IFERROR(MATCH(382,Конструктор!$T$2:$T$1212,0),"")</f>
        <v/>
      </c>
      <c r="L402" t="str">
        <f t="shared" si="5"/>
        <v/>
      </c>
    </row>
    <row r="403" spans="1:12" hidden="1" x14ac:dyDescent="0.3">
      <c r="A403" t="str">
        <f>IF($K403="","",383)</f>
        <v/>
      </c>
      <c r="B403" t="str">
        <f>IF($K403="","",INDEX(Конструктор!$C$2:$C$1212,$K403))</f>
        <v/>
      </c>
      <c r="C403" s="8" t="str">
        <f>IF($K403="","",INDEX(Конструктор!$D$2:$D$1212,$K403)&amp;IF(INDEX(Конструктор!$J$2:$J$1212,$K403)&lt;&gt;""," — "&amp;INDEX(Конструктор!$J$2:$J$1212,$K403),""))</f>
        <v/>
      </c>
      <c r="D403" t="str">
        <f>IF($K403="","",INDEX(Конструктор!$E$2:$E$1212,$K403))</f>
        <v/>
      </c>
      <c r="E403" s="10" t="str">
        <f>IF($K403="","",INDEX(Конструктор!$H$2:$H$1212,$K403))</f>
        <v/>
      </c>
      <c r="F403" s="10" t="str">
        <f>IF($K403="","",INDEX(Конструктор!$L$2:$L$1212,$K403))</f>
        <v/>
      </c>
      <c r="G403" s="10" t="str">
        <f>IF($K403="","",INDEX(Конструктор!$M$2:$M$1212,$K403))</f>
        <v/>
      </c>
      <c r="H403" s="10" t="str">
        <f>IF($K403="","",INDEX(Конструктор!$N$2:$N$1212,$K403))</f>
        <v/>
      </c>
      <c r="I403" s="10" t="str">
        <f>IF($K403="","",INDEX(Конструктор!$O$2:$O$1212,$K403))</f>
        <v/>
      </c>
      <c r="J403" s="10" t="str">
        <f>IF($K403="","",INDEX(Конструктор!$P$2:$P$1212,$K403))</f>
        <v/>
      </c>
      <c r="K403" t="str">
        <f>IFERROR(MATCH(383,Конструктор!$T$2:$T$1212,0),"")</f>
        <v/>
      </c>
      <c r="L403" t="str">
        <f t="shared" si="5"/>
        <v/>
      </c>
    </row>
    <row r="404" spans="1:12" hidden="1" x14ac:dyDescent="0.3">
      <c r="A404" t="str">
        <f>IF($K404="","",384)</f>
        <v/>
      </c>
      <c r="B404" t="str">
        <f>IF($K404="","",INDEX(Конструктор!$C$2:$C$1212,$K404))</f>
        <v/>
      </c>
      <c r="C404" s="8" t="str">
        <f>IF($K404="","",INDEX(Конструктор!$D$2:$D$1212,$K404)&amp;IF(INDEX(Конструктор!$J$2:$J$1212,$K404)&lt;&gt;""," — "&amp;INDEX(Конструктор!$J$2:$J$1212,$K404),""))</f>
        <v/>
      </c>
      <c r="D404" t="str">
        <f>IF($K404="","",INDEX(Конструктор!$E$2:$E$1212,$K404))</f>
        <v/>
      </c>
      <c r="E404" s="10" t="str">
        <f>IF($K404="","",INDEX(Конструктор!$H$2:$H$1212,$K404))</f>
        <v/>
      </c>
      <c r="F404" s="10" t="str">
        <f>IF($K404="","",INDEX(Конструктор!$L$2:$L$1212,$K404))</f>
        <v/>
      </c>
      <c r="G404" s="10" t="str">
        <f>IF($K404="","",INDEX(Конструктор!$M$2:$M$1212,$K404))</f>
        <v/>
      </c>
      <c r="H404" s="10" t="str">
        <f>IF($K404="","",INDEX(Конструктор!$N$2:$N$1212,$K404))</f>
        <v/>
      </c>
      <c r="I404" s="10" t="str">
        <f>IF($K404="","",INDEX(Конструктор!$O$2:$O$1212,$K404))</f>
        <v/>
      </c>
      <c r="J404" s="10" t="str">
        <f>IF($K404="","",INDEX(Конструктор!$P$2:$P$1212,$K404))</f>
        <v/>
      </c>
      <c r="K404" t="str">
        <f>IFERROR(MATCH(384,Конструктор!$T$2:$T$1212,0),"")</f>
        <v/>
      </c>
      <c r="L404" t="str">
        <f t="shared" si="5"/>
        <v/>
      </c>
    </row>
    <row r="405" spans="1:12" hidden="1" x14ac:dyDescent="0.3">
      <c r="A405" t="str">
        <f>IF($K405="","",385)</f>
        <v/>
      </c>
      <c r="B405" t="str">
        <f>IF($K405="","",INDEX(Конструктор!$C$2:$C$1212,$K405))</f>
        <v/>
      </c>
      <c r="C405" s="8" t="str">
        <f>IF($K405="","",INDEX(Конструктор!$D$2:$D$1212,$K405)&amp;IF(INDEX(Конструктор!$J$2:$J$1212,$K405)&lt;&gt;""," — "&amp;INDEX(Конструктор!$J$2:$J$1212,$K405),""))</f>
        <v/>
      </c>
      <c r="D405" t="str">
        <f>IF($K405="","",INDEX(Конструктор!$E$2:$E$1212,$K405))</f>
        <v/>
      </c>
      <c r="E405" s="10" t="str">
        <f>IF($K405="","",INDEX(Конструктор!$H$2:$H$1212,$K405))</f>
        <v/>
      </c>
      <c r="F405" s="10" t="str">
        <f>IF($K405="","",INDEX(Конструктор!$L$2:$L$1212,$K405))</f>
        <v/>
      </c>
      <c r="G405" s="10" t="str">
        <f>IF($K405="","",INDEX(Конструктор!$M$2:$M$1212,$K405))</f>
        <v/>
      </c>
      <c r="H405" s="10" t="str">
        <f>IF($K405="","",INDEX(Конструктор!$N$2:$N$1212,$K405))</f>
        <v/>
      </c>
      <c r="I405" s="10" t="str">
        <f>IF($K405="","",INDEX(Конструктор!$O$2:$O$1212,$K405))</f>
        <v/>
      </c>
      <c r="J405" s="10" t="str">
        <f>IF($K405="","",INDEX(Конструктор!$P$2:$P$1212,$K405))</f>
        <v/>
      </c>
      <c r="K405" t="str">
        <f>IFERROR(MATCH(385,Конструктор!$T$2:$T$1212,0),"")</f>
        <v/>
      </c>
      <c r="L405" t="str">
        <f t="shared" ref="L405:L468" si="6">IF($K405="","","показать")</f>
        <v/>
      </c>
    </row>
    <row r="406" spans="1:12" hidden="1" x14ac:dyDescent="0.3">
      <c r="A406" t="str">
        <f>IF($K406="","",386)</f>
        <v/>
      </c>
      <c r="B406" t="str">
        <f>IF($K406="","",INDEX(Конструктор!$C$2:$C$1212,$K406))</f>
        <v/>
      </c>
      <c r="C406" s="8" t="str">
        <f>IF($K406="","",INDEX(Конструктор!$D$2:$D$1212,$K406)&amp;IF(INDEX(Конструктор!$J$2:$J$1212,$K406)&lt;&gt;""," — "&amp;INDEX(Конструктор!$J$2:$J$1212,$K406),""))</f>
        <v/>
      </c>
      <c r="D406" t="str">
        <f>IF($K406="","",INDEX(Конструктор!$E$2:$E$1212,$K406))</f>
        <v/>
      </c>
      <c r="E406" s="10" t="str">
        <f>IF($K406="","",INDEX(Конструктор!$H$2:$H$1212,$K406))</f>
        <v/>
      </c>
      <c r="F406" s="10" t="str">
        <f>IF($K406="","",INDEX(Конструктор!$L$2:$L$1212,$K406))</f>
        <v/>
      </c>
      <c r="G406" s="10" t="str">
        <f>IF($K406="","",INDEX(Конструктор!$M$2:$M$1212,$K406))</f>
        <v/>
      </c>
      <c r="H406" s="10" t="str">
        <f>IF($K406="","",INDEX(Конструктор!$N$2:$N$1212,$K406))</f>
        <v/>
      </c>
      <c r="I406" s="10" t="str">
        <f>IF($K406="","",INDEX(Конструктор!$O$2:$O$1212,$K406))</f>
        <v/>
      </c>
      <c r="J406" s="10" t="str">
        <f>IF($K406="","",INDEX(Конструктор!$P$2:$P$1212,$K406))</f>
        <v/>
      </c>
      <c r="K406" t="str">
        <f>IFERROR(MATCH(386,Конструктор!$T$2:$T$1212,0),"")</f>
        <v/>
      </c>
      <c r="L406" t="str">
        <f t="shared" si="6"/>
        <v/>
      </c>
    </row>
    <row r="407" spans="1:12" hidden="1" x14ac:dyDescent="0.3">
      <c r="A407" t="str">
        <f>IF($K407="","",387)</f>
        <v/>
      </c>
      <c r="B407" t="str">
        <f>IF($K407="","",INDEX(Конструктор!$C$2:$C$1212,$K407))</f>
        <v/>
      </c>
      <c r="C407" s="8" t="str">
        <f>IF($K407="","",INDEX(Конструктор!$D$2:$D$1212,$K407)&amp;IF(INDEX(Конструктор!$J$2:$J$1212,$K407)&lt;&gt;""," — "&amp;INDEX(Конструктор!$J$2:$J$1212,$K407),""))</f>
        <v/>
      </c>
      <c r="D407" t="str">
        <f>IF($K407="","",INDEX(Конструктор!$E$2:$E$1212,$K407))</f>
        <v/>
      </c>
      <c r="E407" s="10" t="str">
        <f>IF($K407="","",INDEX(Конструктор!$H$2:$H$1212,$K407))</f>
        <v/>
      </c>
      <c r="F407" s="10" t="str">
        <f>IF($K407="","",INDEX(Конструктор!$L$2:$L$1212,$K407))</f>
        <v/>
      </c>
      <c r="G407" s="10" t="str">
        <f>IF($K407="","",INDEX(Конструктор!$M$2:$M$1212,$K407))</f>
        <v/>
      </c>
      <c r="H407" s="10" t="str">
        <f>IF($K407="","",INDEX(Конструктор!$N$2:$N$1212,$K407))</f>
        <v/>
      </c>
      <c r="I407" s="10" t="str">
        <f>IF($K407="","",INDEX(Конструктор!$O$2:$O$1212,$K407))</f>
        <v/>
      </c>
      <c r="J407" s="10" t="str">
        <f>IF($K407="","",INDEX(Конструктор!$P$2:$P$1212,$K407))</f>
        <v/>
      </c>
      <c r="K407" t="str">
        <f>IFERROR(MATCH(387,Конструктор!$T$2:$T$1212,0),"")</f>
        <v/>
      </c>
      <c r="L407" t="str">
        <f t="shared" si="6"/>
        <v/>
      </c>
    </row>
    <row r="408" spans="1:12" hidden="1" x14ac:dyDescent="0.3">
      <c r="A408" t="str">
        <f>IF($K408="","",388)</f>
        <v/>
      </c>
      <c r="B408" t="str">
        <f>IF($K408="","",INDEX(Конструктор!$C$2:$C$1212,$K408))</f>
        <v/>
      </c>
      <c r="C408" s="8" t="str">
        <f>IF($K408="","",INDEX(Конструктор!$D$2:$D$1212,$K408)&amp;IF(INDEX(Конструктор!$J$2:$J$1212,$K408)&lt;&gt;""," — "&amp;INDEX(Конструктор!$J$2:$J$1212,$K408),""))</f>
        <v/>
      </c>
      <c r="D408" t="str">
        <f>IF($K408="","",INDEX(Конструктор!$E$2:$E$1212,$K408))</f>
        <v/>
      </c>
      <c r="E408" s="10" t="str">
        <f>IF($K408="","",INDEX(Конструктор!$H$2:$H$1212,$K408))</f>
        <v/>
      </c>
      <c r="F408" s="10" t="str">
        <f>IF($K408="","",INDEX(Конструктор!$L$2:$L$1212,$K408))</f>
        <v/>
      </c>
      <c r="G408" s="10" t="str">
        <f>IF($K408="","",INDEX(Конструктор!$M$2:$M$1212,$K408))</f>
        <v/>
      </c>
      <c r="H408" s="10" t="str">
        <f>IF($K408="","",INDEX(Конструктор!$N$2:$N$1212,$K408))</f>
        <v/>
      </c>
      <c r="I408" s="10" t="str">
        <f>IF($K408="","",INDEX(Конструктор!$O$2:$O$1212,$K408))</f>
        <v/>
      </c>
      <c r="J408" s="10" t="str">
        <f>IF($K408="","",INDEX(Конструктор!$P$2:$P$1212,$K408))</f>
        <v/>
      </c>
      <c r="K408" t="str">
        <f>IFERROR(MATCH(388,Конструктор!$T$2:$T$1212,0),"")</f>
        <v/>
      </c>
      <c r="L408" t="str">
        <f t="shared" si="6"/>
        <v/>
      </c>
    </row>
    <row r="409" spans="1:12" hidden="1" x14ac:dyDescent="0.3">
      <c r="A409" t="str">
        <f>IF($K409="","",389)</f>
        <v/>
      </c>
      <c r="B409" t="str">
        <f>IF($K409="","",INDEX(Конструктор!$C$2:$C$1212,$K409))</f>
        <v/>
      </c>
      <c r="C409" s="8" t="str">
        <f>IF($K409="","",INDEX(Конструктор!$D$2:$D$1212,$K409)&amp;IF(INDEX(Конструктор!$J$2:$J$1212,$K409)&lt;&gt;""," — "&amp;INDEX(Конструктор!$J$2:$J$1212,$K409),""))</f>
        <v/>
      </c>
      <c r="D409" t="str">
        <f>IF($K409="","",INDEX(Конструктор!$E$2:$E$1212,$K409))</f>
        <v/>
      </c>
      <c r="E409" s="10" t="str">
        <f>IF($K409="","",INDEX(Конструктор!$H$2:$H$1212,$K409))</f>
        <v/>
      </c>
      <c r="F409" s="10" t="str">
        <f>IF($K409="","",INDEX(Конструктор!$L$2:$L$1212,$K409))</f>
        <v/>
      </c>
      <c r="G409" s="10" t="str">
        <f>IF($K409="","",INDEX(Конструктор!$M$2:$M$1212,$K409))</f>
        <v/>
      </c>
      <c r="H409" s="10" t="str">
        <f>IF($K409="","",INDEX(Конструктор!$N$2:$N$1212,$K409))</f>
        <v/>
      </c>
      <c r="I409" s="10" t="str">
        <f>IF($K409="","",INDEX(Конструктор!$O$2:$O$1212,$K409))</f>
        <v/>
      </c>
      <c r="J409" s="10" t="str">
        <f>IF($K409="","",INDEX(Конструктор!$P$2:$P$1212,$K409))</f>
        <v/>
      </c>
      <c r="K409" t="str">
        <f>IFERROR(MATCH(389,Конструктор!$T$2:$T$1212,0),"")</f>
        <v/>
      </c>
      <c r="L409" t="str">
        <f t="shared" si="6"/>
        <v/>
      </c>
    </row>
    <row r="410" spans="1:12" hidden="1" x14ac:dyDescent="0.3">
      <c r="A410" t="str">
        <f>IF($K410="","",390)</f>
        <v/>
      </c>
      <c r="B410" t="str">
        <f>IF($K410="","",INDEX(Конструктор!$C$2:$C$1212,$K410))</f>
        <v/>
      </c>
      <c r="C410" s="8" t="str">
        <f>IF($K410="","",INDEX(Конструктор!$D$2:$D$1212,$K410)&amp;IF(INDEX(Конструктор!$J$2:$J$1212,$K410)&lt;&gt;""," — "&amp;INDEX(Конструктор!$J$2:$J$1212,$K410),""))</f>
        <v/>
      </c>
      <c r="D410" t="str">
        <f>IF($K410="","",INDEX(Конструктор!$E$2:$E$1212,$K410))</f>
        <v/>
      </c>
      <c r="E410" s="10" t="str">
        <f>IF($K410="","",INDEX(Конструктор!$H$2:$H$1212,$K410))</f>
        <v/>
      </c>
      <c r="F410" s="10" t="str">
        <f>IF($K410="","",INDEX(Конструктор!$L$2:$L$1212,$K410))</f>
        <v/>
      </c>
      <c r="G410" s="10" t="str">
        <f>IF($K410="","",INDEX(Конструктор!$M$2:$M$1212,$K410))</f>
        <v/>
      </c>
      <c r="H410" s="10" t="str">
        <f>IF($K410="","",INDEX(Конструктор!$N$2:$N$1212,$K410))</f>
        <v/>
      </c>
      <c r="I410" s="10" t="str">
        <f>IF($K410="","",INDEX(Конструктор!$O$2:$O$1212,$K410))</f>
        <v/>
      </c>
      <c r="J410" s="10" t="str">
        <f>IF($K410="","",INDEX(Конструктор!$P$2:$P$1212,$K410))</f>
        <v/>
      </c>
      <c r="K410" t="str">
        <f>IFERROR(MATCH(390,Конструктор!$T$2:$T$1212,0),"")</f>
        <v/>
      </c>
      <c r="L410" t="str">
        <f t="shared" si="6"/>
        <v/>
      </c>
    </row>
    <row r="411" spans="1:12" hidden="1" x14ac:dyDescent="0.3">
      <c r="A411" t="str">
        <f>IF($K411="","",391)</f>
        <v/>
      </c>
      <c r="B411" t="str">
        <f>IF($K411="","",INDEX(Конструктор!$C$2:$C$1212,$K411))</f>
        <v/>
      </c>
      <c r="C411" s="8" t="str">
        <f>IF($K411="","",INDEX(Конструктор!$D$2:$D$1212,$K411)&amp;IF(INDEX(Конструктор!$J$2:$J$1212,$K411)&lt;&gt;""," — "&amp;INDEX(Конструктор!$J$2:$J$1212,$K411),""))</f>
        <v/>
      </c>
      <c r="D411" t="str">
        <f>IF($K411="","",INDEX(Конструктор!$E$2:$E$1212,$K411))</f>
        <v/>
      </c>
      <c r="E411" s="10" t="str">
        <f>IF($K411="","",INDEX(Конструктор!$H$2:$H$1212,$K411))</f>
        <v/>
      </c>
      <c r="F411" s="10" t="str">
        <f>IF($K411="","",INDEX(Конструктор!$L$2:$L$1212,$K411))</f>
        <v/>
      </c>
      <c r="G411" s="10" t="str">
        <f>IF($K411="","",INDEX(Конструктор!$M$2:$M$1212,$K411))</f>
        <v/>
      </c>
      <c r="H411" s="10" t="str">
        <f>IF($K411="","",INDEX(Конструктор!$N$2:$N$1212,$K411))</f>
        <v/>
      </c>
      <c r="I411" s="10" t="str">
        <f>IF($K411="","",INDEX(Конструктор!$O$2:$O$1212,$K411))</f>
        <v/>
      </c>
      <c r="J411" s="10" t="str">
        <f>IF($K411="","",INDEX(Конструктор!$P$2:$P$1212,$K411))</f>
        <v/>
      </c>
      <c r="K411" t="str">
        <f>IFERROR(MATCH(391,Конструктор!$T$2:$T$1212,0),"")</f>
        <v/>
      </c>
      <c r="L411" t="str">
        <f t="shared" si="6"/>
        <v/>
      </c>
    </row>
    <row r="412" spans="1:12" hidden="1" x14ac:dyDescent="0.3">
      <c r="A412" t="str">
        <f>IF($K412="","",392)</f>
        <v/>
      </c>
      <c r="B412" t="str">
        <f>IF($K412="","",INDEX(Конструктор!$C$2:$C$1212,$K412))</f>
        <v/>
      </c>
      <c r="C412" s="8" t="str">
        <f>IF($K412="","",INDEX(Конструктор!$D$2:$D$1212,$K412)&amp;IF(INDEX(Конструктор!$J$2:$J$1212,$K412)&lt;&gt;""," — "&amp;INDEX(Конструктор!$J$2:$J$1212,$K412),""))</f>
        <v/>
      </c>
      <c r="D412" t="str">
        <f>IF($K412="","",INDEX(Конструктор!$E$2:$E$1212,$K412))</f>
        <v/>
      </c>
      <c r="E412" s="10" t="str">
        <f>IF($K412="","",INDEX(Конструктор!$H$2:$H$1212,$K412))</f>
        <v/>
      </c>
      <c r="F412" s="10" t="str">
        <f>IF($K412="","",INDEX(Конструктор!$L$2:$L$1212,$K412))</f>
        <v/>
      </c>
      <c r="G412" s="10" t="str">
        <f>IF($K412="","",INDEX(Конструктор!$M$2:$M$1212,$K412))</f>
        <v/>
      </c>
      <c r="H412" s="10" t="str">
        <f>IF($K412="","",INDEX(Конструктор!$N$2:$N$1212,$K412))</f>
        <v/>
      </c>
      <c r="I412" s="10" t="str">
        <f>IF($K412="","",INDEX(Конструктор!$O$2:$O$1212,$K412))</f>
        <v/>
      </c>
      <c r="J412" s="10" t="str">
        <f>IF($K412="","",INDEX(Конструктор!$P$2:$P$1212,$K412))</f>
        <v/>
      </c>
      <c r="K412" t="str">
        <f>IFERROR(MATCH(392,Конструктор!$T$2:$T$1212,0),"")</f>
        <v/>
      </c>
      <c r="L412" t="str">
        <f t="shared" si="6"/>
        <v/>
      </c>
    </row>
    <row r="413" spans="1:12" hidden="1" x14ac:dyDescent="0.3">
      <c r="A413" t="str">
        <f>IF($K413="","",393)</f>
        <v/>
      </c>
      <c r="B413" t="str">
        <f>IF($K413="","",INDEX(Конструктор!$C$2:$C$1212,$K413))</f>
        <v/>
      </c>
      <c r="C413" s="8" t="str">
        <f>IF($K413="","",INDEX(Конструктор!$D$2:$D$1212,$K413)&amp;IF(INDEX(Конструктор!$J$2:$J$1212,$K413)&lt;&gt;""," — "&amp;INDEX(Конструктор!$J$2:$J$1212,$K413),""))</f>
        <v/>
      </c>
      <c r="D413" t="str">
        <f>IF($K413="","",INDEX(Конструктор!$E$2:$E$1212,$K413))</f>
        <v/>
      </c>
      <c r="E413" s="10" t="str">
        <f>IF($K413="","",INDEX(Конструктор!$H$2:$H$1212,$K413))</f>
        <v/>
      </c>
      <c r="F413" s="10" t="str">
        <f>IF($K413="","",INDEX(Конструктор!$L$2:$L$1212,$K413))</f>
        <v/>
      </c>
      <c r="G413" s="10" t="str">
        <f>IF($K413="","",INDEX(Конструктор!$M$2:$M$1212,$K413))</f>
        <v/>
      </c>
      <c r="H413" s="10" t="str">
        <f>IF($K413="","",INDEX(Конструктор!$N$2:$N$1212,$K413))</f>
        <v/>
      </c>
      <c r="I413" s="10" t="str">
        <f>IF($K413="","",INDEX(Конструктор!$O$2:$O$1212,$K413))</f>
        <v/>
      </c>
      <c r="J413" s="10" t="str">
        <f>IF($K413="","",INDEX(Конструктор!$P$2:$P$1212,$K413))</f>
        <v/>
      </c>
      <c r="K413" t="str">
        <f>IFERROR(MATCH(393,Конструктор!$T$2:$T$1212,0),"")</f>
        <v/>
      </c>
      <c r="L413" t="str">
        <f t="shared" si="6"/>
        <v/>
      </c>
    </row>
    <row r="414" spans="1:12" hidden="1" x14ac:dyDescent="0.3">
      <c r="A414" t="str">
        <f>IF($K414="","",394)</f>
        <v/>
      </c>
      <c r="B414" t="str">
        <f>IF($K414="","",INDEX(Конструктор!$C$2:$C$1212,$K414))</f>
        <v/>
      </c>
      <c r="C414" s="8" t="str">
        <f>IF($K414="","",INDEX(Конструктор!$D$2:$D$1212,$K414)&amp;IF(INDEX(Конструктор!$J$2:$J$1212,$K414)&lt;&gt;""," — "&amp;INDEX(Конструктор!$J$2:$J$1212,$K414),""))</f>
        <v/>
      </c>
      <c r="D414" t="str">
        <f>IF($K414="","",INDEX(Конструктор!$E$2:$E$1212,$K414))</f>
        <v/>
      </c>
      <c r="E414" s="10" t="str">
        <f>IF($K414="","",INDEX(Конструктор!$H$2:$H$1212,$K414))</f>
        <v/>
      </c>
      <c r="F414" s="10" t="str">
        <f>IF($K414="","",INDEX(Конструктор!$L$2:$L$1212,$K414))</f>
        <v/>
      </c>
      <c r="G414" s="10" t="str">
        <f>IF($K414="","",INDEX(Конструктор!$M$2:$M$1212,$K414))</f>
        <v/>
      </c>
      <c r="H414" s="10" t="str">
        <f>IF($K414="","",INDEX(Конструктор!$N$2:$N$1212,$K414))</f>
        <v/>
      </c>
      <c r="I414" s="10" t="str">
        <f>IF($K414="","",INDEX(Конструктор!$O$2:$O$1212,$K414))</f>
        <v/>
      </c>
      <c r="J414" s="10" t="str">
        <f>IF($K414="","",INDEX(Конструктор!$P$2:$P$1212,$K414))</f>
        <v/>
      </c>
      <c r="K414" t="str">
        <f>IFERROR(MATCH(394,Конструктор!$T$2:$T$1212,0),"")</f>
        <v/>
      </c>
      <c r="L414" t="str">
        <f t="shared" si="6"/>
        <v/>
      </c>
    </row>
    <row r="415" spans="1:12" hidden="1" x14ac:dyDescent="0.3">
      <c r="A415" t="str">
        <f>IF($K415="","",395)</f>
        <v/>
      </c>
      <c r="B415" t="str">
        <f>IF($K415="","",INDEX(Конструктор!$C$2:$C$1212,$K415))</f>
        <v/>
      </c>
      <c r="C415" s="8" t="str">
        <f>IF($K415="","",INDEX(Конструктор!$D$2:$D$1212,$K415)&amp;IF(INDEX(Конструктор!$J$2:$J$1212,$K415)&lt;&gt;""," — "&amp;INDEX(Конструктор!$J$2:$J$1212,$K415),""))</f>
        <v/>
      </c>
      <c r="D415" t="str">
        <f>IF($K415="","",INDEX(Конструктор!$E$2:$E$1212,$K415))</f>
        <v/>
      </c>
      <c r="E415" s="10" t="str">
        <f>IF($K415="","",INDEX(Конструктор!$H$2:$H$1212,$K415))</f>
        <v/>
      </c>
      <c r="F415" s="10" t="str">
        <f>IF($K415="","",INDEX(Конструктор!$L$2:$L$1212,$K415))</f>
        <v/>
      </c>
      <c r="G415" s="10" t="str">
        <f>IF($K415="","",INDEX(Конструктор!$M$2:$M$1212,$K415))</f>
        <v/>
      </c>
      <c r="H415" s="10" t="str">
        <f>IF($K415="","",INDEX(Конструктор!$N$2:$N$1212,$K415))</f>
        <v/>
      </c>
      <c r="I415" s="10" t="str">
        <f>IF($K415="","",INDEX(Конструктор!$O$2:$O$1212,$K415))</f>
        <v/>
      </c>
      <c r="J415" s="10" t="str">
        <f>IF($K415="","",INDEX(Конструктор!$P$2:$P$1212,$K415))</f>
        <v/>
      </c>
      <c r="K415" t="str">
        <f>IFERROR(MATCH(395,Конструктор!$T$2:$T$1212,0),"")</f>
        <v/>
      </c>
      <c r="L415" t="str">
        <f t="shared" si="6"/>
        <v/>
      </c>
    </row>
    <row r="416" spans="1:12" hidden="1" x14ac:dyDescent="0.3">
      <c r="A416" t="str">
        <f>IF($K416="","",396)</f>
        <v/>
      </c>
      <c r="B416" t="str">
        <f>IF($K416="","",INDEX(Конструктор!$C$2:$C$1212,$K416))</f>
        <v/>
      </c>
      <c r="C416" s="8" t="str">
        <f>IF($K416="","",INDEX(Конструктор!$D$2:$D$1212,$K416)&amp;IF(INDEX(Конструктор!$J$2:$J$1212,$K416)&lt;&gt;""," — "&amp;INDEX(Конструктор!$J$2:$J$1212,$K416),""))</f>
        <v/>
      </c>
      <c r="D416" t="str">
        <f>IF($K416="","",INDEX(Конструктор!$E$2:$E$1212,$K416))</f>
        <v/>
      </c>
      <c r="E416" s="10" t="str">
        <f>IF($K416="","",INDEX(Конструктор!$H$2:$H$1212,$K416))</f>
        <v/>
      </c>
      <c r="F416" s="10" t="str">
        <f>IF($K416="","",INDEX(Конструктор!$L$2:$L$1212,$K416))</f>
        <v/>
      </c>
      <c r="G416" s="10" t="str">
        <f>IF($K416="","",INDEX(Конструктор!$M$2:$M$1212,$K416))</f>
        <v/>
      </c>
      <c r="H416" s="10" t="str">
        <f>IF($K416="","",INDEX(Конструктор!$N$2:$N$1212,$K416))</f>
        <v/>
      </c>
      <c r="I416" s="10" t="str">
        <f>IF($K416="","",INDEX(Конструктор!$O$2:$O$1212,$K416))</f>
        <v/>
      </c>
      <c r="J416" s="10" t="str">
        <f>IF($K416="","",INDEX(Конструктор!$P$2:$P$1212,$K416))</f>
        <v/>
      </c>
      <c r="K416" t="str">
        <f>IFERROR(MATCH(396,Конструктор!$T$2:$T$1212,0),"")</f>
        <v/>
      </c>
      <c r="L416" t="str">
        <f t="shared" si="6"/>
        <v/>
      </c>
    </row>
    <row r="417" spans="1:12" hidden="1" x14ac:dyDescent="0.3">
      <c r="A417" t="str">
        <f>IF($K417="","",397)</f>
        <v/>
      </c>
      <c r="B417" t="str">
        <f>IF($K417="","",INDEX(Конструктор!$C$2:$C$1212,$K417))</f>
        <v/>
      </c>
      <c r="C417" s="8" t="str">
        <f>IF($K417="","",INDEX(Конструктор!$D$2:$D$1212,$K417)&amp;IF(INDEX(Конструктор!$J$2:$J$1212,$K417)&lt;&gt;""," — "&amp;INDEX(Конструктор!$J$2:$J$1212,$K417),""))</f>
        <v/>
      </c>
      <c r="D417" t="str">
        <f>IF($K417="","",INDEX(Конструктор!$E$2:$E$1212,$K417))</f>
        <v/>
      </c>
      <c r="E417" s="10" t="str">
        <f>IF($K417="","",INDEX(Конструктор!$H$2:$H$1212,$K417))</f>
        <v/>
      </c>
      <c r="F417" s="10" t="str">
        <f>IF($K417="","",INDEX(Конструктор!$L$2:$L$1212,$K417))</f>
        <v/>
      </c>
      <c r="G417" s="10" t="str">
        <f>IF($K417="","",INDEX(Конструктор!$M$2:$M$1212,$K417))</f>
        <v/>
      </c>
      <c r="H417" s="10" t="str">
        <f>IF($K417="","",INDEX(Конструктор!$N$2:$N$1212,$K417))</f>
        <v/>
      </c>
      <c r="I417" s="10" t="str">
        <f>IF($K417="","",INDEX(Конструктор!$O$2:$O$1212,$K417))</f>
        <v/>
      </c>
      <c r="J417" s="10" t="str">
        <f>IF($K417="","",INDEX(Конструктор!$P$2:$P$1212,$K417))</f>
        <v/>
      </c>
      <c r="K417" t="str">
        <f>IFERROR(MATCH(397,Конструктор!$T$2:$T$1212,0),"")</f>
        <v/>
      </c>
      <c r="L417" t="str">
        <f t="shared" si="6"/>
        <v/>
      </c>
    </row>
    <row r="418" spans="1:12" hidden="1" x14ac:dyDescent="0.3">
      <c r="A418" t="str">
        <f>IF($K418="","",398)</f>
        <v/>
      </c>
      <c r="B418" t="str">
        <f>IF($K418="","",INDEX(Конструктор!$C$2:$C$1212,$K418))</f>
        <v/>
      </c>
      <c r="C418" s="8" t="str">
        <f>IF($K418="","",INDEX(Конструктор!$D$2:$D$1212,$K418)&amp;IF(INDEX(Конструктор!$J$2:$J$1212,$K418)&lt;&gt;""," — "&amp;INDEX(Конструктор!$J$2:$J$1212,$K418),""))</f>
        <v/>
      </c>
      <c r="D418" t="str">
        <f>IF($K418="","",INDEX(Конструктор!$E$2:$E$1212,$K418))</f>
        <v/>
      </c>
      <c r="E418" s="10" t="str">
        <f>IF($K418="","",INDEX(Конструктор!$H$2:$H$1212,$K418))</f>
        <v/>
      </c>
      <c r="F418" s="10" t="str">
        <f>IF($K418="","",INDEX(Конструктор!$L$2:$L$1212,$K418))</f>
        <v/>
      </c>
      <c r="G418" s="10" t="str">
        <f>IF($K418="","",INDEX(Конструктор!$M$2:$M$1212,$K418))</f>
        <v/>
      </c>
      <c r="H418" s="10" t="str">
        <f>IF($K418="","",INDEX(Конструктор!$N$2:$N$1212,$K418))</f>
        <v/>
      </c>
      <c r="I418" s="10" t="str">
        <f>IF($K418="","",INDEX(Конструктор!$O$2:$O$1212,$K418))</f>
        <v/>
      </c>
      <c r="J418" s="10" t="str">
        <f>IF($K418="","",INDEX(Конструктор!$P$2:$P$1212,$K418))</f>
        <v/>
      </c>
      <c r="K418" t="str">
        <f>IFERROR(MATCH(398,Конструктор!$T$2:$T$1212,0),"")</f>
        <v/>
      </c>
      <c r="L418" t="str">
        <f t="shared" si="6"/>
        <v/>
      </c>
    </row>
    <row r="419" spans="1:12" hidden="1" x14ac:dyDescent="0.3">
      <c r="A419" t="str">
        <f>IF($K419="","",399)</f>
        <v/>
      </c>
      <c r="B419" t="str">
        <f>IF($K419="","",INDEX(Конструктор!$C$2:$C$1212,$K419))</f>
        <v/>
      </c>
      <c r="C419" s="8" t="str">
        <f>IF($K419="","",INDEX(Конструктор!$D$2:$D$1212,$K419)&amp;IF(INDEX(Конструктор!$J$2:$J$1212,$K419)&lt;&gt;""," — "&amp;INDEX(Конструктор!$J$2:$J$1212,$K419),""))</f>
        <v/>
      </c>
      <c r="D419" t="str">
        <f>IF($K419="","",INDEX(Конструктор!$E$2:$E$1212,$K419))</f>
        <v/>
      </c>
      <c r="E419" s="10" t="str">
        <f>IF($K419="","",INDEX(Конструктор!$H$2:$H$1212,$K419))</f>
        <v/>
      </c>
      <c r="F419" s="10" t="str">
        <f>IF($K419="","",INDEX(Конструктор!$L$2:$L$1212,$K419))</f>
        <v/>
      </c>
      <c r="G419" s="10" t="str">
        <f>IF($K419="","",INDEX(Конструктор!$M$2:$M$1212,$K419))</f>
        <v/>
      </c>
      <c r="H419" s="10" t="str">
        <f>IF($K419="","",INDEX(Конструктор!$N$2:$N$1212,$K419))</f>
        <v/>
      </c>
      <c r="I419" s="10" t="str">
        <f>IF($K419="","",INDEX(Конструктор!$O$2:$O$1212,$K419))</f>
        <v/>
      </c>
      <c r="J419" s="10" t="str">
        <f>IF($K419="","",INDEX(Конструктор!$P$2:$P$1212,$K419))</f>
        <v/>
      </c>
      <c r="K419" t="str">
        <f>IFERROR(MATCH(399,Конструктор!$T$2:$T$1212,0),"")</f>
        <v/>
      </c>
      <c r="L419" t="str">
        <f t="shared" si="6"/>
        <v/>
      </c>
    </row>
    <row r="420" spans="1:12" hidden="1" x14ac:dyDescent="0.3">
      <c r="A420" t="str">
        <f>IF($K420="","",400)</f>
        <v/>
      </c>
      <c r="B420" t="str">
        <f>IF($K420="","",INDEX(Конструктор!$C$2:$C$1212,$K420))</f>
        <v/>
      </c>
      <c r="C420" s="8" t="str">
        <f>IF($K420="","",INDEX(Конструктор!$D$2:$D$1212,$K420)&amp;IF(INDEX(Конструктор!$J$2:$J$1212,$K420)&lt;&gt;""," — "&amp;INDEX(Конструктор!$J$2:$J$1212,$K420),""))</f>
        <v/>
      </c>
      <c r="D420" t="str">
        <f>IF($K420="","",INDEX(Конструктор!$E$2:$E$1212,$K420))</f>
        <v/>
      </c>
      <c r="E420" s="10" t="str">
        <f>IF($K420="","",INDEX(Конструктор!$H$2:$H$1212,$K420))</f>
        <v/>
      </c>
      <c r="F420" s="10" t="str">
        <f>IF($K420="","",INDEX(Конструктор!$L$2:$L$1212,$K420))</f>
        <v/>
      </c>
      <c r="G420" s="10" t="str">
        <f>IF($K420="","",INDEX(Конструктор!$M$2:$M$1212,$K420))</f>
        <v/>
      </c>
      <c r="H420" s="10" t="str">
        <f>IF($K420="","",INDEX(Конструктор!$N$2:$N$1212,$K420))</f>
        <v/>
      </c>
      <c r="I420" s="10" t="str">
        <f>IF($K420="","",INDEX(Конструктор!$O$2:$O$1212,$K420))</f>
        <v/>
      </c>
      <c r="J420" s="10" t="str">
        <f>IF($K420="","",INDEX(Конструктор!$P$2:$P$1212,$K420))</f>
        <v/>
      </c>
      <c r="K420" t="str">
        <f>IFERROR(MATCH(400,Конструктор!$T$2:$T$1212,0),"")</f>
        <v/>
      </c>
      <c r="L420" t="str">
        <f t="shared" si="6"/>
        <v/>
      </c>
    </row>
    <row r="421" spans="1:12" hidden="1" x14ac:dyDescent="0.3">
      <c r="A421" t="str">
        <f>IF($K421="","",401)</f>
        <v/>
      </c>
      <c r="B421" t="str">
        <f>IF($K421="","",INDEX(Конструктор!$C$2:$C$1212,$K421))</f>
        <v/>
      </c>
      <c r="C421" s="8" t="str">
        <f>IF($K421="","",INDEX(Конструктор!$D$2:$D$1212,$K421)&amp;IF(INDEX(Конструктор!$J$2:$J$1212,$K421)&lt;&gt;""," — "&amp;INDEX(Конструктор!$J$2:$J$1212,$K421),""))</f>
        <v/>
      </c>
      <c r="D421" t="str">
        <f>IF($K421="","",INDEX(Конструктор!$E$2:$E$1212,$K421))</f>
        <v/>
      </c>
      <c r="E421" s="10" t="str">
        <f>IF($K421="","",INDEX(Конструктор!$H$2:$H$1212,$K421))</f>
        <v/>
      </c>
      <c r="F421" s="10" t="str">
        <f>IF($K421="","",INDEX(Конструктор!$L$2:$L$1212,$K421))</f>
        <v/>
      </c>
      <c r="G421" s="10" t="str">
        <f>IF($K421="","",INDEX(Конструктор!$M$2:$M$1212,$K421))</f>
        <v/>
      </c>
      <c r="H421" s="10" t="str">
        <f>IF($K421="","",INDEX(Конструктор!$N$2:$N$1212,$K421))</f>
        <v/>
      </c>
      <c r="I421" s="10" t="str">
        <f>IF($K421="","",INDEX(Конструктор!$O$2:$O$1212,$K421))</f>
        <v/>
      </c>
      <c r="J421" s="10" t="str">
        <f>IF($K421="","",INDEX(Конструктор!$P$2:$P$1212,$K421))</f>
        <v/>
      </c>
      <c r="K421" t="str">
        <f>IFERROR(MATCH(401,Конструктор!$T$2:$T$1212,0),"")</f>
        <v/>
      </c>
      <c r="L421" t="str">
        <f t="shared" si="6"/>
        <v/>
      </c>
    </row>
    <row r="422" spans="1:12" hidden="1" x14ac:dyDescent="0.3">
      <c r="A422" t="str">
        <f>IF($K422="","",402)</f>
        <v/>
      </c>
      <c r="B422" t="str">
        <f>IF($K422="","",INDEX(Конструктор!$C$2:$C$1212,$K422))</f>
        <v/>
      </c>
      <c r="C422" s="8" t="str">
        <f>IF($K422="","",INDEX(Конструктор!$D$2:$D$1212,$K422)&amp;IF(INDEX(Конструктор!$J$2:$J$1212,$K422)&lt;&gt;""," — "&amp;INDEX(Конструктор!$J$2:$J$1212,$K422),""))</f>
        <v/>
      </c>
      <c r="D422" t="str">
        <f>IF($K422="","",INDEX(Конструктор!$E$2:$E$1212,$K422))</f>
        <v/>
      </c>
      <c r="E422" s="10" t="str">
        <f>IF($K422="","",INDEX(Конструктор!$H$2:$H$1212,$K422))</f>
        <v/>
      </c>
      <c r="F422" s="10" t="str">
        <f>IF($K422="","",INDEX(Конструктор!$L$2:$L$1212,$K422))</f>
        <v/>
      </c>
      <c r="G422" s="10" t="str">
        <f>IF($K422="","",INDEX(Конструктор!$M$2:$M$1212,$K422))</f>
        <v/>
      </c>
      <c r="H422" s="10" t="str">
        <f>IF($K422="","",INDEX(Конструктор!$N$2:$N$1212,$K422))</f>
        <v/>
      </c>
      <c r="I422" s="10" t="str">
        <f>IF($K422="","",INDEX(Конструктор!$O$2:$O$1212,$K422))</f>
        <v/>
      </c>
      <c r="J422" s="10" t="str">
        <f>IF($K422="","",INDEX(Конструктор!$P$2:$P$1212,$K422))</f>
        <v/>
      </c>
      <c r="K422" t="str">
        <f>IFERROR(MATCH(402,Конструктор!$T$2:$T$1212,0),"")</f>
        <v/>
      </c>
      <c r="L422" t="str">
        <f t="shared" si="6"/>
        <v/>
      </c>
    </row>
    <row r="423" spans="1:12" hidden="1" x14ac:dyDescent="0.3">
      <c r="A423" t="str">
        <f>IF($K423="","",403)</f>
        <v/>
      </c>
      <c r="B423" t="str">
        <f>IF($K423="","",INDEX(Конструктор!$C$2:$C$1212,$K423))</f>
        <v/>
      </c>
      <c r="C423" s="8" t="str">
        <f>IF($K423="","",INDEX(Конструктор!$D$2:$D$1212,$K423)&amp;IF(INDEX(Конструктор!$J$2:$J$1212,$K423)&lt;&gt;""," — "&amp;INDEX(Конструктор!$J$2:$J$1212,$K423),""))</f>
        <v/>
      </c>
      <c r="D423" t="str">
        <f>IF($K423="","",INDEX(Конструктор!$E$2:$E$1212,$K423))</f>
        <v/>
      </c>
      <c r="E423" s="10" t="str">
        <f>IF($K423="","",INDEX(Конструктор!$H$2:$H$1212,$K423))</f>
        <v/>
      </c>
      <c r="F423" s="10" t="str">
        <f>IF($K423="","",INDEX(Конструктор!$L$2:$L$1212,$K423))</f>
        <v/>
      </c>
      <c r="G423" s="10" t="str">
        <f>IF($K423="","",INDEX(Конструктор!$M$2:$M$1212,$K423))</f>
        <v/>
      </c>
      <c r="H423" s="10" t="str">
        <f>IF($K423="","",INDEX(Конструктор!$N$2:$N$1212,$K423))</f>
        <v/>
      </c>
      <c r="I423" s="10" t="str">
        <f>IF($K423="","",INDEX(Конструктор!$O$2:$O$1212,$K423))</f>
        <v/>
      </c>
      <c r="J423" s="10" t="str">
        <f>IF($K423="","",INDEX(Конструктор!$P$2:$P$1212,$K423))</f>
        <v/>
      </c>
      <c r="K423" t="str">
        <f>IFERROR(MATCH(403,Конструктор!$T$2:$T$1212,0),"")</f>
        <v/>
      </c>
      <c r="L423" t="str">
        <f t="shared" si="6"/>
        <v/>
      </c>
    </row>
    <row r="424" spans="1:12" hidden="1" x14ac:dyDescent="0.3">
      <c r="A424" t="str">
        <f>IF($K424="","",404)</f>
        <v/>
      </c>
      <c r="B424" t="str">
        <f>IF($K424="","",INDEX(Конструктор!$C$2:$C$1212,$K424))</f>
        <v/>
      </c>
      <c r="C424" s="8" t="str">
        <f>IF($K424="","",INDEX(Конструктор!$D$2:$D$1212,$K424)&amp;IF(INDEX(Конструктор!$J$2:$J$1212,$K424)&lt;&gt;""," — "&amp;INDEX(Конструктор!$J$2:$J$1212,$K424),""))</f>
        <v/>
      </c>
      <c r="D424" t="str">
        <f>IF($K424="","",INDEX(Конструктор!$E$2:$E$1212,$K424))</f>
        <v/>
      </c>
      <c r="E424" s="10" t="str">
        <f>IF($K424="","",INDEX(Конструктор!$H$2:$H$1212,$K424))</f>
        <v/>
      </c>
      <c r="F424" s="10" t="str">
        <f>IF($K424="","",INDEX(Конструктор!$L$2:$L$1212,$K424))</f>
        <v/>
      </c>
      <c r="G424" s="10" t="str">
        <f>IF($K424="","",INDEX(Конструктор!$M$2:$M$1212,$K424))</f>
        <v/>
      </c>
      <c r="H424" s="10" t="str">
        <f>IF($K424="","",INDEX(Конструктор!$N$2:$N$1212,$K424))</f>
        <v/>
      </c>
      <c r="I424" s="10" t="str">
        <f>IF($K424="","",INDEX(Конструктор!$O$2:$O$1212,$K424))</f>
        <v/>
      </c>
      <c r="J424" s="10" t="str">
        <f>IF($K424="","",INDEX(Конструктор!$P$2:$P$1212,$K424))</f>
        <v/>
      </c>
      <c r="K424" t="str">
        <f>IFERROR(MATCH(404,Конструктор!$T$2:$T$1212,0),"")</f>
        <v/>
      </c>
      <c r="L424" t="str">
        <f t="shared" si="6"/>
        <v/>
      </c>
    </row>
    <row r="425" spans="1:12" hidden="1" x14ac:dyDescent="0.3">
      <c r="A425" t="str">
        <f>IF($K425="","",405)</f>
        <v/>
      </c>
      <c r="B425" t="str">
        <f>IF($K425="","",INDEX(Конструктор!$C$2:$C$1212,$K425))</f>
        <v/>
      </c>
      <c r="C425" s="8" t="str">
        <f>IF($K425="","",INDEX(Конструктор!$D$2:$D$1212,$K425)&amp;IF(INDEX(Конструктор!$J$2:$J$1212,$K425)&lt;&gt;""," — "&amp;INDEX(Конструктор!$J$2:$J$1212,$K425),""))</f>
        <v/>
      </c>
      <c r="D425" t="str">
        <f>IF($K425="","",INDEX(Конструктор!$E$2:$E$1212,$K425))</f>
        <v/>
      </c>
      <c r="E425" s="10" t="str">
        <f>IF($K425="","",INDEX(Конструктор!$H$2:$H$1212,$K425))</f>
        <v/>
      </c>
      <c r="F425" s="10" t="str">
        <f>IF($K425="","",INDEX(Конструктор!$L$2:$L$1212,$K425))</f>
        <v/>
      </c>
      <c r="G425" s="10" t="str">
        <f>IF($K425="","",INDEX(Конструктор!$M$2:$M$1212,$K425))</f>
        <v/>
      </c>
      <c r="H425" s="10" t="str">
        <f>IF($K425="","",INDEX(Конструктор!$N$2:$N$1212,$K425))</f>
        <v/>
      </c>
      <c r="I425" s="10" t="str">
        <f>IF($K425="","",INDEX(Конструктор!$O$2:$O$1212,$K425))</f>
        <v/>
      </c>
      <c r="J425" s="10" t="str">
        <f>IF($K425="","",INDEX(Конструктор!$P$2:$P$1212,$K425))</f>
        <v/>
      </c>
      <c r="K425" t="str">
        <f>IFERROR(MATCH(405,Конструктор!$T$2:$T$1212,0),"")</f>
        <v/>
      </c>
      <c r="L425" t="str">
        <f t="shared" si="6"/>
        <v/>
      </c>
    </row>
    <row r="426" spans="1:12" hidden="1" x14ac:dyDescent="0.3">
      <c r="A426" t="str">
        <f>IF($K426="","",406)</f>
        <v/>
      </c>
      <c r="B426" t="str">
        <f>IF($K426="","",INDEX(Конструктор!$C$2:$C$1212,$K426))</f>
        <v/>
      </c>
      <c r="C426" s="8" t="str">
        <f>IF($K426="","",INDEX(Конструктор!$D$2:$D$1212,$K426)&amp;IF(INDEX(Конструктор!$J$2:$J$1212,$K426)&lt;&gt;""," — "&amp;INDEX(Конструктор!$J$2:$J$1212,$K426),""))</f>
        <v/>
      </c>
      <c r="D426" t="str">
        <f>IF($K426="","",INDEX(Конструктор!$E$2:$E$1212,$K426))</f>
        <v/>
      </c>
      <c r="E426" s="10" t="str">
        <f>IF($K426="","",INDEX(Конструктор!$H$2:$H$1212,$K426))</f>
        <v/>
      </c>
      <c r="F426" s="10" t="str">
        <f>IF($K426="","",INDEX(Конструктор!$L$2:$L$1212,$K426))</f>
        <v/>
      </c>
      <c r="G426" s="10" t="str">
        <f>IF($K426="","",INDEX(Конструктор!$M$2:$M$1212,$K426))</f>
        <v/>
      </c>
      <c r="H426" s="10" t="str">
        <f>IF($K426="","",INDEX(Конструктор!$N$2:$N$1212,$K426))</f>
        <v/>
      </c>
      <c r="I426" s="10" t="str">
        <f>IF($K426="","",INDEX(Конструктор!$O$2:$O$1212,$K426))</f>
        <v/>
      </c>
      <c r="J426" s="10" t="str">
        <f>IF($K426="","",INDEX(Конструктор!$P$2:$P$1212,$K426))</f>
        <v/>
      </c>
      <c r="K426" t="str">
        <f>IFERROR(MATCH(406,Конструктор!$T$2:$T$1212,0),"")</f>
        <v/>
      </c>
      <c r="L426" t="str">
        <f t="shared" si="6"/>
        <v/>
      </c>
    </row>
    <row r="427" spans="1:12" hidden="1" x14ac:dyDescent="0.3">
      <c r="A427" t="str">
        <f>IF($K427="","",407)</f>
        <v/>
      </c>
      <c r="B427" t="str">
        <f>IF($K427="","",INDEX(Конструктор!$C$2:$C$1212,$K427))</f>
        <v/>
      </c>
      <c r="C427" s="8" t="str">
        <f>IF($K427="","",INDEX(Конструктор!$D$2:$D$1212,$K427)&amp;IF(INDEX(Конструктор!$J$2:$J$1212,$K427)&lt;&gt;""," — "&amp;INDEX(Конструктор!$J$2:$J$1212,$K427),""))</f>
        <v/>
      </c>
      <c r="D427" t="str">
        <f>IF($K427="","",INDEX(Конструктор!$E$2:$E$1212,$K427))</f>
        <v/>
      </c>
      <c r="E427" s="10" t="str">
        <f>IF($K427="","",INDEX(Конструктор!$H$2:$H$1212,$K427))</f>
        <v/>
      </c>
      <c r="F427" s="10" t="str">
        <f>IF($K427="","",INDEX(Конструктор!$L$2:$L$1212,$K427))</f>
        <v/>
      </c>
      <c r="G427" s="10" t="str">
        <f>IF($K427="","",INDEX(Конструктор!$M$2:$M$1212,$K427))</f>
        <v/>
      </c>
      <c r="H427" s="10" t="str">
        <f>IF($K427="","",INDEX(Конструктор!$N$2:$N$1212,$K427))</f>
        <v/>
      </c>
      <c r="I427" s="10" t="str">
        <f>IF($K427="","",INDEX(Конструктор!$O$2:$O$1212,$K427))</f>
        <v/>
      </c>
      <c r="J427" s="10" t="str">
        <f>IF($K427="","",INDEX(Конструктор!$P$2:$P$1212,$K427))</f>
        <v/>
      </c>
      <c r="K427" t="str">
        <f>IFERROR(MATCH(407,Конструктор!$T$2:$T$1212,0),"")</f>
        <v/>
      </c>
      <c r="L427" t="str">
        <f t="shared" si="6"/>
        <v/>
      </c>
    </row>
    <row r="428" spans="1:12" hidden="1" x14ac:dyDescent="0.3">
      <c r="A428" t="str">
        <f>IF($K428="","",408)</f>
        <v/>
      </c>
      <c r="B428" t="str">
        <f>IF($K428="","",INDEX(Конструктор!$C$2:$C$1212,$K428))</f>
        <v/>
      </c>
      <c r="C428" s="8" t="str">
        <f>IF($K428="","",INDEX(Конструктор!$D$2:$D$1212,$K428)&amp;IF(INDEX(Конструктор!$J$2:$J$1212,$K428)&lt;&gt;""," — "&amp;INDEX(Конструктор!$J$2:$J$1212,$K428),""))</f>
        <v/>
      </c>
      <c r="D428" t="str">
        <f>IF($K428="","",INDEX(Конструктор!$E$2:$E$1212,$K428))</f>
        <v/>
      </c>
      <c r="E428" s="10" t="str">
        <f>IF($K428="","",INDEX(Конструктор!$H$2:$H$1212,$K428))</f>
        <v/>
      </c>
      <c r="F428" s="10" t="str">
        <f>IF($K428="","",INDEX(Конструктор!$L$2:$L$1212,$K428))</f>
        <v/>
      </c>
      <c r="G428" s="10" t="str">
        <f>IF($K428="","",INDEX(Конструктор!$M$2:$M$1212,$K428))</f>
        <v/>
      </c>
      <c r="H428" s="10" t="str">
        <f>IF($K428="","",INDEX(Конструктор!$N$2:$N$1212,$K428))</f>
        <v/>
      </c>
      <c r="I428" s="10" t="str">
        <f>IF($K428="","",INDEX(Конструктор!$O$2:$O$1212,$K428))</f>
        <v/>
      </c>
      <c r="J428" s="10" t="str">
        <f>IF($K428="","",INDEX(Конструктор!$P$2:$P$1212,$K428))</f>
        <v/>
      </c>
      <c r="K428" t="str">
        <f>IFERROR(MATCH(408,Конструктор!$T$2:$T$1212,0),"")</f>
        <v/>
      </c>
      <c r="L428" t="str">
        <f t="shared" si="6"/>
        <v/>
      </c>
    </row>
    <row r="429" spans="1:12" hidden="1" x14ac:dyDescent="0.3">
      <c r="A429" t="str">
        <f>IF($K429="","",409)</f>
        <v/>
      </c>
      <c r="B429" t="str">
        <f>IF($K429="","",INDEX(Конструктор!$C$2:$C$1212,$K429))</f>
        <v/>
      </c>
      <c r="C429" s="8" t="str">
        <f>IF($K429="","",INDEX(Конструктор!$D$2:$D$1212,$K429)&amp;IF(INDEX(Конструктор!$J$2:$J$1212,$K429)&lt;&gt;""," — "&amp;INDEX(Конструктор!$J$2:$J$1212,$K429),""))</f>
        <v/>
      </c>
      <c r="D429" t="str">
        <f>IF($K429="","",INDEX(Конструктор!$E$2:$E$1212,$K429))</f>
        <v/>
      </c>
      <c r="E429" s="10" t="str">
        <f>IF($K429="","",INDEX(Конструктор!$H$2:$H$1212,$K429))</f>
        <v/>
      </c>
      <c r="F429" s="10" t="str">
        <f>IF($K429="","",INDEX(Конструктор!$L$2:$L$1212,$K429))</f>
        <v/>
      </c>
      <c r="G429" s="10" t="str">
        <f>IF($K429="","",INDEX(Конструктор!$M$2:$M$1212,$K429))</f>
        <v/>
      </c>
      <c r="H429" s="10" t="str">
        <f>IF($K429="","",INDEX(Конструктор!$N$2:$N$1212,$K429))</f>
        <v/>
      </c>
      <c r="I429" s="10" t="str">
        <f>IF($K429="","",INDEX(Конструктор!$O$2:$O$1212,$K429))</f>
        <v/>
      </c>
      <c r="J429" s="10" t="str">
        <f>IF($K429="","",INDEX(Конструктор!$P$2:$P$1212,$K429))</f>
        <v/>
      </c>
      <c r="K429" t="str">
        <f>IFERROR(MATCH(409,Конструктор!$T$2:$T$1212,0),"")</f>
        <v/>
      </c>
      <c r="L429" t="str">
        <f t="shared" si="6"/>
        <v/>
      </c>
    </row>
    <row r="430" spans="1:12" hidden="1" x14ac:dyDescent="0.3">
      <c r="A430" t="str">
        <f>IF($K430="","",410)</f>
        <v/>
      </c>
      <c r="B430" t="str">
        <f>IF($K430="","",INDEX(Конструктор!$C$2:$C$1212,$K430))</f>
        <v/>
      </c>
      <c r="C430" s="8" t="str">
        <f>IF($K430="","",INDEX(Конструктор!$D$2:$D$1212,$K430)&amp;IF(INDEX(Конструктор!$J$2:$J$1212,$K430)&lt;&gt;""," — "&amp;INDEX(Конструктор!$J$2:$J$1212,$K430),""))</f>
        <v/>
      </c>
      <c r="D430" t="str">
        <f>IF($K430="","",INDEX(Конструктор!$E$2:$E$1212,$K430))</f>
        <v/>
      </c>
      <c r="E430" s="10" t="str">
        <f>IF($K430="","",INDEX(Конструктор!$H$2:$H$1212,$K430))</f>
        <v/>
      </c>
      <c r="F430" s="10" t="str">
        <f>IF($K430="","",INDEX(Конструктор!$L$2:$L$1212,$K430))</f>
        <v/>
      </c>
      <c r="G430" s="10" t="str">
        <f>IF($K430="","",INDEX(Конструктор!$M$2:$M$1212,$K430))</f>
        <v/>
      </c>
      <c r="H430" s="10" t="str">
        <f>IF($K430="","",INDEX(Конструктор!$N$2:$N$1212,$K430))</f>
        <v/>
      </c>
      <c r="I430" s="10" t="str">
        <f>IF($K430="","",INDEX(Конструктор!$O$2:$O$1212,$K430))</f>
        <v/>
      </c>
      <c r="J430" s="10" t="str">
        <f>IF($K430="","",INDEX(Конструктор!$P$2:$P$1212,$K430))</f>
        <v/>
      </c>
      <c r="K430" t="str">
        <f>IFERROR(MATCH(410,Конструктор!$T$2:$T$1212,0),"")</f>
        <v/>
      </c>
      <c r="L430" t="str">
        <f t="shared" si="6"/>
        <v/>
      </c>
    </row>
    <row r="431" spans="1:12" hidden="1" x14ac:dyDescent="0.3">
      <c r="A431" t="str">
        <f>IF($K431="","",411)</f>
        <v/>
      </c>
      <c r="B431" t="str">
        <f>IF($K431="","",INDEX(Конструктор!$C$2:$C$1212,$K431))</f>
        <v/>
      </c>
      <c r="C431" s="8" t="str">
        <f>IF($K431="","",INDEX(Конструктор!$D$2:$D$1212,$K431)&amp;IF(INDEX(Конструктор!$J$2:$J$1212,$K431)&lt;&gt;""," — "&amp;INDEX(Конструктор!$J$2:$J$1212,$K431),""))</f>
        <v/>
      </c>
      <c r="D431" t="str">
        <f>IF($K431="","",INDEX(Конструктор!$E$2:$E$1212,$K431))</f>
        <v/>
      </c>
      <c r="E431" s="10" t="str">
        <f>IF($K431="","",INDEX(Конструктор!$H$2:$H$1212,$K431))</f>
        <v/>
      </c>
      <c r="F431" s="10" t="str">
        <f>IF($K431="","",INDEX(Конструктор!$L$2:$L$1212,$K431))</f>
        <v/>
      </c>
      <c r="G431" s="10" t="str">
        <f>IF($K431="","",INDEX(Конструктор!$M$2:$M$1212,$K431))</f>
        <v/>
      </c>
      <c r="H431" s="10" t="str">
        <f>IF($K431="","",INDEX(Конструктор!$N$2:$N$1212,$K431))</f>
        <v/>
      </c>
      <c r="I431" s="10" t="str">
        <f>IF($K431="","",INDEX(Конструктор!$O$2:$O$1212,$K431))</f>
        <v/>
      </c>
      <c r="J431" s="10" t="str">
        <f>IF($K431="","",INDEX(Конструктор!$P$2:$P$1212,$K431))</f>
        <v/>
      </c>
      <c r="K431" t="str">
        <f>IFERROR(MATCH(411,Конструктор!$T$2:$T$1212,0),"")</f>
        <v/>
      </c>
      <c r="L431" t="str">
        <f t="shared" si="6"/>
        <v/>
      </c>
    </row>
    <row r="432" spans="1:12" hidden="1" x14ac:dyDescent="0.3">
      <c r="A432" t="str">
        <f>IF($K432="","",412)</f>
        <v/>
      </c>
      <c r="B432" t="str">
        <f>IF($K432="","",INDEX(Конструктор!$C$2:$C$1212,$K432))</f>
        <v/>
      </c>
      <c r="C432" s="8" t="str">
        <f>IF($K432="","",INDEX(Конструктор!$D$2:$D$1212,$K432)&amp;IF(INDEX(Конструктор!$J$2:$J$1212,$K432)&lt;&gt;""," — "&amp;INDEX(Конструктор!$J$2:$J$1212,$K432),""))</f>
        <v/>
      </c>
      <c r="D432" t="str">
        <f>IF($K432="","",INDEX(Конструктор!$E$2:$E$1212,$K432))</f>
        <v/>
      </c>
      <c r="E432" s="10" t="str">
        <f>IF($K432="","",INDEX(Конструктор!$H$2:$H$1212,$K432))</f>
        <v/>
      </c>
      <c r="F432" s="10" t="str">
        <f>IF($K432="","",INDEX(Конструктор!$L$2:$L$1212,$K432))</f>
        <v/>
      </c>
      <c r="G432" s="10" t="str">
        <f>IF($K432="","",INDEX(Конструктор!$M$2:$M$1212,$K432))</f>
        <v/>
      </c>
      <c r="H432" s="10" t="str">
        <f>IF($K432="","",INDEX(Конструктор!$N$2:$N$1212,$K432))</f>
        <v/>
      </c>
      <c r="I432" s="10" t="str">
        <f>IF($K432="","",INDEX(Конструктор!$O$2:$O$1212,$K432))</f>
        <v/>
      </c>
      <c r="J432" s="10" t="str">
        <f>IF($K432="","",INDEX(Конструктор!$P$2:$P$1212,$K432))</f>
        <v/>
      </c>
      <c r="K432" t="str">
        <f>IFERROR(MATCH(412,Конструктор!$T$2:$T$1212,0),"")</f>
        <v/>
      </c>
      <c r="L432" t="str">
        <f t="shared" si="6"/>
        <v/>
      </c>
    </row>
    <row r="433" spans="1:12" hidden="1" x14ac:dyDescent="0.3">
      <c r="A433" t="str">
        <f>IF($K433="","",413)</f>
        <v/>
      </c>
      <c r="B433" t="str">
        <f>IF($K433="","",INDEX(Конструктор!$C$2:$C$1212,$K433))</f>
        <v/>
      </c>
      <c r="C433" s="8" t="str">
        <f>IF($K433="","",INDEX(Конструктор!$D$2:$D$1212,$K433)&amp;IF(INDEX(Конструктор!$J$2:$J$1212,$K433)&lt;&gt;""," — "&amp;INDEX(Конструктор!$J$2:$J$1212,$K433),""))</f>
        <v/>
      </c>
      <c r="D433" t="str">
        <f>IF($K433="","",INDEX(Конструктор!$E$2:$E$1212,$K433))</f>
        <v/>
      </c>
      <c r="E433" s="10" t="str">
        <f>IF($K433="","",INDEX(Конструктор!$H$2:$H$1212,$K433))</f>
        <v/>
      </c>
      <c r="F433" s="10" t="str">
        <f>IF($K433="","",INDEX(Конструктор!$L$2:$L$1212,$K433))</f>
        <v/>
      </c>
      <c r="G433" s="10" t="str">
        <f>IF($K433="","",INDEX(Конструктор!$M$2:$M$1212,$K433))</f>
        <v/>
      </c>
      <c r="H433" s="10" t="str">
        <f>IF($K433="","",INDEX(Конструктор!$N$2:$N$1212,$K433))</f>
        <v/>
      </c>
      <c r="I433" s="10" t="str">
        <f>IF($K433="","",INDEX(Конструктор!$O$2:$O$1212,$K433))</f>
        <v/>
      </c>
      <c r="J433" s="10" t="str">
        <f>IF($K433="","",INDEX(Конструктор!$P$2:$P$1212,$K433))</f>
        <v/>
      </c>
      <c r="K433" t="str">
        <f>IFERROR(MATCH(413,Конструктор!$T$2:$T$1212,0),"")</f>
        <v/>
      </c>
      <c r="L433" t="str">
        <f t="shared" si="6"/>
        <v/>
      </c>
    </row>
    <row r="434" spans="1:12" hidden="1" x14ac:dyDescent="0.3">
      <c r="A434" t="str">
        <f>IF($K434="","",414)</f>
        <v/>
      </c>
      <c r="B434" t="str">
        <f>IF($K434="","",INDEX(Конструктор!$C$2:$C$1212,$K434))</f>
        <v/>
      </c>
      <c r="C434" s="8" t="str">
        <f>IF($K434="","",INDEX(Конструктор!$D$2:$D$1212,$K434)&amp;IF(INDEX(Конструктор!$J$2:$J$1212,$K434)&lt;&gt;""," — "&amp;INDEX(Конструктор!$J$2:$J$1212,$K434),""))</f>
        <v/>
      </c>
      <c r="D434" t="str">
        <f>IF($K434="","",INDEX(Конструктор!$E$2:$E$1212,$K434))</f>
        <v/>
      </c>
      <c r="E434" s="10" t="str">
        <f>IF($K434="","",INDEX(Конструктор!$H$2:$H$1212,$K434))</f>
        <v/>
      </c>
      <c r="F434" s="10" t="str">
        <f>IF($K434="","",INDEX(Конструктор!$L$2:$L$1212,$K434))</f>
        <v/>
      </c>
      <c r="G434" s="10" t="str">
        <f>IF($K434="","",INDEX(Конструктор!$M$2:$M$1212,$K434))</f>
        <v/>
      </c>
      <c r="H434" s="10" t="str">
        <f>IF($K434="","",INDEX(Конструктор!$N$2:$N$1212,$K434))</f>
        <v/>
      </c>
      <c r="I434" s="10" t="str">
        <f>IF($K434="","",INDEX(Конструктор!$O$2:$O$1212,$K434))</f>
        <v/>
      </c>
      <c r="J434" s="10" t="str">
        <f>IF($K434="","",INDEX(Конструктор!$P$2:$P$1212,$K434))</f>
        <v/>
      </c>
      <c r="K434" t="str">
        <f>IFERROR(MATCH(414,Конструктор!$T$2:$T$1212,0),"")</f>
        <v/>
      </c>
      <c r="L434" t="str">
        <f t="shared" si="6"/>
        <v/>
      </c>
    </row>
    <row r="435" spans="1:12" hidden="1" x14ac:dyDescent="0.3">
      <c r="A435" t="str">
        <f>IF($K435="","",415)</f>
        <v/>
      </c>
      <c r="B435" t="str">
        <f>IF($K435="","",INDEX(Конструктор!$C$2:$C$1212,$K435))</f>
        <v/>
      </c>
      <c r="C435" s="8" t="str">
        <f>IF($K435="","",INDEX(Конструктор!$D$2:$D$1212,$K435)&amp;IF(INDEX(Конструктор!$J$2:$J$1212,$K435)&lt;&gt;""," — "&amp;INDEX(Конструктор!$J$2:$J$1212,$K435),""))</f>
        <v/>
      </c>
      <c r="D435" t="str">
        <f>IF($K435="","",INDEX(Конструктор!$E$2:$E$1212,$K435))</f>
        <v/>
      </c>
      <c r="E435" s="10" t="str">
        <f>IF($K435="","",INDEX(Конструктор!$H$2:$H$1212,$K435))</f>
        <v/>
      </c>
      <c r="F435" s="10" t="str">
        <f>IF($K435="","",INDEX(Конструктор!$L$2:$L$1212,$K435))</f>
        <v/>
      </c>
      <c r="G435" s="10" t="str">
        <f>IF($K435="","",INDEX(Конструктор!$M$2:$M$1212,$K435))</f>
        <v/>
      </c>
      <c r="H435" s="10" t="str">
        <f>IF($K435="","",INDEX(Конструктор!$N$2:$N$1212,$K435))</f>
        <v/>
      </c>
      <c r="I435" s="10" t="str">
        <f>IF($K435="","",INDEX(Конструктор!$O$2:$O$1212,$K435))</f>
        <v/>
      </c>
      <c r="J435" s="10" t="str">
        <f>IF($K435="","",INDEX(Конструктор!$P$2:$P$1212,$K435))</f>
        <v/>
      </c>
      <c r="K435" t="str">
        <f>IFERROR(MATCH(415,Конструктор!$T$2:$T$1212,0),"")</f>
        <v/>
      </c>
      <c r="L435" t="str">
        <f t="shared" si="6"/>
        <v/>
      </c>
    </row>
    <row r="436" spans="1:12" hidden="1" x14ac:dyDescent="0.3">
      <c r="A436" t="str">
        <f>IF($K436="","",416)</f>
        <v/>
      </c>
      <c r="B436" t="str">
        <f>IF($K436="","",INDEX(Конструктор!$C$2:$C$1212,$K436))</f>
        <v/>
      </c>
      <c r="C436" s="8" t="str">
        <f>IF($K436="","",INDEX(Конструктор!$D$2:$D$1212,$K436)&amp;IF(INDEX(Конструктор!$J$2:$J$1212,$K436)&lt;&gt;""," — "&amp;INDEX(Конструктор!$J$2:$J$1212,$K436),""))</f>
        <v/>
      </c>
      <c r="D436" t="str">
        <f>IF($K436="","",INDEX(Конструктор!$E$2:$E$1212,$K436))</f>
        <v/>
      </c>
      <c r="E436" s="10" t="str">
        <f>IF($K436="","",INDEX(Конструктор!$H$2:$H$1212,$K436))</f>
        <v/>
      </c>
      <c r="F436" s="10" t="str">
        <f>IF($K436="","",INDEX(Конструктор!$L$2:$L$1212,$K436))</f>
        <v/>
      </c>
      <c r="G436" s="10" t="str">
        <f>IF($K436="","",INDEX(Конструктор!$M$2:$M$1212,$K436))</f>
        <v/>
      </c>
      <c r="H436" s="10" t="str">
        <f>IF($K436="","",INDEX(Конструктор!$N$2:$N$1212,$K436))</f>
        <v/>
      </c>
      <c r="I436" s="10" t="str">
        <f>IF($K436="","",INDEX(Конструктор!$O$2:$O$1212,$K436))</f>
        <v/>
      </c>
      <c r="J436" s="10" t="str">
        <f>IF($K436="","",INDEX(Конструктор!$P$2:$P$1212,$K436))</f>
        <v/>
      </c>
      <c r="K436" t="str">
        <f>IFERROR(MATCH(416,Конструктор!$T$2:$T$1212,0),"")</f>
        <v/>
      </c>
      <c r="L436" t="str">
        <f t="shared" si="6"/>
        <v/>
      </c>
    </row>
    <row r="437" spans="1:12" hidden="1" x14ac:dyDescent="0.3">
      <c r="A437" t="str">
        <f>IF($K437="","",417)</f>
        <v/>
      </c>
      <c r="B437" t="str">
        <f>IF($K437="","",INDEX(Конструктор!$C$2:$C$1212,$K437))</f>
        <v/>
      </c>
      <c r="C437" s="8" t="str">
        <f>IF($K437="","",INDEX(Конструктор!$D$2:$D$1212,$K437)&amp;IF(INDEX(Конструктор!$J$2:$J$1212,$K437)&lt;&gt;""," — "&amp;INDEX(Конструктор!$J$2:$J$1212,$K437),""))</f>
        <v/>
      </c>
      <c r="D437" t="str">
        <f>IF($K437="","",INDEX(Конструктор!$E$2:$E$1212,$K437))</f>
        <v/>
      </c>
      <c r="E437" s="10" t="str">
        <f>IF($K437="","",INDEX(Конструктор!$H$2:$H$1212,$K437))</f>
        <v/>
      </c>
      <c r="F437" s="10" t="str">
        <f>IF($K437="","",INDEX(Конструктор!$L$2:$L$1212,$K437))</f>
        <v/>
      </c>
      <c r="G437" s="10" t="str">
        <f>IF($K437="","",INDEX(Конструктор!$M$2:$M$1212,$K437))</f>
        <v/>
      </c>
      <c r="H437" s="10" t="str">
        <f>IF($K437="","",INDEX(Конструктор!$N$2:$N$1212,$K437))</f>
        <v/>
      </c>
      <c r="I437" s="10" t="str">
        <f>IF($K437="","",INDEX(Конструктор!$O$2:$O$1212,$K437))</f>
        <v/>
      </c>
      <c r="J437" s="10" t="str">
        <f>IF($K437="","",INDEX(Конструктор!$P$2:$P$1212,$K437))</f>
        <v/>
      </c>
      <c r="K437" t="str">
        <f>IFERROR(MATCH(417,Конструктор!$T$2:$T$1212,0),"")</f>
        <v/>
      </c>
      <c r="L437" t="str">
        <f t="shared" si="6"/>
        <v/>
      </c>
    </row>
    <row r="438" spans="1:12" hidden="1" x14ac:dyDescent="0.3">
      <c r="A438" t="str">
        <f>IF($K438="","",418)</f>
        <v/>
      </c>
      <c r="B438" t="str">
        <f>IF($K438="","",INDEX(Конструктор!$C$2:$C$1212,$K438))</f>
        <v/>
      </c>
      <c r="C438" s="8" t="str">
        <f>IF($K438="","",INDEX(Конструктор!$D$2:$D$1212,$K438)&amp;IF(INDEX(Конструктор!$J$2:$J$1212,$K438)&lt;&gt;""," — "&amp;INDEX(Конструктор!$J$2:$J$1212,$K438),""))</f>
        <v/>
      </c>
      <c r="D438" t="str">
        <f>IF($K438="","",INDEX(Конструктор!$E$2:$E$1212,$K438))</f>
        <v/>
      </c>
      <c r="E438" s="10" t="str">
        <f>IF($K438="","",INDEX(Конструктор!$H$2:$H$1212,$K438))</f>
        <v/>
      </c>
      <c r="F438" s="10" t="str">
        <f>IF($K438="","",INDEX(Конструктор!$L$2:$L$1212,$K438))</f>
        <v/>
      </c>
      <c r="G438" s="10" t="str">
        <f>IF($K438="","",INDEX(Конструктор!$M$2:$M$1212,$K438))</f>
        <v/>
      </c>
      <c r="H438" s="10" t="str">
        <f>IF($K438="","",INDEX(Конструктор!$N$2:$N$1212,$K438))</f>
        <v/>
      </c>
      <c r="I438" s="10" t="str">
        <f>IF($K438="","",INDEX(Конструктор!$O$2:$O$1212,$K438))</f>
        <v/>
      </c>
      <c r="J438" s="10" t="str">
        <f>IF($K438="","",INDEX(Конструктор!$P$2:$P$1212,$K438))</f>
        <v/>
      </c>
      <c r="K438" t="str">
        <f>IFERROR(MATCH(418,Конструктор!$T$2:$T$1212,0),"")</f>
        <v/>
      </c>
      <c r="L438" t="str">
        <f t="shared" si="6"/>
        <v/>
      </c>
    </row>
    <row r="439" spans="1:12" hidden="1" x14ac:dyDescent="0.3">
      <c r="A439" t="str">
        <f>IF($K439="","",419)</f>
        <v/>
      </c>
      <c r="B439" t="str">
        <f>IF($K439="","",INDEX(Конструктор!$C$2:$C$1212,$K439))</f>
        <v/>
      </c>
      <c r="C439" s="8" t="str">
        <f>IF($K439="","",INDEX(Конструктор!$D$2:$D$1212,$K439)&amp;IF(INDEX(Конструктор!$J$2:$J$1212,$K439)&lt;&gt;""," — "&amp;INDEX(Конструктор!$J$2:$J$1212,$K439),""))</f>
        <v/>
      </c>
      <c r="D439" t="str">
        <f>IF($K439="","",INDEX(Конструктор!$E$2:$E$1212,$K439))</f>
        <v/>
      </c>
      <c r="E439" s="10" t="str">
        <f>IF($K439="","",INDEX(Конструктор!$H$2:$H$1212,$K439))</f>
        <v/>
      </c>
      <c r="F439" s="10" t="str">
        <f>IF($K439="","",INDEX(Конструктор!$L$2:$L$1212,$K439))</f>
        <v/>
      </c>
      <c r="G439" s="10" t="str">
        <f>IF($K439="","",INDEX(Конструктор!$M$2:$M$1212,$K439))</f>
        <v/>
      </c>
      <c r="H439" s="10" t="str">
        <f>IF($K439="","",INDEX(Конструктор!$N$2:$N$1212,$K439))</f>
        <v/>
      </c>
      <c r="I439" s="10" t="str">
        <f>IF($K439="","",INDEX(Конструктор!$O$2:$O$1212,$K439))</f>
        <v/>
      </c>
      <c r="J439" s="10" t="str">
        <f>IF($K439="","",INDEX(Конструктор!$P$2:$P$1212,$K439))</f>
        <v/>
      </c>
      <c r="K439" t="str">
        <f>IFERROR(MATCH(419,Конструктор!$T$2:$T$1212,0),"")</f>
        <v/>
      </c>
      <c r="L439" t="str">
        <f t="shared" si="6"/>
        <v/>
      </c>
    </row>
    <row r="440" spans="1:12" hidden="1" x14ac:dyDescent="0.3">
      <c r="A440" t="str">
        <f>IF($K440="","",420)</f>
        <v/>
      </c>
      <c r="B440" t="str">
        <f>IF($K440="","",INDEX(Конструктор!$C$2:$C$1212,$K440))</f>
        <v/>
      </c>
      <c r="C440" s="8" t="str">
        <f>IF($K440="","",INDEX(Конструктор!$D$2:$D$1212,$K440)&amp;IF(INDEX(Конструктор!$J$2:$J$1212,$K440)&lt;&gt;""," — "&amp;INDEX(Конструктор!$J$2:$J$1212,$K440),""))</f>
        <v/>
      </c>
      <c r="D440" t="str">
        <f>IF($K440="","",INDEX(Конструктор!$E$2:$E$1212,$K440))</f>
        <v/>
      </c>
      <c r="E440" s="10" t="str">
        <f>IF($K440="","",INDEX(Конструктор!$H$2:$H$1212,$K440))</f>
        <v/>
      </c>
      <c r="F440" s="10" t="str">
        <f>IF($K440="","",INDEX(Конструктор!$L$2:$L$1212,$K440))</f>
        <v/>
      </c>
      <c r="G440" s="10" t="str">
        <f>IF($K440="","",INDEX(Конструктор!$M$2:$M$1212,$K440))</f>
        <v/>
      </c>
      <c r="H440" s="10" t="str">
        <f>IF($K440="","",INDEX(Конструктор!$N$2:$N$1212,$K440))</f>
        <v/>
      </c>
      <c r="I440" s="10" t="str">
        <f>IF($K440="","",INDEX(Конструктор!$O$2:$O$1212,$K440))</f>
        <v/>
      </c>
      <c r="J440" s="10" t="str">
        <f>IF($K440="","",INDEX(Конструктор!$P$2:$P$1212,$K440))</f>
        <v/>
      </c>
      <c r="K440" t="str">
        <f>IFERROR(MATCH(420,Конструктор!$T$2:$T$1212,0),"")</f>
        <v/>
      </c>
      <c r="L440" t="str">
        <f t="shared" si="6"/>
        <v/>
      </c>
    </row>
    <row r="441" spans="1:12" hidden="1" x14ac:dyDescent="0.3">
      <c r="A441" t="str">
        <f>IF($K441="","",421)</f>
        <v/>
      </c>
      <c r="B441" t="str">
        <f>IF($K441="","",INDEX(Конструктор!$C$2:$C$1212,$K441))</f>
        <v/>
      </c>
      <c r="C441" s="8" t="str">
        <f>IF($K441="","",INDEX(Конструктор!$D$2:$D$1212,$K441)&amp;IF(INDEX(Конструктор!$J$2:$J$1212,$K441)&lt;&gt;""," — "&amp;INDEX(Конструктор!$J$2:$J$1212,$K441),""))</f>
        <v/>
      </c>
      <c r="D441" t="str">
        <f>IF($K441="","",INDEX(Конструктор!$E$2:$E$1212,$K441))</f>
        <v/>
      </c>
      <c r="E441" s="10" t="str">
        <f>IF($K441="","",INDEX(Конструктор!$H$2:$H$1212,$K441))</f>
        <v/>
      </c>
      <c r="F441" s="10" t="str">
        <f>IF($K441="","",INDEX(Конструктор!$L$2:$L$1212,$K441))</f>
        <v/>
      </c>
      <c r="G441" s="10" t="str">
        <f>IF($K441="","",INDEX(Конструктор!$M$2:$M$1212,$K441))</f>
        <v/>
      </c>
      <c r="H441" s="10" t="str">
        <f>IF($K441="","",INDEX(Конструктор!$N$2:$N$1212,$K441))</f>
        <v/>
      </c>
      <c r="I441" s="10" t="str">
        <f>IF($K441="","",INDEX(Конструктор!$O$2:$O$1212,$K441))</f>
        <v/>
      </c>
      <c r="J441" s="10" t="str">
        <f>IF($K441="","",INDEX(Конструктор!$P$2:$P$1212,$K441))</f>
        <v/>
      </c>
      <c r="K441" t="str">
        <f>IFERROR(MATCH(421,Конструктор!$T$2:$T$1212,0),"")</f>
        <v/>
      </c>
      <c r="L441" t="str">
        <f t="shared" si="6"/>
        <v/>
      </c>
    </row>
    <row r="442" spans="1:12" hidden="1" x14ac:dyDescent="0.3">
      <c r="A442" t="str">
        <f>IF($K442="","",422)</f>
        <v/>
      </c>
      <c r="B442" t="str">
        <f>IF($K442="","",INDEX(Конструктор!$C$2:$C$1212,$K442))</f>
        <v/>
      </c>
      <c r="C442" s="8" t="str">
        <f>IF($K442="","",INDEX(Конструктор!$D$2:$D$1212,$K442)&amp;IF(INDEX(Конструктор!$J$2:$J$1212,$K442)&lt;&gt;""," — "&amp;INDEX(Конструктор!$J$2:$J$1212,$K442),""))</f>
        <v/>
      </c>
      <c r="D442" t="str">
        <f>IF($K442="","",INDEX(Конструктор!$E$2:$E$1212,$K442))</f>
        <v/>
      </c>
      <c r="E442" s="10" t="str">
        <f>IF($K442="","",INDEX(Конструктор!$H$2:$H$1212,$K442))</f>
        <v/>
      </c>
      <c r="F442" s="10" t="str">
        <f>IF($K442="","",INDEX(Конструктор!$L$2:$L$1212,$K442))</f>
        <v/>
      </c>
      <c r="G442" s="10" t="str">
        <f>IF($K442="","",INDEX(Конструктор!$M$2:$M$1212,$K442))</f>
        <v/>
      </c>
      <c r="H442" s="10" t="str">
        <f>IF($K442="","",INDEX(Конструктор!$N$2:$N$1212,$K442))</f>
        <v/>
      </c>
      <c r="I442" s="10" t="str">
        <f>IF($K442="","",INDEX(Конструктор!$O$2:$O$1212,$K442))</f>
        <v/>
      </c>
      <c r="J442" s="10" t="str">
        <f>IF($K442="","",INDEX(Конструктор!$P$2:$P$1212,$K442))</f>
        <v/>
      </c>
      <c r="K442" t="str">
        <f>IFERROR(MATCH(422,Конструктор!$T$2:$T$1212,0),"")</f>
        <v/>
      </c>
      <c r="L442" t="str">
        <f t="shared" si="6"/>
        <v/>
      </c>
    </row>
    <row r="443" spans="1:12" hidden="1" x14ac:dyDescent="0.3">
      <c r="A443" t="str">
        <f>IF($K443="","",423)</f>
        <v/>
      </c>
      <c r="B443" t="str">
        <f>IF($K443="","",INDEX(Конструктор!$C$2:$C$1212,$K443))</f>
        <v/>
      </c>
      <c r="C443" s="8" t="str">
        <f>IF($K443="","",INDEX(Конструктор!$D$2:$D$1212,$K443)&amp;IF(INDEX(Конструктор!$J$2:$J$1212,$K443)&lt;&gt;""," — "&amp;INDEX(Конструктор!$J$2:$J$1212,$K443),""))</f>
        <v/>
      </c>
      <c r="D443" t="str">
        <f>IF($K443="","",INDEX(Конструктор!$E$2:$E$1212,$K443))</f>
        <v/>
      </c>
      <c r="E443" s="10" t="str">
        <f>IF($K443="","",INDEX(Конструктор!$H$2:$H$1212,$K443))</f>
        <v/>
      </c>
      <c r="F443" s="10" t="str">
        <f>IF($K443="","",INDEX(Конструктор!$L$2:$L$1212,$K443))</f>
        <v/>
      </c>
      <c r="G443" s="10" t="str">
        <f>IF($K443="","",INDEX(Конструктор!$M$2:$M$1212,$K443))</f>
        <v/>
      </c>
      <c r="H443" s="10" t="str">
        <f>IF($K443="","",INDEX(Конструктор!$N$2:$N$1212,$K443))</f>
        <v/>
      </c>
      <c r="I443" s="10" t="str">
        <f>IF($K443="","",INDEX(Конструктор!$O$2:$O$1212,$K443))</f>
        <v/>
      </c>
      <c r="J443" s="10" t="str">
        <f>IF($K443="","",INDEX(Конструктор!$P$2:$P$1212,$K443))</f>
        <v/>
      </c>
      <c r="K443" t="str">
        <f>IFERROR(MATCH(423,Конструктор!$T$2:$T$1212,0),"")</f>
        <v/>
      </c>
      <c r="L443" t="str">
        <f t="shared" si="6"/>
        <v/>
      </c>
    </row>
    <row r="444" spans="1:12" hidden="1" x14ac:dyDescent="0.3">
      <c r="A444" t="str">
        <f>IF($K444="","",424)</f>
        <v/>
      </c>
      <c r="B444" t="str">
        <f>IF($K444="","",INDEX(Конструктор!$C$2:$C$1212,$K444))</f>
        <v/>
      </c>
      <c r="C444" s="8" t="str">
        <f>IF($K444="","",INDEX(Конструктор!$D$2:$D$1212,$K444)&amp;IF(INDEX(Конструктор!$J$2:$J$1212,$K444)&lt;&gt;""," — "&amp;INDEX(Конструктор!$J$2:$J$1212,$K444),""))</f>
        <v/>
      </c>
      <c r="D444" t="str">
        <f>IF($K444="","",INDEX(Конструктор!$E$2:$E$1212,$K444))</f>
        <v/>
      </c>
      <c r="E444" s="10" t="str">
        <f>IF($K444="","",INDEX(Конструктор!$H$2:$H$1212,$K444))</f>
        <v/>
      </c>
      <c r="F444" s="10" t="str">
        <f>IF($K444="","",INDEX(Конструктор!$L$2:$L$1212,$K444))</f>
        <v/>
      </c>
      <c r="G444" s="10" t="str">
        <f>IF($K444="","",INDEX(Конструктор!$M$2:$M$1212,$K444))</f>
        <v/>
      </c>
      <c r="H444" s="10" t="str">
        <f>IF($K444="","",INDEX(Конструктор!$N$2:$N$1212,$K444))</f>
        <v/>
      </c>
      <c r="I444" s="10" t="str">
        <f>IF($K444="","",INDEX(Конструктор!$O$2:$O$1212,$K444))</f>
        <v/>
      </c>
      <c r="J444" s="10" t="str">
        <f>IF($K444="","",INDEX(Конструктор!$P$2:$P$1212,$K444))</f>
        <v/>
      </c>
      <c r="K444" t="str">
        <f>IFERROR(MATCH(424,Конструктор!$T$2:$T$1212,0),"")</f>
        <v/>
      </c>
      <c r="L444" t="str">
        <f t="shared" si="6"/>
        <v/>
      </c>
    </row>
    <row r="445" spans="1:12" hidden="1" x14ac:dyDescent="0.3">
      <c r="A445" t="str">
        <f>IF($K445="","",425)</f>
        <v/>
      </c>
      <c r="B445" t="str">
        <f>IF($K445="","",INDEX(Конструктор!$C$2:$C$1212,$K445))</f>
        <v/>
      </c>
      <c r="C445" s="8" t="str">
        <f>IF($K445="","",INDEX(Конструктор!$D$2:$D$1212,$K445)&amp;IF(INDEX(Конструктор!$J$2:$J$1212,$K445)&lt;&gt;""," — "&amp;INDEX(Конструктор!$J$2:$J$1212,$K445),""))</f>
        <v/>
      </c>
      <c r="D445" t="str">
        <f>IF($K445="","",INDEX(Конструктор!$E$2:$E$1212,$K445))</f>
        <v/>
      </c>
      <c r="E445" s="10" t="str">
        <f>IF($K445="","",INDEX(Конструктор!$H$2:$H$1212,$K445))</f>
        <v/>
      </c>
      <c r="F445" s="10" t="str">
        <f>IF($K445="","",INDEX(Конструктор!$L$2:$L$1212,$K445))</f>
        <v/>
      </c>
      <c r="G445" s="10" t="str">
        <f>IF($K445="","",INDEX(Конструктор!$M$2:$M$1212,$K445))</f>
        <v/>
      </c>
      <c r="H445" s="10" t="str">
        <f>IF($K445="","",INDEX(Конструктор!$N$2:$N$1212,$K445))</f>
        <v/>
      </c>
      <c r="I445" s="10" t="str">
        <f>IF($K445="","",INDEX(Конструктор!$O$2:$O$1212,$K445))</f>
        <v/>
      </c>
      <c r="J445" s="10" t="str">
        <f>IF($K445="","",INDEX(Конструктор!$P$2:$P$1212,$K445))</f>
        <v/>
      </c>
      <c r="K445" t="str">
        <f>IFERROR(MATCH(425,Конструктор!$T$2:$T$1212,0),"")</f>
        <v/>
      </c>
      <c r="L445" t="str">
        <f t="shared" si="6"/>
        <v/>
      </c>
    </row>
    <row r="446" spans="1:12" hidden="1" x14ac:dyDescent="0.3">
      <c r="A446" t="str">
        <f>IF($K446="","",426)</f>
        <v/>
      </c>
      <c r="B446" t="str">
        <f>IF($K446="","",INDEX(Конструктор!$C$2:$C$1212,$K446))</f>
        <v/>
      </c>
      <c r="C446" s="8" t="str">
        <f>IF($K446="","",INDEX(Конструктор!$D$2:$D$1212,$K446)&amp;IF(INDEX(Конструктор!$J$2:$J$1212,$K446)&lt;&gt;""," — "&amp;INDEX(Конструктор!$J$2:$J$1212,$K446),""))</f>
        <v/>
      </c>
      <c r="D446" t="str">
        <f>IF($K446="","",INDEX(Конструктор!$E$2:$E$1212,$K446))</f>
        <v/>
      </c>
      <c r="E446" s="10" t="str">
        <f>IF($K446="","",INDEX(Конструктор!$H$2:$H$1212,$K446))</f>
        <v/>
      </c>
      <c r="F446" s="10" t="str">
        <f>IF($K446="","",INDEX(Конструктор!$L$2:$L$1212,$K446))</f>
        <v/>
      </c>
      <c r="G446" s="10" t="str">
        <f>IF($K446="","",INDEX(Конструктор!$M$2:$M$1212,$K446))</f>
        <v/>
      </c>
      <c r="H446" s="10" t="str">
        <f>IF($K446="","",INDEX(Конструктор!$N$2:$N$1212,$K446))</f>
        <v/>
      </c>
      <c r="I446" s="10" t="str">
        <f>IF($K446="","",INDEX(Конструктор!$O$2:$O$1212,$K446))</f>
        <v/>
      </c>
      <c r="J446" s="10" t="str">
        <f>IF($K446="","",INDEX(Конструктор!$P$2:$P$1212,$K446))</f>
        <v/>
      </c>
      <c r="K446" t="str">
        <f>IFERROR(MATCH(426,Конструктор!$T$2:$T$1212,0),"")</f>
        <v/>
      </c>
      <c r="L446" t="str">
        <f t="shared" si="6"/>
        <v/>
      </c>
    </row>
    <row r="447" spans="1:12" hidden="1" x14ac:dyDescent="0.3">
      <c r="A447" t="str">
        <f>IF($K447="","",427)</f>
        <v/>
      </c>
      <c r="B447" t="str">
        <f>IF($K447="","",INDEX(Конструктор!$C$2:$C$1212,$K447))</f>
        <v/>
      </c>
      <c r="C447" s="8" t="str">
        <f>IF($K447="","",INDEX(Конструктор!$D$2:$D$1212,$K447)&amp;IF(INDEX(Конструктор!$J$2:$J$1212,$K447)&lt;&gt;""," — "&amp;INDEX(Конструктор!$J$2:$J$1212,$K447),""))</f>
        <v/>
      </c>
      <c r="D447" t="str">
        <f>IF($K447="","",INDEX(Конструктор!$E$2:$E$1212,$K447))</f>
        <v/>
      </c>
      <c r="E447" s="10" t="str">
        <f>IF($K447="","",INDEX(Конструктор!$H$2:$H$1212,$K447))</f>
        <v/>
      </c>
      <c r="F447" s="10" t="str">
        <f>IF($K447="","",INDEX(Конструктор!$L$2:$L$1212,$K447))</f>
        <v/>
      </c>
      <c r="G447" s="10" t="str">
        <f>IF($K447="","",INDEX(Конструктор!$M$2:$M$1212,$K447))</f>
        <v/>
      </c>
      <c r="H447" s="10" t="str">
        <f>IF($K447="","",INDEX(Конструктор!$N$2:$N$1212,$K447))</f>
        <v/>
      </c>
      <c r="I447" s="10" t="str">
        <f>IF($K447="","",INDEX(Конструктор!$O$2:$O$1212,$K447))</f>
        <v/>
      </c>
      <c r="J447" s="10" t="str">
        <f>IF($K447="","",INDEX(Конструктор!$P$2:$P$1212,$K447))</f>
        <v/>
      </c>
      <c r="K447" t="str">
        <f>IFERROR(MATCH(427,Конструктор!$T$2:$T$1212,0),"")</f>
        <v/>
      </c>
      <c r="L447" t="str">
        <f t="shared" si="6"/>
        <v/>
      </c>
    </row>
    <row r="448" spans="1:12" hidden="1" x14ac:dyDescent="0.3">
      <c r="A448" t="str">
        <f>IF($K448="","",428)</f>
        <v/>
      </c>
      <c r="B448" t="str">
        <f>IF($K448="","",INDEX(Конструктор!$C$2:$C$1212,$K448))</f>
        <v/>
      </c>
      <c r="C448" s="8" t="str">
        <f>IF($K448="","",INDEX(Конструктор!$D$2:$D$1212,$K448)&amp;IF(INDEX(Конструктор!$J$2:$J$1212,$K448)&lt;&gt;""," — "&amp;INDEX(Конструктор!$J$2:$J$1212,$K448),""))</f>
        <v/>
      </c>
      <c r="D448" t="str">
        <f>IF($K448="","",INDEX(Конструктор!$E$2:$E$1212,$K448))</f>
        <v/>
      </c>
      <c r="E448" s="10" t="str">
        <f>IF($K448="","",INDEX(Конструктор!$H$2:$H$1212,$K448))</f>
        <v/>
      </c>
      <c r="F448" s="10" t="str">
        <f>IF($K448="","",INDEX(Конструктор!$L$2:$L$1212,$K448))</f>
        <v/>
      </c>
      <c r="G448" s="10" t="str">
        <f>IF($K448="","",INDEX(Конструктор!$M$2:$M$1212,$K448))</f>
        <v/>
      </c>
      <c r="H448" s="10" t="str">
        <f>IF($K448="","",INDEX(Конструктор!$N$2:$N$1212,$K448))</f>
        <v/>
      </c>
      <c r="I448" s="10" t="str">
        <f>IF($K448="","",INDEX(Конструктор!$O$2:$O$1212,$K448))</f>
        <v/>
      </c>
      <c r="J448" s="10" t="str">
        <f>IF($K448="","",INDEX(Конструктор!$P$2:$P$1212,$K448))</f>
        <v/>
      </c>
      <c r="K448" t="str">
        <f>IFERROR(MATCH(428,Конструктор!$T$2:$T$1212,0),"")</f>
        <v/>
      </c>
      <c r="L448" t="str">
        <f t="shared" si="6"/>
        <v/>
      </c>
    </row>
    <row r="449" spans="1:12" hidden="1" x14ac:dyDescent="0.3">
      <c r="A449" t="str">
        <f>IF($K449="","",429)</f>
        <v/>
      </c>
      <c r="B449" t="str">
        <f>IF($K449="","",INDEX(Конструктор!$C$2:$C$1212,$K449))</f>
        <v/>
      </c>
      <c r="C449" s="8" t="str">
        <f>IF($K449="","",INDEX(Конструктор!$D$2:$D$1212,$K449)&amp;IF(INDEX(Конструктор!$J$2:$J$1212,$K449)&lt;&gt;""," — "&amp;INDEX(Конструктор!$J$2:$J$1212,$K449),""))</f>
        <v/>
      </c>
      <c r="D449" t="str">
        <f>IF($K449="","",INDEX(Конструктор!$E$2:$E$1212,$K449))</f>
        <v/>
      </c>
      <c r="E449" s="10" t="str">
        <f>IF($K449="","",INDEX(Конструктор!$H$2:$H$1212,$K449))</f>
        <v/>
      </c>
      <c r="F449" s="10" t="str">
        <f>IF($K449="","",INDEX(Конструктор!$L$2:$L$1212,$K449))</f>
        <v/>
      </c>
      <c r="G449" s="10" t="str">
        <f>IF($K449="","",INDEX(Конструктор!$M$2:$M$1212,$K449))</f>
        <v/>
      </c>
      <c r="H449" s="10" t="str">
        <f>IF($K449="","",INDEX(Конструктор!$N$2:$N$1212,$K449))</f>
        <v/>
      </c>
      <c r="I449" s="10" t="str">
        <f>IF($K449="","",INDEX(Конструктор!$O$2:$O$1212,$K449))</f>
        <v/>
      </c>
      <c r="J449" s="10" t="str">
        <f>IF($K449="","",INDEX(Конструктор!$P$2:$P$1212,$K449))</f>
        <v/>
      </c>
      <c r="K449" t="str">
        <f>IFERROR(MATCH(429,Конструктор!$T$2:$T$1212,0),"")</f>
        <v/>
      </c>
      <c r="L449" t="str">
        <f t="shared" si="6"/>
        <v/>
      </c>
    </row>
    <row r="450" spans="1:12" hidden="1" x14ac:dyDescent="0.3">
      <c r="A450" t="str">
        <f>IF($K450="","",430)</f>
        <v/>
      </c>
      <c r="B450" t="str">
        <f>IF($K450="","",INDEX(Конструктор!$C$2:$C$1212,$K450))</f>
        <v/>
      </c>
      <c r="C450" s="8" t="str">
        <f>IF($K450="","",INDEX(Конструктор!$D$2:$D$1212,$K450)&amp;IF(INDEX(Конструктор!$J$2:$J$1212,$K450)&lt;&gt;""," — "&amp;INDEX(Конструктор!$J$2:$J$1212,$K450),""))</f>
        <v/>
      </c>
      <c r="D450" t="str">
        <f>IF($K450="","",INDEX(Конструктор!$E$2:$E$1212,$K450))</f>
        <v/>
      </c>
      <c r="E450" s="10" t="str">
        <f>IF($K450="","",INDEX(Конструктор!$H$2:$H$1212,$K450))</f>
        <v/>
      </c>
      <c r="F450" s="10" t="str">
        <f>IF($K450="","",INDEX(Конструктор!$L$2:$L$1212,$K450))</f>
        <v/>
      </c>
      <c r="G450" s="10" t="str">
        <f>IF($K450="","",INDEX(Конструктор!$M$2:$M$1212,$K450))</f>
        <v/>
      </c>
      <c r="H450" s="10" t="str">
        <f>IF($K450="","",INDEX(Конструктор!$N$2:$N$1212,$K450))</f>
        <v/>
      </c>
      <c r="I450" s="10" t="str">
        <f>IF($K450="","",INDEX(Конструктор!$O$2:$O$1212,$K450))</f>
        <v/>
      </c>
      <c r="J450" s="10" t="str">
        <f>IF($K450="","",INDEX(Конструктор!$P$2:$P$1212,$K450))</f>
        <v/>
      </c>
      <c r="K450" t="str">
        <f>IFERROR(MATCH(430,Конструктор!$T$2:$T$1212,0),"")</f>
        <v/>
      </c>
      <c r="L450" t="str">
        <f t="shared" si="6"/>
        <v/>
      </c>
    </row>
    <row r="451" spans="1:12" hidden="1" x14ac:dyDescent="0.3">
      <c r="A451" t="str">
        <f>IF($K451="","",431)</f>
        <v/>
      </c>
      <c r="B451" t="str">
        <f>IF($K451="","",INDEX(Конструктор!$C$2:$C$1212,$K451))</f>
        <v/>
      </c>
      <c r="C451" s="8" t="str">
        <f>IF($K451="","",INDEX(Конструктор!$D$2:$D$1212,$K451)&amp;IF(INDEX(Конструктор!$J$2:$J$1212,$K451)&lt;&gt;""," — "&amp;INDEX(Конструктор!$J$2:$J$1212,$K451),""))</f>
        <v/>
      </c>
      <c r="D451" t="str">
        <f>IF($K451="","",INDEX(Конструктор!$E$2:$E$1212,$K451))</f>
        <v/>
      </c>
      <c r="E451" s="10" t="str">
        <f>IF($K451="","",INDEX(Конструктор!$H$2:$H$1212,$K451))</f>
        <v/>
      </c>
      <c r="F451" s="10" t="str">
        <f>IF($K451="","",INDEX(Конструктор!$L$2:$L$1212,$K451))</f>
        <v/>
      </c>
      <c r="G451" s="10" t="str">
        <f>IF($K451="","",INDEX(Конструктор!$M$2:$M$1212,$K451))</f>
        <v/>
      </c>
      <c r="H451" s="10" t="str">
        <f>IF($K451="","",INDEX(Конструктор!$N$2:$N$1212,$K451))</f>
        <v/>
      </c>
      <c r="I451" s="10" t="str">
        <f>IF($K451="","",INDEX(Конструктор!$O$2:$O$1212,$K451))</f>
        <v/>
      </c>
      <c r="J451" s="10" t="str">
        <f>IF($K451="","",INDEX(Конструктор!$P$2:$P$1212,$K451))</f>
        <v/>
      </c>
      <c r="K451" t="str">
        <f>IFERROR(MATCH(431,Конструктор!$T$2:$T$1212,0),"")</f>
        <v/>
      </c>
      <c r="L451" t="str">
        <f t="shared" si="6"/>
        <v/>
      </c>
    </row>
    <row r="452" spans="1:12" hidden="1" x14ac:dyDescent="0.3">
      <c r="A452" t="str">
        <f>IF($K452="","",432)</f>
        <v/>
      </c>
      <c r="B452" t="str">
        <f>IF($K452="","",INDEX(Конструктор!$C$2:$C$1212,$K452))</f>
        <v/>
      </c>
      <c r="C452" s="8" t="str">
        <f>IF($K452="","",INDEX(Конструктор!$D$2:$D$1212,$K452)&amp;IF(INDEX(Конструктор!$J$2:$J$1212,$K452)&lt;&gt;""," — "&amp;INDEX(Конструктор!$J$2:$J$1212,$K452),""))</f>
        <v/>
      </c>
      <c r="D452" t="str">
        <f>IF($K452="","",INDEX(Конструктор!$E$2:$E$1212,$K452))</f>
        <v/>
      </c>
      <c r="E452" s="10" t="str">
        <f>IF($K452="","",INDEX(Конструктор!$H$2:$H$1212,$K452))</f>
        <v/>
      </c>
      <c r="F452" s="10" t="str">
        <f>IF($K452="","",INDEX(Конструктор!$L$2:$L$1212,$K452))</f>
        <v/>
      </c>
      <c r="G452" s="10" t="str">
        <f>IF($K452="","",INDEX(Конструктор!$M$2:$M$1212,$K452))</f>
        <v/>
      </c>
      <c r="H452" s="10" t="str">
        <f>IF($K452="","",INDEX(Конструктор!$N$2:$N$1212,$K452))</f>
        <v/>
      </c>
      <c r="I452" s="10" t="str">
        <f>IF($K452="","",INDEX(Конструктор!$O$2:$O$1212,$K452))</f>
        <v/>
      </c>
      <c r="J452" s="10" t="str">
        <f>IF($K452="","",INDEX(Конструктор!$P$2:$P$1212,$K452))</f>
        <v/>
      </c>
      <c r="K452" t="str">
        <f>IFERROR(MATCH(432,Конструктор!$T$2:$T$1212,0),"")</f>
        <v/>
      </c>
      <c r="L452" t="str">
        <f t="shared" si="6"/>
        <v/>
      </c>
    </row>
    <row r="453" spans="1:12" hidden="1" x14ac:dyDescent="0.3">
      <c r="A453" t="str">
        <f>IF($K453="","",433)</f>
        <v/>
      </c>
      <c r="B453" t="str">
        <f>IF($K453="","",INDEX(Конструктор!$C$2:$C$1212,$K453))</f>
        <v/>
      </c>
      <c r="C453" s="8" t="str">
        <f>IF($K453="","",INDEX(Конструктор!$D$2:$D$1212,$K453)&amp;IF(INDEX(Конструктор!$J$2:$J$1212,$K453)&lt;&gt;""," — "&amp;INDEX(Конструктор!$J$2:$J$1212,$K453),""))</f>
        <v/>
      </c>
      <c r="D453" t="str">
        <f>IF($K453="","",INDEX(Конструктор!$E$2:$E$1212,$K453))</f>
        <v/>
      </c>
      <c r="E453" s="10" t="str">
        <f>IF($K453="","",INDEX(Конструктор!$H$2:$H$1212,$K453))</f>
        <v/>
      </c>
      <c r="F453" s="10" t="str">
        <f>IF($K453="","",INDEX(Конструктор!$L$2:$L$1212,$K453))</f>
        <v/>
      </c>
      <c r="G453" s="10" t="str">
        <f>IF($K453="","",INDEX(Конструктор!$M$2:$M$1212,$K453))</f>
        <v/>
      </c>
      <c r="H453" s="10" t="str">
        <f>IF($K453="","",INDEX(Конструктор!$N$2:$N$1212,$K453))</f>
        <v/>
      </c>
      <c r="I453" s="10" t="str">
        <f>IF($K453="","",INDEX(Конструктор!$O$2:$O$1212,$K453))</f>
        <v/>
      </c>
      <c r="J453" s="10" t="str">
        <f>IF($K453="","",INDEX(Конструктор!$P$2:$P$1212,$K453))</f>
        <v/>
      </c>
      <c r="K453" t="str">
        <f>IFERROR(MATCH(433,Конструктор!$T$2:$T$1212,0),"")</f>
        <v/>
      </c>
      <c r="L453" t="str">
        <f t="shared" si="6"/>
        <v/>
      </c>
    </row>
    <row r="454" spans="1:12" hidden="1" x14ac:dyDescent="0.3">
      <c r="A454" t="str">
        <f>IF($K454="","",434)</f>
        <v/>
      </c>
      <c r="B454" t="str">
        <f>IF($K454="","",INDEX(Конструктор!$C$2:$C$1212,$K454))</f>
        <v/>
      </c>
      <c r="C454" s="8" t="str">
        <f>IF($K454="","",INDEX(Конструктор!$D$2:$D$1212,$K454)&amp;IF(INDEX(Конструктор!$J$2:$J$1212,$K454)&lt;&gt;""," — "&amp;INDEX(Конструктор!$J$2:$J$1212,$K454),""))</f>
        <v/>
      </c>
      <c r="D454" t="str">
        <f>IF($K454="","",INDEX(Конструктор!$E$2:$E$1212,$K454))</f>
        <v/>
      </c>
      <c r="E454" s="10" t="str">
        <f>IF($K454="","",INDEX(Конструктор!$H$2:$H$1212,$K454))</f>
        <v/>
      </c>
      <c r="F454" s="10" t="str">
        <f>IF($K454="","",INDEX(Конструктор!$L$2:$L$1212,$K454))</f>
        <v/>
      </c>
      <c r="G454" s="10" t="str">
        <f>IF($K454="","",INDEX(Конструктор!$M$2:$M$1212,$K454))</f>
        <v/>
      </c>
      <c r="H454" s="10" t="str">
        <f>IF($K454="","",INDEX(Конструктор!$N$2:$N$1212,$K454))</f>
        <v/>
      </c>
      <c r="I454" s="10" t="str">
        <f>IF($K454="","",INDEX(Конструктор!$O$2:$O$1212,$K454))</f>
        <v/>
      </c>
      <c r="J454" s="10" t="str">
        <f>IF($K454="","",INDEX(Конструктор!$P$2:$P$1212,$K454))</f>
        <v/>
      </c>
      <c r="K454" t="str">
        <f>IFERROR(MATCH(434,Конструктор!$T$2:$T$1212,0),"")</f>
        <v/>
      </c>
      <c r="L454" t="str">
        <f t="shared" si="6"/>
        <v/>
      </c>
    </row>
    <row r="455" spans="1:12" hidden="1" x14ac:dyDescent="0.3">
      <c r="A455" t="str">
        <f>IF($K455="","",435)</f>
        <v/>
      </c>
      <c r="B455" t="str">
        <f>IF($K455="","",INDEX(Конструктор!$C$2:$C$1212,$K455))</f>
        <v/>
      </c>
      <c r="C455" s="8" t="str">
        <f>IF($K455="","",INDEX(Конструктор!$D$2:$D$1212,$K455)&amp;IF(INDEX(Конструктор!$J$2:$J$1212,$K455)&lt;&gt;""," — "&amp;INDEX(Конструктор!$J$2:$J$1212,$K455),""))</f>
        <v/>
      </c>
      <c r="D455" t="str">
        <f>IF($K455="","",INDEX(Конструктор!$E$2:$E$1212,$K455))</f>
        <v/>
      </c>
      <c r="E455" s="10" t="str">
        <f>IF($K455="","",INDEX(Конструктор!$H$2:$H$1212,$K455))</f>
        <v/>
      </c>
      <c r="F455" s="10" t="str">
        <f>IF($K455="","",INDEX(Конструктор!$L$2:$L$1212,$K455))</f>
        <v/>
      </c>
      <c r="G455" s="10" t="str">
        <f>IF($K455="","",INDEX(Конструктор!$M$2:$M$1212,$K455))</f>
        <v/>
      </c>
      <c r="H455" s="10" t="str">
        <f>IF($K455="","",INDEX(Конструктор!$N$2:$N$1212,$K455))</f>
        <v/>
      </c>
      <c r="I455" s="10" t="str">
        <f>IF($K455="","",INDEX(Конструктор!$O$2:$O$1212,$K455))</f>
        <v/>
      </c>
      <c r="J455" s="10" t="str">
        <f>IF($K455="","",INDEX(Конструктор!$P$2:$P$1212,$K455))</f>
        <v/>
      </c>
      <c r="K455" t="str">
        <f>IFERROR(MATCH(435,Конструктор!$T$2:$T$1212,0),"")</f>
        <v/>
      </c>
      <c r="L455" t="str">
        <f t="shared" si="6"/>
        <v/>
      </c>
    </row>
    <row r="456" spans="1:12" hidden="1" x14ac:dyDescent="0.3">
      <c r="A456" t="str">
        <f>IF($K456="","",436)</f>
        <v/>
      </c>
      <c r="B456" t="str">
        <f>IF($K456="","",INDEX(Конструктор!$C$2:$C$1212,$K456))</f>
        <v/>
      </c>
      <c r="C456" s="8" t="str">
        <f>IF($K456="","",INDEX(Конструктор!$D$2:$D$1212,$K456)&amp;IF(INDEX(Конструктор!$J$2:$J$1212,$K456)&lt;&gt;""," — "&amp;INDEX(Конструктор!$J$2:$J$1212,$K456),""))</f>
        <v/>
      </c>
      <c r="D456" t="str">
        <f>IF($K456="","",INDEX(Конструктор!$E$2:$E$1212,$K456))</f>
        <v/>
      </c>
      <c r="E456" s="10" t="str">
        <f>IF($K456="","",INDEX(Конструктор!$H$2:$H$1212,$K456))</f>
        <v/>
      </c>
      <c r="F456" s="10" t="str">
        <f>IF($K456="","",INDEX(Конструктор!$L$2:$L$1212,$K456))</f>
        <v/>
      </c>
      <c r="G456" s="10" t="str">
        <f>IF($K456="","",INDEX(Конструктор!$M$2:$M$1212,$K456))</f>
        <v/>
      </c>
      <c r="H456" s="10" t="str">
        <f>IF($K456="","",INDEX(Конструктор!$N$2:$N$1212,$K456))</f>
        <v/>
      </c>
      <c r="I456" s="10" t="str">
        <f>IF($K456="","",INDEX(Конструктор!$O$2:$O$1212,$K456))</f>
        <v/>
      </c>
      <c r="J456" s="10" t="str">
        <f>IF($K456="","",INDEX(Конструктор!$P$2:$P$1212,$K456))</f>
        <v/>
      </c>
      <c r="K456" t="str">
        <f>IFERROR(MATCH(436,Конструктор!$T$2:$T$1212,0),"")</f>
        <v/>
      </c>
      <c r="L456" t="str">
        <f t="shared" si="6"/>
        <v/>
      </c>
    </row>
    <row r="457" spans="1:12" hidden="1" x14ac:dyDescent="0.3">
      <c r="A457" t="str">
        <f>IF($K457="","",437)</f>
        <v/>
      </c>
      <c r="B457" t="str">
        <f>IF($K457="","",INDEX(Конструктор!$C$2:$C$1212,$K457))</f>
        <v/>
      </c>
      <c r="C457" s="8" t="str">
        <f>IF($K457="","",INDEX(Конструктор!$D$2:$D$1212,$K457)&amp;IF(INDEX(Конструктор!$J$2:$J$1212,$K457)&lt;&gt;""," — "&amp;INDEX(Конструктор!$J$2:$J$1212,$K457),""))</f>
        <v/>
      </c>
      <c r="D457" t="str">
        <f>IF($K457="","",INDEX(Конструктор!$E$2:$E$1212,$K457))</f>
        <v/>
      </c>
      <c r="E457" s="10" t="str">
        <f>IF($K457="","",INDEX(Конструктор!$H$2:$H$1212,$K457))</f>
        <v/>
      </c>
      <c r="F457" s="10" t="str">
        <f>IF($K457="","",INDEX(Конструктор!$L$2:$L$1212,$K457))</f>
        <v/>
      </c>
      <c r="G457" s="10" t="str">
        <f>IF($K457="","",INDEX(Конструктор!$M$2:$M$1212,$K457))</f>
        <v/>
      </c>
      <c r="H457" s="10" t="str">
        <f>IF($K457="","",INDEX(Конструктор!$N$2:$N$1212,$K457))</f>
        <v/>
      </c>
      <c r="I457" s="10" t="str">
        <f>IF($K457="","",INDEX(Конструктор!$O$2:$O$1212,$K457))</f>
        <v/>
      </c>
      <c r="J457" s="10" t="str">
        <f>IF($K457="","",INDEX(Конструктор!$P$2:$P$1212,$K457))</f>
        <v/>
      </c>
      <c r="K457" t="str">
        <f>IFERROR(MATCH(437,Конструктор!$T$2:$T$1212,0),"")</f>
        <v/>
      </c>
      <c r="L457" t="str">
        <f t="shared" si="6"/>
        <v/>
      </c>
    </row>
    <row r="458" spans="1:12" hidden="1" x14ac:dyDescent="0.3">
      <c r="A458" t="str">
        <f>IF($K458="","",438)</f>
        <v/>
      </c>
      <c r="B458" t="str">
        <f>IF($K458="","",INDEX(Конструктор!$C$2:$C$1212,$K458))</f>
        <v/>
      </c>
      <c r="C458" s="8" t="str">
        <f>IF($K458="","",INDEX(Конструктор!$D$2:$D$1212,$K458)&amp;IF(INDEX(Конструктор!$J$2:$J$1212,$K458)&lt;&gt;""," — "&amp;INDEX(Конструктор!$J$2:$J$1212,$K458),""))</f>
        <v/>
      </c>
      <c r="D458" t="str">
        <f>IF($K458="","",INDEX(Конструктор!$E$2:$E$1212,$K458))</f>
        <v/>
      </c>
      <c r="E458" s="10" t="str">
        <f>IF($K458="","",INDEX(Конструктор!$H$2:$H$1212,$K458))</f>
        <v/>
      </c>
      <c r="F458" s="10" t="str">
        <f>IF($K458="","",INDEX(Конструктор!$L$2:$L$1212,$K458))</f>
        <v/>
      </c>
      <c r="G458" s="10" t="str">
        <f>IF($K458="","",INDEX(Конструктор!$M$2:$M$1212,$K458))</f>
        <v/>
      </c>
      <c r="H458" s="10" t="str">
        <f>IF($K458="","",INDEX(Конструктор!$N$2:$N$1212,$K458))</f>
        <v/>
      </c>
      <c r="I458" s="10" t="str">
        <f>IF($K458="","",INDEX(Конструктор!$O$2:$O$1212,$K458))</f>
        <v/>
      </c>
      <c r="J458" s="10" t="str">
        <f>IF($K458="","",INDEX(Конструктор!$P$2:$P$1212,$K458))</f>
        <v/>
      </c>
      <c r="K458" t="str">
        <f>IFERROR(MATCH(438,Конструктор!$T$2:$T$1212,0),"")</f>
        <v/>
      </c>
      <c r="L458" t="str">
        <f t="shared" si="6"/>
        <v/>
      </c>
    </row>
    <row r="459" spans="1:12" hidden="1" x14ac:dyDescent="0.3">
      <c r="A459" t="str">
        <f>IF($K459="","",439)</f>
        <v/>
      </c>
      <c r="B459" t="str">
        <f>IF($K459="","",INDEX(Конструктор!$C$2:$C$1212,$K459))</f>
        <v/>
      </c>
      <c r="C459" s="8" t="str">
        <f>IF($K459="","",INDEX(Конструктор!$D$2:$D$1212,$K459)&amp;IF(INDEX(Конструктор!$J$2:$J$1212,$K459)&lt;&gt;""," — "&amp;INDEX(Конструктор!$J$2:$J$1212,$K459),""))</f>
        <v/>
      </c>
      <c r="D459" t="str">
        <f>IF($K459="","",INDEX(Конструктор!$E$2:$E$1212,$K459))</f>
        <v/>
      </c>
      <c r="E459" s="10" t="str">
        <f>IF($K459="","",INDEX(Конструктор!$H$2:$H$1212,$K459))</f>
        <v/>
      </c>
      <c r="F459" s="10" t="str">
        <f>IF($K459="","",INDEX(Конструктор!$L$2:$L$1212,$K459))</f>
        <v/>
      </c>
      <c r="G459" s="10" t="str">
        <f>IF($K459="","",INDEX(Конструктор!$M$2:$M$1212,$K459))</f>
        <v/>
      </c>
      <c r="H459" s="10" t="str">
        <f>IF($K459="","",INDEX(Конструктор!$N$2:$N$1212,$K459))</f>
        <v/>
      </c>
      <c r="I459" s="10" t="str">
        <f>IF($K459="","",INDEX(Конструктор!$O$2:$O$1212,$K459))</f>
        <v/>
      </c>
      <c r="J459" s="10" t="str">
        <f>IF($K459="","",INDEX(Конструктор!$P$2:$P$1212,$K459))</f>
        <v/>
      </c>
      <c r="K459" t="str">
        <f>IFERROR(MATCH(439,Конструктор!$T$2:$T$1212,0),"")</f>
        <v/>
      </c>
      <c r="L459" t="str">
        <f t="shared" si="6"/>
        <v/>
      </c>
    </row>
    <row r="460" spans="1:12" hidden="1" x14ac:dyDescent="0.3">
      <c r="A460" t="str">
        <f>IF($K460="","",440)</f>
        <v/>
      </c>
      <c r="B460" t="str">
        <f>IF($K460="","",INDEX(Конструктор!$C$2:$C$1212,$K460))</f>
        <v/>
      </c>
      <c r="C460" s="8" t="str">
        <f>IF($K460="","",INDEX(Конструктор!$D$2:$D$1212,$K460)&amp;IF(INDEX(Конструктор!$J$2:$J$1212,$K460)&lt;&gt;""," — "&amp;INDEX(Конструктор!$J$2:$J$1212,$K460),""))</f>
        <v/>
      </c>
      <c r="D460" t="str">
        <f>IF($K460="","",INDEX(Конструктор!$E$2:$E$1212,$K460))</f>
        <v/>
      </c>
      <c r="E460" s="10" t="str">
        <f>IF($K460="","",INDEX(Конструктор!$H$2:$H$1212,$K460))</f>
        <v/>
      </c>
      <c r="F460" s="10" t="str">
        <f>IF($K460="","",INDEX(Конструктор!$L$2:$L$1212,$K460))</f>
        <v/>
      </c>
      <c r="G460" s="10" t="str">
        <f>IF($K460="","",INDEX(Конструктор!$M$2:$M$1212,$K460))</f>
        <v/>
      </c>
      <c r="H460" s="10" t="str">
        <f>IF($K460="","",INDEX(Конструктор!$N$2:$N$1212,$K460))</f>
        <v/>
      </c>
      <c r="I460" s="10" t="str">
        <f>IF($K460="","",INDEX(Конструктор!$O$2:$O$1212,$K460))</f>
        <v/>
      </c>
      <c r="J460" s="10" t="str">
        <f>IF($K460="","",INDEX(Конструктор!$P$2:$P$1212,$K460))</f>
        <v/>
      </c>
      <c r="K460" t="str">
        <f>IFERROR(MATCH(440,Конструктор!$T$2:$T$1212,0),"")</f>
        <v/>
      </c>
      <c r="L460" t="str">
        <f t="shared" si="6"/>
        <v/>
      </c>
    </row>
    <row r="461" spans="1:12" hidden="1" x14ac:dyDescent="0.3">
      <c r="A461" t="str">
        <f>IF($K461="","",441)</f>
        <v/>
      </c>
      <c r="B461" t="str">
        <f>IF($K461="","",INDEX(Конструктор!$C$2:$C$1212,$K461))</f>
        <v/>
      </c>
      <c r="C461" s="8" t="str">
        <f>IF($K461="","",INDEX(Конструктор!$D$2:$D$1212,$K461)&amp;IF(INDEX(Конструктор!$J$2:$J$1212,$K461)&lt;&gt;""," — "&amp;INDEX(Конструктор!$J$2:$J$1212,$K461),""))</f>
        <v/>
      </c>
      <c r="D461" t="str">
        <f>IF($K461="","",INDEX(Конструктор!$E$2:$E$1212,$K461))</f>
        <v/>
      </c>
      <c r="E461" s="10" t="str">
        <f>IF($K461="","",INDEX(Конструктор!$H$2:$H$1212,$K461))</f>
        <v/>
      </c>
      <c r="F461" s="10" t="str">
        <f>IF($K461="","",INDEX(Конструктор!$L$2:$L$1212,$K461))</f>
        <v/>
      </c>
      <c r="G461" s="10" t="str">
        <f>IF($K461="","",INDEX(Конструктор!$M$2:$M$1212,$K461))</f>
        <v/>
      </c>
      <c r="H461" s="10" t="str">
        <f>IF($K461="","",INDEX(Конструктор!$N$2:$N$1212,$K461))</f>
        <v/>
      </c>
      <c r="I461" s="10" t="str">
        <f>IF($K461="","",INDEX(Конструктор!$O$2:$O$1212,$K461))</f>
        <v/>
      </c>
      <c r="J461" s="10" t="str">
        <f>IF($K461="","",INDEX(Конструктор!$P$2:$P$1212,$K461))</f>
        <v/>
      </c>
      <c r="K461" t="str">
        <f>IFERROR(MATCH(441,Конструктор!$T$2:$T$1212,0),"")</f>
        <v/>
      </c>
      <c r="L461" t="str">
        <f t="shared" si="6"/>
        <v/>
      </c>
    </row>
    <row r="462" spans="1:12" hidden="1" x14ac:dyDescent="0.3">
      <c r="A462" t="str">
        <f>IF($K462="","",442)</f>
        <v/>
      </c>
      <c r="B462" t="str">
        <f>IF($K462="","",INDEX(Конструктор!$C$2:$C$1212,$K462))</f>
        <v/>
      </c>
      <c r="C462" s="8" t="str">
        <f>IF($K462="","",INDEX(Конструктор!$D$2:$D$1212,$K462)&amp;IF(INDEX(Конструктор!$J$2:$J$1212,$K462)&lt;&gt;""," — "&amp;INDEX(Конструктор!$J$2:$J$1212,$K462),""))</f>
        <v/>
      </c>
      <c r="D462" t="str">
        <f>IF($K462="","",INDEX(Конструктор!$E$2:$E$1212,$K462))</f>
        <v/>
      </c>
      <c r="E462" s="10" t="str">
        <f>IF($K462="","",INDEX(Конструктор!$H$2:$H$1212,$K462))</f>
        <v/>
      </c>
      <c r="F462" s="10" t="str">
        <f>IF($K462="","",INDEX(Конструктор!$L$2:$L$1212,$K462))</f>
        <v/>
      </c>
      <c r="G462" s="10" t="str">
        <f>IF($K462="","",INDEX(Конструктор!$M$2:$M$1212,$K462))</f>
        <v/>
      </c>
      <c r="H462" s="10" t="str">
        <f>IF($K462="","",INDEX(Конструктор!$N$2:$N$1212,$K462))</f>
        <v/>
      </c>
      <c r="I462" s="10" t="str">
        <f>IF($K462="","",INDEX(Конструктор!$O$2:$O$1212,$K462))</f>
        <v/>
      </c>
      <c r="J462" s="10" t="str">
        <f>IF($K462="","",INDEX(Конструктор!$P$2:$P$1212,$K462))</f>
        <v/>
      </c>
      <c r="K462" t="str">
        <f>IFERROR(MATCH(442,Конструктор!$T$2:$T$1212,0),"")</f>
        <v/>
      </c>
      <c r="L462" t="str">
        <f t="shared" si="6"/>
        <v/>
      </c>
    </row>
    <row r="463" spans="1:12" hidden="1" x14ac:dyDescent="0.3">
      <c r="A463" t="str">
        <f>IF($K463="","",443)</f>
        <v/>
      </c>
      <c r="B463" t="str">
        <f>IF($K463="","",INDEX(Конструктор!$C$2:$C$1212,$K463))</f>
        <v/>
      </c>
      <c r="C463" s="8" t="str">
        <f>IF($K463="","",INDEX(Конструктор!$D$2:$D$1212,$K463)&amp;IF(INDEX(Конструктор!$J$2:$J$1212,$K463)&lt;&gt;""," — "&amp;INDEX(Конструктор!$J$2:$J$1212,$K463),""))</f>
        <v/>
      </c>
      <c r="D463" t="str">
        <f>IF($K463="","",INDEX(Конструктор!$E$2:$E$1212,$K463))</f>
        <v/>
      </c>
      <c r="E463" s="10" t="str">
        <f>IF($K463="","",INDEX(Конструктор!$H$2:$H$1212,$K463))</f>
        <v/>
      </c>
      <c r="F463" s="10" t="str">
        <f>IF($K463="","",INDEX(Конструктор!$L$2:$L$1212,$K463))</f>
        <v/>
      </c>
      <c r="G463" s="10" t="str">
        <f>IF($K463="","",INDEX(Конструктор!$M$2:$M$1212,$K463))</f>
        <v/>
      </c>
      <c r="H463" s="10" t="str">
        <f>IF($K463="","",INDEX(Конструктор!$N$2:$N$1212,$K463))</f>
        <v/>
      </c>
      <c r="I463" s="10" t="str">
        <f>IF($K463="","",INDEX(Конструктор!$O$2:$O$1212,$K463))</f>
        <v/>
      </c>
      <c r="J463" s="10" t="str">
        <f>IF($K463="","",INDEX(Конструктор!$P$2:$P$1212,$K463))</f>
        <v/>
      </c>
      <c r="K463" t="str">
        <f>IFERROR(MATCH(443,Конструктор!$T$2:$T$1212,0),"")</f>
        <v/>
      </c>
      <c r="L463" t="str">
        <f t="shared" si="6"/>
        <v/>
      </c>
    </row>
    <row r="464" spans="1:12" hidden="1" x14ac:dyDescent="0.3">
      <c r="A464" t="str">
        <f>IF($K464="","",444)</f>
        <v/>
      </c>
      <c r="B464" t="str">
        <f>IF($K464="","",INDEX(Конструктор!$C$2:$C$1212,$K464))</f>
        <v/>
      </c>
      <c r="C464" s="8" t="str">
        <f>IF($K464="","",INDEX(Конструктор!$D$2:$D$1212,$K464)&amp;IF(INDEX(Конструктор!$J$2:$J$1212,$K464)&lt;&gt;""," — "&amp;INDEX(Конструктор!$J$2:$J$1212,$K464),""))</f>
        <v/>
      </c>
      <c r="D464" t="str">
        <f>IF($K464="","",INDEX(Конструктор!$E$2:$E$1212,$K464))</f>
        <v/>
      </c>
      <c r="E464" s="10" t="str">
        <f>IF($K464="","",INDEX(Конструктор!$H$2:$H$1212,$K464))</f>
        <v/>
      </c>
      <c r="F464" s="10" t="str">
        <f>IF($K464="","",INDEX(Конструктор!$L$2:$L$1212,$K464))</f>
        <v/>
      </c>
      <c r="G464" s="10" t="str">
        <f>IF($K464="","",INDEX(Конструктор!$M$2:$M$1212,$K464))</f>
        <v/>
      </c>
      <c r="H464" s="10" t="str">
        <f>IF($K464="","",INDEX(Конструктор!$N$2:$N$1212,$K464))</f>
        <v/>
      </c>
      <c r="I464" s="10" t="str">
        <f>IF($K464="","",INDEX(Конструктор!$O$2:$O$1212,$K464))</f>
        <v/>
      </c>
      <c r="J464" s="10" t="str">
        <f>IF($K464="","",INDEX(Конструктор!$P$2:$P$1212,$K464))</f>
        <v/>
      </c>
      <c r="K464" t="str">
        <f>IFERROR(MATCH(444,Конструктор!$T$2:$T$1212,0),"")</f>
        <v/>
      </c>
      <c r="L464" t="str">
        <f t="shared" si="6"/>
        <v/>
      </c>
    </row>
    <row r="465" spans="1:12" hidden="1" x14ac:dyDescent="0.3">
      <c r="A465" t="str">
        <f>IF($K465="","",445)</f>
        <v/>
      </c>
      <c r="B465" t="str">
        <f>IF($K465="","",INDEX(Конструктор!$C$2:$C$1212,$K465))</f>
        <v/>
      </c>
      <c r="C465" s="8" t="str">
        <f>IF($K465="","",INDEX(Конструктор!$D$2:$D$1212,$K465)&amp;IF(INDEX(Конструктор!$J$2:$J$1212,$K465)&lt;&gt;""," — "&amp;INDEX(Конструктор!$J$2:$J$1212,$K465),""))</f>
        <v/>
      </c>
      <c r="D465" t="str">
        <f>IF($K465="","",INDEX(Конструктор!$E$2:$E$1212,$K465))</f>
        <v/>
      </c>
      <c r="E465" s="10" t="str">
        <f>IF($K465="","",INDEX(Конструктор!$H$2:$H$1212,$K465))</f>
        <v/>
      </c>
      <c r="F465" s="10" t="str">
        <f>IF($K465="","",INDEX(Конструктор!$L$2:$L$1212,$K465))</f>
        <v/>
      </c>
      <c r="G465" s="10" t="str">
        <f>IF($K465="","",INDEX(Конструктор!$M$2:$M$1212,$K465))</f>
        <v/>
      </c>
      <c r="H465" s="10" t="str">
        <f>IF($K465="","",INDEX(Конструктор!$N$2:$N$1212,$K465))</f>
        <v/>
      </c>
      <c r="I465" s="10" t="str">
        <f>IF($K465="","",INDEX(Конструктор!$O$2:$O$1212,$K465))</f>
        <v/>
      </c>
      <c r="J465" s="10" t="str">
        <f>IF($K465="","",INDEX(Конструктор!$P$2:$P$1212,$K465))</f>
        <v/>
      </c>
      <c r="K465" t="str">
        <f>IFERROR(MATCH(445,Конструктор!$T$2:$T$1212,0),"")</f>
        <v/>
      </c>
      <c r="L465" t="str">
        <f t="shared" si="6"/>
        <v/>
      </c>
    </row>
    <row r="466" spans="1:12" hidden="1" x14ac:dyDescent="0.3">
      <c r="A466" t="str">
        <f>IF($K466="","",446)</f>
        <v/>
      </c>
      <c r="B466" t="str">
        <f>IF($K466="","",INDEX(Конструктор!$C$2:$C$1212,$K466))</f>
        <v/>
      </c>
      <c r="C466" s="8" t="str">
        <f>IF($K466="","",INDEX(Конструктор!$D$2:$D$1212,$K466)&amp;IF(INDEX(Конструктор!$J$2:$J$1212,$K466)&lt;&gt;""," — "&amp;INDEX(Конструктор!$J$2:$J$1212,$K466),""))</f>
        <v/>
      </c>
      <c r="D466" t="str">
        <f>IF($K466="","",INDEX(Конструктор!$E$2:$E$1212,$K466))</f>
        <v/>
      </c>
      <c r="E466" s="10" t="str">
        <f>IF($K466="","",INDEX(Конструктор!$H$2:$H$1212,$K466))</f>
        <v/>
      </c>
      <c r="F466" s="10" t="str">
        <f>IF($K466="","",INDEX(Конструктор!$L$2:$L$1212,$K466))</f>
        <v/>
      </c>
      <c r="G466" s="10" t="str">
        <f>IF($K466="","",INDEX(Конструктор!$M$2:$M$1212,$K466))</f>
        <v/>
      </c>
      <c r="H466" s="10" t="str">
        <f>IF($K466="","",INDEX(Конструктор!$N$2:$N$1212,$K466))</f>
        <v/>
      </c>
      <c r="I466" s="10" t="str">
        <f>IF($K466="","",INDEX(Конструктор!$O$2:$O$1212,$K466))</f>
        <v/>
      </c>
      <c r="J466" s="10" t="str">
        <f>IF($K466="","",INDEX(Конструктор!$P$2:$P$1212,$K466))</f>
        <v/>
      </c>
      <c r="K466" t="str">
        <f>IFERROR(MATCH(446,Конструктор!$T$2:$T$1212,0),"")</f>
        <v/>
      </c>
      <c r="L466" t="str">
        <f t="shared" si="6"/>
        <v/>
      </c>
    </row>
    <row r="467" spans="1:12" hidden="1" x14ac:dyDescent="0.3">
      <c r="A467" t="str">
        <f>IF($K467="","",447)</f>
        <v/>
      </c>
      <c r="B467" t="str">
        <f>IF($K467="","",INDEX(Конструктор!$C$2:$C$1212,$K467))</f>
        <v/>
      </c>
      <c r="C467" s="8" t="str">
        <f>IF($K467="","",INDEX(Конструктор!$D$2:$D$1212,$K467)&amp;IF(INDEX(Конструктор!$J$2:$J$1212,$K467)&lt;&gt;""," — "&amp;INDEX(Конструктор!$J$2:$J$1212,$K467),""))</f>
        <v/>
      </c>
      <c r="D467" t="str">
        <f>IF($K467="","",INDEX(Конструктор!$E$2:$E$1212,$K467))</f>
        <v/>
      </c>
      <c r="E467" s="10" t="str">
        <f>IF($K467="","",INDEX(Конструктор!$H$2:$H$1212,$K467))</f>
        <v/>
      </c>
      <c r="F467" s="10" t="str">
        <f>IF($K467="","",INDEX(Конструктор!$L$2:$L$1212,$K467))</f>
        <v/>
      </c>
      <c r="G467" s="10" t="str">
        <f>IF($K467="","",INDEX(Конструктор!$M$2:$M$1212,$K467))</f>
        <v/>
      </c>
      <c r="H467" s="10" t="str">
        <f>IF($K467="","",INDEX(Конструктор!$N$2:$N$1212,$K467))</f>
        <v/>
      </c>
      <c r="I467" s="10" t="str">
        <f>IF($K467="","",INDEX(Конструктор!$O$2:$O$1212,$K467))</f>
        <v/>
      </c>
      <c r="J467" s="10" t="str">
        <f>IF($K467="","",INDEX(Конструктор!$P$2:$P$1212,$K467))</f>
        <v/>
      </c>
      <c r="K467" t="str">
        <f>IFERROR(MATCH(447,Конструктор!$T$2:$T$1212,0),"")</f>
        <v/>
      </c>
      <c r="L467" t="str">
        <f t="shared" si="6"/>
        <v/>
      </c>
    </row>
    <row r="468" spans="1:12" hidden="1" x14ac:dyDescent="0.3">
      <c r="A468" t="str">
        <f>IF($K468="","",448)</f>
        <v/>
      </c>
      <c r="B468" t="str">
        <f>IF($K468="","",INDEX(Конструктор!$C$2:$C$1212,$K468))</f>
        <v/>
      </c>
      <c r="C468" s="8" t="str">
        <f>IF($K468="","",INDEX(Конструктор!$D$2:$D$1212,$K468)&amp;IF(INDEX(Конструктор!$J$2:$J$1212,$K468)&lt;&gt;""," — "&amp;INDEX(Конструктор!$J$2:$J$1212,$K468),""))</f>
        <v/>
      </c>
      <c r="D468" t="str">
        <f>IF($K468="","",INDEX(Конструктор!$E$2:$E$1212,$K468))</f>
        <v/>
      </c>
      <c r="E468" s="10" t="str">
        <f>IF($K468="","",INDEX(Конструктор!$H$2:$H$1212,$K468))</f>
        <v/>
      </c>
      <c r="F468" s="10" t="str">
        <f>IF($K468="","",INDEX(Конструктор!$L$2:$L$1212,$K468))</f>
        <v/>
      </c>
      <c r="G468" s="10" t="str">
        <f>IF($K468="","",INDEX(Конструктор!$M$2:$M$1212,$K468))</f>
        <v/>
      </c>
      <c r="H468" s="10" t="str">
        <f>IF($K468="","",INDEX(Конструктор!$N$2:$N$1212,$K468))</f>
        <v/>
      </c>
      <c r="I468" s="10" t="str">
        <f>IF($K468="","",INDEX(Конструктор!$O$2:$O$1212,$K468))</f>
        <v/>
      </c>
      <c r="J468" s="10" t="str">
        <f>IF($K468="","",INDEX(Конструктор!$P$2:$P$1212,$K468))</f>
        <v/>
      </c>
      <c r="K468" t="str">
        <f>IFERROR(MATCH(448,Конструктор!$T$2:$T$1212,0),"")</f>
        <v/>
      </c>
      <c r="L468" t="str">
        <f t="shared" si="6"/>
        <v/>
      </c>
    </row>
    <row r="469" spans="1:12" hidden="1" x14ac:dyDescent="0.3">
      <c r="A469" t="str">
        <f>IF($K469="","",449)</f>
        <v/>
      </c>
      <c r="B469" t="str">
        <f>IF($K469="","",INDEX(Конструктор!$C$2:$C$1212,$K469))</f>
        <v/>
      </c>
      <c r="C469" s="8" t="str">
        <f>IF($K469="","",INDEX(Конструктор!$D$2:$D$1212,$K469)&amp;IF(INDEX(Конструктор!$J$2:$J$1212,$K469)&lt;&gt;""," — "&amp;INDEX(Конструктор!$J$2:$J$1212,$K469),""))</f>
        <v/>
      </c>
      <c r="D469" t="str">
        <f>IF($K469="","",INDEX(Конструктор!$E$2:$E$1212,$K469))</f>
        <v/>
      </c>
      <c r="E469" s="10" t="str">
        <f>IF($K469="","",INDEX(Конструктор!$H$2:$H$1212,$K469))</f>
        <v/>
      </c>
      <c r="F469" s="10" t="str">
        <f>IF($K469="","",INDEX(Конструктор!$L$2:$L$1212,$K469))</f>
        <v/>
      </c>
      <c r="G469" s="10" t="str">
        <f>IF($K469="","",INDEX(Конструктор!$M$2:$M$1212,$K469))</f>
        <v/>
      </c>
      <c r="H469" s="10" t="str">
        <f>IF($K469="","",INDEX(Конструктор!$N$2:$N$1212,$K469))</f>
        <v/>
      </c>
      <c r="I469" s="10" t="str">
        <f>IF($K469="","",INDEX(Конструктор!$O$2:$O$1212,$K469))</f>
        <v/>
      </c>
      <c r="J469" s="10" t="str">
        <f>IF($K469="","",INDEX(Конструктор!$P$2:$P$1212,$K469))</f>
        <v/>
      </c>
      <c r="K469" t="str">
        <f>IFERROR(MATCH(449,Конструктор!$T$2:$T$1212,0),"")</f>
        <v/>
      </c>
      <c r="L469" t="str">
        <f t="shared" ref="L469:L532" si="7">IF($K469="","","показать")</f>
        <v/>
      </c>
    </row>
    <row r="470" spans="1:12" hidden="1" x14ac:dyDescent="0.3">
      <c r="A470" t="str">
        <f>IF($K470="","",450)</f>
        <v/>
      </c>
      <c r="B470" t="str">
        <f>IF($K470="","",INDEX(Конструктор!$C$2:$C$1212,$K470))</f>
        <v/>
      </c>
      <c r="C470" s="8" t="str">
        <f>IF($K470="","",INDEX(Конструктор!$D$2:$D$1212,$K470)&amp;IF(INDEX(Конструктор!$J$2:$J$1212,$K470)&lt;&gt;""," — "&amp;INDEX(Конструктор!$J$2:$J$1212,$K470),""))</f>
        <v/>
      </c>
      <c r="D470" t="str">
        <f>IF($K470="","",INDEX(Конструктор!$E$2:$E$1212,$K470))</f>
        <v/>
      </c>
      <c r="E470" s="10" t="str">
        <f>IF($K470="","",INDEX(Конструктор!$H$2:$H$1212,$K470))</f>
        <v/>
      </c>
      <c r="F470" s="10" t="str">
        <f>IF($K470="","",INDEX(Конструктор!$L$2:$L$1212,$K470))</f>
        <v/>
      </c>
      <c r="G470" s="10" t="str">
        <f>IF($K470="","",INDEX(Конструктор!$M$2:$M$1212,$K470))</f>
        <v/>
      </c>
      <c r="H470" s="10" t="str">
        <f>IF($K470="","",INDEX(Конструктор!$N$2:$N$1212,$K470))</f>
        <v/>
      </c>
      <c r="I470" s="10" t="str">
        <f>IF($K470="","",INDEX(Конструктор!$O$2:$O$1212,$K470))</f>
        <v/>
      </c>
      <c r="J470" s="10" t="str">
        <f>IF($K470="","",INDEX(Конструктор!$P$2:$P$1212,$K470))</f>
        <v/>
      </c>
      <c r="K470" t="str">
        <f>IFERROR(MATCH(450,Конструктор!$T$2:$T$1212,0),"")</f>
        <v/>
      </c>
      <c r="L470" t="str">
        <f t="shared" si="7"/>
        <v/>
      </c>
    </row>
    <row r="471" spans="1:12" hidden="1" x14ac:dyDescent="0.3">
      <c r="A471" t="str">
        <f>IF($K471="","",451)</f>
        <v/>
      </c>
      <c r="B471" t="str">
        <f>IF($K471="","",INDEX(Конструктор!$C$2:$C$1212,$K471))</f>
        <v/>
      </c>
      <c r="C471" s="8" t="str">
        <f>IF($K471="","",INDEX(Конструктор!$D$2:$D$1212,$K471)&amp;IF(INDEX(Конструктор!$J$2:$J$1212,$K471)&lt;&gt;""," — "&amp;INDEX(Конструктор!$J$2:$J$1212,$K471),""))</f>
        <v/>
      </c>
      <c r="D471" t="str">
        <f>IF($K471="","",INDEX(Конструктор!$E$2:$E$1212,$K471))</f>
        <v/>
      </c>
      <c r="E471" s="10" t="str">
        <f>IF($K471="","",INDEX(Конструктор!$H$2:$H$1212,$K471))</f>
        <v/>
      </c>
      <c r="F471" s="10" t="str">
        <f>IF($K471="","",INDEX(Конструктор!$L$2:$L$1212,$K471))</f>
        <v/>
      </c>
      <c r="G471" s="10" t="str">
        <f>IF($K471="","",INDEX(Конструктор!$M$2:$M$1212,$K471))</f>
        <v/>
      </c>
      <c r="H471" s="10" t="str">
        <f>IF($K471="","",INDEX(Конструктор!$N$2:$N$1212,$K471))</f>
        <v/>
      </c>
      <c r="I471" s="10" t="str">
        <f>IF($K471="","",INDEX(Конструктор!$O$2:$O$1212,$K471))</f>
        <v/>
      </c>
      <c r="J471" s="10" t="str">
        <f>IF($K471="","",INDEX(Конструктор!$P$2:$P$1212,$K471))</f>
        <v/>
      </c>
      <c r="K471" t="str">
        <f>IFERROR(MATCH(451,Конструктор!$T$2:$T$1212,0),"")</f>
        <v/>
      </c>
      <c r="L471" t="str">
        <f t="shared" si="7"/>
        <v/>
      </c>
    </row>
    <row r="472" spans="1:12" hidden="1" x14ac:dyDescent="0.3">
      <c r="A472" t="str">
        <f>IF($K472="","",452)</f>
        <v/>
      </c>
      <c r="B472" t="str">
        <f>IF($K472="","",INDEX(Конструктор!$C$2:$C$1212,$K472))</f>
        <v/>
      </c>
      <c r="C472" s="8" t="str">
        <f>IF($K472="","",INDEX(Конструктор!$D$2:$D$1212,$K472)&amp;IF(INDEX(Конструктор!$J$2:$J$1212,$K472)&lt;&gt;""," — "&amp;INDEX(Конструктор!$J$2:$J$1212,$K472),""))</f>
        <v/>
      </c>
      <c r="D472" t="str">
        <f>IF($K472="","",INDEX(Конструктор!$E$2:$E$1212,$K472))</f>
        <v/>
      </c>
      <c r="E472" s="10" t="str">
        <f>IF($K472="","",INDEX(Конструктор!$H$2:$H$1212,$K472))</f>
        <v/>
      </c>
      <c r="F472" s="10" t="str">
        <f>IF($K472="","",INDEX(Конструктор!$L$2:$L$1212,$K472))</f>
        <v/>
      </c>
      <c r="G472" s="10" t="str">
        <f>IF($K472="","",INDEX(Конструктор!$M$2:$M$1212,$K472))</f>
        <v/>
      </c>
      <c r="H472" s="10" t="str">
        <f>IF($K472="","",INDEX(Конструктор!$N$2:$N$1212,$K472))</f>
        <v/>
      </c>
      <c r="I472" s="10" t="str">
        <f>IF($K472="","",INDEX(Конструктор!$O$2:$O$1212,$K472))</f>
        <v/>
      </c>
      <c r="J472" s="10" t="str">
        <f>IF($K472="","",INDEX(Конструктор!$P$2:$P$1212,$K472))</f>
        <v/>
      </c>
      <c r="K472" t="str">
        <f>IFERROR(MATCH(452,Конструктор!$T$2:$T$1212,0),"")</f>
        <v/>
      </c>
      <c r="L472" t="str">
        <f t="shared" si="7"/>
        <v/>
      </c>
    </row>
    <row r="473" spans="1:12" hidden="1" x14ac:dyDescent="0.3">
      <c r="A473" t="str">
        <f>IF($K473="","",453)</f>
        <v/>
      </c>
      <c r="B473" t="str">
        <f>IF($K473="","",INDEX(Конструктор!$C$2:$C$1212,$K473))</f>
        <v/>
      </c>
      <c r="C473" s="8" t="str">
        <f>IF($K473="","",INDEX(Конструктор!$D$2:$D$1212,$K473)&amp;IF(INDEX(Конструктор!$J$2:$J$1212,$K473)&lt;&gt;""," — "&amp;INDEX(Конструктор!$J$2:$J$1212,$K473),""))</f>
        <v/>
      </c>
      <c r="D473" t="str">
        <f>IF($K473="","",INDEX(Конструктор!$E$2:$E$1212,$K473))</f>
        <v/>
      </c>
      <c r="E473" s="10" t="str">
        <f>IF($K473="","",INDEX(Конструктор!$H$2:$H$1212,$K473))</f>
        <v/>
      </c>
      <c r="F473" s="10" t="str">
        <f>IF($K473="","",INDEX(Конструктор!$L$2:$L$1212,$K473))</f>
        <v/>
      </c>
      <c r="G473" s="10" t="str">
        <f>IF($K473="","",INDEX(Конструктор!$M$2:$M$1212,$K473))</f>
        <v/>
      </c>
      <c r="H473" s="10" t="str">
        <f>IF($K473="","",INDEX(Конструктор!$N$2:$N$1212,$K473))</f>
        <v/>
      </c>
      <c r="I473" s="10" t="str">
        <f>IF($K473="","",INDEX(Конструктор!$O$2:$O$1212,$K473))</f>
        <v/>
      </c>
      <c r="J473" s="10" t="str">
        <f>IF($K473="","",INDEX(Конструктор!$P$2:$P$1212,$K473))</f>
        <v/>
      </c>
      <c r="K473" t="str">
        <f>IFERROR(MATCH(453,Конструктор!$T$2:$T$1212,0),"")</f>
        <v/>
      </c>
      <c r="L473" t="str">
        <f t="shared" si="7"/>
        <v/>
      </c>
    </row>
    <row r="474" spans="1:12" hidden="1" x14ac:dyDescent="0.3">
      <c r="A474" t="str">
        <f>IF($K474="","",454)</f>
        <v/>
      </c>
      <c r="B474" t="str">
        <f>IF($K474="","",INDEX(Конструктор!$C$2:$C$1212,$K474))</f>
        <v/>
      </c>
      <c r="C474" s="8" t="str">
        <f>IF($K474="","",INDEX(Конструктор!$D$2:$D$1212,$K474)&amp;IF(INDEX(Конструктор!$J$2:$J$1212,$K474)&lt;&gt;""," — "&amp;INDEX(Конструктор!$J$2:$J$1212,$K474),""))</f>
        <v/>
      </c>
      <c r="D474" t="str">
        <f>IF($K474="","",INDEX(Конструктор!$E$2:$E$1212,$K474))</f>
        <v/>
      </c>
      <c r="E474" s="10" t="str">
        <f>IF($K474="","",INDEX(Конструктор!$H$2:$H$1212,$K474))</f>
        <v/>
      </c>
      <c r="F474" s="10" t="str">
        <f>IF($K474="","",INDEX(Конструктор!$L$2:$L$1212,$K474))</f>
        <v/>
      </c>
      <c r="G474" s="10" t="str">
        <f>IF($K474="","",INDEX(Конструктор!$M$2:$M$1212,$K474))</f>
        <v/>
      </c>
      <c r="H474" s="10" t="str">
        <f>IF($K474="","",INDEX(Конструктор!$N$2:$N$1212,$K474))</f>
        <v/>
      </c>
      <c r="I474" s="10" t="str">
        <f>IF($K474="","",INDEX(Конструктор!$O$2:$O$1212,$K474))</f>
        <v/>
      </c>
      <c r="J474" s="10" t="str">
        <f>IF($K474="","",INDEX(Конструктор!$P$2:$P$1212,$K474))</f>
        <v/>
      </c>
      <c r="K474" t="str">
        <f>IFERROR(MATCH(454,Конструктор!$T$2:$T$1212,0),"")</f>
        <v/>
      </c>
      <c r="L474" t="str">
        <f t="shared" si="7"/>
        <v/>
      </c>
    </row>
    <row r="475" spans="1:12" hidden="1" x14ac:dyDescent="0.3">
      <c r="A475" t="str">
        <f>IF($K475="","",455)</f>
        <v/>
      </c>
      <c r="B475" t="str">
        <f>IF($K475="","",INDEX(Конструктор!$C$2:$C$1212,$K475))</f>
        <v/>
      </c>
      <c r="C475" s="8" t="str">
        <f>IF($K475="","",INDEX(Конструктор!$D$2:$D$1212,$K475)&amp;IF(INDEX(Конструктор!$J$2:$J$1212,$K475)&lt;&gt;""," — "&amp;INDEX(Конструктор!$J$2:$J$1212,$K475),""))</f>
        <v/>
      </c>
      <c r="D475" t="str">
        <f>IF($K475="","",INDEX(Конструктор!$E$2:$E$1212,$K475))</f>
        <v/>
      </c>
      <c r="E475" s="10" t="str">
        <f>IF($K475="","",INDEX(Конструктор!$H$2:$H$1212,$K475))</f>
        <v/>
      </c>
      <c r="F475" s="10" t="str">
        <f>IF($K475="","",INDEX(Конструктор!$L$2:$L$1212,$K475))</f>
        <v/>
      </c>
      <c r="G475" s="10" t="str">
        <f>IF($K475="","",INDEX(Конструктор!$M$2:$M$1212,$K475))</f>
        <v/>
      </c>
      <c r="H475" s="10" t="str">
        <f>IF($K475="","",INDEX(Конструктор!$N$2:$N$1212,$K475))</f>
        <v/>
      </c>
      <c r="I475" s="10" t="str">
        <f>IF($K475="","",INDEX(Конструктор!$O$2:$O$1212,$K475))</f>
        <v/>
      </c>
      <c r="J475" s="10" t="str">
        <f>IF($K475="","",INDEX(Конструктор!$P$2:$P$1212,$K475))</f>
        <v/>
      </c>
      <c r="K475" t="str">
        <f>IFERROR(MATCH(455,Конструктор!$T$2:$T$1212,0),"")</f>
        <v/>
      </c>
      <c r="L475" t="str">
        <f t="shared" si="7"/>
        <v/>
      </c>
    </row>
    <row r="476" spans="1:12" hidden="1" x14ac:dyDescent="0.3">
      <c r="A476" t="str">
        <f>IF($K476="","",456)</f>
        <v/>
      </c>
      <c r="B476" t="str">
        <f>IF($K476="","",INDEX(Конструктор!$C$2:$C$1212,$K476))</f>
        <v/>
      </c>
      <c r="C476" s="8" t="str">
        <f>IF($K476="","",INDEX(Конструктор!$D$2:$D$1212,$K476)&amp;IF(INDEX(Конструктор!$J$2:$J$1212,$K476)&lt;&gt;""," — "&amp;INDEX(Конструктор!$J$2:$J$1212,$K476),""))</f>
        <v/>
      </c>
      <c r="D476" t="str">
        <f>IF($K476="","",INDEX(Конструктор!$E$2:$E$1212,$K476))</f>
        <v/>
      </c>
      <c r="E476" s="10" t="str">
        <f>IF($K476="","",INDEX(Конструктор!$H$2:$H$1212,$K476))</f>
        <v/>
      </c>
      <c r="F476" s="10" t="str">
        <f>IF($K476="","",INDEX(Конструктор!$L$2:$L$1212,$K476))</f>
        <v/>
      </c>
      <c r="G476" s="10" t="str">
        <f>IF($K476="","",INDEX(Конструктор!$M$2:$M$1212,$K476))</f>
        <v/>
      </c>
      <c r="H476" s="10" t="str">
        <f>IF($K476="","",INDEX(Конструктор!$N$2:$N$1212,$K476))</f>
        <v/>
      </c>
      <c r="I476" s="10" t="str">
        <f>IF($K476="","",INDEX(Конструктор!$O$2:$O$1212,$K476))</f>
        <v/>
      </c>
      <c r="J476" s="10" t="str">
        <f>IF($K476="","",INDEX(Конструктор!$P$2:$P$1212,$K476))</f>
        <v/>
      </c>
      <c r="K476" t="str">
        <f>IFERROR(MATCH(456,Конструктор!$T$2:$T$1212,0),"")</f>
        <v/>
      </c>
      <c r="L476" t="str">
        <f t="shared" si="7"/>
        <v/>
      </c>
    </row>
    <row r="477" spans="1:12" hidden="1" x14ac:dyDescent="0.3">
      <c r="A477" t="str">
        <f>IF($K477="","",457)</f>
        <v/>
      </c>
      <c r="B477" t="str">
        <f>IF($K477="","",INDEX(Конструктор!$C$2:$C$1212,$K477))</f>
        <v/>
      </c>
      <c r="C477" s="8" t="str">
        <f>IF($K477="","",INDEX(Конструктор!$D$2:$D$1212,$K477)&amp;IF(INDEX(Конструктор!$J$2:$J$1212,$K477)&lt;&gt;""," — "&amp;INDEX(Конструктор!$J$2:$J$1212,$K477),""))</f>
        <v/>
      </c>
      <c r="D477" t="str">
        <f>IF($K477="","",INDEX(Конструктор!$E$2:$E$1212,$K477))</f>
        <v/>
      </c>
      <c r="E477" s="10" t="str">
        <f>IF($K477="","",INDEX(Конструктор!$H$2:$H$1212,$K477))</f>
        <v/>
      </c>
      <c r="F477" s="10" t="str">
        <f>IF($K477="","",INDEX(Конструктор!$L$2:$L$1212,$K477))</f>
        <v/>
      </c>
      <c r="G477" s="10" t="str">
        <f>IF($K477="","",INDEX(Конструктор!$M$2:$M$1212,$K477))</f>
        <v/>
      </c>
      <c r="H477" s="10" t="str">
        <f>IF($K477="","",INDEX(Конструктор!$N$2:$N$1212,$K477))</f>
        <v/>
      </c>
      <c r="I477" s="10" t="str">
        <f>IF($K477="","",INDEX(Конструктор!$O$2:$O$1212,$K477))</f>
        <v/>
      </c>
      <c r="J477" s="10" t="str">
        <f>IF($K477="","",INDEX(Конструктор!$P$2:$P$1212,$K477))</f>
        <v/>
      </c>
      <c r="K477" t="str">
        <f>IFERROR(MATCH(457,Конструктор!$T$2:$T$1212,0),"")</f>
        <v/>
      </c>
      <c r="L477" t="str">
        <f t="shared" si="7"/>
        <v/>
      </c>
    </row>
    <row r="478" spans="1:12" hidden="1" x14ac:dyDescent="0.3">
      <c r="A478" t="str">
        <f>IF($K478="","",458)</f>
        <v/>
      </c>
      <c r="B478" t="str">
        <f>IF($K478="","",INDEX(Конструктор!$C$2:$C$1212,$K478))</f>
        <v/>
      </c>
      <c r="C478" s="8" t="str">
        <f>IF($K478="","",INDEX(Конструктор!$D$2:$D$1212,$K478)&amp;IF(INDEX(Конструктор!$J$2:$J$1212,$K478)&lt;&gt;""," — "&amp;INDEX(Конструктор!$J$2:$J$1212,$K478),""))</f>
        <v/>
      </c>
      <c r="D478" t="str">
        <f>IF($K478="","",INDEX(Конструктор!$E$2:$E$1212,$K478))</f>
        <v/>
      </c>
      <c r="E478" s="10" t="str">
        <f>IF($K478="","",INDEX(Конструктор!$H$2:$H$1212,$K478))</f>
        <v/>
      </c>
      <c r="F478" s="10" t="str">
        <f>IF($K478="","",INDEX(Конструктор!$L$2:$L$1212,$K478))</f>
        <v/>
      </c>
      <c r="G478" s="10" t="str">
        <f>IF($K478="","",INDEX(Конструктор!$M$2:$M$1212,$K478))</f>
        <v/>
      </c>
      <c r="H478" s="10" t="str">
        <f>IF($K478="","",INDEX(Конструктор!$N$2:$N$1212,$K478))</f>
        <v/>
      </c>
      <c r="I478" s="10" t="str">
        <f>IF($K478="","",INDEX(Конструктор!$O$2:$O$1212,$K478))</f>
        <v/>
      </c>
      <c r="J478" s="10" t="str">
        <f>IF($K478="","",INDEX(Конструктор!$P$2:$P$1212,$K478))</f>
        <v/>
      </c>
      <c r="K478" t="str">
        <f>IFERROR(MATCH(458,Конструктор!$T$2:$T$1212,0),"")</f>
        <v/>
      </c>
      <c r="L478" t="str">
        <f t="shared" si="7"/>
        <v/>
      </c>
    </row>
    <row r="479" spans="1:12" hidden="1" x14ac:dyDescent="0.3">
      <c r="A479" t="str">
        <f>IF($K479="","",459)</f>
        <v/>
      </c>
      <c r="B479" t="str">
        <f>IF($K479="","",INDEX(Конструктор!$C$2:$C$1212,$K479))</f>
        <v/>
      </c>
      <c r="C479" s="8" t="str">
        <f>IF($K479="","",INDEX(Конструктор!$D$2:$D$1212,$K479)&amp;IF(INDEX(Конструктор!$J$2:$J$1212,$K479)&lt;&gt;""," — "&amp;INDEX(Конструктор!$J$2:$J$1212,$K479),""))</f>
        <v/>
      </c>
      <c r="D479" t="str">
        <f>IF($K479="","",INDEX(Конструктор!$E$2:$E$1212,$K479))</f>
        <v/>
      </c>
      <c r="E479" s="10" t="str">
        <f>IF($K479="","",INDEX(Конструктор!$H$2:$H$1212,$K479))</f>
        <v/>
      </c>
      <c r="F479" s="10" t="str">
        <f>IF($K479="","",INDEX(Конструктор!$L$2:$L$1212,$K479))</f>
        <v/>
      </c>
      <c r="G479" s="10" t="str">
        <f>IF($K479="","",INDEX(Конструктор!$M$2:$M$1212,$K479))</f>
        <v/>
      </c>
      <c r="H479" s="10" t="str">
        <f>IF($K479="","",INDEX(Конструктор!$N$2:$N$1212,$K479))</f>
        <v/>
      </c>
      <c r="I479" s="10" t="str">
        <f>IF($K479="","",INDEX(Конструктор!$O$2:$O$1212,$K479))</f>
        <v/>
      </c>
      <c r="J479" s="10" t="str">
        <f>IF($K479="","",INDEX(Конструктор!$P$2:$P$1212,$K479))</f>
        <v/>
      </c>
      <c r="K479" t="str">
        <f>IFERROR(MATCH(459,Конструктор!$T$2:$T$1212,0),"")</f>
        <v/>
      </c>
      <c r="L479" t="str">
        <f t="shared" si="7"/>
        <v/>
      </c>
    </row>
    <row r="480" spans="1:12" hidden="1" x14ac:dyDescent="0.3">
      <c r="A480" t="str">
        <f>IF($K480="","",460)</f>
        <v/>
      </c>
      <c r="B480" t="str">
        <f>IF($K480="","",INDEX(Конструктор!$C$2:$C$1212,$K480))</f>
        <v/>
      </c>
      <c r="C480" s="8" t="str">
        <f>IF($K480="","",INDEX(Конструктор!$D$2:$D$1212,$K480)&amp;IF(INDEX(Конструктор!$J$2:$J$1212,$K480)&lt;&gt;""," — "&amp;INDEX(Конструктор!$J$2:$J$1212,$K480),""))</f>
        <v/>
      </c>
      <c r="D480" t="str">
        <f>IF($K480="","",INDEX(Конструктор!$E$2:$E$1212,$K480))</f>
        <v/>
      </c>
      <c r="E480" s="10" t="str">
        <f>IF($K480="","",INDEX(Конструктор!$H$2:$H$1212,$K480))</f>
        <v/>
      </c>
      <c r="F480" s="10" t="str">
        <f>IF($K480="","",INDEX(Конструктор!$L$2:$L$1212,$K480))</f>
        <v/>
      </c>
      <c r="G480" s="10" t="str">
        <f>IF($K480="","",INDEX(Конструктор!$M$2:$M$1212,$K480))</f>
        <v/>
      </c>
      <c r="H480" s="10" t="str">
        <f>IF($K480="","",INDEX(Конструктор!$N$2:$N$1212,$K480))</f>
        <v/>
      </c>
      <c r="I480" s="10" t="str">
        <f>IF($K480="","",INDEX(Конструктор!$O$2:$O$1212,$K480))</f>
        <v/>
      </c>
      <c r="J480" s="10" t="str">
        <f>IF($K480="","",INDEX(Конструктор!$P$2:$P$1212,$K480))</f>
        <v/>
      </c>
      <c r="K480" t="str">
        <f>IFERROR(MATCH(460,Конструктор!$T$2:$T$1212,0),"")</f>
        <v/>
      </c>
      <c r="L480" t="str">
        <f t="shared" si="7"/>
        <v/>
      </c>
    </row>
    <row r="481" spans="1:12" hidden="1" x14ac:dyDescent="0.3">
      <c r="A481" t="str">
        <f>IF($K481="","",461)</f>
        <v/>
      </c>
      <c r="B481" t="str">
        <f>IF($K481="","",INDEX(Конструктор!$C$2:$C$1212,$K481))</f>
        <v/>
      </c>
      <c r="C481" s="8" t="str">
        <f>IF($K481="","",INDEX(Конструктор!$D$2:$D$1212,$K481)&amp;IF(INDEX(Конструктор!$J$2:$J$1212,$K481)&lt;&gt;""," — "&amp;INDEX(Конструктор!$J$2:$J$1212,$K481),""))</f>
        <v/>
      </c>
      <c r="D481" t="str">
        <f>IF($K481="","",INDEX(Конструктор!$E$2:$E$1212,$K481))</f>
        <v/>
      </c>
      <c r="E481" s="10" t="str">
        <f>IF($K481="","",INDEX(Конструктор!$H$2:$H$1212,$K481))</f>
        <v/>
      </c>
      <c r="F481" s="10" t="str">
        <f>IF($K481="","",INDEX(Конструктор!$L$2:$L$1212,$K481))</f>
        <v/>
      </c>
      <c r="G481" s="10" t="str">
        <f>IF($K481="","",INDEX(Конструктор!$M$2:$M$1212,$K481))</f>
        <v/>
      </c>
      <c r="H481" s="10" t="str">
        <f>IF($K481="","",INDEX(Конструктор!$N$2:$N$1212,$K481))</f>
        <v/>
      </c>
      <c r="I481" s="10" t="str">
        <f>IF($K481="","",INDEX(Конструктор!$O$2:$O$1212,$K481))</f>
        <v/>
      </c>
      <c r="J481" s="10" t="str">
        <f>IF($K481="","",INDEX(Конструктор!$P$2:$P$1212,$K481))</f>
        <v/>
      </c>
      <c r="K481" t="str">
        <f>IFERROR(MATCH(461,Конструктор!$T$2:$T$1212,0),"")</f>
        <v/>
      </c>
      <c r="L481" t="str">
        <f t="shared" si="7"/>
        <v/>
      </c>
    </row>
    <row r="482" spans="1:12" hidden="1" x14ac:dyDescent="0.3">
      <c r="A482" t="str">
        <f>IF($K482="","",462)</f>
        <v/>
      </c>
      <c r="B482" t="str">
        <f>IF($K482="","",INDEX(Конструктор!$C$2:$C$1212,$K482))</f>
        <v/>
      </c>
      <c r="C482" s="8" t="str">
        <f>IF($K482="","",INDEX(Конструктор!$D$2:$D$1212,$K482)&amp;IF(INDEX(Конструктор!$J$2:$J$1212,$K482)&lt;&gt;""," — "&amp;INDEX(Конструктор!$J$2:$J$1212,$K482),""))</f>
        <v/>
      </c>
      <c r="D482" t="str">
        <f>IF($K482="","",INDEX(Конструктор!$E$2:$E$1212,$K482))</f>
        <v/>
      </c>
      <c r="E482" s="10" t="str">
        <f>IF($K482="","",INDEX(Конструктор!$H$2:$H$1212,$K482))</f>
        <v/>
      </c>
      <c r="F482" s="10" t="str">
        <f>IF($K482="","",INDEX(Конструктор!$L$2:$L$1212,$K482))</f>
        <v/>
      </c>
      <c r="G482" s="10" t="str">
        <f>IF($K482="","",INDEX(Конструктор!$M$2:$M$1212,$K482))</f>
        <v/>
      </c>
      <c r="H482" s="10" t="str">
        <f>IF($K482="","",INDEX(Конструктор!$N$2:$N$1212,$K482))</f>
        <v/>
      </c>
      <c r="I482" s="10" t="str">
        <f>IF($K482="","",INDEX(Конструктор!$O$2:$O$1212,$K482))</f>
        <v/>
      </c>
      <c r="J482" s="10" t="str">
        <f>IF($K482="","",INDEX(Конструктор!$P$2:$P$1212,$K482))</f>
        <v/>
      </c>
      <c r="K482" t="str">
        <f>IFERROR(MATCH(462,Конструктор!$T$2:$T$1212,0),"")</f>
        <v/>
      </c>
      <c r="L482" t="str">
        <f t="shared" si="7"/>
        <v/>
      </c>
    </row>
    <row r="483" spans="1:12" hidden="1" x14ac:dyDescent="0.3">
      <c r="A483" t="str">
        <f>IF($K483="","",463)</f>
        <v/>
      </c>
      <c r="B483" t="str">
        <f>IF($K483="","",INDEX(Конструктор!$C$2:$C$1212,$K483))</f>
        <v/>
      </c>
      <c r="C483" s="8" t="str">
        <f>IF($K483="","",INDEX(Конструктор!$D$2:$D$1212,$K483)&amp;IF(INDEX(Конструктор!$J$2:$J$1212,$K483)&lt;&gt;""," — "&amp;INDEX(Конструктор!$J$2:$J$1212,$K483),""))</f>
        <v/>
      </c>
      <c r="D483" t="str">
        <f>IF($K483="","",INDEX(Конструктор!$E$2:$E$1212,$K483))</f>
        <v/>
      </c>
      <c r="E483" s="10" t="str">
        <f>IF($K483="","",INDEX(Конструктор!$H$2:$H$1212,$K483))</f>
        <v/>
      </c>
      <c r="F483" s="10" t="str">
        <f>IF($K483="","",INDEX(Конструктор!$L$2:$L$1212,$K483))</f>
        <v/>
      </c>
      <c r="G483" s="10" t="str">
        <f>IF($K483="","",INDEX(Конструктор!$M$2:$M$1212,$K483))</f>
        <v/>
      </c>
      <c r="H483" s="10" t="str">
        <f>IF($K483="","",INDEX(Конструктор!$N$2:$N$1212,$K483))</f>
        <v/>
      </c>
      <c r="I483" s="10" t="str">
        <f>IF($K483="","",INDEX(Конструктор!$O$2:$O$1212,$K483))</f>
        <v/>
      </c>
      <c r="J483" s="10" t="str">
        <f>IF($K483="","",INDEX(Конструктор!$P$2:$P$1212,$K483))</f>
        <v/>
      </c>
      <c r="K483" t="str">
        <f>IFERROR(MATCH(463,Конструктор!$T$2:$T$1212,0),"")</f>
        <v/>
      </c>
      <c r="L483" t="str">
        <f t="shared" si="7"/>
        <v/>
      </c>
    </row>
    <row r="484" spans="1:12" hidden="1" x14ac:dyDescent="0.3">
      <c r="A484" t="str">
        <f>IF($K484="","",464)</f>
        <v/>
      </c>
      <c r="B484" t="str">
        <f>IF($K484="","",INDEX(Конструктор!$C$2:$C$1212,$K484))</f>
        <v/>
      </c>
      <c r="C484" s="8" t="str">
        <f>IF($K484="","",INDEX(Конструктор!$D$2:$D$1212,$K484)&amp;IF(INDEX(Конструктор!$J$2:$J$1212,$K484)&lt;&gt;""," — "&amp;INDEX(Конструктор!$J$2:$J$1212,$K484),""))</f>
        <v/>
      </c>
      <c r="D484" t="str">
        <f>IF($K484="","",INDEX(Конструктор!$E$2:$E$1212,$K484))</f>
        <v/>
      </c>
      <c r="E484" s="10" t="str">
        <f>IF($K484="","",INDEX(Конструктор!$H$2:$H$1212,$K484))</f>
        <v/>
      </c>
      <c r="F484" s="10" t="str">
        <f>IF($K484="","",INDEX(Конструктор!$L$2:$L$1212,$K484))</f>
        <v/>
      </c>
      <c r="G484" s="10" t="str">
        <f>IF($K484="","",INDEX(Конструктор!$M$2:$M$1212,$K484))</f>
        <v/>
      </c>
      <c r="H484" s="10" t="str">
        <f>IF($K484="","",INDEX(Конструктор!$N$2:$N$1212,$K484))</f>
        <v/>
      </c>
      <c r="I484" s="10" t="str">
        <f>IF($K484="","",INDEX(Конструктор!$O$2:$O$1212,$K484))</f>
        <v/>
      </c>
      <c r="J484" s="10" t="str">
        <f>IF($K484="","",INDEX(Конструктор!$P$2:$P$1212,$K484))</f>
        <v/>
      </c>
      <c r="K484" t="str">
        <f>IFERROR(MATCH(464,Конструктор!$T$2:$T$1212,0),"")</f>
        <v/>
      </c>
      <c r="L484" t="str">
        <f t="shared" si="7"/>
        <v/>
      </c>
    </row>
    <row r="485" spans="1:12" hidden="1" x14ac:dyDescent="0.3">
      <c r="A485" t="str">
        <f>IF($K485="","",465)</f>
        <v/>
      </c>
      <c r="B485" t="str">
        <f>IF($K485="","",INDEX(Конструктор!$C$2:$C$1212,$K485))</f>
        <v/>
      </c>
      <c r="C485" s="8" t="str">
        <f>IF($K485="","",INDEX(Конструктор!$D$2:$D$1212,$K485)&amp;IF(INDEX(Конструктор!$J$2:$J$1212,$K485)&lt;&gt;""," — "&amp;INDEX(Конструктор!$J$2:$J$1212,$K485),""))</f>
        <v/>
      </c>
      <c r="D485" t="str">
        <f>IF($K485="","",INDEX(Конструктор!$E$2:$E$1212,$K485))</f>
        <v/>
      </c>
      <c r="E485" s="10" t="str">
        <f>IF($K485="","",INDEX(Конструктор!$H$2:$H$1212,$K485))</f>
        <v/>
      </c>
      <c r="F485" s="10" t="str">
        <f>IF($K485="","",INDEX(Конструктор!$L$2:$L$1212,$K485))</f>
        <v/>
      </c>
      <c r="G485" s="10" t="str">
        <f>IF($K485="","",INDEX(Конструктор!$M$2:$M$1212,$K485))</f>
        <v/>
      </c>
      <c r="H485" s="10" t="str">
        <f>IF($K485="","",INDEX(Конструктор!$N$2:$N$1212,$K485))</f>
        <v/>
      </c>
      <c r="I485" s="10" t="str">
        <f>IF($K485="","",INDEX(Конструктор!$O$2:$O$1212,$K485))</f>
        <v/>
      </c>
      <c r="J485" s="10" t="str">
        <f>IF($K485="","",INDEX(Конструктор!$P$2:$P$1212,$K485))</f>
        <v/>
      </c>
      <c r="K485" t="str">
        <f>IFERROR(MATCH(465,Конструктор!$T$2:$T$1212,0),"")</f>
        <v/>
      </c>
      <c r="L485" t="str">
        <f t="shared" si="7"/>
        <v/>
      </c>
    </row>
    <row r="486" spans="1:12" hidden="1" x14ac:dyDescent="0.3">
      <c r="A486" t="str">
        <f>IF($K486="","",466)</f>
        <v/>
      </c>
      <c r="B486" t="str">
        <f>IF($K486="","",INDEX(Конструктор!$C$2:$C$1212,$K486))</f>
        <v/>
      </c>
      <c r="C486" s="8" t="str">
        <f>IF($K486="","",INDEX(Конструктор!$D$2:$D$1212,$K486)&amp;IF(INDEX(Конструктор!$J$2:$J$1212,$K486)&lt;&gt;""," — "&amp;INDEX(Конструктор!$J$2:$J$1212,$K486),""))</f>
        <v/>
      </c>
      <c r="D486" t="str">
        <f>IF($K486="","",INDEX(Конструктор!$E$2:$E$1212,$K486))</f>
        <v/>
      </c>
      <c r="E486" s="10" t="str">
        <f>IF($K486="","",INDEX(Конструктор!$H$2:$H$1212,$K486))</f>
        <v/>
      </c>
      <c r="F486" s="10" t="str">
        <f>IF($K486="","",INDEX(Конструктор!$L$2:$L$1212,$K486))</f>
        <v/>
      </c>
      <c r="G486" s="10" t="str">
        <f>IF($K486="","",INDEX(Конструктор!$M$2:$M$1212,$K486))</f>
        <v/>
      </c>
      <c r="H486" s="10" t="str">
        <f>IF($K486="","",INDEX(Конструктор!$N$2:$N$1212,$K486))</f>
        <v/>
      </c>
      <c r="I486" s="10" t="str">
        <f>IF($K486="","",INDEX(Конструктор!$O$2:$O$1212,$K486))</f>
        <v/>
      </c>
      <c r="J486" s="10" t="str">
        <f>IF($K486="","",INDEX(Конструктор!$P$2:$P$1212,$K486))</f>
        <v/>
      </c>
      <c r="K486" t="str">
        <f>IFERROR(MATCH(466,Конструктор!$T$2:$T$1212,0),"")</f>
        <v/>
      </c>
      <c r="L486" t="str">
        <f t="shared" si="7"/>
        <v/>
      </c>
    </row>
    <row r="487" spans="1:12" hidden="1" x14ac:dyDescent="0.3">
      <c r="A487" t="str">
        <f>IF($K487="","",467)</f>
        <v/>
      </c>
      <c r="B487" t="str">
        <f>IF($K487="","",INDEX(Конструктор!$C$2:$C$1212,$K487))</f>
        <v/>
      </c>
      <c r="C487" s="8" t="str">
        <f>IF($K487="","",INDEX(Конструктор!$D$2:$D$1212,$K487)&amp;IF(INDEX(Конструктор!$J$2:$J$1212,$K487)&lt;&gt;""," — "&amp;INDEX(Конструктор!$J$2:$J$1212,$K487),""))</f>
        <v/>
      </c>
      <c r="D487" t="str">
        <f>IF($K487="","",INDEX(Конструктор!$E$2:$E$1212,$K487))</f>
        <v/>
      </c>
      <c r="E487" s="10" t="str">
        <f>IF($K487="","",INDEX(Конструктор!$H$2:$H$1212,$K487))</f>
        <v/>
      </c>
      <c r="F487" s="10" t="str">
        <f>IF($K487="","",INDEX(Конструктор!$L$2:$L$1212,$K487))</f>
        <v/>
      </c>
      <c r="G487" s="10" t="str">
        <f>IF($K487="","",INDEX(Конструктор!$M$2:$M$1212,$K487))</f>
        <v/>
      </c>
      <c r="H487" s="10" t="str">
        <f>IF($K487="","",INDEX(Конструктор!$N$2:$N$1212,$K487))</f>
        <v/>
      </c>
      <c r="I487" s="10" t="str">
        <f>IF($K487="","",INDEX(Конструктор!$O$2:$O$1212,$K487))</f>
        <v/>
      </c>
      <c r="J487" s="10" t="str">
        <f>IF($K487="","",INDEX(Конструктор!$P$2:$P$1212,$K487))</f>
        <v/>
      </c>
      <c r="K487" t="str">
        <f>IFERROR(MATCH(467,Конструктор!$T$2:$T$1212,0),"")</f>
        <v/>
      </c>
      <c r="L487" t="str">
        <f t="shared" si="7"/>
        <v/>
      </c>
    </row>
    <row r="488" spans="1:12" hidden="1" x14ac:dyDescent="0.3">
      <c r="A488" t="str">
        <f>IF($K488="","",468)</f>
        <v/>
      </c>
      <c r="B488" t="str">
        <f>IF($K488="","",INDEX(Конструктор!$C$2:$C$1212,$K488))</f>
        <v/>
      </c>
      <c r="C488" s="8" t="str">
        <f>IF($K488="","",INDEX(Конструктор!$D$2:$D$1212,$K488)&amp;IF(INDEX(Конструктор!$J$2:$J$1212,$K488)&lt;&gt;""," — "&amp;INDEX(Конструктор!$J$2:$J$1212,$K488),""))</f>
        <v/>
      </c>
      <c r="D488" t="str">
        <f>IF($K488="","",INDEX(Конструктор!$E$2:$E$1212,$K488))</f>
        <v/>
      </c>
      <c r="E488" s="10" t="str">
        <f>IF($K488="","",INDEX(Конструктор!$H$2:$H$1212,$K488))</f>
        <v/>
      </c>
      <c r="F488" s="10" t="str">
        <f>IF($K488="","",INDEX(Конструктор!$L$2:$L$1212,$K488))</f>
        <v/>
      </c>
      <c r="G488" s="10" t="str">
        <f>IF($K488="","",INDEX(Конструктор!$M$2:$M$1212,$K488))</f>
        <v/>
      </c>
      <c r="H488" s="10" t="str">
        <f>IF($K488="","",INDEX(Конструктор!$N$2:$N$1212,$K488))</f>
        <v/>
      </c>
      <c r="I488" s="10" t="str">
        <f>IF($K488="","",INDEX(Конструктор!$O$2:$O$1212,$K488))</f>
        <v/>
      </c>
      <c r="J488" s="10" t="str">
        <f>IF($K488="","",INDEX(Конструктор!$P$2:$P$1212,$K488))</f>
        <v/>
      </c>
      <c r="K488" t="str">
        <f>IFERROR(MATCH(468,Конструктор!$T$2:$T$1212,0),"")</f>
        <v/>
      </c>
      <c r="L488" t="str">
        <f t="shared" si="7"/>
        <v/>
      </c>
    </row>
    <row r="489" spans="1:12" hidden="1" x14ac:dyDescent="0.3">
      <c r="A489" t="str">
        <f>IF($K489="","",469)</f>
        <v/>
      </c>
      <c r="B489" t="str">
        <f>IF($K489="","",INDEX(Конструктор!$C$2:$C$1212,$K489))</f>
        <v/>
      </c>
      <c r="C489" s="8" t="str">
        <f>IF($K489="","",INDEX(Конструктор!$D$2:$D$1212,$K489)&amp;IF(INDEX(Конструктор!$J$2:$J$1212,$K489)&lt;&gt;""," — "&amp;INDEX(Конструктор!$J$2:$J$1212,$K489),""))</f>
        <v/>
      </c>
      <c r="D489" t="str">
        <f>IF($K489="","",INDEX(Конструктор!$E$2:$E$1212,$K489))</f>
        <v/>
      </c>
      <c r="E489" s="10" t="str">
        <f>IF($K489="","",INDEX(Конструктор!$H$2:$H$1212,$K489))</f>
        <v/>
      </c>
      <c r="F489" s="10" t="str">
        <f>IF($K489="","",INDEX(Конструктор!$L$2:$L$1212,$K489))</f>
        <v/>
      </c>
      <c r="G489" s="10" t="str">
        <f>IF($K489="","",INDEX(Конструктор!$M$2:$M$1212,$K489))</f>
        <v/>
      </c>
      <c r="H489" s="10" t="str">
        <f>IF($K489="","",INDEX(Конструктор!$N$2:$N$1212,$K489))</f>
        <v/>
      </c>
      <c r="I489" s="10" t="str">
        <f>IF($K489="","",INDEX(Конструктор!$O$2:$O$1212,$K489))</f>
        <v/>
      </c>
      <c r="J489" s="10" t="str">
        <f>IF($K489="","",INDEX(Конструктор!$P$2:$P$1212,$K489))</f>
        <v/>
      </c>
      <c r="K489" t="str">
        <f>IFERROR(MATCH(469,Конструктор!$T$2:$T$1212,0),"")</f>
        <v/>
      </c>
      <c r="L489" t="str">
        <f t="shared" si="7"/>
        <v/>
      </c>
    </row>
    <row r="490" spans="1:12" hidden="1" x14ac:dyDescent="0.3">
      <c r="A490" t="str">
        <f>IF($K490="","",470)</f>
        <v/>
      </c>
      <c r="B490" t="str">
        <f>IF($K490="","",INDEX(Конструктор!$C$2:$C$1212,$K490))</f>
        <v/>
      </c>
      <c r="C490" s="8" t="str">
        <f>IF($K490="","",INDEX(Конструктор!$D$2:$D$1212,$K490)&amp;IF(INDEX(Конструктор!$J$2:$J$1212,$K490)&lt;&gt;""," — "&amp;INDEX(Конструктор!$J$2:$J$1212,$K490),""))</f>
        <v/>
      </c>
      <c r="D490" t="str">
        <f>IF($K490="","",INDEX(Конструктор!$E$2:$E$1212,$K490))</f>
        <v/>
      </c>
      <c r="E490" s="10" t="str">
        <f>IF($K490="","",INDEX(Конструктор!$H$2:$H$1212,$K490))</f>
        <v/>
      </c>
      <c r="F490" s="10" t="str">
        <f>IF($K490="","",INDEX(Конструктор!$L$2:$L$1212,$K490))</f>
        <v/>
      </c>
      <c r="G490" s="10" t="str">
        <f>IF($K490="","",INDEX(Конструктор!$M$2:$M$1212,$K490))</f>
        <v/>
      </c>
      <c r="H490" s="10" t="str">
        <f>IF($K490="","",INDEX(Конструктор!$N$2:$N$1212,$K490))</f>
        <v/>
      </c>
      <c r="I490" s="10" t="str">
        <f>IF($K490="","",INDEX(Конструктор!$O$2:$O$1212,$K490))</f>
        <v/>
      </c>
      <c r="J490" s="10" t="str">
        <f>IF($K490="","",INDEX(Конструктор!$P$2:$P$1212,$K490))</f>
        <v/>
      </c>
      <c r="K490" t="str">
        <f>IFERROR(MATCH(470,Конструктор!$T$2:$T$1212,0),"")</f>
        <v/>
      </c>
      <c r="L490" t="str">
        <f t="shared" si="7"/>
        <v/>
      </c>
    </row>
    <row r="491" spans="1:12" hidden="1" x14ac:dyDescent="0.3">
      <c r="A491" t="str">
        <f>IF($K491="","",471)</f>
        <v/>
      </c>
      <c r="B491" t="str">
        <f>IF($K491="","",INDEX(Конструктор!$C$2:$C$1212,$K491))</f>
        <v/>
      </c>
      <c r="C491" s="8" t="str">
        <f>IF($K491="","",INDEX(Конструктор!$D$2:$D$1212,$K491)&amp;IF(INDEX(Конструктор!$J$2:$J$1212,$K491)&lt;&gt;""," — "&amp;INDEX(Конструктор!$J$2:$J$1212,$K491),""))</f>
        <v/>
      </c>
      <c r="D491" t="str">
        <f>IF($K491="","",INDEX(Конструктор!$E$2:$E$1212,$K491))</f>
        <v/>
      </c>
      <c r="E491" s="10" t="str">
        <f>IF($K491="","",INDEX(Конструктор!$H$2:$H$1212,$K491))</f>
        <v/>
      </c>
      <c r="F491" s="10" t="str">
        <f>IF($K491="","",INDEX(Конструктор!$L$2:$L$1212,$K491))</f>
        <v/>
      </c>
      <c r="G491" s="10" t="str">
        <f>IF($K491="","",INDEX(Конструктор!$M$2:$M$1212,$K491))</f>
        <v/>
      </c>
      <c r="H491" s="10" t="str">
        <f>IF($K491="","",INDEX(Конструктор!$N$2:$N$1212,$K491))</f>
        <v/>
      </c>
      <c r="I491" s="10" t="str">
        <f>IF($K491="","",INDEX(Конструктор!$O$2:$O$1212,$K491))</f>
        <v/>
      </c>
      <c r="J491" s="10" t="str">
        <f>IF($K491="","",INDEX(Конструктор!$P$2:$P$1212,$K491))</f>
        <v/>
      </c>
      <c r="K491" t="str">
        <f>IFERROR(MATCH(471,Конструктор!$T$2:$T$1212,0),"")</f>
        <v/>
      </c>
      <c r="L491" t="str">
        <f t="shared" si="7"/>
        <v/>
      </c>
    </row>
    <row r="492" spans="1:12" hidden="1" x14ac:dyDescent="0.3">
      <c r="A492" t="str">
        <f>IF($K492="","",472)</f>
        <v/>
      </c>
      <c r="B492" t="str">
        <f>IF($K492="","",INDEX(Конструктор!$C$2:$C$1212,$K492))</f>
        <v/>
      </c>
      <c r="C492" s="8" t="str">
        <f>IF($K492="","",INDEX(Конструктор!$D$2:$D$1212,$K492)&amp;IF(INDEX(Конструктор!$J$2:$J$1212,$K492)&lt;&gt;""," — "&amp;INDEX(Конструктор!$J$2:$J$1212,$K492),""))</f>
        <v/>
      </c>
      <c r="D492" t="str">
        <f>IF($K492="","",INDEX(Конструктор!$E$2:$E$1212,$K492))</f>
        <v/>
      </c>
      <c r="E492" s="10" t="str">
        <f>IF($K492="","",INDEX(Конструктор!$H$2:$H$1212,$K492))</f>
        <v/>
      </c>
      <c r="F492" s="10" t="str">
        <f>IF($K492="","",INDEX(Конструктор!$L$2:$L$1212,$K492))</f>
        <v/>
      </c>
      <c r="G492" s="10" t="str">
        <f>IF($K492="","",INDEX(Конструктор!$M$2:$M$1212,$K492))</f>
        <v/>
      </c>
      <c r="H492" s="10" t="str">
        <f>IF($K492="","",INDEX(Конструктор!$N$2:$N$1212,$K492))</f>
        <v/>
      </c>
      <c r="I492" s="10" t="str">
        <f>IF($K492="","",INDEX(Конструктор!$O$2:$O$1212,$K492))</f>
        <v/>
      </c>
      <c r="J492" s="10" t="str">
        <f>IF($K492="","",INDEX(Конструктор!$P$2:$P$1212,$K492))</f>
        <v/>
      </c>
      <c r="K492" t="str">
        <f>IFERROR(MATCH(472,Конструктор!$T$2:$T$1212,0),"")</f>
        <v/>
      </c>
      <c r="L492" t="str">
        <f t="shared" si="7"/>
        <v/>
      </c>
    </row>
    <row r="493" spans="1:12" hidden="1" x14ac:dyDescent="0.3">
      <c r="A493" t="str">
        <f>IF($K493="","",473)</f>
        <v/>
      </c>
      <c r="B493" t="str">
        <f>IF($K493="","",INDEX(Конструктор!$C$2:$C$1212,$K493))</f>
        <v/>
      </c>
      <c r="C493" s="8" t="str">
        <f>IF($K493="","",INDEX(Конструктор!$D$2:$D$1212,$K493)&amp;IF(INDEX(Конструктор!$J$2:$J$1212,$K493)&lt;&gt;""," — "&amp;INDEX(Конструктор!$J$2:$J$1212,$K493),""))</f>
        <v/>
      </c>
      <c r="D493" t="str">
        <f>IF($K493="","",INDEX(Конструктор!$E$2:$E$1212,$K493))</f>
        <v/>
      </c>
      <c r="E493" s="10" t="str">
        <f>IF($K493="","",INDEX(Конструктор!$H$2:$H$1212,$K493))</f>
        <v/>
      </c>
      <c r="F493" s="10" t="str">
        <f>IF($K493="","",INDEX(Конструктор!$L$2:$L$1212,$K493))</f>
        <v/>
      </c>
      <c r="G493" s="10" t="str">
        <f>IF($K493="","",INDEX(Конструктор!$M$2:$M$1212,$K493))</f>
        <v/>
      </c>
      <c r="H493" s="10" t="str">
        <f>IF($K493="","",INDEX(Конструктор!$N$2:$N$1212,$K493))</f>
        <v/>
      </c>
      <c r="I493" s="10" t="str">
        <f>IF($K493="","",INDEX(Конструктор!$O$2:$O$1212,$K493))</f>
        <v/>
      </c>
      <c r="J493" s="10" t="str">
        <f>IF($K493="","",INDEX(Конструктор!$P$2:$P$1212,$K493))</f>
        <v/>
      </c>
      <c r="K493" t="str">
        <f>IFERROR(MATCH(473,Конструктор!$T$2:$T$1212,0),"")</f>
        <v/>
      </c>
      <c r="L493" t="str">
        <f t="shared" si="7"/>
        <v/>
      </c>
    </row>
    <row r="494" spans="1:12" hidden="1" x14ac:dyDescent="0.3">
      <c r="A494" t="str">
        <f>IF($K494="","",474)</f>
        <v/>
      </c>
      <c r="B494" t="str">
        <f>IF($K494="","",INDEX(Конструктор!$C$2:$C$1212,$K494))</f>
        <v/>
      </c>
      <c r="C494" s="8" t="str">
        <f>IF($K494="","",INDEX(Конструктор!$D$2:$D$1212,$K494)&amp;IF(INDEX(Конструктор!$J$2:$J$1212,$K494)&lt;&gt;""," — "&amp;INDEX(Конструктор!$J$2:$J$1212,$K494),""))</f>
        <v/>
      </c>
      <c r="D494" t="str">
        <f>IF($K494="","",INDEX(Конструктор!$E$2:$E$1212,$K494))</f>
        <v/>
      </c>
      <c r="E494" s="10" t="str">
        <f>IF($K494="","",INDEX(Конструктор!$H$2:$H$1212,$K494))</f>
        <v/>
      </c>
      <c r="F494" s="10" t="str">
        <f>IF($K494="","",INDEX(Конструктор!$L$2:$L$1212,$K494))</f>
        <v/>
      </c>
      <c r="G494" s="10" t="str">
        <f>IF($K494="","",INDEX(Конструктор!$M$2:$M$1212,$K494))</f>
        <v/>
      </c>
      <c r="H494" s="10" t="str">
        <f>IF($K494="","",INDEX(Конструктор!$N$2:$N$1212,$K494))</f>
        <v/>
      </c>
      <c r="I494" s="10" t="str">
        <f>IF($K494="","",INDEX(Конструктор!$O$2:$O$1212,$K494))</f>
        <v/>
      </c>
      <c r="J494" s="10" t="str">
        <f>IF($K494="","",INDEX(Конструктор!$P$2:$P$1212,$K494))</f>
        <v/>
      </c>
      <c r="K494" t="str">
        <f>IFERROR(MATCH(474,Конструктор!$T$2:$T$1212,0),"")</f>
        <v/>
      </c>
      <c r="L494" t="str">
        <f t="shared" si="7"/>
        <v/>
      </c>
    </row>
    <row r="495" spans="1:12" hidden="1" x14ac:dyDescent="0.3">
      <c r="A495" t="str">
        <f>IF($K495="","",475)</f>
        <v/>
      </c>
      <c r="B495" t="str">
        <f>IF($K495="","",INDEX(Конструктор!$C$2:$C$1212,$K495))</f>
        <v/>
      </c>
      <c r="C495" s="8" t="str">
        <f>IF($K495="","",INDEX(Конструктор!$D$2:$D$1212,$K495)&amp;IF(INDEX(Конструктор!$J$2:$J$1212,$K495)&lt;&gt;""," — "&amp;INDEX(Конструктор!$J$2:$J$1212,$K495),""))</f>
        <v/>
      </c>
      <c r="D495" t="str">
        <f>IF($K495="","",INDEX(Конструктор!$E$2:$E$1212,$K495))</f>
        <v/>
      </c>
      <c r="E495" s="10" t="str">
        <f>IF($K495="","",INDEX(Конструктор!$H$2:$H$1212,$K495))</f>
        <v/>
      </c>
      <c r="F495" s="10" t="str">
        <f>IF($K495="","",INDEX(Конструктор!$L$2:$L$1212,$K495))</f>
        <v/>
      </c>
      <c r="G495" s="10" t="str">
        <f>IF($K495="","",INDEX(Конструктор!$M$2:$M$1212,$K495))</f>
        <v/>
      </c>
      <c r="H495" s="10" t="str">
        <f>IF($K495="","",INDEX(Конструктор!$N$2:$N$1212,$K495))</f>
        <v/>
      </c>
      <c r="I495" s="10" t="str">
        <f>IF($K495="","",INDEX(Конструктор!$O$2:$O$1212,$K495))</f>
        <v/>
      </c>
      <c r="J495" s="10" t="str">
        <f>IF($K495="","",INDEX(Конструктор!$P$2:$P$1212,$K495))</f>
        <v/>
      </c>
      <c r="K495" t="str">
        <f>IFERROR(MATCH(475,Конструктор!$T$2:$T$1212,0),"")</f>
        <v/>
      </c>
      <c r="L495" t="str">
        <f t="shared" si="7"/>
        <v/>
      </c>
    </row>
    <row r="496" spans="1:12" hidden="1" x14ac:dyDescent="0.3">
      <c r="A496" t="str">
        <f>IF($K496="","",476)</f>
        <v/>
      </c>
      <c r="B496" t="str">
        <f>IF($K496="","",INDEX(Конструктор!$C$2:$C$1212,$K496))</f>
        <v/>
      </c>
      <c r="C496" s="8" t="str">
        <f>IF($K496="","",INDEX(Конструктор!$D$2:$D$1212,$K496)&amp;IF(INDEX(Конструктор!$J$2:$J$1212,$K496)&lt;&gt;""," — "&amp;INDEX(Конструктор!$J$2:$J$1212,$K496),""))</f>
        <v/>
      </c>
      <c r="D496" t="str">
        <f>IF($K496="","",INDEX(Конструктор!$E$2:$E$1212,$K496))</f>
        <v/>
      </c>
      <c r="E496" s="10" t="str">
        <f>IF($K496="","",INDEX(Конструктор!$H$2:$H$1212,$K496))</f>
        <v/>
      </c>
      <c r="F496" s="10" t="str">
        <f>IF($K496="","",INDEX(Конструктор!$L$2:$L$1212,$K496))</f>
        <v/>
      </c>
      <c r="G496" s="10" t="str">
        <f>IF($K496="","",INDEX(Конструктор!$M$2:$M$1212,$K496))</f>
        <v/>
      </c>
      <c r="H496" s="10" t="str">
        <f>IF($K496="","",INDEX(Конструктор!$N$2:$N$1212,$K496))</f>
        <v/>
      </c>
      <c r="I496" s="10" t="str">
        <f>IF($K496="","",INDEX(Конструктор!$O$2:$O$1212,$K496))</f>
        <v/>
      </c>
      <c r="J496" s="10" t="str">
        <f>IF($K496="","",INDEX(Конструктор!$P$2:$P$1212,$K496))</f>
        <v/>
      </c>
      <c r="K496" t="str">
        <f>IFERROR(MATCH(476,Конструктор!$T$2:$T$1212,0),"")</f>
        <v/>
      </c>
      <c r="L496" t="str">
        <f t="shared" si="7"/>
        <v/>
      </c>
    </row>
    <row r="497" spans="1:12" hidden="1" x14ac:dyDescent="0.3">
      <c r="A497" t="str">
        <f>IF($K497="","",477)</f>
        <v/>
      </c>
      <c r="B497" t="str">
        <f>IF($K497="","",INDEX(Конструктор!$C$2:$C$1212,$K497))</f>
        <v/>
      </c>
      <c r="C497" s="8" t="str">
        <f>IF($K497="","",INDEX(Конструктор!$D$2:$D$1212,$K497)&amp;IF(INDEX(Конструктор!$J$2:$J$1212,$K497)&lt;&gt;""," — "&amp;INDEX(Конструктор!$J$2:$J$1212,$K497),""))</f>
        <v/>
      </c>
      <c r="D497" t="str">
        <f>IF($K497="","",INDEX(Конструктор!$E$2:$E$1212,$K497))</f>
        <v/>
      </c>
      <c r="E497" s="10" t="str">
        <f>IF($K497="","",INDEX(Конструктор!$H$2:$H$1212,$K497))</f>
        <v/>
      </c>
      <c r="F497" s="10" t="str">
        <f>IF($K497="","",INDEX(Конструктор!$L$2:$L$1212,$K497))</f>
        <v/>
      </c>
      <c r="G497" s="10" t="str">
        <f>IF($K497="","",INDEX(Конструктор!$M$2:$M$1212,$K497))</f>
        <v/>
      </c>
      <c r="H497" s="10" t="str">
        <f>IF($K497="","",INDEX(Конструктор!$N$2:$N$1212,$K497))</f>
        <v/>
      </c>
      <c r="I497" s="10" t="str">
        <f>IF($K497="","",INDEX(Конструктор!$O$2:$O$1212,$K497))</f>
        <v/>
      </c>
      <c r="J497" s="10" t="str">
        <f>IF($K497="","",INDEX(Конструктор!$P$2:$P$1212,$K497))</f>
        <v/>
      </c>
      <c r="K497" t="str">
        <f>IFERROR(MATCH(477,Конструктор!$T$2:$T$1212,0),"")</f>
        <v/>
      </c>
      <c r="L497" t="str">
        <f t="shared" si="7"/>
        <v/>
      </c>
    </row>
    <row r="498" spans="1:12" hidden="1" x14ac:dyDescent="0.3">
      <c r="A498" t="str">
        <f>IF($K498="","",478)</f>
        <v/>
      </c>
      <c r="B498" t="str">
        <f>IF($K498="","",INDEX(Конструктор!$C$2:$C$1212,$K498))</f>
        <v/>
      </c>
      <c r="C498" s="8" t="str">
        <f>IF($K498="","",INDEX(Конструктор!$D$2:$D$1212,$K498)&amp;IF(INDEX(Конструктор!$J$2:$J$1212,$K498)&lt;&gt;""," — "&amp;INDEX(Конструктор!$J$2:$J$1212,$K498),""))</f>
        <v/>
      </c>
      <c r="D498" t="str">
        <f>IF($K498="","",INDEX(Конструктор!$E$2:$E$1212,$K498))</f>
        <v/>
      </c>
      <c r="E498" s="10" t="str">
        <f>IF($K498="","",INDEX(Конструктор!$H$2:$H$1212,$K498))</f>
        <v/>
      </c>
      <c r="F498" s="10" t="str">
        <f>IF($K498="","",INDEX(Конструктор!$L$2:$L$1212,$K498))</f>
        <v/>
      </c>
      <c r="G498" s="10" t="str">
        <f>IF($K498="","",INDEX(Конструктор!$M$2:$M$1212,$K498))</f>
        <v/>
      </c>
      <c r="H498" s="10" t="str">
        <f>IF($K498="","",INDEX(Конструктор!$N$2:$N$1212,$K498))</f>
        <v/>
      </c>
      <c r="I498" s="10" t="str">
        <f>IF($K498="","",INDEX(Конструктор!$O$2:$O$1212,$K498))</f>
        <v/>
      </c>
      <c r="J498" s="10" t="str">
        <f>IF($K498="","",INDEX(Конструктор!$P$2:$P$1212,$K498))</f>
        <v/>
      </c>
      <c r="K498" t="str">
        <f>IFERROR(MATCH(478,Конструктор!$T$2:$T$1212,0),"")</f>
        <v/>
      </c>
      <c r="L498" t="str">
        <f t="shared" si="7"/>
        <v/>
      </c>
    </row>
    <row r="499" spans="1:12" hidden="1" x14ac:dyDescent="0.3">
      <c r="A499" t="str">
        <f>IF($K499="","",479)</f>
        <v/>
      </c>
      <c r="B499" t="str">
        <f>IF($K499="","",INDEX(Конструктор!$C$2:$C$1212,$K499))</f>
        <v/>
      </c>
      <c r="C499" s="8" t="str">
        <f>IF($K499="","",INDEX(Конструктор!$D$2:$D$1212,$K499)&amp;IF(INDEX(Конструктор!$J$2:$J$1212,$K499)&lt;&gt;""," — "&amp;INDEX(Конструктор!$J$2:$J$1212,$K499),""))</f>
        <v/>
      </c>
      <c r="D499" t="str">
        <f>IF($K499="","",INDEX(Конструктор!$E$2:$E$1212,$K499))</f>
        <v/>
      </c>
      <c r="E499" s="10" t="str">
        <f>IF($K499="","",INDEX(Конструктор!$H$2:$H$1212,$K499))</f>
        <v/>
      </c>
      <c r="F499" s="10" t="str">
        <f>IF($K499="","",INDEX(Конструктор!$L$2:$L$1212,$K499))</f>
        <v/>
      </c>
      <c r="G499" s="10" t="str">
        <f>IF($K499="","",INDEX(Конструктор!$M$2:$M$1212,$K499))</f>
        <v/>
      </c>
      <c r="H499" s="10" t="str">
        <f>IF($K499="","",INDEX(Конструктор!$N$2:$N$1212,$K499))</f>
        <v/>
      </c>
      <c r="I499" s="10" t="str">
        <f>IF($K499="","",INDEX(Конструктор!$O$2:$O$1212,$K499))</f>
        <v/>
      </c>
      <c r="J499" s="10" t="str">
        <f>IF($K499="","",INDEX(Конструктор!$P$2:$P$1212,$K499))</f>
        <v/>
      </c>
      <c r="K499" t="str">
        <f>IFERROR(MATCH(479,Конструктор!$T$2:$T$1212,0),"")</f>
        <v/>
      </c>
      <c r="L499" t="str">
        <f t="shared" si="7"/>
        <v/>
      </c>
    </row>
    <row r="500" spans="1:12" hidden="1" x14ac:dyDescent="0.3">
      <c r="A500" t="str">
        <f>IF($K500="","",480)</f>
        <v/>
      </c>
      <c r="B500" t="str">
        <f>IF($K500="","",INDEX(Конструктор!$C$2:$C$1212,$K500))</f>
        <v/>
      </c>
      <c r="C500" s="8" t="str">
        <f>IF($K500="","",INDEX(Конструктор!$D$2:$D$1212,$K500)&amp;IF(INDEX(Конструктор!$J$2:$J$1212,$K500)&lt;&gt;""," — "&amp;INDEX(Конструктор!$J$2:$J$1212,$K500),""))</f>
        <v/>
      </c>
      <c r="D500" t="str">
        <f>IF($K500="","",INDEX(Конструктор!$E$2:$E$1212,$K500))</f>
        <v/>
      </c>
      <c r="E500" s="10" t="str">
        <f>IF($K500="","",INDEX(Конструктор!$H$2:$H$1212,$K500))</f>
        <v/>
      </c>
      <c r="F500" s="10" t="str">
        <f>IF($K500="","",INDEX(Конструктор!$L$2:$L$1212,$K500))</f>
        <v/>
      </c>
      <c r="G500" s="10" t="str">
        <f>IF($K500="","",INDEX(Конструктор!$M$2:$M$1212,$K500))</f>
        <v/>
      </c>
      <c r="H500" s="10" t="str">
        <f>IF($K500="","",INDEX(Конструктор!$N$2:$N$1212,$K500))</f>
        <v/>
      </c>
      <c r="I500" s="10" t="str">
        <f>IF($K500="","",INDEX(Конструктор!$O$2:$O$1212,$K500))</f>
        <v/>
      </c>
      <c r="J500" s="10" t="str">
        <f>IF($K500="","",INDEX(Конструктор!$P$2:$P$1212,$K500))</f>
        <v/>
      </c>
      <c r="K500" t="str">
        <f>IFERROR(MATCH(480,Конструктор!$T$2:$T$1212,0),"")</f>
        <v/>
      </c>
      <c r="L500" t="str">
        <f t="shared" si="7"/>
        <v/>
      </c>
    </row>
    <row r="501" spans="1:12" hidden="1" x14ac:dyDescent="0.3">
      <c r="A501" t="str">
        <f>IF($K501="","",481)</f>
        <v/>
      </c>
      <c r="B501" t="str">
        <f>IF($K501="","",INDEX(Конструктор!$C$2:$C$1212,$K501))</f>
        <v/>
      </c>
      <c r="C501" s="8" t="str">
        <f>IF($K501="","",INDEX(Конструктор!$D$2:$D$1212,$K501)&amp;IF(INDEX(Конструктор!$J$2:$J$1212,$K501)&lt;&gt;""," — "&amp;INDEX(Конструктор!$J$2:$J$1212,$K501),""))</f>
        <v/>
      </c>
      <c r="D501" t="str">
        <f>IF($K501="","",INDEX(Конструктор!$E$2:$E$1212,$K501))</f>
        <v/>
      </c>
      <c r="E501" s="10" t="str">
        <f>IF($K501="","",INDEX(Конструктор!$H$2:$H$1212,$K501))</f>
        <v/>
      </c>
      <c r="F501" s="10" t="str">
        <f>IF($K501="","",INDEX(Конструктор!$L$2:$L$1212,$K501))</f>
        <v/>
      </c>
      <c r="G501" s="10" t="str">
        <f>IF($K501="","",INDEX(Конструктор!$M$2:$M$1212,$K501))</f>
        <v/>
      </c>
      <c r="H501" s="10" t="str">
        <f>IF($K501="","",INDEX(Конструктор!$N$2:$N$1212,$K501))</f>
        <v/>
      </c>
      <c r="I501" s="10" t="str">
        <f>IF($K501="","",INDEX(Конструктор!$O$2:$O$1212,$K501))</f>
        <v/>
      </c>
      <c r="J501" s="10" t="str">
        <f>IF($K501="","",INDEX(Конструктор!$P$2:$P$1212,$K501))</f>
        <v/>
      </c>
      <c r="K501" t="str">
        <f>IFERROR(MATCH(481,Конструктор!$T$2:$T$1212,0),"")</f>
        <v/>
      </c>
      <c r="L501" t="str">
        <f t="shared" si="7"/>
        <v/>
      </c>
    </row>
    <row r="502" spans="1:12" hidden="1" x14ac:dyDescent="0.3">
      <c r="A502" t="str">
        <f>IF($K502="","",482)</f>
        <v/>
      </c>
      <c r="B502" t="str">
        <f>IF($K502="","",INDEX(Конструктор!$C$2:$C$1212,$K502))</f>
        <v/>
      </c>
      <c r="C502" s="8" t="str">
        <f>IF($K502="","",INDEX(Конструктор!$D$2:$D$1212,$K502)&amp;IF(INDEX(Конструктор!$J$2:$J$1212,$K502)&lt;&gt;""," — "&amp;INDEX(Конструктор!$J$2:$J$1212,$K502),""))</f>
        <v/>
      </c>
      <c r="D502" t="str">
        <f>IF($K502="","",INDEX(Конструктор!$E$2:$E$1212,$K502))</f>
        <v/>
      </c>
      <c r="E502" s="10" t="str">
        <f>IF($K502="","",INDEX(Конструктор!$H$2:$H$1212,$K502))</f>
        <v/>
      </c>
      <c r="F502" s="10" t="str">
        <f>IF($K502="","",INDEX(Конструктор!$L$2:$L$1212,$K502))</f>
        <v/>
      </c>
      <c r="G502" s="10" t="str">
        <f>IF($K502="","",INDEX(Конструктор!$M$2:$M$1212,$K502))</f>
        <v/>
      </c>
      <c r="H502" s="10" t="str">
        <f>IF($K502="","",INDEX(Конструктор!$N$2:$N$1212,$K502))</f>
        <v/>
      </c>
      <c r="I502" s="10" t="str">
        <f>IF($K502="","",INDEX(Конструктор!$O$2:$O$1212,$K502))</f>
        <v/>
      </c>
      <c r="J502" s="10" t="str">
        <f>IF($K502="","",INDEX(Конструктор!$P$2:$P$1212,$K502))</f>
        <v/>
      </c>
      <c r="K502" t="str">
        <f>IFERROR(MATCH(482,Конструктор!$T$2:$T$1212,0),"")</f>
        <v/>
      </c>
      <c r="L502" t="str">
        <f t="shared" si="7"/>
        <v/>
      </c>
    </row>
    <row r="503" spans="1:12" hidden="1" x14ac:dyDescent="0.3">
      <c r="A503" t="str">
        <f>IF($K503="","",483)</f>
        <v/>
      </c>
      <c r="B503" t="str">
        <f>IF($K503="","",INDEX(Конструктор!$C$2:$C$1212,$K503))</f>
        <v/>
      </c>
      <c r="C503" s="8" t="str">
        <f>IF($K503="","",INDEX(Конструктор!$D$2:$D$1212,$K503)&amp;IF(INDEX(Конструктор!$J$2:$J$1212,$K503)&lt;&gt;""," — "&amp;INDEX(Конструктор!$J$2:$J$1212,$K503),""))</f>
        <v/>
      </c>
      <c r="D503" t="str">
        <f>IF($K503="","",INDEX(Конструктор!$E$2:$E$1212,$K503))</f>
        <v/>
      </c>
      <c r="E503" s="10" t="str">
        <f>IF($K503="","",INDEX(Конструктор!$H$2:$H$1212,$K503))</f>
        <v/>
      </c>
      <c r="F503" s="10" t="str">
        <f>IF($K503="","",INDEX(Конструктор!$L$2:$L$1212,$K503))</f>
        <v/>
      </c>
      <c r="G503" s="10" t="str">
        <f>IF($K503="","",INDEX(Конструктор!$M$2:$M$1212,$K503))</f>
        <v/>
      </c>
      <c r="H503" s="10" t="str">
        <f>IF($K503="","",INDEX(Конструктор!$N$2:$N$1212,$K503))</f>
        <v/>
      </c>
      <c r="I503" s="10" t="str">
        <f>IF($K503="","",INDEX(Конструктор!$O$2:$O$1212,$K503))</f>
        <v/>
      </c>
      <c r="J503" s="10" t="str">
        <f>IF($K503="","",INDEX(Конструктор!$P$2:$P$1212,$K503))</f>
        <v/>
      </c>
      <c r="K503" t="str">
        <f>IFERROR(MATCH(483,Конструктор!$T$2:$T$1212,0),"")</f>
        <v/>
      </c>
      <c r="L503" t="str">
        <f t="shared" si="7"/>
        <v/>
      </c>
    </row>
    <row r="504" spans="1:12" hidden="1" x14ac:dyDescent="0.3">
      <c r="A504" t="str">
        <f>IF($K504="","",484)</f>
        <v/>
      </c>
      <c r="B504" t="str">
        <f>IF($K504="","",INDEX(Конструктор!$C$2:$C$1212,$K504))</f>
        <v/>
      </c>
      <c r="C504" s="8" t="str">
        <f>IF($K504="","",INDEX(Конструктор!$D$2:$D$1212,$K504)&amp;IF(INDEX(Конструктор!$J$2:$J$1212,$K504)&lt;&gt;""," — "&amp;INDEX(Конструктор!$J$2:$J$1212,$K504),""))</f>
        <v/>
      </c>
      <c r="D504" t="str">
        <f>IF($K504="","",INDEX(Конструктор!$E$2:$E$1212,$K504))</f>
        <v/>
      </c>
      <c r="E504" s="10" t="str">
        <f>IF($K504="","",INDEX(Конструктор!$H$2:$H$1212,$K504))</f>
        <v/>
      </c>
      <c r="F504" s="10" t="str">
        <f>IF($K504="","",INDEX(Конструктор!$L$2:$L$1212,$K504))</f>
        <v/>
      </c>
      <c r="G504" s="10" t="str">
        <f>IF($K504="","",INDEX(Конструктор!$M$2:$M$1212,$K504))</f>
        <v/>
      </c>
      <c r="H504" s="10" t="str">
        <f>IF($K504="","",INDEX(Конструктор!$N$2:$N$1212,$K504))</f>
        <v/>
      </c>
      <c r="I504" s="10" t="str">
        <f>IF($K504="","",INDEX(Конструктор!$O$2:$O$1212,$K504))</f>
        <v/>
      </c>
      <c r="J504" s="10" t="str">
        <f>IF($K504="","",INDEX(Конструктор!$P$2:$P$1212,$K504))</f>
        <v/>
      </c>
      <c r="K504" t="str">
        <f>IFERROR(MATCH(484,Конструктор!$T$2:$T$1212,0),"")</f>
        <v/>
      </c>
      <c r="L504" t="str">
        <f t="shared" si="7"/>
        <v/>
      </c>
    </row>
    <row r="505" spans="1:12" hidden="1" x14ac:dyDescent="0.3">
      <c r="A505" t="str">
        <f>IF($K505="","",485)</f>
        <v/>
      </c>
      <c r="B505" t="str">
        <f>IF($K505="","",INDEX(Конструктор!$C$2:$C$1212,$K505))</f>
        <v/>
      </c>
      <c r="C505" s="8" t="str">
        <f>IF($K505="","",INDEX(Конструктор!$D$2:$D$1212,$K505)&amp;IF(INDEX(Конструктор!$J$2:$J$1212,$K505)&lt;&gt;""," — "&amp;INDEX(Конструктор!$J$2:$J$1212,$K505),""))</f>
        <v/>
      </c>
      <c r="D505" t="str">
        <f>IF($K505="","",INDEX(Конструктор!$E$2:$E$1212,$K505))</f>
        <v/>
      </c>
      <c r="E505" s="10" t="str">
        <f>IF($K505="","",INDEX(Конструктор!$H$2:$H$1212,$K505))</f>
        <v/>
      </c>
      <c r="F505" s="10" t="str">
        <f>IF($K505="","",INDEX(Конструктор!$L$2:$L$1212,$K505))</f>
        <v/>
      </c>
      <c r="G505" s="10" t="str">
        <f>IF($K505="","",INDEX(Конструктор!$M$2:$M$1212,$K505))</f>
        <v/>
      </c>
      <c r="H505" s="10" t="str">
        <f>IF($K505="","",INDEX(Конструктор!$N$2:$N$1212,$K505))</f>
        <v/>
      </c>
      <c r="I505" s="10" t="str">
        <f>IF($K505="","",INDEX(Конструктор!$O$2:$O$1212,$K505))</f>
        <v/>
      </c>
      <c r="J505" s="10" t="str">
        <f>IF($K505="","",INDEX(Конструктор!$P$2:$P$1212,$K505))</f>
        <v/>
      </c>
      <c r="K505" t="str">
        <f>IFERROR(MATCH(485,Конструктор!$T$2:$T$1212,0),"")</f>
        <v/>
      </c>
      <c r="L505" t="str">
        <f t="shared" si="7"/>
        <v/>
      </c>
    </row>
    <row r="506" spans="1:12" hidden="1" x14ac:dyDescent="0.3">
      <c r="A506" t="str">
        <f>IF($K506="","",486)</f>
        <v/>
      </c>
      <c r="B506" t="str">
        <f>IF($K506="","",INDEX(Конструктор!$C$2:$C$1212,$K506))</f>
        <v/>
      </c>
      <c r="C506" s="8" t="str">
        <f>IF($K506="","",INDEX(Конструктор!$D$2:$D$1212,$K506)&amp;IF(INDEX(Конструктор!$J$2:$J$1212,$K506)&lt;&gt;""," — "&amp;INDEX(Конструктор!$J$2:$J$1212,$K506),""))</f>
        <v/>
      </c>
      <c r="D506" t="str">
        <f>IF($K506="","",INDEX(Конструктор!$E$2:$E$1212,$K506))</f>
        <v/>
      </c>
      <c r="E506" s="10" t="str">
        <f>IF($K506="","",INDEX(Конструктор!$H$2:$H$1212,$K506))</f>
        <v/>
      </c>
      <c r="F506" s="10" t="str">
        <f>IF($K506="","",INDEX(Конструктор!$L$2:$L$1212,$K506))</f>
        <v/>
      </c>
      <c r="G506" s="10" t="str">
        <f>IF($K506="","",INDEX(Конструктор!$M$2:$M$1212,$K506))</f>
        <v/>
      </c>
      <c r="H506" s="10" t="str">
        <f>IF($K506="","",INDEX(Конструктор!$N$2:$N$1212,$K506))</f>
        <v/>
      </c>
      <c r="I506" s="10" t="str">
        <f>IF($K506="","",INDEX(Конструктор!$O$2:$O$1212,$K506))</f>
        <v/>
      </c>
      <c r="J506" s="10" t="str">
        <f>IF($K506="","",INDEX(Конструктор!$P$2:$P$1212,$K506))</f>
        <v/>
      </c>
      <c r="K506" t="str">
        <f>IFERROR(MATCH(486,Конструктор!$T$2:$T$1212,0),"")</f>
        <v/>
      </c>
      <c r="L506" t="str">
        <f t="shared" si="7"/>
        <v/>
      </c>
    </row>
    <row r="507" spans="1:12" hidden="1" x14ac:dyDescent="0.3">
      <c r="A507" t="str">
        <f>IF($K507="","",487)</f>
        <v/>
      </c>
      <c r="B507" t="str">
        <f>IF($K507="","",INDEX(Конструктор!$C$2:$C$1212,$K507))</f>
        <v/>
      </c>
      <c r="C507" s="8" t="str">
        <f>IF($K507="","",INDEX(Конструктор!$D$2:$D$1212,$K507)&amp;IF(INDEX(Конструктор!$J$2:$J$1212,$K507)&lt;&gt;""," — "&amp;INDEX(Конструктор!$J$2:$J$1212,$K507),""))</f>
        <v/>
      </c>
      <c r="D507" t="str">
        <f>IF($K507="","",INDEX(Конструктор!$E$2:$E$1212,$K507))</f>
        <v/>
      </c>
      <c r="E507" s="10" t="str">
        <f>IF($K507="","",INDEX(Конструктор!$H$2:$H$1212,$K507))</f>
        <v/>
      </c>
      <c r="F507" s="10" t="str">
        <f>IF($K507="","",INDEX(Конструктор!$L$2:$L$1212,$K507))</f>
        <v/>
      </c>
      <c r="G507" s="10" t="str">
        <f>IF($K507="","",INDEX(Конструктор!$M$2:$M$1212,$K507))</f>
        <v/>
      </c>
      <c r="H507" s="10" t="str">
        <f>IF($K507="","",INDEX(Конструктор!$N$2:$N$1212,$K507))</f>
        <v/>
      </c>
      <c r="I507" s="10" t="str">
        <f>IF($K507="","",INDEX(Конструктор!$O$2:$O$1212,$K507))</f>
        <v/>
      </c>
      <c r="J507" s="10" t="str">
        <f>IF($K507="","",INDEX(Конструктор!$P$2:$P$1212,$K507))</f>
        <v/>
      </c>
      <c r="K507" t="str">
        <f>IFERROR(MATCH(487,Конструктор!$T$2:$T$1212,0),"")</f>
        <v/>
      </c>
      <c r="L507" t="str">
        <f t="shared" si="7"/>
        <v/>
      </c>
    </row>
    <row r="508" spans="1:12" hidden="1" x14ac:dyDescent="0.3">
      <c r="A508" t="str">
        <f>IF($K508="","",488)</f>
        <v/>
      </c>
      <c r="B508" t="str">
        <f>IF($K508="","",INDEX(Конструктор!$C$2:$C$1212,$K508))</f>
        <v/>
      </c>
      <c r="C508" s="8" t="str">
        <f>IF($K508="","",INDEX(Конструктор!$D$2:$D$1212,$K508)&amp;IF(INDEX(Конструктор!$J$2:$J$1212,$K508)&lt;&gt;""," — "&amp;INDEX(Конструктор!$J$2:$J$1212,$K508),""))</f>
        <v/>
      </c>
      <c r="D508" t="str">
        <f>IF($K508="","",INDEX(Конструктор!$E$2:$E$1212,$K508))</f>
        <v/>
      </c>
      <c r="E508" s="10" t="str">
        <f>IF($K508="","",INDEX(Конструктор!$H$2:$H$1212,$K508))</f>
        <v/>
      </c>
      <c r="F508" s="10" t="str">
        <f>IF($K508="","",INDEX(Конструктор!$L$2:$L$1212,$K508))</f>
        <v/>
      </c>
      <c r="G508" s="10" t="str">
        <f>IF($K508="","",INDEX(Конструктор!$M$2:$M$1212,$K508))</f>
        <v/>
      </c>
      <c r="H508" s="10" t="str">
        <f>IF($K508="","",INDEX(Конструктор!$N$2:$N$1212,$K508))</f>
        <v/>
      </c>
      <c r="I508" s="10" t="str">
        <f>IF($K508="","",INDEX(Конструктор!$O$2:$O$1212,$K508))</f>
        <v/>
      </c>
      <c r="J508" s="10" t="str">
        <f>IF($K508="","",INDEX(Конструктор!$P$2:$P$1212,$K508))</f>
        <v/>
      </c>
      <c r="K508" t="str">
        <f>IFERROR(MATCH(488,Конструктор!$T$2:$T$1212,0),"")</f>
        <v/>
      </c>
      <c r="L508" t="str">
        <f t="shared" si="7"/>
        <v/>
      </c>
    </row>
    <row r="509" spans="1:12" hidden="1" x14ac:dyDescent="0.3">
      <c r="A509" t="str">
        <f>IF($K509="","",489)</f>
        <v/>
      </c>
      <c r="B509" t="str">
        <f>IF($K509="","",INDEX(Конструктор!$C$2:$C$1212,$K509))</f>
        <v/>
      </c>
      <c r="C509" s="8" t="str">
        <f>IF($K509="","",INDEX(Конструктор!$D$2:$D$1212,$K509)&amp;IF(INDEX(Конструктор!$J$2:$J$1212,$K509)&lt;&gt;""," — "&amp;INDEX(Конструктор!$J$2:$J$1212,$K509),""))</f>
        <v/>
      </c>
      <c r="D509" t="str">
        <f>IF($K509="","",INDEX(Конструктор!$E$2:$E$1212,$K509))</f>
        <v/>
      </c>
      <c r="E509" s="10" t="str">
        <f>IF($K509="","",INDEX(Конструктор!$H$2:$H$1212,$K509))</f>
        <v/>
      </c>
      <c r="F509" s="10" t="str">
        <f>IF($K509="","",INDEX(Конструктор!$L$2:$L$1212,$K509))</f>
        <v/>
      </c>
      <c r="G509" s="10" t="str">
        <f>IF($K509="","",INDEX(Конструктор!$M$2:$M$1212,$K509))</f>
        <v/>
      </c>
      <c r="H509" s="10" t="str">
        <f>IF($K509="","",INDEX(Конструктор!$N$2:$N$1212,$K509))</f>
        <v/>
      </c>
      <c r="I509" s="10" t="str">
        <f>IF($K509="","",INDEX(Конструктор!$O$2:$O$1212,$K509))</f>
        <v/>
      </c>
      <c r="J509" s="10" t="str">
        <f>IF($K509="","",INDEX(Конструктор!$P$2:$P$1212,$K509))</f>
        <v/>
      </c>
      <c r="K509" t="str">
        <f>IFERROR(MATCH(489,Конструктор!$T$2:$T$1212,0),"")</f>
        <v/>
      </c>
      <c r="L509" t="str">
        <f t="shared" si="7"/>
        <v/>
      </c>
    </row>
    <row r="510" spans="1:12" hidden="1" x14ac:dyDescent="0.3">
      <c r="A510" t="str">
        <f>IF($K510="","",490)</f>
        <v/>
      </c>
      <c r="B510" t="str">
        <f>IF($K510="","",INDEX(Конструктор!$C$2:$C$1212,$K510))</f>
        <v/>
      </c>
      <c r="C510" s="8" t="str">
        <f>IF($K510="","",INDEX(Конструктор!$D$2:$D$1212,$K510)&amp;IF(INDEX(Конструктор!$J$2:$J$1212,$K510)&lt;&gt;""," — "&amp;INDEX(Конструктор!$J$2:$J$1212,$K510),""))</f>
        <v/>
      </c>
      <c r="D510" t="str">
        <f>IF($K510="","",INDEX(Конструктор!$E$2:$E$1212,$K510))</f>
        <v/>
      </c>
      <c r="E510" s="10" t="str">
        <f>IF($K510="","",INDEX(Конструктор!$H$2:$H$1212,$K510))</f>
        <v/>
      </c>
      <c r="F510" s="10" t="str">
        <f>IF($K510="","",INDEX(Конструктор!$L$2:$L$1212,$K510))</f>
        <v/>
      </c>
      <c r="G510" s="10" t="str">
        <f>IF($K510="","",INDEX(Конструктор!$M$2:$M$1212,$K510))</f>
        <v/>
      </c>
      <c r="H510" s="10" t="str">
        <f>IF($K510="","",INDEX(Конструктор!$N$2:$N$1212,$K510))</f>
        <v/>
      </c>
      <c r="I510" s="10" t="str">
        <f>IF($K510="","",INDEX(Конструктор!$O$2:$O$1212,$K510))</f>
        <v/>
      </c>
      <c r="J510" s="10" t="str">
        <f>IF($K510="","",INDEX(Конструктор!$P$2:$P$1212,$K510))</f>
        <v/>
      </c>
      <c r="K510" t="str">
        <f>IFERROR(MATCH(490,Конструктор!$T$2:$T$1212,0),"")</f>
        <v/>
      </c>
      <c r="L510" t="str">
        <f t="shared" si="7"/>
        <v/>
      </c>
    </row>
    <row r="511" spans="1:12" hidden="1" x14ac:dyDescent="0.3">
      <c r="A511" t="str">
        <f>IF($K511="","",491)</f>
        <v/>
      </c>
      <c r="B511" t="str">
        <f>IF($K511="","",INDEX(Конструктор!$C$2:$C$1212,$K511))</f>
        <v/>
      </c>
      <c r="C511" s="8" t="str">
        <f>IF($K511="","",INDEX(Конструктор!$D$2:$D$1212,$K511)&amp;IF(INDEX(Конструктор!$J$2:$J$1212,$K511)&lt;&gt;""," — "&amp;INDEX(Конструктор!$J$2:$J$1212,$K511),""))</f>
        <v/>
      </c>
      <c r="D511" t="str">
        <f>IF($K511="","",INDEX(Конструктор!$E$2:$E$1212,$K511))</f>
        <v/>
      </c>
      <c r="E511" s="10" t="str">
        <f>IF($K511="","",INDEX(Конструктор!$H$2:$H$1212,$K511))</f>
        <v/>
      </c>
      <c r="F511" s="10" t="str">
        <f>IF($K511="","",INDEX(Конструктор!$L$2:$L$1212,$K511))</f>
        <v/>
      </c>
      <c r="G511" s="10" t="str">
        <f>IF($K511="","",INDEX(Конструктор!$M$2:$M$1212,$K511))</f>
        <v/>
      </c>
      <c r="H511" s="10" t="str">
        <f>IF($K511="","",INDEX(Конструктор!$N$2:$N$1212,$K511))</f>
        <v/>
      </c>
      <c r="I511" s="10" t="str">
        <f>IF($K511="","",INDEX(Конструктор!$O$2:$O$1212,$K511))</f>
        <v/>
      </c>
      <c r="J511" s="10" t="str">
        <f>IF($K511="","",INDEX(Конструктор!$P$2:$P$1212,$K511))</f>
        <v/>
      </c>
      <c r="K511" t="str">
        <f>IFERROR(MATCH(491,Конструктор!$T$2:$T$1212,0),"")</f>
        <v/>
      </c>
      <c r="L511" t="str">
        <f t="shared" si="7"/>
        <v/>
      </c>
    </row>
    <row r="512" spans="1:12" hidden="1" x14ac:dyDescent="0.3">
      <c r="A512" t="str">
        <f>IF($K512="","",492)</f>
        <v/>
      </c>
      <c r="B512" t="str">
        <f>IF($K512="","",INDEX(Конструктор!$C$2:$C$1212,$K512))</f>
        <v/>
      </c>
      <c r="C512" s="8" t="str">
        <f>IF($K512="","",INDEX(Конструктор!$D$2:$D$1212,$K512)&amp;IF(INDEX(Конструктор!$J$2:$J$1212,$K512)&lt;&gt;""," — "&amp;INDEX(Конструктор!$J$2:$J$1212,$K512),""))</f>
        <v/>
      </c>
      <c r="D512" t="str">
        <f>IF($K512="","",INDEX(Конструктор!$E$2:$E$1212,$K512))</f>
        <v/>
      </c>
      <c r="E512" s="10" t="str">
        <f>IF($K512="","",INDEX(Конструктор!$H$2:$H$1212,$K512))</f>
        <v/>
      </c>
      <c r="F512" s="10" t="str">
        <f>IF($K512="","",INDEX(Конструктор!$L$2:$L$1212,$K512))</f>
        <v/>
      </c>
      <c r="G512" s="10" t="str">
        <f>IF($K512="","",INDEX(Конструктор!$M$2:$M$1212,$K512))</f>
        <v/>
      </c>
      <c r="H512" s="10" t="str">
        <f>IF($K512="","",INDEX(Конструктор!$N$2:$N$1212,$K512))</f>
        <v/>
      </c>
      <c r="I512" s="10" t="str">
        <f>IF($K512="","",INDEX(Конструктор!$O$2:$O$1212,$K512))</f>
        <v/>
      </c>
      <c r="J512" s="10" t="str">
        <f>IF($K512="","",INDEX(Конструктор!$P$2:$P$1212,$K512))</f>
        <v/>
      </c>
      <c r="K512" t="str">
        <f>IFERROR(MATCH(492,Конструктор!$T$2:$T$1212,0),"")</f>
        <v/>
      </c>
      <c r="L512" t="str">
        <f t="shared" si="7"/>
        <v/>
      </c>
    </row>
    <row r="513" spans="1:12" hidden="1" x14ac:dyDescent="0.3">
      <c r="A513" t="str">
        <f>IF($K513="","",493)</f>
        <v/>
      </c>
      <c r="B513" t="str">
        <f>IF($K513="","",INDEX(Конструктор!$C$2:$C$1212,$K513))</f>
        <v/>
      </c>
      <c r="C513" s="8" t="str">
        <f>IF($K513="","",INDEX(Конструктор!$D$2:$D$1212,$K513)&amp;IF(INDEX(Конструктор!$J$2:$J$1212,$K513)&lt;&gt;""," — "&amp;INDEX(Конструктор!$J$2:$J$1212,$K513),""))</f>
        <v/>
      </c>
      <c r="D513" t="str">
        <f>IF($K513="","",INDEX(Конструктор!$E$2:$E$1212,$K513))</f>
        <v/>
      </c>
      <c r="E513" s="10" t="str">
        <f>IF($K513="","",INDEX(Конструктор!$H$2:$H$1212,$K513))</f>
        <v/>
      </c>
      <c r="F513" s="10" t="str">
        <f>IF($K513="","",INDEX(Конструктор!$L$2:$L$1212,$K513))</f>
        <v/>
      </c>
      <c r="G513" s="10" t="str">
        <f>IF($K513="","",INDEX(Конструктор!$M$2:$M$1212,$K513))</f>
        <v/>
      </c>
      <c r="H513" s="10" t="str">
        <f>IF($K513="","",INDEX(Конструктор!$N$2:$N$1212,$K513))</f>
        <v/>
      </c>
      <c r="I513" s="10" t="str">
        <f>IF($K513="","",INDEX(Конструктор!$O$2:$O$1212,$K513))</f>
        <v/>
      </c>
      <c r="J513" s="10" t="str">
        <f>IF($K513="","",INDEX(Конструктор!$P$2:$P$1212,$K513))</f>
        <v/>
      </c>
      <c r="K513" t="str">
        <f>IFERROR(MATCH(493,Конструктор!$T$2:$T$1212,0),"")</f>
        <v/>
      </c>
      <c r="L513" t="str">
        <f t="shared" si="7"/>
        <v/>
      </c>
    </row>
    <row r="514" spans="1:12" hidden="1" x14ac:dyDescent="0.3">
      <c r="A514" t="str">
        <f>IF($K514="","",494)</f>
        <v/>
      </c>
      <c r="B514" t="str">
        <f>IF($K514="","",INDEX(Конструктор!$C$2:$C$1212,$K514))</f>
        <v/>
      </c>
      <c r="C514" s="8" t="str">
        <f>IF($K514="","",INDEX(Конструктор!$D$2:$D$1212,$K514)&amp;IF(INDEX(Конструктор!$J$2:$J$1212,$K514)&lt;&gt;""," — "&amp;INDEX(Конструктор!$J$2:$J$1212,$K514),""))</f>
        <v/>
      </c>
      <c r="D514" t="str">
        <f>IF($K514="","",INDEX(Конструктор!$E$2:$E$1212,$K514))</f>
        <v/>
      </c>
      <c r="E514" s="10" t="str">
        <f>IF($K514="","",INDEX(Конструктор!$H$2:$H$1212,$K514))</f>
        <v/>
      </c>
      <c r="F514" s="10" t="str">
        <f>IF($K514="","",INDEX(Конструктор!$L$2:$L$1212,$K514))</f>
        <v/>
      </c>
      <c r="G514" s="10" t="str">
        <f>IF($K514="","",INDEX(Конструктор!$M$2:$M$1212,$K514))</f>
        <v/>
      </c>
      <c r="H514" s="10" t="str">
        <f>IF($K514="","",INDEX(Конструктор!$N$2:$N$1212,$K514))</f>
        <v/>
      </c>
      <c r="I514" s="10" t="str">
        <f>IF($K514="","",INDEX(Конструктор!$O$2:$O$1212,$K514))</f>
        <v/>
      </c>
      <c r="J514" s="10" t="str">
        <f>IF($K514="","",INDEX(Конструктор!$P$2:$P$1212,$K514))</f>
        <v/>
      </c>
      <c r="K514" t="str">
        <f>IFERROR(MATCH(494,Конструктор!$T$2:$T$1212,0),"")</f>
        <v/>
      </c>
      <c r="L514" t="str">
        <f t="shared" si="7"/>
        <v/>
      </c>
    </row>
    <row r="515" spans="1:12" hidden="1" x14ac:dyDescent="0.3">
      <c r="A515" t="str">
        <f>IF($K515="","",495)</f>
        <v/>
      </c>
      <c r="B515" t="str">
        <f>IF($K515="","",INDEX(Конструктор!$C$2:$C$1212,$K515))</f>
        <v/>
      </c>
      <c r="C515" s="8" t="str">
        <f>IF($K515="","",INDEX(Конструктор!$D$2:$D$1212,$K515)&amp;IF(INDEX(Конструктор!$J$2:$J$1212,$K515)&lt;&gt;""," — "&amp;INDEX(Конструктор!$J$2:$J$1212,$K515),""))</f>
        <v/>
      </c>
      <c r="D515" t="str">
        <f>IF($K515="","",INDEX(Конструктор!$E$2:$E$1212,$K515))</f>
        <v/>
      </c>
      <c r="E515" s="10" t="str">
        <f>IF($K515="","",INDEX(Конструктор!$H$2:$H$1212,$K515))</f>
        <v/>
      </c>
      <c r="F515" s="10" t="str">
        <f>IF($K515="","",INDEX(Конструктор!$L$2:$L$1212,$K515))</f>
        <v/>
      </c>
      <c r="G515" s="10" t="str">
        <f>IF($K515="","",INDEX(Конструктор!$M$2:$M$1212,$K515))</f>
        <v/>
      </c>
      <c r="H515" s="10" t="str">
        <f>IF($K515="","",INDEX(Конструктор!$N$2:$N$1212,$K515))</f>
        <v/>
      </c>
      <c r="I515" s="10" t="str">
        <f>IF($K515="","",INDEX(Конструктор!$O$2:$O$1212,$K515))</f>
        <v/>
      </c>
      <c r="J515" s="10" t="str">
        <f>IF($K515="","",INDEX(Конструктор!$P$2:$P$1212,$K515))</f>
        <v/>
      </c>
      <c r="K515" t="str">
        <f>IFERROR(MATCH(495,Конструктор!$T$2:$T$1212,0),"")</f>
        <v/>
      </c>
      <c r="L515" t="str">
        <f t="shared" si="7"/>
        <v/>
      </c>
    </row>
    <row r="516" spans="1:12" hidden="1" x14ac:dyDescent="0.3">
      <c r="A516" t="str">
        <f>IF($K516="","",496)</f>
        <v/>
      </c>
      <c r="B516" t="str">
        <f>IF($K516="","",INDEX(Конструктор!$C$2:$C$1212,$K516))</f>
        <v/>
      </c>
      <c r="C516" s="8" t="str">
        <f>IF($K516="","",INDEX(Конструктор!$D$2:$D$1212,$K516)&amp;IF(INDEX(Конструктор!$J$2:$J$1212,$K516)&lt;&gt;""," — "&amp;INDEX(Конструктор!$J$2:$J$1212,$K516),""))</f>
        <v/>
      </c>
      <c r="D516" t="str">
        <f>IF($K516="","",INDEX(Конструктор!$E$2:$E$1212,$K516))</f>
        <v/>
      </c>
      <c r="E516" s="10" t="str">
        <f>IF($K516="","",INDEX(Конструктор!$H$2:$H$1212,$K516))</f>
        <v/>
      </c>
      <c r="F516" s="10" t="str">
        <f>IF($K516="","",INDEX(Конструктор!$L$2:$L$1212,$K516))</f>
        <v/>
      </c>
      <c r="G516" s="10" t="str">
        <f>IF($K516="","",INDEX(Конструктор!$M$2:$M$1212,$K516))</f>
        <v/>
      </c>
      <c r="H516" s="10" t="str">
        <f>IF($K516="","",INDEX(Конструктор!$N$2:$N$1212,$K516))</f>
        <v/>
      </c>
      <c r="I516" s="10" t="str">
        <f>IF($K516="","",INDEX(Конструктор!$O$2:$O$1212,$K516))</f>
        <v/>
      </c>
      <c r="J516" s="10" t="str">
        <f>IF($K516="","",INDEX(Конструктор!$P$2:$P$1212,$K516))</f>
        <v/>
      </c>
      <c r="K516" t="str">
        <f>IFERROR(MATCH(496,Конструктор!$T$2:$T$1212,0),"")</f>
        <v/>
      </c>
      <c r="L516" t="str">
        <f t="shared" si="7"/>
        <v/>
      </c>
    </row>
    <row r="517" spans="1:12" hidden="1" x14ac:dyDescent="0.3">
      <c r="A517" t="str">
        <f>IF($K517="","",497)</f>
        <v/>
      </c>
      <c r="B517" t="str">
        <f>IF($K517="","",INDEX(Конструктор!$C$2:$C$1212,$K517))</f>
        <v/>
      </c>
      <c r="C517" s="8" t="str">
        <f>IF($K517="","",INDEX(Конструктор!$D$2:$D$1212,$K517)&amp;IF(INDEX(Конструктор!$J$2:$J$1212,$K517)&lt;&gt;""," — "&amp;INDEX(Конструктор!$J$2:$J$1212,$K517),""))</f>
        <v/>
      </c>
      <c r="D517" t="str">
        <f>IF($K517="","",INDEX(Конструктор!$E$2:$E$1212,$K517))</f>
        <v/>
      </c>
      <c r="E517" s="10" t="str">
        <f>IF($K517="","",INDEX(Конструктор!$H$2:$H$1212,$K517))</f>
        <v/>
      </c>
      <c r="F517" s="10" t="str">
        <f>IF($K517="","",INDEX(Конструктор!$L$2:$L$1212,$K517))</f>
        <v/>
      </c>
      <c r="G517" s="10" t="str">
        <f>IF($K517="","",INDEX(Конструктор!$M$2:$M$1212,$K517))</f>
        <v/>
      </c>
      <c r="H517" s="10" t="str">
        <f>IF($K517="","",INDEX(Конструктор!$N$2:$N$1212,$K517))</f>
        <v/>
      </c>
      <c r="I517" s="10" t="str">
        <f>IF($K517="","",INDEX(Конструктор!$O$2:$O$1212,$K517))</f>
        <v/>
      </c>
      <c r="J517" s="10" t="str">
        <f>IF($K517="","",INDEX(Конструктор!$P$2:$P$1212,$K517))</f>
        <v/>
      </c>
      <c r="K517" t="str">
        <f>IFERROR(MATCH(497,Конструктор!$T$2:$T$1212,0),"")</f>
        <v/>
      </c>
      <c r="L517" t="str">
        <f t="shared" si="7"/>
        <v/>
      </c>
    </row>
    <row r="518" spans="1:12" hidden="1" x14ac:dyDescent="0.3">
      <c r="A518" t="str">
        <f>IF($K518="","",498)</f>
        <v/>
      </c>
      <c r="B518" t="str">
        <f>IF($K518="","",INDEX(Конструктор!$C$2:$C$1212,$K518))</f>
        <v/>
      </c>
      <c r="C518" s="8" t="str">
        <f>IF($K518="","",INDEX(Конструктор!$D$2:$D$1212,$K518)&amp;IF(INDEX(Конструктор!$J$2:$J$1212,$K518)&lt;&gt;""," — "&amp;INDEX(Конструктор!$J$2:$J$1212,$K518),""))</f>
        <v/>
      </c>
      <c r="D518" t="str">
        <f>IF($K518="","",INDEX(Конструктор!$E$2:$E$1212,$K518))</f>
        <v/>
      </c>
      <c r="E518" s="10" t="str">
        <f>IF($K518="","",INDEX(Конструктор!$H$2:$H$1212,$K518))</f>
        <v/>
      </c>
      <c r="F518" s="10" t="str">
        <f>IF($K518="","",INDEX(Конструктор!$L$2:$L$1212,$K518))</f>
        <v/>
      </c>
      <c r="G518" s="10" t="str">
        <f>IF($K518="","",INDEX(Конструктор!$M$2:$M$1212,$K518))</f>
        <v/>
      </c>
      <c r="H518" s="10" t="str">
        <f>IF($K518="","",INDEX(Конструктор!$N$2:$N$1212,$K518))</f>
        <v/>
      </c>
      <c r="I518" s="10" t="str">
        <f>IF($K518="","",INDEX(Конструктор!$O$2:$O$1212,$K518))</f>
        <v/>
      </c>
      <c r="J518" s="10" t="str">
        <f>IF($K518="","",INDEX(Конструктор!$P$2:$P$1212,$K518))</f>
        <v/>
      </c>
      <c r="K518" t="str">
        <f>IFERROR(MATCH(498,Конструктор!$T$2:$T$1212,0),"")</f>
        <v/>
      </c>
      <c r="L518" t="str">
        <f t="shared" si="7"/>
        <v/>
      </c>
    </row>
    <row r="519" spans="1:12" hidden="1" x14ac:dyDescent="0.3">
      <c r="A519" t="str">
        <f>IF($K519="","",499)</f>
        <v/>
      </c>
      <c r="B519" t="str">
        <f>IF($K519="","",INDEX(Конструктор!$C$2:$C$1212,$K519))</f>
        <v/>
      </c>
      <c r="C519" s="8" t="str">
        <f>IF($K519="","",INDEX(Конструктор!$D$2:$D$1212,$K519)&amp;IF(INDEX(Конструктор!$J$2:$J$1212,$K519)&lt;&gt;""," — "&amp;INDEX(Конструктор!$J$2:$J$1212,$K519),""))</f>
        <v/>
      </c>
      <c r="D519" t="str">
        <f>IF($K519="","",INDEX(Конструктор!$E$2:$E$1212,$K519))</f>
        <v/>
      </c>
      <c r="E519" s="10" t="str">
        <f>IF($K519="","",INDEX(Конструктор!$H$2:$H$1212,$K519))</f>
        <v/>
      </c>
      <c r="F519" s="10" t="str">
        <f>IF($K519="","",INDEX(Конструктор!$L$2:$L$1212,$K519))</f>
        <v/>
      </c>
      <c r="G519" s="10" t="str">
        <f>IF($K519="","",INDEX(Конструктор!$M$2:$M$1212,$K519))</f>
        <v/>
      </c>
      <c r="H519" s="10" t="str">
        <f>IF($K519="","",INDEX(Конструктор!$N$2:$N$1212,$K519))</f>
        <v/>
      </c>
      <c r="I519" s="10" t="str">
        <f>IF($K519="","",INDEX(Конструктор!$O$2:$O$1212,$K519))</f>
        <v/>
      </c>
      <c r="J519" s="10" t="str">
        <f>IF($K519="","",INDEX(Конструктор!$P$2:$P$1212,$K519))</f>
        <v/>
      </c>
      <c r="K519" t="str">
        <f>IFERROR(MATCH(499,Конструктор!$T$2:$T$1212,0),"")</f>
        <v/>
      </c>
      <c r="L519" t="str">
        <f t="shared" si="7"/>
        <v/>
      </c>
    </row>
    <row r="520" spans="1:12" hidden="1" x14ac:dyDescent="0.3">
      <c r="A520" t="str">
        <f>IF($K520="","",500)</f>
        <v/>
      </c>
      <c r="B520" t="str">
        <f>IF($K520="","",INDEX(Конструктор!$C$2:$C$1212,$K520))</f>
        <v/>
      </c>
      <c r="C520" s="8" t="str">
        <f>IF($K520="","",INDEX(Конструктор!$D$2:$D$1212,$K520)&amp;IF(INDEX(Конструктор!$J$2:$J$1212,$K520)&lt;&gt;""," — "&amp;INDEX(Конструктор!$J$2:$J$1212,$K520),""))</f>
        <v/>
      </c>
      <c r="D520" t="str">
        <f>IF($K520="","",INDEX(Конструктор!$E$2:$E$1212,$K520))</f>
        <v/>
      </c>
      <c r="E520" s="10" t="str">
        <f>IF($K520="","",INDEX(Конструктор!$H$2:$H$1212,$K520))</f>
        <v/>
      </c>
      <c r="F520" s="10" t="str">
        <f>IF($K520="","",INDEX(Конструктор!$L$2:$L$1212,$K520))</f>
        <v/>
      </c>
      <c r="G520" s="10" t="str">
        <f>IF($K520="","",INDEX(Конструктор!$M$2:$M$1212,$K520))</f>
        <v/>
      </c>
      <c r="H520" s="10" t="str">
        <f>IF($K520="","",INDEX(Конструктор!$N$2:$N$1212,$K520))</f>
        <v/>
      </c>
      <c r="I520" s="10" t="str">
        <f>IF($K520="","",INDEX(Конструктор!$O$2:$O$1212,$K520))</f>
        <v/>
      </c>
      <c r="J520" s="10" t="str">
        <f>IF($K520="","",INDEX(Конструктор!$P$2:$P$1212,$K520))</f>
        <v/>
      </c>
      <c r="K520" t="str">
        <f>IFERROR(MATCH(500,Конструктор!$T$2:$T$1212,0),"")</f>
        <v/>
      </c>
      <c r="L520" t="str">
        <f t="shared" si="7"/>
        <v/>
      </c>
    </row>
    <row r="521" spans="1:12" hidden="1" x14ac:dyDescent="0.3">
      <c r="A521" t="str">
        <f>IF($K521="","",501)</f>
        <v/>
      </c>
      <c r="B521" t="str">
        <f>IF($K521="","",INDEX(Конструктор!$C$2:$C$1212,$K521))</f>
        <v/>
      </c>
      <c r="C521" s="8" t="str">
        <f>IF($K521="","",INDEX(Конструктор!$D$2:$D$1212,$K521)&amp;IF(INDEX(Конструктор!$J$2:$J$1212,$K521)&lt;&gt;""," — "&amp;INDEX(Конструктор!$J$2:$J$1212,$K521),""))</f>
        <v/>
      </c>
      <c r="D521" t="str">
        <f>IF($K521="","",INDEX(Конструктор!$E$2:$E$1212,$K521))</f>
        <v/>
      </c>
      <c r="E521" s="10" t="str">
        <f>IF($K521="","",INDEX(Конструктор!$H$2:$H$1212,$K521))</f>
        <v/>
      </c>
      <c r="F521" s="10" t="str">
        <f>IF($K521="","",INDEX(Конструктор!$L$2:$L$1212,$K521))</f>
        <v/>
      </c>
      <c r="G521" s="10" t="str">
        <f>IF($K521="","",INDEX(Конструктор!$M$2:$M$1212,$K521))</f>
        <v/>
      </c>
      <c r="H521" s="10" t="str">
        <f>IF($K521="","",INDEX(Конструктор!$N$2:$N$1212,$K521))</f>
        <v/>
      </c>
      <c r="I521" s="10" t="str">
        <f>IF($K521="","",INDEX(Конструктор!$O$2:$O$1212,$K521))</f>
        <v/>
      </c>
      <c r="J521" s="10" t="str">
        <f>IF($K521="","",INDEX(Конструктор!$P$2:$P$1212,$K521))</f>
        <v/>
      </c>
      <c r="K521" t="str">
        <f>IFERROR(MATCH(501,Конструктор!$T$2:$T$1212,0),"")</f>
        <v/>
      </c>
      <c r="L521" t="str">
        <f t="shared" si="7"/>
        <v/>
      </c>
    </row>
    <row r="522" spans="1:12" hidden="1" x14ac:dyDescent="0.3">
      <c r="A522" t="str">
        <f>IF($K522="","",502)</f>
        <v/>
      </c>
      <c r="B522" t="str">
        <f>IF($K522="","",INDEX(Конструктор!$C$2:$C$1212,$K522))</f>
        <v/>
      </c>
      <c r="C522" s="8" t="str">
        <f>IF($K522="","",INDEX(Конструктор!$D$2:$D$1212,$K522)&amp;IF(INDEX(Конструктор!$J$2:$J$1212,$K522)&lt;&gt;""," — "&amp;INDEX(Конструктор!$J$2:$J$1212,$K522),""))</f>
        <v/>
      </c>
      <c r="D522" t="str">
        <f>IF($K522="","",INDEX(Конструктор!$E$2:$E$1212,$K522))</f>
        <v/>
      </c>
      <c r="E522" s="10" t="str">
        <f>IF($K522="","",INDEX(Конструктор!$H$2:$H$1212,$K522))</f>
        <v/>
      </c>
      <c r="F522" s="10" t="str">
        <f>IF($K522="","",INDEX(Конструктор!$L$2:$L$1212,$K522))</f>
        <v/>
      </c>
      <c r="G522" s="10" t="str">
        <f>IF($K522="","",INDEX(Конструктор!$M$2:$M$1212,$K522))</f>
        <v/>
      </c>
      <c r="H522" s="10" t="str">
        <f>IF($K522="","",INDEX(Конструктор!$N$2:$N$1212,$K522))</f>
        <v/>
      </c>
      <c r="I522" s="10" t="str">
        <f>IF($K522="","",INDEX(Конструктор!$O$2:$O$1212,$K522))</f>
        <v/>
      </c>
      <c r="J522" s="10" t="str">
        <f>IF($K522="","",INDEX(Конструктор!$P$2:$P$1212,$K522))</f>
        <v/>
      </c>
      <c r="K522" t="str">
        <f>IFERROR(MATCH(502,Конструктор!$T$2:$T$1212,0),"")</f>
        <v/>
      </c>
      <c r="L522" t="str">
        <f t="shared" si="7"/>
        <v/>
      </c>
    </row>
    <row r="523" spans="1:12" hidden="1" x14ac:dyDescent="0.3">
      <c r="A523" t="str">
        <f>IF($K523="","",503)</f>
        <v/>
      </c>
      <c r="B523" t="str">
        <f>IF($K523="","",INDEX(Конструктор!$C$2:$C$1212,$K523))</f>
        <v/>
      </c>
      <c r="C523" s="8" t="str">
        <f>IF($K523="","",INDEX(Конструктор!$D$2:$D$1212,$K523)&amp;IF(INDEX(Конструктор!$J$2:$J$1212,$K523)&lt;&gt;""," — "&amp;INDEX(Конструктор!$J$2:$J$1212,$K523),""))</f>
        <v/>
      </c>
      <c r="D523" t="str">
        <f>IF($K523="","",INDEX(Конструктор!$E$2:$E$1212,$K523))</f>
        <v/>
      </c>
      <c r="E523" s="10" t="str">
        <f>IF($K523="","",INDEX(Конструктор!$H$2:$H$1212,$K523))</f>
        <v/>
      </c>
      <c r="F523" s="10" t="str">
        <f>IF($K523="","",INDEX(Конструктор!$L$2:$L$1212,$K523))</f>
        <v/>
      </c>
      <c r="G523" s="10" t="str">
        <f>IF($K523="","",INDEX(Конструктор!$M$2:$M$1212,$K523))</f>
        <v/>
      </c>
      <c r="H523" s="10" t="str">
        <f>IF($K523="","",INDEX(Конструктор!$N$2:$N$1212,$K523))</f>
        <v/>
      </c>
      <c r="I523" s="10" t="str">
        <f>IF($K523="","",INDEX(Конструктор!$O$2:$O$1212,$K523))</f>
        <v/>
      </c>
      <c r="J523" s="10" t="str">
        <f>IF($K523="","",INDEX(Конструктор!$P$2:$P$1212,$K523))</f>
        <v/>
      </c>
      <c r="K523" t="str">
        <f>IFERROR(MATCH(503,Конструктор!$T$2:$T$1212,0),"")</f>
        <v/>
      </c>
      <c r="L523" t="str">
        <f t="shared" si="7"/>
        <v/>
      </c>
    </row>
    <row r="524" spans="1:12" hidden="1" x14ac:dyDescent="0.3">
      <c r="A524" t="str">
        <f>IF($K524="","",504)</f>
        <v/>
      </c>
      <c r="B524" t="str">
        <f>IF($K524="","",INDEX(Конструктор!$C$2:$C$1212,$K524))</f>
        <v/>
      </c>
      <c r="C524" s="8" t="str">
        <f>IF($K524="","",INDEX(Конструктор!$D$2:$D$1212,$K524)&amp;IF(INDEX(Конструктор!$J$2:$J$1212,$K524)&lt;&gt;""," — "&amp;INDEX(Конструктор!$J$2:$J$1212,$K524),""))</f>
        <v/>
      </c>
      <c r="D524" t="str">
        <f>IF($K524="","",INDEX(Конструктор!$E$2:$E$1212,$K524))</f>
        <v/>
      </c>
      <c r="E524" s="10" t="str">
        <f>IF($K524="","",INDEX(Конструктор!$H$2:$H$1212,$K524))</f>
        <v/>
      </c>
      <c r="F524" s="10" t="str">
        <f>IF($K524="","",INDEX(Конструктор!$L$2:$L$1212,$K524))</f>
        <v/>
      </c>
      <c r="G524" s="10" t="str">
        <f>IF($K524="","",INDEX(Конструктор!$M$2:$M$1212,$K524))</f>
        <v/>
      </c>
      <c r="H524" s="10" t="str">
        <f>IF($K524="","",INDEX(Конструктор!$N$2:$N$1212,$K524))</f>
        <v/>
      </c>
      <c r="I524" s="10" t="str">
        <f>IF($K524="","",INDEX(Конструктор!$O$2:$O$1212,$K524))</f>
        <v/>
      </c>
      <c r="J524" s="10" t="str">
        <f>IF($K524="","",INDEX(Конструктор!$P$2:$P$1212,$K524))</f>
        <v/>
      </c>
      <c r="K524" t="str">
        <f>IFERROR(MATCH(504,Конструктор!$T$2:$T$1212,0),"")</f>
        <v/>
      </c>
      <c r="L524" t="str">
        <f t="shared" si="7"/>
        <v/>
      </c>
    </row>
    <row r="525" spans="1:12" hidden="1" x14ac:dyDescent="0.3">
      <c r="A525" t="str">
        <f>IF($K525="","",505)</f>
        <v/>
      </c>
      <c r="B525" t="str">
        <f>IF($K525="","",INDEX(Конструктор!$C$2:$C$1212,$K525))</f>
        <v/>
      </c>
      <c r="C525" s="8" t="str">
        <f>IF($K525="","",INDEX(Конструктор!$D$2:$D$1212,$K525)&amp;IF(INDEX(Конструктор!$J$2:$J$1212,$K525)&lt;&gt;""," — "&amp;INDEX(Конструктор!$J$2:$J$1212,$K525),""))</f>
        <v/>
      </c>
      <c r="D525" t="str">
        <f>IF($K525="","",INDEX(Конструктор!$E$2:$E$1212,$K525))</f>
        <v/>
      </c>
      <c r="E525" s="10" t="str">
        <f>IF($K525="","",INDEX(Конструктор!$H$2:$H$1212,$K525))</f>
        <v/>
      </c>
      <c r="F525" s="10" t="str">
        <f>IF($K525="","",INDEX(Конструктор!$L$2:$L$1212,$K525))</f>
        <v/>
      </c>
      <c r="G525" s="10" t="str">
        <f>IF($K525="","",INDEX(Конструктор!$M$2:$M$1212,$K525))</f>
        <v/>
      </c>
      <c r="H525" s="10" t="str">
        <f>IF($K525="","",INDEX(Конструктор!$N$2:$N$1212,$K525))</f>
        <v/>
      </c>
      <c r="I525" s="10" t="str">
        <f>IF($K525="","",INDEX(Конструктор!$O$2:$O$1212,$K525))</f>
        <v/>
      </c>
      <c r="J525" s="10" t="str">
        <f>IF($K525="","",INDEX(Конструктор!$P$2:$P$1212,$K525))</f>
        <v/>
      </c>
      <c r="K525" t="str">
        <f>IFERROR(MATCH(505,Конструктор!$T$2:$T$1212,0),"")</f>
        <v/>
      </c>
      <c r="L525" t="str">
        <f t="shared" si="7"/>
        <v/>
      </c>
    </row>
    <row r="526" spans="1:12" hidden="1" x14ac:dyDescent="0.3">
      <c r="A526" t="str">
        <f>IF($K526="","",506)</f>
        <v/>
      </c>
      <c r="B526" t="str">
        <f>IF($K526="","",INDEX(Конструктор!$C$2:$C$1212,$K526))</f>
        <v/>
      </c>
      <c r="C526" s="8" t="str">
        <f>IF($K526="","",INDEX(Конструктор!$D$2:$D$1212,$K526)&amp;IF(INDEX(Конструктор!$J$2:$J$1212,$K526)&lt;&gt;""," — "&amp;INDEX(Конструктор!$J$2:$J$1212,$K526),""))</f>
        <v/>
      </c>
      <c r="D526" t="str">
        <f>IF($K526="","",INDEX(Конструктор!$E$2:$E$1212,$K526))</f>
        <v/>
      </c>
      <c r="E526" s="10" t="str">
        <f>IF($K526="","",INDEX(Конструктор!$H$2:$H$1212,$K526))</f>
        <v/>
      </c>
      <c r="F526" s="10" t="str">
        <f>IF($K526="","",INDEX(Конструктор!$L$2:$L$1212,$K526))</f>
        <v/>
      </c>
      <c r="G526" s="10" t="str">
        <f>IF($K526="","",INDEX(Конструктор!$M$2:$M$1212,$K526))</f>
        <v/>
      </c>
      <c r="H526" s="10" t="str">
        <f>IF($K526="","",INDEX(Конструктор!$N$2:$N$1212,$K526))</f>
        <v/>
      </c>
      <c r="I526" s="10" t="str">
        <f>IF($K526="","",INDEX(Конструктор!$O$2:$O$1212,$K526))</f>
        <v/>
      </c>
      <c r="J526" s="10" t="str">
        <f>IF($K526="","",INDEX(Конструктор!$P$2:$P$1212,$K526))</f>
        <v/>
      </c>
      <c r="K526" t="str">
        <f>IFERROR(MATCH(506,Конструктор!$T$2:$T$1212,0),"")</f>
        <v/>
      </c>
      <c r="L526" t="str">
        <f t="shared" si="7"/>
        <v/>
      </c>
    </row>
    <row r="527" spans="1:12" hidden="1" x14ac:dyDescent="0.3">
      <c r="A527" t="str">
        <f>IF($K527="","",507)</f>
        <v/>
      </c>
      <c r="B527" t="str">
        <f>IF($K527="","",INDEX(Конструктор!$C$2:$C$1212,$K527))</f>
        <v/>
      </c>
      <c r="C527" s="8" t="str">
        <f>IF($K527="","",INDEX(Конструктор!$D$2:$D$1212,$K527)&amp;IF(INDEX(Конструктор!$J$2:$J$1212,$K527)&lt;&gt;""," — "&amp;INDEX(Конструктор!$J$2:$J$1212,$K527),""))</f>
        <v/>
      </c>
      <c r="D527" t="str">
        <f>IF($K527="","",INDEX(Конструктор!$E$2:$E$1212,$K527))</f>
        <v/>
      </c>
      <c r="E527" s="10" t="str">
        <f>IF($K527="","",INDEX(Конструктор!$H$2:$H$1212,$K527))</f>
        <v/>
      </c>
      <c r="F527" s="10" t="str">
        <f>IF($K527="","",INDEX(Конструктор!$L$2:$L$1212,$K527))</f>
        <v/>
      </c>
      <c r="G527" s="10" t="str">
        <f>IF($K527="","",INDEX(Конструктор!$M$2:$M$1212,$K527))</f>
        <v/>
      </c>
      <c r="H527" s="10" t="str">
        <f>IF($K527="","",INDEX(Конструктор!$N$2:$N$1212,$K527))</f>
        <v/>
      </c>
      <c r="I527" s="10" t="str">
        <f>IF($K527="","",INDEX(Конструктор!$O$2:$O$1212,$K527))</f>
        <v/>
      </c>
      <c r="J527" s="10" t="str">
        <f>IF($K527="","",INDEX(Конструктор!$P$2:$P$1212,$K527))</f>
        <v/>
      </c>
      <c r="K527" t="str">
        <f>IFERROR(MATCH(507,Конструктор!$T$2:$T$1212,0),"")</f>
        <v/>
      </c>
      <c r="L527" t="str">
        <f t="shared" si="7"/>
        <v/>
      </c>
    </row>
    <row r="528" spans="1:12" hidden="1" x14ac:dyDescent="0.3">
      <c r="A528" t="str">
        <f>IF($K528="","",508)</f>
        <v/>
      </c>
      <c r="B528" t="str">
        <f>IF($K528="","",INDEX(Конструктор!$C$2:$C$1212,$K528))</f>
        <v/>
      </c>
      <c r="C528" s="8" t="str">
        <f>IF($K528="","",INDEX(Конструктор!$D$2:$D$1212,$K528)&amp;IF(INDEX(Конструктор!$J$2:$J$1212,$K528)&lt;&gt;""," — "&amp;INDEX(Конструктор!$J$2:$J$1212,$K528),""))</f>
        <v/>
      </c>
      <c r="D528" t="str">
        <f>IF($K528="","",INDEX(Конструктор!$E$2:$E$1212,$K528))</f>
        <v/>
      </c>
      <c r="E528" s="10" t="str">
        <f>IF($K528="","",INDEX(Конструктор!$H$2:$H$1212,$K528))</f>
        <v/>
      </c>
      <c r="F528" s="10" t="str">
        <f>IF($K528="","",INDEX(Конструктор!$L$2:$L$1212,$K528))</f>
        <v/>
      </c>
      <c r="G528" s="10" t="str">
        <f>IF($K528="","",INDEX(Конструктор!$M$2:$M$1212,$K528))</f>
        <v/>
      </c>
      <c r="H528" s="10" t="str">
        <f>IF($K528="","",INDEX(Конструктор!$N$2:$N$1212,$K528))</f>
        <v/>
      </c>
      <c r="I528" s="10" t="str">
        <f>IF($K528="","",INDEX(Конструктор!$O$2:$O$1212,$K528))</f>
        <v/>
      </c>
      <c r="J528" s="10" t="str">
        <f>IF($K528="","",INDEX(Конструктор!$P$2:$P$1212,$K528))</f>
        <v/>
      </c>
      <c r="K528" t="str">
        <f>IFERROR(MATCH(508,Конструктор!$T$2:$T$1212,0),"")</f>
        <v/>
      </c>
      <c r="L528" t="str">
        <f t="shared" si="7"/>
        <v/>
      </c>
    </row>
    <row r="529" spans="1:12" hidden="1" x14ac:dyDescent="0.3">
      <c r="A529" t="str">
        <f>IF($K529="","",509)</f>
        <v/>
      </c>
      <c r="B529" t="str">
        <f>IF($K529="","",INDEX(Конструктор!$C$2:$C$1212,$K529))</f>
        <v/>
      </c>
      <c r="C529" s="8" t="str">
        <f>IF($K529="","",INDEX(Конструктор!$D$2:$D$1212,$K529)&amp;IF(INDEX(Конструктор!$J$2:$J$1212,$K529)&lt;&gt;""," — "&amp;INDEX(Конструктор!$J$2:$J$1212,$K529),""))</f>
        <v/>
      </c>
      <c r="D529" t="str">
        <f>IF($K529="","",INDEX(Конструктор!$E$2:$E$1212,$K529))</f>
        <v/>
      </c>
      <c r="E529" s="10" t="str">
        <f>IF($K529="","",INDEX(Конструктор!$H$2:$H$1212,$K529))</f>
        <v/>
      </c>
      <c r="F529" s="10" t="str">
        <f>IF($K529="","",INDEX(Конструктор!$L$2:$L$1212,$K529))</f>
        <v/>
      </c>
      <c r="G529" s="10" t="str">
        <f>IF($K529="","",INDEX(Конструктор!$M$2:$M$1212,$K529))</f>
        <v/>
      </c>
      <c r="H529" s="10" t="str">
        <f>IF($K529="","",INDEX(Конструктор!$N$2:$N$1212,$K529))</f>
        <v/>
      </c>
      <c r="I529" s="10" t="str">
        <f>IF($K529="","",INDEX(Конструктор!$O$2:$O$1212,$K529))</f>
        <v/>
      </c>
      <c r="J529" s="10" t="str">
        <f>IF($K529="","",INDEX(Конструктор!$P$2:$P$1212,$K529))</f>
        <v/>
      </c>
      <c r="K529" t="str">
        <f>IFERROR(MATCH(509,Конструктор!$T$2:$T$1212,0),"")</f>
        <v/>
      </c>
      <c r="L529" t="str">
        <f t="shared" si="7"/>
        <v/>
      </c>
    </row>
    <row r="530" spans="1:12" hidden="1" x14ac:dyDescent="0.3">
      <c r="A530" t="str">
        <f>IF($K530="","",510)</f>
        <v/>
      </c>
      <c r="B530" t="str">
        <f>IF($K530="","",INDEX(Конструктор!$C$2:$C$1212,$K530))</f>
        <v/>
      </c>
      <c r="C530" s="8" t="str">
        <f>IF($K530="","",INDEX(Конструктор!$D$2:$D$1212,$K530)&amp;IF(INDEX(Конструктор!$J$2:$J$1212,$K530)&lt;&gt;""," — "&amp;INDEX(Конструктор!$J$2:$J$1212,$K530),""))</f>
        <v/>
      </c>
      <c r="D530" t="str">
        <f>IF($K530="","",INDEX(Конструктор!$E$2:$E$1212,$K530))</f>
        <v/>
      </c>
      <c r="E530" s="10" t="str">
        <f>IF($K530="","",INDEX(Конструктор!$H$2:$H$1212,$K530))</f>
        <v/>
      </c>
      <c r="F530" s="10" t="str">
        <f>IF($K530="","",INDEX(Конструктор!$L$2:$L$1212,$K530))</f>
        <v/>
      </c>
      <c r="G530" s="10" t="str">
        <f>IF($K530="","",INDEX(Конструктор!$M$2:$M$1212,$K530))</f>
        <v/>
      </c>
      <c r="H530" s="10" t="str">
        <f>IF($K530="","",INDEX(Конструктор!$N$2:$N$1212,$K530))</f>
        <v/>
      </c>
      <c r="I530" s="10" t="str">
        <f>IF($K530="","",INDEX(Конструктор!$O$2:$O$1212,$K530))</f>
        <v/>
      </c>
      <c r="J530" s="10" t="str">
        <f>IF($K530="","",INDEX(Конструктор!$P$2:$P$1212,$K530))</f>
        <v/>
      </c>
      <c r="K530" t="str">
        <f>IFERROR(MATCH(510,Конструктор!$T$2:$T$1212,0),"")</f>
        <v/>
      </c>
      <c r="L530" t="str">
        <f t="shared" si="7"/>
        <v/>
      </c>
    </row>
    <row r="531" spans="1:12" hidden="1" x14ac:dyDescent="0.3">
      <c r="A531" t="str">
        <f>IF($K531="","",511)</f>
        <v/>
      </c>
      <c r="B531" t="str">
        <f>IF($K531="","",INDEX(Конструктор!$C$2:$C$1212,$K531))</f>
        <v/>
      </c>
      <c r="C531" s="8" t="str">
        <f>IF($K531="","",INDEX(Конструктор!$D$2:$D$1212,$K531)&amp;IF(INDEX(Конструктор!$J$2:$J$1212,$K531)&lt;&gt;""," — "&amp;INDEX(Конструктор!$J$2:$J$1212,$K531),""))</f>
        <v/>
      </c>
      <c r="D531" t="str">
        <f>IF($K531="","",INDEX(Конструктор!$E$2:$E$1212,$K531))</f>
        <v/>
      </c>
      <c r="E531" s="10" t="str">
        <f>IF($K531="","",INDEX(Конструктор!$H$2:$H$1212,$K531))</f>
        <v/>
      </c>
      <c r="F531" s="10" t="str">
        <f>IF($K531="","",INDEX(Конструктор!$L$2:$L$1212,$K531))</f>
        <v/>
      </c>
      <c r="G531" s="10" t="str">
        <f>IF($K531="","",INDEX(Конструктор!$M$2:$M$1212,$K531))</f>
        <v/>
      </c>
      <c r="H531" s="10" t="str">
        <f>IF($K531="","",INDEX(Конструктор!$N$2:$N$1212,$K531))</f>
        <v/>
      </c>
      <c r="I531" s="10" t="str">
        <f>IF($K531="","",INDEX(Конструктор!$O$2:$O$1212,$K531))</f>
        <v/>
      </c>
      <c r="J531" s="10" t="str">
        <f>IF($K531="","",INDEX(Конструктор!$P$2:$P$1212,$K531))</f>
        <v/>
      </c>
      <c r="K531" t="str">
        <f>IFERROR(MATCH(511,Конструктор!$T$2:$T$1212,0),"")</f>
        <v/>
      </c>
      <c r="L531" t="str">
        <f t="shared" si="7"/>
        <v/>
      </c>
    </row>
    <row r="532" spans="1:12" hidden="1" x14ac:dyDescent="0.3">
      <c r="A532" t="str">
        <f>IF($K532="","",512)</f>
        <v/>
      </c>
      <c r="B532" t="str">
        <f>IF($K532="","",INDEX(Конструктор!$C$2:$C$1212,$K532))</f>
        <v/>
      </c>
      <c r="C532" s="8" t="str">
        <f>IF($K532="","",INDEX(Конструктор!$D$2:$D$1212,$K532)&amp;IF(INDEX(Конструктор!$J$2:$J$1212,$K532)&lt;&gt;""," — "&amp;INDEX(Конструктор!$J$2:$J$1212,$K532),""))</f>
        <v/>
      </c>
      <c r="D532" t="str">
        <f>IF($K532="","",INDEX(Конструктор!$E$2:$E$1212,$K532))</f>
        <v/>
      </c>
      <c r="E532" s="10" t="str">
        <f>IF($K532="","",INDEX(Конструктор!$H$2:$H$1212,$K532))</f>
        <v/>
      </c>
      <c r="F532" s="10" t="str">
        <f>IF($K532="","",INDEX(Конструктор!$L$2:$L$1212,$K532))</f>
        <v/>
      </c>
      <c r="G532" s="10" t="str">
        <f>IF($K532="","",INDEX(Конструктор!$M$2:$M$1212,$K532))</f>
        <v/>
      </c>
      <c r="H532" s="10" t="str">
        <f>IF($K532="","",INDEX(Конструктор!$N$2:$N$1212,$K532))</f>
        <v/>
      </c>
      <c r="I532" s="10" t="str">
        <f>IF($K532="","",INDEX(Конструктор!$O$2:$O$1212,$K532))</f>
        <v/>
      </c>
      <c r="J532" s="10" t="str">
        <f>IF($K532="","",INDEX(Конструктор!$P$2:$P$1212,$K532))</f>
        <v/>
      </c>
      <c r="K532" t="str">
        <f>IFERROR(MATCH(512,Конструктор!$T$2:$T$1212,0),"")</f>
        <v/>
      </c>
      <c r="L532" t="str">
        <f t="shared" si="7"/>
        <v/>
      </c>
    </row>
    <row r="533" spans="1:12" hidden="1" x14ac:dyDescent="0.3">
      <c r="A533" t="str">
        <f>IF($K533="","",513)</f>
        <v/>
      </c>
      <c r="B533" t="str">
        <f>IF($K533="","",INDEX(Конструктор!$C$2:$C$1212,$K533))</f>
        <v/>
      </c>
      <c r="C533" s="8" t="str">
        <f>IF($K533="","",INDEX(Конструктор!$D$2:$D$1212,$K533)&amp;IF(INDEX(Конструктор!$J$2:$J$1212,$K533)&lt;&gt;""," — "&amp;INDEX(Конструктор!$J$2:$J$1212,$K533),""))</f>
        <v/>
      </c>
      <c r="D533" t="str">
        <f>IF($K533="","",INDEX(Конструктор!$E$2:$E$1212,$K533))</f>
        <v/>
      </c>
      <c r="E533" s="10" t="str">
        <f>IF($K533="","",INDEX(Конструктор!$H$2:$H$1212,$K533))</f>
        <v/>
      </c>
      <c r="F533" s="10" t="str">
        <f>IF($K533="","",INDEX(Конструктор!$L$2:$L$1212,$K533))</f>
        <v/>
      </c>
      <c r="G533" s="10" t="str">
        <f>IF($K533="","",INDEX(Конструктор!$M$2:$M$1212,$K533))</f>
        <v/>
      </c>
      <c r="H533" s="10" t="str">
        <f>IF($K533="","",INDEX(Конструктор!$N$2:$N$1212,$K533))</f>
        <v/>
      </c>
      <c r="I533" s="10" t="str">
        <f>IF($K533="","",INDEX(Конструктор!$O$2:$O$1212,$K533))</f>
        <v/>
      </c>
      <c r="J533" s="10" t="str">
        <f>IF($K533="","",INDEX(Конструктор!$P$2:$P$1212,$K533))</f>
        <v/>
      </c>
      <c r="K533" t="str">
        <f>IFERROR(MATCH(513,Конструктор!$T$2:$T$1212,0),"")</f>
        <v/>
      </c>
      <c r="L533" t="str">
        <f t="shared" ref="L533:L596" si="8">IF($K533="","","показать")</f>
        <v/>
      </c>
    </row>
    <row r="534" spans="1:12" hidden="1" x14ac:dyDescent="0.3">
      <c r="A534" t="str">
        <f>IF($K534="","",514)</f>
        <v/>
      </c>
      <c r="B534" t="str">
        <f>IF($K534="","",INDEX(Конструктор!$C$2:$C$1212,$K534))</f>
        <v/>
      </c>
      <c r="C534" s="8" t="str">
        <f>IF($K534="","",INDEX(Конструктор!$D$2:$D$1212,$K534)&amp;IF(INDEX(Конструктор!$J$2:$J$1212,$K534)&lt;&gt;""," — "&amp;INDEX(Конструктор!$J$2:$J$1212,$K534),""))</f>
        <v/>
      </c>
      <c r="D534" t="str">
        <f>IF($K534="","",INDEX(Конструктор!$E$2:$E$1212,$K534))</f>
        <v/>
      </c>
      <c r="E534" s="10" t="str">
        <f>IF($K534="","",INDEX(Конструктор!$H$2:$H$1212,$K534))</f>
        <v/>
      </c>
      <c r="F534" s="10" t="str">
        <f>IF($K534="","",INDEX(Конструктор!$L$2:$L$1212,$K534))</f>
        <v/>
      </c>
      <c r="G534" s="10" t="str">
        <f>IF($K534="","",INDEX(Конструктор!$M$2:$M$1212,$K534))</f>
        <v/>
      </c>
      <c r="H534" s="10" t="str">
        <f>IF($K534="","",INDEX(Конструктор!$N$2:$N$1212,$K534))</f>
        <v/>
      </c>
      <c r="I534" s="10" t="str">
        <f>IF($K534="","",INDEX(Конструктор!$O$2:$O$1212,$K534))</f>
        <v/>
      </c>
      <c r="J534" s="10" t="str">
        <f>IF($K534="","",INDEX(Конструктор!$P$2:$P$1212,$K534))</f>
        <v/>
      </c>
      <c r="K534" t="str">
        <f>IFERROR(MATCH(514,Конструктор!$T$2:$T$1212,0),"")</f>
        <v/>
      </c>
      <c r="L534" t="str">
        <f t="shared" si="8"/>
        <v/>
      </c>
    </row>
    <row r="535" spans="1:12" hidden="1" x14ac:dyDescent="0.3">
      <c r="A535" t="str">
        <f>IF($K535="","",515)</f>
        <v/>
      </c>
      <c r="B535" t="str">
        <f>IF($K535="","",INDEX(Конструктор!$C$2:$C$1212,$K535))</f>
        <v/>
      </c>
      <c r="C535" s="8" t="str">
        <f>IF($K535="","",INDEX(Конструктор!$D$2:$D$1212,$K535)&amp;IF(INDEX(Конструктор!$J$2:$J$1212,$K535)&lt;&gt;""," — "&amp;INDEX(Конструктор!$J$2:$J$1212,$K535),""))</f>
        <v/>
      </c>
      <c r="D535" t="str">
        <f>IF($K535="","",INDEX(Конструктор!$E$2:$E$1212,$K535))</f>
        <v/>
      </c>
      <c r="E535" s="10" t="str">
        <f>IF($K535="","",INDEX(Конструктор!$H$2:$H$1212,$K535))</f>
        <v/>
      </c>
      <c r="F535" s="10" t="str">
        <f>IF($K535="","",INDEX(Конструктор!$L$2:$L$1212,$K535))</f>
        <v/>
      </c>
      <c r="G535" s="10" t="str">
        <f>IF($K535="","",INDEX(Конструктор!$M$2:$M$1212,$K535))</f>
        <v/>
      </c>
      <c r="H535" s="10" t="str">
        <f>IF($K535="","",INDEX(Конструктор!$N$2:$N$1212,$K535))</f>
        <v/>
      </c>
      <c r="I535" s="10" t="str">
        <f>IF($K535="","",INDEX(Конструктор!$O$2:$O$1212,$K535))</f>
        <v/>
      </c>
      <c r="J535" s="10" t="str">
        <f>IF($K535="","",INDEX(Конструктор!$P$2:$P$1212,$K535))</f>
        <v/>
      </c>
      <c r="K535" t="str">
        <f>IFERROR(MATCH(515,Конструктор!$T$2:$T$1212,0),"")</f>
        <v/>
      </c>
      <c r="L535" t="str">
        <f t="shared" si="8"/>
        <v/>
      </c>
    </row>
    <row r="536" spans="1:12" hidden="1" x14ac:dyDescent="0.3">
      <c r="A536" t="str">
        <f>IF($K536="","",516)</f>
        <v/>
      </c>
      <c r="B536" t="str">
        <f>IF($K536="","",INDEX(Конструктор!$C$2:$C$1212,$K536))</f>
        <v/>
      </c>
      <c r="C536" s="8" t="str">
        <f>IF($K536="","",INDEX(Конструктор!$D$2:$D$1212,$K536)&amp;IF(INDEX(Конструктор!$J$2:$J$1212,$K536)&lt;&gt;""," — "&amp;INDEX(Конструктор!$J$2:$J$1212,$K536),""))</f>
        <v/>
      </c>
      <c r="D536" t="str">
        <f>IF($K536="","",INDEX(Конструктор!$E$2:$E$1212,$K536))</f>
        <v/>
      </c>
      <c r="E536" s="10" t="str">
        <f>IF($K536="","",INDEX(Конструктор!$H$2:$H$1212,$K536))</f>
        <v/>
      </c>
      <c r="F536" s="10" t="str">
        <f>IF($K536="","",INDEX(Конструктор!$L$2:$L$1212,$K536))</f>
        <v/>
      </c>
      <c r="G536" s="10" t="str">
        <f>IF($K536="","",INDEX(Конструктор!$M$2:$M$1212,$K536))</f>
        <v/>
      </c>
      <c r="H536" s="10" t="str">
        <f>IF($K536="","",INDEX(Конструктор!$N$2:$N$1212,$K536))</f>
        <v/>
      </c>
      <c r="I536" s="10" t="str">
        <f>IF($K536="","",INDEX(Конструктор!$O$2:$O$1212,$K536))</f>
        <v/>
      </c>
      <c r="J536" s="10" t="str">
        <f>IF($K536="","",INDEX(Конструктор!$P$2:$P$1212,$K536))</f>
        <v/>
      </c>
      <c r="K536" t="str">
        <f>IFERROR(MATCH(516,Конструктор!$T$2:$T$1212,0),"")</f>
        <v/>
      </c>
      <c r="L536" t="str">
        <f t="shared" si="8"/>
        <v/>
      </c>
    </row>
    <row r="537" spans="1:12" hidden="1" x14ac:dyDescent="0.3">
      <c r="A537" t="str">
        <f>IF($K537="","",517)</f>
        <v/>
      </c>
      <c r="B537" t="str">
        <f>IF($K537="","",INDEX(Конструктор!$C$2:$C$1212,$K537))</f>
        <v/>
      </c>
      <c r="C537" s="8" t="str">
        <f>IF($K537="","",INDEX(Конструктор!$D$2:$D$1212,$K537)&amp;IF(INDEX(Конструктор!$J$2:$J$1212,$K537)&lt;&gt;""," — "&amp;INDEX(Конструктор!$J$2:$J$1212,$K537),""))</f>
        <v/>
      </c>
      <c r="D537" t="str">
        <f>IF($K537="","",INDEX(Конструктор!$E$2:$E$1212,$K537))</f>
        <v/>
      </c>
      <c r="E537" s="10" t="str">
        <f>IF($K537="","",INDEX(Конструктор!$H$2:$H$1212,$K537))</f>
        <v/>
      </c>
      <c r="F537" s="10" t="str">
        <f>IF($K537="","",INDEX(Конструктор!$L$2:$L$1212,$K537))</f>
        <v/>
      </c>
      <c r="G537" s="10" t="str">
        <f>IF($K537="","",INDEX(Конструктор!$M$2:$M$1212,$K537))</f>
        <v/>
      </c>
      <c r="H537" s="10" t="str">
        <f>IF($K537="","",INDEX(Конструктор!$N$2:$N$1212,$K537))</f>
        <v/>
      </c>
      <c r="I537" s="10" t="str">
        <f>IF($K537="","",INDEX(Конструктор!$O$2:$O$1212,$K537))</f>
        <v/>
      </c>
      <c r="J537" s="10" t="str">
        <f>IF($K537="","",INDEX(Конструктор!$P$2:$P$1212,$K537))</f>
        <v/>
      </c>
      <c r="K537" t="str">
        <f>IFERROR(MATCH(517,Конструктор!$T$2:$T$1212,0),"")</f>
        <v/>
      </c>
      <c r="L537" t="str">
        <f t="shared" si="8"/>
        <v/>
      </c>
    </row>
    <row r="538" spans="1:12" hidden="1" x14ac:dyDescent="0.3">
      <c r="A538" t="str">
        <f>IF($K538="","",518)</f>
        <v/>
      </c>
      <c r="B538" t="str">
        <f>IF($K538="","",INDEX(Конструктор!$C$2:$C$1212,$K538))</f>
        <v/>
      </c>
      <c r="C538" s="8" t="str">
        <f>IF($K538="","",INDEX(Конструктор!$D$2:$D$1212,$K538)&amp;IF(INDEX(Конструктор!$J$2:$J$1212,$K538)&lt;&gt;""," — "&amp;INDEX(Конструктор!$J$2:$J$1212,$K538),""))</f>
        <v/>
      </c>
      <c r="D538" t="str">
        <f>IF($K538="","",INDEX(Конструктор!$E$2:$E$1212,$K538))</f>
        <v/>
      </c>
      <c r="E538" s="10" t="str">
        <f>IF($K538="","",INDEX(Конструктор!$H$2:$H$1212,$K538))</f>
        <v/>
      </c>
      <c r="F538" s="10" t="str">
        <f>IF($K538="","",INDEX(Конструктор!$L$2:$L$1212,$K538))</f>
        <v/>
      </c>
      <c r="G538" s="10" t="str">
        <f>IF($K538="","",INDEX(Конструктор!$M$2:$M$1212,$K538))</f>
        <v/>
      </c>
      <c r="H538" s="10" t="str">
        <f>IF($K538="","",INDEX(Конструктор!$N$2:$N$1212,$K538))</f>
        <v/>
      </c>
      <c r="I538" s="10" t="str">
        <f>IF($K538="","",INDEX(Конструктор!$O$2:$O$1212,$K538))</f>
        <v/>
      </c>
      <c r="J538" s="10" t="str">
        <f>IF($K538="","",INDEX(Конструктор!$P$2:$P$1212,$K538))</f>
        <v/>
      </c>
      <c r="K538" t="str">
        <f>IFERROR(MATCH(518,Конструктор!$T$2:$T$1212,0),"")</f>
        <v/>
      </c>
      <c r="L538" t="str">
        <f t="shared" si="8"/>
        <v/>
      </c>
    </row>
    <row r="539" spans="1:12" hidden="1" x14ac:dyDescent="0.3">
      <c r="A539" t="str">
        <f>IF($K539="","",519)</f>
        <v/>
      </c>
      <c r="B539" t="str">
        <f>IF($K539="","",INDEX(Конструктор!$C$2:$C$1212,$K539))</f>
        <v/>
      </c>
      <c r="C539" s="8" t="str">
        <f>IF($K539="","",INDEX(Конструктор!$D$2:$D$1212,$K539)&amp;IF(INDEX(Конструктор!$J$2:$J$1212,$K539)&lt;&gt;""," — "&amp;INDEX(Конструктор!$J$2:$J$1212,$K539),""))</f>
        <v/>
      </c>
      <c r="D539" t="str">
        <f>IF($K539="","",INDEX(Конструктор!$E$2:$E$1212,$K539))</f>
        <v/>
      </c>
      <c r="E539" s="10" t="str">
        <f>IF($K539="","",INDEX(Конструктор!$H$2:$H$1212,$K539))</f>
        <v/>
      </c>
      <c r="F539" s="10" t="str">
        <f>IF($K539="","",INDEX(Конструктор!$L$2:$L$1212,$K539))</f>
        <v/>
      </c>
      <c r="G539" s="10" t="str">
        <f>IF($K539="","",INDEX(Конструктор!$M$2:$M$1212,$K539))</f>
        <v/>
      </c>
      <c r="H539" s="10" t="str">
        <f>IF($K539="","",INDEX(Конструктор!$N$2:$N$1212,$K539))</f>
        <v/>
      </c>
      <c r="I539" s="10" t="str">
        <f>IF($K539="","",INDEX(Конструктор!$O$2:$O$1212,$K539))</f>
        <v/>
      </c>
      <c r="J539" s="10" t="str">
        <f>IF($K539="","",INDEX(Конструктор!$P$2:$P$1212,$K539))</f>
        <v/>
      </c>
      <c r="K539" t="str">
        <f>IFERROR(MATCH(519,Конструктор!$T$2:$T$1212,0),"")</f>
        <v/>
      </c>
      <c r="L539" t="str">
        <f t="shared" si="8"/>
        <v/>
      </c>
    </row>
    <row r="540" spans="1:12" hidden="1" x14ac:dyDescent="0.3">
      <c r="A540" t="str">
        <f>IF($K540="","",520)</f>
        <v/>
      </c>
      <c r="B540" t="str">
        <f>IF($K540="","",INDEX(Конструктор!$C$2:$C$1212,$K540))</f>
        <v/>
      </c>
      <c r="C540" s="8" t="str">
        <f>IF($K540="","",INDEX(Конструктор!$D$2:$D$1212,$K540)&amp;IF(INDEX(Конструктор!$J$2:$J$1212,$K540)&lt;&gt;""," — "&amp;INDEX(Конструктор!$J$2:$J$1212,$K540),""))</f>
        <v/>
      </c>
      <c r="D540" t="str">
        <f>IF($K540="","",INDEX(Конструктор!$E$2:$E$1212,$K540))</f>
        <v/>
      </c>
      <c r="E540" s="10" t="str">
        <f>IF($K540="","",INDEX(Конструктор!$H$2:$H$1212,$K540))</f>
        <v/>
      </c>
      <c r="F540" s="10" t="str">
        <f>IF($K540="","",INDEX(Конструктор!$L$2:$L$1212,$K540))</f>
        <v/>
      </c>
      <c r="G540" s="10" t="str">
        <f>IF($K540="","",INDEX(Конструктор!$M$2:$M$1212,$K540))</f>
        <v/>
      </c>
      <c r="H540" s="10" t="str">
        <f>IF($K540="","",INDEX(Конструктор!$N$2:$N$1212,$K540))</f>
        <v/>
      </c>
      <c r="I540" s="10" t="str">
        <f>IF($K540="","",INDEX(Конструктор!$O$2:$O$1212,$K540))</f>
        <v/>
      </c>
      <c r="J540" s="10" t="str">
        <f>IF($K540="","",INDEX(Конструктор!$P$2:$P$1212,$K540))</f>
        <v/>
      </c>
      <c r="K540" t="str">
        <f>IFERROR(MATCH(520,Конструктор!$T$2:$T$1212,0),"")</f>
        <v/>
      </c>
      <c r="L540" t="str">
        <f t="shared" si="8"/>
        <v/>
      </c>
    </row>
    <row r="541" spans="1:12" hidden="1" x14ac:dyDescent="0.3">
      <c r="A541" t="str">
        <f>IF($K541="","",521)</f>
        <v/>
      </c>
      <c r="B541" t="str">
        <f>IF($K541="","",INDEX(Конструктор!$C$2:$C$1212,$K541))</f>
        <v/>
      </c>
      <c r="C541" s="8" t="str">
        <f>IF($K541="","",INDEX(Конструктор!$D$2:$D$1212,$K541)&amp;IF(INDEX(Конструктор!$J$2:$J$1212,$K541)&lt;&gt;""," — "&amp;INDEX(Конструктор!$J$2:$J$1212,$K541),""))</f>
        <v/>
      </c>
      <c r="D541" t="str">
        <f>IF($K541="","",INDEX(Конструктор!$E$2:$E$1212,$K541))</f>
        <v/>
      </c>
      <c r="E541" s="10" t="str">
        <f>IF($K541="","",INDEX(Конструктор!$H$2:$H$1212,$K541))</f>
        <v/>
      </c>
      <c r="F541" s="10" t="str">
        <f>IF($K541="","",INDEX(Конструктор!$L$2:$L$1212,$K541))</f>
        <v/>
      </c>
      <c r="G541" s="10" t="str">
        <f>IF($K541="","",INDEX(Конструктор!$M$2:$M$1212,$K541))</f>
        <v/>
      </c>
      <c r="H541" s="10" t="str">
        <f>IF($K541="","",INDEX(Конструктор!$N$2:$N$1212,$K541))</f>
        <v/>
      </c>
      <c r="I541" s="10" t="str">
        <f>IF($K541="","",INDEX(Конструктор!$O$2:$O$1212,$K541))</f>
        <v/>
      </c>
      <c r="J541" s="10" t="str">
        <f>IF($K541="","",INDEX(Конструктор!$P$2:$P$1212,$K541))</f>
        <v/>
      </c>
      <c r="K541" t="str">
        <f>IFERROR(MATCH(521,Конструктор!$T$2:$T$1212,0),"")</f>
        <v/>
      </c>
      <c r="L541" t="str">
        <f t="shared" si="8"/>
        <v/>
      </c>
    </row>
    <row r="542" spans="1:12" hidden="1" x14ac:dyDescent="0.3">
      <c r="A542" t="str">
        <f>IF($K542="","",522)</f>
        <v/>
      </c>
      <c r="B542" t="str">
        <f>IF($K542="","",INDEX(Конструктор!$C$2:$C$1212,$K542))</f>
        <v/>
      </c>
      <c r="C542" s="8" t="str">
        <f>IF($K542="","",INDEX(Конструктор!$D$2:$D$1212,$K542)&amp;IF(INDEX(Конструктор!$J$2:$J$1212,$K542)&lt;&gt;""," — "&amp;INDEX(Конструктор!$J$2:$J$1212,$K542),""))</f>
        <v/>
      </c>
      <c r="D542" t="str">
        <f>IF($K542="","",INDEX(Конструктор!$E$2:$E$1212,$K542))</f>
        <v/>
      </c>
      <c r="E542" s="10" t="str">
        <f>IF($K542="","",INDEX(Конструктор!$H$2:$H$1212,$K542))</f>
        <v/>
      </c>
      <c r="F542" s="10" t="str">
        <f>IF($K542="","",INDEX(Конструктор!$L$2:$L$1212,$K542))</f>
        <v/>
      </c>
      <c r="G542" s="10" t="str">
        <f>IF($K542="","",INDEX(Конструктор!$M$2:$M$1212,$K542))</f>
        <v/>
      </c>
      <c r="H542" s="10" t="str">
        <f>IF($K542="","",INDEX(Конструктор!$N$2:$N$1212,$K542))</f>
        <v/>
      </c>
      <c r="I542" s="10" t="str">
        <f>IF($K542="","",INDEX(Конструктор!$O$2:$O$1212,$K542))</f>
        <v/>
      </c>
      <c r="J542" s="10" t="str">
        <f>IF($K542="","",INDEX(Конструктор!$P$2:$P$1212,$K542))</f>
        <v/>
      </c>
      <c r="K542" t="str">
        <f>IFERROR(MATCH(522,Конструктор!$T$2:$T$1212,0),"")</f>
        <v/>
      </c>
      <c r="L542" t="str">
        <f t="shared" si="8"/>
        <v/>
      </c>
    </row>
    <row r="543" spans="1:12" hidden="1" x14ac:dyDescent="0.3">
      <c r="A543" t="str">
        <f>IF($K543="","",523)</f>
        <v/>
      </c>
      <c r="B543" t="str">
        <f>IF($K543="","",INDEX(Конструктор!$C$2:$C$1212,$K543))</f>
        <v/>
      </c>
      <c r="C543" s="8" t="str">
        <f>IF($K543="","",INDEX(Конструктор!$D$2:$D$1212,$K543)&amp;IF(INDEX(Конструктор!$J$2:$J$1212,$K543)&lt;&gt;""," — "&amp;INDEX(Конструктор!$J$2:$J$1212,$K543),""))</f>
        <v/>
      </c>
      <c r="D543" t="str">
        <f>IF($K543="","",INDEX(Конструктор!$E$2:$E$1212,$K543))</f>
        <v/>
      </c>
      <c r="E543" s="10" t="str">
        <f>IF($K543="","",INDEX(Конструктор!$H$2:$H$1212,$K543))</f>
        <v/>
      </c>
      <c r="F543" s="10" t="str">
        <f>IF($K543="","",INDEX(Конструктор!$L$2:$L$1212,$K543))</f>
        <v/>
      </c>
      <c r="G543" s="10" t="str">
        <f>IF($K543="","",INDEX(Конструктор!$M$2:$M$1212,$K543))</f>
        <v/>
      </c>
      <c r="H543" s="10" t="str">
        <f>IF($K543="","",INDEX(Конструктор!$N$2:$N$1212,$K543))</f>
        <v/>
      </c>
      <c r="I543" s="10" t="str">
        <f>IF($K543="","",INDEX(Конструктор!$O$2:$O$1212,$K543))</f>
        <v/>
      </c>
      <c r="J543" s="10" t="str">
        <f>IF($K543="","",INDEX(Конструктор!$P$2:$P$1212,$K543))</f>
        <v/>
      </c>
      <c r="K543" t="str">
        <f>IFERROR(MATCH(523,Конструктор!$T$2:$T$1212,0),"")</f>
        <v/>
      </c>
      <c r="L543" t="str">
        <f t="shared" si="8"/>
        <v/>
      </c>
    </row>
    <row r="544" spans="1:12" hidden="1" x14ac:dyDescent="0.3">
      <c r="A544" t="str">
        <f>IF($K544="","",524)</f>
        <v/>
      </c>
      <c r="B544" t="str">
        <f>IF($K544="","",INDEX(Конструктор!$C$2:$C$1212,$K544))</f>
        <v/>
      </c>
      <c r="C544" s="8" t="str">
        <f>IF($K544="","",INDEX(Конструктор!$D$2:$D$1212,$K544)&amp;IF(INDEX(Конструктор!$J$2:$J$1212,$K544)&lt;&gt;""," — "&amp;INDEX(Конструктор!$J$2:$J$1212,$K544),""))</f>
        <v/>
      </c>
      <c r="D544" t="str">
        <f>IF($K544="","",INDEX(Конструктор!$E$2:$E$1212,$K544))</f>
        <v/>
      </c>
      <c r="E544" s="10" t="str">
        <f>IF($K544="","",INDEX(Конструктор!$H$2:$H$1212,$K544))</f>
        <v/>
      </c>
      <c r="F544" s="10" t="str">
        <f>IF($K544="","",INDEX(Конструктор!$L$2:$L$1212,$K544))</f>
        <v/>
      </c>
      <c r="G544" s="10" t="str">
        <f>IF($K544="","",INDEX(Конструктор!$M$2:$M$1212,$K544))</f>
        <v/>
      </c>
      <c r="H544" s="10" t="str">
        <f>IF($K544="","",INDEX(Конструктор!$N$2:$N$1212,$K544))</f>
        <v/>
      </c>
      <c r="I544" s="10" t="str">
        <f>IF($K544="","",INDEX(Конструктор!$O$2:$O$1212,$K544))</f>
        <v/>
      </c>
      <c r="J544" s="10" t="str">
        <f>IF($K544="","",INDEX(Конструктор!$P$2:$P$1212,$K544))</f>
        <v/>
      </c>
      <c r="K544" t="str">
        <f>IFERROR(MATCH(524,Конструктор!$T$2:$T$1212,0),"")</f>
        <v/>
      </c>
      <c r="L544" t="str">
        <f t="shared" si="8"/>
        <v/>
      </c>
    </row>
    <row r="545" spans="1:12" hidden="1" x14ac:dyDescent="0.3">
      <c r="A545" t="str">
        <f>IF($K545="","",525)</f>
        <v/>
      </c>
      <c r="B545" t="str">
        <f>IF($K545="","",INDEX(Конструктор!$C$2:$C$1212,$K545))</f>
        <v/>
      </c>
      <c r="C545" s="8" t="str">
        <f>IF($K545="","",INDEX(Конструктор!$D$2:$D$1212,$K545)&amp;IF(INDEX(Конструктор!$J$2:$J$1212,$K545)&lt;&gt;""," — "&amp;INDEX(Конструктор!$J$2:$J$1212,$K545),""))</f>
        <v/>
      </c>
      <c r="D545" t="str">
        <f>IF($K545="","",INDEX(Конструктор!$E$2:$E$1212,$K545))</f>
        <v/>
      </c>
      <c r="E545" s="10" t="str">
        <f>IF($K545="","",INDEX(Конструктор!$H$2:$H$1212,$K545))</f>
        <v/>
      </c>
      <c r="F545" s="10" t="str">
        <f>IF($K545="","",INDEX(Конструктор!$L$2:$L$1212,$K545))</f>
        <v/>
      </c>
      <c r="G545" s="10" t="str">
        <f>IF($K545="","",INDEX(Конструктор!$M$2:$M$1212,$K545))</f>
        <v/>
      </c>
      <c r="H545" s="10" t="str">
        <f>IF($K545="","",INDEX(Конструктор!$N$2:$N$1212,$K545))</f>
        <v/>
      </c>
      <c r="I545" s="10" t="str">
        <f>IF($K545="","",INDEX(Конструктор!$O$2:$O$1212,$K545))</f>
        <v/>
      </c>
      <c r="J545" s="10" t="str">
        <f>IF($K545="","",INDEX(Конструктор!$P$2:$P$1212,$K545))</f>
        <v/>
      </c>
      <c r="K545" t="str">
        <f>IFERROR(MATCH(525,Конструктор!$T$2:$T$1212,0),"")</f>
        <v/>
      </c>
      <c r="L545" t="str">
        <f t="shared" si="8"/>
        <v/>
      </c>
    </row>
    <row r="546" spans="1:12" hidden="1" x14ac:dyDescent="0.3">
      <c r="A546" t="str">
        <f>IF($K546="","",526)</f>
        <v/>
      </c>
      <c r="B546" t="str">
        <f>IF($K546="","",INDEX(Конструктор!$C$2:$C$1212,$K546))</f>
        <v/>
      </c>
      <c r="C546" s="8" t="str">
        <f>IF($K546="","",INDEX(Конструктор!$D$2:$D$1212,$K546)&amp;IF(INDEX(Конструктор!$J$2:$J$1212,$K546)&lt;&gt;""," — "&amp;INDEX(Конструктор!$J$2:$J$1212,$K546),""))</f>
        <v/>
      </c>
      <c r="D546" t="str">
        <f>IF($K546="","",INDEX(Конструктор!$E$2:$E$1212,$K546))</f>
        <v/>
      </c>
      <c r="E546" s="10" t="str">
        <f>IF($K546="","",INDEX(Конструктор!$H$2:$H$1212,$K546))</f>
        <v/>
      </c>
      <c r="F546" s="10" t="str">
        <f>IF($K546="","",INDEX(Конструктор!$L$2:$L$1212,$K546))</f>
        <v/>
      </c>
      <c r="G546" s="10" t="str">
        <f>IF($K546="","",INDEX(Конструктор!$M$2:$M$1212,$K546))</f>
        <v/>
      </c>
      <c r="H546" s="10" t="str">
        <f>IF($K546="","",INDEX(Конструктор!$N$2:$N$1212,$K546))</f>
        <v/>
      </c>
      <c r="I546" s="10" t="str">
        <f>IF($K546="","",INDEX(Конструктор!$O$2:$O$1212,$K546))</f>
        <v/>
      </c>
      <c r="J546" s="10" t="str">
        <f>IF($K546="","",INDEX(Конструктор!$P$2:$P$1212,$K546))</f>
        <v/>
      </c>
      <c r="K546" t="str">
        <f>IFERROR(MATCH(526,Конструктор!$T$2:$T$1212,0),"")</f>
        <v/>
      </c>
      <c r="L546" t="str">
        <f t="shared" si="8"/>
        <v/>
      </c>
    </row>
    <row r="547" spans="1:12" hidden="1" x14ac:dyDescent="0.3">
      <c r="A547" t="str">
        <f>IF($K547="","",527)</f>
        <v/>
      </c>
      <c r="B547" t="str">
        <f>IF($K547="","",INDEX(Конструктор!$C$2:$C$1212,$K547))</f>
        <v/>
      </c>
      <c r="C547" s="8" t="str">
        <f>IF($K547="","",INDEX(Конструктор!$D$2:$D$1212,$K547)&amp;IF(INDEX(Конструктор!$J$2:$J$1212,$K547)&lt;&gt;""," — "&amp;INDEX(Конструктор!$J$2:$J$1212,$K547),""))</f>
        <v/>
      </c>
      <c r="D547" t="str">
        <f>IF($K547="","",INDEX(Конструктор!$E$2:$E$1212,$K547))</f>
        <v/>
      </c>
      <c r="E547" s="10" t="str">
        <f>IF($K547="","",INDEX(Конструктор!$H$2:$H$1212,$K547))</f>
        <v/>
      </c>
      <c r="F547" s="10" t="str">
        <f>IF($K547="","",INDEX(Конструктор!$L$2:$L$1212,$K547))</f>
        <v/>
      </c>
      <c r="G547" s="10" t="str">
        <f>IF($K547="","",INDEX(Конструктор!$M$2:$M$1212,$K547))</f>
        <v/>
      </c>
      <c r="H547" s="10" t="str">
        <f>IF($K547="","",INDEX(Конструктор!$N$2:$N$1212,$K547))</f>
        <v/>
      </c>
      <c r="I547" s="10" t="str">
        <f>IF($K547="","",INDEX(Конструктор!$O$2:$O$1212,$K547))</f>
        <v/>
      </c>
      <c r="J547" s="10" t="str">
        <f>IF($K547="","",INDEX(Конструктор!$P$2:$P$1212,$K547))</f>
        <v/>
      </c>
      <c r="K547" t="str">
        <f>IFERROR(MATCH(527,Конструктор!$T$2:$T$1212,0),"")</f>
        <v/>
      </c>
      <c r="L547" t="str">
        <f t="shared" si="8"/>
        <v/>
      </c>
    </row>
    <row r="548" spans="1:12" hidden="1" x14ac:dyDescent="0.3">
      <c r="A548" t="str">
        <f>IF($K548="","",528)</f>
        <v/>
      </c>
      <c r="B548" t="str">
        <f>IF($K548="","",INDEX(Конструктор!$C$2:$C$1212,$K548))</f>
        <v/>
      </c>
      <c r="C548" s="8" t="str">
        <f>IF($K548="","",INDEX(Конструктор!$D$2:$D$1212,$K548)&amp;IF(INDEX(Конструктор!$J$2:$J$1212,$K548)&lt;&gt;""," — "&amp;INDEX(Конструктор!$J$2:$J$1212,$K548),""))</f>
        <v/>
      </c>
      <c r="D548" t="str">
        <f>IF($K548="","",INDEX(Конструктор!$E$2:$E$1212,$K548))</f>
        <v/>
      </c>
      <c r="E548" s="10" t="str">
        <f>IF($K548="","",INDEX(Конструктор!$H$2:$H$1212,$K548))</f>
        <v/>
      </c>
      <c r="F548" s="10" t="str">
        <f>IF($K548="","",INDEX(Конструктор!$L$2:$L$1212,$K548))</f>
        <v/>
      </c>
      <c r="G548" s="10" t="str">
        <f>IF($K548="","",INDEX(Конструктор!$M$2:$M$1212,$K548))</f>
        <v/>
      </c>
      <c r="H548" s="10" t="str">
        <f>IF($K548="","",INDEX(Конструктор!$N$2:$N$1212,$K548))</f>
        <v/>
      </c>
      <c r="I548" s="10" t="str">
        <f>IF($K548="","",INDEX(Конструктор!$O$2:$O$1212,$K548))</f>
        <v/>
      </c>
      <c r="J548" s="10" t="str">
        <f>IF($K548="","",INDEX(Конструктор!$P$2:$P$1212,$K548))</f>
        <v/>
      </c>
      <c r="K548" t="str">
        <f>IFERROR(MATCH(528,Конструктор!$T$2:$T$1212,0),"")</f>
        <v/>
      </c>
      <c r="L548" t="str">
        <f t="shared" si="8"/>
        <v/>
      </c>
    </row>
    <row r="549" spans="1:12" hidden="1" x14ac:dyDescent="0.3">
      <c r="A549" t="str">
        <f>IF($K549="","",529)</f>
        <v/>
      </c>
      <c r="B549" t="str">
        <f>IF($K549="","",INDEX(Конструктор!$C$2:$C$1212,$K549))</f>
        <v/>
      </c>
      <c r="C549" s="8" t="str">
        <f>IF($K549="","",INDEX(Конструктор!$D$2:$D$1212,$K549)&amp;IF(INDEX(Конструктор!$J$2:$J$1212,$K549)&lt;&gt;""," — "&amp;INDEX(Конструктор!$J$2:$J$1212,$K549),""))</f>
        <v/>
      </c>
      <c r="D549" t="str">
        <f>IF($K549="","",INDEX(Конструктор!$E$2:$E$1212,$K549))</f>
        <v/>
      </c>
      <c r="E549" s="10" t="str">
        <f>IF($K549="","",INDEX(Конструктор!$H$2:$H$1212,$K549))</f>
        <v/>
      </c>
      <c r="F549" s="10" t="str">
        <f>IF($K549="","",INDEX(Конструктор!$L$2:$L$1212,$K549))</f>
        <v/>
      </c>
      <c r="G549" s="10" t="str">
        <f>IF($K549="","",INDEX(Конструктор!$M$2:$M$1212,$K549))</f>
        <v/>
      </c>
      <c r="H549" s="10" t="str">
        <f>IF($K549="","",INDEX(Конструктор!$N$2:$N$1212,$K549))</f>
        <v/>
      </c>
      <c r="I549" s="10" t="str">
        <f>IF($K549="","",INDEX(Конструктор!$O$2:$O$1212,$K549))</f>
        <v/>
      </c>
      <c r="J549" s="10" t="str">
        <f>IF($K549="","",INDEX(Конструктор!$P$2:$P$1212,$K549))</f>
        <v/>
      </c>
      <c r="K549" t="str">
        <f>IFERROR(MATCH(529,Конструктор!$T$2:$T$1212,0),"")</f>
        <v/>
      </c>
      <c r="L549" t="str">
        <f t="shared" si="8"/>
        <v/>
      </c>
    </row>
    <row r="550" spans="1:12" hidden="1" x14ac:dyDescent="0.3">
      <c r="A550" t="str">
        <f>IF($K550="","",530)</f>
        <v/>
      </c>
      <c r="B550" t="str">
        <f>IF($K550="","",INDEX(Конструктор!$C$2:$C$1212,$K550))</f>
        <v/>
      </c>
      <c r="C550" s="8" t="str">
        <f>IF($K550="","",INDEX(Конструктор!$D$2:$D$1212,$K550)&amp;IF(INDEX(Конструктор!$J$2:$J$1212,$K550)&lt;&gt;""," — "&amp;INDEX(Конструктор!$J$2:$J$1212,$K550),""))</f>
        <v/>
      </c>
      <c r="D550" t="str">
        <f>IF($K550="","",INDEX(Конструктор!$E$2:$E$1212,$K550))</f>
        <v/>
      </c>
      <c r="E550" s="10" t="str">
        <f>IF($K550="","",INDEX(Конструктор!$H$2:$H$1212,$K550))</f>
        <v/>
      </c>
      <c r="F550" s="10" t="str">
        <f>IF($K550="","",INDEX(Конструктор!$L$2:$L$1212,$K550))</f>
        <v/>
      </c>
      <c r="G550" s="10" t="str">
        <f>IF($K550="","",INDEX(Конструктор!$M$2:$M$1212,$K550))</f>
        <v/>
      </c>
      <c r="H550" s="10" t="str">
        <f>IF($K550="","",INDEX(Конструктор!$N$2:$N$1212,$K550))</f>
        <v/>
      </c>
      <c r="I550" s="10" t="str">
        <f>IF($K550="","",INDEX(Конструктор!$O$2:$O$1212,$K550))</f>
        <v/>
      </c>
      <c r="J550" s="10" t="str">
        <f>IF($K550="","",INDEX(Конструктор!$P$2:$P$1212,$K550))</f>
        <v/>
      </c>
      <c r="K550" t="str">
        <f>IFERROR(MATCH(530,Конструктор!$T$2:$T$1212,0),"")</f>
        <v/>
      </c>
      <c r="L550" t="str">
        <f t="shared" si="8"/>
        <v/>
      </c>
    </row>
    <row r="551" spans="1:12" hidden="1" x14ac:dyDescent="0.3">
      <c r="A551" t="str">
        <f>IF($K551="","",531)</f>
        <v/>
      </c>
      <c r="B551" t="str">
        <f>IF($K551="","",INDEX(Конструктор!$C$2:$C$1212,$K551))</f>
        <v/>
      </c>
      <c r="C551" s="8" t="str">
        <f>IF($K551="","",INDEX(Конструктор!$D$2:$D$1212,$K551)&amp;IF(INDEX(Конструктор!$J$2:$J$1212,$K551)&lt;&gt;""," — "&amp;INDEX(Конструктор!$J$2:$J$1212,$K551),""))</f>
        <v/>
      </c>
      <c r="D551" t="str">
        <f>IF($K551="","",INDEX(Конструктор!$E$2:$E$1212,$K551))</f>
        <v/>
      </c>
      <c r="E551" s="10" t="str">
        <f>IF($K551="","",INDEX(Конструктор!$H$2:$H$1212,$K551))</f>
        <v/>
      </c>
      <c r="F551" s="10" t="str">
        <f>IF($K551="","",INDEX(Конструктор!$L$2:$L$1212,$K551))</f>
        <v/>
      </c>
      <c r="G551" s="10" t="str">
        <f>IF($K551="","",INDEX(Конструктор!$M$2:$M$1212,$K551))</f>
        <v/>
      </c>
      <c r="H551" s="10" t="str">
        <f>IF($K551="","",INDEX(Конструктор!$N$2:$N$1212,$K551))</f>
        <v/>
      </c>
      <c r="I551" s="10" t="str">
        <f>IF($K551="","",INDEX(Конструктор!$O$2:$O$1212,$K551))</f>
        <v/>
      </c>
      <c r="J551" s="10" t="str">
        <f>IF($K551="","",INDEX(Конструктор!$P$2:$P$1212,$K551))</f>
        <v/>
      </c>
      <c r="K551" t="str">
        <f>IFERROR(MATCH(531,Конструктор!$T$2:$T$1212,0),"")</f>
        <v/>
      </c>
      <c r="L551" t="str">
        <f t="shared" si="8"/>
        <v/>
      </c>
    </row>
    <row r="552" spans="1:12" hidden="1" x14ac:dyDescent="0.3">
      <c r="A552" t="str">
        <f>IF($K552="","",532)</f>
        <v/>
      </c>
      <c r="B552" t="str">
        <f>IF($K552="","",INDEX(Конструктор!$C$2:$C$1212,$K552))</f>
        <v/>
      </c>
      <c r="C552" s="8" t="str">
        <f>IF($K552="","",INDEX(Конструктор!$D$2:$D$1212,$K552)&amp;IF(INDEX(Конструктор!$J$2:$J$1212,$K552)&lt;&gt;""," — "&amp;INDEX(Конструктор!$J$2:$J$1212,$K552),""))</f>
        <v/>
      </c>
      <c r="D552" t="str">
        <f>IF($K552="","",INDEX(Конструктор!$E$2:$E$1212,$K552))</f>
        <v/>
      </c>
      <c r="E552" s="10" t="str">
        <f>IF($K552="","",INDEX(Конструктор!$H$2:$H$1212,$K552))</f>
        <v/>
      </c>
      <c r="F552" s="10" t="str">
        <f>IF($K552="","",INDEX(Конструктор!$L$2:$L$1212,$K552))</f>
        <v/>
      </c>
      <c r="G552" s="10" t="str">
        <f>IF($K552="","",INDEX(Конструктор!$M$2:$M$1212,$K552))</f>
        <v/>
      </c>
      <c r="H552" s="10" t="str">
        <f>IF($K552="","",INDEX(Конструктор!$N$2:$N$1212,$K552))</f>
        <v/>
      </c>
      <c r="I552" s="10" t="str">
        <f>IF($K552="","",INDEX(Конструктор!$O$2:$O$1212,$K552))</f>
        <v/>
      </c>
      <c r="J552" s="10" t="str">
        <f>IF($K552="","",INDEX(Конструктор!$P$2:$P$1212,$K552))</f>
        <v/>
      </c>
      <c r="K552" t="str">
        <f>IFERROR(MATCH(532,Конструктор!$T$2:$T$1212,0),"")</f>
        <v/>
      </c>
      <c r="L552" t="str">
        <f t="shared" si="8"/>
        <v/>
      </c>
    </row>
    <row r="553" spans="1:12" hidden="1" x14ac:dyDescent="0.3">
      <c r="A553" t="str">
        <f>IF($K553="","",533)</f>
        <v/>
      </c>
      <c r="B553" t="str">
        <f>IF($K553="","",INDEX(Конструктор!$C$2:$C$1212,$K553))</f>
        <v/>
      </c>
      <c r="C553" s="8" t="str">
        <f>IF($K553="","",INDEX(Конструктор!$D$2:$D$1212,$K553)&amp;IF(INDEX(Конструктор!$J$2:$J$1212,$K553)&lt;&gt;""," — "&amp;INDEX(Конструктор!$J$2:$J$1212,$K553),""))</f>
        <v/>
      </c>
      <c r="D553" t="str">
        <f>IF($K553="","",INDEX(Конструктор!$E$2:$E$1212,$K553))</f>
        <v/>
      </c>
      <c r="E553" s="10" t="str">
        <f>IF($K553="","",INDEX(Конструктор!$H$2:$H$1212,$K553))</f>
        <v/>
      </c>
      <c r="F553" s="10" t="str">
        <f>IF($K553="","",INDEX(Конструктор!$L$2:$L$1212,$K553))</f>
        <v/>
      </c>
      <c r="G553" s="10" t="str">
        <f>IF($K553="","",INDEX(Конструктор!$M$2:$M$1212,$K553))</f>
        <v/>
      </c>
      <c r="H553" s="10" t="str">
        <f>IF($K553="","",INDEX(Конструктор!$N$2:$N$1212,$K553))</f>
        <v/>
      </c>
      <c r="I553" s="10" t="str">
        <f>IF($K553="","",INDEX(Конструктор!$O$2:$O$1212,$K553))</f>
        <v/>
      </c>
      <c r="J553" s="10" t="str">
        <f>IF($K553="","",INDEX(Конструктор!$P$2:$P$1212,$K553))</f>
        <v/>
      </c>
      <c r="K553" t="str">
        <f>IFERROR(MATCH(533,Конструктор!$T$2:$T$1212,0),"")</f>
        <v/>
      </c>
      <c r="L553" t="str">
        <f t="shared" si="8"/>
        <v/>
      </c>
    </row>
    <row r="554" spans="1:12" hidden="1" x14ac:dyDescent="0.3">
      <c r="A554" t="str">
        <f>IF($K554="","",534)</f>
        <v/>
      </c>
      <c r="B554" t="str">
        <f>IF($K554="","",INDEX(Конструктор!$C$2:$C$1212,$K554))</f>
        <v/>
      </c>
      <c r="C554" s="8" t="str">
        <f>IF($K554="","",INDEX(Конструктор!$D$2:$D$1212,$K554)&amp;IF(INDEX(Конструктор!$J$2:$J$1212,$K554)&lt;&gt;""," — "&amp;INDEX(Конструктор!$J$2:$J$1212,$K554),""))</f>
        <v/>
      </c>
      <c r="D554" t="str">
        <f>IF($K554="","",INDEX(Конструктор!$E$2:$E$1212,$K554))</f>
        <v/>
      </c>
      <c r="E554" s="10" t="str">
        <f>IF($K554="","",INDEX(Конструктор!$H$2:$H$1212,$K554))</f>
        <v/>
      </c>
      <c r="F554" s="10" t="str">
        <f>IF($K554="","",INDEX(Конструктор!$L$2:$L$1212,$K554))</f>
        <v/>
      </c>
      <c r="G554" s="10" t="str">
        <f>IF($K554="","",INDEX(Конструктор!$M$2:$M$1212,$K554))</f>
        <v/>
      </c>
      <c r="H554" s="10" t="str">
        <f>IF($K554="","",INDEX(Конструктор!$N$2:$N$1212,$K554))</f>
        <v/>
      </c>
      <c r="I554" s="10" t="str">
        <f>IF($K554="","",INDEX(Конструктор!$O$2:$O$1212,$K554))</f>
        <v/>
      </c>
      <c r="J554" s="10" t="str">
        <f>IF($K554="","",INDEX(Конструктор!$P$2:$P$1212,$K554))</f>
        <v/>
      </c>
      <c r="K554" t="str">
        <f>IFERROR(MATCH(534,Конструктор!$T$2:$T$1212,0),"")</f>
        <v/>
      </c>
      <c r="L554" t="str">
        <f t="shared" si="8"/>
        <v/>
      </c>
    </row>
    <row r="555" spans="1:12" hidden="1" x14ac:dyDescent="0.3">
      <c r="A555" t="str">
        <f>IF($K555="","",535)</f>
        <v/>
      </c>
      <c r="B555" t="str">
        <f>IF($K555="","",INDEX(Конструктор!$C$2:$C$1212,$K555))</f>
        <v/>
      </c>
      <c r="C555" s="8" t="str">
        <f>IF($K555="","",INDEX(Конструктор!$D$2:$D$1212,$K555)&amp;IF(INDEX(Конструктор!$J$2:$J$1212,$K555)&lt;&gt;""," — "&amp;INDEX(Конструктор!$J$2:$J$1212,$K555),""))</f>
        <v/>
      </c>
      <c r="D555" t="str">
        <f>IF($K555="","",INDEX(Конструктор!$E$2:$E$1212,$K555))</f>
        <v/>
      </c>
      <c r="E555" s="10" t="str">
        <f>IF($K555="","",INDEX(Конструктор!$H$2:$H$1212,$K555))</f>
        <v/>
      </c>
      <c r="F555" s="10" t="str">
        <f>IF($K555="","",INDEX(Конструктор!$L$2:$L$1212,$K555))</f>
        <v/>
      </c>
      <c r="G555" s="10" t="str">
        <f>IF($K555="","",INDEX(Конструктор!$M$2:$M$1212,$K555))</f>
        <v/>
      </c>
      <c r="H555" s="10" t="str">
        <f>IF($K555="","",INDEX(Конструктор!$N$2:$N$1212,$K555))</f>
        <v/>
      </c>
      <c r="I555" s="10" t="str">
        <f>IF($K555="","",INDEX(Конструктор!$O$2:$O$1212,$K555))</f>
        <v/>
      </c>
      <c r="J555" s="10" t="str">
        <f>IF($K555="","",INDEX(Конструктор!$P$2:$P$1212,$K555))</f>
        <v/>
      </c>
      <c r="K555" t="str">
        <f>IFERROR(MATCH(535,Конструктор!$T$2:$T$1212,0),"")</f>
        <v/>
      </c>
      <c r="L555" t="str">
        <f t="shared" si="8"/>
        <v/>
      </c>
    </row>
    <row r="556" spans="1:12" hidden="1" x14ac:dyDescent="0.3">
      <c r="A556" t="str">
        <f>IF($K556="","",536)</f>
        <v/>
      </c>
      <c r="B556" t="str">
        <f>IF($K556="","",INDEX(Конструктор!$C$2:$C$1212,$K556))</f>
        <v/>
      </c>
      <c r="C556" s="8" t="str">
        <f>IF($K556="","",INDEX(Конструктор!$D$2:$D$1212,$K556)&amp;IF(INDEX(Конструктор!$J$2:$J$1212,$K556)&lt;&gt;""," — "&amp;INDEX(Конструктор!$J$2:$J$1212,$K556),""))</f>
        <v/>
      </c>
      <c r="D556" t="str">
        <f>IF($K556="","",INDEX(Конструктор!$E$2:$E$1212,$K556))</f>
        <v/>
      </c>
      <c r="E556" s="10" t="str">
        <f>IF($K556="","",INDEX(Конструктор!$H$2:$H$1212,$K556))</f>
        <v/>
      </c>
      <c r="F556" s="10" t="str">
        <f>IF($K556="","",INDEX(Конструктор!$L$2:$L$1212,$K556))</f>
        <v/>
      </c>
      <c r="G556" s="10" t="str">
        <f>IF($K556="","",INDEX(Конструктор!$M$2:$M$1212,$K556))</f>
        <v/>
      </c>
      <c r="H556" s="10" t="str">
        <f>IF($K556="","",INDEX(Конструктор!$N$2:$N$1212,$K556))</f>
        <v/>
      </c>
      <c r="I556" s="10" t="str">
        <f>IF($K556="","",INDEX(Конструктор!$O$2:$O$1212,$K556))</f>
        <v/>
      </c>
      <c r="J556" s="10" t="str">
        <f>IF($K556="","",INDEX(Конструктор!$P$2:$P$1212,$K556))</f>
        <v/>
      </c>
      <c r="K556" t="str">
        <f>IFERROR(MATCH(536,Конструктор!$T$2:$T$1212,0),"")</f>
        <v/>
      </c>
      <c r="L556" t="str">
        <f t="shared" si="8"/>
        <v/>
      </c>
    </row>
    <row r="557" spans="1:12" hidden="1" x14ac:dyDescent="0.3">
      <c r="A557" t="str">
        <f>IF($K557="","",537)</f>
        <v/>
      </c>
      <c r="B557" t="str">
        <f>IF($K557="","",INDEX(Конструктор!$C$2:$C$1212,$K557))</f>
        <v/>
      </c>
      <c r="C557" s="8" t="str">
        <f>IF($K557="","",INDEX(Конструктор!$D$2:$D$1212,$K557)&amp;IF(INDEX(Конструктор!$J$2:$J$1212,$K557)&lt;&gt;""," — "&amp;INDEX(Конструктор!$J$2:$J$1212,$K557),""))</f>
        <v/>
      </c>
      <c r="D557" t="str">
        <f>IF($K557="","",INDEX(Конструктор!$E$2:$E$1212,$K557))</f>
        <v/>
      </c>
      <c r="E557" s="10" t="str">
        <f>IF($K557="","",INDEX(Конструктор!$H$2:$H$1212,$K557))</f>
        <v/>
      </c>
      <c r="F557" s="10" t="str">
        <f>IF($K557="","",INDEX(Конструктор!$L$2:$L$1212,$K557))</f>
        <v/>
      </c>
      <c r="G557" s="10" t="str">
        <f>IF($K557="","",INDEX(Конструктор!$M$2:$M$1212,$K557))</f>
        <v/>
      </c>
      <c r="H557" s="10" t="str">
        <f>IF($K557="","",INDEX(Конструктор!$N$2:$N$1212,$K557))</f>
        <v/>
      </c>
      <c r="I557" s="10" t="str">
        <f>IF($K557="","",INDEX(Конструктор!$O$2:$O$1212,$K557))</f>
        <v/>
      </c>
      <c r="J557" s="10" t="str">
        <f>IF($K557="","",INDEX(Конструктор!$P$2:$P$1212,$K557))</f>
        <v/>
      </c>
      <c r="K557" t="str">
        <f>IFERROR(MATCH(537,Конструктор!$T$2:$T$1212,0),"")</f>
        <v/>
      </c>
      <c r="L557" t="str">
        <f t="shared" si="8"/>
        <v/>
      </c>
    </row>
    <row r="558" spans="1:12" hidden="1" x14ac:dyDescent="0.3">
      <c r="A558" t="str">
        <f>IF($K558="","",538)</f>
        <v/>
      </c>
      <c r="B558" t="str">
        <f>IF($K558="","",INDEX(Конструктор!$C$2:$C$1212,$K558))</f>
        <v/>
      </c>
      <c r="C558" s="8" t="str">
        <f>IF($K558="","",INDEX(Конструктор!$D$2:$D$1212,$K558)&amp;IF(INDEX(Конструктор!$J$2:$J$1212,$K558)&lt;&gt;""," — "&amp;INDEX(Конструктор!$J$2:$J$1212,$K558),""))</f>
        <v/>
      </c>
      <c r="D558" t="str">
        <f>IF($K558="","",INDEX(Конструктор!$E$2:$E$1212,$K558))</f>
        <v/>
      </c>
      <c r="E558" s="10" t="str">
        <f>IF($K558="","",INDEX(Конструктор!$H$2:$H$1212,$K558))</f>
        <v/>
      </c>
      <c r="F558" s="10" t="str">
        <f>IF($K558="","",INDEX(Конструктор!$L$2:$L$1212,$K558))</f>
        <v/>
      </c>
      <c r="G558" s="10" t="str">
        <f>IF($K558="","",INDEX(Конструктор!$M$2:$M$1212,$K558))</f>
        <v/>
      </c>
      <c r="H558" s="10" t="str">
        <f>IF($K558="","",INDEX(Конструктор!$N$2:$N$1212,$K558))</f>
        <v/>
      </c>
      <c r="I558" s="10" t="str">
        <f>IF($K558="","",INDEX(Конструктор!$O$2:$O$1212,$K558))</f>
        <v/>
      </c>
      <c r="J558" s="10" t="str">
        <f>IF($K558="","",INDEX(Конструктор!$P$2:$P$1212,$K558))</f>
        <v/>
      </c>
      <c r="K558" t="str">
        <f>IFERROR(MATCH(538,Конструктор!$T$2:$T$1212,0),"")</f>
        <v/>
      </c>
      <c r="L558" t="str">
        <f t="shared" si="8"/>
        <v/>
      </c>
    </row>
    <row r="559" spans="1:12" hidden="1" x14ac:dyDescent="0.3">
      <c r="A559" t="str">
        <f>IF($K559="","",539)</f>
        <v/>
      </c>
      <c r="B559" t="str">
        <f>IF($K559="","",INDEX(Конструктор!$C$2:$C$1212,$K559))</f>
        <v/>
      </c>
      <c r="C559" s="8" t="str">
        <f>IF($K559="","",INDEX(Конструктор!$D$2:$D$1212,$K559)&amp;IF(INDEX(Конструктор!$J$2:$J$1212,$K559)&lt;&gt;""," — "&amp;INDEX(Конструктор!$J$2:$J$1212,$K559),""))</f>
        <v/>
      </c>
      <c r="D559" t="str">
        <f>IF($K559="","",INDEX(Конструктор!$E$2:$E$1212,$K559))</f>
        <v/>
      </c>
      <c r="E559" s="10" t="str">
        <f>IF($K559="","",INDEX(Конструктор!$H$2:$H$1212,$K559))</f>
        <v/>
      </c>
      <c r="F559" s="10" t="str">
        <f>IF($K559="","",INDEX(Конструктор!$L$2:$L$1212,$K559))</f>
        <v/>
      </c>
      <c r="G559" s="10" t="str">
        <f>IF($K559="","",INDEX(Конструктор!$M$2:$M$1212,$K559))</f>
        <v/>
      </c>
      <c r="H559" s="10" t="str">
        <f>IF($K559="","",INDEX(Конструктор!$N$2:$N$1212,$K559))</f>
        <v/>
      </c>
      <c r="I559" s="10" t="str">
        <f>IF($K559="","",INDEX(Конструктор!$O$2:$O$1212,$K559))</f>
        <v/>
      </c>
      <c r="J559" s="10" t="str">
        <f>IF($K559="","",INDEX(Конструктор!$P$2:$P$1212,$K559))</f>
        <v/>
      </c>
      <c r="K559" t="str">
        <f>IFERROR(MATCH(539,Конструктор!$T$2:$T$1212,0),"")</f>
        <v/>
      </c>
      <c r="L559" t="str">
        <f t="shared" si="8"/>
        <v/>
      </c>
    </row>
    <row r="560" spans="1:12" hidden="1" x14ac:dyDescent="0.3">
      <c r="A560" t="str">
        <f>IF($K560="","",540)</f>
        <v/>
      </c>
      <c r="B560" t="str">
        <f>IF($K560="","",INDEX(Конструктор!$C$2:$C$1212,$K560))</f>
        <v/>
      </c>
      <c r="C560" s="8" t="str">
        <f>IF($K560="","",INDEX(Конструктор!$D$2:$D$1212,$K560)&amp;IF(INDEX(Конструктор!$J$2:$J$1212,$K560)&lt;&gt;""," — "&amp;INDEX(Конструктор!$J$2:$J$1212,$K560),""))</f>
        <v/>
      </c>
      <c r="D560" t="str">
        <f>IF($K560="","",INDEX(Конструктор!$E$2:$E$1212,$K560))</f>
        <v/>
      </c>
      <c r="E560" s="10" t="str">
        <f>IF($K560="","",INDEX(Конструктор!$H$2:$H$1212,$K560))</f>
        <v/>
      </c>
      <c r="F560" s="10" t="str">
        <f>IF($K560="","",INDEX(Конструктор!$L$2:$L$1212,$K560))</f>
        <v/>
      </c>
      <c r="G560" s="10" t="str">
        <f>IF($K560="","",INDEX(Конструктор!$M$2:$M$1212,$K560))</f>
        <v/>
      </c>
      <c r="H560" s="10" t="str">
        <f>IF($K560="","",INDEX(Конструктор!$N$2:$N$1212,$K560))</f>
        <v/>
      </c>
      <c r="I560" s="10" t="str">
        <f>IF($K560="","",INDEX(Конструктор!$O$2:$O$1212,$K560))</f>
        <v/>
      </c>
      <c r="J560" s="10" t="str">
        <f>IF($K560="","",INDEX(Конструктор!$P$2:$P$1212,$K560))</f>
        <v/>
      </c>
      <c r="K560" t="str">
        <f>IFERROR(MATCH(540,Конструктор!$T$2:$T$1212,0),"")</f>
        <v/>
      </c>
      <c r="L560" t="str">
        <f t="shared" si="8"/>
        <v/>
      </c>
    </row>
    <row r="561" spans="1:12" hidden="1" x14ac:dyDescent="0.3">
      <c r="A561" t="str">
        <f>IF($K561="","",541)</f>
        <v/>
      </c>
      <c r="B561" t="str">
        <f>IF($K561="","",INDEX(Конструктор!$C$2:$C$1212,$K561))</f>
        <v/>
      </c>
      <c r="C561" s="8" t="str">
        <f>IF($K561="","",INDEX(Конструктор!$D$2:$D$1212,$K561)&amp;IF(INDEX(Конструктор!$J$2:$J$1212,$K561)&lt;&gt;""," — "&amp;INDEX(Конструктор!$J$2:$J$1212,$K561),""))</f>
        <v/>
      </c>
      <c r="D561" t="str">
        <f>IF($K561="","",INDEX(Конструктор!$E$2:$E$1212,$K561))</f>
        <v/>
      </c>
      <c r="E561" s="10" t="str">
        <f>IF($K561="","",INDEX(Конструктор!$H$2:$H$1212,$K561))</f>
        <v/>
      </c>
      <c r="F561" s="10" t="str">
        <f>IF($K561="","",INDEX(Конструктор!$L$2:$L$1212,$K561))</f>
        <v/>
      </c>
      <c r="G561" s="10" t="str">
        <f>IF($K561="","",INDEX(Конструктор!$M$2:$M$1212,$K561))</f>
        <v/>
      </c>
      <c r="H561" s="10" t="str">
        <f>IF($K561="","",INDEX(Конструктор!$N$2:$N$1212,$K561))</f>
        <v/>
      </c>
      <c r="I561" s="10" t="str">
        <f>IF($K561="","",INDEX(Конструктор!$O$2:$O$1212,$K561))</f>
        <v/>
      </c>
      <c r="J561" s="10" t="str">
        <f>IF($K561="","",INDEX(Конструктор!$P$2:$P$1212,$K561))</f>
        <v/>
      </c>
      <c r="K561" t="str">
        <f>IFERROR(MATCH(541,Конструктор!$T$2:$T$1212,0),"")</f>
        <v/>
      </c>
      <c r="L561" t="str">
        <f t="shared" si="8"/>
        <v/>
      </c>
    </row>
    <row r="562" spans="1:12" hidden="1" x14ac:dyDescent="0.3">
      <c r="A562" t="str">
        <f>IF($K562="","",542)</f>
        <v/>
      </c>
      <c r="B562" t="str">
        <f>IF($K562="","",INDEX(Конструктор!$C$2:$C$1212,$K562))</f>
        <v/>
      </c>
      <c r="C562" s="8" t="str">
        <f>IF($K562="","",INDEX(Конструктор!$D$2:$D$1212,$K562)&amp;IF(INDEX(Конструктор!$J$2:$J$1212,$K562)&lt;&gt;""," — "&amp;INDEX(Конструктор!$J$2:$J$1212,$K562),""))</f>
        <v/>
      </c>
      <c r="D562" t="str">
        <f>IF($K562="","",INDEX(Конструктор!$E$2:$E$1212,$K562))</f>
        <v/>
      </c>
      <c r="E562" s="10" t="str">
        <f>IF($K562="","",INDEX(Конструктор!$H$2:$H$1212,$K562))</f>
        <v/>
      </c>
      <c r="F562" s="10" t="str">
        <f>IF($K562="","",INDEX(Конструктор!$L$2:$L$1212,$K562))</f>
        <v/>
      </c>
      <c r="G562" s="10" t="str">
        <f>IF($K562="","",INDEX(Конструктор!$M$2:$M$1212,$K562))</f>
        <v/>
      </c>
      <c r="H562" s="10" t="str">
        <f>IF($K562="","",INDEX(Конструктор!$N$2:$N$1212,$K562))</f>
        <v/>
      </c>
      <c r="I562" s="10" t="str">
        <f>IF($K562="","",INDEX(Конструктор!$O$2:$O$1212,$K562))</f>
        <v/>
      </c>
      <c r="J562" s="10" t="str">
        <f>IF($K562="","",INDEX(Конструктор!$P$2:$P$1212,$K562))</f>
        <v/>
      </c>
      <c r="K562" t="str">
        <f>IFERROR(MATCH(542,Конструктор!$T$2:$T$1212,0),"")</f>
        <v/>
      </c>
      <c r="L562" t="str">
        <f t="shared" si="8"/>
        <v/>
      </c>
    </row>
    <row r="563" spans="1:12" hidden="1" x14ac:dyDescent="0.3">
      <c r="A563" t="str">
        <f>IF($K563="","",543)</f>
        <v/>
      </c>
      <c r="B563" t="str">
        <f>IF($K563="","",INDEX(Конструктор!$C$2:$C$1212,$K563))</f>
        <v/>
      </c>
      <c r="C563" s="8" t="str">
        <f>IF($K563="","",INDEX(Конструктор!$D$2:$D$1212,$K563)&amp;IF(INDEX(Конструктор!$J$2:$J$1212,$K563)&lt;&gt;""," — "&amp;INDEX(Конструктор!$J$2:$J$1212,$K563),""))</f>
        <v/>
      </c>
      <c r="D563" t="str">
        <f>IF($K563="","",INDEX(Конструктор!$E$2:$E$1212,$K563))</f>
        <v/>
      </c>
      <c r="E563" s="10" t="str">
        <f>IF($K563="","",INDEX(Конструктор!$H$2:$H$1212,$K563))</f>
        <v/>
      </c>
      <c r="F563" s="10" t="str">
        <f>IF($K563="","",INDEX(Конструктор!$L$2:$L$1212,$K563))</f>
        <v/>
      </c>
      <c r="G563" s="10" t="str">
        <f>IF($K563="","",INDEX(Конструктор!$M$2:$M$1212,$K563))</f>
        <v/>
      </c>
      <c r="H563" s="10" t="str">
        <f>IF($K563="","",INDEX(Конструктор!$N$2:$N$1212,$K563))</f>
        <v/>
      </c>
      <c r="I563" s="10" t="str">
        <f>IF($K563="","",INDEX(Конструктор!$O$2:$O$1212,$K563))</f>
        <v/>
      </c>
      <c r="J563" s="10" t="str">
        <f>IF($K563="","",INDEX(Конструктор!$P$2:$P$1212,$K563))</f>
        <v/>
      </c>
      <c r="K563" t="str">
        <f>IFERROR(MATCH(543,Конструктор!$T$2:$T$1212,0),"")</f>
        <v/>
      </c>
      <c r="L563" t="str">
        <f t="shared" si="8"/>
        <v/>
      </c>
    </row>
    <row r="564" spans="1:12" hidden="1" x14ac:dyDescent="0.3">
      <c r="A564" t="str">
        <f>IF($K564="","",544)</f>
        <v/>
      </c>
      <c r="B564" t="str">
        <f>IF($K564="","",INDEX(Конструктор!$C$2:$C$1212,$K564))</f>
        <v/>
      </c>
      <c r="C564" s="8" t="str">
        <f>IF($K564="","",INDEX(Конструктор!$D$2:$D$1212,$K564)&amp;IF(INDEX(Конструктор!$J$2:$J$1212,$K564)&lt;&gt;""," — "&amp;INDEX(Конструктор!$J$2:$J$1212,$K564),""))</f>
        <v/>
      </c>
      <c r="D564" t="str">
        <f>IF($K564="","",INDEX(Конструктор!$E$2:$E$1212,$K564))</f>
        <v/>
      </c>
      <c r="E564" s="10" t="str">
        <f>IF($K564="","",INDEX(Конструктор!$H$2:$H$1212,$K564))</f>
        <v/>
      </c>
      <c r="F564" s="10" t="str">
        <f>IF($K564="","",INDEX(Конструктор!$L$2:$L$1212,$K564))</f>
        <v/>
      </c>
      <c r="G564" s="10" t="str">
        <f>IF($K564="","",INDEX(Конструктор!$M$2:$M$1212,$K564))</f>
        <v/>
      </c>
      <c r="H564" s="10" t="str">
        <f>IF($K564="","",INDEX(Конструктор!$N$2:$N$1212,$K564))</f>
        <v/>
      </c>
      <c r="I564" s="10" t="str">
        <f>IF($K564="","",INDEX(Конструктор!$O$2:$O$1212,$K564))</f>
        <v/>
      </c>
      <c r="J564" s="10" t="str">
        <f>IF($K564="","",INDEX(Конструктор!$P$2:$P$1212,$K564))</f>
        <v/>
      </c>
      <c r="K564" t="str">
        <f>IFERROR(MATCH(544,Конструктор!$T$2:$T$1212,0),"")</f>
        <v/>
      </c>
      <c r="L564" t="str">
        <f t="shared" si="8"/>
        <v/>
      </c>
    </row>
    <row r="565" spans="1:12" hidden="1" x14ac:dyDescent="0.3">
      <c r="A565" t="str">
        <f>IF($K565="","",545)</f>
        <v/>
      </c>
      <c r="B565" t="str">
        <f>IF($K565="","",INDEX(Конструктор!$C$2:$C$1212,$K565))</f>
        <v/>
      </c>
      <c r="C565" s="8" t="str">
        <f>IF($K565="","",INDEX(Конструктор!$D$2:$D$1212,$K565)&amp;IF(INDEX(Конструктор!$J$2:$J$1212,$K565)&lt;&gt;""," — "&amp;INDEX(Конструктор!$J$2:$J$1212,$K565),""))</f>
        <v/>
      </c>
      <c r="D565" t="str">
        <f>IF($K565="","",INDEX(Конструктор!$E$2:$E$1212,$K565))</f>
        <v/>
      </c>
      <c r="E565" s="10" t="str">
        <f>IF($K565="","",INDEX(Конструктор!$H$2:$H$1212,$K565))</f>
        <v/>
      </c>
      <c r="F565" s="10" t="str">
        <f>IF($K565="","",INDEX(Конструктор!$L$2:$L$1212,$K565))</f>
        <v/>
      </c>
      <c r="G565" s="10" t="str">
        <f>IF($K565="","",INDEX(Конструктор!$M$2:$M$1212,$K565))</f>
        <v/>
      </c>
      <c r="H565" s="10" t="str">
        <f>IF($K565="","",INDEX(Конструктор!$N$2:$N$1212,$K565))</f>
        <v/>
      </c>
      <c r="I565" s="10" t="str">
        <f>IF($K565="","",INDEX(Конструктор!$O$2:$O$1212,$K565))</f>
        <v/>
      </c>
      <c r="J565" s="10" t="str">
        <f>IF($K565="","",INDEX(Конструктор!$P$2:$P$1212,$K565))</f>
        <v/>
      </c>
      <c r="K565" t="str">
        <f>IFERROR(MATCH(545,Конструктор!$T$2:$T$1212,0),"")</f>
        <v/>
      </c>
      <c r="L565" t="str">
        <f t="shared" si="8"/>
        <v/>
      </c>
    </row>
    <row r="566" spans="1:12" hidden="1" x14ac:dyDescent="0.3">
      <c r="A566" t="str">
        <f>IF($K566="","",546)</f>
        <v/>
      </c>
      <c r="B566" t="str">
        <f>IF($K566="","",INDEX(Конструктор!$C$2:$C$1212,$K566))</f>
        <v/>
      </c>
      <c r="C566" s="8" t="str">
        <f>IF($K566="","",INDEX(Конструктор!$D$2:$D$1212,$K566)&amp;IF(INDEX(Конструктор!$J$2:$J$1212,$K566)&lt;&gt;""," — "&amp;INDEX(Конструктор!$J$2:$J$1212,$K566),""))</f>
        <v/>
      </c>
      <c r="D566" t="str">
        <f>IF($K566="","",INDEX(Конструктор!$E$2:$E$1212,$K566))</f>
        <v/>
      </c>
      <c r="E566" s="10" t="str">
        <f>IF($K566="","",INDEX(Конструктор!$H$2:$H$1212,$K566))</f>
        <v/>
      </c>
      <c r="F566" s="10" t="str">
        <f>IF($K566="","",INDEX(Конструктор!$L$2:$L$1212,$K566))</f>
        <v/>
      </c>
      <c r="G566" s="10" t="str">
        <f>IF($K566="","",INDEX(Конструктор!$M$2:$M$1212,$K566))</f>
        <v/>
      </c>
      <c r="H566" s="10" t="str">
        <f>IF($K566="","",INDEX(Конструктор!$N$2:$N$1212,$K566))</f>
        <v/>
      </c>
      <c r="I566" s="10" t="str">
        <f>IF($K566="","",INDEX(Конструктор!$O$2:$O$1212,$K566))</f>
        <v/>
      </c>
      <c r="J566" s="10" t="str">
        <f>IF($K566="","",INDEX(Конструктор!$P$2:$P$1212,$K566))</f>
        <v/>
      </c>
      <c r="K566" t="str">
        <f>IFERROR(MATCH(546,Конструктор!$T$2:$T$1212,0),"")</f>
        <v/>
      </c>
      <c r="L566" t="str">
        <f t="shared" si="8"/>
        <v/>
      </c>
    </row>
    <row r="567" spans="1:12" hidden="1" x14ac:dyDescent="0.3">
      <c r="A567" t="str">
        <f>IF($K567="","",547)</f>
        <v/>
      </c>
      <c r="B567" t="str">
        <f>IF($K567="","",INDEX(Конструктор!$C$2:$C$1212,$K567))</f>
        <v/>
      </c>
      <c r="C567" s="8" t="str">
        <f>IF($K567="","",INDEX(Конструктор!$D$2:$D$1212,$K567)&amp;IF(INDEX(Конструктор!$J$2:$J$1212,$K567)&lt;&gt;""," — "&amp;INDEX(Конструктор!$J$2:$J$1212,$K567),""))</f>
        <v/>
      </c>
      <c r="D567" t="str">
        <f>IF($K567="","",INDEX(Конструктор!$E$2:$E$1212,$K567))</f>
        <v/>
      </c>
      <c r="E567" s="10" t="str">
        <f>IF($K567="","",INDEX(Конструктор!$H$2:$H$1212,$K567))</f>
        <v/>
      </c>
      <c r="F567" s="10" t="str">
        <f>IF($K567="","",INDEX(Конструктор!$L$2:$L$1212,$K567))</f>
        <v/>
      </c>
      <c r="G567" s="10" t="str">
        <f>IF($K567="","",INDEX(Конструктор!$M$2:$M$1212,$K567))</f>
        <v/>
      </c>
      <c r="H567" s="10" t="str">
        <f>IF($K567="","",INDEX(Конструктор!$N$2:$N$1212,$K567))</f>
        <v/>
      </c>
      <c r="I567" s="10" t="str">
        <f>IF($K567="","",INDEX(Конструктор!$O$2:$O$1212,$K567))</f>
        <v/>
      </c>
      <c r="J567" s="10" t="str">
        <f>IF($K567="","",INDEX(Конструктор!$P$2:$P$1212,$K567))</f>
        <v/>
      </c>
      <c r="K567" t="str">
        <f>IFERROR(MATCH(547,Конструктор!$T$2:$T$1212,0),"")</f>
        <v/>
      </c>
      <c r="L567" t="str">
        <f t="shared" si="8"/>
        <v/>
      </c>
    </row>
    <row r="568" spans="1:12" hidden="1" x14ac:dyDescent="0.3">
      <c r="A568" t="str">
        <f>IF($K568="","",548)</f>
        <v/>
      </c>
      <c r="B568" t="str">
        <f>IF($K568="","",INDEX(Конструктор!$C$2:$C$1212,$K568))</f>
        <v/>
      </c>
      <c r="C568" s="8" t="str">
        <f>IF($K568="","",INDEX(Конструктор!$D$2:$D$1212,$K568)&amp;IF(INDEX(Конструктор!$J$2:$J$1212,$K568)&lt;&gt;""," — "&amp;INDEX(Конструктор!$J$2:$J$1212,$K568),""))</f>
        <v/>
      </c>
      <c r="D568" t="str">
        <f>IF($K568="","",INDEX(Конструктор!$E$2:$E$1212,$K568))</f>
        <v/>
      </c>
      <c r="E568" s="10" t="str">
        <f>IF($K568="","",INDEX(Конструктор!$H$2:$H$1212,$K568))</f>
        <v/>
      </c>
      <c r="F568" s="10" t="str">
        <f>IF($K568="","",INDEX(Конструктор!$L$2:$L$1212,$K568))</f>
        <v/>
      </c>
      <c r="G568" s="10" t="str">
        <f>IF($K568="","",INDEX(Конструктор!$M$2:$M$1212,$K568))</f>
        <v/>
      </c>
      <c r="H568" s="10" t="str">
        <f>IF($K568="","",INDEX(Конструктор!$N$2:$N$1212,$K568))</f>
        <v/>
      </c>
      <c r="I568" s="10" t="str">
        <f>IF($K568="","",INDEX(Конструктор!$O$2:$O$1212,$K568))</f>
        <v/>
      </c>
      <c r="J568" s="10" t="str">
        <f>IF($K568="","",INDEX(Конструктор!$P$2:$P$1212,$K568))</f>
        <v/>
      </c>
      <c r="K568" t="str">
        <f>IFERROR(MATCH(548,Конструктор!$T$2:$T$1212,0),"")</f>
        <v/>
      </c>
      <c r="L568" t="str">
        <f t="shared" si="8"/>
        <v/>
      </c>
    </row>
    <row r="569" spans="1:12" hidden="1" x14ac:dyDescent="0.3">
      <c r="A569" t="str">
        <f>IF($K569="","",549)</f>
        <v/>
      </c>
      <c r="B569" t="str">
        <f>IF($K569="","",INDEX(Конструктор!$C$2:$C$1212,$K569))</f>
        <v/>
      </c>
      <c r="C569" s="8" t="str">
        <f>IF($K569="","",INDEX(Конструктор!$D$2:$D$1212,$K569)&amp;IF(INDEX(Конструктор!$J$2:$J$1212,$K569)&lt;&gt;""," — "&amp;INDEX(Конструктор!$J$2:$J$1212,$K569),""))</f>
        <v/>
      </c>
      <c r="D569" t="str">
        <f>IF($K569="","",INDEX(Конструктор!$E$2:$E$1212,$K569))</f>
        <v/>
      </c>
      <c r="E569" s="10" t="str">
        <f>IF($K569="","",INDEX(Конструктор!$H$2:$H$1212,$K569))</f>
        <v/>
      </c>
      <c r="F569" s="10" t="str">
        <f>IF($K569="","",INDEX(Конструктор!$L$2:$L$1212,$K569))</f>
        <v/>
      </c>
      <c r="G569" s="10" t="str">
        <f>IF($K569="","",INDEX(Конструктор!$M$2:$M$1212,$K569))</f>
        <v/>
      </c>
      <c r="H569" s="10" t="str">
        <f>IF($K569="","",INDEX(Конструктор!$N$2:$N$1212,$K569))</f>
        <v/>
      </c>
      <c r="I569" s="10" t="str">
        <f>IF($K569="","",INDEX(Конструктор!$O$2:$O$1212,$K569))</f>
        <v/>
      </c>
      <c r="J569" s="10" t="str">
        <f>IF($K569="","",INDEX(Конструктор!$P$2:$P$1212,$K569))</f>
        <v/>
      </c>
      <c r="K569" t="str">
        <f>IFERROR(MATCH(549,Конструктор!$T$2:$T$1212,0),"")</f>
        <v/>
      </c>
      <c r="L569" t="str">
        <f t="shared" si="8"/>
        <v/>
      </c>
    </row>
    <row r="570" spans="1:12" hidden="1" x14ac:dyDescent="0.3">
      <c r="A570" t="str">
        <f>IF($K570="","",550)</f>
        <v/>
      </c>
      <c r="B570" t="str">
        <f>IF($K570="","",INDEX(Конструктор!$C$2:$C$1212,$K570))</f>
        <v/>
      </c>
      <c r="C570" s="8" t="str">
        <f>IF($K570="","",INDEX(Конструктор!$D$2:$D$1212,$K570)&amp;IF(INDEX(Конструктор!$J$2:$J$1212,$K570)&lt;&gt;""," — "&amp;INDEX(Конструктор!$J$2:$J$1212,$K570),""))</f>
        <v/>
      </c>
      <c r="D570" t="str">
        <f>IF($K570="","",INDEX(Конструктор!$E$2:$E$1212,$K570))</f>
        <v/>
      </c>
      <c r="E570" s="10" t="str">
        <f>IF($K570="","",INDEX(Конструктор!$H$2:$H$1212,$K570))</f>
        <v/>
      </c>
      <c r="F570" s="10" t="str">
        <f>IF($K570="","",INDEX(Конструктор!$L$2:$L$1212,$K570))</f>
        <v/>
      </c>
      <c r="G570" s="10" t="str">
        <f>IF($K570="","",INDEX(Конструктор!$M$2:$M$1212,$K570))</f>
        <v/>
      </c>
      <c r="H570" s="10" t="str">
        <f>IF($K570="","",INDEX(Конструктор!$N$2:$N$1212,$K570))</f>
        <v/>
      </c>
      <c r="I570" s="10" t="str">
        <f>IF($K570="","",INDEX(Конструктор!$O$2:$O$1212,$K570))</f>
        <v/>
      </c>
      <c r="J570" s="10" t="str">
        <f>IF($K570="","",INDEX(Конструктор!$P$2:$P$1212,$K570))</f>
        <v/>
      </c>
      <c r="K570" t="str">
        <f>IFERROR(MATCH(550,Конструктор!$T$2:$T$1212,0),"")</f>
        <v/>
      </c>
      <c r="L570" t="str">
        <f t="shared" si="8"/>
        <v/>
      </c>
    </row>
    <row r="571" spans="1:12" hidden="1" x14ac:dyDescent="0.3">
      <c r="A571" t="str">
        <f>IF($K571="","",551)</f>
        <v/>
      </c>
      <c r="B571" t="str">
        <f>IF($K571="","",INDEX(Конструктор!$C$2:$C$1212,$K571))</f>
        <v/>
      </c>
      <c r="C571" s="8" t="str">
        <f>IF($K571="","",INDEX(Конструктор!$D$2:$D$1212,$K571)&amp;IF(INDEX(Конструктор!$J$2:$J$1212,$K571)&lt;&gt;""," — "&amp;INDEX(Конструктор!$J$2:$J$1212,$K571),""))</f>
        <v/>
      </c>
      <c r="D571" t="str">
        <f>IF($K571="","",INDEX(Конструктор!$E$2:$E$1212,$K571))</f>
        <v/>
      </c>
      <c r="E571" s="10" t="str">
        <f>IF($K571="","",INDEX(Конструктор!$H$2:$H$1212,$K571))</f>
        <v/>
      </c>
      <c r="F571" s="10" t="str">
        <f>IF($K571="","",INDEX(Конструктор!$L$2:$L$1212,$K571))</f>
        <v/>
      </c>
      <c r="G571" s="10" t="str">
        <f>IF($K571="","",INDEX(Конструктор!$M$2:$M$1212,$K571))</f>
        <v/>
      </c>
      <c r="H571" s="10" t="str">
        <f>IF($K571="","",INDEX(Конструктор!$N$2:$N$1212,$K571))</f>
        <v/>
      </c>
      <c r="I571" s="10" t="str">
        <f>IF($K571="","",INDEX(Конструктор!$O$2:$O$1212,$K571))</f>
        <v/>
      </c>
      <c r="J571" s="10" t="str">
        <f>IF($K571="","",INDEX(Конструктор!$P$2:$P$1212,$K571))</f>
        <v/>
      </c>
      <c r="K571" t="str">
        <f>IFERROR(MATCH(551,Конструктор!$T$2:$T$1212,0),"")</f>
        <v/>
      </c>
      <c r="L571" t="str">
        <f t="shared" si="8"/>
        <v/>
      </c>
    </row>
    <row r="572" spans="1:12" hidden="1" x14ac:dyDescent="0.3">
      <c r="A572" t="str">
        <f>IF($K572="","",552)</f>
        <v/>
      </c>
      <c r="B572" t="str">
        <f>IF($K572="","",INDEX(Конструктор!$C$2:$C$1212,$K572))</f>
        <v/>
      </c>
      <c r="C572" s="8" t="str">
        <f>IF($K572="","",INDEX(Конструктор!$D$2:$D$1212,$K572)&amp;IF(INDEX(Конструктор!$J$2:$J$1212,$K572)&lt;&gt;""," — "&amp;INDEX(Конструктор!$J$2:$J$1212,$K572),""))</f>
        <v/>
      </c>
      <c r="D572" t="str">
        <f>IF($K572="","",INDEX(Конструктор!$E$2:$E$1212,$K572))</f>
        <v/>
      </c>
      <c r="E572" s="10" t="str">
        <f>IF($K572="","",INDEX(Конструктор!$H$2:$H$1212,$K572))</f>
        <v/>
      </c>
      <c r="F572" s="10" t="str">
        <f>IF($K572="","",INDEX(Конструктор!$L$2:$L$1212,$K572))</f>
        <v/>
      </c>
      <c r="G572" s="10" t="str">
        <f>IF($K572="","",INDEX(Конструктор!$M$2:$M$1212,$K572))</f>
        <v/>
      </c>
      <c r="H572" s="10" t="str">
        <f>IF($K572="","",INDEX(Конструктор!$N$2:$N$1212,$K572))</f>
        <v/>
      </c>
      <c r="I572" s="10" t="str">
        <f>IF($K572="","",INDEX(Конструктор!$O$2:$O$1212,$K572))</f>
        <v/>
      </c>
      <c r="J572" s="10" t="str">
        <f>IF($K572="","",INDEX(Конструктор!$P$2:$P$1212,$K572))</f>
        <v/>
      </c>
      <c r="K572" t="str">
        <f>IFERROR(MATCH(552,Конструктор!$T$2:$T$1212,0),"")</f>
        <v/>
      </c>
      <c r="L572" t="str">
        <f t="shared" si="8"/>
        <v/>
      </c>
    </row>
    <row r="573" spans="1:12" hidden="1" x14ac:dyDescent="0.3">
      <c r="A573" t="str">
        <f>IF($K573="","",553)</f>
        <v/>
      </c>
      <c r="B573" t="str">
        <f>IF($K573="","",INDEX(Конструктор!$C$2:$C$1212,$K573))</f>
        <v/>
      </c>
      <c r="C573" s="8" t="str">
        <f>IF($K573="","",INDEX(Конструктор!$D$2:$D$1212,$K573)&amp;IF(INDEX(Конструктор!$J$2:$J$1212,$K573)&lt;&gt;""," — "&amp;INDEX(Конструктор!$J$2:$J$1212,$K573),""))</f>
        <v/>
      </c>
      <c r="D573" t="str">
        <f>IF($K573="","",INDEX(Конструктор!$E$2:$E$1212,$K573))</f>
        <v/>
      </c>
      <c r="E573" s="10" t="str">
        <f>IF($K573="","",INDEX(Конструктор!$H$2:$H$1212,$K573))</f>
        <v/>
      </c>
      <c r="F573" s="10" t="str">
        <f>IF($K573="","",INDEX(Конструктор!$L$2:$L$1212,$K573))</f>
        <v/>
      </c>
      <c r="G573" s="10" t="str">
        <f>IF($K573="","",INDEX(Конструктор!$M$2:$M$1212,$K573))</f>
        <v/>
      </c>
      <c r="H573" s="10" t="str">
        <f>IF($K573="","",INDEX(Конструктор!$N$2:$N$1212,$K573))</f>
        <v/>
      </c>
      <c r="I573" s="10" t="str">
        <f>IF($K573="","",INDEX(Конструктор!$O$2:$O$1212,$K573))</f>
        <v/>
      </c>
      <c r="J573" s="10" t="str">
        <f>IF($K573="","",INDEX(Конструктор!$P$2:$P$1212,$K573))</f>
        <v/>
      </c>
      <c r="K573" t="str">
        <f>IFERROR(MATCH(553,Конструктор!$T$2:$T$1212,0),"")</f>
        <v/>
      </c>
      <c r="L573" t="str">
        <f t="shared" si="8"/>
        <v/>
      </c>
    </row>
    <row r="574" spans="1:12" hidden="1" x14ac:dyDescent="0.3">
      <c r="A574" t="str">
        <f>IF($K574="","",554)</f>
        <v/>
      </c>
      <c r="B574" t="str">
        <f>IF($K574="","",INDEX(Конструктор!$C$2:$C$1212,$K574))</f>
        <v/>
      </c>
      <c r="C574" s="8" t="str">
        <f>IF($K574="","",INDEX(Конструктор!$D$2:$D$1212,$K574)&amp;IF(INDEX(Конструктор!$J$2:$J$1212,$K574)&lt;&gt;""," — "&amp;INDEX(Конструктор!$J$2:$J$1212,$K574),""))</f>
        <v/>
      </c>
      <c r="D574" t="str">
        <f>IF($K574="","",INDEX(Конструктор!$E$2:$E$1212,$K574))</f>
        <v/>
      </c>
      <c r="E574" s="10" t="str">
        <f>IF($K574="","",INDEX(Конструктор!$H$2:$H$1212,$K574))</f>
        <v/>
      </c>
      <c r="F574" s="10" t="str">
        <f>IF($K574="","",INDEX(Конструктор!$L$2:$L$1212,$K574))</f>
        <v/>
      </c>
      <c r="G574" s="10" t="str">
        <f>IF($K574="","",INDEX(Конструктор!$M$2:$M$1212,$K574))</f>
        <v/>
      </c>
      <c r="H574" s="10" t="str">
        <f>IF($K574="","",INDEX(Конструктор!$N$2:$N$1212,$K574))</f>
        <v/>
      </c>
      <c r="I574" s="10" t="str">
        <f>IF($K574="","",INDEX(Конструктор!$O$2:$O$1212,$K574))</f>
        <v/>
      </c>
      <c r="J574" s="10" t="str">
        <f>IF($K574="","",INDEX(Конструктор!$P$2:$P$1212,$K574))</f>
        <v/>
      </c>
      <c r="K574" t="str">
        <f>IFERROR(MATCH(554,Конструктор!$T$2:$T$1212,0),"")</f>
        <v/>
      </c>
      <c r="L574" t="str">
        <f t="shared" si="8"/>
        <v/>
      </c>
    </row>
    <row r="575" spans="1:12" hidden="1" x14ac:dyDescent="0.3">
      <c r="A575" t="str">
        <f>IF($K575="","",555)</f>
        <v/>
      </c>
      <c r="B575" t="str">
        <f>IF($K575="","",INDEX(Конструктор!$C$2:$C$1212,$K575))</f>
        <v/>
      </c>
      <c r="C575" s="8" t="str">
        <f>IF($K575="","",INDEX(Конструктор!$D$2:$D$1212,$K575)&amp;IF(INDEX(Конструктор!$J$2:$J$1212,$K575)&lt;&gt;""," — "&amp;INDEX(Конструктор!$J$2:$J$1212,$K575),""))</f>
        <v/>
      </c>
      <c r="D575" t="str">
        <f>IF($K575="","",INDEX(Конструктор!$E$2:$E$1212,$K575))</f>
        <v/>
      </c>
      <c r="E575" s="10" t="str">
        <f>IF($K575="","",INDEX(Конструктор!$H$2:$H$1212,$K575))</f>
        <v/>
      </c>
      <c r="F575" s="10" t="str">
        <f>IF($K575="","",INDEX(Конструктор!$L$2:$L$1212,$K575))</f>
        <v/>
      </c>
      <c r="G575" s="10" t="str">
        <f>IF($K575="","",INDEX(Конструктор!$M$2:$M$1212,$K575))</f>
        <v/>
      </c>
      <c r="H575" s="10" t="str">
        <f>IF($K575="","",INDEX(Конструктор!$N$2:$N$1212,$K575))</f>
        <v/>
      </c>
      <c r="I575" s="10" t="str">
        <f>IF($K575="","",INDEX(Конструктор!$O$2:$O$1212,$K575))</f>
        <v/>
      </c>
      <c r="J575" s="10" t="str">
        <f>IF($K575="","",INDEX(Конструктор!$P$2:$P$1212,$K575))</f>
        <v/>
      </c>
      <c r="K575" t="str">
        <f>IFERROR(MATCH(555,Конструктор!$T$2:$T$1212,0),"")</f>
        <v/>
      </c>
      <c r="L575" t="str">
        <f t="shared" si="8"/>
        <v/>
      </c>
    </row>
    <row r="576" spans="1:12" hidden="1" x14ac:dyDescent="0.3">
      <c r="A576" t="str">
        <f>IF($K576="","",556)</f>
        <v/>
      </c>
      <c r="B576" t="str">
        <f>IF($K576="","",INDEX(Конструктор!$C$2:$C$1212,$K576))</f>
        <v/>
      </c>
      <c r="C576" s="8" t="str">
        <f>IF($K576="","",INDEX(Конструктор!$D$2:$D$1212,$K576)&amp;IF(INDEX(Конструктор!$J$2:$J$1212,$K576)&lt;&gt;""," — "&amp;INDEX(Конструктор!$J$2:$J$1212,$K576),""))</f>
        <v/>
      </c>
      <c r="D576" t="str">
        <f>IF($K576="","",INDEX(Конструктор!$E$2:$E$1212,$K576))</f>
        <v/>
      </c>
      <c r="E576" s="10" t="str">
        <f>IF($K576="","",INDEX(Конструктор!$H$2:$H$1212,$K576))</f>
        <v/>
      </c>
      <c r="F576" s="10" t="str">
        <f>IF($K576="","",INDEX(Конструктор!$L$2:$L$1212,$K576))</f>
        <v/>
      </c>
      <c r="G576" s="10" t="str">
        <f>IF($K576="","",INDEX(Конструктор!$M$2:$M$1212,$K576))</f>
        <v/>
      </c>
      <c r="H576" s="10" t="str">
        <f>IF($K576="","",INDEX(Конструктор!$N$2:$N$1212,$K576))</f>
        <v/>
      </c>
      <c r="I576" s="10" t="str">
        <f>IF($K576="","",INDEX(Конструктор!$O$2:$O$1212,$K576))</f>
        <v/>
      </c>
      <c r="J576" s="10" t="str">
        <f>IF($K576="","",INDEX(Конструктор!$P$2:$P$1212,$K576))</f>
        <v/>
      </c>
      <c r="K576" t="str">
        <f>IFERROR(MATCH(556,Конструктор!$T$2:$T$1212,0),"")</f>
        <v/>
      </c>
      <c r="L576" t="str">
        <f t="shared" si="8"/>
        <v/>
      </c>
    </row>
    <row r="577" spans="1:12" hidden="1" x14ac:dyDescent="0.3">
      <c r="A577" t="str">
        <f>IF($K577="","",557)</f>
        <v/>
      </c>
      <c r="B577" t="str">
        <f>IF($K577="","",INDEX(Конструктор!$C$2:$C$1212,$K577))</f>
        <v/>
      </c>
      <c r="C577" s="8" t="str">
        <f>IF($K577="","",INDEX(Конструктор!$D$2:$D$1212,$K577)&amp;IF(INDEX(Конструктор!$J$2:$J$1212,$K577)&lt;&gt;""," — "&amp;INDEX(Конструктор!$J$2:$J$1212,$K577),""))</f>
        <v/>
      </c>
      <c r="D577" t="str">
        <f>IF($K577="","",INDEX(Конструктор!$E$2:$E$1212,$K577))</f>
        <v/>
      </c>
      <c r="E577" s="10" t="str">
        <f>IF($K577="","",INDEX(Конструктор!$H$2:$H$1212,$K577))</f>
        <v/>
      </c>
      <c r="F577" s="10" t="str">
        <f>IF($K577="","",INDEX(Конструктор!$L$2:$L$1212,$K577))</f>
        <v/>
      </c>
      <c r="G577" s="10" t="str">
        <f>IF($K577="","",INDEX(Конструктор!$M$2:$M$1212,$K577))</f>
        <v/>
      </c>
      <c r="H577" s="10" t="str">
        <f>IF($K577="","",INDEX(Конструктор!$N$2:$N$1212,$K577))</f>
        <v/>
      </c>
      <c r="I577" s="10" t="str">
        <f>IF($K577="","",INDEX(Конструктор!$O$2:$O$1212,$K577))</f>
        <v/>
      </c>
      <c r="J577" s="10" t="str">
        <f>IF($K577="","",INDEX(Конструктор!$P$2:$P$1212,$K577))</f>
        <v/>
      </c>
      <c r="K577" t="str">
        <f>IFERROR(MATCH(557,Конструктор!$T$2:$T$1212,0),"")</f>
        <v/>
      </c>
      <c r="L577" t="str">
        <f t="shared" si="8"/>
        <v/>
      </c>
    </row>
    <row r="578" spans="1:12" hidden="1" x14ac:dyDescent="0.3">
      <c r="A578" t="str">
        <f>IF($K578="","",558)</f>
        <v/>
      </c>
      <c r="B578" t="str">
        <f>IF($K578="","",INDEX(Конструктор!$C$2:$C$1212,$K578))</f>
        <v/>
      </c>
      <c r="C578" s="8" t="str">
        <f>IF($K578="","",INDEX(Конструктор!$D$2:$D$1212,$K578)&amp;IF(INDEX(Конструктор!$J$2:$J$1212,$K578)&lt;&gt;""," — "&amp;INDEX(Конструктор!$J$2:$J$1212,$K578),""))</f>
        <v/>
      </c>
      <c r="D578" t="str">
        <f>IF($K578="","",INDEX(Конструктор!$E$2:$E$1212,$K578))</f>
        <v/>
      </c>
      <c r="E578" s="10" t="str">
        <f>IF($K578="","",INDEX(Конструктор!$H$2:$H$1212,$K578))</f>
        <v/>
      </c>
      <c r="F578" s="10" t="str">
        <f>IF($K578="","",INDEX(Конструктор!$L$2:$L$1212,$K578))</f>
        <v/>
      </c>
      <c r="G578" s="10" t="str">
        <f>IF($K578="","",INDEX(Конструктор!$M$2:$M$1212,$K578))</f>
        <v/>
      </c>
      <c r="H578" s="10" t="str">
        <f>IF($K578="","",INDEX(Конструктор!$N$2:$N$1212,$K578))</f>
        <v/>
      </c>
      <c r="I578" s="10" t="str">
        <f>IF($K578="","",INDEX(Конструктор!$O$2:$O$1212,$K578))</f>
        <v/>
      </c>
      <c r="J578" s="10" t="str">
        <f>IF($K578="","",INDEX(Конструктор!$P$2:$P$1212,$K578))</f>
        <v/>
      </c>
      <c r="K578" t="str">
        <f>IFERROR(MATCH(558,Конструктор!$T$2:$T$1212,0),"")</f>
        <v/>
      </c>
      <c r="L578" t="str">
        <f t="shared" si="8"/>
        <v/>
      </c>
    </row>
    <row r="579" spans="1:12" hidden="1" x14ac:dyDescent="0.3">
      <c r="A579" t="str">
        <f>IF($K579="","",559)</f>
        <v/>
      </c>
      <c r="B579" t="str">
        <f>IF($K579="","",INDEX(Конструктор!$C$2:$C$1212,$K579))</f>
        <v/>
      </c>
      <c r="C579" s="8" t="str">
        <f>IF($K579="","",INDEX(Конструктор!$D$2:$D$1212,$K579)&amp;IF(INDEX(Конструктор!$J$2:$J$1212,$K579)&lt;&gt;""," — "&amp;INDEX(Конструктор!$J$2:$J$1212,$K579),""))</f>
        <v/>
      </c>
      <c r="D579" t="str">
        <f>IF($K579="","",INDEX(Конструктор!$E$2:$E$1212,$K579))</f>
        <v/>
      </c>
      <c r="E579" s="10" t="str">
        <f>IF($K579="","",INDEX(Конструктор!$H$2:$H$1212,$K579))</f>
        <v/>
      </c>
      <c r="F579" s="10" t="str">
        <f>IF($K579="","",INDEX(Конструктор!$L$2:$L$1212,$K579))</f>
        <v/>
      </c>
      <c r="G579" s="10" t="str">
        <f>IF($K579="","",INDEX(Конструктор!$M$2:$M$1212,$K579))</f>
        <v/>
      </c>
      <c r="H579" s="10" t="str">
        <f>IF($K579="","",INDEX(Конструктор!$N$2:$N$1212,$K579))</f>
        <v/>
      </c>
      <c r="I579" s="10" t="str">
        <f>IF($K579="","",INDEX(Конструктор!$O$2:$O$1212,$K579))</f>
        <v/>
      </c>
      <c r="J579" s="10" t="str">
        <f>IF($K579="","",INDEX(Конструктор!$P$2:$P$1212,$K579))</f>
        <v/>
      </c>
      <c r="K579" t="str">
        <f>IFERROR(MATCH(559,Конструктор!$T$2:$T$1212,0),"")</f>
        <v/>
      </c>
      <c r="L579" t="str">
        <f t="shared" si="8"/>
        <v/>
      </c>
    </row>
    <row r="580" spans="1:12" hidden="1" x14ac:dyDescent="0.3">
      <c r="A580" t="str">
        <f>IF($K580="","",560)</f>
        <v/>
      </c>
      <c r="B580" t="str">
        <f>IF($K580="","",INDEX(Конструктор!$C$2:$C$1212,$K580))</f>
        <v/>
      </c>
      <c r="C580" s="8" t="str">
        <f>IF($K580="","",INDEX(Конструктор!$D$2:$D$1212,$K580)&amp;IF(INDEX(Конструктор!$J$2:$J$1212,$K580)&lt;&gt;""," — "&amp;INDEX(Конструктор!$J$2:$J$1212,$K580),""))</f>
        <v/>
      </c>
      <c r="D580" t="str">
        <f>IF($K580="","",INDEX(Конструктор!$E$2:$E$1212,$K580))</f>
        <v/>
      </c>
      <c r="E580" s="10" t="str">
        <f>IF($K580="","",INDEX(Конструктор!$H$2:$H$1212,$K580))</f>
        <v/>
      </c>
      <c r="F580" s="10" t="str">
        <f>IF($K580="","",INDEX(Конструктор!$L$2:$L$1212,$K580))</f>
        <v/>
      </c>
      <c r="G580" s="10" t="str">
        <f>IF($K580="","",INDEX(Конструктор!$M$2:$M$1212,$K580))</f>
        <v/>
      </c>
      <c r="H580" s="10" t="str">
        <f>IF($K580="","",INDEX(Конструктор!$N$2:$N$1212,$K580))</f>
        <v/>
      </c>
      <c r="I580" s="10" t="str">
        <f>IF($K580="","",INDEX(Конструктор!$O$2:$O$1212,$K580))</f>
        <v/>
      </c>
      <c r="J580" s="10" t="str">
        <f>IF($K580="","",INDEX(Конструктор!$P$2:$P$1212,$K580))</f>
        <v/>
      </c>
      <c r="K580" t="str">
        <f>IFERROR(MATCH(560,Конструктор!$T$2:$T$1212,0),"")</f>
        <v/>
      </c>
      <c r="L580" t="str">
        <f t="shared" si="8"/>
        <v/>
      </c>
    </row>
    <row r="581" spans="1:12" hidden="1" x14ac:dyDescent="0.3">
      <c r="A581" t="str">
        <f>IF($K581="","",561)</f>
        <v/>
      </c>
      <c r="B581" t="str">
        <f>IF($K581="","",INDEX(Конструктор!$C$2:$C$1212,$K581))</f>
        <v/>
      </c>
      <c r="C581" s="8" t="str">
        <f>IF($K581="","",INDEX(Конструктор!$D$2:$D$1212,$K581)&amp;IF(INDEX(Конструктор!$J$2:$J$1212,$K581)&lt;&gt;""," — "&amp;INDEX(Конструктор!$J$2:$J$1212,$K581),""))</f>
        <v/>
      </c>
      <c r="D581" t="str">
        <f>IF($K581="","",INDEX(Конструктор!$E$2:$E$1212,$K581))</f>
        <v/>
      </c>
      <c r="E581" s="10" t="str">
        <f>IF($K581="","",INDEX(Конструктор!$H$2:$H$1212,$K581))</f>
        <v/>
      </c>
      <c r="F581" s="10" t="str">
        <f>IF($K581="","",INDEX(Конструктор!$L$2:$L$1212,$K581))</f>
        <v/>
      </c>
      <c r="G581" s="10" t="str">
        <f>IF($K581="","",INDEX(Конструктор!$M$2:$M$1212,$K581))</f>
        <v/>
      </c>
      <c r="H581" s="10" t="str">
        <f>IF($K581="","",INDEX(Конструктор!$N$2:$N$1212,$K581))</f>
        <v/>
      </c>
      <c r="I581" s="10" t="str">
        <f>IF($K581="","",INDEX(Конструктор!$O$2:$O$1212,$K581))</f>
        <v/>
      </c>
      <c r="J581" s="10" t="str">
        <f>IF($K581="","",INDEX(Конструктор!$P$2:$P$1212,$K581))</f>
        <v/>
      </c>
      <c r="K581" t="str">
        <f>IFERROR(MATCH(561,Конструктор!$T$2:$T$1212,0),"")</f>
        <v/>
      </c>
      <c r="L581" t="str">
        <f t="shared" si="8"/>
        <v/>
      </c>
    </row>
    <row r="582" spans="1:12" hidden="1" x14ac:dyDescent="0.3">
      <c r="A582" t="str">
        <f>IF($K582="","",562)</f>
        <v/>
      </c>
      <c r="B582" t="str">
        <f>IF($K582="","",INDEX(Конструктор!$C$2:$C$1212,$K582))</f>
        <v/>
      </c>
      <c r="C582" s="8" t="str">
        <f>IF($K582="","",INDEX(Конструктор!$D$2:$D$1212,$K582)&amp;IF(INDEX(Конструктор!$J$2:$J$1212,$K582)&lt;&gt;""," — "&amp;INDEX(Конструктор!$J$2:$J$1212,$K582),""))</f>
        <v/>
      </c>
      <c r="D582" t="str">
        <f>IF($K582="","",INDEX(Конструктор!$E$2:$E$1212,$K582))</f>
        <v/>
      </c>
      <c r="E582" s="10" t="str">
        <f>IF($K582="","",INDEX(Конструктор!$H$2:$H$1212,$K582))</f>
        <v/>
      </c>
      <c r="F582" s="10" t="str">
        <f>IF($K582="","",INDEX(Конструктор!$L$2:$L$1212,$K582))</f>
        <v/>
      </c>
      <c r="G582" s="10" t="str">
        <f>IF($K582="","",INDEX(Конструктор!$M$2:$M$1212,$K582))</f>
        <v/>
      </c>
      <c r="H582" s="10" t="str">
        <f>IF($K582="","",INDEX(Конструктор!$N$2:$N$1212,$K582))</f>
        <v/>
      </c>
      <c r="I582" s="10" t="str">
        <f>IF($K582="","",INDEX(Конструктор!$O$2:$O$1212,$K582))</f>
        <v/>
      </c>
      <c r="J582" s="10" t="str">
        <f>IF($K582="","",INDEX(Конструктор!$P$2:$P$1212,$K582))</f>
        <v/>
      </c>
      <c r="K582" t="str">
        <f>IFERROR(MATCH(562,Конструктор!$T$2:$T$1212,0),"")</f>
        <v/>
      </c>
      <c r="L582" t="str">
        <f t="shared" si="8"/>
        <v/>
      </c>
    </row>
    <row r="583" spans="1:12" hidden="1" x14ac:dyDescent="0.3">
      <c r="A583" t="str">
        <f>IF($K583="","",563)</f>
        <v/>
      </c>
      <c r="B583" t="str">
        <f>IF($K583="","",INDEX(Конструктор!$C$2:$C$1212,$K583))</f>
        <v/>
      </c>
      <c r="C583" s="8" t="str">
        <f>IF($K583="","",INDEX(Конструктор!$D$2:$D$1212,$K583)&amp;IF(INDEX(Конструктор!$J$2:$J$1212,$K583)&lt;&gt;""," — "&amp;INDEX(Конструктор!$J$2:$J$1212,$K583),""))</f>
        <v/>
      </c>
      <c r="D583" t="str">
        <f>IF($K583="","",INDEX(Конструктор!$E$2:$E$1212,$K583))</f>
        <v/>
      </c>
      <c r="E583" s="10" t="str">
        <f>IF($K583="","",INDEX(Конструктор!$H$2:$H$1212,$K583))</f>
        <v/>
      </c>
      <c r="F583" s="10" t="str">
        <f>IF($K583="","",INDEX(Конструктор!$L$2:$L$1212,$K583))</f>
        <v/>
      </c>
      <c r="G583" s="10" t="str">
        <f>IF($K583="","",INDEX(Конструктор!$M$2:$M$1212,$K583))</f>
        <v/>
      </c>
      <c r="H583" s="10" t="str">
        <f>IF($K583="","",INDEX(Конструктор!$N$2:$N$1212,$K583))</f>
        <v/>
      </c>
      <c r="I583" s="10" t="str">
        <f>IF($K583="","",INDEX(Конструктор!$O$2:$O$1212,$K583))</f>
        <v/>
      </c>
      <c r="J583" s="10" t="str">
        <f>IF($K583="","",INDEX(Конструктор!$P$2:$P$1212,$K583))</f>
        <v/>
      </c>
      <c r="K583" t="str">
        <f>IFERROR(MATCH(563,Конструктор!$T$2:$T$1212,0),"")</f>
        <v/>
      </c>
      <c r="L583" t="str">
        <f t="shared" si="8"/>
        <v/>
      </c>
    </row>
    <row r="584" spans="1:12" hidden="1" x14ac:dyDescent="0.3">
      <c r="A584" t="str">
        <f>IF($K584="","",564)</f>
        <v/>
      </c>
      <c r="B584" t="str">
        <f>IF($K584="","",INDEX(Конструктор!$C$2:$C$1212,$K584))</f>
        <v/>
      </c>
      <c r="C584" s="8" t="str">
        <f>IF($K584="","",INDEX(Конструктор!$D$2:$D$1212,$K584)&amp;IF(INDEX(Конструктор!$J$2:$J$1212,$K584)&lt;&gt;""," — "&amp;INDEX(Конструктор!$J$2:$J$1212,$K584),""))</f>
        <v/>
      </c>
      <c r="D584" t="str">
        <f>IF($K584="","",INDEX(Конструктор!$E$2:$E$1212,$K584))</f>
        <v/>
      </c>
      <c r="E584" s="10" t="str">
        <f>IF($K584="","",INDEX(Конструктор!$H$2:$H$1212,$K584))</f>
        <v/>
      </c>
      <c r="F584" s="10" t="str">
        <f>IF($K584="","",INDEX(Конструктор!$L$2:$L$1212,$K584))</f>
        <v/>
      </c>
      <c r="G584" s="10" t="str">
        <f>IF($K584="","",INDEX(Конструктор!$M$2:$M$1212,$K584))</f>
        <v/>
      </c>
      <c r="H584" s="10" t="str">
        <f>IF($K584="","",INDEX(Конструктор!$N$2:$N$1212,$K584))</f>
        <v/>
      </c>
      <c r="I584" s="10" t="str">
        <f>IF($K584="","",INDEX(Конструктор!$O$2:$O$1212,$K584))</f>
        <v/>
      </c>
      <c r="J584" s="10" t="str">
        <f>IF($K584="","",INDEX(Конструктор!$P$2:$P$1212,$K584))</f>
        <v/>
      </c>
      <c r="K584" t="str">
        <f>IFERROR(MATCH(564,Конструктор!$T$2:$T$1212,0),"")</f>
        <v/>
      </c>
      <c r="L584" t="str">
        <f t="shared" si="8"/>
        <v/>
      </c>
    </row>
    <row r="585" spans="1:12" hidden="1" x14ac:dyDescent="0.3">
      <c r="A585" t="str">
        <f>IF($K585="","",565)</f>
        <v/>
      </c>
      <c r="B585" t="str">
        <f>IF($K585="","",INDEX(Конструктор!$C$2:$C$1212,$K585))</f>
        <v/>
      </c>
      <c r="C585" s="8" t="str">
        <f>IF($K585="","",INDEX(Конструктор!$D$2:$D$1212,$K585)&amp;IF(INDEX(Конструктор!$J$2:$J$1212,$K585)&lt;&gt;""," — "&amp;INDEX(Конструктор!$J$2:$J$1212,$K585),""))</f>
        <v/>
      </c>
      <c r="D585" t="str">
        <f>IF($K585="","",INDEX(Конструктор!$E$2:$E$1212,$K585))</f>
        <v/>
      </c>
      <c r="E585" s="10" t="str">
        <f>IF($K585="","",INDEX(Конструктор!$H$2:$H$1212,$K585))</f>
        <v/>
      </c>
      <c r="F585" s="10" t="str">
        <f>IF($K585="","",INDEX(Конструктор!$L$2:$L$1212,$K585))</f>
        <v/>
      </c>
      <c r="G585" s="10" t="str">
        <f>IF($K585="","",INDEX(Конструктор!$M$2:$M$1212,$K585))</f>
        <v/>
      </c>
      <c r="H585" s="10" t="str">
        <f>IF($K585="","",INDEX(Конструктор!$N$2:$N$1212,$K585))</f>
        <v/>
      </c>
      <c r="I585" s="10" t="str">
        <f>IF($K585="","",INDEX(Конструктор!$O$2:$O$1212,$K585))</f>
        <v/>
      </c>
      <c r="J585" s="10" t="str">
        <f>IF($K585="","",INDEX(Конструктор!$P$2:$P$1212,$K585))</f>
        <v/>
      </c>
      <c r="K585" t="str">
        <f>IFERROR(MATCH(565,Конструктор!$T$2:$T$1212,0),"")</f>
        <v/>
      </c>
      <c r="L585" t="str">
        <f t="shared" si="8"/>
        <v/>
      </c>
    </row>
    <row r="586" spans="1:12" hidden="1" x14ac:dyDescent="0.3">
      <c r="A586" t="str">
        <f>IF($K586="","",566)</f>
        <v/>
      </c>
      <c r="B586" t="str">
        <f>IF($K586="","",INDEX(Конструктор!$C$2:$C$1212,$K586))</f>
        <v/>
      </c>
      <c r="C586" s="8" t="str">
        <f>IF($K586="","",INDEX(Конструктор!$D$2:$D$1212,$K586)&amp;IF(INDEX(Конструктор!$J$2:$J$1212,$K586)&lt;&gt;""," — "&amp;INDEX(Конструктор!$J$2:$J$1212,$K586),""))</f>
        <v/>
      </c>
      <c r="D586" t="str">
        <f>IF($K586="","",INDEX(Конструктор!$E$2:$E$1212,$K586))</f>
        <v/>
      </c>
      <c r="E586" s="10" t="str">
        <f>IF($K586="","",INDEX(Конструктор!$H$2:$H$1212,$K586))</f>
        <v/>
      </c>
      <c r="F586" s="10" t="str">
        <f>IF($K586="","",INDEX(Конструктор!$L$2:$L$1212,$K586))</f>
        <v/>
      </c>
      <c r="G586" s="10" t="str">
        <f>IF($K586="","",INDEX(Конструктор!$M$2:$M$1212,$K586))</f>
        <v/>
      </c>
      <c r="H586" s="10" t="str">
        <f>IF($K586="","",INDEX(Конструктор!$N$2:$N$1212,$K586))</f>
        <v/>
      </c>
      <c r="I586" s="10" t="str">
        <f>IF($K586="","",INDEX(Конструктор!$O$2:$O$1212,$K586))</f>
        <v/>
      </c>
      <c r="J586" s="10" t="str">
        <f>IF($K586="","",INDEX(Конструктор!$P$2:$P$1212,$K586))</f>
        <v/>
      </c>
      <c r="K586" t="str">
        <f>IFERROR(MATCH(566,Конструктор!$T$2:$T$1212,0),"")</f>
        <v/>
      </c>
      <c r="L586" t="str">
        <f t="shared" si="8"/>
        <v/>
      </c>
    </row>
    <row r="587" spans="1:12" hidden="1" x14ac:dyDescent="0.3">
      <c r="A587" t="str">
        <f>IF($K587="","",567)</f>
        <v/>
      </c>
      <c r="B587" t="str">
        <f>IF($K587="","",INDEX(Конструктор!$C$2:$C$1212,$K587))</f>
        <v/>
      </c>
      <c r="C587" s="8" t="str">
        <f>IF($K587="","",INDEX(Конструктор!$D$2:$D$1212,$K587)&amp;IF(INDEX(Конструктор!$J$2:$J$1212,$K587)&lt;&gt;""," — "&amp;INDEX(Конструктор!$J$2:$J$1212,$K587),""))</f>
        <v/>
      </c>
      <c r="D587" t="str">
        <f>IF($K587="","",INDEX(Конструктор!$E$2:$E$1212,$K587))</f>
        <v/>
      </c>
      <c r="E587" s="10" t="str">
        <f>IF($K587="","",INDEX(Конструктор!$H$2:$H$1212,$K587))</f>
        <v/>
      </c>
      <c r="F587" s="10" t="str">
        <f>IF($K587="","",INDEX(Конструктор!$L$2:$L$1212,$K587))</f>
        <v/>
      </c>
      <c r="G587" s="10" t="str">
        <f>IF($K587="","",INDEX(Конструктор!$M$2:$M$1212,$K587))</f>
        <v/>
      </c>
      <c r="H587" s="10" t="str">
        <f>IF($K587="","",INDEX(Конструктор!$N$2:$N$1212,$K587))</f>
        <v/>
      </c>
      <c r="I587" s="10" t="str">
        <f>IF($K587="","",INDEX(Конструктор!$O$2:$O$1212,$K587))</f>
        <v/>
      </c>
      <c r="J587" s="10" t="str">
        <f>IF($K587="","",INDEX(Конструктор!$P$2:$P$1212,$K587))</f>
        <v/>
      </c>
      <c r="K587" t="str">
        <f>IFERROR(MATCH(567,Конструктор!$T$2:$T$1212,0),"")</f>
        <v/>
      </c>
      <c r="L587" t="str">
        <f t="shared" si="8"/>
        <v/>
      </c>
    </row>
    <row r="588" spans="1:12" hidden="1" x14ac:dyDescent="0.3">
      <c r="A588" t="str">
        <f>IF($K588="","",568)</f>
        <v/>
      </c>
      <c r="B588" t="str">
        <f>IF($K588="","",INDEX(Конструктор!$C$2:$C$1212,$K588))</f>
        <v/>
      </c>
      <c r="C588" s="8" t="str">
        <f>IF($K588="","",INDEX(Конструктор!$D$2:$D$1212,$K588)&amp;IF(INDEX(Конструктор!$J$2:$J$1212,$K588)&lt;&gt;""," — "&amp;INDEX(Конструктор!$J$2:$J$1212,$K588),""))</f>
        <v/>
      </c>
      <c r="D588" t="str">
        <f>IF($K588="","",INDEX(Конструктор!$E$2:$E$1212,$K588))</f>
        <v/>
      </c>
      <c r="E588" s="10" t="str">
        <f>IF($K588="","",INDEX(Конструктор!$H$2:$H$1212,$K588))</f>
        <v/>
      </c>
      <c r="F588" s="10" t="str">
        <f>IF($K588="","",INDEX(Конструктор!$L$2:$L$1212,$K588))</f>
        <v/>
      </c>
      <c r="G588" s="10" t="str">
        <f>IF($K588="","",INDEX(Конструктор!$M$2:$M$1212,$K588))</f>
        <v/>
      </c>
      <c r="H588" s="10" t="str">
        <f>IF($K588="","",INDEX(Конструктор!$N$2:$N$1212,$K588))</f>
        <v/>
      </c>
      <c r="I588" s="10" t="str">
        <f>IF($K588="","",INDEX(Конструктор!$O$2:$O$1212,$K588))</f>
        <v/>
      </c>
      <c r="J588" s="10" t="str">
        <f>IF($K588="","",INDEX(Конструктор!$P$2:$P$1212,$K588))</f>
        <v/>
      </c>
      <c r="K588" t="str">
        <f>IFERROR(MATCH(568,Конструктор!$T$2:$T$1212,0),"")</f>
        <v/>
      </c>
      <c r="L588" t="str">
        <f t="shared" si="8"/>
        <v/>
      </c>
    </row>
    <row r="589" spans="1:12" hidden="1" x14ac:dyDescent="0.3">
      <c r="A589" t="str">
        <f>IF($K589="","",569)</f>
        <v/>
      </c>
      <c r="B589" t="str">
        <f>IF($K589="","",INDEX(Конструктор!$C$2:$C$1212,$K589))</f>
        <v/>
      </c>
      <c r="C589" s="8" t="str">
        <f>IF($K589="","",INDEX(Конструктор!$D$2:$D$1212,$K589)&amp;IF(INDEX(Конструктор!$J$2:$J$1212,$K589)&lt;&gt;""," — "&amp;INDEX(Конструктор!$J$2:$J$1212,$K589),""))</f>
        <v/>
      </c>
      <c r="D589" t="str">
        <f>IF($K589="","",INDEX(Конструктор!$E$2:$E$1212,$K589))</f>
        <v/>
      </c>
      <c r="E589" s="10" t="str">
        <f>IF($K589="","",INDEX(Конструктор!$H$2:$H$1212,$K589))</f>
        <v/>
      </c>
      <c r="F589" s="10" t="str">
        <f>IF($K589="","",INDEX(Конструктор!$L$2:$L$1212,$K589))</f>
        <v/>
      </c>
      <c r="G589" s="10" t="str">
        <f>IF($K589="","",INDEX(Конструктор!$M$2:$M$1212,$K589))</f>
        <v/>
      </c>
      <c r="H589" s="10" t="str">
        <f>IF($K589="","",INDEX(Конструктор!$N$2:$N$1212,$K589))</f>
        <v/>
      </c>
      <c r="I589" s="10" t="str">
        <f>IF($K589="","",INDEX(Конструктор!$O$2:$O$1212,$K589))</f>
        <v/>
      </c>
      <c r="J589" s="10" t="str">
        <f>IF($K589="","",INDEX(Конструктор!$P$2:$P$1212,$K589))</f>
        <v/>
      </c>
      <c r="K589" t="str">
        <f>IFERROR(MATCH(569,Конструктор!$T$2:$T$1212,0),"")</f>
        <v/>
      </c>
      <c r="L589" t="str">
        <f t="shared" si="8"/>
        <v/>
      </c>
    </row>
    <row r="590" spans="1:12" hidden="1" x14ac:dyDescent="0.3">
      <c r="A590" t="str">
        <f>IF($K590="","",570)</f>
        <v/>
      </c>
      <c r="B590" t="str">
        <f>IF($K590="","",INDEX(Конструктор!$C$2:$C$1212,$K590))</f>
        <v/>
      </c>
      <c r="C590" s="8" t="str">
        <f>IF($K590="","",INDEX(Конструктор!$D$2:$D$1212,$K590)&amp;IF(INDEX(Конструктор!$J$2:$J$1212,$K590)&lt;&gt;""," — "&amp;INDEX(Конструктор!$J$2:$J$1212,$K590),""))</f>
        <v/>
      </c>
      <c r="D590" t="str">
        <f>IF($K590="","",INDEX(Конструктор!$E$2:$E$1212,$K590))</f>
        <v/>
      </c>
      <c r="E590" s="10" t="str">
        <f>IF($K590="","",INDEX(Конструктор!$H$2:$H$1212,$K590))</f>
        <v/>
      </c>
      <c r="F590" s="10" t="str">
        <f>IF($K590="","",INDEX(Конструктор!$L$2:$L$1212,$K590))</f>
        <v/>
      </c>
      <c r="G590" s="10" t="str">
        <f>IF($K590="","",INDEX(Конструктор!$M$2:$M$1212,$K590))</f>
        <v/>
      </c>
      <c r="H590" s="10" t="str">
        <f>IF($K590="","",INDEX(Конструктор!$N$2:$N$1212,$K590))</f>
        <v/>
      </c>
      <c r="I590" s="10" t="str">
        <f>IF($K590="","",INDEX(Конструктор!$O$2:$O$1212,$K590))</f>
        <v/>
      </c>
      <c r="J590" s="10" t="str">
        <f>IF($K590="","",INDEX(Конструктор!$P$2:$P$1212,$K590))</f>
        <v/>
      </c>
      <c r="K590" t="str">
        <f>IFERROR(MATCH(570,Конструктор!$T$2:$T$1212,0),"")</f>
        <v/>
      </c>
      <c r="L590" t="str">
        <f t="shared" si="8"/>
        <v/>
      </c>
    </row>
    <row r="591" spans="1:12" hidden="1" x14ac:dyDescent="0.3">
      <c r="A591" t="str">
        <f>IF($K591="","",571)</f>
        <v/>
      </c>
      <c r="B591" t="str">
        <f>IF($K591="","",INDEX(Конструктор!$C$2:$C$1212,$K591))</f>
        <v/>
      </c>
      <c r="C591" s="8" t="str">
        <f>IF($K591="","",INDEX(Конструктор!$D$2:$D$1212,$K591)&amp;IF(INDEX(Конструктор!$J$2:$J$1212,$K591)&lt;&gt;""," — "&amp;INDEX(Конструктор!$J$2:$J$1212,$K591),""))</f>
        <v/>
      </c>
      <c r="D591" t="str">
        <f>IF($K591="","",INDEX(Конструктор!$E$2:$E$1212,$K591))</f>
        <v/>
      </c>
      <c r="E591" s="10" t="str">
        <f>IF($K591="","",INDEX(Конструктор!$H$2:$H$1212,$K591))</f>
        <v/>
      </c>
      <c r="F591" s="10" t="str">
        <f>IF($K591="","",INDEX(Конструктор!$L$2:$L$1212,$K591))</f>
        <v/>
      </c>
      <c r="G591" s="10" t="str">
        <f>IF($K591="","",INDEX(Конструктор!$M$2:$M$1212,$K591))</f>
        <v/>
      </c>
      <c r="H591" s="10" t="str">
        <f>IF($K591="","",INDEX(Конструктор!$N$2:$N$1212,$K591))</f>
        <v/>
      </c>
      <c r="I591" s="10" t="str">
        <f>IF($K591="","",INDEX(Конструктор!$O$2:$O$1212,$K591))</f>
        <v/>
      </c>
      <c r="J591" s="10" t="str">
        <f>IF($K591="","",INDEX(Конструктор!$P$2:$P$1212,$K591))</f>
        <v/>
      </c>
      <c r="K591" t="str">
        <f>IFERROR(MATCH(571,Конструктор!$T$2:$T$1212,0),"")</f>
        <v/>
      </c>
      <c r="L591" t="str">
        <f t="shared" si="8"/>
        <v/>
      </c>
    </row>
    <row r="592" spans="1:12" hidden="1" x14ac:dyDescent="0.3">
      <c r="A592" t="str">
        <f>IF($K592="","",572)</f>
        <v/>
      </c>
      <c r="B592" t="str">
        <f>IF($K592="","",INDEX(Конструктор!$C$2:$C$1212,$K592))</f>
        <v/>
      </c>
      <c r="C592" s="8" t="str">
        <f>IF($K592="","",INDEX(Конструктор!$D$2:$D$1212,$K592)&amp;IF(INDEX(Конструктор!$J$2:$J$1212,$K592)&lt;&gt;""," — "&amp;INDEX(Конструктор!$J$2:$J$1212,$K592),""))</f>
        <v/>
      </c>
      <c r="D592" t="str">
        <f>IF($K592="","",INDEX(Конструктор!$E$2:$E$1212,$K592))</f>
        <v/>
      </c>
      <c r="E592" s="10" t="str">
        <f>IF($K592="","",INDEX(Конструктор!$H$2:$H$1212,$K592))</f>
        <v/>
      </c>
      <c r="F592" s="10" t="str">
        <f>IF($K592="","",INDEX(Конструктор!$L$2:$L$1212,$K592))</f>
        <v/>
      </c>
      <c r="G592" s="10" t="str">
        <f>IF($K592="","",INDEX(Конструктор!$M$2:$M$1212,$K592))</f>
        <v/>
      </c>
      <c r="H592" s="10" t="str">
        <f>IF($K592="","",INDEX(Конструктор!$N$2:$N$1212,$K592))</f>
        <v/>
      </c>
      <c r="I592" s="10" t="str">
        <f>IF($K592="","",INDEX(Конструктор!$O$2:$O$1212,$K592))</f>
        <v/>
      </c>
      <c r="J592" s="10" t="str">
        <f>IF($K592="","",INDEX(Конструктор!$P$2:$P$1212,$K592))</f>
        <v/>
      </c>
      <c r="K592" t="str">
        <f>IFERROR(MATCH(572,Конструктор!$T$2:$T$1212,0),"")</f>
        <v/>
      </c>
      <c r="L592" t="str">
        <f t="shared" si="8"/>
        <v/>
      </c>
    </row>
    <row r="593" spans="1:12" hidden="1" x14ac:dyDescent="0.3">
      <c r="A593" t="str">
        <f>IF($K593="","",573)</f>
        <v/>
      </c>
      <c r="B593" t="str">
        <f>IF($K593="","",INDEX(Конструктор!$C$2:$C$1212,$K593))</f>
        <v/>
      </c>
      <c r="C593" s="8" t="str">
        <f>IF($K593="","",INDEX(Конструктор!$D$2:$D$1212,$K593)&amp;IF(INDEX(Конструктор!$J$2:$J$1212,$K593)&lt;&gt;""," — "&amp;INDEX(Конструктор!$J$2:$J$1212,$K593),""))</f>
        <v/>
      </c>
      <c r="D593" t="str">
        <f>IF($K593="","",INDEX(Конструктор!$E$2:$E$1212,$K593))</f>
        <v/>
      </c>
      <c r="E593" s="10" t="str">
        <f>IF($K593="","",INDEX(Конструктор!$H$2:$H$1212,$K593))</f>
        <v/>
      </c>
      <c r="F593" s="10" t="str">
        <f>IF($K593="","",INDEX(Конструктор!$L$2:$L$1212,$K593))</f>
        <v/>
      </c>
      <c r="G593" s="10" t="str">
        <f>IF($K593="","",INDEX(Конструктор!$M$2:$M$1212,$K593))</f>
        <v/>
      </c>
      <c r="H593" s="10" t="str">
        <f>IF($K593="","",INDEX(Конструктор!$N$2:$N$1212,$K593))</f>
        <v/>
      </c>
      <c r="I593" s="10" t="str">
        <f>IF($K593="","",INDEX(Конструктор!$O$2:$O$1212,$K593))</f>
        <v/>
      </c>
      <c r="J593" s="10" t="str">
        <f>IF($K593="","",INDEX(Конструктор!$P$2:$P$1212,$K593))</f>
        <v/>
      </c>
      <c r="K593" t="str">
        <f>IFERROR(MATCH(573,Конструктор!$T$2:$T$1212,0),"")</f>
        <v/>
      </c>
      <c r="L593" t="str">
        <f t="shared" si="8"/>
        <v/>
      </c>
    </row>
    <row r="594" spans="1:12" hidden="1" x14ac:dyDescent="0.3">
      <c r="A594" t="str">
        <f>IF($K594="","",574)</f>
        <v/>
      </c>
      <c r="B594" t="str">
        <f>IF($K594="","",INDEX(Конструктор!$C$2:$C$1212,$K594))</f>
        <v/>
      </c>
      <c r="C594" s="8" t="str">
        <f>IF($K594="","",INDEX(Конструктор!$D$2:$D$1212,$K594)&amp;IF(INDEX(Конструктор!$J$2:$J$1212,$K594)&lt;&gt;""," — "&amp;INDEX(Конструктор!$J$2:$J$1212,$K594),""))</f>
        <v/>
      </c>
      <c r="D594" t="str">
        <f>IF($K594="","",INDEX(Конструктор!$E$2:$E$1212,$K594))</f>
        <v/>
      </c>
      <c r="E594" s="10" t="str">
        <f>IF($K594="","",INDEX(Конструктор!$H$2:$H$1212,$K594))</f>
        <v/>
      </c>
      <c r="F594" s="10" t="str">
        <f>IF($K594="","",INDEX(Конструктор!$L$2:$L$1212,$K594))</f>
        <v/>
      </c>
      <c r="G594" s="10" t="str">
        <f>IF($K594="","",INDEX(Конструктор!$M$2:$M$1212,$K594))</f>
        <v/>
      </c>
      <c r="H594" s="10" t="str">
        <f>IF($K594="","",INDEX(Конструктор!$N$2:$N$1212,$K594))</f>
        <v/>
      </c>
      <c r="I594" s="10" t="str">
        <f>IF($K594="","",INDEX(Конструктор!$O$2:$O$1212,$K594))</f>
        <v/>
      </c>
      <c r="J594" s="10" t="str">
        <f>IF($K594="","",INDEX(Конструктор!$P$2:$P$1212,$K594))</f>
        <v/>
      </c>
      <c r="K594" t="str">
        <f>IFERROR(MATCH(574,Конструктор!$T$2:$T$1212,0),"")</f>
        <v/>
      </c>
      <c r="L594" t="str">
        <f t="shared" si="8"/>
        <v/>
      </c>
    </row>
    <row r="595" spans="1:12" hidden="1" x14ac:dyDescent="0.3">
      <c r="A595" t="str">
        <f>IF($K595="","",575)</f>
        <v/>
      </c>
      <c r="B595" t="str">
        <f>IF($K595="","",INDEX(Конструктор!$C$2:$C$1212,$K595))</f>
        <v/>
      </c>
      <c r="C595" s="8" t="str">
        <f>IF($K595="","",INDEX(Конструктор!$D$2:$D$1212,$K595)&amp;IF(INDEX(Конструктор!$J$2:$J$1212,$K595)&lt;&gt;""," — "&amp;INDEX(Конструктор!$J$2:$J$1212,$K595),""))</f>
        <v/>
      </c>
      <c r="D595" t="str">
        <f>IF($K595="","",INDEX(Конструктор!$E$2:$E$1212,$K595))</f>
        <v/>
      </c>
      <c r="E595" s="10" t="str">
        <f>IF($K595="","",INDEX(Конструктор!$H$2:$H$1212,$K595))</f>
        <v/>
      </c>
      <c r="F595" s="10" t="str">
        <f>IF($K595="","",INDEX(Конструктор!$L$2:$L$1212,$K595))</f>
        <v/>
      </c>
      <c r="G595" s="10" t="str">
        <f>IF($K595="","",INDEX(Конструктор!$M$2:$M$1212,$K595))</f>
        <v/>
      </c>
      <c r="H595" s="10" t="str">
        <f>IF($K595="","",INDEX(Конструктор!$N$2:$N$1212,$K595))</f>
        <v/>
      </c>
      <c r="I595" s="10" t="str">
        <f>IF($K595="","",INDEX(Конструктор!$O$2:$O$1212,$K595))</f>
        <v/>
      </c>
      <c r="J595" s="10" t="str">
        <f>IF($K595="","",INDEX(Конструктор!$P$2:$P$1212,$K595))</f>
        <v/>
      </c>
      <c r="K595" t="str">
        <f>IFERROR(MATCH(575,Конструктор!$T$2:$T$1212,0),"")</f>
        <v/>
      </c>
      <c r="L595" t="str">
        <f t="shared" si="8"/>
        <v/>
      </c>
    </row>
    <row r="596" spans="1:12" hidden="1" x14ac:dyDescent="0.3">
      <c r="A596" t="str">
        <f>IF($K596="","",576)</f>
        <v/>
      </c>
      <c r="B596" t="str">
        <f>IF($K596="","",INDEX(Конструктор!$C$2:$C$1212,$K596))</f>
        <v/>
      </c>
      <c r="C596" s="8" t="str">
        <f>IF($K596="","",INDEX(Конструктор!$D$2:$D$1212,$K596)&amp;IF(INDEX(Конструктор!$J$2:$J$1212,$K596)&lt;&gt;""," — "&amp;INDEX(Конструктор!$J$2:$J$1212,$K596),""))</f>
        <v/>
      </c>
      <c r="D596" t="str">
        <f>IF($K596="","",INDEX(Конструктор!$E$2:$E$1212,$K596))</f>
        <v/>
      </c>
      <c r="E596" s="10" t="str">
        <f>IF($K596="","",INDEX(Конструктор!$H$2:$H$1212,$K596))</f>
        <v/>
      </c>
      <c r="F596" s="10" t="str">
        <f>IF($K596="","",INDEX(Конструктор!$L$2:$L$1212,$K596))</f>
        <v/>
      </c>
      <c r="G596" s="10" t="str">
        <f>IF($K596="","",INDEX(Конструктор!$M$2:$M$1212,$K596))</f>
        <v/>
      </c>
      <c r="H596" s="10" t="str">
        <f>IF($K596="","",INDEX(Конструктор!$N$2:$N$1212,$K596))</f>
        <v/>
      </c>
      <c r="I596" s="10" t="str">
        <f>IF($K596="","",INDEX(Конструктор!$O$2:$O$1212,$K596))</f>
        <v/>
      </c>
      <c r="J596" s="10" t="str">
        <f>IF($K596="","",INDEX(Конструктор!$P$2:$P$1212,$K596))</f>
        <v/>
      </c>
      <c r="K596" t="str">
        <f>IFERROR(MATCH(576,Конструктор!$T$2:$T$1212,0),"")</f>
        <v/>
      </c>
      <c r="L596" t="str">
        <f t="shared" si="8"/>
        <v/>
      </c>
    </row>
    <row r="597" spans="1:12" hidden="1" x14ac:dyDescent="0.3">
      <c r="A597" t="str">
        <f>IF($K597="","",577)</f>
        <v/>
      </c>
      <c r="B597" t="str">
        <f>IF($K597="","",INDEX(Конструктор!$C$2:$C$1212,$K597))</f>
        <v/>
      </c>
      <c r="C597" s="8" t="str">
        <f>IF($K597="","",INDEX(Конструктор!$D$2:$D$1212,$K597)&amp;IF(INDEX(Конструктор!$J$2:$J$1212,$K597)&lt;&gt;""," — "&amp;INDEX(Конструктор!$J$2:$J$1212,$K597),""))</f>
        <v/>
      </c>
      <c r="D597" t="str">
        <f>IF($K597="","",INDEX(Конструктор!$E$2:$E$1212,$K597))</f>
        <v/>
      </c>
      <c r="E597" s="10" t="str">
        <f>IF($K597="","",INDEX(Конструктор!$H$2:$H$1212,$K597))</f>
        <v/>
      </c>
      <c r="F597" s="10" t="str">
        <f>IF($K597="","",INDEX(Конструктор!$L$2:$L$1212,$K597))</f>
        <v/>
      </c>
      <c r="G597" s="10" t="str">
        <f>IF($K597="","",INDEX(Конструктор!$M$2:$M$1212,$K597))</f>
        <v/>
      </c>
      <c r="H597" s="10" t="str">
        <f>IF($K597="","",INDEX(Конструктор!$N$2:$N$1212,$K597))</f>
        <v/>
      </c>
      <c r="I597" s="10" t="str">
        <f>IF($K597="","",INDEX(Конструктор!$O$2:$O$1212,$K597))</f>
        <v/>
      </c>
      <c r="J597" s="10" t="str">
        <f>IF($K597="","",INDEX(Конструктор!$P$2:$P$1212,$K597))</f>
        <v/>
      </c>
      <c r="K597" t="str">
        <f>IFERROR(MATCH(577,Конструктор!$T$2:$T$1212,0),"")</f>
        <v/>
      </c>
      <c r="L597" t="str">
        <f t="shared" ref="L597:L660" si="9">IF($K597="","","показать")</f>
        <v/>
      </c>
    </row>
    <row r="598" spans="1:12" hidden="1" x14ac:dyDescent="0.3">
      <c r="A598" t="str">
        <f>IF($K598="","",578)</f>
        <v/>
      </c>
      <c r="B598" t="str">
        <f>IF($K598="","",INDEX(Конструктор!$C$2:$C$1212,$K598))</f>
        <v/>
      </c>
      <c r="C598" s="8" t="str">
        <f>IF($K598="","",INDEX(Конструктор!$D$2:$D$1212,$K598)&amp;IF(INDEX(Конструктор!$J$2:$J$1212,$K598)&lt;&gt;""," — "&amp;INDEX(Конструктор!$J$2:$J$1212,$K598),""))</f>
        <v/>
      </c>
      <c r="D598" t="str">
        <f>IF($K598="","",INDEX(Конструктор!$E$2:$E$1212,$K598))</f>
        <v/>
      </c>
      <c r="E598" s="10" t="str">
        <f>IF($K598="","",INDEX(Конструктор!$H$2:$H$1212,$K598))</f>
        <v/>
      </c>
      <c r="F598" s="10" t="str">
        <f>IF($K598="","",INDEX(Конструктор!$L$2:$L$1212,$K598))</f>
        <v/>
      </c>
      <c r="G598" s="10" t="str">
        <f>IF($K598="","",INDEX(Конструктор!$M$2:$M$1212,$K598))</f>
        <v/>
      </c>
      <c r="H598" s="10" t="str">
        <f>IF($K598="","",INDEX(Конструктор!$N$2:$N$1212,$K598))</f>
        <v/>
      </c>
      <c r="I598" s="10" t="str">
        <f>IF($K598="","",INDEX(Конструктор!$O$2:$O$1212,$K598))</f>
        <v/>
      </c>
      <c r="J598" s="10" t="str">
        <f>IF($K598="","",INDEX(Конструктор!$P$2:$P$1212,$K598))</f>
        <v/>
      </c>
      <c r="K598" t="str">
        <f>IFERROR(MATCH(578,Конструктор!$T$2:$T$1212,0),"")</f>
        <v/>
      </c>
      <c r="L598" t="str">
        <f t="shared" si="9"/>
        <v/>
      </c>
    </row>
    <row r="599" spans="1:12" hidden="1" x14ac:dyDescent="0.3">
      <c r="A599" t="str">
        <f>IF($K599="","",579)</f>
        <v/>
      </c>
      <c r="B599" t="str">
        <f>IF($K599="","",INDEX(Конструктор!$C$2:$C$1212,$K599))</f>
        <v/>
      </c>
      <c r="C599" s="8" t="str">
        <f>IF($K599="","",INDEX(Конструктор!$D$2:$D$1212,$K599)&amp;IF(INDEX(Конструктор!$J$2:$J$1212,$K599)&lt;&gt;""," — "&amp;INDEX(Конструктор!$J$2:$J$1212,$K599),""))</f>
        <v/>
      </c>
      <c r="D599" t="str">
        <f>IF($K599="","",INDEX(Конструктор!$E$2:$E$1212,$K599))</f>
        <v/>
      </c>
      <c r="E599" s="10" t="str">
        <f>IF($K599="","",INDEX(Конструктор!$H$2:$H$1212,$K599))</f>
        <v/>
      </c>
      <c r="F599" s="10" t="str">
        <f>IF($K599="","",INDEX(Конструктор!$L$2:$L$1212,$K599))</f>
        <v/>
      </c>
      <c r="G599" s="10" t="str">
        <f>IF($K599="","",INDEX(Конструктор!$M$2:$M$1212,$K599))</f>
        <v/>
      </c>
      <c r="H599" s="10" t="str">
        <f>IF($K599="","",INDEX(Конструктор!$N$2:$N$1212,$K599))</f>
        <v/>
      </c>
      <c r="I599" s="10" t="str">
        <f>IF($K599="","",INDEX(Конструктор!$O$2:$O$1212,$K599))</f>
        <v/>
      </c>
      <c r="J599" s="10" t="str">
        <f>IF($K599="","",INDEX(Конструктор!$P$2:$P$1212,$K599))</f>
        <v/>
      </c>
      <c r="K599" t="str">
        <f>IFERROR(MATCH(579,Конструктор!$T$2:$T$1212,0),"")</f>
        <v/>
      </c>
      <c r="L599" t="str">
        <f t="shared" si="9"/>
        <v/>
      </c>
    </row>
    <row r="600" spans="1:12" hidden="1" x14ac:dyDescent="0.3">
      <c r="A600" t="str">
        <f>IF($K600="","",580)</f>
        <v/>
      </c>
      <c r="B600" t="str">
        <f>IF($K600="","",INDEX(Конструктор!$C$2:$C$1212,$K600))</f>
        <v/>
      </c>
      <c r="C600" s="8" t="str">
        <f>IF($K600="","",INDEX(Конструктор!$D$2:$D$1212,$K600)&amp;IF(INDEX(Конструктор!$J$2:$J$1212,$K600)&lt;&gt;""," — "&amp;INDEX(Конструктор!$J$2:$J$1212,$K600),""))</f>
        <v/>
      </c>
      <c r="D600" t="str">
        <f>IF($K600="","",INDEX(Конструктор!$E$2:$E$1212,$K600))</f>
        <v/>
      </c>
      <c r="E600" s="10" t="str">
        <f>IF($K600="","",INDEX(Конструктор!$H$2:$H$1212,$K600))</f>
        <v/>
      </c>
      <c r="F600" s="10" t="str">
        <f>IF($K600="","",INDEX(Конструктор!$L$2:$L$1212,$K600))</f>
        <v/>
      </c>
      <c r="G600" s="10" t="str">
        <f>IF($K600="","",INDEX(Конструктор!$M$2:$M$1212,$K600))</f>
        <v/>
      </c>
      <c r="H600" s="10" t="str">
        <f>IF($K600="","",INDEX(Конструктор!$N$2:$N$1212,$K600))</f>
        <v/>
      </c>
      <c r="I600" s="10" t="str">
        <f>IF($K600="","",INDEX(Конструктор!$O$2:$O$1212,$K600))</f>
        <v/>
      </c>
      <c r="J600" s="10" t="str">
        <f>IF($K600="","",INDEX(Конструктор!$P$2:$P$1212,$K600))</f>
        <v/>
      </c>
      <c r="K600" t="str">
        <f>IFERROR(MATCH(580,Конструктор!$T$2:$T$1212,0),"")</f>
        <v/>
      </c>
      <c r="L600" t="str">
        <f t="shared" si="9"/>
        <v/>
      </c>
    </row>
    <row r="601" spans="1:12" hidden="1" x14ac:dyDescent="0.3">
      <c r="A601" t="str">
        <f>IF($K601="","",581)</f>
        <v/>
      </c>
      <c r="B601" t="str">
        <f>IF($K601="","",INDEX(Конструктор!$C$2:$C$1212,$K601))</f>
        <v/>
      </c>
      <c r="C601" s="8" t="str">
        <f>IF($K601="","",INDEX(Конструктор!$D$2:$D$1212,$K601)&amp;IF(INDEX(Конструктор!$J$2:$J$1212,$K601)&lt;&gt;""," — "&amp;INDEX(Конструктор!$J$2:$J$1212,$K601),""))</f>
        <v/>
      </c>
      <c r="D601" t="str">
        <f>IF($K601="","",INDEX(Конструктор!$E$2:$E$1212,$K601))</f>
        <v/>
      </c>
      <c r="E601" s="10" t="str">
        <f>IF($K601="","",INDEX(Конструктор!$H$2:$H$1212,$K601))</f>
        <v/>
      </c>
      <c r="F601" s="10" t="str">
        <f>IF($K601="","",INDEX(Конструктор!$L$2:$L$1212,$K601))</f>
        <v/>
      </c>
      <c r="G601" s="10" t="str">
        <f>IF($K601="","",INDEX(Конструктор!$M$2:$M$1212,$K601))</f>
        <v/>
      </c>
      <c r="H601" s="10" t="str">
        <f>IF($K601="","",INDEX(Конструктор!$N$2:$N$1212,$K601))</f>
        <v/>
      </c>
      <c r="I601" s="10" t="str">
        <f>IF($K601="","",INDEX(Конструктор!$O$2:$O$1212,$K601))</f>
        <v/>
      </c>
      <c r="J601" s="10" t="str">
        <f>IF($K601="","",INDEX(Конструктор!$P$2:$P$1212,$K601))</f>
        <v/>
      </c>
      <c r="K601" t="str">
        <f>IFERROR(MATCH(581,Конструктор!$T$2:$T$1212,0),"")</f>
        <v/>
      </c>
      <c r="L601" t="str">
        <f t="shared" si="9"/>
        <v/>
      </c>
    </row>
    <row r="602" spans="1:12" hidden="1" x14ac:dyDescent="0.3">
      <c r="A602" t="str">
        <f>IF($K602="","",582)</f>
        <v/>
      </c>
      <c r="B602" t="str">
        <f>IF($K602="","",INDEX(Конструктор!$C$2:$C$1212,$K602))</f>
        <v/>
      </c>
      <c r="C602" s="8" t="str">
        <f>IF($K602="","",INDEX(Конструктор!$D$2:$D$1212,$K602)&amp;IF(INDEX(Конструктор!$J$2:$J$1212,$K602)&lt;&gt;""," — "&amp;INDEX(Конструктор!$J$2:$J$1212,$K602),""))</f>
        <v/>
      </c>
      <c r="D602" t="str">
        <f>IF($K602="","",INDEX(Конструктор!$E$2:$E$1212,$K602))</f>
        <v/>
      </c>
      <c r="E602" s="10" t="str">
        <f>IF($K602="","",INDEX(Конструктор!$H$2:$H$1212,$K602))</f>
        <v/>
      </c>
      <c r="F602" s="10" t="str">
        <f>IF($K602="","",INDEX(Конструктор!$L$2:$L$1212,$K602))</f>
        <v/>
      </c>
      <c r="G602" s="10" t="str">
        <f>IF($K602="","",INDEX(Конструктор!$M$2:$M$1212,$K602))</f>
        <v/>
      </c>
      <c r="H602" s="10" t="str">
        <f>IF($K602="","",INDEX(Конструктор!$N$2:$N$1212,$K602))</f>
        <v/>
      </c>
      <c r="I602" s="10" t="str">
        <f>IF($K602="","",INDEX(Конструктор!$O$2:$O$1212,$K602))</f>
        <v/>
      </c>
      <c r="J602" s="10" t="str">
        <f>IF($K602="","",INDEX(Конструктор!$P$2:$P$1212,$K602))</f>
        <v/>
      </c>
      <c r="K602" t="str">
        <f>IFERROR(MATCH(582,Конструктор!$T$2:$T$1212,0),"")</f>
        <v/>
      </c>
      <c r="L602" t="str">
        <f t="shared" si="9"/>
        <v/>
      </c>
    </row>
    <row r="603" spans="1:12" hidden="1" x14ac:dyDescent="0.3">
      <c r="A603" t="str">
        <f>IF($K603="","",583)</f>
        <v/>
      </c>
      <c r="B603" t="str">
        <f>IF($K603="","",INDEX(Конструктор!$C$2:$C$1212,$K603))</f>
        <v/>
      </c>
      <c r="C603" s="8" t="str">
        <f>IF($K603="","",INDEX(Конструктор!$D$2:$D$1212,$K603)&amp;IF(INDEX(Конструктор!$J$2:$J$1212,$K603)&lt;&gt;""," — "&amp;INDEX(Конструктор!$J$2:$J$1212,$K603),""))</f>
        <v/>
      </c>
      <c r="D603" t="str">
        <f>IF($K603="","",INDEX(Конструктор!$E$2:$E$1212,$K603))</f>
        <v/>
      </c>
      <c r="E603" s="10" t="str">
        <f>IF($K603="","",INDEX(Конструктор!$H$2:$H$1212,$K603))</f>
        <v/>
      </c>
      <c r="F603" s="10" t="str">
        <f>IF($K603="","",INDEX(Конструктор!$L$2:$L$1212,$K603))</f>
        <v/>
      </c>
      <c r="G603" s="10" t="str">
        <f>IF($K603="","",INDEX(Конструктор!$M$2:$M$1212,$K603))</f>
        <v/>
      </c>
      <c r="H603" s="10" t="str">
        <f>IF($K603="","",INDEX(Конструктор!$N$2:$N$1212,$K603))</f>
        <v/>
      </c>
      <c r="I603" s="10" t="str">
        <f>IF($K603="","",INDEX(Конструктор!$O$2:$O$1212,$K603))</f>
        <v/>
      </c>
      <c r="J603" s="10" t="str">
        <f>IF($K603="","",INDEX(Конструктор!$P$2:$P$1212,$K603))</f>
        <v/>
      </c>
      <c r="K603" t="str">
        <f>IFERROR(MATCH(583,Конструктор!$T$2:$T$1212,0),"")</f>
        <v/>
      </c>
      <c r="L603" t="str">
        <f t="shared" si="9"/>
        <v/>
      </c>
    </row>
    <row r="604" spans="1:12" hidden="1" x14ac:dyDescent="0.3">
      <c r="A604" t="str">
        <f>IF($K604="","",584)</f>
        <v/>
      </c>
      <c r="B604" t="str">
        <f>IF($K604="","",INDEX(Конструктор!$C$2:$C$1212,$K604))</f>
        <v/>
      </c>
      <c r="C604" s="8" t="str">
        <f>IF($K604="","",INDEX(Конструктор!$D$2:$D$1212,$K604)&amp;IF(INDEX(Конструктор!$J$2:$J$1212,$K604)&lt;&gt;""," — "&amp;INDEX(Конструктор!$J$2:$J$1212,$K604),""))</f>
        <v/>
      </c>
      <c r="D604" t="str">
        <f>IF($K604="","",INDEX(Конструктор!$E$2:$E$1212,$K604))</f>
        <v/>
      </c>
      <c r="E604" s="10" t="str">
        <f>IF($K604="","",INDEX(Конструктор!$H$2:$H$1212,$K604))</f>
        <v/>
      </c>
      <c r="F604" s="10" t="str">
        <f>IF($K604="","",INDEX(Конструктор!$L$2:$L$1212,$K604))</f>
        <v/>
      </c>
      <c r="G604" s="10" t="str">
        <f>IF($K604="","",INDEX(Конструктор!$M$2:$M$1212,$K604))</f>
        <v/>
      </c>
      <c r="H604" s="10" t="str">
        <f>IF($K604="","",INDEX(Конструктор!$N$2:$N$1212,$K604))</f>
        <v/>
      </c>
      <c r="I604" s="10" t="str">
        <f>IF($K604="","",INDEX(Конструктор!$O$2:$O$1212,$K604))</f>
        <v/>
      </c>
      <c r="J604" s="10" t="str">
        <f>IF($K604="","",INDEX(Конструктор!$P$2:$P$1212,$K604))</f>
        <v/>
      </c>
      <c r="K604" t="str">
        <f>IFERROR(MATCH(584,Конструктор!$T$2:$T$1212,0),"")</f>
        <v/>
      </c>
      <c r="L604" t="str">
        <f t="shared" si="9"/>
        <v/>
      </c>
    </row>
    <row r="605" spans="1:12" hidden="1" x14ac:dyDescent="0.3">
      <c r="A605" t="str">
        <f>IF($K605="","",585)</f>
        <v/>
      </c>
      <c r="B605" t="str">
        <f>IF($K605="","",INDEX(Конструктор!$C$2:$C$1212,$K605))</f>
        <v/>
      </c>
      <c r="C605" s="8" t="str">
        <f>IF($K605="","",INDEX(Конструктор!$D$2:$D$1212,$K605)&amp;IF(INDEX(Конструктор!$J$2:$J$1212,$K605)&lt;&gt;""," — "&amp;INDEX(Конструктор!$J$2:$J$1212,$K605),""))</f>
        <v/>
      </c>
      <c r="D605" t="str">
        <f>IF($K605="","",INDEX(Конструктор!$E$2:$E$1212,$K605))</f>
        <v/>
      </c>
      <c r="E605" s="10" t="str">
        <f>IF($K605="","",INDEX(Конструктор!$H$2:$H$1212,$K605))</f>
        <v/>
      </c>
      <c r="F605" s="10" t="str">
        <f>IF($K605="","",INDEX(Конструктор!$L$2:$L$1212,$K605))</f>
        <v/>
      </c>
      <c r="G605" s="10" t="str">
        <f>IF($K605="","",INDEX(Конструктор!$M$2:$M$1212,$K605))</f>
        <v/>
      </c>
      <c r="H605" s="10" t="str">
        <f>IF($K605="","",INDEX(Конструктор!$N$2:$N$1212,$K605))</f>
        <v/>
      </c>
      <c r="I605" s="10" t="str">
        <f>IF($K605="","",INDEX(Конструктор!$O$2:$O$1212,$K605))</f>
        <v/>
      </c>
      <c r="J605" s="10" t="str">
        <f>IF($K605="","",INDEX(Конструктор!$P$2:$P$1212,$K605))</f>
        <v/>
      </c>
      <c r="K605" t="str">
        <f>IFERROR(MATCH(585,Конструктор!$T$2:$T$1212,0),"")</f>
        <v/>
      </c>
      <c r="L605" t="str">
        <f t="shared" si="9"/>
        <v/>
      </c>
    </row>
    <row r="606" spans="1:12" hidden="1" x14ac:dyDescent="0.3">
      <c r="A606" t="str">
        <f>IF($K606="","",586)</f>
        <v/>
      </c>
      <c r="B606" t="str">
        <f>IF($K606="","",INDEX(Конструктор!$C$2:$C$1212,$K606))</f>
        <v/>
      </c>
      <c r="C606" s="8" t="str">
        <f>IF($K606="","",INDEX(Конструктор!$D$2:$D$1212,$K606)&amp;IF(INDEX(Конструктор!$J$2:$J$1212,$K606)&lt;&gt;""," — "&amp;INDEX(Конструктор!$J$2:$J$1212,$K606),""))</f>
        <v/>
      </c>
      <c r="D606" t="str">
        <f>IF($K606="","",INDEX(Конструктор!$E$2:$E$1212,$K606))</f>
        <v/>
      </c>
      <c r="E606" s="10" t="str">
        <f>IF($K606="","",INDEX(Конструктор!$H$2:$H$1212,$K606))</f>
        <v/>
      </c>
      <c r="F606" s="10" t="str">
        <f>IF($K606="","",INDEX(Конструктор!$L$2:$L$1212,$K606))</f>
        <v/>
      </c>
      <c r="G606" s="10" t="str">
        <f>IF($K606="","",INDEX(Конструктор!$M$2:$M$1212,$K606))</f>
        <v/>
      </c>
      <c r="H606" s="10" t="str">
        <f>IF($K606="","",INDEX(Конструктор!$N$2:$N$1212,$K606))</f>
        <v/>
      </c>
      <c r="I606" s="10" t="str">
        <f>IF($K606="","",INDEX(Конструктор!$O$2:$O$1212,$K606))</f>
        <v/>
      </c>
      <c r="J606" s="10" t="str">
        <f>IF($K606="","",INDEX(Конструктор!$P$2:$P$1212,$K606))</f>
        <v/>
      </c>
      <c r="K606" t="str">
        <f>IFERROR(MATCH(586,Конструктор!$T$2:$T$1212,0),"")</f>
        <v/>
      </c>
      <c r="L606" t="str">
        <f t="shared" si="9"/>
        <v/>
      </c>
    </row>
    <row r="607" spans="1:12" hidden="1" x14ac:dyDescent="0.3">
      <c r="A607" t="str">
        <f>IF($K607="","",587)</f>
        <v/>
      </c>
      <c r="B607" t="str">
        <f>IF($K607="","",INDEX(Конструктор!$C$2:$C$1212,$K607))</f>
        <v/>
      </c>
      <c r="C607" s="8" t="str">
        <f>IF($K607="","",INDEX(Конструктор!$D$2:$D$1212,$K607)&amp;IF(INDEX(Конструктор!$J$2:$J$1212,$K607)&lt;&gt;""," — "&amp;INDEX(Конструктор!$J$2:$J$1212,$K607),""))</f>
        <v/>
      </c>
      <c r="D607" t="str">
        <f>IF($K607="","",INDEX(Конструктор!$E$2:$E$1212,$K607))</f>
        <v/>
      </c>
      <c r="E607" s="10" t="str">
        <f>IF($K607="","",INDEX(Конструктор!$H$2:$H$1212,$K607))</f>
        <v/>
      </c>
      <c r="F607" s="10" t="str">
        <f>IF($K607="","",INDEX(Конструктор!$L$2:$L$1212,$K607))</f>
        <v/>
      </c>
      <c r="G607" s="10" t="str">
        <f>IF($K607="","",INDEX(Конструктор!$M$2:$M$1212,$K607))</f>
        <v/>
      </c>
      <c r="H607" s="10" t="str">
        <f>IF($K607="","",INDEX(Конструктор!$N$2:$N$1212,$K607))</f>
        <v/>
      </c>
      <c r="I607" s="10" t="str">
        <f>IF($K607="","",INDEX(Конструктор!$O$2:$O$1212,$K607))</f>
        <v/>
      </c>
      <c r="J607" s="10" t="str">
        <f>IF($K607="","",INDEX(Конструктор!$P$2:$P$1212,$K607))</f>
        <v/>
      </c>
      <c r="K607" t="str">
        <f>IFERROR(MATCH(587,Конструктор!$T$2:$T$1212,0),"")</f>
        <v/>
      </c>
      <c r="L607" t="str">
        <f t="shared" si="9"/>
        <v/>
      </c>
    </row>
    <row r="608" spans="1:12" hidden="1" x14ac:dyDescent="0.3">
      <c r="A608" t="str">
        <f>IF($K608="","",588)</f>
        <v/>
      </c>
      <c r="B608" t="str">
        <f>IF($K608="","",INDEX(Конструктор!$C$2:$C$1212,$K608))</f>
        <v/>
      </c>
      <c r="C608" s="8" t="str">
        <f>IF($K608="","",INDEX(Конструктор!$D$2:$D$1212,$K608)&amp;IF(INDEX(Конструктор!$J$2:$J$1212,$K608)&lt;&gt;""," — "&amp;INDEX(Конструктор!$J$2:$J$1212,$K608),""))</f>
        <v/>
      </c>
      <c r="D608" t="str">
        <f>IF($K608="","",INDEX(Конструктор!$E$2:$E$1212,$K608))</f>
        <v/>
      </c>
      <c r="E608" s="10" t="str">
        <f>IF($K608="","",INDEX(Конструктор!$H$2:$H$1212,$K608))</f>
        <v/>
      </c>
      <c r="F608" s="10" t="str">
        <f>IF($K608="","",INDEX(Конструктор!$L$2:$L$1212,$K608))</f>
        <v/>
      </c>
      <c r="G608" s="10" t="str">
        <f>IF($K608="","",INDEX(Конструктор!$M$2:$M$1212,$K608))</f>
        <v/>
      </c>
      <c r="H608" s="10" t="str">
        <f>IF($K608="","",INDEX(Конструктор!$N$2:$N$1212,$K608))</f>
        <v/>
      </c>
      <c r="I608" s="10" t="str">
        <f>IF($K608="","",INDEX(Конструктор!$O$2:$O$1212,$K608))</f>
        <v/>
      </c>
      <c r="J608" s="10" t="str">
        <f>IF($K608="","",INDEX(Конструктор!$P$2:$P$1212,$K608))</f>
        <v/>
      </c>
      <c r="K608" t="str">
        <f>IFERROR(MATCH(588,Конструктор!$T$2:$T$1212,0),"")</f>
        <v/>
      </c>
      <c r="L608" t="str">
        <f t="shared" si="9"/>
        <v/>
      </c>
    </row>
    <row r="609" spans="1:12" hidden="1" x14ac:dyDescent="0.3">
      <c r="A609" t="str">
        <f>IF($K609="","",589)</f>
        <v/>
      </c>
      <c r="B609" t="str">
        <f>IF($K609="","",INDEX(Конструктор!$C$2:$C$1212,$K609))</f>
        <v/>
      </c>
      <c r="C609" s="8" t="str">
        <f>IF($K609="","",INDEX(Конструктор!$D$2:$D$1212,$K609)&amp;IF(INDEX(Конструктор!$J$2:$J$1212,$K609)&lt;&gt;""," — "&amp;INDEX(Конструктор!$J$2:$J$1212,$K609),""))</f>
        <v/>
      </c>
      <c r="D609" t="str">
        <f>IF($K609="","",INDEX(Конструктор!$E$2:$E$1212,$K609))</f>
        <v/>
      </c>
      <c r="E609" s="10" t="str">
        <f>IF($K609="","",INDEX(Конструктор!$H$2:$H$1212,$K609))</f>
        <v/>
      </c>
      <c r="F609" s="10" t="str">
        <f>IF($K609="","",INDEX(Конструктор!$L$2:$L$1212,$K609))</f>
        <v/>
      </c>
      <c r="G609" s="10" t="str">
        <f>IF($K609="","",INDEX(Конструктор!$M$2:$M$1212,$K609))</f>
        <v/>
      </c>
      <c r="H609" s="10" t="str">
        <f>IF($K609="","",INDEX(Конструктор!$N$2:$N$1212,$K609))</f>
        <v/>
      </c>
      <c r="I609" s="10" t="str">
        <f>IF($K609="","",INDEX(Конструктор!$O$2:$O$1212,$K609))</f>
        <v/>
      </c>
      <c r="J609" s="10" t="str">
        <f>IF($K609="","",INDEX(Конструктор!$P$2:$P$1212,$K609))</f>
        <v/>
      </c>
      <c r="K609" t="str">
        <f>IFERROR(MATCH(589,Конструктор!$T$2:$T$1212,0),"")</f>
        <v/>
      </c>
      <c r="L609" t="str">
        <f t="shared" si="9"/>
        <v/>
      </c>
    </row>
    <row r="610" spans="1:12" hidden="1" x14ac:dyDescent="0.3">
      <c r="A610" t="str">
        <f>IF($K610="","",590)</f>
        <v/>
      </c>
      <c r="B610" t="str">
        <f>IF($K610="","",INDEX(Конструктор!$C$2:$C$1212,$K610))</f>
        <v/>
      </c>
      <c r="C610" s="8" t="str">
        <f>IF($K610="","",INDEX(Конструктор!$D$2:$D$1212,$K610)&amp;IF(INDEX(Конструктор!$J$2:$J$1212,$K610)&lt;&gt;""," — "&amp;INDEX(Конструктор!$J$2:$J$1212,$K610),""))</f>
        <v/>
      </c>
      <c r="D610" t="str">
        <f>IF($K610="","",INDEX(Конструктор!$E$2:$E$1212,$K610))</f>
        <v/>
      </c>
      <c r="E610" s="10" t="str">
        <f>IF($K610="","",INDEX(Конструктор!$H$2:$H$1212,$K610))</f>
        <v/>
      </c>
      <c r="F610" s="10" t="str">
        <f>IF($K610="","",INDEX(Конструктор!$L$2:$L$1212,$K610))</f>
        <v/>
      </c>
      <c r="G610" s="10" t="str">
        <f>IF($K610="","",INDEX(Конструктор!$M$2:$M$1212,$K610))</f>
        <v/>
      </c>
      <c r="H610" s="10" t="str">
        <f>IF($K610="","",INDEX(Конструктор!$N$2:$N$1212,$K610))</f>
        <v/>
      </c>
      <c r="I610" s="10" t="str">
        <f>IF($K610="","",INDEX(Конструктор!$O$2:$O$1212,$K610))</f>
        <v/>
      </c>
      <c r="J610" s="10" t="str">
        <f>IF($K610="","",INDEX(Конструктор!$P$2:$P$1212,$K610))</f>
        <v/>
      </c>
      <c r="K610" t="str">
        <f>IFERROR(MATCH(590,Конструктор!$T$2:$T$1212,0),"")</f>
        <v/>
      </c>
      <c r="L610" t="str">
        <f t="shared" si="9"/>
        <v/>
      </c>
    </row>
    <row r="611" spans="1:12" hidden="1" x14ac:dyDescent="0.3">
      <c r="A611" t="str">
        <f>IF($K611="","",591)</f>
        <v/>
      </c>
      <c r="B611" t="str">
        <f>IF($K611="","",INDEX(Конструктор!$C$2:$C$1212,$K611))</f>
        <v/>
      </c>
      <c r="C611" s="8" t="str">
        <f>IF($K611="","",INDEX(Конструктор!$D$2:$D$1212,$K611)&amp;IF(INDEX(Конструктор!$J$2:$J$1212,$K611)&lt;&gt;""," — "&amp;INDEX(Конструктор!$J$2:$J$1212,$K611),""))</f>
        <v/>
      </c>
      <c r="D611" t="str">
        <f>IF($K611="","",INDEX(Конструктор!$E$2:$E$1212,$K611))</f>
        <v/>
      </c>
      <c r="E611" s="10" t="str">
        <f>IF($K611="","",INDEX(Конструктор!$H$2:$H$1212,$K611))</f>
        <v/>
      </c>
      <c r="F611" s="10" t="str">
        <f>IF($K611="","",INDEX(Конструктор!$L$2:$L$1212,$K611))</f>
        <v/>
      </c>
      <c r="G611" s="10" t="str">
        <f>IF($K611="","",INDEX(Конструктор!$M$2:$M$1212,$K611))</f>
        <v/>
      </c>
      <c r="H611" s="10" t="str">
        <f>IF($K611="","",INDEX(Конструктор!$N$2:$N$1212,$K611))</f>
        <v/>
      </c>
      <c r="I611" s="10" t="str">
        <f>IF($K611="","",INDEX(Конструктор!$O$2:$O$1212,$K611))</f>
        <v/>
      </c>
      <c r="J611" s="10" t="str">
        <f>IF($K611="","",INDEX(Конструктор!$P$2:$P$1212,$K611))</f>
        <v/>
      </c>
      <c r="K611" t="str">
        <f>IFERROR(MATCH(591,Конструктор!$T$2:$T$1212,0),"")</f>
        <v/>
      </c>
      <c r="L611" t="str">
        <f t="shared" si="9"/>
        <v/>
      </c>
    </row>
    <row r="612" spans="1:12" hidden="1" x14ac:dyDescent="0.3">
      <c r="A612" t="str">
        <f>IF($K612="","",592)</f>
        <v/>
      </c>
      <c r="B612" t="str">
        <f>IF($K612="","",INDEX(Конструктор!$C$2:$C$1212,$K612))</f>
        <v/>
      </c>
      <c r="C612" s="8" t="str">
        <f>IF($K612="","",INDEX(Конструктор!$D$2:$D$1212,$K612)&amp;IF(INDEX(Конструктор!$J$2:$J$1212,$K612)&lt;&gt;""," — "&amp;INDEX(Конструктор!$J$2:$J$1212,$K612),""))</f>
        <v/>
      </c>
      <c r="D612" t="str">
        <f>IF($K612="","",INDEX(Конструктор!$E$2:$E$1212,$K612))</f>
        <v/>
      </c>
      <c r="E612" s="10" t="str">
        <f>IF($K612="","",INDEX(Конструктор!$H$2:$H$1212,$K612))</f>
        <v/>
      </c>
      <c r="F612" s="10" t="str">
        <f>IF($K612="","",INDEX(Конструктор!$L$2:$L$1212,$K612))</f>
        <v/>
      </c>
      <c r="G612" s="10" t="str">
        <f>IF($K612="","",INDEX(Конструктор!$M$2:$M$1212,$K612))</f>
        <v/>
      </c>
      <c r="H612" s="10" t="str">
        <f>IF($K612="","",INDEX(Конструктор!$N$2:$N$1212,$K612))</f>
        <v/>
      </c>
      <c r="I612" s="10" t="str">
        <f>IF($K612="","",INDEX(Конструктор!$O$2:$O$1212,$K612))</f>
        <v/>
      </c>
      <c r="J612" s="10" t="str">
        <f>IF($K612="","",INDEX(Конструктор!$P$2:$P$1212,$K612))</f>
        <v/>
      </c>
      <c r="K612" t="str">
        <f>IFERROR(MATCH(592,Конструктор!$T$2:$T$1212,0),"")</f>
        <v/>
      </c>
      <c r="L612" t="str">
        <f t="shared" si="9"/>
        <v/>
      </c>
    </row>
    <row r="613" spans="1:12" hidden="1" x14ac:dyDescent="0.3">
      <c r="A613" t="str">
        <f>IF($K613="","",593)</f>
        <v/>
      </c>
      <c r="B613" t="str">
        <f>IF($K613="","",INDEX(Конструктор!$C$2:$C$1212,$K613))</f>
        <v/>
      </c>
      <c r="C613" s="8" t="str">
        <f>IF($K613="","",INDEX(Конструктор!$D$2:$D$1212,$K613)&amp;IF(INDEX(Конструктор!$J$2:$J$1212,$K613)&lt;&gt;""," — "&amp;INDEX(Конструктор!$J$2:$J$1212,$K613),""))</f>
        <v/>
      </c>
      <c r="D613" t="str">
        <f>IF($K613="","",INDEX(Конструктор!$E$2:$E$1212,$K613))</f>
        <v/>
      </c>
      <c r="E613" s="10" t="str">
        <f>IF($K613="","",INDEX(Конструктор!$H$2:$H$1212,$K613))</f>
        <v/>
      </c>
      <c r="F613" s="10" t="str">
        <f>IF($K613="","",INDEX(Конструктор!$L$2:$L$1212,$K613))</f>
        <v/>
      </c>
      <c r="G613" s="10" t="str">
        <f>IF($K613="","",INDEX(Конструктор!$M$2:$M$1212,$K613))</f>
        <v/>
      </c>
      <c r="H613" s="10" t="str">
        <f>IF($K613="","",INDEX(Конструктор!$N$2:$N$1212,$K613))</f>
        <v/>
      </c>
      <c r="I613" s="10" t="str">
        <f>IF($K613="","",INDEX(Конструктор!$O$2:$O$1212,$K613))</f>
        <v/>
      </c>
      <c r="J613" s="10" t="str">
        <f>IF($K613="","",INDEX(Конструктор!$P$2:$P$1212,$K613))</f>
        <v/>
      </c>
      <c r="K613" t="str">
        <f>IFERROR(MATCH(593,Конструктор!$T$2:$T$1212,0),"")</f>
        <v/>
      </c>
      <c r="L613" t="str">
        <f t="shared" si="9"/>
        <v/>
      </c>
    </row>
    <row r="614" spans="1:12" hidden="1" x14ac:dyDescent="0.3">
      <c r="A614" t="str">
        <f>IF($K614="","",594)</f>
        <v/>
      </c>
      <c r="B614" t="str">
        <f>IF($K614="","",INDEX(Конструктор!$C$2:$C$1212,$K614))</f>
        <v/>
      </c>
      <c r="C614" s="8" t="str">
        <f>IF($K614="","",INDEX(Конструктор!$D$2:$D$1212,$K614)&amp;IF(INDEX(Конструктор!$J$2:$J$1212,$K614)&lt;&gt;""," — "&amp;INDEX(Конструктор!$J$2:$J$1212,$K614),""))</f>
        <v/>
      </c>
      <c r="D614" t="str">
        <f>IF($K614="","",INDEX(Конструктор!$E$2:$E$1212,$K614))</f>
        <v/>
      </c>
      <c r="E614" s="10" t="str">
        <f>IF($K614="","",INDEX(Конструктор!$H$2:$H$1212,$K614))</f>
        <v/>
      </c>
      <c r="F614" s="10" t="str">
        <f>IF($K614="","",INDEX(Конструктор!$L$2:$L$1212,$K614))</f>
        <v/>
      </c>
      <c r="G614" s="10" t="str">
        <f>IF($K614="","",INDEX(Конструктор!$M$2:$M$1212,$K614))</f>
        <v/>
      </c>
      <c r="H614" s="10" t="str">
        <f>IF($K614="","",INDEX(Конструктор!$N$2:$N$1212,$K614))</f>
        <v/>
      </c>
      <c r="I614" s="10" t="str">
        <f>IF($K614="","",INDEX(Конструктор!$O$2:$O$1212,$K614))</f>
        <v/>
      </c>
      <c r="J614" s="10" t="str">
        <f>IF($K614="","",INDEX(Конструктор!$P$2:$P$1212,$K614))</f>
        <v/>
      </c>
      <c r="K614" t="str">
        <f>IFERROR(MATCH(594,Конструктор!$T$2:$T$1212,0),"")</f>
        <v/>
      </c>
      <c r="L614" t="str">
        <f t="shared" si="9"/>
        <v/>
      </c>
    </row>
    <row r="615" spans="1:12" hidden="1" x14ac:dyDescent="0.3">
      <c r="A615" t="str">
        <f>IF($K615="","",595)</f>
        <v/>
      </c>
      <c r="B615" t="str">
        <f>IF($K615="","",INDEX(Конструктор!$C$2:$C$1212,$K615))</f>
        <v/>
      </c>
      <c r="C615" s="8" t="str">
        <f>IF($K615="","",INDEX(Конструктор!$D$2:$D$1212,$K615)&amp;IF(INDEX(Конструктор!$J$2:$J$1212,$K615)&lt;&gt;""," — "&amp;INDEX(Конструктор!$J$2:$J$1212,$K615),""))</f>
        <v/>
      </c>
      <c r="D615" t="str">
        <f>IF($K615="","",INDEX(Конструктор!$E$2:$E$1212,$K615))</f>
        <v/>
      </c>
      <c r="E615" s="10" t="str">
        <f>IF($K615="","",INDEX(Конструктор!$H$2:$H$1212,$K615))</f>
        <v/>
      </c>
      <c r="F615" s="10" t="str">
        <f>IF($K615="","",INDEX(Конструктор!$L$2:$L$1212,$K615))</f>
        <v/>
      </c>
      <c r="G615" s="10" t="str">
        <f>IF($K615="","",INDEX(Конструктор!$M$2:$M$1212,$K615))</f>
        <v/>
      </c>
      <c r="H615" s="10" t="str">
        <f>IF($K615="","",INDEX(Конструктор!$N$2:$N$1212,$K615))</f>
        <v/>
      </c>
      <c r="I615" s="10" t="str">
        <f>IF($K615="","",INDEX(Конструктор!$O$2:$O$1212,$K615))</f>
        <v/>
      </c>
      <c r="J615" s="10" t="str">
        <f>IF($K615="","",INDEX(Конструктор!$P$2:$P$1212,$K615))</f>
        <v/>
      </c>
      <c r="K615" t="str">
        <f>IFERROR(MATCH(595,Конструктор!$T$2:$T$1212,0),"")</f>
        <v/>
      </c>
      <c r="L615" t="str">
        <f t="shared" si="9"/>
        <v/>
      </c>
    </row>
    <row r="616" spans="1:12" hidden="1" x14ac:dyDescent="0.3">
      <c r="A616" t="str">
        <f>IF($K616="","",596)</f>
        <v/>
      </c>
      <c r="B616" t="str">
        <f>IF($K616="","",INDEX(Конструктор!$C$2:$C$1212,$K616))</f>
        <v/>
      </c>
      <c r="C616" s="8" t="str">
        <f>IF($K616="","",INDEX(Конструктор!$D$2:$D$1212,$K616)&amp;IF(INDEX(Конструктор!$J$2:$J$1212,$K616)&lt;&gt;""," — "&amp;INDEX(Конструктор!$J$2:$J$1212,$K616),""))</f>
        <v/>
      </c>
      <c r="D616" t="str">
        <f>IF($K616="","",INDEX(Конструктор!$E$2:$E$1212,$K616))</f>
        <v/>
      </c>
      <c r="E616" s="10" t="str">
        <f>IF($K616="","",INDEX(Конструктор!$H$2:$H$1212,$K616))</f>
        <v/>
      </c>
      <c r="F616" s="10" t="str">
        <f>IF($K616="","",INDEX(Конструктор!$L$2:$L$1212,$K616))</f>
        <v/>
      </c>
      <c r="G616" s="10" t="str">
        <f>IF($K616="","",INDEX(Конструктор!$M$2:$M$1212,$K616))</f>
        <v/>
      </c>
      <c r="H616" s="10" t="str">
        <f>IF($K616="","",INDEX(Конструктор!$N$2:$N$1212,$K616))</f>
        <v/>
      </c>
      <c r="I616" s="10" t="str">
        <f>IF($K616="","",INDEX(Конструктор!$O$2:$O$1212,$K616))</f>
        <v/>
      </c>
      <c r="J616" s="10" t="str">
        <f>IF($K616="","",INDEX(Конструктор!$P$2:$P$1212,$K616))</f>
        <v/>
      </c>
      <c r="K616" t="str">
        <f>IFERROR(MATCH(596,Конструктор!$T$2:$T$1212,0),"")</f>
        <v/>
      </c>
      <c r="L616" t="str">
        <f t="shared" si="9"/>
        <v/>
      </c>
    </row>
    <row r="617" spans="1:12" hidden="1" x14ac:dyDescent="0.3">
      <c r="A617" t="str">
        <f>IF($K617="","",597)</f>
        <v/>
      </c>
      <c r="B617" t="str">
        <f>IF($K617="","",INDEX(Конструктор!$C$2:$C$1212,$K617))</f>
        <v/>
      </c>
      <c r="C617" s="8" t="str">
        <f>IF($K617="","",INDEX(Конструктор!$D$2:$D$1212,$K617)&amp;IF(INDEX(Конструктор!$J$2:$J$1212,$K617)&lt;&gt;""," — "&amp;INDEX(Конструктор!$J$2:$J$1212,$K617),""))</f>
        <v/>
      </c>
      <c r="D617" t="str">
        <f>IF($K617="","",INDEX(Конструктор!$E$2:$E$1212,$K617))</f>
        <v/>
      </c>
      <c r="E617" s="10" t="str">
        <f>IF($K617="","",INDEX(Конструктор!$H$2:$H$1212,$K617))</f>
        <v/>
      </c>
      <c r="F617" s="10" t="str">
        <f>IF($K617="","",INDEX(Конструктор!$L$2:$L$1212,$K617))</f>
        <v/>
      </c>
      <c r="G617" s="10" t="str">
        <f>IF($K617="","",INDEX(Конструктор!$M$2:$M$1212,$K617))</f>
        <v/>
      </c>
      <c r="H617" s="10" t="str">
        <f>IF($K617="","",INDEX(Конструктор!$N$2:$N$1212,$K617))</f>
        <v/>
      </c>
      <c r="I617" s="10" t="str">
        <f>IF($K617="","",INDEX(Конструктор!$O$2:$O$1212,$K617))</f>
        <v/>
      </c>
      <c r="J617" s="10" t="str">
        <f>IF($K617="","",INDEX(Конструктор!$P$2:$P$1212,$K617))</f>
        <v/>
      </c>
      <c r="K617" t="str">
        <f>IFERROR(MATCH(597,Конструктор!$T$2:$T$1212,0),"")</f>
        <v/>
      </c>
      <c r="L617" t="str">
        <f t="shared" si="9"/>
        <v/>
      </c>
    </row>
    <row r="618" spans="1:12" hidden="1" x14ac:dyDescent="0.3">
      <c r="A618" t="str">
        <f>IF($K618="","",598)</f>
        <v/>
      </c>
      <c r="B618" t="str">
        <f>IF($K618="","",INDEX(Конструктор!$C$2:$C$1212,$K618))</f>
        <v/>
      </c>
      <c r="C618" s="8" t="str">
        <f>IF($K618="","",INDEX(Конструктор!$D$2:$D$1212,$K618)&amp;IF(INDEX(Конструктор!$J$2:$J$1212,$K618)&lt;&gt;""," — "&amp;INDEX(Конструктор!$J$2:$J$1212,$K618),""))</f>
        <v/>
      </c>
      <c r="D618" t="str">
        <f>IF($K618="","",INDEX(Конструктор!$E$2:$E$1212,$K618))</f>
        <v/>
      </c>
      <c r="E618" s="10" t="str">
        <f>IF($K618="","",INDEX(Конструктор!$H$2:$H$1212,$K618))</f>
        <v/>
      </c>
      <c r="F618" s="10" t="str">
        <f>IF($K618="","",INDEX(Конструктор!$L$2:$L$1212,$K618))</f>
        <v/>
      </c>
      <c r="G618" s="10" t="str">
        <f>IF($K618="","",INDEX(Конструктор!$M$2:$M$1212,$K618))</f>
        <v/>
      </c>
      <c r="H618" s="10" t="str">
        <f>IF($K618="","",INDEX(Конструктор!$N$2:$N$1212,$K618))</f>
        <v/>
      </c>
      <c r="I618" s="10" t="str">
        <f>IF($K618="","",INDEX(Конструктор!$O$2:$O$1212,$K618))</f>
        <v/>
      </c>
      <c r="J618" s="10" t="str">
        <f>IF($K618="","",INDEX(Конструктор!$P$2:$P$1212,$K618))</f>
        <v/>
      </c>
      <c r="K618" t="str">
        <f>IFERROR(MATCH(598,Конструктор!$T$2:$T$1212,0),"")</f>
        <v/>
      </c>
      <c r="L618" t="str">
        <f t="shared" si="9"/>
        <v/>
      </c>
    </row>
    <row r="619" spans="1:12" hidden="1" x14ac:dyDescent="0.3">
      <c r="A619" t="str">
        <f>IF($K619="","",599)</f>
        <v/>
      </c>
      <c r="B619" t="str">
        <f>IF($K619="","",INDEX(Конструктор!$C$2:$C$1212,$K619))</f>
        <v/>
      </c>
      <c r="C619" s="8" t="str">
        <f>IF($K619="","",INDEX(Конструктор!$D$2:$D$1212,$K619)&amp;IF(INDEX(Конструктор!$J$2:$J$1212,$K619)&lt;&gt;""," — "&amp;INDEX(Конструктор!$J$2:$J$1212,$K619),""))</f>
        <v/>
      </c>
      <c r="D619" t="str">
        <f>IF($K619="","",INDEX(Конструктор!$E$2:$E$1212,$K619))</f>
        <v/>
      </c>
      <c r="E619" s="10" t="str">
        <f>IF($K619="","",INDEX(Конструктор!$H$2:$H$1212,$K619))</f>
        <v/>
      </c>
      <c r="F619" s="10" t="str">
        <f>IF($K619="","",INDEX(Конструктор!$L$2:$L$1212,$K619))</f>
        <v/>
      </c>
      <c r="G619" s="10" t="str">
        <f>IF($K619="","",INDEX(Конструктор!$M$2:$M$1212,$K619))</f>
        <v/>
      </c>
      <c r="H619" s="10" t="str">
        <f>IF($K619="","",INDEX(Конструктор!$N$2:$N$1212,$K619))</f>
        <v/>
      </c>
      <c r="I619" s="10" t="str">
        <f>IF($K619="","",INDEX(Конструктор!$O$2:$O$1212,$K619))</f>
        <v/>
      </c>
      <c r="J619" s="10" t="str">
        <f>IF($K619="","",INDEX(Конструктор!$P$2:$P$1212,$K619))</f>
        <v/>
      </c>
      <c r="K619" t="str">
        <f>IFERROR(MATCH(599,Конструктор!$T$2:$T$1212,0),"")</f>
        <v/>
      </c>
      <c r="L619" t="str">
        <f t="shared" si="9"/>
        <v/>
      </c>
    </row>
    <row r="620" spans="1:12" hidden="1" x14ac:dyDescent="0.3">
      <c r="A620" t="str">
        <f>IF($K620="","",600)</f>
        <v/>
      </c>
      <c r="B620" t="str">
        <f>IF($K620="","",INDEX(Конструктор!$C$2:$C$1212,$K620))</f>
        <v/>
      </c>
      <c r="C620" s="8" t="str">
        <f>IF($K620="","",INDEX(Конструктор!$D$2:$D$1212,$K620)&amp;IF(INDEX(Конструктор!$J$2:$J$1212,$K620)&lt;&gt;""," — "&amp;INDEX(Конструктор!$J$2:$J$1212,$K620),""))</f>
        <v/>
      </c>
      <c r="D620" t="str">
        <f>IF($K620="","",INDEX(Конструктор!$E$2:$E$1212,$K620))</f>
        <v/>
      </c>
      <c r="E620" s="10" t="str">
        <f>IF($K620="","",INDEX(Конструктор!$H$2:$H$1212,$K620))</f>
        <v/>
      </c>
      <c r="F620" s="10" t="str">
        <f>IF($K620="","",INDEX(Конструктор!$L$2:$L$1212,$K620))</f>
        <v/>
      </c>
      <c r="G620" s="10" t="str">
        <f>IF($K620="","",INDEX(Конструктор!$M$2:$M$1212,$K620))</f>
        <v/>
      </c>
      <c r="H620" s="10" t="str">
        <f>IF($K620="","",INDEX(Конструктор!$N$2:$N$1212,$K620))</f>
        <v/>
      </c>
      <c r="I620" s="10" t="str">
        <f>IF($K620="","",INDEX(Конструктор!$O$2:$O$1212,$K620))</f>
        <v/>
      </c>
      <c r="J620" s="10" t="str">
        <f>IF($K620="","",INDEX(Конструктор!$P$2:$P$1212,$K620))</f>
        <v/>
      </c>
      <c r="K620" t="str">
        <f>IFERROR(MATCH(600,Конструктор!$T$2:$T$1212,0),"")</f>
        <v/>
      </c>
      <c r="L620" t="str">
        <f t="shared" si="9"/>
        <v/>
      </c>
    </row>
    <row r="621" spans="1:12" hidden="1" x14ac:dyDescent="0.3">
      <c r="A621" t="str">
        <f>IF($K621="","",601)</f>
        <v/>
      </c>
      <c r="B621" t="str">
        <f>IF($K621="","",INDEX(Конструктор!$C$2:$C$1212,$K621))</f>
        <v/>
      </c>
      <c r="C621" s="8" t="str">
        <f>IF($K621="","",INDEX(Конструктор!$D$2:$D$1212,$K621)&amp;IF(INDEX(Конструктор!$J$2:$J$1212,$K621)&lt;&gt;""," — "&amp;INDEX(Конструктор!$J$2:$J$1212,$K621),""))</f>
        <v/>
      </c>
      <c r="D621" t="str">
        <f>IF($K621="","",INDEX(Конструктор!$E$2:$E$1212,$K621))</f>
        <v/>
      </c>
      <c r="E621" s="10" t="str">
        <f>IF($K621="","",INDEX(Конструктор!$H$2:$H$1212,$K621))</f>
        <v/>
      </c>
      <c r="F621" s="10" t="str">
        <f>IF($K621="","",INDEX(Конструктор!$L$2:$L$1212,$K621))</f>
        <v/>
      </c>
      <c r="G621" s="10" t="str">
        <f>IF($K621="","",INDEX(Конструктор!$M$2:$M$1212,$K621))</f>
        <v/>
      </c>
      <c r="H621" s="10" t="str">
        <f>IF($K621="","",INDEX(Конструктор!$N$2:$N$1212,$K621))</f>
        <v/>
      </c>
      <c r="I621" s="10" t="str">
        <f>IF($K621="","",INDEX(Конструктор!$O$2:$O$1212,$K621))</f>
        <v/>
      </c>
      <c r="J621" s="10" t="str">
        <f>IF($K621="","",INDEX(Конструктор!$P$2:$P$1212,$K621))</f>
        <v/>
      </c>
      <c r="K621" t="str">
        <f>IFERROR(MATCH(601,Конструктор!$T$2:$T$1212,0),"")</f>
        <v/>
      </c>
      <c r="L621" t="str">
        <f t="shared" si="9"/>
        <v/>
      </c>
    </row>
    <row r="622" spans="1:12" hidden="1" x14ac:dyDescent="0.3">
      <c r="A622" t="str">
        <f>IF($K622="","",602)</f>
        <v/>
      </c>
      <c r="B622" t="str">
        <f>IF($K622="","",INDEX(Конструктор!$C$2:$C$1212,$K622))</f>
        <v/>
      </c>
      <c r="C622" s="8" t="str">
        <f>IF($K622="","",INDEX(Конструктор!$D$2:$D$1212,$K622)&amp;IF(INDEX(Конструктор!$J$2:$J$1212,$K622)&lt;&gt;""," — "&amp;INDEX(Конструктор!$J$2:$J$1212,$K622),""))</f>
        <v/>
      </c>
      <c r="D622" t="str">
        <f>IF($K622="","",INDEX(Конструктор!$E$2:$E$1212,$K622))</f>
        <v/>
      </c>
      <c r="E622" s="10" t="str">
        <f>IF($K622="","",INDEX(Конструктор!$H$2:$H$1212,$K622))</f>
        <v/>
      </c>
      <c r="F622" s="10" t="str">
        <f>IF($K622="","",INDEX(Конструктор!$L$2:$L$1212,$K622))</f>
        <v/>
      </c>
      <c r="G622" s="10" t="str">
        <f>IF($K622="","",INDEX(Конструктор!$M$2:$M$1212,$K622))</f>
        <v/>
      </c>
      <c r="H622" s="10" t="str">
        <f>IF($K622="","",INDEX(Конструктор!$N$2:$N$1212,$K622))</f>
        <v/>
      </c>
      <c r="I622" s="10" t="str">
        <f>IF($K622="","",INDEX(Конструктор!$O$2:$O$1212,$K622))</f>
        <v/>
      </c>
      <c r="J622" s="10" t="str">
        <f>IF($K622="","",INDEX(Конструктор!$P$2:$P$1212,$K622))</f>
        <v/>
      </c>
      <c r="K622" t="str">
        <f>IFERROR(MATCH(602,Конструктор!$T$2:$T$1212,0),"")</f>
        <v/>
      </c>
      <c r="L622" t="str">
        <f t="shared" si="9"/>
        <v/>
      </c>
    </row>
    <row r="623" spans="1:12" hidden="1" x14ac:dyDescent="0.3">
      <c r="A623" t="str">
        <f>IF($K623="","",603)</f>
        <v/>
      </c>
      <c r="B623" t="str">
        <f>IF($K623="","",INDEX(Конструктор!$C$2:$C$1212,$K623))</f>
        <v/>
      </c>
      <c r="C623" s="8" t="str">
        <f>IF($K623="","",INDEX(Конструктор!$D$2:$D$1212,$K623)&amp;IF(INDEX(Конструктор!$J$2:$J$1212,$K623)&lt;&gt;""," — "&amp;INDEX(Конструктор!$J$2:$J$1212,$K623),""))</f>
        <v/>
      </c>
      <c r="D623" t="str">
        <f>IF($K623="","",INDEX(Конструктор!$E$2:$E$1212,$K623))</f>
        <v/>
      </c>
      <c r="E623" s="10" t="str">
        <f>IF($K623="","",INDEX(Конструктор!$H$2:$H$1212,$K623))</f>
        <v/>
      </c>
      <c r="F623" s="10" t="str">
        <f>IF($K623="","",INDEX(Конструктор!$L$2:$L$1212,$K623))</f>
        <v/>
      </c>
      <c r="G623" s="10" t="str">
        <f>IF($K623="","",INDEX(Конструктор!$M$2:$M$1212,$K623))</f>
        <v/>
      </c>
      <c r="H623" s="10" t="str">
        <f>IF($K623="","",INDEX(Конструктор!$N$2:$N$1212,$K623))</f>
        <v/>
      </c>
      <c r="I623" s="10" t="str">
        <f>IF($K623="","",INDEX(Конструктор!$O$2:$O$1212,$K623))</f>
        <v/>
      </c>
      <c r="J623" s="10" t="str">
        <f>IF($K623="","",INDEX(Конструктор!$P$2:$P$1212,$K623))</f>
        <v/>
      </c>
      <c r="K623" t="str">
        <f>IFERROR(MATCH(603,Конструктор!$T$2:$T$1212,0),"")</f>
        <v/>
      </c>
      <c r="L623" t="str">
        <f t="shared" si="9"/>
        <v/>
      </c>
    </row>
    <row r="624" spans="1:12" hidden="1" x14ac:dyDescent="0.3">
      <c r="A624" t="str">
        <f>IF($K624="","",604)</f>
        <v/>
      </c>
      <c r="B624" t="str">
        <f>IF($K624="","",INDEX(Конструктор!$C$2:$C$1212,$K624))</f>
        <v/>
      </c>
      <c r="C624" s="8" t="str">
        <f>IF($K624="","",INDEX(Конструктор!$D$2:$D$1212,$K624)&amp;IF(INDEX(Конструктор!$J$2:$J$1212,$K624)&lt;&gt;""," — "&amp;INDEX(Конструктор!$J$2:$J$1212,$K624),""))</f>
        <v/>
      </c>
      <c r="D624" t="str">
        <f>IF($K624="","",INDEX(Конструктор!$E$2:$E$1212,$K624))</f>
        <v/>
      </c>
      <c r="E624" s="10" t="str">
        <f>IF($K624="","",INDEX(Конструктор!$H$2:$H$1212,$K624))</f>
        <v/>
      </c>
      <c r="F624" s="10" t="str">
        <f>IF($K624="","",INDEX(Конструктор!$L$2:$L$1212,$K624))</f>
        <v/>
      </c>
      <c r="G624" s="10" t="str">
        <f>IF($K624="","",INDEX(Конструктор!$M$2:$M$1212,$K624))</f>
        <v/>
      </c>
      <c r="H624" s="10" t="str">
        <f>IF($K624="","",INDEX(Конструктор!$N$2:$N$1212,$K624))</f>
        <v/>
      </c>
      <c r="I624" s="10" t="str">
        <f>IF($K624="","",INDEX(Конструктор!$O$2:$O$1212,$K624))</f>
        <v/>
      </c>
      <c r="J624" s="10" t="str">
        <f>IF($K624="","",INDEX(Конструктор!$P$2:$P$1212,$K624))</f>
        <v/>
      </c>
      <c r="K624" t="str">
        <f>IFERROR(MATCH(604,Конструктор!$T$2:$T$1212,0),"")</f>
        <v/>
      </c>
      <c r="L624" t="str">
        <f t="shared" si="9"/>
        <v/>
      </c>
    </row>
    <row r="625" spans="1:12" hidden="1" x14ac:dyDescent="0.3">
      <c r="A625" t="str">
        <f>IF($K625="","",605)</f>
        <v/>
      </c>
      <c r="B625" t="str">
        <f>IF($K625="","",INDEX(Конструктор!$C$2:$C$1212,$K625))</f>
        <v/>
      </c>
      <c r="C625" s="8" t="str">
        <f>IF($K625="","",INDEX(Конструктор!$D$2:$D$1212,$K625)&amp;IF(INDEX(Конструктор!$J$2:$J$1212,$K625)&lt;&gt;""," — "&amp;INDEX(Конструктор!$J$2:$J$1212,$K625),""))</f>
        <v/>
      </c>
      <c r="D625" t="str">
        <f>IF($K625="","",INDEX(Конструктор!$E$2:$E$1212,$K625))</f>
        <v/>
      </c>
      <c r="E625" s="10" t="str">
        <f>IF($K625="","",INDEX(Конструктор!$H$2:$H$1212,$K625))</f>
        <v/>
      </c>
      <c r="F625" s="10" t="str">
        <f>IF($K625="","",INDEX(Конструктор!$L$2:$L$1212,$K625))</f>
        <v/>
      </c>
      <c r="G625" s="10" t="str">
        <f>IF($K625="","",INDEX(Конструктор!$M$2:$M$1212,$K625))</f>
        <v/>
      </c>
      <c r="H625" s="10" t="str">
        <f>IF($K625="","",INDEX(Конструктор!$N$2:$N$1212,$K625))</f>
        <v/>
      </c>
      <c r="I625" s="10" t="str">
        <f>IF($K625="","",INDEX(Конструктор!$O$2:$O$1212,$K625))</f>
        <v/>
      </c>
      <c r="J625" s="10" t="str">
        <f>IF($K625="","",INDEX(Конструктор!$P$2:$P$1212,$K625))</f>
        <v/>
      </c>
      <c r="K625" t="str">
        <f>IFERROR(MATCH(605,Конструктор!$T$2:$T$1212,0),"")</f>
        <v/>
      </c>
      <c r="L625" t="str">
        <f t="shared" si="9"/>
        <v/>
      </c>
    </row>
    <row r="626" spans="1:12" hidden="1" x14ac:dyDescent="0.3">
      <c r="A626" t="str">
        <f>IF($K626="","",606)</f>
        <v/>
      </c>
      <c r="B626" t="str">
        <f>IF($K626="","",INDEX(Конструктор!$C$2:$C$1212,$K626))</f>
        <v/>
      </c>
      <c r="C626" s="8" t="str">
        <f>IF($K626="","",INDEX(Конструктор!$D$2:$D$1212,$K626)&amp;IF(INDEX(Конструктор!$J$2:$J$1212,$K626)&lt;&gt;""," — "&amp;INDEX(Конструктор!$J$2:$J$1212,$K626),""))</f>
        <v/>
      </c>
      <c r="D626" t="str">
        <f>IF($K626="","",INDEX(Конструктор!$E$2:$E$1212,$K626))</f>
        <v/>
      </c>
      <c r="E626" s="10" t="str">
        <f>IF($K626="","",INDEX(Конструктор!$H$2:$H$1212,$K626))</f>
        <v/>
      </c>
      <c r="F626" s="10" t="str">
        <f>IF($K626="","",INDEX(Конструктор!$L$2:$L$1212,$K626))</f>
        <v/>
      </c>
      <c r="G626" s="10" t="str">
        <f>IF($K626="","",INDEX(Конструктор!$M$2:$M$1212,$K626))</f>
        <v/>
      </c>
      <c r="H626" s="10" t="str">
        <f>IF($K626="","",INDEX(Конструктор!$N$2:$N$1212,$K626))</f>
        <v/>
      </c>
      <c r="I626" s="10" t="str">
        <f>IF($K626="","",INDEX(Конструктор!$O$2:$O$1212,$K626))</f>
        <v/>
      </c>
      <c r="J626" s="10" t="str">
        <f>IF($K626="","",INDEX(Конструктор!$P$2:$P$1212,$K626))</f>
        <v/>
      </c>
      <c r="K626" t="str">
        <f>IFERROR(MATCH(606,Конструктор!$T$2:$T$1212,0),"")</f>
        <v/>
      </c>
      <c r="L626" t="str">
        <f t="shared" si="9"/>
        <v/>
      </c>
    </row>
    <row r="627" spans="1:12" hidden="1" x14ac:dyDescent="0.3">
      <c r="A627" t="str">
        <f>IF($K627="","",607)</f>
        <v/>
      </c>
      <c r="B627" t="str">
        <f>IF($K627="","",INDEX(Конструктор!$C$2:$C$1212,$K627))</f>
        <v/>
      </c>
      <c r="C627" s="8" t="str">
        <f>IF($K627="","",INDEX(Конструктор!$D$2:$D$1212,$K627)&amp;IF(INDEX(Конструктор!$J$2:$J$1212,$K627)&lt;&gt;""," — "&amp;INDEX(Конструктор!$J$2:$J$1212,$K627),""))</f>
        <v/>
      </c>
      <c r="D627" t="str">
        <f>IF($K627="","",INDEX(Конструктор!$E$2:$E$1212,$K627))</f>
        <v/>
      </c>
      <c r="E627" s="10" t="str">
        <f>IF($K627="","",INDEX(Конструктор!$H$2:$H$1212,$K627))</f>
        <v/>
      </c>
      <c r="F627" s="10" t="str">
        <f>IF($K627="","",INDEX(Конструктор!$L$2:$L$1212,$K627))</f>
        <v/>
      </c>
      <c r="G627" s="10" t="str">
        <f>IF($K627="","",INDEX(Конструктор!$M$2:$M$1212,$K627))</f>
        <v/>
      </c>
      <c r="H627" s="10" t="str">
        <f>IF($K627="","",INDEX(Конструктор!$N$2:$N$1212,$K627))</f>
        <v/>
      </c>
      <c r="I627" s="10" t="str">
        <f>IF($K627="","",INDEX(Конструктор!$O$2:$O$1212,$K627))</f>
        <v/>
      </c>
      <c r="J627" s="10" t="str">
        <f>IF($K627="","",INDEX(Конструктор!$P$2:$P$1212,$K627))</f>
        <v/>
      </c>
      <c r="K627" t="str">
        <f>IFERROR(MATCH(607,Конструктор!$T$2:$T$1212,0),"")</f>
        <v/>
      </c>
      <c r="L627" t="str">
        <f t="shared" si="9"/>
        <v/>
      </c>
    </row>
    <row r="628" spans="1:12" hidden="1" x14ac:dyDescent="0.3">
      <c r="A628" t="str">
        <f>IF($K628="","",608)</f>
        <v/>
      </c>
      <c r="B628" t="str">
        <f>IF($K628="","",INDEX(Конструктор!$C$2:$C$1212,$K628))</f>
        <v/>
      </c>
      <c r="C628" s="8" t="str">
        <f>IF($K628="","",INDEX(Конструктор!$D$2:$D$1212,$K628)&amp;IF(INDEX(Конструктор!$J$2:$J$1212,$K628)&lt;&gt;""," — "&amp;INDEX(Конструктор!$J$2:$J$1212,$K628),""))</f>
        <v/>
      </c>
      <c r="D628" t="str">
        <f>IF($K628="","",INDEX(Конструктор!$E$2:$E$1212,$K628))</f>
        <v/>
      </c>
      <c r="E628" s="10" t="str">
        <f>IF($K628="","",INDEX(Конструктор!$H$2:$H$1212,$K628))</f>
        <v/>
      </c>
      <c r="F628" s="10" t="str">
        <f>IF($K628="","",INDEX(Конструктор!$L$2:$L$1212,$K628))</f>
        <v/>
      </c>
      <c r="G628" s="10" t="str">
        <f>IF($K628="","",INDEX(Конструктор!$M$2:$M$1212,$K628))</f>
        <v/>
      </c>
      <c r="H628" s="10" t="str">
        <f>IF($K628="","",INDEX(Конструктор!$N$2:$N$1212,$K628))</f>
        <v/>
      </c>
      <c r="I628" s="10" t="str">
        <f>IF($K628="","",INDEX(Конструктор!$O$2:$O$1212,$K628))</f>
        <v/>
      </c>
      <c r="J628" s="10" t="str">
        <f>IF($K628="","",INDEX(Конструктор!$P$2:$P$1212,$K628))</f>
        <v/>
      </c>
      <c r="K628" t="str">
        <f>IFERROR(MATCH(608,Конструктор!$T$2:$T$1212,0),"")</f>
        <v/>
      </c>
      <c r="L628" t="str">
        <f t="shared" si="9"/>
        <v/>
      </c>
    </row>
    <row r="629" spans="1:12" hidden="1" x14ac:dyDescent="0.3">
      <c r="A629" t="str">
        <f>IF($K629="","",609)</f>
        <v/>
      </c>
      <c r="B629" t="str">
        <f>IF($K629="","",INDEX(Конструктор!$C$2:$C$1212,$K629))</f>
        <v/>
      </c>
      <c r="C629" s="8" t="str">
        <f>IF($K629="","",INDEX(Конструктор!$D$2:$D$1212,$K629)&amp;IF(INDEX(Конструктор!$J$2:$J$1212,$K629)&lt;&gt;""," — "&amp;INDEX(Конструктор!$J$2:$J$1212,$K629),""))</f>
        <v/>
      </c>
      <c r="D629" t="str">
        <f>IF($K629="","",INDEX(Конструктор!$E$2:$E$1212,$K629))</f>
        <v/>
      </c>
      <c r="E629" s="10" t="str">
        <f>IF($K629="","",INDEX(Конструктор!$H$2:$H$1212,$K629))</f>
        <v/>
      </c>
      <c r="F629" s="10" t="str">
        <f>IF($K629="","",INDEX(Конструктор!$L$2:$L$1212,$K629))</f>
        <v/>
      </c>
      <c r="G629" s="10" t="str">
        <f>IF($K629="","",INDEX(Конструктор!$M$2:$M$1212,$K629))</f>
        <v/>
      </c>
      <c r="H629" s="10" t="str">
        <f>IF($K629="","",INDEX(Конструктор!$N$2:$N$1212,$K629))</f>
        <v/>
      </c>
      <c r="I629" s="10" t="str">
        <f>IF($K629="","",INDEX(Конструктор!$O$2:$O$1212,$K629))</f>
        <v/>
      </c>
      <c r="J629" s="10" t="str">
        <f>IF($K629="","",INDEX(Конструктор!$P$2:$P$1212,$K629))</f>
        <v/>
      </c>
      <c r="K629" t="str">
        <f>IFERROR(MATCH(609,Конструктор!$T$2:$T$1212,0),"")</f>
        <v/>
      </c>
      <c r="L629" t="str">
        <f t="shared" si="9"/>
        <v/>
      </c>
    </row>
    <row r="630" spans="1:12" hidden="1" x14ac:dyDescent="0.3">
      <c r="A630" t="str">
        <f>IF($K630="","",610)</f>
        <v/>
      </c>
      <c r="B630" t="str">
        <f>IF($K630="","",INDEX(Конструктор!$C$2:$C$1212,$K630))</f>
        <v/>
      </c>
      <c r="C630" s="8" t="str">
        <f>IF($K630="","",INDEX(Конструктор!$D$2:$D$1212,$K630)&amp;IF(INDEX(Конструктор!$J$2:$J$1212,$K630)&lt;&gt;""," — "&amp;INDEX(Конструктор!$J$2:$J$1212,$K630),""))</f>
        <v/>
      </c>
      <c r="D630" t="str">
        <f>IF($K630="","",INDEX(Конструктор!$E$2:$E$1212,$K630))</f>
        <v/>
      </c>
      <c r="E630" s="10" t="str">
        <f>IF($K630="","",INDEX(Конструктор!$H$2:$H$1212,$K630))</f>
        <v/>
      </c>
      <c r="F630" s="10" t="str">
        <f>IF($K630="","",INDEX(Конструктор!$L$2:$L$1212,$K630))</f>
        <v/>
      </c>
      <c r="G630" s="10" t="str">
        <f>IF($K630="","",INDEX(Конструктор!$M$2:$M$1212,$K630))</f>
        <v/>
      </c>
      <c r="H630" s="10" t="str">
        <f>IF($K630="","",INDEX(Конструктор!$N$2:$N$1212,$K630))</f>
        <v/>
      </c>
      <c r="I630" s="10" t="str">
        <f>IF($K630="","",INDEX(Конструктор!$O$2:$O$1212,$K630))</f>
        <v/>
      </c>
      <c r="J630" s="10" t="str">
        <f>IF($K630="","",INDEX(Конструктор!$P$2:$P$1212,$K630))</f>
        <v/>
      </c>
      <c r="K630" t="str">
        <f>IFERROR(MATCH(610,Конструктор!$T$2:$T$1212,0),"")</f>
        <v/>
      </c>
      <c r="L630" t="str">
        <f t="shared" si="9"/>
        <v/>
      </c>
    </row>
    <row r="631" spans="1:12" hidden="1" x14ac:dyDescent="0.3">
      <c r="A631" t="str">
        <f>IF($K631="","",611)</f>
        <v/>
      </c>
      <c r="B631" t="str">
        <f>IF($K631="","",INDEX(Конструктор!$C$2:$C$1212,$K631))</f>
        <v/>
      </c>
      <c r="C631" s="8" t="str">
        <f>IF($K631="","",INDEX(Конструктор!$D$2:$D$1212,$K631)&amp;IF(INDEX(Конструктор!$J$2:$J$1212,$K631)&lt;&gt;""," — "&amp;INDEX(Конструктор!$J$2:$J$1212,$K631),""))</f>
        <v/>
      </c>
      <c r="D631" t="str">
        <f>IF($K631="","",INDEX(Конструктор!$E$2:$E$1212,$K631))</f>
        <v/>
      </c>
      <c r="E631" s="10" t="str">
        <f>IF($K631="","",INDEX(Конструктор!$H$2:$H$1212,$K631))</f>
        <v/>
      </c>
      <c r="F631" s="10" t="str">
        <f>IF($K631="","",INDEX(Конструктор!$L$2:$L$1212,$K631))</f>
        <v/>
      </c>
      <c r="G631" s="10" t="str">
        <f>IF($K631="","",INDEX(Конструктор!$M$2:$M$1212,$K631))</f>
        <v/>
      </c>
      <c r="H631" s="10" t="str">
        <f>IF($K631="","",INDEX(Конструктор!$N$2:$N$1212,$K631))</f>
        <v/>
      </c>
      <c r="I631" s="10" t="str">
        <f>IF($K631="","",INDEX(Конструктор!$O$2:$O$1212,$K631))</f>
        <v/>
      </c>
      <c r="J631" s="10" t="str">
        <f>IF($K631="","",INDEX(Конструктор!$P$2:$P$1212,$K631))</f>
        <v/>
      </c>
      <c r="K631" t="str">
        <f>IFERROR(MATCH(611,Конструктор!$T$2:$T$1212,0),"")</f>
        <v/>
      </c>
      <c r="L631" t="str">
        <f t="shared" si="9"/>
        <v/>
      </c>
    </row>
    <row r="632" spans="1:12" hidden="1" x14ac:dyDescent="0.3">
      <c r="A632" t="str">
        <f>IF($K632="","",612)</f>
        <v/>
      </c>
      <c r="B632" t="str">
        <f>IF($K632="","",INDEX(Конструктор!$C$2:$C$1212,$K632))</f>
        <v/>
      </c>
      <c r="C632" s="8" t="str">
        <f>IF($K632="","",INDEX(Конструктор!$D$2:$D$1212,$K632)&amp;IF(INDEX(Конструктор!$J$2:$J$1212,$K632)&lt;&gt;""," — "&amp;INDEX(Конструктор!$J$2:$J$1212,$K632),""))</f>
        <v/>
      </c>
      <c r="D632" t="str">
        <f>IF($K632="","",INDEX(Конструктор!$E$2:$E$1212,$K632))</f>
        <v/>
      </c>
      <c r="E632" s="10" t="str">
        <f>IF($K632="","",INDEX(Конструктор!$H$2:$H$1212,$K632))</f>
        <v/>
      </c>
      <c r="F632" s="10" t="str">
        <f>IF($K632="","",INDEX(Конструктор!$L$2:$L$1212,$K632))</f>
        <v/>
      </c>
      <c r="G632" s="10" t="str">
        <f>IF($K632="","",INDEX(Конструктор!$M$2:$M$1212,$K632))</f>
        <v/>
      </c>
      <c r="H632" s="10" t="str">
        <f>IF($K632="","",INDEX(Конструктор!$N$2:$N$1212,$K632))</f>
        <v/>
      </c>
      <c r="I632" s="10" t="str">
        <f>IF($K632="","",INDEX(Конструктор!$O$2:$O$1212,$K632))</f>
        <v/>
      </c>
      <c r="J632" s="10" t="str">
        <f>IF($K632="","",INDEX(Конструктор!$P$2:$P$1212,$K632))</f>
        <v/>
      </c>
      <c r="K632" t="str">
        <f>IFERROR(MATCH(612,Конструктор!$T$2:$T$1212,0),"")</f>
        <v/>
      </c>
      <c r="L632" t="str">
        <f t="shared" si="9"/>
        <v/>
      </c>
    </row>
    <row r="633" spans="1:12" hidden="1" x14ac:dyDescent="0.3">
      <c r="A633" t="str">
        <f>IF($K633="","",613)</f>
        <v/>
      </c>
      <c r="B633" t="str">
        <f>IF($K633="","",INDEX(Конструктор!$C$2:$C$1212,$K633))</f>
        <v/>
      </c>
      <c r="C633" s="8" t="str">
        <f>IF($K633="","",INDEX(Конструктор!$D$2:$D$1212,$K633)&amp;IF(INDEX(Конструктор!$J$2:$J$1212,$K633)&lt;&gt;""," — "&amp;INDEX(Конструктор!$J$2:$J$1212,$K633),""))</f>
        <v/>
      </c>
      <c r="D633" t="str">
        <f>IF($K633="","",INDEX(Конструктор!$E$2:$E$1212,$K633))</f>
        <v/>
      </c>
      <c r="E633" s="10" t="str">
        <f>IF($K633="","",INDEX(Конструктор!$H$2:$H$1212,$K633))</f>
        <v/>
      </c>
      <c r="F633" s="10" t="str">
        <f>IF($K633="","",INDEX(Конструктор!$L$2:$L$1212,$K633))</f>
        <v/>
      </c>
      <c r="G633" s="10" t="str">
        <f>IF($K633="","",INDEX(Конструктор!$M$2:$M$1212,$K633))</f>
        <v/>
      </c>
      <c r="H633" s="10" t="str">
        <f>IF($K633="","",INDEX(Конструктор!$N$2:$N$1212,$K633))</f>
        <v/>
      </c>
      <c r="I633" s="10" t="str">
        <f>IF($K633="","",INDEX(Конструктор!$O$2:$O$1212,$K633))</f>
        <v/>
      </c>
      <c r="J633" s="10" t="str">
        <f>IF($K633="","",INDEX(Конструктор!$P$2:$P$1212,$K633))</f>
        <v/>
      </c>
      <c r="K633" t="str">
        <f>IFERROR(MATCH(613,Конструктор!$T$2:$T$1212,0),"")</f>
        <v/>
      </c>
      <c r="L633" t="str">
        <f t="shared" si="9"/>
        <v/>
      </c>
    </row>
    <row r="634" spans="1:12" hidden="1" x14ac:dyDescent="0.3">
      <c r="A634" t="str">
        <f>IF($K634="","",614)</f>
        <v/>
      </c>
      <c r="B634" t="str">
        <f>IF($K634="","",INDEX(Конструктор!$C$2:$C$1212,$K634))</f>
        <v/>
      </c>
      <c r="C634" s="8" t="str">
        <f>IF($K634="","",INDEX(Конструктор!$D$2:$D$1212,$K634)&amp;IF(INDEX(Конструктор!$J$2:$J$1212,$K634)&lt;&gt;""," — "&amp;INDEX(Конструктор!$J$2:$J$1212,$K634),""))</f>
        <v/>
      </c>
      <c r="D634" t="str">
        <f>IF($K634="","",INDEX(Конструктор!$E$2:$E$1212,$K634))</f>
        <v/>
      </c>
      <c r="E634" s="10" t="str">
        <f>IF($K634="","",INDEX(Конструктор!$H$2:$H$1212,$K634))</f>
        <v/>
      </c>
      <c r="F634" s="10" t="str">
        <f>IF($K634="","",INDEX(Конструктор!$L$2:$L$1212,$K634))</f>
        <v/>
      </c>
      <c r="G634" s="10" t="str">
        <f>IF($K634="","",INDEX(Конструктор!$M$2:$M$1212,$K634))</f>
        <v/>
      </c>
      <c r="H634" s="10" t="str">
        <f>IF($K634="","",INDEX(Конструктор!$N$2:$N$1212,$K634))</f>
        <v/>
      </c>
      <c r="I634" s="10" t="str">
        <f>IF($K634="","",INDEX(Конструктор!$O$2:$O$1212,$K634))</f>
        <v/>
      </c>
      <c r="J634" s="10" t="str">
        <f>IF($K634="","",INDEX(Конструктор!$P$2:$P$1212,$K634))</f>
        <v/>
      </c>
      <c r="K634" t="str">
        <f>IFERROR(MATCH(614,Конструктор!$T$2:$T$1212,0),"")</f>
        <v/>
      </c>
      <c r="L634" t="str">
        <f t="shared" si="9"/>
        <v/>
      </c>
    </row>
    <row r="635" spans="1:12" hidden="1" x14ac:dyDescent="0.3">
      <c r="A635" t="str">
        <f>IF($K635="","",615)</f>
        <v/>
      </c>
      <c r="B635" t="str">
        <f>IF($K635="","",INDEX(Конструктор!$C$2:$C$1212,$K635))</f>
        <v/>
      </c>
      <c r="C635" s="8" t="str">
        <f>IF($K635="","",INDEX(Конструктор!$D$2:$D$1212,$K635)&amp;IF(INDEX(Конструктор!$J$2:$J$1212,$K635)&lt;&gt;""," — "&amp;INDEX(Конструктор!$J$2:$J$1212,$K635),""))</f>
        <v/>
      </c>
      <c r="D635" t="str">
        <f>IF($K635="","",INDEX(Конструктор!$E$2:$E$1212,$K635))</f>
        <v/>
      </c>
      <c r="E635" s="10" t="str">
        <f>IF($K635="","",INDEX(Конструктор!$H$2:$H$1212,$K635))</f>
        <v/>
      </c>
      <c r="F635" s="10" t="str">
        <f>IF($K635="","",INDEX(Конструктор!$L$2:$L$1212,$K635))</f>
        <v/>
      </c>
      <c r="G635" s="10" t="str">
        <f>IF($K635="","",INDEX(Конструктор!$M$2:$M$1212,$K635))</f>
        <v/>
      </c>
      <c r="H635" s="10" t="str">
        <f>IF($K635="","",INDEX(Конструктор!$N$2:$N$1212,$K635))</f>
        <v/>
      </c>
      <c r="I635" s="10" t="str">
        <f>IF($K635="","",INDEX(Конструктор!$O$2:$O$1212,$K635))</f>
        <v/>
      </c>
      <c r="J635" s="10" t="str">
        <f>IF($K635="","",INDEX(Конструктор!$P$2:$P$1212,$K635))</f>
        <v/>
      </c>
      <c r="K635" t="str">
        <f>IFERROR(MATCH(615,Конструктор!$T$2:$T$1212,0),"")</f>
        <v/>
      </c>
      <c r="L635" t="str">
        <f t="shared" si="9"/>
        <v/>
      </c>
    </row>
    <row r="636" spans="1:12" hidden="1" x14ac:dyDescent="0.3">
      <c r="A636" t="str">
        <f>IF($K636="","",616)</f>
        <v/>
      </c>
      <c r="B636" t="str">
        <f>IF($K636="","",INDEX(Конструктор!$C$2:$C$1212,$K636))</f>
        <v/>
      </c>
      <c r="C636" s="8" t="str">
        <f>IF($K636="","",INDEX(Конструктор!$D$2:$D$1212,$K636)&amp;IF(INDEX(Конструктор!$J$2:$J$1212,$K636)&lt;&gt;""," — "&amp;INDEX(Конструктор!$J$2:$J$1212,$K636),""))</f>
        <v/>
      </c>
      <c r="D636" t="str">
        <f>IF($K636="","",INDEX(Конструктор!$E$2:$E$1212,$K636))</f>
        <v/>
      </c>
      <c r="E636" s="10" t="str">
        <f>IF($K636="","",INDEX(Конструктор!$H$2:$H$1212,$K636))</f>
        <v/>
      </c>
      <c r="F636" s="10" t="str">
        <f>IF($K636="","",INDEX(Конструктор!$L$2:$L$1212,$K636))</f>
        <v/>
      </c>
      <c r="G636" s="10" t="str">
        <f>IF($K636="","",INDEX(Конструктор!$M$2:$M$1212,$K636))</f>
        <v/>
      </c>
      <c r="H636" s="10" t="str">
        <f>IF($K636="","",INDEX(Конструктор!$N$2:$N$1212,$K636))</f>
        <v/>
      </c>
      <c r="I636" s="10" t="str">
        <f>IF($K636="","",INDEX(Конструктор!$O$2:$O$1212,$K636))</f>
        <v/>
      </c>
      <c r="J636" s="10" t="str">
        <f>IF($K636="","",INDEX(Конструктор!$P$2:$P$1212,$K636))</f>
        <v/>
      </c>
      <c r="K636" t="str">
        <f>IFERROR(MATCH(616,Конструктор!$T$2:$T$1212,0),"")</f>
        <v/>
      </c>
      <c r="L636" t="str">
        <f t="shared" si="9"/>
        <v/>
      </c>
    </row>
    <row r="637" spans="1:12" hidden="1" x14ac:dyDescent="0.3">
      <c r="A637" t="str">
        <f>IF($K637="","",617)</f>
        <v/>
      </c>
      <c r="B637" t="str">
        <f>IF($K637="","",INDEX(Конструктор!$C$2:$C$1212,$K637))</f>
        <v/>
      </c>
      <c r="C637" s="8" t="str">
        <f>IF($K637="","",INDEX(Конструктор!$D$2:$D$1212,$K637)&amp;IF(INDEX(Конструктор!$J$2:$J$1212,$K637)&lt;&gt;""," — "&amp;INDEX(Конструктор!$J$2:$J$1212,$K637),""))</f>
        <v/>
      </c>
      <c r="D637" t="str">
        <f>IF($K637="","",INDEX(Конструктор!$E$2:$E$1212,$K637))</f>
        <v/>
      </c>
      <c r="E637" s="10" t="str">
        <f>IF($K637="","",INDEX(Конструктор!$H$2:$H$1212,$K637))</f>
        <v/>
      </c>
      <c r="F637" s="10" t="str">
        <f>IF($K637="","",INDEX(Конструктор!$L$2:$L$1212,$K637))</f>
        <v/>
      </c>
      <c r="G637" s="10" t="str">
        <f>IF($K637="","",INDEX(Конструктор!$M$2:$M$1212,$K637))</f>
        <v/>
      </c>
      <c r="H637" s="10" t="str">
        <f>IF($K637="","",INDEX(Конструктор!$N$2:$N$1212,$K637))</f>
        <v/>
      </c>
      <c r="I637" s="10" t="str">
        <f>IF($K637="","",INDEX(Конструктор!$O$2:$O$1212,$K637))</f>
        <v/>
      </c>
      <c r="J637" s="10" t="str">
        <f>IF($K637="","",INDEX(Конструктор!$P$2:$P$1212,$K637))</f>
        <v/>
      </c>
      <c r="K637" t="str">
        <f>IFERROR(MATCH(617,Конструктор!$T$2:$T$1212,0),"")</f>
        <v/>
      </c>
      <c r="L637" t="str">
        <f t="shared" si="9"/>
        <v/>
      </c>
    </row>
    <row r="638" spans="1:12" hidden="1" x14ac:dyDescent="0.3">
      <c r="A638" t="str">
        <f>IF($K638="","",618)</f>
        <v/>
      </c>
      <c r="B638" t="str">
        <f>IF($K638="","",INDEX(Конструктор!$C$2:$C$1212,$K638))</f>
        <v/>
      </c>
      <c r="C638" s="8" t="str">
        <f>IF($K638="","",INDEX(Конструктор!$D$2:$D$1212,$K638)&amp;IF(INDEX(Конструктор!$J$2:$J$1212,$K638)&lt;&gt;""," — "&amp;INDEX(Конструктор!$J$2:$J$1212,$K638),""))</f>
        <v/>
      </c>
      <c r="D638" t="str">
        <f>IF($K638="","",INDEX(Конструктор!$E$2:$E$1212,$K638))</f>
        <v/>
      </c>
      <c r="E638" s="10" t="str">
        <f>IF($K638="","",INDEX(Конструктор!$H$2:$H$1212,$K638))</f>
        <v/>
      </c>
      <c r="F638" s="10" t="str">
        <f>IF($K638="","",INDEX(Конструктор!$L$2:$L$1212,$K638))</f>
        <v/>
      </c>
      <c r="G638" s="10" t="str">
        <f>IF($K638="","",INDEX(Конструктор!$M$2:$M$1212,$K638))</f>
        <v/>
      </c>
      <c r="H638" s="10" t="str">
        <f>IF($K638="","",INDEX(Конструктор!$N$2:$N$1212,$K638))</f>
        <v/>
      </c>
      <c r="I638" s="10" t="str">
        <f>IF($K638="","",INDEX(Конструктор!$O$2:$O$1212,$K638))</f>
        <v/>
      </c>
      <c r="J638" s="10" t="str">
        <f>IF($K638="","",INDEX(Конструктор!$P$2:$P$1212,$K638))</f>
        <v/>
      </c>
      <c r="K638" t="str">
        <f>IFERROR(MATCH(618,Конструктор!$T$2:$T$1212,0),"")</f>
        <v/>
      </c>
      <c r="L638" t="str">
        <f t="shared" si="9"/>
        <v/>
      </c>
    </row>
    <row r="639" spans="1:12" hidden="1" x14ac:dyDescent="0.3">
      <c r="A639" t="str">
        <f>IF($K639="","",619)</f>
        <v/>
      </c>
      <c r="B639" t="str">
        <f>IF($K639="","",INDEX(Конструктор!$C$2:$C$1212,$K639))</f>
        <v/>
      </c>
      <c r="C639" s="8" t="str">
        <f>IF($K639="","",INDEX(Конструктор!$D$2:$D$1212,$K639)&amp;IF(INDEX(Конструктор!$J$2:$J$1212,$K639)&lt;&gt;""," — "&amp;INDEX(Конструктор!$J$2:$J$1212,$K639),""))</f>
        <v/>
      </c>
      <c r="D639" t="str">
        <f>IF($K639="","",INDEX(Конструктор!$E$2:$E$1212,$K639))</f>
        <v/>
      </c>
      <c r="E639" s="10" t="str">
        <f>IF($K639="","",INDEX(Конструктор!$H$2:$H$1212,$K639))</f>
        <v/>
      </c>
      <c r="F639" s="10" t="str">
        <f>IF($K639="","",INDEX(Конструктор!$L$2:$L$1212,$K639))</f>
        <v/>
      </c>
      <c r="G639" s="10" t="str">
        <f>IF($K639="","",INDEX(Конструктор!$M$2:$M$1212,$K639))</f>
        <v/>
      </c>
      <c r="H639" s="10" t="str">
        <f>IF($K639="","",INDEX(Конструктор!$N$2:$N$1212,$K639))</f>
        <v/>
      </c>
      <c r="I639" s="10" t="str">
        <f>IF($K639="","",INDEX(Конструктор!$O$2:$O$1212,$K639))</f>
        <v/>
      </c>
      <c r="J639" s="10" t="str">
        <f>IF($K639="","",INDEX(Конструктор!$P$2:$P$1212,$K639))</f>
        <v/>
      </c>
      <c r="K639" t="str">
        <f>IFERROR(MATCH(619,Конструктор!$T$2:$T$1212,0),"")</f>
        <v/>
      </c>
      <c r="L639" t="str">
        <f t="shared" si="9"/>
        <v/>
      </c>
    </row>
    <row r="640" spans="1:12" hidden="1" x14ac:dyDescent="0.3">
      <c r="A640" t="str">
        <f>IF($K640="","",620)</f>
        <v/>
      </c>
      <c r="B640" t="str">
        <f>IF($K640="","",INDEX(Конструктор!$C$2:$C$1212,$K640))</f>
        <v/>
      </c>
      <c r="C640" s="8" t="str">
        <f>IF($K640="","",INDEX(Конструктор!$D$2:$D$1212,$K640)&amp;IF(INDEX(Конструктор!$J$2:$J$1212,$K640)&lt;&gt;""," — "&amp;INDEX(Конструктор!$J$2:$J$1212,$K640),""))</f>
        <v/>
      </c>
      <c r="D640" t="str">
        <f>IF($K640="","",INDEX(Конструктор!$E$2:$E$1212,$K640))</f>
        <v/>
      </c>
      <c r="E640" s="10" t="str">
        <f>IF($K640="","",INDEX(Конструктор!$H$2:$H$1212,$K640))</f>
        <v/>
      </c>
      <c r="F640" s="10" t="str">
        <f>IF($K640="","",INDEX(Конструктор!$L$2:$L$1212,$K640))</f>
        <v/>
      </c>
      <c r="G640" s="10" t="str">
        <f>IF($K640="","",INDEX(Конструктор!$M$2:$M$1212,$K640))</f>
        <v/>
      </c>
      <c r="H640" s="10" t="str">
        <f>IF($K640="","",INDEX(Конструктор!$N$2:$N$1212,$K640))</f>
        <v/>
      </c>
      <c r="I640" s="10" t="str">
        <f>IF($K640="","",INDEX(Конструктор!$O$2:$O$1212,$K640))</f>
        <v/>
      </c>
      <c r="J640" s="10" t="str">
        <f>IF($K640="","",INDEX(Конструктор!$P$2:$P$1212,$K640))</f>
        <v/>
      </c>
      <c r="K640" t="str">
        <f>IFERROR(MATCH(620,Конструктор!$T$2:$T$1212,0),"")</f>
        <v/>
      </c>
      <c r="L640" t="str">
        <f t="shared" si="9"/>
        <v/>
      </c>
    </row>
    <row r="641" spans="1:12" hidden="1" x14ac:dyDescent="0.3">
      <c r="A641" t="str">
        <f>IF($K641="","",621)</f>
        <v/>
      </c>
      <c r="B641" t="str">
        <f>IF($K641="","",INDEX(Конструктор!$C$2:$C$1212,$K641))</f>
        <v/>
      </c>
      <c r="C641" s="8" t="str">
        <f>IF($K641="","",INDEX(Конструктор!$D$2:$D$1212,$K641)&amp;IF(INDEX(Конструктор!$J$2:$J$1212,$K641)&lt;&gt;""," — "&amp;INDEX(Конструктор!$J$2:$J$1212,$K641),""))</f>
        <v/>
      </c>
      <c r="D641" t="str">
        <f>IF($K641="","",INDEX(Конструктор!$E$2:$E$1212,$K641))</f>
        <v/>
      </c>
      <c r="E641" s="10" t="str">
        <f>IF($K641="","",INDEX(Конструктор!$H$2:$H$1212,$K641))</f>
        <v/>
      </c>
      <c r="F641" s="10" t="str">
        <f>IF($K641="","",INDEX(Конструктор!$L$2:$L$1212,$K641))</f>
        <v/>
      </c>
      <c r="G641" s="10" t="str">
        <f>IF($K641="","",INDEX(Конструктор!$M$2:$M$1212,$K641))</f>
        <v/>
      </c>
      <c r="H641" s="10" t="str">
        <f>IF($K641="","",INDEX(Конструктор!$N$2:$N$1212,$K641))</f>
        <v/>
      </c>
      <c r="I641" s="10" t="str">
        <f>IF($K641="","",INDEX(Конструктор!$O$2:$O$1212,$K641))</f>
        <v/>
      </c>
      <c r="J641" s="10" t="str">
        <f>IF($K641="","",INDEX(Конструктор!$P$2:$P$1212,$K641))</f>
        <v/>
      </c>
      <c r="K641" t="str">
        <f>IFERROR(MATCH(621,Конструктор!$T$2:$T$1212,0),"")</f>
        <v/>
      </c>
      <c r="L641" t="str">
        <f t="shared" si="9"/>
        <v/>
      </c>
    </row>
    <row r="642" spans="1:12" hidden="1" x14ac:dyDescent="0.3">
      <c r="A642" t="str">
        <f>IF($K642="","",622)</f>
        <v/>
      </c>
      <c r="B642" t="str">
        <f>IF($K642="","",INDEX(Конструктор!$C$2:$C$1212,$K642))</f>
        <v/>
      </c>
      <c r="C642" s="8" t="str">
        <f>IF($K642="","",INDEX(Конструктор!$D$2:$D$1212,$K642)&amp;IF(INDEX(Конструктор!$J$2:$J$1212,$K642)&lt;&gt;""," — "&amp;INDEX(Конструктор!$J$2:$J$1212,$K642),""))</f>
        <v/>
      </c>
      <c r="D642" t="str">
        <f>IF($K642="","",INDEX(Конструктор!$E$2:$E$1212,$K642))</f>
        <v/>
      </c>
      <c r="E642" s="10" t="str">
        <f>IF($K642="","",INDEX(Конструктор!$H$2:$H$1212,$K642))</f>
        <v/>
      </c>
      <c r="F642" s="10" t="str">
        <f>IF($K642="","",INDEX(Конструктор!$L$2:$L$1212,$K642))</f>
        <v/>
      </c>
      <c r="G642" s="10" t="str">
        <f>IF($K642="","",INDEX(Конструктор!$M$2:$M$1212,$K642))</f>
        <v/>
      </c>
      <c r="H642" s="10" t="str">
        <f>IF($K642="","",INDEX(Конструктор!$N$2:$N$1212,$K642))</f>
        <v/>
      </c>
      <c r="I642" s="10" t="str">
        <f>IF($K642="","",INDEX(Конструктор!$O$2:$O$1212,$K642))</f>
        <v/>
      </c>
      <c r="J642" s="10" t="str">
        <f>IF($K642="","",INDEX(Конструктор!$P$2:$P$1212,$K642))</f>
        <v/>
      </c>
      <c r="K642" t="str">
        <f>IFERROR(MATCH(622,Конструктор!$T$2:$T$1212,0),"")</f>
        <v/>
      </c>
      <c r="L642" t="str">
        <f t="shared" si="9"/>
        <v/>
      </c>
    </row>
    <row r="643" spans="1:12" hidden="1" x14ac:dyDescent="0.3">
      <c r="A643" t="str">
        <f>IF($K643="","",623)</f>
        <v/>
      </c>
      <c r="B643" t="str">
        <f>IF($K643="","",INDEX(Конструктор!$C$2:$C$1212,$K643))</f>
        <v/>
      </c>
      <c r="C643" s="8" t="str">
        <f>IF($K643="","",INDEX(Конструктор!$D$2:$D$1212,$K643)&amp;IF(INDEX(Конструктор!$J$2:$J$1212,$K643)&lt;&gt;""," — "&amp;INDEX(Конструктор!$J$2:$J$1212,$K643),""))</f>
        <v/>
      </c>
      <c r="D643" t="str">
        <f>IF($K643="","",INDEX(Конструктор!$E$2:$E$1212,$K643))</f>
        <v/>
      </c>
      <c r="E643" s="10" t="str">
        <f>IF($K643="","",INDEX(Конструктор!$H$2:$H$1212,$K643))</f>
        <v/>
      </c>
      <c r="F643" s="10" t="str">
        <f>IF($K643="","",INDEX(Конструктор!$L$2:$L$1212,$K643))</f>
        <v/>
      </c>
      <c r="G643" s="10" t="str">
        <f>IF($K643="","",INDEX(Конструктор!$M$2:$M$1212,$K643))</f>
        <v/>
      </c>
      <c r="H643" s="10" t="str">
        <f>IF($K643="","",INDEX(Конструктор!$N$2:$N$1212,$K643))</f>
        <v/>
      </c>
      <c r="I643" s="10" t="str">
        <f>IF($K643="","",INDEX(Конструктор!$O$2:$O$1212,$K643))</f>
        <v/>
      </c>
      <c r="J643" s="10" t="str">
        <f>IF($K643="","",INDEX(Конструктор!$P$2:$P$1212,$K643))</f>
        <v/>
      </c>
      <c r="K643" t="str">
        <f>IFERROR(MATCH(623,Конструктор!$T$2:$T$1212,0),"")</f>
        <v/>
      </c>
      <c r="L643" t="str">
        <f t="shared" si="9"/>
        <v/>
      </c>
    </row>
    <row r="644" spans="1:12" hidden="1" x14ac:dyDescent="0.3">
      <c r="A644" t="str">
        <f>IF($K644="","",624)</f>
        <v/>
      </c>
      <c r="B644" t="str">
        <f>IF($K644="","",INDEX(Конструктор!$C$2:$C$1212,$K644))</f>
        <v/>
      </c>
      <c r="C644" s="8" t="str">
        <f>IF($K644="","",INDEX(Конструктор!$D$2:$D$1212,$K644)&amp;IF(INDEX(Конструктор!$J$2:$J$1212,$K644)&lt;&gt;""," — "&amp;INDEX(Конструктор!$J$2:$J$1212,$K644),""))</f>
        <v/>
      </c>
      <c r="D644" t="str">
        <f>IF($K644="","",INDEX(Конструктор!$E$2:$E$1212,$K644))</f>
        <v/>
      </c>
      <c r="E644" s="10" t="str">
        <f>IF($K644="","",INDEX(Конструктор!$H$2:$H$1212,$K644))</f>
        <v/>
      </c>
      <c r="F644" s="10" t="str">
        <f>IF($K644="","",INDEX(Конструктор!$L$2:$L$1212,$K644))</f>
        <v/>
      </c>
      <c r="G644" s="10" t="str">
        <f>IF($K644="","",INDEX(Конструктор!$M$2:$M$1212,$K644))</f>
        <v/>
      </c>
      <c r="H644" s="10" t="str">
        <f>IF($K644="","",INDEX(Конструктор!$N$2:$N$1212,$K644))</f>
        <v/>
      </c>
      <c r="I644" s="10" t="str">
        <f>IF($K644="","",INDEX(Конструктор!$O$2:$O$1212,$K644))</f>
        <v/>
      </c>
      <c r="J644" s="10" t="str">
        <f>IF($K644="","",INDEX(Конструктор!$P$2:$P$1212,$K644))</f>
        <v/>
      </c>
      <c r="K644" t="str">
        <f>IFERROR(MATCH(624,Конструктор!$T$2:$T$1212,0),"")</f>
        <v/>
      </c>
      <c r="L644" t="str">
        <f t="shared" si="9"/>
        <v/>
      </c>
    </row>
    <row r="645" spans="1:12" hidden="1" x14ac:dyDescent="0.3">
      <c r="A645" t="str">
        <f>IF($K645="","",625)</f>
        <v/>
      </c>
      <c r="B645" t="str">
        <f>IF($K645="","",INDEX(Конструктор!$C$2:$C$1212,$K645))</f>
        <v/>
      </c>
      <c r="C645" s="8" t="str">
        <f>IF($K645="","",INDEX(Конструктор!$D$2:$D$1212,$K645)&amp;IF(INDEX(Конструктор!$J$2:$J$1212,$K645)&lt;&gt;""," — "&amp;INDEX(Конструктор!$J$2:$J$1212,$K645),""))</f>
        <v/>
      </c>
      <c r="D645" t="str">
        <f>IF($K645="","",INDEX(Конструктор!$E$2:$E$1212,$K645))</f>
        <v/>
      </c>
      <c r="E645" s="10" t="str">
        <f>IF($K645="","",INDEX(Конструктор!$H$2:$H$1212,$K645))</f>
        <v/>
      </c>
      <c r="F645" s="10" t="str">
        <f>IF($K645="","",INDEX(Конструктор!$L$2:$L$1212,$K645))</f>
        <v/>
      </c>
      <c r="G645" s="10" t="str">
        <f>IF($K645="","",INDEX(Конструктор!$M$2:$M$1212,$K645))</f>
        <v/>
      </c>
      <c r="H645" s="10" t="str">
        <f>IF($K645="","",INDEX(Конструктор!$N$2:$N$1212,$K645))</f>
        <v/>
      </c>
      <c r="I645" s="10" t="str">
        <f>IF($K645="","",INDEX(Конструктор!$O$2:$O$1212,$K645))</f>
        <v/>
      </c>
      <c r="J645" s="10" t="str">
        <f>IF($K645="","",INDEX(Конструктор!$P$2:$P$1212,$K645))</f>
        <v/>
      </c>
      <c r="K645" t="str">
        <f>IFERROR(MATCH(625,Конструктор!$T$2:$T$1212,0),"")</f>
        <v/>
      </c>
      <c r="L645" t="str">
        <f t="shared" si="9"/>
        <v/>
      </c>
    </row>
    <row r="646" spans="1:12" hidden="1" x14ac:dyDescent="0.3">
      <c r="A646" t="str">
        <f>IF($K646="","",626)</f>
        <v/>
      </c>
      <c r="B646" t="str">
        <f>IF($K646="","",INDEX(Конструктор!$C$2:$C$1212,$K646))</f>
        <v/>
      </c>
      <c r="C646" s="8" t="str">
        <f>IF($K646="","",INDEX(Конструктор!$D$2:$D$1212,$K646)&amp;IF(INDEX(Конструктор!$J$2:$J$1212,$K646)&lt;&gt;""," — "&amp;INDEX(Конструктор!$J$2:$J$1212,$K646),""))</f>
        <v/>
      </c>
      <c r="D646" t="str">
        <f>IF($K646="","",INDEX(Конструктор!$E$2:$E$1212,$K646))</f>
        <v/>
      </c>
      <c r="E646" s="10" t="str">
        <f>IF($K646="","",INDEX(Конструктор!$H$2:$H$1212,$K646))</f>
        <v/>
      </c>
      <c r="F646" s="10" t="str">
        <f>IF($K646="","",INDEX(Конструктор!$L$2:$L$1212,$K646))</f>
        <v/>
      </c>
      <c r="G646" s="10" t="str">
        <f>IF($K646="","",INDEX(Конструктор!$M$2:$M$1212,$K646))</f>
        <v/>
      </c>
      <c r="H646" s="10" t="str">
        <f>IF($K646="","",INDEX(Конструктор!$N$2:$N$1212,$K646))</f>
        <v/>
      </c>
      <c r="I646" s="10" t="str">
        <f>IF($K646="","",INDEX(Конструктор!$O$2:$O$1212,$K646))</f>
        <v/>
      </c>
      <c r="J646" s="10" t="str">
        <f>IF($K646="","",INDEX(Конструктор!$P$2:$P$1212,$K646))</f>
        <v/>
      </c>
      <c r="K646" t="str">
        <f>IFERROR(MATCH(626,Конструктор!$T$2:$T$1212,0),"")</f>
        <v/>
      </c>
      <c r="L646" t="str">
        <f t="shared" si="9"/>
        <v/>
      </c>
    </row>
    <row r="647" spans="1:12" hidden="1" x14ac:dyDescent="0.3">
      <c r="A647" t="str">
        <f>IF($K647="","",627)</f>
        <v/>
      </c>
      <c r="B647" t="str">
        <f>IF($K647="","",INDEX(Конструктор!$C$2:$C$1212,$K647))</f>
        <v/>
      </c>
      <c r="C647" s="8" t="str">
        <f>IF($K647="","",INDEX(Конструктор!$D$2:$D$1212,$K647)&amp;IF(INDEX(Конструктор!$J$2:$J$1212,$K647)&lt;&gt;""," — "&amp;INDEX(Конструктор!$J$2:$J$1212,$K647),""))</f>
        <v/>
      </c>
      <c r="D647" t="str">
        <f>IF($K647="","",INDEX(Конструктор!$E$2:$E$1212,$K647))</f>
        <v/>
      </c>
      <c r="E647" s="10" t="str">
        <f>IF($K647="","",INDEX(Конструктор!$H$2:$H$1212,$K647))</f>
        <v/>
      </c>
      <c r="F647" s="10" t="str">
        <f>IF($K647="","",INDEX(Конструктор!$L$2:$L$1212,$K647))</f>
        <v/>
      </c>
      <c r="G647" s="10" t="str">
        <f>IF($K647="","",INDEX(Конструктор!$M$2:$M$1212,$K647))</f>
        <v/>
      </c>
      <c r="H647" s="10" t="str">
        <f>IF($K647="","",INDEX(Конструктор!$N$2:$N$1212,$K647))</f>
        <v/>
      </c>
      <c r="I647" s="10" t="str">
        <f>IF($K647="","",INDEX(Конструктор!$O$2:$O$1212,$K647))</f>
        <v/>
      </c>
      <c r="J647" s="10" t="str">
        <f>IF($K647="","",INDEX(Конструктор!$P$2:$P$1212,$K647))</f>
        <v/>
      </c>
      <c r="K647" t="str">
        <f>IFERROR(MATCH(627,Конструктор!$T$2:$T$1212,0),"")</f>
        <v/>
      </c>
      <c r="L647" t="str">
        <f t="shared" si="9"/>
        <v/>
      </c>
    </row>
    <row r="648" spans="1:12" hidden="1" x14ac:dyDescent="0.3">
      <c r="A648" t="str">
        <f>IF($K648="","",628)</f>
        <v/>
      </c>
      <c r="B648" t="str">
        <f>IF($K648="","",INDEX(Конструктор!$C$2:$C$1212,$K648))</f>
        <v/>
      </c>
      <c r="C648" s="8" t="str">
        <f>IF($K648="","",INDEX(Конструктор!$D$2:$D$1212,$K648)&amp;IF(INDEX(Конструктор!$J$2:$J$1212,$K648)&lt;&gt;""," — "&amp;INDEX(Конструктор!$J$2:$J$1212,$K648),""))</f>
        <v/>
      </c>
      <c r="D648" t="str">
        <f>IF($K648="","",INDEX(Конструктор!$E$2:$E$1212,$K648))</f>
        <v/>
      </c>
      <c r="E648" s="10" t="str">
        <f>IF($K648="","",INDEX(Конструктор!$H$2:$H$1212,$K648))</f>
        <v/>
      </c>
      <c r="F648" s="10" t="str">
        <f>IF($K648="","",INDEX(Конструктор!$L$2:$L$1212,$K648))</f>
        <v/>
      </c>
      <c r="G648" s="10" t="str">
        <f>IF($K648="","",INDEX(Конструктор!$M$2:$M$1212,$K648))</f>
        <v/>
      </c>
      <c r="H648" s="10" t="str">
        <f>IF($K648="","",INDEX(Конструктор!$N$2:$N$1212,$K648))</f>
        <v/>
      </c>
      <c r="I648" s="10" t="str">
        <f>IF($K648="","",INDEX(Конструктор!$O$2:$O$1212,$K648))</f>
        <v/>
      </c>
      <c r="J648" s="10" t="str">
        <f>IF($K648="","",INDEX(Конструктор!$P$2:$P$1212,$K648))</f>
        <v/>
      </c>
      <c r="K648" t="str">
        <f>IFERROR(MATCH(628,Конструктор!$T$2:$T$1212,0),"")</f>
        <v/>
      </c>
      <c r="L648" t="str">
        <f t="shared" si="9"/>
        <v/>
      </c>
    </row>
    <row r="649" spans="1:12" hidden="1" x14ac:dyDescent="0.3">
      <c r="A649" t="str">
        <f>IF($K649="","",629)</f>
        <v/>
      </c>
      <c r="B649" t="str">
        <f>IF($K649="","",INDEX(Конструктор!$C$2:$C$1212,$K649))</f>
        <v/>
      </c>
      <c r="C649" s="8" t="str">
        <f>IF($K649="","",INDEX(Конструктор!$D$2:$D$1212,$K649)&amp;IF(INDEX(Конструктор!$J$2:$J$1212,$K649)&lt;&gt;""," — "&amp;INDEX(Конструктор!$J$2:$J$1212,$K649),""))</f>
        <v/>
      </c>
      <c r="D649" t="str">
        <f>IF($K649="","",INDEX(Конструктор!$E$2:$E$1212,$K649))</f>
        <v/>
      </c>
      <c r="E649" s="10" t="str">
        <f>IF($K649="","",INDEX(Конструктор!$H$2:$H$1212,$K649))</f>
        <v/>
      </c>
      <c r="F649" s="10" t="str">
        <f>IF($K649="","",INDEX(Конструктор!$L$2:$L$1212,$K649))</f>
        <v/>
      </c>
      <c r="G649" s="10" t="str">
        <f>IF($K649="","",INDEX(Конструктор!$M$2:$M$1212,$K649))</f>
        <v/>
      </c>
      <c r="H649" s="10" t="str">
        <f>IF($K649="","",INDEX(Конструктор!$N$2:$N$1212,$K649))</f>
        <v/>
      </c>
      <c r="I649" s="10" t="str">
        <f>IF($K649="","",INDEX(Конструктор!$O$2:$O$1212,$K649))</f>
        <v/>
      </c>
      <c r="J649" s="10" t="str">
        <f>IF($K649="","",INDEX(Конструктор!$P$2:$P$1212,$K649))</f>
        <v/>
      </c>
      <c r="K649" t="str">
        <f>IFERROR(MATCH(629,Конструктор!$T$2:$T$1212,0),"")</f>
        <v/>
      </c>
      <c r="L649" t="str">
        <f t="shared" si="9"/>
        <v/>
      </c>
    </row>
    <row r="650" spans="1:12" hidden="1" x14ac:dyDescent="0.3">
      <c r="A650" t="str">
        <f>IF($K650="","",630)</f>
        <v/>
      </c>
      <c r="B650" t="str">
        <f>IF($K650="","",INDEX(Конструктор!$C$2:$C$1212,$K650))</f>
        <v/>
      </c>
      <c r="C650" s="8" t="str">
        <f>IF($K650="","",INDEX(Конструктор!$D$2:$D$1212,$K650)&amp;IF(INDEX(Конструктор!$J$2:$J$1212,$K650)&lt;&gt;""," — "&amp;INDEX(Конструктор!$J$2:$J$1212,$K650),""))</f>
        <v/>
      </c>
      <c r="D650" t="str">
        <f>IF($K650="","",INDEX(Конструктор!$E$2:$E$1212,$K650))</f>
        <v/>
      </c>
      <c r="E650" s="10" t="str">
        <f>IF($K650="","",INDEX(Конструктор!$H$2:$H$1212,$K650))</f>
        <v/>
      </c>
      <c r="F650" s="10" t="str">
        <f>IF($K650="","",INDEX(Конструктор!$L$2:$L$1212,$K650))</f>
        <v/>
      </c>
      <c r="G650" s="10" t="str">
        <f>IF($K650="","",INDEX(Конструктор!$M$2:$M$1212,$K650))</f>
        <v/>
      </c>
      <c r="H650" s="10" t="str">
        <f>IF($K650="","",INDEX(Конструктор!$N$2:$N$1212,$K650))</f>
        <v/>
      </c>
      <c r="I650" s="10" t="str">
        <f>IF($K650="","",INDEX(Конструктор!$O$2:$O$1212,$K650))</f>
        <v/>
      </c>
      <c r="J650" s="10" t="str">
        <f>IF($K650="","",INDEX(Конструктор!$P$2:$P$1212,$K650))</f>
        <v/>
      </c>
      <c r="K650" t="str">
        <f>IFERROR(MATCH(630,Конструктор!$T$2:$T$1212,0),"")</f>
        <v/>
      </c>
      <c r="L650" t="str">
        <f t="shared" si="9"/>
        <v/>
      </c>
    </row>
    <row r="651" spans="1:12" hidden="1" x14ac:dyDescent="0.3">
      <c r="A651" t="str">
        <f>IF($K651="","",631)</f>
        <v/>
      </c>
      <c r="B651" t="str">
        <f>IF($K651="","",INDEX(Конструктор!$C$2:$C$1212,$K651))</f>
        <v/>
      </c>
      <c r="C651" s="8" t="str">
        <f>IF($K651="","",INDEX(Конструктор!$D$2:$D$1212,$K651)&amp;IF(INDEX(Конструктор!$J$2:$J$1212,$K651)&lt;&gt;""," — "&amp;INDEX(Конструктор!$J$2:$J$1212,$K651),""))</f>
        <v/>
      </c>
      <c r="D651" t="str">
        <f>IF($K651="","",INDEX(Конструктор!$E$2:$E$1212,$K651))</f>
        <v/>
      </c>
      <c r="E651" s="10" t="str">
        <f>IF($K651="","",INDEX(Конструктор!$H$2:$H$1212,$K651))</f>
        <v/>
      </c>
      <c r="F651" s="10" t="str">
        <f>IF($K651="","",INDEX(Конструктор!$L$2:$L$1212,$K651))</f>
        <v/>
      </c>
      <c r="G651" s="10" t="str">
        <f>IF($K651="","",INDEX(Конструктор!$M$2:$M$1212,$K651))</f>
        <v/>
      </c>
      <c r="H651" s="10" t="str">
        <f>IF($K651="","",INDEX(Конструктор!$N$2:$N$1212,$K651))</f>
        <v/>
      </c>
      <c r="I651" s="10" t="str">
        <f>IF($K651="","",INDEX(Конструктор!$O$2:$O$1212,$K651))</f>
        <v/>
      </c>
      <c r="J651" s="10" t="str">
        <f>IF($K651="","",INDEX(Конструктор!$P$2:$P$1212,$K651))</f>
        <v/>
      </c>
      <c r="K651" t="str">
        <f>IFERROR(MATCH(631,Конструктор!$T$2:$T$1212,0),"")</f>
        <v/>
      </c>
      <c r="L651" t="str">
        <f t="shared" si="9"/>
        <v/>
      </c>
    </row>
    <row r="652" spans="1:12" hidden="1" x14ac:dyDescent="0.3">
      <c r="A652" t="str">
        <f>IF($K652="","",632)</f>
        <v/>
      </c>
      <c r="B652" t="str">
        <f>IF($K652="","",INDEX(Конструктор!$C$2:$C$1212,$K652))</f>
        <v/>
      </c>
      <c r="C652" s="8" t="str">
        <f>IF($K652="","",INDEX(Конструктор!$D$2:$D$1212,$K652)&amp;IF(INDEX(Конструктор!$J$2:$J$1212,$K652)&lt;&gt;""," — "&amp;INDEX(Конструктор!$J$2:$J$1212,$K652),""))</f>
        <v/>
      </c>
      <c r="D652" t="str">
        <f>IF($K652="","",INDEX(Конструктор!$E$2:$E$1212,$K652))</f>
        <v/>
      </c>
      <c r="E652" s="10" t="str">
        <f>IF($K652="","",INDEX(Конструктор!$H$2:$H$1212,$K652))</f>
        <v/>
      </c>
      <c r="F652" s="10" t="str">
        <f>IF($K652="","",INDEX(Конструктор!$L$2:$L$1212,$K652))</f>
        <v/>
      </c>
      <c r="G652" s="10" t="str">
        <f>IF($K652="","",INDEX(Конструктор!$M$2:$M$1212,$K652))</f>
        <v/>
      </c>
      <c r="H652" s="10" t="str">
        <f>IF($K652="","",INDEX(Конструктор!$N$2:$N$1212,$K652))</f>
        <v/>
      </c>
      <c r="I652" s="10" t="str">
        <f>IF($K652="","",INDEX(Конструктор!$O$2:$O$1212,$K652))</f>
        <v/>
      </c>
      <c r="J652" s="10" t="str">
        <f>IF($K652="","",INDEX(Конструктор!$P$2:$P$1212,$K652))</f>
        <v/>
      </c>
      <c r="K652" t="str">
        <f>IFERROR(MATCH(632,Конструктор!$T$2:$T$1212,0),"")</f>
        <v/>
      </c>
      <c r="L652" t="str">
        <f t="shared" si="9"/>
        <v/>
      </c>
    </row>
    <row r="653" spans="1:12" hidden="1" x14ac:dyDescent="0.3">
      <c r="A653" t="str">
        <f>IF($K653="","",633)</f>
        <v/>
      </c>
      <c r="B653" t="str">
        <f>IF($K653="","",INDEX(Конструктор!$C$2:$C$1212,$K653))</f>
        <v/>
      </c>
      <c r="C653" s="8" t="str">
        <f>IF($K653="","",INDEX(Конструктор!$D$2:$D$1212,$K653)&amp;IF(INDEX(Конструктор!$J$2:$J$1212,$K653)&lt;&gt;""," — "&amp;INDEX(Конструктор!$J$2:$J$1212,$K653),""))</f>
        <v/>
      </c>
      <c r="D653" t="str">
        <f>IF($K653="","",INDEX(Конструктор!$E$2:$E$1212,$K653))</f>
        <v/>
      </c>
      <c r="E653" s="10" t="str">
        <f>IF($K653="","",INDEX(Конструктор!$H$2:$H$1212,$K653))</f>
        <v/>
      </c>
      <c r="F653" s="10" t="str">
        <f>IF($K653="","",INDEX(Конструктор!$L$2:$L$1212,$K653))</f>
        <v/>
      </c>
      <c r="G653" s="10" t="str">
        <f>IF($K653="","",INDEX(Конструктор!$M$2:$M$1212,$K653))</f>
        <v/>
      </c>
      <c r="H653" s="10" t="str">
        <f>IF($K653="","",INDEX(Конструктор!$N$2:$N$1212,$K653))</f>
        <v/>
      </c>
      <c r="I653" s="10" t="str">
        <f>IF($K653="","",INDEX(Конструктор!$O$2:$O$1212,$K653))</f>
        <v/>
      </c>
      <c r="J653" s="10" t="str">
        <f>IF($K653="","",INDEX(Конструктор!$P$2:$P$1212,$K653))</f>
        <v/>
      </c>
      <c r="K653" t="str">
        <f>IFERROR(MATCH(633,Конструктор!$T$2:$T$1212,0),"")</f>
        <v/>
      </c>
      <c r="L653" t="str">
        <f t="shared" si="9"/>
        <v/>
      </c>
    </row>
    <row r="654" spans="1:12" hidden="1" x14ac:dyDescent="0.3">
      <c r="A654" t="str">
        <f>IF($K654="","",634)</f>
        <v/>
      </c>
      <c r="B654" t="str">
        <f>IF($K654="","",INDEX(Конструктор!$C$2:$C$1212,$K654))</f>
        <v/>
      </c>
      <c r="C654" s="8" t="str">
        <f>IF($K654="","",INDEX(Конструктор!$D$2:$D$1212,$K654)&amp;IF(INDEX(Конструктор!$J$2:$J$1212,$K654)&lt;&gt;""," — "&amp;INDEX(Конструктор!$J$2:$J$1212,$K654),""))</f>
        <v/>
      </c>
      <c r="D654" t="str">
        <f>IF($K654="","",INDEX(Конструктор!$E$2:$E$1212,$K654))</f>
        <v/>
      </c>
      <c r="E654" s="10" t="str">
        <f>IF($K654="","",INDEX(Конструктор!$H$2:$H$1212,$K654))</f>
        <v/>
      </c>
      <c r="F654" s="10" t="str">
        <f>IF($K654="","",INDEX(Конструктор!$L$2:$L$1212,$K654))</f>
        <v/>
      </c>
      <c r="G654" s="10" t="str">
        <f>IF($K654="","",INDEX(Конструктор!$M$2:$M$1212,$K654))</f>
        <v/>
      </c>
      <c r="H654" s="10" t="str">
        <f>IF($K654="","",INDEX(Конструктор!$N$2:$N$1212,$K654))</f>
        <v/>
      </c>
      <c r="I654" s="10" t="str">
        <f>IF($K654="","",INDEX(Конструктор!$O$2:$O$1212,$K654))</f>
        <v/>
      </c>
      <c r="J654" s="10" t="str">
        <f>IF($K654="","",INDEX(Конструктор!$P$2:$P$1212,$K654))</f>
        <v/>
      </c>
      <c r="K654" t="str">
        <f>IFERROR(MATCH(634,Конструктор!$T$2:$T$1212,0),"")</f>
        <v/>
      </c>
      <c r="L654" t="str">
        <f t="shared" si="9"/>
        <v/>
      </c>
    </row>
    <row r="655" spans="1:12" hidden="1" x14ac:dyDescent="0.3">
      <c r="A655" t="str">
        <f>IF($K655="","",635)</f>
        <v/>
      </c>
      <c r="B655" t="str">
        <f>IF($K655="","",INDEX(Конструктор!$C$2:$C$1212,$K655))</f>
        <v/>
      </c>
      <c r="C655" s="8" t="str">
        <f>IF($K655="","",INDEX(Конструктор!$D$2:$D$1212,$K655)&amp;IF(INDEX(Конструктор!$J$2:$J$1212,$K655)&lt;&gt;""," — "&amp;INDEX(Конструктор!$J$2:$J$1212,$K655),""))</f>
        <v/>
      </c>
      <c r="D655" t="str">
        <f>IF($K655="","",INDEX(Конструктор!$E$2:$E$1212,$K655))</f>
        <v/>
      </c>
      <c r="E655" s="10" t="str">
        <f>IF($K655="","",INDEX(Конструктор!$H$2:$H$1212,$K655))</f>
        <v/>
      </c>
      <c r="F655" s="10" t="str">
        <f>IF($K655="","",INDEX(Конструктор!$L$2:$L$1212,$K655))</f>
        <v/>
      </c>
      <c r="G655" s="10" t="str">
        <f>IF($K655="","",INDEX(Конструктор!$M$2:$M$1212,$K655))</f>
        <v/>
      </c>
      <c r="H655" s="10" t="str">
        <f>IF($K655="","",INDEX(Конструктор!$N$2:$N$1212,$K655))</f>
        <v/>
      </c>
      <c r="I655" s="10" t="str">
        <f>IF($K655="","",INDEX(Конструктор!$O$2:$O$1212,$K655))</f>
        <v/>
      </c>
      <c r="J655" s="10" t="str">
        <f>IF($K655="","",INDEX(Конструктор!$P$2:$P$1212,$K655))</f>
        <v/>
      </c>
      <c r="K655" t="str">
        <f>IFERROR(MATCH(635,Конструктор!$T$2:$T$1212,0),"")</f>
        <v/>
      </c>
      <c r="L655" t="str">
        <f t="shared" si="9"/>
        <v/>
      </c>
    </row>
    <row r="656" spans="1:12" hidden="1" x14ac:dyDescent="0.3">
      <c r="A656" t="str">
        <f>IF($K656="","",636)</f>
        <v/>
      </c>
      <c r="B656" t="str">
        <f>IF($K656="","",INDEX(Конструктор!$C$2:$C$1212,$K656))</f>
        <v/>
      </c>
      <c r="C656" s="8" t="str">
        <f>IF($K656="","",INDEX(Конструктор!$D$2:$D$1212,$K656)&amp;IF(INDEX(Конструктор!$J$2:$J$1212,$K656)&lt;&gt;""," — "&amp;INDEX(Конструктор!$J$2:$J$1212,$K656),""))</f>
        <v/>
      </c>
      <c r="D656" t="str">
        <f>IF($K656="","",INDEX(Конструктор!$E$2:$E$1212,$K656))</f>
        <v/>
      </c>
      <c r="E656" s="10" t="str">
        <f>IF($K656="","",INDEX(Конструктор!$H$2:$H$1212,$K656))</f>
        <v/>
      </c>
      <c r="F656" s="10" t="str">
        <f>IF($K656="","",INDEX(Конструктор!$L$2:$L$1212,$K656))</f>
        <v/>
      </c>
      <c r="G656" s="10" t="str">
        <f>IF($K656="","",INDEX(Конструктор!$M$2:$M$1212,$K656))</f>
        <v/>
      </c>
      <c r="H656" s="10" t="str">
        <f>IF($K656="","",INDEX(Конструктор!$N$2:$N$1212,$K656))</f>
        <v/>
      </c>
      <c r="I656" s="10" t="str">
        <f>IF($K656="","",INDEX(Конструктор!$O$2:$O$1212,$K656))</f>
        <v/>
      </c>
      <c r="J656" s="10" t="str">
        <f>IF($K656="","",INDEX(Конструктор!$P$2:$P$1212,$K656))</f>
        <v/>
      </c>
      <c r="K656" t="str">
        <f>IFERROR(MATCH(636,Конструктор!$T$2:$T$1212,0),"")</f>
        <v/>
      </c>
      <c r="L656" t="str">
        <f t="shared" si="9"/>
        <v/>
      </c>
    </row>
    <row r="657" spans="1:12" hidden="1" x14ac:dyDescent="0.3">
      <c r="A657" t="str">
        <f>IF($K657="","",637)</f>
        <v/>
      </c>
      <c r="B657" t="str">
        <f>IF($K657="","",INDEX(Конструктор!$C$2:$C$1212,$K657))</f>
        <v/>
      </c>
      <c r="C657" s="8" t="str">
        <f>IF($K657="","",INDEX(Конструктор!$D$2:$D$1212,$K657)&amp;IF(INDEX(Конструктор!$J$2:$J$1212,$K657)&lt;&gt;""," — "&amp;INDEX(Конструктор!$J$2:$J$1212,$K657),""))</f>
        <v/>
      </c>
      <c r="D657" t="str">
        <f>IF($K657="","",INDEX(Конструктор!$E$2:$E$1212,$K657))</f>
        <v/>
      </c>
      <c r="E657" s="10" t="str">
        <f>IF($K657="","",INDEX(Конструктор!$H$2:$H$1212,$K657))</f>
        <v/>
      </c>
      <c r="F657" s="10" t="str">
        <f>IF($K657="","",INDEX(Конструктор!$L$2:$L$1212,$K657))</f>
        <v/>
      </c>
      <c r="G657" s="10" t="str">
        <f>IF($K657="","",INDEX(Конструктор!$M$2:$M$1212,$K657))</f>
        <v/>
      </c>
      <c r="H657" s="10" t="str">
        <f>IF($K657="","",INDEX(Конструктор!$N$2:$N$1212,$K657))</f>
        <v/>
      </c>
      <c r="I657" s="10" t="str">
        <f>IF($K657="","",INDEX(Конструктор!$O$2:$O$1212,$K657))</f>
        <v/>
      </c>
      <c r="J657" s="10" t="str">
        <f>IF($K657="","",INDEX(Конструктор!$P$2:$P$1212,$K657))</f>
        <v/>
      </c>
      <c r="K657" t="str">
        <f>IFERROR(MATCH(637,Конструктор!$T$2:$T$1212,0),"")</f>
        <v/>
      </c>
      <c r="L657" t="str">
        <f t="shared" si="9"/>
        <v/>
      </c>
    </row>
    <row r="658" spans="1:12" hidden="1" x14ac:dyDescent="0.3">
      <c r="A658" t="str">
        <f>IF($K658="","",638)</f>
        <v/>
      </c>
      <c r="B658" t="str">
        <f>IF($K658="","",INDEX(Конструктор!$C$2:$C$1212,$K658))</f>
        <v/>
      </c>
      <c r="C658" s="8" t="str">
        <f>IF($K658="","",INDEX(Конструктор!$D$2:$D$1212,$K658)&amp;IF(INDEX(Конструктор!$J$2:$J$1212,$K658)&lt;&gt;""," — "&amp;INDEX(Конструктор!$J$2:$J$1212,$K658),""))</f>
        <v/>
      </c>
      <c r="D658" t="str">
        <f>IF($K658="","",INDEX(Конструктор!$E$2:$E$1212,$K658))</f>
        <v/>
      </c>
      <c r="E658" s="10" t="str">
        <f>IF($K658="","",INDEX(Конструктор!$H$2:$H$1212,$K658))</f>
        <v/>
      </c>
      <c r="F658" s="10" t="str">
        <f>IF($K658="","",INDEX(Конструктор!$L$2:$L$1212,$K658))</f>
        <v/>
      </c>
      <c r="G658" s="10" t="str">
        <f>IF($K658="","",INDEX(Конструктор!$M$2:$M$1212,$K658))</f>
        <v/>
      </c>
      <c r="H658" s="10" t="str">
        <f>IF($K658="","",INDEX(Конструктор!$N$2:$N$1212,$K658))</f>
        <v/>
      </c>
      <c r="I658" s="10" t="str">
        <f>IF($K658="","",INDEX(Конструктор!$O$2:$O$1212,$K658))</f>
        <v/>
      </c>
      <c r="J658" s="10" t="str">
        <f>IF($K658="","",INDEX(Конструктор!$P$2:$P$1212,$K658))</f>
        <v/>
      </c>
      <c r="K658" t="str">
        <f>IFERROR(MATCH(638,Конструктор!$T$2:$T$1212,0),"")</f>
        <v/>
      </c>
      <c r="L658" t="str">
        <f t="shared" si="9"/>
        <v/>
      </c>
    </row>
    <row r="659" spans="1:12" hidden="1" x14ac:dyDescent="0.3">
      <c r="A659" t="str">
        <f>IF($K659="","",639)</f>
        <v/>
      </c>
      <c r="B659" t="str">
        <f>IF($K659="","",INDEX(Конструктор!$C$2:$C$1212,$K659))</f>
        <v/>
      </c>
      <c r="C659" s="8" t="str">
        <f>IF($K659="","",INDEX(Конструктор!$D$2:$D$1212,$K659)&amp;IF(INDEX(Конструктор!$J$2:$J$1212,$K659)&lt;&gt;""," — "&amp;INDEX(Конструктор!$J$2:$J$1212,$K659),""))</f>
        <v/>
      </c>
      <c r="D659" t="str">
        <f>IF($K659="","",INDEX(Конструктор!$E$2:$E$1212,$K659))</f>
        <v/>
      </c>
      <c r="E659" s="10" t="str">
        <f>IF($K659="","",INDEX(Конструктор!$H$2:$H$1212,$K659))</f>
        <v/>
      </c>
      <c r="F659" s="10" t="str">
        <f>IF($K659="","",INDEX(Конструктор!$L$2:$L$1212,$K659))</f>
        <v/>
      </c>
      <c r="G659" s="10" t="str">
        <f>IF($K659="","",INDEX(Конструктор!$M$2:$M$1212,$K659))</f>
        <v/>
      </c>
      <c r="H659" s="10" t="str">
        <f>IF($K659="","",INDEX(Конструктор!$N$2:$N$1212,$K659))</f>
        <v/>
      </c>
      <c r="I659" s="10" t="str">
        <f>IF($K659="","",INDEX(Конструктор!$O$2:$O$1212,$K659))</f>
        <v/>
      </c>
      <c r="J659" s="10" t="str">
        <f>IF($K659="","",INDEX(Конструктор!$P$2:$P$1212,$K659))</f>
        <v/>
      </c>
      <c r="K659" t="str">
        <f>IFERROR(MATCH(639,Конструктор!$T$2:$T$1212,0),"")</f>
        <v/>
      </c>
      <c r="L659" t="str">
        <f t="shared" si="9"/>
        <v/>
      </c>
    </row>
    <row r="660" spans="1:12" hidden="1" x14ac:dyDescent="0.3">
      <c r="A660" t="str">
        <f>IF($K660="","",640)</f>
        <v/>
      </c>
      <c r="B660" t="str">
        <f>IF($K660="","",INDEX(Конструктор!$C$2:$C$1212,$K660))</f>
        <v/>
      </c>
      <c r="C660" s="8" t="str">
        <f>IF($K660="","",INDEX(Конструктор!$D$2:$D$1212,$K660)&amp;IF(INDEX(Конструктор!$J$2:$J$1212,$K660)&lt;&gt;""," — "&amp;INDEX(Конструктор!$J$2:$J$1212,$K660),""))</f>
        <v/>
      </c>
      <c r="D660" t="str">
        <f>IF($K660="","",INDEX(Конструктор!$E$2:$E$1212,$K660))</f>
        <v/>
      </c>
      <c r="E660" s="10" t="str">
        <f>IF($K660="","",INDEX(Конструктор!$H$2:$H$1212,$K660))</f>
        <v/>
      </c>
      <c r="F660" s="10" t="str">
        <f>IF($K660="","",INDEX(Конструктор!$L$2:$L$1212,$K660))</f>
        <v/>
      </c>
      <c r="G660" s="10" t="str">
        <f>IF($K660="","",INDEX(Конструктор!$M$2:$M$1212,$K660))</f>
        <v/>
      </c>
      <c r="H660" s="10" t="str">
        <f>IF($K660="","",INDEX(Конструктор!$N$2:$N$1212,$K660))</f>
        <v/>
      </c>
      <c r="I660" s="10" t="str">
        <f>IF($K660="","",INDEX(Конструктор!$O$2:$O$1212,$K660))</f>
        <v/>
      </c>
      <c r="J660" s="10" t="str">
        <f>IF($K660="","",INDEX(Конструктор!$P$2:$P$1212,$K660))</f>
        <v/>
      </c>
      <c r="K660" t="str">
        <f>IFERROR(MATCH(640,Конструктор!$T$2:$T$1212,0),"")</f>
        <v/>
      </c>
      <c r="L660" t="str">
        <f t="shared" si="9"/>
        <v/>
      </c>
    </row>
    <row r="661" spans="1:12" hidden="1" x14ac:dyDescent="0.3">
      <c r="A661" t="str">
        <f>IF($K661="","",641)</f>
        <v/>
      </c>
      <c r="B661" t="str">
        <f>IF($K661="","",INDEX(Конструктор!$C$2:$C$1212,$K661))</f>
        <v/>
      </c>
      <c r="C661" s="8" t="str">
        <f>IF($K661="","",INDEX(Конструктор!$D$2:$D$1212,$K661)&amp;IF(INDEX(Конструктор!$J$2:$J$1212,$K661)&lt;&gt;""," — "&amp;INDEX(Конструктор!$J$2:$J$1212,$K661),""))</f>
        <v/>
      </c>
      <c r="D661" t="str">
        <f>IF($K661="","",INDEX(Конструктор!$E$2:$E$1212,$K661))</f>
        <v/>
      </c>
      <c r="E661" s="10" t="str">
        <f>IF($K661="","",INDEX(Конструктор!$H$2:$H$1212,$K661))</f>
        <v/>
      </c>
      <c r="F661" s="10" t="str">
        <f>IF($K661="","",INDEX(Конструктор!$L$2:$L$1212,$K661))</f>
        <v/>
      </c>
      <c r="G661" s="10" t="str">
        <f>IF($K661="","",INDEX(Конструктор!$M$2:$M$1212,$K661))</f>
        <v/>
      </c>
      <c r="H661" s="10" t="str">
        <f>IF($K661="","",INDEX(Конструктор!$N$2:$N$1212,$K661))</f>
        <v/>
      </c>
      <c r="I661" s="10" t="str">
        <f>IF($K661="","",INDEX(Конструктор!$O$2:$O$1212,$K661))</f>
        <v/>
      </c>
      <c r="J661" s="10" t="str">
        <f>IF($K661="","",INDEX(Конструктор!$P$2:$P$1212,$K661))</f>
        <v/>
      </c>
      <c r="K661" t="str">
        <f>IFERROR(MATCH(641,Конструктор!$T$2:$T$1212,0),"")</f>
        <v/>
      </c>
      <c r="L661" t="str">
        <f t="shared" ref="L661:L724" si="10">IF($K661="","","показать")</f>
        <v/>
      </c>
    </row>
    <row r="662" spans="1:12" hidden="1" x14ac:dyDescent="0.3">
      <c r="A662" t="str">
        <f>IF($K662="","",642)</f>
        <v/>
      </c>
      <c r="B662" t="str">
        <f>IF($K662="","",INDEX(Конструктор!$C$2:$C$1212,$K662))</f>
        <v/>
      </c>
      <c r="C662" s="8" t="str">
        <f>IF($K662="","",INDEX(Конструктор!$D$2:$D$1212,$K662)&amp;IF(INDEX(Конструктор!$J$2:$J$1212,$K662)&lt;&gt;""," — "&amp;INDEX(Конструктор!$J$2:$J$1212,$K662),""))</f>
        <v/>
      </c>
      <c r="D662" t="str">
        <f>IF($K662="","",INDEX(Конструктор!$E$2:$E$1212,$K662))</f>
        <v/>
      </c>
      <c r="E662" s="10" t="str">
        <f>IF($K662="","",INDEX(Конструктор!$H$2:$H$1212,$K662))</f>
        <v/>
      </c>
      <c r="F662" s="10" t="str">
        <f>IF($K662="","",INDEX(Конструктор!$L$2:$L$1212,$K662))</f>
        <v/>
      </c>
      <c r="G662" s="10" t="str">
        <f>IF($K662="","",INDEX(Конструктор!$M$2:$M$1212,$K662))</f>
        <v/>
      </c>
      <c r="H662" s="10" t="str">
        <f>IF($K662="","",INDEX(Конструктор!$N$2:$N$1212,$K662))</f>
        <v/>
      </c>
      <c r="I662" s="10" t="str">
        <f>IF($K662="","",INDEX(Конструктор!$O$2:$O$1212,$K662))</f>
        <v/>
      </c>
      <c r="J662" s="10" t="str">
        <f>IF($K662="","",INDEX(Конструктор!$P$2:$P$1212,$K662))</f>
        <v/>
      </c>
      <c r="K662" t="str">
        <f>IFERROR(MATCH(642,Конструктор!$T$2:$T$1212,0),"")</f>
        <v/>
      </c>
      <c r="L662" t="str">
        <f t="shared" si="10"/>
        <v/>
      </c>
    </row>
    <row r="663" spans="1:12" hidden="1" x14ac:dyDescent="0.3">
      <c r="A663" t="str">
        <f>IF($K663="","",643)</f>
        <v/>
      </c>
      <c r="B663" t="str">
        <f>IF($K663="","",INDEX(Конструктор!$C$2:$C$1212,$K663))</f>
        <v/>
      </c>
      <c r="C663" s="8" t="str">
        <f>IF($K663="","",INDEX(Конструктор!$D$2:$D$1212,$K663)&amp;IF(INDEX(Конструктор!$J$2:$J$1212,$K663)&lt;&gt;""," — "&amp;INDEX(Конструктор!$J$2:$J$1212,$K663),""))</f>
        <v/>
      </c>
      <c r="D663" t="str">
        <f>IF($K663="","",INDEX(Конструктор!$E$2:$E$1212,$K663))</f>
        <v/>
      </c>
      <c r="E663" s="10" t="str">
        <f>IF($K663="","",INDEX(Конструктор!$H$2:$H$1212,$K663))</f>
        <v/>
      </c>
      <c r="F663" s="10" t="str">
        <f>IF($K663="","",INDEX(Конструктор!$L$2:$L$1212,$K663))</f>
        <v/>
      </c>
      <c r="G663" s="10" t="str">
        <f>IF($K663="","",INDEX(Конструктор!$M$2:$M$1212,$K663))</f>
        <v/>
      </c>
      <c r="H663" s="10" t="str">
        <f>IF($K663="","",INDEX(Конструктор!$N$2:$N$1212,$K663))</f>
        <v/>
      </c>
      <c r="I663" s="10" t="str">
        <f>IF($K663="","",INDEX(Конструктор!$O$2:$O$1212,$K663))</f>
        <v/>
      </c>
      <c r="J663" s="10" t="str">
        <f>IF($K663="","",INDEX(Конструктор!$P$2:$P$1212,$K663))</f>
        <v/>
      </c>
      <c r="K663" t="str">
        <f>IFERROR(MATCH(643,Конструктор!$T$2:$T$1212,0),"")</f>
        <v/>
      </c>
      <c r="L663" t="str">
        <f t="shared" si="10"/>
        <v/>
      </c>
    </row>
    <row r="664" spans="1:12" hidden="1" x14ac:dyDescent="0.3">
      <c r="A664" t="str">
        <f>IF($K664="","",644)</f>
        <v/>
      </c>
      <c r="B664" t="str">
        <f>IF($K664="","",INDEX(Конструктор!$C$2:$C$1212,$K664))</f>
        <v/>
      </c>
      <c r="C664" s="8" t="str">
        <f>IF($K664="","",INDEX(Конструктор!$D$2:$D$1212,$K664)&amp;IF(INDEX(Конструктор!$J$2:$J$1212,$K664)&lt;&gt;""," — "&amp;INDEX(Конструктор!$J$2:$J$1212,$K664),""))</f>
        <v/>
      </c>
      <c r="D664" t="str">
        <f>IF($K664="","",INDEX(Конструктор!$E$2:$E$1212,$K664))</f>
        <v/>
      </c>
      <c r="E664" s="10" t="str">
        <f>IF($K664="","",INDEX(Конструктор!$H$2:$H$1212,$K664))</f>
        <v/>
      </c>
      <c r="F664" s="10" t="str">
        <f>IF($K664="","",INDEX(Конструктор!$L$2:$L$1212,$K664))</f>
        <v/>
      </c>
      <c r="G664" s="10" t="str">
        <f>IF($K664="","",INDEX(Конструктор!$M$2:$M$1212,$K664))</f>
        <v/>
      </c>
      <c r="H664" s="10" t="str">
        <f>IF($K664="","",INDEX(Конструктор!$N$2:$N$1212,$K664))</f>
        <v/>
      </c>
      <c r="I664" s="10" t="str">
        <f>IF($K664="","",INDEX(Конструктор!$O$2:$O$1212,$K664))</f>
        <v/>
      </c>
      <c r="J664" s="10" t="str">
        <f>IF($K664="","",INDEX(Конструктор!$P$2:$P$1212,$K664))</f>
        <v/>
      </c>
      <c r="K664" t="str">
        <f>IFERROR(MATCH(644,Конструктор!$T$2:$T$1212,0),"")</f>
        <v/>
      </c>
      <c r="L664" t="str">
        <f t="shared" si="10"/>
        <v/>
      </c>
    </row>
    <row r="665" spans="1:12" hidden="1" x14ac:dyDescent="0.3">
      <c r="A665" t="str">
        <f>IF($K665="","",645)</f>
        <v/>
      </c>
      <c r="B665" t="str">
        <f>IF($K665="","",INDEX(Конструктор!$C$2:$C$1212,$K665))</f>
        <v/>
      </c>
      <c r="C665" s="8" t="str">
        <f>IF($K665="","",INDEX(Конструктор!$D$2:$D$1212,$K665)&amp;IF(INDEX(Конструктор!$J$2:$J$1212,$K665)&lt;&gt;""," — "&amp;INDEX(Конструктор!$J$2:$J$1212,$K665),""))</f>
        <v/>
      </c>
      <c r="D665" t="str">
        <f>IF($K665="","",INDEX(Конструктор!$E$2:$E$1212,$K665))</f>
        <v/>
      </c>
      <c r="E665" s="10" t="str">
        <f>IF($K665="","",INDEX(Конструктор!$H$2:$H$1212,$K665))</f>
        <v/>
      </c>
      <c r="F665" s="10" t="str">
        <f>IF($K665="","",INDEX(Конструктор!$L$2:$L$1212,$K665))</f>
        <v/>
      </c>
      <c r="G665" s="10" t="str">
        <f>IF($K665="","",INDEX(Конструктор!$M$2:$M$1212,$K665))</f>
        <v/>
      </c>
      <c r="H665" s="10" t="str">
        <f>IF($K665="","",INDEX(Конструктор!$N$2:$N$1212,$K665))</f>
        <v/>
      </c>
      <c r="I665" s="10" t="str">
        <f>IF($K665="","",INDEX(Конструктор!$O$2:$O$1212,$K665))</f>
        <v/>
      </c>
      <c r="J665" s="10" t="str">
        <f>IF($K665="","",INDEX(Конструктор!$P$2:$P$1212,$K665))</f>
        <v/>
      </c>
      <c r="K665" t="str">
        <f>IFERROR(MATCH(645,Конструктор!$T$2:$T$1212,0),"")</f>
        <v/>
      </c>
      <c r="L665" t="str">
        <f t="shared" si="10"/>
        <v/>
      </c>
    </row>
    <row r="666" spans="1:12" hidden="1" x14ac:dyDescent="0.3">
      <c r="A666" t="str">
        <f>IF($K666="","",646)</f>
        <v/>
      </c>
      <c r="B666" t="str">
        <f>IF($K666="","",INDEX(Конструктор!$C$2:$C$1212,$K666))</f>
        <v/>
      </c>
      <c r="C666" s="8" t="str">
        <f>IF($K666="","",INDEX(Конструктор!$D$2:$D$1212,$K666)&amp;IF(INDEX(Конструктор!$J$2:$J$1212,$K666)&lt;&gt;""," — "&amp;INDEX(Конструктор!$J$2:$J$1212,$K666),""))</f>
        <v/>
      </c>
      <c r="D666" t="str">
        <f>IF($K666="","",INDEX(Конструктор!$E$2:$E$1212,$K666))</f>
        <v/>
      </c>
      <c r="E666" s="10" t="str">
        <f>IF($K666="","",INDEX(Конструктор!$H$2:$H$1212,$K666))</f>
        <v/>
      </c>
      <c r="F666" s="10" t="str">
        <f>IF($K666="","",INDEX(Конструктор!$L$2:$L$1212,$K666))</f>
        <v/>
      </c>
      <c r="G666" s="10" t="str">
        <f>IF($K666="","",INDEX(Конструктор!$M$2:$M$1212,$K666))</f>
        <v/>
      </c>
      <c r="H666" s="10" t="str">
        <f>IF($K666="","",INDEX(Конструктор!$N$2:$N$1212,$K666))</f>
        <v/>
      </c>
      <c r="I666" s="10" t="str">
        <f>IF($K666="","",INDEX(Конструктор!$O$2:$O$1212,$K666))</f>
        <v/>
      </c>
      <c r="J666" s="10" t="str">
        <f>IF($K666="","",INDEX(Конструктор!$P$2:$P$1212,$K666))</f>
        <v/>
      </c>
      <c r="K666" t="str">
        <f>IFERROR(MATCH(646,Конструктор!$T$2:$T$1212,0),"")</f>
        <v/>
      </c>
      <c r="L666" t="str">
        <f t="shared" si="10"/>
        <v/>
      </c>
    </row>
    <row r="667" spans="1:12" hidden="1" x14ac:dyDescent="0.3">
      <c r="A667" t="str">
        <f>IF($K667="","",647)</f>
        <v/>
      </c>
      <c r="B667" t="str">
        <f>IF($K667="","",INDEX(Конструктор!$C$2:$C$1212,$K667))</f>
        <v/>
      </c>
      <c r="C667" s="8" t="str">
        <f>IF($K667="","",INDEX(Конструктор!$D$2:$D$1212,$K667)&amp;IF(INDEX(Конструктор!$J$2:$J$1212,$K667)&lt;&gt;""," — "&amp;INDEX(Конструктор!$J$2:$J$1212,$K667),""))</f>
        <v/>
      </c>
      <c r="D667" t="str">
        <f>IF($K667="","",INDEX(Конструктор!$E$2:$E$1212,$K667))</f>
        <v/>
      </c>
      <c r="E667" s="10" t="str">
        <f>IF($K667="","",INDEX(Конструктор!$H$2:$H$1212,$K667))</f>
        <v/>
      </c>
      <c r="F667" s="10" t="str">
        <f>IF($K667="","",INDEX(Конструктор!$L$2:$L$1212,$K667))</f>
        <v/>
      </c>
      <c r="G667" s="10" t="str">
        <f>IF($K667="","",INDEX(Конструктор!$M$2:$M$1212,$K667))</f>
        <v/>
      </c>
      <c r="H667" s="10" t="str">
        <f>IF($K667="","",INDEX(Конструктор!$N$2:$N$1212,$K667))</f>
        <v/>
      </c>
      <c r="I667" s="10" t="str">
        <f>IF($K667="","",INDEX(Конструктор!$O$2:$O$1212,$K667))</f>
        <v/>
      </c>
      <c r="J667" s="10" t="str">
        <f>IF($K667="","",INDEX(Конструктор!$P$2:$P$1212,$K667))</f>
        <v/>
      </c>
      <c r="K667" t="str">
        <f>IFERROR(MATCH(647,Конструктор!$T$2:$T$1212,0),"")</f>
        <v/>
      </c>
      <c r="L667" t="str">
        <f t="shared" si="10"/>
        <v/>
      </c>
    </row>
    <row r="668" spans="1:12" hidden="1" x14ac:dyDescent="0.3">
      <c r="A668" t="str">
        <f>IF($K668="","",648)</f>
        <v/>
      </c>
      <c r="B668" t="str">
        <f>IF($K668="","",INDEX(Конструктор!$C$2:$C$1212,$K668))</f>
        <v/>
      </c>
      <c r="C668" s="8" t="str">
        <f>IF($K668="","",INDEX(Конструктор!$D$2:$D$1212,$K668)&amp;IF(INDEX(Конструктор!$J$2:$J$1212,$K668)&lt;&gt;""," — "&amp;INDEX(Конструктор!$J$2:$J$1212,$K668),""))</f>
        <v/>
      </c>
      <c r="D668" t="str">
        <f>IF($K668="","",INDEX(Конструктор!$E$2:$E$1212,$K668))</f>
        <v/>
      </c>
      <c r="E668" s="10" t="str">
        <f>IF($K668="","",INDEX(Конструктор!$H$2:$H$1212,$K668))</f>
        <v/>
      </c>
      <c r="F668" s="10" t="str">
        <f>IF($K668="","",INDEX(Конструктор!$L$2:$L$1212,$K668))</f>
        <v/>
      </c>
      <c r="G668" s="10" t="str">
        <f>IF($K668="","",INDEX(Конструктор!$M$2:$M$1212,$K668))</f>
        <v/>
      </c>
      <c r="H668" s="10" t="str">
        <f>IF($K668="","",INDEX(Конструктор!$N$2:$N$1212,$K668))</f>
        <v/>
      </c>
      <c r="I668" s="10" t="str">
        <f>IF($K668="","",INDEX(Конструктор!$O$2:$O$1212,$K668))</f>
        <v/>
      </c>
      <c r="J668" s="10" t="str">
        <f>IF($K668="","",INDEX(Конструктор!$P$2:$P$1212,$K668))</f>
        <v/>
      </c>
      <c r="K668" t="str">
        <f>IFERROR(MATCH(648,Конструктор!$T$2:$T$1212,0),"")</f>
        <v/>
      </c>
      <c r="L668" t="str">
        <f t="shared" si="10"/>
        <v/>
      </c>
    </row>
    <row r="669" spans="1:12" hidden="1" x14ac:dyDescent="0.3">
      <c r="A669" t="str">
        <f>IF($K669="","",649)</f>
        <v/>
      </c>
      <c r="B669" t="str">
        <f>IF($K669="","",INDEX(Конструктор!$C$2:$C$1212,$K669))</f>
        <v/>
      </c>
      <c r="C669" s="8" t="str">
        <f>IF($K669="","",INDEX(Конструктор!$D$2:$D$1212,$K669)&amp;IF(INDEX(Конструктор!$J$2:$J$1212,$K669)&lt;&gt;""," — "&amp;INDEX(Конструктор!$J$2:$J$1212,$K669),""))</f>
        <v/>
      </c>
      <c r="D669" t="str">
        <f>IF($K669="","",INDEX(Конструктор!$E$2:$E$1212,$K669))</f>
        <v/>
      </c>
      <c r="E669" s="10" t="str">
        <f>IF($K669="","",INDEX(Конструктор!$H$2:$H$1212,$K669))</f>
        <v/>
      </c>
      <c r="F669" s="10" t="str">
        <f>IF($K669="","",INDEX(Конструктор!$L$2:$L$1212,$K669))</f>
        <v/>
      </c>
      <c r="G669" s="10" t="str">
        <f>IF($K669="","",INDEX(Конструктор!$M$2:$M$1212,$K669))</f>
        <v/>
      </c>
      <c r="H669" s="10" t="str">
        <f>IF($K669="","",INDEX(Конструктор!$N$2:$N$1212,$K669))</f>
        <v/>
      </c>
      <c r="I669" s="10" t="str">
        <f>IF($K669="","",INDEX(Конструктор!$O$2:$O$1212,$K669))</f>
        <v/>
      </c>
      <c r="J669" s="10" t="str">
        <f>IF($K669="","",INDEX(Конструктор!$P$2:$P$1212,$K669))</f>
        <v/>
      </c>
      <c r="K669" t="str">
        <f>IFERROR(MATCH(649,Конструктор!$T$2:$T$1212,0),"")</f>
        <v/>
      </c>
      <c r="L669" t="str">
        <f t="shared" si="10"/>
        <v/>
      </c>
    </row>
    <row r="670" spans="1:12" hidden="1" x14ac:dyDescent="0.3">
      <c r="A670" t="str">
        <f>IF($K670="","",650)</f>
        <v/>
      </c>
      <c r="B670" t="str">
        <f>IF($K670="","",INDEX(Конструктор!$C$2:$C$1212,$K670))</f>
        <v/>
      </c>
      <c r="C670" s="8" t="str">
        <f>IF($K670="","",INDEX(Конструктор!$D$2:$D$1212,$K670)&amp;IF(INDEX(Конструктор!$J$2:$J$1212,$K670)&lt;&gt;""," — "&amp;INDEX(Конструктор!$J$2:$J$1212,$K670),""))</f>
        <v/>
      </c>
      <c r="D670" t="str">
        <f>IF($K670="","",INDEX(Конструктор!$E$2:$E$1212,$K670))</f>
        <v/>
      </c>
      <c r="E670" s="10" t="str">
        <f>IF($K670="","",INDEX(Конструктор!$H$2:$H$1212,$K670))</f>
        <v/>
      </c>
      <c r="F670" s="10" t="str">
        <f>IF($K670="","",INDEX(Конструктор!$L$2:$L$1212,$K670))</f>
        <v/>
      </c>
      <c r="G670" s="10" t="str">
        <f>IF($K670="","",INDEX(Конструктор!$M$2:$M$1212,$K670))</f>
        <v/>
      </c>
      <c r="H670" s="10" t="str">
        <f>IF($K670="","",INDEX(Конструктор!$N$2:$N$1212,$K670))</f>
        <v/>
      </c>
      <c r="I670" s="10" t="str">
        <f>IF($K670="","",INDEX(Конструктор!$O$2:$O$1212,$K670))</f>
        <v/>
      </c>
      <c r="J670" s="10" t="str">
        <f>IF($K670="","",INDEX(Конструктор!$P$2:$P$1212,$K670))</f>
        <v/>
      </c>
      <c r="K670" t="str">
        <f>IFERROR(MATCH(650,Конструктор!$T$2:$T$1212,0),"")</f>
        <v/>
      </c>
      <c r="L670" t="str">
        <f t="shared" si="10"/>
        <v/>
      </c>
    </row>
    <row r="671" spans="1:12" hidden="1" x14ac:dyDescent="0.3">
      <c r="A671" t="str">
        <f>IF($K671="","",651)</f>
        <v/>
      </c>
      <c r="B671" t="str">
        <f>IF($K671="","",INDEX(Конструктор!$C$2:$C$1212,$K671))</f>
        <v/>
      </c>
      <c r="C671" s="8" t="str">
        <f>IF($K671="","",INDEX(Конструктор!$D$2:$D$1212,$K671)&amp;IF(INDEX(Конструктор!$J$2:$J$1212,$K671)&lt;&gt;""," — "&amp;INDEX(Конструктор!$J$2:$J$1212,$K671),""))</f>
        <v/>
      </c>
      <c r="D671" t="str">
        <f>IF($K671="","",INDEX(Конструктор!$E$2:$E$1212,$K671))</f>
        <v/>
      </c>
      <c r="E671" s="10" t="str">
        <f>IF($K671="","",INDEX(Конструктор!$H$2:$H$1212,$K671))</f>
        <v/>
      </c>
      <c r="F671" s="10" t="str">
        <f>IF($K671="","",INDEX(Конструктор!$L$2:$L$1212,$K671))</f>
        <v/>
      </c>
      <c r="G671" s="10" t="str">
        <f>IF($K671="","",INDEX(Конструктор!$M$2:$M$1212,$K671))</f>
        <v/>
      </c>
      <c r="H671" s="10" t="str">
        <f>IF($K671="","",INDEX(Конструктор!$N$2:$N$1212,$K671))</f>
        <v/>
      </c>
      <c r="I671" s="10" t="str">
        <f>IF($K671="","",INDEX(Конструктор!$O$2:$O$1212,$K671))</f>
        <v/>
      </c>
      <c r="J671" s="10" t="str">
        <f>IF($K671="","",INDEX(Конструктор!$P$2:$P$1212,$K671))</f>
        <v/>
      </c>
      <c r="K671" t="str">
        <f>IFERROR(MATCH(651,Конструктор!$T$2:$T$1212,0),"")</f>
        <v/>
      </c>
      <c r="L671" t="str">
        <f t="shared" si="10"/>
        <v/>
      </c>
    </row>
    <row r="672" spans="1:12" hidden="1" x14ac:dyDescent="0.3">
      <c r="A672" t="str">
        <f>IF($K672="","",652)</f>
        <v/>
      </c>
      <c r="B672" t="str">
        <f>IF($K672="","",INDEX(Конструктор!$C$2:$C$1212,$K672))</f>
        <v/>
      </c>
      <c r="C672" s="8" t="str">
        <f>IF($K672="","",INDEX(Конструктор!$D$2:$D$1212,$K672)&amp;IF(INDEX(Конструктор!$J$2:$J$1212,$K672)&lt;&gt;""," — "&amp;INDEX(Конструктор!$J$2:$J$1212,$K672),""))</f>
        <v/>
      </c>
      <c r="D672" t="str">
        <f>IF($K672="","",INDEX(Конструктор!$E$2:$E$1212,$K672))</f>
        <v/>
      </c>
      <c r="E672" s="10" t="str">
        <f>IF($K672="","",INDEX(Конструктор!$H$2:$H$1212,$K672))</f>
        <v/>
      </c>
      <c r="F672" s="10" t="str">
        <f>IF($K672="","",INDEX(Конструктор!$L$2:$L$1212,$K672))</f>
        <v/>
      </c>
      <c r="G672" s="10" t="str">
        <f>IF($K672="","",INDEX(Конструктор!$M$2:$M$1212,$K672))</f>
        <v/>
      </c>
      <c r="H672" s="10" t="str">
        <f>IF($K672="","",INDEX(Конструктор!$N$2:$N$1212,$K672))</f>
        <v/>
      </c>
      <c r="I672" s="10" t="str">
        <f>IF($K672="","",INDEX(Конструктор!$O$2:$O$1212,$K672))</f>
        <v/>
      </c>
      <c r="J672" s="10" t="str">
        <f>IF($K672="","",INDEX(Конструктор!$P$2:$P$1212,$K672))</f>
        <v/>
      </c>
      <c r="K672" t="str">
        <f>IFERROR(MATCH(652,Конструктор!$T$2:$T$1212,0),"")</f>
        <v/>
      </c>
      <c r="L672" t="str">
        <f t="shared" si="10"/>
        <v/>
      </c>
    </row>
    <row r="673" spans="1:12" hidden="1" x14ac:dyDescent="0.3">
      <c r="A673" t="str">
        <f>IF($K673="","",653)</f>
        <v/>
      </c>
      <c r="B673" t="str">
        <f>IF($K673="","",INDEX(Конструктор!$C$2:$C$1212,$K673))</f>
        <v/>
      </c>
      <c r="C673" s="8" t="str">
        <f>IF($K673="","",INDEX(Конструктор!$D$2:$D$1212,$K673)&amp;IF(INDEX(Конструктор!$J$2:$J$1212,$K673)&lt;&gt;""," — "&amp;INDEX(Конструктор!$J$2:$J$1212,$K673),""))</f>
        <v/>
      </c>
      <c r="D673" t="str">
        <f>IF($K673="","",INDEX(Конструктор!$E$2:$E$1212,$K673))</f>
        <v/>
      </c>
      <c r="E673" s="10" t="str">
        <f>IF($K673="","",INDEX(Конструктор!$H$2:$H$1212,$K673))</f>
        <v/>
      </c>
      <c r="F673" s="10" t="str">
        <f>IF($K673="","",INDEX(Конструктор!$L$2:$L$1212,$K673))</f>
        <v/>
      </c>
      <c r="G673" s="10" t="str">
        <f>IF($K673="","",INDEX(Конструктор!$M$2:$M$1212,$K673))</f>
        <v/>
      </c>
      <c r="H673" s="10" t="str">
        <f>IF($K673="","",INDEX(Конструктор!$N$2:$N$1212,$K673))</f>
        <v/>
      </c>
      <c r="I673" s="10" t="str">
        <f>IF($K673="","",INDEX(Конструктор!$O$2:$O$1212,$K673))</f>
        <v/>
      </c>
      <c r="J673" s="10" t="str">
        <f>IF($K673="","",INDEX(Конструктор!$P$2:$P$1212,$K673))</f>
        <v/>
      </c>
      <c r="K673" t="str">
        <f>IFERROR(MATCH(653,Конструктор!$T$2:$T$1212,0),"")</f>
        <v/>
      </c>
      <c r="L673" t="str">
        <f t="shared" si="10"/>
        <v/>
      </c>
    </row>
    <row r="674" spans="1:12" hidden="1" x14ac:dyDescent="0.3">
      <c r="A674" t="str">
        <f>IF($K674="","",654)</f>
        <v/>
      </c>
      <c r="B674" t="str">
        <f>IF($K674="","",INDEX(Конструктор!$C$2:$C$1212,$K674))</f>
        <v/>
      </c>
      <c r="C674" s="8" t="str">
        <f>IF($K674="","",INDEX(Конструктор!$D$2:$D$1212,$K674)&amp;IF(INDEX(Конструктор!$J$2:$J$1212,$K674)&lt;&gt;""," — "&amp;INDEX(Конструктор!$J$2:$J$1212,$K674),""))</f>
        <v/>
      </c>
      <c r="D674" t="str">
        <f>IF($K674="","",INDEX(Конструктор!$E$2:$E$1212,$K674))</f>
        <v/>
      </c>
      <c r="E674" s="10" t="str">
        <f>IF($K674="","",INDEX(Конструктор!$H$2:$H$1212,$K674))</f>
        <v/>
      </c>
      <c r="F674" s="10" t="str">
        <f>IF($K674="","",INDEX(Конструктор!$L$2:$L$1212,$K674))</f>
        <v/>
      </c>
      <c r="G674" s="10" t="str">
        <f>IF($K674="","",INDEX(Конструктор!$M$2:$M$1212,$K674))</f>
        <v/>
      </c>
      <c r="H674" s="10" t="str">
        <f>IF($K674="","",INDEX(Конструктор!$N$2:$N$1212,$K674))</f>
        <v/>
      </c>
      <c r="I674" s="10" t="str">
        <f>IF($K674="","",INDEX(Конструктор!$O$2:$O$1212,$K674))</f>
        <v/>
      </c>
      <c r="J674" s="10" t="str">
        <f>IF($K674="","",INDEX(Конструктор!$P$2:$P$1212,$K674))</f>
        <v/>
      </c>
      <c r="K674" t="str">
        <f>IFERROR(MATCH(654,Конструктор!$T$2:$T$1212,0),"")</f>
        <v/>
      </c>
      <c r="L674" t="str">
        <f t="shared" si="10"/>
        <v/>
      </c>
    </row>
    <row r="675" spans="1:12" hidden="1" x14ac:dyDescent="0.3">
      <c r="A675" t="str">
        <f>IF($K675="","",655)</f>
        <v/>
      </c>
      <c r="B675" t="str">
        <f>IF($K675="","",INDEX(Конструктор!$C$2:$C$1212,$K675))</f>
        <v/>
      </c>
      <c r="C675" s="8" t="str">
        <f>IF($K675="","",INDEX(Конструктор!$D$2:$D$1212,$K675)&amp;IF(INDEX(Конструктор!$J$2:$J$1212,$K675)&lt;&gt;""," — "&amp;INDEX(Конструктор!$J$2:$J$1212,$K675),""))</f>
        <v/>
      </c>
      <c r="D675" t="str">
        <f>IF($K675="","",INDEX(Конструктор!$E$2:$E$1212,$K675))</f>
        <v/>
      </c>
      <c r="E675" s="10" t="str">
        <f>IF($K675="","",INDEX(Конструктор!$H$2:$H$1212,$K675))</f>
        <v/>
      </c>
      <c r="F675" s="10" t="str">
        <f>IF($K675="","",INDEX(Конструктор!$L$2:$L$1212,$K675))</f>
        <v/>
      </c>
      <c r="G675" s="10" t="str">
        <f>IF($K675="","",INDEX(Конструктор!$M$2:$M$1212,$K675))</f>
        <v/>
      </c>
      <c r="H675" s="10" t="str">
        <f>IF($K675="","",INDEX(Конструктор!$N$2:$N$1212,$K675))</f>
        <v/>
      </c>
      <c r="I675" s="10" t="str">
        <f>IF($K675="","",INDEX(Конструктор!$O$2:$O$1212,$K675))</f>
        <v/>
      </c>
      <c r="J675" s="10" t="str">
        <f>IF($K675="","",INDEX(Конструктор!$P$2:$P$1212,$K675))</f>
        <v/>
      </c>
      <c r="K675" t="str">
        <f>IFERROR(MATCH(655,Конструктор!$T$2:$T$1212,0),"")</f>
        <v/>
      </c>
      <c r="L675" t="str">
        <f t="shared" si="10"/>
        <v/>
      </c>
    </row>
    <row r="676" spans="1:12" hidden="1" x14ac:dyDescent="0.3">
      <c r="A676" t="str">
        <f>IF($K676="","",656)</f>
        <v/>
      </c>
      <c r="B676" t="str">
        <f>IF($K676="","",INDEX(Конструктор!$C$2:$C$1212,$K676))</f>
        <v/>
      </c>
      <c r="C676" s="8" t="str">
        <f>IF($K676="","",INDEX(Конструктор!$D$2:$D$1212,$K676)&amp;IF(INDEX(Конструктор!$J$2:$J$1212,$K676)&lt;&gt;""," — "&amp;INDEX(Конструктор!$J$2:$J$1212,$K676),""))</f>
        <v/>
      </c>
      <c r="D676" t="str">
        <f>IF($K676="","",INDEX(Конструктор!$E$2:$E$1212,$K676))</f>
        <v/>
      </c>
      <c r="E676" s="10" t="str">
        <f>IF($K676="","",INDEX(Конструктор!$H$2:$H$1212,$K676))</f>
        <v/>
      </c>
      <c r="F676" s="10" t="str">
        <f>IF($K676="","",INDEX(Конструктор!$L$2:$L$1212,$K676))</f>
        <v/>
      </c>
      <c r="G676" s="10" t="str">
        <f>IF($K676="","",INDEX(Конструктор!$M$2:$M$1212,$K676))</f>
        <v/>
      </c>
      <c r="H676" s="10" t="str">
        <f>IF($K676="","",INDEX(Конструктор!$N$2:$N$1212,$K676))</f>
        <v/>
      </c>
      <c r="I676" s="10" t="str">
        <f>IF($K676="","",INDEX(Конструктор!$O$2:$O$1212,$K676))</f>
        <v/>
      </c>
      <c r="J676" s="10" t="str">
        <f>IF($K676="","",INDEX(Конструктор!$P$2:$P$1212,$K676))</f>
        <v/>
      </c>
      <c r="K676" t="str">
        <f>IFERROR(MATCH(656,Конструктор!$T$2:$T$1212,0),"")</f>
        <v/>
      </c>
      <c r="L676" t="str">
        <f t="shared" si="10"/>
        <v/>
      </c>
    </row>
    <row r="677" spans="1:12" hidden="1" x14ac:dyDescent="0.3">
      <c r="A677" t="str">
        <f>IF($K677="","",657)</f>
        <v/>
      </c>
      <c r="B677" t="str">
        <f>IF($K677="","",INDEX(Конструктор!$C$2:$C$1212,$K677))</f>
        <v/>
      </c>
      <c r="C677" s="8" t="str">
        <f>IF($K677="","",INDEX(Конструктор!$D$2:$D$1212,$K677)&amp;IF(INDEX(Конструктор!$J$2:$J$1212,$K677)&lt;&gt;""," — "&amp;INDEX(Конструктор!$J$2:$J$1212,$K677),""))</f>
        <v/>
      </c>
      <c r="D677" t="str">
        <f>IF($K677="","",INDEX(Конструктор!$E$2:$E$1212,$K677))</f>
        <v/>
      </c>
      <c r="E677" s="10" t="str">
        <f>IF($K677="","",INDEX(Конструктор!$H$2:$H$1212,$K677))</f>
        <v/>
      </c>
      <c r="F677" s="10" t="str">
        <f>IF($K677="","",INDEX(Конструктор!$L$2:$L$1212,$K677))</f>
        <v/>
      </c>
      <c r="G677" s="10" t="str">
        <f>IF($K677="","",INDEX(Конструктор!$M$2:$M$1212,$K677))</f>
        <v/>
      </c>
      <c r="H677" s="10" t="str">
        <f>IF($K677="","",INDEX(Конструктор!$N$2:$N$1212,$K677))</f>
        <v/>
      </c>
      <c r="I677" s="10" t="str">
        <f>IF($K677="","",INDEX(Конструктор!$O$2:$O$1212,$K677))</f>
        <v/>
      </c>
      <c r="J677" s="10" t="str">
        <f>IF($K677="","",INDEX(Конструктор!$P$2:$P$1212,$K677))</f>
        <v/>
      </c>
      <c r="K677" t="str">
        <f>IFERROR(MATCH(657,Конструктор!$T$2:$T$1212,0),"")</f>
        <v/>
      </c>
      <c r="L677" t="str">
        <f t="shared" si="10"/>
        <v/>
      </c>
    </row>
    <row r="678" spans="1:12" hidden="1" x14ac:dyDescent="0.3">
      <c r="A678" t="str">
        <f>IF($K678="","",658)</f>
        <v/>
      </c>
      <c r="B678" t="str">
        <f>IF($K678="","",INDEX(Конструктор!$C$2:$C$1212,$K678))</f>
        <v/>
      </c>
      <c r="C678" s="8" t="str">
        <f>IF($K678="","",INDEX(Конструктор!$D$2:$D$1212,$K678)&amp;IF(INDEX(Конструктор!$J$2:$J$1212,$K678)&lt;&gt;""," — "&amp;INDEX(Конструктор!$J$2:$J$1212,$K678),""))</f>
        <v/>
      </c>
      <c r="D678" t="str">
        <f>IF($K678="","",INDEX(Конструктор!$E$2:$E$1212,$K678))</f>
        <v/>
      </c>
      <c r="E678" s="10" t="str">
        <f>IF($K678="","",INDEX(Конструктор!$H$2:$H$1212,$K678))</f>
        <v/>
      </c>
      <c r="F678" s="10" t="str">
        <f>IF($K678="","",INDEX(Конструктор!$L$2:$L$1212,$K678))</f>
        <v/>
      </c>
      <c r="G678" s="10" t="str">
        <f>IF($K678="","",INDEX(Конструктор!$M$2:$M$1212,$K678))</f>
        <v/>
      </c>
      <c r="H678" s="10" t="str">
        <f>IF($K678="","",INDEX(Конструктор!$N$2:$N$1212,$K678))</f>
        <v/>
      </c>
      <c r="I678" s="10" t="str">
        <f>IF($K678="","",INDEX(Конструктор!$O$2:$O$1212,$K678))</f>
        <v/>
      </c>
      <c r="J678" s="10" t="str">
        <f>IF($K678="","",INDEX(Конструктор!$P$2:$P$1212,$K678))</f>
        <v/>
      </c>
      <c r="K678" t="str">
        <f>IFERROR(MATCH(658,Конструктор!$T$2:$T$1212,0),"")</f>
        <v/>
      </c>
      <c r="L678" t="str">
        <f t="shared" si="10"/>
        <v/>
      </c>
    </row>
    <row r="679" spans="1:12" hidden="1" x14ac:dyDescent="0.3">
      <c r="A679" t="str">
        <f>IF($K679="","",659)</f>
        <v/>
      </c>
      <c r="B679" t="str">
        <f>IF($K679="","",INDEX(Конструктор!$C$2:$C$1212,$K679))</f>
        <v/>
      </c>
      <c r="C679" s="8" t="str">
        <f>IF($K679="","",INDEX(Конструктор!$D$2:$D$1212,$K679)&amp;IF(INDEX(Конструктор!$J$2:$J$1212,$K679)&lt;&gt;""," — "&amp;INDEX(Конструктор!$J$2:$J$1212,$K679),""))</f>
        <v/>
      </c>
      <c r="D679" t="str">
        <f>IF($K679="","",INDEX(Конструктор!$E$2:$E$1212,$K679))</f>
        <v/>
      </c>
      <c r="E679" s="10" t="str">
        <f>IF($K679="","",INDEX(Конструктор!$H$2:$H$1212,$K679))</f>
        <v/>
      </c>
      <c r="F679" s="10" t="str">
        <f>IF($K679="","",INDEX(Конструктор!$L$2:$L$1212,$K679))</f>
        <v/>
      </c>
      <c r="G679" s="10" t="str">
        <f>IF($K679="","",INDEX(Конструктор!$M$2:$M$1212,$K679))</f>
        <v/>
      </c>
      <c r="H679" s="10" t="str">
        <f>IF($K679="","",INDEX(Конструктор!$N$2:$N$1212,$K679))</f>
        <v/>
      </c>
      <c r="I679" s="10" t="str">
        <f>IF($K679="","",INDEX(Конструктор!$O$2:$O$1212,$K679))</f>
        <v/>
      </c>
      <c r="J679" s="10" t="str">
        <f>IF($K679="","",INDEX(Конструктор!$P$2:$P$1212,$K679))</f>
        <v/>
      </c>
      <c r="K679" t="str">
        <f>IFERROR(MATCH(659,Конструктор!$T$2:$T$1212,0),"")</f>
        <v/>
      </c>
      <c r="L679" t="str">
        <f t="shared" si="10"/>
        <v/>
      </c>
    </row>
    <row r="680" spans="1:12" hidden="1" x14ac:dyDescent="0.3">
      <c r="A680" t="str">
        <f>IF($K680="","",660)</f>
        <v/>
      </c>
      <c r="B680" t="str">
        <f>IF($K680="","",INDEX(Конструктор!$C$2:$C$1212,$K680))</f>
        <v/>
      </c>
      <c r="C680" s="8" t="str">
        <f>IF($K680="","",INDEX(Конструктор!$D$2:$D$1212,$K680)&amp;IF(INDEX(Конструктор!$J$2:$J$1212,$K680)&lt;&gt;""," — "&amp;INDEX(Конструктор!$J$2:$J$1212,$K680),""))</f>
        <v/>
      </c>
      <c r="D680" t="str">
        <f>IF($K680="","",INDEX(Конструктор!$E$2:$E$1212,$K680))</f>
        <v/>
      </c>
      <c r="E680" s="10" t="str">
        <f>IF($K680="","",INDEX(Конструктор!$H$2:$H$1212,$K680))</f>
        <v/>
      </c>
      <c r="F680" s="10" t="str">
        <f>IF($K680="","",INDEX(Конструктор!$L$2:$L$1212,$K680))</f>
        <v/>
      </c>
      <c r="G680" s="10" t="str">
        <f>IF($K680="","",INDEX(Конструктор!$M$2:$M$1212,$K680))</f>
        <v/>
      </c>
      <c r="H680" s="10" t="str">
        <f>IF($K680="","",INDEX(Конструктор!$N$2:$N$1212,$K680))</f>
        <v/>
      </c>
      <c r="I680" s="10" t="str">
        <f>IF($K680="","",INDEX(Конструктор!$O$2:$O$1212,$K680))</f>
        <v/>
      </c>
      <c r="J680" s="10" t="str">
        <f>IF($K680="","",INDEX(Конструктор!$P$2:$P$1212,$K680))</f>
        <v/>
      </c>
      <c r="K680" t="str">
        <f>IFERROR(MATCH(660,Конструктор!$T$2:$T$1212,0),"")</f>
        <v/>
      </c>
      <c r="L680" t="str">
        <f t="shared" si="10"/>
        <v/>
      </c>
    </row>
    <row r="681" spans="1:12" hidden="1" x14ac:dyDescent="0.3">
      <c r="A681" t="str">
        <f>IF($K681="","",661)</f>
        <v/>
      </c>
      <c r="B681" t="str">
        <f>IF($K681="","",INDEX(Конструктор!$C$2:$C$1212,$K681))</f>
        <v/>
      </c>
      <c r="C681" s="8" t="str">
        <f>IF($K681="","",INDEX(Конструктор!$D$2:$D$1212,$K681)&amp;IF(INDEX(Конструктор!$J$2:$J$1212,$K681)&lt;&gt;""," — "&amp;INDEX(Конструктор!$J$2:$J$1212,$K681),""))</f>
        <v/>
      </c>
      <c r="D681" t="str">
        <f>IF($K681="","",INDEX(Конструктор!$E$2:$E$1212,$K681))</f>
        <v/>
      </c>
      <c r="E681" s="10" t="str">
        <f>IF($K681="","",INDEX(Конструктор!$H$2:$H$1212,$K681))</f>
        <v/>
      </c>
      <c r="F681" s="10" t="str">
        <f>IF($K681="","",INDEX(Конструктор!$L$2:$L$1212,$K681))</f>
        <v/>
      </c>
      <c r="G681" s="10" t="str">
        <f>IF($K681="","",INDEX(Конструктор!$M$2:$M$1212,$K681))</f>
        <v/>
      </c>
      <c r="H681" s="10" t="str">
        <f>IF($K681="","",INDEX(Конструктор!$N$2:$N$1212,$K681))</f>
        <v/>
      </c>
      <c r="I681" s="10" t="str">
        <f>IF($K681="","",INDEX(Конструктор!$O$2:$O$1212,$K681))</f>
        <v/>
      </c>
      <c r="J681" s="10" t="str">
        <f>IF($K681="","",INDEX(Конструктор!$P$2:$P$1212,$K681))</f>
        <v/>
      </c>
      <c r="K681" t="str">
        <f>IFERROR(MATCH(661,Конструктор!$T$2:$T$1212,0),"")</f>
        <v/>
      </c>
      <c r="L681" t="str">
        <f t="shared" si="10"/>
        <v/>
      </c>
    </row>
    <row r="682" spans="1:12" hidden="1" x14ac:dyDescent="0.3">
      <c r="A682" t="str">
        <f>IF($K682="","",662)</f>
        <v/>
      </c>
      <c r="B682" t="str">
        <f>IF($K682="","",INDEX(Конструктор!$C$2:$C$1212,$K682))</f>
        <v/>
      </c>
      <c r="C682" s="8" t="str">
        <f>IF($K682="","",INDEX(Конструктор!$D$2:$D$1212,$K682)&amp;IF(INDEX(Конструктор!$J$2:$J$1212,$K682)&lt;&gt;""," — "&amp;INDEX(Конструктор!$J$2:$J$1212,$K682),""))</f>
        <v/>
      </c>
      <c r="D682" t="str">
        <f>IF($K682="","",INDEX(Конструктор!$E$2:$E$1212,$K682))</f>
        <v/>
      </c>
      <c r="E682" s="10" t="str">
        <f>IF($K682="","",INDEX(Конструктор!$H$2:$H$1212,$K682))</f>
        <v/>
      </c>
      <c r="F682" s="10" t="str">
        <f>IF($K682="","",INDEX(Конструктор!$L$2:$L$1212,$K682))</f>
        <v/>
      </c>
      <c r="G682" s="10" t="str">
        <f>IF($K682="","",INDEX(Конструктор!$M$2:$M$1212,$K682))</f>
        <v/>
      </c>
      <c r="H682" s="10" t="str">
        <f>IF($K682="","",INDEX(Конструктор!$N$2:$N$1212,$K682))</f>
        <v/>
      </c>
      <c r="I682" s="10" t="str">
        <f>IF($K682="","",INDEX(Конструктор!$O$2:$O$1212,$K682))</f>
        <v/>
      </c>
      <c r="J682" s="10" t="str">
        <f>IF($K682="","",INDEX(Конструктор!$P$2:$P$1212,$K682))</f>
        <v/>
      </c>
      <c r="K682" t="str">
        <f>IFERROR(MATCH(662,Конструктор!$T$2:$T$1212,0),"")</f>
        <v/>
      </c>
      <c r="L682" t="str">
        <f t="shared" si="10"/>
        <v/>
      </c>
    </row>
    <row r="683" spans="1:12" hidden="1" x14ac:dyDescent="0.3">
      <c r="A683" t="str">
        <f>IF($K683="","",663)</f>
        <v/>
      </c>
      <c r="B683" t="str">
        <f>IF($K683="","",INDEX(Конструктор!$C$2:$C$1212,$K683))</f>
        <v/>
      </c>
      <c r="C683" s="8" t="str">
        <f>IF($K683="","",INDEX(Конструктор!$D$2:$D$1212,$K683)&amp;IF(INDEX(Конструктор!$J$2:$J$1212,$K683)&lt;&gt;""," — "&amp;INDEX(Конструктор!$J$2:$J$1212,$K683),""))</f>
        <v/>
      </c>
      <c r="D683" t="str">
        <f>IF($K683="","",INDEX(Конструктор!$E$2:$E$1212,$K683))</f>
        <v/>
      </c>
      <c r="E683" s="10" t="str">
        <f>IF($K683="","",INDEX(Конструктор!$H$2:$H$1212,$K683))</f>
        <v/>
      </c>
      <c r="F683" s="10" t="str">
        <f>IF($K683="","",INDEX(Конструктор!$L$2:$L$1212,$K683))</f>
        <v/>
      </c>
      <c r="G683" s="10" t="str">
        <f>IF($K683="","",INDEX(Конструктор!$M$2:$M$1212,$K683))</f>
        <v/>
      </c>
      <c r="H683" s="10" t="str">
        <f>IF($K683="","",INDEX(Конструктор!$N$2:$N$1212,$K683))</f>
        <v/>
      </c>
      <c r="I683" s="10" t="str">
        <f>IF($K683="","",INDEX(Конструктор!$O$2:$O$1212,$K683))</f>
        <v/>
      </c>
      <c r="J683" s="10" t="str">
        <f>IF($K683="","",INDEX(Конструктор!$P$2:$P$1212,$K683))</f>
        <v/>
      </c>
      <c r="K683" t="str">
        <f>IFERROR(MATCH(663,Конструктор!$T$2:$T$1212,0),"")</f>
        <v/>
      </c>
      <c r="L683" t="str">
        <f t="shared" si="10"/>
        <v/>
      </c>
    </row>
    <row r="684" spans="1:12" hidden="1" x14ac:dyDescent="0.3">
      <c r="A684" t="str">
        <f>IF($K684="","",664)</f>
        <v/>
      </c>
      <c r="B684" t="str">
        <f>IF($K684="","",INDEX(Конструктор!$C$2:$C$1212,$K684))</f>
        <v/>
      </c>
      <c r="C684" s="8" t="str">
        <f>IF($K684="","",INDEX(Конструктор!$D$2:$D$1212,$K684)&amp;IF(INDEX(Конструктор!$J$2:$J$1212,$K684)&lt;&gt;""," — "&amp;INDEX(Конструктор!$J$2:$J$1212,$K684),""))</f>
        <v/>
      </c>
      <c r="D684" t="str">
        <f>IF($K684="","",INDEX(Конструктор!$E$2:$E$1212,$K684))</f>
        <v/>
      </c>
      <c r="E684" s="10" t="str">
        <f>IF($K684="","",INDEX(Конструктор!$H$2:$H$1212,$K684))</f>
        <v/>
      </c>
      <c r="F684" s="10" t="str">
        <f>IF($K684="","",INDEX(Конструктор!$L$2:$L$1212,$K684))</f>
        <v/>
      </c>
      <c r="G684" s="10" t="str">
        <f>IF($K684="","",INDEX(Конструктор!$M$2:$M$1212,$K684))</f>
        <v/>
      </c>
      <c r="H684" s="10" t="str">
        <f>IF($K684="","",INDEX(Конструктор!$N$2:$N$1212,$K684))</f>
        <v/>
      </c>
      <c r="I684" s="10" t="str">
        <f>IF($K684="","",INDEX(Конструктор!$O$2:$O$1212,$K684))</f>
        <v/>
      </c>
      <c r="J684" s="10" t="str">
        <f>IF($K684="","",INDEX(Конструктор!$P$2:$P$1212,$K684))</f>
        <v/>
      </c>
      <c r="K684" t="str">
        <f>IFERROR(MATCH(664,Конструктор!$T$2:$T$1212,0),"")</f>
        <v/>
      </c>
      <c r="L684" t="str">
        <f t="shared" si="10"/>
        <v/>
      </c>
    </row>
    <row r="685" spans="1:12" hidden="1" x14ac:dyDescent="0.3">
      <c r="A685" t="str">
        <f>IF($K685="","",665)</f>
        <v/>
      </c>
      <c r="B685" t="str">
        <f>IF($K685="","",INDEX(Конструктор!$C$2:$C$1212,$K685))</f>
        <v/>
      </c>
      <c r="C685" s="8" t="str">
        <f>IF($K685="","",INDEX(Конструктор!$D$2:$D$1212,$K685)&amp;IF(INDEX(Конструктор!$J$2:$J$1212,$K685)&lt;&gt;""," — "&amp;INDEX(Конструктор!$J$2:$J$1212,$K685),""))</f>
        <v/>
      </c>
      <c r="D685" t="str">
        <f>IF($K685="","",INDEX(Конструктор!$E$2:$E$1212,$K685))</f>
        <v/>
      </c>
      <c r="E685" s="10" t="str">
        <f>IF($K685="","",INDEX(Конструктор!$H$2:$H$1212,$K685))</f>
        <v/>
      </c>
      <c r="F685" s="10" t="str">
        <f>IF($K685="","",INDEX(Конструктор!$L$2:$L$1212,$K685))</f>
        <v/>
      </c>
      <c r="G685" s="10" t="str">
        <f>IF($K685="","",INDEX(Конструктор!$M$2:$M$1212,$K685))</f>
        <v/>
      </c>
      <c r="H685" s="10" t="str">
        <f>IF($K685="","",INDEX(Конструктор!$N$2:$N$1212,$K685))</f>
        <v/>
      </c>
      <c r="I685" s="10" t="str">
        <f>IF($K685="","",INDEX(Конструктор!$O$2:$O$1212,$K685))</f>
        <v/>
      </c>
      <c r="J685" s="10" t="str">
        <f>IF($K685="","",INDEX(Конструктор!$P$2:$P$1212,$K685))</f>
        <v/>
      </c>
      <c r="K685" t="str">
        <f>IFERROR(MATCH(665,Конструктор!$T$2:$T$1212,0),"")</f>
        <v/>
      </c>
      <c r="L685" t="str">
        <f t="shared" si="10"/>
        <v/>
      </c>
    </row>
    <row r="686" spans="1:12" hidden="1" x14ac:dyDescent="0.3">
      <c r="A686" t="str">
        <f>IF($K686="","",666)</f>
        <v/>
      </c>
      <c r="B686" t="str">
        <f>IF($K686="","",INDEX(Конструктор!$C$2:$C$1212,$K686))</f>
        <v/>
      </c>
      <c r="C686" s="8" t="str">
        <f>IF($K686="","",INDEX(Конструктор!$D$2:$D$1212,$K686)&amp;IF(INDEX(Конструктор!$J$2:$J$1212,$K686)&lt;&gt;""," — "&amp;INDEX(Конструктор!$J$2:$J$1212,$K686),""))</f>
        <v/>
      </c>
      <c r="D686" t="str">
        <f>IF($K686="","",INDEX(Конструктор!$E$2:$E$1212,$K686))</f>
        <v/>
      </c>
      <c r="E686" s="10" t="str">
        <f>IF($K686="","",INDEX(Конструктор!$H$2:$H$1212,$K686))</f>
        <v/>
      </c>
      <c r="F686" s="10" t="str">
        <f>IF($K686="","",INDEX(Конструктор!$L$2:$L$1212,$K686))</f>
        <v/>
      </c>
      <c r="G686" s="10" t="str">
        <f>IF($K686="","",INDEX(Конструктор!$M$2:$M$1212,$K686))</f>
        <v/>
      </c>
      <c r="H686" s="10" t="str">
        <f>IF($K686="","",INDEX(Конструктор!$N$2:$N$1212,$K686))</f>
        <v/>
      </c>
      <c r="I686" s="10" t="str">
        <f>IF($K686="","",INDEX(Конструктор!$O$2:$O$1212,$K686))</f>
        <v/>
      </c>
      <c r="J686" s="10" t="str">
        <f>IF($K686="","",INDEX(Конструктор!$P$2:$P$1212,$K686))</f>
        <v/>
      </c>
      <c r="K686" t="str">
        <f>IFERROR(MATCH(666,Конструктор!$T$2:$T$1212,0),"")</f>
        <v/>
      </c>
      <c r="L686" t="str">
        <f t="shared" si="10"/>
        <v/>
      </c>
    </row>
    <row r="687" spans="1:12" hidden="1" x14ac:dyDescent="0.3">
      <c r="A687" t="str">
        <f>IF($K687="","",667)</f>
        <v/>
      </c>
      <c r="B687" t="str">
        <f>IF($K687="","",INDEX(Конструктор!$C$2:$C$1212,$K687))</f>
        <v/>
      </c>
      <c r="C687" s="8" t="str">
        <f>IF($K687="","",INDEX(Конструктор!$D$2:$D$1212,$K687)&amp;IF(INDEX(Конструктор!$J$2:$J$1212,$K687)&lt;&gt;""," — "&amp;INDEX(Конструктор!$J$2:$J$1212,$K687),""))</f>
        <v/>
      </c>
      <c r="D687" t="str">
        <f>IF($K687="","",INDEX(Конструктор!$E$2:$E$1212,$K687))</f>
        <v/>
      </c>
      <c r="E687" s="10" t="str">
        <f>IF($K687="","",INDEX(Конструктор!$H$2:$H$1212,$K687))</f>
        <v/>
      </c>
      <c r="F687" s="10" t="str">
        <f>IF($K687="","",INDEX(Конструктор!$L$2:$L$1212,$K687))</f>
        <v/>
      </c>
      <c r="G687" s="10" t="str">
        <f>IF($K687="","",INDEX(Конструктор!$M$2:$M$1212,$K687))</f>
        <v/>
      </c>
      <c r="H687" s="10" t="str">
        <f>IF($K687="","",INDEX(Конструктор!$N$2:$N$1212,$K687))</f>
        <v/>
      </c>
      <c r="I687" s="10" t="str">
        <f>IF($K687="","",INDEX(Конструктор!$O$2:$O$1212,$K687))</f>
        <v/>
      </c>
      <c r="J687" s="10" t="str">
        <f>IF($K687="","",INDEX(Конструктор!$P$2:$P$1212,$K687))</f>
        <v/>
      </c>
      <c r="K687" t="str">
        <f>IFERROR(MATCH(667,Конструктор!$T$2:$T$1212,0),"")</f>
        <v/>
      </c>
      <c r="L687" t="str">
        <f t="shared" si="10"/>
        <v/>
      </c>
    </row>
    <row r="688" spans="1:12" hidden="1" x14ac:dyDescent="0.3">
      <c r="A688" t="str">
        <f>IF($K688="","",668)</f>
        <v/>
      </c>
      <c r="B688" t="str">
        <f>IF($K688="","",INDEX(Конструктор!$C$2:$C$1212,$K688))</f>
        <v/>
      </c>
      <c r="C688" s="8" t="str">
        <f>IF($K688="","",INDEX(Конструктор!$D$2:$D$1212,$K688)&amp;IF(INDEX(Конструктор!$J$2:$J$1212,$K688)&lt;&gt;""," — "&amp;INDEX(Конструктор!$J$2:$J$1212,$K688),""))</f>
        <v/>
      </c>
      <c r="D688" t="str">
        <f>IF($K688="","",INDEX(Конструктор!$E$2:$E$1212,$K688))</f>
        <v/>
      </c>
      <c r="E688" s="10" t="str">
        <f>IF($K688="","",INDEX(Конструктор!$H$2:$H$1212,$K688))</f>
        <v/>
      </c>
      <c r="F688" s="10" t="str">
        <f>IF($K688="","",INDEX(Конструктор!$L$2:$L$1212,$K688))</f>
        <v/>
      </c>
      <c r="G688" s="10" t="str">
        <f>IF($K688="","",INDEX(Конструктор!$M$2:$M$1212,$K688))</f>
        <v/>
      </c>
      <c r="H688" s="10" t="str">
        <f>IF($K688="","",INDEX(Конструктор!$N$2:$N$1212,$K688))</f>
        <v/>
      </c>
      <c r="I688" s="10" t="str">
        <f>IF($K688="","",INDEX(Конструктор!$O$2:$O$1212,$K688))</f>
        <v/>
      </c>
      <c r="J688" s="10" t="str">
        <f>IF($K688="","",INDEX(Конструктор!$P$2:$P$1212,$K688))</f>
        <v/>
      </c>
      <c r="K688" t="str">
        <f>IFERROR(MATCH(668,Конструктор!$T$2:$T$1212,0),"")</f>
        <v/>
      </c>
      <c r="L688" t="str">
        <f t="shared" si="10"/>
        <v/>
      </c>
    </row>
    <row r="689" spans="1:12" hidden="1" x14ac:dyDescent="0.3">
      <c r="A689" t="str">
        <f>IF($K689="","",669)</f>
        <v/>
      </c>
      <c r="B689" t="str">
        <f>IF($K689="","",INDEX(Конструктор!$C$2:$C$1212,$K689))</f>
        <v/>
      </c>
      <c r="C689" s="8" t="str">
        <f>IF($K689="","",INDEX(Конструктор!$D$2:$D$1212,$K689)&amp;IF(INDEX(Конструктор!$J$2:$J$1212,$K689)&lt;&gt;""," — "&amp;INDEX(Конструктор!$J$2:$J$1212,$K689),""))</f>
        <v/>
      </c>
      <c r="D689" t="str">
        <f>IF($K689="","",INDEX(Конструктор!$E$2:$E$1212,$K689))</f>
        <v/>
      </c>
      <c r="E689" s="10" t="str">
        <f>IF($K689="","",INDEX(Конструктор!$H$2:$H$1212,$K689))</f>
        <v/>
      </c>
      <c r="F689" s="10" t="str">
        <f>IF($K689="","",INDEX(Конструктор!$L$2:$L$1212,$K689))</f>
        <v/>
      </c>
      <c r="G689" s="10" t="str">
        <f>IF($K689="","",INDEX(Конструктор!$M$2:$M$1212,$K689))</f>
        <v/>
      </c>
      <c r="H689" s="10" t="str">
        <f>IF($K689="","",INDEX(Конструктор!$N$2:$N$1212,$K689))</f>
        <v/>
      </c>
      <c r="I689" s="10" t="str">
        <f>IF($K689="","",INDEX(Конструктор!$O$2:$O$1212,$K689))</f>
        <v/>
      </c>
      <c r="J689" s="10" t="str">
        <f>IF($K689="","",INDEX(Конструктор!$P$2:$P$1212,$K689))</f>
        <v/>
      </c>
      <c r="K689" t="str">
        <f>IFERROR(MATCH(669,Конструктор!$T$2:$T$1212,0),"")</f>
        <v/>
      </c>
      <c r="L689" t="str">
        <f t="shared" si="10"/>
        <v/>
      </c>
    </row>
    <row r="690" spans="1:12" hidden="1" x14ac:dyDescent="0.3">
      <c r="A690" t="str">
        <f>IF($K690="","",670)</f>
        <v/>
      </c>
      <c r="B690" t="str">
        <f>IF($K690="","",INDEX(Конструктор!$C$2:$C$1212,$K690))</f>
        <v/>
      </c>
      <c r="C690" s="8" t="str">
        <f>IF($K690="","",INDEX(Конструктор!$D$2:$D$1212,$K690)&amp;IF(INDEX(Конструктор!$J$2:$J$1212,$K690)&lt;&gt;""," — "&amp;INDEX(Конструктор!$J$2:$J$1212,$K690),""))</f>
        <v/>
      </c>
      <c r="D690" t="str">
        <f>IF($K690="","",INDEX(Конструктор!$E$2:$E$1212,$K690))</f>
        <v/>
      </c>
      <c r="E690" s="10" t="str">
        <f>IF($K690="","",INDEX(Конструктор!$H$2:$H$1212,$K690))</f>
        <v/>
      </c>
      <c r="F690" s="10" t="str">
        <f>IF($K690="","",INDEX(Конструктор!$L$2:$L$1212,$K690))</f>
        <v/>
      </c>
      <c r="G690" s="10" t="str">
        <f>IF($K690="","",INDEX(Конструктор!$M$2:$M$1212,$K690))</f>
        <v/>
      </c>
      <c r="H690" s="10" t="str">
        <f>IF($K690="","",INDEX(Конструктор!$N$2:$N$1212,$K690))</f>
        <v/>
      </c>
      <c r="I690" s="10" t="str">
        <f>IF($K690="","",INDEX(Конструктор!$O$2:$O$1212,$K690))</f>
        <v/>
      </c>
      <c r="J690" s="10" t="str">
        <f>IF($K690="","",INDEX(Конструктор!$P$2:$P$1212,$K690))</f>
        <v/>
      </c>
      <c r="K690" t="str">
        <f>IFERROR(MATCH(670,Конструктор!$T$2:$T$1212,0),"")</f>
        <v/>
      </c>
      <c r="L690" t="str">
        <f t="shared" si="10"/>
        <v/>
      </c>
    </row>
    <row r="691" spans="1:12" hidden="1" x14ac:dyDescent="0.3">
      <c r="A691" t="str">
        <f>IF($K691="","",671)</f>
        <v/>
      </c>
      <c r="B691" t="str">
        <f>IF($K691="","",INDEX(Конструктор!$C$2:$C$1212,$K691))</f>
        <v/>
      </c>
      <c r="C691" s="8" t="str">
        <f>IF($K691="","",INDEX(Конструктор!$D$2:$D$1212,$K691)&amp;IF(INDEX(Конструктор!$J$2:$J$1212,$K691)&lt;&gt;""," — "&amp;INDEX(Конструктор!$J$2:$J$1212,$K691),""))</f>
        <v/>
      </c>
      <c r="D691" t="str">
        <f>IF($K691="","",INDEX(Конструктор!$E$2:$E$1212,$K691))</f>
        <v/>
      </c>
      <c r="E691" s="10" t="str">
        <f>IF($K691="","",INDEX(Конструктор!$H$2:$H$1212,$K691))</f>
        <v/>
      </c>
      <c r="F691" s="10" t="str">
        <f>IF($K691="","",INDEX(Конструктор!$L$2:$L$1212,$K691))</f>
        <v/>
      </c>
      <c r="G691" s="10" t="str">
        <f>IF($K691="","",INDEX(Конструктор!$M$2:$M$1212,$K691))</f>
        <v/>
      </c>
      <c r="H691" s="10" t="str">
        <f>IF($K691="","",INDEX(Конструктор!$N$2:$N$1212,$K691))</f>
        <v/>
      </c>
      <c r="I691" s="10" t="str">
        <f>IF($K691="","",INDEX(Конструктор!$O$2:$O$1212,$K691))</f>
        <v/>
      </c>
      <c r="J691" s="10" t="str">
        <f>IF($K691="","",INDEX(Конструктор!$P$2:$P$1212,$K691))</f>
        <v/>
      </c>
      <c r="K691" t="str">
        <f>IFERROR(MATCH(671,Конструктор!$T$2:$T$1212,0),"")</f>
        <v/>
      </c>
      <c r="L691" t="str">
        <f t="shared" si="10"/>
        <v/>
      </c>
    </row>
    <row r="692" spans="1:12" hidden="1" x14ac:dyDescent="0.3">
      <c r="A692" t="str">
        <f>IF($K692="","",672)</f>
        <v/>
      </c>
      <c r="B692" t="str">
        <f>IF($K692="","",INDEX(Конструктор!$C$2:$C$1212,$K692))</f>
        <v/>
      </c>
      <c r="C692" s="8" t="str">
        <f>IF($K692="","",INDEX(Конструктор!$D$2:$D$1212,$K692)&amp;IF(INDEX(Конструктор!$J$2:$J$1212,$K692)&lt;&gt;""," — "&amp;INDEX(Конструктор!$J$2:$J$1212,$K692),""))</f>
        <v/>
      </c>
      <c r="D692" t="str">
        <f>IF($K692="","",INDEX(Конструктор!$E$2:$E$1212,$K692))</f>
        <v/>
      </c>
      <c r="E692" s="10" t="str">
        <f>IF($K692="","",INDEX(Конструктор!$H$2:$H$1212,$K692))</f>
        <v/>
      </c>
      <c r="F692" s="10" t="str">
        <f>IF($K692="","",INDEX(Конструктор!$L$2:$L$1212,$K692))</f>
        <v/>
      </c>
      <c r="G692" s="10" t="str">
        <f>IF($K692="","",INDEX(Конструктор!$M$2:$M$1212,$K692))</f>
        <v/>
      </c>
      <c r="H692" s="10" t="str">
        <f>IF($K692="","",INDEX(Конструктор!$N$2:$N$1212,$K692))</f>
        <v/>
      </c>
      <c r="I692" s="10" t="str">
        <f>IF($K692="","",INDEX(Конструктор!$O$2:$O$1212,$K692))</f>
        <v/>
      </c>
      <c r="J692" s="10" t="str">
        <f>IF($K692="","",INDEX(Конструктор!$P$2:$P$1212,$K692))</f>
        <v/>
      </c>
      <c r="K692" t="str">
        <f>IFERROR(MATCH(672,Конструктор!$T$2:$T$1212,0),"")</f>
        <v/>
      </c>
      <c r="L692" t="str">
        <f t="shared" si="10"/>
        <v/>
      </c>
    </row>
    <row r="693" spans="1:12" hidden="1" x14ac:dyDescent="0.3">
      <c r="A693" t="str">
        <f>IF($K693="","",673)</f>
        <v/>
      </c>
      <c r="B693" t="str">
        <f>IF($K693="","",INDEX(Конструктор!$C$2:$C$1212,$K693))</f>
        <v/>
      </c>
      <c r="C693" s="8" t="str">
        <f>IF($K693="","",INDEX(Конструктор!$D$2:$D$1212,$K693)&amp;IF(INDEX(Конструктор!$J$2:$J$1212,$K693)&lt;&gt;""," — "&amp;INDEX(Конструктор!$J$2:$J$1212,$K693),""))</f>
        <v/>
      </c>
      <c r="D693" t="str">
        <f>IF($K693="","",INDEX(Конструктор!$E$2:$E$1212,$K693))</f>
        <v/>
      </c>
      <c r="E693" s="10" t="str">
        <f>IF($K693="","",INDEX(Конструктор!$H$2:$H$1212,$K693))</f>
        <v/>
      </c>
      <c r="F693" s="10" t="str">
        <f>IF($K693="","",INDEX(Конструктор!$L$2:$L$1212,$K693))</f>
        <v/>
      </c>
      <c r="G693" s="10" t="str">
        <f>IF($K693="","",INDEX(Конструктор!$M$2:$M$1212,$K693))</f>
        <v/>
      </c>
      <c r="H693" s="10" t="str">
        <f>IF($K693="","",INDEX(Конструктор!$N$2:$N$1212,$K693))</f>
        <v/>
      </c>
      <c r="I693" s="10" t="str">
        <f>IF($K693="","",INDEX(Конструктор!$O$2:$O$1212,$K693))</f>
        <v/>
      </c>
      <c r="J693" s="10" t="str">
        <f>IF($K693="","",INDEX(Конструктор!$P$2:$P$1212,$K693))</f>
        <v/>
      </c>
      <c r="K693" t="str">
        <f>IFERROR(MATCH(673,Конструктор!$T$2:$T$1212,0),"")</f>
        <v/>
      </c>
      <c r="L693" t="str">
        <f t="shared" si="10"/>
        <v/>
      </c>
    </row>
    <row r="694" spans="1:12" hidden="1" x14ac:dyDescent="0.3">
      <c r="A694" t="str">
        <f>IF($K694="","",674)</f>
        <v/>
      </c>
      <c r="B694" t="str">
        <f>IF($K694="","",INDEX(Конструктор!$C$2:$C$1212,$K694))</f>
        <v/>
      </c>
      <c r="C694" s="8" t="str">
        <f>IF($K694="","",INDEX(Конструктор!$D$2:$D$1212,$K694)&amp;IF(INDEX(Конструктор!$J$2:$J$1212,$K694)&lt;&gt;""," — "&amp;INDEX(Конструктор!$J$2:$J$1212,$K694),""))</f>
        <v/>
      </c>
      <c r="D694" t="str">
        <f>IF($K694="","",INDEX(Конструктор!$E$2:$E$1212,$K694))</f>
        <v/>
      </c>
      <c r="E694" s="10" t="str">
        <f>IF($K694="","",INDEX(Конструктор!$H$2:$H$1212,$K694))</f>
        <v/>
      </c>
      <c r="F694" s="10" t="str">
        <f>IF($K694="","",INDEX(Конструктор!$L$2:$L$1212,$K694))</f>
        <v/>
      </c>
      <c r="G694" s="10" t="str">
        <f>IF($K694="","",INDEX(Конструктор!$M$2:$M$1212,$K694))</f>
        <v/>
      </c>
      <c r="H694" s="10" t="str">
        <f>IF($K694="","",INDEX(Конструктор!$N$2:$N$1212,$K694))</f>
        <v/>
      </c>
      <c r="I694" s="10" t="str">
        <f>IF($K694="","",INDEX(Конструктор!$O$2:$O$1212,$K694))</f>
        <v/>
      </c>
      <c r="J694" s="10" t="str">
        <f>IF($K694="","",INDEX(Конструктор!$P$2:$P$1212,$K694))</f>
        <v/>
      </c>
      <c r="K694" t="str">
        <f>IFERROR(MATCH(674,Конструктор!$T$2:$T$1212,0),"")</f>
        <v/>
      </c>
      <c r="L694" t="str">
        <f t="shared" si="10"/>
        <v/>
      </c>
    </row>
    <row r="695" spans="1:12" hidden="1" x14ac:dyDescent="0.3">
      <c r="A695" t="str">
        <f>IF($K695="","",675)</f>
        <v/>
      </c>
      <c r="B695" t="str">
        <f>IF($K695="","",INDEX(Конструктор!$C$2:$C$1212,$K695))</f>
        <v/>
      </c>
      <c r="C695" s="8" t="str">
        <f>IF($K695="","",INDEX(Конструктор!$D$2:$D$1212,$K695)&amp;IF(INDEX(Конструктор!$J$2:$J$1212,$K695)&lt;&gt;""," — "&amp;INDEX(Конструктор!$J$2:$J$1212,$K695),""))</f>
        <v/>
      </c>
      <c r="D695" t="str">
        <f>IF($K695="","",INDEX(Конструктор!$E$2:$E$1212,$K695))</f>
        <v/>
      </c>
      <c r="E695" s="10" t="str">
        <f>IF($K695="","",INDEX(Конструктор!$H$2:$H$1212,$K695))</f>
        <v/>
      </c>
      <c r="F695" s="10" t="str">
        <f>IF($K695="","",INDEX(Конструктор!$L$2:$L$1212,$K695))</f>
        <v/>
      </c>
      <c r="G695" s="10" t="str">
        <f>IF($K695="","",INDEX(Конструктор!$M$2:$M$1212,$K695))</f>
        <v/>
      </c>
      <c r="H695" s="10" t="str">
        <f>IF($K695="","",INDEX(Конструктор!$N$2:$N$1212,$K695))</f>
        <v/>
      </c>
      <c r="I695" s="10" t="str">
        <f>IF($K695="","",INDEX(Конструктор!$O$2:$O$1212,$K695))</f>
        <v/>
      </c>
      <c r="J695" s="10" t="str">
        <f>IF($K695="","",INDEX(Конструктор!$P$2:$P$1212,$K695))</f>
        <v/>
      </c>
      <c r="K695" t="str">
        <f>IFERROR(MATCH(675,Конструктор!$T$2:$T$1212,0),"")</f>
        <v/>
      </c>
      <c r="L695" t="str">
        <f t="shared" si="10"/>
        <v/>
      </c>
    </row>
    <row r="696" spans="1:12" hidden="1" x14ac:dyDescent="0.3">
      <c r="A696" t="str">
        <f>IF($K696="","",676)</f>
        <v/>
      </c>
      <c r="B696" t="str">
        <f>IF($K696="","",INDEX(Конструктор!$C$2:$C$1212,$K696))</f>
        <v/>
      </c>
      <c r="C696" s="8" t="str">
        <f>IF($K696="","",INDEX(Конструктор!$D$2:$D$1212,$K696)&amp;IF(INDEX(Конструктор!$J$2:$J$1212,$K696)&lt;&gt;""," — "&amp;INDEX(Конструктор!$J$2:$J$1212,$K696),""))</f>
        <v/>
      </c>
      <c r="D696" t="str">
        <f>IF($K696="","",INDEX(Конструктор!$E$2:$E$1212,$K696))</f>
        <v/>
      </c>
      <c r="E696" s="10" t="str">
        <f>IF($K696="","",INDEX(Конструктор!$H$2:$H$1212,$K696))</f>
        <v/>
      </c>
      <c r="F696" s="10" t="str">
        <f>IF($K696="","",INDEX(Конструктор!$L$2:$L$1212,$K696))</f>
        <v/>
      </c>
      <c r="G696" s="10" t="str">
        <f>IF($K696="","",INDEX(Конструктор!$M$2:$M$1212,$K696))</f>
        <v/>
      </c>
      <c r="H696" s="10" t="str">
        <f>IF($K696="","",INDEX(Конструктор!$N$2:$N$1212,$K696))</f>
        <v/>
      </c>
      <c r="I696" s="10" t="str">
        <f>IF($K696="","",INDEX(Конструктор!$O$2:$O$1212,$K696))</f>
        <v/>
      </c>
      <c r="J696" s="10" t="str">
        <f>IF($K696="","",INDEX(Конструктор!$P$2:$P$1212,$K696))</f>
        <v/>
      </c>
      <c r="K696" t="str">
        <f>IFERROR(MATCH(676,Конструктор!$T$2:$T$1212,0),"")</f>
        <v/>
      </c>
      <c r="L696" t="str">
        <f t="shared" si="10"/>
        <v/>
      </c>
    </row>
    <row r="697" spans="1:12" hidden="1" x14ac:dyDescent="0.3">
      <c r="A697" t="str">
        <f>IF($K697="","",677)</f>
        <v/>
      </c>
      <c r="B697" t="str">
        <f>IF($K697="","",INDEX(Конструктор!$C$2:$C$1212,$K697))</f>
        <v/>
      </c>
      <c r="C697" s="8" t="str">
        <f>IF($K697="","",INDEX(Конструктор!$D$2:$D$1212,$K697)&amp;IF(INDEX(Конструктор!$J$2:$J$1212,$K697)&lt;&gt;""," — "&amp;INDEX(Конструктор!$J$2:$J$1212,$K697),""))</f>
        <v/>
      </c>
      <c r="D697" t="str">
        <f>IF($K697="","",INDEX(Конструктор!$E$2:$E$1212,$K697))</f>
        <v/>
      </c>
      <c r="E697" s="10" t="str">
        <f>IF($K697="","",INDEX(Конструктор!$H$2:$H$1212,$K697))</f>
        <v/>
      </c>
      <c r="F697" s="10" t="str">
        <f>IF($K697="","",INDEX(Конструктор!$L$2:$L$1212,$K697))</f>
        <v/>
      </c>
      <c r="G697" s="10" t="str">
        <f>IF($K697="","",INDEX(Конструктор!$M$2:$M$1212,$K697))</f>
        <v/>
      </c>
      <c r="H697" s="10" t="str">
        <f>IF($K697="","",INDEX(Конструктор!$N$2:$N$1212,$K697))</f>
        <v/>
      </c>
      <c r="I697" s="10" t="str">
        <f>IF($K697="","",INDEX(Конструктор!$O$2:$O$1212,$K697))</f>
        <v/>
      </c>
      <c r="J697" s="10" t="str">
        <f>IF($K697="","",INDEX(Конструктор!$P$2:$P$1212,$K697))</f>
        <v/>
      </c>
      <c r="K697" t="str">
        <f>IFERROR(MATCH(677,Конструктор!$T$2:$T$1212,0),"")</f>
        <v/>
      </c>
      <c r="L697" t="str">
        <f t="shared" si="10"/>
        <v/>
      </c>
    </row>
    <row r="698" spans="1:12" hidden="1" x14ac:dyDescent="0.3">
      <c r="A698" t="str">
        <f>IF($K698="","",678)</f>
        <v/>
      </c>
      <c r="B698" t="str">
        <f>IF($K698="","",INDEX(Конструктор!$C$2:$C$1212,$K698))</f>
        <v/>
      </c>
      <c r="C698" s="8" t="str">
        <f>IF($K698="","",INDEX(Конструктор!$D$2:$D$1212,$K698)&amp;IF(INDEX(Конструктор!$J$2:$J$1212,$K698)&lt;&gt;""," — "&amp;INDEX(Конструктор!$J$2:$J$1212,$K698),""))</f>
        <v/>
      </c>
      <c r="D698" t="str">
        <f>IF($K698="","",INDEX(Конструктор!$E$2:$E$1212,$K698))</f>
        <v/>
      </c>
      <c r="E698" s="10" t="str">
        <f>IF($K698="","",INDEX(Конструктор!$H$2:$H$1212,$K698))</f>
        <v/>
      </c>
      <c r="F698" s="10" t="str">
        <f>IF($K698="","",INDEX(Конструктор!$L$2:$L$1212,$K698))</f>
        <v/>
      </c>
      <c r="G698" s="10" t="str">
        <f>IF($K698="","",INDEX(Конструктор!$M$2:$M$1212,$K698))</f>
        <v/>
      </c>
      <c r="H698" s="10" t="str">
        <f>IF($K698="","",INDEX(Конструктор!$N$2:$N$1212,$K698))</f>
        <v/>
      </c>
      <c r="I698" s="10" t="str">
        <f>IF($K698="","",INDEX(Конструктор!$O$2:$O$1212,$K698))</f>
        <v/>
      </c>
      <c r="J698" s="10" t="str">
        <f>IF($K698="","",INDEX(Конструктор!$P$2:$P$1212,$K698))</f>
        <v/>
      </c>
      <c r="K698" t="str">
        <f>IFERROR(MATCH(678,Конструктор!$T$2:$T$1212,0),"")</f>
        <v/>
      </c>
      <c r="L698" t="str">
        <f t="shared" si="10"/>
        <v/>
      </c>
    </row>
    <row r="699" spans="1:12" hidden="1" x14ac:dyDescent="0.3">
      <c r="A699" t="str">
        <f>IF($K699="","",679)</f>
        <v/>
      </c>
      <c r="B699" t="str">
        <f>IF($K699="","",INDEX(Конструктор!$C$2:$C$1212,$K699))</f>
        <v/>
      </c>
      <c r="C699" s="8" t="str">
        <f>IF($K699="","",INDEX(Конструктор!$D$2:$D$1212,$K699)&amp;IF(INDEX(Конструктор!$J$2:$J$1212,$K699)&lt;&gt;""," — "&amp;INDEX(Конструктор!$J$2:$J$1212,$K699),""))</f>
        <v/>
      </c>
      <c r="D699" t="str">
        <f>IF($K699="","",INDEX(Конструктор!$E$2:$E$1212,$K699))</f>
        <v/>
      </c>
      <c r="E699" s="10" t="str">
        <f>IF($K699="","",INDEX(Конструктор!$H$2:$H$1212,$K699))</f>
        <v/>
      </c>
      <c r="F699" s="10" t="str">
        <f>IF($K699="","",INDEX(Конструктор!$L$2:$L$1212,$K699))</f>
        <v/>
      </c>
      <c r="G699" s="10" t="str">
        <f>IF($K699="","",INDEX(Конструктор!$M$2:$M$1212,$K699))</f>
        <v/>
      </c>
      <c r="H699" s="10" t="str">
        <f>IF($K699="","",INDEX(Конструктор!$N$2:$N$1212,$K699))</f>
        <v/>
      </c>
      <c r="I699" s="10" t="str">
        <f>IF($K699="","",INDEX(Конструктор!$O$2:$O$1212,$K699))</f>
        <v/>
      </c>
      <c r="J699" s="10" t="str">
        <f>IF($K699="","",INDEX(Конструктор!$P$2:$P$1212,$K699))</f>
        <v/>
      </c>
      <c r="K699" t="str">
        <f>IFERROR(MATCH(679,Конструктор!$T$2:$T$1212,0),"")</f>
        <v/>
      </c>
      <c r="L699" t="str">
        <f t="shared" si="10"/>
        <v/>
      </c>
    </row>
    <row r="700" spans="1:12" hidden="1" x14ac:dyDescent="0.3">
      <c r="A700" t="str">
        <f>IF($K700="","",680)</f>
        <v/>
      </c>
      <c r="B700" t="str">
        <f>IF($K700="","",INDEX(Конструктор!$C$2:$C$1212,$K700))</f>
        <v/>
      </c>
      <c r="C700" s="8" t="str">
        <f>IF($K700="","",INDEX(Конструктор!$D$2:$D$1212,$K700)&amp;IF(INDEX(Конструктор!$J$2:$J$1212,$K700)&lt;&gt;""," — "&amp;INDEX(Конструктор!$J$2:$J$1212,$K700),""))</f>
        <v/>
      </c>
      <c r="D700" t="str">
        <f>IF($K700="","",INDEX(Конструктор!$E$2:$E$1212,$K700))</f>
        <v/>
      </c>
      <c r="E700" s="10" t="str">
        <f>IF($K700="","",INDEX(Конструктор!$H$2:$H$1212,$K700))</f>
        <v/>
      </c>
      <c r="F700" s="10" t="str">
        <f>IF($K700="","",INDEX(Конструктор!$L$2:$L$1212,$K700))</f>
        <v/>
      </c>
      <c r="G700" s="10" t="str">
        <f>IF($K700="","",INDEX(Конструктор!$M$2:$M$1212,$K700))</f>
        <v/>
      </c>
      <c r="H700" s="10" t="str">
        <f>IF($K700="","",INDEX(Конструктор!$N$2:$N$1212,$K700))</f>
        <v/>
      </c>
      <c r="I700" s="10" t="str">
        <f>IF($K700="","",INDEX(Конструктор!$O$2:$O$1212,$K700))</f>
        <v/>
      </c>
      <c r="J700" s="10" t="str">
        <f>IF($K700="","",INDEX(Конструктор!$P$2:$P$1212,$K700))</f>
        <v/>
      </c>
      <c r="K700" t="str">
        <f>IFERROR(MATCH(680,Конструктор!$T$2:$T$1212,0),"")</f>
        <v/>
      </c>
      <c r="L700" t="str">
        <f t="shared" si="10"/>
        <v/>
      </c>
    </row>
    <row r="701" spans="1:12" hidden="1" x14ac:dyDescent="0.3">
      <c r="A701" t="str">
        <f>IF($K701="","",681)</f>
        <v/>
      </c>
      <c r="B701" t="str">
        <f>IF($K701="","",INDEX(Конструктор!$C$2:$C$1212,$K701))</f>
        <v/>
      </c>
      <c r="C701" s="8" t="str">
        <f>IF($K701="","",INDEX(Конструктор!$D$2:$D$1212,$K701)&amp;IF(INDEX(Конструктор!$J$2:$J$1212,$K701)&lt;&gt;""," — "&amp;INDEX(Конструктор!$J$2:$J$1212,$K701),""))</f>
        <v/>
      </c>
      <c r="D701" t="str">
        <f>IF($K701="","",INDEX(Конструктор!$E$2:$E$1212,$K701))</f>
        <v/>
      </c>
      <c r="E701" s="10" t="str">
        <f>IF($K701="","",INDEX(Конструктор!$H$2:$H$1212,$K701))</f>
        <v/>
      </c>
      <c r="F701" s="10" t="str">
        <f>IF($K701="","",INDEX(Конструктор!$L$2:$L$1212,$K701))</f>
        <v/>
      </c>
      <c r="G701" s="10" t="str">
        <f>IF($K701="","",INDEX(Конструктор!$M$2:$M$1212,$K701))</f>
        <v/>
      </c>
      <c r="H701" s="10" t="str">
        <f>IF($K701="","",INDEX(Конструктор!$N$2:$N$1212,$K701))</f>
        <v/>
      </c>
      <c r="I701" s="10" t="str">
        <f>IF($K701="","",INDEX(Конструктор!$O$2:$O$1212,$K701))</f>
        <v/>
      </c>
      <c r="J701" s="10" t="str">
        <f>IF($K701="","",INDEX(Конструктор!$P$2:$P$1212,$K701))</f>
        <v/>
      </c>
      <c r="K701" t="str">
        <f>IFERROR(MATCH(681,Конструктор!$T$2:$T$1212,0),"")</f>
        <v/>
      </c>
      <c r="L701" t="str">
        <f t="shared" si="10"/>
        <v/>
      </c>
    </row>
    <row r="702" spans="1:12" hidden="1" x14ac:dyDescent="0.3">
      <c r="A702" t="str">
        <f>IF($K702="","",682)</f>
        <v/>
      </c>
      <c r="B702" t="str">
        <f>IF($K702="","",INDEX(Конструктор!$C$2:$C$1212,$K702))</f>
        <v/>
      </c>
      <c r="C702" s="8" t="str">
        <f>IF($K702="","",INDEX(Конструктор!$D$2:$D$1212,$K702)&amp;IF(INDEX(Конструктор!$J$2:$J$1212,$K702)&lt;&gt;""," — "&amp;INDEX(Конструктор!$J$2:$J$1212,$K702),""))</f>
        <v/>
      </c>
      <c r="D702" t="str">
        <f>IF($K702="","",INDEX(Конструктор!$E$2:$E$1212,$K702))</f>
        <v/>
      </c>
      <c r="E702" s="10" t="str">
        <f>IF($K702="","",INDEX(Конструктор!$H$2:$H$1212,$K702))</f>
        <v/>
      </c>
      <c r="F702" s="10" t="str">
        <f>IF($K702="","",INDEX(Конструктор!$L$2:$L$1212,$K702))</f>
        <v/>
      </c>
      <c r="G702" s="10" t="str">
        <f>IF($K702="","",INDEX(Конструктор!$M$2:$M$1212,$K702))</f>
        <v/>
      </c>
      <c r="H702" s="10" t="str">
        <f>IF($K702="","",INDEX(Конструктор!$N$2:$N$1212,$K702))</f>
        <v/>
      </c>
      <c r="I702" s="10" t="str">
        <f>IF($K702="","",INDEX(Конструктор!$O$2:$O$1212,$K702))</f>
        <v/>
      </c>
      <c r="J702" s="10" t="str">
        <f>IF($K702="","",INDEX(Конструктор!$P$2:$P$1212,$K702))</f>
        <v/>
      </c>
      <c r="K702" t="str">
        <f>IFERROR(MATCH(682,Конструктор!$T$2:$T$1212,0),"")</f>
        <v/>
      </c>
      <c r="L702" t="str">
        <f t="shared" si="10"/>
        <v/>
      </c>
    </row>
    <row r="703" spans="1:12" hidden="1" x14ac:dyDescent="0.3">
      <c r="A703" t="str">
        <f>IF($K703="","",683)</f>
        <v/>
      </c>
      <c r="B703" t="str">
        <f>IF($K703="","",INDEX(Конструктор!$C$2:$C$1212,$K703))</f>
        <v/>
      </c>
      <c r="C703" s="8" t="str">
        <f>IF($K703="","",INDEX(Конструктор!$D$2:$D$1212,$K703)&amp;IF(INDEX(Конструктор!$J$2:$J$1212,$K703)&lt;&gt;""," — "&amp;INDEX(Конструктор!$J$2:$J$1212,$K703),""))</f>
        <v/>
      </c>
      <c r="D703" t="str">
        <f>IF($K703="","",INDEX(Конструктор!$E$2:$E$1212,$K703))</f>
        <v/>
      </c>
      <c r="E703" s="10" t="str">
        <f>IF($K703="","",INDEX(Конструктор!$H$2:$H$1212,$K703))</f>
        <v/>
      </c>
      <c r="F703" s="10" t="str">
        <f>IF($K703="","",INDEX(Конструктор!$L$2:$L$1212,$K703))</f>
        <v/>
      </c>
      <c r="G703" s="10" t="str">
        <f>IF($K703="","",INDEX(Конструктор!$M$2:$M$1212,$K703))</f>
        <v/>
      </c>
      <c r="H703" s="10" t="str">
        <f>IF($K703="","",INDEX(Конструктор!$N$2:$N$1212,$K703))</f>
        <v/>
      </c>
      <c r="I703" s="10" t="str">
        <f>IF($K703="","",INDEX(Конструктор!$O$2:$O$1212,$K703))</f>
        <v/>
      </c>
      <c r="J703" s="10" t="str">
        <f>IF($K703="","",INDEX(Конструктор!$P$2:$P$1212,$K703))</f>
        <v/>
      </c>
      <c r="K703" t="str">
        <f>IFERROR(MATCH(683,Конструктор!$T$2:$T$1212,0),"")</f>
        <v/>
      </c>
      <c r="L703" t="str">
        <f t="shared" si="10"/>
        <v/>
      </c>
    </row>
    <row r="704" spans="1:12" hidden="1" x14ac:dyDescent="0.3">
      <c r="A704" t="str">
        <f>IF($K704="","",684)</f>
        <v/>
      </c>
      <c r="B704" t="str">
        <f>IF($K704="","",INDEX(Конструктор!$C$2:$C$1212,$K704))</f>
        <v/>
      </c>
      <c r="C704" s="8" t="str">
        <f>IF($K704="","",INDEX(Конструктор!$D$2:$D$1212,$K704)&amp;IF(INDEX(Конструктор!$J$2:$J$1212,$K704)&lt;&gt;""," — "&amp;INDEX(Конструктор!$J$2:$J$1212,$K704),""))</f>
        <v/>
      </c>
      <c r="D704" t="str">
        <f>IF($K704="","",INDEX(Конструктор!$E$2:$E$1212,$K704))</f>
        <v/>
      </c>
      <c r="E704" s="10" t="str">
        <f>IF($K704="","",INDEX(Конструктор!$H$2:$H$1212,$K704))</f>
        <v/>
      </c>
      <c r="F704" s="10" t="str">
        <f>IF($K704="","",INDEX(Конструктор!$L$2:$L$1212,$K704))</f>
        <v/>
      </c>
      <c r="G704" s="10" t="str">
        <f>IF($K704="","",INDEX(Конструктор!$M$2:$M$1212,$K704))</f>
        <v/>
      </c>
      <c r="H704" s="10" t="str">
        <f>IF($K704="","",INDEX(Конструктор!$N$2:$N$1212,$K704))</f>
        <v/>
      </c>
      <c r="I704" s="10" t="str">
        <f>IF($K704="","",INDEX(Конструктор!$O$2:$O$1212,$K704))</f>
        <v/>
      </c>
      <c r="J704" s="10" t="str">
        <f>IF($K704="","",INDEX(Конструктор!$P$2:$P$1212,$K704))</f>
        <v/>
      </c>
      <c r="K704" t="str">
        <f>IFERROR(MATCH(684,Конструктор!$T$2:$T$1212,0),"")</f>
        <v/>
      </c>
      <c r="L704" t="str">
        <f t="shared" si="10"/>
        <v/>
      </c>
    </row>
    <row r="705" spans="1:12" hidden="1" x14ac:dyDescent="0.3">
      <c r="A705" t="str">
        <f>IF($K705="","",685)</f>
        <v/>
      </c>
      <c r="B705" t="str">
        <f>IF($K705="","",INDEX(Конструктор!$C$2:$C$1212,$K705))</f>
        <v/>
      </c>
      <c r="C705" s="8" t="str">
        <f>IF($K705="","",INDEX(Конструктор!$D$2:$D$1212,$K705)&amp;IF(INDEX(Конструктор!$J$2:$J$1212,$K705)&lt;&gt;""," — "&amp;INDEX(Конструктор!$J$2:$J$1212,$K705),""))</f>
        <v/>
      </c>
      <c r="D705" t="str">
        <f>IF($K705="","",INDEX(Конструктор!$E$2:$E$1212,$K705))</f>
        <v/>
      </c>
      <c r="E705" s="10" t="str">
        <f>IF($K705="","",INDEX(Конструктор!$H$2:$H$1212,$K705))</f>
        <v/>
      </c>
      <c r="F705" s="10" t="str">
        <f>IF($K705="","",INDEX(Конструктор!$L$2:$L$1212,$K705))</f>
        <v/>
      </c>
      <c r="G705" s="10" t="str">
        <f>IF($K705="","",INDEX(Конструктор!$M$2:$M$1212,$K705))</f>
        <v/>
      </c>
      <c r="H705" s="10" t="str">
        <f>IF($K705="","",INDEX(Конструктор!$N$2:$N$1212,$K705))</f>
        <v/>
      </c>
      <c r="I705" s="10" t="str">
        <f>IF($K705="","",INDEX(Конструктор!$O$2:$O$1212,$K705))</f>
        <v/>
      </c>
      <c r="J705" s="10" t="str">
        <f>IF($K705="","",INDEX(Конструктор!$P$2:$P$1212,$K705))</f>
        <v/>
      </c>
      <c r="K705" t="str">
        <f>IFERROR(MATCH(685,Конструктор!$T$2:$T$1212,0),"")</f>
        <v/>
      </c>
      <c r="L705" t="str">
        <f t="shared" si="10"/>
        <v/>
      </c>
    </row>
    <row r="706" spans="1:12" hidden="1" x14ac:dyDescent="0.3">
      <c r="A706" t="str">
        <f>IF($K706="","",686)</f>
        <v/>
      </c>
      <c r="B706" t="str">
        <f>IF($K706="","",INDEX(Конструктор!$C$2:$C$1212,$K706))</f>
        <v/>
      </c>
      <c r="C706" s="8" t="str">
        <f>IF($K706="","",INDEX(Конструктор!$D$2:$D$1212,$K706)&amp;IF(INDEX(Конструктор!$J$2:$J$1212,$K706)&lt;&gt;""," — "&amp;INDEX(Конструктор!$J$2:$J$1212,$K706),""))</f>
        <v/>
      </c>
      <c r="D706" t="str">
        <f>IF($K706="","",INDEX(Конструктор!$E$2:$E$1212,$K706))</f>
        <v/>
      </c>
      <c r="E706" s="10" t="str">
        <f>IF($K706="","",INDEX(Конструктор!$H$2:$H$1212,$K706))</f>
        <v/>
      </c>
      <c r="F706" s="10" t="str">
        <f>IF($K706="","",INDEX(Конструктор!$L$2:$L$1212,$K706))</f>
        <v/>
      </c>
      <c r="G706" s="10" t="str">
        <f>IF($K706="","",INDEX(Конструктор!$M$2:$M$1212,$K706))</f>
        <v/>
      </c>
      <c r="H706" s="10" t="str">
        <f>IF($K706="","",INDEX(Конструктор!$N$2:$N$1212,$K706))</f>
        <v/>
      </c>
      <c r="I706" s="10" t="str">
        <f>IF($K706="","",INDEX(Конструктор!$O$2:$O$1212,$K706))</f>
        <v/>
      </c>
      <c r="J706" s="10" t="str">
        <f>IF($K706="","",INDEX(Конструктор!$P$2:$P$1212,$K706))</f>
        <v/>
      </c>
      <c r="K706" t="str">
        <f>IFERROR(MATCH(686,Конструктор!$T$2:$T$1212,0),"")</f>
        <v/>
      </c>
      <c r="L706" t="str">
        <f t="shared" si="10"/>
        <v/>
      </c>
    </row>
    <row r="707" spans="1:12" hidden="1" x14ac:dyDescent="0.3">
      <c r="A707" t="str">
        <f>IF($K707="","",687)</f>
        <v/>
      </c>
      <c r="B707" t="str">
        <f>IF($K707="","",INDEX(Конструктор!$C$2:$C$1212,$K707))</f>
        <v/>
      </c>
      <c r="C707" s="8" t="str">
        <f>IF($K707="","",INDEX(Конструктор!$D$2:$D$1212,$K707)&amp;IF(INDEX(Конструктор!$J$2:$J$1212,$K707)&lt;&gt;""," — "&amp;INDEX(Конструктор!$J$2:$J$1212,$K707),""))</f>
        <v/>
      </c>
      <c r="D707" t="str">
        <f>IF($K707="","",INDEX(Конструктор!$E$2:$E$1212,$K707))</f>
        <v/>
      </c>
      <c r="E707" s="10" t="str">
        <f>IF($K707="","",INDEX(Конструктор!$H$2:$H$1212,$K707))</f>
        <v/>
      </c>
      <c r="F707" s="10" t="str">
        <f>IF($K707="","",INDEX(Конструктор!$L$2:$L$1212,$K707))</f>
        <v/>
      </c>
      <c r="G707" s="10" t="str">
        <f>IF($K707="","",INDEX(Конструктор!$M$2:$M$1212,$K707))</f>
        <v/>
      </c>
      <c r="H707" s="10" t="str">
        <f>IF($K707="","",INDEX(Конструктор!$N$2:$N$1212,$K707))</f>
        <v/>
      </c>
      <c r="I707" s="10" t="str">
        <f>IF($K707="","",INDEX(Конструктор!$O$2:$O$1212,$K707))</f>
        <v/>
      </c>
      <c r="J707" s="10" t="str">
        <f>IF($K707="","",INDEX(Конструктор!$P$2:$P$1212,$K707))</f>
        <v/>
      </c>
      <c r="K707" t="str">
        <f>IFERROR(MATCH(687,Конструктор!$T$2:$T$1212,0),"")</f>
        <v/>
      </c>
      <c r="L707" t="str">
        <f t="shared" si="10"/>
        <v/>
      </c>
    </row>
    <row r="708" spans="1:12" hidden="1" x14ac:dyDescent="0.3">
      <c r="A708" t="str">
        <f>IF($K708="","",688)</f>
        <v/>
      </c>
      <c r="B708" t="str">
        <f>IF($K708="","",INDEX(Конструктор!$C$2:$C$1212,$K708))</f>
        <v/>
      </c>
      <c r="C708" s="8" t="str">
        <f>IF($K708="","",INDEX(Конструктор!$D$2:$D$1212,$K708)&amp;IF(INDEX(Конструктор!$J$2:$J$1212,$K708)&lt;&gt;""," — "&amp;INDEX(Конструктор!$J$2:$J$1212,$K708),""))</f>
        <v/>
      </c>
      <c r="D708" t="str">
        <f>IF($K708="","",INDEX(Конструктор!$E$2:$E$1212,$K708))</f>
        <v/>
      </c>
      <c r="E708" s="10" t="str">
        <f>IF($K708="","",INDEX(Конструктор!$H$2:$H$1212,$K708))</f>
        <v/>
      </c>
      <c r="F708" s="10" t="str">
        <f>IF($K708="","",INDEX(Конструктор!$L$2:$L$1212,$K708))</f>
        <v/>
      </c>
      <c r="G708" s="10" t="str">
        <f>IF($K708="","",INDEX(Конструктор!$M$2:$M$1212,$K708))</f>
        <v/>
      </c>
      <c r="H708" s="10" t="str">
        <f>IF($K708="","",INDEX(Конструктор!$N$2:$N$1212,$K708))</f>
        <v/>
      </c>
      <c r="I708" s="10" t="str">
        <f>IF($K708="","",INDEX(Конструктор!$O$2:$O$1212,$K708))</f>
        <v/>
      </c>
      <c r="J708" s="10" t="str">
        <f>IF($K708="","",INDEX(Конструктор!$P$2:$P$1212,$K708))</f>
        <v/>
      </c>
      <c r="K708" t="str">
        <f>IFERROR(MATCH(688,Конструктор!$T$2:$T$1212,0),"")</f>
        <v/>
      </c>
      <c r="L708" t="str">
        <f t="shared" si="10"/>
        <v/>
      </c>
    </row>
    <row r="709" spans="1:12" hidden="1" x14ac:dyDescent="0.3">
      <c r="A709" t="str">
        <f>IF($K709="","",689)</f>
        <v/>
      </c>
      <c r="B709" t="str">
        <f>IF($K709="","",INDEX(Конструктор!$C$2:$C$1212,$K709))</f>
        <v/>
      </c>
      <c r="C709" s="8" t="str">
        <f>IF($K709="","",INDEX(Конструктор!$D$2:$D$1212,$K709)&amp;IF(INDEX(Конструктор!$J$2:$J$1212,$K709)&lt;&gt;""," — "&amp;INDEX(Конструктор!$J$2:$J$1212,$K709),""))</f>
        <v/>
      </c>
      <c r="D709" t="str">
        <f>IF($K709="","",INDEX(Конструктор!$E$2:$E$1212,$K709))</f>
        <v/>
      </c>
      <c r="E709" s="10" t="str">
        <f>IF($K709="","",INDEX(Конструктор!$H$2:$H$1212,$K709))</f>
        <v/>
      </c>
      <c r="F709" s="10" t="str">
        <f>IF($K709="","",INDEX(Конструктор!$L$2:$L$1212,$K709))</f>
        <v/>
      </c>
      <c r="G709" s="10" t="str">
        <f>IF($K709="","",INDEX(Конструктор!$M$2:$M$1212,$K709))</f>
        <v/>
      </c>
      <c r="H709" s="10" t="str">
        <f>IF($K709="","",INDEX(Конструктор!$N$2:$N$1212,$K709))</f>
        <v/>
      </c>
      <c r="I709" s="10" t="str">
        <f>IF($K709="","",INDEX(Конструктор!$O$2:$O$1212,$K709))</f>
        <v/>
      </c>
      <c r="J709" s="10" t="str">
        <f>IF($K709="","",INDEX(Конструктор!$P$2:$P$1212,$K709))</f>
        <v/>
      </c>
      <c r="K709" t="str">
        <f>IFERROR(MATCH(689,Конструктор!$T$2:$T$1212,0),"")</f>
        <v/>
      </c>
      <c r="L709" t="str">
        <f t="shared" si="10"/>
        <v/>
      </c>
    </row>
    <row r="710" spans="1:12" hidden="1" x14ac:dyDescent="0.3">
      <c r="A710" t="str">
        <f>IF($K710="","",690)</f>
        <v/>
      </c>
      <c r="B710" t="str">
        <f>IF($K710="","",INDEX(Конструктор!$C$2:$C$1212,$K710))</f>
        <v/>
      </c>
      <c r="C710" s="8" t="str">
        <f>IF($K710="","",INDEX(Конструктор!$D$2:$D$1212,$K710)&amp;IF(INDEX(Конструктор!$J$2:$J$1212,$K710)&lt;&gt;""," — "&amp;INDEX(Конструктор!$J$2:$J$1212,$K710),""))</f>
        <v/>
      </c>
      <c r="D710" t="str">
        <f>IF($K710="","",INDEX(Конструктор!$E$2:$E$1212,$K710))</f>
        <v/>
      </c>
      <c r="E710" s="10" t="str">
        <f>IF($K710="","",INDEX(Конструктор!$H$2:$H$1212,$K710))</f>
        <v/>
      </c>
      <c r="F710" s="10" t="str">
        <f>IF($K710="","",INDEX(Конструктор!$L$2:$L$1212,$K710))</f>
        <v/>
      </c>
      <c r="G710" s="10" t="str">
        <f>IF($K710="","",INDEX(Конструктор!$M$2:$M$1212,$K710))</f>
        <v/>
      </c>
      <c r="H710" s="10" t="str">
        <f>IF($K710="","",INDEX(Конструктор!$N$2:$N$1212,$K710))</f>
        <v/>
      </c>
      <c r="I710" s="10" t="str">
        <f>IF($K710="","",INDEX(Конструктор!$O$2:$O$1212,$K710))</f>
        <v/>
      </c>
      <c r="J710" s="10" t="str">
        <f>IF($K710="","",INDEX(Конструктор!$P$2:$P$1212,$K710))</f>
        <v/>
      </c>
      <c r="K710" t="str">
        <f>IFERROR(MATCH(690,Конструктор!$T$2:$T$1212,0),"")</f>
        <v/>
      </c>
      <c r="L710" t="str">
        <f t="shared" si="10"/>
        <v/>
      </c>
    </row>
    <row r="711" spans="1:12" hidden="1" x14ac:dyDescent="0.3">
      <c r="A711" t="str">
        <f>IF($K711="","",691)</f>
        <v/>
      </c>
      <c r="B711" t="str">
        <f>IF($K711="","",INDEX(Конструктор!$C$2:$C$1212,$K711))</f>
        <v/>
      </c>
      <c r="C711" s="8" t="str">
        <f>IF($K711="","",INDEX(Конструктор!$D$2:$D$1212,$K711)&amp;IF(INDEX(Конструктор!$J$2:$J$1212,$K711)&lt;&gt;""," — "&amp;INDEX(Конструктор!$J$2:$J$1212,$K711),""))</f>
        <v/>
      </c>
      <c r="D711" t="str">
        <f>IF($K711="","",INDEX(Конструктор!$E$2:$E$1212,$K711))</f>
        <v/>
      </c>
      <c r="E711" s="10" t="str">
        <f>IF($K711="","",INDEX(Конструктор!$H$2:$H$1212,$K711))</f>
        <v/>
      </c>
      <c r="F711" s="10" t="str">
        <f>IF($K711="","",INDEX(Конструктор!$L$2:$L$1212,$K711))</f>
        <v/>
      </c>
      <c r="G711" s="10" t="str">
        <f>IF($K711="","",INDEX(Конструктор!$M$2:$M$1212,$K711))</f>
        <v/>
      </c>
      <c r="H711" s="10" t="str">
        <f>IF($K711="","",INDEX(Конструктор!$N$2:$N$1212,$K711))</f>
        <v/>
      </c>
      <c r="I711" s="10" t="str">
        <f>IF($K711="","",INDEX(Конструктор!$O$2:$O$1212,$K711))</f>
        <v/>
      </c>
      <c r="J711" s="10" t="str">
        <f>IF($K711="","",INDEX(Конструктор!$P$2:$P$1212,$K711))</f>
        <v/>
      </c>
      <c r="K711" t="str">
        <f>IFERROR(MATCH(691,Конструктор!$T$2:$T$1212,0),"")</f>
        <v/>
      </c>
      <c r="L711" t="str">
        <f t="shared" si="10"/>
        <v/>
      </c>
    </row>
    <row r="712" spans="1:12" hidden="1" x14ac:dyDescent="0.3">
      <c r="A712" t="str">
        <f>IF($K712="","",692)</f>
        <v/>
      </c>
      <c r="B712" t="str">
        <f>IF($K712="","",INDEX(Конструктор!$C$2:$C$1212,$K712))</f>
        <v/>
      </c>
      <c r="C712" s="8" t="str">
        <f>IF($K712="","",INDEX(Конструктор!$D$2:$D$1212,$K712)&amp;IF(INDEX(Конструктор!$J$2:$J$1212,$K712)&lt;&gt;""," — "&amp;INDEX(Конструктор!$J$2:$J$1212,$K712),""))</f>
        <v/>
      </c>
      <c r="D712" t="str">
        <f>IF($K712="","",INDEX(Конструктор!$E$2:$E$1212,$K712))</f>
        <v/>
      </c>
      <c r="E712" s="10" t="str">
        <f>IF($K712="","",INDEX(Конструктор!$H$2:$H$1212,$K712))</f>
        <v/>
      </c>
      <c r="F712" s="10" t="str">
        <f>IF($K712="","",INDEX(Конструктор!$L$2:$L$1212,$K712))</f>
        <v/>
      </c>
      <c r="G712" s="10" t="str">
        <f>IF($K712="","",INDEX(Конструктор!$M$2:$M$1212,$K712))</f>
        <v/>
      </c>
      <c r="H712" s="10" t="str">
        <f>IF($K712="","",INDEX(Конструктор!$N$2:$N$1212,$K712))</f>
        <v/>
      </c>
      <c r="I712" s="10" t="str">
        <f>IF($K712="","",INDEX(Конструктор!$O$2:$O$1212,$K712))</f>
        <v/>
      </c>
      <c r="J712" s="10" t="str">
        <f>IF($K712="","",INDEX(Конструктор!$P$2:$P$1212,$K712))</f>
        <v/>
      </c>
      <c r="K712" t="str">
        <f>IFERROR(MATCH(692,Конструктор!$T$2:$T$1212,0),"")</f>
        <v/>
      </c>
      <c r="L712" t="str">
        <f t="shared" si="10"/>
        <v/>
      </c>
    </row>
    <row r="713" spans="1:12" hidden="1" x14ac:dyDescent="0.3">
      <c r="A713" t="str">
        <f>IF($K713="","",693)</f>
        <v/>
      </c>
      <c r="B713" t="str">
        <f>IF($K713="","",INDEX(Конструктор!$C$2:$C$1212,$K713))</f>
        <v/>
      </c>
      <c r="C713" s="8" t="str">
        <f>IF($K713="","",INDEX(Конструктор!$D$2:$D$1212,$K713)&amp;IF(INDEX(Конструктор!$J$2:$J$1212,$K713)&lt;&gt;""," — "&amp;INDEX(Конструктор!$J$2:$J$1212,$K713),""))</f>
        <v/>
      </c>
      <c r="D713" t="str">
        <f>IF($K713="","",INDEX(Конструктор!$E$2:$E$1212,$K713))</f>
        <v/>
      </c>
      <c r="E713" s="10" t="str">
        <f>IF($K713="","",INDEX(Конструктор!$H$2:$H$1212,$K713))</f>
        <v/>
      </c>
      <c r="F713" s="10" t="str">
        <f>IF($K713="","",INDEX(Конструктор!$L$2:$L$1212,$K713))</f>
        <v/>
      </c>
      <c r="G713" s="10" t="str">
        <f>IF($K713="","",INDEX(Конструктор!$M$2:$M$1212,$K713))</f>
        <v/>
      </c>
      <c r="H713" s="10" t="str">
        <f>IF($K713="","",INDEX(Конструктор!$N$2:$N$1212,$K713))</f>
        <v/>
      </c>
      <c r="I713" s="10" t="str">
        <f>IF($K713="","",INDEX(Конструктор!$O$2:$O$1212,$K713))</f>
        <v/>
      </c>
      <c r="J713" s="10" t="str">
        <f>IF($K713="","",INDEX(Конструктор!$P$2:$P$1212,$K713))</f>
        <v/>
      </c>
      <c r="K713" t="str">
        <f>IFERROR(MATCH(693,Конструктор!$T$2:$T$1212,0),"")</f>
        <v/>
      </c>
      <c r="L713" t="str">
        <f t="shared" si="10"/>
        <v/>
      </c>
    </row>
    <row r="714" spans="1:12" hidden="1" x14ac:dyDescent="0.3">
      <c r="A714" t="str">
        <f>IF($K714="","",694)</f>
        <v/>
      </c>
      <c r="B714" t="str">
        <f>IF($K714="","",INDEX(Конструктор!$C$2:$C$1212,$K714))</f>
        <v/>
      </c>
      <c r="C714" s="8" t="str">
        <f>IF($K714="","",INDEX(Конструктор!$D$2:$D$1212,$K714)&amp;IF(INDEX(Конструктор!$J$2:$J$1212,$K714)&lt;&gt;""," — "&amp;INDEX(Конструктор!$J$2:$J$1212,$K714),""))</f>
        <v/>
      </c>
      <c r="D714" t="str">
        <f>IF($K714="","",INDEX(Конструктор!$E$2:$E$1212,$K714))</f>
        <v/>
      </c>
      <c r="E714" s="10" t="str">
        <f>IF($K714="","",INDEX(Конструктор!$H$2:$H$1212,$K714))</f>
        <v/>
      </c>
      <c r="F714" s="10" t="str">
        <f>IF($K714="","",INDEX(Конструктор!$L$2:$L$1212,$K714))</f>
        <v/>
      </c>
      <c r="G714" s="10" t="str">
        <f>IF($K714="","",INDEX(Конструктор!$M$2:$M$1212,$K714))</f>
        <v/>
      </c>
      <c r="H714" s="10" t="str">
        <f>IF($K714="","",INDEX(Конструктор!$N$2:$N$1212,$K714))</f>
        <v/>
      </c>
      <c r="I714" s="10" t="str">
        <f>IF($K714="","",INDEX(Конструктор!$O$2:$O$1212,$K714))</f>
        <v/>
      </c>
      <c r="J714" s="10" t="str">
        <f>IF($K714="","",INDEX(Конструктор!$P$2:$P$1212,$K714))</f>
        <v/>
      </c>
      <c r="K714" t="str">
        <f>IFERROR(MATCH(694,Конструктор!$T$2:$T$1212,0),"")</f>
        <v/>
      </c>
      <c r="L714" t="str">
        <f t="shared" si="10"/>
        <v/>
      </c>
    </row>
    <row r="715" spans="1:12" hidden="1" x14ac:dyDescent="0.3">
      <c r="A715" t="str">
        <f>IF($K715="","",695)</f>
        <v/>
      </c>
      <c r="B715" t="str">
        <f>IF($K715="","",INDEX(Конструктор!$C$2:$C$1212,$K715))</f>
        <v/>
      </c>
      <c r="C715" s="8" t="str">
        <f>IF($K715="","",INDEX(Конструктор!$D$2:$D$1212,$K715)&amp;IF(INDEX(Конструктор!$J$2:$J$1212,$K715)&lt;&gt;""," — "&amp;INDEX(Конструктор!$J$2:$J$1212,$K715),""))</f>
        <v/>
      </c>
      <c r="D715" t="str">
        <f>IF($K715="","",INDEX(Конструктор!$E$2:$E$1212,$K715))</f>
        <v/>
      </c>
      <c r="E715" s="10" t="str">
        <f>IF($K715="","",INDEX(Конструктор!$H$2:$H$1212,$K715))</f>
        <v/>
      </c>
      <c r="F715" s="10" t="str">
        <f>IF($K715="","",INDEX(Конструктор!$L$2:$L$1212,$K715))</f>
        <v/>
      </c>
      <c r="G715" s="10" t="str">
        <f>IF($K715="","",INDEX(Конструктор!$M$2:$M$1212,$K715))</f>
        <v/>
      </c>
      <c r="H715" s="10" t="str">
        <f>IF($K715="","",INDEX(Конструктор!$N$2:$N$1212,$K715))</f>
        <v/>
      </c>
      <c r="I715" s="10" t="str">
        <f>IF($K715="","",INDEX(Конструктор!$O$2:$O$1212,$K715))</f>
        <v/>
      </c>
      <c r="J715" s="10" t="str">
        <f>IF($K715="","",INDEX(Конструктор!$P$2:$P$1212,$K715))</f>
        <v/>
      </c>
      <c r="K715" t="str">
        <f>IFERROR(MATCH(695,Конструктор!$T$2:$T$1212,0),"")</f>
        <v/>
      </c>
      <c r="L715" t="str">
        <f t="shared" si="10"/>
        <v/>
      </c>
    </row>
    <row r="716" spans="1:12" hidden="1" x14ac:dyDescent="0.3">
      <c r="A716" t="str">
        <f>IF($K716="","",696)</f>
        <v/>
      </c>
      <c r="B716" t="str">
        <f>IF($K716="","",INDEX(Конструктор!$C$2:$C$1212,$K716))</f>
        <v/>
      </c>
      <c r="C716" s="8" t="str">
        <f>IF($K716="","",INDEX(Конструктор!$D$2:$D$1212,$K716)&amp;IF(INDEX(Конструктор!$J$2:$J$1212,$K716)&lt;&gt;""," — "&amp;INDEX(Конструктор!$J$2:$J$1212,$K716),""))</f>
        <v/>
      </c>
      <c r="D716" t="str">
        <f>IF($K716="","",INDEX(Конструктор!$E$2:$E$1212,$K716))</f>
        <v/>
      </c>
      <c r="E716" s="10" t="str">
        <f>IF($K716="","",INDEX(Конструктор!$H$2:$H$1212,$K716))</f>
        <v/>
      </c>
      <c r="F716" s="10" t="str">
        <f>IF($K716="","",INDEX(Конструктор!$L$2:$L$1212,$K716))</f>
        <v/>
      </c>
      <c r="G716" s="10" t="str">
        <f>IF($K716="","",INDEX(Конструктор!$M$2:$M$1212,$K716))</f>
        <v/>
      </c>
      <c r="H716" s="10" t="str">
        <f>IF($K716="","",INDEX(Конструктор!$N$2:$N$1212,$K716))</f>
        <v/>
      </c>
      <c r="I716" s="10" t="str">
        <f>IF($K716="","",INDEX(Конструктор!$O$2:$O$1212,$K716))</f>
        <v/>
      </c>
      <c r="J716" s="10" t="str">
        <f>IF($K716="","",INDEX(Конструктор!$P$2:$P$1212,$K716))</f>
        <v/>
      </c>
      <c r="K716" t="str">
        <f>IFERROR(MATCH(696,Конструктор!$T$2:$T$1212,0),"")</f>
        <v/>
      </c>
      <c r="L716" t="str">
        <f t="shared" si="10"/>
        <v/>
      </c>
    </row>
    <row r="717" spans="1:12" hidden="1" x14ac:dyDescent="0.3">
      <c r="A717" t="str">
        <f>IF($K717="","",697)</f>
        <v/>
      </c>
      <c r="B717" t="str">
        <f>IF($K717="","",INDEX(Конструктор!$C$2:$C$1212,$K717))</f>
        <v/>
      </c>
      <c r="C717" s="8" t="str">
        <f>IF($K717="","",INDEX(Конструктор!$D$2:$D$1212,$K717)&amp;IF(INDEX(Конструктор!$J$2:$J$1212,$K717)&lt;&gt;""," — "&amp;INDEX(Конструктор!$J$2:$J$1212,$K717),""))</f>
        <v/>
      </c>
      <c r="D717" t="str">
        <f>IF($K717="","",INDEX(Конструктор!$E$2:$E$1212,$K717))</f>
        <v/>
      </c>
      <c r="E717" s="10" t="str">
        <f>IF($K717="","",INDEX(Конструктор!$H$2:$H$1212,$K717))</f>
        <v/>
      </c>
      <c r="F717" s="10" t="str">
        <f>IF($K717="","",INDEX(Конструктор!$L$2:$L$1212,$K717))</f>
        <v/>
      </c>
      <c r="G717" s="10" t="str">
        <f>IF($K717="","",INDEX(Конструктор!$M$2:$M$1212,$K717))</f>
        <v/>
      </c>
      <c r="H717" s="10" t="str">
        <f>IF($K717="","",INDEX(Конструктор!$N$2:$N$1212,$K717))</f>
        <v/>
      </c>
      <c r="I717" s="10" t="str">
        <f>IF($K717="","",INDEX(Конструктор!$O$2:$O$1212,$K717))</f>
        <v/>
      </c>
      <c r="J717" s="10" t="str">
        <f>IF($K717="","",INDEX(Конструктор!$P$2:$P$1212,$K717))</f>
        <v/>
      </c>
      <c r="K717" t="str">
        <f>IFERROR(MATCH(697,Конструктор!$T$2:$T$1212,0),"")</f>
        <v/>
      </c>
      <c r="L717" t="str">
        <f t="shared" si="10"/>
        <v/>
      </c>
    </row>
    <row r="718" spans="1:12" hidden="1" x14ac:dyDescent="0.3">
      <c r="A718" t="str">
        <f>IF($K718="","",698)</f>
        <v/>
      </c>
      <c r="B718" t="str">
        <f>IF($K718="","",INDEX(Конструктор!$C$2:$C$1212,$K718))</f>
        <v/>
      </c>
      <c r="C718" s="8" t="str">
        <f>IF($K718="","",INDEX(Конструктор!$D$2:$D$1212,$K718)&amp;IF(INDEX(Конструктор!$J$2:$J$1212,$K718)&lt;&gt;""," — "&amp;INDEX(Конструктор!$J$2:$J$1212,$K718),""))</f>
        <v/>
      </c>
      <c r="D718" t="str">
        <f>IF($K718="","",INDEX(Конструктор!$E$2:$E$1212,$K718))</f>
        <v/>
      </c>
      <c r="E718" s="10" t="str">
        <f>IF($K718="","",INDEX(Конструктор!$H$2:$H$1212,$K718))</f>
        <v/>
      </c>
      <c r="F718" s="10" t="str">
        <f>IF($K718="","",INDEX(Конструктор!$L$2:$L$1212,$K718))</f>
        <v/>
      </c>
      <c r="G718" s="10" t="str">
        <f>IF($K718="","",INDEX(Конструктор!$M$2:$M$1212,$K718))</f>
        <v/>
      </c>
      <c r="H718" s="10" t="str">
        <f>IF($K718="","",INDEX(Конструктор!$N$2:$N$1212,$K718))</f>
        <v/>
      </c>
      <c r="I718" s="10" t="str">
        <f>IF($K718="","",INDEX(Конструктор!$O$2:$O$1212,$K718))</f>
        <v/>
      </c>
      <c r="J718" s="10" t="str">
        <f>IF($K718="","",INDEX(Конструктор!$P$2:$P$1212,$K718))</f>
        <v/>
      </c>
      <c r="K718" t="str">
        <f>IFERROR(MATCH(698,Конструктор!$T$2:$T$1212,0),"")</f>
        <v/>
      </c>
      <c r="L718" t="str">
        <f t="shared" si="10"/>
        <v/>
      </c>
    </row>
    <row r="719" spans="1:12" hidden="1" x14ac:dyDescent="0.3">
      <c r="A719" t="str">
        <f>IF($K719="","",699)</f>
        <v/>
      </c>
      <c r="B719" t="str">
        <f>IF($K719="","",INDEX(Конструктор!$C$2:$C$1212,$K719))</f>
        <v/>
      </c>
      <c r="C719" s="8" t="str">
        <f>IF($K719="","",INDEX(Конструктор!$D$2:$D$1212,$K719)&amp;IF(INDEX(Конструктор!$J$2:$J$1212,$K719)&lt;&gt;""," — "&amp;INDEX(Конструктор!$J$2:$J$1212,$K719),""))</f>
        <v/>
      </c>
      <c r="D719" t="str">
        <f>IF($K719="","",INDEX(Конструктор!$E$2:$E$1212,$K719))</f>
        <v/>
      </c>
      <c r="E719" s="10" t="str">
        <f>IF($K719="","",INDEX(Конструктор!$H$2:$H$1212,$K719))</f>
        <v/>
      </c>
      <c r="F719" s="10" t="str">
        <f>IF($K719="","",INDEX(Конструктор!$L$2:$L$1212,$K719))</f>
        <v/>
      </c>
      <c r="G719" s="10" t="str">
        <f>IF($K719="","",INDEX(Конструктор!$M$2:$M$1212,$K719))</f>
        <v/>
      </c>
      <c r="H719" s="10" t="str">
        <f>IF($K719="","",INDEX(Конструктор!$N$2:$N$1212,$K719))</f>
        <v/>
      </c>
      <c r="I719" s="10" t="str">
        <f>IF($K719="","",INDEX(Конструктор!$O$2:$O$1212,$K719))</f>
        <v/>
      </c>
      <c r="J719" s="10" t="str">
        <f>IF($K719="","",INDEX(Конструктор!$P$2:$P$1212,$K719))</f>
        <v/>
      </c>
      <c r="K719" t="str">
        <f>IFERROR(MATCH(699,Конструктор!$T$2:$T$1212,0),"")</f>
        <v/>
      </c>
      <c r="L719" t="str">
        <f t="shared" si="10"/>
        <v/>
      </c>
    </row>
    <row r="720" spans="1:12" hidden="1" x14ac:dyDescent="0.3">
      <c r="A720" t="str">
        <f>IF($K720="","",700)</f>
        <v/>
      </c>
      <c r="B720" t="str">
        <f>IF($K720="","",INDEX(Конструктор!$C$2:$C$1212,$K720))</f>
        <v/>
      </c>
      <c r="C720" s="8" t="str">
        <f>IF($K720="","",INDEX(Конструктор!$D$2:$D$1212,$K720)&amp;IF(INDEX(Конструктор!$J$2:$J$1212,$K720)&lt;&gt;""," — "&amp;INDEX(Конструктор!$J$2:$J$1212,$K720),""))</f>
        <v/>
      </c>
      <c r="D720" t="str">
        <f>IF($K720="","",INDEX(Конструктор!$E$2:$E$1212,$K720))</f>
        <v/>
      </c>
      <c r="E720" s="10" t="str">
        <f>IF($K720="","",INDEX(Конструктор!$H$2:$H$1212,$K720))</f>
        <v/>
      </c>
      <c r="F720" s="10" t="str">
        <f>IF($K720="","",INDEX(Конструктор!$L$2:$L$1212,$K720))</f>
        <v/>
      </c>
      <c r="G720" s="10" t="str">
        <f>IF($K720="","",INDEX(Конструктор!$M$2:$M$1212,$K720))</f>
        <v/>
      </c>
      <c r="H720" s="10" t="str">
        <f>IF($K720="","",INDEX(Конструктор!$N$2:$N$1212,$K720))</f>
        <v/>
      </c>
      <c r="I720" s="10" t="str">
        <f>IF($K720="","",INDEX(Конструктор!$O$2:$O$1212,$K720))</f>
        <v/>
      </c>
      <c r="J720" s="10" t="str">
        <f>IF($K720="","",INDEX(Конструктор!$P$2:$P$1212,$K720))</f>
        <v/>
      </c>
      <c r="K720" t="str">
        <f>IFERROR(MATCH(700,Конструктор!$T$2:$T$1212,0),"")</f>
        <v/>
      </c>
      <c r="L720" t="str">
        <f t="shared" si="10"/>
        <v/>
      </c>
    </row>
    <row r="721" spans="1:12" hidden="1" x14ac:dyDescent="0.3">
      <c r="A721" t="str">
        <f>IF($K721="","",701)</f>
        <v/>
      </c>
      <c r="B721" t="str">
        <f>IF($K721="","",INDEX(Конструктор!$C$2:$C$1212,$K721))</f>
        <v/>
      </c>
      <c r="C721" s="8" t="str">
        <f>IF($K721="","",INDEX(Конструктор!$D$2:$D$1212,$K721)&amp;IF(INDEX(Конструктор!$J$2:$J$1212,$K721)&lt;&gt;""," — "&amp;INDEX(Конструктор!$J$2:$J$1212,$K721),""))</f>
        <v/>
      </c>
      <c r="D721" t="str">
        <f>IF($K721="","",INDEX(Конструктор!$E$2:$E$1212,$K721))</f>
        <v/>
      </c>
      <c r="E721" s="10" t="str">
        <f>IF($K721="","",INDEX(Конструктор!$H$2:$H$1212,$K721))</f>
        <v/>
      </c>
      <c r="F721" s="10" t="str">
        <f>IF($K721="","",INDEX(Конструктор!$L$2:$L$1212,$K721))</f>
        <v/>
      </c>
      <c r="G721" s="10" t="str">
        <f>IF($K721="","",INDEX(Конструктор!$M$2:$M$1212,$K721))</f>
        <v/>
      </c>
      <c r="H721" s="10" t="str">
        <f>IF($K721="","",INDEX(Конструктор!$N$2:$N$1212,$K721))</f>
        <v/>
      </c>
      <c r="I721" s="10" t="str">
        <f>IF($K721="","",INDEX(Конструктор!$O$2:$O$1212,$K721))</f>
        <v/>
      </c>
      <c r="J721" s="10" t="str">
        <f>IF($K721="","",INDEX(Конструктор!$P$2:$P$1212,$K721))</f>
        <v/>
      </c>
      <c r="K721" t="str">
        <f>IFERROR(MATCH(701,Конструктор!$T$2:$T$1212,0),"")</f>
        <v/>
      </c>
      <c r="L721" t="str">
        <f t="shared" si="10"/>
        <v/>
      </c>
    </row>
    <row r="722" spans="1:12" hidden="1" x14ac:dyDescent="0.3">
      <c r="A722" t="str">
        <f>IF($K722="","",702)</f>
        <v/>
      </c>
      <c r="B722" t="str">
        <f>IF($K722="","",INDEX(Конструктор!$C$2:$C$1212,$K722))</f>
        <v/>
      </c>
      <c r="C722" s="8" t="str">
        <f>IF($K722="","",INDEX(Конструктор!$D$2:$D$1212,$K722)&amp;IF(INDEX(Конструктор!$J$2:$J$1212,$K722)&lt;&gt;""," — "&amp;INDEX(Конструктор!$J$2:$J$1212,$K722),""))</f>
        <v/>
      </c>
      <c r="D722" t="str">
        <f>IF($K722="","",INDEX(Конструктор!$E$2:$E$1212,$K722))</f>
        <v/>
      </c>
      <c r="E722" s="10" t="str">
        <f>IF($K722="","",INDEX(Конструктор!$H$2:$H$1212,$K722))</f>
        <v/>
      </c>
      <c r="F722" s="10" t="str">
        <f>IF($K722="","",INDEX(Конструктор!$L$2:$L$1212,$K722))</f>
        <v/>
      </c>
      <c r="G722" s="10" t="str">
        <f>IF($K722="","",INDEX(Конструктор!$M$2:$M$1212,$K722))</f>
        <v/>
      </c>
      <c r="H722" s="10" t="str">
        <f>IF($K722="","",INDEX(Конструктор!$N$2:$N$1212,$K722))</f>
        <v/>
      </c>
      <c r="I722" s="10" t="str">
        <f>IF($K722="","",INDEX(Конструктор!$O$2:$O$1212,$K722))</f>
        <v/>
      </c>
      <c r="J722" s="10" t="str">
        <f>IF($K722="","",INDEX(Конструктор!$P$2:$P$1212,$K722))</f>
        <v/>
      </c>
      <c r="K722" t="str">
        <f>IFERROR(MATCH(702,Конструктор!$T$2:$T$1212,0),"")</f>
        <v/>
      </c>
      <c r="L722" t="str">
        <f t="shared" si="10"/>
        <v/>
      </c>
    </row>
    <row r="723" spans="1:12" hidden="1" x14ac:dyDescent="0.3">
      <c r="A723" t="str">
        <f>IF($K723="","",703)</f>
        <v/>
      </c>
      <c r="B723" t="str">
        <f>IF($K723="","",INDEX(Конструктор!$C$2:$C$1212,$K723))</f>
        <v/>
      </c>
      <c r="C723" s="8" t="str">
        <f>IF($K723="","",INDEX(Конструктор!$D$2:$D$1212,$K723)&amp;IF(INDEX(Конструктор!$J$2:$J$1212,$K723)&lt;&gt;""," — "&amp;INDEX(Конструктор!$J$2:$J$1212,$K723),""))</f>
        <v/>
      </c>
      <c r="D723" t="str">
        <f>IF($K723="","",INDEX(Конструктор!$E$2:$E$1212,$K723))</f>
        <v/>
      </c>
      <c r="E723" s="10" t="str">
        <f>IF($K723="","",INDEX(Конструктор!$H$2:$H$1212,$K723))</f>
        <v/>
      </c>
      <c r="F723" s="10" t="str">
        <f>IF($K723="","",INDEX(Конструктор!$L$2:$L$1212,$K723))</f>
        <v/>
      </c>
      <c r="G723" s="10" t="str">
        <f>IF($K723="","",INDEX(Конструктор!$M$2:$M$1212,$K723))</f>
        <v/>
      </c>
      <c r="H723" s="10" t="str">
        <f>IF($K723="","",INDEX(Конструктор!$N$2:$N$1212,$K723))</f>
        <v/>
      </c>
      <c r="I723" s="10" t="str">
        <f>IF($K723="","",INDEX(Конструктор!$O$2:$O$1212,$K723))</f>
        <v/>
      </c>
      <c r="J723" s="10" t="str">
        <f>IF($K723="","",INDEX(Конструктор!$P$2:$P$1212,$K723))</f>
        <v/>
      </c>
      <c r="K723" t="str">
        <f>IFERROR(MATCH(703,Конструктор!$T$2:$T$1212,0),"")</f>
        <v/>
      </c>
      <c r="L723" t="str">
        <f t="shared" si="10"/>
        <v/>
      </c>
    </row>
    <row r="724" spans="1:12" hidden="1" x14ac:dyDescent="0.3">
      <c r="A724" t="str">
        <f>IF($K724="","",704)</f>
        <v/>
      </c>
      <c r="B724" t="str">
        <f>IF($K724="","",INDEX(Конструктор!$C$2:$C$1212,$K724))</f>
        <v/>
      </c>
      <c r="C724" s="8" t="str">
        <f>IF($K724="","",INDEX(Конструктор!$D$2:$D$1212,$K724)&amp;IF(INDEX(Конструктор!$J$2:$J$1212,$K724)&lt;&gt;""," — "&amp;INDEX(Конструктор!$J$2:$J$1212,$K724),""))</f>
        <v/>
      </c>
      <c r="D724" t="str">
        <f>IF($K724="","",INDEX(Конструктор!$E$2:$E$1212,$K724))</f>
        <v/>
      </c>
      <c r="E724" s="10" t="str">
        <f>IF($K724="","",INDEX(Конструктор!$H$2:$H$1212,$K724))</f>
        <v/>
      </c>
      <c r="F724" s="10" t="str">
        <f>IF($K724="","",INDEX(Конструктор!$L$2:$L$1212,$K724))</f>
        <v/>
      </c>
      <c r="G724" s="10" t="str">
        <f>IF($K724="","",INDEX(Конструктор!$M$2:$M$1212,$K724))</f>
        <v/>
      </c>
      <c r="H724" s="10" t="str">
        <f>IF($K724="","",INDEX(Конструктор!$N$2:$N$1212,$K724))</f>
        <v/>
      </c>
      <c r="I724" s="10" t="str">
        <f>IF($K724="","",INDEX(Конструктор!$O$2:$O$1212,$K724))</f>
        <v/>
      </c>
      <c r="J724" s="10" t="str">
        <f>IF($K724="","",INDEX(Конструктор!$P$2:$P$1212,$K724))</f>
        <v/>
      </c>
      <c r="K724" t="str">
        <f>IFERROR(MATCH(704,Конструктор!$T$2:$T$1212,0),"")</f>
        <v/>
      </c>
      <c r="L724" t="str">
        <f t="shared" si="10"/>
        <v/>
      </c>
    </row>
    <row r="725" spans="1:12" hidden="1" x14ac:dyDescent="0.3">
      <c r="A725" t="str">
        <f>IF($K725="","",705)</f>
        <v/>
      </c>
      <c r="B725" t="str">
        <f>IF($K725="","",INDEX(Конструктор!$C$2:$C$1212,$K725))</f>
        <v/>
      </c>
      <c r="C725" s="8" t="str">
        <f>IF($K725="","",INDEX(Конструктор!$D$2:$D$1212,$K725)&amp;IF(INDEX(Конструктор!$J$2:$J$1212,$K725)&lt;&gt;""," — "&amp;INDEX(Конструктор!$J$2:$J$1212,$K725),""))</f>
        <v/>
      </c>
      <c r="D725" t="str">
        <f>IF($K725="","",INDEX(Конструктор!$E$2:$E$1212,$K725))</f>
        <v/>
      </c>
      <c r="E725" s="10" t="str">
        <f>IF($K725="","",INDEX(Конструктор!$H$2:$H$1212,$K725))</f>
        <v/>
      </c>
      <c r="F725" s="10" t="str">
        <f>IF($K725="","",INDEX(Конструктор!$L$2:$L$1212,$K725))</f>
        <v/>
      </c>
      <c r="G725" s="10" t="str">
        <f>IF($K725="","",INDEX(Конструктор!$M$2:$M$1212,$K725))</f>
        <v/>
      </c>
      <c r="H725" s="10" t="str">
        <f>IF($K725="","",INDEX(Конструктор!$N$2:$N$1212,$K725))</f>
        <v/>
      </c>
      <c r="I725" s="10" t="str">
        <f>IF($K725="","",INDEX(Конструктор!$O$2:$O$1212,$K725))</f>
        <v/>
      </c>
      <c r="J725" s="10" t="str">
        <f>IF($K725="","",INDEX(Конструктор!$P$2:$P$1212,$K725))</f>
        <v/>
      </c>
      <c r="K725" t="str">
        <f>IFERROR(MATCH(705,Конструктор!$T$2:$T$1212,0),"")</f>
        <v/>
      </c>
      <c r="L725" t="str">
        <f t="shared" ref="L725:L788" si="11">IF($K725="","","показать")</f>
        <v/>
      </c>
    </row>
    <row r="726" spans="1:12" hidden="1" x14ac:dyDescent="0.3">
      <c r="A726" t="str">
        <f>IF($K726="","",706)</f>
        <v/>
      </c>
      <c r="B726" t="str">
        <f>IF($K726="","",INDEX(Конструктор!$C$2:$C$1212,$K726))</f>
        <v/>
      </c>
      <c r="C726" s="8" t="str">
        <f>IF($K726="","",INDEX(Конструктор!$D$2:$D$1212,$K726)&amp;IF(INDEX(Конструктор!$J$2:$J$1212,$K726)&lt;&gt;""," — "&amp;INDEX(Конструктор!$J$2:$J$1212,$K726),""))</f>
        <v/>
      </c>
      <c r="D726" t="str">
        <f>IF($K726="","",INDEX(Конструктор!$E$2:$E$1212,$K726))</f>
        <v/>
      </c>
      <c r="E726" s="10" t="str">
        <f>IF($K726="","",INDEX(Конструктор!$H$2:$H$1212,$K726))</f>
        <v/>
      </c>
      <c r="F726" s="10" t="str">
        <f>IF($K726="","",INDEX(Конструктор!$L$2:$L$1212,$K726))</f>
        <v/>
      </c>
      <c r="G726" s="10" t="str">
        <f>IF($K726="","",INDEX(Конструктор!$M$2:$M$1212,$K726))</f>
        <v/>
      </c>
      <c r="H726" s="10" t="str">
        <f>IF($K726="","",INDEX(Конструктор!$N$2:$N$1212,$K726))</f>
        <v/>
      </c>
      <c r="I726" s="10" t="str">
        <f>IF($K726="","",INDEX(Конструктор!$O$2:$O$1212,$K726))</f>
        <v/>
      </c>
      <c r="J726" s="10" t="str">
        <f>IF($K726="","",INDEX(Конструктор!$P$2:$P$1212,$K726))</f>
        <v/>
      </c>
      <c r="K726" t="str">
        <f>IFERROR(MATCH(706,Конструктор!$T$2:$T$1212,0),"")</f>
        <v/>
      </c>
      <c r="L726" t="str">
        <f t="shared" si="11"/>
        <v/>
      </c>
    </row>
    <row r="727" spans="1:12" hidden="1" x14ac:dyDescent="0.3">
      <c r="A727" t="str">
        <f>IF($K727="","",707)</f>
        <v/>
      </c>
      <c r="B727" t="str">
        <f>IF($K727="","",INDEX(Конструктор!$C$2:$C$1212,$K727))</f>
        <v/>
      </c>
      <c r="C727" s="8" t="str">
        <f>IF($K727="","",INDEX(Конструктор!$D$2:$D$1212,$K727)&amp;IF(INDEX(Конструктор!$J$2:$J$1212,$K727)&lt;&gt;""," — "&amp;INDEX(Конструктор!$J$2:$J$1212,$K727),""))</f>
        <v/>
      </c>
      <c r="D727" t="str">
        <f>IF($K727="","",INDEX(Конструктор!$E$2:$E$1212,$K727))</f>
        <v/>
      </c>
      <c r="E727" s="10" t="str">
        <f>IF($K727="","",INDEX(Конструктор!$H$2:$H$1212,$K727))</f>
        <v/>
      </c>
      <c r="F727" s="10" t="str">
        <f>IF($K727="","",INDEX(Конструктор!$L$2:$L$1212,$K727))</f>
        <v/>
      </c>
      <c r="G727" s="10" t="str">
        <f>IF($K727="","",INDEX(Конструктор!$M$2:$M$1212,$K727))</f>
        <v/>
      </c>
      <c r="H727" s="10" t="str">
        <f>IF($K727="","",INDEX(Конструктор!$N$2:$N$1212,$K727))</f>
        <v/>
      </c>
      <c r="I727" s="10" t="str">
        <f>IF($K727="","",INDEX(Конструктор!$O$2:$O$1212,$K727))</f>
        <v/>
      </c>
      <c r="J727" s="10" t="str">
        <f>IF($K727="","",INDEX(Конструктор!$P$2:$P$1212,$K727))</f>
        <v/>
      </c>
      <c r="K727" t="str">
        <f>IFERROR(MATCH(707,Конструктор!$T$2:$T$1212,0),"")</f>
        <v/>
      </c>
      <c r="L727" t="str">
        <f t="shared" si="11"/>
        <v/>
      </c>
    </row>
    <row r="728" spans="1:12" hidden="1" x14ac:dyDescent="0.3">
      <c r="A728" t="str">
        <f>IF($K728="","",708)</f>
        <v/>
      </c>
      <c r="B728" t="str">
        <f>IF($K728="","",INDEX(Конструктор!$C$2:$C$1212,$K728))</f>
        <v/>
      </c>
      <c r="C728" s="8" t="str">
        <f>IF($K728="","",INDEX(Конструктор!$D$2:$D$1212,$K728)&amp;IF(INDEX(Конструктор!$J$2:$J$1212,$K728)&lt;&gt;""," — "&amp;INDEX(Конструктор!$J$2:$J$1212,$K728),""))</f>
        <v/>
      </c>
      <c r="D728" t="str">
        <f>IF($K728="","",INDEX(Конструктор!$E$2:$E$1212,$K728))</f>
        <v/>
      </c>
      <c r="E728" s="10" t="str">
        <f>IF($K728="","",INDEX(Конструктор!$H$2:$H$1212,$K728))</f>
        <v/>
      </c>
      <c r="F728" s="10" t="str">
        <f>IF($K728="","",INDEX(Конструктор!$L$2:$L$1212,$K728))</f>
        <v/>
      </c>
      <c r="G728" s="10" t="str">
        <f>IF($K728="","",INDEX(Конструктор!$M$2:$M$1212,$K728))</f>
        <v/>
      </c>
      <c r="H728" s="10" t="str">
        <f>IF($K728="","",INDEX(Конструктор!$N$2:$N$1212,$K728))</f>
        <v/>
      </c>
      <c r="I728" s="10" t="str">
        <f>IF($K728="","",INDEX(Конструктор!$O$2:$O$1212,$K728))</f>
        <v/>
      </c>
      <c r="J728" s="10" t="str">
        <f>IF($K728="","",INDEX(Конструктор!$P$2:$P$1212,$K728))</f>
        <v/>
      </c>
      <c r="K728" t="str">
        <f>IFERROR(MATCH(708,Конструктор!$T$2:$T$1212,0),"")</f>
        <v/>
      </c>
      <c r="L728" t="str">
        <f t="shared" si="11"/>
        <v/>
      </c>
    </row>
    <row r="729" spans="1:12" hidden="1" x14ac:dyDescent="0.3">
      <c r="A729" t="str">
        <f>IF($K729="","",709)</f>
        <v/>
      </c>
      <c r="B729" t="str">
        <f>IF($K729="","",INDEX(Конструктор!$C$2:$C$1212,$K729))</f>
        <v/>
      </c>
      <c r="C729" s="8" t="str">
        <f>IF($K729="","",INDEX(Конструктор!$D$2:$D$1212,$K729)&amp;IF(INDEX(Конструктор!$J$2:$J$1212,$K729)&lt;&gt;""," — "&amp;INDEX(Конструктор!$J$2:$J$1212,$K729),""))</f>
        <v/>
      </c>
      <c r="D729" t="str">
        <f>IF($K729="","",INDEX(Конструктор!$E$2:$E$1212,$K729))</f>
        <v/>
      </c>
      <c r="E729" s="10" t="str">
        <f>IF($K729="","",INDEX(Конструктор!$H$2:$H$1212,$K729))</f>
        <v/>
      </c>
      <c r="F729" s="10" t="str">
        <f>IF($K729="","",INDEX(Конструктор!$L$2:$L$1212,$K729))</f>
        <v/>
      </c>
      <c r="G729" s="10" t="str">
        <f>IF($K729="","",INDEX(Конструктор!$M$2:$M$1212,$K729))</f>
        <v/>
      </c>
      <c r="H729" s="10" t="str">
        <f>IF($K729="","",INDEX(Конструктор!$N$2:$N$1212,$K729))</f>
        <v/>
      </c>
      <c r="I729" s="10" t="str">
        <f>IF($K729="","",INDEX(Конструктор!$O$2:$O$1212,$K729))</f>
        <v/>
      </c>
      <c r="J729" s="10" t="str">
        <f>IF($K729="","",INDEX(Конструктор!$P$2:$P$1212,$K729))</f>
        <v/>
      </c>
      <c r="K729" t="str">
        <f>IFERROR(MATCH(709,Конструктор!$T$2:$T$1212,0),"")</f>
        <v/>
      </c>
      <c r="L729" t="str">
        <f t="shared" si="11"/>
        <v/>
      </c>
    </row>
    <row r="730" spans="1:12" hidden="1" x14ac:dyDescent="0.3">
      <c r="A730" t="str">
        <f>IF($K730="","",710)</f>
        <v/>
      </c>
      <c r="B730" t="str">
        <f>IF($K730="","",INDEX(Конструктор!$C$2:$C$1212,$K730))</f>
        <v/>
      </c>
      <c r="C730" s="8" t="str">
        <f>IF($K730="","",INDEX(Конструктор!$D$2:$D$1212,$K730)&amp;IF(INDEX(Конструктор!$J$2:$J$1212,$K730)&lt;&gt;""," — "&amp;INDEX(Конструктор!$J$2:$J$1212,$K730),""))</f>
        <v/>
      </c>
      <c r="D730" t="str">
        <f>IF($K730="","",INDEX(Конструктор!$E$2:$E$1212,$K730))</f>
        <v/>
      </c>
      <c r="E730" s="10" t="str">
        <f>IF($K730="","",INDEX(Конструктор!$H$2:$H$1212,$K730))</f>
        <v/>
      </c>
      <c r="F730" s="10" t="str">
        <f>IF($K730="","",INDEX(Конструктор!$L$2:$L$1212,$K730))</f>
        <v/>
      </c>
      <c r="G730" s="10" t="str">
        <f>IF($K730="","",INDEX(Конструктор!$M$2:$M$1212,$K730))</f>
        <v/>
      </c>
      <c r="H730" s="10" t="str">
        <f>IF($K730="","",INDEX(Конструктор!$N$2:$N$1212,$K730))</f>
        <v/>
      </c>
      <c r="I730" s="10" t="str">
        <f>IF($K730="","",INDEX(Конструктор!$O$2:$O$1212,$K730))</f>
        <v/>
      </c>
      <c r="J730" s="10" t="str">
        <f>IF($K730="","",INDEX(Конструктор!$P$2:$P$1212,$K730))</f>
        <v/>
      </c>
      <c r="K730" t="str">
        <f>IFERROR(MATCH(710,Конструктор!$T$2:$T$1212,0),"")</f>
        <v/>
      </c>
      <c r="L730" t="str">
        <f t="shared" si="11"/>
        <v/>
      </c>
    </row>
    <row r="731" spans="1:12" hidden="1" x14ac:dyDescent="0.3">
      <c r="A731" t="str">
        <f>IF($K731="","",711)</f>
        <v/>
      </c>
      <c r="B731" t="str">
        <f>IF($K731="","",INDEX(Конструктор!$C$2:$C$1212,$K731))</f>
        <v/>
      </c>
      <c r="C731" s="8" t="str">
        <f>IF($K731="","",INDEX(Конструктор!$D$2:$D$1212,$K731)&amp;IF(INDEX(Конструктор!$J$2:$J$1212,$K731)&lt;&gt;""," — "&amp;INDEX(Конструктор!$J$2:$J$1212,$K731),""))</f>
        <v/>
      </c>
      <c r="D731" t="str">
        <f>IF($K731="","",INDEX(Конструктор!$E$2:$E$1212,$K731))</f>
        <v/>
      </c>
      <c r="E731" s="10" t="str">
        <f>IF($K731="","",INDEX(Конструктор!$H$2:$H$1212,$K731))</f>
        <v/>
      </c>
      <c r="F731" s="10" t="str">
        <f>IF($K731="","",INDEX(Конструктор!$L$2:$L$1212,$K731))</f>
        <v/>
      </c>
      <c r="G731" s="10" t="str">
        <f>IF($K731="","",INDEX(Конструктор!$M$2:$M$1212,$K731))</f>
        <v/>
      </c>
      <c r="H731" s="10" t="str">
        <f>IF($K731="","",INDEX(Конструктор!$N$2:$N$1212,$K731))</f>
        <v/>
      </c>
      <c r="I731" s="10" t="str">
        <f>IF($K731="","",INDEX(Конструктор!$O$2:$O$1212,$K731))</f>
        <v/>
      </c>
      <c r="J731" s="10" t="str">
        <f>IF($K731="","",INDEX(Конструктор!$P$2:$P$1212,$K731))</f>
        <v/>
      </c>
      <c r="K731" t="str">
        <f>IFERROR(MATCH(711,Конструктор!$T$2:$T$1212,0),"")</f>
        <v/>
      </c>
      <c r="L731" t="str">
        <f t="shared" si="11"/>
        <v/>
      </c>
    </row>
    <row r="732" spans="1:12" hidden="1" x14ac:dyDescent="0.3">
      <c r="A732" t="str">
        <f>IF($K732="","",712)</f>
        <v/>
      </c>
      <c r="B732" t="str">
        <f>IF($K732="","",INDEX(Конструктор!$C$2:$C$1212,$K732))</f>
        <v/>
      </c>
      <c r="C732" s="8" t="str">
        <f>IF($K732="","",INDEX(Конструктор!$D$2:$D$1212,$K732)&amp;IF(INDEX(Конструктор!$J$2:$J$1212,$K732)&lt;&gt;""," — "&amp;INDEX(Конструктор!$J$2:$J$1212,$K732),""))</f>
        <v/>
      </c>
      <c r="D732" t="str">
        <f>IF($K732="","",INDEX(Конструктор!$E$2:$E$1212,$K732))</f>
        <v/>
      </c>
      <c r="E732" s="10" t="str">
        <f>IF($K732="","",INDEX(Конструктор!$H$2:$H$1212,$K732))</f>
        <v/>
      </c>
      <c r="F732" s="10" t="str">
        <f>IF($K732="","",INDEX(Конструктор!$L$2:$L$1212,$K732))</f>
        <v/>
      </c>
      <c r="G732" s="10" t="str">
        <f>IF($K732="","",INDEX(Конструктор!$M$2:$M$1212,$K732))</f>
        <v/>
      </c>
      <c r="H732" s="10" t="str">
        <f>IF($K732="","",INDEX(Конструктор!$N$2:$N$1212,$K732))</f>
        <v/>
      </c>
      <c r="I732" s="10" t="str">
        <f>IF($K732="","",INDEX(Конструктор!$O$2:$O$1212,$K732))</f>
        <v/>
      </c>
      <c r="J732" s="10" t="str">
        <f>IF($K732="","",INDEX(Конструктор!$P$2:$P$1212,$K732))</f>
        <v/>
      </c>
      <c r="K732" t="str">
        <f>IFERROR(MATCH(712,Конструктор!$T$2:$T$1212,0),"")</f>
        <v/>
      </c>
      <c r="L732" t="str">
        <f t="shared" si="11"/>
        <v/>
      </c>
    </row>
    <row r="733" spans="1:12" hidden="1" x14ac:dyDescent="0.3">
      <c r="A733" t="str">
        <f>IF($K733="","",713)</f>
        <v/>
      </c>
      <c r="B733" t="str">
        <f>IF($K733="","",INDEX(Конструктор!$C$2:$C$1212,$K733))</f>
        <v/>
      </c>
      <c r="C733" s="8" t="str">
        <f>IF($K733="","",INDEX(Конструктор!$D$2:$D$1212,$K733)&amp;IF(INDEX(Конструктор!$J$2:$J$1212,$K733)&lt;&gt;""," — "&amp;INDEX(Конструктор!$J$2:$J$1212,$K733),""))</f>
        <v/>
      </c>
      <c r="D733" t="str">
        <f>IF($K733="","",INDEX(Конструктор!$E$2:$E$1212,$K733))</f>
        <v/>
      </c>
      <c r="E733" s="10" t="str">
        <f>IF($K733="","",INDEX(Конструктор!$H$2:$H$1212,$K733))</f>
        <v/>
      </c>
      <c r="F733" s="10" t="str">
        <f>IF($K733="","",INDEX(Конструктор!$L$2:$L$1212,$K733))</f>
        <v/>
      </c>
      <c r="G733" s="10" t="str">
        <f>IF($K733="","",INDEX(Конструктор!$M$2:$M$1212,$K733))</f>
        <v/>
      </c>
      <c r="H733" s="10" t="str">
        <f>IF($K733="","",INDEX(Конструктор!$N$2:$N$1212,$K733))</f>
        <v/>
      </c>
      <c r="I733" s="10" t="str">
        <f>IF($K733="","",INDEX(Конструктор!$O$2:$O$1212,$K733))</f>
        <v/>
      </c>
      <c r="J733" s="10" t="str">
        <f>IF($K733="","",INDEX(Конструктор!$P$2:$P$1212,$K733))</f>
        <v/>
      </c>
      <c r="K733" t="str">
        <f>IFERROR(MATCH(713,Конструктор!$T$2:$T$1212,0),"")</f>
        <v/>
      </c>
      <c r="L733" t="str">
        <f t="shared" si="11"/>
        <v/>
      </c>
    </row>
    <row r="734" spans="1:12" hidden="1" x14ac:dyDescent="0.3">
      <c r="A734" t="str">
        <f>IF($K734="","",714)</f>
        <v/>
      </c>
      <c r="B734" t="str">
        <f>IF($K734="","",INDEX(Конструктор!$C$2:$C$1212,$K734))</f>
        <v/>
      </c>
      <c r="C734" s="8" t="str">
        <f>IF($K734="","",INDEX(Конструктор!$D$2:$D$1212,$K734)&amp;IF(INDEX(Конструктор!$J$2:$J$1212,$K734)&lt;&gt;""," — "&amp;INDEX(Конструктор!$J$2:$J$1212,$K734),""))</f>
        <v/>
      </c>
      <c r="D734" t="str">
        <f>IF($K734="","",INDEX(Конструктор!$E$2:$E$1212,$K734))</f>
        <v/>
      </c>
      <c r="E734" s="10" t="str">
        <f>IF($K734="","",INDEX(Конструктор!$H$2:$H$1212,$K734))</f>
        <v/>
      </c>
      <c r="F734" s="10" t="str">
        <f>IF($K734="","",INDEX(Конструктор!$L$2:$L$1212,$K734))</f>
        <v/>
      </c>
      <c r="G734" s="10" t="str">
        <f>IF($K734="","",INDEX(Конструктор!$M$2:$M$1212,$K734))</f>
        <v/>
      </c>
      <c r="H734" s="10" t="str">
        <f>IF($K734="","",INDEX(Конструктор!$N$2:$N$1212,$K734))</f>
        <v/>
      </c>
      <c r="I734" s="10" t="str">
        <f>IF($K734="","",INDEX(Конструктор!$O$2:$O$1212,$K734))</f>
        <v/>
      </c>
      <c r="J734" s="10" t="str">
        <f>IF($K734="","",INDEX(Конструктор!$P$2:$P$1212,$K734))</f>
        <v/>
      </c>
      <c r="K734" t="str">
        <f>IFERROR(MATCH(714,Конструктор!$T$2:$T$1212,0),"")</f>
        <v/>
      </c>
      <c r="L734" t="str">
        <f t="shared" si="11"/>
        <v/>
      </c>
    </row>
    <row r="735" spans="1:12" hidden="1" x14ac:dyDescent="0.3">
      <c r="A735" t="str">
        <f>IF($K735="","",715)</f>
        <v/>
      </c>
      <c r="B735" t="str">
        <f>IF($K735="","",INDEX(Конструктор!$C$2:$C$1212,$K735))</f>
        <v/>
      </c>
      <c r="C735" s="8" t="str">
        <f>IF($K735="","",INDEX(Конструктор!$D$2:$D$1212,$K735)&amp;IF(INDEX(Конструктор!$J$2:$J$1212,$K735)&lt;&gt;""," — "&amp;INDEX(Конструктор!$J$2:$J$1212,$K735),""))</f>
        <v/>
      </c>
      <c r="D735" t="str">
        <f>IF($K735="","",INDEX(Конструктор!$E$2:$E$1212,$K735))</f>
        <v/>
      </c>
      <c r="E735" s="10" t="str">
        <f>IF($K735="","",INDEX(Конструктор!$H$2:$H$1212,$K735))</f>
        <v/>
      </c>
      <c r="F735" s="10" t="str">
        <f>IF($K735="","",INDEX(Конструктор!$L$2:$L$1212,$K735))</f>
        <v/>
      </c>
      <c r="G735" s="10" t="str">
        <f>IF($K735="","",INDEX(Конструктор!$M$2:$M$1212,$K735))</f>
        <v/>
      </c>
      <c r="H735" s="10" t="str">
        <f>IF($K735="","",INDEX(Конструктор!$N$2:$N$1212,$K735))</f>
        <v/>
      </c>
      <c r="I735" s="10" t="str">
        <f>IF($K735="","",INDEX(Конструктор!$O$2:$O$1212,$K735))</f>
        <v/>
      </c>
      <c r="J735" s="10" t="str">
        <f>IF($K735="","",INDEX(Конструктор!$P$2:$P$1212,$K735))</f>
        <v/>
      </c>
      <c r="K735" t="str">
        <f>IFERROR(MATCH(715,Конструктор!$T$2:$T$1212,0),"")</f>
        <v/>
      </c>
      <c r="L735" t="str">
        <f t="shared" si="11"/>
        <v/>
      </c>
    </row>
    <row r="736" spans="1:12" hidden="1" x14ac:dyDescent="0.3">
      <c r="A736" t="str">
        <f>IF($K736="","",716)</f>
        <v/>
      </c>
      <c r="B736" t="str">
        <f>IF($K736="","",INDEX(Конструктор!$C$2:$C$1212,$K736))</f>
        <v/>
      </c>
      <c r="C736" s="8" t="str">
        <f>IF($K736="","",INDEX(Конструктор!$D$2:$D$1212,$K736)&amp;IF(INDEX(Конструктор!$J$2:$J$1212,$K736)&lt;&gt;""," — "&amp;INDEX(Конструктор!$J$2:$J$1212,$K736),""))</f>
        <v/>
      </c>
      <c r="D736" t="str">
        <f>IF($K736="","",INDEX(Конструктор!$E$2:$E$1212,$K736))</f>
        <v/>
      </c>
      <c r="E736" s="10" t="str">
        <f>IF($K736="","",INDEX(Конструктор!$H$2:$H$1212,$K736))</f>
        <v/>
      </c>
      <c r="F736" s="10" t="str">
        <f>IF($K736="","",INDEX(Конструктор!$L$2:$L$1212,$K736))</f>
        <v/>
      </c>
      <c r="G736" s="10" t="str">
        <f>IF($K736="","",INDEX(Конструктор!$M$2:$M$1212,$K736))</f>
        <v/>
      </c>
      <c r="H736" s="10" t="str">
        <f>IF($K736="","",INDEX(Конструктор!$N$2:$N$1212,$K736))</f>
        <v/>
      </c>
      <c r="I736" s="10" t="str">
        <f>IF($K736="","",INDEX(Конструктор!$O$2:$O$1212,$K736))</f>
        <v/>
      </c>
      <c r="J736" s="10" t="str">
        <f>IF($K736="","",INDEX(Конструктор!$P$2:$P$1212,$K736))</f>
        <v/>
      </c>
      <c r="K736" t="str">
        <f>IFERROR(MATCH(716,Конструктор!$T$2:$T$1212,0),"")</f>
        <v/>
      </c>
      <c r="L736" t="str">
        <f t="shared" si="11"/>
        <v/>
      </c>
    </row>
    <row r="737" spans="1:12" hidden="1" x14ac:dyDescent="0.3">
      <c r="A737" t="str">
        <f>IF($K737="","",717)</f>
        <v/>
      </c>
      <c r="B737" t="str">
        <f>IF($K737="","",INDEX(Конструктор!$C$2:$C$1212,$K737))</f>
        <v/>
      </c>
      <c r="C737" s="8" t="str">
        <f>IF($K737="","",INDEX(Конструктор!$D$2:$D$1212,$K737)&amp;IF(INDEX(Конструктор!$J$2:$J$1212,$K737)&lt;&gt;""," — "&amp;INDEX(Конструктор!$J$2:$J$1212,$K737),""))</f>
        <v/>
      </c>
      <c r="D737" t="str">
        <f>IF($K737="","",INDEX(Конструктор!$E$2:$E$1212,$K737))</f>
        <v/>
      </c>
      <c r="E737" s="10" t="str">
        <f>IF($K737="","",INDEX(Конструктор!$H$2:$H$1212,$K737))</f>
        <v/>
      </c>
      <c r="F737" s="10" t="str">
        <f>IF($K737="","",INDEX(Конструктор!$L$2:$L$1212,$K737))</f>
        <v/>
      </c>
      <c r="G737" s="10" t="str">
        <f>IF($K737="","",INDEX(Конструктор!$M$2:$M$1212,$K737))</f>
        <v/>
      </c>
      <c r="H737" s="10" t="str">
        <f>IF($K737="","",INDEX(Конструктор!$N$2:$N$1212,$K737))</f>
        <v/>
      </c>
      <c r="I737" s="10" t="str">
        <f>IF($K737="","",INDEX(Конструктор!$O$2:$O$1212,$K737))</f>
        <v/>
      </c>
      <c r="J737" s="10" t="str">
        <f>IF($K737="","",INDEX(Конструктор!$P$2:$P$1212,$K737))</f>
        <v/>
      </c>
      <c r="K737" t="str">
        <f>IFERROR(MATCH(717,Конструктор!$T$2:$T$1212,0),"")</f>
        <v/>
      </c>
      <c r="L737" t="str">
        <f t="shared" si="11"/>
        <v/>
      </c>
    </row>
    <row r="738" spans="1:12" hidden="1" x14ac:dyDescent="0.3">
      <c r="A738" t="str">
        <f>IF($K738="","",718)</f>
        <v/>
      </c>
      <c r="B738" t="str">
        <f>IF($K738="","",INDEX(Конструктор!$C$2:$C$1212,$K738))</f>
        <v/>
      </c>
      <c r="C738" s="8" t="str">
        <f>IF($K738="","",INDEX(Конструктор!$D$2:$D$1212,$K738)&amp;IF(INDEX(Конструктор!$J$2:$J$1212,$K738)&lt;&gt;""," — "&amp;INDEX(Конструктор!$J$2:$J$1212,$K738),""))</f>
        <v/>
      </c>
      <c r="D738" t="str">
        <f>IF($K738="","",INDEX(Конструктор!$E$2:$E$1212,$K738))</f>
        <v/>
      </c>
      <c r="E738" s="10" t="str">
        <f>IF($K738="","",INDEX(Конструктор!$H$2:$H$1212,$K738))</f>
        <v/>
      </c>
      <c r="F738" s="10" t="str">
        <f>IF($K738="","",INDEX(Конструктор!$L$2:$L$1212,$K738))</f>
        <v/>
      </c>
      <c r="G738" s="10" t="str">
        <f>IF($K738="","",INDEX(Конструктор!$M$2:$M$1212,$K738))</f>
        <v/>
      </c>
      <c r="H738" s="10" t="str">
        <f>IF($K738="","",INDEX(Конструктор!$N$2:$N$1212,$K738))</f>
        <v/>
      </c>
      <c r="I738" s="10" t="str">
        <f>IF($K738="","",INDEX(Конструктор!$O$2:$O$1212,$K738))</f>
        <v/>
      </c>
      <c r="J738" s="10" t="str">
        <f>IF($K738="","",INDEX(Конструктор!$P$2:$P$1212,$K738))</f>
        <v/>
      </c>
      <c r="K738" t="str">
        <f>IFERROR(MATCH(718,Конструктор!$T$2:$T$1212,0),"")</f>
        <v/>
      </c>
      <c r="L738" t="str">
        <f t="shared" si="11"/>
        <v/>
      </c>
    </row>
    <row r="739" spans="1:12" hidden="1" x14ac:dyDescent="0.3">
      <c r="A739" t="str">
        <f>IF($K739="","",719)</f>
        <v/>
      </c>
      <c r="B739" t="str">
        <f>IF($K739="","",INDEX(Конструктор!$C$2:$C$1212,$K739))</f>
        <v/>
      </c>
      <c r="C739" s="8" t="str">
        <f>IF($K739="","",INDEX(Конструктор!$D$2:$D$1212,$K739)&amp;IF(INDEX(Конструктор!$J$2:$J$1212,$K739)&lt;&gt;""," — "&amp;INDEX(Конструктор!$J$2:$J$1212,$K739),""))</f>
        <v/>
      </c>
      <c r="D739" t="str">
        <f>IF($K739="","",INDEX(Конструктор!$E$2:$E$1212,$K739))</f>
        <v/>
      </c>
      <c r="E739" s="10" t="str">
        <f>IF($K739="","",INDEX(Конструктор!$H$2:$H$1212,$K739))</f>
        <v/>
      </c>
      <c r="F739" s="10" t="str">
        <f>IF($K739="","",INDEX(Конструктор!$L$2:$L$1212,$K739))</f>
        <v/>
      </c>
      <c r="G739" s="10" t="str">
        <f>IF($K739="","",INDEX(Конструктор!$M$2:$M$1212,$K739))</f>
        <v/>
      </c>
      <c r="H739" s="10" t="str">
        <f>IF($K739="","",INDEX(Конструктор!$N$2:$N$1212,$K739))</f>
        <v/>
      </c>
      <c r="I739" s="10" t="str">
        <f>IF($K739="","",INDEX(Конструктор!$O$2:$O$1212,$K739))</f>
        <v/>
      </c>
      <c r="J739" s="10" t="str">
        <f>IF($K739="","",INDEX(Конструктор!$P$2:$P$1212,$K739))</f>
        <v/>
      </c>
      <c r="K739" t="str">
        <f>IFERROR(MATCH(719,Конструктор!$T$2:$T$1212,0),"")</f>
        <v/>
      </c>
      <c r="L739" t="str">
        <f t="shared" si="11"/>
        <v/>
      </c>
    </row>
    <row r="740" spans="1:12" hidden="1" x14ac:dyDescent="0.3">
      <c r="A740" t="str">
        <f>IF($K740="","",720)</f>
        <v/>
      </c>
      <c r="B740" t="str">
        <f>IF($K740="","",INDEX(Конструктор!$C$2:$C$1212,$K740))</f>
        <v/>
      </c>
      <c r="C740" s="8" t="str">
        <f>IF($K740="","",INDEX(Конструктор!$D$2:$D$1212,$K740)&amp;IF(INDEX(Конструктор!$J$2:$J$1212,$K740)&lt;&gt;""," — "&amp;INDEX(Конструктор!$J$2:$J$1212,$K740),""))</f>
        <v/>
      </c>
      <c r="D740" t="str">
        <f>IF($K740="","",INDEX(Конструктор!$E$2:$E$1212,$K740))</f>
        <v/>
      </c>
      <c r="E740" s="10" t="str">
        <f>IF($K740="","",INDEX(Конструктор!$H$2:$H$1212,$K740))</f>
        <v/>
      </c>
      <c r="F740" s="10" t="str">
        <f>IF($K740="","",INDEX(Конструктор!$L$2:$L$1212,$K740))</f>
        <v/>
      </c>
      <c r="G740" s="10" t="str">
        <f>IF($K740="","",INDEX(Конструктор!$M$2:$M$1212,$K740))</f>
        <v/>
      </c>
      <c r="H740" s="10" t="str">
        <f>IF($K740="","",INDEX(Конструктор!$N$2:$N$1212,$K740))</f>
        <v/>
      </c>
      <c r="I740" s="10" t="str">
        <f>IF($K740="","",INDEX(Конструктор!$O$2:$O$1212,$K740))</f>
        <v/>
      </c>
      <c r="J740" s="10" t="str">
        <f>IF($K740="","",INDEX(Конструктор!$P$2:$P$1212,$K740))</f>
        <v/>
      </c>
      <c r="K740" t="str">
        <f>IFERROR(MATCH(720,Конструктор!$T$2:$T$1212,0),"")</f>
        <v/>
      </c>
      <c r="L740" t="str">
        <f t="shared" si="11"/>
        <v/>
      </c>
    </row>
    <row r="741" spans="1:12" hidden="1" x14ac:dyDescent="0.3">
      <c r="A741" t="str">
        <f>IF($K741="","",721)</f>
        <v/>
      </c>
      <c r="B741" t="str">
        <f>IF($K741="","",INDEX(Конструктор!$C$2:$C$1212,$K741))</f>
        <v/>
      </c>
      <c r="C741" s="8" t="str">
        <f>IF($K741="","",INDEX(Конструктор!$D$2:$D$1212,$K741)&amp;IF(INDEX(Конструктор!$J$2:$J$1212,$K741)&lt;&gt;""," — "&amp;INDEX(Конструктор!$J$2:$J$1212,$K741),""))</f>
        <v/>
      </c>
      <c r="D741" t="str">
        <f>IF($K741="","",INDEX(Конструктор!$E$2:$E$1212,$K741))</f>
        <v/>
      </c>
      <c r="E741" s="10" t="str">
        <f>IF($K741="","",INDEX(Конструктор!$H$2:$H$1212,$K741))</f>
        <v/>
      </c>
      <c r="F741" s="10" t="str">
        <f>IF($K741="","",INDEX(Конструктор!$L$2:$L$1212,$K741))</f>
        <v/>
      </c>
      <c r="G741" s="10" t="str">
        <f>IF($K741="","",INDEX(Конструктор!$M$2:$M$1212,$K741))</f>
        <v/>
      </c>
      <c r="H741" s="10" t="str">
        <f>IF($K741="","",INDEX(Конструктор!$N$2:$N$1212,$K741))</f>
        <v/>
      </c>
      <c r="I741" s="10" t="str">
        <f>IF($K741="","",INDEX(Конструктор!$O$2:$O$1212,$K741))</f>
        <v/>
      </c>
      <c r="J741" s="10" t="str">
        <f>IF($K741="","",INDEX(Конструктор!$P$2:$P$1212,$K741))</f>
        <v/>
      </c>
      <c r="K741" t="str">
        <f>IFERROR(MATCH(721,Конструктор!$T$2:$T$1212,0),"")</f>
        <v/>
      </c>
      <c r="L741" t="str">
        <f t="shared" si="11"/>
        <v/>
      </c>
    </row>
    <row r="742" spans="1:12" hidden="1" x14ac:dyDescent="0.3">
      <c r="A742" t="str">
        <f>IF($K742="","",722)</f>
        <v/>
      </c>
      <c r="B742" t="str">
        <f>IF($K742="","",INDEX(Конструктор!$C$2:$C$1212,$K742))</f>
        <v/>
      </c>
      <c r="C742" s="8" t="str">
        <f>IF($K742="","",INDEX(Конструктор!$D$2:$D$1212,$K742)&amp;IF(INDEX(Конструктор!$J$2:$J$1212,$K742)&lt;&gt;""," — "&amp;INDEX(Конструктор!$J$2:$J$1212,$K742),""))</f>
        <v/>
      </c>
      <c r="D742" t="str">
        <f>IF($K742="","",INDEX(Конструктор!$E$2:$E$1212,$K742))</f>
        <v/>
      </c>
      <c r="E742" s="10" t="str">
        <f>IF($K742="","",INDEX(Конструктор!$H$2:$H$1212,$K742))</f>
        <v/>
      </c>
      <c r="F742" s="10" t="str">
        <f>IF($K742="","",INDEX(Конструктор!$L$2:$L$1212,$K742))</f>
        <v/>
      </c>
      <c r="G742" s="10" t="str">
        <f>IF($K742="","",INDEX(Конструктор!$M$2:$M$1212,$K742))</f>
        <v/>
      </c>
      <c r="H742" s="10" t="str">
        <f>IF($K742="","",INDEX(Конструктор!$N$2:$N$1212,$K742))</f>
        <v/>
      </c>
      <c r="I742" s="10" t="str">
        <f>IF($K742="","",INDEX(Конструктор!$O$2:$O$1212,$K742))</f>
        <v/>
      </c>
      <c r="J742" s="10" t="str">
        <f>IF($K742="","",INDEX(Конструктор!$P$2:$P$1212,$K742))</f>
        <v/>
      </c>
      <c r="K742" t="str">
        <f>IFERROR(MATCH(722,Конструктор!$T$2:$T$1212,0),"")</f>
        <v/>
      </c>
      <c r="L742" t="str">
        <f t="shared" si="11"/>
        <v/>
      </c>
    </row>
    <row r="743" spans="1:12" hidden="1" x14ac:dyDescent="0.3">
      <c r="A743" t="str">
        <f>IF($K743="","",723)</f>
        <v/>
      </c>
      <c r="B743" t="str">
        <f>IF($K743="","",INDEX(Конструктор!$C$2:$C$1212,$K743))</f>
        <v/>
      </c>
      <c r="C743" s="8" t="str">
        <f>IF($K743="","",INDEX(Конструктор!$D$2:$D$1212,$K743)&amp;IF(INDEX(Конструктор!$J$2:$J$1212,$K743)&lt;&gt;""," — "&amp;INDEX(Конструктор!$J$2:$J$1212,$K743),""))</f>
        <v/>
      </c>
      <c r="D743" t="str">
        <f>IF($K743="","",INDEX(Конструктор!$E$2:$E$1212,$K743))</f>
        <v/>
      </c>
      <c r="E743" s="10" t="str">
        <f>IF($K743="","",INDEX(Конструктор!$H$2:$H$1212,$K743))</f>
        <v/>
      </c>
      <c r="F743" s="10" t="str">
        <f>IF($K743="","",INDEX(Конструктор!$L$2:$L$1212,$K743))</f>
        <v/>
      </c>
      <c r="G743" s="10" t="str">
        <f>IF($K743="","",INDEX(Конструктор!$M$2:$M$1212,$K743))</f>
        <v/>
      </c>
      <c r="H743" s="10" t="str">
        <f>IF($K743="","",INDEX(Конструктор!$N$2:$N$1212,$K743))</f>
        <v/>
      </c>
      <c r="I743" s="10" t="str">
        <f>IF($K743="","",INDEX(Конструктор!$O$2:$O$1212,$K743))</f>
        <v/>
      </c>
      <c r="J743" s="10" t="str">
        <f>IF($K743="","",INDEX(Конструктор!$P$2:$P$1212,$K743))</f>
        <v/>
      </c>
      <c r="K743" t="str">
        <f>IFERROR(MATCH(723,Конструктор!$T$2:$T$1212,0),"")</f>
        <v/>
      </c>
      <c r="L743" t="str">
        <f t="shared" si="11"/>
        <v/>
      </c>
    </row>
    <row r="744" spans="1:12" hidden="1" x14ac:dyDescent="0.3">
      <c r="A744" t="str">
        <f>IF($K744="","",724)</f>
        <v/>
      </c>
      <c r="B744" t="str">
        <f>IF($K744="","",INDEX(Конструктор!$C$2:$C$1212,$K744))</f>
        <v/>
      </c>
      <c r="C744" s="8" t="str">
        <f>IF($K744="","",INDEX(Конструктор!$D$2:$D$1212,$K744)&amp;IF(INDEX(Конструктор!$J$2:$J$1212,$K744)&lt;&gt;""," — "&amp;INDEX(Конструктор!$J$2:$J$1212,$K744),""))</f>
        <v/>
      </c>
      <c r="D744" t="str">
        <f>IF($K744="","",INDEX(Конструктор!$E$2:$E$1212,$K744))</f>
        <v/>
      </c>
      <c r="E744" s="10" t="str">
        <f>IF($K744="","",INDEX(Конструктор!$H$2:$H$1212,$K744))</f>
        <v/>
      </c>
      <c r="F744" s="10" t="str">
        <f>IF($K744="","",INDEX(Конструктор!$L$2:$L$1212,$K744))</f>
        <v/>
      </c>
      <c r="G744" s="10" t="str">
        <f>IF($K744="","",INDEX(Конструктор!$M$2:$M$1212,$K744))</f>
        <v/>
      </c>
      <c r="H744" s="10" t="str">
        <f>IF($K744="","",INDEX(Конструктор!$N$2:$N$1212,$K744))</f>
        <v/>
      </c>
      <c r="I744" s="10" t="str">
        <f>IF($K744="","",INDEX(Конструктор!$O$2:$O$1212,$K744))</f>
        <v/>
      </c>
      <c r="J744" s="10" t="str">
        <f>IF($K744="","",INDEX(Конструктор!$P$2:$P$1212,$K744))</f>
        <v/>
      </c>
      <c r="K744" t="str">
        <f>IFERROR(MATCH(724,Конструктор!$T$2:$T$1212,0),"")</f>
        <v/>
      </c>
      <c r="L744" t="str">
        <f t="shared" si="11"/>
        <v/>
      </c>
    </row>
    <row r="745" spans="1:12" hidden="1" x14ac:dyDescent="0.3">
      <c r="A745" t="str">
        <f>IF($K745="","",725)</f>
        <v/>
      </c>
      <c r="B745" t="str">
        <f>IF($K745="","",INDEX(Конструктор!$C$2:$C$1212,$K745))</f>
        <v/>
      </c>
      <c r="C745" s="8" t="str">
        <f>IF($K745="","",INDEX(Конструктор!$D$2:$D$1212,$K745)&amp;IF(INDEX(Конструктор!$J$2:$J$1212,$K745)&lt;&gt;""," — "&amp;INDEX(Конструктор!$J$2:$J$1212,$K745),""))</f>
        <v/>
      </c>
      <c r="D745" t="str">
        <f>IF($K745="","",INDEX(Конструктор!$E$2:$E$1212,$K745))</f>
        <v/>
      </c>
      <c r="E745" s="10" t="str">
        <f>IF($K745="","",INDEX(Конструктор!$H$2:$H$1212,$K745))</f>
        <v/>
      </c>
      <c r="F745" s="10" t="str">
        <f>IF($K745="","",INDEX(Конструктор!$L$2:$L$1212,$K745))</f>
        <v/>
      </c>
      <c r="G745" s="10" t="str">
        <f>IF($K745="","",INDEX(Конструктор!$M$2:$M$1212,$K745))</f>
        <v/>
      </c>
      <c r="H745" s="10" t="str">
        <f>IF($K745="","",INDEX(Конструктор!$N$2:$N$1212,$K745))</f>
        <v/>
      </c>
      <c r="I745" s="10" t="str">
        <f>IF($K745="","",INDEX(Конструктор!$O$2:$O$1212,$K745))</f>
        <v/>
      </c>
      <c r="J745" s="10" t="str">
        <f>IF($K745="","",INDEX(Конструктор!$P$2:$P$1212,$K745))</f>
        <v/>
      </c>
      <c r="K745" t="str">
        <f>IFERROR(MATCH(725,Конструктор!$T$2:$T$1212,0),"")</f>
        <v/>
      </c>
      <c r="L745" t="str">
        <f t="shared" si="11"/>
        <v/>
      </c>
    </row>
    <row r="746" spans="1:12" hidden="1" x14ac:dyDescent="0.3">
      <c r="A746" t="str">
        <f>IF($K746="","",726)</f>
        <v/>
      </c>
      <c r="B746" t="str">
        <f>IF($K746="","",INDEX(Конструктор!$C$2:$C$1212,$K746))</f>
        <v/>
      </c>
      <c r="C746" s="8" t="str">
        <f>IF($K746="","",INDEX(Конструктор!$D$2:$D$1212,$K746)&amp;IF(INDEX(Конструктор!$J$2:$J$1212,$K746)&lt;&gt;""," — "&amp;INDEX(Конструктор!$J$2:$J$1212,$K746),""))</f>
        <v/>
      </c>
      <c r="D746" t="str">
        <f>IF($K746="","",INDEX(Конструктор!$E$2:$E$1212,$K746))</f>
        <v/>
      </c>
      <c r="E746" s="10" t="str">
        <f>IF($K746="","",INDEX(Конструктор!$H$2:$H$1212,$K746))</f>
        <v/>
      </c>
      <c r="F746" s="10" t="str">
        <f>IF($K746="","",INDEX(Конструктор!$L$2:$L$1212,$K746))</f>
        <v/>
      </c>
      <c r="G746" s="10" t="str">
        <f>IF($K746="","",INDEX(Конструктор!$M$2:$M$1212,$K746))</f>
        <v/>
      </c>
      <c r="H746" s="10" t="str">
        <f>IF($K746="","",INDEX(Конструктор!$N$2:$N$1212,$K746))</f>
        <v/>
      </c>
      <c r="I746" s="10" t="str">
        <f>IF($K746="","",INDEX(Конструктор!$O$2:$O$1212,$K746))</f>
        <v/>
      </c>
      <c r="J746" s="10" t="str">
        <f>IF($K746="","",INDEX(Конструктор!$P$2:$P$1212,$K746))</f>
        <v/>
      </c>
      <c r="K746" t="str">
        <f>IFERROR(MATCH(726,Конструктор!$T$2:$T$1212,0),"")</f>
        <v/>
      </c>
      <c r="L746" t="str">
        <f t="shared" si="11"/>
        <v/>
      </c>
    </row>
    <row r="747" spans="1:12" hidden="1" x14ac:dyDescent="0.3">
      <c r="A747" t="str">
        <f>IF($K747="","",727)</f>
        <v/>
      </c>
      <c r="B747" t="str">
        <f>IF($K747="","",INDEX(Конструктор!$C$2:$C$1212,$K747))</f>
        <v/>
      </c>
      <c r="C747" s="8" t="str">
        <f>IF($K747="","",INDEX(Конструктор!$D$2:$D$1212,$K747)&amp;IF(INDEX(Конструктор!$J$2:$J$1212,$K747)&lt;&gt;""," — "&amp;INDEX(Конструктор!$J$2:$J$1212,$K747),""))</f>
        <v/>
      </c>
      <c r="D747" t="str">
        <f>IF($K747="","",INDEX(Конструктор!$E$2:$E$1212,$K747))</f>
        <v/>
      </c>
      <c r="E747" s="10" t="str">
        <f>IF($K747="","",INDEX(Конструктор!$H$2:$H$1212,$K747))</f>
        <v/>
      </c>
      <c r="F747" s="10" t="str">
        <f>IF($K747="","",INDEX(Конструктор!$L$2:$L$1212,$K747))</f>
        <v/>
      </c>
      <c r="G747" s="10" t="str">
        <f>IF($K747="","",INDEX(Конструктор!$M$2:$M$1212,$K747))</f>
        <v/>
      </c>
      <c r="H747" s="10" t="str">
        <f>IF($K747="","",INDEX(Конструктор!$N$2:$N$1212,$K747))</f>
        <v/>
      </c>
      <c r="I747" s="10" t="str">
        <f>IF($K747="","",INDEX(Конструктор!$O$2:$O$1212,$K747))</f>
        <v/>
      </c>
      <c r="J747" s="10" t="str">
        <f>IF($K747="","",INDEX(Конструктор!$P$2:$P$1212,$K747))</f>
        <v/>
      </c>
      <c r="K747" t="str">
        <f>IFERROR(MATCH(727,Конструктор!$T$2:$T$1212,0),"")</f>
        <v/>
      </c>
      <c r="L747" t="str">
        <f t="shared" si="11"/>
        <v/>
      </c>
    </row>
    <row r="748" spans="1:12" hidden="1" x14ac:dyDescent="0.3">
      <c r="A748" t="str">
        <f>IF($K748="","",728)</f>
        <v/>
      </c>
      <c r="B748" t="str">
        <f>IF($K748="","",INDEX(Конструктор!$C$2:$C$1212,$K748))</f>
        <v/>
      </c>
      <c r="C748" s="8" t="str">
        <f>IF($K748="","",INDEX(Конструктор!$D$2:$D$1212,$K748)&amp;IF(INDEX(Конструктор!$J$2:$J$1212,$K748)&lt;&gt;""," — "&amp;INDEX(Конструктор!$J$2:$J$1212,$K748),""))</f>
        <v/>
      </c>
      <c r="D748" t="str">
        <f>IF($K748="","",INDEX(Конструктор!$E$2:$E$1212,$K748))</f>
        <v/>
      </c>
      <c r="E748" s="10" t="str">
        <f>IF($K748="","",INDEX(Конструктор!$H$2:$H$1212,$K748))</f>
        <v/>
      </c>
      <c r="F748" s="10" t="str">
        <f>IF($K748="","",INDEX(Конструктор!$L$2:$L$1212,$K748))</f>
        <v/>
      </c>
      <c r="G748" s="10" t="str">
        <f>IF($K748="","",INDEX(Конструктор!$M$2:$M$1212,$K748))</f>
        <v/>
      </c>
      <c r="H748" s="10" t="str">
        <f>IF($K748="","",INDEX(Конструктор!$N$2:$N$1212,$K748))</f>
        <v/>
      </c>
      <c r="I748" s="10" t="str">
        <f>IF($K748="","",INDEX(Конструктор!$O$2:$O$1212,$K748))</f>
        <v/>
      </c>
      <c r="J748" s="10" t="str">
        <f>IF($K748="","",INDEX(Конструктор!$P$2:$P$1212,$K748))</f>
        <v/>
      </c>
      <c r="K748" t="str">
        <f>IFERROR(MATCH(728,Конструктор!$T$2:$T$1212,0),"")</f>
        <v/>
      </c>
      <c r="L748" t="str">
        <f t="shared" si="11"/>
        <v/>
      </c>
    </row>
    <row r="749" spans="1:12" hidden="1" x14ac:dyDescent="0.3">
      <c r="A749" t="str">
        <f>IF($K749="","",729)</f>
        <v/>
      </c>
      <c r="B749" t="str">
        <f>IF($K749="","",INDEX(Конструктор!$C$2:$C$1212,$K749))</f>
        <v/>
      </c>
      <c r="C749" s="8" t="str">
        <f>IF($K749="","",INDEX(Конструктор!$D$2:$D$1212,$K749)&amp;IF(INDEX(Конструктор!$J$2:$J$1212,$K749)&lt;&gt;""," — "&amp;INDEX(Конструктор!$J$2:$J$1212,$K749),""))</f>
        <v/>
      </c>
      <c r="D749" t="str">
        <f>IF($K749="","",INDEX(Конструктор!$E$2:$E$1212,$K749))</f>
        <v/>
      </c>
      <c r="E749" s="10" t="str">
        <f>IF($K749="","",INDEX(Конструктор!$H$2:$H$1212,$K749))</f>
        <v/>
      </c>
      <c r="F749" s="10" t="str">
        <f>IF($K749="","",INDEX(Конструктор!$L$2:$L$1212,$K749))</f>
        <v/>
      </c>
      <c r="G749" s="10" t="str">
        <f>IF($K749="","",INDEX(Конструктор!$M$2:$M$1212,$K749))</f>
        <v/>
      </c>
      <c r="H749" s="10" t="str">
        <f>IF($K749="","",INDEX(Конструктор!$N$2:$N$1212,$K749))</f>
        <v/>
      </c>
      <c r="I749" s="10" t="str">
        <f>IF($K749="","",INDEX(Конструктор!$O$2:$O$1212,$K749))</f>
        <v/>
      </c>
      <c r="J749" s="10" t="str">
        <f>IF($K749="","",INDEX(Конструктор!$P$2:$P$1212,$K749))</f>
        <v/>
      </c>
      <c r="K749" t="str">
        <f>IFERROR(MATCH(729,Конструктор!$T$2:$T$1212,0),"")</f>
        <v/>
      </c>
      <c r="L749" t="str">
        <f t="shared" si="11"/>
        <v/>
      </c>
    </row>
    <row r="750" spans="1:12" hidden="1" x14ac:dyDescent="0.3">
      <c r="A750" t="str">
        <f>IF($K750="","",730)</f>
        <v/>
      </c>
      <c r="B750" t="str">
        <f>IF($K750="","",INDEX(Конструктор!$C$2:$C$1212,$K750))</f>
        <v/>
      </c>
      <c r="C750" s="8" t="str">
        <f>IF($K750="","",INDEX(Конструктор!$D$2:$D$1212,$K750)&amp;IF(INDEX(Конструктор!$J$2:$J$1212,$K750)&lt;&gt;""," — "&amp;INDEX(Конструктор!$J$2:$J$1212,$K750),""))</f>
        <v/>
      </c>
      <c r="D750" t="str">
        <f>IF($K750="","",INDEX(Конструктор!$E$2:$E$1212,$K750))</f>
        <v/>
      </c>
      <c r="E750" s="10" t="str">
        <f>IF($K750="","",INDEX(Конструктор!$H$2:$H$1212,$K750))</f>
        <v/>
      </c>
      <c r="F750" s="10" t="str">
        <f>IF($K750="","",INDEX(Конструктор!$L$2:$L$1212,$K750))</f>
        <v/>
      </c>
      <c r="G750" s="10" t="str">
        <f>IF($K750="","",INDEX(Конструктор!$M$2:$M$1212,$K750))</f>
        <v/>
      </c>
      <c r="H750" s="10" t="str">
        <f>IF($K750="","",INDEX(Конструктор!$N$2:$N$1212,$K750))</f>
        <v/>
      </c>
      <c r="I750" s="10" t="str">
        <f>IF($K750="","",INDEX(Конструктор!$O$2:$O$1212,$K750))</f>
        <v/>
      </c>
      <c r="J750" s="10" t="str">
        <f>IF($K750="","",INDEX(Конструктор!$P$2:$P$1212,$K750))</f>
        <v/>
      </c>
      <c r="K750" t="str">
        <f>IFERROR(MATCH(730,Конструктор!$T$2:$T$1212,0),"")</f>
        <v/>
      </c>
      <c r="L750" t="str">
        <f t="shared" si="11"/>
        <v/>
      </c>
    </row>
    <row r="751" spans="1:12" hidden="1" x14ac:dyDescent="0.3">
      <c r="A751" t="str">
        <f>IF($K751="","",731)</f>
        <v/>
      </c>
      <c r="B751" t="str">
        <f>IF($K751="","",INDEX(Конструктор!$C$2:$C$1212,$K751))</f>
        <v/>
      </c>
      <c r="C751" s="8" t="str">
        <f>IF($K751="","",INDEX(Конструктор!$D$2:$D$1212,$K751)&amp;IF(INDEX(Конструктор!$J$2:$J$1212,$K751)&lt;&gt;""," — "&amp;INDEX(Конструктор!$J$2:$J$1212,$K751),""))</f>
        <v/>
      </c>
      <c r="D751" t="str">
        <f>IF($K751="","",INDEX(Конструктор!$E$2:$E$1212,$K751))</f>
        <v/>
      </c>
      <c r="E751" s="10" t="str">
        <f>IF($K751="","",INDEX(Конструктор!$H$2:$H$1212,$K751))</f>
        <v/>
      </c>
      <c r="F751" s="10" t="str">
        <f>IF($K751="","",INDEX(Конструктор!$L$2:$L$1212,$K751))</f>
        <v/>
      </c>
      <c r="G751" s="10" t="str">
        <f>IF($K751="","",INDEX(Конструктор!$M$2:$M$1212,$K751))</f>
        <v/>
      </c>
      <c r="H751" s="10" t="str">
        <f>IF($K751="","",INDEX(Конструктор!$N$2:$N$1212,$K751))</f>
        <v/>
      </c>
      <c r="I751" s="10" t="str">
        <f>IF($K751="","",INDEX(Конструктор!$O$2:$O$1212,$K751))</f>
        <v/>
      </c>
      <c r="J751" s="10" t="str">
        <f>IF($K751="","",INDEX(Конструктор!$P$2:$P$1212,$K751))</f>
        <v/>
      </c>
      <c r="K751" t="str">
        <f>IFERROR(MATCH(731,Конструктор!$T$2:$T$1212,0),"")</f>
        <v/>
      </c>
      <c r="L751" t="str">
        <f t="shared" si="11"/>
        <v/>
      </c>
    </row>
    <row r="752" spans="1:12" hidden="1" x14ac:dyDescent="0.3">
      <c r="A752" t="str">
        <f>IF($K752="","",732)</f>
        <v/>
      </c>
      <c r="B752" t="str">
        <f>IF($K752="","",INDEX(Конструктор!$C$2:$C$1212,$K752))</f>
        <v/>
      </c>
      <c r="C752" s="8" t="str">
        <f>IF($K752="","",INDEX(Конструктор!$D$2:$D$1212,$K752)&amp;IF(INDEX(Конструктор!$J$2:$J$1212,$K752)&lt;&gt;""," — "&amp;INDEX(Конструктор!$J$2:$J$1212,$K752),""))</f>
        <v/>
      </c>
      <c r="D752" t="str">
        <f>IF($K752="","",INDEX(Конструктор!$E$2:$E$1212,$K752))</f>
        <v/>
      </c>
      <c r="E752" s="10" t="str">
        <f>IF($K752="","",INDEX(Конструктор!$H$2:$H$1212,$K752))</f>
        <v/>
      </c>
      <c r="F752" s="10" t="str">
        <f>IF($K752="","",INDEX(Конструктор!$L$2:$L$1212,$K752))</f>
        <v/>
      </c>
      <c r="G752" s="10" t="str">
        <f>IF($K752="","",INDEX(Конструктор!$M$2:$M$1212,$K752))</f>
        <v/>
      </c>
      <c r="H752" s="10" t="str">
        <f>IF($K752="","",INDEX(Конструктор!$N$2:$N$1212,$K752))</f>
        <v/>
      </c>
      <c r="I752" s="10" t="str">
        <f>IF($K752="","",INDEX(Конструктор!$O$2:$O$1212,$K752))</f>
        <v/>
      </c>
      <c r="J752" s="10" t="str">
        <f>IF($K752="","",INDEX(Конструктор!$P$2:$P$1212,$K752))</f>
        <v/>
      </c>
      <c r="K752" t="str">
        <f>IFERROR(MATCH(732,Конструктор!$T$2:$T$1212,0),"")</f>
        <v/>
      </c>
      <c r="L752" t="str">
        <f t="shared" si="11"/>
        <v/>
      </c>
    </row>
    <row r="753" spans="1:12" hidden="1" x14ac:dyDescent="0.3">
      <c r="A753" t="str">
        <f>IF($K753="","",733)</f>
        <v/>
      </c>
      <c r="B753" t="str">
        <f>IF($K753="","",INDEX(Конструктор!$C$2:$C$1212,$K753))</f>
        <v/>
      </c>
      <c r="C753" s="8" t="str">
        <f>IF($K753="","",INDEX(Конструктор!$D$2:$D$1212,$K753)&amp;IF(INDEX(Конструктор!$J$2:$J$1212,$K753)&lt;&gt;""," — "&amp;INDEX(Конструктор!$J$2:$J$1212,$K753),""))</f>
        <v/>
      </c>
      <c r="D753" t="str">
        <f>IF($K753="","",INDEX(Конструктор!$E$2:$E$1212,$K753))</f>
        <v/>
      </c>
      <c r="E753" s="10" t="str">
        <f>IF($K753="","",INDEX(Конструктор!$H$2:$H$1212,$K753))</f>
        <v/>
      </c>
      <c r="F753" s="10" t="str">
        <f>IF($K753="","",INDEX(Конструктор!$L$2:$L$1212,$K753))</f>
        <v/>
      </c>
      <c r="G753" s="10" t="str">
        <f>IF($K753="","",INDEX(Конструктор!$M$2:$M$1212,$K753))</f>
        <v/>
      </c>
      <c r="H753" s="10" t="str">
        <f>IF($K753="","",INDEX(Конструктор!$N$2:$N$1212,$K753))</f>
        <v/>
      </c>
      <c r="I753" s="10" t="str">
        <f>IF($K753="","",INDEX(Конструктор!$O$2:$O$1212,$K753))</f>
        <v/>
      </c>
      <c r="J753" s="10" t="str">
        <f>IF($K753="","",INDEX(Конструктор!$P$2:$P$1212,$K753))</f>
        <v/>
      </c>
      <c r="K753" t="str">
        <f>IFERROR(MATCH(733,Конструктор!$T$2:$T$1212,0),"")</f>
        <v/>
      </c>
      <c r="L753" t="str">
        <f t="shared" si="11"/>
        <v/>
      </c>
    </row>
    <row r="754" spans="1:12" hidden="1" x14ac:dyDescent="0.3">
      <c r="A754" t="str">
        <f>IF($K754="","",734)</f>
        <v/>
      </c>
      <c r="B754" t="str">
        <f>IF($K754="","",INDEX(Конструктор!$C$2:$C$1212,$K754))</f>
        <v/>
      </c>
      <c r="C754" s="8" t="str">
        <f>IF($K754="","",INDEX(Конструктор!$D$2:$D$1212,$K754)&amp;IF(INDEX(Конструктор!$J$2:$J$1212,$K754)&lt;&gt;""," — "&amp;INDEX(Конструктор!$J$2:$J$1212,$K754),""))</f>
        <v/>
      </c>
      <c r="D754" t="str">
        <f>IF($K754="","",INDEX(Конструктор!$E$2:$E$1212,$K754))</f>
        <v/>
      </c>
      <c r="E754" s="10" t="str">
        <f>IF($K754="","",INDEX(Конструктор!$H$2:$H$1212,$K754))</f>
        <v/>
      </c>
      <c r="F754" s="10" t="str">
        <f>IF($K754="","",INDEX(Конструктор!$L$2:$L$1212,$K754))</f>
        <v/>
      </c>
      <c r="G754" s="10" t="str">
        <f>IF($K754="","",INDEX(Конструктор!$M$2:$M$1212,$K754))</f>
        <v/>
      </c>
      <c r="H754" s="10" t="str">
        <f>IF($K754="","",INDEX(Конструктор!$N$2:$N$1212,$K754))</f>
        <v/>
      </c>
      <c r="I754" s="10" t="str">
        <f>IF($K754="","",INDEX(Конструктор!$O$2:$O$1212,$K754))</f>
        <v/>
      </c>
      <c r="J754" s="10" t="str">
        <f>IF($K754="","",INDEX(Конструктор!$P$2:$P$1212,$K754))</f>
        <v/>
      </c>
      <c r="K754" t="str">
        <f>IFERROR(MATCH(734,Конструктор!$T$2:$T$1212,0),"")</f>
        <v/>
      </c>
      <c r="L754" t="str">
        <f t="shared" si="11"/>
        <v/>
      </c>
    </row>
    <row r="755" spans="1:12" hidden="1" x14ac:dyDescent="0.3">
      <c r="A755" t="str">
        <f>IF($K755="","",735)</f>
        <v/>
      </c>
      <c r="B755" t="str">
        <f>IF($K755="","",INDEX(Конструктор!$C$2:$C$1212,$K755))</f>
        <v/>
      </c>
      <c r="C755" s="8" t="str">
        <f>IF($K755="","",INDEX(Конструктор!$D$2:$D$1212,$K755)&amp;IF(INDEX(Конструктор!$J$2:$J$1212,$K755)&lt;&gt;""," — "&amp;INDEX(Конструктор!$J$2:$J$1212,$K755),""))</f>
        <v/>
      </c>
      <c r="D755" t="str">
        <f>IF($K755="","",INDEX(Конструктор!$E$2:$E$1212,$K755))</f>
        <v/>
      </c>
      <c r="E755" s="10" t="str">
        <f>IF($K755="","",INDEX(Конструктор!$H$2:$H$1212,$K755))</f>
        <v/>
      </c>
      <c r="F755" s="10" t="str">
        <f>IF($K755="","",INDEX(Конструктор!$L$2:$L$1212,$K755))</f>
        <v/>
      </c>
      <c r="G755" s="10" t="str">
        <f>IF($K755="","",INDEX(Конструктор!$M$2:$M$1212,$K755))</f>
        <v/>
      </c>
      <c r="H755" s="10" t="str">
        <f>IF($K755="","",INDEX(Конструктор!$N$2:$N$1212,$K755))</f>
        <v/>
      </c>
      <c r="I755" s="10" t="str">
        <f>IF($K755="","",INDEX(Конструктор!$O$2:$O$1212,$K755))</f>
        <v/>
      </c>
      <c r="J755" s="10" t="str">
        <f>IF($K755="","",INDEX(Конструктор!$P$2:$P$1212,$K755))</f>
        <v/>
      </c>
      <c r="K755" t="str">
        <f>IFERROR(MATCH(735,Конструктор!$T$2:$T$1212,0),"")</f>
        <v/>
      </c>
      <c r="L755" t="str">
        <f t="shared" si="11"/>
        <v/>
      </c>
    </row>
    <row r="756" spans="1:12" hidden="1" x14ac:dyDescent="0.3">
      <c r="A756" t="str">
        <f>IF($K756="","",736)</f>
        <v/>
      </c>
      <c r="B756" t="str">
        <f>IF($K756="","",INDEX(Конструктор!$C$2:$C$1212,$K756))</f>
        <v/>
      </c>
      <c r="C756" s="8" t="str">
        <f>IF($K756="","",INDEX(Конструктор!$D$2:$D$1212,$K756)&amp;IF(INDEX(Конструктор!$J$2:$J$1212,$K756)&lt;&gt;""," — "&amp;INDEX(Конструктор!$J$2:$J$1212,$K756),""))</f>
        <v/>
      </c>
      <c r="D756" t="str">
        <f>IF($K756="","",INDEX(Конструктор!$E$2:$E$1212,$K756))</f>
        <v/>
      </c>
      <c r="E756" s="10" t="str">
        <f>IF($K756="","",INDEX(Конструктор!$H$2:$H$1212,$K756))</f>
        <v/>
      </c>
      <c r="F756" s="10" t="str">
        <f>IF($K756="","",INDEX(Конструктор!$L$2:$L$1212,$K756))</f>
        <v/>
      </c>
      <c r="G756" s="10" t="str">
        <f>IF($K756="","",INDEX(Конструктор!$M$2:$M$1212,$K756))</f>
        <v/>
      </c>
      <c r="H756" s="10" t="str">
        <f>IF($K756="","",INDEX(Конструктор!$N$2:$N$1212,$K756))</f>
        <v/>
      </c>
      <c r="I756" s="10" t="str">
        <f>IF($K756="","",INDEX(Конструктор!$O$2:$O$1212,$K756))</f>
        <v/>
      </c>
      <c r="J756" s="10" t="str">
        <f>IF($K756="","",INDEX(Конструктор!$P$2:$P$1212,$K756))</f>
        <v/>
      </c>
      <c r="K756" t="str">
        <f>IFERROR(MATCH(736,Конструктор!$T$2:$T$1212,0),"")</f>
        <v/>
      </c>
      <c r="L756" t="str">
        <f t="shared" si="11"/>
        <v/>
      </c>
    </row>
    <row r="757" spans="1:12" hidden="1" x14ac:dyDescent="0.3">
      <c r="A757" t="str">
        <f>IF($K757="","",737)</f>
        <v/>
      </c>
      <c r="B757" t="str">
        <f>IF($K757="","",INDEX(Конструктор!$C$2:$C$1212,$K757))</f>
        <v/>
      </c>
      <c r="C757" s="8" t="str">
        <f>IF($K757="","",INDEX(Конструктор!$D$2:$D$1212,$K757)&amp;IF(INDEX(Конструктор!$J$2:$J$1212,$K757)&lt;&gt;""," — "&amp;INDEX(Конструктор!$J$2:$J$1212,$K757),""))</f>
        <v/>
      </c>
      <c r="D757" t="str">
        <f>IF($K757="","",INDEX(Конструктор!$E$2:$E$1212,$K757))</f>
        <v/>
      </c>
      <c r="E757" s="10" t="str">
        <f>IF($K757="","",INDEX(Конструктор!$H$2:$H$1212,$K757))</f>
        <v/>
      </c>
      <c r="F757" s="10" t="str">
        <f>IF($K757="","",INDEX(Конструктор!$L$2:$L$1212,$K757))</f>
        <v/>
      </c>
      <c r="G757" s="10" t="str">
        <f>IF($K757="","",INDEX(Конструктор!$M$2:$M$1212,$K757))</f>
        <v/>
      </c>
      <c r="H757" s="10" t="str">
        <f>IF($K757="","",INDEX(Конструктор!$N$2:$N$1212,$K757))</f>
        <v/>
      </c>
      <c r="I757" s="10" t="str">
        <f>IF($K757="","",INDEX(Конструктор!$O$2:$O$1212,$K757))</f>
        <v/>
      </c>
      <c r="J757" s="10" t="str">
        <f>IF($K757="","",INDEX(Конструктор!$P$2:$P$1212,$K757))</f>
        <v/>
      </c>
      <c r="K757" t="str">
        <f>IFERROR(MATCH(737,Конструктор!$T$2:$T$1212,0),"")</f>
        <v/>
      </c>
      <c r="L757" t="str">
        <f t="shared" si="11"/>
        <v/>
      </c>
    </row>
    <row r="758" spans="1:12" hidden="1" x14ac:dyDescent="0.3">
      <c r="A758" t="str">
        <f>IF($K758="","",738)</f>
        <v/>
      </c>
      <c r="B758" t="str">
        <f>IF($K758="","",INDEX(Конструктор!$C$2:$C$1212,$K758))</f>
        <v/>
      </c>
      <c r="C758" s="8" t="str">
        <f>IF($K758="","",INDEX(Конструктор!$D$2:$D$1212,$K758)&amp;IF(INDEX(Конструктор!$J$2:$J$1212,$K758)&lt;&gt;""," — "&amp;INDEX(Конструктор!$J$2:$J$1212,$K758),""))</f>
        <v/>
      </c>
      <c r="D758" t="str">
        <f>IF($K758="","",INDEX(Конструктор!$E$2:$E$1212,$K758))</f>
        <v/>
      </c>
      <c r="E758" s="10" t="str">
        <f>IF($K758="","",INDEX(Конструктор!$H$2:$H$1212,$K758))</f>
        <v/>
      </c>
      <c r="F758" s="10" t="str">
        <f>IF($K758="","",INDEX(Конструктор!$L$2:$L$1212,$K758))</f>
        <v/>
      </c>
      <c r="G758" s="10" t="str">
        <f>IF($K758="","",INDEX(Конструктор!$M$2:$M$1212,$K758))</f>
        <v/>
      </c>
      <c r="H758" s="10" t="str">
        <f>IF($K758="","",INDEX(Конструктор!$N$2:$N$1212,$K758))</f>
        <v/>
      </c>
      <c r="I758" s="10" t="str">
        <f>IF($K758="","",INDEX(Конструктор!$O$2:$O$1212,$K758))</f>
        <v/>
      </c>
      <c r="J758" s="10" t="str">
        <f>IF($K758="","",INDEX(Конструктор!$P$2:$P$1212,$K758))</f>
        <v/>
      </c>
      <c r="K758" t="str">
        <f>IFERROR(MATCH(738,Конструктор!$T$2:$T$1212,0),"")</f>
        <v/>
      </c>
      <c r="L758" t="str">
        <f t="shared" si="11"/>
        <v/>
      </c>
    </row>
    <row r="759" spans="1:12" hidden="1" x14ac:dyDescent="0.3">
      <c r="A759" t="str">
        <f>IF($K759="","",739)</f>
        <v/>
      </c>
      <c r="B759" t="str">
        <f>IF($K759="","",INDEX(Конструктор!$C$2:$C$1212,$K759))</f>
        <v/>
      </c>
      <c r="C759" s="8" t="str">
        <f>IF($K759="","",INDEX(Конструктор!$D$2:$D$1212,$K759)&amp;IF(INDEX(Конструктор!$J$2:$J$1212,$K759)&lt;&gt;""," — "&amp;INDEX(Конструктор!$J$2:$J$1212,$K759),""))</f>
        <v/>
      </c>
      <c r="D759" t="str">
        <f>IF($K759="","",INDEX(Конструктор!$E$2:$E$1212,$K759))</f>
        <v/>
      </c>
      <c r="E759" s="10" t="str">
        <f>IF($K759="","",INDEX(Конструктор!$H$2:$H$1212,$K759))</f>
        <v/>
      </c>
      <c r="F759" s="10" t="str">
        <f>IF($K759="","",INDEX(Конструктор!$L$2:$L$1212,$K759))</f>
        <v/>
      </c>
      <c r="G759" s="10" t="str">
        <f>IF($K759="","",INDEX(Конструктор!$M$2:$M$1212,$K759))</f>
        <v/>
      </c>
      <c r="H759" s="10" t="str">
        <f>IF($K759="","",INDEX(Конструктор!$N$2:$N$1212,$K759))</f>
        <v/>
      </c>
      <c r="I759" s="10" t="str">
        <f>IF($K759="","",INDEX(Конструктор!$O$2:$O$1212,$K759))</f>
        <v/>
      </c>
      <c r="J759" s="10" t="str">
        <f>IF($K759="","",INDEX(Конструктор!$P$2:$P$1212,$K759))</f>
        <v/>
      </c>
      <c r="K759" t="str">
        <f>IFERROR(MATCH(739,Конструктор!$T$2:$T$1212,0),"")</f>
        <v/>
      </c>
      <c r="L759" t="str">
        <f t="shared" si="11"/>
        <v/>
      </c>
    </row>
    <row r="760" spans="1:12" hidden="1" x14ac:dyDescent="0.3">
      <c r="A760" t="str">
        <f>IF($K760="","",740)</f>
        <v/>
      </c>
      <c r="B760" t="str">
        <f>IF($K760="","",INDEX(Конструктор!$C$2:$C$1212,$K760))</f>
        <v/>
      </c>
      <c r="C760" s="8" t="str">
        <f>IF($K760="","",INDEX(Конструктор!$D$2:$D$1212,$K760)&amp;IF(INDEX(Конструктор!$J$2:$J$1212,$K760)&lt;&gt;""," — "&amp;INDEX(Конструктор!$J$2:$J$1212,$K760),""))</f>
        <v/>
      </c>
      <c r="D760" t="str">
        <f>IF($K760="","",INDEX(Конструктор!$E$2:$E$1212,$K760))</f>
        <v/>
      </c>
      <c r="E760" s="10" t="str">
        <f>IF($K760="","",INDEX(Конструктор!$H$2:$H$1212,$K760))</f>
        <v/>
      </c>
      <c r="F760" s="10" t="str">
        <f>IF($K760="","",INDEX(Конструктор!$L$2:$L$1212,$K760))</f>
        <v/>
      </c>
      <c r="G760" s="10" t="str">
        <f>IF($K760="","",INDEX(Конструктор!$M$2:$M$1212,$K760))</f>
        <v/>
      </c>
      <c r="H760" s="10" t="str">
        <f>IF($K760="","",INDEX(Конструктор!$N$2:$N$1212,$K760))</f>
        <v/>
      </c>
      <c r="I760" s="10" t="str">
        <f>IF($K760="","",INDEX(Конструктор!$O$2:$O$1212,$K760))</f>
        <v/>
      </c>
      <c r="J760" s="10" t="str">
        <f>IF($K760="","",INDEX(Конструктор!$P$2:$P$1212,$K760))</f>
        <v/>
      </c>
      <c r="K760" t="str">
        <f>IFERROR(MATCH(740,Конструктор!$T$2:$T$1212,0),"")</f>
        <v/>
      </c>
      <c r="L760" t="str">
        <f t="shared" si="11"/>
        <v/>
      </c>
    </row>
    <row r="761" spans="1:12" hidden="1" x14ac:dyDescent="0.3">
      <c r="A761" t="str">
        <f>IF($K761="","",741)</f>
        <v/>
      </c>
      <c r="B761" t="str">
        <f>IF($K761="","",INDEX(Конструктор!$C$2:$C$1212,$K761))</f>
        <v/>
      </c>
      <c r="C761" s="8" t="str">
        <f>IF($K761="","",INDEX(Конструктор!$D$2:$D$1212,$K761)&amp;IF(INDEX(Конструктор!$J$2:$J$1212,$K761)&lt;&gt;""," — "&amp;INDEX(Конструктор!$J$2:$J$1212,$K761),""))</f>
        <v/>
      </c>
      <c r="D761" t="str">
        <f>IF($K761="","",INDEX(Конструктор!$E$2:$E$1212,$K761))</f>
        <v/>
      </c>
      <c r="E761" s="10" t="str">
        <f>IF($K761="","",INDEX(Конструктор!$H$2:$H$1212,$K761))</f>
        <v/>
      </c>
      <c r="F761" s="10" t="str">
        <f>IF($K761="","",INDEX(Конструктор!$L$2:$L$1212,$K761))</f>
        <v/>
      </c>
      <c r="G761" s="10" t="str">
        <f>IF($K761="","",INDEX(Конструктор!$M$2:$M$1212,$K761))</f>
        <v/>
      </c>
      <c r="H761" s="10" t="str">
        <f>IF($K761="","",INDEX(Конструктор!$N$2:$N$1212,$K761))</f>
        <v/>
      </c>
      <c r="I761" s="10" t="str">
        <f>IF($K761="","",INDEX(Конструктор!$O$2:$O$1212,$K761))</f>
        <v/>
      </c>
      <c r="J761" s="10" t="str">
        <f>IF($K761="","",INDEX(Конструктор!$P$2:$P$1212,$K761))</f>
        <v/>
      </c>
      <c r="K761" t="str">
        <f>IFERROR(MATCH(741,Конструктор!$T$2:$T$1212,0),"")</f>
        <v/>
      </c>
      <c r="L761" t="str">
        <f t="shared" si="11"/>
        <v/>
      </c>
    </row>
    <row r="762" spans="1:12" hidden="1" x14ac:dyDescent="0.3">
      <c r="A762" t="str">
        <f>IF($K762="","",742)</f>
        <v/>
      </c>
      <c r="B762" t="str">
        <f>IF($K762="","",INDEX(Конструктор!$C$2:$C$1212,$K762))</f>
        <v/>
      </c>
      <c r="C762" s="8" t="str">
        <f>IF($K762="","",INDEX(Конструктор!$D$2:$D$1212,$K762)&amp;IF(INDEX(Конструктор!$J$2:$J$1212,$K762)&lt;&gt;""," — "&amp;INDEX(Конструктор!$J$2:$J$1212,$K762),""))</f>
        <v/>
      </c>
      <c r="D762" t="str">
        <f>IF($K762="","",INDEX(Конструктор!$E$2:$E$1212,$K762))</f>
        <v/>
      </c>
      <c r="E762" s="10" t="str">
        <f>IF($K762="","",INDEX(Конструктор!$H$2:$H$1212,$K762))</f>
        <v/>
      </c>
      <c r="F762" s="10" t="str">
        <f>IF($K762="","",INDEX(Конструктор!$L$2:$L$1212,$K762))</f>
        <v/>
      </c>
      <c r="G762" s="10" t="str">
        <f>IF($K762="","",INDEX(Конструктор!$M$2:$M$1212,$K762))</f>
        <v/>
      </c>
      <c r="H762" s="10" t="str">
        <f>IF($K762="","",INDEX(Конструктор!$N$2:$N$1212,$K762))</f>
        <v/>
      </c>
      <c r="I762" s="10" t="str">
        <f>IF($K762="","",INDEX(Конструктор!$O$2:$O$1212,$K762))</f>
        <v/>
      </c>
      <c r="J762" s="10" t="str">
        <f>IF($K762="","",INDEX(Конструктор!$P$2:$P$1212,$K762))</f>
        <v/>
      </c>
      <c r="K762" t="str">
        <f>IFERROR(MATCH(742,Конструктор!$T$2:$T$1212,0),"")</f>
        <v/>
      </c>
      <c r="L762" t="str">
        <f t="shared" si="11"/>
        <v/>
      </c>
    </row>
    <row r="763" spans="1:12" hidden="1" x14ac:dyDescent="0.3">
      <c r="A763" t="str">
        <f>IF($K763="","",743)</f>
        <v/>
      </c>
      <c r="B763" t="str">
        <f>IF($K763="","",INDEX(Конструктор!$C$2:$C$1212,$K763))</f>
        <v/>
      </c>
      <c r="C763" s="8" t="str">
        <f>IF($K763="","",INDEX(Конструктор!$D$2:$D$1212,$K763)&amp;IF(INDEX(Конструктор!$J$2:$J$1212,$K763)&lt;&gt;""," — "&amp;INDEX(Конструктор!$J$2:$J$1212,$K763),""))</f>
        <v/>
      </c>
      <c r="D763" t="str">
        <f>IF($K763="","",INDEX(Конструктор!$E$2:$E$1212,$K763))</f>
        <v/>
      </c>
      <c r="E763" s="10" t="str">
        <f>IF($K763="","",INDEX(Конструктор!$H$2:$H$1212,$K763))</f>
        <v/>
      </c>
      <c r="F763" s="10" t="str">
        <f>IF($K763="","",INDEX(Конструктор!$L$2:$L$1212,$K763))</f>
        <v/>
      </c>
      <c r="G763" s="10" t="str">
        <f>IF($K763="","",INDEX(Конструктор!$M$2:$M$1212,$K763))</f>
        <v/>
      </c>
      <c r="H763" s="10" t="str">
        <f>IF($K763="","",INDEX(Конструктор!$N$2:$N$1212,$K763))</f>
        <v/>
      </c>
      <c r="I763" s="10" t="str">
        <f>IF($K763="","",INDEX(Конструктор!$O$2:$O$1212,$K763))</f>
        <v/>
      </c>
      <c r="J763" s="10" t="str">
        <f>IF($K763="","",INDEX(Конструктор!$P$2:$P$1212,$K763))</f>
        <v/>
      </c>
      <c r="K763" t="str">
        <f>IFERROR(MATCH(743,Конструктор!$T$2:$T$1212,0),"")</f>
        <v/>
      </c>
      <c r="L763" t="str">
        <f t="shared" si="11"/>
        <v/>
      </c>
    </row>
    <row r="764" spans="1:12" hidden="1" x14ac:dyDescent="0.3">
      <c r="A764" t="str">
        <f>IF($K764="","",744)</f>
        <v/>
      </c>
      <c r="B764" t="str">
        <f>IF($K764="","",INDEX(Конструктор!$C$2:$C$1212,$K764))</f>
        <v/>
      </c>
      <c r="C764" s="8" t="str">
        <f>IF($K764="","",INDEX(Конструктор!$D$2:$D$1212,$K764)&amp;IF(INDEX(Конструктор!$J$2:$J$1212,$K764)&lt;&gt;""," — "&amp;INDEX(Конструктор!$J$2:$J$1212,$K764),""))</f>
        <v/>
      </c>
      <c r="D764" t="str">
        <f>IF($K764="","",INDEX(Конструктор!$E$2:$E$1212,$K764))</f>
        <v/>
      </c>
      <c r="E764" s="10" t="str">
        <f>IF($K764="","",INDEX(Конструктор!$H$2:$H$1212,$K764))</f>
        <v/>
      </c>
      <c r="F764" s="10" t="str">
        <f>IF($K764="","",INDEX(Конструктор!$L$2:$L$1212,$K764))</f>
        <v/>
      </c>
      <c r="G764" s="10" t="str">
        <f>IF($K764="","",INDEX(Конструктор!$M$2:$M$1212,$K764))</f>
        <v/>
      </c>
      <c r="H764" s="10" t="str">
        <f>IF($K764="","",INDEX(Конструктор!$N$2:$N$1212,$K764))</f>
        <v/>
      </c>
      <c r="I764" s="10" t="str">
        <f>IF($K764="","",INDEX(Конструктор!$O$2:$O$1212,$K764))</f>
        <v/>
      </c>
      <c r="J764" s="10" t="str">
        <f>IF($K764="","",INDEX(Конструктор!$P$2:$P$1212,$K764))</f>
        <v/>
      </c>
      <c r="K764" t="str">
        <f>IFERROR(MATCH(744,Конструктор!$T$2:$T$1212,0),"")</f>
        <v/>
      </c>
      <c r="L764" t="str">
        <f t="shared" si="11"/>
        <v/>
      </c>
    </row>
    <row r="765" spans="1:12" hidden="1" x14ac:dyDescent="0.3">
      <c r="A765" t="str">
        <f>IF($K765="","",745)</f>
        <v/>
      </c>
      <c r="B765" t="str">
        <f>IF($K765="","",INDEX(Конструктор!$C$2:$C$1212,$K765))</f>
        <v/>
      </c>
      <c r="C765" s="8" t="str">
        <f>IF($K765="","",INDEX(Конструктор!$D$2:$D$1212,$K765)&amp;IF(INDEX(Конструктор!$J$2:$J$1212,$K765)&lt;&gt;""," — "&amp;INDEX(Конструктор!$J$2:$J$1212,$K765),""))</f>
        <v/>
      </c>
      <c r="D765" t="str">
        <f>IF($K765="","",INDEX(Конструктор!$E$2:$E$1212,$K765))</f>
        <v/>
      </c>
      <c r="E765" s="10" t="str">
        <f>IF($K765="","",INDEX(Конструктор!$H$2:$H$1212,$K765))</f>
        <v/>
      </c>
      <c r="F765" s="10" t="str">
        <f>IF($K765="","",INDEX(Конструктор!$L$2:$L$1212,$K765))</f>
        <v/>
      </c>
      <c r="G765" s="10" t="str">
        <f>IF($K765="","",INDEX(Конструктор!$M$2:$M$1212,$K765))</f>
        <v/>
      </c>
      <c r="H765" s="10" t="str">
        <f>IF($K765="","",INDEX(Конструктор!$N$2:$N$1212,$K765))</f>
        <v/>
      </c>
      <c r="I765" s="10" t="str">
        <f>IF($K765="","",INDEX(Конструктор!$O$2:$O$1212,$K765))</f>
        <v/>
      </c>
      <c r="J765" s="10" t="str">
        <f>IF($K765="","",INDEX(Конструктор!$P$2:$P$1212,$K765))</f>
        <v/>
      </c>
      <c r="K765" t="str">
        <f>IFERROR(MATCH(745,Конструктор!$T$2:$T$1212,0),"")</f>
        <v/>
      </c>
      <c r="L765" t="str">
        <f t="shared" si="11"/>
        <v/>
      </c>
    </row>
    <row r="766" spans="1:12" hidden="1" x14ac:dyDescent="0.3">
      <c r="A766" t="str">
        <f>IF($K766="","",746)</f>
        <v/>
      </c>
      <c r="B766" t="str">
        <f>IF($K766="","",INDEX(Конструктор!$C$2:$C$1212,$K766))</f>
        <v/>
      </c>
      <c r="C766" s="8" t="str">
        <f>IF($K766="","",INDEX(Конструктор!$D$2:$D$1212,$K766)&amp;IF(INDEX(Конструктор!$J$2:$J$1212,$K766)&lt;&gt;""," — "&amp;INDEX(Конструктор!$J$2:$J$1212,$K766),""))</f>
        <v/>
      </c>
      <c r="D766" t="str">
        <f>IF($K766="","",INDEX(Конструктор!$E$2:$E$1212,$K766))</f>
        <v/>
      </c>
      <c r="E766" s="10" t="str">
        <f>IF($K766="","",INDEX(Конструктор!$H$2:$H$1212,$K766))</f>
        <v/>
      </c>
      <c r="F766" s="10" t="str">
        <f>IF($K766="","",INDEX(Конструктор!$L$2:$L$1212,$K766))</f>
        <v/>
      </c>
      <c r="G766" s="10" t="str">
        <f>IF($K766="","",INDEX(Конструктор!$M$2:$M$1212,$K766))</f>
        <v/>
      </c>
      <c r="H766" s="10" t="str">
        <f>IF($K766="","",INDEX(Конструктор!$N$2:$N$1212,$K766))</f>
        <v/>
      </c>
      <c r="I766" s="10" t="str">
        <f>IF($K766="","",INDEX(Конструктор!$O$2:$O$1212,$K766))</f>
        <v/>
      </c>
      <c r="J766" s="10" t="str">
        <f>IF($K766="","",INDEX(Конструктор!$P$2:$P$1212,$K766))</f>
        <v/>
      </c>
      <c r="K766" t="str">
        <f>IFERROR(MATCH(746,Конструктор!$T$2:$T$1212,0),"")</f>
        <v/>
      </c>
      <c r="L766" t="str">
        <f t="shared" si="11"/>
        <v/>
      </c>
    </row>
    <row r="767" spans="1:12" hidden="1" x14ac:dyDescent="0.3">
      <c r="A767" t="str">
        <f>IF($K767="","",747)</f>
        <v/>
      </c>
      <c r="B767" t="str">
        <f>IF($K767="","",INDEX(Конструктор!$C$2:$C$1212,$K767))</f>
        <v/>
      </c>
      <c r="C767" s="8" t="str">
        <f>IF($K767="","",INDEX(Конструктор!$D$2:$D$1212,$K767)&amp;IF(INDEX(Конструктор!$J$2:$J$1212,$K767)&lt;&gt;""," — "&amp;INDEX(Конструктор!$J$2:$J$1212,$K767),""))</f>
        <v/>
      </c>
      <c r="D767" t="str">
        <f>IF($K767="","",INDEX(Конструктор!$E$2:$E$1212,$K767))</f>
        <v/>
      </c>
      <c r="E767" s="10" t="str">
        <f>IF($K767="","",INDEX(Конструктор!$H$2:$H$1212,$K767))</f>
        <v/>
      </c>
      <c r="F767" s="10" t="str">
        <f>IF($K767="","",INDEX(Конструктор!$L$2:$L$1212,$K767))</f>
        <v/>
      </c>
      <c r="G767" s="10" t="str">
        <f>IF($K767="","",INDEX(Конструктор!$M$2:$M$1212,$K767))</f>
        <v/>
      </c>
      <c r="H767" s="10" t="str">
        <f>IF($K767="","",INDEX(Конструктор!$N$2:$N$1212,$K767))</f>
        <v/>
      </c>
      <c r="I767" s="10" t="str">
        <f>IF($K767="","",INDEX(Конструктор!$O$2:$O$1212,$K767))</f>
        <v/>
      </c>
      <c r="J767" s="10" t="str">
        <f>IF($K767="","",INDEX(Конструктор!$P$2:$P$1212,$K767))</f>
        <v/>
      </c>
      <c r="K767" t="str">
        <f>IFERROR(MATCH(747,Конструктор!$T$2:$T$1212,0),"")</f>
        <v/>
      </c>
      <c r="L767" t="str">
        <f t="shared" si="11"/>
        <v/>
      </c>
    </row>
    <row r="768" spans="1:12" hidden="1" x14ac:dyDescent="0.3">
      <c r="A768" t="str">
        <f>IF($K768="","",748)</f>
        <v/>
      </c>
      <c r="B768" t="str">
        <f>IF($K768="","",INDEX(Конструктор!$C$2:$C$1212,$K768))</f>
        <v/>
      </c>
      <c r="C768" s="8" t="str">
        <f>IF($K768="","",INDEX(Конструктор!$D$2:$D$1212,$K768)&amp;IF(INDEX(Конструктор!$J$2:$J$1212,$K768)&lt;&gt;""," — "&amp;INDEX(Конструктор!$J$2:$J$1212,$K768),""))</f>
        <v/>
      </c>
      <c r="D768" t="str">
        <f>IF($K768="","",INDEX(Конструктор!$E$2:$E$1212,$K768))</f>
        <v/>
      </c>
      <c r="E768" s="10" t="str">
        <f>IF($K768="","",INDEX(Конструктор!$H$2:$H$1212,$K768))</f>
        <v/>
      </c>
      <c r="F768" s="10" t="str">
        <f>IF($K768="","",INDEX(Конструктор!$L$2:$L$1212,$K768))</f>
        <v/>
      </c>
      <c r="G768" s="10" t="str">
        <f>IF($K768="","",INDEX(Конструктор!$M$2:$M$1212,$K768))</f>
        <v/>
      </c>
      <c r="H768" s="10" t="str">
        <f>IF($K768="","",INDEX(Конструктор!$N$2:$N$1212,$K768))</f>
        <v/>
      </c>
      <c r="I768" s="10" t="str">
        <f>IF($K768="","",INDEX(Конструктор!$O$2:$O$1212,$K768))</f>
        <v/>
      </c>
      <c r="J768" s="10" t="str">
        <f>IF($K768="","",INDEX(Конструктор!$P$2:$P$1212,$K768))</f>
        <v/>
      </c>
      <c r="K768" t="str">
        <f>IFERROR(MATCH(748,Конструктор!$T$2:$T$1212,0),"")</f>
        <v/>
      </c>
      <c r="L768" t="str">
        <f t="shared" si="11"/>
        <v/>
      </c>
    </row>
    <row r="769" spans="1:12" hidden="1" x14ac:dyDescent="0.3">
      <c r="A769" t="str">
        <f>IF($K769="","",749)</f>
        <v/>
      </c>
      <c r="B769" t="str">
        <f>IF($K769="","",INDEX(Конструктор!$C$2:$C$1212,$K769))</f>
        <v/>
      </c>
      <c r="C769" s="8" t="str">
        <f>IF($K769="","",INDEX(Конструктор!$D$2:$D$1212,$K769)&amp;IF(INDEX(Конструктор!$J$2:$J$1212,$K769)&lt;&gt;""," — "&amp;INDEX(Конструктор!$J$2:$J$1212,$K769),""))</f>
        <v/>
      </c>
      <c r="D769" t="str">
        <f>IF($K769="","",INDEX(Конструктор!$E$2:$E$1212,$K769))</f>
        <v/>
      </c>
      <c r="E769" s="10" t="str">
        <f>IF($K769="","",INDEX(Конструктор!$H$2:$H$1212,$K769))</f>
        <v/>
      </c>
      <c r="F769" s="10" t="str">
        <f>IF($K769="","",INDEX(Конструктор!$L$2:$L$1212,$K769))</f>
        <v/>
      </c>
      <c r="G769" s="10" t="str">
        <f>IF($K769="","",INDEX(Конструктор!$M$2:$M$1212,$K769))</f>
        <v/>
      </c>
      <c r="H769" s="10" t="str">
        <f>IF($K769="","",INDEX(Конструктор!$N$2:$N$1212,$K769))</f>
        <v/>
      </c>
      <c r="I769" s="10" t="str">
        <f>IF($K769="","",INDEX(Конструктор!$O$2:$O$1212,$K769))</f>
        <v/>
      </c>
      <c r="J769" s="10" t="str">
        <f>IF($K769="","",INDEX(Конструктор!$P$2:$P$1212,$K769))</f>
        <v/>
      </c>
      <c r="K769" t="str">
        <f>IFERROR(MATCH(749,Конструктор!$T$2:$T$1212,0),"")</f>
        <v/>
      </c>
      <c r="L769" t="str">
        <f t="shared" si="11"/>
        <v/>
      </c>
    </row>
    <row r="770" spans="1:12" hidden="1" x14ac:dyDescent="0.3">
      <c r="A770" t="str">
        <f>IF($K770="","",750)</f>
        <v/>
      </c>
      <c r="B770" t="str">
        <f>IF($K770="","",INDEX(Конструктор!$C$2:$C$1212,$K770))</f>
        <v/>
      </c>
      <c r="C770" s="8" t="str">
        <f>IF($K770="","",INDEX(Конструктор!$D$2:$D$1212,$K770)&amp;IF(INDEX(Конструктор!$J$2:$J$1212,$K770)&lt;&gt;""," — "&amp;INDEX(Конструктор!$J$2:$J$1212,$K770),""))</f>
        <v/>
      </c>
      <c r="D770" t="str">
        <f>IF($K770="","",INDEX(Конструктор!$E$2:$E$1212,$K770))</f>
        <v/>
      </c>
      <c r="E770" s="10" t="str">
        <f>IF($K770="","",INDEX(Конструктор!$H$2:$H$1212,$K770))</f>
        <v/>
      </c>
      <c r="F770" s="10" t="str">
        <f>IF($K770="","",INDEX(Конструктор!$L$2:$L$1212,$K770))</f>
        <v/>
      </c>
      <c r="G770" s="10" t="str">
        <f>IF($K770="","",INDEX(Конструктор!$M$2:$M$1212,$K770))</f>
        <v/>
      </c>
      <c r="H770" s="10" t="str">
        <f>IF($K770="","",INDEX(Конструктор!$N$2:$N$1212,$K770))</f>
        <v/>
      </c>
      <c r="I770" s="10" t="str">
        <f>IF($K770="","",INDEX(Конструктор!$O$2:$O$1212,$K770))</f>
        <v/>
      </c>
      <c r="J770" s="10" t="str">
        <f>IF($K770="","",INDEX(Конструктор!$P$2:$P$1212,$K770))</f>
        <v/>
      </c>
      <c r="K770" t="str">
        <f>IFERROR(MATCH(750,Конструктор!$T$2:$T$1212,0),"")</f>
        <v/>
      </c>
      <c r="L770" t="str">
        <f t="shared" si="11"/>
        <v/>
      </c>
    </row>
    <row r="771" spans="1:12" hidden="1" x14ac:dyDescent="0.3">
      <c r="A771" t="str">
        <f>IF($K771="","",751)</f>
        <v/>
      </c>
      <c r="B771" t="str">
        <f>IF($K771="","",INDEX(Конструктор!$C$2:$C$1212,$K771))</f>
        <v/>
      </c>
      <c r="C771" s="8" t="str">
        <f>IF($K771="","",INDEX(Конструктор!$D$2:$D$1212,$K771)&amp;IF(INDEX(Конструктор!$J$2:$J$1212,$K771)&lt;&gt;""," — "&amp;INDEX(Конструктор!$J$2:$J$1212,$K771),""))</f>
        <v/>
      </c>
      <c r="D771" t="str">
        <f>IF($K771="","",INDEX(Конструктор!$E$2:$E$1212,$K771))</f>
        <v/>
      </c>
      <c r="E771" s="10" t="str">
        <f>IF($K771="","",INDEX(Конструктор!$H$2:$H$1212,$K771))</f>
        <v/>
      </c>
      <c r="F771" s="10" t="str">
        <f>IF($K771="","",INDEX(Конструктор!$L$2:$L$1212,$K771))</f>
        <v/>
      </c>
      <c r="G771" s="10" t="str">
        <f>IF($K771="","",INDEX(Конструктор!$M$2:$M$1212,$K771))</f>
        <v/>
      </c>
      <c r="H771" s="10" t="str">
        <f>IF($K771="","",INDEX(Конструктор!$N$2:$N$1212,$K771))</f>
        <v/>
      </c>
      <c r="I771" s="10" t="str">
        <f>IF($K771="","",INDEX(Конструктор!$O$2:$O$1212,$K771))</f>
        <v/>
      </c>
      <c r="J771" s="10" t="str">
        <f>IF($K771="","",INDEX(Конструктор!$P$2:$P$1212,$K771))</f>
        <v/>
      </c>
      <c r="K771" t="str">
        <f>IFERROR(MATCH(751,Конструктор!$T$2:$T$1212,0),"")</f>
        <v/>
      </c>
      <c r="L771" t="str">
        <f t="shared" si="11"/>
        <v/>
      </c>
    </row>
    <row r="772" spans="1:12" hidden="1" x14ac:dyDescent="0.3">
      <c r="A772" t="str">
        <f>IF($K772="","",752)</f>
        <v/>
      </c>
      <c r="B772" t="str">
        <f>IF($K772="","",INDEX(Конструктор!$C$2:$C$1212,$K772))</f>
        <v/>
      </c>
      <c r="C772" s="8" t="str">
        <f>IF($K772="","",INDEX(Конструктор!$D$2:$D$1212,$K772)&amp;IF(INDEX(Конструктор!$J$2:$J$1212,$K772)&lt;&gt;""," — "&amp;INDEX(Конструктор!$J$2:$J$1212,$K772),""))</f>
        <v/>
      </c>
      <c r="D772" t="str">
        <f>IF($K772="","",INDEX(Конструктор!$E$2:$E$1212,$K772))</f>
        <v/>
      </c>
      <c r="E772" s="10" t="str">
        <f>IF($K772="","",INDEX(Конструктор!$H$2:$H$1212,$K772))</f>
        <v/>
      </c>
      <c r="F772" s="10" t="str">
        <f>IF($K772="","",INDEX(Конструктор!$L$2:$L$1212,$K772))</f>
        <v/>
      </c>
      <c r="G772" s="10" t="str">
        <f>IF($K772="","",INDEX(Конструктор!$M$2:$M$1212,$K772))</f>
        <v/>
      </c>
      <c r="H772" s="10" t="str">
        <f>IF($K772="","",INDEX(Конструктор!$N$2:$N$1212,$K772))</f>
        <v/>
      </c>
      <c r="I772" s="10" t="str">
        <f>IF($K772="","",INDEX(Конструктор!$O$2:$O$1212,$K772))</f>
        <v/>
      </c>
      <c r="J772" s="10" t="str">
        <f>IF($K772="","",INDEX(Конструктор!$P$2:$P$1212,$K772))</f>
        <v/>
      </c>
      <c r="K772" t="str">
        <f>IFERROR(MATCH(752,Конструктор!$T$2:$T$1212,0),"")</f>
        <v/>
      </c>
      <c r="L772" t="str">
        <f t="shared" si="11"/>
        <v/>
      </c>
    </row>
    <row r="773" spans="1:12" hidden="1" x14ac:dyDescent="0.3">
      <c r="A773" t="str">
        <f>IF($K773="","",753)</f>
        <v/>
      </c>
      <c r="B773" t="str">
        <f>IF($K773="","",INDEX(Конструктор!$C$2:$C$1212,$K773))</f>
        <v/>
      </c>
      <c r="C773" s="8" t="str">
        <f>IF($K773="","",INDEX(Конструктор!$D$2:$D$1212,$K773)&amp;IF(INDEX(Конструктор!$J$2:$J$1212,$K773)&lt;&gt;""," — "&amp;INDEX(Конструктор!$J$2:$J$1212,$K773),""))</f>
        <v/>
      </c>
      <c r="D773" t="str">
        <f>IF($K773="","",INDEX(Конструктор!$E$2:$E$1212,$K773))</f>
        <v/>
      </c>
      <c r="E773" s="10" t="str">
        <f>IF($K773="","",INDEX(Конструктор!$H$2:$H$1212,$K773))</f>
        <v/>
      </c>
      <c r="F773" s="10" t="str">
        <f>IF($K773="","",INDEX(Конструктор!$L$2:$L$1212,$K773))</f>
        <v/>
      </c>
      <c r="G773" s="10" t="str">
        <f>IF($K773="","",INDEX(Конструктор!$M$2:$M$1212,$K773))</f>
        <v/>
      </c>
      <c r="H773" s="10" t="str">
        <f>IF($K773="","",INDEX(Конструктор!$N$2:$N$1212,$K773))</f>
        <v/>
      </c>
      <c r="I773" s="10" t="str">
        <f>IF($K773="","",INDEX(Конструктор!$O$2:$O$1212,$K773))</f>
        <v/>
      </c>
      <c r="J773" s="10" t="str">
        <f>IF($K773="","",INDEX(Конструктор!$P$2:$P$1212,$K773))</f>
        <v/>
      </c>
      <c r="K773" t="str">
        <f>IFERROR(MATCH(753,Конструктор!$T$2:$T$1212,0),"")</f>
        <v/>
      </c>
      <c r="L773" t="str">
        <f t="shared" si="11"/>
        <v/>
      </c>
    </row>
    <row r="774" spans="1:12" hidden="1" x14ac:dyDescent="0.3">
      <c r="A774" t="str">
        <f>IF($K774="","",754)</f>
        <v/>
      </c>
      <c r="B774" t="str">
        <f>IF($K774="","",INDEX(Конструктор!$C$2:$C$1212,$K774))</f>
        <v/>
      </c>
      <c r="C774" s="8" t="str">
        <f>IF($K774="","",INDEX(Конструктор!$D$2:$D$1212,$K774)&amp;IF(INDEX(Конструктор!$J$2:$J$1212,$K774)&lt;&gt;""," — "&amp;INDEX(Конструктор!$J$2:$J$1212,$K774),""))</f>
        <v/>
      </c>
      <c r="D774" t="str">
        <f>IF($K774="","",INDEX(Конструктор!$E$2:$E$1212,$K774))</f>
        <v/>
      </c>
      <c r="E774" s="10" t="str">
        <f>IF($K774="","",INDEX(Конструктор!$H$2:$H$1212,$K774))</f>
        <v/>
      </c>
      <c r="F774" s="10" t="str">
        <f>IF($K774="","",INDEX(Конструктор!$L$2:$L$1212,$K774))</f>
        <v/>
      </c>
      <c r="G774" s="10" t="str">
        <f>IF($K774="","",INDEX(Конструктор!$M$2:$M$1212,$K774))</f>
        <v/>
      </c>
      <c r="H774" s="10" t="str">
        <f>IF($K774="","",INDEX(Конструктор!$N$2:$N$1212,$K774))</f>
        <v/>
      </c>
      <c r="I774" s="10" t="str">
        <f>IF($K774="","",INDEX(Конструктор!$O$2:$O$1212,$K774))</f>
        <v/>
      </c>
      <c r="J774" s="10" t="str">
        <f>IF($K774="","",INDEX(Конструктор!$P$2:$P$1212,$K774))</f>
        <v/>
      </c>
      <c r="K774" t="str">
        <f>IFERROR(MATCH(754,Конструктор!$T$2:$T$1212,0),"")</f>
        <v/>
      </c>
      <c r="L774" t="str">
        <f t="shared" si="11"/>
        <v/>
      </c>
    </row>
    <row r="775" spans="1:12" hidden="1" x14ac:dyDescent="0.3">
      <c r="A775" t="str">
        <f>IF($K775="","",755)</f>
        <v/>
      </c>
      <c r="B775" t="str">
        <f>IF($K775="","",INDEX(Конструктор!$C$2:$C$1212,$K775))</f>
        <v/>
      </c>
      <c r="C775" s="8" t="str">
        <f>IF($K775="","",INDEX(Конструктор!$D$2:$D$1212,$K775)&amp;IF(INDEX(Конструктор!$J$2:$J$1212,$K775)&lt;&gt;""," — "&amp;INDEX(Конструктор!$J$2:$J$1212,$K775),""))</f>
        <v/>
      </c>
      <c r="D775" t="str">
        <f>IF($K775="","",INDEX(Конструктор!$E$2:$E$1212,$K775))</f>
        <v/>
      </c>
      <c r="E775" s="10" t="str">
        <f>IF($K775="","",INDEX(Конструктор!$H$2:$H$1212,$K775))</f>
        <v/>
      </c>
      <c r="F775" s="10" t="str">
        <f>IF($K775="","",INDEX(Конструктор!$L$2:$L$1212,$K775))</f>
        <v/>
      </c>
      <c r="G775" s="10" t="str">
        <f>IF($K775="","",INDEX(Конструктор!$M$2:$M$1212,$K775))</f>
        <v/>
      </c>
      <c r="H775" s="10" t="str">
        <f>IF($K775="","",INDEX(Конструктор!$N$2:$N$1212,$K775))</f>
        <v/>
      </c>
      <c r="I775" s="10" t="str">
        <f>IF($K775="","",INDEX(Конструктор!$O$2:$O$1212,$K775))</f>
        <v/>
      </c>
      <c r="J775" s="10" t="str">
        <f>IF($K775="","",INDEX(Конструктор!$P$2:$P$1212,$K775))</f>
        <v/>
      </c>
      <c r="K775" t="str">
        <f>IFERROR(MATCH(755,Конструктор!$T$2:$T$1212,0),"")</f>
        <v/>
      </c>
      <c r="L775" t="str">
        <f t="shared" si="11"/>
        <v/>
      </c>
    </row>
    <row r="776" spans="1:12" hidden="1" x14ac:dyDescent="0.3">
      <c r="A776" t="str">
        <f>IF($K776="","",756)</f>
        <v/>
      </c>
      <c r="B776" t="str">
        <f>IF($K776="","",INDEX(Конструктор!$C$2:$C$1212,$K776))</f>
        <v/>
      </c>
      <c r="C776" s="8" t="str">
        <f>IF($K776="","",INDEX(Конструктор!$D$2:$D$1212,$K776)&amp;IF(INDEX(Конструктор!$J$2:$J$1212,$K776)&lt;&gt;""," — "&amp;INDEX(Конструктор!$J$2:$J$1212,$K776),""))</f>
        <v/>
      </c>
      <c r="D776" t="str">
        <f>IF($K776="","",INDEX(Конструктор!$E$2:$E$1212,$K776))</f>
        <v/>
      </c>
      <c r="E776" s="10" t="str">
        <f>IF($K776="","",INDEX(Конструктор!$H$2:$H$1212,$K776))</f>
        <v/>
      </c>
      <c r="F776" s="10" t="str">
        <f>IF($K776="","",INDEX(Конструктор!$L$2:$L$1212,$K776))</f>
        <v/>
      </c>
      <c r="G776" s="10" t="str">
        <f>IF($K776="","",INDEX(Конструктор!$M$2:$M$1212,$K776))</f>
        <v/>
      </c>
      <c r="H776" s="10" t="str">
        <f>IF($K776="","",INDEX(Конструктор!$N$2:$N$1212,$K776))</f>
        <v/>
      </c>
      <c r="I776" s="10" t="str">
        <f>IF($K776="","",INDEX(Конструктор!$O$2:$O$1212,$K776))</f>
        <v/>
      </c>
      <c r="J776" s="10" t="str">
        <f>IF($K776="","",INDEX(Конструктор!$P$2:$P$1212,$K776))</f>
        <v/>
      </c>
      <c r="K776" t="str">
        <f>IFERROR(MATCH(756,Конструктор!$T$2:$T$1212,0),"")</f>
        <v/>
      </c>
      <c r="L776" t="str">
        <f t="shared" si="11"/>
        <v/>
      </c>
    </row>
    <row r="777" spans="1:12" hidden="1" x14ac:dyDescent="0.3">
      <c r="A777" t="str">
        <f>IF($K777="","",757)</f>
        <v/>
      </c>
      <c r="B777" t="str">
        <f>IF($K777="","",INDEX(Конструктор!$C$2:$C$1212,$K777))</f>
        <v/>
      </c>
      <c r="C777" s="8" t="str">
        <f>IF($K777="","",INDEX(Конструктор!$D$2:$D$1212,$K777)&amp;IF(INDEX(Конструктор!$J$2:$J$1212,$K777)&lt;&gt;""," — "&amp;INDEX(Конструктор!$J$2:$J$1212,$K777),""))</f>
        <v/>
      </c>
      <c r="D777" t="str">
        <f>IF($K777="","",INDEX(Конструктор!$E$2:$E$1212,$K777))</f>
        <v/>
      </c>
      <c r="E777" s="10" t="str">
        <f>IF($K777="","",INDEX(Конструктор!$H$2:$H$1212,$K777))</f>
        <v/>
      </c>
      <c r="F777" s="10" t="str">
        <f>IF($K777="","",INDEX(Конструктор!$L$2:$L$1212,$K777))</f>
        <v/>
      </c>
      <c r="G777" s="10" t="str">
        <f>IF($K777="","",INDEX(Конструктор!$M$2:$M$1212,$K777))</f>
        <v/>
      </c>
      <c r="H777" s="10" t="str">
        <f>IF($K777="","",INDEX(Конструктор!$N$2:$N$1212,$K777))</f>
        <v/>
      </c>
      <c r="I777" s="10" t="str">
        <f>IF($K777="","",INDEX(Конструктор!$O$2:$O$1212,$K777))</f>
        <v/>
      </c>
      <c r="J777" s="10" t="str">
        <f>IF($K777="","",INDEX(Конструктор!$P$2:$P$1212,$K777))</f>
        <v/>
      </c>
      <c r="K777" t="str">
        <f>IFERROR(MATCH(757,Конструктор!$T$2:$T$1212,0),"")</f>
        <v/>
      </c>
      <c r="L777" t="str">
        <f t="shared" si="11"/>
        <v/>
      </c>
    </row>
    <row r="778" spans="1:12" hidden="1" x14ac:dyDescent="0.3">
      <c r="A778" t="str">
        <f>IF($K778="","",758)</f>
        <v/>
      </c>
      <c r="B778" t="str">
        <f>IF($K778="","",INDEX(Конструктор!$C$2:$C$1212,$K778))</f>
        <v/>
      </c>
      <c r="C778" s="8" t="str">
        <f>IF($K778="","",INDEX(Конструктор!$D$2:$D$1212,$K778)&amp;IF(INDEX(Конструктор!$J$2:$J$1212,$K778)&lt;&gt;""," — "&amp;INDEX(Конструктор!$J$2:$J$1212,$K778),""))</f>
        <v/>
      </c>
      <c r="D778" t="str">
        <f>IF($K778="","",INDEX(Конструктор!$E$2:$E$1212,$K778))</f>
        <v/>
      </c>
      <c r="E778" s="10" t="str">
        <f>IF($K778="","",INDEX(Конструктор!$H$2:$H$1212,$K778))</f>
        <v/>
      </c>
      <c r="F778" s="10" t="str">
        <f>IF($K778="","",INDEX(Конструктор!$L$2:$L$1212,$K778))</f>
        <v/>
      </c>
      <c r="G778" s="10" t="str">
        <f>IF($K778="","",INDEX(Конструктор!$M$2:$M$1212,$K778))</f>
        <v/>
      </c>
      <c r="H778" s="10" t="str">
        <f>IF($K778="","",INDEX(Конструктор!$N$2:$N$1212,$K778))</f>
        <v/>
      </c>
      <c r="I778" s="10" t="str">
        <f>IF($K778="","",INDEX(Конструктор!$O$2:$O$1212,$K778))</f>
        <v/>
      </c>
      <c r="J778" s="10" t="str">
        <f>IF($K778="","",INDEX(Конструктор!$P$2:$P$1212,$K778))</f>
        <v/>
      </c>
      <c r="K778" t="str">
        <f>IFERROR(MATCH(758,Конструктор!$T$2:$T$1212,0),"")</f>
        <v/>
      </c>
      <c r="L778" t="str">
        <f t="shared" si="11"/>
        <v/>
      </c>
    </row>
    <row r="779" spans="1:12" hidden="1" x14ac:dyDescent="0.3">
      <c r="A779" t="str">
        <f>IF($K779="","",759)</f>
        <v/>
      </c>
      <c r="B779" t="str">
        <f>IF($K779="","",INDEX(Конструктор!$C$2:$C$1212,$K779))</f>
        <v/>
      </c>
      <c r="C779" s="8" t="str">
        <f>IF($K779="","",INDEX(Конструктор!$D$2:$D$1212,$K779)&amp;IF(INDEX(Конструктор!$J$2:$J$1212,$K779)&lt;&gt;""," — "&amp;INDEX(Конструктор!$J$2:$J$1212,$K779),""))</f>
        <v/>
      </c>
      <c r="D779" t="str">
        <f>IF($K779="","",INDEX(Конструктор!$E$2:$E$1212,$K779))</f>
        <v/>
      </c>
      <c r="E779" s="10" t="str">
        <f>IF($K779="","",INDEX(Конструктор!$H$2:$H$1212,$K779))</f>
        <v/>
      </c>
      <c r="F779" s="10" t="str">
        <f>IF($K779="","",INDEX(Конструктор!$L$2:$L$1212,$K779))</f>
        <v/>
      </c>
      <c r="G779" s="10" t="str">
        <f>IF($K779="","",INDEX(Конструктор!$M$2:$M$1212,$K779))</f>
        <v/>
      </c>
      <c r="H779" s="10" t="str">
        <f>IF($K779="","",INDEX(Конструктор!$N$2:$N$1212,$K779))</f>
        <v/>
      </c>
      <c r="I779" s="10" t="str">
        <f>IF($K779="","",INDEX(Конструктор!$O$2:$O$1212,$K779))</f>
        <v/>
      </c>
      <c r="J779" s="10" t="str">
        <f>IF($K779="","",INDEX(Конструктор!$P$2:$P$1212,$K779))</f>
        <v/>
      </c>
      <c r="K779" t="str">
        <f>IFERROR(MATCH(759,Конструктор!$T$2:$T$1212,0),"")</f>
        <v/>
      </c>
      <c r="L779" t="str">
        <f t="shared" si="11"/>
        <v/>
      </c>
    </row>
    <row r="780" spans="1:12" hidden="1" x14ac:dyDescent="0.3">
      <c r="A780" t="str">
        <f>IF($K780="","",760)</f>
        <v/>
      </c>
      <c r="B780" t="str">
        <f>IF($K780="","",INDEX(Конструктор!$C$2:$C$1212,$K780))</f>
        <v/>
      </c>
      <c r="C780" s="8" t="str">
        <f>IF($K780="","",INDEX(Конструктор!$D$2:$D$1212,$K780)&amp;IF(INDEX(Конструктор!$J$2:$J$1212,$K780)&lt;&gt;""," — "&amp;INDEX(Конструктор!$J$2:$J$1212,$K780),""))</f>
        <v/>
      </c>
      <c r="D780" t="str">
        <f>IF($K780="","",INDEX(Конструктор!$E$2:$E$1212,$K780))</f>
        <v/>
      </c>
      <c r="E780" s="10" t="str">
        <f>IF($K780="","",INDEX(Конструктор!$H$2:$H$1212,$K780))</f>
        <v/>
      </c>
      <c r="F780" s="10" t="str">
        <f>IF($K780="","",INDEX(Конструктор!$L$2:$L$1212,$K780))</f>
        <v/>
      </c>
      <c r="G780" s="10" t="str">
        <f>IF($K780="","",INDEX(Конструктор!$M$2:$M$1212,$K780))</f>
        <v/>
      </c>
      <c r="H780" s="10" t="str">
        <f>IF($K780="","",INDEX(Конструктор!$N$2:$N$1212,$K780))</f>
        <v/>
      </c>
      <c r="I780" s="10" t="str">
        <f>IF($K780="","",INDEX(Конструктор!$O$2:$O$1212,$K780))</f>
        <v/>
      </c>
      <c r="J780" s="10" t="str">
        <f>IF($K780="","",INDEX(Конструктор!$P$2:$P$1212,$K780))</f>
        <v/>
      </c>
      <c r="K780" t="str">
        <f>IFERROR(MATCH(760,Конструктор!$T$2:$T$1212,0),"")</f>
        <v/>
      </c>
      <c r="L780" t="str">
        <f t="shared" si="11"/>
        <v/>
      </c>
    </row>
    <row r="781" spans="1:12" hidden="1" x14ac:dyDescent="0.3">
      <c r="A781" t="str">
        <f>IF($K781="","",761)</f>
        <v/>
      </c>
      <c r="B781" t="str">
        <f>IF($K781="","",INDEX(Конструктор!$C$2:$C$1212,$K781))</f>
        <v/>
      </c>
      <c r="C781" s="8" t="str">
        <f>IF($K781="","",INDEX(Конструктор!$D$2:$D$1212,$K781)&amp;IF(INDEX(Конструктор!$J$2:$J$1212,$K781)&lt;&gt;""," — "&amp;INDEX(Конструктор!$J$2:$J$1212,$K781),""))</f>
        <v/>
      </c>
      <c r="D781" t="str">
        <f>IF($K781="","",INDEX(Конструктор!$E$2:$E$1212,$K781))</f>
        <v/>
      </c>
      <c r="E781" s="10" t="str">
        <f>IF($K781="","",INDEX(Конструктор!$H$2:$H$1212,$K781))</f>
        <v/>
      </c>
      <c r="F781" s="10" t="str">
        <f>IF($K781="","",INDEX(Конструктор!$L$2:$L$1212,$K781))</f>
        <v/>
      </c>
      <c r="G781" s="10" t="str">
        <f>IF($K781="","",INDEX(Конструктор!$M$2:$M$1212,$K781))</f>
        <v/>
      </c>
      <c r="H781" s="10" t="str">
        <f>IF($K781="","",INDEX(Конструктор!$N$2:$N$1212,$K781))</f>
        <v/>
      </c>
      <c r="I781" s="10" t="str">
        <f>IF($K781="","",INDEX(Конструктор!$O$2:$O$1212,$K781))</f>
        <v/>
      </c>
      <c r="J781" s="10" t="str">
        <f>IF($K781="","",INDEX(Конструктор!$P$2:$P$1212,$K781))</f>
        <v/>
      </c>
      <c r="K781" t="str">
        <f>IFERROR(MATCH(761,Конструктор!$T$2:$T$1212,0),"")</f>
        <v/>
      </c>
      <c r="L781" t="str">
        <f t="shared" si="11"/>
        <v/>
      </c>
    </row>
    <row r="782" spans="1:12" hidden="1" x14ac:dyDescent="0.3">
      <c r="A782" t="str">
        <f>IF($K782="","",762)</f>
        <v/>
      </c>
      <c r="B782" t="str">
        <f>IF($K782="","",INDEX(Конструктор!$C$2:$C$1212,$K782))</f>
        <v/>
      </c>
      <c r="C782" s="8" t="str">
        <f>IF($K782="","",INDEX(Конструктор!$D$2:$D$1212,$K782)&amp;IF(INDEX(Конструктор!$J$2:$J$1212,$K782)&lt;&gt;""," — "&amp;INDEX(Конструктор!$J$2:$J$1212,$K782),""))</f>
        <v/>
      </c>
      <c r="D782" t="str">
        <f>IF($K782="","",INDEX(Конструктор!$E$2:$E$1212,$K782))</f>
        <v/>
      </c>
      <c r="E782" s="10" t="str">
        <f>IF($K782="","",INDEX(Конструктор!$H$2:$H$1212,$K782))</f>
        <v/>
      </c>
      <c r="F782" s="10" t="str">
        <f>IF($K782="","",INDEX(Конструктор!$L$2:$L$1212,$K782))</f>
        <v/>
      </c>
      <c r="G782" s="10" t="str">
        <f>IF($K782="","",INDEX(Конструктор!$M$2:$M$1212,$K782))</f>
        <v/>
      </c>
      <c r="H782" s="10" t="str">
        <f>IF($K782="","",INDEX(Конструктор!$N$2:$N$1212,$K782))</f>
        <v/>
      </c>
      <c r="I782" s="10" t="str">
        <f>IF($K782="","",INDEX(Конструктор!$O$2:$O$1212,$K782))</f>
        <v/>
      </c>
      <c r="J782" s="10" t="str">
        <f>IF($K782="","",INDEX(Конструктор!$P$2:$P$1212,$K782))</f>
        <v/>
      </c>
      <c r="K782" t="str">
        <f>IFERROR(MATCH(762,Конструктор!$T$2:$T$1212,0),"")</f>
        <v/>
      </c>
      <c r="L782" t="str">
        <f t="shared" si="11"/>
        <v/>
      </c>
    </row>
    <row r="783" spans="1:12" hidden="1" x14ac:dyDescent="0.3">
      <c r="A783" t="str">
        <f>IF($K783="","",763)</f>
        <v/>
      </c>
      <c r="B783" t="str">
        <f>IF($K783="","",INDEX(Конструктор!$C$2:$C$1212,$K783))</f>
        <v/>
      </c>
      <c r="C783" s="8" t="str">
        <f>IF($K783="","",INDEX(Конструктор!$D$2:$D$1212,$K783)&amp;IF(INDEX(Конструктор!$J$2:$J$1212,$K783)&lt;&gt;""," — "&amp;INDEX(Конструктор!$J$2:$J$1212,$K783),""))</f>
        <v/>
      </c>
      <c r="D783" t="str">
        <f>IF($K783="","",INDEX(Конструктор!$E$2:$E$1212,$K783))</f>
        <v/>
      </c>
      <c r="E783" s="10" t="str">
        <f>IF($K783="","",INDEX(Конструктор!$H$2:$H$1212,$K783))</f>
        <v/>
      </c>
      <c r="F783" s="10" t="str">
        <f>IF($K783="","",INDEX(Конструктор!$L$2:$L$1212,$K783))</f>
        <v/>
      </c>
      <c r="G783" s="10" t="str">
        <f>IF($K783="","",INDEX(Конструктор!$M$2:$M$1212,$K783))</f>
        <v/>
      </c>
      <c r="H783" s="10" t="str">
        <f>IF($K783="","",INDEX(Конструктор!$N$2:$N$1212,$K783))</f>
        <v/>
      </c>
      <c r="I783" s="10" t="str">
        <f>IF($K783="","",INDEX(Конструктор!$O$2:$O$1212,$K783))</f>
        <v/>
      </c>
      <c r="J783" s="10" t="str">
        <f>IF($K783="","",INDEX(Конструктор!$P$2:$P$1212,$K783))</f>
        <v/>
      </c>
      <c r="K783" t="str">
        <f>IFERROR(MATCH(763,Конструктор!$T$2:$T$1212,0),"")</f>
        <v/>
      </c>
      <c r="L783" t="str">
        <f t="shared" si="11"/>
        <v/>
      </c>
    </row>
    <row r="784" spans="1:12" hidden="1" x14ac:dyDescent="0.3">
      <c r="A784" t="str">
        <f>IF($K784="","",764)</f>
        <v/>
      </c>
      <c r="B784" t="str">
        <f>IF($K784="","",INDEX(Конструктор!$C$2:$C$1212,$K784))</f>
        <v/>
      </c>
      <c r="C784" s="8" t="str">
        <f>IF($K784="","",INDEX(Конструктор!$D$2:$D$1212,$K784)&amp;IF(INDEX(Конструктор!$J$2:$J$1212,$K784)&lt;&gt;""," — "&amp;INDEX(Конструктор!$J$2:$J$1212,$K784),""))</f>
        <v/>
      </c>
      <c r="D784" t="str">
        <f>IF($K784="","",INDEX(Конструктор!$E$2:$E$1212,$K784))</f>
        <v/>
      </c>
      <c r="E784" s="10" t="str">
        <f>IF($K784="","",INDEX(Конструктор!$H$2:$H$1212,$K784))</f>
        <v/>
      </c>
      <c r="F784" s="10" t="str">
        <f>IF($K784="","",INDEX(Конструктор!$L$2:$L$1212,$K784))</f>
        <v/>
      </c>
      <c r="G784" s="10" t="str">
        <f>IF($K784="","",INDEX(Конструктор!$M$2:$M$1212,$K784))</f>
        <v/>
      </c>
      <c r="H784" s="10" t="str">
        <f>IF($K784="","",INDEX(Конструктор!$N$2:$N$1212,$K784))</f>
        <v/>
      </c>
      <c r="I784" s="10" t="str">
        <f>IF($K784="","",INDEX(Конструктор!$O$2:$O$1212,$K784))</f>
        <v/>
      </c>
      <c r="J784" s="10" t="str">
        <f>IF($K784="","",INDEX(Конструктор!$P$2:$P$1212,$K784))</f>
        <v/>
      </c>
      <c r="K784" t="str">
        <f>IFERROR(MATCH(764,Конструктор!$T$2:$T$1212,0),"")</f>
        <v/>
      </c>
      <c r="L784" t="str">
        <f t="shared" si="11"/>
        <v/>
      </c>
    </row>
    <row r="785" spans="1:12" hidden="1" x14ac:dyDescent="0.3">
      <c r="A785" t="str">
        <f>IF($K785="","",765)</f>
        <v/>
      </c>
      <c r="B785" t="str">
        <f>IF($K785="","",INDEX(Конструктор!$C$2:$C$1212,$K785))</f>
        <v/>
      </c>
      <c r="C785" s="8" t="str">
        <f>IF($K785="","",INDEX(Конструктор!$D$2:$D$1212,$K785)&amp;IF(INDEX(Конструктор!$J$2:$J$1212,$K785)&lt;&gt;""," — "&amp;INDEX(Конструктор!$J$2:$J$1212,$K785),""))</f>
        <v/>
      </c>
      <c r="D785" t="str">
        <f>IF($K785="","",INDEX(Конструктор!$E$2:$E$1212,$K785))</f>
        <v/>
      </c>
      <c r="E785" s="10" t="str">
        <f>IF($K785="","",INDEX(Конструктор!$H$2:$H$1212,$K785))</f>
        <v/>
      </c>
      <c r="F785" s="10" t="str">
        <f>IF($K785="","",INDEX(Конструктор!$L$2:$L$1212,$K785))</f>
        <v/>
      </c>
      <c r="G785" s="10" t="str">
        <f>IF($K785="","",INDEX(Конструктор!$M$2:$M$1212,$K785))</f>
        <v/>
      </c>
      <c r="H785" s="10" t="str">
        <f>IF($K785="","",INDEX(Конструктор!$N$2:$N$1212,$K785))</f>
        <v/>
      </c>
      <c r="I785" s="10" t="str">
        <f>IF($K785="","",INDEX(Конструктор!$O$2:$O$1212,$K785))</f>
        <v/>
      </c>
      <c r="J785" s="10" t="str">
        <f>IF($K785="","",INDEX(Конструктор!$P$2:$P$1212,$K785))</f>
        <v/>
      </c>
      <c r="K785" t="str">
        <f>IFERROR(MATCH(765,Конструктор!$T$2:$T$1212,0),"")</f>
        <v/>
      </c>
      <c r="L785" t="str">
        <f t="shared" si="11"/>
        <v/>
      </c>
    </row>
    <row r="786" spans="1:12" hidden="1" x14ac:dyDescent="0.3">
      <c r="A786" t="str">
        <f>IF($K786="","",766)</f>
        <v/>
      </c>
      <c r="B786" t="str">
        <f>IF($K786="","",INDEX(Конструктор!$C$2:$C$1212,$K786))</f>
        <v/>
      </c>
      <c r="C786" s="8" t="str">
        <f>IF($K786="","",INDEX(Конструктор!$D$2:$D$1212,$K786)&amp;IF(INDEX(Конструктор!$J$2:$J$1212,$K786)&lt;&gt;""," — "&amp;INDEX(Конструктор!$J$2:$J$1212,$K786),""))</f>
        <v/>
      </c>
      <c r="D786" t="str">
        <f>IF($K786="","",INDEX(Конструктор!$E$2:$E$1212,$K786))</f>
        <v/>
      </c>
      <c r="E786" s="10" t="str">
        <f>IF($K786="","",INDEX(Конструктор!$H$2:$H$1212,$K786))</f>
        <v/>
      </c>
      <c r="F786" s="10" t="str">
        <f>IF($K786="","",INDEX(Конструктор!$L$2:$L$1212,$K786))</f>
        <v/>
      </c>
      <c r="G786" s="10" t="str">
        <f>IF($K786="","",INDEX(Конструктор!$M$2:$M$1212,$K786))</f>
        <v/>
      </c>
      <c r="H786" s="10" t="str">
        <f>IF($K786="","",INDEX(Конструктор!$N$2:$N$1212,$K786))</f>
        <v/>
      </c>
      <c r="I786" s="10" t="str">
        <f>IF($K786="","",INDEX(Конструктор!$O$2:$O$1212,$K786))</f>
        <v/>
      </c>
      <c r="J786" s="10" t="str">
        <f>IF($K786="","",INDEX(Конструктор!$P$2:$P$1212,$K786))</f>
        <v/>
      </c>
      <c r="K786" t="str">
        <f>IFERROR(MATCH(766,Конструктор!$T$2:$T$1212,0),"")</f>
        <v/>
      </c>
      <c r="L786" t="str">
        <f t="shared" si="11"/>
        <v/>
      </c>
    </row>
    <row r="787" spans="1:12" hidden="1" x14ac:dyDescent="0.3">
      <c r="A787" t="str">
        <f>IF($K787="","",767)</f>
        <v/>
      </c>
      <c r="B787" t="str">
        <f>IF($K787="","",INDEX(Конструктор!$C$2:$C$1212,$K787))</f>
        <v/>
      </c>
      <c r="C787" s="8" t="str">
        <f>IF($K787="","",INDEX(Конструктор!$D$2:$D$1212,$K787)&amp;IF(INDEX(Конструктор!$J$2:$J$1212,$K787)&lt;&gt;""," — "&amp;INDEX(Конструктор!$J$2:$J$1212,$K787),""))</f>
        <v/>
      </c>
      <c r="D787" t="str">
        <f>IF($K787="","",INDEX(Конструктор!$E$2:$E$1212,$K787))</f>
        <v/>
      </c>
      <c r="E787" s="10" t="str">
        <f>IF($K787="","",INDEX(Конструктор!$H$2:$H$1212,$K787))</f>
        <v/>
      </c>
      <c r="F787" s="10" t="str">
        <f>IF($K787="","",INDEX(Конструктор!$L$2:$L$1212,$K787))</f>
        <v/>
      </c>
      <c r="G787" s="10" t="str">
        <f>IF($K787="","",INDEX(Конструктор!$M$2:$M$1212,$K787))</f>
        <v/>
      </c>
      <c r="H787" s="10" t="str">
        <f>IF($K787="","",INDEX(Конструктор!$N$2:$N$1212,$K787))</f>
        <v/>
      </c>
      <c r="I787" s="10" t="str">
        <f>IF($K787="","",INDEX(Конструктор!$O$2:$O$1212,$K787))</f>
        <v/>
      </c>
      <c r="J787" s="10" t="str">
        <f>IF($K787="","",INDEX(Конструктор!$P$2:$P$1212,$K787))</f>
        <v/>
      </c>
      <c r="K787" t="str">
        <f>IFERROR(MATCH(767,Конструктор!$T$2:$T$1212,0),"")</f>
        <v/>
      </c>
      <c r="L787" t="str">
        <f t="shared" si="11"/>
        <v/>
      </c>
    </row>
    <row r="788" spans="1:12" hidden="1" x14ac:dyDescent="0.3">
      <c r="A788" t="str">
        <f>IF($K788="","",768)</f>
        <v/>
      </c>
      <c r="B788" t="str">
        <f>IF($K788="","",INDEX(Конструктор!$C$2:$C$1212,$K788))</f>
        <v/>
      </c>
      <c r="C788" s="8" t="str">
        <f>IF($K788="","",INDEX(Конструктор!$D$2:$D$1212,$K788)&amp;IF(INDEX(Конструктор!$J$2:$J$1212,$K788)&lt;&gt;""," — "&amp;INDEX(Конструктор!$J$2:$J$1212,$K788),""))</f>
        <v/>
      </c>
      <c r="D788" t="str">
        <f>IF($K788="","",INDEX(Конструктор!$E$2:$E$1212,$K788))</f>
        <v/>
      </c>
      <c r="E788" s="10" t="str">
        <f>IF($K788="","",INDEX(Конструктор!$H$2:$H$1212,$K788))</f>
        <v/>
      </c>
      <c r="F788" s="10" t="str">
        <f>IF($K788="","",INDEX(Конструктор!$L$2:$L$1212,$K788))</f>
        <v/>
      </c>
      <c r="G788" s="10" t="str">
        <f>IF($K788="","",INDEX(Конструктор!$M$2:$M$1212,$K788))</f>
        <v/>
      </c>
      <c r="H788" s="10" t="str">
        <f>IF($K788="","",INDEX(Конструктор!$N$2:$N$1212,$K788))</f>
        <v/>
      </c>
      <c r="I788" s="10" t="str">
        <f>IF($K788="","",INDEX(Конструктор!$O$2:$O$1212,$K788))</f>
        <v/>
      </c>
      <c r="J788" s="10" t="str">
        <f>IF($K788="","",INDEX(Конструктор!$P$2:$P$1212,$K788))</f>
        <v/>
      </c>
      <c r="K788" t="str">
        <f>IFERROR(MATCH(768,Конструктор!$T$2:$T$1212,0),"")</f>
        <v/>
      </c>
      <c r="L788" t="str">
        <f t="shared" si="11"/>
        <v/>
      </c>
    </row>
    <row r="789" spans="1:12" hidden="1" x14ac:dyDescent="0.3">
      <c r="A789" t="str">
        <f>IF($K789="","",769)</f>
        <v/>
      </c>
      <c r="B789" t="str">
        <f>IF($K789="","",INDEX(Конструктор!$C$2:$C$1212,$K789))</f>
        <v/>
      </c>
      <c r="C789" s="8" t="str">
        <f>IF($K789="","",INDEX(Конструктор!$D$2:$D$1212,$K789)&amp;IF(INDEX(Конструктор!$J$2:$J$1212,$K789)&lt;&gt;""," — "&amp;INDEX(Конструктор!$J$2:$J$1212,$K789),""))</f>
        <v/>
      </c>
      <c r="D789" t="str">
        <f>IF($K789="","",INDEX(Конструктор!$E$2:$E$1212,$K789))</f>
        <v/>
      </c>
      <c r="E789" s="10" t="str">
        <f>IF($K789="","",INDEX(Конструктор!$H$2:$H$1212,$K789))</f>
        <v/>
      </c>
      <c r="F789" s="10" t="str">
        <f>IF($K789="","",INDEX(Конструктор!$L$2:$L$1212,$K789))</f>
        <v/>
      </c>
      <c r="G789" s="10" t="str">
        <f>IF($K789="","",INDEX(Конструктор!$M$2:$M$1212,$K789))</f>
        <v/>
      </c>
      <c r="H789" s="10" t="str">
        <f>IF($K789="","",INDEX(Конструктор!$N$2:$N$1212,$K789))</f>
        <v/>
      </c>
      <c r="I789" s="10" t="str">
        <f>IF($K789="","",INDEX(Конструктор!$O$2:$O$1212,$K789))</f>
        <v/>
      </c>
      <c r="J789" s="10" t="str">
        <f>IF($K789="","",INDEX(Конструктор!$P$2:$P$1212,$K789))</f>
        <v/>
      </c>
      <c r="K789" t="str">
        <f>IFERROR(MATCH(769,Конструктор!$T$2:$T$1212,0),"")</f>
        <v/>
      </c>
      <c r="L789" t="str">
        <f t="shared" ref="L789:L852" si="12">IF($K789="","","показать")</f>
        <v/>
      </c>
    </row>
    <row r="790" spans="1:12" hidden="1" x14ac:dyDescent="0.3">
      <c r="A790" t="str">
        <f>IF($K790="","",770)</f>
        <v/>
      </c>
      <c r="B790" t="str">
        <f>IF($K790="","",INDEX(Конструктор!$C$2:$C$1212,$K790))</f>
        <v/>
      </c>
      <c r="C790" s="8" t="str">
        <f>IF($K790="","",INDEX(Конструктор!$D$2:$D$1212,$K790)&amp;IF(INDEX(Конструктор!$J$2:$J$1212,$K790)&lt;&gt;""," — "&amp;INDEX(Конструктор!$J$2:$J$1212,$K790),""))</f>
        <v/>
      </c>
      <c r="D790" t="str">
        <f>IF($K790="","",INDEX(Конструктор!$E$2:$E$1212,$K790))</f>
        <v/>
      </c>
      <c r="E790" s="10" t="str">
        <f>IF($K790="","",INDEX(Конструктор!$H$2:$H$1212,$K790))</f>
        <v/>
      </c>
      <c r="F790" s="10" t="str">
        <f>IF($K790="","",INDEX(Конструктор!$L$2:$L$1212,$K790))</f>
        <v/>
      </c>
      <c r="G790" s="10" t="str">
        <f>IF($K790="","",INDEX(Конструктор!$M$2:$M$1212,$K790))</f>
        <v/>
      </c>
      <c r="H790" s="10" t="str">
        <f>IF($K790="","",INDEX(Конструктор!$N$2:$N$1212,$K790))</f>
        <v/>
      </c>
      <c r="I790" s="10" t="str">
        <f>IF($K790="","",INDEX(Конструктор!$O$2:$O$1212,$K790))</f>
        <v/>
      </c>
      <c r="J790" s="10" t="str">
        <f>IF($K790="","",INDEX(Конструктор!$P$2:$P$1212,$K790))</f>
        <v/>
      </c>
      <c r="K790" t="str">
        <f>IFERROR(MATCH(770,Конструктор!$T$2:$T$1212,0),"")</f>
        <v/>
      </c>
      <c r="L790" t="str">
        <f t="shared" si="12"/>
        <v/>
      </c>
    </row>
    <row r="791" spans="1:12" hidden="1" x14ac:dyDescent="0.3">
      <c r="A791" t="str">
        <f>IF($K791="","",771)</f>
        <v/>
      </c>
      <c r="B791" t="str">
        <f>IF($K791="","",INDEX(Конструктор!$C$2:$C$1212,$K791))</f>
        <v/>
      </c>
      <c r="C791" s="8" t="str">
        <f>IF($K791="","",INDEX(Конструктор!$D$2:$D$1212,$K791)&amp;IF(INDEX(Конструктор!$J$2:$J$1212,$K791)&lt;&gt;""," — "&amp;INDEX(Конструктор!$J$2:$J$1212,$K791),""))</f>
        <v/>
      </c>
      <c r="D791" t="str">
        <f>IF($K791="","",INDEX(Конструктор!$E$2:$E$1212,$K791))</f>
        <v/>
      </c>
      <c r="E791" s="10" t="str">
        <f>IF($K791="","",INDEX(Конструктор!$H$2:$H$1212,$K791))</f>
        <v/>
      </c>
      <c r="F791" s="10" t="str">
        <f>IF($K791="","",INDEX(Конструктор!$L$2:$L$1212,$K791))</f>
        <v/>
      </c>
      <c r="G791" s="10" t="str">
        <f>IF($K791="","",INDEX(Конструктор!$M$2:$M$1212,$K791))</f>
        <v/>
      </c>
      <c r="H791" s="10" t="str">
        <f>IF($K791="","",INDEX(Конструктор!$N$2:$N$1212,$K791))</f>
        <v/>
      </c>
      <c r="I791" s="10" t="str">
        <f>IF($K791="","",INDEX(Конструктор!$O$2:$O$1212,$K791))</f>
        <v/>
      </c>
      <c r="J791" s="10" t="str">
        <f>IF($K791="","",INDEX(Конструктор!$P$2:$P$1212,$K791))</f>
        <v/>
      </c>
      <c r="K791" t="str">
        <f>IFERROR(MATCH(771,Конструктор!$T$2:$T$1212,0),"")</f>
        <v/>
      </c>
      <c r="L791" t="str">
        <f t="shared" si="12"/>
        <v/>
      </c>
    </row>
    <row r="792" spans="1:12" hidden="1" x14ac:dyDescent="0.3">
      <c r="A792" t="str">
        <f>IF($K792="","",772)</f>
        <v/>
      </c>
      <c r="B792" t="str">
        <f>IF($K792="","",INDEX(Конструктор!$C$2:$C$1212,$K792))</f>
        <v/>
      </c>
      <c r="C792" s="8" t="str">
        <f>IF($K792="","",INDEX(Конструктор!$D$2:$D$1212,$K792)&amp;IF(INDEX(Конструктор!$J$2:$J$1212,$K792)&lt;&gt;""," — "&amp;INDEX(Конструктор!$J$2:$J$1212,$K792),""))</f>
        <v/>
      </c>
      <c r="D792" t="str">
        <f>IF($K792="","",INDEX(Конструктор!$E$2:$E$1212,$K792))</f>
        <v/>
      </c>
      <c r="E792" s="10" t="str">
        <f>IF($K792="","",INDEX(Конструктор!$H$2:$H$1212,$K792))</f>
        <v/>
      </c>
      <c r="F792" s="10" t="str">
        <f>IF($K792="","",INDEX(Конструктор!$L$2:$L$1212,$K792))</f>
        <v/>
      </c>
      <c r="G792" s="10" t="str">
        <f>IF($K792="","",INDEX(Конструктор!$M$2:$M$1212,$K792))</f>
        <v/>
      </c>
      <c r="H792" s="10" t="str">
        <f>IF($K792="","",INDEX(Конструктор!$N$2:$N$1212,$K792))</f>
        <v/>
      </c>
      <c r="I792" s="10" t="str">
        <f>IF($K792="","",INDEX(Конструктор!$O$2:$O$1212,$K792))</f>
        <v/>
      </c>
      <c r="J792" s="10" t="str">
        <f>IF($K792="","",INDEX(Конструктор!$P$2:$P$1212,$K792))</f>
        <v/>
      </c>
      <c r="K792" t="str">
        <f>IFERROR(MATCH(772,Конструктор!$T$2:$T$1212,0),"")</f>
        <v/>
      </c>
      <c r="L792" t="str">
        <f t="shared" si="12"/>
        <v/>
      </c>
    </row>
    <row r="793" spans="1:12" hidden="1" x14ac:dyDescent="0.3">
      <c r="A793" t="str">
        <f>IF($K793="","",773)</f>
        <v/>
      </c>
      <c r="B793" t="str">
        <f>IF($K793="","",INDEX(Конструктор!$C$2:$C$1212,$K793))</f>
        <v/>
      </c>
      <c r="C793" s="8" t="str">
        <f>IF($K793="","",INDEX(Конструктор!$D$2:$D$1212,$K793)&amp;IF(INDEX(Конструктор!$J$2:$J$1212,$K793)&lt;&gt;""," — "&amp;INDEX(Конструктор!$J$2:$J$1212,$K793),""))</f>
        <v/>
      </c>
      <c r="D793" t="str">
        <f>IF($K793="","",INDEX(Конструктор!$E$2:$E$1212,$K793))</f>
        <v/>
      </c>
      <c r="E793" s="10" t="str">
        <f>IF($K793="","",INDEX(Конструктор!$H$2:$H$1212,$K793))</f>
        <v/>
      </c>
      <c r="F793" s="10" t="str">
        <f>IF($K793="","",INDEX(Конструктор!$L$2:$L$1212,$K793))</f>
        <v/>
      </c>
      <c r="G793" s="10" t="str">
        <f>IF($K793="","",INDEX(Конструктор!$M$2:$M$1212,$K793))</f>
        <v/>
      </c>
      <c r="H793" s="10" t="str">
        <f>IF($K793="","",INDEX(Конструктор!$N$2:$N$1212,$K793))</f>
        <v/>
      </c>
      <c r="I793" s="10" t="str">
        <f>IF($K793="","",INDEX(Конструктор!$O$2:$O$1212,$K793))</f>
        <v/>
      </c>
      <c r="J793" s="10" t="str">
        <f>IF($K793="","",INDEX(Конструктор!$P$2:$P$1212,$K793))</f>
        <v/>
      </c>
      <c r="K793" t="str">
        <f>IFERROR(MATCH(773,Конструктор!$T$2:$T$1212,0),"")</f>
        <v/>
      </c>
      <c r="L793" t="str">
        <f t="shared" si="12"/>
        <v/>
      </c>
    </row>
    <row r="794" spans="1:12" hidden="1" x14ac:dyDescent="0.3">
      <c r="A794" t="str">
        <f>IF($K794="","",774)</f>
        <v/>
      </c>
      <c r="B794" t="str">
        <f>IF($K794="","",INDEX(Конструктор!$C$2:$C$1212,$K794))</f>
        <v/>
      </c>
      <c r="C794" s="8" t="str">
        <f>IF($K794="","",INDEX(Конструктор!$D$2:$D$1212,$K794)&amp;IF(INDEX(Конструктор!$J$2:$J$1212,$K794)&lt;&gt;""," — "&amp;INDEX(Конструктор!$J$2:$J$1212,$K794),""))</f>
        <v/>
      </c>
      <c r="D794" t="str">
        <f>IF($K794="","",INDEX(Конструктор!$E$2:$E$1212,$K794))</f>
        <v/>
      </c>
      <c r="E794" s="10" t="str">
        <f>IF($K794="","",INDEX(Конструктор!$H$2:$H$1212,$K794))</f>
        <v/>
      </c>
      <c r="F794" s="10" t="str">
        <f>IF($K794="","",INDEX(Конструктор!$L$2:$L$1212,$K794))</f>
        <v/>
      </c>
      <c r="G794" s="10" t="str">
        <f>IF($K794="","",INDEX(Конструктор!$M$2:$M$1212,$K794))</f>
        <v/>
      </c>
      <c r="H794" s="10" t="str">
        <f>IF($K794="","",INDEX(Конструктор!$N$2:$N$1212,$K794))</f>
        <v/>
      </c>
      <c r="I794" s="10" t="str">
        <f>IF($K794="","",INDEX(Конструктор!$O$2:$O$1212,$K794))</f>
        <v/>
      </c>
      <c r="J794" s="10" t="str">
        <f>IF($K794="","",INDEX(Конструктор!$P$2:$P$1212,$K794))</f>
        <v/>
      </c>
      <c r="K794" t="str">
        <f>IFERROR(MATCH(774,Конструктор!$T$2:$T$1212,0),"")</f>
        <v/>
      </c>
      <c r="L794" t="str">
        <f t="shared" si="12"/>
        <v/>
      </c>
    </row>
    <row r="795" spans="1:12" hidden="1" x14ac:dyDescent="0.3">
      <c r="A795" t="str">
        <f>IF($K795="","",775)</f>
        <v/>
      </c>
      <c r="B795" t="str">
        <f>IF($K795="","",INDEX(Конструктор!$C$2:$C$1212,$K795))</f>
        <v/>
      </c>
      <c r="C795" s="8" t="str">
        <f>IF($K795="","",INDEX(Конструктор!$D$2:$D$1212,$K795)&amp;IF(INDEX(Конструктор!$J$2:$J$1212,$K795)&lt;&gt;""," — "&amp;INDEX(Конструктор!$J$2:$J$1212,$K795),""))</f>
        <v/>
      </c>
      <c r="D795" t="str">
        <f>IF($K795="","",INDEX(Конструктор!$E$2:$E$1212,$K795))</f>
        <v/>
      </c>
      <c r="E795" s="10" t="str">
        <f>IF($K795="","",INDEX(Конструктор!$H$2:$H$1212,$K795))</f>
        <v/>
      </c>
      <c r="F795" s="10" t="str">
        <f>IF($K795="","",INDEX(Конструктор!$L$2:$L$1212,$K795))</f>
        <v/>
      </c>
      <c r="G795" s="10" t="str">
        <f>IF($K795="","",INDEX(Конструктор!$M$2:$M$1212,$K795))</f>
        <v/>
      </c>
      <c r="H795" s="10" t="str">
        <f>IF($K795="","",INDEX(Конструктор!$N$2:$N$1212,$K795))</f>
        <v/>
      </c>
      <c r="I795" s="10" t="str">
        <f>IF($K795="","",INDEX(Конструктор!$O$2:$O$1212,$K795))</f>
        <v/>
      </c>
      <c r="J795" s="10" t="str">
        <f>IF($K795="","",INDEX(Конструктор!$P$2:$P$1212,$K795))</f>
        <v/>
      </c>
      <c r="K795" t="str">
        <f>IFERROR(MATCH(775,Конструктор!$T$2:$T$1212,0),"")</f>
        <v/>
      </c>
      <c r="L795" t="str">
        <f t="shared" si="12"/>
        <v/>
      </c>
    </row>
    <row r="796" spans="1:12" hidden="1" x14ac:dyDescent="0.3">
      <c r="A796" t="str">
        <f>IF($K796="","",776)</f>
        <v/>
      </c>
      <c r="B796" t="str">
        <f>IF($K796="","",INDEX(Конструктор!$C$2:$C$1212,$K796))</f>
        <v/>
      </c>
      <c r="C796" s="8" t="str">
        <f>IF($K796="","",INDEX(Конструктор!$D$2:$D$1212,$K796)&amp;IF(INDEX(Конструктор!$J$2:$J$1212,$K796)&lt;&gt;""," — "&amp;INDEX(Конструктор!$J$2:$J$1212,$K796),""))</f>
        <v/>
      </c>
      <c r="D796" t="str">
        <f>IF($K796="","",INDEX(Конструктор!$E$2:$E$1212,$K796))</f>
        <v/>
      </c>
      <c r="E796" s="10" t="str">
        <f>IF($K796="","",INDEX(Конструктор!$H$2:$H$1212,$K796))</f>
        <v/>
      </c>
      <c r="F796" s="10" t="str">
        <f>IF($K796="","",INDEX(Конструктор!$L$2:$L$1212,$K796))</f>
        <v/>
      </c>
      <c r="G796" s="10" t="str">
        <f>IF($K796="","",INDEX(Конструктор!$M$2:$M$1212,$K796))</f>
        <v/>
      </c>
      <c r="H796" s="10" t="str">
        <f>IF($K796="","",INDEX(Конструктор!$N$2:$N$1212,$K796))</f>
        <v/>
      </c>
      <c r="I796" s="10" t="str">
        <f>IF($K796="","",INDEX(Конструктор!$O$2:$O$1212,$K796))</f>
        <v/>
      </c>
      <c r="J796" s="10" t="str">
        <f>IF($K796="","",INDEX(Конструктор!$P$2:$P$1212,$K796))</f>
        <v/>
      </c>
      <c r="K796" t="str">
        <f>IFERROR(MATCH(776,Конструктор!$T$2:$T$1212,0),"")</f>
        <v/>
      </c>
      <c r="L796" t="str">
        <f t="shared" si="12"/>
        <v/>
      </c>
    </row>
    <row r="797" spans="1:12" hidden="1" x14ac:dyDescent="0.3">
      <c r="A797" t="str">
        <f>IF($K797="","",777)</f>
        <v/>
      </c>
      <c r="B797" t="str">
        <f>IF($K797="","",INDEX(Конструктор!$C$2:$C$1212,$K797))</f>
        <v/>
      </c>
      <c r="C797" s="8" t="str">
        <f>IF($K797="","",INDEX(Конструктор!$D$2:$D$1212,$K797)&amp;IF(INDEX(Конструктор!$J$2:$J$1212,$K797)&lt;&gt;""," — "&amp;INDEX(Конструктор!$J$2:$J$1212,$K797),""))</f>
        <v/>
      </c>
      <c r="D797" t="str">
        <f>IF($K797="","",INDEX(Конструктор!$E$2:$E$1212,$K797))</f>
        <v/>
      </c>
      <c r="E797" s="10" t="str">
        <f>IF($K797="","",INDEX(Конструктор!$H$2:$H$1212,$K797))</f>
        <v/>
      </c>
      <c r="F797" s="10" t="str">
        <f>IF($K797="","",INDEX(Конструктор!$L$2:$L$1212,$K797))</f>
        <v/>
      </c>
      <c r="G797" s="10" t="str">
        <f>IF($K797="","",INDEX(Конструктор!$M$2:$M$1212,$K797))</f>
        <v/>
      </c>
      <c r="H797" s="10" t="str">
        <f>IF($K797="","",INDEX(Конструктор!$N$2:$N$1212,$K797))</f>
        <v/>
      </c>
      <c r="I797" s="10" t="str">
        <f>IF($K797="","",INDEX(Конструктор!$O$2:$O$1212,$K797))</f>
        <v/>
      </c>
      <c r="J797" s="10" t="str">
        <f>IF($K797="","",INDEX(Конструктор!$P$2:$P$1212,$K797))</f>
        <v/>
      </c>
      <c r="K797" t="str">
        <f>IFERROR(MATCH(777,Конструктор!$T$2:$T$1212,0),"")</f>
        <v/>
      </c>
      <c r="L797" t="str">
        <f t="shared" si="12"/>
        <v/>
      </c>
    </row>
    <row r="798" spans="1:12" hidden="1" x14ac:dyDescent="0.3">
      <c r="A798" t="str">
        <f>IF($K798="","",778)</f>
        <v/>
      </c>
      <c r="B798" t="str">
        <f>IF($K798="","",INDEX(Конструктор!$C$2:$C$1212,$K798))</f>
        <v/>
      </c>
      <c r="C798" s="8" t="str">
        <f>IF($K798="","",INDEX(Конструктор!$D$2:$D$1212,$K798)&amp;IF(INDEX(Конструктор!$J$2:$J$1212,$K798)&lt;&gt;""," — "&amp;INDEX(Конструктор!$J$2:$J$1212,$K798),""))</f>
        <v/>
      </c>
      <c r="D798" t="str">
        <f>IF($K798="","",INDEX(Конструктор!$E$2:$E$1212,$K798))</f>
        <v/>
      </c>
      <c r="E798" s="10" t="str">
        <f>IF($K798="","",INDEX(Конструктор!$H$2:$H$1212,$K798))</f>
        <v/>
      </c>
      <c r="F798" s="10" t="str">
        <f>IF($K798="","",INDEX(Конструктор!$L$2:$L$1212,$K798))</f>
        <v/>
      </c>
      <c r="G798" s="10" t="str">
        <f>IF($K798="","",INDEX(Конструктор!$M$2:$M$1212,$K798))</f>
        <v/>
      </c>
      <c r="H798" s="10" t="str">
        <f>IF($K798="","",INDEX(Конструктор!$N$2:$N$1212,$K798))</f>
        <v/>
      </c>
      <c r="I798" s="10" t="str">
        <f>IF($K798="","",INDEX(Конструктор!$O$2:$O$1212,$K798))</f>
        <v/>
      </c>
      <c r="J798" s="10" t="str">
        <f>IF($K798="","",INDEX(Конструктор!$P$2:$P$1212,$K798))</f>
        <v/>
      </c>
      <c r="K798" t="str">
        <f>IFERROR(MATCH(778,Конструктор!$T$2:$T$1212,0),"")</f>
        <v/>
      </c>
      <c r="L798" t="str">
        <f t="shared" si="12"/>
        <v/>
      </c>
    </row>
    <row r="799" spans="1:12" hidden="1" x14ac:dyDescent="0.3">
      <c r="A799" t="str">
        <f>IF($K799="","",779)</f>
        <v/>
      </c>
      <c r="B799" t="str">
        <f>IF($K799="","",INDEX(Конструктор!$C$2:$C$1212,$K799))</f>
        <v/>
      </c>
      <c r="C799" s="8" t="str">
        <f>IF($K799="","",INDEX(Конструктор!$D$2:$D$1212,$K799)&amp;IF(INDEX(Конструктор!$J$2:$J$1212,$K799)&lt;&gt;""," — "&amp;INDEX(Конструктор!$J$2:$J$1212,$K799),""))</f>
        <v/>
      </c>
      <c r="D799" t="str">
        <f>IF($K799="","",INDEX(Конструктор!$E$2:$E$1212,$K799))</f>
        <v/>
      </c>
      <c r="E799" s="10" t="str">
        <f>IF($K799="","",INDEX(Конструктор!$H$2:$H$1212,$K799))</f>
        <v/>
      </c>
      <c r="F799" s="10" t="str">
        <f>IF($K799="","",INDEX(Конструктор!$L$2:$L$1212,$K799))</f>
        <v/>
      </c>
      <c r="G799" s="10" t="str">
        <f>IF($K799="","",INDEX(Конструктор!$M$2:$M$1212,$K799))</f>
        <v/>
      </c>
      <c r="H799" s="10" t="str">
        <f>IF($K799="","",INDEX(Конструктор!$N$2:$N$1212,$K799))</f>
        <v/>
      </c>
      <c r="I799" s="10" t="str">
        <f>IF($K799="","",INDEX(Конструктор!$O$2:$O$1212,$K799))</f>
        <v/>
      </c>
      <c r="J799" s="10" t="str">
        <f>IF($K799="","",INDEX(Конструктор!$P$2:$P$1212,$K799))</f>
        <v/>
      </c>
      <c r="K799" t="str">
        <f>IFERROR(MATCH(779,Конструктор!$T$2:$T$1212,0),"")</f>
        <v/>
      </c>
      <c r="L799" t="str">
        <f t="shared" si="12"/>
        <v/>
      </c>
    </row>
    <row r="800" spans="1:12" hidden="1" x14ac:dyDescent="0.3">
      <c r="A800" t="str">
        <f>IF($K800="","",780)</f>
        <v/>
      </c>
      <c r="B800" t="str">
        <f>IF($K800="","",INDEX(Конструктор!$C$2:$C$1212,$K800))</f>
        <v/>
      </c>
      <c r="C800" s="8" t="str">
        <f>IF($K800="","",INDEX(Конструктор!$D$2:$D$1212,$K800)&amp;IF(INDEX(Конструктор!$J$2:$J$1212,$K800)&lt;&gt;""," — "&amp;INDEX(Конструктор!$J$2:$J$1212,$K800),""))</f>
        <v/>
      </c>
      <c r="D800" t="str">
        <f>IF($K800="","",INDEX(Конструктор!$E$2:$E$1212,$K800))</f>
        <v/>
      </c>
      <c r="E800" s="10" t="str">
        <f>IF($K800="","",INDEX(Конструктор!$H$2:$H$1212,$K800))</f>
        <v/>
      </c>
      <c r="F800" s="10" t="str">
        <f>IF($K800="","",INDEX(Конструктор!$L$2:$L$1212,$K800))</f>
        <v/>
      </c>
      <c r="G800" s="10" t="str">
        <f>IF($K800="","",INDEX(Конструктор!$M$2:$M$1212,$K800))</f>
        <v/>
      </c>
      <c r="H800" s="10" t="str">
        <f>IF($K800="","",INDEX(Конструктор!$N$2:$N$1212,$K800))</f>
        <v/>
      </c>
      <c r="I800" s="10" t="str">
        <f>IF($K800="","",INDEX(Конструктор!$O$2:$O$1212,$K800))</f>
        <v/>
      </c>
      <c r="J800" s="10" t="str">
        <f>IF($K800="","",INDEX(Конструктор!$P$2:$P$1212,$K800))</f>
        <v/>
      </c>
      <c r="K800" t="str">
        <f>IFERROR(MATCH(780,Конструктор!$T$2:$T$1212,0),"")</f>
        <v/>
      </c>
      <c r="L800" t="str">
        <f t="shared" si="12"/>
        <v/>
      </c>
    </row>
    <row r="801" spans="1:12" hidden="1" x14ac:dyDescent="0.3">
      <c r="A801" t="str">
        <f>IF($K801="","",781)</f>
        <v/>
      </c>
      <c r="B801" t="str">
        <f>IF($K801="","",INDEX(Конструктор!$C$2:$C$1212,$K801))</f>
        <v/>
      </c>
      <c r="C801" s="8" t="str">
        <f>IF($K801="","",INDEX(Конструктор!$D$2:$D$1212,$K801)&amp;IF(INDEX(Конструктор!$J$2:$J$1212,$K801)&lt;&gt;""," — "&amp;INDEX(Конструктор!$J$2:$J$1212,$K801),""))</f>
        <v/>
      </c>
      <c r="D801" t="str">
        <f>IF($K801="","",INDEX(Конструктор!$E$2:$E$1212,$K801))</f>
        <v/>
      </c>
      <c r="E801" s="10" t="str">
        <f>IF($K801="","",INDEX(Конструктор!$H$2:$H$1212,$K801))</f>
        <v/>
      </c>
      <c r="F801" s="10" t="str">
        <f>IF($K801="","",INDEX(Конструктор!$L$2:$L$1212,$K801))</f>
        <v/>
      </c>
      <c r="G801" s="10" t="str">
        <f>IF($K801="","",INDEX(Конструктор!$M$2:$M$1212,$K801))</f>
        <v/>
      </c>
      <c r="H801" s="10" t="str">
        <f>IF($K801="","",INDEX(Конструктор!$N$2:$N$1212,$K801))</f>
        <v/>
      </c>
      <c r="I801" s="10" t="str">
        <f>IF($K801="","",INDEX(Конструктор!$O$2:$O$1212,$K801))</f>
        <v/>
      </c>
      <c r="J801" s="10" t="str">
        <f>IF($K801="","",INDEX(Конструктор!$P$2:$P$1212,$K801))</f>
        <v/>
      </c>
      <c r="K801" t="str">
        <f>IFERROR(MATCH(781,Конструктор!$T$2:$T$1212,0),"")</f>
        <v/>
      </c>
      <c r="L801" t="str">
        <f t="shared" si="12"/>
        <v/>
      </c>
    </row>
    <row r="802" spans="1:12" hidden="1" x14ac:dyDescent="0.3">
      <c r="A802" t="str">
        <f>IF($K802="","",782)</f>
        <v/>
      </c>
      <c r="B802" t="str">
        <f>IF($K802="","",INDEX(Конструктор!$C$2:$C$1212,$K802))</f>
        <v/>
      </c>
      <c r="C802" s="8" t="str">
        <f>IF($K802="","",INDEX(Конструктор!$D$2:$D$1212,$K802)&amp;IF(INDEX(Конструктор!$J$2:$J$1212,$K802)&lt;&gt;""," — "&amp;INDEX(Конструктор!$J$2:$J$1212,$K802),""))</f>
        <v/>
      </c>
      <c r="D802" t="str">
        <f>IF($K802="","",INDEX(Конструктор!$E$2:$E$1212,$K802))</f>
        <v/>
      </c>
      <c r="E802" s="10" t="str">
        <f>IF($K802="","",INDEX(Конструктор!$H$2:$H$1212,$K802))</f>
        <v/>
      </c>
      <c r="F802" s="10" t="str">
        <f>IF($K802="","",INDEX(Конструктор!$L$2:$L$1212,$K802))</f>
        <v/>
      </c>
      <c r="G802" s="10" t="str">
        <f>IF($K802="","",INDEX(Конструктор!$M$2:$M$1212,$K802))</f>
        <v/>
      </c>
      <c r="H802" s="10" t="str">
        <f>IF($K802="","",INDEX(Конструктор!$N$2:$N$1212,$K802))</f>
        <v/>
      </c>
      <c r="I802" s="10" t="str">
        <f>IF($K802="","",INDEX(Конструктор!$O$2:$O$1212,$K802))</f>
        <v/>
      </c>
      <c r="J802" s="10" t="str">
        <f>IF($K802="","",INDEX(Конструктор!$P$2:$P$1212,$K802))</f>
        <v/>
      </c>
      <c r="K802" t="str">
        <f>IFERROR(MATCH(782,Конструктор!$T$2:$T$1212,0),"")</f>
        <v/>
      </c>
      <c r="L802" t="str">
        <f t="shared" si="12"/>
        <v/>
      </c>
    </row>
    <row r="803" spans="1:12" hidden="1" x14ac:dyDescent="0.3">
      <c r="A803" t="str">
        <f>IF($K803="","",783)</f>
        <v/>
      </c>
      <c r="B803" t="str">
        <f>IF($K803="","",INDEX(Конструктор!$C$2:$C$1212,$K803))</f>
        <v/>
      </c>
      <c r="C803" s="8" t="str">
        <f>IF($K803="","",INDEX(Конструктор!$D$2:$D$1212,$K803)&amp;IF(INDEX(Конструктор!$J$2:$J$1212,$K803)&lt;&gt;""," — "&amp;INDEX(Конструктор!$J$2:$J$1212,$K803),""))</f>
        <v/>
      </c>
      <c r="D803" t="str">
        <f>IF($K803="","",INDEX(Конструктор!$E$2:$E$1212,$K803))</f>
        <v/>
      </c>
      <c r="E803" s="10" t="str">
        <f>IF($K803="","",INDEX(Конструктор!$H$2:$H$1212,$K803))</f>
        <v/>
      </c>
      <c r="F803" s="10" t="str">
        <f>IF($K803="","",INDEX(Конструктор!$L$2:$L$1212,$K803))</f>
        <v/>
      </c>
      <c r="G803" s="10" t="str">
        <f>IF($K803="","",INDEX(Конструктор!$M$2:$M$1212,$K803))</f>
        <v/>
      </c>
      <c r="H803" s="10" t="str">
        <f>IF($K803="","",INDEX(Конструктор!$N$2:$N$1212,$K803))</f>
        <v/>
      </c>
      <c r="I803" s="10" t="str">
        <f>IF($K803="","",INDEX(Конструктор!$O$2:$O$1212,$K803))</f>
        <v/>
      </c>
      <c r="J803" s="10" t="str">
        <f>IF($K803="","",INDEX(Конструктор!$P$2:$P$1212,$K803))</f>
        <v/>
      </c>
      <c r="K803" t="str">
        <f>IFERROR(MATCH(783,Конструктор!$T$2:$T$1212,0),"")</f>
        <v/>
      </c>
      <c r="L803" t="str">
        <f t="shared" si="12"/>
        <v/>
      </c>
    </row>
    <row r="804" spans="1:12" hidden="1" x14ac:dyDescent="0.3">
      <c r="A804" t="str">
        <f>IF($K804="","",784)</f>
        <v/>
      </c>
      <c r="B804" t="str">
        <f>IF($K804="","",INDEX(Конструктор!$C$2:$C$1212,$K804))</f>
        <v/>
      </c>
      <c r="C804" s="8" t="str">
        <f>IF($K804="","",INDEX(Конструктор!$D$2:$D$1212,$K804)&amp;IF(INDEX(Конструктор!$J$2:$J$1212,$K804)&lt;&gt;""," — "&amp;INDEX(Конструктор!$J$2:$J$1212,$K804),""))</f>
        <v/>
      </c>
      <c r="D804" t="str">
        <f>IF($K804="","",INDEX(Конструктор!$E$2:$E$1212,$K804))</f>
        <v/>
      </c>
      <c r="E804" s="10" t="str">
        <f>IF($K804="","",INDEX(Конструктор!$H$2:$H$1212,$K804))</f>
        <v/>
      </c>
      <c r="F804" s="10" t="str">
        <f>IF($K804="","",INDEX(Конструктор!$L$2:$L$1212,$K804))</f>
        <v/>
      </c>
      <c r="G804" s="10" t="str">
        <f>IF($K804="","",INDEX(Конструктор!$M$2:$M$1212,$K804))</f>
        <v/>
      </c>
      <c r="H804" s="10" t="str">
        <f>IF($K804="","",INDEX(Конструктор!$N$2:$N$1212,$K804))</f>
        <v/>
      </c>
      <c r="I804" s="10" t="str">
        <f>IF($K804="","",INDEX(Конструктор!$O$2:$O$1212,$K804))</f>
        <v/>
      </c>
      <c r="J804" s="10" t="str">
        <f>IF($K804="","",INDEX(Конструктор!$P$2:$P$1212,$K804))</f>
        <v/>
      </c>
      <c r="K804" t="str">
        <f>IFERROR(MATCH(784,Конструктор!$T$2:$T$1212,0),"")</f>
        <v/>
      </c>
      <c r="L804" t="str">
        <f t="shared" si="12"/>
        <v/>
      </c>
    </row>
    <row r="805" spans="1:12" hidden="1" x14ac:dyDescent="0.3">
      <c r="A805" t="str">
        <f>IF($K805="","",785)</f>
        <v/>
      </c>
      <c r="B805" t="str">
        <f>IF($K805="","",INDEX(Конструктор!$C$2:$C$1212,$K805))</f>
        <v/>
      </c>
      <c r="C805" s="8" t="str">
        <f>IF($K805="","",INDEX(Конструктор!$D$2:$D$1212,$K805)&amp;IF(INDEX(Конструктор!$J$2:$J$1212,$K805)&lt;&gt;""," — "&amp;INDEX(Конструктор!$J$2:$J$1212,$K805),""))</f>
        <v/>
      </c>
      <c r="D805" t="str">
        <f>IF($K805="","",INDEX(Конструктор!$E$2:$E$1212,$K805))</f>
        <v/>
      </c>
      <c r="E805" s="10" t="str">
        <f>IF($K805="","",INDEX(Конструктор!$H$2:$H$1212,$K805))</f>
        <v/>
      </c>
      <c r="F805" s="10" t="str">
        <f>IF($K805="","",INDEX(Конструктор!$L$2:$L$1212,$K805))</f>
        <v/>
      </c>
      <c r="G805" s="10" t="str">
        <f>IF($K805="","",INDEX(Конструктор!$M$2:$M$1212,$K805))</f>
        <v/>
      </c>
      <c r="H805" s="10" t="str">
        <f>IF($K805="","",INDEX(Конструктор!$N$2:$N$1212,$K805))</f>
        <v/>
      </c>
      <c r="I805" s="10" t="str">
        <f>IF($K805="","",INDEX(Конструктор!$O$2:$O$1212,$K805))</f>
        <v/>
      </c>
      <c r="J805" s="10" t="str">
        <f>IF($K805="","",INDEX(Конструктор!$P$2:$P$1212,$K805))</f>
        <v/>
      </c>
      <c r="K805" t="str">
        <f>IFERROR(MATCH(785,Конструктор!$T$2:$T$1212,0),"")</f>
        <v/>
      </c>
      <c r="L805" t="str">
        <f t="shared" si="12"/>
        <v/>
      </c>
    </row>
    <row r="806" spans="1:12" hidden="1" x14ac:dyDescent="0.3">
      <c r="A806" t="str">
        <f>IF($K806="","",786)</f>
        <v/>
      </c>
      <c r="B806" t="str">
        <f>IF($K806="","",INDEX(Конструктор!$C$2:$C$1212,$K806))</f>
        <v/>
      </c>
      <c r="C806" s="8" t="str">
        <f>IF($K806="","",INDEX(Конструктор!$D$2:$D$1212,$K806)&amp;IF(INDEX(Конструктор!$J$2:$J$1212,$K806)&lt;&gt;""," — "&amp;INDEX(Конструктор!$J$2:$J$1212,$K806),""))</f>
        <v/>
      </c>
      <c r="D806" t="str">
        <f>IF($K806="","",INDEX(Конструктор!$E$2:$E$1212,$K806))</f>
        <v/>
      </c>
      <c r="E806" s="10" t="str">
        <f>IF($K806="","",INDEX(Конструктор!$H$2:$H$1212,$K806))</f>
        <v/>
      </c>
      <c r="F806" s="10" t="str">
        <f>IF($K806="","",INDEX(Конструктор!$L$2:$L$1212,$K806))</f>
        <v/>
      </c>
      <c r="G806" s="10" t="str">
        <f>IF($K806="","",INDEX(Конструктор!$M$2:$M$1212,$K806))</f>
        <v/>
      </c>
      <c r="H806" s="10" t="str">
        <f>IF($K806="","",INDEX(Конструктор!$N$2:$N$1212,$K806))</f>
        <v/>
      </c>
      <c r="I806" s="10" t="str">
        <f>IF($K806="","",INDEX(Конструктор!$O$2:$O$1212,$K806))</f>
        <v/>
      </c>
      <c r="J806" s="10" t="str">
        <f>IF($K806="","",INDEX(Конструктор!$P$2:$P$1212,$K806))</f>
        <v/>
      </c>
      <c r="K806" t="str">
        <f>IFERROR(MATCH(786,Конструктор!$T$2:$T$1212,0),"")</f>
        <v/>
      </c>
      <c r="L806" t="str">
        <f t="shared" si="12"/>
        <v/>
      </c>
    </row>
    <row r="807" spans="1:12" hidden="1" x14ac:dyDescent="0.3">
      <c r="A807" t="str">
        <f>IF($K807="","",787)</f>
        <v/>
      </c>
      <c r="B807" t="str">
        <f>IF($K807="","",INDEX(Конструктор!$C$2:$C$1212,$K807))</f>
        <v/>
      </c>
      <c r="C807" s="8" t="str">
        <f>IF($K807="","",INDEX(Конструктор!$D$2:$D$1212,$K807)&amp;IF(INDEX(Конструктор!$J$2:$J$1212,$K807)&lt;&gt;""," — "&amp;INDEX(Конструктор!$J$2:$J$1212,$K807),""))</f>
        <v/>
      </c>
      <c r="D807" t="str">
        <f>IF($K807="","",INDEX(Конструктор!$E$2:$E$1212,$K807))</f>
        <v/>
      </c>
      <c r="E807" s="10" t="str">
        <f>IF($K807="","",INDEX(Конструктор!$H$2:$H$1212,$K807))</f>
        <v/>
      </c>
      <c r="F807" s="10" t="str">
        <f>IF($K807="","",INDEX(Конструктор!$L$2:$L$1212,$K807))</f>
        <v/>
      </c>
      <c r="G807" s="10" t="str">
        <f>IF($K807="","",INDEX(Конструктор!$M$2:$M$1212,$K807))</f>
        <v/>
      </c>
      <c r="H807" s="10" t="str">
        <f>IF($K807="","",INDEX(Конструктор!$N$2:$N$1212,$K807))</f>
        <v/>
      </c>
      <c r="I807" s="10" t="str">
        <f>IF($K807="","",INDEX(Конструктор!$O$2:$O$1212,$K807))</f>
        <v/>
      </c>
      <c r="J807" s="10" t="str">
        <f>IF($K807="","",INDEX(Конструктор!$P$2:$P$1212,$K807))</f>
        <v/>
      </c>
      <c r="K807" t="str">
        <f>IFERROR(MATCH(787,Конструктор!$T$2:$T$1212,0),"")</f>
        <v/>
      </c>
      <c r="L807" t="str">
        <f t="shared" si="12"/>
        <v/>
      </c>
    </row>
    <row r="808" spans="1:12" hidden="1" x14ac:dyDescent="0.3">
      <c r="A808" t="str">
        <f>IF($K808="","",788)</f>
        <v/>
      </c>
      <c r="B808" t="str">
        <f>IF($K808="","",INDEX(Конструктор!$C$2:$C$1212,$K808))</f>
        <v/>
      </c>
      <c r="C808" s="8" t="str">
        <f>IF($K808="","",INDEX(Конструктор!$D$2:$D$1212,$K808)&amp;IF(INDEX(Конструктор!$J$2:$J$1212,$K808)&lt;&gt;""," — "&amp;INDEX(Конструктор!$J$2:$J$1212,$K808),""))</f>
        <v/>
      </c>
      <c r="D808" t="str">
        <f>IF($K808="","",INDEX(Конструктор!$E$2:$E$1212,$K808))</f>
        <v/>
      </c>
      <c r="E808" s="10" t="str">
        <f>IF($K808="","",INDEX(Конструктор!$H$2:$H$1212,$K808))</f>
        <v/>
      </c>
      <c r="F808" s="10" t="str">
        <f>IF($K808="","",INDEX(Конструктор!$L$2:$L$1212,$K808))</f>
        <v/>
      </c>
      <c r="G808" s="10" t="str">
        <f>IF($K808="","",INDEX(Конструктор!$M$2:$M$1212,$K808))</f>
        <v/>
      </c>
      <c r="H808" s="10" t="str">
        <f>IF($K808="","",INDEX(Конструктор!$N$2:$N$1212,$K808))</f>
        <v/>
      </c>
      <c r="I808" s="10" t="str">
        <f>IF($K808="","",INDEX(Конструктор!$O$2:$O$1212,$K808))</f>
        <v/>
      </c>
      <c r="J808" s="10" t="str">
        <f>IF($K808="","",INDEX(Конструктор!$P$2:$P$1212,$K808))</f>
        <v/>
      </c>
      <c r="K808" t="str">
        <f>IFERROR(MATCH(788,Конструктор!$T$2:$T$1212,0),"")</f>
        <v/>
      </c>
      <c r="L808" t="str">
        <f t="shared" si="12"/>
        <v/>
      </c>
    </row>
    <row r="809" spans="1:12" hidden="1" x14ac:dyDescent="0.3">
      <c r="A809" t="str">
        <f>IF($K809="","",789)</f>
        <v/>
      </c>
      <c r="B809" t="str">
        <f>IF($K809="","",INDEX(Конструктор!$C$2:$C$1212,$K809))</f>
        <v/>
      </c>
      <c r="C809" s="8" t="str">
        <f>IF($K809="","",INDEX(Конструктор!$D$2:$D$1212,$K809)&amp;IF(INDEX(Конструктор!$J$2:$J$1212,$K809)&lt;&gt;""," — "&amp;INDEX(Конструктор!$J$2:$J$1212,$K809),""))</f>
        <v/>
      </c>
      <c r="D809" t="str">
        <f>IF($K809="","",INDEX(Конструктор!$E$2:$E$1212,$K809))</f>
        <v/>
      </c>
      <c r="E809" s="10" t="str">
        <f>IF($K809="","",INDEX(Конструктор!$H$2:$H$1212,$K809))</f>
        <v/>
      </c>
      <c r="F809" s="10" t="str">
        <f>IF($K809="","",INDEX(Конструктор!$L$2:$L$1212,$K809))</f>
        <v/>
      </c>
      <c r="G809" s="10" t="str">
        <f>IF($K809="","",INDEX(Конструктор!$M$2:$M$1212,$K809))</f>
        <v/>
      </c>
      <c r="H809" s="10" t="str">
        <f>IF($K809="","",INDEX(Конструктор!$N$2:$N$1212,$K809))</f>
        <v/>
      </c>
      <c r="I809" s="10" t="str">
        <f>IF($K809="","",INDEX(Конструктор!$O$2:$O$1212,$K809))</f>
        <v/>
      </c>
      <c r="J809" s="10" t="str">
        <f>IF($K809="","",INDEX(Конструктор!$P$2:$P$1212,$K809))</f>
        <v/>
      </c>
      <c r="K809" t="str">
        <f>IFERROR(MATCH(789,Конструктор!$T$2:$T$1212,0),"")</f>
        <v/>
      </c>
      <c r="L809" t="str">
        <f t="shared" si="12"/>
        <v/>
      </c>
    </row>
    <row r="810" spans="1:12" hidden="1" x14ac:dyDescent="0.3">
      <c r="A810" t="str">
        <f>IF($K810="","",790)</f>
        <v/>
      </c>
      <c r="B810" t="str">
        <f>IF($K810="","",INDEX(Конструктор!$C$2:$C$1212,$K810))</f>
        <v/>
      </c>
      <c r="C810" s="8" t="str">
        <f>IF($K810="","",INDEX(Конструктор!$D$2:$D$1212,$K810)&amp;IF(INDEX(Конструктор!$J$2:$J$1212,$K810)&lt;&gt;""," — "&amp;INDEX(Конструктор!$J$2:$J$1212,$K810),""))</f>
        <v/>
      </c>
      <c r="D810" t="str">
        <f>IF($K810="","",INDEX(Конструктор!$E$2:$E$1212,$K810))</f>
        <v/>
      </c>
      <c r="E810" s="10" t="str">
        <f>IF($K810="","",INDEX(Конструктор!$H$2:$H$1212,$K810))</f>
        <v/>
      </c>
      <c r="F810" s="10" t="str">
        <f>IF($K810="","",INDEX(Конструктор!$L$2:$L$1212,$K810))</f>
        <v/>
      </c>
      <c r="G810" s="10" t="str">
        <f>IF($K810="","",INDEX(Конструктор!$M$2:$M$1212,$K810))</f>
        <v/>
      </c>
      <c r="H810" s="10" t="str">
        <f>IF($K810="","",INDEX(Конструктор!$N$2:$N$1212,$K810))</f>
        <v/>
      </c>
      <c r="I810" s="10" t="str">
        <f>IF($K810="","",INDEX(Конструктор!$O$2:$O$1212,$K810))</f>
        <v/>
      </c>
      <c r="J810" s="10" t="str">
        <f>IF($K810="","",INDEX(Конструктор!$P$2:$P$1212,$K810))</f>
        <v/>
      </c>
      <c r="K810" t="str">
        <f>IFERROR(MATCH(790,Конструктор!$T$2:$T$1212,0),"")</f>
        <v/>
      </c>
      <c r="L810" t="str">
        <f t="shared" si="12"/>
        <v/>
      </c>
    </row>
    <row r="811" spans="1:12" hidden="1" x14ac:dyDescent="0.3">
      <c r="A811" t="str">
        <f>IF($K811="","",791)</f>
        <v/>
      </c>
      <c r="B811" t="str">
        <f>IF($K811="","",INDEX(Конструктор!$C$2:$C$1212,$K811))</f>
        <v/>
      </c>
      <c r="C811" s="8" t="str">
        <f>IF($K811="","",INDEX(Конструктор!$D$2:$D$1212,$K811)&amp;IF(INDEX(Конструктор!$J$2:$J$1212,$K811)&lt;&gt;""," — "&amp;INDEX(Конструктор!$J$2:$J$1212,$K811),""))</f>
        <v/>
      </c>
      <c r="D811" t="str">
        <f>IF($K811="","",INDEX(Конструктор!$E$2:$E$1212,$K811))</f>
        <v/>
      </c>
      <c r="E811" s="10" t="str">
        <f>IF($K811="","",INDEX(Конструктор!$H$2:$H$1212,$K811))</f>
        <v/>
      </c>
      <c r="F811" s="10" t="str">
        <f>IF($K811="","",INDEX(Конструктор!$L$2:$L$1212,$K811))</f>
        <v/>
      </c>
      <c r="G811" s="10" t="str">
        <f>IF($K811="","",INDEX(Конструктор!$M$2:$M$1212,$K811))</f>
        <v/>
      </c>
      <c r="H811" s="10" t="str">
        <f>IF($K811="","",INDEX(Конструктор!$N$2:$N$1212,$K811))</f>
        <v/>
      </c>
      <c r="I811" s="10" t="str">
        <f>IF($K811="","",INDEX(Конструктор!$O$2:$O$1212,$K811))</f>
        <v/>
      </c>
      <c r="J811" s="10" t="str">
        <f>IF($K811="","",INDEX(Конструктор!$P$2:$P$1212,$K811))</f>
        <v/>
      </c>
      <c r="K811" t="str">
        <f>IFERROR(MATCH(791,Конструктор!$T$2:$T$1212,0),"")</f>
        <v/>
      </c>
      <c r="L811" t="str">
        <f t="shared" si="12"/>
        <v/>
      </c>
    </row>
    <row r="812" spans="1:12" hidden="1" x14ac:dyDescent="0.3">
      <c r="A812" t="str">
        <f>IF($K812="","",792)</f>
        <v/>
      </c>
      <c r="B812" t="str">
        <f>IF($K812="","",INDEX(Конструктор!$C$2:$C$1212,$K812))</f>
        <v/>
      </c>
      <c r="C812" s="8" t="str">
        <f>IF($K812="","",INDEX(Конструктор!$D$2:$D$1212,$K812)&amp;IF(INDEX(Конструктор!$J$2:$J$1212,$K812)&lt;&gt;""," — "&amp;INDEX(Конструктор!$J$2:$J$1212,$K812),""))</f>
        <v/>
      </c>
      <c r="D812" t="str">
        <f>IF($K812="","",INDEX(Конструктор!$E$2:$E$1212,$K812))</f>
        <v/>
      </c>
      <c r="E812" s="10" t="str">
        <f>IF($K812="","",INDEX(Конструктор!$H$2:$H$1212,$K812))</f>
        <v/>
      </c>
      <c r="F812" s="10" t="str">
        <f>IF($K812="","",INDEX(Конструктор!$L$2:$L$1212,$K812))</f>
        <v/>
      </c>
      <c r="G812" s="10" t="str">
        <f>IF($K812="","",INDEX(Конструктор!$M$2:$M$1212,$K812))</f>
        <v/>
      </c>
      <c r="H812" s="10" t="str">
        <f>IF($K812="","",INDEX(Конструктор!$N$2:$N$1212,$K812))</f>
        <v/>
      </c>
      <c r="I812" s="10" t="str">
        <f>IF($K812="","",INDEX(Конструктор!$O$2:$O$1212,$K812))</f>
        <v/>
      </c>
      <c r="J812" s="10" t="str">
        <f>IF($K812="","",INDEX(Конструктор!$P$2:$P$1212,$K812))</f>
        <v/>
      </c>
      <c r="K812" t="str">
        <f>IFERROR(MATCH(792,Конструктор!$T$2:$T$1212,0),"")</f>
        <v/>
      </c>
      <c r="L812" t="str">
        <f t="shared" si="12"/>
        <v/>
      </c>
    </row>
    <row r="813" spans="1:12" hidden="1" x14ac:dyDescent="0.3">
      <c r="A813" t="str">
        <f>IF($K813="","",793)</f>
        <v/>
      </c>
      <c r="B813" t="str">
        <f>IF($K813="","",INDEX(Конструктор!$C$2:$C$1212,$K813))</f>
        <v/>
      </c>
      <c r="C813" s="8" t="str">
        <f>IF($K813="","",INDEX(Конструктор!$D$2:$D$1212,$K813)&amp;IF(INDEX(Конструктор!$J$2:$J$1212,$K813)&lt;&gt;""," — "&amp;INDEX(Конструктор!$J$2:$J$1212,$K813),""))</f>
        <v/>
      </c>
      <c r="D813" t="str">
        <f>IF($K813="","",INDEX(Конструктор!$E$2:$E$1212,$K813))</f>
        <v/>
      </c>
      <c r="E813" s="10" t="str">
        <f>IF($K813="","",INDEX(Конструктор!$H$2:$H$1212,$K813))</f>
        <v/>
      </c>
      <c r="F813" s="10" t="str">
        <f>IF($K813="","",INDEX(Конструктор!$L$2:$L$1212,$K813))</f>
        <v/>
      </c>
      <c r="G813" s="10" t="str">
        <f>IF($K813="","",INDEX(Конструктор!$M$2:$M$1212,$K813))</f>
        <v/>
      </c>
      <c r="H813" s="10" t="str">
        <f>IF($K813="","",INDEX(Конструктор!$N$2:$N$1212,$K813))</f>
        <v/>
      </c>
      <c r="I813" s="10" t="str">
        <f>IF($K813="","",INDEX(Конструктор!$O$2:$O$1212,$K813))</f>
        <v/>
      </c>
      <c r="J813" s="10" t="str">
        <f>IF($K813="","",INDEX(Конструктор!$P$2:$P$1212,$K813))</f>
        <v/>
      </c>
      <c r="K813" t="str">
        <f>IFERROR(MATCH(793,Конструктор!$T$2:$T$1212,0),"")</f>
        <v/>
      </c>
      <c r="L813" t="str">
        <f t="shared" si="12"/>
        <v/>
      </c>
    </row>
    <row r="814" spans="1:12" hidden="1" x14ac:dyDescent="0.3">
      <c r="A814" t="str">
        <f>IF($K814="","",794)</f>
        <v/>
      </c>
      <c r="B814" t="str">
        <f>IF($K814="","",INDEX(Конструктор!$C$2:$C$1212,$K814))</f>
        <v/>
      </c>
      <c r="C814" s="8" t="str">
        <f>IF($K814="","",INDEX(Конструктор!$D$2:$D$1212,$K814)&amp;IF(INDEX(Конструктор!$J$2:$J$1212,$K814)&lt;&gt;""," — "&amp;INDEX(Конструктор!$J$2:$J$1212,$K814),""))</f>
        <v/>
      </c>
      <c r="D814" t="str">
        <f>IF($K814="","",INDEX(Конструктор!$E$2:$E$1212,$K814))</f>
        <v/>
      </c>
      <c r="E814" s="10" t="str">
        <f>IF($K814="","",INDEX(Конструктор!$H$2:$H$1212,$K814))</f>
        <v/>
      </c>
      <c r="F814" s="10" t="str">
        <f>IF($K814="","",INDEX(Конструктор!$L$2:$L$1212,$K814))</f>
        <v/>
      </c>
      <c r="G814" s="10" t="str">
        <f>IF($K814="","",INDEX(Конструктор!$M$2:$M$1212,$K814))</f>
        <v/>
      </c>
      <c r="H814" s="10" t="str">
        <f>IF($K814="","",INDEX(Конструктор!$N$2:$N$1212,$K814))</f>
        <v/>
      </c>
      <c r="I814" s="10" t="str">
        <f>IF($K814="","",INDEX(Конструктор!$O$2:$O$1212,$K814))</f>
        <v/>
      </c>
      <c r="J814" s="10" t="str">
        <f>IF($K814="","",INDEX(Конструктор!$P$2:$P$1212,$K814))</f>
        <v/>
      </c>
      <c r="K814" t="str">
        <f>IFERROR(MATCH(794,Конструктор!$T$2:$T$1212,0),"")</f>
        <v/>
      </c>
      <c r="L814" t="str">
        <f t="shared" si="12"/>
        <v/>
      </c>
    </row>
    <row r="815" spans="1:12" hidden="1" x14ac:dyDescent="0.3">
      <c r="A815" t="str">
        <f>IF($K815="","",795)</f>
        <v/>
      </c>
      <c r="B815" t="str">
        <f>IF($K815="","",INDEX(Конструктор!$C$2:$C$1212,$K815))</f>
        <v/>
      </c>
      <c r="C815" s="8" t="str">
        <f>IF($K815="","",INDEX(Конструктор!$D$2:$D$1212,$K815)&amp;IF(INDEX(Конструктор!$J$2:$J$1212,$K815)&lt;&gt;""," — "&amp;INDEX(Конструктор!$J$2:$J$1212,$K815),""))</f>
        <v/>
      </c>
      <c r="D815" t="str">
        <f>IF($K815="","",INDEX(Конструктор!$E$2:$E$1212,$K815))</f>
        <v/>
      </c>
      <c r="E815" s="10" t="str">
        <f>IF($K815="","",INDEX(Конструктор!$H$2:$H$1212,$K815))</f>
        <v/>
      </c>
      <c r="F815" s="10" t="str">
        <f>IF($K815="","",INDEX(Конструктор!$L$2:$L$1212,$K815))</f>
        <v/>
      </c>
      <c r="G815" s="10" t="str">
        <f>IF($K815="","",INDEX(Конструктор!$M$2:$M$1212,$K815))</f>
        <v/>
      </c>
      <c r="H815" s="10" t="str">
        <f>IF($K815="","",INDEX(Конструктор!$N$2:$N$1212,$K815))</f>
        <v/>
      </c>
      <c r="I815" s="10" t="str">
        <f>IF($K815="","",INDEX(Конструктор!$O$2:$O$1212,$K815))</f>
        <v/>
      </c>
      <c r="J815" s="10" t="str">
        <f>IF($K815="","",INDEX(Конструктор!$P$2:$P$1212,$K815))</f>
        <v/>
      </c>
      <c r="K815" t="str">
        <f>IFERROR(MATCH(795,Конструктор!$T$2:$T$1212,0),"")</f>
        <v/>
      </c>
      <c r="L815" t="str">
        <f t="shared" si="12"/>
        <v/>
      </c>
    </row>
    <row r="816" spans="1:12" hidden="1" x14ac:dyDescent="0.3">
      <c r="A816" t="str">
        <f>IF($K816="","",796)</f>
        <v/>
      </c>
      <c r="B816" t="str">
        <f>IF($K816="","",INDEX(Конструктор!$C$2:$C$1212,$K816))</f>
        <v/>
      </c>
      <c r="C816" s="8" t="str">
        <f>IF($K816="","",INDEX(Конструктор!$D$2:$D$1212,$K816)&amp;IF(INDEX(Конструктор!$J$2:$J$1212,$K816)&lt;&gt;""," — "&amp;INDEX(Конструктор!$J$2:$J$1212,$K816),""))</f>
        <v/>
      </c>
      <c r="D816" t="str">
        <f>IF($K816="","",INDEX(Конструктор!$E$2:$E$1212,$K816))</f>
        <v/>
      </c>
      <c r="E816" s="10" t="str">
        <f>IF($K816="","",INDEX(Конструктор!$H$2:$H$1212,$K816))</f>
        <v/>
      </c>
      <c r="F816" s="10" t="str">
        <f>IF($K816="","",INDEX(Конструктор!$L$2:$L$1212,$K816))</f>
        <v/>
      </c>
      <c r="G816" s="10" t="str">
        <f>IF($K816="","",INDEX(Конструктор!$M$2:$M$1212,$K816))</f>
        <v/>
      </c>
      <c r="H816" s="10" t="str">
        <f>IF($K816="","",INDEX(Конструктор!$N$2:$N$1212,$K816))</f>
        <v/>
      </c>
      <c r="I816" s="10" t="str">
        <f>IF($K816="","",INDEX(Конструктор!$O$2:$O$1212,$K816))</f>
        <v/>
      </c>
      <c r="J816" s="10" t="str">
        <f>IF($K816="","",INDEX(Конструктор!$P$2:$P$1212,$K816))</f>
        <v/>
      </c>
      <c r="K816" t="str">
        <f>IFERROR(MATCH(796,Конструктор!$T$2:$T$1212,0),"")</f>
        <v/>
      </c>
      <c r="L816" t="str">
        <f t="shared" si="12"/>
        <v/>
      </c>
    </row>
    <row r="817" spans="1:12" hidden="1" x14ac:dyDescent="0.3">
      <c r="A817" t="str">
        <f>IF($K817="","",797)</f>
        <v/>
      </c>
      <c r="B817" t="str">
        <f>IF($K817="","",INDEX(Конструктор!$C$2:$C$1212,$K817))</f>
        <v/>
      </c>
      <c r="C817" s="8" t="str">
        <f>IF($K817="","",INDEX(Конструктор!$D$2:$D$1212,$K817)&amp;IF(INDEX(Конструктор!$J$2:$J$1212,$K817)&lt;&gt;""," — "&amp;INDEX(Конструктор!$J$2:$J$1212,$K817),""))</f>
        <v/>
      </c>
      <c r="D817" t="str">
        <f>IF($K817="","",INDEX(Конструктор!$E$2:$E$1212,$K817))</f>
        <v/>
      </c>
      <c r="E817" s="10" t="str">
        <f>IF($K817="","",INDEX(Конструктор!$H$2:$H$1212,$K817))</f>
        <v/>
      </c>
      <c r="F817" s="10" t="str">
        <f>IF($K817="","",INDEX(Конструктор!$L$2:$L$1212,$K817))</f>
        <v/>
      </c>
      <c r="G817" s="10" t="str">
        <f>IF($K817="","",INDEX(Конструктор!$M$2:$M$1212,$K817))</f>
        <v/>
      </c>
      <c r="H817" s="10" t="str">
        <f>IF($K817="","",INDEX(Конструктор!$N$2:$N$1212,$K817))</f>
        <v/>
      </c>
      <c r="I817" s="10" t="str">
        <f>IF($K817="","",INDEX(Конструктор!$O$2:$O$1212,$K817))</f>
        <v/>
      </c>
      <c r="J817" s="10" t="str">
        <f>IF($K817="","",INDEX(Конструктор!$P$2:$P$1212,$K817))</f>
        <v/>
      </c>
      <c r="K817" t="str">
        <f>IFERROR(MATCH(797,Конструктор!$T$2:$T$1212,0),"")</f>
        <v/>
      </c>
      <c r="L817" t="str">
        <f t="shared" si="12"/>
        <v/>
      </c>
    </row>
    <row r="818" spans="1:12" hidden="1" x14ac:dyDescent="0.3">
      <c r="A818" t="str">
        <f>IF($K818="","",798)</f>
        <v/>
      </c>
      <c r="B818" t="str">
        <f>IF($K818="","",INDEX(Конструктор!$C$2:$C$1212,$K818))</f>
        <v/>
      </c>
      <c r="C818" s="8" t="str">
        <f>IF($K818="","",INDEX(Конструктор!$D$2:$D$1212,$K818)&amp;IF(INDEX(Конструктор!$J$2:$J$1212,$K818)&lt;&gt;""," — "&amp;INDEX(Конструктор!$J$2:$J$1212,$K818),""))</f>
        <v/>
      </c>
      <c r="D818" t="str">
        <f>IF($K818="","",INDEX(Конструктор!$E$2:$E$1212,$K818))</f>
        <v/>
      </c>
      <c r="E818" s="10" t="str">
        <f>IF($K818="","",INDEX(Конструктор!$H$2:$H$1212,$K818))</f>
        <v/>
      </c>
      <c r="F818" s="10" t="str">
        <f>IF($K818="","",INDEX(Конструктор!$L$2:$L$1212,$K818))</f>
        <v/>
      </c>
      <c r="G818" s="10" t="str">
        <f>IF($K818="","",INDEX(Конструктор!$M$2:$M$1212,$K818))</f>
        <v/>
      </c>
      <c r="H818" s="10" t="str">
        <f>IF($K818="","",INDEX(Конструктор!$N$2:$N$1212,$K818))</f>
        <v/>
      </c>
      <c r="I818" s="10" t="str">
        <f>IF($K818="","",INDEX(Конструктор!$O$2:$O$1212,$K818))</f>
        <v/>
      </c>
      <c r="J818" s="10" t="str">
        <f>IF($K818="","",INDEX(Конструктор!$P$2:$P$1212,$K818))</f>
        <v/>
      </c>
      <c r="K818" t="str">
        <f>IFERROR(MATCH(798,Конструктор!$T$2:$T$1212,0),"")</f>
        <v/>
      </c>
      <c r="L818" t="str">
        <f t="shared" si="12"/>
        <v/>
      </c>
    </row>
    <row r="819" spans="1:12" hidden="1" x14ac:dyDescent="0.3">
      <c r="A819" t="str">
        <f>IF($K819="","",799)</f>
        <v/>
      </c>
      <c r="B819" t="str">
        <f>IF($K819="","",INDEX(Конструктор!$C$2:$C$1212,$K819))</f>
        <v/>
      </c>
      <c r="C819" s="8" t="str">
        <f>IF($K819="","",INDEX(Конструктор!$D$2:$D$1212,$K819)&amp;IF(INDEX(Конструктор!$J$2:$J$1212,$K819)&lt;&gt;""," — "&amp;INDEX(Конструктор!$J$2:$J$1212,$K819),""))</f>
        <v/>
      </c>
      <c r="D819" t="str">
        <f>IF($K819="","",INDEX(Конструктор!$E$2:$E$1212,$K819))</f>
        <v/>
      </c>
      <c r="E819" s="10" t="str">
        <f>IF($K819="","",INDEX(Конструктор!$H$2:$H$1212,$K819))</f>
        <v/>
      </c>
      <c r="F819" s="10" t="str">
        <f>IF($K819="","",INDEX(Конструктор!$L$2:$L$1212,$K819))</f>
        <v/>
      </c>
      <c r="G819" s="10" t="str">
        <f>IF($K819="","",INDEX(Конструктор!$M$2:$M$1212,$K819))</f>
        <v/>
      </c>
      <c r="H819" s="10" t="str">
        <f>IF($K819="","",INDEX(Конструктор!$N$2:$N$1212,$K819))</f>
        <v/>
      </c>
      <c r="I819" s="10" t="str">
        <f>IF($K819="","",INDEX(Конструктор!$O$2:$O$1212,$K819))</f>
        <v/>
      </c>
      <c r="J819" s="10" t="str">
        <f>IF($K819="","",INDEX(Конструктор!$P$2:$P$1212,$K819))</f>
        <v/>
      </c>
      <c r="K819" t="str">
        <f>IFERROR(MATCH(799,Конструктор!$T$2:$T$1212,0),"")</f>
        <v/>
      </c>
      <c r="L819" t="str">
        <f t="shared" si="12"/>
        <v/>
      </c>
    </row>
    <row r="820" spans="1:12" hidden="1" x14ac:dyDescent="0.3">
      <c r="A820" t="str">
        <f>IF($K820="","",800)</f>
        <v/>
      </c>
      <c r="B820" t="str">
        <f>IF($K820="","",INDEX(Конструктор!$C$2:$C$1212,$K820))</f>
        <v/>
      </c>
      <c r="C820" s="8" t="str">
        <f>IF($K820="","",INDEX(Конструктор!$D$2:$D$1212,$K820)&amp;IF(INDEX(Конструктор!$J$2:$J$1212,$K820)&lt;&gt;""," — "&amp;INDEX(Конструктор!$J$2:$J$1212,$K820),""))</f>
        <v/>
      </c>
      <c r="D820" t="str">
        <f>IF($K820="","",INDEX(Конструктор!$E$2:$E$1212,$K820))</f>
        <v/>
      </c>
      <c r="E820" s="10" t="str">
        <f>IF($K820="","",INDEX(Конструктор!$H$2:$H$1212,$K820))</f>
        <v/>
      </c>
      <c r="F820" s="10" t="str">
        <f>IF($K820="","",INDEX(Конструктор!$L$2:$L$1212,$K820))</f>
        <v/>
      </c>
      <c r="G820" s="10" t="str">
        <f>IF($K820="","",INDEX(Конструктор!$M$2:$M$1212,$K820))</f>
        <v/>
      </c>
      <c r="H820" s="10" t="str">
        <f>IF($K820="","",INDEX(Конструктор!$N$2:$N$1212,$K820))</f>
        <v/>
      </c>
      <c r="I820" s="10" t="str">
        <f>IF($K820="","",INDEX(Конструктор!$O$2:$O$1212,$K820))</f>
        <v/>
      </c>
      <c r="J820" s="10" t="str">
        <f>IF($K820="","",INDEX(Конструктор!$P$2:$P$1212,$K820))</f>
        <v/>
      </c>
      <c r="K820" t="str">
        <f>IFERROR(MATCH(800,Конструктор!$T$2:$T$1212,0),"")</f>
        <v/>
      </c>
      <c r="L820" t="str">
        <f t="shared" si="12"/>
        <v/>
      </c>
    </row>
    <row r="821" spans="1:12" hidden="1" x14ac:dyDescent="0.3">
      <c r="A821" t="str">
        <f>IF($K821="","",801)</f>
        <v/>
      </c>
      <c r="B821" t="str">
        <f>IF($K821="","",INDEX(Конструктор!$C$2:$C$1212,$K821))</f>
        <v/>
      </c>
      <c r="C821" s="8" t="str">
        <f>IF($K821="","",INDEX(Конструктор!$D$2:$D$1212,$K821)&amp;IF(INDEX(Конструктор!$J$2:$J$1212,$K821)&lt;&gt;""," — "&amp;INDEX(Конструктор!$J$2:$J$1212,$K821),""))</f>
        <v/>
      </c>
      <c r="D821" t="str">
        <f>IF($K821="","",INDEX(Конструктор!$E$2:$E$1212,$K821))</f>
        <v/>
      </c>
      <c r="E821" s="10" t="str">
        <f>IF($K821="","",INDEX(Конструктор!$H$2:$H$1212,$K821))</f>
        <v/>
      </c>
      <c r="F821" s="10" t="str">
        <f>IF($K821="","",INDEX(Конструктор!$L$2:$L$1212,$K821))</f>
        <v/>
      </c>
      <c r="G821" s="10" t="str">
        <f>IF($K821="","",INDEX(Конструктор!$M$2:$M$1212,$K821))</f>
        <v/>
      </c>
      <c r="H821" s="10" t="str">
        <f>IF($K821="","",INDEX(Конструктор!$N$2:$N$1212,$K821))</f>
        <v/>
      </c>
      <c r="I821" s="10" t="str">
        <f>IF($K821="","",INDEX(Конструктор!$O$2:$O$1212,$K821))</f>
        <v/>
      </c>
      <c r="J821" s="10" t="str">
        <f>IF($K821="","",INDEX(Конструктор!$P$2:$P$1212,$K821))</f>
        <v/>
      </c>
      <c r="K821" t="str">
        <f>IFERROR(MATCH(801,Конструктор!$T$2:$T$1212,0),"")</f>
        <v/>
      </c>
      <c r="L821" t="str">
        <f t="shared" si="12"/>
        <v/>
      </c>
    </row>
    <row r="822" spans="1:12" hidden="1" x14ac:dyDescent="0.3">
      <c r="A822" t="str">
        <f>IF($K822="","",802)</f>
        <v/>
      </c>
      <c r="B822" t="str">
        <f>IF($K822="","",INDEX(Конструктор!$C$2:$C$1212,$K822))</f>
        <v/>
      </c>
      <c r="C822" s="8" t="str">
        <f>IF($K822="","",INDEX(Конструктор!$D$2:$D$1212,$K822)&amp;IF(INDEX(Конструктор!$J$2:$J$1212,$K822)&lt;&gt;""," — "&amp;INDEX(Конструктор!$J$2:$J$1212,$K822),""))</f>
        <v/>
      </c>
      <c r="D822" t="str">
        <f>IF($K822="","",INDEX(Конструктор!$E$2:$E$1212,$K822))</f>
        <v/>
      </c>
      <c r="E822" s="10" t="str">
        <f>IF($K822="","",INDEX(Конструктор!$H$2:$H$1212,$K822))</f>
        <v/>
      </c>
      <c r="F822" s="10" t="str">
        <f>IF($K822="","",INDEX(Конструктор!$L$2:$L$1212,$K822))</f>
        <v/>
      </c>
      <c r="G822" s="10" t="str">
        <f>IF($K822="","",INDEX(Конструктор!$M$2:$M$1212,$K822))</f>
        <v/>
      </c>
      <c r="H822" s="10" t="str">
        <f>IF($K822="","",INDEX(Конструктор!$N$2:$N$1212,$K822))</f>
        <v/>
      </c>
      <c r="I822" s="10" t="str">
        <f>IF($K822="","",INDEX(Конструктор!$O$2:$O$1212,$K822))</f>
        <v/>
      </c>
      <c r="J822" s="10" t="str">
        <f>IF($K822="","",INDEX(Конструктор!$P$2:$P$1212,$K822))</f>
        <v/>
      </c>
      <c r="K822" t="str">
        <f>IFERROR(MATCH(802,Конструктор!$T$2:$T$1212,0),"")</f>
        <v/>
      </c>
      <c r="L822" t="str">
        <f t="shared" si="12"/>
        <v/>
      </c>
    </row>
    <row r="823" spans="1:12" hidden="1" x14ac:dyDescent="0.3">
      <c r="A823" t="str">
        <f>IF($K823="","",803)</f>
        <v/>
      </c>
      <c r="B823" t="str">
        <f>IF($K823="","",INDEX(Конструктор!$C$2:$C$1212,$K823))</f>
        <v/>
      </c>
      <c r="C823" s="8" t="str">
        <f>IF($K823="","",INDEX(Конструктор!$D$2:$D$1212,$K823)&amp;IF(INDEX(Конструктор!$J$2:$J$1212,$K823)&lt;&gt;""," — "&amp;INDEX(Конструктор!$J$2:$J$1212,$K823),""))</f>
        <v/>
      </c>
      <c r="D823" t="str">
        <f>IF($K823="","",INDEX(Конструктор!$E$2:$E$1212,$K823))</f>
        <v/>
      </c>
      <c r="E823" s="10" t="str">
        <f>IF($K823="","",INDEX(Конструктор!$H$2:$H$1212,$K823))</f>
        <v/>
      </c>
      <c r="F823" s="10" t="str">
        <f>IF($K823="","",INDEX(Конструктор!$L$2:$L$1212,$K823))</f>
        <v/>
      </c>
      <c r="G823" s="10" t="str">
        <f>IF($K823="","",INDEX(Конструктор!$M$2:$M$1212,$K823))</f>
        <v/>
      </c>
      <c r="H823" s="10" t="str">
        <f>IF($K823="","",INDEX(Конструктор!$N$2:$N$1212,$K823))</f>
        <v/>
      </c>
      <c r="I823" s="10" t="str">
        <f>IF($K823="","",INDEX(Конструктор!$O$2:$O$1212,$K823))</f>
        <v/>
      </c>
      <c r="J823" s="10" t="str">
        <f>IF($K823="","",INDEX(Конструктор!$P$2:$P$1212,$K823))</f>
        <v/>
      </c>
      <c r="K823" t="str">
        <f>IFERROR(MATCH(803,Конструктор!$T$2:$T$1212,0),"")</f>
        <v/>
      </c>
      <c r="L823" t="str">
        <f t="shared" si="12"/>
        <v/>
      </c>
    </row>
    <row r="824" spans="1:12" hidden="1" x14ac:dyDescent="0.3">
      <c r="A824" t="str">
        <f>IF($K824="","",804)</f>
        <v/>
      </c>
      <c r="B824" t="str">
        <f>IF($K824="","",INDEX(Конструктор!$C$2:$C$1212,$K824))</f>
        <v/>
      </c>
      <c r="C824" s="8" t="str">
        <f>IF($K824="","",INDEX(Конструктор!$D$2:$D$1212,$K824)&amp;IF(INDEX(Конструктор!$J$2:$J$1212,$K824)&lt;&gt;""," — "&amp;INDEX(Конструктор!$J$2:$J$1212,$K824),""))</f>
        <v/>
      </c>
      <c r="D824" t="str">
        <f>IF($K824="","",INDEX(Конструктор!$E$2:$E$1212,$K824))</f>
        <v/>
      </c>
      <c r="E824" s="10" t="str">
        <f>IF($K824="","",INDEX(Конструктор!$H$2:$H$1212,$K824))</f>
        <v/>
      </c>
      <c r="F824" s="10" t="str">
        <f>IF($K824="","",INDEX(Конструктор!$L$2:$L$1212,$K824))</f>
        <v/>
      </c>
      <c r="G824" s="10" t="str">
        <f>IF($K824="","",INDEX(Конструктор!$M$2:$M$1212,$K824))</f>
        <v/>
      </c>
      <c r="H824" s="10" t="str">
        <f>IF($K824="","",INDEX(Конструктор!$N$2:$N$1212,$K824))</f>
        <v/>
      </c>
      <c r="I824" s="10" t="str">
        <f>IF($K824="","",INDEX(Конструктор!$O$2:$O$1212,$K824))</f>
        <v/>
      </c>
      <c r="J824" s="10" t="str">
        <f>IF($K824="","",INDEX(Конструктор!$P$2:$P$1212,$K824))</f>
        <v/>
      </c>
      <c r="K824" t="str">
        <f>IFERROR(MATCH(804,Конструктор!$T$2:$T$1212,0),"")</f>
        <v/>
      </c>
      <c r="L824" t="str">
        <f t="shared" si="12"/>
        <v/>
      </c>
    </row>
    <row r="825" spans="1:12" hidden="1" x14ac:dyDescent="0.3">
      <c r="A825" t="str">
        <f>IF($K825="","",805)</f>
        <v/>
      </c>
      <c r="B825" t="str">
        <f>IF($K825="","",INDEX(Конструктор!$C$2:$C$1212,$K825))</f>
        <v/>
      </c>
      <c r="C825" s="8" t="str">
        <f>IF($K825="","",INDEX(Конструктор!$D$2:$D$1212,$K825)&amp;IF(INDEX(Конструктор!$J$2:$J$1212,$K825)&lt;&gt;""," — "&amp;INDEX(Конструктор!$J$2:$J$1212,$K825),""))</f>
        <v/>
      </c>
      <c r="D825" t="str">
        <f>IF($K825="","",INDEX(Конструктор!$E$2:$E$1212,$K825))</f>
        <v/>
      </c>
      <c r="E825" s="10" t="str">
        <f>IF($K825="","",INDEX(Конструктор!$H$2:$H$1212,$K825))</f>
        <v/>
      </c>
      <c r="F825" s="10" t="str">
        <f>IF($K825="","",INDEX(Конструктор!$L$2:$L$1212,$K825))</f>
        <v/>
      </c>
      <c r="G825" s="10" t="str">
        <f>IF($K825="","",INDEX(Конструктор!$M$2:$M$1212,$K825))</f>
        <v/>
      </c>
      <c r="H825" s="10" t="str">
        <f>IF($K825="","",INDEX(Конструктор!$N$2:$N$1212,$K825))</f>
        <v/>
      </c>
      <c r="I825" s="10" t="str">
        <f>IF($K825="","",INDEX(Конструктор!$O$2:$O$1212,$K825))</f>
        <v/>
      </c>
      <c r="J825" s="10" t="str">
        <f>IF($K825="","",INDEX(Конструктор!$P$2:$P$1212,$K825))</f>
        <v/>
      </c>
      <c r="K825" t="str">
        <f>IFERROR(MATCH(805,Конструктор!$T$2:$T$1212,0),"")</f>
        <v/>
      </c>
      <c r="L825" t="str">
        <f t="shared" si="12"/>
        <v/>
      </c>
    </row>
    <row r="826" spans="1:12" hidden="1" x14ac:dyDescent="0.3">
      <c r="A826" t="str">
        <f>IF($K826="","",806)</f>
        <v/>
      </c>
      <c r="B826" t="str">
        <f>IF($K826="","",INDEX(Конструктор!$C$2:$C$1212,$K826))</f>
        <v/>
      </c>
      <c r="C826" s="8" t="str">
        <f>IF($K826="","",INDEX(Конструктор!$D$2:$D$1212,$K826)&amp;IF(INDEX(Конструктор!$J$2:$J$1212,$K826)&lt;&gt;""," — "&amp;INDEX(Конструктор!$J$2:$J$1212,$K826),""))</f>
        <v/>
      </c>
      <c r="D826" t="str">
        <f>IF($K826="","",INDEX(Конструктор!$E$2:$E$1212,$K826))</f>
        <v/>
      </c>
      <c r="E826" s="10" t="str">
        <f>IF($K826="","",INDEX(Конструктор!$H$2:$H$1212,$K826))</f>
        <v/>
      </c>
      <c r="F826" s="10" t="str">
        <f>IF($K826="","",INDEX(Конструктор!$L$2:$L$1212,$K826))</f>
        <v/>
      </c>
      <c r="G826" s="10" t="str">
        <f>IF($K826="","",INDEX(Конструктор!$M$2:$M$1212,$K826))</f>
        <v/>
      </c>
      <c r="H826" s="10" t="str">
        <f>IF($K826="","",INDEX(Конструктор!$N$2:$N$1212,$K826))</f>
        <v/>
      </c>
      <c r="I826" s="10" t="str">
        <f>IF($K826="","",INDEX(Конструктор!$O$2:$O$1212,$K826))</f>
        <v/>
      </c>
      <c r="J826" s="10" t="str">
        <f>IF($K826="","",INDEX(Конструктор!$P$2:$P$1212,$K826))</f>
        <v/>
      </c>
      <c r="K826" t="str">
        <f>IFERROR(MATCH(806,Конструктор!$T$2:$T$1212,0),"")</f>
        <v/>
      </c>
      <c r="L826" t="str">
        <f t="shared" si="12"/>
        <v/>
      </c>
    </row>
    <row r="827" spans="1:12" hidden="1" x14ac:dyDescent="0.3">
      <c r="A827" t="str">
        <f>IF($K827="","",807)</f>
        <v/>
      </c>
      <c r="B827" t="str">
        <f>IF($K827="","",INDEX(Конструктор!$C$2:$C$1212,$K827))</f>
        <v/>
      </c>
      <c r="C827" s="8" t="str">
        <f>IF($K827="","",INDEX(Конструктор!$D$2:$D$1212,$K827)&amp;IF(INDEX(Конструктор!$J$2:$J$1212,$K827)&lt;&gt;""," — "&amp;INDEX(Конструктор!$J$2:$J$1212,$K827),""))</f>
        <v/>
      </c>
      <c r="D827" t="str">
        <f>IF($K827="","",INDEX(Конструктор!$E$2:$E$1212,$K827))</f>
        <v/>
      </c>
      <c r="E827" s="10" t="str">
        <f>IF($K827="","",INDEX(Конструктор!$H$2:$H$1212,$K827))</f>
        <v/>
      </c>
      <c r="F827" s="10" t="str">
        <f>IF($K827="","",INDEX(Конструктор!$L$2:$L$1212,$K827))</f>
        <v/>
      </c>
      <c r="G827" s="10" t="str">
        <f>IF($K827="","",INDEX(Конструктор!$M$2:$M$1212,$K827))</f>
        <v/>
      </c>
      <c r="H827" s="10" t="str">
        <f>IF($K827="","",INDEX(Конструктор!$N$2:$N$1212,$K827))</f>
        <v/>
      </c>
      <c r="I827" s="10" t="str">
        <f>IF($K827="","",INDEX(Конструктор!$O$2:$O$1212,$K827))</f>
        <v/>
      </c>
      <c r="J827" s="10" t="str">
        <f>IF($K827="","",INDEX(Конструктор!$P$2:$P$1212,$K827))</f>
        <v/>
      </c>
      <c r="K827" t="str">
        <f>IFERROR(MATCH(807,Конструктор!$T$2:$T$1212,0),"")</f>
        <v/>
      </c>
      <c r="L827" t="str">
        <f t="shared" si="12"/>
        <v/>
      </c>
    </row>
    <row r="828" spans="1:12" hidden="1" x14ac:dyDescent="0.3">
      <c r="A828" t="str">
        <f>IF($K828="","",808)</f>
        <v/>
      </c>
      <c r="B828" t="str">
        <f>IF($K828="","",INDEX(Конструктор!$C$2:$C$1212,$K828))</f>
        <v/>
      </c>
      <c r="C828" s="8" t="str">
        <f>IF($K828="","",INDEX(Конструктор!$D$2:$D$1212,$K828)&amp;IF(INDEX(Конструктор!$J$2:$J$1212,$K828)&lt;&gt;""," — "&amp;INDEX(Конструктор!$J$2:$J$1212,$K828),""))</f>
        <v/>
      </c>
      <c r="D828" t="str">
        <f>IF($K828="","",INDEX(Конструктор!$E$2:$E$1212,$K828))</f>
        <v/>
      </c>
      <c r="E828" s="10" t="str">
        <f>IF($K828="","",INDEX(Конструктор!$H$2:$H$1212,$K828))</f>
        <v/>
      </c>
      <c r="F828" s="10" t="str">
        <f>IF($K828="","",INDEX(Конструктор!$L$2:$L$1212,$K828))</f>
        <v/>
      </c>
      <c r="G828" s="10" t="str">
        <f>IF($K828="","",INDEX(Конструктор!$M$2:$M$1212,$K828))</f>
        <v/>
      </c>
      <c r="H828" s="10" t="str">
        <f>IF($K828="","",INDEX(Конструктор!$N$2:$N$1212,$K828))</f>
        <v/>
      </c>
      <c r="I828" s="10" t="str">
        <f>IF($K828="","",INDEX(Конструктор!$O$2:$O$1212,$K828))</f>
        <v/>
      </c>
      <c r="J828" s="10" t="str">
        <f>IF($K828="","",INDEX(Конструктор!$P$2:$P$1212,$K828))</f>
        <v/>
      </c>
      <c r="K828" t="str">
        <f>IFERROR(MATCH(808,Конструктор!$T$2:$T$1212,0),"")</f>
        <v/>
      </c>
      <c r="L828" t="str">
        <f t="shared" si="12"/>
        <v/>
      </c>
    </row>
    <row r="829" spans="1:12" hidden="1" x14ac:dyDescent="0.3">
      <c r="A829" t="str">
        <f>IF($K829="","",809)</f>
        <v/>
      </c>
      <c r="B829" t="str">
        <f>IF($K829="","",INDEX(Конструктор!$C$2:$C$1212,$K829))</f>
        <v/>
      </c>
      <c r="C829" s="8" t="str">
        <f>IF($K829="","",INDEX(Конструктор!$D$2:$D$1212,$K829)&amp;IF(INDEX(Конструктор!$J$2:$J$1212,$K829)&lt;&gt;""," — "&amp;INDEX(Конструктор!$J$2:$J$1212,$K829),""))</f>
        <v/>
      </c>
      <c r="D829" t="str">
        <f>IF($K829="","",INDEX(Конструктор!$E$2:$E$1212,$K829))</f>
        <v/>
      </c>
      <c r="E829" s="10" t="str">
        <f>IF($K829="","",INDEX(Конструктор!$H$2:$H$1212,$K829))</f>
        <v/>
      </c>
      <c r="F829" s="10" t="str">
        <f>IF($K829="","",INDEX(Конструктор!$L$2:$L$1212,$K829))</f>
        <v/>
      </c>
      <c r="G829" s="10" t="str">
        <f>IF($K829="","",INDEX(Конструктор!$M$2:$M$1212,$K829))</f>
        <v/>
      </c>
      <c r="H829" s="10" t="str">
        <f>IF($K829="","",INDEX(Конструктор!$N$2:$N$1212,$K829))</f>
        <v/>
      </c>
      <c r="I829" s="10" t="str">
        <f>IF($K829="","",INDEX(Конструктор!$O$2:$O$1212,$K829))</f>
        <v/>
      </c>
      <c r="J829" s="10" t="str">
        <f>IF($K829="","",INDEX(Конструктор!$P$2:$P$1212,$K829))</f>
        <v/>
      </c>
      <c r="K829" t="str">
        <f>IFERROR(MATCH(809,Конструктор!$T$2:$T$1212,0),"")</f>
        <v/>
      </c>
      <c r="L829" t="str">
        <f t="shared" si="12"/>
        <v/>
      </c>
    </row>
    <row r="830" spans="1:12" hidden="1" x14ac:dyDescent="0.3">
      <c r="A830" t="str">
        <f>IF($K830="","",810)</f>
        <v/>
      </c>
      <c r="B830" t="str">
        <f>IF($K830="","",INDEX(Конструктор!$C$2:$C$1212,$K830))</f>
        <v/>
      </c>
      <c r="C830" s="8" t="str">
        <f>IF($K830="","",INDEX(Конструктор!$D$2:$D$1212,$K830)&amp;IF(INDEX(Конструктор!$J$2:$J$1212,$K830)&lt;&gt;""," — "&amp;INDEX(Конструктор!$J$2:$J$1212,$K830),""))</f>
        <v/>
      </c>
      <c r="D830" t="str">
        <f>IF($K830="","",INDEX(Конструктор!$E$2:$E$1212,$K830))</f>
        <v/>
      </c>
      <c r="E830" s="10" t="str">
        <f>IF($K830="","",INDEX(Конструктор!$H$2:$H$1212,$K830))</f>
        <v/>
      </c>
      <c r="F830" s="10" t="str">
        <f>IF($K830="","",INDEX(Конструктор!$L$2:$L$1212,$K830))</f>
        <v/>
      </c>
      <c r="G830" s="10" t="str">
        <f>IF($K830="","",INDEX(Конструктор!$M$2:$M$1212,$K830))</f>
        <v/>
      </c>
      <c r="H830" s="10" t="str">
        <f>IF($K830="","",INDEX(Конструктор!$N$2:$N$1212,$K830))</f>
        <v/>
      </c>
      <c r="I830" s="10" t="str">
        <f>IF($K830="","",INDEX(Конструктор!$O$2:$O$1212,$K830))</f>
        <v/>
      </c>
      <c r="J830" s="10" t="str">
        <f>IF($K830="","",INDEX(Конструктор!$P$2:$P$1212,$K830))</f>
        <v/>
      </c>
      <c r="K830" t="str">
        <f>IFERROR(MATCH(810,Конструктор!$T$2:$T$1212,0),"")</f>
        <v/>
      </c>
      <c r="L830" t="str">
        <f t="shared" si="12"/>
        <v/>
      </c>
    </row>
    <row r="831" spans="1:12" hidden="1" x14ac:dyDescent="0.3">
      <c r="A831" t="str">
        <f>IF($K831="","",811)</f>
        <v/>
      </c>
      <c r="B831" t="str">
        <f>IF($K831="","",INDEX(Конструктор!$C$2:$C$1212,$K831))</f>
        <v/>
      </c>
      <c r="C831" s="8" t="str">
        <f>IF($K831="","",INDEX(Конструктор!$D$2:$D$1212,$K831)&amp;IF(INDEX(Конструктор!$J$2:$J$1212,$K831)&lt;&gt;""," — "&amp;INDEX(Конструктор!$J$2:$J$1212,$K831),""))</f>
        <v/>
      </c>
      <c r="D831" t="str">
        <f>IF($K831="","",INDEX(Конструктор!$E$2:$E$1212,$K831))</f>
        <v/>
      </c>
      <c r="E831" s="10" t="str">
        <f>IF($K831="","",INDEX(Конструктор!$H$2:$H$1212,$K831))</f>
        <v/>
      </c>
      <c r="F831" s="10" t="str">
        <f>IF($K831="","",INDEX(Конструктор!$L$2:$L$1212,$K831))</f>
        <v/>
      </c>
      <c r="G831" s="10" t="str">
        <f>IF($K831="","",INDEX(Конструктор!$M$2:$M$1212,$K831))</f>
        <v/>
      </c>
      <c r="H831" s="10" t="str">
        <f>IF($K831="","",INDEX(Конструктор!$N$2:$N$1212,$K831))</f>
        <v/>
      </c>
      <c r="I831" s="10" t="str">
        <f>IF($K831="","",INDEX(Конструктор!$O$2:$O$1212,$K831))</f>
        <v/>
      </c>
      <c r="J831" s="10" t="str">
        <f>IF($K831="","",INDEX(Конструктор!$P$2:$P$1212,$K831))</f>
        <v/>
      </c>
      <c r="K831" t="str">
        <f>IFERROR(MATCH(811,Конструктор!$T$2:$T$1212,0),"")</f>
        <v/>
      </c>
      <c r="L831" t="str">
        <f t="shared" si="12"/>
        <v/>
      </c>
    </row>
    <row r="832" spans="1:12" hidden="1" x14ac:dyDescent="0.3">
      <c r="A832" t="str">
        <f>IF($K832="","",812)</f>
        <v/>
      </c>
      <c r="B832" t="str">
        <f>IF($K832="","",INDEX(Конструктор!$C$2:$C$1212,$K832))</f>
        <v/>
      </c>
      <c r="C832" s="8" t="str">
        <f>IF($K832="","",INDEX(Конструктор!$D$2:$D$1212,$K832)&amp;IF(INDEX(Конструктор!$J$2:$J$1212,$K832)&lt;&gt;""," — "&amp;INDEX(Конструктор!$J$2:$J$1212,$K832),""))</f>
        <v/>
      </c>
      <c r="D832" t="str">
        <f>IF($K832="","",INDEX(Конструктор!$E$2:$E$1212,$K832))</f>
        <v/>
      </c>
      <c r="E832" s="10" t="str">
        <f>IF($K832="","",INDEX(Конструктор!$H$2:$H$1212,$K832))</f>
        <v/>
      </c>
      <c r="F832" s="10" t="str">
        <f>IF($K832="","",INDEX(Конструктор!$L$2:$L$1212,$K832))</f>
        <v/>
      </c>
      <c r="G832" s="10" t="str">
        <f>IF($K832="","",INDEX(Конструктор!$M$2:$M$1212,$K832))</f>
        <v/>
      </c>
      <c r="H832" s="10" t="str">
        <f>IF($K832="","",INDEX(Конструктор!$N$2:$N$1212,$K832))</f>
        <v/>
      </c>
      <c r="I832" s="10" t="str">
        <f>IF($K832="","",INDEX(Конструктор!$O$2:$O$1212,$K832))</f>
        <v/>
      </c>
      <c r="J832" s="10" t="str">
        <f>IF($K832="","",INDEX(Конструктор!$P$2:$P$1212,$K832))</f>
        <v/>
      </c>
      <c r="K832" t="str">
        <f>IFERROR(MATCH(812,Конструктор!$T$2:$T$1212,0),"")</f>
        <v/>
      </c>
      <c r="L832" t="str">
        <f t="shared" si="12"/>
        <v/>
      </c>
    </row>
    <row r="833" spans="1:12" hidden="1" x14ac:dyDescent="0.3">
      <c r="A833" t="str">
        <f>IF($K833="","",813)</f>
        <v/>
      </c>
      <c r="B833" t="str">
        <f>IF($K833="","",INDEX(Конструктор!$C$2:$C$1212,$K833))</f>
        <v/>
      </c>
      <c r="C833" s="8" t="str">
        <f>IF($K833="","",INDEX(Конструктор!$D$2:$D$1212,$K833)&amp;IF(INDEX(Конструктор!$J$2:$J$1212,$K833)&lt;&gt;""," — "&amp;INDEX(Конструктор!$J$2:$J$1212,$K833),""))</f>
        <v/>
      </c>
      <c r="D833" t="str">
        <f>IF($K833="","",INDEX(Конструктор!$E$2:$E$1212,$K833))</f>
        <v/>
      </c>
      <c r="E833" s="10" t="str">
        <f>IF($K833="","",INDEX(Конструктор!$H$2:$H$1212,$K833))</f>
        <v/>
      </c>
      <c r="F833" s="10" t="str">
        <f>IF($K833="","",INDEX(Конструктор!$L$2:$L$1212,$K833))</f>
        <v/>
      </c>
      <c r="G833" s="10" t="str">
        <f>IF($K833="","",INDEX(Конструктор!$M$2:$M$1212,$K833))</f>
        <v/>
      </c>
      <c r="H833" s="10" t="str">
        <f>IF($K833="","",INDEX(Конструктор!$N$2:$N$1212,$K833))</f>
        <v/>
      </c>
      <c r="I833" s="10" t="str">
        <f>IF($K833="","",INDEX(Конструктор!$O$2:$O$1212,$K833))</f>
        <v/>
      </c>
      <c r="J833" s="10" t="str">
        <f>IF($K833="","",INDEX(Конструктор!$P$2:$P$1212,$K833))</f>
        <v/>
      </c>
      <c r="K833" t="str">
        <f>IFERROR(MATCH(813,Конструктор!$T$2:$T$1212,0),"")</f>
        <v/>
      </c>
      <c r="L833" t="str">
        <f t="shared" si="12"/>
        <v/>
      </c>
    </row>
    <row r="834" spans="1:12" hidden="1" x14ac:dyDescent="0.3">
      <c r="A834" t="str">
        <f>IF($K834="","",814)</f>
        <v/>
      </c>
      <c r="B834" t="str">
        <f>IF($K834="","",INDEX(Конструктор!$C$2:$C$1212,$K834))</f>
        <v/>
      </c>
      <c r="C834" s="8" t="str">
        <f>IF($K834="","",INDEX(Конструктор!$D$2:$D$1212,$K834)&amp;IF(INDEX(Конструктор!$J$2:$J$1212,$K834)&lt;&gt;""," — "&amp;INDEX(Конструктор!$J$2:$J$1212,$K834),""))</f>
        <v/>
      </c>
      <c r="D834" t="str">
        <f>IF($K834="","",INDEX(Конструктор!$E$2:$E$1212,$K834))</f>
        <v/>
      </c>
      <c r="E834" s="10" t="str">
        <f>IF($K834="","",INDEX(Конструктор!$H$2:$H$1212,$K834))</f>
        <v/>
      </c>
      <c r="F834" s="10" t="str">
        <f>IF($K834="","",INDEX(Конструктор!$L$2:$L$1212,$K834))</f>
        <v/>
      </c>
      <c r="G834" s="10" t="str">
        <f>IF($K834="","",INDEX(Конструктор!$M$2:$M$1212,$K834))</f>
        <v/>
      </c>
      <c r="H834" s="10" t="str">
        <f>IF($K834="","",INDEX(Конструктор!$N$2:$N$1212,$K834))</f>
        <v/>
      </c>
      <c r="I834" s="10" t="str">
        <f>IF($K834="","",INDEX(Конструктор!$O$2:$O$1212,$K834))</f>
        <v/>
      </c>
      <c r="J834" s="10" t="str">
        <f>IF($K834="","",INDEX(Конструктор!$P$2:$P$1212,$K834))</f>
        <v/>
      </c>
      <c r="K834" t="str">
        <f>IFERROR(MATCH(814,Конструктор!$T$2:$T$1212,0),"")</f>
        <v/>
      </c>
      <c r="L834" t="str">
        <f t="shared" si="12"/>
        <v/>
      </c>
    </row>
    <row r="835" spans="1:12" hidden="1" x14ac:dyDescent="0.3">
      <c r="A835" t="str">
        <f>IF($K835="","",815)</f>
        <v/>
      </c>
      <c r="B835" t="str">
        <f>IF($K835="","",INDEX(Конструктор!$C$2:$C$1212,$K835))</f>
        <v/>
      </c>
      <c r="C835" s="8" t="str">
        <f>IF($K835="","",INDEX(Конструктор!$D$2:$D$1212,$K835)&amp;IF(INDEX(Конструктор!$J$2:$J$1212,$K835)&lt;&gt;""," — "&amp;INDEX(Конструктор!$J$2:$J$1212,$K835),""))</f>
        <v/>
      </c>
      <c r="D835" t="str">
        <f>IF($K835="","",INDEX(Конструктор!$E$2:$E$1212,$K835))</f>
        <v/>
      </c>
      <c r="E835" s="10" t="str">
        <f>IF($K835="","",INDEX(Конструктор!$H$2:$H$1212,$K835))</f>
        <v/>
      </c>
      <c r="F835" s="10" t="str">
        <f>IF($K835="","",INDEX(Конструктор!$L$2:$L$1212,$K835))</f>
        <v/>
      </c>
      <c r="G835" s="10" t="str">
        <f>IF($K835="","",INDEX(Конструктор!$M$2:$M$1212,$K835))</f>
        <v/>
      </c>
      <c r="H835" s="10" t="str">
        <f>IF($K835="","",INDEX(Конструктор!$N$2:$N$1212,$K835))</f>
        <v/>
      </c>
      <c r="I835" s="10" t="str">
        <f>IF($K835="","",INDEX(Конструктор!$O$2:$O$1212,$K835))</f>
        <v/>
      </c>
      <c r="J835" s="10" t="str">
        <f>IF($K835="","",INDEX(Конструктор!$P$2:$P$1212,$K835))</f>
        <v/>
      </c>
      <c r="K835" t="str">
        <f>IFERROR(MATCH(815,Конструктор!$T$2:$T$1212,0),"")</f>
        <v/>
      </c>
      <c r="L835" t="str">
        <f t="shared" si="12"/>
        <v/>
      </c>
    </row>
    <row r="836" spans="1:12" hidden="1" x14ac:dyDescent="0.3">
      <c r="A836" t="str">
        <f>IF($K836="","",816)</f>
        <v/>
      </c>
      <c r="B836" t="str">
        <f>IF($K836="","",INDEX(Конструктор!$C$2:$C$1212,$K836))</f>
        <v/>
      </c>
      <c r="C836" s="8" t="str">
        <f>IF($K836="","",INDEX(Конструктор!$D$2:$D$1212,$K836)&amp;IF(INDEX(Конструктор!$J$2:$J$1212,$K836)&lt;&gt;""," — "&amp;INDEX(Конструктор!$J$2:$J$1212,$K836),""))</f>
        <v/>
      </c>
      <c r="D836" t="str">
        <f>IF($K836="","",INDEX(Конструктор!$E$2:$E$1212,$K836))</f>
        <v/>
      </c>
      <c r="E836" s="10" t="str">
        <f>IF($K836="","",INDEX(Конструктор!$H$2:$H$1212,$K836))</f>
        <v/>
      </c>
      <c r="F836" s="10" t="str">
        <f>IF($K836="","",INDEX(Конструктор!$L$2:$L$1212,$K836))</f>
        <v/>
      </c>
      <c r="G836" s="10" t="str">
        <f>IF($K836="","",INDEX(Конструктор!$M$2:$M$1212,$K836))</f>
        <v/>
      </c>
      <c r="H836" s="10" t="str">
        <f>IF($K836="","",INDEX(Конструктор!$N$2:$N$1212,$K836))</f>
        <v/>
      </c>
      <c r="I836" s="10" t="str">
        <f>IF($K836="","",INDEX(Конструктор!$O$2:$O$1212,$K836))</f>
        <v/>
      </c>
      <c r="J836" s="10" t="str">
        <f>IF($K836="","",INDEX(Конструктор!$P$2:$P$1212,$K836))</f>
        <v/>
      </c>
      <c r="K836" t="str">
        <f>IFERROR(MATCH(816,Конструктор!$T$2:$T$1212,0),"")</f>
        <v/>
      </c>
      <c r="L836" t="str">
        <f t="shared" si="12"/>
        <v/>
      </c>
    </row>
    <row r="837" spans="1:12" hidden="1" x14ac:dyDescent="0.3">
      <c r="A837" t="str">
        <f>IF($K837="","",817)</f>
        <v/>
      </c>
      <c r="B837" t="str">
        <f>IF($K837="","",INDEX(Конструктор!$C$2:$C$1212,$K837))</f>
        <v/>
      </c>
      <c r="C837" s="8" t="str">
        <f>IF($K837="","",INDEX(Конструктор!$D$2:$D$1212,$K837)&amp;IF(INDEX(Конструктор!$J$2:$J$1212,$K837)&lt;&gt;""," — "&amp;INDEX(Конструктор!$J$2:$J$1212,$K837),""))</f>
        <v/>
      </c>
      <c r="D837" t="str">
        <f>IF($K837="","",INDEX(Конструктор!$E$2:$E$1212,$K837))</f>
        <v/>
      </c>
      <c r="E837" s="10" t="str">
        <f>IF($K837="","",INDEX(Конструктор!$H$2:$H$1212,$K837))</f>
        <v/>
      </c>
      <c r="F837" s="10" t="str">
        <f>IF($K837="","",INDEX(Конструктор!$L$2:$L$1212,$K837))</f>
        <v/>
      </c>
      <c r="G837" s="10" t="str">
        <f>IF($K837="","",INDEX(Конструктор!$M$2:$M$1212,$K837))</f>
        <v/>
      </c>
      <c r="H837" s="10" t="str">
        <f>IF($K837="","",INDEX(Конструктор!$N$2:$N$1212,$K837))</f>
        <v/>
      </c>
      <c r="I837" s="10" t="str">
        <f>IF($K837="","",INDEX(Конструктор!$O$2:$O$1212,$K837))</f>
        <v/>
      </c>
      <c r="J837" s="10" t="str">
        <f>IF($K837="","",INDEX(Конструктор!$P$2:$P$1212,$K837))</f>
        <v/>
      </c>
      <c r="K837" t="str">
        <f>IFERROR(MATCH(817,Конструктор!$T$2:$T$1212,0),"")</f>
        <v/>
      </c>
      <c r="L837" t="str">
        <f t="shared" si="12"/>
        <v/>
      </c>
    </row>
    <row r="838" spans="1:12" hidden="1" x14ac:dyDescent="0.3">
      <c r="A838" t="str">
        <f>IF($K838="","",818)</f>
        <v/>
      </c>
      <c r="B838" t="str">
        <f>IF($K838="","",INDEX(Конструктор!$C$2:$C$1212,$K838))</f>
        <v/>
      </c>
      <c r="C838" s="8" t="str">
        <f>IF($K838="","",INDEX(Конструктор!$D$2:$D$1212,$K838)&amp;IF(INDEX(Конструктор!$J$2:$J$1212,$K838)&lt;&gt;""," — "&amp;INDEX(Конструктор!$J$2:$J$1212,$K838),""))</f>
        <v/>
      </c>
      <c r="D838" t="str">
        <f>IF($K838="","",INDEX(Конструктор!$E$2:$E$1212,$K838))</f>
        <v/>
      </c>
      <c r="E838" s="10" t="str">
        <f>IF($K838="","",INDEX(Конструктор!$H$2:$H$1212,$K838))</f>
        <v/>
      </c>
      <c r="F838" s="10" t="str">
        <f>IF($K838="","",INDEX(Конструктор!$L$2:$L$1212,$K838))</f>
        <v/>
      </c>
      <c r="G838" s="10" t="str">
        <f>IF($K838="","",INDEX(Конструктор!$M$2:$M$1212,$K838))</f>
        <v/>
      </c>
      <c r="H838" s="10" t="str">
        <f>IF($K838="","",INDEX(Конструктор!$N$2:$N$1212,$K838))</f>
        <v/>
      </c>
      <c r="I838" s="10" t="str">
        <f>IF($K838="","",INDEX(Конструктор!$O$2:$O$1212,$K838))</f>
        <v/>
      </c>
      <c r="J838" s="10" t="str">
        <f>IF($K838="","",INDEX(Конструктор!$P$2:$P$1212,$K838))</f>
        <v/>
      </c>
      <c r="K838" t="str">
        <f>IFERROR(MATCH(818,Конструктор!$T$2:$T$1212,0),"")</f>
        <v/>
      </c>
      <c r="L838" t="str">
        <f t="shared" si="12"/>
        <v/>
      </c>
    </row>
    <row r="839" spans="1:12" hidden="1" x14ac:dyDescent="0.3">
      <c r="A839" t="str">
        <f>IF($K839="","",819)</f>
        <v/>
      </c>
      <c r="B839" t="str">
        <f>IF($K839="","",INDEX(Конструктор!$C$2:$C$1212,$K839))</f>
        <v/>
      </c>
      <c r="C839" s="8" t="str">
        <f>IF($K839="","",INDEX(Конструктор!$D$2:$D$1212,$K839)&amp;IF(INDEX(Конструктор!$J$2:$J$1212,$K839)&lt;&gt;""," — "&amp;INDEX(Конструктор!$J$2:$J$1212,$K839),""))</f>
        <v/>
      </c>
      <c r="D839" t="str">
        <f>IF($K839="","",INDEX(Конструктор!$E$2:$E$1212,$K839))</f>
        <v/>
      </c>
      <c r="E839" s="10" t="str">
        <f>IF($K839="","",INDEX(Конструктор!$H$2:$H$1212,$K839))</f>
        <v/>
      </c>
      <c r="F839" s="10" t="str">
        <f>IF($K839="","",INDEX(Конструктор!$L$2:$L$1212,$K839))</f>
        <v/>
      </c>
      <c r="G839" s="10" t="str">
        <f>IF($K839="","",INDEX(Конструктор!$M$2:$M$1212,$K839))</f>
        <v/>
      </c>
      <c r="H839" s="10" t="str">
        <f>IF($K839="","",INDEX(Конструктор!$N$2:$N$1212,$K839))</f>
        <v/>
      </c>
      <c r="I839" s="10" t="str">
        <f>IF($K839="","",INDEX(Конструктор!$O$2:$O$1212,$K839))</f>
        <v/>
      </c>
      <c r="J839" s="10" t="str">
        <f>IF($K839="","",INDEX(Конструктор!$P$2:$P$1212,$K839))</f>
        <v/>
      </c>
      <c r="K839" t="str">
        <f>IFERROR(MATCH(819,Конструктор!$T$2:$T$1212,0),"")</f>
        <v/>
      </c>
      <c r="L839" t="str">
        <f t="shared" si="12"/>
        <v/>
      </c>
    </row>
    <row r="840" spans="1:12" hidden="1" x14ac:dyDescent="0.3">
      <c r="A840" t="str">
        <f>IF($K840="","",820)</f>
        <v/>
      </c>
      <c r="B840" t="str">
        <f>IF($K840="","",INDEX(Конструктор!$C$2:$C$1212,$K840))</f>
        <v/>
      </c>
      <c r="C840" s="8" t="str">
        <f>IF($K840="","",INDEX(Конструктор!$D$2:$D$1212,$K840)&amp;IF(INDEX(Конструктор!$J$2:$J$1212,$K840)&lt;&gt;""," — "&amp;INDEX(Конструктор!$J$2:$J$1212,$K840),""))</f>
        <v/>
      </c>
      <c r="D840" t="str">
        <f>IF($K840="","",INDEX(Конструктор!$E$2:$E$1212,$K840))</f>
        <v/>
      </c>
      <c r="E840" s="10" t="str">
        <f>IF($K840="","",INDEX(Конструктор!$H$2:$H$1212,$K840))</f>
        <v/>
      </c>
      <c r="F840" s="10" t="str">
        <f>IF($K840="","",INDEX(Конструктор!$L$2:$L$1212,$K840))</f>
        <v/>
      </c>
      <c r="G840" s="10" t="str">
        <f>IF($K840="","",INDEX(Конструктор!$M$2:$M$1212,$K840))</f>
        <v/>
      </c>
      <c r="H840" s="10" t="str">
        <f>IF($K840="","",INDEX(Конструктор!$N$2:$N$1212,$K840))</f>
        <v/>
      </c>
      <c r="I840" s="10" t="str">
        <f>IF($K840="","",INDEX(Конструктор!$O$2:$O$1212,$K840))</f>
        <v/>
      </c>
      <c r="J840" s="10" t="str">
        <f>IF($K840="","",INDEX(Конструктор!$P$2:$P$1212,$K840))</f>
        <v/>
      </c>
      <c r="K840" t="str">
        <f>IFERROR(MATCH(820,Конструктор!$T$2:$T$1212,0),"")</f>
        <v/>
      </c>
      <c r="L840" t="str">
        <f t="shared" si="12"/>
        <v/>
      </c>
    </row>
    <row r="841" spans="1:12" hidden="1" x14ac:dyDescent="0.3">
      <c r="A841" t="str">
        <f>IF($K841="","",821)</f>
        <v/>
      </c>
      <c r="B841" t="str">
        <f>IF($K841="","",INDEX(Конструктор!$C$2:$C$1212,$K841))</f>
        <v/>
      </c>
      <c r="C841" s="8" t="str">
        <f>IF($K841="","",INDEX(Конструктор!$D$2:$D$1212,$K841)&amp;IF(INDEX(Конструктор!$J$2:$J$1212,$K841)&lt;&gt;""," — "&amp;INDEX(Конструктор!$J$2:$J$1212,$K841),""))</f>
        <v/>
      </c>
      <c r="D841" t="str">
        <f>IF($K841="","",INDEX(Конструктор!$E$2:$E$1212,$K841))</f>
        <v/>
      </c>
      <c r="E841" s="10" t="str">
        <f>IF($K841="","",INDEX(Конструктор!$H$2:$H$1212,$K841))</f>
        <v/>
      </c>
      <c r="F841" s="10" t="str">
        <f>IF($K841="","",INDEX(Конструктор!$L$2:$L$1212,$K841))</f>
        <v/>
      </c>
      <c r="G841" s="10" t="str">
        <f>IF($K841="","",INDEX(Конструктор!$M$2:$M$1212,$K841))</f>
        <v/>
      </c>
      <c r="H841" s="10" t="str">
        <f>IF($K841="","",INDEX(Конструктор!$N$2:$N$1212,$K841))</f>
        <v/>
      </c>
      <c r="I841" s="10" t="str">
        <f>IF($K841="","",INDEX(Конструктор!$O$2:$O$1212,$K841))</f>
        <v/>
      </c>
      <c r="J841" s="10" t="str">
        <f>IF($K841="","",INDEX(Конструктор!$P$2:$P$1212,$K841))</f>
        <v/>
      </c>
      <c r="K841" t="str">
        <f>IFERROR(MATCH(821,Конструктор!$T$2:$T$1212,0),"")</f>
        <v/>
      </c>
      <c r="L841" t="str">
        <f t="shared" si="12"/>
        <v/>
      </c>
    </row>
    <row r="842" spans="1:12" hidden="1" x14ac:dyDescent="0.3">
      <c r="A842" t="str">
        <f>IF($K842="","",822)</f>
        <v/>
      </c>
      <c r="B842" t="str">
        <f>IF($K842="","",INDEX(Конструктор!$C$2:$C$1212,$K842))</f>
        <v/>
      </c>
      <c r="C842" s="8" t="str">
        <f>IF($K842="","",INDEX(Конструктор!$D$2:$D$1212,$K842)&amp;IF(INDEX(Конструктор!$J$2:$J$1212,$K842)&lt;&gt;""," — "&amp;INDEX(Конструктор!$J$2:$J$1212,$K842),""))</f>
        <v/>
      </c>
      <c r="D842" t="str">
        <f>IF($K842="","",INDEX(Конструктор!$E$2:$E$1212,$K842))</f>
        <v/>
      </c>
      <c r="E842" s="10" t="str">
        <f>IF($K842="","",INDEX(Конструктор!$H$2:$H$1212,$K842))</f>
        <v/>
      </c>
      <c r="F842" s="10" t="str">
        <f>IF($K842="","",INDEX(Конструктор!$L$2:$L$1212,$K842))</f>
        <v/>
      </c>
      <c r="G842" s="10" t="str">
        <f>IF($K842="","",INDEX(Конструктор!$M$2:$M$1212,$K842))</f>
        <v/>
      </c>
      <c r="H842" s="10" t="str">
        <f>IF($K842="","",INDEX(Конструктор!$N$2:$N$1212,$K842))</f>
        <v/>
      </c>
      <c r="I842" s="10" t="str">
        <f>IF($K842="","",INDEX(Конструктор!$O$2:$O$1212,$K842))</f>
        <v/>
      </c>
      <c r="J842" s="10" t="str">
        <f>IF($K842="","",INDEX(Конструктор!$P$2:$P$1212,$K842))</f>
        <v/>
      </c>
      <c r="K842" t="str">
        <f>IFERROR(MATCH(822,Конструктор!$T$2:$T$1212,0),"")</f>
        <v/>
      </c>
      <c r="L842" t="str">
        <f t="shared" si="12"/>
        <v/>
      </c>
    </row>
    <row r="843" spans="1:12" hidden="1" x14ac:dyDescent="0.3">
      <c r="A843" t="str">
        <f>IF($K843="","",823)</f>
        <v/>
      </c>
      <c r="B843" t="str">
        <f>IF($K843="","",INDEX(Конструктор!$C$2:$C$1212,$K843))</f>
        <v/>
      </c>
      <c r="C843" s="8" t="str">
        <f>IF($K843="","",INDEX(Конструктор!$D$2:$D$1212,$K843)&amp;IF(INDEX(Конструктор!$J$2:$J$1212,$K843)&lt;&gt;""," — "&amp;INDEX(Конструктор!$J$2:$J$1212,$K843),""))</f>
        <v/>
      </c>
      <c r="D843" t="str">
        <f>IF($K843="","",INDEX(Конструктор!$E$2:$E$1212,$K843))</f>
        <v/>
      </c>
      <c r="E843" s="10" t="str">
        <f>IF($K843="","",INDEX(Конструктор!$H$2:$H$1212,$K843))</f>
        <v/>
      </c>
      <c r="F843" s="10" t="str">
        <f>IF($K843="","",INDEX(Конструктор!$L$2:$L$1212,$K843))</f>
        <v/>
      </c>
      <c r="G843" s="10" t="str">
        <f>IF($K843="","",INDEX(Конструктор!$M$2:$M$1212,$K843))</f>
        <v/>
      </c>
      <c r="H843" s="10" t="str">
        <f>IF($K843="","",INDEX(Конструктор!$N$2:$N$1212,$K843))</f>
        <v/>
      </c>
      <c r="I843" s="10" t="str">
        <f>IF($K843="","",INDEX(Конструктор!$O$2:$O$1212,$K843))</f>
        <v/>
      </c>
      <c r="J843" s="10" t="str">
        <f>IF($K843="","",INDEX(Конструктор!$P$2:$P$1212,$K843))</f>
        <v/>
      </c>
      <c r="K843" t="str">
        <f>IFERROR(MATCH(823,Конструктор!$T$2:$T$1212,0),"")</f>
        <v/>
      </c>
      <c r="L843" t="str">
        <f t="shared" si="12"/>
        <v/>
      </c>
    </row>
    <row r="844" spans="1:12" hidden="1" x14ac:dyDescent="0.3">
      <c r="A844" t="str">
        <f>IF($K844="","",824)</f>
        <v/>
      </c>
      <c r="B844" t="str">
        <f>IF($K844="","",INDEX(Конструктор!$C$2:$C$1212,$K844))</f>
        <v/>
      </c>
      <c r="C844" s="8" t="str">
        <f>IF($K844="","",INDEX(Конструктор!$D$2:$D$1212,$K844)&amp;IF(INDEX(Конструктор!$J$2:$J$1212,$K844)&lt;&gt;""," — "&amp;INDEX(Конструктор!$J$2:$J$1212,$K844),""))</f>
        <v/>
      </c>
      <c r="D844" t="str">
        <f>IF($K844="","",INDEX(Конструктор!$E$2:$E$1212,$K844))</f>
        <v/>
      </c>
      <c r="E844" s="10" t="str">
        <f>IF($K844="","",INDEX(Конструктор!$H$2:$H$1212,$K844))</f>
        <v/>
      </c>
      <c r="F844" s="10" t="str">
        <f>IF($K844="","",INDEX(Конструктор!$L$2:$L$1212,$K844))</f>
        <v/>
      </c>
      <c r="G844" s="10" t="str">
        <f>IF($K844="","",INDEX(Конструктор!$M$2:$M$1212,$K844))</f>
        <v/>
      </c>
      <c r="H844" s="10" t="str">
        <f>IF($K844="","",INDEX(Конструктор!$N$2:$N$1212,$K844))</f>
        <v/>
      </c>
      <c r="I844" s="10" t="str">
        <f>IF($K844="","",INDEX(Конструктор!$O$2:$O$1212,$K844))</f>
        <v/>
      </c>
      <c r="J844" s="10" t="str">
        <f>IF($K844="","",INDEX(Конструктор!$P$2:$P$1212,$K844))</f>
        <v/>
      </c>
      <c r="K844" t="str">
        <f>IFERROR(MATCH(824,Конструктор!$T$2:$T$1212,0),"")</f>
        <v/>
      </c>
      <c r="L844" t="str">
        <f t="shared" si="12"/>
        <v/>
      </c>
    </row>
    <row r="845" spans="1:12" hidden="1" x14ac:dyDescent="0.3">
      <c r="A845" t="str">
        <f>IF($K845="","",825)</f>
        <v/>
      </c>
      <c r="B845" t="str">
        <f>IF($K845="","",INDEX(Конструктор!$C$2:$C$1212,$K845))</f>
        <v/>
      </c>
      <c r="C845" s="8" t="str">
        <f>IF($K845="","",INDEX(Конструктор!$D$2:$D$1212,$K845)&amp;IF(INDEX(Конструктор!$J$2:$J$1212,$K845)&lt;&gt;""," — "&amp;INDEX(Конструктор!$J$2:$J$1212,$K845),""))</f>
        <v/>
      </c>
      <c r="D845" t="str">
        <f>IF($K845="","",INDEX(Конструктор!$E$2:$E$1212,$K845))</f>
        <v/>
      </c>
      <c r="E845" s="10" t="str">
        <f>IF($K845="","",INDEX(Конструктор!$H$2:$H$1212,$K845))</f>
        <v/>
      </c>
      <c r="F845" s="10" t="str">
        <f>IF($K845="","",INDEX(Конструктор!$L$2:$L$1212,$K845))</f>
        <v/>
      </c>
      <c r="G845" s="10" t="str">
        <f>IF($K845="","",INDEX(Конструктор!$M$2:$M$1212,$K845))</f>
        <v/>
      </c>
      <c r="H845" s="10" t="str">
        <f>IF($K845="","",INDEX(Конструктор!$N$2:$N$1212,$K845))</f>
        <v/>
      </c>
      <c r="I845" s="10" t="str">
        <f>IF($K845="","",INDEX(Конструктор!$O$2:$O$1212,$K845))</f>
        <v/>
      </c>
      <c r="J845" s="10" t="str">
        <f>IF($K845="","",INDEX(Конструктор!$P$2:$P$1212,$K845))</f>
        <v/>
      </c>
      <c r="K845" t="str">
        <f>IFERROR(MATCH(825,Конструктор!$T$2:$T$1212,0),"")</f>
        <v/>
      </c>
      <c r="L845" t="str">
        <f t="shared" si="12"/>
        <v/>
      </c>
    </row>
    <row r="846" spans="1:12" hidden="1" x14ac:dyDescent="0.3">
      <c r="A846" t="str">
        <f>IF($K846="","",826)</f>
        <v/>
      </c>
      <c r="B846" t="str">
        <f>IF($K846="","",INDEX(Конструктор!$C$2:$C$1212,$K846))</f>
        <v/>
      </c>
      <c r="C846" s="8" t="str">
        <f>IF($K846="","",INDEX(Конструктор!$D$2:$D$1212,$K846)&amp;IF(INDEX(Конструктор!$J$2:$J$1212,$K846)&lt;&gt;""," — "&amp;INDEX(Конструктор!$J$2:$J$1212,$K846),""))</f>
        <v/>
      </c>
      <c r="D846" t="str">
        <f>IF($K846="","",INDEX(Конструктор!$E$2:$E$1212,$K846))</f>
        <v/>
      </c>
      <c r="E846" s="10" t="str">
        <f>IF($K846="","",INDEX(Конструктор!$H$2:$H$1212,$K846))</f>
        <v/>
      </c>
      <c r="F846" s="10" t="str">
        <f>IF($K846="","",INDEX(Конструктор!$L$2:$L$1212,$K846))</f>
        <v/>
      </c>
      <c r="G846" s="10" t="str">
        <f>IF($K846="","",INDEX(Конструктор!$M$2:$M$1212,$K846))</f>
        <v/>
      </c>
      <c r="H846" s="10" t="str">
        <f>IF($K846="","",INDEX(Конструктор!$N$2:$N$1212,$K846))</f>
        <v/>
      </c>
      <c r="I846" s="10" t="str">
        <f>IF($K846="","",INDEX(Конструктор!$O$2:$O$1212,$K846))</f>
        <v/>
      </c>
      <c r="J846" s="10" t="str">
        <f>IF($K846="","",INDEX(Конструктор!$P$2:$P$1212,$K846))</f>
        <v/>
      </c>
      <c r="K846" t="str">
        <f>IFERROR(MATCH(826,Конструктор!$T$2:$T$1212,0),"")</f>
        <v/>
      </c>
      <c r="L846" t="str">
        <f t="shared" si="12"/>
        <v/>
      </c>
    </row>
    <row r="847" spans="1:12" hidden="1" x14ac:dyDescent="0.3">
      <c r="A847" t="str">
        <f>IF($K847="","",827)</f>
        <v/>
      </c>
      <c r="B847" t="str">
        <f>IF($K847="","",INDEX(Конструктор!$C$2:$C$1212,$K847))</f>
        <v/>
      </c>
      <c r="C847" s="8" t="str">
        <f>IF($K847="","",INDEX(Конструктор!$D$2:$D$1212,$K847)&amp;IF(INDEX(Конструктор!$J$2:$J$1212,$K847)&lt;&gt;""," — "&amp;INDEX(Конструктор!$J$2:$J$1212,$K847),""))</f>
        <v/>
      </c>
      <c r="D847" t="str">
        <f>IF($K847="","",INDEX(Конструктор!$E$2:$E$1212,$K847))</f>
        <v/>
      </c>
      <c r="E847" s="10" t="str">
        <f>IF($K847="","",INDEX(Конструктор!$H$2:$H$1212,$K847))</f>
        <v/>
      </c>
      <c r="F847" s="10" t="str">
        <f>IF($K847="","",INDEX(Конструктор!$L$2:$L$1212,$K847))</f>
        <v/>
      </c>
      <c r="G847" s="10" t="str">
        <f>IF($K847="","",INDEX(Конструктор!$M$2:$M$1212,$K847))</f>
        <v/>
      </c>
      <c r="H847" s="10" t="str">
        <f>IF($K847="","",INDEX(Конструктор!$N$2:$N$1212,$K847))</f>
        <v/>
      </c>
      <c r="I847" s="10" t="str">
        <f>IF($K847="","",INDEX(Конструктор!$O$2:$O$1212,$K847))</f>
        <v/>
      </c>
      <c r="J847" s="10" t="str">
        <f>IF($K847="","",INDEX(Конструктор!$P$2:$P$1212,$K847))</f>
        <v/>
      </c>
      <c r="K847" t="str">
        <f>IFERROR(MATCH(827,Конструктор!$T$2:$T$1212,0),"")</f>
        <v/>
      </c>
      <c r="L847" t="str">
        <f t="shared" si="12"/>
        <v/>
      </c>
    </row>
    <row r="848" spans="1:12" hidden="1" x14ac:dyDescent="0.3">
      <c r="A848" t="str">
        <f>IF($K848="","",828)</f>
        <v/>
      </c>
      <c r="B848" t="str">
        <f>IF($K848="","",INDEX(Конструктор!$C$2:$C$1212,$K848))</f>
        <v/>
      </c>
      <c r="C848" s="8" t="str">
        <f>IF($K848="","",INDEX(Конструктор!$D$2:$D$1212,$K848)&amp;IF(INDEX(Конструктор!$J$2:$J$1212,$K848)&lt;&gt;""," — "&amp;INDEX(Конструктор!$J$2:$J$1212,$K848),""))</f>
        <v/>
      </c>
      <c r="D848" t="str">
        <f>IF($K848="","",INDEX(Конструктор!$E$2:$E$1212,$K848))</f>
        <v/>
      </c>
      <c r="E848" s="10" t="str">
        <f>IF($K848="","",INDEX(Конструктор!$H$2:$H$1212,$K848))</f>
        <v/>
      </c>
      <c r="F848" s="10" t="str">
        <f>IF($K848="","",INDEX(Конструктор!$L$2:$L$1212,$K848))</f>
        <v/>
      </c>
      <c r="G848" s="10" t="str">
        <f>IF($K848="","",INDEX(Конструктор!$M$2:$M$1212,$K848))</f>
        <v/>
      </c>
      <c r="H848" s="10" t="str">
        <f>IF($K848="","",INDEX(Конструктор!$N$2:$N$1212,$K848))</f>
        <v/>
      </c>
      <c r="I848" s="10" t="str">
        <f>IF($K848="","",INDEX(Конструктор!$O$2:$O$1212,$K848))</f>
        <v/>
      </c>
      <c r="J848" s="10" t="str">
        <f>IF($K848="","",INDEX(Конструктор!$P$2:$P$1212,$K848))</f>
        <v/>
      </c>
      <c r="K848" t="str">
        <f>IFERROR(MATCH(828,Конструктор!$T$2:$T$1212,0),"")</f>
        <v/>
      </c>
      <c r="L848" t="str">
        <f t="shared" si="12"/>
        <v/>
      </c>
    </row>
    <row r="849" spans="1:12" hidden="1" x14ac:dyDescent="0.3">
      <c r="A849" t="str">
        <f>IF($K849="","",829)</f>
        <v/>
      </c>
      <c r="B849" t="str">
        <f>IF($K849="","",INDEX(Конструктор!$C$2:$C$1212,$K849))</f>
        <v/>
      </c>
      <c r="C849" s="8" t="str">
        <f>IF($K849="","",INDEX(Конструктор!$D$2:$D$1212,$K849)&amp;IF(INDEX(Конструктор!$J$2:$J$1212,$K849)&lt;&gt;""," — "&amp;INDEX(Конструктор!$J$2:$J$1212,$K849),""))</f>
        <v/>
      </c>
      <c r="D849" t="str">
        <f>IF($K849="","",INDEX(Конструктор!$E$2:$E$1212,$K849))</f>
        <v/>
      </c>
      <c r="E849" s="10" t="str">
        <f>IF($K849="","",INDEX(Конструктор!$H$2:$H$1212,$K849))</f>
        <v/>
      </c>
      <c r="F849" s="10" t="str">
        <f>IF($K849="","",INDEX(Конструктор!$L$2:$L$1212,$K849))</f>
        <v/>
      </c>
      <c r="G849" s="10" t="str">
        <f>IF($K849="","",INDEX(Конструктор!$M$2:$M$1212,$K849))</f>
        <v/>
      </c>
      <c r="H849" s="10" t="str">
        <f>IF($K849="","",INDEX(Конструктор!$N$2:$N$1212,$K849))</f>
        <v/>
      </c>
      <c r="I849" s="10" t="str">
        <f>IF($K849="","",INDEX(Конструктор!$O$2:$O$1212,$K849))</f>
        <v/>
      </c>
      <c r="J849" s="10" t="str">
        <f>IF($K849="","",INDEX(Конструктор!$P$2:$P$1212,$K849))</f>
        <v/>
      </c>
      <c r="K849" t="str">
        <f>IFERROR(MATCH(829,Конструктор!$T$2:$T$1212,0),"")</f>
        <v/>
      </c>
      <c r="L849" t="str">
        <f t="shared" si="12"/>
        <v/>
      </c>
    </row>
    <row r="850" spans="1:12" hidden="1" x14ac:dyDescent="0.3">
      <c r="A850" t="str">
        <f>IF($K850="","",830)</f>
        <v/>
      </c>
      <c r="B850" t="str">
        <f>IF($K850="","",INDEX(Конструктор!$C$2:$C$1212,$K850))</f>
        <v/>
      </c>
      <c r="C850" s="8" t="str">
        <f>IF($K850="","",INDEX(Конструктор!$D$2:$D$1212,$K850)&amp;IF(INDEX(Конструктор!$J$2:$J$1212,$K850)&lt;&gt;""," — "&amp;INDEX(Конструктор!$J$2:$J$1212,$K850),""))</f>
        <v/>
      </c>
      <c r="D850" t="str">
        <f>IF($K850="","",INDEX(Конструктор!$E$2:$E$1212,$K850))</f>
        <v/>
      </c>
      <c r="E850" s="10" t="str">
        <f>IF($K850="","",INDEX(Конструктор!$H$2:$H$1212,$K850))</f>
        <v/>
      </c>
      <c r="F850" s="10" t="str">
        <f>IF($K850="","",INDEX(Конструктор!$L$2:$L$1212,$K850))</f>
        <v/>
      </c>
      <c r="G850" s="10" t="str">
        <f>IF($K850="","",INDEX(Конструктор!$M$2:$M$1212,$K850))</f>
        <v/>
      </c>
      <c r="H850" s="10" t="str">
        <f>IF($K850="","",INDEX(Конструктор!$N$2:$N$1212,$K850))</f>
        <v/>
      </c>
      <c r="I850" s="10" t="str">
        <f>IF($K850="","",INDEX(Конструктор!$O$2:$O$1212,$K850))</f>
        <v/>
      </c>
      <c r="J850" s="10" t="str">
        <f>IF($K850="","",INDEX(Конструктор!$P$2:$P$1212,$K850))</f>
        <v/>
      </c>
      <c r="K850" t="str">
        <f>IFERROR(MATCH(830,Конструктор!$T$2:$T$1212,0),"")</f>
        <v/>
      </c>
      <c r="L850" t="str">
        <f t="shared" si="12"/>
        <v/>
      </c>
    </row>
    <row r="851" spans="1:12" hidden="1" x14ac:dyDescent="0.3">
      <c r="A851" t="str">
        <f>IF($K851="","",831)</f>
        <v/>
      </c>
      <c r="B851" t="str">
        <f>IF($K851="","",INDEX(Конструктор!$C$2:$C$1212,$K851))</f>
        <v/>
      </c>
      <c r="C851" s="8" t="str">
        <f>IF($K851="","",INDEX(Конструктор!$D$2:$D$1212,$K851)&amp;IF(INDEX(Конструктор!$J$2:$J$1212,$K851)&lt;&gt;""," — "&amp;INDEX(Конструктор!$J$2:$J$1212,$K851),""))</f>
        <v/>
      </c>
      <c r="D851" t="str">
        <f>IF($K851="","",INDEX(Конструктор!$E$2:$E$1212,$K851))</f>
        <v/>
      </c>
      <c r="E851" s="10" t="str">
        <f>IF($K851="","",INDEX(Конструктор!$H$2:$H$1212,$K851))</f>
        <v/>
      </c>
      <c r="F851" s="10" t="str">
        <f>IF($K851="","",INDEX(Конструктор!$L$2:$L$1212,$K851))</f>
        <v/>
      </c>
      <c r="G851" s="10" t="str">
        <f>IF($K851="","",INDEX(Конструктор!$M$2:$M$1212,$K851))</f>
        <v/>
      </c>
      <c r="H851" s="10" t="str">
        <f>IF($K851="","",INDEX(Конструктор!$N$2:$N$1212,$K851))</f>
        <v/>
      </c>
      <c r="I851" s="10" t="str">
        <f>IF($K851="","",INDEX(Конструктор!$O$2:$O$1212,$K851))</f>
        <v/>
      </c>
      <c r="J851" s="10" t="str">
        <f>IF($K851="","",INDEX(Конструктор!$P$2:$P$1212,$K851))</f>
        <v/>
      </c>
      <c r="K851" t="str">
        <f>IFERROR(MATCH(831,Конструктор!$T$2:$T$1212,0),"")</f>
        <v/>
      </c>
      <c r="L851" t="str">
        <f t="shared" si="12"/>
        <v/>
      </c>
    </row>
    <row r="852" spans="1:12" hidden="1" x14ac:dyDescent="0.3">
      <c r="A852" t="str">
        <f>IF($K852="","",832)</f>
        <v/>
      </c>
      <c r="B852" t="str">
        <f>IF($K852="","",INDEX(Конструктор!$C$2:$C$1212,$K852))</f>
        <v/>
      </c>
      <c r="C852" s="8" t="str">
        <f>IF($K852="","",INDEX(Конструктор!$D$2:$D$1212,$K852)&amp;IF(INDEX(Конструктор!$J$2:$J$1212,$K852)&lt;&gt;""," — "&amp;INDEX(Конструктор!$J$2:$J$1212,$K852),""))</f>
        <v/>
      </c>
      <c r="D852" t="str">
        <f>IF($K852="","",INDEX(Конструктор!$E$2:$E$1212,$K852))</f>
        <v/>
      </c>
      <c r="E852" s="10" t="str">
        <f>IF($K852="","",INDEX(Конструктор!$H$2:$H$1212,$K852))</f>
        <v/>
      </c>
      <c r="F852" s="10" t="str">
        <f>IF($K852="","",INDEX(Конструктор!$L$2:$L$1212,$K852))</f>
        <v/>
      </c>
      <c r="G852" s="10" t="str">
        <f>IF($K852="","",INDEX(Конструктор!$M$2:$M$1212,$K852))</f>
        <v/>
      </c>
      <c r="H852" s="10" t="str">
        <f>IF($K852="","",INDEX(Конструктор!$N$2:$N$1212,$K852))</f>
        <v/>
      </c>
      <c r="I852" s="10" t="str">
        <f>IF($K852="","",INDEX(Конструктор!$O$2:$O$1212,$K852))</f>
        <v/>
      </c>
      <c r="J852" s="10" t="str">
        <f>IF($K852="","",INDEX(Конструктор!$P$2:$P$1212,$K852))</f>
        <v/>
      </c>
      <c r="K852" t="str">
        <f>IFERROR(MATCH(832,Конструктор!$T$2:$T$1212,0),"")</f>
        <v/>
      </c>
      <c r="L852" t="str">
        <f t="shared" si="12"/>
        <v/>
      </c>
    </row>
    <row r="853" spans="1:12" hidden="1" x14ac:dyDescent="0.3">
      <c r="A853" t="str">
        <f>IF($K853="","",833)</f>
        <v/>
      </c>
      <c r="B853" t="str">
        <f>IF($K853="","",INDEX(Конструктор!$C$2:$C$1212,$K853))</f>
        <v/>
      </c>
      <c r="C853" s="8" t="str">
        <f>IF($K853="","",INDEX(Конструктор!$D$2:$D$1212,$K853)&amp;IF(INDEX(Конструктор!$J$2:$J$1212,$K853)&lt;&gt;""," — "&amp;INDEX(Конструктор!$J$2:$J$1212,$K853),""))</f>
        <v/>
      </c>
      <c r="D853" t="str">
        <f>IF($K853="","",INDEX(Конструктор!$E$2:$E$1212,$K853))</f>
        <v/>
      </c>
      <c r="E853" s="10" t="str">
        <f>IF($K853="","",INDEX(Конструктор!$H$2:$H$1212,$K853))</f>
        <v/>
      </c>
      <c r="F853" s="10" t="str">
        <f>IF($K853="","",INDEX(Конструктор!$L$2:$L$1212,$K853))</f>
        <v/>
      </c>
      <c r="G853" s="10" t="str">
        <f>IF($K853="","",INDEX(Конструктор!$M$2:$M$1212,$K853))</f>
        <v/>
      </c>
      <c r="H853" s="10" t="str">
        <f>IF($K853="","",INDEX(Конструктор!$N$2:$N$1212,$K853))</f>
        <v/>
      </c>
      <c r="I853" s="10" t="str">
        <f>IF($K853="","",INDEX(Конструктор!$O$2:$O$1212,$K853))</f>
        <v/>
      </c>
      <c r="J853" s="10" t="str">
        <f>IF($K853="","",INDEX(Конструктор!$P$2:$P$1212,$K853))</f>
        <v/>
      </c>
      <c r="K853" t="str">
        <f>IFERROR(MATCH(833,Конструктор!$T$2:$T$1212,0),"")</f>
        <v/>
      </c>
      <c r="L853" t="str">
        <f t="shared" ref="L853:L916" si="13">IF($K853="","","показать")</f>
        <v/>
      </c>
    </row>
    <row r="854" spans="1:12" hidden="1" x14ac:dyDescent="0.3">
      <c r="A854" t="str">
        <f>IF($K854="","",834)</f>
        <v/>
      </c>
      <c r="B854" t="str">
        <f>IF($K854="","",INDEX(Конструктор!$C$2:$C$1212,$K854))</f>
        <v/>
      </c>
      <c r="C854" s="8" t="str">
        <f>IF($K854="","",INDEX(Конструктор!$D$2:$D$1212,$K854)&amp;IF(INDEX(Конструктор!$J$2:$J$1212,$K854)&lt;&gt;""," — "&amp;INDEX(Конструктор!$J$2:$J$1212,$K854),""))</f>
        <v/>
      </c>
      <c r="D854" t="str">
        <f>IF($K854="","",INDEX(Конструктор!$E$2:$E$1212,$K854))</f>
        <v/>
      </c>
      <c r="E854" s="10" t="str">
        <f>IF($K854="","",INDEX(Конструктор!$H$2:$H$1212,$K854))</f>
        <v/>
      </c>
      <c r="F854" s="10" t="str">
        <f>IF($K854="","",INDEX(Конструктор!$L$2:$L$1212,$K854))</f>
        <v/>
      </c>
      <c r="G854" s="10" t="str">
        <f>IF($K854="","",INDEX(Конструктор!$M$2:$M$1212,$K854))</f>
        <v/>
      </c>
      <c r="H854" s="10" t="str">
        <f>IF($K854="","",INDEX(Конструктор!$N$2:$N$1212,$K854))</f>
        <v/>
      </c>
      <c r="I854" s="10" t="str">
        <f>IF($K854="","",INDEX(Конструктор!$O$2:$O$1212,$K854))</f>
        <v/>
      </c>
      <c r="J854" s="10" t="str">
        <f>IF($K854="","",INDEX(Конструктор!$P$2:$P$1212,$K854))</f>
        <v/>
      </c>
      <c r="K854" t="str">
        <f>IFERROR(MATCH(834,Конструктор!$T$2:$T$1212,0),"")</f>
        <v/>
      </c>
      <c r="L854" t="str">
        <f t="shared" si="13"/>
        <v/>
      </c>
    </row>
    <row r="855" spans="1:12" hidden="1" x14ac:dyDescent="0.3">
      <c r="A855" t="str">
        <f>IF($K855="","",835)</f>
        <v/>
      </c>
      <c r="B855" t="str">
        <f>IF($K855="","",INDEX(Конструктор!$C$2:$C$1212,$K855))</f>
        <v/>
      </c>
      <c r="C855" s="8" t="str">
        <f>IF($K855="","",INDEX(Конструктор!$D$2:$D$1212,$K855)&amp;IF(INDEX(Конструктор!$J$2:$J$1212,$K855)&lt;&gt;""," — "&amp;INDEX(Конструктор!$J$2:$J$1212,$K855),""))</f>
        <v/>
      </c>
      <c r="D855" t="str">
        <f>IF($K855="","",INDEX(Конструктор!$E$2:$E$1212,$K855))</f>
        <v/>
      </c>
      <c r="E855" s="10" t="str">
        <f>IF($K855="","",INDEX(Конструктор!$H$2:$H$1212,$K855))</f>
        <v/>
      </c>
      <c r="F855" s="10" t="str">
        <f>IF($K855="","",INDEX(Конструктор!$L$2:$L$1212,$K855))</f>
        <v/>
      </c>
      <c r="G855" s="10" t="str">
        <f>IF($K855="","",INDEX(Конструктор!$M$2:$M$1212,$K855))</f>
        <v/>
      </c>
      <c r="H855" s="10" t="str">
        <f>IF($K855="","",INDEX(Конструктор!$N$2:$N$1212,$K855))</f>
        <v/>
      </c>
      <c r="I855" s="10" t="str">
        <f>IF($K855="","",INDEX(Конструктор!$O$2:$O$1212,$K855))</f>
        <v/>
      </c>
      <c r="J855" s="10" t="str">
        <f>IF($K855="","",INDEX(Конструктор!$P$2:$P$1212,$K855))</f>
        <v/>
      </c>
      <c r="K855" t="str">
        <f>IFERROR(MATCH(835,Конструктор!$T$2:$T$1212,0),"")</f>
        <v/>
      </c>
      <c r="L855" t="str">
        <f t="shared" si="13"/>
        <v/>
      </c>
    </row>
    <row r="856" spans="1:12" hidden="1" x14ac:dyDescent="0.3">
      <c r="A856" t="str">
        <f>IF($K856="","",836)</f>
        <v/>
      </c>
      <c r="B856" t="str">
        <f>IF($K856="","",INDEX(Конструктор!$C$2:$C$1212,$K856))</f>
        <v/>
      </c>
      <c r="C856" s="8" t="str">
        <f>IF($K856="","",INDEX(Конструктор!$D$2:$D$1212,$K856)&amp;IF(INDEX(Конструктор!$J$2:$J$1212,$K856)&lt;&gt;""," — "&amp;INDEX(Конструктор!$J$2:$J$1212,$K856),""))</f>
        <v/>
      </c>
      <c r="D856" t="str">
        <f>IF($K856="","",INDEX(Конструктор!$E$2:$E$1212,$K856))</f>
        <v/>
      </c>
      <c r="E856" s="10" t="str">
        <f>IF($K856="","",INDEX(Конструктор!$H$2:$H$1212,$K856))</f>
        <v/>
      </c>
      <c r="F856" s="10" t="str">
        <f>IF($K856="","",INDEX(Конструктор!$L$2:$L$1212,$K856))</f>
        <v/>
      </c>
      <c r="G856" s="10" t="str">
        <f>IF($K856="","",INDEX(Конструктор!$M$2:$M$1212,$K856))</f>
        <v/>
      </c>
      <c r="H856" s="10" t="str">
        <f>IF($K856="","",INDEX(Конструктор!$N$2:$N$1212,$K856))</f>
        <v/>
      </c>
      <c r="I856" s="10" t="str">
        <f>IF($K856="","",INDEX(Конструктор!$O$2:$O$1212,$K856))</f>
        <v/>
      </c>
      <c r="J856" s="10" t="str">
        <f>IF($K856="","",INDEX(Конструктор!$P$2:$P$1212,$K856))</f>
        <v/>
      </c>
      <c r="K856" t="str">
        <f>IFERROR(MATCH(836,Конструктор!$T$2:$T$1212,0),"")</f>
        <v/>
      </c>
      <c r="L856" t="str">
        <f t="shared" si="13"/>
        <v/>
      </c>
    </row>
    <row r="857" spans="1:12" hidden="1" x14ac:dyDescent="0.3">
      <c r="A857" t="str">
        <f>IF($K857="","",837)</f>
        <v/>
      </c>
      <c r="B857" t="str">
        <f>IF($K857="","",INDEX(Конструктор!$C$2:$C$1212,$K857))</f>
        <v/>
      </c>
      <c r="C857" s="8" t="str">
        <f>IF($K857="","",INDEX(Конструктор!$D$2:$D$1212,$K857)&amp;IF(INDEX(Конструктор!$J$2:$J$1212,$K857)&lt;&gt;""," — "&amp;INDEX(Конструктор!$J$2:$J$1212,$K857),""))</f>
        <v/>
      </c>
      <c r="D857" t="str">
        <f>IF($K857="","",INDEX(Конструктор!$E$2:$E$1212,$K857))</f>
        <v/>
      </c>
      <c r="E857" s="10" t="str">
        <f>IF($K857="","",INDEX(Конструктор!$H$2:$H$1212,$K857))</f>
        <v/>
      </c>
      <c r="F857" s="10" t="str">
        <f>IF($K857="","",INDEX(Конструктор!$L$2:$L$1212,$K857))</f>
        <v/>
      </c>
      <c r="G857" s="10" t="str">
        <f>IF($K857="","",INDEX(Конструктор!$M$2:$M$1212,$K857))</f>
        <v/>
      </c>
      <c r="H857" s="10" t="str">
        <f>IF($K857="","",INDEX(Конструктор!$N$2:$N$1212,$K857))</f>
        <v/>
      </c>
      <c r="I857" s="10" t="str">
        <f>IF($K857="","",INDEX(Конструктор!$O$2:$O$1212,$K857))</f>
        <v/>
      </c>
      <c r="J857" s="10" t="str">
        <f>IF($K857="","",INDEX(Конструктор!$P$2:$P$1212,$K857))</f>
        <v/>
      </c>
      <c r="K857" t="str">
        <f>IFERROR(MATCH(837,Конструктор!$T$2:$T$1212,0),"")</f>
        <v/>
      </c>
      <c r="L857" t="str">
        <f t="shared" si="13"/>
        <v/>
      </c>
    </row>
    <row r="858" spans="1:12" hidden="1" x14ac:dyDescent="0.3">
      <c r="A858" t="str">
        <f>IF($K858="","",838)</f>
        <v/>
      </c>
      <c r="B858" t="str">
        <f>IF($K858="","",INDEX(Конструктор!$C$2:$C$1212,$K858))</f>
        <v/>
      </c>
      <c r="C858" s="8" t="str">
        <f>IF($K858="","",INDEX(Конструктор!$D$2:$D$1212,$K858)&amp;IF(INDEX(Конструктор!$J$2:$J$1212,$K858)&lt;&gt;""," — "&amp;INDEX(Конструктор!$J$2:$J$1212,$K858),""))</f>
        <v/>
      </c>
      <c r="D858" t="str">
        <f>IF($K858="","",INDEX(Конструктор!$E$2:$E$1212,$K858))</f>
        <v/>
      </c>
      <c r="E858" s="10" t="str">
        <f>IF($K858="","",INDEX(Конструктор!$H$2:$H$1212,$K858))</f>
        <v/>
      </c>
      <c r="F858" s="10" t="str">
        <f>IF($K858="","",INDEX(Конструктор!$L$2:$L$1212,$K858))</f>
        <v/>
      </c>
      <c r="G858" s="10" t="str">
        <f>IF($K858="","",INDEX(Конструктор!$M$2:$M$1212,$K858))</f>
        <v/>
      </c>
      <c r="H858" s="10" t="str">
        <f>IF($K858="","",INDEX(Конструктор!$N$2:$N$1212,$K858))</f>
        <v/>
      </c>
      <c r="I858" s="10" t="str">
        <f>IF($K858="","",INDEX(Конструктор!$O$2:$O$1212,$K858))</f>
        <v/>
      </c>
      <c r="J858" s="10" t="str">
        <f>IF($K858="","",INDEX(Конструктор!$P$2:$P$1212,$K858))</f>
        <v/>
      </c>
      <c r="K858" t="str">
        <f>IFERROR(MATCH(838,Конструктор!$T$2:$T$1212,0),"")</f>
        <v/>
      </c>
      <c r="L858" t="str">
        <f t="shared" si="13"/>
        <v/>
      </c>
    </row>
    <row r="859" spans="1:12" hidden="1" x14ac:dyDescent="0.3">
      <c r="A859" t="str">
        <f>IF($K859="","",839)</f>
        <v/>
      </c>
      <c r="B859" t="str">
        <f>IF($K859="","",INDEX(Конструктор!$C$2:$C$1212,$K859))</f>
        <v/>
      </c>
      <c r="C859" s="8" t="str">
        <f>IF($K859="","",INDEX(Конструктор!$D$2:$D$1212,$K859)&amp;IF(INDEX(Конструктор!$J$2:$J$1212,$K859)&lt;&gt;""," — "&amp;INDEX(Конструктор!$J$2:$J$1212,$K859),""))</f>
        <v/>
      </c>
      <c r="D859" t="str">
        <f>IF($K859="","",INDEX(Конструктор!$E$2:$E$1212,$K859))</f>
        <v/>
      </c>
      <c r="E859" s="10" t="str">
        <f>IF($K859="","",INDEX(Конструктор!$H$2:$H$1212,$K859))</f>
        <v/>
      </c>
      <c r="F859" s="10" t="str">
        <f>IF($K859="","",INDEX(Конструктор!$L$2:$L$1212,$K859))</f>
        <v/>
      </c>
      <c r="G859" s="10" t="str">
        <f>IF($K859="","",INDEX(Конструктор!$M$2:$M$1212,$K859))</f>
        <v/>
      </c>
      <c r="H859" s="10" t="str">
        <f>IF($K859="","",INDEX(Конструктор!$N$2:$N$1212,$K859))</f>
        <v/>
      </c>
      <c r="I859" s="10" t="str">
        <f>IF($K859="","",INDEX(Конструктор!$O$2:$O$1212,$K859))</f>
        <v/>
      </c>
      <c r="J859" s="10" t="str">
        <f>IF($K859="","",INDEX(Конструктор!$P$2:$P$1212,$K859))</f>
        <v/>
      </c>
      <c r="K859" t="str">
        <f>IFERROR(MATCH(839,Конструктор!$T$2:$T$1212,0),"")</f>
        <v/>
      </c>
      <c r="L859" t="str">
        <f t="shared" si="13"/>
        <v/>
      </c>
    </row>
    <row r="860" spans="1:12" hidden="1" x14ac:dyDescent="0.3">
      <c r="A860" t="str">
        <f>IF($K860="","",840)</f>
        <v/>
      </c>
      <c r="B860" t="str">
        <f>IF($K860="","",INDEX(Конструктор!$C$2:$C$1212,$K860))</f>
        <v/>
      </c>
      <c r="C860" s="8" t="str">
        <f>IF($K860="","",INDEX(Конструктор!$D$2:$D$1212,$K860)&amp;IF(INDEX(Конструктор!$J$2:$J$1212,$K860)&lt;&gt;""," — "&amp;INDEX(Конструктор!$J$2:$J$1212,$K860),""))</f>
        <v/>
      </c>
      <c r="D860" t="str">
        <f>IF($K860="","",INDEX(Конструктор!$E$2:$E$1212,$K860))</f>
        <v/>
      </c>
      <c r="E860" s="10" t="str">
        <f>IF($K860="","",INDEX(Конструктор!$H$2:$H$1212,$K860))</f>
        <v/>
      </c>
      <c r="F860" s="10" t="str">
        <f>IF($K860="","",INDEX(Конструктор!$L$2:$L$1212,$K860))</f>
        <v/>
      </c>
      <c r="G860" s="10" t="str">
        <f>IF($K860="","",INDEX(Конструктор!$M$2:$M$1212,$K860))</f>
        <v/>
      </c>
      <c r="H860" s="10" t="str">
        <f>IF($K860="","",INDEX(Конструктор!$N$2:$N$1212,$K860))</f>
        <v/>
      </c>
      <c r="I860" s="10" t="str">
        <f>IF($K860="","",INDEX(Конструктор!$O$2:$O$1212,$K860))</f>
        <v/>
      </c>
      <c r="J860" s="10" t="str">
        <f>IF($K860="","",INDEX(Конструктор!$P$2:$P$1212,$K860))</f>
        <v/>
      </c>
      <c r="K860" t="str">
        <f>IFERROR(MATCH(840,Конструктор!$T$2:$T$1212,0),"")</f>
        <v/>
      </c>
      <c r="L860" t="str">
        <f t="shared" si="13"/>
        <v/>
      </c>
    </row>
    <row r="861" spans="1:12" hidden="1" x14ac:dyDescent="0.3">
      <c r="A861" t="str">
        <f>IF($K861="","",841)</f>
        <v/>
      </c>
      <c r="B861" t="str">
        <f>IF($K861="","",INDEX(Конструктор!$C$2:$C$1212,$K861))</f>
        <v/>
      </c>
      <c r="C861" s="8" t="str">
        <f>IF($K861="","",INDEX(Конструктор!$D$2:$D$1212,$K861)&amp;IF(INDEX(Конструктор!$J$2:$J$1212,$K861)&lt;&gt;""," — "&amp;INDEX(Конструктор!$J$2:$J$1212,$K861),""))</f>
        <v/>
      </c>
      <c r="D861" t="str">
        <f>IF($K861="","",INDEX(Конструктор!$E$2:$E$1212,$K861))</f>
        <v/>
      </c>
      <c r="E861" s="10" t="str">
        <f>IF($K861="","",INDEX(Конструктор!$H$2:$H$1212,$K861))</f>
        <v/>
      </c>
      <c r="F861" s="10" t="str">
        <f>IF($K861="","",INDEX(Конструктор!$L$2:$L$1212,$K861))</f>
        <v/>
      </c>
      <c r="G861" s="10" t="str">
        <f>IF($K861="","",INDEX(Конструктор!$M$2:$M$1212,$K861))</f>
        <v/>
      </c>
      <c r="H861" s="10" t="str">
        <f>IF($K861="","",INDEX(Конструктор!$N$2:$N$1212,$K861))</f>
        <v/>
      </c>
      <c r="I861" s="10" t="str">
        <f>IF($K861="","",INDEX(Конструктор!$O$2:$O$1212,$K861))</f>
        <v/>
      </c>
      <c r="J861" s="10" t="str">
        <f>IF($K861="","",INDEX(Конструктор!$P$2:$P$1212,$K861))</f>
        <v/>
      </c>
      <c r="K861" t="str">
        <f>IFERROR(MATCH(841,Конструктор!$T$2:$T$1212,0),"")</f>
        <v/>
      </c>
      <c r="L861" t="str">
        <f t="shared" si="13"/>
        <v/>
      </c>
    </row>
    <row r="862" spans="1:12" hidden="1" x14ac:dyDescent="0.3">
      <c r="A862" t="str">
        <f>IF($K862="","",842)</f>
        <v/>
      </c>
      <c r="B862" t="str">
        <f>IF($K862="","",INDEX(Конструктор!$C$2:$C$1212,$K862))</f>
        <v/>
      </c>
      <c r="C862" s="8" t="str">
        <f>IF($K862="","",INDEX(Конструктор!$D$2:$D$1212,$K862)&amp;IF(INDEX(Конструктор!$J$2:$J$1212,$K862)&lt;&gt;""," — "&amp;INDEX(Конструктор!$J$2:$J$1212,$K862),""))</f>
        <v/>
      </c>
      <c r="D862" t="str">
        <f>IF($K862="","",INDEX(Конструктор!$E$2:$E$1212,$K862))</f>
        <v/>
      </c>
      <c r="E862" s="10" t="str">
        <f>IF($K862="","",INDEX(Конструктор!$H$2:$H$1212,$K862))</f>
        <v/>
      </c>
      <c r="F862" s="10" t="str">
        <f>IF($K862="","",INDEX(Конструктор!$L$2:$L$1212,$K862))</f>
        <v/>
      </c>
      <c r="G862" s="10" t="str">
        <f>IF($K862="","",INDEX(Конструктор!$M$2:$M$1212,$K862))</f>
        <v/>
      </c>
      <c r="H862" s="10" t="str">
        <f>IF($K862="","",INDEX(Конструктор!$N$2:$N$1212,$K862))</f>
        <v/>
      </c>
      <c r="I862" s="10" t="str">
        <f>IF($K862="","",INDEX(Конструктор!$O$2:$O$1212,$K862))</f>
        <v/>
      </c>
      <c r="J862" s="10" t="str">
        <f>IF($K862="","",INDEX(Конструктор!$P$2:$P$1212,$K862))</f>
        <v/>
      </c>
      <c r="K862" t="str">
        <f>IFERROR(MATCH(842,Конструктор!$T$2:$T$1212,0),"")</f>
        <v/>
      </c>
      <c r="L862" t="str">
        <f t="shared" si="13"/>
        <v/>
      </c>
    </row>
    <row r="863" spans="1:12" hidden="1" x14ac:dyDescent="0.3">
      <c r="A863" t="str">
        <f>IF($K863="","",843)</f>
        <v/>
      </c>
      <c r="B863" t="str">
        <f>IF($K863="","",INDEX(Конструктор!$C$2:$C$1212,$K863))</f>
        <v/>
      </c>
      <c r="C863" s="8" t="str">
        <f>IF($K863="","",INDEX(Конструктор!$D$2:$D$1212,$K863)&amp;IF(INDEX(Конструктор!$J$2:$J$1212,$K863)&lt;&gt;""," — "&amp;INDEX(Конструктор!$J$2:$J$1212,$K863),""))</f>
        <v/>
      </c>
      <c r="D863" t="str">
        <f>IF($K863="","",INDEX(Конструктор!$E$2:$E$1212,$K863))</f>
        <v/>
      </c>
      <c r="E863" s="10" t="str">
        <f>IF($K863="","",INDEX(Конструктор!$H$2:$H$1212,$K863))</f>
        <v/>
      </c>
      <c r="F863" s="10" t="str">
        <f>IF($K863="","",INDEX(Конструктор!$L$2:$L$1212,$K863))</f>
        <v/>
      </c>
      <c r="G863" s="10" t="str">
        <f>IF($K863="","",INDEX(Конструктор!$M$2:$M$1212,$K863))</f>
        <v/>
      </c>
      <c r="H863" s="10" t="str">
        <f>IF($K863="","",INDEX(Конструктор!$N$2:$N$1212,$K863))</f>
        <v/>
      </c>
      <c r="I863" s="10" t="str">
        <f>IF($K863="","",INDEX(Конструктор!$O$2:$O$1212,$K863))</f>
        <v/>
      </c>
      <c r="J863" s="10" t="str">
        <f>IF($K863="","",INDEX(Конструктор!$P$2:$P$1212,$K863))</f>
        <v/>
      </c>
      <c r="K863" t="str">
        <f>IFERROR(MATCH(843,Конструктор!$T$2:$T$1212,0),"")</f>
        <v/>
      </c>
      <c r="L863" t="str">
        <f t="shared" si="13"/>
        <v/>
      </c>
    </row>
    <row r="864" spans="1:12" hidden="1" x14ac:dyDescent="0.3">
      <c r="A864" t="str">
        <f>IF($K864="","",844)</f>
        <v/>
      </c>
      <c r="B864" t="str">
        <f>IF($K864="","",INDEX(Конструктор!$C$2:$C$1212,$K864))</f>
        <v/>
      </c>
      <c r="C864" s="8" t="str">
        <f>IF($K864="","",INDEX(Конструктор!$D$2:$D$1212,$K864)&amp;IF(INDEX(Конструктор!$J$2:$J$1212,$K864)&lt;&gt;""," — "&amp;INDEX(Конструктор!$J$2:$J$1212,$K864),""))</f>
        <v/>
      </c>
      <c r="D864" t="str">
        <f>IF($K864="","",INDEX(Конструктор!$E$2:$E$1212,$K864))</f>
        <v/>
      </c>
      <c r="E864" s="10" t="str">
        <f>IF($K864="","",INDEX(Конструктор!$H$2:$H$1212,$K864))</f>
        <v/>
      </c>
      <c r="F864" s="10" t="str">
        <f>IF($K864="","",INDEX(Конструктор!$L$2:$L$1212,$K864))</f>
        <v/>
      </c>
      <c r="G864" s="10" t="str">
        <f>IF($K864="","",INDEX(Конструктор!$M$2:$M$1212,$K864))</f>
        <v/>
      </c>
      <c r="H864" s="10" t="str">
        <f>IF($K864="","",INDEX(Конструктор!$N$2:$N$1212,$K864))</f>
        <v/>
      </c>
      <c r="I864" s="10" t="str">
        <f>IF($K864="","",INDEX(Конструктор!$O$2:$O$1212,$K864))</f>
        <v/>
      </c>
      <c r="J864" s="10" t="str">
        <f>IF($K864="","",INDEX(Конструктор!$P$2:$P$1212,$K864))</f>
        <v/>
      </c>
      <c r="K864" t="str">
        <f>IFERROR(MATCH(844,Конструктор!$T$2:$T$1212,0),"")</f>
        <v/>
      </c>
      <c r="L864" t="str">
        <f t="shared" si="13"/>
        <v/>
      </c>
    </row>
    <row r="865" spans="1:12" hidden="1" x14ac:dyDescent="0.3">
      <c r="A865" t="str">
        <f>IF($K865="","",845)</f>
        <v/>
      </c>
      <c r="B865" t="str">
        <f>IF($K865="","",INDEX(Конструктор!$C$2:$C$1212,$K865))</f>
        <v/>
      </c>
      <c r="C865" s="8" t="str">
        <f>IF($K865="","",INDEX(Конструктор!$D$2:$D$1212,$K865)&amp;IF(INDEX(Конструктор!$J$2:$J$1212,$K865)&lt;&gt;""," — "&amp;INDEX(Конструктор!$J$2:$J$1212,$K865),""))</f>
        <v/>
      </c>
      <c r="D865" t="str">
        <f>IF($K865="","",INDEX(Конструктор!$E$2:$E$1212,$K865))</f>
        <v/>
      </c>
      <c r="E865" s="10" t="str">
        <f>IF($K865="","",INDEX(Конструктор!$H$2:$H$1212,$K865))</f>
        <v/>
      </c>
      <c r="F865" s="10" t="str">
        <f>IF($K865="","",INDEX(Конструктор!$L$2:$L$1212,$K865))</f>
        <v/>
      </c>
      <c r="G865" s="10" t="str">
        <f>IF($K865="","",INDEX(Конструктор!$M$2:$M$1212,$K865))</f>
        <v/>
      </c>
      <c r="H865" s="10" t="str">
        <f>IF($K865="","",INDEX(Конструктор!$N$2:$N$1212,$K865))</f>
        <v/>
      </c>
      <c r="I865" s="10" t="str">
        <f>IF($K865="","",INDEX(Конструктор!$O$2:$O$1212,$K865))</f>
        <v/>
      </c>
      <c r="J865" s="10" t="str">
        <f>IF($K865="","",INDEX(Конструктор!$P$2:$P$1212,$K865))</f>
        <v/>
      </c>
      <c r="K865" t="str">
        <f>IFERROR(MATCH(845,Конструктор!$T$2:$T$1212,0),"")</f>
        <v/>
      </c>
      <c r="L865" t="str">
        <f t="shared" si="13"/>
        <v/>
      </c>
    </row>
    <row r="866" spans="1:12" hidden="1" x14ac:dyDescent="0.3">
      <c r="A866" t="str">
        <f>IF($K866="","",846)</f>
        <v/>
      </c>
      <c r="B866" t="str">
        <f>IF($K866="","",INDEX(Конструктор!$C$2:$C$1212,$K866))</f>
        <v/>
      </c>
      <c r="C866" s="8" t="str">
        <f>IF($K866="","",INDEX(Конструктор!$D$2:$D$1212,$K866)&amp;IF(INDEX(Конструктор!$J$2:$J$1212,$K866)&lt;&gt;""," — "&amp;INDEX(Конструктор!$J$2:$J$1212,$K866),""))</f>
        <v/>
      </c>
      <c r="D866" t="str">
        <f>IF($K866="","",INDEX(Конструктор!$E$2:$E$1212,$K866))</f>
        <v/>
      </c>
      <c r="E866" s="10" t="str">
        <f>IF($K866="","",INDEX(Конструктор!$H$2:$H$1212,$K866))</f>
        <v/>
      </c>
      <c r="F866" s="10" t="str">
        <f>IF($K866="","",INDEX(Конструктор!$L$2:$L$1212,$K866))</f>
        <v/>
      </c>
      <c r="G866" s="10" t="str">
        <f>IF($K866="","",INDEX(Конструктор!$M$2:$M$1212,$K866))</f>
        <v/>
      </c>
      <c r="H866" s="10" t="str">
        <f>IF($K866="","",INDEX(Конструктор!$N$2:$N$1212,$K866))</f>
        <v/>
      </c>
      <c r="I866" s="10" t="str">
        <f>IF($K866="","",INDEX(Конструктор!$O$2:$O$1212,$K866))</f>
        <v/>
      </c>
      <c r="J866" s="10" t="str">
        <f>IF($K866="","",INDEX(Конструктор!$P$2:$P$1212,$K866))</f>
        <v/>
      </c>
      <c r="K866" t="str">
        <f>IFERROR(MATCH(846,Конструктор!$T$2:$T$1212,0),"")</f>
        <v/>
      </c>
      <c r="L866" t="str">
        <f t="shared" si="13"/>
        <v/>
      </c>
    </row>
    <row r="867" spans="1:12" hidden="1" x14ac:dyDescent="0.3">
      <c r="A867" t="str">
        <f>IF($K867="","",847)</f>
        <v/>
      </c>
      <c r="B867" t="str">
        <f>IF($K867="","",INDEX(Конструктор!$C$2:$C$1212,$K867))</f>
        <v/>
      </c>
      <c r="C867" s="8" t="str">
        <f>IF($K867="","",INDEX(Конструктор!$D$2:$D$1212,$K867)&amp;IF(INDEX(Конструктор!$J$2:$J$1212,$K867)&lt;&gt;""," — "&amp;INDEX(Конструктор!$J$2:$J$1212,$K867),""))</f>
        <v/>
      </c>
      <c r="D867" t="str">
        <f>IF($K867="","",INDEX(Конструктор!$E$2:$E$1212,$K867))</f>
        <v/>
      </c>
      <c r="E867" s="10" t="str">
        <f>IF($K867="","",INDEX(Конструктор!$H$2:$H$1212,$K867))</f>
        <v/>
      </c>
      <c r="F867" s="10" t="str">
        <f>IF($K867="","",INDEX(Конструктор!$L$2:$L$1212,$K867))</f>
        <v/>
      </c>
      <c r="G867" s="10" t="str">
        <f>IF($K867="","",INDEX(Конструктор!$M$2:$M$1212,$K867))</f>
        <v/>
      </c>
      <c r="H867" s="10" t="str">
        <f>IF($K867="","",INDEX(Конструктор!$N$2:$N$1212,$K867))</f>
        <v/>
      </c>
      <c r="I867" s="10" t="str">
        <f>IF($K867="","",INDEX(Конструктор!$O$2:$O$1212,$K867))</f>
        <v/>
      </c>
      <c r="J867" s="10" t="str">
        <f>IF($K867="","",INDEX(Конструктор!$P$2:$P$1212,$K867))</f>
        <v/>
      </c>
      <c r="K867" t="str">
        <f>IFERROR(MATCH(847,Конструктор!$T$2:$T$1212,0),"")</f>
        <v/>
      </c>
      <c r="L867" t="str">
        <f t="shared" si="13"/>
        <v/>
      </c>
    </row>
    <row r="868" spans="1:12" hidden="1" x14ac:dyDescent="0.3">
      <c r="A868" t="str">
        <f>IF($K868="","",848)</f>
        <v/>
      </c>
      <c r="B868" t="str">
        <f>IF($K868="","",INDEX(Конструктор!$C$2:$C$1212,$K868))</f>
        <v/>
      </c>
      <c r="C868" s="8" t="str">
        <f>IF($K868="","",INDEX(Конструктор!$D$2:$D$1212,$K868)&amp;IF(INDEX(Конструктор!$J$2:$J$1212,$K868)&lt;&gt;""," — "&amp;INDEX(Конструктор!$J$2:$J$1212,$K868),""))</f>
        <v/>
      </c>
      <c r="D868" t="str">
        <f>IF($K868="","",INDEX(Конструктор!$E$2:$E$1212,$K868))</f>
        <v/>
      </c>
      <c r="E868" s="10" t="str">
        <f>IF($K868="","",INDEX(Конструктор!$H$2:$H$1212,$K868))</f>
        <v/>
      </c>
      <c r="F868" s="10" t="str">
        <f>IF($K868="","",INDEX(Конструктор!$L$2:$L$1212,$K868))</f>
        <v/>
      </c>
      <c r="G868" s="10" t="str">
        <f>IF($K868="","",INDEX(Конструктор!$M$2:$M$1212,$K868))</f>
        <v/>
      </c>
      <c r="H868" s="10" t="str">
        <f>IF($K868="","",INDEX(Конструктор!$N$2:$N$1212,$K868))</f>
        <v/>
      </c>
      <c r="I868" s="10" t="str">
        <f>IF($K868="","",INDEX(Конструктор!$O$2:$O$1212,$K868))</f>
        <v/>
      </c>
      <c r="J868" s="10" t="str">
        <f>IF($K868="","",INDEX(Конструктор!$P$2:$P$1212,$K868))</f>
        <v/>
      </c>
      <c r="K868" t="str">
        <f>IFERROR(MATCH(848,Конструктор!$T$2:$T$1212,0),"")</f>
        <v/>
      </c>
      <c r="L868" t="str">
        <f t="shared" si="13"/>
        <v/>
      </c>
    </row>
    <row r="869" spans="1:12" hidden="1" x14ac:dyDescent="0.3">
      <c r="A869" t="str">
        <f>IF($K869="","",849)</f>
        <v/>
      </c>
      <c r="B869" t="str">
        <f>IF($K869="","",INDEX(Конструктор!$C$2:$C$1212,$K869))</f>
        <v/>
      </c>
      <c r="C869" s="8" t="str">
        <f>IF($K869="","",INDEX(Конструктор!$D$2:$D$1212,$K869)&amp;IF(INDEX(Конструктор!$J$2:$J$1212,$K869)&lt;&gt;""," — "&amp;INDEX(Конструктор!$J$2:$J$1212,$K869),""))</f>
        <v/>
      </c>
      <c r="D869" t="str">
        <f>IF($K869="","",INDEX(Конструктор!$E$2:$E$1212,$K869))</f>
        <v/>
      </c>
      <c r="E869" s="10" t="str">
        <f>IF($K869="","",INDEX(Конструктор!$H$2:$H$1212,$K869))</f>
        <v/>
      </c>
      <c r="F869" s="10" t="str">
        <f>IF($K869="","",INDEX(Конструктор!$L$2:$L$1212,$K869))</f>
        <v/>
      </c>
      <c r="G869" s="10" t="str">
        <f>IF($K869="","",INDEX(Конструктор!$M$2:$M$1212,$K869))</f>
        <v/>
      </c>
      <c r="H869" s="10" t="str">
        <f>IF($K869="","",INDEX(Конструктор!$N$2:$N$1212,$K869))</f>
        <v/>
      </c>
      <c r="I869" s="10" t="str">
        <f>IF($K869="","",INDEX(Конструктор!$O$2:$O$1212,$K869))</f>
        <v/>
      </c>
      <c r="J869" s="10" t="str">
        <f>IF($K869="","",INDEX(Конструктор!$P$2:$P$1212,$K869))</f>
        <v/>
      </c>
      <c r="K869" t="str">
        <f>IFERROR(MATCH(849,Конструктор!$T$2:$T$1212,0),"")</f>
        <v/>
      </c>
      <c r="L869" t="str">
        <f t="shared" si="13"/>
        <v/>
      </c>
    </row>
    <row r="870" spans="1:12" hidden="1" x14ac:dyDescent="0.3">
      <c r="A870" t="str">
        <f>IF($K870="","",850)</f>
        <v/>
      </c>
      <c r="B870" t="str">
        <f>IF($K870="","",INDEX(Конструктор!$C$2:$C$1212,$K870))</f>
        <v/>
      </c>
      <c r="C870" s="8" t="str">
        <f>IF($K870="","",INDEX(Конструктор!$D$2:$D$1212,$K870)&amp;IF(INDEX(Конструктор!$J$2:$J$1212,$K870)&lt;&gt;""," — "&amp;INDEX(Конструктор!$J$2:$J$1212,$K870),""))</f>
        <v/>
      </c>
      <c r="D870" t="str">
        <f>IF($K870="","",INDEX(Конструктор!$E$2:$E$1212,$K870))</f>
        <v/>
      </c>
      <c r="E870" s="10" t="str">
        <f>IF($K870="","",INDEX(Конструктор!$H$2:$H$1212,$K870))</f>
        <v/>
      </c>
      <c r="F870" s="10" t="str">
        <f>IF($K870="","",INDEX(Конструктор!$L$2:$L$1212,$K870))</f>
        <v/>
      </c>
      <c r="G870" s="10" t="str">
        <f>IF($K870="","",INDEX(Конструктор!$M$2:$M$1212,$K870))</f>
        <v/>
      </c>
      <c r="H870" s="10" t="str">
        <f>IF($K870="","",INDEX(Конструктор!$N$2:$N$1212,$K870))</f>
        <v/>
      </c>
      <c r="I870" s="10" t="str">
        <f>IF($K870="","",INDEX(Конструктор!$O$2:$O$1212,$K870))</f>
        <v/>
      </c>
      <c r="J870" s="10" t="str">
        <f>IF($K870="","",INDEX(Конструктор!$P$2:$P$1212,$K870))</f>
        <v/>
      </c>
      <c r="K870" t="str">
        <f>IFERROR(MATCH(850,Конструктор!$T$2:$T$1212,0),"")</f>
        <v/>
      </c>
      <c r="L870" t="str">
        <f t="shared" si="13"/>
        <v/>
      </c>
    </row>
    <row r="871" spans="1:12" hidden="1" x14ac:dyDescent="0.3">
      <c r="A871" t="str">
        <f>IF($K871="","",851)</f>
        <v/>
      </c>
      <c r="B871" t="str">
        <f>IF($K871="","",INDEX(Конструктор!$C$2:$C$1212,$K871))</f>
        <v/>
      </c>
      <c r="C871" s="8" t="str">
        <f>IF($K871="","",INDEX(Конструктор!$D$2:$D$1212,$K871)&amp;IF(INDEX(Конструктор!$J$2:$J$1212,$K871)&lt;&gt;""," — "&amp;INDEX(Конструктор!$J$2:$J$1212,$K871),""))</f>
        <v/>
      </c>
      <c r="D871" t="str">
        <f>IF($K871="","",INDEX(Конструктор!$E$2:$E$1212,$K871))</f>
        <v/>
      </c>
      <c r="E871" s="10" t="str">
        <f>IF($K871="","",INDEX(Конструктор!$H$2:$H$1212,$K871))</f>
        <v/>
      </c>
      <c r="F871" s="10" t="str">
        <f>IF($K871="","",INDEX(Конструктор!$L$2:$L$1212,$K871))</f>
        <v/>
      </c>
      <c r="G871" s="10" t="str">
        <f>IF($K871="","",INDEX(Конструктор!$M$2:$M$1212,$K871))</f>
        <v/>
      </c>
      <c r="H871" s="10" t="str">
        <f>IF($K871="","",INDEX(Конструктор!$N$2:$N$1212,$K871))</f>
        <v/>
      </c>
      <c r="I871" s="10" t="str">
        <f>IF($K871="","",INDEX(Конструктор!$O$2:$O$1212,$K871))</f>
        <v/>
      </c>
      <c r="J871" s="10" t="str">
        <f>IF($K871="","",INDEX(Конструктор!$P$2:$P$1212,$K871))</f>
        <v/>
      </c>
      <c r="K871" t="str">
        <f>IFERROR(MATCH(851,Конструктор!$T$2:$T$1212,0),"")</f>
        <v/>
      </c>
      <c r="L871" t="str">
        <f t="shared" si="13"/>
        <v/>
      </c>
    </row>
    <row r="872" spans="1:12" hidden="1" x14ac:dyDescent="0.3">
      <c r="A872" t="str">
        <f>IF($K872="","",852)</f>
        <v/>
      </c>
      <c r="B872" t="str">
        <f>IF($K872="","",INDEX(Конструктор!$C$2:$C$1212,$K872))</f>
        <v/>
      </c>
      <c r="C872" s="8" t="str">
        <f>IF($K872="","",INDEX(Конструктор!$D$2:$D$1212,$K872)&amp;IF(INDEX(Конструктор!$J$2:$J$1212,$K872)&lt;&gt;""," — "&amp;INDEX(Конструктор!$J$2:$J$1212,$K872),""))</f>
        <v/>
      </c>
      <c r="D872" t="str">
        <f>IF($K872="","",INDEX(Конструктор!$E$2:$E$1212,$K872))</f>
        <v/>
      </c>
      <c r="E872" s="10" t="str">
        <f>IF($K872="","",INDEX(Конструктор!$H$2:$H$1212,$K872))</f>
        <v/>
      </c>
      <c r="F872" s="10" t="str">
        <f>IF($K872="","",INDEX(Конструктор!$L$2:$L$1212,$K872))</f>
        <v/>
      </c>
      <c r="G872" s="10" t="str">
        <f>IF($K872="","",INDEX(Конструктор!$M$2:$M$1212,$K872))</f>
        <v/>
      </c>
      <c r="H872" s="10" t="str">
        <f>IF($K872="","",INDEX(Конструктор!$N$2:$N$1212,$K872))</f>
        <v/>
      </c>
      <c r="I872" s="10" t="str">
        <f>IF($K872="","",INDEX(Конструктор!$O$2:$O$1212,$K872))</f>
        <v/>
      </c>
      <c r="J872" s="10" t="str">
        <f>IF($K872="","",INDEX(Конструктор!$P$2:$P$1212,$K872))</f>
        <v/>
      </c>
      <c r="K872" t="str">
        <f>IFERROR(MATCH(852,Конструктор!$T$2:$T$1212,0),"")</f>
        <v/>
      </c>
      <c r="L872" t="str">
        <f t="shared" si="13"/>
        <v/>
      </c>
    </row>
    <row r="873" spans="1:12" hidden="1" x14ac:dyDescent="0.3">
      <c r="A873" t="str">
        <f>IF($K873="","",853)</f>
        <v/>
      </c>
      <c r="B873" t="str">
        <f>IF($K873="","",INDEX(Конструктор!$C$2:$C$1212,$K873))</f>
        <v/>
      </c>
      <c r="C873" s="8" t="str">
        <f>IF($K873="","",INDEX(Конструктор!$D$2:$D$1212,$K873)&amp;IF(INDEX(Конструктор!$J$2:$J$1212,$K873)&lt;&gt;""," — "&amp;INDEX(Конструктор!$J$2:$J$1212,$K873),""))</f>
        <v/>
      </c>
      <c r="D873" t="str">
        <f>IF($K873="","",INDEX(Конструктор!$E$2:$E$1212,$K873))</f>
        <v/>
      </c>
      <c r="E873" s="10" t="str">
        <f>IF($K873="","",INDEX(Конструктор!$H$2:$H$1212,$K873))</f>
        <v/>
      </c>
      <c r="F873" s="10" t="str">
        <f>IF($K873="","",INDEX(Конструктор!$L$2:$L$1212,$K873))</f>
        <v/>
      </c>
      <c r="G873" s="10" t="str">
        <f>IF($K873="","",INDEX(Конструктор!$M$2:$M$1212,$K873))</f>
        <v/>
      </c>
      <c r="H873" s="10" t="str">
        <f>IF($K873="","",INDEX(Конструктор!$N$2:$N$1212,$K873))</f>
        <v/>
      </c>
      <c r="I873" s="10" t="str">
        <f>IF($K873="","",INDEX(Конструктор!$O$2:$O$1212,$K873))</f>
        <v/>
      </c>
      <c r="J873" s="10" t="str">
        <f>IF($K873="","",INDEX(Конструктор!$P$2:$P$1212,$K873))</f>
        <v/>
      </c>
      <c r="K873" t="str">
        <f>IFERROR(MATCH(853,Конструктор!$T$2:$T$1212,0),"")</f>
        <v/>
      </c>
      <c r="L873" t="str">
        <f t="shared" si="13"/>
        <v/>
      </c>
    </row>
    <row r="874" spans="1:12" hidden="1" x14ac:dyDescent="0.3">
      <c r="A874" t="str">
        <f>IF($K874="","",854)</f>
        <v/>
      </c>
      <c r="B874" t="str">
        <f>IF($K874="","",INDEX(Конструктор!$C$2:$C$1212,$K874))</f>
        <v/>
      </c>
      <c r="C874" s="8" t="str">
        <f>IF($K874="","",INDEX(Конструктор!$D$2:$D$1212,$K874)&amp;IF(INDEX(Конструктор!$J$2:$J$1212,$K874)&lt;&gt;""," — "&amp;INDEX(Конструктор!$J$2:$J$1212,$K874),""))</f>
        <v/>
      </c>
      <c r="D874" t="str">
        <f>IF($K874="","",INDEX(Конструктор!$E$2:$E$1212,$K874))</f>
        <v/>
      </c>
      <c r="E874" s="10" t="str">
        <f>IF($K874="","",INDEX(Конструктор!$H$2:$H$1212,$K874))</f>
        <v/>
      </c>
      <c r="F874" s="10" t="str">
        <f>IF($K874="","",INDEX(Конструктор!$L$2:$L$1212,$K874))</f>
        <v/>
      </c>
      <c r="G874" s="10" t="str">
        <f>IF($K874="","",INDEX(Конструктор!$M$2:$M$1212,$K874))</f>
        <v/>
      </c>
      <c r="H874" s="10" t="str">
        <f>IF($K874="","",INDEX(Конструктор!$N$2:$N$1212,$K874))</f>
        <v/>
      </c>
      <c r="I874" s="10" t="str">
        <f>IF($K874="","",INDEX(Конструктор!$O$2:$O$1212,$K874))</f>
        <v/>
      </c>
      <c r="J874" s="10" t="str">
        <f>IF($K874="","",INDEX(Конструктор!$P$2:$P$1212,$K874))</f>
        <v/>
      </c>
      <c r="K874" t="str">
        <f>IFERROR(MATCH(854,Конструктор!$T$2:$T$1212,0),"")</f>
        <v/>
      </c>
      <c r="L874" t="str">
        <f t="shared" si="13"/>
        <v/>
      </c>
    </row>
    <row r="875" spans="1:12" hidden="1" x14ac:dyDescent="0.3">
      <c r="A875" t="str">
        <f>IF($K875="","",855)</f>
        <v/>
      </c>
      <c r="B875" t="str">
        <f>IF($K875="","",INDEX(Конструктор!$C$2:$C$1212,$K875))</f>
        <v/>
      </c>
      <c r="C875" s="8" t="str">
        <f>IF($K875="","",INDEX(Конструктор!$D$2:$D$1212,$K875)&amp;IF(INDEX(Конструктор!$J$2:$J$1212,$K875)&lt;&gt;""," — "&amp;INDEX(Конструктор!$J$2:$J$1212,$K875),""))</f>
        <v/>
      </c>
      <c r="D875" t="str">
        <f>IF($K875="","",INDEX(Конструктор!$E$2:$E$1212,$K875))</f>
        <v/>
      </c>
      <c r="E875" s="10" t="str">
        <f>IF($K875="","",INDEX(Конструктор!$H$2:$H$1212,$K875))</f>
        <v/>
      </c>
      <c r="F875" s="10" t="str">
        <f>IF($K875="","",INDEX(Конструктор!$L$2:$L$1212,$K875))</f>
        <v/>
      </c>
      <c r="G875" s="10" t="str">
        <f>IF($K875="","",INDEX(Конструктор!$M$2:$M$1212,$K875))</f>
        <v/>
      </c>
      <c r="H875" s="10" t="str">
        <f>IF($K875="","",INDEX(Конструктор!$N$2:$N$1212,$K875))</f>
        <v/>
      </c>
      <c r="I875" s="10" t="str">
        <f>IF($K875="","",INDEX(Конструктор!$O$2:$O$1212,$K875))</f>
        <v/>
      </c>
      <c r="J875" s="10" t="str">
        <f>IF($K875="","",INDEX(Конструктор!$P$2:$P$1212,$K875))</f>
        <v/>
      </c>
      <c r="K875" t="str">
        <f>IFERROR(MATCH(855,Конструктор!$T$2:$T$1212,0),"")</f>
        <v/>
      </c>
      <c r="L875" t="str">
        <f t="shared" si="13"/>
        <v/>
      </c>
    </row>
    <row r="876" spans="1:12" hidden="1" x14ac:dyDescent="0.3">
      <c r="A876" t="str">
        <f>IF($K876="","",856)</f>
        <v/>
      </c>
      <c r="B876" t="str">
        <f>IF($K876="","",INDEX(Конструктор!$C$2:$C$1212,$K876))</f>
        <v/>
      </c>
      <c r="C876" s="8" t="str">
        <f>IF($K876="","",INDEX(Конструктор!$D$2:$D$1212,$K876)&amp;IF(INDEX(Конструктор!$J$2:$J$1212,$K876)&lt;&gt;""," — "&amp;INDEX(Конструктор!$J$2:$J$1212,$K876),""))</f>
        <v/>
      </c>
      <c r="D876" t="str">
        <f>IF($K876="","",INDEX(Конструктор!$E$2:$E$1212,$K876))</f>
        <v/>
      </c>
      <c r="E876" s="10" t="str">
        <f>IF($K876="","",INDEX(Конструктор!$H$2:$H$1212,$K876))</f>
        <v/>
      </c>
      <c r="F876" s="10" t="str">
        <f>IF($K876="","",INDEX(Конструктор!$L$2:$L$1212,$K876))</f>
        <v/>
      </c>
      <c r="G876" s="10" t="str">
        <f>IF($K876="","",INDEX(Конструктор!$M$2:$M$1212,$K876))</f>
        <v/>
      </c>
      <c r="H876" s="10" t="str">
        <f>IF($K876="","",INDEX(Конструктор!$N$2:$N$1212,$K876))</f>
        <v/>
      </c>
      <c r="I876" s="10" t="str">
        <f>IF($K876="","",INDEX(Конструктор!$O$2:$O$1212,$K876))</f>
        <v/>
      </c>
      <c r="J876" s="10" t="str">
        <f>IF($K876="","",INDEX(Конструктор!$P$2:$P$1212,$K876))</f>
        <v/>
      </c>
      <c r="K876" t="str">
        <f>IFERROR(MATCH(856,Конструктор!$T$2:$T$1212,0),"")</f>
        <v/>
      </c>
      <c r="L876" t="str">
        <f t="shared" si="13"/>
        <v/>
      </c>
    </row>
    <row r="877" spans="1:12" hidden="1" x14ac:dyDescent="0.3">
      <c r="A877" t="str">
        <f>IF($K877="","",857)</f>
        <v/>
      </c>
      <c r="B877" t="str">
        <f>IF($K877="","",INDEX(Конструктор!$C$2:$C$1212,$K877))</f>
        <v/>
      </c>
      <c r="C877" s="8" t="str">
        <f>IF($K877="","",INDEX(Конструктор!$D$2:$D$1212,$K877)&amp;IF(INDEX(Конструктор!$J$2:$J$1212,$K877)&lt;&gt;""," — "&amp;INDEX(Конструктор!$J$2:$J$1212,$K877),""))</f>
        <v/>
      </c>
      <c r="D877" t="str">
        <f>IF($K877="","",INDEX(Конструктор!$E$2:$E$1212,$K877))</f>
        <v/>
      </c>
      <c r="E877" s="10" t="str">
        <f>IF($K877="","",INDEX(Конструктор!$H$2:$H$1212,$K877))</f>
        <v/>
      </c>
      <c r="F877" s="10" t="str">
        <f>IF($K877="","",INDEX(Конструктор!$L$2:$L$1212,$K877))</f>
        <v/>
      </c>
      <c r="G877" s="10" t="str">
        <f>IF($K877="","",INDEX(Конструктор!$M$2:$M$1212,$K877))</f>
        <v/>
      </c>
      <c r="H877" s="10" t="str">
        <f>IF($K877="","",INDEX(Конструктор!$N$2:$N$1212,$K877))</f>
        <v/>
      </c>
      <c r="I877" s="10" t="str">
        <f>IF($K877="","",INDEX(Конструктор!$O$2:$O$1212,$K877))</f>
        <v/>
      </c>
      <c r="J877" s="10" t="str">
        <f>IF($K877="","",INDEX(Конструктор!$P$2:$P$1212,$K877))</f>
        <v/>
      </c>
      <c r="K877" t="str">
        <f>IFERROR(MATCH(857,Конструктор!$T$2:$T$1212,0),"")</f>
        <v/>
      </c>
      <c r="L877" t="str">
        <f t="shared" si="13"/>
        <v/>
      </c>
    </row>
    <row r="878" spans="1:12" hidden="1" x14ac:dyDescent="0.3">
      <c r="A878" t="str">
        <f>IF($K878="","",858)</f>
        <v/>
      </c>
      <c r="B878" t="str">
        <f>IF($K878="","",INDEX(Конструктор!$C$2:$C$1212,$K878))</f>
        <v/>
      </c>
      <c r="C878" s="8" t="str">
        <f>IF($K878="","",INDEX(Конструктор!$D$2:$D$1212,$K878)&amp;IF(INDEX(Конструктор!$J$2:$J$1212,$K878)&lt;&gt;""," — "&amp;INDEX(Конструктор!$J$2:$J$1212,$K878),""))</f>
        <v/>
      </c>
      <c r="D878" t="str">
        <f>IF($K878="","",INDEX(Конструктор!$E$2:$E$1212,$K878))</f>
        <v/>
      </c>
      <c r="E878" s="10" t="str">
        <f>IF($K878="","",INDEX(Конструктор!$H$2:$H$1212,$K878))</f>
        <v/>
      </c>
      <c r="F878" s="10" t="str">
        <f>IF($K878="","",INDEX(Конструктор!$L$2:$L$1212,$K878))</f>
        <v/>
      </c>
      <c r="G878" s="10" t="str">
        <f>IF($K878="","",INDEX(Конструктор!$M$2:$M$1212,$K878))</f>
        <v/>
      </c>
      <c r="H878" s="10" t="str">
        <f>IF($K878="","",INDEX(Конструктор!$N$2:$N$1212,$K878))</f>
        <v/>
      </c>
      <c r="I878" s="10" t="str">
        <f>IF($K878="","",INDEX(Конструктор!$O$2:$O$1212,$K878))</f>
        <v/>
      </c>
      <c r="J878" s="10" t="str">
        <f>IF($K878="","",INDEX(Конструктор!$P$2:$P$1212,$K878))</f>
        <v/>
      </c>
      <c r="K878" t="str">
        <f>IFERROR(MATCH(858,Конструктор!$T$2:$T$1212,0),"")</f>
        <v/>
      </c>
      <c r="L878" t="str">
        <f t="shared" si="13"/>
        <v/>
      </c>
    </row>
    <row r="879" spans="1:12" hidden="1" x14ac:dyDescent="0.3">
      <c r="A879" t="str">
        <f>IF($K879="","",859)</f>
        <v/>
      </c>
      <c r="B879" t="str">
        <f>IF($K879="","",INDEX(Конструктор!$C$2:$C$1212,$K879))</f>
        <v/>
      </c>
      <c r="C879" s="8" t="str">
        <f>IF($K879="","",INDEX(Конструктор!$D$2:$D$1212,$K879)&amp;IF(INDEX(Конструктор!$J$2:$J$1212,$K879)&lt;&gt;""," — "&amp;INDEX(Конструктор!$J$2:$J$1212,$K879),""))</f>
        <v/>
      </c>
      <c r="D879" t="str">
        <f>IF($K879="","",INDEX(Конструктор!$E$2:$E$1212,$K879))</f>
        <v/>
      </c>
      <c r="E879" s="10" t="str">
        <f>IF($K879="","",INDEX(Конструктор!$H$2:$H$1212,$K879))</f>
        <v/>
      </c>
      <c r="F879" s="10" t="str">
        <f>IF($K879="","",INDEX(Конструктор!$L$2:$L$1212,$K879))</f>
        <v/>
      </c>
      <c r="G879" s="10" t="str">
        <f>IF($K879="","",INDEX(Конструктор!$M$2:$M$1212,$K879))</f>
        <v/>
      </c>
      <c r="H879" s="10" t="str">
        <f>IF($K879="","",INDEX(Конструктор!$N$2:$N$1212,$K879))</f>
        <v/>
      </c>
      <c r="I879" s="10" t="str">
        <f>IF($K879="","",INDEX(Конструктор!$O$2:$O$1212,$K879))</f>
        <v/>
      </c>
      <c r="J879" s="10" t="str">
        <f>IF($K879="","",INDEX(Конструктор!$P$2:$P$1212,$K879))</f>
        <v/>
      </c>
      <c r="K879" t="str">
        <f>IFERROR(MATCH(859,Конструктор!$T$2:$T$1212,0),"")</f>
        <v/>
      </c>
      <c r="L879" t="str">
        <f t="shared" si="13"/>
        <v/>
      </c>
    </row>
    <row r="880" spans="1:12" hidden="1" x14ac:dyDescent="0.3">
      <c r="A880" t="str">
        <f>IF($K880="","",860)</f>
        <v/>
      </c>
      <c r="B880" t="str">
        <f>IF($K880="","",INDEX(Конструктор!$C$2:$C$1212,$K880))</f>
        <v/>
      </c>
      <c r="C880" s="8" t="str">
        <f>IF($K880="","",INDEX(Конструктор!$D$2:$D$1212,$K880)&amp;IF(INDEX(Конструктор!$J$2:$J$1212,$K880)&lt;&gt;""," — "&amp;INDEX(Конструктор!$J$2:$J$1212,$K880),""))</f>
        <v/>
      </c>
      <c r="D880" t="str">
        <f>IF($K880="","",INDEX(Конструктор!$E$2:$E$1212,$K880))</f>
        <v/>
      </c>
      <c r="E880" s="10" t="str">
        <f>IF($K880="","",INDEX(Конструктор!$H$2:$H$1212,$K880))</f>
        <v/>
      </c>
      <c r="F880" s="10" t="str">
        <f>IF($K880="","",INDEX(Конструктор!$L$2:$L$1212,$K880))</f>
        <v/>
      </c>
      <c r="G880" s="10" t="str">
        <f>IF($K880="","",INDEX(Конструктор!$M$2:$M$1212,$K880))</f>
        <v/>
      </c>
      <c r="H880" s="10" t="str">
        <f>IF($K880="","",INDEX(Конструктор!$N$2:$N$1212,$K880))</f>
        <v/>
      </c>
      <c r="I880" s="10" t="str">
        <f>IF($K880="","",INDEX(Конструктор!$O$2:$O$1212,$K880))</f>
        <v/>
      </c>
      <c r="J880" s="10" t="str">
        <f>IF($K880="","",INDEX(Конструктор!$P$2:$P$1212,$K880))</f>
        <v/>
      </c>
      <c r="K880" t="str">
        <f>IFERROR(MATCH(860,Конструктор!$T$2:$T$1212,0),"")</f>
        <v/>
      </c>
      <c r="L880" t="str">
        <f t="shared" si="13"/>
        <v/>
      </c>
    </row>
    <row r="881" spans="1:12" hidden="1" x14ac:dyDescent="0.3">
      <c r="A881" t="str">
        <f>IF($K881="","",861)</f>
        <v/>
      </c>
      <c r="B881" t="str">
        <f>IF($K881="","",INDEX(Конструктор!$C$2:$C$1212,$K881))</f>
        <v/>
      </c>
      <c r="C881" s="8" t="str">
        <f>IF($K881="","",INDEX(Конструктор!$D$2:$D$1212,$K881)&amp;IF(INDEX(Конструктор!$J$2:$J$1212,$K881)&lt;&gt;""," — "&amp;INDEX(Конструктор!$J$2:$J$1212,$K881),""))</f>
        <v/>
      </c>
      <c r="D881" t="str">
        <f>IF($K881="","",INDEX(Конструктор!$E$2:$E$1212,$K881))</f>
        <v/>
      </c>
      <c r="E881" s="10" t="str">
        <f>IF($K881="","",INDEX(Конструктор!$H$2:$H$1212,$K881))</f>
        <v/>
      </c>
      <c r="F881" s="10" t="str">
        <f>IF($K881="","",INDEX(Конструктор!$L$2:$L$1212,$K881))</f>
        <v/>
      </c>
      <c r="G881" s="10" t="str">
        <f>IF($K881="","",INDEX(Конструктор!$M$2:$M$1212,$K881))</f>
        <v/>
      </c>
      <c r="H881" s="10" t="str">
        <f>IF($K881="","",INDEX(Конструктор!$N$2:$N$1212,$K881))</f>
        <v/>
      </c>
      <c r="I881" s="10" t="str">
        <f>IF($K881="","",INDEX(Конструктор!$O$2:$O$1212,$K881))</f>
        <v/>
      </c>
      <c r="J881" s="10" t="str">
        <f>IF($K881="","",INDEX(Конструктор!$P$2:$P$1212,$K881))</f>
        <v/>
      </c>
      <c r="K881" t="str">
        <f>IFERROR(MATCH(861,Конструктор!$T$2:$T$1212,0),"")</f>
        <v/>
      </c>
      <c r="L881" t="str">
        <f t="shared" si="13"/>
        <v/>
      </c>
    </row>
    <row r="882" spans="1:12" hidden="1" x14ac:dyDescent="0.3">
      <c r="A882" t="str">
        <f>IF($K882="","",862)</f>
        <v/>
      </c>
      <c r="B882" t="str">
        <f>IF($K882="","",INDEX(Конструктор!$C$2:$C$1212,$K882))</f>
        <v/>
      </c>
      <c r="C882" s="8" t="str">
        <f>IF($K882="","",INDEX(Конструктор!$D$2:$D$1212,$K882)&amp;IF(INDEX(Конструктор!$J$2:$J$1212,$K882)&lt;&gt;""," — "&amp;INDEX(Конструктор!$J$2:$J$1212,$K882),""))</f>
        <v/>
      </c>
      <c r="D882" t="str">
        <f>IF($K882="","",INDEX(Конструктор!$E$2:$E$1212,$K882))</f>
        <v/>
      </c>
      <c r="E882" s="10" t="str">
        <f>IF($K882="","",INDEX(Конструктор!$H$2:$H$1212,$K882))</f>
        <v/>
      </c>
      <c r="F882" s="10" t="str">
        <f>IF($K882="","",INDEX(Конструктор!$L$2:$L$1212,$K882))</f>
        <v/>
      </c>
      <c r="G882" s="10" t="str">
        <f>IF($K882="","",INDEX(Конструктор!$M$2:$M$1212,$K882))</f>
        <v/>
      </c>
      <c r="H882" s="10" t="str">
        <f>IF($K882="","",INDEX(Конструктор!$N$2:$N$1212,$K882))</f>
        <v/>
      </c>
      <c r="I882" s="10" t="str">
        <f>IF($K882="","",INDEX(Конструктор!$O$2:$O$1212,$K882))</f>
        <v/>
      </c>
      <c r="J882" s="10" t="str">
        <f>IF($K882="","",INDEX(Конструктор!$P$2:$P$1212,$K882))</f>
        <v/>
      </c>
      <c r="K882" t="str">
        <f>IFERROR(MATCH(862,Конструктор!$T$2:$T$1212,0),"")</f>
        <v/>
      </c>
      <c r="L882" t="str">
        <f t="shared" si="13"/>
        <v/>
      </c>
    </row>
    <row r="883" spans="1:12" hidden="1" x14ac:dyDescent="0.3">
      <c r="A883" t="str">
        <f>IF($K883="","",863)</f>
        <v/>
      </c>
      <c r="B883" t="str">
        <f>IF($K883="","",INDEX(Конструктор!$C$2:$C$1212,$K883))</f>
        <v/>
      </c>
      <c r="C883" s="8" t="str">
        <f>IF($K883="","",INDEX(Конструктор!$D$2:$D$1212,$K883)&amp;IF(INDEX(Конструктор!$J$2:$J$1212,$K883)&lt;&gt;""," — "&amp;INDEX(Конструктор!$J$2:$J$1212,$K883),""))</f>
        <v/>
      </c>
      <c r="D883" t="str">
        <f>IF($K883="","",INDEX(Конструктор!$E$2:$E$1212,$K883))</f>
        <v/>
      </c>
      <c r="E883" s="10" t="str">
        <f>IF($K883="","",INDEX(Конструктор!$H$2:$H$1212,$K883))</f>
        <v/>
      </c>
      <c r="F883" s="10" t="str">
        <f>IF($K883="","",INDEX(Конструктор!$L$2:$L$1212,$K883))</f>
        <v/>
      </c>
      <c r="G883" s="10" t="str">
        <f>IF($K883="","",INDEX(Конструктор!$M$2:$M$1212,$K883))</f>
        <v/>
      </c>
      <c r="H883" s="10" t="str">
        <f>IF($K883="","",INDEX(Конструктор!$N$2:$N$1212,$K883))</f>
        <v/>
      </c>
      <c r="I883" s="10" t="str">
        <f>IF($K883="","",INDEX(Конструктор!$O$2:$O$1212,$K883))</f>
        <v/>
      </c>
      <c r="J883" s="10" t="str">
        <f>IF($K883="","",INDEX(Конструктор!$P$2:$P$1212,$K883))</f>
        <v/>
      </c>
      <c r="K883" t="str">
        <f>IFERROR(MATCH(863,Конструктор!$T$2:$T$1212,0),"")</f>
        <v/>
      </c>
      <c r="L883" t="str">
        <f t="shared" si="13"/>
        <v/>
      </c>
    </row>
    <row r="884" spans="1:12" hidden="1" x14ac:dyDescent="0.3">
      <c r="A884" t="str">
        <f>IF($K884="","",864)</f>
        <v/>
      </c>
      <c r="B884" t="str">
        <f>IF($K884="","",INDEX(Конструктор!$C$2:$C$1212,$K884))</f>
        <v/>
      </c>
      <c r="C884" s="8" t="str">
        <f>IF($K884="","",INDEX(Конструктор!$D$2:$D$1212,$K884)&amp;IF(INDEX(Конструктор!$J$2:$J$1212,$K884)&lt;&gt;""," — "&amp;INDEX(Конструктор!$J$2:$J$1212,$K884),""))</f>
        <v/>
      </c>
      <c r="D884" t="str">
        <f>IF($K884="","",INDEX(Конструктор!$E$2:$E$1212,$K884))</f>
        <v/>
      </c>
      <c r="E884" s="10" t="str">
        <f>IF($K884="","",INDEX(Конструктор!$H$2:$H$1212,$K884))</f>
        <v/>
      </c>
      <c r="F884" s="10" t="str">
        <f>IF($K884="","",INDEX(Конструктор!$L$2:$L$1212,$K884))</f>
        <v/>
      </c>
      <c r="G884" s="10" t="str">
        <f>IF($K884="","",INDEX(Конструктор!$M$2:$M$1212,$K884))</f>
        <v/>
      </c>
      <c r="H884" s="10" t="str">
        <f>IF($K884="","",INDEX(Конструктор!$N$2:$N$1212,$K884))</f>
        <v/>
      </c>
      <c r="I884" s="10" t="str">
        <f>IF($K884="","",INDEX(Конструктор!$O$2:$O$1212,$K884))</f>
        <v/>
      </c>
      <c r="J884" s="10" t="str">
        <f>IF($K884="","",INDEX(Конструктор!$P$2:$P$1212,$K884))</f>
        <v/>
      </c>
      <c r="K884" t="str">
        <f>IFERROR(MATCH(864,Конструктор!$T$2:$T$1212,0),"")</f>
        <v/>
      </c>
      <c r="L884" t="str">
        <f t="shared" si="13"/>
        <v/>
      </c>
    </row>
    <row r="885" spans="1:12" hidden="1" x14ac:dyDescent="0.3">
      <c r="A885" t="str">
        <f>IF($K885="","",865)</f>
        <v/>
      </c>
      <c r="B885" t="str">
        <f>IF($K885="","",INDEX(Конструктор!$C$2:$C$1212,$K885))</f>
        <v/>
      </c>
      <c r="C885" s="8" t="str">
        <f>IF($K885="","",INDEX(Конструктор!$D$2:$D$1212,$K885)&amp;IF(INDEX(Конструктор!$J$2:$J$1212,$K885)&lt;&gt;""," — "&amp;INDEX(Конструктор!$J$2:$J$1212,$K885),""))</f>
        <v/>
      </c>
      <c r="D885" t="str">
        <f>IF($K885="","",INDEX(Конструктор!$E$2:$E$1212,$K885))</f>
        <v/>
      </c>
      <c r="E885" s="10" t="str">
        <f>IF($K885="","",INDEX(Конструктор!$H$2:$H$1212,$K885))</f>
        <v/>
      </c>
      <c r="F885" s="10" t="str">
        <f>IF($K885="","",INDEX(Конструктор!$L$2:$L$1212,$K885))</f>
        <v/>
      </c>
      <c r="G885" s="10" t="str">
        <f>IF($K885="","",INDEX(Конструктор!$M$2:$M$1212,$K885))</f>
        <v/>
      </c>
      <c r="H885" s="10" t="str">
        <f>IF($K885="","",INDEX(Конструктор!$N$2:$N$1212,$K885))</f>
        <v/>
      </c>
      <c r="I885" s="10" t="str">
        <f>IF($K885="","",INDEX(Конструктор!$O$2:$O$1212,$K885))</f>
        <v/>
      </c>
      <c r="J885" s="10" t="str">
        <f>IF($K885="","",INDEX(Конструктор!$P$2:$P$1212,$K885))</f>
        <v/>
      </c>
      <c r="K885" t="str">
        <f>IFERROR(MATCH(865,Конструктор!$T$2:$T$1212,0),"")</f>
        <v/>
      </c>
      <c r="L885" t="str">
        <f t="shared" si="13"/>
        <v/>
      </c>
    </row>
    <row r="886" spans="1:12" hidden="1" x14ac:dyDescent="0.3">
      <c r="A886" t="str">
        <f>IF($K886="","",866)</f>
        <v/>
      </c>
      <c r="B886" t="str">
        <f>IF($K886="","",INDEX(Конструктор!$C$2:$C$1212,$K886))</f>
        <v/>
      </c>
      <c r="C886" s="8" t="str">
        <f>IF($K886="","",INDEX(Конструктор!$D$2:$D$1212,$K886)&amp;IF(INDEX(Конструктор!$J$2:$J$1212,$K886)&lt;&gt;""," — "&amp;INDEX(Конструктор!$J$2:$J$1212,$K886),""))</f>
        <v/>
      </c>
      <c r="D886" t="str">
        <f>IF($K886="","",INDEX(Конструктор!$E$2:$E$1212,$K886))</f>
        <v/>
      </c>
      <c r="E886" s="10" t="str">
        <f>IF($K886="","",INDEX(Конструктор!$H$2:$H$1212,$K886))</f>
        <v/>
      </c>
      <c r="F886" s="10" t="str">
        <f>IF($K886="","",INDEX(Конструктор!$L$2:$L$1212,$K886))</f>
        <v/>
      </c>
      <c r="G886" s="10" t="str">
        <f>IF($K886="","",INDEX(Конструктор!$M$2:$M$1212,$K886))</f>
        <v/>
      </c>
      <c r="H886" s="10" t="str">
        <f>IF($K886="","",INDEX(Конструктор!$N$2:$N$1212,$K886))</f>
        <v/>
      </c>
      <c r="I886" s="10" t="str">
        <f>IF($K886="","",INDEX(Конструктор!$O$2:$O$1212,$K886))</f>
        <v/>
      </c>
      <c r="J886" s="10" t="str">
        <f>IF($K886="","",INDEX(Конструктор!$P$2:$P$1212,$K886))</f>
        <v/>
      </c>
      <c r="K886" t="str">
        <f>IFERROR(MATCH(866,Конструктор!$T$2:$T$1212,0),"")</f>
        <v/>
      </c>
      <c r="L886" t="str">
        <f t="shared" si="13"/>
        <v/>
      </c>
    </row>
    <row r="887" spans="1:12" hidden="1" x14ac:dyDescent="0.3">
      <c r="A887" t="str">
        <f>IF($K887="","",867)</f>
        <v/>
      </c>
      <c r="B887" t="str">
        <f>IF($K887="","",INDEX(Конструктор!$C$2:$C$1212,$K887))</f>
        <v/>
      </c>
      <c r="C887" s="8" t="str">
        <f>IF($K887="","",INDEX(Конструктор!$D$2:$D$1212,$K887)&amp;IF(INDEX(Конструктор!$J$2:$J$1212,$K887)&lt;&gt;""," — "&amp;INDEX(Конструктор!$J$2:$J$1212,$K887),""))</f>
        <v/>
      </c>
      <c r="D887" t="str">
        <f>IF($K887="","",INDEX(Конструктор!$E$2:$E$1212,$K887))</f>
        <v/>
      </c>
      <c r="E887" s="10" t="str">
        <f>IF($K887="","",INDEX(Конструктор!$H$2:$H$1212,$K887))</f>
        <v/>
      </c>
      <c r="F887" s="10" t="str">
        <f>IF($K887="","",INDEX(Конструктор!$L$2:$L$1212,$K887))</f>
        <v/>
      </c>
      <c r="G887" s="10" t="str">
        <f>IF($K887="","",INDEX(Конструктор!$M$2:$M$1212,$K887))</f>
        <v/>
      </c>
      <c r="H887" s="10" t="str">
        <f>IF($K887="","",INDEX(Конструктор!$N$2:$N$1212,$K887))</f>
        <v/>
      </c>
      <c r="I887" s="10" t="str">
        <f>IF($K887="","",INDEX(Конструктор!$O$2:$O$1212,$K887))</f>
        <v/>
      </c>
      <c r="J887" s="10" t="str">
        <f>IF($K887="","",INDEX(Конструктор!$P$2:$P$1212,$K887))</f>
        <v/>
      </c>
      <c r="K887" t="str">
        <f>IFERROR(MATCH(867,Конструктор!$T$2:$T$1212,0),"")</f>
        <v/>
      </c>
      <c r="L887" t="str">
        <f t="shared" si="13"/>
        <v/>
      </c>
    </row>
    <row r="888" spans="1:12" hidden="1" x14ac:dyDescent="0.3">
      <c r="A888" t="str">
        <f>IF($K888="","",868)</f>
        <v/>
      </c>
      <c r="B888" t="str">
        <f>IF($K888="","",INDEX(Конструктор!$C$2:$C$1212,$K888))</f>
        <v/>
      </c>
      <c r="C888" s="8" t="str">
        <f>IF($K888="","",INDEX(Конструктор!$D$2:$D$1212,$K888)&amp;IF(INDEX(Конструктор!$J$2:$J$1212,$K888)&lt;&gt;""," — "&amp;INDEX(Конструктор!$J$2:$J$1212,$K888),""))</f>
        <v/>
      </c>
      <c r="D888" t="str">
        <f>IF($K888="","",INDEX(Конструктор!$E$2:$E$1212,$K888))</f>
        <v/>
      </c>
      <c r="E888" s="10" t="str">
        <f>IF($K888="","",INDEX(Конструктор!$H$2:$H$1212,$K888))</f>
        <v/>
      </c>
      <c r="F888" s="10" t="str">
        <f>IF($K888="","",INDEX(Конструктор!$L$2:$L$1212,$K888))</f>
        <v/>
      </c>
      <c r="G888" s="10" t="str">
        <f>IF($K888="","",INDEX(Конструктор!$M$2:$M$1212,$K888))</f>
        <v/>
      </c>
      <c r="H888" s="10" t="str">
        <f>IF($K888="","",INDEX(Конструктор!$N$2:$N$1212,$K888))</f>
        <v/>
      </c>
      <c r="I888" s="10" t="str">
        <f>IF($K888="","",INDEX(Конструктор!$O$2:$O$1212,$K888))</f>
        <v/>
      </c>
      <c r="J888" s="10" t="str">
        <f>IF($K888="","",INDEX(Конструктор!$P$2:$P$1212,$K888))</f>
        <v/>
      </c>
      <c r="K888" t="str">
        <f>IFERROR(MATCH(868,Конструктор!$T$2:$T$1212,0),"")</f>
        <v/>
      </c>
      <c r="L888" t="str">
        <f t="shared" si="13"/>
        <v/>
      </c>
    </row>
    <row r="889" spans="1:12" hidden="1" x14ac:dyDescent="0.3">
      <c r="A889" t="str">
        <f>IF($K889="","",869)</f>
        <v/>
      </c>
      <c r="B889" t="str">
        <f>IF($K889="","",INDEX(Конструктор!$C$2:$C$1212,$K889))</f>
        <v/>
      </c>
      <c r="C889" s="8" t="str">
        <f>IF($K889="","",INDEX(Конструктор!$D$2:$D$1212,$K889)&amp;IF(INDEX(Конструктор!$J$2:$J$1212,$K889)&lt;&gt;""," — "&amp;INDEX(Конструктор!$J$2:$J$1212,$K889),""))</f>
        <v/>
      </c>
      <c r="D889" t="str">
        <f>IF($K889="","",INDEX(Конструктор!$E$2:$E$1212,$K889))</f>
        <v/>
      </c>
      <c r="E889" s="10" t="str">
        <f>IF($K889="","",INDEX(Конструктор!$H$2:$H$1212,$K889))</f>
        <v/>
      </c>
      <c r="F889" s="10" t="str">
        <f>IF($K889="","",INDEX(Конструктор!$L$2:$L$1212,$K889))</f>
        <v/>
      </c>
      <c r="G889" s="10" t="str">
        <f>IF($K889="","",INDEX(Конструктор!$M$2:$M$1212,$K889))</f>
        <v/>
      </c>
      <c r="H889" s="10" t="str">
        <f>IF($K889="","",INDEX(Конструктор!$N$2:$N$1212,$K889))</f>
        <v/>
      </c>
      <c r="I889" s="10" t="str">
        <f>IF($K889="","",INDEX(Конструктор!$O$2:$O$1212,$K889))</f>
        <v/>
      </c>
      <c r="J889" s="10" t="str">
        <f>IF($K889="","",INDEX(Конструктор!$P$2:$P$1212,$K889))</f>
        <v/>
      </c>
      <c r="K889" t="str">
        <f>IFERROR(MATCH(869,Конструктор!$T$2:$T$1212,0),"")</f>
        <v/>
      </c>
      <c r="L889" t="str">
        <f t="shared" si="13"/>
        <v/>
      </c>
    </row>
    <row r="890" spans="1:12" hidden="1" x14ac:dyDescent="0.3">
      <c r="A890" t="str">
        <f>IF($K890="","",870)</f>
        <v/>
      </c>
      <c r="B890" t="str">
        <f>IF($K890="","",INDEX(Конструктор!$C$2:$C$1212,$K890))</f>
        <v/>
      </c>
      <c r="C890" s="8" t="str">
        <f>IF($K890="","",INDEX(Конструктор!$D$2:$D$1212,$K890)&amp;IF(INDEX(Конструктор!$J$2:$J$1212,$K890)&lt;&gt;""," — "&amp;INDEX(Конструктор!$J$2:$J$1212,$K890),""))</f>
        <v/>
      </c>
      <c r="D890" t="str">
        <f>IF($K890="","",INDEX(Конструктор!$E$2:$E$1212,$K890))</f>
        <v/>
      </c>
      <c r="E890" s="10" t="str">
        <f>IF($K890="","",INDEX(Конструктор!$H$2:$H$1212,$K890))</f>
        <v/>
      </c>
      <c r="F890" s="10" t="str">
        <f>IF($K890="","",INDEX(Конструктор!$L$2:$L$1212,$K890))</f>
        <v/>
      </c>
      <c r="G890" s="10" t="str">
        <f>IF($K890="","",INDEX(Конструктор!$M$2:$M$1212,$K890))</f>
        <v/>
      </c>
      <c r="H890" s="10" t="str">
        <f>IF($K890="","",INDEX(Конструктор!$N$2:$N$1212,$K890))</f>
        <v/>
      </c>
      <c r="I890" s="10" t="str">
        <f>IF($K890="","",INDEX(Конструктор!$O$2:$O$1212,$K890))</f>
        <v/>
      </c>
      <c r="J890" s="10" t="str">
        <f>IF($K890="","",INDEX(Конструктор!$P$2:$P$1212,$K890))</f>
        <v/>
      </c>
      <c r="K890" t="str">
        <f>IFERROR(MATCH(870,Конструктор!$T$2:$T$1212,0),"")</f>
        <v/>
      </c>
      <c r="L890" t="str">
        <f t="shared" si="13"/>
        <v/>
      </c>
    </row>
    <row r="891" spans="1:12" hidden="1" x14ac:dyDescent="0.3">
      <c r="A891" t="str">
        <f>IF($K891="","",871)</f>
        <v/>
      </c>
      <c r="B891" t="str">
        <f>IF($K891="","",INDEX(Конструктор!$C$2:$C$1212,$K891))</f>
        <v/>
      </c>
      <c r="C891" s="8" t="str">
        <f>IF($K891="","",INDEX(Конструктор!$D$2:$D$1212,$K891)&amp;IF(INDEX(Конструктор!$J$2:$J$1212,$K891)&lt;&gt;""," — "&amp;INDEX(Конструктор!$J$2:$J$1212,$K891),""))</f>
        <v/>
      </c>
      <c r="D891" t="str">
        <f>IF($K891="","",INDEX(Конструктор!$E$2:$E$1212,$K891))</f>
        <v/>
      </c>
      <c r="E891" s="10" t="str">
        <f>IF($K891="","",INDEX(Конструктор!$H$2:$H$1212,$K891))</f>
        <v/>
      </c>
      <c r="F891" s="10" t="str">
        <f>IF($K891="","",INDEX(Конструктор!$L$2:$L$1212,$K891))</f>
        <v/>
      </c>
      <c r="G891" s="10" t="str">
        <f>IF($K891="","",INDEX(Конструктор!$M$2:$M$1212,$K891))</f>
        <v/>
      </c>
      <c r="H891" s="10" t="str">
        <f>IF($K891="","",INDEX(Конструктор!$N$2:$N$1212,$K891))</f>
        <v/>
      </c>
      <c r="I891" s="10" t="str">
        <f>IF($K891="","",INDEX(Конструктор!$O$2:$O$1212,$K891))</f>
        <v/>
      </c>
      <c r="J891" s="10" t="str">
        <f>IF($K891="","",INDEX(Конструктор!$P$2:$P$1212,$K891))</f>
        <v/>
      </c>
      <c r="K891" t="str">
        <f>IFERROR(MATCH(871,Конструктор!$T$2:$T$1212,0),"")</f>
        <v/>
      </c>
      <c r="L891" t="str">
        <f t="shared" si="13"/>
        <v/>
      </c>
    </row>
    <row r="892" spans="1:12" hidden="1" x14ac:dyDescent="0.3">
      <c r="A892" t="str">
        <f>IF($K892="","",872)</f>
        <v/>
      </c>
      <c r="B892" t="str">
        <f>IF($K892="","",INDEX(Конструктор!$C$2:$C$1212,$K892))</f>
        <v/>
      </c>
      <c r="C892" s="8" t="str">
        <f>IF($K892="","",INDEX(Конструктор!$D$2:$D$1212,$K892)&amp;IF(INDEX(Конструктор!$J$2:$J$1212,$K892)&lt;&gt;""," — "&amp;INDEX(Конструктор!$J$2:$J$1212,$K892),""))</f>
        <v/>
      </c>
      <c r="D892" t="str">
        <f>IF($K892="","",INDEX(Конструктор!$E$2:$E$1212,$K892))</f>
        <v/>
      </c>
      <c r="E892" s="10" t="str">
        <f>IF($K892="","",INDEX(Конструктор!$H$2:$H$1212,$K892))</f>
        <v/>
      </c>
      <c r="F892" s="10" t="str">
        <f>IF($K892="","",INDEX(Конструктор!$L$2:$L$1212,$K892))</f>
        <v/>
      </c>
      <c r="G892" s="10" t="str">
        <f>IF($K892="","",INDEX(Конструктор!$M$2:$M$1212,$K892))</f>
        <v/>
      </c>
      <c r="H892" s="10" t="str">
        <f>IF($K892="","",INDEX(Конструктор!$N$2:$N$1212,$K892))</f>
        <v/>
      </c>
      <c r="I892" s="10" t="str">
        <f>IF($K892="","",INDEX(Конструктор!$O$2:$O$1212,$K892))</f>
        <v/>
      </c>
      <c r="J892" s="10" t="str">
        <f>IF($K892="","",INDEX(Конструктор!$P$2:$P$1212,$K892))</f>
        <v/>
      </c>
      <c r="K892" t="str">
        <f>IFERROR(MATCH(872,Конструктор!$T$2:$T$1212,0),"")</f>
        <v/>
      </c>
      <c r="L892" t="str">
        <f t="shared" si="13"/>
        <v/>
      </c>
    </row>
    <row r="893" spans="1:12" hidden="1" x14ac:dyDescent="0.3">
      <c r="A893" t="str">
        <f>IF($K893="","",873)</f>
        <v/>
      </c>
      <c r="B893" t="str">
        <f>IF($K893="","",INDEX(Конструктор!$C$2:$C$1212,$K893))</f>
        <v/>
      </c>
      <c r="C893" s="8" t="str">
        <f>IF($K893="","",INDEX(Конструктор!$D$2:$D$1212,$K893)&amp;IF(INDEX(Конструктор!$J$2:$J$1212,$K893)&lt;&gt;""," — "&amp;INDEX(Конструктор!$J$2:$J$1212,$K893),""))</f>
        <v/>
      </c>
      <c r="D893" t="str">
        <f>IF($K893="","",INDEX(Конструктор!$E$2:$E$1212,$K893))</f>
        <v/>
      </c>
      <c r="E893" s="10" t="str">
        <f>IF($K893="","",INDEX(Конструктор!$H$2:$H$1212,$K893))</f>
        <v/>
      </c>
      <c r="F893" s="10" t="str">
        <f>IF($K893="","",INDEX(Конструктор!$L$2:$L$1212,$K893))</f>
        <v/>
      </c>
      <c r="G893" s="10" t="str">
        <f>IF($K893="","",INDEX(Конструктор!$M$2:$M$1212,$K893))</f>
        <v/>
      </c>
      <c r="H893" s="10" t="str">
        <f>IF($K893="","",INDEX(Конструктор!$N$2:$N$1212,$K893))</f>
        <v/>
      </c>
      <c r="I893" s="10" t="str">
        <f>IF($K893="","",INDEX(Конструктор!$O$2:$O$1212,$K893))</f>
        <v/>
      </c>
      <c r="J893" s="10" t="str">
        <f>IF($K893="","",INDEX(Конструктор!$P$2:$P$1212,$K893))</f>
        <v/>
      </c>
      <c r="K893" t="str">
        <f>IFERROR(MATCH(873,Конструктор!$T$2:$T$1212,0),"")</f>
        <v/>
      </c>
      <c r="L893" t="str">
        <f t="shared" si="13"/>
        <v/>
      </c>
    </row>
    <row r="894" spans="1:12" hidden="1" x14ac:dyDescent="0.3">
      <c r="A894" t="str">
        <f>IF($K894="","",874)</f>
        <v/>
      </c>
      <c r="B894" t="str">
        <f>IF($K894="","",INDEX(Конструктор!$C$2:$C$1212,$K894))</f>
        <v/>
      </c>
      <c r="C894" s="8" t="str">
        <f>IF($K894="","",INDEX(Конструктор!$D$2:$D$1212,$K894)&amp;IF(INDEX(Конструктор!$J$2:$J$1212,$K894)&lt;&gt;""," — "&amp;INDEX(Конструктор!$J$2:$J$1212,$K894),""))</f>
        <v/>
      </c>
      <c r="D894" t="str">
        <f>IF($K894="","",INDEX(Конструктор!$E$2:$E$1212,$K894))</f>
        <v/>
      </c>
      <c r="E894" s="10" t="str">
        <f>IF($K894="","",INDEX(Конструктор!$H$2:$H$1212,$K894))</f>
        <v/>
      </c>
      <c r="F894" s="10" t="str">
        <f>IF($K894="","",INDEX(Конструктор!$L$2:$L$1212,$K894))</f>
        <v/>
      </c>
      <c r="G894" s="10" t="str">
        <f>IF($K894="","",INDEX(Конструктор!$M$2:$M$1212,$K894))</f>
        <v/>
      </c>
      <c r="H894" s="10" t="str">
        <f>IF($K894="","",INDEX(Конструктор!$N$2:$N$1212,$K894))</f>
        <v/>
      </c>
      <c r="I894" s="10" t="str">
        <f>IF($K894="","",INDEX(Конструктор!$O$2:$O$1212,$K894))</f>
        <v/>
      </c>
      <c r="J894" s="10" t="str">
        <f>IF($K894="","",INDEX(Конструктор!$P$2:$P$1212,$K894))</f>
        <v/>
      </c>
      <c r="K894" t="str">
        <f>IFERROR(MATCH(874,Конструктор!$T$2:$T$1212,0),"")</f>
        <v/>
      </c>
      <c r="L894" t="str">
        <f t="shared" si="13"/>
        <v/>
      </c>
    </row>
    <row r="895" spans="1:12" hidden="1" x14ac:dyDescent="0.3">
      <c r="A895" t="str">
        <f>IF($K895="","",875)</f>
        <v/>
      </c>
      <c r="B895" t="str">
        <f>IF($K895="","",INDEX(Конструктор!$C$2:$C$1212,$K895))</f>
        <v/>
      </c>
      <c r="C895" s="8" t="str">
        <f>IF($K895="","",INDEX(Конструктор!$D$2:$D$1212,$K895)&amp;IF(INDEX(Конструктор!$J$2:$J$1212,$K895)&lt;&gt;""," — "&amp;INDEX(Конструктор!$J$2:$J$1212,$K895),""))</f>
        <v/>
      </c>
      <c r="D895" t="str">
        <f>IF($K895="","",INDEX(Конструктор!$E$2:$E$1212,$K895))</f>
        <v/>
      </c>
      <c r="E895" s="10" t="str">
        <f>IF($K895="","",INDEX(Конструктор!$H$2:$H$1212,$K895))</f>
        <v/>
      </c>
      <c r="F895" s="10" t="str">
        <f>IF($K895="","",INDEX(Конструктор!$L$2:$L$1212,$K895))</f>
        <v/>
      </c>
      <c r="G895" s="10" t="str">
        <f>IF($K895="","",INDEX(Конструктор!$M$2:$M$1212,$K895))</f>
        <v/>
      </c>
      <c r="H895" s="10" t="str">
        <f>IF($K895="","",INDEX(Конструктор!$N$2:$N$1212,$K895))</f>
        <v/>
      </c>
      <c r="I895" s="10" t="str">
        <f>IF($K895="","",INDEX(Конструктор!$O$2:$O$1212,$K895))</f>
        <v/>
      </c>
      <c r="J895" s="10" t="str">
        <f>IF($K895="","",INDEX(Конструктор!$P$2:$P$1212,$K895))</f>
        <v/>
      </c>
      <c r="K895" t="str">
        <f>IFERROR(MATCH(875,Конструктор!$T$2:$T$1212,0),"")</f>
        <v/>
      </c>
      <c r="L895" t="str">
        <f t="shared" si="13"/>
        <v/>
      </c>
    </row>
    <row r="896" spans="1:12" hidden="1" x14ac:dyDescent="0.3">
      <c r="A896" t="str">
        <f>IF($K896="","",876)</f>
        <v/>
      </c>
      <c r="B896" t="str">
        <f>IF($K896="","",INDEX(Конструктор!$C$2:$C$1212,$K896))</f>
        <v/>
      </c>
      <c r="C896" s="8" t="str">
        <f>IF($K896="","",INDEX(Конструктор!$D$2:$D$1212,$K896)&amp;IF(INDEX(Конструктор!$J$2:$J$1212,$K896)&lt;&gt;""," — "&amp;INDEX(Конструктор!$J$2:$J$1212,$K896),""))</f>
        <v/>
      </c>
      <c r="D896" t="str">
        <f>IF($K896="","",INDEX(Конструктор!$E$2:$E$1212,$K896))</f>
        <v/>
      </c>
      <c r="E896" s="10" t="str">
        <f>IF($K896="","",INDEX(Конструктор!$H$2:$H$1212,$K896))</f>
        <v/>
      </c>
      <c r="F896" s="10" t="str">
        <f>IF($K896="","",INDEX(Конструктор!$L$2:$L$1212,$K896))</f>
        <v/>
      </c>
      <c r="G896" s="10" t="str">
        <f>IF($K896="","",INDEX(Конструктор!$M$2:$M$1212,$K896))</f>
        <v/>
      </c>
      <c r="H896" s="10" t="str">
        <f>IF($K896="","",INDEX(Конструктор!$N$2:$N$1212,$K896))</f>
        <v/>
      </c>
      <c r="I896" s="10" t="str">
        <f>IF($K896="","",INDEX(Конструктор!$O$2:$O$1212,$K896))</f>
        <v/>
      </c>
      <c r="J896" s="10" t="str">
        <f>IF($K896="","",INDEX(Конструктор!$P$2:$P$1212,$K896))</f>
        <v/>
      </c>
      <c r="K896" t="str">
        <f>IFERROR(MATCH(876,Конструктор!$T$2:$T$1212,0),"")</f>
        <v/>
      </c>
      <c r="L896" t="str">
        <f t="shared" si="13"/>
        <v/>
      </c>
    </row>
    <row r="897" spans="1:12" hidden="1" x14ac:dyDescent="0.3">
      <c r="A897" t="str">
        <f>IF($K897="","",877)</f>
        <v/>
      </c>
      <c r="B897" t="str">
        <f>IF($K897="","",INDEX(Конструктор!$C$2:$C$1212,$K897))</f>
        <v/>
      </c>
      <c r="C897" s="8" t="str">
        <f>IF($K897="","",INDEX(Конструктор!$D$2:$D$1212,$K897)&amp;IF(INDEX(Конструктор!$J$2:$J$1212,$K897)&lt;&gt;""," — "&amp;INDEX(Конструктор!$J$2:$J$1212,$K897),""))</f>
        <v/>
      </c>
      <c r="D897" t="str">
        <f>IF($K897="","",INDEX(Конструктор!$E$2:$E$1212,$K897))</f>
        <v/>
      </c>
      <c r="E897" s="10" t="str">
        <f>IF($K897="","",INDEX(Конструктор!$H$2:$H$1212,$K897))</f>
        <v/>
      </c>
      <c r="F897" s="10" t="str">
        <f>IF($K897="","",INDEX(Конструктор!$L$2:$L$1212,$K897))</f>
        <v/>
      </c>
      <c r="G897" s="10" t="str">
        <f>IF($K897="","",INDEX(Конструктор!$M$2:$M$1212,$K897))</f>
        <v/>
      </c>
      <c r="H897" s="10" t="str">
        <f>IF($K897="","",INDEX(Конструктор!$N$2:$N$1212,$K897))</f>
        <v/>
      </c>
      <c r="I897" s="10" t="str">
        <f>IF($K897="","",INDEX(Конструктор!$O$2:$O$1212,$K897))</f>
        <v/>
      </c>
      <c r="J897" s="10" t="str">
        <f>IF($K897="","",INDEX(Конструктор!$P$2:$P$1212,$K897))</f>
        <v/>
      </c>
      <c r="K897" t="str">
        <f>IFERROR(MATCH(877,Конструктор!$T$2:$T$1212,0),"")</f>
        <v/>
      </c>
      <c r="L897" t="str">
        <f t="shared" si="13"/>
        <v/>
      </c>
    </row>
    <row r="898" spans="1:12" hidden="1" x14ac:dyDescent="0.3">
      <c r="A898" t="str">
        <f>IF($K898="","",878)</f>
        <v/>
      </c>
      <c r="B898" t="str">
        <f>IF($K898="","",INDEX(Конструктор!$C$2:$C$1212,$K898))</f>
        <v/>
      </c>
      <c r="C898" s="8" t="str">
        <f>IF($K898="","",INDEX(Конструктор!$D$2:$D$1212,$K898)&amp;IF(INDEX(Конструктор!$J$2:$J$1212,$K898)&lt;&gt;""," — "&amp;INDEX(Конструктор!$J$2:$J$1212,$K898),""))</f>
        <v/>
      </c>
      <c r="D898" t="str">
        <f>IF($K898="","",INDEX(Конструктор!$E$2:$E$1212,$K898))</f>
        <v/>
      </c>
      <c r="E898" s="10" t="str">
        <f>IF($K898="","",INDEX(Конструктор!$H$2:$H$1212,$K898))</f>
        <v/>
      </c>
      <c r="F898" s="10" t="str">
        <f>IF($K898="","",INDEX(Конструктор!$L$2:$L$1212,$K898))</f>
        <v/>
      </c>
      <c r="G898" s="10" t="str">
        <f>IF($K898="","",INDEX(Конструктор!$M$2:$M$1212,$K898))</f>
        <v/>
      </c>
      <c r="H898" s="10" t="str">
        <f>IF($K898="","",INDEX(Конструктор!$N$2:$N$1212,$K898))</f>
        <v/>
      </c>
      <c r="I898" s="10" t="str">
        <f>IF($K898="","",INDEX(Конструктор!$O$2:$O$1212,$K898))</f>
        <v/>
      </c>
      <c r="J898" s="10" t="str">
        <f>IF($K898="","",INDEX(Конструктор!$P$2:$P$1212,$K898))</f>
        <v/>
      </c>
      <c r="K898" t="str">
        <f>IFERROR(MATCH(878,Конструктор!$T$2:$T$1212,0),"")</f>
        <v/>
      </c>
      <c r="L898" t="str">
        <f t="shared" si="13"/>
        <v/>
      </c>
    </row>
    <row r="899" spans="1:12" hidden="1" x14ac:dyDescent="0.3">
      <c r="A899" t="str">
        <f>IF($K899="","",879)</f>
        <v/>
      </c>
      <c r="B899" t="str">
        <f>IF($K899="","",INDEX(Конструктор!$C$2:$C$1212,$K899))</f>
        <v/>
      </c>
      <c r="C899" s="8" t="str">
        <f>IF($K899="","",INDEX(Конструктор!$D$2:$D$1212,$K899)&amp;IF(INDEX(Конструктор!$J$2:$J$1212,$K899)&lt;&gt;""," — "&amp;INDEX(Конструктор!$J$2:$J$1212,$K899),""))</f>
        <v/>
      </c>
      <c r="D899" t="str">
        <f>IF($K899="","",INDEX(Конструктор!$E$2:$E$1212,$K899))</f>
        <v/>
      </c>
      <c r="E899" s="10" t="str">
        <f>IF($K899="","",INDEX(Конструктор!$H$2:$H$1212,$K899))</f>
        <v/>
      </c>
      <c r="F899" s="10" t="str">
        <f>IF($K899="","",INDEX(Конструктор!$L$2:$L$1212,$K899))</f>
        <v/>
      </c>
      <c r="G899" s="10" t="str">
        <f>IF($K899="","",INDEX(Конструктор!$M$2:$M$1212,$K899))</f>
        <v/>
      </c>
      <c r="H899" s="10" t="str">
        <f>IF($K899="","",INDEX(Конструктор!$N$2:$N$1212,$K899))</f>
        <v/>
      </c>
      <c r="I899" s="10" t="str">
        <f>IF($K899="","",INDEX(Конструктор!$O$2:$O$1212,$K899))</f>
        <v/>
      </c>
      <c r="J899" s="10" t="str">
        <f>IF($K899="","",INDEX(Конструктор!$P$2:$P$1212,$K899))</f>
        <v/>
      </c>
      <c r="K899" t="str">
        <f>IFERROR(MATCH(879,Конструктор!$T$2:$T$1212,0),"")</f>
        <v/>
      </c>
      <c r="L899" t="str">
        <f t="shared" si="13"/>
        <v/>
      </c>
    </row>
    <row r="900" spans="1:12" hidden="1" x14ac:dyDescent="0.3">
      <c r="A900" t="str">
        <f>IF($K900="","",880)</f>
        <v/>
      </c>
      <c r="B900" t="str">
        <f>IF($K900="","",INDEX(Конструктор!$C$2:$C$1212,$K900))</f>
        <v/>
      </c>
      <c r="C900" s="8" t="str">
        <f>IF($K900="","",INDEX(Конструктор!$D$2:$D$1212,$K900)&amp;IF(INDEX(Конструктор!$J$2:$J$1212,$K900)&lt;&gt;""," — "&amp;INDEX(Конструктор!$J$2:$J$1212,$K900),""))</f>
        <v/>
      </c>
      <c r="D900" t="str">
        <f>IF($K900="","",INDEX(Конструктор!$E$2:$E$1212,$K900))</f>
        <v/>
      </c>
      <c r="E900" s="10" t="str">
        <f>IF($K900="","",INDEX(Конструктор!$H$2:$H$1212,$K900))</f>
        <v/>
      </c>
      <c r="F900" s="10" t="str">
        <f>IF($K900="","",INDEX(Конструктор!$L$2:$L$1212,$K900))</f>
        <v/>
      </c>
      <c r="G900" s="10" t="str">
        <f>IF($K900="","",INDEX(Конструктор!$M$2:$M$1212,$K900))</f>
        <v/>
      </c>
      <c r="H900" s="10" t="str">
        <f>IF($K900="","",INDEX(Конструктор!$N$2:$N$1212,$K900))</f>
        <v/>
      </c>
      <c r="I900" s="10" t="str">
        <f>IF($K900="","",INDEX(Конструктор!$O$2:$O$1212,$K900))</f>
        <v/>
      </c>
      <c r="J900" s="10" t="str">
        <f>IF($K900="","",INDEX(Конструктор!$P$2:$P$1212,$K900))</f>
        <v/>
      </c>
      <c r="K900" t="str">
        <f>IFERROR(MATCH(880,Конструктор!$T$2:$T$1212,0),"")</f>
        <v/>
      </c>
      <c r="L900" t="str">
        <f t="shared" si="13"/>
        <v/>
      </c>
    </row>
    <row r="901" spans="1:12" hidden="1" x14ac:dyDescent="0.3">
      <c r="A901" t="str">
        <f>IF($K901="","",881)</f>
        <v/>
      </c>
      <c r="B901" t="str">
        <f>IF($K901="","",INDEX(Конструктор!$C$2:$C$1212,$K901))</f>
        <v/>
      </c>
      <c r="C901" s="8" t="str">
        <f>IF($K901="","",INDEX(Конструктор!$D$2:$D$1212,$K901)&amp;IF(INDEX(Конструктор!$J$2:$J$1212,$K901)&lt;&gt;""," — "&amp;INDEX(Конструктор!$J$2:$J$1212,$K901),""))</f>
        <v/>
      </c>
      <c r="D901" t="str">
        <f>IF($K901="","",INDEX(Конструктор!$E$2:$E$1212,$K901))</f>
        <v/>
      </c>
      <c r="E901" s="10" t="str">
        <f>IF($K901="","",INDEX(Конструктор!$H$2:$H$1212,$K901))</f>
        <v/>
      </c>
      <c r="F901" s="10" t="str">
        <f>IF($K901="","",INDEX(Конструктор!$L$2:$L$1212,$K901))</f>
        <v/>
      </c>
      <c r="G901" s="10" t="str">
        <f>IF($K901="","",INDEX(Конструктор!$M$2:$M$1212,$K901))</f>
        <v/>
      </c>
      <c r="H901" s="10" t="str">
        <f>IF($K901="","",INDEX(Конструктор!$N$2:$N$1212,$K901))</f>
        <v/>
      </c>
      <c r="I901" s="10" t="str">
        <f>IF($K901="","",INDEX(Конструктор!$O$2:$O$1212,$K901))</f>
        <v/>
      </c>
      <c r="J901" s="10" t="str">
        <f>IF($K901="","",INDEX(Конструктор!$P$2:$P$1212,$K901))</f>
        <v/>
      </c>
      <c r="K901" t="str">
        <f>IFERROR(MATCH(881,Конструктор!$T$2:$T$1212,0),"")</f>
        <v/>
      </c>
      <c r="L901" t="str">
        <f t="shared" si="13"/>
        <v/>
      </c>
    </row>
    <row r="902" spans="1:12" hidden="1" x14ac:dyDescent="0.3">
      <c r="A902" t="str">
        <f>IF($K902="","",882)</f>
        <v/>
      </c>
      <c r="B902" t="str">
        <f>IF($K902="","",INDEX(Конструктор!$C$2:$C$1212,$K902))</f>
        <v/>
      </c>
      <c r="C902" s="8" t="str">
        <f>IF($K902="","",INDEX(Конструктор!$D$2:$D$1212,$K902)&amp;IF(INDEX(Конструктор!$J$2:$J$1212,$K902)&lt;&gt;""," — "&amp;INDEX(Конструктор!$J$2:$J$1212,$K902),""))</f>
        <v/>
      </c>
      <c r="D902" t="str">
        <f>IF($K902="","",INDEX(Конструктор!$E$2:$E$1212,$K902))</f>
        <v/>
      </c>
      <c r="E902" s="10" t="str">
        <f>IF($K902="","",INDEX(Конструктор!$H$2:$H$1212,$K902))</f>
        <v/>
      </c>
      <c r="F902" s="10" t="str">
        <f>IF($K902="","",INDEX(Конструктор!$L$2:$L$1212,$K902))</f>
        <v/>
      </c>
      <c r="G902" s="10" t="str">
        <f>IF($K902="","",INDEX(Конструктор!$M$2:$M$1212,$K902))</f>
        <v/>
      </c>
      <c r="H902" s="10" t="str">
        <f>IF($K902="","",INDEX(Конструктор!$N$2:$N$1212,$K902))</f>
        <v/>
      </c>
      <c r="I902" s="10" t="str">
        <f>IF($K902="","",INDEX(Конструктор!$O$2:$O$1212,$K902))</f>
        <v/>
      </c>
      <c r="J902" s="10" t="str">
        <f>IF($K902="","",INDEX(Конструктор!$P$2:$P$1212,$K902))</f>
        <v/>
      </c>
      <c r="K902" t="str">
        <f>IFERROR(MATCH(882,Конструктор!$T$2:$T$1212,0),"")</f>
        <v/>
      </c>
      <c r="L902" t="str">
        <f t="shared" si="13"/>
        <v/>
      </c>
    </row>
    <row r="903" spans="1:12" hidden="1" x14ac:dyDescent="0.3">
      <c r="A903" t="str">
        <f>IF($K903="","",883)</f>
        <v/>
      </c>
      <c r="B903" t="str">
        <f>IF($K903="","",INDEX(Конструктор!$C$2:$C$1212,$K903))</f>
        <v/>
      </c>
      <c r="C903" s="8" t="str">
        <f>IF($K903="","",INDEX(Конструктор!$D$2:$D$1212,$K903)&amp;IF(INDEX(Конструктор!$J$2:$J$1212,$K903)&lt;&gt;""," — "&amp;INDEX(Конструктор!$J$2:$J$1212,$K903),""))</f>
        <v/>
      </c>
      <c r="D903" t="str">
        <f>IF($K903="","",INDEX(Конструктор!$E$2:$E$1212,$K903))</f>
        <v/>
      </c>
      <c r="E903" s="10" t="str">
        <f>IF($K903="","",INDEX(Конструктор!$H$2:$H$1212,$K903))</f>
        <v/>
      </c>
      <c r="F903" s="10" t="str">
        <f>IF($K903="","",INDEX(Конструктор!$L$2:$L$1212,$K903))</f>
        <v/>
      </c>
      <c r="G903" s="10" t="str">
        <f>IF($K903="","",INDEX(Конструктор!$M$2:$M$1212,$K903))</f>
        <v/>
      </c>
      <c r="H903" s="10" t="str">
        <f>IF($K903="","",INDEX(Конструктор!$N$2:$N$1212,$K903))</f>
        <v/>
      </c>
      <c r="I903" s="10" t="str">
        <f>IF($K903="","",INDEX(Конструктор!$O$2:$O$1212,$K903))</f>
        <v/>
      </c>
      <c r="J903" s="10" t="str">
        <f>IF($K903="","",INDEX(Конструктор!$P$2:$P$1212,$K903))</f>
        <v/>
      </c>
      <c r="K903" t="str">
        <f>IFERROR(MATCH(883,Конструктор!$T$2:$T$1212,0),"")</f>
        <v/>
      </c>
      <c r="L903" t="str">
        <f t="shared" si="13"/>
        <v/>
      </c>
    </row>
    <row r="904" spans="1:12" hidden="1" x14ac:dyDescent="0.3">
      <c r="A904" t="str">
        <f>IF($K904="","",884)</f>
        <v/>
      </c>
      <c r="B904" t="str">
        <f>IF($K904="","",INDEX(Конструктор!$C$2:$C$1212,$K904))</f>
        <v/>
      </c>
      <c r="C904" s="8" t="str">
        <f>IF($K904="","",INDEX(Конструктор!$D$2:$D$1212,$K904)&amp;IF(INDEX(Конструктор!$J$2:$J$1212,$K904)&lt;&gt;""," — "&amp;INDEX(Конструктор!$J$2:$J$1212,$K904),""))</f>
        <v/>
      </c>
      <c r="D904" t="str">
        <f>IF($K904="","",INDEX(Конструктор!$E$2:$E$1212,$K904))</f>
        <v/>
      </c>
      <c r="E904" s="10" t="str">
        <f>IF($K904="","",INDEX(Конструктор!$H$2:$H$1212,$K904))</f>
        <v/>
      </c>
      <c r="F904" s="10" t="str">
        <f>IF($K904="","",INDEX(Конструктор!$L$2:$L$1212,$K904))</f>
        <v/>
      </c>
      <c r="G904" s="10" t="str">
        <f>IF($K904="","",INDEX(Конструктор!$M$2:$M$1212,$K904))</f>
        <v/>
      </c>
      <c r="H904" s="10" t="str">
        <f>IF($K904="","",INDEX(Конструктор!$N$2:$N$1212,$K904))</f>
        <v/>
      </c>
      <c r="I904" s="10" t="str">
        <f>IF($K904="","",INDEX(Конструктор!$O$2:$O$1212,$K904))</f>
        <v/>
      </c>
      <c r="J904" s="10" t="str">
        <f>IF($K904="","",INDEX(Конструктор!$P$2:$P$1212,$K904))</f>
        <v/>
      </c>
      <c r="K904" t="str">
        <f>IFERROR(MATCH(884,Конструктор!$T$2:$T$1212,0),"")</f>
        <v/>
      </c>
      <c r="L904" t="str">
        <f t="shared" si="13"/>
        <v/>
      </c>
    </row>
    <row r="905" spans="1:12" hidden="1" x14ac:dyDescent="0.3">
      <c r="A905" t="str">
        <f>IF($K905="","",885)</f>
        <v/>
      </c>
      <c r="B905" t="str">
        <f>IF($K905="","",INDEX(Конструктор!$C$2:$C$1212,$K905))</f>
        <v/>
      </c>
      <c r="C905" s="8" t="str">
        <f>IF($K905="","",INDEX(Конструктор!$D$2:$D$1212,$K905)&amp;IF(INDEX(Конструктор!$J$2:$J$1212,$K905)&lt;&gt;""," — "&amp;INDEX(Конструктор!$J$2:$J$1212,$K905),""))</f>
        <v/>
      </c>
      <c r="D905" t="str">
        <f>IF($K905="","",INDEX(Конструктор!$E$2:$E$1212,$K905))</f>
        <v/>
      </c>
      <c r="E905" s="10" t="str">
        <f>IF($K905="","",INDEX(Конструктор!$H$2:$H$1212,$K905))</f>
        <v/>
      </c>
      <c r="F905" s="10" t="str">
        <f>IF($K905="","",INDEX(Конструктор!$L$2:$L$1212,$K905))</f>
        <v/>
      </c>
      <c r="G905" s="10" t="str">
        <f>IF($K905="","",INDEX(Конструктор!$M$2:$M$1212,$K905))</f>
        <v/>
      </c>
      <c r="H905" s="10" t="str">
        <f>IF($K905="","",INDEX(Конструктор!$N$2:$N$1212,$K905))</f>
        <v/>
      </c>
      <c r="I905" s="10" t="str">
        <f>IF($K905="","",INDEX(Конструктор!$O$2:$O$1212,$K905))</f>
        <v/>
      </c>
      <c r="J905" s="10" t="str">
        <f>IF($K905="","",INDEX(Конструктор!$P$2:$P$1212,$K905))</f>
        <v/>
      </c>
      <c r="K905" t="str">
        <f>IFERROR(MATCH(885,Конструктор!$T$2:$T$1212,0),"")</f>
        <v/>
      </c>
      <c r="L905" t="str">
        <f t="shared" si="13"/>
        <v/>
      </c>
    </row>
    <row r="906" spans="1:12" hidden="1" x14ac:dyDescent="0.3">
      <c r="A906" t="str">
        <f>IF($K906="","",886)</f>
        <v/>
      </c>
      <c r="B906" t="str">
        <f>IF($K906="","",INDEX(Конструктор!$C$2:$C$1212,$K906))</f>
        <v/>
      </c>
      <c r="C906" s="8" t="str">
        <f>IF($K906="","",INDEX(Конструктор!$D$2:$D$1212,$K906)&amp;IF(INDEX(Конструктор!$J$2:$J$1212,$K906)&lt;&gt;""," — "&amp;INDEX(Конструктор!$J$2:$J$1212,$K906),""))</f>
        <v/>
      </c>
      <c r="D906" t="str">
        <f>IF($K906="","",INDEX(Конструктор!$E$2:$E$1212,$K906))</f>
        <v/>
      </c>
      <c r="E906" s="10" t="str">
        <f>IF($K906="","",INDEX(Конструктор!$H$2:$H$1212,$K906))</f>
        <v/>
      </c>
      <c r="F906" s="10" t="str">
        <f>IF($K906="","",INDEX(Конструктор!$L$2:$L$1212,$K906))</f>
        <v/>
      </c>
      <c r="G906" s="10" t="str">
        <f>IF($K906="","",INDEX(Конструктор!$M$2:$M$1212,$K906))</f>
        <v/>
      </c>
      <c r="H906" s="10" t="str">
        <f>IF($K906="","",INDEX(Конструктор!$N$2:$N$1212,$K906))</f>
        <v/>
      </c>
      <c r="I906" s="10" t="str">
        <f>IF($K906="","",INDEX(Конструктор!$O$2:$O$1212,$K906))</f>
        <v/>
      </c>
      <c r="J906" s="10" t="str">
        <f>IF($K906="","",INDEX(Конструктор!$P$2:$P$1212,$K906))</f>
        <v/>
      </c>
      <c r="K906" t="str">
        <f>IFERROR(MATCH(886,Конструктор!$T$2:$T$1212,0),"")</f>
        <v/>
      </c>
      <c r="L906" t="str">
        <f t="shared" si="13"/>
        <v/>
      </c>
    </row>
    <row r="907" spans="1:12" hidden="1" x14ac:dyDescent="0.3">
      <c r="A907" t="str">
        <f>IF($K907="","",887)</f>
        <v/>
      </c>
      <c r="B907" t="str">
        <f>IF($K907="","",INDEX(Конструктор!$C$2:$C$1212,$K907))</f>
        <v/>
      </c>
      <c r="C907" s="8" t="str">
        <f>IF($K907="","",INDEX(Конструктор!$D$2:$D$1212,$K907)&amp;IF(INDEX(Конструктор!$J$2:$J$1212,$K907)&lt;&gt;""," — "&amp;INDEX(Конструктор!$J$2:$J$1212,$K907),""))</f>
        <v/>
      </c>
      <c r="D907" t="str">
        <f>IF($K907="","",INDEX(Конструктор!$E$2:$E$1212,$K907))</f>
        <v/>
      </c>
      <c r="E907" s="10" t="str">
        <f>IF($K907="","",INDEX(Конструктор!$H$2:$H$1212,$K907))</f>
        <v/>
      </c>
      <c r="F907" s="10" t="str">
        <f>IF($K907="","",INDEX(Конструктор!$L$2:$L$1212,$K907))</f>
        <v/>
      </c>
      <c r="G907" s="10" t="str">
        <f>IF($K907="","",INDEX(Конструктор!$M$2:$M$1212,$K907))</f>
        <v/>
      </c>
      <c r="H907" s="10" t="str">
        <f>IF($K907="","",INDEX(Конструктор!$N$2:$N$1212,$K907))</f>
        <v/>
      </c>
      <c r="I907" s="10" t="str">
        <f>IF($K907="","",INDEX(Конструктор!$O$2:$O$1212,$K907))</f>
        <v/>
      </c>
      <c r="J907" s="10" t="str">
        <f>IF($K907="","",INDEX(Конструктор!$P$2:$P$1212,$K907))</f>
        <v/>
      </c>
      <c r="K907" t="str">
        <f>IFERROR(MATCH(887,Конструктор!$T$2:$T$1212,0),"")</f>
        <v/>
      </c>
      <c r="L907" t="str">
        <f t="shared" si="13"/>
        <v/>
      </c>
    </row>
    <row r="908" spans="1:12" hidden="1" x14ac:dyDescent="0.3">
      <c r="A908" t="str">
        <f>IF($K908="","",888)</f>
        <v/>
      </c>
      <c r="B908" t="str">
        <f>IF($K908="","",INDEX(Конструктор!$C$2:$C$1212,$K908))</f>
        <v/>
      </c>
      <c r="C908" s="8" t="str">
        <f>IF($K908="","",INDEX(Конструктор!$D$2:$D$1212,$K908)&amp;IF(INDEX(Конструктор!$J$2:$J$1212,$K908)&lt;&gt;""," — "&amp;INDEX(Конструктор!$J$2:$J$1212,$K908),""))</f>
        <v/>
      </c>
      <c r="D908" t="str">
        <f>IF($K908="","",INDEX(Конструктор!$E$2:$E$1212,$K908))</f>
        <v/>
      </c>
      <c r="E908" s="10" t="str">
        <f>IF($K908="","",INDEX(Конструктор!$H$2:$H$1212,$K908))</f>
        <v/>
      </c>
      <c r="F908" s="10" t="str">
        <f>IF($K908="","",INDEX(Конструктор!$L$2:$L$1212,$K908))</f>
        <v/>
      </c>
      <c r="G908" s="10" t="str">
        <f>IF($K908="","",INDEX(Конструктор!$M$2:$M$1212,$K908))</f>
        <v/>
      </c>
      <c r="H908" s="10" t="str">
        <f>IF($K908="","",INDEX(Конструктор!$N$2:$N$1212,$K908))</f>
        <v/>
      </c>
      <c r="I908" s="10" t="str">
        <f>IF($K908="","",INDEX(Конструктор!$O$2:$O$1212,$K908))</f>
        <v/>
      </c>
      <c r="J908" s="10" t="str">
        <f>IF($K908="","",INDEX(Конструктор!$P$2:$P$1212,$K908))</f>
        <v/>
      </c>
      <c r="K908" t="str">
        <f>IFERROR(MATCH(888,Конструктор!$T$2:$T$1212,0),"")</f>
        <v/>
      </c>
      <c r="L908" t="str">
        <f t="shared" si="13"/>
        <v/>
      </c>
    </row>
    <row r="909" spans="1:12" hidden="1" x14ac:dyDescent="0.3">
      <c r="A909" t="str">
        <f>IF($K909="","",889)</f>
        <v/>
      </c>
      <c r="B909" t="str">
        <f>IF($K909="","",INDEX(Конструктор!$C$2:$C$1212,$K909))</f>
        <v/>
      </c>
      <c r="C909" s="8" t="str">
        <f>IF($K909="","",INDEX(Конструктор!$D$2:$D$1212,$K909)&amp;IF(INDEX(Конструктор!$J$2:$J$1212,$K909)&lt;&gt;""," — "&amp;INDEX(Конструктор!$J$2:$J$1212,$K909),""))</f>
        <v/>
      </c>
      <c r="D909" t="str">
        <f>IF($K909="","",INDEX(Конструктор!$E$2:$E$1212,$K909))</f>
        <v/>
      </c>
      <c r="E909" s="10" t="str">
        <f>IF($K909="","",INDEX(Конструктор!$H$2:$H$1212,$K909))</f>
        <v/>
      </c>
      <c r="F909" s="10" t="str">
        <f>IF($K909="","",INDEX(Конструктор!$L$2:$L$1212,$K909))</f>
        <v/>
      </c>
      <c r="G909" s="10" t="str">
        <f>IF($K909="","",INDEX(Конструктор!$M$2:$M$1212,$K909))</f>
        <v/>
      </c>
      <c r="H909" s="10" t="str">
        <f>IF($K909="","",INDEX(Конструктор!$N$2:$N$1212,$K909))</f>
        <v/>
      </c>
      <c r="I909" s="10" t="str">
        <f>IF($K909="","",INDEX(Конструктор!$O$2:$O$1212,$K909))</f>
        <v/>
      </c>
      <c r="J909" s="10" t="str">
        <f>IF($K909="","",INDEX(Конструктор!$P$2:$P$1212,$K909))</f>
        <v/>
      </c>
      <c r="K909" t="str">
        <f>IFERROR(MATCH(889,Конструктор!$T$2:$T$1212,0),"")</f>
        <v/>
      </c>
      <c r="L909" t="str">
        <f t="shared" si="13"/>
        <v/>
      </c>
    </row>
    <row r="910" spans="1:12" hidden="1" x14ac:dyDescent="0.3">
      <c r="A910" t="str">
        <f>IF($K910="","",890)</f>
        <v/>
      </c>
      <c r="B910" t="str">
        <f>IF($K910="","",INDEX(Конструктор!$C$2:$C$1212,$K910))</f>
        <v/>
      </c>
      <c r="C910" s="8" t="str">
        <f>IF($K910="","",INDEX(Конструктор!$D$2:$D$1212,$K910)&amp;IF(INDEX(Конструктор!$J$2:$J$1212,$K910)&lt;&gt;""," — "&amp;INDEX(Конструктор!$J$2:$J$1212,$K910),""))</f>
        <v/>
      </c>
      <c r="D910" t="str">
        <f>IF($K910="","",INDEX(Конструктор!$E$2:$E$1212,$K910))</f>
        <v/>
      </c>
      <c r="E910" s="10" t="str">
        <f>IF($K910="","",INDEX(Конструктор!$H$2:$H$1212,$K910))</f>
        <v/>
      </c>
      <c r="F910" s="10" t="str">
        <f>IF($K910="","",INDEX(Конструктор!$L$2:$L$1212,$K910))</f>
        <v/>
      </c>
      <c r="G910" s="10" t="str">
        <f>IF($K910="","",INDEX(Конструктор!$M$2:$M$1212,$K910))</f>
        <v/>
      </c>
      <c r="H910" s="10" t="str">
        <f>IF($K910="","",INDEX(Конструктор!$N$2:$N$1212,$K910))</f>
        <v/>
      </c>
      <c r="I910" s="10" t="str">
        <f>IF($K910="","",INDEX(Конструктор!$O$2:$O$1212,$K910))</f>
        <v/>
      </c>
      <c r="J910" s="10" t="str">
        <f>IF($K910="","",INDEX(Конструктор!$P$2:$P$1212,$K910))</f>
        <v/>
      </c>
      <c r="K910" t="str">
        <f>IFERROR(MATCH(890,Конструктор!$T$2:$T$1212,0),"")</f>
        <v/>
      </c>
      <c r="L910" t="str">
        <f t="shared" si="13"/>
        <v/>
      </c>
    </row>
    <row r="911" spans="1:12" hidden="1" x14ac:dyDescent="0.3">
      <c r="A911" t="str">
        <f>IF($K911="","",891)</f>
        <v/>
      </c>
      <c r="B911" t="str">
        <f>IF($K911="","",INDEX(Конструктор!$C$2:$C$1212,$K911))</f>
        <v/>
      </c>
      <c r="C911" s="8" t="str">
        <f>IF($K911="","",INDEX(Конструктор!$D$2:$D$1212,$K911)&amp;IF(INDEX(Конструктор!$J$2:$J$1212,$K911)&lt;&gt;""," — "&amp;INDEX(Конструктор!$J$2:$J$1212,$K911),""))</f>
        <v/>
      </c>
      <c r="D911" t="str">
        <f>IF($K911="","",INDEX(Конструктор!$E$2:$E$1212,$K911))</f>
        <v/>
      </c>
      <c r="E911" s="10" t="str">
        <f>IF($K911="","",INDEX(Конструктор!$H$2:$H$1212,$K911))</f>
        <v/>
      </c>
      <c r="F911" s="10" t="str">
        <f>IF($K911="","",INDEX(Конструктор!$L$2:$L$1212,$K911))</f>
        <v/>
      </c>
      <c r="G911" s="10" t="str">
        <f>IF($K911="","",INDEX(Конструктор!$M$2:$M$1212,$K911))</f>
        <v/>
      </c>
      <c r="H911" s="10" t="str">
        <f>IF($K911="","",INDEX(Конструктор!$N$2:$N$1212,$K911))</f>
        <v/>
      </c>
      <c r="I911" s="10" t="str">
        <f>IF($K911="","",INDEX(Конструктор!$O$2:$O$1212,$K911))</f>
        <v/>
      </c>
      <c r="J911" s="10" t="str">
        <f>IF($K911="","",INDEX(Конструктор!$P$2:$P$1212,$K911))</f>
        <v/>
      </c>
      <c r="K911" t="str">
        <f>IFERROR(MATCH(891,Конструктор!$T$2:$T$1212,0),"")</f>
        <v/>
      </c>
      <c r="L911" t="str">
        <f t="shared" si="13"/>
        <v/>
      </c>
    </row>
    <row r="912" spans="1:12" hidden="1" x14ac:dyDescent="0.3">
      <c r="A912" t="str">
        <f>IF($K912="","",892)</f>
        <v/>
      </c>
      <c r="B912" t="str">
        <f>IF($K912="","",INDEX(Конструктор!$C$2:$C$1212,$K912))</f>
        <v/>
      </c>
      <c r="C912" s="8" t="str">
        <f>IF($K912="","",INDEX(Конструктор!$D$2:$D$1212,$K912)&amp;IF(INDEX(Конструктор!$J$2:$J$1212,$K912)&lt;&gt;""," — "&amp;INDEX(Конструктор!$J$2:$J$1212,$K912),""))</f>
        <v/>
      </c>
      <c r="D912" t="str">
        <f>IF($K912="","",INDEX(Конструктор!$E$2:$E$1212,$K912))</f>
        <v/>
      </c>
      <c r="E912" s="10" t="str">
        <f>IF($K912="","",INDEX(Конструктор!$H$2:$H$1212,$K912))</f>
        <v/>
      </c>
      <c r="F912" s="10" t="str">
        <f>IF($K912="","",INDEX(Конструктор!$L$2:$L$1212,$K912))</f>
        <v/>
      </c>
      <c r="G912" s="10" t="str">
        <f>IF($K912="","",INDEX(Конструктор!$M$2:$M$1212,$K912))</f>
        <v/>
      </c>
      <c r="H912" s="10" t="str">
        <f>IF($K912="","",INDEX(Конструктор!$N$2:$N$1212,$K912))</f>
        <v/>
      </c>
      <c r="I912" s="10" t="str">
        <f>IF($K912="","",INDEX(Конструктор!$O$2:$O$1212,$K912))</f>
        <v/>
      </c>
      <c r="J912" s="10" t="str">
        <f>IF($K912="","",INDEX(Конструктор!$P$2:$P$1212,$K912))</f>
        <v/>
      </c>
      <c r="K912" t="str">
        <f>IFERROR(MATCH(892,Конструктор!$T$2:$T$1212,0),"")</f>
        <v/>
      </c>
      <c r="L912" t="str">
        <f t="shared" si="13"/>
        <v/>
      </c>
    </row>
    <row r="913" spans="1:12" hidden="1" x14ac:dyDescent="0.3">
      <c r="A913" t="str">
        <f>IF($K913="","",893)</f>
        <v/>
      </c>
      <c r="B913" t="str">
        <f>IF($K913="","",INDEX(Конструктор!$C$2:$C$1212,$K913))</f>
        <v/>
      </c>
      <c r="C913" s="8" t="str">
        <f>IF($K913="","",INDEX(Конструктор!$D$2:$D$1212,$K913)&amp;IF(INDEX(Конструктор!$J$2:$J$1212,$K913)&lt;&gt;""," — "&amp;INDEX(Конструктор!$J$2:$J$1212,$K913),""))</f>
        <v/>
      </c>
      <c r="D913" t="str">
        <f>IF($K913="","",INDEX(Конструктор!$E$2:$E$1212,$K913))</f>
        <v/>
      </c>
      <c r="E913" s="10" t="str">
        <f>IF($K913="","",INDEX(Конструктор!$H$2:$H$1212,$K913))</f>
        <v/>
      </c>
      <c r="F913" s="10" t="str">
        <f>IF($K913="","",INDEX(Конструктор!$L$2:$L$1212,$K913))</f>
        <v/>
      </c>
      <c r="G913" s="10" t="str">
        <f>IF($K913="","",INDEX(Конструктор!$M$2:$M$1212,$K913))</f>
        <v/>
      </c>
      <c r="H913" s="10" t="str">
        <f>IF($K913="","",INDEX(Конструктор!$N$2:$N$1212,$K913))</f>
        <v/>
      </c>
      <c r="I913" s="10" t="str">
        <f>IF($K913="","",INDEX(Конструктор!$O$2:$O$1212,$K913))</f>
        <v/>
      </c>
      <c r="J913" s="10" t="str">
        <f>IF($K913="","",INDEX(Конструктор!$P$2:$P$1212,$K913))</f>
        <v/>
      </c>
      <c r="K913" t="str">
        <f>IFERROR(MATCH(893,Конструктор!$T$2:$T$1212,0),"")</f>
        <v/>
      </c>
      <c r="L913" t="str">
        <f t="shared" si="13"/>
        <v/>
      </c>
    </row>
    <row r="914" spans="1:12" hidden="1" x14ac:dyDescent="0.3">
      <c r="A914" t="str">
        <f>IF($K914="","",894)</f>
        <v/>
      </c>
      <c r="B914" t="str">
        <f>IF($K914="","",INDEX(Конструктор!$C$2:$C$1212,$K914))</f>
        <v/>
      </c>
      <c r="C914" s="8" t="str">
        <f>IF($K914="","",INDEX(Конструктор!$D$2:$D$1212,$K914)&amp;IF(INDEX(Конструктор!$J$2:$J$1212,$K914)&lt;&gt;""," — "&amp;INDEX(Конструктор!$J$2:$J$1212,$K914),""))</f>
        <v/>
      </c>
      <c r="D914" t="str">
        <f>IF($K914="","",INDEX(Конструктор!$E$2:$E$1212,$K914))</f>
        <v/>
      </c>
      <c r="E914" s="10" t="str">
        <f>IF($K914="","",INDEX(Конструктор!$H$2:$H$1212,$K914))</f>
        <v/>
      </c>
      <c r="F914" s="10" t="str">
        <f>IF($K914="","",INDEX(Конструктор!$L$2:$L$1212,$K914))</f>
        <v/>
      </c>
      <c r="G914" s="10" t="str">
        <f>IF($K914="","",INDEX(Конструктор!$M$2:$M$1212,$K914))</f>
        <v/>
      </c>
      <c r="H914" s="10" t="str">
        <f>IF($K914="","",INDEX(Конструктор!$N$2:$N$1212,$K914))</f>
        <v/>
      </c>
      <c r="I914" s="10" t="str">
        <f>IF($K914="","",INDEX(Конструктор!$O$2:$O$1212,$K914))</f>
        <v/>
      </c>
      <c r="J914" s="10" t="str">
        <f>IF($K914="","",INDEX(Конструктор!$P$2:$P$1212,$K914))</f>
        <v/>
      </c>
      <c r="K914" t="str">
        <f>IFERROR(MATCH(894,Конструктор!$T$2:$T$1212,0),"")</f>
        <v/>
      </c>
      <c r="L914" t="str">
        <f t="shared" si="13"/>
        <v/>
      </c>
    </row>
    <row r="915" spans="1:12" hidden="1" x14ac:dyDescent="0.3">
      <c r="A915" t="str">
        <f>IF($K915="","",895)</f>
        <v/>
      </c>
      <c r="B915" t="str">
        <f>IF($K915="","",INDEX(Конструктор!$C$2:$C$1212,$K915))</f>
        <v/>
      </c>
      <c r="C915" s="8" t="str">
        <f>IF($K915="","",INDEX(Конструктор!$D$2:$D$1212,$K915)&amp;IF(INDEX(Конструктор!$J$2:$J$1212,$K915)&lt;&gt;""," — "&amp;INDEX(Конструктор!$J$2:$J$1212,$K915),""))</f>
        <v/>
      </c>
      <c r="D915" t="str">
        <f>IF($K915="","",INDEX(Конструктор!$E$2:$E$1212,$K915))</f>
        <v/>
      </c>
      <c r="E915" s="10" t="str">
        <f>IF($K915="","",INDEX(Конструктор!$H$2:$H$1212,$K915))</f>
        <v/>
      </c>
      <c r="F915" s="10" t="str">
        <f>IF($K915="","",INDEX(Конструктор!$L$2:$L$1212,$K915))</f>
        <v/>
      </c>
      <c r="G915" s="10" t="str">
        <f>IF($K915="","",INDEX(Конструктор!$M$2:$M$1212,$K915))</f>
        <v/>
      </c>
      <c r="H915" s="10" t="str">
        <f>IF($K915="","",INDEX(Конструктор!$N$2:$N$1212,$K915))</f>
        <v/>
      </c>
      <c r="I915" s="10" t="str">
        <f>IF($K915="","",INDEX(Конструктор!$O$2:$O$1212,$K915))</f>
        <v/>
      </c>
      <c r="J915" s="10" t="str">
        <f>IF($K915="","",INDEX(Конструктор!$P$2:$P$1212,$K915))</f>
        <v/>
      </c>
      <c r="K915" t="str">
        <f>IFERROR(MATCH(895,Конструктор!$T$2:$T$1212,0),"")</f>
        <v/>
      </c>
      <c r="L915" t="str">
        <f t="shared" si="13"/>
        <v/>
      </c>
    </row>
    <row r="916" spans="1:12" hidden="1" x14ac:dyDescent="0.3">
      <c r="A916" t="str">
        <f>IF($K916="","",896)</f>
        <v/>
      </c>
      <c r="B916" t="str">
        <f>IF($K916="","",INDEX(Конструктор!$C$2:$C$1212,$K916))</f>
        <v/>
      </c>
      <c r="C916" s="8" t="str">
        <f>IF($K916="","",INDEX(Конструктор!$D$2:$D$1212,$K916)&amp;IF(INDEX(Конструктор!$J$2:$J$1212,$K916)&lt;&gt;""," — "&amp;INDEX(Конструктор!$J$2:$J$1212,$K916),""))</f>
        <v/>
      </c>
      <c r="D916" t="str">
        <f>IF($K916="","",INDEX(Конструктор!$E$2:$E$1212,$K916))</f>
        <v/>
      </c>
      <c r="E916" s="10" t="str">
        <f>IF($K916="","",INDEX(Конструктор!$H$2:$H$1212,$K916))</f>
        <v/>
      </c>
      <c r="F916" s="10" t="str">
        <f>IF($K916="","",INDEX(Конструктор!$L$2:$L$1212,$K916))</f>
        <v/>
      </c>
      <c r="G916" s="10" t="str">
        <f>IF($K916="","",INDEX(Конструктор!$M$2:$M$1212,$K916))</f>
        <v/>
      </c>
      <c r="H916" s="10" t="str">
        <f>IF($K916="","",INDEX(Конструктор!$N$2:$N$1212,$K916))</f>
        <v/>
      </c>
      <c r="I916" s="10" t="str">
        <f>IF($K916="","",INDEX(Конструктор!$O$2:$O$1212,$K916))</f>
        <v/>
      </c>
      <c r="J916" s="10" t="str">
        <f>IF($K916="","",INDEX(Конструктор!$P$2:$P$1212,$K916))</f>
        <v/>
      </c>
      <c r="K916" t="str">
        <f>IFERROR(MATCH(896,Конструктор!$T$2:$T$1212,0),"")</f>
        <v/>
      </c>
      <c r="L916" t="str">
        <f t="shared" si="13"/>
        <v/>
      </c>
    </row>
    <row r="917" spans="1:12" hidden="1" x14ac:dyDescent="0.3">
      <c r="A917" t="str">
        <f>IF($K917="","",897)</f>
        <v/>
      </c>
      <c r="B917" t="str">
        <f>IF($K917="","",INDEX(Конструктор!$C$2:$C$1212,$K917))</f>
        <v/>
      </c>
      <c r="C917" s="8" t="str">
        <f>IF($K917="","",INDEX(Конструктор!$D$2:$D$1212,$K917)&amp;IF(INDEX(Конструктор!$J$2:$J$1212,$K917)&lt;&gt;""," — "&amp;INDEX(Конструктор!$J$2:$J$1212,$K917),""))</f>
        <v/>
      </c>
      <c r="D917" t="str">
        <f>IF($K917="","",INDEX(Конструктор!$E$2:$E$1212,$K917))</f>
        <v/>
      </c>
      <c r="E917" s="10" t="str">
        <f>IF($K917="","",INDEX(Конструктор!$H$2:$H$1212,$K917))</f>
        <v/>
      </c>
      <c r="F917" s="10" t="str">
        <f>IF($K917="","",INDEX(Конструктор!$L$2:$L$1212,$K917))</f>
        <v/>
      </c>
      <c r="G917" s="10" t="str">
        <f>IF($K917="","",INDEX(Конструктор!$M$2:$M$1212,$K917))</f>
        <v/>
      </c>
      <c r="H917" s="10" t="str">
        <f>IF($K917="","",INDEX(Конструктор!$N$2:$N$1212,$K917))</f>
        <v/>
      </c>
      <c r="I917" s="10" t="str">
        <f>IF($K917="","",INDEX(Конструктор!$O$2:$O$1212,$K917))</f>
        <v/>
      </c>
      <c r="J917" s="10" t="str">
        <f>IF($K917="","",INDEX(Конструктор!$P$2:$P$1212,$K917))</f>
        <v/>
      </c>
      <c r="K917" t="str">
        <f>IFERROR(MATCH(897,Конструктор!$T$2:$T$1212,0),"")</f>
        <v/>
      </c>
      <c r="L917" t="str">
        <f t="shared" ref="L917:L980" si="14">IF($K917="","","показать")</f>
        <v/>
      </c>
    </row>
    <row r="918" spans="1:12" hidden="1" x14ac:dyDescent="0.3">
      <c r="A918" t="str">
        <f>IF($K918="","",898)</f>
        <v/>
      </c>
      <c r="B918" t="str">
        <f>IF($K918="","",INDEX(Конструктор!$C$2:$C$1212,$K918))</f>
        <v/>
      </c>
      <c r="C918" s="8" t="str">
        <f>IF($K918="","",INDEX(Конструктор!$D$2:$D$1212,$K918)&amp;IF(INDEX(Конструктор!$J$2:$J$1212,$K918)&lt;&gt;""," — "&amp;INDEX(Конструктор!$J$2:$J$1212,$K918),""))</f>
        <v/>
      </c>
      <c r="D918" t="str">
        <f>IF($K918="","",INDEX(Конструктор!$E$2:$E$1212,$K918))</f>
        <v/>
      </c>
      <c r="E918" s="10" t="str">
        <f>IF($K918="","",INDEX(Конструктор!$H$2:$H$1212,$K918))</f>
        <v/>
      </c>
      <c r="F918" s="10" t="str">
        <f>IF($K918="","",INDEX(Конструктор!$L$2:$L$1212,$K918))</f>
        <v/>
      </c>
      <c r="G918" s="10" t="str">
        <f>IF($K918="","",INDEX(Конструктор!$M$2:$M$1212,$K918))</f>
        <v/>
      </c>
      <c r="H918" s="10" t="str">
        <f>IF($K918="","",INDEX(Конструктор!$N$2:$N$1212,$K918))</f>
        <v/>
      </c>
      <c r="I918" s="10" t="str">
        <f>IF($K918="","",INDEX(Конструктор!$O$2:$O$1212,$K918))</f>
        <v/>
      </c>
      <c r="J918" s="10" t="str">
        <f>IF($K918="","",INDEX(Конструктор!$P$2:$P$1212,$K918))</f>
        <v/>
      </c>
      <c r="K918" t="str">
        <f>IFERROR(MATCH(898,Конструктор!$T$2:$T$1212,0),"")</f>
        <v/>
      </c>
      <c r="L918" t="str">
        <f t="shared" si="14"/>
        <v/>
      </c>
    </row>
    <row r="919" spans="1:12" hidden="1" x14ac:dyDescent="0.3">
      <c r="A919" t="str">
        <f>IF($K919="","",899)</f>
        <v/>
      </c>
      <c r="B919" t="str">
        <f>IF($K919="","",INDEX(Конструктор!$C$2:$C$1212,$K919))</f>
        <v/>
      </c>
      <c r="C919" s="8" t="str">
        <f>IF($K919="","",INDEX(Конструктор!$D$2:$D$1212,$K919)&amp;IF(INDEX(Конструктор!$J$2:$J$1212,$K919)&lt;&gt;""," — "&amp;INDEX(Конструктор!$J$2:$J$1212,$K919),""))</f>
        <v/>
      </c>
      <c r="D919" t="str">
        <f>IF($K919="","",INDEX(Конструктор!$E$2:$E$1212,$K919))</f>
        <v/>
      </c>
      <c r="E919" s="10" t="str">
        <f>IF($K919="","",INDEX(Конструктор!$H$2:$H$1212,$K919))</f>
        <v/>
      </c>
      <c r="F919" s="10" t="str">
        <f>IF($K919="","",INDEX(Конструктор!$L$2:$L$1212,$K919))</f>
        <v/>
      </c>
      <c r="G919" s="10" t="str">
        <f>IF($K919="","",INDEX(Конструктор!$M$2:$M$1212,$K919))</f>
        <v/>
      </c>
      <c r="H919" s="10" t="str">
        <f>IF($K919="","",INDEX(Конструктор!$N$2:$N$1212,$K919))</f>
        <v/>
      </c>
      <c r="I919" s="10" t="str">
        <f>IF($K919="","",INDEX(Конструктор!$O$2:$O$1212,$K919))</f>
        <v/>
      </c>
      <c r="J919" s="10" t="str">
        <f>IF($K919="","",INDEX(Конструктор!$P$2:$P$1212,$K919))</f>
        <v/>
      </c>
      <c r="K919" t="str">
        <f>IFERROR(MATCH(899,Конструктор!$T$2:$T$1212,0),"")</f>
        <v/>
      </c>
      <c r="L919" t="str">
        <f t="shared" si="14"/>
        <v/>
      </c>
    </row>
    <row r="920" spans="1:12" hidden="1" x14ac:dyDescent="0.3">
      <c r="A920" t="str">
        <f>IF($K920="","",900)</f>
        <v/>
      </c>
      <c r="B920" t="str">
        <f>IF($K920="","",INDEX(Конструктор!$C$2:$C$1212,$K920))</f>
        <v/>
      </c>
      <c r="C920" s="8" t="str">
        <f>IF($K920="","",INDEX(Конструктор!$D$2:$D$1212,$K920)&amp;IF(INDEX(Конструктор!$J$2:$J$1212,$K920)&lt;&gt;""," — "&amp;INDEX(Конструктор!$J$2:$J$1212,$K920),""))</f>
        <v/>
      </c>
      <c r="D920" t="str">
        <f>IF($K920="","",INDEX(Конструктор!$E$2:$E$1212,$K920))</f>
        <v/>
      </c>
      <c r="E920" s="10" t="str">
        <f>IF($K920="","",INDEX(Конструктор!$H$2:$H$1212,$K920))</f>
        <v/>
      </c>
      <c r="F920" s="10" t="str">
        <f>IF($K920="","",INDEX(Конструктор!$L$2:$L$1212,$K920))</f>
        <v/>
      </c>
      <c r="G920" s="10" t="str">
        <f>IF($K920="","",INDEX(Конструктор!$M$2:$M$1212,$K920))</f>
        <v/>
      </c>
      <c r="H920" s="10" t="str">
        <f>IF($K920="","",INDEX(Конструктор!$N$2:$N$1212,$K920))</f>
        <v/>
      </c>
      <c r="I920" s="10" t="str">
        <f>IF($K920="","",INDEX(Конструктор!$O$2:$O$1212,$K920))</f>
        <v/>
      </c>
      <c r="J920" s="10" t="str">
        <f>IF($K920="","",INDEX(Конструктор!$P$2:$P$1212,$K920))</f>
        <v/>
      </c>
      <c r="K920" t="str">
        <f>IFERROR(MATCH(900,Конструктор!$T$2:$T$1212,0),"")</f>
        <v/>
      </c>
      <c r="L920" t="str">
        <f t="shared" si="14"/>
        <v/>
      </c>
    </row>
    <row r="921" spans="1:12" hidden="1" x14ac:dyDescent="0.3">
      <c r="A921" t="str">
        <f>IF($K921="","",901)</f>
        <v/>
      </c>
      <c r="B921" t="str">
        <f>IF($K921="","",INDEX(Конструктор!$C$2:$C$1212,$K921))</f>
        <v/>
      </c>
      <c r="C921" s="8" t="str">
        <f>IF($K921="","",INDEX(Конструктор!$D$2:$D$1212,$K921)&amp;IF(INDEX(Конструктор!$J$2:$J$1212,$K921)&lt;&gt;""," — "&amp;INDEX(Конструктор!$J$2:$J$1212,$K921),""))</f>
        <v/>
      </c>
      <c r="D921" t="str">
        <f>IF($K921="","",INDEX(Конструктор!$E$2:$E$1212,$K921))</f>
        <v/>
      </c>
      <c r="E921" s="10" t="str">
        <f>IF($K921="","",INDEX(Конструктор!$H$2:$H$1212,$K921))</f>
        <v/>
      </c>
      <c r="F921" s="10" t="str">
        <f>IF($K921="","",INDEX(Конструктор!$L$2:$L$1212,$K921))</f>
        <v/>
      </c>
      <c r="G921" s="10" t="str">
        <f>IF($K921="","",INDEX(Конструктор!$M$2:$M$1212,$K921))</f>
        <v/>
      </c>
      <c r="H921" s="10" t="str">
        <f>IF($K921="","",INDEX(Конструктор!$N$2:$N$1212,$K921))</f>
        <v/>
      </c>
      <c r="I921" s="10" t="str">
        <f>IF($K921="","",INDEX(Конструктор!$O$2:$O$1212,$K921))</f>
        <v/>
      </c>
      <c r="J921" s="10" t="str">
        <f>IF($K921="","",INDEX(Конструктор!$P$2:$P$1212,$K921))</f>
        <v/>
      </c>
      <c r="K921" t="str">
        <f>IFERROR(MATCH(901,Конструктор!$T$2:$T$1212,0),"")</f>
        <v/>
      </c>
      <c r="L921" t="str">
        <f t="shared" si="14"/>
        <v/>
      </c>
    </row>
    <row r="922" spans="1:12" hidden="1" x14ac:dyDescent="0.3">
      <c r="A922" t="str">
        <f>IF($K922="","",902)</f>
        <v/>
      </c>
      <c r="B922" t="str">
        <f>IF($K922="","",INDEX(Конструктор!$C$2:$C$1212,$K922))</f>
        <v/>
      </c>
      <c r="C922" s="8" t="str">
        <f>IF($K922="","",INDEX(Конструктор!$D$2:$D$1212,$K922)&amp;IF(INDEX(Конструктор!$J$2:$J$1212,$K922)&lt;&gt;""," — "&amp;INDEX(Конструктор!$J$2:$J$1212,$K922),""))</f>
        <v/>
      </c>
      <c r="D922" t="str">
        <f>IF($K922="","",INDEX(Конструктор!$E$2:$E$1212,$K922))</f>
        <v/>
      </c>
      <c r="E922" s="10" t="str">
        <f>IF($K922="","",INDEX(Конструктор!$H$2:$H$1212,$K922))</f>
        <v/>
      </c>
      <c r="F922" s="10" t="str">
        <f>IF($K922="","",INDEX(Конструктор!$L$2:$L$1212,$K922))</f>
        <v/>
      </c>
      <c r="G922" s="10" t="str">
        <f>IF($K922="","",INDEX(Конструктор!$M$2:$M$1212,$K922))</f>
        <v/>
      </c>
      <c r="H922" s="10" t="str">
        <f>IF($K922="","",INDEX(Конструктор!$N$2:$N$1212,$K922))</f>
        <v/>
      </c>
      <c r="I922" s="10" t="str">
        <f>IF($K922="","",INDEX(Конструктор!$O$2:$O$1212,$K922))</f>
        <v/>
      </c>
      <c r="J922" s="10" t="str">
        <f>IF($K922="","",INDEX(Конструктор!$P$2:$P$1212,$K922))</f>
        <v/>
      </c>
      <c r="K922" t="str">
        <f>IFERROR(MATCH(902,Конструктор!$T$2:$T$1212,0),"")</f>
        <v/>
      </c>
      <c r="L922" t="str">
        <f t="shared" si="14"/>
        <v/>
      </c>
    </row>
    <row r="923" spans="1:12" hidden="1" x14ac:dyDescent="0.3">
      <c r="A923" t="str">
        <f>IF($K923="","",903)</f>
        <v/>
      </c>
      <c r="B923" t="str">
        <f>IF($K923="","",INDEX(Конструктор!$C$2:$C$1212,$K923))</f>
        <v/>
      </c>
      <c r="C923" s="8" t="str">
        <f>IF($K923="","",INDEX(Конструктор!$D$2:$D$1212,$K923)&amp;IF(INDEX(Конструктор!$J$2:$J$1212,$K923)&lt;&gt;""," — "&amp;INDEX(Конструктор!$J$2:$J$1212,$K923),""))</f>
        <v/>
      </c>
      <c r="D923" t="str">
        <f>IF($K923="","",INDEX(Конструктор!$E$2:$E$1212,$K923))</f>
        <v/>
      </c>
      <c r="E923" s="10" t="str">
        <f>IF($K923="","",INDEX(Конструктор!$H$2:$H$1212,$K923))</f>
        <v/>
      </c>
      <c r="F923" s="10" t="str">
        <f>IF($K923="","",INDEX(Конструктор!$L$2:$L$1212,$K923))</f>
        <v/>
      </c>
      <c r="G923" s="10" t="str">
        <f>IF($K923="","",INDEX(Конструктор!$M$2:$M$1212,$K923))</f>
        <v/>
      </c>
      <c r="H923" s="10" t="str">
        <f>IF($K923="","",INDEX(Конструктор!$N$2:$N$1212,$K923))</f>
        <v/>
      </c>
      <c r="I923" s="10" t="str">
        <f>IF($K923="","",INDEX(Конструктор!$O$2:$O$1212,$K923))</f>
        <v/>
      </c>
      <c r="J923" s="10" t="str">
        <f>IF($K923="","",INDEX(Конструктор!$P$2:$P$1212,$K923))</f>
        <v/>
      </c>
      <c r="K923" t="str">
        <f>IFERROR(MATCH(903,Конструктор!$T$2:$T$1212,0),"")</f>
        <v/>
      </c>
      <c r="L923" t="str">
        <f t="shared" si="14"/>
        <v/>
      </c>
    </row>
    <row r="924" spans="1:12" hidden="1" x14ac:dyDescent="0.3">
      <c r="A924" t="str">
        <f>IF($K924="","",904)</f>
        <v/>
      </c>
      <c r="B924" t="str">
        <f>IF($K924="","",INDEX(Конструктор!$C$2:$C$1212,$K924))</f>
        <v/>
      </c>
      <c r="C924" s="8" t="str">
        <f>IF($K924="","",INDEX(Конструктор!$D$2:$D$1212,$K924)&amp;IF(INDEX(Конструктор!$J$2:$J$1212,$K924)&lt;&gt;""," — "&amp;INDEX(Конструктор!$J$2:$J$1212,$K924),""))</f>
        <v/>
      </c>
      <c r="D924" t="str">
        <f>IF($K924="","",INDEX(Конструктор!$E$2:$E$1212,$K924))</f>
        <v/>
      </c>
      <c r="E924" s="10" t="str">
        <f>IF($K924="","",INDEX(Конструктор!$H$2:$H$1212,$K924))</f>
        <v/>
      </c>
      <c r="F924" s="10" t="str">
        <f>IF($K924="","",INDEX(Конструктор!$L$2:$L$1212,$K924))</f>
        <v/>
      </c>
      <c r="G924" s="10" t="str">
        <f>IF($K924="","",INDEX(Конструктор!$M$2:$M$1212,$K924))</f>
        <v/>
      </c>
      <c r="H924" s="10" t="str">
        <f>IF($K924="","",INDEX(Конструктор!$N$2:$N$1212,$K924))</f>
        <v/>
      </c>
      <c r="I924" s="10" t="str">
        <f>IF($K924="","",INDEX(Конструктор!$O$2:$O$1212,$K924))</f>
        <v/>
      </c>
      <c r="J924" s="10" t="str">
        <f>IF($K924="","",INDEX(Конструктор!$P$2:$P$1212,$K924))</f>
        <v/>
      </c>
      <c r="K924" t="str">
        <f>IFERROR(MATCH(904,Конструктор!$T$2:$T$1212,0),"")</f>
        <v/>
      </c>
      <c r="L924" t="str">
        <f t="shared" si="14"/>
        <v/>
      </c>
    </row>
    <row r="925" spans="1:12" hidden="1" x14ac:dyDescent="0.3">
      <c r="A925" t="str">
        <f>IF($K925="","",905)</f>
        <v/>
      </c>
      <c r="B925" t="str">
        <f>IF($K925="","",INDEX(Конструктор!$C$2:$C$1212,$K925))</f>
        <v/>
      </c>
      <c r="C925" s="8" t="str">
        <f>IF($K925="","",INDEX(Конструктор!$D$2:$D$1212,$K925)&amp;IF(INDEX(Конструктор!$J$2:$J$1212,$K925)&lt;&gt;""," — "&amp;INDEX(Конструктор!$J$2:$J$1212,$K925),""))</f>
        <v/>
      </c>
      <c r="D925" t="str">
        <f>IF($K925="","",INDEX(Конструктор!$E$2:$E$1212,$K925))</f>
        <v/>
      </c>
      <c r="E925" s="10" t="str">
        <f>IF($K925="","",INDEX(Конструктор!$H$2:$H$1212,$K925))</f>
        <v/>
      </c>
      <c r="F925" s="10" t="str">
        <f>IF($K925="","",INDEX(Конструктор!$L$2:$L$1212,$K925))</f>
        <v/>
      </c>
      <c r="G925" s="10" t="str">
        <f>IF($K925="","",INDEX(Конструктор!$M$2:$M$1212,$K925))</f>
        <v/>
      </c>
      <c r="H925" s="10" t="str">
        <f>IF($K925="","",INDEX(Конструктор!$N$2:$N$1212,$K925))</f>
        <v/>
      </c>
      <c r="I925" s="10" t="str">
        <f>IF($K925="","",INDEX(Конструктор!$O$2:$O$1212,$K925))</f>
        <v/>
      </c>
      <c r="J925" s="10" t="str">
        <f>IF($K925="","",INDEX(Конструктор!$P$2:$P$1212,$K925))</f>
        <v/>
      </c>
      <c r="K925" t="str">
        <f>IFERROR(MATCH(905,Конструктор!$T$2:$T$1212,0),"")</f>
        <v/>
      </c>
      <c r="L925" t="str">
        <f t="shared" si="14"/>
        <v/>
      </c>
    </row>
    <row r="926" spans="1:12" hidden="1" x14ac:dyDescent="0.3">
      <c r="A926" t="str">
        <f>IF($K926="","",906)</f>
        <v/>
      </c>
      <c r="B926" t="str">
        <f>IF($K926="","",INDEX(Конструктор!$C$2:$C$1212,$K926))</f>
        <v/>
      </c>
      <c r="C926" s="8" t="str">
        <f>IF($K926="","",INDEX(Конструктор!$D$2:$D$1212,$K926)&amp;IF(INDEX(Конструктор!$J$2:$J$1212,$K926)&lt;&gt;""," — "&amp;INDEX(Конструктор!$J$2:$J$1212,$K926),""))</f>
        <v/>
      </c>
      <c r="D926" t="str">
        <f>IF($K926="","",INDEX(Конструктор!$E$2:$E$1212,$K926))</f>
        <v/>
      </c>
      <c r="E926" s="10" t="str">
        <f>IF($K926="","",INDEX(Конструктор!$H$2:$H$1212,$K926))</f>
        <v/>
      </c>
      <c r="F926" s="10" t="str">
        <f>IF($K926="","",INDEX(Конструктор!$L$2:$L$1212,$K926))</f>
        <v/>
      </c>
      <c r="G926" s="10" t="str">
        <f>IF($K926="","",INDEX(Конструктор!$M$2:$M$1212,$K926))</f>
        <v/>
      </c>
      <c r="H926" s="10" t="str">
        <f>IF($K926="","",INDEX(Конструктор!$N$2:$N$1212,$K926))</f>
        <v/>
      </c>
      <c r="I926" s="10" t="str">
        <f>IF($K926="","",INDEX(Конструктор!$O$2:$O$1212,$K926))</f>
        <v/>
      </c>
      <c r="J926" s="10" t="str">
        <f>IF($K926="","",INDEX(Конструктор!$P$2:$P$1212,$K926))</f>
        <v/>
      </c>
      <c r="K926" t="str">
        <f>IFERROR(MATCH(906,Конструктор!$T$2:$T$1212,0),"")</f>
        <v/>
      </c>
      <c r="L926" t="str">
        <f t="shared" si="14"/>
        <v/>
      </c>
    </row>
    <row r="927" spans="1:12" hidden="1" x14ac:dyDescent="0.3">
      <c r="A927" t="str">
        <f>IF($K927="","",907)</f>
        <v/>
      </c>
      <c r="B927" t="str">
        <f>IF($K927="","",INDEX(Конструктор!$C$2:$C$1212,$K927))</f>
        <v/>
      </c>
      <c r="C927" s="8" t="str">
        <f>IF($K927="","",INDEX(Конструктор!$D$2:$D$1212,$K927)&amp;IF(INDEX(Конструктор!$J$2:$J$1212,$K927)&lt;&gt;""," — "&amp;INDEX(Конструктор!$J$2:$J$1212,$K927),""))</f>
        <v/>
      </c>
      <c r="D927" t="str">
        <f>IF($K927="","",INDEX(Конструктор!$E$2:$E$1212,$K927))</f>
        <v/>
      </c>
      <c r="E927" s="10" t="str">
        <f>IF($K927="","",INDEX(Конструктор!$H$2:$H$1212,$K927))</f>
        <v/>
      </c>
      <c r="F927" s="10" t="str">
        <f>IF($K927="","",INDEX(Конструктор!$L$2:$L$1212,$K927))</f>
        <v/>
      </c>
      <c r="G927" s="10" t="str">
        <f>IF($K927="","",INDEX(Конструктор!$M$2:$M$1212,$K927))</f>
        <v/>
      </c>
      <c r="H927" s="10" t="str">
        <f>IF($K927="","",INDEX(Конструктор!$N$2:$N$1212,$K927))</f>
        <v/>
      </c>
      <c r="I927" s="10" t="str">
        <f>IF($K927="","",INDEX(Конструктор!$O$2:$O$1212,$K927))</f>
        <v/>
      </c>
      <c r="J927" s="10" t="str">
        <f>IF($K927="","",INDEX(Конструктор!$P$2:$P$1212,$K927))</f>
        <v/>
      </c>
      <c r="K927" t="str">
        <f>IFERROR(MATCH(907,Конструктор!$T$2:$T$1212,0),"")</f>
        <v/>
      </c>
      <c r="L927" t="str">
        <f t="shared" si="14"/>
        <v/>
      </c>
    </row>
    <row r="928" spans="1:12" hidden="1" x14ac:dyDescent="0.3">
      <c r="A928" t="str">
        <f>IF($K928="","",908)</f>
        <v/>
      </c>
      <c r="B928" t="str">
        <f>IF($K928="","",INDEX(Конструктор!$C$2:$C$1212,$K928))</f>
        <v/>
      </c>
      <c r="C928" s="8" t="str">
        <f>IF($K928="","",INDEX(Конструктор!$D$2:$D$1212,$K928)&amp;IF(INDEX(Конструктор!$J$2:$J$1212,$K928)&lt;&gt;""," — "&amp;INDEX(Конструктор!$J$2:$J$1212,$K928),""))</f>
        <v/>
      </c>
      <c r="D928" t="str">
        <f>IF($K928="","",INDEX(Конструктор!$E$2:$E$1212,$K928))</f>
        <v/>
      </c>
      <c r="E928" s="10" t="str">
        <f>IF($K928="","",INDEX(Конструктор!$H$2:$H$1212,$K928))</f>
        <v/>
      </c>
      <c r="F928" s="10" t="str">
        <f>IF($K928="","",INDEX(Конструктор!$L$2:$L$1212,$K928))</f>
        <v/>
      </c>
      <c r="G928" s="10" t="str">
        <f>IF($K928="","",INDEX(Конструктор!$M$2:$M$1212,$K928))</f>
        <v/>
      </c>
      <c r="H928" s="10" t="str">
        <f>IF($K928="","",INDEX(Конструктор!$N$2:$N$1212,$K928))</f>
        <v/>
      </c>
      <c r="I928" s="10" t="str">
        <f>IF($K928="","",INDEX(Конструктор!$O$2:$O$1212,$K928))</f>
        <v/>
      </c>
      <c r="J928" s="10" t="str">
        <f>IF($K928="","",INDEX(Конструктор!$P$2:$P$1212,$K928))</f>
        <v/>
      </c>
      <c r="K928" t="str">
        <f>IFERROR(MATCH(908,Конструктор!$T$2:$T$1212,0),"")</f>
        <v/>
      </c>
      <c r="L928" t="str">
        <f t="shared" si="14"/>
        <v/>
      </c>
    </row>
    <row r="929" spans="1:12" hidden="1" x14ac:dyDescent="0.3">
      <c r="A929" t="str">
        <f>IF($K929="","",909)</f>
        <v/>
      </c>
      <c r="B929" t="str">
        <f>IF($K929="","",INDEX(Конструктор!$C$2:$C$1212,$K929))</f>
        <v/>
      </c>
      <c r="C929" s="8" t="str">
        <f>IF($K929="","",INDEX(Конструктор!$D$2:$D$1212,$K929)&amp;IF(INDEX(Конструктор!$J$2:$J$1212,$K929)&lt;&gt;""," — "&amp;INDEX(Конструктор!$J$2:$J$1212,$K929),""))</f>
        <v/>
      </c>
      <c r="D929" t="str">
        <f>IF($K929="","",INDEX(Конструктор!$E$2:$E$1212,$K929))</f>
        <v/>
      </c>
      <c r="E929" s="10" t="str">
        <f>IF($K929="","",INDEX(Конструктор!$H$2:$H$1212,$K929))</f>
        <v/>
      </c>
      <c r="F929" s="10" t="str">
        <f>IF($K929="","",INDEX(Конструктор!$L$2:$L$1212,$K929))</f>
        <v/>
      </c>
      <c r="G929" s="10" t="str">
        <f>IF($K929="","",INDEX(Конструктор!$M$2:$M$1212,$K929))</f>
        <v/>
      </c>
      <c r="H929" s="10" t="str">
        <f>IF($K929="","",INDEX(Конструктор!$N$2:$N$1212,$K929))</f>
        <v/>
      </c>
      <c r="I929" s="10" t="str">
        <f>IF($K929="","",INDEX(Конструктор!$O$2:$O$1212,$K929))</f>
        <v/>
      </c>
      <c r="J929" s="10" t="str">
        <f>IF($K929="","",INDEX(Конструктор!$P$2:$P$1212,$K929))</f>
        <v/>
      </c>
      <c r="K929" t="str">
        <f>IFERROR(MATCH(909,Конструктор!$T$2:$T$1212,0),"")</f>
        <v/>
      </c>
      <c r="L929" t="str">
        <f t="shared" si="14"/>
        <v/>
      </c>
    </row>
    <row r="930" spans="1:12" hidden="1" x14ac:dyDescent="0.3">
      <c r="A930" t="str">
        <f>IF($K930="","",910)</f>
        <v/>
      </c>
      <c r="B930" t="str">
        <f>IF($K930="","",INDEX(Конструктор!$C$2:$C$1212,$K930))</f>
        <v/>
      </c>
      <c r="C930" s="8" t="str">
        <f>IF($K930="","",INDEX(Конструктор!$D$2:$D$1212,$K930)&amp;IF(INDEX(Конструктор!$J$2:$J$1212,$K930)&lt;&gt;""," — "&amp;INDEX(Конструктор!$J$2:$J$1212,$K930),""))</f>
        <v/>
      </c>
      <c r="D930" t="str">
        <f>IF($K930="","",INDEX(Конструктор!$E$2:$E$1212,$K930))</f>
        <v/>
      </c>
      <c r="E930" s="10" t="str">
        <f>IF($K930="","",INDEX(Конструктор!$H$2:$H$1212,$K930))</f>
        <v/>
      </c>
      <c r="F930" s="10" t="str">
        <f>IF($K930="","",INDEX(Конструктор!$L$2:$L$1212,$K930))</f>
        <v/>
      </c>
      <c r="G930" s="10" t="str">
        <f>IF($K930="","",INDEX(Конструктор!$M$2:$M$1212,$K930))</f>
        <v/>
      </c>
      <c r="H930" s="10" t="str">
        <f>IF($K930="","",INDEX(Конструктор!$N$2:$N$1212,$K930))</f>
        <v/>
      </c>
      <c r="I930" s="10" t="str">
        <f>IF($K930="","",INDEX(Конструктор!$O$2:$O$1212,$K930))</f>
        <v/>
      </c>
      <c r="J930" s="10" t="str">
        <f>IF($K930="","",INDEX(Конструктор!$P$2:$P$1212,$K930))</f>
        <v/>
      </c>
      <c r="K930" t="str">
        <f>IFERROR(MATCH(910,Конструктор!$T$2:$T$1212,0),"")</f>
        <v/>
      </c>
      <c r="L930" t="str">
        <f t="shared" si="14"/>
        <v/>
      </c>
    </row>
    <row r="931" spans="1:12" hidden="1" x14ac:dyDescent="0.3">
      <c r="A931" t="str">
        <f>IF($K931="","",911)</f>
        <v/>
      </c>
      <c r="B931" t="str">
        <f>IF($K931="","",INDEX(Конструктор!$C$2:$C$1212,$K931))</f>
        <v/>
      </c>
      <c r="C931" s="8" t="str">
        <f>IF($K931="","",INDEX(Конструктор!$D$2:$D$1212,$K931)&amp;IF(INDEX(Конструктор!$J$2:$J$1212,$K931)&lt;&gt;""," — "&amp;INDEX(Конструктор!$J$2:$J$1212,$K931),""))</f>
        <v/>
      </c>
      <c r="D931" t="str">
        <f>IF($K931="","",INDEX(Конструктор!$E$2:$E$1212,$K931))</f>
        <v/>
      </c>
      <c r="E931" s="10" t="str">
        <f>IF($K931="","",INDEX(Конструктор!$H$2:$H$1212,$K931))</f>
        <v/>
      </c>
      <c r="F931" s="10" t="str">
        <f>IF($K931="","",INDEX(Конструктор!$L$2:$L$1212,$K931))</f>
        <v/>
      </c>
      <c r="G931" s="10" t="str">
        <f>IF($K931="","",INDEX(Конструктор!$M$2:$M$1212,$K931))</f>
        <v/>
      </c>
      <c r="H931" s="10" t="str">
        <f>IF($K931="","",INDEX(Конструктор!$N$2:$N$1212,$K931))</f>
        <v/>
      </c>
      <c r="I931" s="10" t="str">
        <f>IF($K931="","",INDEX(Конструктор!$O$2:$O$1212,$K931))</f>
        <v/>
      </c>
      <c r="J931" s="10" t="str">
        <f>IF($K931="","",INDEX(Конструктор!$P$2:$P$1212,$K931))</f>
        <v/>
      </c>
      <c r="K931" t="str">
        <f>IFERROR(MATCH(911,Конструктор!$T$2:$T$1212,0),"")</f>
        <v/>
      </c>
      <c r="L931" t="str">
        <f t="shared" si="14"/>
        <v/>
      </c>
    </row>
    <row r="932" spans="1:12" hidden="1" x14ac:dyDescent="0.3">
      <c r="A932" t="str">
        <f>IF($K932="","",912)</f>
        <v/>
      </c>
      <c r="B932" t="str">
        <f>IF($K932="","",INDEX(Конструктор!$C$2:$C$1212,$K932))</f>
        <v/>
      </c>
      <c r="C932" s="8" t="str">
        <f>IF($K932="","",INDEX(Конструктор!$D$2:$D$1212,$K932)&amp;IF(INDEX(Конструктор!$J$2:$J$1212,$K932)&lt;&gt;""," — "&amp;INDEX(Конструктор!$J$2:$J$1212,$K932),""))</f>
        <v/>
      </c>
      <c r="D932" t="str">
        <f>IF($K932="","",INDEX(Конструктор!$E$2:$E$1212,$K932))</f>
        <v/>
      </c>
      <c r="E932" s="10" t="str">
        <f>IF($K932="","",INDEX(Конструктор!$H$2:$H$1212,$K932))</f>
        <v/>
      </c>
      <c r="F932" s="10" t="str">
        <f>IF($K932="","",INDEX(Конструктор!$L$2:$L$1212,$K932))</f>
        <v/>
      </c>
      <c r="G932" s="10" t="str">
        <f>IF($K932="","",INDEX(Конструктор!$M$2:$M$1212,$K932))</f>
        <v/>
      </c>
      <c r="H932" s="10" t="str">
        <f>IF($K932="","",INDEX(Конструктор!$N$2:$N$1212,$K932))</f>
        <v/>
      </c>
      <c r="I932" s="10" t="str">
        <f>IF($K932="","",INDEX(Конструктор!$O$2:$O$1212,$K932))</f>
        <v/>
      </c>
      <c r="J932" s="10" t="str">
        <f>IF($K932="","",INDEX(Конструктор!$P$2:$P$1212,$K932))</f>
        <v/>
      </c>
      <c r="K932" t="str">
        <f>IFERROR(MATCH(912,Конструктор!$T$2:$T$1212,0),"")</f>
        <v/>
      </c>
      <c r="L932" t="str">
        <f t="shared" si="14"/>
        <v/>
      </c>
    </row>
    <row r="933" spans="1:12" hidden="1" x14ac:dyDescent="0.3">
      <c r="A933" t="str">
        <f>IF($K933="","",913)</f>
        <v/>
      </c>
      <c r="B933" t="str">
        <f>IF($K933="","",INDEX(Конструктор!$C$2:$C$1212,$K933))</f>
        <v/>
      </c>
      <c r="C933" s="8" t="str">
        <f>IF($K933="","",INDEX(Конструктор!$D$2:$D$1212,$K933)&amp;IF(INDEX(Конструктор!$J$2:$J$1212,$K933)&lt;&gt;""," — "&amp;INDEX(Конструктор!$J$2:$J$1212,$K933),""))</f>
        <v/>
      </c>
      <c r="D933" t="str">
        <f>IF($K933="","",INDEX(Конструктор!$E$2:$E$1212,$K933))</f>
        <v/>
      </c>
      <c r="E933" s="10" t="str">
        <f>IF($K933="","",INDEX(Конструктор!$H$2:$H$1212,$K933))</f>
        <v/>
      </c>
      <c r="F933" s="10" t="str">
        <f>IF($K933="","",INDEX(Конструктор!$L$2:$L$1212,$K933))</f>
        <v/>
      </c>
      <c r="G933" s="10" t="str">
        <f>IF($K933="","",INDEX(Конструктор!$M$2:$M$1212,$K933))</f>
        <v/>
      </c>
      <c r="H933" s="10" t="str">
        <f>IF($K933="","",INDEX(Конструктор!$N$2:$N$1212,$K933))</f>
        <v/>
      </c>
      <c r="I933" s="10" t="str">
        <f>IF($K933="","",INDEX(Конструктор!$O$2:$O$1212,$K933))</f>
        <v/>
      </c>
      <c r="J933" s="10" t="str">
        <f>IF($K933="","",INDEX(Конструктор!$P$2:$P$1212,$K933))</f>
        <v/>
      </c>
      <c r="K933" t="str">
        <f>IFERROR(MATCH(913,Конструктор!$T$2:$T$1212,0),"")</f>
        <v/>
      </c>
      <c r="L933" t="str">
        <f t="shared" si="14"/>
        <v/>
      </c>
    </row>
    <row r="934" spans="1:12" hidden="1" x14ac:dyDescent="0.3">
      <c r="A934" t="str">
        <f>IF($K934="","",914)</f>
        <v/>
      </c>
      <c r="B934" t="str">
        <f>IF($K934="","",INDEX(Конструктор!$C$2:$C$1212,$K934))</f>
        <v/>
      </c>
      <c r="C934" s="8" t="str">
        <f>IF($K934="","",INDEX(Конструктор!$D$2:$D$1212,$K934)&amp;IF(INDEX(Конструктор!$J$2:$J$1212,$K934)&lt;&gt;""," — "&amp;INDEX(Конструктор!$J$2:$J$1212,$K934),""))</f>
        <v/>
      </c>
      <c r="D934" t="str">
        <f>IF($K934="","",INDEX(Конструктор!$E$2:$E$1212,$K934))</f>
        <v/>
      </c>
      <c r="E934" s="10" t="str">
        <f>IF($K934="","",INDEX(Конструктор!$H$2:$H$1212,$K934))</f>
        <v/>
      </c>
      <c r="F934" s="10" t="str">
        <f>IF($K934="","",INDEX(Конструктор!$L$2:$L$1212,$K934))</f>
        <v/>
      </c>
      <c r="G934" s="10" t="str">
        <f>IF($K934="","",INDEX(Конструктор!$M$2:$M$1212,$K934))</f>
        <v/>
      </c>
      <c r="H934" s="10" t="str">
        <f>IF($K934="","",INDEX(Конструктор!$N$2:$N$1212,$K934))</f>
        <v/>
      </c>
      <c r="I934" s="10" t="str">
        <f>IF($K934="","",INDEX(Конструктор!$O$2:$O$1212,$K934))</f>
        <v/>
      </c>
      <c r="J934" s="10" t="str">
        <f>IF($K934="","",INDEX(Конструктор!$P$2:$P$1212,$K934))</f>
        <v/>
      </c>
      <c r="K934" t="str">
        <f>IFERROR(MATCH(914,Конструктор!$T$2:$T$1212,0),"")</f>
        <v/>
      </c>
      <c r="L934" t="str">
        <f t="shared" si="14"/>
        <v/>
      </c>
    </row>
    <row r="935" spans="1:12" hidden="1" x14ac:dyDescent="0.3">
      <c r="A935" t="str">
        <f>IF($K935="","",915)</f>
        <v/>
      </c>
      <c r="B935" t="str">
        <f>IF($K935="","",INDEX(Конструктор!$C$2:$C$1212,$K935))</f>
        <v/>
      </c>
      <c r="C935" s="8" t="str">
        <f>IF($K935="","",INDEX(Конструктор!$D$2:$D$1212,$K935)&amp;IF(INDEX(Конструктор!$J$2:$J$1212,$K935)&lt;&gt;""," — "&amp;INDEX(Конструктор!$J$2:$J$1212,$K935),""))</f>
        <v/>
      </c>
      <c r="D935" t="str">
        <f>IF($K935="","",INDEX(Конструктор!$E$2:$E$1212,$K935))</f>
        <v/>
      </c>
      <c r="E935" s="10" t="str">
        <f>IF($K935="","",INDEX(Конструктор!$H$2:$H$1212,$K935))</f>
        <v/>
      </c>
      <c r="F935" s="10" t="str">
        <f>IF($K935="","",INDEX(Конструктор!$L$2:$L$1212,$K935))</f>
        <v/>
      </c>
      <c r="G935" s="10" t="str">
        <f>IF($K935="","",INDEX(Конструктор!$M$2:$M$1212,$K935))</f>
        <v/>
      </c>
      <c r="H935" s="10" t="str">
        <f>IF($K935="","",INDEX(Конструктор!$N$2:$N$1212,$K935))</f>
        <v/>
      </c>
      <c r="I935" s="10" t="str">
        <f>IF($K935="","",INDEX(Конструктор!$O$2:$O$1212,$K935))</f>
        <v/>
      </c>
      <c r="J935" s="10" t="str">
        <f>IF($K935="","",INDEX(Конструктор!$P$2:$P$1212,$K935))</f>
        <v/>
      </c>
      <c r="K935" t="str">
        <f>IFERROR(MATCH(915,Конструктор!$T$2:$T$1212,0),"")</f>
        <v/>
      </c>
      <c r="L935" t="str">
        <f t="shared" si="14"/>
        <v/>
      </c>
    </row>
    <row r="936" spans="1:12" hidden="1" x14ac:dyDescent="0.3">
      <c r="A936" t="str">
        <f>IF($K936="","",916)</f>
        <v/>
      </c>
      <c r="B936" t="str">
        <f>IF($K936="","",INDEX(Конструктор!$C$2:$C$1212,$K936))</f>
        <v/>
      </c>
      <c r="C936" s="8" t="str">
        <f>IF($K936="","",INDEX(Конструктор!$D$2:$D$1212,$K936)&amp;IF(INDEX(Конструктор!$J$2:$J$1212,$K936)&lt;&gt;""," — "&amp;INDEX(Конструктор!$J$2:$J$1212,$K936),""))</f>
        <v/>
      </c>
      <c r="D936" t="str">
        <f>IF($K936="","",INDEX(Конструктор!$E$2:$E$1212,$K936))</f>
        <v/>
      </c>
      <c r="E936" s="10" t="str">
        <f>IF($K936="","",INDEX(Конструктор!$H$2:$H$1212,$K936))</f>
        <v/>
      </c>
      <c r="F936" s="10" t="str">
        <f>IF($K936="","",INDEX(Конструктор!$L$2:$L$1212,$K936))</f>
        <v/>
      </c>
      <c r="G936" s="10" t="str">
        <f>IF($K936="","",INDEX(Конструктор!$M$2:$M$1212,$K936))</f>
        <v/>
      </c>
      <c r="H936" s="10" t="str">
        <f>IF($K936="","",INDEX(Конструктор!$N$2:$N$1212,$K936))</f>
        <v/>
      </c>
      <c r="I936" s="10" t="str">
        <f>IF($K936="","",INDEX(Конструктор!$O$2:$O$1212,$K936))</f>
        <v/>
      </c>
      <c r="J936" s="10" t="str">
        <f>IF($K936="","",INDEX(Конструктор!$P$2:$P$1212,$K936))</f>
        <v/>
      </c>
      <c r="K936" t="str">
        <f>IFERROR(MATCH(916,Конструктор!$T$2:$T$1212,0),"")</f>
        <v/>
      </c>
      <c r="L936" t="str">
        <f t="shared" si="14"/>
        <v/>
      </c>
    </row>
    <row r="937" spans="1:12" hidden="1" x14ac:dyDescent="0.3">
      <c r="A937" t="str">
        <f>IF($K937="","",917)</f>
        <v/>
      </c>
      <c r="B937" t="str">
        <f>IF($K937="","",INDEX(Конструктор!$C$2:$C$1212,$K937))</f>
        <v/>
      </c>
      <c r="C937" s="8" t="str">
        <f>IF($K937="","",INDEX(Конструктор!$D$2:$D$1212,$K937)&amp;IF(INDEX(Конструктор!$J$2:$J$1212,$K937)&lt;&gt;""," — "&amp;INDEX(Конструктор!$J$2:$J$1212,$K937),""))</f>
        <v/>
      </c>
      <c r="D937" t="str">
        <f>IF($K937="","",INDEX(Конструктор!$E$2:$E$1212,$K937))</f>
        <v/>
      </c>
      <c r="E937" s="10" t="str">
        <f>IF($K937="","",INDEX(Конструктор!$H$2:$H$1212,$K937))</f>
        <v/>
      </c>
      <c r="F937" s="10" t="str">
        <f>IF($K937="","",INDEX(Конструктор!$L$2:$L$1212,$K937))</f>
        <v/>
      </c>
      <c r="G937" s="10" t="str">
        <f>IF($K937="","",INDEX(Конструктор!$M$2:$M$1212,$K937))</f>
        <v/>
      </c>
      <c r="H937" s="10" t="str">
        <f>IF($K937="","",INDEX(Конструктор!$N$2:$N$1212,$K937))</f>
        <v/>
      </c>
      <c r="I937" s="10" t="str">
        <f>IF($K937="","",INDEX(Конструктор!$O$2:$O$1212,$K937))</f>
        <v/>
      </c>
      <c r="J937" s="10" t="str">
        <f>IF($K937="","",INDEX(Конструктор!$P$2:$P$1212,$K937))</f>
        <v/>
      </c>
      <c r="K937" t="str">
        <f>IFERROR(MATCH(917,Конструктор!$T$2:$T$1212,0),"")</f>
        <v/>
      </c>
      <c r="L937" t="str">
        <f t="shared" si="14"/>
        <v/>
      </c>
    </row>
    <row r="938" spans="1:12" hidden="1" x14ac:dyDescent="0.3">
      <c r="A938" t="str">
        <f>IF($K938="","",918)</f>
        <v/>
      </c>
      <c r="B938" t="str">
        <f>IF($K938="","",INDEX(Конструктор!$C$2:$C$1212,$K938))</f>
        <v/>
      </c>
      <c r="C938" s="8" t="str">
        <f>IF($K938="","",INDEX(Конструктор!$D$2:$D$1212,$K938)&amp;IF(INDEX(Конструктор!$J$2:$J$1212,$K938)&lt;&gt;""," — "&amp;INDEX(Конструктор!$J$2:$J$1212,$K938),""))</f>
        <v/>
      </c>
      <c r="D938" t="str">
        <f>IF($K938="","",INDEX(Конструктор!$E$2:$E$1212,$K938))</f>
        <v/>
      </c>
      <c r="E938" s="10" t="str">
        <f>IF($K938="","",INDEX(Конструктор!$H$2:$H$1212,$K938))</f>
        <v/>
      </c>
      <c r="F938" s="10" t="str">
        <f>IF($K938="","",INDEX(Конструктор!$L$2:$L$1212,$K938))</f>
        <v/>
      </c>
      <c r="G938" s="10" t="str">
        <f>IF($K938="","",INDEX(Конструктор!$M$2:$M$1212,$K938))</f>
        <v/>
      </c>
      <c r="H938" s="10" t="str">
        <f>IF($K938="","",INDEX(Конструктор!$N$2:$N$1212,$K938))</f>
        <v/>
      </c>
      <c r="I938" s="10" t="str">
        <f>IF($K938="","",INDEX(Конструктор!$O$2:$O$1212,$K938))</f>
        <v/>
      </c>
      <c r="J938" s="10" t="str">
        <f>IF($K938="","",INDEX(Конструктор!$P$2:$P$1212,$K938))</f>
        <v/>
      </c>
      <c r="K938" t="str">
        <f>IFERROR(MATCH(918,Конструктор!$T$2:$T$1212,0),"")</f>
        <v/>
      </c>
      <c r="L938" t="str">
        <f t="shared" si="14"/>
        <v/>
      </c>
    </row>
    <row r="939" spans="1:12" hidden="1" x14ac:dyDescent="0.3">
      <c r="A939" t="str">
        <f>IF($K939="","",919)</f>
        <v/>
      </c>
      <c r="B939" t="str">
        <f>IF($K939="","",INDEX(Конструктор!$C$2:$C$1212,$K939))</f>
        <v/>
      </c>
      <c r="C939" s="8" t="str">
        <f>IF($K939="","",INDEX(Конструктор!$D$2:$D$1212,$K939)&amp;IF(INDEX(Конструктор!$J$2:$J$1212,$K939)&lt;&gt;""," — "&amp;INDEX(Конструктор!$J$2:$J$1212,$K939),""))</f>
        <v/>
      </c>
      <c r="D939" t="str">
        <f>IF($K939="","",INDEX(Конструктор!$E$2:$E$1212,$K939))</f>
        <v/>
      </c>
      <c r="E939" s="10" t="str">
        <f>IF($K939="","",INDEX(Конструктор!$H$2:$H$1212,$K939))</f>
        <v/>
      </c>
      <c r="F939" s="10" t="str">
        <f>IF($K939="","",INDEX(Конструктор!$L$2:$L$1212,$K939))</f>
        <v/>
      </c>
      <c r="G939" s="10" t="str">
        <f>IF($K939="","",INDEX(Конструктор!$M$2:$M$1212,$K939))</f>
        <v/>
      </c>
      <c r="H939" s="10" t="str">
        <f>IF($K939="","",INDEX(Конструктор!$N$2:$N$1212,$K939))</f>
        <v/>
      </c>
      <c r="I939" s="10" t="str">
        <f>IF($K939="","",INDEX(Конструктор!$O$2:$O$1212,$K939))</f>
        <v/>
      </c>
      <c r="J939" s="10" t="str">
        <f>IF($K939="","",INDEX(Конструктор!$P$2:$P$1212,$K939))</f>
        <v/>
      </c>
      <c r="K939" t="str">
        <f>IFERROR(MATCH(919,Конструктор!$T$2:$T$1212,0),"")</f>
        <v/>
      </c>
      <c r="L939" t="str">
        <f t="shared" si="14"/>
        <v/>
      </c>
    </row>
    <row r="940" spans="1:12" hidden="1" x14ac:dyDescent="0.3">
      <c r="A940" t="str">
        <f>IF($K940="","",920)</f>
        <v/>
      </c>
      <c r="B940" t="str">
        <f>IF($K940="","",INDEX(Конструктор!$C$2:$C$1212,$K940))</f>
        <v/>
      </c>
      <c r="C940" s="8" t="str">
        <f>IF($K940="","",INDEX(Конструктор!$D$2:$D$1212,$K940)&amp;IF(INDEX(Конструктор!$J$2:$J$1212,$K940)&lt;&gt;""," — "&amp;INDEX(Конструктор!$J$2:$J$1212,$K940),""))</f>
        <v/>
      </c>
      <c r="D940" t="str">
        <f>IF($K940="","",INDEX(Конструктор!$E$2:$E$1212,$K940))</f>
        <v/>
      </c>
      <c r="E940" s="10" t="str">
        <f>IF($K940="","",INDEX(Конструктор!$H$2:$H$1212,$K940))</f>
        <v/>
      </c>
      <c r="F940" s="10" t="str">
        <f>IF($K940="","",INDEX(Конструктор!$L$2:$L$1212,$K940))</f>
        <v/>
      </c>
      <c r="G940" s="10" t="str">
        <f>IF($K940="","",INDEX(Конструктор!$M$2:$M$1212,$K940))</f>
        <v/>
      </c>
      <c r="H940" s="10" t="str">
        <f>IF($K940="","",INDEX(Конструктор!$N$2:$N$1212,$K940))</f>
        <v/>
      </c>
      <c r="I940" s="10" t="str">
        <f>IF($K940="","",INDEX(Конструктор!$O$2:$O$1212,$K940))</f>
        <v/>
      </c>
      <c r="J940" s="10" t="str">
        <f>IF($K940="","",INDEX(Конструктор!$P$2:$P$1212,$K940))</f>
        <v/>
      </c>
      <c r="K940" t="str">
        <f>IFERROR(MATCH(920,Конструктор!$T$2:$T$1212,0),"")</f>
        <v/>
      </c>
      <c r="L940" t="str">
        <f t="shared" si="14"/>
        <v/>
      </c>
    </row>
    <row r="941" spans="1:12" hidden="1" x14ac:dyDescent="0.3">
      <c r="A941" t="str">
        <f>IF($K941="","",921)</f>
        <v/>
      </c>
      <c r="B941" t="str">
        <f>IF($K941="","",INDEX(Конструктор!$C$2:$C$1212,$K941))</f>
        <v/>
      </c>
      <c r="C941" s="8" t="str">
        <f>IF($K941="","",INDEX(Конструктор!$D$2:$D$1212,$K941)&amp;IF(INDEX(Конструктор!$J$2:$J$1212,$K941)&lt;&gt;""," — "&amp;INDEX(Конструктор!$J$2:$J$1212,$K941),""))</f>
        <v/>
      </c>
      <c r="D941" t="str">
        <f>IF($K941="","",INDEX(Конструктор!$E$2:$E$1212,$K941))</f>
        <v/>
      </c>
      <c r="E941" s="10" t="str">
        <f>IF($K941="","",INDEX(Конструктор!$H$2:$H$1212,$K941))</f>
        <v/>
      </c>
      <c r="F941" s="10" t="str">
        <f>IF($K941="","",INDEX(Конструктор!$L$2:$L$1212,$K941))</f>
        <v/>
      </c>
      <c r="G941" s="10" t="str">
        <f>IF($K941="","",INDEX(Конструктор!$M$2:$M$1212,$K941))</f>
        <v/>
      </c>
      <c r="H941" s="10" t="str">
        <f>IF($K941="","",INDEX(Конструктор!$N$2:$N$1212,$K941))</f>
        <v/>
      </c>
      <c r="I941" s="10" t="str">
        <f>IF($K941="","",INDEX(Конструктор!$O$2:$O$1212,$K941))</f>
        <v/>
      </c>
      <c r="J941" s="10" t="str">
        <f>IF($K941="","",INDEX(Конструктор!$P$2:$P$1212,$K941))</f>
        <v/>
      </c>
      <c r="K941" t="str">
        <f>IFERROR(MATCH(921,Конструктор!$T$2:$T$1212,0),"")</f>
        <v/>
      </c>
      <c r="L941" t="str">
        <f t="shared" si="14"/>
        <v/>
      </c>
    </row>
    <row r="942" spans="1:12" hidden="1" x14ac:dyDescent="0.3">
      <c r="A942" t="str">
        <f>IF($K942="","",922)</f>
        <v/>
      </c>
      <c r="B942" t="str">
        <f>IF($K942="","",INDEX(Конструктор!$C$2:$C$1212,$K942))</f>
        <v/>
      </c>
      <c r="C942" s="8" t="str">
        <f>IF($K942="","",INDEX(Конструктор!$D$2:$D$1212,$K942)&amp;IF(INDEX(Конструктор!$J$2:$J$1212,$K942)&lt;&gt;""," — "&amp;INDEX(Конструктор!$J$2:$J$1212,$K942),""))</f>
        <v/>
      </c>
      <c r="D942" t="str">
        <f>IF($K942="","",INDEX(Конструктор!$E$2:$E$1212,$K942))</f>
        <v/>
      </c>
      <c r="E942" s="10" t="str">
        <f>IF($K942="","",INDEX(Конструктор!$H$2:$H$1212,$K942))</f>
        <v/>
      </c>
      <c r="F942" s="10" t="str">
        <f>IF($K942="","",INDEX(Конструктор!$L$2:$L$1212,$K942))</f>
        <v/>
      </c>
      <c r="G942" s="10" t="str">
        <f>IF($K942="","",INDEX(Конструктор!$M$2:$M$1212,$K942))</f>
        <v/>
      </c>
      <c r="H942" s="10" t="str">
        <f>IF($K942="","",INDEX(Конструктор!$N$2:$N$1212,$K942))</f>
        <v/>
      </c>
      <c r="I942" s="10" t="str">
        <f>IF($K942="","",INDEX(Конструктор!$O$2:$O$1212,$K942))</f>
        <v/>
      </c>
      <c r="J942" s="10" t="str">
        <f>IF($K942="","",INDEX(Конструктор!$P$2:$P$1212,$K942))</f>
        <v/>
      </c>
      <c r="K942" t="str">
        <f>IFERROR(MATCH(922,Конструктор!$T$2:$T$1212,0),"")</f>
        <v/>
      </c>
      <c r="L942" t="str">
        <f t="shared" si="14"/>
        <v/>
      </c>
    </row>
    <row r="943" spans="1:12" hidden="1" x14ac:dyDescent="0.3">
      <c r="A943" t="str">
        <f>IF($K943="","",923)</f>
        <v/>
      </c>
      <c r="B943" t="str">
        <f>IF($K943="","",INDEX(Конструктор!$C$2:$C$1212,$K943))</f>
        <v/>
      </c>
      <c r="C943" s="8" t="str">
        <f>IF($K943="","",INDEX(Конструктор!$D$2:$D$1212,$K943)&amp;IF(INDEX(Конструктор!$J$2:$J$1212,$K943)&lt;&gt;""," — "&amp;INDEX(Конструктор!$J$2:$J$1212,$K943),""))</f>
        <v/>
      </c>
      <c r="D943" t="str">
        <f>IF($K943="","",INDEX(Конструктор!$E$2:$E$1212,$K943))</f>
        <v/>
      </c>
      <c r="E943" s="10" t="str">
        <f>IF($K943="","",INDEX(Конструктор!$H$2:$H$1212,$K943))</f>
        <v/>
      </c>
      <c r="F943" s="10" t="str">
        <f>IF($K943="","",INDEX(Конструктор!$L$2:$L$1212,$K943))</f>
        <v/>
      </c>
      <c r="G943" s="10" t="str">
        <f>IF($K943="","",INDEX(Конструктор!$M$2:$M$1212,$K943))</f>
        <v/>
      </c>
      <c r="H943" s="10" t="str">
        <f>IF($K943="","",INDEX(Конструктор!$N$2:$N$1212,$K943))</f>
        <v/>
      </c>
      <c r="I943" s="10" t="str">
        <f>IF($K943="","",INDEX(Конструктор!$O$2:$O$1212,$K943))</f>
        <v/>
      </c>
      <c r="J943" s="10" t="str">
        <f>IF($K943="","",INDEX(Конструктор!$P$2:$P$1212,$K943))</f>
        <v/>
      </c>
      <c r="K943" t="str">
        <f>IFERROR(MATCH(923,Конструктор!$T$2:$T$1212,0),"")</f>
        <v/>
      </c>
      <c r="L943" t="str">
        <f t="shared" si="14"/>
        <v/>
      </c>
    </row>
    <row r="944" spans="1:12" hidden="1" x14ac:dyDescent="0.3">
      <c r="A944" t="str">
        <f>IF($K944="","",924)</f>
        <v/>
      </c>
      <c r="B944" t="str">
        <f>IF($K944="","",INDEX(Конструктор!$C$2:$C$1212,$K944))</f>
        <v/>
      </c>
      <c r="C944" s="8" t="str">
        <f>IF($K944="","",INDEX(Конструктор!$D$2:$D$1212,$K944)&amp;IF(INDEX(Конструктор!$J$2:$J$1212,$K944)&lt;&gt;""," — "&amp;INDEX(Конструктор!$J$2:$J$1212,$K944),""))</f>
        <v/>
      </c>
      <c r="D944" t="str">
        <f>IF($K944="","",INDEX(Конструктор!$E$2:$E$1212,$K944))</f>
        <v/>
      </c>
      <c r="E944" s="10" t="str">
        <f>IF($K944="","",INDEX(Конструктор!$H$2:$H$1212,$K944))</f>
        <v/>
      </c>
      <c r="F944" s="10" t="str">
        <f>IF($K944="","",INDEX(Конструктор!$L$2:$L$1212,$K944))</f>
        <v/>
      </c>
      <c r="G944" s="10" t="str">
        <f>IF($K944="","",INDEX(Конструктор!$M$2:$M$1212,$K944))</f>
        <v/>
      </c>
      <c r="H944" s="10" t="str">
        <f>IF($K944="","",INDEX(Конструктор!$N$2:$N$1212,$K944))</f>
        <v/>
      </c>
      <c r="I944" s="10" t="str">
        <f>IF($K944="","",INDEX(Конструктор!$O$2:$O$1212,$K944))</f>
        <v/>
      </c>
      <c r="J944" s="10" t="str">
        <f>IF($K944="","",INDEX(Конструктор!$P$2:$P$1212,$K944))</f>
        <v/>
      </c>
      <c r="K944" t="str">
        <f>IFERROR(MATCH(924,Конструктор!$T$2:$T$1212,0),"")</f>
        <v/>
      </c>
      <c r="L944" t="str">
        <f t="shared" si="14"/>
        <v/>
      </c>
    </row>
    <row r="945" spans="1:12" hidden="1" x14ac:dyDescent="0.3">
      <c r="A945" t="str">
        <f>IF($K945="","",925)</f>
        <v/>
      </c>
      <c r="B945" t="str">
        <f>IF($K945="","",INDEX(Конструктор!$C$2:$C$1212,$K945))</f>
        <v/>
      </c>
      <c r="C945" s="8" t="str">
        <f>IF($K945="","",INDEX(Конструктор!$D$2:$D$1212,$K945)&amp;IF(INDEX(Конструктор!$J$2:$J$1212,$K945)&lt;&gt;""," — "&amp;INDEX(Конструктор!$J$2:$J$1212,$K945),""))</f>
        <v/>
      </c>
      <c r="D945" t="str">
        <f>IF($K945="","",INDEX(Конструктор!$E$2:$E$1212,$K945))</f>
        <v/>
      </c>
      <c r="E945" s="10" t="str">
        <f>IF($K945="","",INDEX(Конструктор!$H$2:$H$1212,$K945))</f>
        <v/>
      </c>
      <c r="F945" s="10" t="str">
        <f>IF($K945="","",INDEX(Конструктор!$L$2:$L$1212,$K945))</f>
        <v/>
      </c>
      <c r="G945" s="10" t="str">
        <f>IF($K945="","",INDEX(Конструктор!$M$2:$M$1212,$K945))</f>
        <v/>
      </c>
      <c r="H945" s="10" t="str">
        <f>IF($K945="","",INDEX(Конструктор!$N$2:$N$1212,$K945))</f>
        <v/>
      </c>
      <c r="I945" s="10" t="str">
        <f>IF($K945="","",INDEX(Конструктор!$O$2:$O$1212,$K945))</f>
        <v/>
      </c>
      <c r="J945" s="10" t="str">
        <f>IF($K945="","",INDEX(Конструктор!$P$2:$P$1212,$K945))</f>
        <v/>
      </c>
      <c r="K945" t="str">
        <f>IFERROR(MATCH(925,Конструктор!$T$2:$T$1212,0),"")</f>
        <v/>
      </c>
      <c r="L945" t="str">
        <f t="shared" si="14"/>
        <v/>
      </c>
    </row>
    <row r="946" spans="1:12" hidden="1" x14ac:dyDescent="0.3">
      <c r="A946" t="str">
        <f>IF($K946="","",926)</f>
        <v/>
      </c>
      <c r="B946" t="str">
        <f>IF($K946="","",INDEX(Конструктор!$C$2:$C$1212,$K946))</f>
        <v/>
      </c>
      <c r="C946" s="8" t="str">
        <f>IF($K946="","",INDEX(Конструктор!$D$2:$D$1212,$K946)&amp;IF(INDEX(Конструктор!$J$2:$J$1212,$K946)&lt;&gt;""," — "&amp;INDEX(Конструктор!$J$2:$J$1212,$K946),""))</f>
        <v/>
      </c>
      <c r="D946" t="str">
        <f>IF($K946="","",INDEX(Конструктор!$E$2:$E$1212,$K946))</f>
        <v/>
      </c>
      <c r="E946" s="10" t="str">
        <f>IF($K946="","",INDEX(Конструктор!$H$2:$H$1212,$K946))</f>
        <v/>
      </c>
      <c r="F946" s="10" t="str">
        <f>IF($K946="","",INDEX(Конструктор!$L$2:$L$1212,$K946))</f>
        <v/>
      </c>
      <c r="G946" s="10" t="str">
        <f>IF($K946="","",INDEX(Конструктор!$M$2:$M$1212,$K946))</f>
        <v/>
      </c>
      <c r="H946" s="10" t="str">
        <f>IF($K946="","",INDEX(Конструктор!$N$2:$N$1212,$K946))</f>
        <v/>
      </c>
      <c r="I946" s="10" t="str">
        <f>IF($K946="","",INDEX(Конструктор!$O$2:$O$1212,$K946))</f>
        <v/>
      </c>
      <c r="J946" s="10" t="str">
        <f>IF($K946="","",INDEX(Конструктор!$P$2:$P$1212,$K946))</f>
        <v/>
      </c>
      <c r="K946" t="str">
        <f>IFERROR(MATCH(926,Конструктор!$T$2:$T$1212,0),"")</f>
        <v/>
      </c>
      <c r="L946" t="str">
        <f t="shared" si="14"/>
        <v/>
      </c>
    </row>
    <row r="947" spans="1:12" hidden="1" x14ac:dyDescent="0.3">
      <c r="A947" t="str">
        <f>IF($K947="","",927)</f>
        <v/>
      </c>
      <c r="B947" t="str">
        <f>IF($K947="","",INDEX(Конструктор!$C$2:$C$1212,$K947))</f>
        <v/>
      </c>
      <c r="C947" s="8" t="str">
        <f>IF($K947="","",INDEX(Конструктор!$D$2:$D$1212,$K947)&amp;IF(INDEX(Конструктор!$J$2:$J$1212,$K947)&lt;&gt;""," — "&amp;INDEX(Конструктор!$J$2:$J$1212,$K947),""))</f>
        <v/>
      </c>
      <c r="D947" t="str">
        <f>IF($K947="","",INDEX(Конструктор!$E$2:$E$1212,$K947))</f>
        <v/>
      </c>
      <c r="E947" s="10" t="str">
        <f>IF($K947="","",INDEX(Конструктор!$H$2:$H$1212,$K947))</f>
        <v/>
      </c>
      <c r="F947" s="10" t="str">
        <f>IF($K947="","",INDEX(Конструктор!$L$2:$L$1212,$K947))</f>
        <v/>
      </c>
      <c r="G947" s="10" t="str">
        <f>IF($K947="","",INDEX(Конструктор!$M$2:$M$1212,$K947))</f>
        <v/>
      </c>
      <c r="H947" s="10" t="str">
        <f>IF($K947="","",INDEX(Конструктор!$N$2:$N$1212,$K947))</f>
        <v/>
      </c>
      <c r="I947" s="10" t="str">
        <f>IF($K947="","",INDEX(Конструктор!$O$2:$O$1212,$K947))</f>
        <v/>
      </c>
      <c r="J947" s="10" t="str">
        <f>IF($K947="","",INDEX(Конструктор!$P$2:$P$1212,$K947))</f>
        <v/>
      </c>
      <c r="K947" t="str">
        <f>IFERROR(MATCH(927,Конструктор!$T$2:$T$1212,0),"")</f>
        <v/>
      </c>
      <c r="L947" t="str">
        <f t="shared" si="14"/>
        <v/>
      </c>
    </row>
    <row r="948" spans="1:12" hidden="1" x14ac:dyDescent="0.3">
      <c r="A948" t="str">
        <f>IF($K948="","",928)</f>
        <v/>
      </c>
      <c r="B948" t="str">
        <f>IF($K948="","",INDEX(Конструктор!$C$2:$C$1212,$K948))</f>
        <v/>
      </c>
      <c r="C948" s="8" t="str">
        <f>IF($K948="","",INDEX(Конструктор!$D$2:$D$1212,$K948)&amp;IF(INDEX(Конструктор!$J$2:$J$1212,$K948)&lt;&gt;""," — "&amp;INDEX(Конструктор!$J$2:$J$1212,$K948),""))</f>
        <v/>
      </c>
      <c r="D948" t="str">
        <f>IF($K948="","",INDEX(Конструктор!$E$2:$E$1212,$K948))</f>
        <v/>
      </c>
      <c r="E948" s="10" t="str">
        <f>IF($K948="","",INDEX(Конструктор!$H$2:$H$1212,$K948))</f>
        <v/>
      </c>
      <c r="F948" s="10" t="str">
        <f>IF($K948="","",INDEX(Конструктор!$L$2:$L$1212,$K948))</f>
        <v/>
      </c>
      <c r="G948" s="10" t="str">
        <f>IF($K948="","",INDEX(Конструктор!$M$2:$M$1212,$K948))</f>
        <v/>
      </c>
      <c r="H948" s="10" t="str">
        <f>IF($K948="","",INDEX(Конструктор!$N$2:$N$1212,$K948))</f>
        <v/>
      </c>
      <c r="I948" s="10" t="str">
        <f>IF($K948="","",INDEX(Конструктор!$O$2:$O$1212,$K948))</f>
        <v/>
      </c>
      <c r="J948" s="10" t="str">
        <f>IF($K948="","",INDEX(Конструктор!$P$2:$P$1212,$K948))</f>
        <v/>
      </c>
      <c r="K948" t="str">
        <f>IFERROR(MATCH(928,Конструктор!$T$2:$T$1212,0),"")</f>
        <v/>
      </c>
      <c r="L948" t="str">
        <f t="shared" si="14"/>
        <v/>
      </c>
    </row>
    <row r="949" spans="1:12" hidden="1" x14ac:dyDescent="0.3">
      <c r="A949" t="str">
        <f>IF($K949="","",929)</f>
        <v/>
      </c>
      <c r="B949" t="str">
        <f>IF($K949="","",INDEX(Конструктор!$C$2:$C$1212,$K949))</f>
        <v/>
      </c>
      <c r="C949" s="8" t="str">
        <f>IF($K949="","",INDEX(Конструктор!$D$2:$D$1212,$K949)&amp;IF(INDEX(Конструктор!$J$2:$J$1212,$K949)&lt;&gt;""," — "&amp;INDEX(Конструктор!$J$2:$J$1212,$K949),""))</f>
        <v/>
      </c>
      <c r="D949" t="str">
        <f>IF($K949="","",INDEX(Конструктор!$E$2:$E$1212,$K949))</f>
        <v/>
      </c>
      <c r="E949" s="10" t="str">
        <f>IF($K949="","",INDEX(Конструктор!$H$2:$H$1212,$K949))</f>
        <v/>
      </c>
      <c r="F949" s="10" t="str">
        <f>IF($K949="","",INDEX(Конструктор!$L$2:$L$1212,$K949))</f>
        <v/>
      </c>
      <c r="G949" s="10" t="str">
        <f>IF($K949="","",INDEX(Конструктор!$M$2:$M$1212,$K949))</f>
        <v/>
      </c>
      <c r="H949" s="10" t="str">
        <f>IF($K949="","",INDEX(Конструктор!$N$2:$N$1212,$K949))</f>
        <v/>
      </c>
      <c r="I949" s="10" t="str">
        <f>IF($K949="","",INDEX(Конструктор!$O$2:$O$1212,$K949))</f>
        <v/>
      </c>
      <c r="J949" s="10" t="str">
        <f>IF($K949="","",INDEX(Конструктор!$P$2:$P$1212,$K949))</f>
        <v/>
      </c>
      <c r="K949" t="str">
        <f>IFERROR(MATCH(929,Конструктор!$T$2:$T$1212,0),"")</f>
        <v/>
      </c>
      <c r="L949" t="str">
        <f t="shared" si="14"/>
        <v/>
      </c>
    </row>
    <row r="950" spans="1:12" hidden="1" x14ac:dyDescent="0.3">
      <c r="A950" t="str">
        <f>IF($K950="","",930)</f>
        <v/>
      </c>
      <c r="B950" t="str">
        <f>IF($K950="","",INDEX(Конструктор!$C$2:$C$1212,$K950))</f>
        <v/>
      </c>
      <c r="C950" s="8" t="str">
        <f>IF($K950="","",INDEX(Конструктор!$D$2:$D$1212,$K950)&amp;IF(INDEX(Конструктор!$J$2:$J$1212,$K950)&lt;&gt;""," — "&amp;INDEX(Конструктор!$J$2:$J$1212,$K950),""))</f>
        <v/>
      </c>
      <c r="D950" t="str">
        <f>IF($K950="","",INDEX(Конструктор!$E$2:$E$1212,$K950))</f>
        <v/>
      </c>
      <c r="E950" s="10" t="str">
        <f>IF($K950="","",INDEX(Конструктор!$H$2:$H$1212,$K950))</f>
        <v/>
      </c>
      <c r="F950" s="10" t="str">
        <f>IF($K950="","",INDEX(Конструктор!$L$2:$L$1212,$K950))</f>
        <v/>
      </c>
      <c r="G950" s="10" t="str">
        <f>IF($K950="","",INDEX(Конструктор!$M$2:$M$1212,$K950))</f>
        <v/>
      </c>
      <c r="H950" s="10" t="str">
        <f>IF($K950="","",INDEX(Конструктор!$N$2:$N$1212,$K950))</f>
        <v/>
      </c>
      <c r="I950" s="10" t="str">
        <f>IF($K950="","",INDEX(Конструктор!$O$2:$O$1212,$K950))</f>
        <v/>
      </c>
      <c r="J950" s="10" t="str">
        <f>IF($K950="","",INDEX(Конструктор!$P$2:$P$1212,$K950))</f>
        <v/>
      </c>
      <c r="K950" t="str">
        <f>IFERROR(MATCH(930,Конструктор!$T$2:$T$1212,0),"")</f>
        <v/>
      </c>
      <c r="L950" t="str">
        <f t="shared" si="14"/>
        <v/>
      </c>
    </row>
    <row r="951" spans="1:12" hidden="1" x14ac:dyDescent="0.3">
      <c r="A951" t="str">
        <f>IF($K951="","",931)</f>
        <v/>
      </c>
      <c r="B951" t="str">
        <f>IF($K951="","",INDEX(Конструктор!$C$2:$C$1212,$K951))</f>
        <v/>
      </c>
      <c r="C951" s="8" t="str">
        <f>IF($K951="","",INDEX(Конструктор!$D$2:$D$1212,$K951)&amp;IF(INDEX(Конструктор!$J$2:$J$1212,$K951)&lt;&gt;""," — "&amp;INDEX(Конструктор!$J$2:$J$1212,$K951),""))</f>
        <v/>
      </c>
      <c r="D951" t="str">
        <f>IF($K951="","",INDEX(Конструктор!$E$2:$E$1212,$K951))</f>
        <v/>
      </c>
      <c r="E951" s="10" t="str">
        <f>IF($K951="","",INDEX(Конструктор!$H$2:$H$1212,$K951))</f>
        <v/>
      </c>
      <c r="F951" s="10" t="str">
        <f>IF($K951="","",INDEX(Конструктор!$L$2:$L$1212,$K951))</f>
        <v/>
      </c>
      <c r="G951" s="10" t="str">
        <f>IF($K951="","",INDEX(Конструктор!$M$2:$M$1212,$K951))</f>
        <v/>
      </c>
      <c r="H951" s="10" t="str">
        <f>IF($K951="","",INDEX(Конструктор!$N$2:$N$1212,$K951))</f>
        <v/>
      </c>
      <c r="I951" s="10" t="str">
        <f>IF($K951="","",INDEX(Конструктор!$O$2:$O$1212,$K951))</f>
        <v/>
      </c>
      <c r="J951" s="10" t="str">
        <f>IF($K951="","",INDEX(Конструктор!$P$2:$P$1212,$K951))</f>
        <v/>
      </c>
      <c r="K951" t="str">
        <f>IFERROR(MATCH(931,Конструктор!$T$2:$T$1212,0),"")</f>
        <v/>
      </c>
      <c r="L951" t="str">
        <f t="shared" si="14"/>
        <v/>
      </c>
    </row>
    <row r="952" spans="1:12" hidden="1" x14ac:dyDescent="0.3">
      <c r="A952" t="str">
        <f>IF($K952="","",932)</f>
        <v/>
      </c>
      <c r="B952" t="str">
        <f>IF($K952="","",INDEX(Конструктор!$C$2:$C$1212,$K952))</f>
        <v/>
      </c>
      <c r="C952" s="8" t="str">
        <f>IF($K952="","",INDEX(Конструктор!$D$2:$D$1212,$K952)&amp;IF(INDEX(Конструктор!$J$2:$J$1212,$K952)&lt;&gt;""," — "&amp;INDEX(Конструктор!$J$2:$J$1212,$K952),""))</f>
        <v/>
      </c>
      <c r="D952" t="str">
        <f>IF($K952="","",INDEX(Конструктор!$E$2:$E$1212,$K952))</f>
        <v/>
      </c>
      <c r="E952" s="10" t="str">
        <f>IF($K952="","",INDEX(Конструктор!$H$2:$H$1212,$K952))</f>
        <v/>
      </c>
      <c r="F952" s="10" t="str">
        <f>IF($K952="","",INDEX(Конструктор!$L$2:$L$1212,$K952))</f>
        <v/>
      </c>
      <c r="G952" s="10" t="str">
        <f>IF($K952="","",INDEX(Конструктор!$M$2:$M$1212,$K952))</f>
        <v/>
      </c>
      <c r="H952" s="10" t="str">
        <f>IF($K952="","",INDEX(Конструктор!$N$2:$N$1212,$K952))</f>
        <v/>
      </c>
      <c r="I952" s="10" t="str">
        <f>IF($K952="","",INDEX(Конструктор!$O$2:$O$1212,$K952))</f>
        <v/>
      </c>
      <c r="J952" s="10" t="str">
        <f>IF($K952="","",INDEX(Конструктор!$P$2:$P$1212,$K952))</f>
        <v/>
      </c>
      <c r="K952" t="str">
        <f>IFERROR(MATCH(932,Конструктор!$T$2:$T$1212,0),"")</f>
        <v/>
      </c>
      <c r="L952" t="str">
        <f t="shared" si="14"/>
        <v/>
      </c>
    </row>
    <row r="953" spans="1:12" hidden="1" x14ac:dyDescent="0.3">
      <c r="A953" t="str">
        <f>IF($K953="","",933)</f>
        <v/>
      </c>
      <c r="B953" t="str">
        <f>IF($K953="","",INDEX(Конструктор!$C$2:$C$1212,$K953))</f>
        <v/>
      </c>
      <c r="C953" s="8" t="str">
        <f>IF($K953="","",INDEX(Конструктор!$D$2:$D$1212,$K953)&amp;IF(INDEX(Конструктор!$J$2:$J$1212,$K953)&lt;&gt;""," — "&amp;INDEX(Конструктор!$J$2:$J$1212,$K953),""))</f>
        <v/>
      </c>
      <c r="D953" t="str">
        <f>IF($K953="","",INDEX(Конструктор!$E$2:$E$1212,$K953))</f>
        <v/>
      </c>
      <c r="E953" s="10" t="str">
        <f>IF($K953="","",INDEX(Конструктор!$H$2:$H$1212,$K953))</f>
        <v/>
      </c>
      <c r="F953" s="10" t="str">
        <f>IF($K953="","",INDEX(Конструктор!$L$2:$L$1212,$K953))</f>
        <v/>
      </c>
      <c r="G953" s="10" t="str">
        <f>IF($K953="","",INDEX(Конструктор!$M$2:$M$1212,$K953))</f>
        <v/>
      </c>
      <c r="H953" s="10" t="str">
        <f>IF($K953="","",INDEX(Конструктор!$N$2:$N$1212,$K953))</f>
        <v/>
      </c>
      <c r="I953" s="10" t="str">
        <f>IF($K953="","",INDEX(Конструктор!$O$2:$O$1212,$K953))</f>
        <v/>
      </c>
      <c r="J953" s="10" t="str">
        <f>IF($K953="","",INDEX(Конструктор!$P$2:$P$1212,$K953))</f>
        <v/>
      </c>
      <c r="K953" t="str">
        <f>IFERROR(MATCH(933,Конструктор!$T$2:$T$1212,0),"")</f>
        <v/>
      </c>
      <c r="L953" t="str">
        <f t="shared" si="14"/>
        <v/>
      </c>
    </row>
    <row r="954" spans="1:12" hidden="1" x14ac:dyDescent="0.3">
      <c r="A954" t="str">
        <f>IF($K954="","",934)</f>
        <v/>
      </c>
      <c r="B954" t="str">
        <f>IF($K954="","",INDEX(Конструктор!$C$2:$C$1212,$K954))</f>
        <v/>
      </c>
      <c r="C954" s="8" t="str">
        <f>IF($K954="","",INDEX(Конструктор!$D$2:$D$1212,$K954)&amp;IF(INDEX(Конструктор!$J$2:$J$1212,$K954)&lt;&gt;""," — "&amp;INDEX(Конструктор!$J$2:$J$1212,$K954),""))</f>
        <v/>
      </c>
      <c r="D954" t="str">
        <f>IF($K954="","",INDEX(Конструктор!$E$2:$E$1212,$K954))</f>
        <v/>
      </c>
      <c r="E954" s="10" t="str">
        <f>IF($K954="","",INDEX(Конструктор!$H$2:$H$1212,$K954))</f>
        <v/>
      </c>
      <c r="F954" s="10" t="str">
        <f>IF($K954="","",INDEX(Конструктор!$L$2:$L$1212,$K954))</f>
        <v/>
      </c>
      <c r="G954" s="10" t="str">
        <f>IF($K954="","",INDEX(Конструктор!$M$2:$M$1212,$K954))</f>
        <v/>
      </c>
      <c r="H954" s="10" t="str">
        <f>IF($K954="","",INDEX(Конструктор!$N$2:$N$1212,$K954))</f>
        <v/>
      </c>
      <c r="I954" s="10" t="str">
        <f>IF($K954="","",INDEX(Конструктор!$O$2:$O$1212,$K954))</f>
        <v/>
      </c>
      <c r="J954" s="10" t="str">
        <f>IF($K954="","",INDEX(Конструктор!$P$2:$P$1212,$K954))</f>
        <v/>
      </c>
      <c r="K954" t="str">
        <f>IFERROR(MATCH(934,Конструктор!$T$2:$T$1212,0),"")</f>
        <v/>
      </c>
      <c r="L954" t="str">
        <f t="shared" si="14"/>
        <v/>
      </c>
    </row>
    <row r="955" spans="1:12" hidden="1" x14ac:dyDescent="0.3">
      <c r="A955" t="str">
        <f>IF($K955="","",935)</f>
        <v/>
      </c>
      <c r="B955" t="str">
        <f>IF($K955="","",INDEX(Конструктор!$C$2:$C$1212,$K955))</f>
        <v/>
      </c>
      <c r="C955" s="8" t="str">
        <f>IF($K955="","",INDEX(Конструктор!$D$2:$D$1212,$K955)&amp;IF(INDEX(Конструктор!$J$2:$J$1212,$K955)&lt;&gt;""," — "&amp;INDEX(Конструктор!$J$2:$J$1212,$K955),""))</f>
        <v/>
      </c>
      <c r="D955" t="str">
        <f>IF($K955="","",INDEX(Конструктор!$E$2:$E$1212,$K955))</f>
        <v/>
      </c>
      <c r="E955" s="10" t="str">
        <f>IF($K955="","",INDEX(Конструктор!$H$2:$H$1212,$K955))</f>
        <v/>
      </c>
      <c r="F955" s="10" t="str">
        <f>IF($K955="","",INDEX(Конструктор!$L$2:$L$1212,$K955))</f>
        <v/>
      </c>
      <c r="G955" s="10" t="str">
        <f>IF($K955="","",INDEX(Конструктор!$M$2:$M$1212,$K955))</f>
        <v/>
      </c>
      <c r="H955" s="10" t="str">
        <f>IF($K955="","",INDEX(Конструктор!$N$2:$N$1212,$K955))</f>
        <v/>
      </c>
      <c r="I955" s="10" t="str">
        <f>IF($K955="","",INDEX(Конструктор!$O$2:$O$1212,$K955))</f>
        <v/>
      </c>
      <c r="J955" s="10" t="str">
        <f>IF($K955="","",INDEX(Конструктор!$P$2:$P$1212,$K955))</f>
        <v/>
      </c>
      <c r="K955" t="str">
        <f>IFERROR(MATCH(935,Конструктор!$T$2:$T$1212,0),"")</f>
        <v/>
      </c>
      <c r="L955" t="str">
        <f t="shared" si="14"/>
        <v/>
      </c>
    </row>
    <row r="956" spans="1:12" hidden="1" x14ac:dyDescent="0.3">
      <c r="A956" t="str">
        <f>IF($K956="","",936)</f>
        <v/>
      </c>
      <c r="B956" t="str">
        <f>IF($K956="","",INDEX(Конструктор!$C$2:$C$1212,$K956))</f>
        <v/>
      </c>
      <c r="C956" s="8" t="str">
        <f>IF($K956="","",INDEX(Конструктор!$D$2:$D$1212,$K956)&amp;IF(INDEX(Конструктор!$J$2:$J$1212,$K956)&lt;&gt;""," — "&amp;INDEX(Конструктор!$J$2:$J$1212,$K956),""))</f>
        <v/>
      </c>
      <c r="D956" t="str">
        <f>IF($K956="","",INDEX(Конструктор!$E$2:$E$1212,$K956))</f>
        <v/>
      </c>
      <c r="E956" s="10" t="str">
        <f>IF($K956="","",INDEX(Конструктор!$H$2:$H$1212,$K956))</f>
        <v/>
      </c>
      <c r="F956" s="10" t="str">
        <f>IF($K956="","",INDEX(Конструктор!$L$2:$L$1212,$K956))</f>
        <v/>
      </c>
      <c r="G956" s="10" t="str">
        <f>IF($K956="","",INDEX(Конструктор!$M$2:$M$1212,$K956))</f>
        <v/>
      </c>
      <c r="H956" s="10" t="str">
        <f>IF($K956="","",INDEX(Конструктор!$N$2:$N$1212,$K956))</f>
        <v/>
      </c>
      <c r="I956" s="10" t="str">
        <f>IF($K956="","",INDEX(Конструктор!$O$2:$O$1212,$K956))</f>
        <v/>
      </c>
      <c r="J956" s="10" t="str">
        <f>IF($K956="","",INDEX(Конструктор!$P$2:$P$1212,$K956))</f>
        <v/>
      </c>
      <c r="K956" t="str">
        <f>IFERROR(MATCH(936,Конструктор!$T$2:$T$1212,0),"")</f>
        <v/>
      </c>
      <c r="L956" t="str">
        <f t="shared" si="14"/>
        <v/>
      </c>
    </row>
    <row r="957" spans="1:12" hidden="1" x14ac:dyDescent="0.3">
      <c r="A957" t="str">
        <f>IF($K957="","",937)</f>
        <v/>
      </c>
      <c r="B957" t="str">
        <f>IF($K957="","",INDEX(Конструктор!$C$2:$C$1212,$K957))</f>
        <v/>
      </c>
      <c r="C957" s="8" t="str">
        <f>IF($K957="","",INDEX(Конструктор!$D$2:$D$1212,$K957)&amp;IF(INDEX(Конструктор!$J$2:$J$1212,$K957)&lt;&gt;""," — "&amp;INDEX(Конструктор!$J$2:$J$1212,$K957),""))</f>
        <v/>
      </c>
      <c r="D957" t="str">
        <f>IF($K957="","",INDEX(Конструктор!$E$2:$E$1212,$K957))</f>
        <v/>
      </c>
      <c r="E957" s="10" t="str">
        <f>IF($K957="","",INDEX(Конструктор!$H$2:$H$1212,$K957))</f>
        <v/>
      </c>
      <c r="F957" s="10" t="str">
        <f>IF($K957="","",INDEX(Конструктор!$L$2:$L$1212,$K957))</f>
        <v/>
      </c>
      <c r="G957" s="10" t="str">
        <f>IF($K957="","",INDEX(Конструктор!$M$2:$M$1212,$K957))</f>
        <v/>
      </c>
      <c r="H957" s="10" t="str">
        <f>IF($K957="","",INDEX(Конструктор!$N$2:$N$1212,$K957))</f>
        <v/>
      </c>
      <c r="I957" s="10" t="str">
        <f>IF($K957="","",INDEX(Конструктор!$O$2:$O$1212,$K957))</f>
        <v/>
      </c>
      <c r="J957" s="10" t="str">
        <f>IF($K957="","",INDEX(Конструктор!$P$2:$P$1212,$K957))</f>
        <v/>
      </c>
      <c r="K957" t="str">
        <f>IFERROR(MATCH(937,Конструктор!$T$2:$T$1212,0),"")</f>
        <v/>
      </c>
      <c r="L957" t="str">
        <f t="shared" si="14"/>
        <v/>
      </c>
    </row>
    <row r="958" spans="1:12" hidden="1" x14ac:dyDescent="0.3">
      <c r="A958" t="str">
        <f>IF($K958="","",938)</f>
        <v/>
      </c>
      <c r="B958" t="str">
        <f>IF($K958="","",INDEX(Конструктор!$C$2:$C$1212,$K958))</f>
        <v/>
      </c>
      <c r="C958" s="8" t="str">
        <f>IF($K958="","",INDEX(Конструктор!$D$2:$D$1212,$K958)&amp;IF(INDEX(Конструктор!$J$2:$J$1212,$K958)&lt;&gt;""," — "&amp;INDEX(Конструктор!$J$2:$J$1212,$K958),""))</f>
        <v/>
      </c>
      <c r="D958" t="str">
        <f>IF($K958="","",INDEX(Конструктор!$E$2:$E$1212,$K958))</f>
        <v/>
      </c>
      <c r="E958" s="10" t="str">
        <f>IF($K958="","",INDEX(Конструктор!$H$2:$H$1212,$K958))</f>
        <v/>
      </c>
      <c r="F958" s="10" t="str">
        <f>IF($K958="","",INDEX(Конструктор!$L$2:$L$1212,$K958))</f>
        <v/>
      </c>
      <c r="G958" s="10" t="str">
        <f>IF($K958="","",INDEX(Конструктор!$M$2:$M$1212,$K958))</f>
        <v/>
      </c>
      <c r="H958" s="10" t="str">
        <f>IF($K958="","",INDEX(Конструктор!$N$2:$N$1212,$K958))</f>
        <v/>
      </c>
      <c r="I958" s="10" t="str">
        <f>IF($K958="","",INDEX(Конструктор!$O$2:$O$1212,$K958))</f>
        <v/>
      </c>
      <c r="J958" s="10" t="str">
        <f>IF($K958="","",INDEX(Конструктор!$P$2:$P$1212,$K958))</f>
        <v/>
      </c>
      <c r="K958" t="str">
        <f>IFERROR(MATCH(938,Конструктор!$T$2:$T$1212,0),"")</f>
        <v/>
      </c>
      <c r="L958" t="str">
        <f t="shared" si="14"/>
        <v/>
      </c>
    </row>
    <row r="959" spans="1:12" hidden="1" x14ac:dyDescent="0.3">
      <c r="A959" t="str">
        <f>IF($K959="","",939)</f>
        <v/>
      </c>
      <c r="B959" t="str">
        <f>IF($K959="","",INDEX(Конструктор!$C$2:$C$1212,$K959))</f>
        <v/>
      </c>
      <c r="C959" s="8" t="str">
        <f>IF($K959="","",INDEX(Конструктор!$D$2:$D$1212,$K959)&amp;IF(INDEX(Конструктор!$J$2:$J$1212,$K959)&lt;&gt;""," — "&amp;INDEX(Конструктор!$J$2:$J$1212,$K959),""))</f>
        <v/>
      </c>
      <c r="D959" t="str">
        <f>IF($K959="","",INDEX(Конструктор!$E$2:$E$1212,$K959))</f>
        <v/>
      </c>
      <c r="E959" s="10" t="str">
        <f>IF($K959="","",INDEX(Конструктор!$H$2:$H$1212,$K959))</f>
        <v/>
      </c>
      <c r="F959" s="10" t="str">
        <f>IF($K959="","",INDEX(Конструктор!$L$2:$L$1212,$K959))</f>
        <v/>
      </c>
      <c r="G959" s="10" t="str">
        <f>IF($K959="","",INDEX(Конструктор!$M$2:$M$1212,$K959))</f>
        <v/>
      </c>
      <c r="H959" s="10" t="str">
        <f>IF($K959="","",INDEX(Конструктор!$N$2:$N$1212,$K959))</f>
        <v/>
      </c>
      <c r="I959" s="10" t="str">
        <f>IF($K959="","",INDEX(Конструктор!$O$2:$O$1212,$K959))</f>
        <v/>
      </c>
      <c r="J959" s="10" t="str">
        <f>IF($K959="","",INDEX(Конструктор!$P$2:$P$1212,$K959))</f>
        <v/>
      </c>
      <c r="K959" t="str">
        <f>IFERROR(MATCH(939,Конструктор!$T$2:$T$1212,0),"")</f>
        <v/>
      </c>
      <c r="L959" t="str">
        <f t="shared" si="14"/>
        <v/>
      </c>
    </row>
    <row r="960" spans="1:12" hidden="1" x14ac:dyDescent="0.3">
      <c r="A960" t="str">
        <f>IF($K960="","",940)</f>
        <v/>
      </c>
      <c r="B960" t="str">
        <f>IF($K960="","",INDEX(Конструктор!$C$2:$C$1212,$K960))</f>
        <v/>
      </c>
      <c r="C960" s="8" t="str">
        <f>IF($K960="","",INDEX(Конструктор!$D$2:$D$1212,$K960)&amp;IF(INDEX(Конструктор!$J$2:$J$1212,$K960)&lt;&gt;""," — "&amp;INDEX(Конструктор!$J$2:$J$1212,$K960),""))</f>
        <v/>
      </c>
      <c r="D960" t="str">
        <f>IF($K960="","",INDEX(Конструктор!$E$2:$E$1212,$K960))</f>
        <v/>
      </c>
      <c r="E960" s="10" t="str">
        <f>IF($K960="","",INDEX(Конструктор!$H$2:$H$1212,$K960))</f>
        <v/>
      </c>
      <c r="F960" s="10" t="str">
        <f>IF($K960="","",INDEX(Конструктор!$L$2:$L$1212,$K960))</f>
        <v/>
      </c>
      <c r="G960" s="10" t="str">
        <f>IF($K960="","",INDEX(Конструктор!$M$2:$M$1212,$K960))</f>
        <v/>
      </c>
      <c r="H960" s="10" t="str">
        <f>IF($K960="","",INDEX(Конструктор!$N$2:$N$1212,$K960))</f>
        <v/>
      </c>
      <c r="I960" s="10" t="str">
        <f>IF($K960="","",INDEX(Конструктор!$O$2:$O$1212,$K960))</f>
        <v/>
      </c>
      <c r="J960" s="10" t="str">
        <f>IF($K960="","",INDEX(Конструктор!$P$2:$P$1212,$K960))</f>
        <v/>
      </c>
      <c r="K960" t="str">
        <f>IFERROR(MATCH(940,Конструктор!$T$2:$T$1212,0),"")</f>
        <v/>
      </c>
      <c r="L960" t="str">
        <f t="shared" si="14"/>
        <v/>
      </c>
    </row>
    <row r="961" spans="1:12" hidden="1" x14ac:dyDescent="0.3">
      <c r="A961" t="str">
        <f>IF($K961="","",941)</f>
        <v/>
      </c>
      <c r="B961" t="str">
        <f>IF($K961="","",INDEX(Конструктор!$C$2:$C$1212,$K961))</f>
        <v/>
      </c>
      <c r="C961" s="8" t="str">
        <f>IF($K961="","",INDEX(Конструктор!$D$2:$D$1212,$K961)&amp;IF(INDEX(Конструктор!$J$2:$J$1212,$K961)&lt;&gt;""," — "&amp;INDEX(Конструктор!$J$2:$J$1212,$K961),""))</f>
        <v/>
      </c>
      <c r="D961" t="str">
        <f>IF($K961="","",INDEX(Конструктор!$E$2:$E$1212,$K961))</f>
        <v/>
      </c>
      <c r="E961" s="10" t="str">
        <f>IF($K961="","",INDEX(Конструктор!$H$2:$H$1212,$K961))</f>
        <v/>
      </c>
      <c r="F961" s="10" t="str">
        <f>IF($K961="","",INDEX(Конструктор!$L$2:$L$1212,$K961))</f>
        <v/>
      </c>
      <c r="G961" s="10" t="str">
        <f>IF($K961="","",INDEX(Конструктор!$M$2:$M$1212,$K961))</f>
        <v/>
      </c>
      <c r="H961" s="10" t="str">
        <f>IF($K961="","",INDEX(Конструктор!$N$2:$N$1212,$K961))</f>
        <v/>
      </c>
      <c r="I961" s="10" t="str">
        <f>IF($K961="","",INDEX(Конструктор!$O$2:$O$1212,$K961))</f>
        <v/>
      </c>
      <c r="J961" s="10" t="str">
        <f>IF($K961="","",INDEX(Конструктор!$P$2:$P$1212,$K961))</f>
        <v/>
      </c>
      <c r="K961" t="str">
        <f>IFERROR(MATCH(941,Конструктор!$T$2:$T$1212,0),"")</f>
        <v/>
      </c>
      <c r="L961" t="str">
        <f t="shared" si="14"/>
        <v/>
      </c>
    </row>
    <row r="962" spans="1:12" hidden="1" x14ac:dyDescent="0.3">
      <c r="A962" t="str">
        <f>IF($K962="","",942)</f>
        <v/>
      </c>
      <c r="B962" t="str">
        <f>IF($K962="","",INDEX(Конструктор!$C$2:$C$1212,$K962))</f>
        <v/>
      </c>
      <c r="C962" s="8" t="str">
        <f>IF($K962="","",INDEX(Конструктор!$D$2:$D$1212,$K962)&amp;IF(INDEX(Конструктор!$J$2:$J$1212,$K962)&lt;&gt;""," — "&amp;INDEX(Конструктор!$J$2:$J$1212,$K962),""))</f>
        <v/>
      </c>
      <c r="D962" t="str">
        <f>IF($K962="","",INDEX(Конструктор!$E$2:$E$1212,$K962))</f>
        <v/>
      </c>
      <c r="E962" s="10" t="str">
        <f>IF($K962="","",INDEX(Конструктор!$H$2:$H$1212,$K962))</f>
        <v/>
      </c>
      <c r="F962" s="10" t="str">
        <f>IF($K962="","",INDEX(Конструктор!$L$2:$L$1212,$K962))</f>
        <v/>
      </c>
      <c r="G962" s="10" t="str">
        <f>IF($K962="","",INDEX(Конструктор!$M$2:$M$1212,$K962))</f>
        <v/>
      </c>
      <c r="H962" s="10" t="str">
        <f>IF($K962="","",INDEX(Конструктор!$N$2:$N$1212,$K962))</f>
        <v/>
      </c>
      <c r="I962" s="10" t="str">
        <f>IF($K962="","",INDEX(Конструктор!$O$2:$O$1212,$K962))</f>
        <v/>
      </c>
      <c r="J962" s="10" t="str">
        <f>IF($K962="","",INDEX(Конструктор!$P$2:$P$1212,$K962))</f>
        <v/>
      </c>
      <c r="K962" t="str">
        <f>IFERROR(MATCH(942,Конструктор!$T$2:$T$1212,0),"")</f>
        <v/>
      </c>
      <c r="L962" t="str">
        <f t="shared" si="14"/>
        <v/>
      </c>
    </row>
    <row r="963" spans="1:12" hidden="1" x14ac:dyDescent="0.3">
      <c r="A963" t="str">
        <f>IF($K963="","",943)</f>
        <v/>
      </c>
      <c r="B963" t="str">
        <f>IF($K963="","",INDEX(Конструктор!$C$2:$C$1212,$K963))</f>
        <v/>
      </c>
      <c r="C963" s="8" t="str">
        <f>IF($K963="","",INDEX(Конструктор!$D$2:$D$1212,$K963)&amp;IF(INDEX(Конструктор!$J$2:$J$1212,$K963)&lt;&gt;""," — "&amp;INDEX(Конструктор!$J$2:$J$1212,$K963),""))</f>
        <v/>
      </c>
      <c r="D963" t="str">
        <f>IF($K963="","",INDEX(Конструктор!$E$2:$E$1212,$K963))</f>
        <v/>
      </c>
      <c r="E963" s="10" t="str">
        <f>IF($K963="","",INDEX(Конструктор!$H$2:$H$1212,$K963))</f>
        <v/>
      </c>
      <c r="F963" s="10" t="str">
        <f>IF($K963="","",INDEX(Конструктор!$L$2:$L$1212,$K963))</f>
        <v/>
      </c>
      <c r="G963" s="10" t="str">
        <f>IF($K963="","",INDEX(Конструктор!$M$2:$M$1212,$K963))</f>
        <v/>
      </c>
      <c r="H963" s="10" t="str">
        <f>IF($K963="","",INDEX(Конструктор!$N$2:$N$1212,$K963))</f>
        <v/>
      </c>
      <c r="I963" s="10" t="str">
        <f>IF($K963="","",INDEX(Конструктор!$O$2:$O$1212,$K963))</f>
        <v/>
      </c>
      <c r="J963" s="10" t="str">
        <f>IF($K963="","",INDEX(Конструктор!$P$2:$P$1212,$K963))</f>
        <v/>
      </c>
      <c r="K963" t="str">
        <f>IFERROR(MATCH(943,Конструктор!$T$2:$T$1212,0),"")</f>
        <v/>
      </c>
      <c r="L963" t="str">
        <f t="shared" si="14"/>
        <v/>
      </c>
    </row>
    <row r="964" spans="1:12" hidden="1" x14ac:dyDescent="0.3">
      <c r="A964" t="str">
        <f>IF($K964="","",944)</f>
        <v/>
      </c>
      <c r="B964" t="str">
        <f>IF($K964="","",INDEX(Конструктор!$C$2:$C$1212,$K964))</f>
        <v/>
      </c>
      <c r="C964" s="8" t="str">
        <f>IF($K964="","",INDEX(Конструктор!$D$2:$D$1212,$K964)&amp;IF(INDEX(Конструктор!$J$2:$J$1212,$K964)&lt;&gt;""," — "&amp;INDEX(Конструктор!$J$2:$J$1212,$K964),""))</f>
        <v/>
      </c>
      <c r="D964" t="str">
        <f>IF($K964="","",INDEX(Конструктор!$E$2:$E$1212,$K964))</f>
        <v/>
      </c>
      <c r="E964" s="10" t="str">
        <f>IF($K964="","",INDEX(Конструктор!$H$2:$H$1212,$K964))</f>
        <v/>
      </c>
      <c r="F964" s="10" t="str">
        <f>IF($K964="","",INDEX(Конструктор!$L$2:$L$1212,$K964))</f>
        <v/>
      </c>
      <c r="G964" s="10" t="str">
        <f>IF($K964="","",INDEX(Конструктор!$M$2:$M$1212,$K964))</f>
        <v/>
      </c>
      <c r="H964" s="10" t="str">
        <f>IF($K964="","",INDEX(Конструктор!$N$2:$N$1212,$K964))</f>
        <v/>
      </c>
      <c r="I964" s="10" t="str">
        <f>IF($K964="","",INDEX(Конструктор!$O$2:$O$1212,$K964))</f>
        <v/>
      </c>
      <c r="J964" s="10" t="str">
        <f>IF($K964="","",INDEX(Конструктор!$P$2:$P$1212,$K964))</f>
        <v/>
      </c>
      <c r="K964" t="str">
        <f>IFERROR(MATCH(944,Конструктор!$T$2:$T$1212,0),"")</f>
        <v/>
      </c>
      <c r="L964" t="str">
        <f t="shared" si="14"/>
        <v/>
      </c>
    </row>
    <row r="965" spans="1:12" hidden="1" x14ac:dyDescent="0.3">
      <c r="A965" t="str">
        <f>IF($K965="","",945)</f>
        <v/>
      </c>
      <c r="B965" t="str">
        <f>IF($K965="","",INDEX(Конструктор!$C$2:$C$1212,$K965))</f>
        <v/>
      </c>
      <c r="C965" s="8" t="str">
        <f>IF($K965="","",INDEX(Конструктор!$D$2:$D$1212,$K965)&amp;IF(INDEX(Конструктор!$J$2:$J$1212,$K965)&lt;&gt;""," — "&amp;INDEX(Конструктор!$J$2:$J$1212,$K965),""))</f>
        <v/>
      </c>
      <c r="D965" t="str">
        <f>IF($K965="","",INDEX(Конструктор!$E$2:$E$1212,$K965))</f>
        <v/>
      </c>
      <c r="E965" s="10" t="str">
        <f>IF($K965="","",INDEX(Конструктор!$H$2:$H$1212,$K965))</f>
        <v/>
      </c>
      <c r="F965" s="10" t="str">
        <f>IF($K965="","",INDEX(Конструктор!$L$2:$L$1212,$K965))</f>
        <v/>
      </c>
      <c r="G965" s="10" t="str">
        <f>IF($K965="","",INDEX(Конструктор!$M$2:$M$1212,$K965))</f>
        <v/>
      </c>
      <c r="H965" s="10" t="str">
        <f>IF($K965="","",INDEX(Конструктор!$N$2:$N$1212,$K965))</f>
        <v/>
      </c>
      <c r="I965" s="10" t="str">
        <f>IF($K965="","",INDEX(Конструктор!$O$2:$O$1212,$K965))</f>
        <v/>
      </c>
      <c r="J965" s="10" t="str">
        <f>IF($K965="","",INDEX(Конструктор!$P$2:$P$1212,$K965))</f>
        <v/>
      </c>
      <c r="K965" t="str">
        <f>IFERROR(MATCH(945,Конструктор!$T$2:$T$1212,0),"")</f>
        <v/>
      </c>
      <c r="L965" t="str">
        <f t="shared" si="14"/>
        <v/>
      </c>
    </row>
    <row r="966" spans="1:12" hidden="1" x14ac:dyDescent="0.3">
      <c r="A966" t="str">
        <f>IF($K966="","",946)</f>
        <v/>
      </c>
      <c r="B966" t="str">
        <f>IF($K966="","",INDEX(Конструктор!$C$2:$C$1212,$K966))</f>
        <v/>
      </c>
      <c r="C966" s="8" t="str">
        <f>IF($K966="","",INDEX(Конструктор!$D$2:$D$1212,$K966)&amp;IF(INDEX(Конструктор!$J$2:$J$1212,$K966)&lt;&gt;""," — "&amp;INDEX(Конструктор!$J$2:$J$1212,$K966),""))</f>
        <v/>
      </c>
      <c r="D966" t="str">
        <f>IF($K966="","",INDEX(Конструктор!$E$2:$E$1212,$K966))</f>
        <v/>
      </c>
      <c r="E966" s="10" t="str">
        <f>IF($K966="","",INDEX(Конструктор!$H$2:$H$1212,$K966))</f>
        <v/>
      </c>
      <c r="F966" s="10" t="str">
        <f>IF($K966="","",INDEX(Конструктор!$L$2:$L$1212,$K966))</f>
        <v/>
      </c>
      <c r="G966" s="10" t="str">
        <f>IF($K966="","",INDEX(Конструктор!$M$2:$M$1212,$K966))</f>
        <v/>
      </c>
      <c r="H966" s="10" t="str">
        <f>IF($K966="","",INDEX(Конструктор!$N$2:$N$1212,$K966))</f>
        <v/>
      </c>
      <c r="I966" s="10" t="str">
        <f>IF($K966="","",INDEX(Конструктор!$O$2:$O$1212,$K966))</f>
        <v/>
      </c>
      <c r="J966" s="10" t="str">
        <f>IF($K966="","",INDEX(Конструктор!$P$2:$P$1212,$K966))</f>
        <v/>
      </c>
      <c r="K966" t="str">
        <f>IFERROR(MATCH(946,Конструктор!$T$2:$T$1212,0),"")</f>
        <v/>
      </c>
      <c r="L966" t="str">
        <f t="shared" si="14"/>
        <v/>
      </c>
    </row>
    <row r="967" spans="1:12" hidden="1" x14ac:dyDescent="0.3">
      <c r="A967" t="str">
        <f>IF($K967="","",947)</f>
        <v/>
      </c>
      <c r="B967" t="str">
        <f>IF($K967="","",INDEX(Конструктор!$C$2:$C$1212,$K967))</f>
        <v/>
      </c>
      <c r="C967" s="8" t="str">
        <f>IF($K967="","",INDEX(Конструктор!$D$2:$D$1212,$K967)&amp;IF(INDEX(Конструктор!$J$2:$J$1212,$K967)&lt;&gt;""," — "&amp;INDEX(Конструктор!$J$2:$J$1212,$K967),""))</f>
        <v/>
      </c>
      <c r="D967" t="str">
        <f>IF($K967="","",INDEX(Конструктор!$E$2:$E$1212,$K967))</f>
        <v/>
      </c>
      <c r="E967" s="10" t="str">
        <f>IF($K967="","",INDEX(Конструктор!$H$2:$H$1212,$K967))</f>
        <v/>
      </c>
      <c r="F967" s="10" t="str">
        <f>IF($K967="","",INDEX(Конструктор!$L$2:$L$1212,$K967))</f>
        <v/>
      </c>
      <c r="G967" s="10" t="str">
        <f>IF($K967="","",INDEX(Конструктор!$M$2:$M$1212,$K967))</f>
        <v/>
      </c>
      <c r="H967" s="10" t="str">
        <f>IF($K967="","",INDEX(Конструктор!$N$2:$N$1212,$K967))</f>
        <v/>
      </c>
      <c r="I967" s="10" t="str">
        <f>IF($K967="","",INDEX(Конструктор!$O$2:$O$1212,$K967))</f>
        <v/>
      </c>
      <c r="J967" s="10" t="str">
        <f>IF($K967="","",INDEX(Конструктор!$P$2:$P$1212,$K967))</f>
        <v/>
      </c>
      <c r="K967" t="str">
        <f>IFERROR(MATCH(947,Конструктор!$T$2:$T$1212,0),"")</f>
        <v/>
      </c>
      <c r="L967" t="str">
        <f t="shared" si="14"/>
        <v/>
      </c>
    </row>
    <row r="968" spans="1:12" hidden="1" x14ac:dyDescent="0.3">
      <c r="A968" t="str">
        <f>IF($K968="","",948)</f>
        <v/>
      </c>
      <c r="B968" t="str">
        <f>IF($K968="","",INDEX(Конструктор!$C$2:$C$1212,$K968))</f>
        <v/>
      </c>
      <c r="C968" s="8" t="str">
        <f>IF($K968="","",INDEX(Конструктор!$D$2:$D$1212,$K968)&amp;IF(INDEX(Конструктор!$J$2:$J$1212,$K968)&lt;&gt;""," — "&amp;INDEX(Конструктор!$J$2:$J$1212,$K968),""))</f>
        <v/>
      </c>
      <c r="D968" t="str">
        <f>IF($K968="","",INDEX(Конструктор!$E$2:$E$1212,$K968))</f>
        <v/>
      </c>
      <c r="E968" s="10" t="str">
        <f>IF($K968="","",INDEX(Конструктор!$H$2:$H$1212,$K968))</f>
        <v/>
      </c>
      <c r="F968" s="10" t="str">
        <f>IF($K968="","",INDEX(Конструктор!$L$2:$L$1212,$K968))</f>
        <v/>
      </c>
      <c r="G968" s="10" t="str">
        <f>IF($K968="","",INDEX(Конструктор!$M$2:$M$1212,$K968))</f>
        <v/>
      </c>
      <c r="H968" s="10" t="str">
        <f>IF($K968="","",INDEX(Конструктор!$N$2:$N$1212,$K968))</f>
        <v/>
      </c>
      <c r="I968" s="10" t="str">
        <f>IF($K968="","",INDEX(Конструктор!$O$2:$O$1212,$K968))</f>
        <v/>
      </c>
      <c r="J968" s="10" t="str">
        <f>IF($K968="","",INDEX(Конструктор!$P$2:$P$1212,$K968))</f>
        <v/>
      </c>
      <c r="K968" t="str">
        <f>IFERROR(MATCH(948,Конструктор!$T$2:$T$1212,0),"")</f>
        <v/>
      </c>
      <c r="L968" t="str">
        <f t="shared" si="14"/>
        <v/>
      </c>
    </row>
    <row r="969" spans="1:12" hidden="1" x14ac:dyDescent="0.3">
      <c r="A969" t="str">
        <f>IF($K969="","",949)</f>
        <v/>
      </c>
      <c r="B969" t="str">
        <f>IF($K969="","",INDEX(Конструктор!$C$2:$C$1212,$K969))</f>
        <v/>
      </c>
      <c r="C969" s="8" t="str">
        <f>IF($K969="","",INDEX(Конструктор!$D$2:$D$1212,$K969)&amp;IF(INDEX(Конструктор!$J$2:$J$1212,$K969)&lt;&gt;""," — "&amp;INDEX(Конструктор!$J$2:$J$1212,$K969),""))</f>
        <v/>
      </c>
      <c r="D969" t="str">
        <f>IF($K969="","",INDEX(Конструктор!$E$2:$E$1212,$K969))</f>
        <v/>
      </c>
      <c r="E969" s="10" t="str">
        <f>IF($K969="","",INDEX(Конструктор!$H$2:$H$1212,$K969))</f>
        <v/>
      </c>
      <c r="F969" s="10" t="str">
        <f>IF($K969="","",INDEX(Конструктор!$L$2:$L$1212,$K969))</f>
        <v/>
      </c>
      <c r="G969" s="10" t="str">
        <f>IF($K969="","",INDEX(Конструктор!$M$2:$M$1212,$K969))</f>
        <v/>
      </c>
      <c r="H969" s="10" t="str">
        <f>IF($K969="","",INDEX(Конструктор!$N$2:$N$1212,$K969))</f>
        <v/>
      </c>
      <c r="I969" s="10" t="str">
        <f>IF($K969="","",INDEX(Конструктор!$O$2:$O$1212,$K969))</f>
        <v/>
      </c>
      <c r="J969" s="10" t="str">
        <f>IF($K969="","",INDEX(Конструктор!$P$2:$P$1212,$K969))</f>
        <v/>
      </c>
      <c r="K969" t="str">
        <f>IFERROR(MATCH(949,Конструктор!$T$2:$T$1212,0),"")</f>
        <v/>
      </c>
      <c r="L969" t="str">
        <f t="shared" si="14"/>
        <v/>
      </c>
    </row>
    <row r="970" spans="1:12" hidden="1" x14ac:dyDescent="0.3">
      <c r="A970" t="str">
        <f>IF($K970="","",950)</f>
        <v/>
      </c>
      <c r="B970" t="str">
        <f>IF($K970="","",INDEX(Конструктор!$C$2:$C$1212,$K970))</f>
        <v/>
      </c>
      <c r="C970" s="8" t="str">
        <f>IF($K970="","",INDEX(Конструктор!$D$2:$D$1212,$K970)&amp;IF(INDEX(Конструктор!$J$2:$J$1212,$K970)&lt;&gt;""," — "&amp;INDEX(Конструктор!$J$2:$J$1212,$K970),""))</f>
        <v/>
      </c>
      <c r="D970" t="str">
        <f>IF($K970="","",INDEX(Конструктор!$E$2:$E$1212,$K970))</f>
        <v/>
      </c>
      <c r="E970" s="10" t="str">
        <f>IF($K970="","",INDEX(Конструктор!$H$2:$H$1212,$K970))</f>
        <v/>
      </c>
      <c r="F970" s="10" t="str">
        <f>IF($K970="","",INDEX(Конструктор!$L$2:$L$1212,$K970))</f>
        <v/>
      </c>
      <c r="G970" s="10" t="str">
        <f>IF($K970="","",INDEX(Конструктор!$M$2:$M$1212,$K970))</f>
        <v/>
      </c>
      <c r="H970" s="10" t="str">
        <f>IF($K970="","",INDEX(Конструктор!$N$2:$N$1212,$K970))</f>
        <v/>
      </c>
      <c r="I970" s="10" t="str">
        <f>IF($K970="","",INDEX(Конструктор!$O$2:$O$1212,$K970))</f>
        <v/>
      </c>
      <c r="J970" s="10" t="str">
        <f>IF($K970="","",INDEX(Конструктор!$P$2:$P$1212,$K970))</f>
        <v/>
      </c>
      <c r="K970" t="str">
        <f>IFERROR(MATCH(950,Конструктор!$T$2:$T$1212,0),"")</f>
        <v/>
      </c>
      <c r="L970" t="str">
        <f t="shared" si="14"/>
        <v/>
      </c>
    </row>
    <row r="971" spans="1:12" hidden="1" x14ac:dyDescent="0.3">
      <c r="A971" t="str">
        <f>IF($K971="","",951)</f>
        <v/>
      </c>
      <c r="B971" t="str">
        <f>IF($K971="","",INDEX(Конструктор!$C$2:$C$1212,$K971))</f>
        <v/>
      </c>
      <c r="C971" s="8" t="str">
        <f>IF($K971="","",INDEX(Конструктор!$D$2:$D$1212,$K971)&amp;IF(INDEX(Конструктор!$J$2:$J$1212,$K971)&lt;&gt;""," — "&amp;INDEX(Конструктор!$J$2:$J$1212,$K971),""))</f>
        <v/>
      </c>
      <c r="D971" t="str">
        <f>IF($K971="","",INDEX(Конструктор!$E$2:$E$1212,$K971))</f>
        <v/>
      </c>
      <c r="E971" s="10" t="str">
        <f>IF($K971="","",INDEX(Конструктор!$H$2:$H$1212,$K971))</f>
        <v/>
      </c>
      <c r="F971" s="10" t="str">
        <f>IF($K971="","",INDEX(Конструктор!$L$2:$L$1212,$K971))</f>
        <v/>
      </c>
      <c r="G971" s="10" t="str">
        <f>IF($K971="","",INDEX(Конструктор!$M$2:$M$1212,$K971))</f>
        <v/>
      </c>
      <c r="H971" s="10" t="str">
        <f>IF($K971="","",INDEX(Конструктор!$N$2:$N$1212,$K971))</f>
        <v/>
      </c>
      <c r="I971" s="10" t="str">
        <f>IF($K971="","",INDEX(Конструктор!$O$2:$O$1212,$K971))</f>
        <v/>
      </c>
      <c r="J971" s="10" t="str">
        <f>IF($K971="","",INDEX(Конструктор!$P$2:$P$1212,$K971))</f>
        <v/>
      </c>
      <c r="K971" t="str">
        <f>IFERROR(MATCH(951,Конструктор!$T$2:$T$1212,0),"")</f>
        <v/>
      </c>
      <c r="L971" t="str">
        <f t="shared" si="14"/>
        <v/>
      </c>
    </row>
    <row r="972" spans="1:12" hidden="1" x14ac:dyDescent="0.3">
      <c r="A972" t="str">
        <f>IF($K972="","",952)</f>
        <v/>
      </c>
      <c r="B972" t="str">
        <f>IF($K972="","",INDEX(Конструктор!$C$2:$C$1212,$K972))</f>
        <v/>
      </c>
      <c r="C972" s="8" t="str">
        <f>IF($K972="","",INDEX(Конструктор!$D$2:$D$1212,$K972)&amp;IF(INDEX(Конструктор!$J$2:$J$1212,$K972)&lt;&gt;""," — "&amp;INDEX(Конструктор!$J$2:$J$1212,$K972),""))</f>
        <v/>
      </c>
      <c r="D972" t="str">
        <f>IF($K972="","",INDEX(Конструктор!$E$2:$E$1212,$K972))</f>
        <v/>
      </c>
      <c r="E972" s="10" t="str">
        <f>IF($K972="","",INDEX(Конструктор!$H$2:$H$1212,$K972))</f>
        <v/>
      </c>
      <c r="F972" s="10" t="str">
        <f>IF($K972="","",INDEX(Конструктор!$L$2:$L$1212,$K972))</f>
        <v/>
      </c>
      <c r="G972" s="10" t="str">
        <f>IF($K972="","",INDEX(Конструктор!$M$2:$M$1212,$K972))</f>
        <v/>
      </c>
      <c r="H972" s="10" t="str">
        <f>IF($K972="","",INDEX(Конструктор!$N$2:$N$1212,$K972))</f>
        <v/>
      </c>
      <c r="I972" s="10" t="str">
        <f>IF($K972="","",INDEX(Конструктор!$O$2:$O$1212,$K972))</f>
        <v/>
      </c>
      <c r="J972" s="10" t="str">
        <f>IF($K972="","",INDEX(Конструктор!$P$2:$P$1212,$K972))</f>
        <v/>
      </c>
      <c r="K972" t="str">
        <f>IFERROR(MATCH(952,Конструктор!$T$2:$T$1212,0),"")</f>
        <v/>
      </c>
      <c r="L972" t="str">
        <f t="shared" si="14"/>
        <v/>
      </c>
    </row>
    <row r="973" spans="1:12" hidden="1" x14ac:dyDescent="0.3">
      <c r="A973" t="str">
        <f>IF($K973="","",953)</f>
        <v/>
      </c>
      <c r="B973" t="str">
        <f>IF($K973="","",INDEX(Конструктор!$C$2:$C$1212,$K973))</f>
        <v/>
      </c>
      <c r="C973" s="8" t="str">
        <f>IF($K973="","",INDEX(Конструктор!$D$2:$D$1212,$K973)&amp;IF(INDEX(Конструктор!$J$2:$J$1212,$K973)&lt;&gt;""," — "&amp;INDEX(Конструктор!$J$2:$J$1212,$K973),""))</f>
        <v/>
      </c>
      <c r="D973" t="str">
        <f>IF($K973="","",INDEX(Конструктор!$E$2:$E$1212,$K973))</f>
        <v/>
      </c>
      <c r="E973" s="10" t="str">
        <f>IF($K973="","",INDEX(Конструктор!$H$2:$H$1212,$K973))</f>
        <v/>
      </c>
      <c r="F973" s="10" t="str">
        <f>IF($K973="","",INDEX(Конструктор!$L$2:$L$1212,$K973))</f>
        <v/>
      </c>
      <c r="G973" s="10" t="str">
        <f>IF($K973="","",INDEX(Конструктор!$M$2:$M$1212,$K973))</f>
        <v/>
      </c>
      <c r="H973" s="10" t="str">
        <f>IF($K973="","",INDEX(Конструктор!$N$2:$N$1212,$K973))</f>
        <v/>
      </c>
      <c r="I973" s="10" t="str">
        <f>IF($K973="","",INDEX(Конструктор!$O$2:$O$1212,$K973))</f>
        <v/>
      </c>
      <c r="J973" s="10" t="str">
        <f>IF($K973="","",INDEX(Конструктор!$P$2:$P$1212,$K973))</f>
        <v/>
      </c>
      <c r="K973" t="str">
        <f>IFERROR(MATCH(953,Конструктор!$T$2:$T$1212,0),"")</f>
        <v/>
      </c>
      <c r="L973" t="str">
        <f t="shared" si="14"/>
        <v/>
      </c>
    </row>
    <row r="974" spans="1:12" hidden="1" x14ac:dyDescent="0.3">
      <c r="A974" t="str">
        <f>IF($K974="","",954)</f>
        <v/>
      </c>
      <c r="B974" t="str">
        <f>IF($K974="","",INDEX(Конструктор!$C$2:$C$1212,$K974))</f>
        <v/>
      </c>
      <c r="C974" s="8" t="str">
        <f>IF($K974="","",INDEX(Конструктор!$D$2:$D$1212,$K974)&amp;IF(INDEX(Конструктор!$J$2:$J$1212,$K974)&lt;&gt;""," — "&amp;INDEX(Конструктор!$J$2:$J$1212,$K974),""))</f>
        <v/>
      </c>
      <c r="D974" t="str">
        <f>IF($K974="","",INDEX(Конструктор!$E$2:$E$1212,$K974))</f>
        <v/>
      </c>
      <c r="E974" s="10" t="str">
        <f>IF($K974="","",INDEX(Конструктор!$H$2:$H$1212,$K974))</f>
        <v/>
      </c>
      <c r="F974" s="10" t="str">
        <f>IF($K974="","",INDEX(Конструктор!$L$2:$L$1212,$K974))</f>
        <v/>
      </c>
      <c r="G974" s="10" t="str">
        <f>IF($K974="","",INDEX(Конструктор!$M$2:$M$1212,$K974))</f>
        <v/>
      </c>
      <c r="H974" s="10" t="str">
        <f>IF($K974="","",INDEX(Конструктор!$N$2:$N$1212,$K974))</f>
        <v/>
      </c>
      <c r="I974" s="10" t="str">
        <f>IF($K974="","",INDEX(Конструктор!$O$2:$O$1212,$K974))</f>
        <v/>
      </c>
      <c r="J974" s="10" t="str">
        <f>IF($K974="","",INDEX(Конструктор!$P$2:$P$1212,$K974))</f>
        <v/>
      </c>
      <c r="K974" t="str">
        <f>IFERROR(MATCH(954,Конструктор!$T$2:$T$1212,0),"")</f>
        <v/>
      </c>
      <c r="L974" t="str">
        <f t="shared" si="14"/>
        <v/>
      </c>
    </row>
    <row r="975" spans="1:12" hidden="1" x14ac:dyDescent="0.3">
      <c r="A975" t="str">
        <f>IF($K975="","",955)</f>
        <v/>
      </c>
      <c r="B975" t="str">
        <f>IF($K975="","",INDEX(Конструктор!$C$2:$C$1212,$K975))</f>
        <v/>
      </c>
      <c r="C975" s="8" t="str">
        <f>IF($K975="","",INDEX(Конструктор!$D$2:$D$1212,$K975)&amp;IF(INDEX(Конструктор!$J$2:$J$1212,$K975)&lt;&gt;""," — "&amp;INDEX(Конструктор!$J$2:$J$1212,$K975),""))</f>
        <v/>
      </c>
      <c r="D975" t="str">
        <f>IF($K975="","",INDEX(Конструктор!$E$2:$E$1212,$K975))</f>
        <v/>
      </c>
      <c r="E975" s="10" t="str">
        <f>IF($K975="","",INDEX(Конструктор!$H$2:$H$1212,$K975))</f>
        <v/>
      </c>
      <c r="F975" s="10" t="str">
        <f>IF($K975="","",INDEX(Конструктор!$L$2:$L$1212,$K975))</f>
        <v/>
      </c>
      <c r="G975" s="10" t="str">
        <f>IF($K975="","",INDEX(Конструктор!$M$2:$M$1212,$K975))</f>
        <v/>
      </c>
      <c r="H975" s="10" t="str">
        <f>IF($K975="","",INDEX(Конструктор!$N$2:$N$1212,$K975))</f>
        <v/>
      </c>
      <c r="I975" s="10" t="str">
        <f>IF($K975="","",INDEX(Конструктор!$O$2:$O$1212,$K975))</f>
        <v/>
      </c>
      <c r="J975" s="10" t="str">
        <f>IF($K975="","",INDEX(Конструктор!$P$2:$P$1212,$K975))</f>
        <v/>
      </c>
      <c r="K975" t="str">
        <f>IFERROR(MATCH(955,Конструктор!$T$2:$T$1212,0),"")</f>
        <v/>
      </c>
      <c r="L975" t="str">
        <f t="shared" si="14"/>
        <v/>
      </c>
    </row>
    <row r="976" spans="1:12" hidden="1" x14ac:dyDescent="0.3">
      <c r="A976" t="str">
        <f>IF($K976="","",956)</f>
        <v/>
      </c>
      <c r="B976" t="str">
        <f>IF($K976="","",INDEX(Конструктор!$C$2:$C$1212,$K976))</f>
        <v/>
      </c>
      <c r="C976" s="8" t="str">
        <f>IF($K976="","",INDEX(Конструктор!$D$2:$D$1212,$K976)&amp;IF(INDEX(Конструктор!$J$2:$J$1212,$K976)&lt;&gt;""," — "&amp;INDEX(Конструктор!$J$2:$J$1212,$K976),""))</f>
        <v/>
      </c>
      <c r="D976" t="str">
        <f>IF($K976="","",INDEX(Конструктор!$E$2:$E$1212,$K976))</f>
        <v/>
      </c>
      <c r="E976" s="10" t="str">
        <f>IF($K976="","",INDEX(Конструктор!$H$2:$H$1212,$K976))</f>
        <v/>
      </c>
      <c r="F976" s="10" t="str">
        <f>IF($K976="","",INDEX(Конструктор!$L$2:$L$1212,$K976))</f>
        <v/>
      </c>
      <c r="G976" s="10" t="str">
        <f>IF($K976="","",INDEX(Конструктор!$M$2:$M$1212,$K976))</f>
        <v/>
      </c>
      <c r="H976" s="10" t="str">
        <f>IF($K976="","",INDEX(Конструктор!$N$2:$N$1212,$K976))</f>
        <v/>
      </c>
      <c r="I976" s="10" t="str">
        <f>IF($K976="","",INDEX(Конструктор!$O$2:$O$1212,$K976))</f>
        <v/>
      </c>
      <c r="J976" s="10" t="str">
        <f>IF($K976="","",INDEX(Конструктор!$P$2:$P$1212,$K976))</f>
        <v/>
      </c>
      <c r="K976" t="str">
        <f>IFERROR(MATCH(956,Конструктор!$T$2:$T$1212,0),"")</f>
        <v/>
      </c>
      <c r="L976" t="str">
        <f t="shared" si="14"/>
        <v/>
      </c>
    </row>
    <row r="977" spans="1:12" hidden="1" x14ac:dyDescent="0.3">
      <c r="A977" t="str">
        <f>IF($K977="","",957)</f>
        <v/>
      </c>
      <c r="B977" t="str">
        <f>IF($K977="","",INDEX(Конструктор!$C$2:$C$1212,$K977))</f>
        <v/>
      </c>
      <c r="C977" s="8" t="str">
        <f>IF($K977="","",INDEX(Конструктор!$D$2:$D$1212,$K977)&amp;IF(INDEX(Конструктор!$J$2:$J$1212,$K977)&lt;&gt;""," — "&amp;INDEX(Конструктор!$J$2:$J$1212,$K977),""))</f>
        <v/>
      </c>
      <c r="D977" t="str">
        <f>IF($K977="","",INDEX(Конструктор!$E$2:$E$1212,$K977))</f>
        <v/>
      </c>
      <c r="E977" s="10" t="str">
        <f>IF($K977="","",INDEX(Конструктор!$H$2:$H$1212,$K977))</f>
        <v/>
      </c>
      <c r="F977" s="10" t="str">
        <f>IF($K977="","",INDEX(Конструктор!$L$2:$L$1212,$K977))</f>
        <v/>
      </c>
      <c r="G977" s="10" t="str">
        <f>IF($K977="","",INDEX(Конструктор!$M$2:$M$1212,$K977))</f>
        <v/>
      </c>
      <c r="H977" s="10" t="str">
        <f>IF($K977="","",INDEX(Конструктор!$N$2:$N$1212,$K977))</f>
        <v/>
      </c>
      <c r="I977" s="10" t="str">
        <f>IF($K977="","",INDEX(Конструктор!$O$2:$O$1212,$K977))</f>
        <v/>
      </c>
      <c r="J977" s="10" t="str">
        <f>IF($K977="","",INDEX(Конструктор!$P$2:$P$1212,$K977))</f>
        <v/>
      </c>
      <c r="K977" t="str">
        <f>IFERROR(MATCH(957,Конструктор!$T$2:$T$1212,0),"")</f>
        <v/>
      </c>
      <c r="L977" t="str">
        <f t="shared" si="14"/>
        <v/>
      </c>
    </row>
    <row r="978" spans="1:12" hidden="1" x14ac:dyDescent="0.3">
      <c r="A978" t="str">
        <f>IF($K978="","",958)</f>
        <v/>
      </c>
      <c r="B978" t="str">
        <f>IF($K978="","",INDEX(Конструктор!$C$2:$C$1212,$K978))</f>
        <v/>
      </c>
      <c r="C978" s="8" t="str">
        <f>IF($K978="","",INDEX(Конструктор!$D$2:$D$1212,$K978)&amp;IF(INDEX(Конструктор!$J$2:$J$1212,$K978)&lt;&gt;""," — "&amp;INDEX(Конструктор!$J$2:$J$1212,$K978),""))</f>
        <v/>
      </c>
      <c r="D978" t="str">
        <f>IF($K978="","",INDEX(Конструктор!$E$2:$E$1212,$K978))</f>
        <v/>
      </c>
      <c r="E978" s="10" t="str">
        <f>IF($K978="","",INDEX(Конструктор!$H$2:$H$1212,$K978))</f>
        <v/>
      </c>
      <c r="F978" s="10" t="str">
        <f>IF($K978="","",INDEX(Конструктор!$L$2:$L$1212,$K978))</f>
        <v/>
      </c>
      <c r="G978" s="10" t="str">
        <f>IF($K978="","",INDEX(Конструктор!$M$2:$M$1212,$K978))</f>
        <v/>
      </c>
      <c r="H978" s="10" t="str">
        <f>IF($K978="","",INDEX(Конструктор!$N$2:$N$1212,$K978))</f>
        <v/>
      </c>
      <c r="I978" s="10" t="str">
        <f>IF($K978="","",INDEX(Конструктор!$O$2:$O$1212,$K978))</f>
        <v/>
      </c>
      <c r="J978" s="10" t="str">
        <f>IF($K978="","",INDEX(Конструктор!$P$2:$P$1212,$K978))</f>
        <v/>
      </c>
      <c r="K978" t="str">
        <f>IFERROR(MATCH(958,Конструктор!$T$2:$T$1212,0),"")</f>
        <v/>
      </c>
      <c r="L978" t="str">
        <f t="shared" si="14"/>
        <v/>
      </c>
    </row>
    <row r="979" spans="1:12" hidden="1" x14ac:dyDescent="0.3">
      <c r="A979" t="str">
        <f>IF($K979="","",959)</f>
        <v/>
      </c>
      <c r="B979" t="str">
        <f>IF($K979="","",INDEX(Конструктор!$C$2:$C$1212,$K979))</f>
        <v/>
      </c>
      <c r="C979" s="8" t="str">
        <f>IF($K979="","",INDEX(Конструктор!$D$2:$D$1212,$K979)&amp;IF(INDEX(Конструктор!$J$2:$J$1212,$K979)&lt;&gt;""," — "&amp;INDEX(Конструктор!$J$2:$J$1212,$K979),""))</f>
        <v/>
      </c>
      <c r="D979" t="str">
        <f>IF($K979="","",INDEX(Конструктор!$E$2:$E$1212,$K979))</f>
        <v/>
      </c>
      <c r="E979" s="10" t="str">
        <f>IF($K979="","",INDEX(Конструктор!$H$2:$H$1212,$K979))</f>
        <v/>
      </c>
      <c r="F979" s="10" t="str">
        <f>IF($K979="","",INDEX(Конструктор!$L$2:$L$1212,$K979))</f>
        <v/>
      </c>
      <c r="G979" s="10" t="str">
        <f>IF($K979="","",INDEX(Конструктор!$M$2:$M$1212,$K979))</f>
        <v/>
      </c>
      <c r="H979" s="10" t="str">
        <f>IF($K979="","",INDEX(Конструктор!$N$2:$N$1212,$K979))</f>
        <v/>
      </c>
      <c r="I979" s="10" t="str">
        <f>IF($K979="","",INDEX(Конструктор!$O$2:$O$1212,$K979))</f>
        <v/>
      </c>
      <c r="J979" s="10" t="str">
        <f>IF($K979="","",INDEX(Конструктор!$P$2:$P$1212,$K979))</f>
        <v/>
      </c>
      <c r="K979" t="str">
        <f>IFERROR(MATCH(959,Конструктор!$T$2:$T$1212,0),"")</f>
        <v/>
      </c>
      <c r="L979" t="str">
        <f t="shared" si="14"/>
        <v/>
      </c>
    </row>
    <row r="980" spans="1:12" hidden="1" x14ac:dyDescent="0.3">
      <c r="A980" t="str">
        <f>IF($K980="","",960)</f>
        <v/>
      </c>
      <c r="B980" t="str">
        <f>IF($K980="","",INDEX(Конструктор!$C$2:$C$1212,$K980))</f>
        <v/>
      </c>
      <c r="C980" s="8" t="str">
        <f>IF($K980="","",INDEX(Конструктор!$D$2:$D$1212,$K980)&amp;IF(INDEX(Конструктор!$J$2:$J$1212,$K980)&lt;&gt;""," — "&amp;INDEX(Конструктор!$J$2:$J$1212,$K980),""))</f>
        <v/>
      </c>
      <c r="D980" t="str">
        <f>IF($K980="","",INDEX(Конструктор!$E$2:$E$1212,$K980))</f>
        <v/>
      </c>
      <c r="E980" s="10" t="str">
        <f>IF($K980="","",INDEX(Конструктор!$H$2:$H$1212,$K980))</f>
        <v/>
      </c>
      <c r="F980" s="10" t="str">
        <f>IF($K980="","",INDEX(Конструктор!$L$2:$L$1212,$K980))</f>
        <v/>
      </c>
      <c r="G980" s="10" t="str">
        <f>IF($K980="","",INDEX(Конструктор!$M$2:$M$1212,$K980))</f>
        <v/>
      </c>
      <c r="H980" s="10" t="str">
        <f>IF($K980="","",INDEX(Конструктор!$N$2:$N$1212,$K980))</f>
        <v/>
      </c>
      <c r="I980" s="10" t="str">
        <f>IF($K980="","",INDEX(Конструктор!$O$2:$O$1212,$K980))</f>
        <v/>
      </c>
      <c r="J980" s="10" t="str">
        <f>IF($K980="","",INDEX(Конструктор!$P$2:$P$1212,$K980))</f>
        <v/>
      </c>
      <c r="K980" t="str">
        <f>IFERROR(MATCH(960,Конструктор!$T$2:$T$1212,0),"")</f>
        <v/>
      </c>
      <c r="L980" t="str">
        <f t="shared" si="14"/>
        <v/>
      </c>
    </row>
    <row r="981" spans="1:12" hidden="1" x14ac:dyDescent="0.3">
      <c r="A981" t="str">
        <f>IF($K981="","",961)</f>
        <v/>
      </c>
      <c r="B981" t="str">
        <f>IF($K981="","",INDEX(Конструктор!$C$2:$C$1212,$K981))</f>
        <v/>
      </c>
      <c r="C981" s="8" t="str">
        <f>IF($K981="","",INDEX(Конструктор!$D$2:$D$1212,$K981)&amp;IF(INDEX(Конструктор!$J$2:$J$1212,$K981)&lt;&gt;""," — "&amp;INDEX(Конструктор!$J$2:$J$1212,$K981),""))</f>
        <v/>
      </c>
      <c r="D981" t="str">
        <f>IF($K981="","",INDEX(Конструктор!$E$2:$E$1212,$K981))</f>
        <v/>
      </c>
      <c r="E981" s="10" t="str">
        <f>IF($K981="","",INDEX(Конструктор!$H$2:$H$1212,$K981))</f>
        <v/>
      </c>
      <c r="F981" s="10" t="str">
        <f>IF($K981="","",INDEX(Конструктор!$L$2:$L$1212,$K981))</f>
        <v/>
      </c>
      <c r="G981" s="10" t="str">
        <f>IF($K981="","",INDEX(Конструктор!$M$2:$M$1212,$K981))</f>
        <v/>
      </c>
      <c r="H981" s="10" t="str">
        <f>IF($K981="","",INDEX(Конструктор!$N$2:$N$1212,$K981))</f>
        <v/>
      </c>
      <c r="I981" s="10" t="str">
        <f>IF($K981="","",INDEX(Конструктор!$O$2:$O$1212,$K981))</f>
        <v/>
      </c>
      <c r="J981" s="10" t="str">
        <f>IF($K981="","",INDEX(Конструктор!$P$2:$P$1212,$K981))</f>
        <v/>
      </c>
      <c r="K981" t="str">
        <f>IFERROR(MATCH(961,Конструктор!$T$2:$T$1212,0),"")</f>
        <v/>
      </c>
      <c r="L981" t="str">
        <f t="shared" ref="L981:L1020" si="15">IF($K981="","","показать")</f>
        <v/>
      </c>
    </row>
    <row r="982" spans="1:12" hidden="1" x14ac:dyDescent="0.3">
      <c r="A982" t="str">
        <f>IF($K982="","",962)</f>
        <v/>
      </c>
      <c r="B982" t="str">
        <f>IF($K982="","",INDEX(Конструктор!$C$2:$C$1212,$K982))</f>
        <v/>
      </c>
      <c r="C982" s="8" t="str">
        <f>IF($K982="","",INDEX(Конструктор!$D$2:$D$1212,$K982)&amp;IF(INDEX(Конструктор!$J$2:$J$1212,$K982)&lt;&gt;""," — "&amp;INDEX(Конструктор!$J$2:$J$1212,$K982),""))</f>
        <v/>
      </c>
      <c r="D982" t="str">
        <f>IF($K982="","",INDEX(Конструктор!$E$2:$E$1212,$K982))</f>
        <v/>
      </c>
      <c r="E982" s="10" t="str">
        <f>IF($K982="","",INDEX(Конструктор!$H$2:$H$1212,$K982))</f>
        <v/>
      </c>
      <c r="F982" s="10" t="str">
        <f>IF($K982="","",INDEX(Конструктор!$L$2:$L$1212,$K982))</f>
        <v/>
      </c>
      <c r="G982" s="10" t="str">
        <f>IF($K982="","",INDEX(Конструктор!$M$2:$M$1212,$K982))</f>
        <v/>
      </c>
      <c r="H982" s="10" t="str">
        <f>IF($K982="","",INDEX(Конструктор!$N$2:$N$1212,$K982))</f>
        <v/>
      </c>
      <c r="I982" s="10" t="str">
        <f>IF($K982="","",INDEX(Конструктор!$O$2:$O$1212,$K982))</f>
        <v/>
      </c>
      <c r="J982" s="10" t="str">
        <f>IF($K982="","",INDEX(Конструктор!$P$2:$P$1212,$K982))</f>
        <v/>
      </c>
      <c r="K982" t="str">
        <f>IFERROR(MATCH(962,Конструктор!$T$2:$T$1212,0),"")</f>
        <v/>
      </c>
      <c r="L982" t="str">
        <f t="shared" si="15"/>
        <v/>
      </c>
    </row>
    <row r="983" spans="1:12" hidden="1" x14ac:dyDescent="0.3">
      <c r="A983" t="str">
        <f>IF($K983="","",963)</f>
        <v/>
      </c>
      <c r="B983" t="str">
        <f>IF($K983="","",INDEX(Конструктор!$C$2:$C$1212,$K983))</f>
        <v/>
      </c>
      <c r="C983" s="8" t="str">
        <f>IF($K983="","",INDEX(Конструктор!$D$2:$D$1212,$K983)&amp;IF(INDEX(Конструктор!$J$2:$J$1212,$K983)&lt;&gt;""," — "&amp;INDEX(Конструктор!$J$2:$J$1212,$K983),""))</f>
        <v/>
      </c>
      <c r="D983" t="str">
        <f>IF($K983="","",INDEX(Конструктор!$E$2:$E$1212,$K983))</f>
        <v/>
      </c>
      <c r="E983" s="10" t="str">
        <f>IF($K983="","",INDEX(Конструктор!$H$2:$H$1212,$K983))</f>
        <v/>
      </c>
      <c r="F983" s="10" t="str">
        <f>IF($K983="","",INDEX(Конструктор!$L$2:$L$1212,$K983))</f>
        <v/>
      </c>
      <c r="G983" s="10" t="str">
        <f>IF($K983="","",INDEX(Конструктор!$M$2:$M$1212,$K983))</f>
        <v/>
      </c>
      <c r="H983" s="10" t="str">
        <f>IF($K983="","",INDEX(Конструктор!$N$2:$N$1212,$K983))</f>
        <v/>
      </c>
      <c r="I983" s="10" t="str">
        <f>IF($K983="","",INDEX(Конструктор!$O$2:$O$1212,$K983))</f>
        <v/>
      </c>
      <c r="J983" s="10" t="str">
        <f>IF($K983="","",INDEX(Конструктор!$P$2:$P$1212,$K983))</f>
        <v/>
      </c>
      <c r="K983" t="str">
        <f>IFERROR(MATCH(963,Конструктор!$T$2:$T$1212,0),"")</f>
        <v/>
      </c>
      <c r="L983" t="str">
        <f t="shared" si="15"/>
        <v/>
      </c>
    </row>
    <row r="984" spans="1:12" hidden="1" x14ac:dyDescent="0.3">
      <c r="A984" t="str">
        <f>IF($K984="","",964)</f>
        <v/>
      </c>
      <c r="B984" t="str">
        <f>IF($K984="","",INDEX(Конструктор!$C$2:$C$1212,$K984))</f>
        <v/>
      </c>
      <c r="C984" s="8" t="str">
        <f>IF($K984="","",INDEX(Конструктор!$D$2:$D$1212,$K984)&amp;IF(INDEX(Конструктор!$J$2:$J$1212,$K984)&lt;&gt;""," — "&amp;INDEX(Конструктор!$J$2:$J$1212,$K984),""))</f>
        <v/>
      </c>
      <c r="D984" t="str">
        <f>IF($K984="","",INDEX(Конструктор!$E$2:$E$1212,$K984))</f>
        <v/>
      </c>
      <c r="E984" s="10" t="str">
        <f>IF($K984="","",INDEX(Конструктор!$H$2:$H$1212,$K984))</f>
        <v/>
      </c>
      <c r="F984" s="10" t="str">
        <f>IF($K984="","",INDEX(Конструктор!$L$2:$L$1212,$K984))</f>
        <v/>
      </c>
      <c r="G984" s="10" t="str">
        <f>IF($K984="","",INDEX(Конструктор!$M$2:$M$1212,$K984))</f>
        <v/>
      </c>
      <c r="H984" s="10" t="str">
        <f>IF($K984="","",INDEX(Конструктор!$N$2:$N$1212,$K984))</f>
        <v/>
      </c>
      <c r="I984" s="10" t="str">
        <f>IF($K984="","",INDEX(Конструктор!$O$2:$O$1212,$K984))</f>
        <v/>
      </c>
      <c r="J984" s="10" t="str">
        <f>IF($K984="","",INDEX(Конструктор!$P$2:$P$1212,$K984))</f>
        <v/>
      </c>
      <c r="K984" t="str">
        <f>IFERROR(MATCH(964,Конструктор!$T$2:$T$1212,0),"")</f>
        <v/>
      </c>
      <c r="L984" t="str">
        <f t="shared" si="15"/>
        <v/>
      </c>
    </row>
    <row r="985" spans="1:12" hidden="1" x14ac:dyDescent="0.3">
      <c r="A985" t="str">
        <f>IF($K985="","",965)</f>
        <v/>
      </c>
      <c r="B985" t="str">
        <f>IF($K985="","",INDEX(Конструктор!$C$2:$C$1212,$K985))</f>
        <v/>
      </c>
      <c r="C985" s="8" t="str">
        <f>IF($K985="","",INDEX(Конструктор!$D$2:$D$1212,$K985)&amp;IF(INDEX(Конструктор!$J$2:$J$1212,$K985)&lt;&gt;""," — "&amp;INDEX(Конструктор!$J$2:$J$1212,$K985),""))</f>
        <v/>
      </c>
      <c r="D985" t="str">
        <f>IF($K985="","",INDEX(Конструктор!$E$2:$E$1212,$K985))</f>
        <v/>
      </c>
      <c r="E985" s="10" t="str">
        <f>IF($K985="","",INDEX(Конструктор!$H$2:$H$1212,$K985))</f>
        <v/>
      </c>
      <c r="F985" s="10" t="str">
        <f>IF($K985="","",INDEX(Конструктор!$L$2:$L$1212,$K985))</f>
        <v/>
      </c>
      <c r="G985" s="10" t="str">
        <f>IF($K985="","",INDEX(Конструктор!$M$2:$M$1212,$K985))</f>
        <v/>
      </c>
      <c r="H985" s="10" t="str">
        <f>IF($K985="","",INDEX(Конструктор!$N$2:$N$1212,$K985))</f>
        <v/>
      </c>
      <c r="I985" s="10" t="str">
        <f>IF($K985="","",INDEX(Конструктор!$O$2:$O$1212,$K985))</f>
        <v/>
      </c>
      <c r="J985" s="10" t="str">
        <f>IF($K985="","",INDEX(Конструктор!$P$2:$P$1212,$K985))</f>
        <v/>
      </c>
      <c r="K985" t="str">
        <f>IFERROR(MATCH(965,Конструктор!$T$2:$T$1212,0),"")</f>
        <v/>
      </c>
      <c r="L985" t="str">
        <f t="shared" si="15"/>
        <v/>
      </c>
    </row>
    <row r="986" spans="1:12" hidden="1" x14ac:dyDescent="0.3">
      <c r="A986" t="str">
        <f>IF($K986="","",966)</f>
        <v/>
      </c>
      <c r="B986" t="str">
        <f>IF($K986="","",INDEX(Конструктор!$C$2:$C$1212,$K986))</f>
        <v/>
      </c>
      <c r="C986" s="8" t="str">
        <f>IF($K986="","",INDEX(Конструктор!$D$2:$D$1212,$K986)&amp;IF(INDEX(Конструктор!$J$2:$J$1212,$K986)&lt;&gt;""," — "&amp;INDEX(Конструктор!$J$2:$J$1212,$K986),""))</f>
        <v/>
      </c>
      <c r="D986" t="str">
        <f>IF($K986="","",INDEX(Конструктор!$E$2:$E$1212,$K986))</f>
        <v/>
      </c>
      <c r="E986" s="10" t="str">
        <f>IF($K986="","",INDEX(Конструктор!$H$2:$H$1212,$K986))</f>
        <v/>
      </c>
      <c r="F986" s="10" t="str">
        <f>IF($K986="","",INDEX(Конструктор!$L$2:$L$1212,$K986))</f>
        <v/>
      </c>
      <c r="G986" s="10" t="str">
        <f>IF($K986="","",INDEX(Конструктор!$M$2:$M$1212,$K986))</f>
        <v/>
      </c>
      <c r="H986" s="10" t="str">
        <f>IF($K986="","",INDEX(Конструктор!$N$2:$N$1212,$K986))</f>
        <v/>
      </c>
      <c r="I986" s="10" t="str">
        <f>IF($K986="","",INDEX(Конструктор!$O$2:$O$1212,$K986))</f>
        <v/>
      </c>
      <c r="J986" s="10" t="str">
        <f>IF($K986="","",INDEX(Конструктор!$P$2:$P$1212,$K986))</f>
        <v/>
      </c>
      <c r="K986" t="str">
        <f>IFERROR(MATCH(966,Конструктор!$T$2:$T$1212,0),"")</f>
        <v/>
      </c>
      <c r="L986" t="str">
        <f t="shared" si="15"/>
        <v/>
      </c>
    </row>
    <row r="987" spans="1:12" hidden="1" x14ac:dyDescent="0.3">
      <c r="A987" t="str">
        <f>IF($K987="","",967)</f>
        <v/>
      </c>
      <c r="B987" t="str">
        <f>IF($K987="","",INDEX(Конструктор!$C$2:$C$1212,$K987))</f>
        <v/>
      </c>
      <c r="C987" s="8" t="str">
        <f>IF($K987="","",INDEX(Конструктор!$D$2:$D$1212,$K987)&amp;IF(INDEX(Конструктор!$J$2:$J$1212,$K987)&lt;&gt;""," — "&amp;INDEX(Конструктор!$J$2:$J$1212,$K987),""))</f>
        <v/>
      </c>
      <c r="D987" t="str">
        <f>IF($K987="","",INDEX(Конструктор!$E$2:$E$1212,$K987))</f>
        <v/>
      </c>
      <c r="E987" s="10" t="str">
        <f>IF($K987="","",INDEX(Конструктор!$H$2:$H$1212,$K987))</f>
        <v/>
      </c>
      <c r="F987" s="10" t="str">
        <f>IF($K987="","",INDEX(Конструктор!$L$2:$L$1212,$K987))</f>
        <v/>
      </c>
      <c r="G987" s="10" t="str">
        <f>IF($K987="","",INDEX(Конструктор!$M$2:$M$1212,$K987))</f>
        <v/>
      </c>
      <c r="H987" s="10" t="str">
        <f>IF($K987="","",INDEX(Конструктор!$N$2:$N$1212,$K987))</f>
        <v/>
      </c>
      <c r="I987" s="10" t="str">
        <f>IF($K987="","",INDEX(Конструктор!$O$2:$O$1212,$K987))</f>
        <v/>
      </c>
      <c r="J987" s="10" t="str">
        <f>IF($K987="","",INDEX(Конструктор!$P$2:$P$1212,$K987))</f>
        <v/>
      </c>
      <c r="K987" t="str">
        <f>IFERROR(MATCH(967,Конструктор!$T$2:$T$1212,0),"")</f>
        <v/>
      </c>
      <c r="L987" t="str">
        <f t="shared" si="15"/>
        <v/>
      </c>
    </row>
    <row r="988" spans="1:12" hidden="1" x14ac:dyDescent="0.3">
      <c r="A988" t="str">
        <f>IF($K988="","",968)</f>
        <v/>
      </c>
      <c r="B988" t="str">
        <f>IF($K988="","",INDEX(Конструктор!$C$2:$C$1212,$K988))</f>
        <v/>
      </c>
      <c r="C988" s="8" t="str">
        <f>IF($K988="","",INDEX(Конструктор!$D$2:$D$1212,$K988)&amp;IF(INDEX(Конструктор!$J$2:$J$1212,$K988)&lt;&gt;""," — "&amp;INDEX(Конструктор!$J$2:$J$1212,$K988),""))</f>
        <v/>
      </c>
      <c r="D988" t="str">
        <f>IF($K988="","",INDEX(Конструктор!$E$2:$E$1212,$K988))</f>
        <v/>
      </c>
      <c r="E988" s="10" t="str">
        <f>IF($K988="","",INDEX(Конструктор!$H$2:$H$1212,$K988))</f>
        <v/>
      </c>
      <c r="F988" s="10" t="str">
        <f>IF($K988="","",INDEX(Конструктор!$L$2:$L$1212,$K988))</f>
        <v/>
      </c>
      <c r="G988" s="10" t="str">
        <f>IF($K988="","",INDEX(Конструктор!$M$2:$M$1212,$K988))</f>
        <v/>
      </c>
      <c r="H988" s="10" t="str">
        <f>IF($K988="","",INDEX(Конструктор!$N$2:$N$1212,$K988))</f>
        <v/>
      </c>
      <c r="I988" s="10" t="str">
        <f>IF($K988="","",INDEX(Конструктор!$O$2:$O$1212,$K988))</f>
        <v/>
      </c>
      <c r="J988" s="10" t="str">
        <f>IF($K988="","",INDEX(Конструктор!$P$2:$P$1212,$K988))</f>
        <v/>
      </c>
      <c r="K988" t="str">
        <f>IFERROR(MATCH(968,Конструктор!$T$2:$T$1212,0),"")</f>
        <v/>
      </c>
      <c r="L988" t="str">
        <f t="shared" si="15"/>
        <v/>
      </c>
    </row>
    <row r="989" spans="1:12" hidden="1" x14ac:dyDescent="0.3">
      <c r="A989" t="str">
        <f>IF($K989="","",969)</f>
        <v/>
      </c>
      <c r="B989" t="str">
        <f>IF($K989="","",INDEX(Конструктор!$C$2:$C$1212,$K989))</f>
        <v/>
      </c>
      <c r="C989" s="8" t="str">
        <f>IF($K989="","",INDEX(Конструктор!$D$2:$D$1212,$K989)&amp;IF(INDEX(Конструктор!$J$2:$J$1212,$K989)&lt;&gt;""," — "&amp;INDEX(Конструктор!$J$2:$J$1212,$K989),""))</f>
        <v/>
      </c>
      <c r="D989" t="str">
        <f>IF($K989="","",INDEX(Конструктор!$E$2:$E$1212,$K989))</f>
        <v/>
      </c>
      <c r="E989" s="10" t="str">
        <f>IF($K989="","",INDEX(Конструктор!$H$2:$H$1212,$K989))</f>
        <v/>
      </c>
      <c r="F989" s="10" t="str">
        <f>IF($K989="","",INDEX(Конструктор!$L$2:$L$1212,$K989))</f>
        <v/>
      </c>
      <c r="G989" s="10" t="str">
        <f>IF($K989="","",INDEX(Конструктор!$M$2:$M$1212,$K989))</f>
        <v/>
      </c>
      <c r="H989" s="10" t="str">
        <f>IF($K989="","",INDEX(Конструктор!$N$2:$N$1212,$K989))</f>
        <v/>
      </c>
      <c r="I989" s="10" t="str">
        <f>IF($K989="","",INDEX(Конструктор!$O$2:$O$1212,$K989))</f>
        <v/>
      </c>
      <c r="J989" s="10" t="str">
        <f>IF($K989="","",INDEX(Конструктор!$P$2:$P$1212,$K989))</f>
        <v/>
      </c>
      <c r="K989" t="str">
        <f>IFERROR(MATCH(969,Конструктор!$T$2:$T$1212,0),"")</f>
        <v/>
      </c>
      <c r="L989" t="str">
        <f t="shared" si="15"/>
        <v/>
      </c>
    </row>
    <row r="990" spans="1:12" hidden="1" x14ac:dyDescent="0.3">
      <c r="A990" t="str">
        <f>IF($K990="","",970)</f>
        <v/>
      </c>
      <c r="B990" t="str">
        <f>IF($K990="","",INDEX(Конструктор!$C$2:$C$1212,$K990))</f>
        <v/>
      </c>
      <c r="C990" s="8" t="str">
        <f>IF($K990="","",INDEX(Конструктор!$D$2:$D$1212,$K990)&amp;IF(INDEX(Конструктор!$J$2:$J$1212,$K990)&lt;&gt;""," — "&amp;INDEX(Конструктор!$J$2:$J$1212,$K990),""))</f>
        <v/>
      </c>
      <c r="D990" t="str">
        <f>IF($K990="","",INDEX(Конструктор!$E$2:$E$1212,$K990))</f>
        <v/>
      </c>
      <c r="E990" s="10" t="str">
        <f>IF($K990="","",INDEX(Конструктор!$H$2:$H$1212,$K990))</f>
        <v/>
      </c>
      <c r="F990" s="10" t="str">
        <f>IF($K990="","",INDEX(Конструктор!$L$2:$L$1212,$K990))</f>
        <v/>
      </c>
      <c r="G990" s="10" t="str">
        <f>IF($K990="","",INDEX(Конструктор!$M$2:$M$1212,$K990))</f>
        <v/>
      </c>
      <c r="H990" s="10" t="str">
        <f>IF($K990="","",INDEX(Конструктор!$N$2:$N$1212,$K990))</f>
        <v/>
      </c>
      <c r="I990" s="10" t="str">
        <f>IF($K990="","",INDEX(Конструктор!$O$2:$O$1212,$K990))</f>
        <v/>
      </c>
      <c r="J990" s="10" t="str">
        <f>IF($K990="","",INDEX(Конструктор!$P$2:$P$1212,$K990))</f>
        <v/>
      </c>
      <c r="K990" t="str">
        <f>IFERROR(MATCH(970,Конструктор!$T$2:$T$1212,0),"")</f>
        <v/>
      </c>
      <c r="L990" t="str">
        <f t="shared" si="15"/>
        <v/>
      </c>
    </row>
    <row r="991" spans="1:12" hidden="1" x14ac:dyDescent="0.3">
      <c r="A991" t="str">
        <f>IF($K991="","",971)</f>
        <v/>
      </c>
      <c r="B991" t="str">
        <f>IF($K991="","",INDEX(Конструктор!$C$2:$C$1212,$K991))</f>
        <v/>
      </c>
      <c r="C991" s="8" t="str">
        <f>IF($K991="","",INDEX(Конструктор!$D$2:$D$1212,$K991)&amp;IF(INDEX(Конструктор!$J$2:$J$1212,$K991)&lt;&gt;""," — "&amp;INDEX(Конструктор!$J$2:$J$1212,$K991),""))</f>
        <v/>
      </c>
      <c r="D991" t="str">
        <f>IF($K991="","",INDEX(Конструктор!$E$2:$E$1212,$K991))</f>
        <v/>
      </c>
      <c r="E991" s="10" t="str">
        <f>IF($K991="","",INDEX(Конструктор!$H$2:$H$1212,$K991))</f>
        <v/>
      </c>
      <c r="F991" s="10" t="str">
        <f>IF($K991="","",INDEX(Конструктор!$L$2:$L$1212,$K991))</f>
        <v/>
      </c>
      <c r="G991" s="10" t="str">
        <f>IF($K991="","",INDEX(Конструктор!$M$2:$M$1212,$K991))</f>
        <v/>
      </c>
      <c r="H991" s="10" t="str">
        <f>IF($K991="","",INDEX(Конструктор!$N$2:$N$1212,$K991))</f>
        <v/>
      </c>
      <c r="I991" s="10" t="str">
        <f>IF($K991="","",INDEX(Конструктор!$O$2:$O$1212,$K991))</f>
        <v/>
      </c>
      <c r="J991" s="10" t="str">
        <f>IF($K991="","",INDEX(Конструктор!$P$2:$P$1212,$K991))</f>
        <v/>
      </c>
      <c r="K991" t="str">
        <f>IFERROR(MATCH(971,Конструктор!$T$2:$T$1212,0),"")</f>
        <v/>
      </c>
      <c r="L991" t="str">
        <f t="shared" si="15"/>
        <v/>
      </c>
    </row>
    <row r="992" spans="1:12" hidden="1" x14ac:dyDescent="0.3">
      <c r="A992" t="str">
        <f>IF($K992="","",972)</f>
        <v/>
      </c>
      <c r="B992" t="str">
        <f>IF($K992="","",INDEX(Конструктор!$C$2:$C$1212,$K992))</f>
        <v/>
      </c>
      <c r="C992" s="8" t="str">
        <f>IF($K992="","",INDEX(Конструктор!$D$2:$D$1212,$K992)&amp;IF(INDEX(Конструктор!$J$2:$J$1212,$K992)&lt;&gt;""," — "&amp;INDEX(Конструктор!$J$2:$J$1212,$K992),""))</f>
        <v/>
      </c>
      <c r="D992" t="str">
        <f>IF($K992="","",INDEX(Конструктор!$E$2:$E$1212,$K992))</f>
        <v/>
      </c>
      <c r="E992" s="10" t="str">
        <f>IF($K992="","",INDEX(Конструктор!$H$2:$H$1212,$K992))</f>
        <v/>
      </c>
      <c r="F992" s="10" t="str">
        <f>IF($K992="","",INDEX(Конструктор!$L$2:$L$1212,$K992))</f>
        <v/>
      </c>
      <c r="G992" s="10" t="str">
        <f>IF($K992="","",INDEX(Конструктор!$M$2:$M$1212,$K992))</f>
        <v/>
      </c>
      <c r="H992" s="10" t="str">
        <f>IF($K992="","",INDEX(Конструктор!$N$2:$N$1212,$K992))</f>
        <v/>
      </c>
      <c r="I992" s="10" t="str">
        <f>IF($K992="","",INDEX(Конструктор!$O$2:$O$1212,$K992))</f>
        <v/>
      </c>
      <c r="J992" s="10" t="str">
        <f>IF($K992="","",INDEX(Конструктор!$P$2:$P$1212,$K992))</f>
        <v/>
      </c>
      <c r="K992" t="str">
        <f>IFERROR(MATCH(972,Конструктор!$T$2:$T$1212,0),"")</f>
        <v/>
      </c>
      <c r="L992" t="str">
        <f t="shared" si="15"/>
        <v/>
      </c>
    </row>
    <row r="993" spans="1:12" hidden="1" x14ac:dyDescent="0.3">
      <c r="A993" t="str">
        <f>IF($K993="","",973)</f>
        <v/>
      </c>
      <c r="B993" t="str">
        <f>IF($K993="","",INDEX(Конструктор!$C$2:$C$1212,$K993))</f>
        <v/>
      </c>
      <c r="C993" s="8" t="str">
        <f>IF($K993="","",INDEX(Конструктор!$D$2:$D$1212,$K993)&amp;IF(INDEX(Конструктор!$J$2:$J$1212,$K993)&lt;&gt;""," — "&amp;INDEX(Конструктор!$J$2:$J$1212,$K993),""))</f>
        <v/>
      </c>
      <c r="D993" t="str">
        <f>IF($K993="","",INDEX(Конструктор!$E$2:$E$1212,$K993))</f>
        <v/>
      </c>
      <c r="E993" s="10" t="str">
        <f>IF($K993="","",INDEX(Конструктор!$H$2:$H$1212,$K993))</f>
        <v/>
      </c>
      <c r="F993" s="10" t="str">
        <f>IF($K993="","",INDEX(Конструктор!$L$2:$L$1212,$K993))</f>
        <v/>
      </c>
      <c r="G993" s="10" t="str">
        <f>IF($K993="","",INDEX(Конструктор!$M$2:$M$1212,$K993))</f>
        <v/>
      </c>
      <c r="H993" s="10" t="str">
        <f>IF($K993="","",INDEX(Конструктор!$N$2:$N$1212,$K993))</f>
        <v/>
      </c>
      <c r="I993" s="10" t="str">
        <f>IF($K993="","",INDEX(Конструктор!$O$2:$O$1212,$K993))</f>
        <v/>
      </c>
      <c r="J993" s="10" t="str">
        <f>IF($K993="","",INDEX(Конструктор!$P$2:$P$1212,$K993))</f>
        <v/>
      </c>
      <c r="K993" t="str">
        <f>IFERROR(MATCH(973,Конструктор!$T$2:$T$1212,0),"")</f>
        <v/>
      </c>
      <c r="L993" t="str">
        <f t="shared" si="15"/>
        <v/>
      </c>
    </row>
    <row r="994" spans="1:12" hidden="1" x14ac:dyDescent="0.3">
      <c r="A994" t="str">
        <f>IF($K994="","",974)</f>
        <v/>
      </c>
      <c r="B994" t="str">
        <f>IF($K994="","",INDEX(Конструктор!$C$2:$C$1212,$K994))</f>
        <v/>
      </c>
      <c r="C994" s="8" t="str">
        <f>IF($K994="","",INDEX(Конструктор!$D$2:$D$1212,$K994)&amp;IF(INDEX(Конструктор!$J$2:$J$1212,$K994)&lt;&gt;""," — "&amp;INDEX(Конструктор!$J$2:$J$1212,$K994),""))</f>
        <v/>
      </c>
      <c r="D994" t="str">
        <f>IF($K994="","",INDEX(Конструктор!$E$2:$E$1212,$K994))</f>
        <v/>
      </c>
      <c r="E994" s="10" t="str">
        <f>IF($K994="","",INDEX(Конструктор!$H$2:$H$1212,$K994))</f>
        <v/>
      </c>
      <c r="F994" s="10" t="str">
        <f>IF($K994="","",INDEX(Конструктор!$L$2:$L$1212,$K994))</f>
        <v/>
      </c>
      <c r="G994" s="10" t="str">
        <f>IF($K994="","",INDEX(Конструктор!$M$2:$M$1212,$K994))</f>
        <v/>
      </c>
      <c r="H994" s="10" t="str">
        <f>IF($K994="","",INDEX(Конструктор!$N$2:$N$1212,$K994))</f>
        <v/>
      </c>
      <c r="I994" s="10" t="str">
        <f>IF($K994="","",INDEX(Конструктор!$O$2:$O$1212,$K994))</f>
        <v/>
      </c>
      <c r="J994" s="10" t="str">
        <f>IF($K994="","",INDEX(Конструктор!$P$2:$P$1212,$K994))</f>
        <v/>
      </c>
      <c r="K994" t="str">
        <f>IFERROR(MATCH(974,Конструктор!$T$2:$T$1212,0),"")</f>
        <v/>
      </c>
      <c r="L994" t="str">
        <f t="shared" si="15"/>
        <v/>
      </c>
    </row>
    <row r="995" spans="1:12" hidden="1" x14ac:dyDescent="0.3">
      <c r="A995" t="str">
        <f>IF($K995="","",975)</f>
        <v/>
      </c>
      <c r="B995" t="str">
        <f>IF($K995="","",INDEX(Конструктор!$C$2:$C$1212,$K995))</f>
        <v/>
      </c>
      <c r="C995" s="8" t="str">
        <f>IF($K995="","",INDEX(Конструктор!$D$2:$D$1212,$K995)&amp;IF(INDEX(Конструктор!$J$2:$J$1212,$K995)&lt;&gt;""," — "&amp;INDEX(Конструктор!$J$2:$J$1212,$K995),""))</f>
        <v/>
      </c>
      <c r="D995" t="str">
        <f>IF($K995="","",INDEX(Конструктор!$E$2:$E$1212,$K995))</f>
        <v/>
      </c>
      <c r="E995" s="10" t="str">
        <f>IF($K995="","",INDEX(Конструктор!$H$2:$H$1212,$K995))</f>
        <v/>
      </c>
      <c r="F995" s="10" t="str">
        <f>IF($K995="","",INDEX(Конструктор!$L$2:$L$1212,$K995))</f>
        <v/>
      </c>
      <c r="G995" s="10" t="str">
        <f>IF($K995="","",INDEX(Конструктор!$M$2:$M$1212,$K995))</f>
        <v/>
      </c>
      <c r="H995" s="10" t="str">
        <f>IF($K995="","",INDEX(Конструктор!$N$2:$N$1212,$K995))</f>
        <v/>
      </c>
      <c r="I995" s="10" t="str">
        <f>IF($K995="","",INDEX(Конструктор!$O$2:$O$1212,$K995))</f>
        <v/>
      </c>
      <c r="J995" s="10" t="str">
        <f>IF($K995="","",INDEX(Конструктор!$P$2:$P$1212,$K995))</f>
        <v/>
      </c>
      <c r="K995" t="str">
        <f>IFERROR(MATCH(975,Конструктор!$T$2:$T$1212,0),"")</f>
        <v/>
      </c>
      <c r="L995" t="str">
        <f t="shared" si="15"/>
        <v/>
      </c>
    </row>
    <row r="996" spans="1:12" hidden="1" x14ac:dyDescent="0.3">
      <c r="A996" t="str">
        <f>IF($K996="","",976)</f>
        <v/>
      </c>
      <c r="B996" t="str">
        <f>IF($K996="","",INDEX(Конструктор!$C$2:$C$1212,$K996))</f>
        <v/>
      </c>
      <c r="C996" s="8" t="str">
        <f>IF($K996="","",INDEX(Конструктор!$D$2:$D$1212,$K996)&amp;IF(INDEX(Конструктор!$J$2:$J$1212,$K996)&lt;&gt;""," — "&amp;INDEX(Конструктор!$J$2:$J$1212,$K996),""))</f>
        <v/>
      </c>
      <c r="D996" t="str">
        <f>IF($K996="","",INDEX(Конструктор!$E$2:$E$1212,$K996))</f>
        <v/>
      </c>
      <c r="E996" s="10" t="str">
        <f>IF($K996="","",INDEX(Конструктор!$H$2:$H$1212,$K996))</f>
        <v/>
      </c>
      <c r="F996" s="10" t="str">
        <f>IF($K996="","",INDEX(Конструктор!$L$2:$L$1212,$K996))</f>
        <v/>
      </c>
      <c r="G996" s="10" t="str">
        <f>IF($K996="","",INDEX(Конструктор!$M$2:$M$1212,$K996))</f>
        <v/>
      </c>
      <c r="H996" s="10" t="str">
        <f>IF($K996="","",INDEX(Конструктор!$N$2:$N$1212,$K996))</f>
        <v/>
      </c>
      <c r="I996" s="10" t="str">
        <f>IF($K996="","",INDEX(Конструктор!$O$2:$O$1212,$K996))</f>
        <v/>
      </c>
      <c r="J996" s="10" t="str">
        <f>IF($K996="","",INDEX(Конструктор!$P$2:$P$1212,$K996))</f>
        <v/>
      </c>
      <c r="K996" t="str">
        <f>IFERROR(MATCH(976,Конструктор!$T$2:$T$1212,0),"")</f>
        <v/>
      </c>
      <c r="L996" t="str">
        <f t="shared" si="15"/>
        <v/>
      </c>
    </row>
    <row r="997" spans="1:12" hidden="1" x14ac:dyDescent="0.3">
      <c r="A997" t="str">
        <f>IF($K997="","",977)</f>
        <v/>
      </c>
      <c r="B997" t="str">
        <f>IF($K997="","",INDEX(Конструктор!$C$2:$C$1212,$K997))</f>
        <v/>
      </c>
      <c r="C997" s="8" t="str">
        <f>IF($K997="","",INDEX(Конструктор!$D$2:$D$1212,$K997)&amp;IF(INDEX(Конструктор!$J$2:$J$1212,$K997)&lt;&gt;""," — "&amp;INDEX(Конструктор!$J$2:$J$1212,$K997),""))</f>
        <v/>
      </c>
      <c r="D997" t="str">
        <f>IF($K997="","",INDEX(Конструктор!$E$2:$E$1212,$K997))</f>
        <v/>
      </c>
      <c r="E997" s="10" t="str">
        <f>IF($K997="","",INDEX(Конструктор!$H$2:$H$1212,$K997))</f>
        <v/>
      </c>
      <c r="F997" s="10" t="str">
        <f>IF($K997="","",INDEX(Конструктор!$L$2:$L$1212,$K997))</f>
        <v/>
      </c>
      <c r="G997" s="10" t="str">
        <f>IF($K997="","",INDEX(Конструктор!$M$2:$M$1212,$K997))</f>
        <v/>
      </c>
      <c r="H997" s="10" t="str">
        <f>IF($K997="","",INDEX(Конструктор!$N$2:$N$1212,$K997))</f>
        <v/>
      </c>
      <c r="I997" s="10" t="str">
        <f>IF($K997="","",INDEX(Конструктор!$O$2:$O$1212,$K997))</f>
        <v/>
      </c>
      <c r="J997" s="10" t="str">
        <f>IF($K997="","",INDEX(Конструктор!$P$2:$P$1212,$K997))</f>
        <v/>
      </c>
      <c r="K997" t="str">
        <f>IFERROR(MATCH(977,Конструктор!$T$2:$T$1212,0),"")</f>
        <v/>
      </c>
      <c r="L997" t="str">
        <f t="shared" si="15"/>
        <v/>
      </c>
    </row>
    <row r="998" spans="1:12" hidden="1" x14ac:dyDescent="0.3">
      <c r="A998" t="str">
        <f>IF($K998="","",978)</f>
        <v/>
      </c>
      <c r="B998" t="str">
        <f>IF($K998="","",INDEX(Конструктор!$C$2:$C$1212,$K998))</f>
        <v/>
      </c>
      <c r="C998" s="8" t="str">
        <f>IF($K998="","",INDEX(Конструктор!$D$2:$D$1212,$K998)&amp;IF(INDEX(Конструктор!$J$2:$J$1212,$K998)&lt;&gt;""," — "&amp;INDEX(Конструктор!$J$2:$J$1212,$K998),""))</f>
        <v/>
      </c>
      <c r="D998" t="str">
        <f>IF($K998="","",INDEX(Конструктор!$E$2:$E$1212,$K998))</f>
        <v/>
      </c>
      <c r="E998" s="10" t="str">
        <f>IF($K998="","",INDEX(Конструктор!$H$2:$H$1212,$K998))</f>
        <v/>
      </c>
      <c r="F998" s="10" t="str">
        <f>IF($K998="","",INDEX(Конструктор!$L$2:$L$1212,$K998))</f>
        <v/>
      </c>
      <c r="G998" s="10" t="str">
        <f>IF($K998="","",INDEX(Конструктор!$M$2:$M$1212,$K998))</f>
        <v/>
      </c>
      <c r="H998" s="10" t="str">
        <f>IF($K998="","",INDEX(Конструктор!$N$2:$N$1212,$K998))</f>
        <v/>
      </c>
      <c r="I998" s="10" t="str">
        <f>IF($K998="","",INDEX(Конструктор!$O$2:$O$1212,$K998))</f>
        <v/>
      </c>
      <c r="J998" s="10" t="str">
        <f>IF($K998="","",INDEX(Конструктор!$P$2:$P$1212,$K998))</f>
        <v/>
      </c>
      <c r="K998" t="str">
        <f>IFERROR(MATCH(978,Конструктор!$T$2:$T$1212,0),"")</f>
        <v/>
      </c>
      <c r="L998" t="str">
        <f t="shared" si="15"/>
        <v/>
      </c>
    </row>
    <row r="999" spans="1:12" hidden="1" x14ac:dyDescent="0.3">
      <c r="A999" t="str">
        <f>IF($K999="","",979)</f>
        <v/>
      </c>
      <c r="B999" t="str">
        <f>IF($K999="","",INDEX(Конструктор!$C$2:$C$1212,$K999))</f>
        <v/>
      </c>
      <c r="C999" s="8" t="str">
        <f>IF($K999="","",INDEX(Конструктор!$D$2:$D$1212,$K999)&amp;IF(INDEX(Конструктор!$J$2:$J$1212,$K999)&lt;&gt;""," — "&amp;INDEX(Конструктор!$J$2:$J$1212,$K999),""))</f>
        <v/>
      </c>
      <c r="D999" t="str">
        <f>IF($K999="","",INDEX(Конструктор!$E$2:$E$1212,$K999))</f>
        <v/>
      </c>
      <c r="E999" s="10" t="str">
        <f>IF($K999="","",INDEX(Конструктор!$H$2:$H$1212,$K999))</f>
        <v/>
      </c>
      <c r="F999" s="10" t="str">
        <f>IF($K999="","",INDEX(Конструктор!$L$2:$L$1212,$K999))</f>
        <v/>
      </c>
      <c r="G999" s="10" t="str">
        <f>IF($K999="","",INDEX(Конструктор!$M$2:$M$1212,$K999))</f>
        <v/>
      </c>
      <c r="H999" s="10" t="str">
        <f>IF($K999="","",INDEX(Конструктор!$N$2:$N$1212,$K999))</f>
        <v/>
      </c>
      <c r="I999" s="10" t="str">
        <f>IF($K999="","",INDEX(Конструктор!$O$2:$O$1212,$K999))</f>
        <v/>
      </c>
      <c r="J999" s="10" t="str">
        <f>IF($K999="","",INDEX(Конструктор!$P$2:$P$1212,$K999))</f>
        <v/>
      </c>
      <c r="K999" t="str">
        <f>IFERROR(MATCH(979,Конструктор!$T$2:$T$1212,0),"")</f>
        <v/>
      </c>
      <c r="L999" t="str">
        <f t="shared" si="15"/>
        <v/>
      </c>
    </row>
    <row r="1000" spans="1:12" hidden="1" x14ac:dyDescent="0.3">
      <c r="A1000" t="str">
        <f>IF($K1000="","",980)</f>
        <v/>
      </c>
      <c r="B1000" t="str">
        <f>IF($K1000="","",INDEX(Конструктор!$C$2:$C$1212,$K1000))</f>
        <v/>
      </c>
      <c r="C1000" s="8" t="str">
        <f>IF($K1000="","",INDEX(Конструктор!$D$2:$D$1212,$K1000)&amp;IF(INDEX(Конструктор!$J$2:$J$1212,$K1000)&lt;&gt;""," — "&amp;INDEX(Конструктор!$J$2:$J$1212,$K1000),""))</f>
        <v/>
      </c>
      <c r="D1000" t="str">
        <f>IF($K1000="","",INDEX(Конструктор!$E$2:$E$1212,$K1000))</f>
        <v/>
      </c>
      <c r="E1000" s="10" t="str">
        <f>IF($K1000="","",INDEX(Конструктор!$H$2:$H$1212,$K1000))</f>
        <v/>
      </c>
      <c r="F1000" s="10" t="str">
        <f>IF($K1000="","",INDEX(Конструктор!$L$2:$L$1212,$K1000))</f>
        <v/>
      </c>
      <c r="G1000" s="10" t="str">
        <f>IF($K1000="","",INDEX(Конструктор!$M$2:$M$1212,$K1000))</f>
        <v/>
      </c>
      <c r="H1000" s="10" t="str">
        <f>IF($K1000="","",INDEX(Конструктор!$N$2:$N$1212,$K1000))</f>
        <v/>
      </c>
      <c r="I1000" s="10" t="str">
        <f>IF($K1000="","",INDEX(Конструктор!$O$2:$O$1212,$K1000))</f>
        <v/>
      </c>
      <c r="J1000" s="10" t="str">
        <f>IF($K1000="","",INDEX(Конструктор!$P$2:$P$1212,$K1000))</f>
        <v/>
      </c>
      <c r="K1000" t="str">
        <f>IFERROR(MATCH(980,Конструктор!$T$2:$T$1212,0),"")</f>
        <v/>
      </c>
      <c r="L1000" t="str">
        <f t="shared" si="15"/>
        <v/>
      </c>
    </row>
    <row r="1001" spans="1:12" hidden="1" x14ac:dyDescent="0.3">
      <c r="A1001" t="str">
        <f>IF($K1001="","",981)</f>
        <v/>
      </c>
      <c r="B1001" t="str">
        <f>IF($K1001="","",INDEX(Конструктор!$C$2:$C$1212,$K1001))</f>
        <v/>
      </c>
      <c r="C1001" s="8" t="str">
        <f>IF($K1001="","",INDEX(Конструктор!$D$2:$D$1212,$K1001)&amp;IF(INDEX(Конструктор!$J$2:$J$1212,$K1001)&lt;&gt;""," — "&amp;INDEX(Конструктор!$J$2:$J$1212,$K1001),""))</f>
        <v/>
      </c>
      <c r="D1001" t="str">
        <f>IF($K1001="","",INDEX(Конструктор!$E$2:$E$1212,$K1001))</f>
        <v/>
      </c>
      <c r="E1001" s="10" t="str">
        <f>IF($K1001="","",INDEX(Конструктор!$H$2:$H$1212,$K1001))</f>
        <v/>
      </c>
      <c r="F1001" s="10" t="str">
        <f>IF($K1001="","",INDEX(Конструктор!$L$2:$L$1212,$K1001))</f>
        <v/>
      </c>
      <c r="G1001" s="10" t="str">
        <f>IF($K1001="","",INDEX(Конструктор!$M$2:$M$1212,$K1001))</f>
        <v/>
      </c>
      <c r="H1001" s="10" t="str">
        <f>IF($K1001="","",INDEX(Конструктор!$N$2:$N$1212,$K1001))</f>
        <v/>
      </c>
      <c r="I1001" s="10" t="str">
        <f>IF($K1001="","",INDEX(Конструктор!$O$2:$O$1212,$K1001))</f>
        <v/>
      </c>
      <c r="J1001" s="10" t="str">
        <f>IF($K1001="","",INDEX(Конструктор!$P$2:$P$1212,$K1001))</f>
        <v/>
      </c>
      <c r="K1001" t="str">
        <f>IFERROR(MATCH(981,Конструктор!$T$2:$T$1212,0),"")</f>
        <v/>
      </c>
      <c r="L1001" t="str">
        <f t="shared" si="15"/>
        <v/>
      </c>
    </row>
    <row r="1002" spans="1:12" hidden="1" x14ac:dyDescent="0.3">
      <c r="A1002" t="str">
        <f>IF($K1002="","",982)</f>
        <v/>
      </c>
      <c r="B1002" t="str">
        <f>IF($K1002="","",INDEX(Конструктор!$C$2:$C$1212,$K1002))</f>
        <v/>
      </c>
      <c r="C1002" s="8" t="str">
        <f>IF($K1002="","",INDEX(Конструктор!$D$2:$D$1212,$K1002)&amp;IF(INDEX(Конструктор!$J$2:$J$1212,$K1002)&lt;&gt;""," — "&amp;INDEX(Конструктор!$J$2:$J$1212,$K1002),""))</f>
        <v/>
      </c>
      <c r="D1002" t="str">
        <f>IF($K1002="","",INDEX(Конструктор!$E$2:$E$1212,$K1002))</f>
        <v/>
      </c>
      <c r="E1002" s="10" t="str">
        <f>IF($K1002="","",INDEX(Конструктор!$H$2:$H$1212,$K1002))</f>
        <v/>
      </c>
      <c r="F1002" s="10" t="str">
        <f>IF($K1002="","",INDEX(Конструктор!$L$2:$L$1212,$K1002))</f>
        <v/>
      </c>
      <c r="G1002" s="10" t="str">
        <f>IF($K1002="","",INDEX(Конструктор!$M$2:$M$1212,$K1002))</f>
        <v/>
      </c>
      <c r="H1002" s="10" t="str">
        <f>IF($K1002="","",INDEX(Конструктор!$N$2:$N$1212,$K1002))</f>
        <v/>
      </c>
      <c r="I1002" s="10" t="str">
        <f>IF($K1002="","",INDEX(Конструктор!$O$2:$O$1212,$K1002))</f>
        <v/>
      </c>
      <c r="J1002" s="10" t="str">
        <f>IF($K1002="","",INDEX(Конструктор!$P$2:$P$1212,$K1002))</f>
        <v/>
      </c>
      <c r="K1002" t="str">
        <f>IFERROR(MATCH(982,Конструктор!$T$2:$T$1212,0),"")</f>
        <v/>
      </c>
      <c r="L1002" t="str">
        <f t="shared" si="15"/>
        <v/>
      </c>
    </row>
    <row r="1003" spans="1:12" hidden="1" x14ac:dyDescent="0.3">
      <c r="A1003" t="str">
        <f>IF($K1003="","",983)</f>
        <v/>
      </c>
      <c r="B1003" t="str">
        <f>IF($K1003="","",INDEX(Конструктор!$C$2:$C$1212,$K1003))</f>
        <v/>
      </c>
      <c r="C1003" s="8" t="str">
        <f>IF($K1003="","",INDEX(Конструктор!$D$2:$D$1212,$K1003)&amp;IF(INDEX(Конструктор!$J$2:$J$1212,$K1003)&lt;&gt;""," — "&amp;INDEX(Конструктор!$J$2:$J$1212,$K1003),""))</f>
        <v/>
      </c>
      <c r="D1003" t="str">
        <f>IF($K1003="","",INDEX(Конструктор!$E$2:$E$1212,$K1003))</f>
        <v/>
      </c>
      <c r="E1003" s="10" t="str">
        <f>IF($K1003="","",INDEX(Конструктор!$H$2:$H$1212,$K1003))</f>
        <v/>
      </c>
      <c r="F1003" s="10" t="str">
        <f>IF($K1003="","",INDEX(Конструктор!$L$2:$L$1212,$K1003))</f>
        <v/>
      </c>
      <c r="G1003" s="10" t="str">
        <f>IF($K1003="","",INDEX(Конструктор!$M$2:$M$1212,$K1003))</f>
        <v/>
      </c>
      <c r="H1003" s="10" t="str">
        <f>IF($K1003="","",INDEX(Конструктор!$N$2:$N$1212,$K1003))</f>
        <v/>
      </c>
      <c r="I1003" s="10" t="str">
        <f>IF($K1003="","",INDEX(Конструктор!$O$2:$O$1212,$K1003))</f>
        <v/>
      </c>
      <c r="J1003" s="10" t="str">
        <f>IF($K1003="","",INDEX(Конструктор!$P$2:$P$1212,$K1003))</f>
        <v/>
      </c>
      <c r="K1003" t="str">
        <f>IFERROR(MATCH(983,Конструктор!$T$2:$T$1212,0),"")</f>
        <v/>
      </c>
      <c r="L1003" t="str">
        <f t="shared" si="15"/>
        <v/>
      </c>
    </row>
    <row r="1004" spans="1:12" hidden="1" x14ac:dyDescent="0.3">
      <c r="A1004" t="str">
        <f>IF($K1004="","",984)</f>
        <v/>
      </c>
      <c r="B1004" t="str">
        <f>IF($K1004="","",INDEX(Конструктор!$C$2:$C$1212,$K1004))</f>
        <v/>
      </c>
      <c r="C1004" s="8" t="str">
        <f>IF($K1004="","",INDEX(Конструктор!$D$2:$D$1212,$K1004)&amp;IF(INDEX(Конструктор!$J$2:$J$1212,$K1004)&lt;&gt;""," — "&amp;INDEX(Конструктор!$J$2:$J$1212,$K1004),""))</f>
        <v/>
      </c>
      <c r="D1004" t="str">
        <f>IF($K1004="","",INDEX(Конструктор!$E$2:$E$1212,$K1004))</f>
        <v/>
      </c>
      <c r="E1004" s="10" t="str">
        <f>IF($K1004="","",INDEX(Конструктор!$H$2:$H$1212,$K1004))</f>
        <v/>
      </c>
      <c r="F1004" s="10" t="str">
        <f>IF($K1004="","",INDEX(Конструктор!$L$2:$L$1212,$K1004))</f>
        <v/>
      </c>
      <c r="G1004" s="10" t="str">
        <f>IF($K1004="","",INDEX(Конструктор!$M$2:$M$1212,$K1004))</f>
        <v/>
      </c>
      <c r="H1004" s="10" t="str">
        <f>IF($K1004="","",INDEX(Конструктор!$N$2:$N$1212,$K1004))</f>
        <v/>
      </c>
      <c r="I1004" s="10" t="str">
        <f>IF($K1004="","",INDEX(Конструктор!$O$2:$O$1212,$K1004))</f>
        <v/>
      </c>
      <c r="J1004" s="10" t="str">
        <f>IF($K1004="","",INDEX(Конструктор!$P$2:$P$1212,$K1004))</f>
        <v/>
      </c>
      <c r="K1004" t="str">
        <f>IFERROR(MATCH(984,Конструктор!$T$2:$T$1212,0),"")</f>
        <v/>
      </c>
      <c r="L1004" t="str">
        <f t="shared" si="15"/>
        <v/>
      </c>
    </row>
    <row r="1005" spans="1:12" hidden="1" x14ac:dyDescent="0.3">
      <c r="A1005" t="str">
        <f>IF($K1005="","",985)</f>
        <v/>
      </c>
      <c r="B1005" t="str">
        <f>IF($K1005="","",INDEX(Конструктор!$C$2:$C$1212,$K1005))</f>
        <v/>
      </c>
      <c r="C1005" s="8" t="str">
        <f>IF($K1005="","",INDEX(Конструктор!$D$2:$D$1212,$K1005)&amp;IF(INDEX(Конструктор!$J$2:$J$1212,$K1005)&lt;&gt;""," — "&amp;INDEX(Конструктор!$J$2:$J$1212,$K1005),""))</f>
        <v/>
      </c>
      <c r="D1005" t="str">
        <f>IF($K1005="","",INDEX(Конструктор!$E$2:$E$1212,$K1005))</f>
        <v/>
      </c>
      <c r="E1005" s="10" t="str">
        <f>IF($K1005="","",INDEX(Конструктор!$H$2:$H$1212,$K1005))</f>
        <v/>
      </c>
      <c r="F1005" s="10" t="str">
        <f>IF($K1005="","",INDEX(Конструктор!$L$2:$L$1212,$K1005))</f>
        <v/>
      </c>
      <c r="G1005" s="10" t="str">
        <f>IF($K1005="","",INDEX(Конструктор!$M$2:$M$1212,$K1005))</f>
        <v/>
      </c>
      <c r="H1005" s="10" t="str">
        <f>IF($K1005="","",INDEX(Конструктор!$N$2:$N$1212,$K1005))</f>
        <v/>
      </c>
      <c r="I1005" s="10" t="str">
        <f>IF($K1005="","",INDEX(Конструктор!$O$2:$O$1212,$K1005))</f>
        <v/>
      </c>
      <c r="J1005" s="10" t="str">
        <f>IF($K1005="","",INDEX(Конструктор!$P$2:$P$1212,$K1005))</f>
        <v/>
      </c>
      <c r="K1005" t="str">
        <f>IFERROR(MATCH(985,Конструктор!$T$2:$T$1212,0),"")</f>
        <v/>
      </c>
      <c r="L1005" t="str">
        <f t="shared" si="15"/>
        <v/>
      </c>
    </row>
    <row r="1006" spans="1:12" hidden="1" x14ac:dyDescent="0.3">
      <c r="A1006" t="str">
        <f>IF($K1006="","",986)</f>
        <v/>
      </c>
      <c r="B1006" t="str">
        <f>IF($K1006="","",INDEX(Конструктор!$C$2:$C$1212,$K1006))</f>
        <v/>
      </c>
      <c r="C1006" s="8" t="str">
        <f>IF($K1006="","",INDEX(Конструктор!$D$2:$D$1212,$K1006)&amp;IF(INDEX(Конструктор!$J$2:$J$1212,$K1006)&lt;&gt;""," — "&amp;INDEX(Конструктор!$J$2:$J$1212,$K1006),""))</f>
        <v/>
      </c>
      <c r="D1006" t="str">
        <f>IF($K1006="","",INDEX(Конструктор!$E$2:$E$1212,$K1006))</f>
        <v/>
      </c>
      <c r="E1006" s="10" t="str">
        <f>IF($K1006="","",INDEX(Конструктор!$H$2:$H$1212,$K1006))</f>
        <v/>
      </c>
      <c r="F1006" s="10" t="str">
        <f>IF($K1006="","",INDEX(Конструктор!$L$2:$L$1212,$K1006))</f>
        <v/>
      </c>
      <c r="G1006" s="10" t="str">
        <f>IF($K1006="","",INDEX(Конструктор!$M$2:$M$1212,$K1006))</f>
        <v/>
      </c>
      <c r="H1006" s="10" t="str">
        <f>IF($K1006="","",INDEX(Конструктор!$N$2:$N$1212,$K1006))</f>
        <v/>
      </c>
      <c r="I1006" s="10" t="str">
        <f>IF($K1006="","",INDEX(Конструктор!$O$2:$O$1212,$K1006))</f>
        <v/>
      </c>
      <c r="J1006" s="10" t="str">
        <f>IF($K1006="","",INDEX(Конструктор!$P$2:$P$1212,$K1006))</f>
        <v/>
      </c>
      <c r="K1006" t="str">
        <f>IFERROR(MATCH(986,Конструктор!$T$2:$T$1212,0),"")</f>
        <v/>
      </c>
      <c r="L1006" t="str">
        <f t="shared" si="15"/>
        <v/>
      </c>
    </row>
    <row r="1007" spans="1:12" hidden="1" x14ac:dyDescent="0.3">
      <c r="A1007" t="str">
        <f>IF($K1007="","",987)</f>
        <v/>
      </c>
      <c r="B1007" t="str">
        <f>IF($K1007="","",INDEX(Конструктор!$C$2:$C$1212,$K1007))</f>
        <v/>
      </c>
      <c r="C1007" s="8" t="str">
        <f>IF($K1007="","",INDEX(Конструктор!$D$2:$D$1212,$K1007)&amp;IF(INDEX(Конструктор!$J$2:$J$1212,$K1007)&lt;&gt;""," — "&amp;INDEX(Конструктор!$J$2:$J$1212,$K1007),""))</f>
        <v/>
      </c>
      <c r="D1007" t="str">
        <f>IF($K1007="","",INDEX(Конструктор!$E$2:$E$1212,$K1007))</f>
        <v/>
      </c>
      <c r="E1007" s="10" t="str">
        <f>IF($K1007="","",INDEX(Конструктор!$H$2:$H$1212,$K1007))</f>
        <v/>
      </c>
      <c r="F1007" s="10" t="str">
        <f>IF($K1007="","",INDEX(Конструктор!$L$2:$L$1212,$K1007))</f>
        <v/>
      </c>
      <c r="G1007" s="10" t="str">
        <f>IF($K1007="","",INDEX(Конструктор!$M$2:$M$1212,$K1007))</f>
        <v/>
      </c>
      <c r="H1007" s="10" t="str">
        <f>IF($K1007="","",INDEX(Конструктор!$N$2:$N$1212,$K1007))</f>
        <v/>
      </c>
      <c r="I1007" s="10" t="str">
        <f>IF($K1007="","",INDEX(Конструктор!$O$2:$O$1212,$K1007))</f>
        <v/>
      </c>
      <c r="J1007" s="10" t="str">
        <f>IF($K1007="","",INDEX(Конструктор!$P$2:$P$1212,$K1007))</f>
        <v/>
      </c>
      <c r="K1007" t="str">
        <f>IFERROR(MATCH(987,Конструктор!$T$2:$T$1212,0),"")</f>
        <v/>
      </c>
      <c r="L1007" t="str">
        <f t="shared" si="15"/>
        <v/>
      </c>
    </row>
    <row r="1008" spans="1:12" hidden="1" x14ac:dyDescent="0.3">
      <c r="A1008" t="str">
        <f>IF($K1008="","",988)</f>
        <v/>
      </c>
      <c r="B1008" t="str">
        <f>IF($K1008="","",INDEX(Конструктор!$C$2:$C$1212,$K1008))</f>
        <v/>
      </c>
      <c r="C1008" s="8" t="str">
        <f>IF($K1008="","",INDEX(Конструктор!$D$2:$D$1212,$K1008)&amp;IF(INDEX(Конструктор!$J$2:$J$1212,$K1008)&lt;&gt;""," — "&amp;INDEX(Конструктор!$J$2:$J$1212,$K1008),""))</f>
        <v/>
      </c>
      <c r="D1008" t="str">
        <f>IF($K1008="","",INDEX(Конструктор!$E$2:$E$1212,$K1008))</f>
        <v/>
      </c>
      <c r="E1008" s="10" t="str">
        <f>IF($K1008="","",INDEX(Конструктор!$H$2:$H$1212,$K1008))</f>
        <v/>
      </c>
      <c r="F1008" s="10" t="str">
        <f>IF($K1008="","",INDEX(Конструктор!$L$2:$L$1212,$K1008))</f>
        <v/>
      </c>
      <c r="G1008" s="10" t="str">
        <f>IF($K1008="","",INDEX(Конструктор!$M$2:$M$1212,$K1008))</f>
        <v/>
      </c>
      <c r="H1008" s="10" t="str">
        <f>IF($K1008="","",INDEX(Конструктор!$N$2:$N$1212,$K1008))</f>
        <v/>
      </c>
      <c r="I1008" s="10" t="str">
        <f>IF($K1008="","",INDEX(Конструктор!$O$2:$O$1212,$K1008))</f>
        <v/>
      </c>
      <c r="J1008" s="10" t="str">
        <f>IF($K1008="","",INDEX(Конструктор!$P$2:$P$1212,$K1008))</f>
        <v/>
      </c>
      <c r="K1008" t="str">
        <f>IFERROR(MATCH(988,Конструктор!$T$2:$T$1212,0),"")</f>
        <v/>
      </c>
      <c r="L1008" t="str">
        <f t="shared" si="15"/>
        <v/>
      </c>
    </row>
    <row r="1009" spans="1:12" hidden="1" x14ac:dyDescent="0.3">
      <c r="A1009" t="str">
        <f>IF($K1009="","",989)</f>
        <v/>
      </c>
      <c r="B1009" t="str">
        <f>IF($K1009="","",INDEX(Конструктор!$C$2:$C$1212,$K1009))</f>
        <v/>
      </c>
      <c r="C1009" s="8" t="str">
        <f>IF($K1009="","",INDEX(Конструктор!$D$2:$D$1212,$K1009)&amp;IF(INDEX(Конструктор!$J$2:$J$1212,$K1009)&lt;&gt;""," — "&amp;INDEX(Конструктор!$J$2:$J$1212,$K1009),""))</f>
        <v/>
      </c>
      <c r="D1009" t="str">
        <f>IF($K1009="","",INDEX(Конструктор!$E$2:$E$1212,$K1009))</f>
        <v/>
      </c>
      <c r="E1009" s="10" t="str">
        <f>IF($K1009="","",INDEX(Конструктор!$H$2:$H$1212,$K1009))</f>
        <v/>
      </c>
      <c r="F1009" s="10" t="str">
        <f>IF($K1009="","",INDEX(Конструктор!$L$2:$L$1212,$K1009))</f>
        <v/>
      </c>
      <c r="G1009" s="10" t="str">
        <f>IF($K1009="","",INDEX(Конструктор!$M$2:$M$1212,$K1009))</f>
        <v/>
      </c>
      <c r="H1009" s="10" t="str">
        <f>IF($K1009="","",INDEX(Конструктор!$N$2:$N$1212,$K1009))</f>
        <v/>
      </c>
      <c r="I1009" s="10" t="str">
        <f>IF($K1009="","",INDEX(Конструктор!$O$2:$O$1212,$K1009))</f>
        <v/>
      </c>
      <c r="J1009" s="10" t="str">
        <f>IF($K1009="","",INDEX(Конструктор!$P$2:$P$1212,$K1009))</f>
        <v/>
      </c>
      <c r="K1009" t="str">
        <f>IFERROR(MATCH(989,Конструктор!$T$2:$T$1212,0),"")</f>
        <v/>
      </c>
      <c r="L1009" t="str">
        <f t="shared" si="15"/>
        <v/>
      </c>
    </row>
    <row r="1010" spans="1:12" hidden="1" x14ac:dyDescent="0.3">
      <c r="A1010" t="str">
        <f>IF($K1010="","",990)</f>
        <v/>
      </c>
      <c r="B1010" t="str">
        <f>IF($K1010="","",INDEX(Конструктор!$C$2:$C$1212,$K1010))</f>
        <v/>
      </c>
      <c r="C1010" s="8" t="str">
        <f>IF($K1010="","",INDEX(Конструктор!$D$2:$D$1212,$K1010)&amp;IF(INDEX(Конструктор!$J$2:$J$1212,$K1010)&lt;&gt;""," — "&amp;INDEX(Конструктор!$J$2:$J$1212,$K1010),""))</f>
        <v/>
      </c>
      <c r="D1010" t="str">
        <f>IF($K1010="","",INDEX(Конструктор!$E$2:$E$1212,$K1010))</f>
        <v/>
      </c>
      <c r="E1010" s="10" t="str">
        <f>IF($K1010="","",INDEX(Конструктор!$H$2:$H$1212,$K1010))</f>
        <v/>
      </c>
      <c r="F1010" s="10" t="str">
        <f>IF($K1010="","",INDEX(Конструктор!$L$2:$L$1212,$K1010))</f>
        <v/>
      </c>
      <c r="G1010" s="10" t="str">
        <f>IF($K1010="","",INDEX(Конструктор!$M$2:$M$1212,$K1010))</f>
        <v/>
      </c>
      <c r="H1010" s="10" t="str">
        <f>IF($K1010="","",INDEX(Конструктор!$N$2:$N$1212,$K1010))</f>
        <v/>
      </c>
      <c r="I1010" s="10" t="str">
        <f>IF($K1010="","",INDEX(Конструктор!$O$2:$O$1212,$K1010))</f>
        <v/>
      </c>
      <c r="J1010" s="10" t="str">
        <f>IF($K1010="","",INDEX(Конструктор!$P$2:$P$1212,$K1010))</f>
        <v/>
      </c>
      <c r="K1010" t="str">
        <f>IFERROR(MATCH(990,Конструктор!$T$2:$T$1212,0),"")</f>
        <v/>
      </c>
      <c r="L1010" t="str">
        <f t="shared" si="15"/>
        <v/>
      </c>
    </row>
    <row r="1011" spans="1:12" hidden="1" x14ac:dyDescent="0.3">
      <c r="A1011" t="str">
        <f>IF($K1011="","",991)</f>
        <v/>
      </c>
      <c r="B1011" t="str">
        <f>IF($K1011="","",INDEX(Конструктор!$C$2:$C$1212,$K1011))</f>
        <v/>
      </c>
      <c r="C1011" s="8" t="str">
        <f>IF($K1011="","",INDEX(Конструктор!$D$2:$D$1212,$K1011)&amp;IF(INDEX(Конструктор!$J$2:$J$1212,$K1011)&lt;&gt;""," — "&amp;INDEX(Конструктор!$J$2:$J$1212,$K1011),""))</f>
        <v/>
      </c>
      <c r="D1011" t="str">
        <f>IF($K1011="","",INDEX(Конструктор!$E$2:$E$1212,$K1011))</f>
        <v/>
      </c>
      <c r="E1011" s="10" t="str">
        <f>IF($K1011="","",INDEX(Конструктор!$H$2:$H$1212,$K1011))</f>
        <v/>
      </c>
      <c r="F1011" s="10" t="str">
        <f>IF($K1011="","",INDEX(Конструктор!$L$2:$L$1212,$K1011))</f>
        <v/>
      </c>
      <c r="G1011" s="10" t="str">
        <f>IF($K1011="","",INDEX(Конструктор!$M$2:$M$1212,$K1011))</f>
        <v/>
      </c>
      <c r="H1011" s="10" t="str">
        <f>IF($K1011="","",INDEX(Конструктор!$N$2:$N$1212,$K1011))</f>
        <v/>
      </c>
      <c r="I1011" s="10" t="str">
        <f>IF($K1011="","",INDEX(Конструктор!$O$2:$O$1212,$K1011))</f>
        <v/>
      </c>
      <c r="J1011" s="10" t="str">
        <f>IF($K1011="","",INDEX(Конструктор!$P$2:$P$1212,$K1011))</f>
        <v/>
      </c>
      <c r="K1011" t="str">
        <f>IFERROR(MATCH(991,Конструктор!$T$2:$T$1212,0),"")</f>
        <v/>
      </c>
      <c r="L1011" t="str">
        <f t="shared" si="15"/>
        <v/>
      </c>
    </row>
    <row r="1012" spans="1:12" hidden="1" x14ac:dyDescent="0.3">
      <c r="A1012" t="str">
        <f>IF($K1012="","",992)</f>
        <v/>
      </c>
      <c r="B1012" t="str">
        <f>IF($K1012="","",INDEX(Конструктор!$C$2:$C$1212,$K1012))</f>
        <v/>
      </c>
      <c r="C1012" s="8" t="str">
        <f>IF($K1012="","",INDEX(Конструктор!$D$2:$D$1212,$K1012)&amp;IF(INDEX(Конструктор!$J$2:$J$1212,$K1012)&lt;&gt;""," — "&amp;INDEX(Конструктор!$J$2:$J$1212,$K1012),""))</f>
        <v/>
      </c>
      <c r="D1012" t="str">
        <f>IF($K1012="","",INDEX(Конструктор!$E$2:$E$1212,$K1012))</f>
        <v/>
      </c>
      <c r="E1012" s="10" t="str">
        <f>IF($K1012="","",INDEX(Конструктор!$H$2:$H$1212,$K1012))</f>
        <v/>
      </c>
      <c r="F1012" s="10" t="str">
        <f>IF($K1012="","",INDEX(Конструктор!$L$2:$L$1212,$K1012))</f>
        <v/>
      </c>
      <c r="G1012" s="10" t="str">
        <f>IF($K1012="","",INDEX(Конструктор!$M$2:$M$1212,$K1012))</f>
        <v/>
      </c>
      <c r="H1012" s="10" t="str">
        <f>IF($K1012="","",INDEX(Конструктор!$N$2:$N$1212,$K1012))</f>
        <v/>
      </c>
      <c r="I1012" s="10" t="str">
        <f>IF($K1012="","",INDEX(Конструктор!$O$2:$O$1212,$K1012))</f>
        <v/>
      </c>
      <c r="J1012" s="10" t="str">
        <f>IF($K1012="","",INDEX(Конструктор!$P$2:$P$1212,$K1012))</f>
        <v/>
      </c>
      <c r="K1012" t="str">
        <f>IFERROR(MATCH(992,Конструктор!$T$2:$T$1212,0),"")</f>
        <v/>
      </c>
      <c r="L1012" t="str">
        <f t="shared" si="15"/>
        <v/>
      </c>
    </row>
    <row r="1013" spans="1:12" hidden="1" x14ac:dyDescent="0.3">
      <c r="A1013" t="str">
        <f>IF($K1013="","",993)</f>
        <v/>
      </c>
      <c r="B1013" t="str">
        <f>IF($K1013="","",INDEX(Конструктор!$C$2:$C$1212,$K1013))</f>
        <v/>
      </c>
      <c r="C1013" s="8" t="str">
        <f>IF($K1013="","",INDEX(Конструктор!$D$2:$D$1212,$K1013)&amp;IF(INDEX(Конструктор!$J$2:$J$1212,$K1013)&lt;&gt;""," — "&amp;INDEX(Конструктор!$J$2:$J$1212,$K1013),""))</f>
        <v/>
      </c>
      <c r="D1013" t="str">
        <f>IF($K1013="","",INDEX(Конструктор!$E$2:$E$1212,$K1013))</f>
        <v/>
      </c>
      <c r="E1013" s="10" t="str">
        <f>IF($K1013="","",INDEX(Конструктор!$H$2:$H$1212,$K1013))</f>
        <v/>
      </c>
      <c r="F1013" s="10" t="str">
        <f>IF($K1013="","",INDEX(Конструктор!$L$2:$L$1212,$K1013))</f>
        <v/>
      </c>
      <c r="G1013" s="10" t="str">
        <f>IF($K1013="","",INDEX(Конструктор!$M$2:$M$1212,$K1013))</f>
        <v/>
      </c>
      <c r="H1013" s="10" t="str">
        <f>IF($K1013="","",INDEX(Конструктор!$N$2:$N$1212,$K1013))</f>
        <v/>
      </c>
      <c r="I1013" s="10" t="str">
        <f>IF($K1013="","",INDEX(Конструктор!$O$2:$O$1212,$K1013))</f>
        <v/>
      </c>
      <c r="J1013" s="10" t="str">
        <f>IF($K1013="","",INDEX(Конструктор!$P$2:$P$1212,$K1013))</f>
        <v/>
      </c>
      <c r="K1013" t="str">
        <f>IFERROR(MATCH(993,Конструктор!$T$2:$T$1212,0),"")</f>
        <v/>
      </c>
      <c r="L1013" t="str">
        <f t="shared" si="15"/>
        <v/>
      </c>
    </row>
    <row r="1014" spans="1:12" hidden="1" x14ac:dyDescent="0.3">
      <c r="A1014" t="str">
        <f>IF($K1014="","",994)</f>
        <v/>
      </c>
      <c r="B1014" t="str">
        <f>IF($K1014="","",INDEX(Конструктор!$C$2:$C$1212,$K1014))</f>
        <v/>
      </c>
      <c r="C1014" s="8" t="str">
        <f>IF($K1014="","",INDEX(Конструктор!$D$2:$D$1212,$K1014)&amp;IF(INDEX(Конструктор!$J$2:$J$1212,$K1014)&lt;&gt;""," — "&amp;INDEX(Конструктор!$J$2:$J$1212,$K1014),""))</f>
        <v/>
      </c>
      <c r="D1014" t="str">
        <f>IF($K1014="","",INDEX(Конструктор!$E$2:$E$1212,$K1014))</f>
        <v/>
      </c>
      <c r="E1014" s="10" t="str">
        <f>IF($K1014="","",INDEX(Конструктор!$H$2:$H$1212,$K1014))</f>
        <v/>
      </c>
      <c r="F1014" s="10" t="str">
        <f>IF($K1014="","",INDEX(Конструктор!$L$2:$L$1212,$K1014))</f>
        <v/>
      </c>
      <c r="G1014" s="10" t="str">
        <f>IF($K1014="","",INDEX(Конструктор!$M$2:$M$1212,$K1014))</f>
        <v/>
      </c>
      <c r="H1014" s="10" t="str">
        <f>IF($K1014="","",INDEX(Конструктор!$N$2:$N$1212,$K1014))</f>
        <v/>
      </c>
      <c r="I1014" s="10" t="str">
        <f>IF($K1014="","",INDEX(Конструктор!$O$2:$O$1212,$K1014))</f>
        <v/>
      </c>
      <c r="J1014" s="10" t="str">
        <f>IF($K1014="","",INDEX(Конструктор!$P$2:$P$1212,$K1014))</f>
        <v/>
      </c>
      <c r="K1014" t="str">
        <f>IFERROR(MATCH(994,Конструктор!$T$2:$T$1212,0),"")</f>
        <v/>
      </c>
      <c r="L1014" t="str">
        <f t="shared" si="15"/>
        <v/>
      </c>
    </row>
    <row r="1015" spans="1:12" hidden="1" x14ac:dyDescent="0.3">
      <c r="A1015" t="str">
        <f>IF($K1015="","",995)</f>
        <v/>
      </c>
      <c r="B1015" t="str">
        <f>IF($K1015="","",INDEX(Конструктор!$C$2:$C$1212,$K1015))</f>
        <v/>
      </c>
      <c r="C1015" s="8" t="str">
        <f>IF($K1015="","",INDEX(Конструктор!$D$2:$D$1212,$K1015)&amp;IF(INDEX(Конструктор!$J$2:$J$1212,$K1015)&lt;&gt;""," — "&amp;INDEX(Конструктор!$J$2:$J$1212,$K1015),""))</f>
        <v/>
      </c>
      <c r="D1015" t="str">
        <f>IF($K1015="","",INDEX(Конструктор!$E$2:$E$1212,$K1015))</f>
        <v/>
      </c>
      <c r="E1015" s="10" t="str">
        <f>IF($K1015="","",INDEX(Конструктор!$H$2:$H$1212,$K1015))</f>
        <v/>
      </c>
      <c r="F1015" s="10" t="str">
        <f>IF($K1015="","",INDEX(Конструктор!$L$2:$L$1212,$K1015))</f>
        <v/>
      </c>
      <c r="G1015" s="10" t="str">
        <f>IF($K1015="","",INDEX(Конструктор!$M$2:$M$1212,$K1015))</f>
        <v/>
      </c>
      <c r="H1015" s="10" t="str">
        <f>IF($K1015="","",INDEX(Конструктор!$N$2:$N$1212,$K1015))</f>
        <v/>
      </c>
      <c r="I1015" s="10" t="str">
        <f>IF($K1015="","",INDEX(Конструктор!$O$2:$O$1212,$K1015))</f>
        <v/>
      </c>
      <c r="J1015" s="10" t="str">
        <f>IF($K1015="","",INDEX(Конструктор!$P$2:$P$1212,$K1015))</f>
        <v/>
      </c>
      <c r="K1015" t="str">
        <f>IFERROR(MATCH(995,Конструктор!$T$2:$T$1212,0),"")</f>
        <v/>
      </c>
      <c r="L1015" t="str">
        <f t="shared" si="15"/>
        <v/>
      </c>
    </row>
    <row r="1016" spans="1:12" hidden="1" x14ac:dyDescent="0.3">
      <c r="A1016" t="str">
        <f>IF($K1016="","",996)</f>
        <v/>
      </c>
      <c r="B1016" t="str">
        <f>IF($K1016="","",INDEX(Конструктор!$C$2:$C$1212,$K1016))</f>
        <v/>
      </c>
      <c r="C1016" s="8" t="str">
        <f>IF($K1016="","",INDEX(Конструктор!$D$2:$D$1212,$K1016)&amp;IF(INDEX(Конструктор!$J$2:$J$1212,$K1016)&lt;&gt;""," — "&amp;INDEX(Конструктор!$J$2:$J$1212,$K1016),""))</f>
        <v/>
      </c>
      <c r="D1016" t="str">
        <f>IF($K1016="","",INDEX(Конструктор!$E$2:$E$1212,$K1016))</f>
        <v/>
      </c>
      <c r="E1016" s="10" t="str">
        <f>IF($K1016="","",INDEX(Конструктор!$H$2:$H$1212,$K1016))</f>
        <v/>
      </c>
      <c r="F1016" s="10" t="str">
        <f>IF($K1016="","",INDEX(Конструктор!$L$2:$L$1212,$K1016))</f>
        <v/>
      </c>
      <c r="G1016" s="10" t="str">
        <f>IF($K1016="","",INDEX(Конструктор!$M$2:$M$1212,$K1016))</f>
        <v/>
      </c>
      <c r="H1016" s="10" t="str">
        <f>IF($K1016="","",INDEX(Конструктор!$N$2:$N$1212,$K1016))</f>
        <v/>
      </c>
      <c r="I1016" s="10" t="str">
        <f>IF($K1016="","",INDEX(Конструктор!$O$2:$O$1212,$K1016))</f>
        <v/>
      </c>
      <c r="J1016" s="10" t="str">
        <f>IF($K1016="","",INDEX(Конструктор!$P$2:$P$1212,$K1016))</f>
        <v/>
      </c>
      <c r="K1016" t="str">
        <f>IFERROR(MATCH(996,Конструктор!$T$2:$T$1212,0),"")</f>
        <v/>
      </c>
      <c r="L1016" t="str">
        <f t="shared" si="15"/>
        <v/>
      </c>
    </row>
    <row r="1017" spans="1:12" hidden="1" x14ac:dyDescent="0.3">
      <c r="A1017" t="str">
        <f>IF($K1017="","",997)</f>
        <v/>
      </c>
      <c r="B1017" t="str">
        <f>IF($K1017="","",INDEX(Конструктор!$C$2:$C$1212,$K1017))</f>
        <v/>
      </c>
      <c r="C1017" s="8" t="str">
        <f>IF($K1017="","",INDEX(Конструктор!$D$2:$D$1212,$K1017)&amp;IF(INDEX(Конструктор!$J$2:$J$1212,$K1017)&lt;&gt;""," — "&amp;INDEX(Конструктор!$J$2:$J$1212,$K1017),""))</f>
        <v/>
      </c>
      <c r="D1017" t="str">
        <f>IF($K1017="","",INDEX(Конструктор!$E$2:$E$1212,$K1017))</f>
        <v/>
      </c>
      <c r="E1017" s="10" t="str">
        <f>IF($K1017="","",INDEX(Конструктор!$H$2:$H$1212,$K1017))</f>
        <v/>
      </c>
      <c r="F1017" s="10" t="str">
        <f>IF($K1017="","",INDEX(Конструктор!$L$2:$L$1212,$K1017))</f>
        <v/>
      </c>
      <c r="G1017" s="10" t="str">
        <f>IF($K1017="","",INDEX(Конструктор!$M$2:$M$1212,$K1017))</f>
        <v/>
      </c>
      <c r="H1017" s="10" t="str">
        <f>IF($K1017="","",INDEX(Конструктор!$N$2:$N$1212,$K1017))</f>
        <v/>
      </c>
      <c r="I1017" s="10" t="str">
        <f>IF($K1017="","",INDEX(Конструктор!$O$2:$O$1212,$K1017))</f>
        <v/>
      </c>
      <c r="J1017" s="10" t="str">
        <f>IF($K1017="","",INDEX(Конструктор!$P$2:$P$1212,$K1017))</f>
        <v/>
      </c>
      <c r="K1017" t="str">
        <f>IFERROR(MATCH(997,Конструктор!$T$2:$T$1212,0),"")</f>
        <v/>
      </c>
      <c r="L1017" t="str">
        <f t="shared" si="15"/>
        <v/>
      </c>
    </row>
    <row r="1018" spans="1:12" hidden="1" x14ac:dyDescent="0.3">
      <c r="A1018" t="str">
        <f>IF($K1018="","",998)</f>
        <v/>
      </c>
      <c r="B1018" t="str">
        <f>IF($K1018="","",INDEX(Конструктор!$C$2:$C$1212,$K1018))</f>
        <v/>
      </c>
      <c r="C1018" s="8" t="str">
        <f>IF($K1018="","",INDEX(Конструктор!$D$2:$D$1212,$K1018)&amp;IF(INDEX(Конструктор!$J$2:$J$1212,$K1018)&lt;&gt;""," — "&amp;INDEX(Конструктор!$J$2:$J$1212,$K1018),""))</f>
        <v/>
      </c>
      <c r="D1018" t="str">
        <f>IF($K1018="","",INDEX(Конструктор!$E$2:$E$1212,$K1018))</f>
        <v/>
      </c>
      <c r="E1018" s="10" t="str">
        <f>IF($K1018="","",INDEX(Конструктор!$H$2:$H$1212,$K1018))</f>
        <v/>
      </c>
      <c r="F1018" s="10" t="str">
        <f>IF($K1018="","",INDEX(Конструктор!$L$2:$L$1212,$K1018))</f>
        <v/>
      </c>
      <c r="G1018" s="10" t="str">
        <f>IF($K1018="","",INDEX(Конструктор!$M$2:$M$1212,$K1018))</f>
        <v/>
      </c>
      <c r="H1018" s="10" t="str">
        <f>IF($K1018="","",INDEX(Конструктор!$N$2:$N$1212,$K1018))</f>
        <v/>
      </c>
      <c r="I1018" s="10" t="str">
        <f>IF($K1018="","",INDEX(Конструктор!$O$2:$O$1212,$K1018))</f>
        <v/>
      </c>
      <c r="J1018" s="10" t="str">
        <f>IF($K1018="","",INDEX(Конструктор!$P$2:$P$1212,$K1018))</f>
        <v/>
      </c>
      <c r="K1018" t="str">
        <f>IFERROR(MATCH(998,Конструктор!$T$2:$T$1212,0),"")</f>
        <v/>
      </c>
      <c r="L1018" t="str">
        <f t="shared" si="15"/>
        <v/>
      </c>
    </row>
    <row r="1019" spans="1:12" hidden="1" x14ac:dyDescent="0.3">
      <c r="A1019" t="str">
        <f>IF($K1019="","",999)</f>
        <v/>
      </c>
      <c r="B1019" t="str">
        <f>IF($K1019="","",INDEX(Конструктор!$C$2:$C$1212,$K1019))</f>
        <v/>
      </c>
      <c r="C1019" s="8" t="str">
        <f>IF($K1019="","",INDEX(Конструктор!$D$2:$D$1212,$K1019)&amp;IF(INDEX(Конструктор!$J$2:$J$1212,$K1019)&lt;&gt;""," — "&amp;INDEX(Конструктор!$J$2:$J$1212,$K1019),""))</f>
        <v/>
      </c>
      <c r="D1019" t="str">
        <f>IF($K1019="","",INDEX(Конструктор!$E$2:$E$1212,$K1019))</f>
        <v/>
      </c>
      <c r="E1019" s="10" t="str">
        <f>IF($K1019="","",INDEX(Конструктор!$H$2:$H$1212,$K1019))</f>
        <v/>
      </c>
      <c r="F1019" s="10" t="str">
        <f>IF($K1019="","",INDEX(Конструктор!$L$2:$L$1212,$K1019))</f>
        <v/>
      </c>
      <c r="G1019" s="10" t="str">
        <f>IF($K1019="","",INDEX(Конструктор!$M$2:$M$1212,$K1019))</f>
        <v/>
      </c>
      <c r="H1019" s="10" t="str">
        <f>IF($K1019="","",INDEX(Конструктор!$N$2:$N$1212,$K1019))</f>
        <v/>
      </c>
      <c r="I1019" s="10" t="str">
        <f>IF($K1019="","",INDEX(Конструктор!$O$2:$O$1212,$K1019))</f>
        <v/>
      </c>
      <c r="J1019" s="10" t="str">
        <f>IF($K1019="","",INDEX(Конструктор!$P$2:$P$1212,$K1019))</f>
        <v/>
      </c>
      <c r="K1019" t="str">
        <f>IFERROR(MATCH(999,Конструктор!$T$2:$T$1212,0),"")</f>
        <v/>
      </c>
      <c r="L1019" t="str">
        <f t="shared" si="15"/>
        <v/>
      </c>
    </row>
    <row r="1020" spans="1:12" hidden="1" x14ac:dyDescent="0.3">
      <c r="A1020" t="str">
        <f>IF($K1020="","",1000)</f>
        <v/>
      </c>
      <c r="B1020" t="str">
        <f>IF($K1020="","",INDEX(Конструктор!$C$2:$C$1212,$K1020))</f>
        <v/>
      </c>
      <c r="C1020" s="8" t="str">
        <f>IF($K1020="","",INDEX(Конструктор!$D$2:$D$1212,$K1020)&amp;IF(INDEX(Конструктор!$J$2:$J$1212,$K1020)&lt;&gt;""," — "&amp;INDEX(Конструктор!$J$2:$J$1212,$K1020),""))</f>
        <v/>
      </c>
      <c r="D1020" t="str">
        <f>IF($K1020="","",INDEX(Конструктор!$E$2:$E$1212,$K1020))</f>
        <v/>
      </c>
      <c r="E1020" s="10" t="str">
        <f>IF($K1020="","",INDEX(Конструктор!$H$2:$H$1212,$K1020))</f>
        <v/>
      </c>
      <c r="F1020" s="10" t="str">
        <f>IF($K1020="","",INDEX(Конструктор!$L$2:$L$1212,$K1020))</f>
        <v/>
      </c>
      <c r="G1020" s="10" t="str">
        <f>IF($K1020="","",INDEX(Конструктор!$M$2:$M$1212,$K1020))</f>
        <v/>
      </c>
      <c r="H1020" s="10" t="str">
        <f>IF($K1020="","",INDEX(Конструктор!$N$2:$N$1212,$K1020))</f>
        <v/>
      </c>
      <c r="I1020" s="10" t="str">
        <f>IF($K1020="","",INDEX(Конструктор!$O$2:$O$1212,$K1020))</f>
        <v/>
      </c>
      <c r="J1020" s="10" t="str">
        <f>IF($K1020="","",INDEX(Конструктор!$P$2:$P$1212,$K1020))</f>
        <v/>
      </c>
      <c r="K1020" t="str">
        <f>IFERROR(MATCH(1000,Конструктор!$T$2:$T$1212,0),"")</f>
        <v/>
      </c>
      <c r="L1020" t="str">
        <f t="shared" si="15"/>
        <v/>
      </c>
    </row>
    <row r="1021" spans="1:12" x14ac:dyDescent="0.3">
      <c r="B1021" t="s">
        <v>122</v>
      </c>
      <c r="H1021" s="10">
        <f>'Свод+ТЭП'!$E$18</f>
        <v>0</v>
      </c>
      <c r="L1021" t="s">
        <v>123</v>
      </c>
    </row>
    <row r="1022" spans="1:12" x14ac:dyDescent="0.3">
      <c r="B1022" t="s">
        <v>124</v>
      </c>
      <c r="I1022" s="10">
        <f>'Свод+ТЭП'!$E$19</f>
        <v>0</v>
      </c>
      <c r="L1022" t="s">
        <v>123</v>
      </c>
    </row>
    <row r="1023" spans="1:12" x14ac:dyDescent="0.3">
      <c r="B1023" t="s">
        <v>125</v>
      </c>
      <c r="J1023" s="10">
        <f>'Свод+ТЭП'!$E$20</f>
        <v>0</v>
      </c>
      <c r="L1023" t="s">
        <v>123</v>
      </c>
    </row>
    <row r="1024" spans="1:12" x14ac:dyDescent="0.3">
      <c r="B1024" t="s">
        <v>126</v>
      </c>
      <c r="J1024" s="10">
        <f>'Свод+ТЭП'!$E$21</f>
        <v>0</v>
      </c>
      <c r="L1024" t="s">
        <v>123</v>
      </c>
    </row>
    <row r="1025" spans="1:12" x14ac:dyDescent="0.3">
      <c r="B1025" t="s">
        <v>127</v>
      </c>
      <c r="J1025" s="10">
        <f>'Свод+ТЭП'!$E$22</f>
        <v>0</v>
      </c>
      <c r="L1025" t="s">
        <v>123</v>
      </c>
    </row>
    <row r="1026" spans="1:12" x14ac:dyDescent="0.3">
      <c r="B1026" s="2" t="s">
        <v>128</v>
      </c>
      <c r="J1026" s="14">
        <f>'Свод+ТЭП'!$E$23</f>
        <v>0</v>
      </c>
      <c r="L1026" t="s">
        <v>123</v>
      </c>
    </row>
    <row r="1027" spans="1:12" x14ac:dyDescent="0.3">
      <c r="B1027" t="s">
        <v>129</v>
      </c>
      <c r="J1027" s="10">
        <f>'Свод+ТЭП'!$E$24</f>
        <v>0</v>
      </c>
      <c r="L1027" t="s">
        <v>123</v>
      </c>
    </row>
    <row r="1028" spans="1:12" x14ac:dyDescent="0.3">
      <c r="L1028" t="s">
        <v>123</v>
      </c>
    </row>
    <row r="1029" spans="1:12" x14ac:dyDescent="0.3">
      <c r="A1029" t="s">
        <v>130</v>
      </c>
      <c r="L1029" t="s">
        <v>123</v>
      </c>
    </row>
    <row r="1030" spans="1:12" x14ac:dyDescent="0.3">
      <c r="L1030" t="s">
        <v>123</v>
      </c>
    </row>
    <row r="1031" spans="1:12" x14ac:dyDescent="0.3">
      <c r="A1031" t="s">
        <v>131</v>
      </c>
      <c r="G1031" t="s">
        <v>132</v>
      </c>
      <c r="L1031" t="s">
        <v>123</v>
      </c>
    </row>
  </sheetData>
  <autoFilter ref="A20:L1031" xr:uid="{00000000-0009-0000-0000-000003000000}">
    <filterColumn colId="11">
      <filters>
        <filter val="показать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0" customWidth="1"/>
    <col min="2" max="2" width="46" customWidth="1"/>
    <col min="3" max="4" width="16" customWidth="1"/>
    <col min="5" max="5" width="18" customWidth="1"/>
    <col min="6" max="6" width="9" customWidth="1"/>
    <col min="7" max="7" width="14" customWidth="1"/>
  </cols>
  <sheetData>
    <row r="1" spans="1:7" ht="17.399999999999999" x14ac:dyDescent="0.35">
      <c r="A1" s="15" t="s">
        <v>133</v>
      </c>
    </row>
    <row r="3" spans="1:7" x14ac:dyDescent="0.3">
      <c r="A3" s="3" t="s">
        <v>72</v>
      </c>
      <c r="B3" s="3" t="s">
        <v>134</v>
      </c>
      <c r="C3" s="3" t="s">
        <v>135</v>
      </c>
      <c r="D3" s="3" t="s">
        <v>136</v>
      </c>
      <c r="E3" s="3" t="s">
        <v>87</v>
      </c>
      <c r="F3" s="3" t="s">
        <v>137</v>
      </c>
      <c r="G3" s="3" t="s">
        <v>138</v>
      </c>
    </row>
    <row r="4" spans="1:7" x14ac:dyDescent="0.3">
      <c r="A4" t="s">
        <v>139</v>
      </c>
      <c r="B4" t="s">
        <v>140</v>
      </c>
      <c r="C4" s="10">
        <f>SUMIFS(Конструктор!$N$2:$N$1212,Конструктор!$A$2:$A$1212,$A4)</f>
        <v>0</v>
      </c>
      <c r="D4" s="10">
        <f>SUMIFS(Конструктор!$O$2:$O$1212,Конструктор!$A$2:$A$1212,$A4)</f>
        <v>0</v>
      </c>
      <c r="E4" s="10">
        <f t="shared" ref="E4:E15" si="0">C4+D4</f>
        <v>0</v>
      </c>
      <c r="F4" s="16">
        <f t="shared" ref="F4:F15" si="1">IF($E$16=0,0,E4/$E$16)</f>
        <v>0</v>
      </c>
      <c r="G4" s="10">
        <f t="shared" ref="G4:G16" si="2">IF(S_общая=0,0,E4/S_общая)</f>
        <v>0</v>
      </c>
    </row>
    <row r="5" spans="1:7" x14ac:dyDescent="0.3">
      <c r="A5" t="s">
        <v>141</v>
      </c>
      <c r="B5" t="s">
        <v>142</v>
      </c>
      <c r="C5" s="10">
        <f>SUMIFS(Конструктор!$N$2:$N$1212,Конструктор!$A$2:$A$1212,$A5)</f>
        <v>0</v>
      </c>
      <c r="D5" s="10">
        <f>SUMIFS(Конструктор!$O$2:$O$1212,Конструктор!$A$2:$A$1212,$A5)</f>
        <v>0</v>
      </c>
      <c r="E5" s="10">
        <f t="shared" si="0"/>
        <v>0</v>
      </c>
      <c r="F5" s="16">
        <f t="shared" si="1"/>
        <v>0</v>
      </c>
      <c r="G5" s="10">
        <f t="shared" si="2"/>
        <v>0</v>
      </c>
    </row>
    <row r="6" spans="1:7" x14ac:dyDescent="0.3">
      <c r="A6" t="s">
        <v>143</v>
      </c>
      <c r="B6" t="s">
        <v>144</v>
      </c>
      <c r="C6" s="10">
        <f>SUMIFS(Конструктор!$N$2:$N$1212,Конструктор!$A$2:$A$1212,$A6)</f>
        <v>0</v>
      </c>
      <c r="D6" s="10">
        <f>SUMIFS(Конструктор!$O$2:$O$1212,Конструктор!$A$2:$A$1212,$A6)</f>
        <v>0</v>
      </c>
      <c r="E6" s="10">
        <f t="shared" si="0"/>
        <v>0</v>
      </c>
      <c r="F6" s="16">
        <f t="shared" si="1"/>
        <v>0</v>
      </c>
      <c r="G6" s="10">
        <f t="shared" si="2"/>
        <v>0</v>
      </c>
    </row>
    <row r="7" spans="1:7" x14ac:dyDescent="0.3">
      <c r="A7" t="s">
        <v>145</v>
      </c>
      <c r="B7" t="s">
        <v>146</v>
      </c>
      <c r="C7" s="10">
        <f>SUMIFS(Конструктор!$N$2:$N$1212,Конструктор!$A$2:$A$1212,$A7)</f>
        <v>0</v>
      </c>
      <c r="D7" s="10">
        <f>SUMIFS(Конструктор!$O$2:$O$1212,Конструктор!$A$2:$A$1212,$A7)</f>
        <v>0</v>
      </c>
      <c r="E7" s="10">
        <f t="shared" si="0"/>
        <v>0</v>
      </c>
      <c r="F7" s="16">
        <f t="shared" si="1"/>
        <v>0</v>
      </c>
      <c r="G7" s="10">
        <f t="shared" si="2"/>
        <v>0</v>
      </c>
    </row>
    <row r="8" spans="1:7" x14ac:dyDescent="0.3">
      <c r="A8" t="s">
        <v>147</v>
      </c>
      <c r="B8" t="s">
        <v>148</v>
      </c>
      <c r="C8" s="10">
        <f>SUMIFS(Конструктор!$N$2:$N$1212,Конструктор!$A$2:$A$1212,$A8)</f>
        <v>0</v>
      </c>
      <c r="D8" s="10">
        <f>SUMIFS(Конструктор!$O$2:$O$1212,Конструктор!$A$2:$A$1212,$A8)</f>
        <v>0</v>
      </c>
      <c r="E8" s="10">
        <f t="shared" si="0"/>
        <v>0</v>
      </c>
      <c r="F8" s="16">
        <f t="shared" si="1"/>
        <v>0</v>
      </c>
      <c r="G8" s="10">
        <f t="shared" si="2"/>
        <v>0</v>
      </c>
    </row>
    <row r="9" spans="1:7" x14ac:dyDescent="0.3">
      <c r="A9" t="s">
        <v>149</v>
      </c>
      <c r="B9" t="s">
        <v>150</v>
      </c>
      <c r="C9" s="10">
        <f>SUMIFS(Конструктор!$N$2:$N$1212,Конструктор!$A$2:$A$1212,$A9)</f>
        <v>0</v>
      </c>
      <c r="D9" s="10">
        <f>SUMIFS(Конструктор!$O$2:$O$1212,Конструктор!$A$2:$A$1212,$A9)</f>
        <v>0</v>
      </c>
      <c r="E9" s="10">
        <f t="shared" si="0"/>
        <v>0</v>
      </c>
      <c r="F9" s="16">
        <f t="shared" si="1"/>
        <v>0</v>
      </c>
      <c r="G9" s="10">
        <f t="shared" si="2"/>
        <v>0</v>
      </c>
    </row>
    <row r="10" spans="1:7" x14ac:dyDescent="0.3">
      <c r="A10" t="s">
        <v>151</v>
      </c>
      <c r="B10" t="s">
        <v>152</v>
      </c>
      <c r="C10" s="10">
        <f>SUMIFS(Конструктор!$N$2:$N$1212,Конструктор!$A$2:$A$1212,$A10)</f>
        <v>0</v>
      </c>
      <c r="D10" s="10">
        <f>SUMIFS(Конструктор!$O$2:$O$1212,Конструктор!$A$2:$A$1212,$A10)</f>
        <v>0</v>
      </c>
      <c r="E10" s="10">
        <f t="shared" si="0"/>
        <v>0</v>
      </c>
      <c r="F10" s="16">
        <f t="shared" si="1"/>
        <v>0</v>
      </c>
      <c r="G10" s="10">
        <f t="shared" si="2"/>
        <v>0</v>
      </c>
    </row>
    <row r="11" spans="1:7" x14ac:dyDescent="0.3">
      <c r="A11" t="s">
        <v>153</v>
      </c>
      <c r="B11" t="s">
        <v>154</v>
      </c>
      <c r="C11" s="10">
        <f>SUMIFS(Конструктор!$N$2:$N$1212,Конструктор!$A$2:$A$1212,$A11)</f>
        <v>0</v>
      </c>
      <c r="D11" s="10">
        <f>SUMIFS(Конструктор!$O$2:$O$1212,Конструктор!$A$2:$A$1212,$A11)</f>
        <v>0</v>
      </c>
      <c r="E11" s="10">
        <f t="shared" si="0"/>
        <v>0</v>
      </c>
      <c r="F11" s="16">
        <f t="shared" si="1"/>
        <v>0</v>
      </c>
      <c r="G11" s="10">
        <f t="shared" si="2"/>
        <v>0</v>
      </c>
    </row>
    <row r="12" spans="1:7" x14ac:dyDescent="0.3">
      <c r="A12" t="s">
        <v>155</v>
      </c>
      <c r="B12" t="s">
        <v>156</v>
      </c>
      <c r="C12" s="10">
        <f>SUMIFS(Конструктор!$N$2:$N$1212,Конструктор!$A$2:$A$1212,$A12)</f>
        <v>0</v>
      </c>
      <c r="D12" s="10">
        <f>SUMIFS(Конструктор!$O$2:$O$1212,Конструктор!$A$2:$A$1212,$A12)</f>
        <v>0</v>
      </c>
      <c r="E12" s="10">
        <f t="shared" si="0"/>
        <v>0</v>
      </c>
      <c r="F12" s="16">
        <f t="shared" si="1"/>
        <v>0</v>
      </c>
      <c r="G12" s="10">
        <f t="shared" si="2"/>
        <v>0</v>
      </c>
    </row>
    <row r="13" spans="1:7" x14ac:dyDescent="0.3">
      <c r="A13" t="s">
        <v>157</v>
      </c>
      <c r="B13" t="s">
        <v>158</v>
      </c>
      <c r="C13" s="10">
        <f>SUMIFS(Конструктор!$N$2:$N$1212,Конструктор!$A$2:$A$1212,$A13)</f>
        <v>0</v>
      </c>
      <c r="D13" s="10">
        <f>SUMIFS(Конструктор!$O$2:$O$1212,Конструктор!$A$2:$A$1212,$A13)</f>
        <v>0</v>
      </c>
      <c r="E13" s="10">
        <f t="shared" si="0"/>
        <v>0</v>
      </c>
      <c r="F13" s="16">
        <f t="shared" si="1"/>
        <v>0</v>
      </c>
      <c r="G13" s="10">
        <f t="shared" si="2"/>
        <v>0</v>
      </c>
    </row>
    <row r="14" spans="1:7" x14ac:dyDescent="0.3">
      <c r="A14" t="s">
        <v>159</v>
      </c>
      <c r="B14" t="s">
        <v>160</v>
      </c>
      <c r="C14" s="10">
        <f>SUMIFS(Конструктор!$N$2:$N$1212,Конструктор!$A$2:$A$1212,$A14)</f>
        <v>0</v>
      </c>
      <c r="D14" s="10">
        <f>SUMIFS(Конструктор!$O$2:$O$1212,Конструктор!$A$2:$A$1212,$A14)</f>
        <v>0</v>
      </c>
      <c r="E14" s="10">
        <f t="shared" si="0"/>
        <v>0</v>
      </c>
      <c r="F14" s="16">
        <f t="shared" si="1"/>
        <v>0</v>
      </c>
      <c r="G14" s="10">
        <f t="shared" si="2"/>
        <v>0</v>
      </c>
    </row>
    <row r="15" spans="1:7" x14ac:dyDescent="0.3">
      <c r="A15" t="s">
        <v>161</v>
      </c>
      <c r="B15" t="s">
        <v>162</v>
      </c>
      <c r="C15" s="10">
        <f>SUMIFS(Конструктор!$N$2:$N$1212,Конструктор!$A$2:$A$1212,$A15)</f>
        <v>0</v>
      </c>
      <c r="D15" s="10">
        <f>SUMIFS(Конструктор!$O$2:$O$1212,Конструктор!$A$2:$A$1212,$A15)</f>
        <v>0</v>
      </c>
      <c r="E15" s="10">
        <f t="shared" si="0"/>
        <v>0</v>
      </c>
      <c r="F15" s="16">
        <f t="shared" si="1"/>
        <v>0</v>
      </c>
      <c r="G15" s="10">
        <f t="shared" si="2"/>
        <v>0</v>
      </c>
    </row>
    <row r="16" spans="1:7" x14ac:dyDescent="0.3">
      <c r="B16" s="2" t="s">
        <v>163</v>
      </c>
      <c r="C16" s="14">
        <f>SUM(C4:C15)</f>
        <v>0</v>
      </c>
      <c r="D16" s="14">
        <f>SUM(D4:D15)</f>
        <v>0</v>
      </c>
      <c r="E16" s="14">
        <f>SUM(E4:E15)</f>
        <v>0</v>
      </c>
      <c r="F16" s="16"/>
      <c r="G16" s="14">
        <f t="shared" si="2"/>
        <v>0</v>
      </c>
    </row>
    <row r="18" spans="1:5" x14ac:dyDescent="0.3">
      <c r="B18" t="s">
        <v>164</v>
      </c>
      <c r="E18" s="10">
        <f>SUM(C4:C15)</f>
        <v>0</v>
      </c>
    </row>
    <row r="19" spans="1:5" x14ac:dyDescent="0.3">
      <c r="B19" t="s">
        <v>165</v>
      </c>
      <c r="E19" s="10">
        <f>SUM(D4:D15)</f>
        <v>0</v>
      </c>
    </row>
    <row r="20" spans="1:5" x14ac:dyDescent="0.3">
      <c r="B20" t="s">
        <v>166</v>
      </c>
      <c r="E20" s="10">
        <f>ROUND(E19*ПроцТранспорт/100,2)</f>
        <v>0</v>
      </c>
    </row>
    <row r="21" spans="1:5" x14ac:dyDescent="0.3">
      <c r="B21" t="s">
        <v>167</v>
      </c>
      <c r="E21" s="10">
        <f>ROUND((E18+E19)*ПроцТакелаж/100,2)</f>
        <v>0</v>
      </c>
    </row>
    <row r="22" spans="1:5" x14ac:dyDescent="0.3">
      <c r="B22" t="s">
        <v>168</v>
      </c>
      <c r="E22" s="10">
        <f>ROUND((E18+E19)*ПроцРезерв/100,2)</f>
        <v>0</v>
      </c>
    </row>
    <row r="23" spans="1:5" x14ac:dyDescent="0.3">
      <c r="B23" s="2" t="s">
        <v>169</v>
      </c>
      <c r="E23" s="14">
        <f>E18+E19+E20+E21+E22</f>
        <v>0</v>
      </c>
    </row>
    <row r="24" spans="1:5" x14ac:dyDescent="0.3">
      <c r="B24" t="s">
        <v>170</v>
      </c>
      <c r="E24" s="10">
        <f>IF(РежимЦены="с НДС в цене",ROUND(E23*СтавкаНДС/(100+СтавкаНДС),2),ROUND(E23*СтавкаНДС/100,2))</f>
        <v>0</v>
      </c>
    </row>
    <row r="25" spans="1:5" x14ac:dyDescent="0.3">
      <c r="B25" s="2" t="s">
        <v>171</v>
      </c>
      <c r="E25" s="14">
        <f>IF(РежимЦены="без НДС",E23+E24,E23)</f>
        <v>0</v>
      </c>
    </row>
    <row r="27" spans="1:5" ht="15.6" x14ac:dyDescent="0.3">
      <c r="A27" s="17" t="s">
        <v>172</v>
      </c>
    </row>
    <row r="28" spans="1:5" x14ac:dyDescent="0.3">
      <c r="B28" t="s">
        <v>173</v>
      </c>
      <c r="E28" s="10">
        <f>S_общая</f>
        <v>0</v>
      </c>
    </row>
    <row r="29" spans="1:5" x14ac:dyDescent="0.3">
      <c r="B29" t="s">
        <v>174</v>
      </c>
      <c r="E29" s="10">
        <f>IF(S_общая=0,0,E23/S_общая)</f>
        <v>0</v>
      </c>
    </row>
    <row r="30" spans="1:5" x14ac:dyDescent="0.3">
      <c r="B30" t="s">
        <v>175</v>
      </c>
      <c r="E30" s="10">
        <f>IF(S_общая=0,0,E18/S_общая)</f>
        <v>0</v>
      </c>
    </row>
    <row r="31" spans="1:5" x14ac:dyDescent="0.3">
      <c r="B31" t="s">
        <v>176</v>
      </c>
      <c r="E31" s="10">
        <f>IF(S_общая=0,0,E19/S_общая)</f>
        <v>0</v>
      </c>
    </row>
    <row r="32" spans="1:5" x14ac:dyDescent="0.3">
      <c r="B32" t="s">
        <v>177</v>
      </c>
      <c r="E32" s="16">
        <f>IF((E18+E19)=0,0,E18/(E18+E19))</f>
        <v>0</v>
      </c>
    </row>
    <row r="33" spans="2:5" x14ac:dyDescent="0.3">
      <c r="B33" t="s">
        <v>178</v>
      </c>
      <c r="E33" s="16">
        <f>IF((E18+E19)=0,0,E19/(E18+E19))</f>
        <v>0</v>
      </c>
    </row>
    <row r="34" spans="2:5" x14ac:dyDescent="0.3">
      <c r="B34" t="s">
        <v>179</v>
      </c>
      <c r="E34" s="18">
        <f>SUMPRODUCT((Конструктор!$P$2:$P$1212&gt;0)*(Конструктор!$R$2:$R$1212="да"))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4" x14ac:dyDescent="0.3"/>
  <cols>
    <col min="1" max="1" width="60" customWidth="1"/>
    <col min="2" max="3" width="18" customWidth="1"/>
  </cols>
  <sheetData>
    <row r="1" spans="1:3" ht="17.399999999999999" x14ac:dyDescent="0.35">
      <c r="A1" s="15" t="s">
        <v>180</v>
      </c>
    </row>
    <row r="3" spans="1:3" x14ac:dyDescent="0.3">
      <c r="A3" s="3" t="s">
        <v>181</v>
      </c>
      <c r="B3" s="3" t="s">
        <v>182</v>
      </c>
      <c r="C3" s="3" t="s">
        <v>183</v>
      </c>
    </row>
    <row r="4" spans="1:3" x14ac:dyDescent="0.3">
      <c r="A4" t="s">
        <v>184</v>
      </c>
      <c r="B4">
        <f>COUNTIF(Конструктор!$K$2:$K$1212,"!! не та группа")</f>
        <v>0</v>
      </c>
      <c r="C4">
        <f>0</f>
        <v>0</v>
      </c>
    </row>
    <row r="5" spans="1:3" x14ac:dyDescent="0.3">
      <c r="A5" t="s">
        <v>185</v>
      </c>
      <c r="B5">
        <f>SUMPRODUCT((Конструктор!$C$2:$C$1212="")*(Конструктор!$H$2:$H$1212&lt;&gt;"")*(Конструктор!$H$2:$H$1212&lt;&gt;0))</f>
        <v>0</v>
      </c>
      <c r="C5">
        <f>0</f>
        <v>0</v>
      </c>
    </row>
    <row r="6" spans="1:3" x14ac:dyDescent="0.3">
      <c r="A6" t="s">
        <v>186</v>
      </c>
      <c r="B6">
        <f>SUMPRODUCT((Конструктор!$F$2:$F$1212&lt;&gt;"")*(Конструктор!$I$2:$I$1212="")*(Конструктор!$H$2:$H$1212&gt;0))</f>
        <v>0</v>
      </c>
      <c r="C6" t="e">
        <f>0 / осознанно</f>
        <v>#NAME?</v>
      </c>
    </row>
    <row r="7" spans="1:3" x14ac:dyDescent="0.3">
      <c r="A7" t="s">
        <v>187</v>
      </c>
      <c r="B7">
        <f>SUMPRODUCT((Конструктор!$G$2:$G$1212="S_пол")*(Конструктор!$H$2:$H$1212&gt;S_пол)*(S_пол&gt;0))</f>
        <v>0</v>
      </c>
      <c r="C7">
        <f>0</f>
        <v>0</v>
      </c>
    </row>
    <row r="8" spans="1:3" x14ac:dyDescent="0.3">
      <c r="A8" t="s">
        <v>188</v>
      </c>
      <c r="B8">
        <f>ROUND('Свод+ТЭП'!$E$16-SUM(Конструктор!$P$2:$P$1212),2)</f>
        <v>0</v>
      </c>
      <c r="C8">
        <f>0</f>
        <v>0</v>
      </c>
    </row>
    <row r="9" spans="1:3" x14ac:dyDescent="0.3">
      <c r="A9" t="s">
        <v>189</v>
      </c>
      <c r="B9" t="str">
        <f>IF(COUNTA(Работы!$A$2:$A$6000)&lt;= 1211,"ок","увеличить буфер")</f>
        <v>ок</v>
      </c>
      <c r="C9" t="s">
        <v>190</v>
      </c>
    </row>
    <row r="10" spans="1:3" x14ac:dyDescent="0.3">
      <c r="A10" t="s">
        <v>191</v>
      </c>
      <c r="B10" t="str">
        <f>IF(SUMPRODUCT((Конструктор!$P$2:$P$1212&gt;0)*(Конструктор!$R$2:$R$1212="да"))&lt;= 1000,"ок","увеличить лист")</f>
        <v>ок</v>
      </c>
      <c r="C10" t="s">
        <v>190</v>
      </c>
    </row>
    <row r="11" spans="1:3" x14ac:dyDescent="0.3">
      <c r="A11" t="s">
        <v>192</v>
      </c>
      <c r="B11" t="str">
        <f ca="1">IF(TODAY()-ДатаЦен&gt;180,"УСТАРЕЛО","ок")</f>
        <v>ок</v>
      </c>
      <c r="C11" t="s">
        <v>190</v>
      </c>
    </row>
    <row r="12" spans="1:3" x14ac:dyDescent="0.3">
      <c r="A12" t="s">
        <v>193</v>
      </c>
      <c r="B12" t="str">
        <f>IF(OR(СтавкаНДС=5,СтавкаНДС=7,СтавкаНДС=20),"ок","проверить")</f>
        <v>ок</v>
      </c>
      <c r="C12" t="s">
        <v>190</v>
      </c>
    </row>
    <row r="13" spans="1:3" x14ac:dyDescent="0.3">
      <c r="A13" t="s">
        <v>194</v>
      </c>
      <c r="B13" t="str">
        <f>IF(КурсUSD&gt;0,"ок","задать")</f>
        <v>ок</v>
      </c>
      <c r="C13" t="s">
        <v>190</v>
      </c>
    </row>
    <row r="14" spans="1:3" x14ac:dyDescent="0.3">
      <c r="A14" t="s">
        <v>195</v>
      </c>
      <c r="B14">
        <f>SUMPRODUCT((Конструктор!$P$2:$P$1212&gt;0)*(Конструктор!$R$2:$R$1212="да"))</f>
        <v>0</v>
      </c>
      <c r="C14" t="s">
        <v>196</v>
      </c>
    </row>
  </sheetData>
  <conditionalFormatting sqref="B4:B14">
    <cfRule type="expression" dxfId="1" priority="1">
      <formula>AND(ISNUMBER($B4),$B4&lt;&gt;0,$A4&lt;&gt;"Позиций с объёмом &gt; 0")</formula>
    </cfRule>
    <cfRule type="expression" dxfId="0" priority="2">
      <formula>OR($B4="УСТАРЕЛО",$B4="проверить",$B4="задать",$B4="увеличить буфер",$B4="увеличить лист")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S912"/>
  <sheetViews>
    <sheetView zoomScale="58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58" customWidth="1"/>
    <col min="3" max="3" width="9" customWidth="1"/>
    <col min="4" max="4" width="8" customWidth="1"/>
    <col min="5" max="5" width="22" customWidth="1"/>
    <col min="6" max="6" width="10" customWidth="1"/>
    <col min="7" max="7" width="16" customWidth="1"/>
    <col min="8" max="8" width="13" customWidth="1"/>
    <col min="9" max="9" width="14" customWidth="1"/>
    <col min="10" max="10" width="11" customWidth="1"/>
    <col min="11" max="11" width="18" customWidth="1"/>
    <col min="12" max="12" width="15" customWidth="1"/>
    <col min="13" max="13" width="14" customWidth="1"/>
    <col min="14" max="14" width="19.109375" bestFit="1" customWidth="1"/>
    <col min="15" max="15" width="8" customWidth="1"/>
    <col min="16" max="16" width="12" customWidth="1"/>
    <col min="17" max="17" width="26" customWidth="1"/>
    <col min="18" max="18" width="18" customWidth="1"/>
    <col min="19" max="19" width="24" customWidth="1"/>
  </cols>
  <sheetData>
    <row r="1" spans="1:19" ht="28.8" x14ac:dyDescent="0.3">
      <c r="A1" s="3" t="s">
        <v>74</v>
      </c>
      <c r="B1" s="3" t="s">
        <v>197</v>
      </c>
      <c r="C1" s="3" t="s">
        <v>198</v>
      </c>
      <c r="D1" s="3" t="s">
        <v>72</v>
      </c>
      <c r="E1" s="3" t="s">
        <v>199</v>
      </c>
      <c r="F1" s="3" t="s">
        <v>73</v>
      </c>
      <c r="G1" s="3" t="s">
        <v>200</v>
      </c>
      <c r="H1" s="3" t="s">
        <v>201</v>
      </c>
      <c r="I1" s="3" t="s">
        <v>202</v>
      </c>
      <c r="J1" s="3" t="s">
        <v>88</v>
      </c>
      <c r="K1" s="3" t="s">
        <v>203</v>
      </c>
      <c r="L1" s="3" t="s">
        <v>204</v>
      </c>
      <c r="M1" s="3" t="s">
        <v>205</v>
      </c>
      <c r="N1" s="3" t="s">
        <v>206</v>
      </c>
      <c r="O1" s="3" t="s">
        <v>207</v>
      </c>
      <c r="P1" s="3" t="s">
        <v>208</v>
      </c>
      <c r="Q1" s="3" t="s">
        <v>209</v>
      </c>
      <c r="R1" s="3" t="s">
        <v>210</v>
      </c>
      <c r="S1" s="3" t="s">
        <v>211</v>
      </c>
    </row>
    <row r="2" spans="1:19" x14ac:dyDescent="0.3">
      <c r="A2" t="s">
        <v>212</v>
      </c>
      <c r="B2" t="s">
        <v>213</v>
      </c>
      <c r="C2" t="s">
        <v>214</v>
      </c>
      <c r="D2" t="s">
        <v>139</v>
      </c>
      <c r="E2" t="s">
        <v>140</v>
      </c>
      <c r="F2" t="s">
        <v>215</v>
      </c>
      <c r="H2">
        <v>3675</v>
      </c>
      <c r="I2">
        <v>0</v>
      </c>
      <c r="J2" t="s">
        <v>216</v>
      </c>
      <c r="K2" t="s">
        <v>217</v>
      </c>
      <c r="L2" t="s">
        <v>218</v>
      </c>
      <c r="M2" t="s">
        <v>219</v>
      </c>
      <c r="N2" s="19">
        <v>46262</v>
      </c>
      <c r="O2" t="s">
        <v>220</v>
      </c>
      <c r="P2">
        <v>1</v>
      </c>
      <c r="Q2" t="s">
        <v>221</v>
      </c>
    </row>
    <row r="3" spans="1:19" x14ac:dyDescent="0.3">
      <c r="A3" t="s">
        <v>222</v>
      </c>
      <c r="B3" t="s">
        <v>223</v>
      </c>
      <c r="C3" t="s">
        <v>214</v>
      </c>
      <c r="D3" t="s">
        <v>139</v>
      </c>
      <c r="E3" t="s">
        <v>140</v>
      </c>
      <c r="F3" t="s">
        <v>215</v>
      </c>
      <c r="H3">
        <v>7822.5</v>
      </c>
      <c r="I3">
        <v>0</v>
      </c>
      <c r="J3" t="s">
        <v>216</v>
      </c>
      <c r="K3" t="s">
        <v>217</v>
      </c>
      <c r="L3" t="s">
        <v>218</v>
      </c>
      <c r="M3" t="s">
        <v>219</v>
      </c>
      <c r="N3" s="19">
        <v>46262</v>
      </c>
      <c r="O3" t="s">
        <v>220</v>
      </c>
      <c r="P3">
        <v>1</v>
      </c>
      <c r="Q3" t="s">
        <v>224</v>
      </c>
    </row>
    <row r="4" spans="1:19" x14ac:dyDescent="0.3">
      <c r="A4" t="s">
        <v>225</v>
      </c>
      <c r="B4" t="s">
        <v>226</v>
      </c>
      <c r="C4" t="s">
        <v>214</v>
      </c>
      <c r="D4" t="s">
        <v>139</v>
      </c>
      <c r="E4" t="s">
        <v>140</v>
      </c>
      <c r="F4" t="s">
        <v>215</v>
      </c>
      <c r="H4">
        <v>135.44999999999999</v>
      </c>
      <c r="I4">
        <v>0</v>
      </c>
      <c r="J4" t="s">
        <v>216</v>
      </c>
      <c r="K4" t="s">
        <v>217</v>
      </c>
      <c r="L4" t="s">
        <v>218</v>
      </c>
      <c r="M4" t="s">
        <v>219</v>
      </c>
      <c r="N4" s="19">
        <v>46262</v>
      </c>
      <c r="O4" t="s">
        <v>220</v>
      </c>
      <c r="P4">
        <v>1</v>
      </c>
      <c r="Q4" t="s">
        <v>227</v>
      </c>
    </row>
    <row r="5" spans="1:19" x14ac:dyDescent="0.3">
      <c r="A5" t="s">
        <v>228</v>
      </c>
      <c r="B5" t="s">
        <v>229</v>
      </c>
      <c r="C5" t="s">
        <v>214</v>
      </c>
      <c r="D5" t="s">
        <v>139</v>
      </c>
      <c r="E5" t="s">
        <v>140</v>
      </c>
      <c r="F5" t="s">
        <v>215</v>
      </c>
      <c r="H5">
        <v>389.55</v>
      </c>
      <c r="I5">
        <v>0</v>
      </c>
      <c r="J5" t="s">
        <v>230</v>
      </c>
      <c r="K5" t="s">
        <v>217</v>
      </c>
      <c r="L5" t="s">
        <v>218</v>
      </c>
      <c r="M5" t="s">
        <v>219</v>
      </c>
      <c r="N5" s="19">
        <v>46262</v>
      </c>
      <c r="O5" t="s">
        <v>220</v>
      </c>
      <c r="P5">
        <v>1</v>
      </c>
      <c r="Q5" t="s">
        <v>231</v>
      </c>
    </row>
    <row r="6" spans="1:19" x14ac:dyDescent="0.3">
      <c r="A6" t="s">
        <v>232</v>
      </c>
      <c r="B6" t="s">
        <v>233</v>
      </c>
      <c r="C6" t="s">
        <v>214</v>
      </c>
      <c r="D6" t="s">
        <v>139</v>
      </c>
      <c r="E6" t="s">
        <v>140</v>
      </c>
      <c r="F6" t="s">
        <v>215</v>
      </c>
      <c r="H6">
        <v>258.3</v>
      </c>
      <c r="I6">
        <v>0</v>
      </c>
      <c r="J6" t="s">
        <v>230</v>
      </c>
      <c r="K6" t="s">
        <v>217</v>
      </c>
      <c r="L6" t="s">
        <v>218</v>
      </c>
      <c r="M6" t="s">
        <v>219</v>
      </c>
      <c r="N6" s="19">
        <v>46262</v>
      </c>
      <c r="O6" t="s">
        <v>220</v>
      </c>
      <c r="P6">
        <v>1</v>
      </c>
      <c r="Q6" t="s">
        <v>234</v>
      </c>
    </row>
    <row r="7" spans="1:19" x14ac:dyDescent="0.3">
      <c r="A7" t="s">
        <v>235</v>
      </c>
      <c r="B7" t="s">
        <v>236</v>
      </c>
      <c r="C7" t="s">
        <v>214</v>
      </c>
      <c r="D7" t="s">
        <v>139</v>
      </c>
      <c r="E7" t="s">
        <v>140</v>
      </c>
      <c r="F7" t="s">
        <v>215</v>
      </c>
      <c r="H7">
        <v>202.65</v>
      </c>
      <c r="I7">
        <v>0</v>
      </c>
      <c r="J7" t="s">
        <v>230</v>
      </c>
      <c r="K7" t="s">
        <v>217</v>
      </c>
      <c r="L7" t="s">
        <v>218</v>
      </c>
      <c r="M7" t="s">
        <v>219</v>
      </c>
      <c r="N7" s="19">
        <v>46262</v>
      </c>
      <c r="O7" t="s">
        <v>220</v>
      </c>
      <c r="P7">
        <v>1</v>
      </c>
      <c r="Q7" t="s">
        <v>237</v>
      </c>
    </row>
    <row r="8" spans="1:19" x14ac:dyDescent="0.3">
      <c r="A8" t="s">
        <v>238</v>
      </c>
      <c r="B8" t="s">
        <v>239</v>
      </c>
      <c r="C8" t="s">
        <v>214</v>
      </c>
      <c r="D8" t="s">
        <v>139</v>
      </c>
      <c r="E8" t="s">
        <v>140</v>
      </c>
      <c r="F8" t="s">
        <v>215</v>
      </c>
      <c r="H8">
        <v>159.47999999999999</v>
      </c>
      <c r="I8">
        <v>0</v>
      </c>
      <c r="J8" t="s">
        <v>230</v>
      </c>
      <c r="K8" t="s">
        <v>217</v>
      </c>
      <c r="L8" t="s">
        <v>218</v>
      </c>
      <c r="M8" t="s">
        <v>219</v>
      </c>
      <c r="N8" s="19">
        <v>46262</v>
      </c>
      <c r="O8" t="s">
        <v>220</v>
      </c>
      <c r="P8">
        <v>1</v>
      </c>
      <c r="Q8" t="s">
        <v>240</v>
      </c>
    </row>
    <row r="9" spans="1:19" x14ac:dyDescent="0.3">
      <c r="A9" t="s">
        <v>241</v>
      </c>
      <c r="B9" t="s">
        <v>242</v>
      </c>
      <c r="C9" t="s">
        <v>214</v>
      </c>
      <c r="D9" t="s">
        <v>139</v>
      </c>
      <c r="E9" t="s">
        <v>140</v>
      </c>
      <c r="F9" t="s">
        <v>215</v>
      </c>
      <c r="H9">
        <v>123.9</v>
      </c>
      <c r="I9">
        <v>0</v>
      </c>
      <c r="J9" t="s">
        <v>230</v>
      </c>
      <c r="K9" t="s">
        <v>217</v>
      </c>
      <c r="L9" t="s">
        <v>218</v>
      </c>
      <c r="M9" t="s">
        <v>219</v>
      </c>
      <c r="N9" s="19">
        <v>46262</v>
      </c>
      <c r="O9" t="s">
        <v>220</v>
      </c>
      <c r="P9">
        <v>1</v>
      </c>
      <c r="Q9" t="s">
        <v>243</v>
      </c>
    </row>
    <row r="10" spans="1:19" x14ac:dyDescent="0.3">
      <c r="A10" t="s">
        <v>244</v>
      </c>
      <c r="B10" t="s">
        <v>245</v>
      </c>
      <c r="C10" t="s">
        <v>214</v>
      </c>
      <c r="D10" t="s">
        <v>139</v>
      </c>
      <c r="E10" t="s">
        <v>140</v>
      </c>
      <c r="F10" t="s">
        <v>215</v>
      </c>
      <c r="H10">
        <v>130.19999999999999</v>
      </c>
      <c r="I10">
        <v>0</v>
      </c>
      <c r="J10" t="s">
        <v>230</v>
      </c>
      <c r="K10" t="s">
        <v>217</v>
      </c>
      <c r="L10" t="s">
        <v>218</v>
      </c>
      <c r="M10" t="s">
        <v>219</v>
      </c>
      <c r="N10" s="19">
        <v>46262</v>
      </c>
      <c r="O10" t="s">
        <v>220</v>
      </c>
      <c r="P10">
        <v>1</v>
      </c>
      <c r="Q10" t="s">
        <v>246</v>
      </c>
    </row>
    <row r="11" spans="1:19" x14ac:dyDescent="0.3">
      <c r="A11" t="s">
        <v>247</v>
      </c>
      <c r="B11" t="s">
        <v>248</v>
      </c>
      <c r="C11" t="s">
        <v>214</v>
      </c>
      <c r="D11" t="s">
        <v>139</v>
      </c>
      <c r="E11" t="s">
        <v>140</v>
      </c>
      <c r="F11" t="s">
        <v>215</v>
      </c>
      <c r="H11">
        <v>91.68</v>
      </c>
      <c r="I11">
        <v>0</v>
      </c>
      <c r="J11" t="s">
        <v>230</v>
      </c>
      <c r="K11" t="s">
        <v>217</v>
      </c>
      <c r="L11" t="s">
        <v>218</v>
      </c>
      <c r="M11" t="s">
        <v>219</v>
      </c>
      <c r="N11" s="19">
        <v>46262</v>
      </c>
      <c r="O11" t="s">
        <v>220</v>
      </c>
      <c r="P11">
        <v>1</v>
      </c>
      <c r="Q11" t="s">
        <v>249</v>
      </c>
    </row>
    <row r="12" spans="1:19" x14ac:dyDescent="0.3">
      <c r="A12" t="s">
        <v>250</v>
      </c>
      <c r="B12" t="s">
        <v>251</v>
      </c>
      <c r="C12" t="s">
        <v>214</v>
      </c>
      <c r="D12" t="s">
        <v>139</v>
      </c>
      <c r="E12" t="s">
        <v>140</v>
      </c>
      <c r="F12" t="s">
        <v>215</v>
      </c>
      <c r="H12">
        <v>91.68</v>
      </c>
      <c r="I12">
        <v>0</v>
      </c>
      <c r="J12" t="s">
        <v>230</v>
      </c>
      <c r="K12" t="s">
        <v>217</v>
      </c>
      <c r="L12" t="s">
        <v>218</v>
      </c>
      <c r="M12" t="s">
        <v>219</v>
      </c>
      <c r="N12" s="19">
        <v>46262</v>
      </c>
      <c r="O12" t="s">
        <v>220</v>
      </c>
      <c r="P12">
        <v>1</v>
      </c>
      <c r="Q12" t="s">
        <v>252</v>
      </c>
    </row>
    <row r="13" spans="1:19" x14ac:dyDescent="0.3">
      <c r="A13" t="s">
        <v>253</v>
      </c>
      <c r="B13" t="s">
        <v>254</v>
      </c>
      <c r="C13" t="s">
        <v>214</v>
      </c>
      <c r="D13" t="s">
        <v>139</v>
      </c>
      <c r="E13" t="s">
        <v>140</v>
      </c>
      <c r="F13" t="s">
        <v>215</v>
      </c>
      <c r="H13">
        <v>103.95</v>
      </c>
      <c r="I13">
        <v>0</v>
      </c>
      <c r="J13" t="s">
        <v>230</v>
      </c>
      <c r="K13" t="s">
        <v>217</v>
      </c>
      <c r="L13" t="s">
        <v>218</v>
      </c>
      <c r="M13" t="s">
        <v>219</v>
      </c>
      <c r="N13" s="19">
        <v>46262</v>
      </c>
      <c r="O13" t="s">
        <v>220</v>
      </c>
      <c r="P13">
        <v>1</v>
      </c>
      <c r="Q13" t="s">
        <v>255</v>
      </c>
    </row>
    <row r="14" spans="1:19" x14ac:dyDescent="0.3">
      <c r="A14" t="s">
        <v>256</v>
      </c>
      <c r="B14" t="s">
        <v>257</v>
      </c>
      <c r="C14" t="s">
        <v>214</v>
      </c>
      <c r="D14" t="s">
        <v>139</v>
      </c>
      <c r="E14" t="s">
        <v>140</v>
      </c>
      <c r="F14" t="s">
        <v>215</v>
      </c>
      <c r="H14">
        <v>7.04</v>
      </c>
      <c r="I14">
        <v>0</v>
      </c>
      <c r="J14" t="s">
        <v>230</v>
      </c>
      <c r="K14" t="s">
        <v>217</v>
      </c>
      <c r="L14" t="s">
        <v>218</v>
      </c>
      <c r="M14" t="s">
        <v>219</v>
      </c>
      <c r="N14" s="19">
        <v>46262</v>
      </c>
      <c r="O14" t="s">
        <v>220</v>
      </c>
      <c r="P14">
        <v>1</v>
      </c>
      <c r="Q14" t="s">
        <v>258</v>
      </c>
    </row>
    <row r="15" spans="1:19" x14ac:dyDescent="0.3">
      <c r="A15" t="s">
        <v>259</v>
      </c>
      <c r="B15" t="s">
        <v>260</v>
      </c>
      <c r="C15" t="s">
        <v>214</v>
      </c>
      <c r="D15" t="s">
        <v>139</v>
      </c>
      <c r="E15" t="s">
        <v>140</v>
      </c>
      <c r="F15" t="s">
        <v>215</v>
      </c>
      <c r="H15">
        <v>4.0999999999999996</v>
      </c>
      <c r="I15">
        <v>0</v>
      </c>
      <c r="J15" t="s">
        <v>230</v>
      </c>
      <c r="K15" t="s">
        <v>217</v>
      </c>
      <c r="L15" t="s">
        <v>218</v>
      </c>
      <c r="M15" t="s">
        <v>219</v>
      </c>
      <c r="N15" s="19">
        <v>46262</v>
      </c>
      <c r="O15" t="s">
        <v>220</v>
      </c>
      <c r="P15">
        <v>1</v>
      </c>
      <c r="Q15" t="s">
        <v>261</v>
      </c>
    </row>
    <row r="16" spans="1:19" x14ac:dyDescent="0.3">
      <c r="A16" t="s">
        <v>262</v>
      </c>
      <c r="B16" t="s">
        <v>263</v>
      </c>
      <c r="C16" t="s">
        <v>214</v>
      </c>
      <c r="D16" t="s">
        <v>139</v>
      </c>
      <c r="E16" t="s">
        <v>140</v>
      </c>
      <c r="F16" t="s">
        <v>215</v>
      </c>
      <c r="H16">
        <v>0.84</v>
      </c>
      <c r="I16">
        <v>0</v>
      </c>
      <c r="J16" t="s">
        <v>230</v>
      </c>
      <c r="K16" t="s">
        <v>217</v>
      </c>
      <c r="L16" t="s">
        <v>218</v>
      </c>
      <c r="M16" t="s">
        <v>219</v>
      </c>
      <c r="N16" s="19">
        <v>46262</v>
      </c>
      <c r="O16" t="s">
        <v>220</v>
      </c>
      <c r="P16">
        <v>1</v>
      </c>
      <c r="Q16" t="s">
        <v>264</v>
      </c>
    </row>
    <row r="17" spans="1:17" x14ac:dyDescent="0.3">
      <c r="A17" t="s">
        <v>265</v>
      </c>
      <c r="B17" t="s">
        <v>266</v>
      </c>
      <c r="C17" t="s">
        <v>214</v>
      </c>
      <c r="D17" t="s">
        <v>139</v>
      </c>
      <c r="E17" t="s">
        <v>140</v>
      </c>
      <c r="F17" t="s">
        <v>215</v>
      </c>
      <c r="H17">
        <v>2.62</v>
      </c>
      <c r="I17">
        <v>0</v>
      </c>
      <c r="J17" t="s">
        <v>230</v>
      </c>
      <c r="K17" t="s">
        <v>217</v>
      </c>
      <c r="L17" t="s">
        <v>218</v>
      </c>
      <c r="M17" t="s">
        <v>219</v>
      </c>
      <c r="N17" s="19">
        <v>46262</v>
      </c>
      <c r="O17" t="s">
        <v>220</v>
      </c>
      <c r="P17">
        <v>1</v>
      </c>
      <c r="Q17" t="s">
        <v>267</v>
      </c>
    </row>
    <row r="18" spans="1:17" x14ac:dyDescent="0.3">
      <c r="A18" t="s">
        <v>268</v>
      </c>
      <c r="B18" t="s">
        <v>269</v>
      </c>
      <c r="C18" t="s">
        <v>214</v>
      </c>
      <c r="D18" t="s">
        <v>139</v>
      </c>
      <c r="E18" t="s">
        <v>140</v>
      </c>
      <c r="F18" t="s">
        <v>215</v>
      </c>
      <c r="H18">
        <v>0.32</v>
      </c>
      <c r="I18">
        <v>0</v>
      </c>
      <c r="J18" t="s">
        <v>230</v>
      </c>
      <c r="K18" t="s">
        <v>217</v>
      </c>
      <c r="L18" t="s">
        <v>218</v>
      </c>
      <c r="M18" t="s">
        <v>219</v>
      </c>
      <c r="N18" s="19">
        <v>46262</v>
      </c>
      <c r="O18" t="s">
        <v>220</v>
      </c>
      <c r="P18">
        <v>1</v>
      </c>
      <c r="Q18" t="s">
        <v>270</v>
      </c>
    </row>
    <row r="19" spans="1:17" x14ac:dyDescent="0.3">
      <c r="A19" t="s">
        <v>271</v>
      </c>
      <c r="B19" t="s">
        <v>272</v>
      </c>
      <c r="C19" t="s">
        <v>214</v>
      </c>
      <c r="D19" t="s">
        <v>139</v>
      </c>
      <c r="E19" t="s">
        <v>140</v>
      </c>
      <c r="F19" t="s">
        <v>215</v>
      </c>
      <c r="H19">
        <v>0.11</v>
      </c>
      <c r="I19">
        <v>0</v>
      </c>
      <c r="J19" t="s">
        <v>230</v>
      </c>
      <c r="K19" t="s">
        <v>217</v>
      </c>
      <c r="L19" t="s">
        <v>218</v>
      </c>
      <c r="M19" t="s">
        <v>219</v>
      </c>
      <c r="N19" s="19">
        <v>46262</v>
      </c>
      <c r="O19" t="s">
        <v>220</v>
      </c>
      <c r="P19">
        <v>1</v>
      </c>
      <c r="Q19" t="s">
        <v>273</v>
      </c>
    </row>
    <row r="20" spans="1:17" x14ac:dyDescent="0.3">
      <c r="A20" t="s">
        <v>274</v>
      </c>
      <c r="B20" t="s">
        <v>275</v>
      </c>
      <c r="C20" t="s">
        <v>214</v>
      </c>
      <c r="D20" t="s">
        <v>139</v>
      </c>
      <c r="E20" t="s">
        <v>140</v>
      </c>
      <c r="F20" t="s">
        <v>215</v>
      </c>
      <c r="H20">
        <v>0.11</v>
      </c>
      <c r="I20">
        <v>0</v>
      </c>
      <c r="J20" t="s">
        <v>216</v>
      </c>
      <c r="K20" t="s">
        <v>217</v>
      </c>
      <c r="L20" t="s">
        <v>218</v>
      </c>
      <c r="M20" t="s">
        <v>219</v>
      </c>
      <c r="N20" s="19">
        <v>46262</v>
      </c>
      <c r="O20" t="s">
        <v>220</v>
      </c>
      <c r="P20">
        <v>1</v>
      </c>
      <c r="Q20" t="s">
        <v>276</v>
      </c>
    </row>
    <row r="21" spans="1:17" x14ac:dyDescent="0.3">
      <c r="A21" t="s">
        <v>277</v>
      </c>
      <c r="B21" t="s">
        <v>278</v>
      </c>
      <c r="C21" t="s">
        <v>214</v>
      </c>
      <c r="D21" t="s">
        <v>139</v>
      </c>
      <c r="E21" t="s">
        <v>140</v>
      </c>
      <c r="F21" t="s">
        <v>215</v>
      </c>
      <c r="H21">
        <v>0.11</v>
      </c>
      <c r="I21">
        <v>0</v>
      </c>
      <c r="J21" t="s">
        <v>230</v>
      </c>
      <c r="K21" t="s">
        <v>217</v>
      </c>
      <c r="L21" t="s">
        <v>218</v>
      </c>
      <c r="M21" t="s">
        <v>219</v>
      </c>
      <c r="N21" s="19">
        <v>46262</v>
      </c>
      <c r="O21" t="s">
        <v>220</v>
      </c>
      <c r="P21">
        <v>1</v>
      </c>
      <c r="Q21" t="s">
        <v>279</v>
      </c>
    </row>
    <row r="22" spans="1:17" x14ac:dyDescent="0.3">
      <c r="A22" t="s">
        <v>280</v>
      </c>
      <c r="B22" t="s">
        <v>281</v>
      </c>
      <c r="C22" t="s">
        <v>214</v>
      </c>
      <c r="D22" t="s">
        <v>139</v>
      </c>
      <c r="E22" t="s">
        <v>140</v>
      </c>
      <c r="F22" t="s">
        <v>215</v>
      </c>
      <c r="H22">
        <v>3675</v>
      </c>
      <c r="I22">
        <v>0</v>
      </c>
      <c r="J22" t="s">
        <v>216</v>
      </c>
      <c r="K22" t="s">
        <v>217</v>
      </c>
      <c r="L22" t="s">
        <v>218</v>
      </c>
      <c r="M22" t="s">
        <v>219</v>
      </c>
      <c r="N22" s="19">
        <v>46262</v>
      </c>
      <c r="O22" t="s">
        <v>220</v>
      </c>
      <c r="P22">
        <v>1</v>
      </c>
      <c r="Q22" t="s">
        <v>282</v>
      </c>
    </row>
    <row r="23" spans="1:17" x14ac:dyDescent="0.3">
      <c r="A23" t="s">
        <v>283</v>
      </c>
      <c r="B23" t="s">
        <v>284</v>
      </c>
      <c r="C23" t="s">
        <v>285</v>
      </c>
      <c r="D23" t="s">
        <v>139</v>
      </c>
      <c r="E23" t="s">
        <v>140</v>
      </c>
      <c r="F23" t="s">
        <v>215</v>
      </c>
      <c r="H23">
        <v>7822.5</v>
      </c>
      <c r="I23">
        <v>0</v>
      </c>
      <c r="J23" t="s">
        <v>216</v>
      </c>
      <c r="K23" t="s">
        <v>217</v>
      </c>
      <c r="L23" t="s">
        <v>218</v>
      </c>
      <c r="M23" t="s">
        <v>219</v>
      </c>
      <c r="N23" s="19">
        <v>46262</v>
      </c>
      <c r="O23" t="s">
        <v>220</v>
      </c>
      <c r="P23">
        <v>1</v>
      </c>
      <c r="Q23" t="s">
        <v>286</v>
      </c>
    </row>
    <row r="24" spans="1:17" x14ac:dyDescent="0.3">
      <c r="A24" t="s">
        <v>287</v>
      </c>
      <c r="B24" t="s">
        <v>288</v>
      </c>
      <c r="C24" t="s">
        <v>289</v>
      </c>
      <c r="D24" t="s">
        <v>139</v>
      </c>
      <c r="E24" t="s">
        <v>140</v>
      </c>
      <c r="F24" t="s">
        <v>215</v>
      </c>
      <c r="H24">
        <v>10500</v>
      </c>
      <c r="I24">
        <v>0</v>
      </c>
      <c r="J24" t="s">
        <v>216</v>
      </c>
      <c r="K24" t="s">
        <v>217</v>
      </c>
      <c r="L24" t="s">
        <v>218</v>
      </c>
      <c r="M24" t="s">
        <v>219</v>
      </c>
      <c r="N24" s="19">
        <v>46262</v>
      </c>
      <c r="O24" t="s">
        <v>220</v>
      </c>
      <c r="P24">
        <v>1</v>
      </c>
      <c r="Q24" t="s">
        <v>290</v>
      </c>
    </row>
    <row r="25" spans="1:17" x14ac:dyDescent="0.3">
      <c r="A25" t="s">
        <v>291</v>
      </c>
      <c r="B25" t="s">
        <v>292</v>
      </c>
      <c r="C25" t="s">
        <v>289</v>
      </c>
      <c r="D25" t="s">
        <v>139</v>
      </c>
      <c r="E25" t="s">
        <v>140</v>
      </c>
      <c r="F25" t="s">
        <v>215</v>
      </c>
      <c r="H25">
        <v>20737.5</v>
      </c>
      <c r="I25">
        <v>0</v>
      </c>
      <c r="J25" t="s">
        <v>230</v>
      </c>
      <c r="K25" t="s">
        <v>217</v>
      </c>
      <c r="L25" t="s">
        <v>218</v>
      </c>
      <c r="M25" t="s">
        <v>219</v>
      </c>
      <c r="N25" s="19">
        <v>46262</v>
      </c>
      <c r="O25" t="s">
        <v>220</v>
      </c>
      <c r="P25">
        <v>1</v>
      </c>
      <c r="Q25" t="s">
        <v>293</v>
      </c>
    </row>
    <row r="26" spans="1:17" x14ac:dyDescent="0.3">
      <c r="A26" t="s">
        <v>294</v>
      </c>
      <c r="B26" t="s">
        <v>295</v>
      </c>
      <c r="C26" t="s">
        <v>289</v>
      </c>
      <c r="D26" t="s">
        <v>139</v>
      </c>
      <c r="E26" t="s">
        <v>140</v>
      </c>
      <c r="F26" t="s">
        <v>215</v>
      </c>
      <c r="H26">
        <v>20737.5</v>
      </c>
      <c r="I26">
        <v>0</v>
      </c>
      <c r="J26" t="s">
        <v>230</v>
      </c>
      <c r="K26" t="s">
        <v>217</v>
      </c>
      <c r="L26" t="s">
        <v>218</v>
      </c>
      <c r="M26" t="s">
        <v>219</v>
      </c>
      <c r="N26" s="19">
        <v>46262</v>
      </c>
      <c r="O26" t="s">
        <v>220</v>
      </c>
      <c r="P26">
        <v>1</v>
      </c>
      <c r="Q26" t="s">
        <v>296</v>
      </c>
    </row>
    <row r="27" spans="1:17" x14ac:dyDescent="0.3">
      <c r="A27" t="s">
        <v>297</v>
      </c>
      <c r="B27" t="s">
        <v>298</v>
      </c>
      <c r="C27" t="s">
        <v>289</v>
      </c>
      <c r="D27" t="s">
        <v>139</v>
      </c>
      <c r="E27" t="s">
        <v>140</v>
      </c>
      <c r="F27" t="s">
        <v>215</v>
      </c>
      <c r="H27">
        <v>15592.5</v>
      </c>
      <c r="I27">
        <v>0</v>
      </c>
      <c r="J27" t="s">
        <v>230</v>
      </c>
      <c r="K27" t="s">
        <v>217</v>
      </c>
      <c r="L27" t="s">
        <v>218</v>
      </c>
      <c r="M27" t="s">
        <v>219</v>
      </c>
      <c r="N27" s="19">
        <v>46262</v>
      </c>
      <c r="O27" t="s">
        <v>220</v>
      </c>
      <c r="P27">
        <v>1</v>
      </c>
      <c r="Q27" t="s">
        <v>299</v>
      </c>
    </row>
    <row r="28" spans="1:17" x14ac:dyDescent="0.3">
      <c r="A28" t="s">
        <v>300</v>
      </c>
      <c r="B28" t="s">
        <v>301</v>
      </c>
      <c r="C28" t="s">
        <v>289</v>
      </c>
      <c r="D28" t="s">
        <v>139</v>
      </c>
      <c r="E28" t="s">
        <v>140</v>
      </c>
      <c r="F28" t="s">
        <v>215</v>
      </c>
      <c r="H28">
        <v>10395</v>
      </c>
      <c r="I28">
        <v>0</v>
      </c>
      <c r="J28" t="s">
        <v>230</v>
      </c>
      <c r="K28" t="s">
        <v>217</v>
      </c>
      <c r="L28" t="s">
        <v>218</v>
      </c>
      <c r="M28" t="s">
        <v>219</v>
      </c>
      <c r="N28" s="19">
        <v>46262</v>
      </c>
      <c r="O28" t="s">
        <v>220</v>
      </c>
      <c r="P28">
        <v>1</v>
      </c>
      <c r="Q28" t="s">
        <v>302</v>
      </c>
    </row>
    <row r="29" spans="1:17" x14ac:dyDescent="0.3">
      <c r="A29" t="s">
        <v>303</v>
      </c>
      <c r="B29" t="s">
        <v>304</v>
      </c>
      <c r="C29" t="s">
        <v>289</v>
      </c>
      <c r="D29" t="s">
        <v>139</v>
      </c>
      <c r="E29" t="s">
        <v>140</v>
      </c>
      <c r="F29" t="s">
        <v>215</v>
      </c>
      <c r="H29">
        <v>10395</v>
      </c>
      <c r="I29">
        <v>0</v>
      </c>
      <c r="J29" t="s">
        <v>230</v>
      </c>
      <c r="K29" t="s">
        <v>217</v>
      </c>
      <c r="L29" t="s">
        <v>218</v>
      </c>
      <c r="M29" t="s">
        <v>219</v>
      </c>
      <c r="N29" s="19">
        <v>46262</v>
      </c>
      <c r="O29" t="s">
        <v>220</v>
      </c>
      <c r="P29">
        <v>1</v>
      </c>
      <c r="Q29" t="s">
        <v>305</v>
      </c>
    </row>
    <row r="30" spans="1:17" x14ac:dyDescent="0.3">
      <c r="A30" t="s">
        <v>306</v>
      </c>
      <c r="B30" t="s">
        <v>307</v>
      </c>
      <c r="C30" t="s">
        <v>289</v>
      </c>
      <c r="D30" t="s">
        <v>139</v>
      </c>
      <c r="E30" t="s">
        <v>140</v>
      </c>
      <c r="F30" t="s">
        <v>215</v>
      </c>
      <c r="H30">
        <v>10395</v>
      </c>
      <c r="I30">
        <v>0</v>
      </c>
      <c r="J30" t="s">
        <v>230</v>
      </c>
      <c r="K30" t="s">
        <v>217</v>
      </c>
      <c r="L30" t="s">
        <v>218</v>
      </c>
      <c r="M30" t="s">
        <v>219</v>
      </c>
      <c r="N30" s="19">
        <v>46262</v>
      </c>
      <c r="O30" t="s">
        <v>220</v>
      </c>
      <c r="P30">
        <v>1</v>
      </c>
      <c r="Q30" t="s">
        <v>308</v>
      </c>
    </row>
    <row r="31" spans="1:17" x14ac:dyDescent="0.3">
      <c r="A31" t="s">
        <v>309</v>
      </c>
      <c r="B31" t="s">
        <v>310</v>
      </c>
      <c r="C31" t="s">
        <v>289</v>
      </c>
      <c r="D31" t="s">
        <v>139</v>
      </c>
      <c r="E31" t="s">
        <v>140</v>
      </c>
      <c r="F31" t="s">
        <v>215</v>
      </c>
      <c r="H31">
        <v>15592.5</v>
      </c>
      <c r="I31">
        <v>0</v>
      </c>
      <c r="J31" t="s">
        <v>230</v>
      </c>
      <c r="K31" t="s">
        <v>217</v>
      </c>
      <c r="L31" t="s">
        <v>218</v>
      </c>
      <c r="M31" t="s">
        <v>219</v>
      </c>
      <c r="N31" s="19">
        <v>46262</v>
      </c>
      <c r="O31" t="s">
        <v>220</v>
      </c>
      <c r="P31">
        <v>1</v>
      </c>
      <c r="Q31" t="s">
        <v>311</v>
      </c>
    </row>
    <row r="32" spans="1:17" x14ac:dyDescent="0.3">
      <c r="A32" t="s">
        <v>312</v>
      </c>
      <c r="B32" t="s">
        <v>313</v>
      </c>
      <c r="C32" t="s">
        <v>289</v>
      </c>
      <c r="D32" t="s">
        <v>139</v>
      </c>
      <c r="E32" t="s">
        <v>140</v>
      </c>
      <c r="F32" t="s">
        <v>215</v>
      </c>
      <c r="H32">
        <v>10395</v>
      </c>
      <c r="I32">
        <v>0</v>
      </c>
      <c r="J32" t="s">
        <v>230</v>
      </c>
      <c r="K32" t="s">
        <v>217</v>
      </c>
      <c r="L32" t="s">
        <v>218</v>
      </c>
      <c r="M32" t="s">
        <v>219</v>
      </c>
      <c r="N32" s="19">
        <v>46262</v>
      </c>
      <c r="O32" t="s">
        <v>220</v>
      </c>
      <c r="P32">
        <v>1</v>
      </c>
      <c r="Q32" t="s">
        <v>314</v>
      </c>
    </row>
    <row r="33" spans="1:17" x14ac:dyDescent="0.3">
      <c r="A33" t="s">
        <v>315</v>
      </c>
      <c r="B33" t="s">
        <v>316</v>
      </c>
      <c r="C33" t="s">
        <v>289</v>
      </c>
      <c r="D33" t="s">
        <v>139</v>
      </c>
      <c r="E33" t="s">
        <v>140</v>
      </c>
      <c r="F33" t="s">
        <v>215</v>
      </c>
      <c r="H33">
        <v>15592.5</v>
      </c>
      <c r="I33">
        <v>0</v>
      </c>
      <c r="J33" t="s">
        <v>230</v>
      </c>
      <c r="K33" t="s">
        <v>217</v>
      </c>
      <c r="L33" t="s">
        <v>218</v>
      </c>
      <c r="M33" t="s">
        <v>219</v>
      </c>
      <c r="N33" s="19">
        <v>46262</v>
      </c>
      <c r="O33" t="s">
        <v>220</v>
      </c>
      <c r="P33">
        <v>1</v>
      </c>
      <c r="Q33" t="s">
        <v>317</v>
      </c>
    </row>
    <row r="34" spans="1:17" x14ac:dyDescent="0.3">
      <c r="A34" t="s">
        <v>318</v>
      </c>
      <c r="B34" t="s">
        <v>319</v>
      </c>
      <c r="C34" t="s">
        <v>214</v>
      </c>
      <c r="D34" t="s">
        <v>139</v>
      </c>
      <c r="E34" t="s">
        <v>140</v>
      </c>
      <c r="F34" t="s">
        <v>215</v>
      </c>
      <c r="H34">
        <v>13.55</v>
      </c>
      <c r="I34">
        <v>0</v>
      </c>
      <c r="J34" t="s">
        <v>216</v>
      </c>
      <c r="K34" t="s">
        <v>217</v>
      </c>
      <c r="L34" t="s">
        <v>218</v>
      </c>
      <c r="M34" t="s">
        <v>219</v>
      </c>
      <c r="N34" s="19">
        <v>46262</v>
      </c>
      <c r="O34" t="s">
        <v>220</v>
      </c>
      <c r="P34">
        <v>1</v>
      </c>
      <c r="Q34" t="s">
        <v>320</v>
      </c>
    </row>
    <row r="35" spans="1:17" x14ac:dyDescent="0.3">
      <c r="A35" t="s">
        <v>321</v>
      </c>
      <c r="B35" t="s">
        <v>322</v>
      </c>
      <c r="C35" t="s">
        <v>214</v>
      </c>
      <c r="D35" t="s">
        <v>139</v>
      </c>
      <c r="E35" t="s">
        <v>140</v>
      </c>
      <c r="F35" t="s">
        <v>215</v>
      </c>
      <c r="H35">
        <v>38.96</v>
      </c>
      <c r="I35">
        <v>0</v>
      </c>
      <c r="J35" t="s">
        <v>230</v>
      </c>
      <c r="K35" t="s">
        <v>217</v>
      </c>
      <c r="L35" t="s">
        <v>218</v>
      </c>
      <c r="M35" t="s">
        <v>219</v>
      </c>
      <c r="N35" s="19">
        <v>46262</v>
      </c>
      <c r="O35" t="s">
        <v>220</v>
      </c>
      <c r="P35">
        <v>1</v>
      </c>
      <c r="Q35" t="s">
        <v>323</v>
      </c>
    </row>
    <row r="36" spans="1:17" x14ac:dyDescent="0.3">
      <c r="A36" t="s">
        <v>324</v>
      </c>
      <c r="B36" t="s">
        <v>325</v>
      </c>
      <c r="C36" t="s">
        <v>214</v>
      </c>
      <c r="D36" t="s">
        <v>139</v>
      </c>
      <c r="E36" t="s">
        <v>140</v>
      </c>
      <c r="F36" t="s">
        <v>215</v>
      </c>
      <c r="H36">
        <v>25.83</v>
      </c>
      <c r="I36">
        <v>0</v>
      </c>
      <c r="J36" t="s">
        <v>230</v>
      </c>
      <c r="K36" t="s">
        <v>217</v>
      </c>
      <c r="L36" t="s">
        <v>218</v>
      </c>
      <c r="M36" t="s">
        <v>219</v>
      </c>
      <c r="N36" s="19">
        <v>46262</v>
      </c>
      <c r="O36" t="s">
        <v>220</v>
      </c>
      <c r="P36">
        <v>1</v>
      </c>
      <c r="Q36" t="s">
        <v>326</v>
      </c>
    </row>
    <row r="37" spans="1:17" x14ac:dyDescent="0.3">
      <c r="A37" t="s">
        <v>327</v>
      </c>
      <c r="B37" t="s">
        <v>328</v>
      </c>
      <c r="C37" t="s">
        <v>214</v>
      </c>
      <c r="D37" t="s">
        <v>139</v>
      </c>
      <c r="E37" t="s">
        <v>140</v>
      </c>
      <c r="F37" t="s">
        <v>215</v>
      </c>
      <c r="H37">
        <v>20.27</v>
      </c>
      <c r="I37">
        <v>0</v>
      </c>
      <c r="J37" t="s">
        <v>230</v>
      </c>
      <c r="K37" t="s">
        <v>217</v>
      </c>
      <c r="L37" t="s">
        <v>218</v>
      </c>
      <c r="M37" t="s">
        <v>219</v>
      </c>
      <c r="N37" s="19">
        <v>46262</v>
      </c>
      <c r="O37" t="s">
        <v>220</v>
      </c>
      <c r="P37">
        <v>1</v>
      </c>
      <c r="Q37" t="s">
        <v>329</v>
      </c>
    </row>
    <row r="38" spans="1:17" x14ac:dyDescent="0.3">
      <c r="A38" t="s">
        <v>330</v>
      </c>
      <c r="B38" t="s">
        <v>331</v>
      </c>
      <c r="C38" t="s">
        <v>214</v>
      </c>
      <c r="D38" t="s">
        <v>139</v>
      </c>
      <c r="E38" t="s">
        <v>140</v>
      </c>
      <c r="F38" t="s">
        <v>215</v>
      </c>
      <c r="H38">
        <v>15.95</v>
      </c>
      <c r="I38">
        <v>0</v>
      </c>
      <c r="J38" t="s">
        <v>230</v>
      </c>
      <c r="K38" t="s">
        <v>217</v>
      </c>
      <c r="L38" t="s">
        <v>218</v>
      </c>
      <c r="M38" t="s">
        <v>219</v>
      </c>
      <c r="N38" s="19">
        <v>46262</v>
      </c>
      <c r="O38" t="s">
        <v>220</v>
      </c>
      <c r="P38">
        <v>1</v>
      </c>
      <c r="Q38" t="s">
        <v>332</v>
      </c>
    </row>
    <row r="39" spans="1:17" x14ac:dyDescent="0.3">
      <c r="A39" t="s">
        <v>333</v>
      </c>
      <c r="B39" t="s">
        <v>334</v>
      </c>
      <c r="C39" t="s">
        <v>214</v>
      </c>
      <c r="D39" t="s">
        <v>139</v>
      </c>
      <c r="E39" t="s">
        <v>140</v>
      </c>
      <c r="F39" t="s">
        <v>215</v>
      </c>
      <c r="H39">
        <v>12.39</v>
      </c>
      <c r="I39">
        <v>0</v>
      </c>
      <c r="J39" t="s">
        <v>230</v>
      </c>
      <c r="K39" t="s">
        <v>217</v>
      </c>
      <c r="L39" t="s">
        <v>218</v>
      </c>
      <c r="M39" t="s">
        <v>219</v>
      </c>
      <c r="N39" s="19">
        <v>46262</v>
      </c>
      <c r="O39" t="s">
        <v>220</v>
      </c>
      <c r="P39">
        <v>1</v>
      </c>
      <c r="Q39" t="s">
        <v>335</v>
      </c>
    </row>
    <row r="40" spans="1:17" x14ac:dyDescent="0.3">
      <c r="A40" t="s">
        <v>336</v>
      </c>
      <c r="B40" t="s">
        <v>337</v>
      </c>
      <c r="C40" t="s">
        <v>214</v>
      </c>
      <c r="D40" t="s">
        <v>139</v>
      </c>
      <c r="E40" t="s">
        <v>140</v>
      </c>
      <c r="F40" t="s">
        <v>215</v>
      </c>
      <c r="H40">
        <v>13.02</v>
      </c>
      <c r="I40">
        <v>0</v>
      </c>
      <c r="J40" t="s">
        <v>230</v>
      </c>
      <c r="K40" t="s">
        <v>217</v>
      </c>
      <c r="L40" t="s">
        <v>218</v>
      </c>
      <c r="M40" t="s">
        <v>219</v>
      </c>
      <c r="N40" s="19">
        <v>46262</v>
      </c>
      <c r="O40" t="s">
        <v>220</v>
      </c>
      <c r="P40">
        <v>1</v>
      </c>
      <c r="Q40" t="s">
        <v>338</v>
      </c>
    </row>
    <row r="41" spans="1:17" x14ac:dyDescent="0.3">
      <c r="A41" t="s">
        <v>339</v>
      </c>
      <c r="B41" t="s">
        <v>340</v>
      </c>
      <c r="C41" t="s">
        <v>214</v>
      </c>
      <c r="D41" t="s">
        <v>139</v>
      </c>
      <c r="E41" t="s">
        <v>140</v>
      </c>
      <c r="F41" t="s">
        <v>215</v>
      </c>
      <c r="H41">
        <v>9.17</v>
      </c>
      <c r="I41">
        <v>0</v>
      </c>
      <c r="J41" t="s">
        <v>230</v>
      </c>
      <c r="K41" t="s">
        <v>217</v>
      </c>
      <c r="L41" t="s">
        <v>218</v>
      </c>
      <c r="M41" t="s">
        <v>219</v>
      </c>
      <c r="N41" s="19">
        <v>46262</v>
      </c>
      <c r="O41" t="s">
        <v>220</v>
      </c>
      <c r="P41">
        <v>1</v>
      </c>
      <c r="Q41" t="s">
        <v>341</v>
      </c>
    </row>
    <row r="42" spans="1:17" x14ac:dyDescent="0.3">
      <c r="A42" t="s">
        <v>342</v>
      </c>
      <c r="B42" t="s">
        <v>343</v>
      </c>
      <c r="C42" t="s">
        <v>214</v>
      </c>
      <c r="D42" t="s">
        <v>139</v>
      </c>
      <c r="E42" t="s">
        <v>140</v>
      </c>
      <c r="F42" t="s">
        <v>215</v>
      </c>
      <c r="H42">
        <v>9.17</v>
      </c>
      <c r="I42">
        <v>0</v>
      </c>
      <c r="J42" t="s">
        <v>230</v>
      </c>
      <c r="K42" t="s">
        <v>217</v>
      </c>
      <c r="L42" t="s">
        <v>218</v>
      </c>
      <c r="M42" t="s">
        <v>219</v>
      </c>
      <c r="N42" s="19">
        <v>46262</v>
      </c>
      <c r="O42" t="s">
        <v>220</v>
      </c>
      <c r="P42">
        <v>1</v>
      </c>
      <c r="Q42" t="s">
        <v>344</v>
      </c>
    </row>
    <row r="43" spans="1:17" x14ac:dyDescent="0.3">
      <c r="A43" t="s">
        <v>345</v>
      </c>
      <c r="B43" t="s">
        <v>346</v>
      </c>
      <c r="C43" t="s">
        <v>214</v>
      </c>
      <c r="D43" t="s">
        <v>139</v>
      </c>
      <c r="E43" t="s">
        <v>140</v>
      </c>
      <c r="F43" t="s">
        <v>215</v>
      </c>
      <c r="H43">
        <v>10.4</v>
      </c>
      <c r="I43">
        <v>0</v>
      </c>
      <c r="J43" t="s">
        <v>230</v>
      </c>
      <c r="K43" t="s">
        <v>217</v>
      </c>
      <c r="L43" t="s">
        <v>218</v>
      </c>
      <c r="M43" t="s">
        <v>219</v>
      </c>
      <c r="N43" s="19">
        <v>46262</v>
      </c>
      <c r="O43" t="s">
        <v>220</v>
      </c>
      <c r="P43">
        <v>1</v>
      </c>
      <c r="Q43" t="s">
        <v>347</v>
      </c>
    </row>
    <row r="44" spans="1:17" x14ac:dyDescent="0.3">
      <c r="A44" t="s">
        <v>348</v>
      </c>
      <c r="B44" t="s">
        <v>349</v>
      </c>
      <c r="C44" t="s">
        <v>289</v>
      </c>
      <c r="D44" t="s">
        <v>139</v>
      </c>
      <c r="E44" t="s">
        <v>140</v>
      </c>
      <c r="F44" t="s">
        <v>215</v>
      </c>
      <c r="H44">
        <v>1050</v>
      </c>
      <c r="I44">
        <v>0</v>
      </c>
      <c r="J44" t="s">
        <v>216</v>
      </c>
      <c r="K44" t="s">
        <v>217</v>
      </c>
      <c r="L44" t="s">
        <v>218</v>
      </c>
      <c r="M44" t="s">
        <v>219</v>
      </c>
      <c r="N44" s="19">
        <v>46262</v>
      </c>
      <c r="O44" t="s">
        <v>220</v>
      </c>
      <c r="P44">
        <v>1</v>
      </c>
      <c r="Q44" t="s">
        <v>350</v>
      </c>
    </row>
    <row r="45" spans="1:17" x14ac:dyDescent="0.3">
      <c r="A45" t="s">
        <v>351</v>
      </c>
      <c r="B45" t="s">
        <v>352</v>
      </c>
      <c r="C45" t="s">
        <v>289</v>
      </c>
      <c r="D45" t="s">
        <v>139</v>
      </c>
      <c r="E45" t="s">
        <v>140</v>
      </c>
      <c r="F45" t="s">
        <v>215</v>
      </c>
      <c r="H45">
        <v>2073.75</v>
      </c>
      <c r="I45">
        <v>0</v>
      </c>
      <c r="J45" t="s">
        <v>230</v>
      </c>
      <c r="K45" t="s">
        <v>217</v>
      </c>
      <c r="L45" t="s">
        <v>218</v>
      </c>
      <c r="M45" t="s">
        <v>219</v>
      </c>
      <c r="N45" s="19">
        <v>46262</v>
      </c>
      <c r="O45" t="s">
        <v>220</v>
      </c>
      <c r="P45">
        <v>1</v>
      </c>
      <c r="Q45" t="s">
        <v>353</v>
      </c>
    </row>
    <row r="46" spans="1:17" x14ac:dyDescent="0.3">
      <c r="A46" t="s">
        <v>354</v>
      </c>
      <c r="B46" t="s">
        <v>355</v>
      </c>
      <c r="C46" t="s">
        <v>289</v>
      </c>
      <c r="D46" t="s">
        <v>139</v>
      </c>
      <c r="E46" t="s">
        <v>140</v>
      </c>
      <c r="F46" t="s">
        <v>215</v>
      </c>
      <c r="H46">
        <v>2073.75</v>
      </c>
      <c r="I46">
        <v>0</v>
      </c>
      <c r="J46" t="s">
        <v>230</v>
      </c>
      <c r="K46" t="s">
        <v>217</v>
      </c>
      <c r="L46" t="s">
        <v>218</v>
      </c>
      <c r="M46" t="s">
        <v>219</v>
      </c>
      <c r="N46" s="19">
        <v>46262</v>
      </c>
      <c r="O46" t="s">
        <v>220</v>
      </c>
      <c r="P46">
        <v>1</v>
      </c>
      <c r="Q46" t="s">
        <v>356</v>
      </c>
    </row>
    <row r="47" spans="1:17" x14ac:dyDescent="0.3">
      <c r="A47" t="s">
        <v>357</v>
      </c>
      <c r="B47" t="s">
        <v>358</v>
      </c>
      <c r="C47" t="s">
        <v>289</v>
      </c>
      <c r="D47" t="s">
        <v>139</v>
      </c>
      <c r="E47" t="s">
        <v>140</v>
      </c>
      <c r="F47" t="s">
        <v>215</v>
      </c>
      <c r="H47">
        <v>1559.25</v>
      </c>
      <c r="I47">
        <v>0</v>
      </c>
      <c r="J47" t="s">
        <v>230</v>
      </c>
      <c r="K47" t="s">
        <v>217</v>
      </c>
      <c r="L47" t="s">
        <v>218</v>
      </c>
      <c r="M47" t="s">
        <v>219</v>
      </c>
      <c r="N47" s="19">
        <v>46262</v>
      </c>
      <c r="O47" t="s">
        <v>220</v>
      </c>
      <c r="P47">
        <v>1</v>
      </c>
      <c r="Q47" t="s">
        <v>359</v>
      </c>
    </row>
    <row r="48" spans="1:17" x14ac:dyDescent="0.3">
      <c r="A48" t="s">
        <v>360</v>
      </c>
      <c r="B48" t="s">
        <v>361</v>
      </c>
      <c r="C48" t="s">
        <v>289</v>
      </c>
      <c r="D48" t="s">
        <v>139</v>
      </c>
      <c r="E48" t="s">
        <v>140</v>
      </c>
      <c r="F48" t="s">
        <v>215</v>
      </c>
      <c r="H48">
        <v>1039.5</v>
      </c>
      <c r="I48">
        <v>0</v>
      </c>
      <c r="J48" t="s">
        <v>230</v>
      </c>
      <c r="K48" t="s">
        <v>217</v>
      </c>
      <c r="L48" t="s">
        <v>218</v>
      </c>
      <c r="M48" t="s">
        <v>219</v>
      </c>
      <c r="N48" s="19">
        <v>46262</v>
      </c>
      <c r="O48" t="s">
        <v>220</v>
      </c>
      <c r="P48">
        <v>1</v>
      </c>
      <c r="Q48" t="s">
        <v>362</v>
      </c>
    </row>
    <row r="49" spans="1:17" x14ac:dyDescent="0.3">
      <c r="A49" t="s">
        <v>363</v>
      </c>
      <c r="B49" t="s">
        <v>364</v>
      </c>
      <c r="C49" t="s">
        <v>289</v>
      </c>
      <c r="D49" t="s">
        <v>139</v>
      </c>
      <c r="E49" t="s">
        <v>140</v>
      </c>
      <c r="F49" t="s">
        <v>215</v>
      </c>
      <c r="H49">
        <v>1039.5</v>
      </c>
      <c r="I49">
        <v>0</v>
      </c>
      <c r="J49" t="s">
        <v>230</v>
      </c>
      <c r="K49" t="s">
        <v>217</v>
      </c>
      <c r="L49" t="s">
        <v>218</v>
      </c>
      <c r="M49" t="s">
        <v>219</v>
      </c>
      <c r="N49" s="19">
        <v>46262</v>
      </c>
      <c r="O49" t="s">
        <v>220</v>
      </c>
      <c r="P49">
        <v>1</v>
      </c>
      <c r="Q49" t="s">
        <v>365</v>
      </c>
    </row>
    <row r="50" spans="1:17" x14ac:dyDescent="0.3">
      <c r="A50" t="s">
        <v>366</v>
      </c>
      <c r="B50" t="s">
        <v>367</v>
      </c>
      <c r="C50" t="s">
        <v>289</v>
      </c>
      <c r="D50" t="s">
        <v>139</v>
      </c>
      <c r="E50" t="s">
        <v>140</v>
      </c>
      <c r="F50" t="s">
        <v>215</v>
      </c>
      <c r="H50">
        <v>1039.5</v>
      </c>
      <c r="I50">
        <v>0</v>
      </c>
      <c r="J50" t="s">
        <v>230</v>
      </c>
      <c r="K50" t="s">
        <v>217</v>
      </c>
      <c r="L50" t="s">
        <v>218</v>
      </c>
      <c r="M50" t="s">
        <v>219</v>
      </c>
      <c r="N50" s="19">
        <v>46262</v>
      </c>
      <c r="O50" t="s">
        <v>220</v>
      </c>
      <c r="P50">
        <v>1</v>
      </c>
      <c r="Q50" t="s">
        <v>368</v>
      </c>
    </row>
    <row r="51" spans="1:17" x14ac:dyDescent="0.3">
      <c r="A51" t="s">
        <v>369</v>
      </c>
      <c r="B51" t="s">
        <v>340</v>
      </c>
      <c r="C51" t="s">
        <v>289</v>
      </c>
      <c r="D51" t="s">
        <v>139</v>
      </c>
      <c r="E51" t="s">
        <v>140</v>
      </c>
      <c r="F51" t="s">
        <v>215</v>
      </c>
      <c r="H51">
        <v>1559.25</v>
      </c>
      <c r="I51">
        <v>0</v>
      </c>
      <c r="J51" t="s">
        <v>230</v>
      </c>
      <c r="K51" t="s">
        <v>217</v>
      </c>
      <c r="L51" t="s">
        <v>218</v>
      </c>
      <c r="M51" t="s">
        <v>219</v>
      </c>
      <c r="N51" s="19">
        <v>46262</v>
      </c>
      <c r="O51" t="s">
        <v>220</v>
      </c>
      <c r="P51">
        <v>1</v>
      </c>
      <c r="Q51" t="s">
        <v>370</v>
      </c>
    </row>
    <row r="52" spans="1:17" x14ac:dyDescent="0.3">
      <c r="A52" t="s">
        <v>371</v>
      </c>
      <c r="B52" t="s">
        <v>372</v>
      </c>
      <c r="C52" t="s">
        <v>289</v>
      </c>
      <c r="D52" t="s">
        <v>139</v>
      </c>
      <c r="E52" t="s">
        <v>140</v>
      </c>
      <c r="F52" t="s">
        <v>215</v>
      </c>
      <c r="H52">
        <v>1039.5</v>
      </c>
      <c r="I52">
        <v>0</v>
      </c>
      <c r="J52" t="s">
        <v>230</v>
      </c>
      <c r="K52" t="s">
        <v>217</v>
      </c>
      <c r="L52" t="s">
        <v>218</v>
      </c>
      <c r="M52" t="s">
        <v>219</v>
      </c>
      <c r="N52" s="19">
        <v>46262</v>
      </c>
      <c r="O52" t="s">
        <v>220</v>
      </c>
      <c r="P52">
        <v>1</v>
      </c>
      <c r="Q52" t="s">
        <v>373</v>
      </c>
    </row>
    <row r="53" spans="1:17" x14ac:dyDescent="0.3">
      <c r="A53" t="s">
        <v>374</v>
      </c>
      <c r="B53" t="s">
        <v>375</v>
      </c>
      <c r="C53" t="s">
        <v>289</v>
      </c>
      <c r="D53" t="s">
        <v>139</v>
      </c>
      <c r="E53" t="s">
        <v>140</v>
      </c>
      <c r="F53" t="s">
        <v>215</v>
      </c>
      <c r="H53">
        <v>1559.25</v>
      </c>
      <c r="I53">
        <v>0</v>
      </c>
      <c r="J53" t="s">
        <v>230</v>
      </c>
      <c r="K53" t="s">
        <v>217</v>
      </c>
      <c r="L53" t="s">
        <v>218</v>
      </c>
      <c r="M53" t="s">
        <v>219</v>
      </c>
      <c r="N53" s="19">
        <v>46262</v>
      </c>
      <c r="O53" t="s">
        <v>220</v>
      </c>
      <c r="P53">
        <v>1</v>
      </c>
      <c r="Q53" t="s">
        <v>376</v>
      </c>
    </row>
    <row r="54" spans="1:17" x14ac:dyDescent="0.3">
      <c r="A54" t="s">
        <v>377</v>
      </c>
      <c r="B54" t="s">
        <v>257</v>
      </c>
      <c r="C54" t="s">
        <v>214</v>
      </c>
      <c r="D54" t="s">
        <v>139</v>
      </c>
      <c r="E54" t="s">
        <v>140</v>
      </c>
      <c r="F54" t="s">
        <v>215</v>
      </c>
      <c r="H54">
        <v>70.349999999999994</v>
      </c>
      <c r="I54">
        <v>0</v>
      </c>
      <c r="J54" t="s">
        <v>230</v>
      </c>
      <c r="K54" t="s">
        <v>217</v>
      </c>
      <c r="L54" t="s">
        <v>218</v>
      </c>
      <c r="M54" t="s">
        <v>219</v>
      </c>
      <c r="N54" s="19">
        <v>46262</v>
      </c>
      <c r="O54" t="s">
        <v>220</v>
      </c>
      <c r="P54">
        <v>1</v>
      </c>
      <c r="Q54" t="s">
        <v>378</v>
      </c>
    </row>
    <row r="55" spans="1:17" x14ac:dyDescent="0.3">
      <c r="A55" t="s">
        <v>379</v>
      </c>
      <c r="B55" t="s">
        <v>260</v>
      </c>
      <c r="C55" t="s">
        <v>214</v>
      </c>
      <c r="D55" t="s">
        <v>139</v>
      </c>
      <c r="E55" t="s">
        <v>140</v>
      </c>
      <c r="F55" t="s">
        <v>215</v>
      </c>
      <c r="H55">
        <v>40.950000000000003</v>
      </c>
      <c r="I55">
        <v>0</v>
      </c>
      <c r="J55" t="s">
        <v>230</v>
      </c>
      <c r="K55" t="s">
        <v>217</v>
      </c>
      <c r="L55" t="s">
        <v>218</v>
      </c>
      <c r="M55" t="s">
        <v>219</v>
      </c>
      <c r="N55" s="19">
        <v>46262</v>
      </c>
      <c r="O55" t="s">
        <v>220</v>
      </c>
      <c r="P55">
        <v>1</v>
      </c>
      <c r="Q55" t="s">
        <v>380</v>
      </c>
    </row>
    <row r="56" spans="1:17" x14ac:dyDescent="0.3">
      <c r="A56" t="s">
        <v>381</v>
      </c>
      <c r="B56" t="s">
        <v>263</v>
      </c>
      <c r="C56" t="s">
        <v>214</v>
      </c>
      <c r="D56" t="s">
        <v>139</v>
      </c>
      <c r="E56" t="s">
        <v>140</v>
      </c>
      <c r="F56" t="s">
        <v>215</v>
      </c>
      <c r="H56">
        <v>8.4</v>
      </c>
      <c r="I56">
        <v>0</v>
      </c>
      <c r="J56" t="s">
        <v>230</v>
      </c>
      <c r="K56" t="s">
        <v>217</v>
      </c>
      <c r="L56" t="s">
        <v>218</v>
      </c>
      <c r="M56" t="s">
        <v>219</v>
      </c>
      <c r="N56" s="19">
        <v>46262</v>
      </c>
      <c r="O56" t="s">
        <v>220</v>
      </c>
      <c r="P56">
        <v>1</v>
      </c>
      <c r="Q56" t="s">
        <v>382</v>
      </c>
    </row>
    <row r="57" spans="1:17" x14ac:dyDescent="0.3">
      <c r="A57" t="s">
        <v>383</v>
      </c>
      <c r="B57" t="s">
        <v>266</v>
      </c>
      <c r="C57" t="s">
        <v>214</v>
      </c>
      <c r="D57" t="s">
        <v>139</v>
      </c>
      <c r="E57" t="s">
        <v>140</v>
      </c>
      <c r="F57" t="s">
        <v>215</v>
      </c>
      <c r="H57">
        <v>26.25</v>
      </c>
      <c r="I57">
        <v>0</v>
      </c>
      <c r="J57" t="s">
        <v>230</v>
      </c>
      <c r="K57" t="s">
        <v>217</v>
      </c>
      <c r="L57" t="s">
        <v>218</v>
      </c>
      <c r="M57" t="s">
        <v>219</v>
      </c>
      <c r="N57" s="19">
        <v>46262</v>
      </c>
      <c r="O57" t="s">
        <v>220</v>
      </c>
      <c r="P57">
        <v>1</v>
      </c>
      <c r="Q57" t="s">
        <v>384</v>
      </c>
    </row>
    <row r="58" spans="1:17" x14ac:dyDescent="0.3">
      <c r="A58" t="s">
        <v>385</v>
      </c>
      <c r="B58" t="s">
        <v>269</v>
      </c>
      <c r="C58" t="s">
        <v>214</v>
      </c>
      <c r="D58" t="s">
        <v>139</v>
      </c>
      <c r="E58" t="s">
        <v>140</v>
      </c>
      <c r="F58" t="s">
        <v>215</v>
      </c>
      <c r="H58">
        <v>3.15</v>
      </c>
      <c r="I58">
        <v>0</v>
      </c>
      <c r="J58" t="s">
        <v>230</v>
      </c>
      <c r="K58" t="s">
        <v>217</v>
      </c>
      <c r="L58" t="s">
        <v>218</v>
      </c>
      <c r="M58" t="s">
        <v>219</v>
      </c>
      <c r="N58" s="19">
        <v>46262</v>
      </c>
      <c r="O58" t="s">
        <v>220</v>
      </c>
      <c r="P58">
        <v>1</v>
      </c>
      <c r="Q58" t="s">
        <v>386</v>
      </c>
    </row>
    <row r="59" spans="1:17" x14ac:dyDescent="0.3">
      <c r="A59" t="s">
        <v>387</v>
      </c>
      <c r="B59" t="s">
        <v>272</v>
      </c>
      <c r="C59" t="s">
        <v>214</v>
      </c>
      <c r="D59" t="s">
        <v>139</v>
      </c>
      <c r="E59" t="s">
        <v>140</v>
      </c>
      <c r="F59" t="s">
        <v>215</v>
      </c>
      <c r="H59">
        <v>1.05</v>
      </c>
      <c r="I59">
        <v>0</v>
      </c>
      <c r="J59" t="s">
        <v>230</v>
      </c>
      <c r="K59" t="s">
        <v>217</v>
      </c>
      <c r="L59" t="s">
        <v>218</v>
      </c>
      <c r="M59" t="s">
        <v>219</v>
      </c>
      <c r="N59" s="19">
        <v>46262</v>
      </c>
      <c r="O59" t="s">
        <v>220</v>
      </c>
      <c r="P59">
        <v>1</v>
      </c>
      <c r="Q59" t="s">
        <v>388</v>
      </c>
    </row>
    <row r="60" spans="1:17" x14ac:dyDescent="0.3">
      <c r="A60" t="s">
        <v>389</v>
      </c>
      <c r="B60" t="s">
        <v>275</v>
      </c>
      <c r="C60" t="s">
        <v>214</v>
      </c>
      <c r="D60" t="s">
        <v>139</v>
      </c>
      <c r="E60" t="s">
        <v>140</v>
      </c>
      <c r="F60" t="s">
        <v>215</v>
      </c>
      <c r="H60">
        <v>1.05</v>
      </c>
      <c r="I60">
        <v>0</v>
      </c>
      <c r="J60" t="s">
        <v>216</v>
      </c>
      <c r="K60" t="s">
        <v>217</v>
      </c>
      <c r="L60" t="s">
        <v>218</v>
      </c>
      <c r="M60" t="s">
        <v>219</v>
      </c>
      <c r="N60" s="19">
        <v>46262</v>
      </c>
      <c r="O60" t="s">
        <v>220</v>
      </c>
      <c r="P60">
        <v>1</v>
      </c>
      <c r="Q60" t="s">
        <v>390</v>
      </c>
    </row>
    <row r="61" spans="1:17" x14ac:dyDescent="0.3">
      <c r="A61" t="s">
        <v>391</v>
      </c>
      <c r="B61" t="s">
        <v>278</v>
      </c>
      <c r="C61" t="s">
        <v>214</v>
      </c>
      <c r="D61" t="s">
        <v>139</v>
      </c>
      <c r="E61" t="s">
        <v>140</v>
      </c>
      <c r="F61" t="s">
        <v>215</v>
      </c>
      <c r="H61">
        <v>1.05</v>
      </c>
      <c r="I61">
        <v>0</v>
      </c>
      <c r="J61" t="s">
        <v>230</v>
      </c>
      <c r="K61" t="s">
        <v>217</v>
      </c>
      <c r="L61" t="s">
        <v>218</v>
      </c>
      <c r="M61" t="s">
        <v>219</v>
      </c>
      <c r="N61" s="19">
        <v>46262</v>
      </c>
      <c r="O61" t="s">
        <v>220</v>
      </c>
      <c r="P61">
        <v>1</v>
      </c>
      <c r="Q61" t="s">
        <v>392</v>
      </c>
    </row>
    <row r="62" spans="1:17" x14ac:dyDescent="0.3">
      <c r="A62" t="s">
        <v>393</v>
      </c>
      <c r="B62" t="s">
        <v>394</v>
      </c>
      <c r="C62" t="s">
        <v>214</v>
      </c>
      <c r="D62" t="s">
        <v>139</v>
      </c>
      <c r="E62" t="s">
        <v>140</v>
      </c>
      <c r="F62" t="s">
        <v>215</v>
      </c>
      <c r="H62">
        <v>0</v>
      </c>
      <c r="I62">
        <v>0</v>
      </c>
      <c r="J62" t="s">
        <v>230</v>
      </c>
      <c r="K62" t="s">
        <v>217</v>
      </c>
      <c r="L62" t="s">
        <v>218</v>
      </c>
      <c r="M62" t="s">
        <v>219</v>
      </c>
      <c r="N62" s="19">
        <v>46262</v>
      </c>
      <c r="O62" t="s">
        <v>220</v>
      </c>
      <c r="P62">
        <v>1</v>
      </c>
      <c r="Q62" t="s">
        <v>395</v>
      </c>
    </row>
    <row r="63" spans="1:17" x14ac:dyDescent="0.3">
      <c r="A63" t="s">
        <v>396</v>
      </c>
      <c r="B63" t="s">
        <v>397</v>
      </c>
      <c r="C63" t="s">
        <v>214</v>
      </c>
      <c r="D63" t="s">
        <v>139</v>
      </c>
      <c r="E63" t="s">
        <v>140</v>
      </c>
      <c r="F63" t="s">
        <v>215</v>
      </c>
      <c r="H63">
        <v>0</v>
      </c>
      <c r="I63">
        <v>0</v>
      </c>
      <c r="J63" t="s">
        <v>230</v>
      </c>
      <c r="K63" t="s">
        <v>217</v>
      </c>
      <c r="L63" t="s">
        <v>218</v>
      </c>
      <c r="M63" t="s">
        <v>219</v>
      </c>
      <c r="N63" s="19">
        <v>46262</v>
      </c>
      <c r="O63" t="s">
        <v>220</v>
      </c>
      <c r="P63">
        <v>1</v>
      </c>
      <c r="Q63" t="s">
        <v>398</v>
      </c>
    </row>
    <row r="64" spans="1:17" x14ac:dyDescent="0.3">
      <c r="A64" t="s">
        <v>399</v>
      </c>
      <c r="B64" t="s">
        <v>400</v>
      </c>
      <c r="C64" t="s">
        <v>214</v>
      </c>
      <c r="D64" t="s">
        <v>139</v>
      </c>
      <c r="E64" t="s">
        <v>140</v>
      </c>
      <c r="F64" t="s">
        <v>215</v>
      </c>
      <c r="H64">
        <v>0</v>
      </c>
      <c r="I64">
        <v>0</v>
      </c>
      <c r="J64" t="s">
        <v>230</v>
      </c>
      <c r="K64" t="s">
        <v>217</v>
      </c>
      <c r="L64" t="s">
        <v>218</v>
      </c>
      <c r="M64" t="s">
        <v>219</v>
      </c>
      <c r="N64" s="19">
        <v>46262</v>
      </c>
      <c r="O64" t="s">
        <v>220</v>
      </c>
      <c r="P64">
        <v>1</v>
      </c>
      <c r="Q64" t="s">
        <v>401</v>
      </c>
    </row>
    <row r="65" spans="1:17" x14ac:dyDescent="0.3">
      <c r="A65" t="s">
        <v>402</v>
      </c>
      <c r="B65" t="s">
        <v>403</v>
      </c>
      <c r="C65" t="s">
        <v>214</v>
      </c>
      <c r="D65" t="s">
        <v>139</v>
      </c>
      <c r="E65" t="s">
        <v>140</v>
      </c>
      <c r="F65" t="s">
        <v>215</v>
      </c>
      <c r="H65">
        <v>88.99</v>
      </c>
      <c r="I65">
        <v>0</v>
      </c>
      <c r="J65" t="s">
        <v>230</v>
      </c>
      <c r="K65" t="s">
        <v>217</v>
      </c>
      <c r="L65" t="s">
        <v>218</v>
      </c>
      <c r="M65" t="s">
        <v>219</v>
      </c>
      <c r="N65" s="19">
        <v>46262</v>
      </c>
      <c r="O65" t="s">
        <v>220</v>
      </c>
      <c r="P65">
        <v>1</v>
      </c>
      <c r="Q65" t="s">
        <v>404</v>
      </c>
    </row>
    <row r="66" spans="1:17" x14ac:dyDescent="0.3">
      <c r="A66" t="s">
        <v>405</v>
      </c>
      <c r="B66" t="s">
        <v>406</v>
      </c>
      <c r="C66" t="s">
        <v>214</v>
      </c>
      <c r="D66" t="s">
        <v>139</v>
      </c>
      <c r="E66" t="s">
        <v>140</v>
      </c>
      <c r="F66" t="s">
        <v>215</v>
      </c>
      <c r="H66">
        <v>149.82</v>
      </c>
      <c r="I66">
        <v>0</v>
      </c>
      <c r="J66" t="s">
        <v>230</v>
      </c>
      <c r="K66" t="s">
        <v>217</v>
      </c>
      <c r="L66" t="s">
        <v>218</v>
      </c>
      <c r="M66" t="s">
        <v>219</v>
      </c>
      <c r="N66" s="19">
        <v>46262</v>
      </c>
      <c r="O66" t="s">
        <v>220</v>
      </c>
      <c r="P66">
        <v>1</v>
      </c>
      <c r="Q66" t="s">
        <v>407</v>
      </c>
    </row>
    <row r="67" spans="1:17" x14ac:dyDescent="0.3">
      <c r="A67" t="s">
        <v>408</v>
      </c>
      <c r="B67" t="s">
        <v>409</v>
      </c>
      <c r="C67" t="s">
        <v>214</v>
      </c>
      <c r="D67" t="s">
        <v>139</v>
      </c>
      <c r="E67" t="s">
        <v>140</v>
      </c>
      <c r="F67" t="s">
        <v>215</v>
      </c>
      <c r="H67">
        <v>96.48</v>
      </c>
      <c r="I67">
        <v>0</v>
      </c>
      <c r="J67" t="s">
        <v>230</v>
      </c>
      <c r="K67" t="s">
        <v>217</v>
      </c>
      <c r="L67" t="s">
        <v>218</v>
      </c>
      <c r="M67" t="s">
        <v>219</v>
      </c>
      <c r="N67" s="19">
        <v>46262</v>
      </c>
      <c r="O67" t="s">
        <v>220</v>
      </c>
      <c r="P67">
        <v>1</v>
      </c>
      <c r="Q67" t="s">
        <v>410</v>
      </c>
    </row>
    <row r="68" spans="1:17" x14ac:dyDescent="0.3">
      <c r="A68" t="s">
        <v>411</v>
      </c>
      <c r="B68" t="s">
        <v>412</v>
      </c>
      <c r="C68" t="s">
        <v>214</v>
      </c>
      <c r="D68" t="s">
        <v>139</v>
      </c>
      <c r="E68" t="s">
        <v>140</v>
      </c>
      <c r="F68" t="s">
        <v>215</v>
      </c>
      <c r="H68">
        <v>123.58</v>
      </c>
      <c r="I68">
        <v>0</v>
      </c>
      <c r="J68" t="s">
        <v>230</v>
      </c>
      <c r="K68" t="s">
        <v>217</v>
      </c>
      <c r="L68" t="s">
        <v>218</v>
      </c>
      <c r="M68" t="s">
        <v>219</v>
      </c>
      <c r="N68" s="19">
        <v>46262</v>
      </c>
      <c r="O68" t="s">
        <v>220</v>
      </c>
      <c r="P68">
        <v>1</v>
      </c>
      <c r="Q68" t="s">
        <v>413</v>
      </c>
    </row>
    <row r="69" spans="1:17" x14ac:dyDescent="0.3">
      <c r="A69" t="s">
        <v>414</v>
      </c>
      <c r="B69" t="s">
        <v>415</v>
      </c>
      <c r="C69" t="s">
        <v>289</v>
      </c>
      <c r="D69" t="s">
        <v>139</v>
      </c>
      <c r="E69" t="s">
        <v>140</v>
      </c>
      <c r="F69" t="s">
        <v>215</v>
      </c>
      <c r="H69">
        <v>13074.35</v>
      </c>
      <c r="I69">
        <v>0</v>
      </c>
      <c r="J69" t="s">
        <v>230</v>
      </c>
      <c r="K69" t="s">
        <v>217</v>
      </c>
      <c r="L69" t="s">
        <v>218</v>
      </c>
      <c r="M69" t="s">
        <v>219</v>
      </c>
      <c r="N69" s="19">
        <v>46262</v>
      </c>
      <c r="O69" t="s">
        <v>220</v>
      </c>
      <c r="P69">
        <v>1</v>
      </c>
      <c r="Q69" t="s">
        <v>416</v>
      </c>
    </row>
    <row r="70" spans="1:17" x14ac:dyDescent="0.3">
      <c r="A70" t="s">
        <v>417</v>
      </c>
      <c r="B70" t="s">
        <v>418</v>
      </c>
      <c r="C70" t="s">
        <v>214</v>
      </c>
      <c r="D70" t="s">
        <v>139</v>
      </c>
      <c r="E70" t="s">
        <v>140</v>
      </c>
      <c r="F70" t="s">
        <v>215</v>
      </c>
      <c r="H70">
        <v>190.9</v>
      </c>
      <c r="I70">
        <v>0</v>
      </c>
      <c r="J70" t="s">
        <v>216</v>
      </c>
      <c r="K70" t="s">
        <v>217</v>
      </c>
      <c r="L70" t="s">
        <v>218</v>
      </c>
      <c r="M70" t="s">
        <v>219</v>
      </c>
      <c r="N70" s="19">
        <v>46262</v>
      </c>
      <c r="O70" t="s">
        <v>220</v>
      </c>
      <c r="P70">
        <v>1</v>
      </c>
      <c r="Q70" t="s">
        <v>419</v>
      </c>
    </row>
    <row r="71" spans="1:17" x14ac:dyDescent="0.3">
      <c r="A71" t="s">
        <v>420</v>
      </c>
      <c r="B71" t="s">
        <v>421</v>
      </c>
      <c r="C71" t="s">
        <v>214</v>
      </c>
      <c r="D71" t="s">
        <v>139</v>
      </c>
      <c r="E71" t="s">
        <v>140</v>
      </c>
      <c r="F71" t="s">
        <v>215</v>
      </c>
      <c r="H71">
        <v>0</v>
      </c>
      <c r="I71">
        <v>0</v>
      </c>
      <c r="J71" t="s">
        <v>230</v>
      </c>
      <c r="K71" t="s">
        <v>217</v>
      </c>
      <c r="L71" t="s">
        <v>218</v>
      </c>
      <c r="M71" t="s">
        <v>219</v>
      </c>
      <c r="N71" s="19">
        <v>46262</v>
      </c>
      <c r="O71" t="s">
        <v>220</v>
      </c>
      <c r="P71">
        <v>1</v>
      </c>
      <c r="Q71" t="s">
        <v>422</v>
      </c>
    </row>
    <row r="72" spans="1:17" x14ac:dyDescent="0.3">
      <c r="A72" t="s">
        <v>423</v>
      </c>
      <c r="B72" t="s">
        <v>424</v>
      </c>
      <c r="C72" t="s">
        <v>214</v>
      </c>
      <c r="D72" t="s">
        <v>139</v>
      </c>
      <c r="E72" t="s">
        <v>140</v>
      </c>
      <c r="F72" t="s">
        <v>215</v>
      </c>
      <c r="H72">
        <v>98.96</v>
      </c>
      <c r="I72">
        <v>0</v>
      </c>
      <c r="J72" t="s">
        <v>230</v>
      </c>
      <c r="K72" t="s">
        <v>217</v>
      </c>
      <c r="L72" t="s">
        <v>218</v>
      </c>
      <c r="M72" t="s">
        <v>219</v>
      </c>
      <c r="N72" s="19">
        <v>46262</v>
      </c>
      <c r="O72" t="s">
        <v>220</v>
      </c>
      <c r="P72">
        <v>1</v>
      </c>
      <c r="Q72" t="s">
        <v>425</v>
      </c>
    </row>
    <row r="73" spans="1:17" x14ac:dyDescent="0.3">
      <c r="A73" t="s">
        <v>426</v>
      </c>
      <c r="B73" t="s">
        <v>427</v>
      </c>
      <c r="C73" t="s">
        <v>214</v>
      </c>
      <c r="D73" t="s">
        <v>139</v>
      </c>
      <c r="E73" t="s">
        <v>140</v>
      </c>
      <c r="F73" t="s">
        <v>215</v>
      </c>
      <c r="H73">
        <v>0</v>
      </c>
      <c r="I73">
        <v>0</v>
      </c>
      <c r="J73" t="s">
        <v>230</v>
      </c>
      <c r="K73" t="s">
        <v>217</v>
      </c>
      <c r="L73" t="s">
        <v>218</v>
      </c>
      <c r="M73" t="s">
        <v>219</v>
      </c>
      <c r="N73" s="19">
        <v>46262</v>
      </c>
      <c r="O73" t="s">
        <v>220</v>
      </c>
      <c r="P73">
        <v>1</v>
      </c>
      <c r="Q73" t="s">
        <v>428</v>
      </c>
    </row>
    <row r="74" spans="1:17" x14ac:dyDescent="0.3">
      <c r="A74" t="s">
        <v>429</v>
      </c>
      <c r="B74" t="s">
        <v>430</v>
      </c>
      <c r="C74" t="s">
        <v>214</v>
      </c>
      <c r="D74" t="s">
        <v>139</v>
      </c>
      <c r="E74" t="s">
        <v>140</v>
      </c>
      <c r="F74" t="s">
        <v>215</v>
      </c>
      <c r="H74">
        <v>0</v>
      </c>
      <c r="I74">
        <v>0</v>
      </c>
      <c r="J74" t="s">
        <v>230</v>
      </c>
      <c r="K74" t="s">
        <v>217</v>
      </c>
      <c r="L74" t="s">
        <v>218</v>
      </c>
      <c r="M74" t="s">
        <v>219</v>
      </c>
      <c r="N74" s="19">
        <v>46262</v>
      </c>
      <c r="O74" t="s">
        <v>220</v>
      </c>
      <c r="P74">
        <v>1</v>
      </c>
      <c r="Q74" t="s">
        <v>431</v>
      </c>
    </row>
    <row r="75" spans="1:17" x14ac:dyDescent="0.3">
      <c r="A75" t="s">
        <v>432</v>
      </c>
      <c r="B75" t="s">
        <v>433</v>
      </c>
      <c r="C75" t="s">
        <v>214</v>
      </c>
      <c r="D75" t="s">
        <v>139</v>
      </c>
      <c r="E75" t="s">
        <v>140</v>
      </c>
      <c r="F75" t="s">
        <v>215</v>
      </c>
      <c r="H75">
        <v>0</v>
      </c>
      <c r="I75">
        <v>0</v>
      </c>
      <c r="J75" t="s">
        <v>230</v>
      </c>
      <c r="K75" t="s">
        <v>217</v>
      </c>
      <c r="L75" t="s">
        <v>218</v>
      </c>
      <c r="M75" t="s">
        <v>219</v>
      </c>
      <c r="N75" s="19">
        <v>46262</v>
      </c>
      <c r="O75" t="s">
        <v>220</v>
      </c>
      <c r="P75">
        <v>1</v>
      </c>
      <c r="Q75" t="s">
        <v>434</v>
      </c>
    </row>
    <row r="76" spans="1:17" x14ac:dyDescent="0.3">
      <c r="A76" t="s">
        <v>435</v>
      </c>
      <c r="B76" t="s">
        <v>436</v>
      </c>
      <c r="C76" t="s">
        <v>214</v>
      </c>
      <c r="D76" t="s">
        <v>139</v>
      </c>
      <c r="E76" t="s">
        <v>140</v>
      </c>
      <c r="F76" t="s">
        <v>215</v>
      </c>
      <c r="H76">
        <v>114.84</v>
      </c>
      <c r="I76">
        <v>0</v>
      </c>
      <c r="J76" t="s">
        <v>230</v>
      </c>
      <c r="K76" t="s">
        <v>217</v>
      </c>
      <c r="L76" t="s">
        <v>218</v>
      </c>
      <c r="M76" t="s">
        <v>219</v>
      </c>
      <c r="N76" s="19">
        <v>46262</v>
      </c>
      <c r="O76" t="s">
        <v>220</v>
      </c>
      <c r="P76">
        <v>1</v>
      </c>
      <c r="Q76" t="s">
        <v>437</v>
      </c>
    </row>
    <row r="77" spans="1:17" x14ac:dyDescent="0.3">
      <c r="A77" t="s">
        <v>438</v>
      </c>
      <c r="B77" t="s">
        <v>439</v>
      </c>
      <c r="C77" t="s">
        <v>214</v>
      </c>
      <c r="D77" t="s">
        <v>139</v>
      </c>
      <c r="E77" t="s">
        <v>140</v>
      </c>
      <c r="F77" t="s">
        <v>215</v>
      </c>
      <c r="H77">
        <v>52.25</v>
      </c>
      <c r="I77">
        <v>0</v>
      </c>
      <c r="J77" t="s">
        <v>230</v>
      </c>
      <c r="K77" t="s">
        <v>217</v>
      </c>
      <c r="L77" t="s">
        <v>218</v>
      </c>
      <c r="M77" t="s">
        <v>219</v>
      </c>
      <c r="N77" s="19">
        <v>46262</v>
      </c>
      <c r="O77" t="s">
        <v>220</v>
      </c>
      <c r="P77">
        <v>1</v>
      </c>
      <c r="Q77" t="s">
        <v>440</v>
      </c>
    </row>
    <row r="78" spans="1:17" x14ac:dyDescent="0.3">
      <c r="A78" t="s">
        <v>441</v>
      </c>
      <c r="B78" t="s">
        <v>442</v>
      </c>
      <c r="C78" t="s">
        <v>214</v>
      </c>
      <c r="D78" t="s">
        <v>139</v>
      </c>
      <c r="E78" t="s">
        <v>140</v>
      </c>
      <c r="F78" t="s">
        <v>215</v>
      </c>
      <c r="H78">
        <v>0</v>
      </c>
      <c r="I78">
        <v>0</v>
      </c>
      <c r="J78" t="s">
        <v>230</v>
      </c>
      <c r="K78" t="s">
        <v>217</v>
      </c>
      <c r="L78" t="s">
        <v>218</v>
      </c>
      <c r="M78" t="s">
        <v>219</v>
      </c>
      <c r="N78" s="19">
        <v>46262</v>
      </c>
      <c r="O78" t="s">
        <v>220</v>
      </c>
      <c r="P78">
        <v>1</v>
      </c>
      <c r="Q78" t="s">
        <v>443</v>
      </c>
    </row>
    <row r="79" spans="1:17" x14ac:dyDescent="0.3">
      <c r="A79" t="s">
        <v>444</v>
      </c>
      <c r="B79" t="s">
        <v>445</v>
      </c>
      <c r="C79" t="s">
        <v>214</v>
      </c>
      <c r="D79" t="s">
        <v>139</v>
      </c>
      <c r="E79" t="s">
        <v>140</v>
      </c>
      <c r="F79" t="s">
        <v>215</v>
      </c>
      <c r="H79">
        <v>30.63</v>
      </c>
      <c r="I79">
        <v>0</v>
      </c>
      <c r="J79" t="s">
        <v>230</v>
      </c>
      <c r="K79" t="s">
        <v>217</v>
      </c>
      <c r="L79" t="s">
        <v>218</v>
      </c>
      <c r="M79" t="s">
        <v>219</v>
      </c>
      <c r="N79" s="19">
        <v>46262</v>
      </c>
      <c r="O79" t="s">
        <v>220</v>
      </c>
      <c r="P79">
        <v>1</v>
      </c>
      <c r="Q79" t="s">
        <v>446</v>
      </c>
    </row>
    <row r="80" spans="1:17" x14ac:dyDescent="0.3">
      <c r="A80" t="s">
        <v>447</v>
      </c>
      <c r="B80" t="s">
        <v>448</v>
      </c>
      <c r="C80" t="s">
        <v>289</v>
      </c>
      <c r="D80" t="s">
        <v>139</v>
      </c>
      <c r="E80" t="s">
        <v>140</v>
      </c>
      <c r="F80" t="s">
        <v>215</v>
      </c>
      <c r="H80">
        <v>10207.56</v>
      </c>
      <c r="I80">
        <v>0</v>
      </c>
      <c r="J80" t="s">
        <v>230</v>
      </c>
      <c r="K80" t="s">
        <v>217</v>
      </c>
      <c r="L80" t="s">
        <v>218</v>
      </c>
      <c r="M80" t="s">
        <v>219</v>
      </c>
      <c r="N80" s="19">
        <v>46262</v>
      </c>
      <c r="O80" t="s">
        <v>220</v>
      </c>
      <c r="P80">
        <v>1</v>
      </c>
      <c r="Q80" t="s">
        <v>449</v>
      </c>
    </row>
    <row r="81" spans="1:18" x14ac:dyDescent="0.3">
      <c r="A81" t="s">
        <v>450</v>
      </c>
      <c r="B81" t="s">
        <v>451</v>
      </c>
      <c r="C81" t="s">
        <v>214</v>
      </c>
      <c r="D81" t="s">
        <v>139</v>
      </c>
      <c r="E81" t="s">
        <v>140</v>
      </c>
      <c r="F81" t="s">
        <v>215</v>
      </c>
      <c r="H81">
        <v>76.52</v>
      </c>
      <c r="I81">
        <v>0</v>
      </c>
      <c r="J81" t="s">
        <v>230</v>
      </c>
      <c r="K81" t="s">
        <v>217</v>
      </c>
      <c r="L81" t="s">
        <v>218</v>
      </c>
      <c r="M81" t="s">
        <v>219</v>
      </c>
      <c r="N81" s="19">
        <v>46262</v>
      </c>
      <c r="O81" t="s">
        <v>220</v>
      </c>
      <c r="P81">
        <v>1</v>
      </c>
      <c r="Q81" t="s">
        <v>452</v>
      </c>
    </row>
    <row r="82" spans="1:18" x14ac:dyDescent="0.3">
      <c r="A82" t="s">
        <v>453</v>
      </c>
      <c r="B82" t="s">
        <v>454</v>
      </c>
      <c r="C82" t="s">
        <v>214</v>
      </c>
      <c r="D82" t="s">
        <v>139</v>
      </c>
      <c r="E82" t="s">
        <v>140</v>
      </c>
      <c r="F82" t="s">
        <v>215</v>
      </c>
      <c r="H82">
        <v>0</v>
      </c>
      <c r="I82">
        <v>0</v>
      </c>
      <c r="J82" t="s">
        <v>230</v>
      </c>
      <c r="K82" t="s">
        <v>217</v>
      </c>
      <c r="L82" t="s">
        <v>218</v>
      </c>
      <c r="M82" t="s">
        <v>219</v>
      </c>
      <c r="N82" s="19">
        <v>46262</v>
      </c>
      <c r="O82" t="s">
        <v>220</v>
      </c>
      <c r="P82">
        <v>1</v>
      </c>
      <c r="Q82" t="s">
        <v>455</v>
      </c>
    </row>
    <row r="83" spans="1:18" x14ac:dyDescent="0.3">
      <c r="A83" t="s">
        <v>456</v>
      </c>
      <c r="B83" t="s">
        <v>457</v>
      </c>
      <c r="C83" t="s">
        <v>214</v>
      </c>
      <c r="D83" t="s">
        <v>139</v>
      </c>
      <c r="E83" t="s">
        <v>140</v>
      </c>
      <c r="F83" t="s">
        <v>215</v>
      </c>
      <c r="H83">
        <v>0</v>
      </c>
      <c r="I83">
        <v>0</v>
      </c>
      <c r="J83" t="s">
        <v>230</v>
      </c>
      <c r="K83" t="s">
        <v>217</v>
      </c>
      <c r="L83" t="s">
        <v>218</v>
      </c>
      <c r="M83" t="s">
        <v>219</v>
      </c>
      <c r="N83" s="19">
        <v>46262</v>
      </c>
      <c r="O83" t="s">
        <v>220</v>
      </c>
      <c r="P83">
        <v>1</v>
      </c>
      <c r="Q83" t="s">
        <v>458</v>
      </c>
    </row>
    <row r="84" spans="1:18" x14ac:dyDescent="0.3">
      <c r="A84" t="s">
        <v>459</v>
      </c>
      <c r="B84" t="s">
        <v>460</v>
      </c>
      <c r="C84" t="s">
        <v>461</v>
      </c>
      <c r="D84" t="s">
        <v>139</v>
      </c>
      <c r="E84" t="s">
        <v>140</v>
      </c>
      <c r="F84" t="s">
        <v>215</v>
      </c>
      <c r="H84">
        <v>16168.42</v>
      </c>
      <c r="I84">
        <v>0</v>
      </c>
      <c r="J84" t="s">
        <v>230</v>
      </c>
      <c r="K84" t="s">
        <v>48</v>
      </c>
      <c r="L84" t="s">
        <v>218</v>
      </c>
      <c r="M84" t="s">
        <v>219</v>
      </c>
      <c r="N84" s="19">
        <v>46262</v>
      </c>
      <c r="O84" t="s">
        <v>220</v>
      </c>
      <c r="P84">
        <v>1</v>
      </c>
      <c r="Q84" t="s">
        <v>462</v>
      </c>
    </row>
    <row r="85" spans="1:18" x14ac:dyDescent="0.3">
      <c r="A85" t="s">
        <v>463</v>
      </c>
      <c r="B85" t="s">
        <v>464</v>
      </c>
      <c r="C85" t="s">
        <v>289</v>
      </c>
      <c r="D85" t="s">
        <v>139</v>
      </c>
      <c r="E85" t="s">
        <v>140</v>
      </c>
      <c r="F85" t="s">
        <v>215</v>
      </c>
      <c r="H85">
        <v>23438.15</v>
      </c>
      <c r="I85">
        <v>0</v>
      </c>
      <c r="J85" t="s">
        <v>230</v>
      </c>
      <c r="K85" t="s">
        <v>48</v>
      </c>
      <c r="L85" t="s">
        <v>218</v>
      </c>
      <c r="M85" t="s">
        <v>219</v>
      </c>
      <c r="N85" s="19">
        <v>46262</v>
      </c>
      <c r="O85" t="s">
        <v>220</v>
      </c>
      <c r="P85">
        <v>1</v>
      </c>
      <c r="Q85" t="s">
        <v>465</v>
      </c>
    </row>
    <row r="86" spans="1:18" x14ac:dyDescent="0.3">
      <c r="A86" t="s">
        <v>466</v>
      </c>
      <c r="B86" t="s">
        <v>467</v>
      </c>
      <c r="C86" t="s">
        <v>214</v>
      </c>
      <c r="D86" t="s">
        <v>139</v>
      </c>
      <c r="E86" t="s">
        <v>140</v>
      </c>
      <c r="F86" t="s">
        <v>215</v>
      </c>
      <c r="H86">
        <v>17.8</v>
      </c>
      <c r="I86">
        <v>0</v>
      </c>
      <c r="J86" t="s">
        <v>230</v>
      </c>
      <c r="K86" t="s">
        <v>48</v>
      </c>
      <c r="L86" t="s">
        <v>218</v>
      </c>
      <c r="M86" t="s">
        <v>219</v>
      </c>
      <c r="N86" s="19">
        <v>46262</v>
      </c>
      <c r="O86" t="s">
        <v>220</v>
      </c>
      <c r="P86">
        <v>1</v>
      </c>
      <c r="Q86" t="s">
        <v>468</v>
      </c>
    </row>
    <row r="87" spans="1:18" x14ac:dyDescent="0.3">
      <c r="A87" t="s">
        <v>469</v>
      </c>
      <c r="B87" t="s">
        <v>470</v>
      </c>
      <c r="C87" t="s">
        <v>289</v>
      </c>
      <c r="D87" t="s">
        <v>139</v>
      </c>
      <c r="E87" t="s">
        <v>140</v>
      </c>
      <c r="F87" t="s">
        <v>215</v>
      </c>
      <c r="H87">
        <v>132501.92000000001</v>
      </c>
      <c r="I87">
        <v>0</v>
      </c>
      <c r="J87" t="s">
        <v>230</v>
      </c>
      <c r="K87" t="s">
        <v>217</v>
      </c>
      <c r="L87" t="s">
        <v>218</v>
      </c>
      <c r="M87" t="s">
        <v>219</v>
      </c>
      <c r="N87" s="19">
        <v>46262</v>
      </c>
      <c r="O87" t="s">
        <v>220</v>
      </c>
      <c r="P87">
        <v>1</v>
      </c>
      <c r="Q87" t="s">
        <v>471</v>
      </c>
    </row>
    <row r="88" spans="1:18" x14ac:dyDescent="0.3">
      <c r="A88" t="s">
        <v>472</v>
      </c>
      <c r="B88" t="s">
        <v>473</v>
      </c>
      <c r="C88" t="s">
        <v>289</v>
      </c>
      <c r="D88" t="s">
        <v>139</v>
      </c>
      <c r="E88" t="s">
        <v>140</v>
      </c>
      <c r="F88" t="s">
        <v>215</v>
      </c>
      <c r="H88">
        <v>134515.32999999999</v>
      </c>
      <c r="I88">
        <v>0</v>
      </c>
      <c r="J88" t="s">
        <v>230</v>
      </c>
      <c r="K88" t="s">
        <v>217</v>
      </c>
      <c r="L88" t="s">
        <v>218</v>
      </c>
      <c r="M88" t="s">
        <v>219</v>
      </c>
      <c r="N88" s="19">
        <v>46262</v>
      </c>
      <c r="O88" t="s">
        <v>220</v>
      </c>
      <c r="P88">
        <v>1</v>
      </c>
      <c r="Q88" t="s">
        <v>474</v>
      </c>
    </row>
    <row r="89" spans="1:18" x14ac:dyDescent="0.3">
      <c r="A89" t="s">
        <v>475</v>
      </c>
      <c r="B89" t="s">
        <v>476</v>
      </c>
      <c r="C89" t="s">
        <v>477</v>
      </c>
      <c r="D89" t="s">
        <v>139</v>
      </c>
      <c r="E89" t="s">
        <v>140</v>
      </c>
      <c r="F89" t="s">
        <v>215</v>
      </c>
      <c r="H89">
        <v>137099.85999999999</v>
      </c>
      <c r="I89">
        <v>0</v>
      </c>
      <c r="J89" t="s">
        <v>230</v>
      </c>
      <c r="K89" t="s">
        <v>217</v>
      </c>
      <c r="L89" t="s">
        <v>218</v>
      </c>
      <c r="M89" t="s">
        <v>219</v>
      </c>
      <c r="N89" s="19">
        <v>46262</v>
      </c>
      <c r="O89" t="s">
        <v>220</v>
      </c>
      <c r="P89">
        <v>1</v>
      </c>
      <c r="Q89" t="s">
        <v>478</v>
      </c>
    </row>
    <row r="90" spans="1:18" x14ac:dyDescent="0.3">
      <c r="A90" t="s">
        <v>479</v>
      </c>
      <c r="B90" t="s">
        <v>400</v>
      </c>
      <c r="C90" t="s">
        <v>289</v>
      </c>
      <c r="D90" t="s">
        <v>139</v>
      </c>
      <c r="E90" t="s">
        <v>140</v>
      </c>
      <c r="F90" t="s">
        <v>215</v>
      </c>
      <c r="H90">
        <v>134499.93</v>
      </c>
      <c r="I90">
        <v>0</v>
      </c>
      <c r="J90" t="s">
        <v>230</v>
      </c>
      <c r="K90" t="s">
        <v>217</v>
      </c>
      <c r="L90" t="s">
        <v>218</v>
      </c>
      <c r="M90" t="s">
        <v>219</v>
      </c>
      <c r="N90" s="19">
        <v>46262</v>
      </c>
      <c r="O90" t="s">
        <v>220</v>
      </c>
      <c r="P90">
        <v>1</v>
      </c>
      <c r="Q90" t="s">
        <v>480</v>
      </c>
    </row>
    <row r="91" spans="1:18" x14ac:dyDescent="0.3">
      <c r="A91" t="s">
        <v>481</v>
      </c>
      <c r="B91" t="s">
        <v>482</v>
      </c>
      <c r="C91" t="s">
        <v>289</v>
      </c>
      <c r="D91" t="s">
        <v>139</v>
      </c>
      <c r="E91" t="s">
        <v>140</v>
      </c>
      <c r="F91" t="s">
        <v>215</v>
      </c>
      <c r="H91">
        <v>135524.49</v>
      </c>
      <c r="I91">
        <v>0</v>
      </c>
      <c r="J91" t="s">
        <v>230</v>
      </c>
      <c r="K91" t="s">
        <v>217</v>
      </c>
      <c r="L91" t="s">
        <v>218</v>
      </c>
      <c r="M91" t="s">
        <v>219</v>
      </c>
      <c r="N91" s="19">
        <v>46262</v>
      </c>
      <c r="O91" t="s">
        <v>220</v>
      </c>
      <c r="P91">
        <v>1</v>
      </c>
      <c r="Q91" t="s">
        <v>483</v>
      </c>
    </row>
    <row r="92" spans="1:18" x14ac:dyDescent="0.3">
      <c r="A92" t="s">
        <v>484</v>
      </c>
      <c r="B92" t="s">
        <v>485</v>
      </c>
      <c r="C92" t="s">
        <v>289</v>
      </c>
      <c r="D92" t="s">
        <v>139</v>
      </c>
      <c r="E92" t="s">
        <v>140</v>
      </c>
      <c r="F92" t="s">
        <v>215</v>
      </c>
      <c r="H92">
        <v>134002.26</v>
      </c>
      <c r="I92">
        <v>0</v>
      </c>
      <c r="J92" t="s">
        <v>230</v>
      </c>
      <c r="K92" t="s">
        <v>217</v>
      </c>
      <c r="L92" t="s">
        <v>218</v>
      </c>
      <c r="M92" t="s">
        <v>219</v>
      </c>
      <c r="N92" s="19">
        <v>46262</v>
      </c>
      <c r="O92" t="s">
        <v>220</v>
      </c>
      <c r="P92">
        <v>1</v>
      </c>
      <c r="Q92" t="s">
        <v>486</v>
      </c>
    </row>
    <row r="93" spans="1:18" x14ac:dyDescent="0.3">
      <c r="A93" t="s">
        <v>487</v>
      </c>
      <c r="B93" t="s">
        <v>488</v>
      </c>
      <c r="C93" t="s">
        <v>289</v>
      </c>
      <c r="D93" t="s">
        <v>139</v>
      </c>
      <c r="E93" t="s">
        <v>140</v>
      </c>
      <c r="F93" t="s">
        <v>215</v>
      </c>
      <c r="H93">
        <v>852600</v>
      </c>
      <c r="I93">
        <v>0</v>
      </c>
      <c r="J93" t="s">
        <v>230</v>
      </c>
      <c r="K93" t="s">
        <v>217</v>
      </c>
      <c r="L93" t="s">
        <v>218</v>
      </c>
      <c r="M93" t="s">
        <v>219</v>
      </c>
      <c r="N93" s="19">
        <v>46262</v>
      </c>
      <c r="O93" t="s">
        <v>220</v>
      </c>
      <c r="P93">
        <v>1</v>
      </c>
      <c r="Q93" t="s">
        <v>489</v>
      </c>
    </row>
    <row r="94" spans="1:18" x14ac:dyDescent="0.3">
      <c r="A94" t="s">
        <v>490</v>
      </c>
      <c r="B94" t="s">
        <v>491</v>
      </c>
      <c r="C94" t="s">
        <v>214</v>
      </c>
      <c r="D94" t="s">
        <v>141</v>
      </c>
      <c r="E94" t="s">
        <v>142</v>
      </c>
      <c r="F94" t="s">
        <v>215</v>
      </c>
      <c r="H94">
        <v>313.2</v>
      </c>
      <c r="I94">
        <v>0</v>
      </c>
      <c r="J94" t="s">
        <v>230</v>
      </c>
      <c r="K94" t="s">
        <v>492</v>
      </c>
      <c r="L94" t="s">
        <v>218</v>
      </c>
      <c r="M94" t="s">
        <v>219</v>
      </c>
      <c r="N94" s="19">
        <v>46262</v>
      </c>
      <c r="O94" t="s">
        <v>220</v>
      </c>
      <c r="P94">
        <v>2</v>
      </c>
      <c r="Q94" t="s">
        <v>493</v>
      </c>
      <c r="R94" t="s">
        <v>92</v>
      </c>
    </row>
    <row r="95" spans="1:18" x14ac:dyDescent="0.3">
      <c r="A95" t="s">
        <v>494</v>
      </c>
      <c r="B95" t="s">
        <v>495</v>
      </c>
      <c r="C95" t="s">
        <v>214</v>
      </c>
      <c r="D95" t="s">
        <v>141</v>
      </c>
      <c r="E95" t="s">
        <v>142</v>
      </c>
      <c r="F95" t="s">
        <v>215</v>
      </c>
      <c r="H95">
        <v>574.75</v>
      </c>
      <c r="I95">
        <v>0</v>
      </c>
      <c r="J95" t="s">
        <v>230</v>
      </c>
      <c r="K95" t="s">
        <v>492</v>
      </c>
      <c r="L95" t="s">
        <v>218</v>
      </c>
      <c r="M95" t="s">
        <v>219</v>
      </c>
      <c r="N95" s="19">
        <v>46262</v>
      </c>
      <c r="O95" t="s">
        <v>220</v>
      </c>
      <c r="P95">
        <v>1</v>
      </c>
      <c r="Q95" t="s">
        <v>496</v>
      </c>
    </row>
    <row r="96" spans="1:18" x14ac:dyDescent="0.3">
      <c r="A96" t="s">
        <v>497</v>
      </c>
      <c r="B96" t="s">
        <v>498</v>
      </c>
      <c r="C96" t="s">
        <v>214</v>
      </c>
      <c r="D96" t="s">
        <v>141</v>
      </c>
      <c r="E96" t="s">
        <v>142</v>
      </c>
      <c r="F96" t="s">
        <v>215</v>
      </c>
      <c r="H96">
        <v>318.72000000000003</v>
      </c>
      <c r="I96">
        <v>0</v>
      </c>
      <c r="J96" t="s">
        <v>230</v>
      </c>
      <c r="K96" t="s">
        <v>492</v>
      </c>
      <c r="L96" t="s">
        <v>218</v>
      </c>
      <c r="M96" t="s">
        <v>219</v>
      </c>
      <c r="N96" s="19">
        <v>46262</v>
      </c>
      <c r="O96" t="s">
        <v>220</v>
      </c>
      <c r="P96">
        <v>1</v>
      </c>
      <c r="Q96" t="s">
        <v>499</v>
      </c>
    </row>
    <row r="97" spans="1:18" x14ac:dyDescent="0.3">
      <c r="A97" t="s">
        <v>500</v>
      </c>
      <c r="B97" t="s">
        <v>501</v>
      </c>
      <c r="C97" t="s">
        <v>214</v>
      </c>
      <c r="D97" t="s">
        <v>141</v>
      </c>
      <c r="E97" t="s">
        <v>142</v>
      </c>
      <c r="F97" t="s">
        <v>215</v>
      </c>
      <c r="H97">
        <v>341.73</v>
      </c>
      <c r="I97">
        <v>0</v>
      </c>
      <c r="J97" t="s">
        <v>230</v>
      </c>
      <c r="K97" t="s">
        <v>492</v>
      </c>
      <c r="L97" t="s">
        <v>218</v>
      </c>
      <c r="M97" t="s">
        <v>219</v>
      </c>
      <c r="N97" s="19">
        <v>46262</v>
      </c>
      <c r="O97" t="s">
        <v>220</v>
      </c>
      <c r="P97">
        <v>1</v>
      </c>
      <c r="Q97" t="s">
        <v>502</v>
      </c>
    </row>
    <row r="98" spans="1:18" x14ac:dyDescent="0.3">
      <c r="A98" t="s">
        <v>503</v>
      </c>
      <c r="B98" t="s">
        <v>504</v>
      </c>
      <c r="C98" t="s">
        <v>214</v>
      </c>
      <c r="D98" t="s">
        <v>141</v>
      </c>
      <c r="E98" t="s">
        <v>142</v>
      </c>
      <c r="F98" t="s">
        <v>215</v>
      </c>
      <c r="H98">
        <v>260.13</v>
      </c>
      <c r="I98">
        <v>0</v>
      </c>
      <c r="J98" t="s">
        <v>230</v>
      </c>
      <c r="K98" t="s">
        <v>492</v>
      </c>
      <c r="L98" t="s">
        <v>218</v>
      </c>
      <c r="M98" t="s">
        <v>219</v>
      </c>
      <c r="N98" s="19">
        <v>46262</v>
      </c>
      <c r="O98" t="s">
        <v>220</v>
      </c>
      <c r="P98">
        <v>1</v>
      </c>
      <c r="Q98" t="s">
        <v>505</v>
      </c>
    </row>
    <row r="99" spans="1:18" x14ac:dyDescent="0.3">
      <c r="A99" t="s">
        <v>506</v>
      </c>
      <c r="B99" t="s">
        <v>507</v>
      </c>
      <c r="C99" t="s">
        <v>214</v>
      </c>
      <c r="D99" t="s">
        <v>141</v>
      </c>
      <c r="E99" t="s">
        <v>142</v>
      </c>
      <c r="F99" t="s">
        <v>215</v>
      </c>
      <c r="H99">
        <v>276.02</v>
      </c>
      <c r="I99">
        <v>0</v>
      </c>
      <c r="J99" t="s">
        <v>230</v>
      </c>
      <c r="K99" t="s">
        <v>492</v>
      </c>
      <c r="L99" t="s">
        <v>218</v>
      </c>
      <c r="M99" t="s">
        <v>219</v>
      </c>
      <c r="N99" s="19">
        <v>46262</v>
      </c>
      <c r="O99" t="s">
        <v>220</v>
      </c>
      <c r="P99">
        <v>1</v>
      </c>
      <c r="Q99" t="s">
        <v>508</v>
      </c>
    </row>
    <row r="100" spans="1:18" x14ac:dyDescent="0.3">
      <c r="A100" t="s">
        <v>509</v>
      </c>
      <c r="B100" t="s">
        <v>510</v>
      </c>
      <c r="C100" t="s">
        <v>214</v>
      </c>
      <c r="D100" t="s">
        <v>141</v>
      </c>
      <c r="E100" t="s">
        <v>142</v>
      </c>
      <c r="F100" t="s">
        <v>215</v>
      </c>
      <c r="H100">
        <v>234.9</v>
      </c>
      <c r="I100">
        <v>0</v>
      </c>
      <c r="J100" t="s">
        <v>230</v>
      </c>
      <c r="K100" t="s">
        <v>492</v>
      </c>
      <c r="L100" t="s">
        <v>218</v>
      </c>
      <c r="M100" t="s">
        <v>219</v>
      </c>
      <c r="N100" s="19">
        <v>46262</v>
      </c>
      <c r="O100" t="s">
        <v>220</v>
      </c>
      <c r="P100">
        <v>2</v>
      </c>
      <c r="Q100" t="s">
        <v>511</v>
      </c>
      <c r="R100" t="s">
        <v>92</v>
      </c>
    </row>
    <row r="101" spans="1:18" x14ac:dyDescent="0.3">
      <c r="A101" t="s">
        <v>512</v>
      </c>
      <c r="B101" t="s">
        <v>513</v>
      </c>
      <c r="C101" t="s">
        <v>514</v>
      </c>
      <c r="D101" t="s">
        <v>141</v>
      </c>
      <c r="E101" t="s">
        <v>142</v>
      </c>
      <c r="F101" t="s">
        <v>215</v>
      </c>
      <c r="H101">
        <v>814.32</v>
      </c>
      <c r="I101">
        <v>0</v>
      </c>
      <c r="J101" t="s">
        <v>230</v>
      </c>
      <c r="K101" t="s">
        <v>492</v>
      </c>
      <c r="L101" t="s">
        <v>218</v>
      </c>
      <c r="M101" t="s">
        <v>219</v>
      </c>
      <c r="N101" s="19">
        <v>46262</v>
      </c>
      <c r="O101" t="s">
        <v>220</v>
      </c>
      <c r="P101">
        <v>2</v>
      </c>
      <c r="Q101" t="s">
        <v>515</v>
      </c>
      <c r="R101" t="s">
        <v>92</v>
      </c>
    </row>
    <row r="102" spans="1:18" x14ac:dyDescent="0.3">
      <c r="A102" t="s">
        <v>516</v>
      </c>
      <c r="B102" t="s">
        <v>517</v>
      </c>
      <c r="C102" t="s">
        <v>518</v>
      </c>
      <c r="D102" t="s">
        <v>141</v>
      </c>
      <c r="E102" t="s">
        <v>142</v>
      </c>
      <c r="F102" t="s">
        <v>215</v>
      </c>
      <c r="H102">
        <v>78.3</v>
      </c>
      <c r="I102">
        <v>0</v>
      </c>
      <c r="J102" t="s">
        <v>230</v>
      </c>
      <c r="K102" t="s">
        <v>492</v>
      </c>
      <c r="L102" t="s">
        <v>218</v>
      </c>
      <c r="M102" t="s">
        <v>219</v>
      </c>
      <c r="N102" s="19">
        <v>46262</v>
      </c>
      <c r="O102" t="s">
        <v>220</v>
      </c>
      <c r="P102">
        <v>1</v>
      </c>
      <c r="Q102" t="s">
        <v>519</v>
      </c>
    </row>
    <row r="103" spans="1:18" x14ac:dyDescent="0.3">
      <c r="A103" t="s">
        <v>520</v>
      </c>
      <c r="B103" t="s">
        <v>521</v>
      </c>
      <c r="C103" t="s">
        <v>518</v>
      </c>
      <c r="D103" t="s">
        <v>141</v>
      </c>
      <c r="E103" t="s">
        <v>142</v>
      </c>
      <c r="F103" t="s">
        <v>215</v>
      </c>
      <c r="H103">
        <v>134.19999999999999</v>
      </c>
      <c r="I103">
        <v>0</v>
      </c>
      <c r="J103" t="s">
        <v>230</v>
      </c>
      <c r="K103" t="s">
        <v>492</v>
      </c>
      <c r="L103" t="s">
        <v>218</v>
      </c>
      <c r="M103" t="s">
        <v>219</v>
      </c>
      <c r="N103" s="19">
        <v>46262</v>
      </c>
      <c r="O103" t="s">
        <v>220</v>
      </c>
      <c r="P103">
        <v>1</v>
      </c>
      <c r="Q103" t="s">
        <v>522</v>
      </c>
    </row>
    <row r="104" spans="1:18" x14ac:dyDescent="0.3">
      <c r="A104" t="s">
        <v>523</v>
      </c>
      <c r="B104" t="s">
        <v>524</v>
      </c>
      <c r="C104" t="s">
        <v>214</v>
      </c>
      <c r="D104" t="s">
        <v>141</v>
      </c>
      <c r="E104" t="s">
        <v>142</v>
      </c>
      <c r="F104" t="s">
        <v>215</v>
      </c>
      <c r="H104">
        <v>157.72</v>
      </c>
      <c r="I104">
        <v>0</v>
      </c>
      <c r="J104" t="s">
        <v>230</v>
      </c>
      <c r="K104" t="s">
        <v>492</v>
      </c>
      <c r="L104" t="s">
        <v>218</v>
      </c>
      <c r="M104" t="s">
        <v>219</v>
      </c>
      <c r="N104" s="19">
        <v>46262</v>
      </c>
      <c r="O104" t="s">
        <v>220</v>
      </c>
      <c r="P104">
        <v>1</v>
      </c>
      <c r="Q104" t="s">
        <v>525</v>
      </c>
    </row>
    <row r="105" spans="1:18" x14ac:dyDescent="0.3">
      <c r="A105" t="s">
        <v>526</v>
      </c>
      <c r="B105" t="s">
        <v>527</v>
      </c>
      <c r="C105" t="s">
        <v>214</v>
      </c>
      <c r="D105" t="s">
        <v>141</v>
      </c>
      <c r="E105" t="s">
        <v>142</v>
      </c>
      <c r="F105" t="s">
        <v>215</v>
      </c>
      <c r="H105">
        <v>281.88</v>
      </c>
      <c r="I105">
        <v>0</v>
      </c>
      <c r="J105" t="s">
        <v>230</v>
      </c>
      <c r="K105" t="s">
        <v>492</v>
      </c>
      <c r="L105" t="s">
        <v>218</v>
      </c>
      <c r="M105" t="s">
        <v>219</v>
      </c>
      <c r="N105" s="19">
        <v>46262</v>
      </c>
      <c r="O105" t="s">
        <v>220</v>
      </c>
      <c r="P105">
        <v>1</v>
      </c>
      <c r="Q105" t="s">
        <v>528</v>
      </c>
    </row>
    <row r="106" spans="1:18" x14ac:dyDescent="0.3">
      <c r="A106" t="s">
        <v>529</v>
      </c>
      <c r="B106" t="s">
        <v>530</v>
      </c>
      <c r="C106" t="s">
        <v>214</v>
      </c>
      <c r="D106" t="s">
        <v>141</v>
      </c>
      <c r="E106" t="s">
        <v>142</v>
      </c>
      <c r="F106" t="s">
        <v>531</v>
      </c>
      <c r="H106">
        <v>232.64</v>
      </c>
      <c r="I106">
        <v>0</v>
      </c>
      <c r="J106" t="s">
        <v>230</v>
      </c>
      <c r="K106" t="s">
        <v>492</v>
      </c>
      <c r="L106" t="s">
        <v>218</v>
      </c>
      <c r="M106" t="s">
        <v>219</v>
      </c>
      <c r="N106" s="19">
        <v>46262</v>
      </c>
      <c r="O106" t="s">
        <v>220</v>
      </c>
      <c r="P106">
        <v>1</v>
      </c>
      <c r="Q106" t="s">
        <v>532</v>
      </c>
    </row>
    <row r="107" spans="1:18" x14ac:dyDescent="0.3">
      <c r="A107" t="s">
        <v>533</v>
      </c>
      <c r="B107" t="s">
        <v>534</v>
      </c>
      <c r="C107" t="s">
        <v>214</v>
      </c>
      <c r="D107" t="s">
        <v>141</v>
      </c>
      <c r="E107" t="s">
        <v>142</v>
      </c>
      <c r="F107" t="s">
        <v>531</v>
      </c>
      <c r="H107">
        <v>319.39</v>
      </c>
      <c r="I107">
        <v>0</v>
      </c>
      <c r="J107" t="s">
        <v>230</v>
      </c>
      <c r="K107" t="s">
        <v>492</v>
      </c>
      <c r="L107" t="s">
        <v>218</v>
      </c>
      <c r="M107" t="s">
        <v>219</v>
      </c>
      <c r="N107" s="19">
        <v>46262</v>
      </c>
      <c r="O107" t="s">
        <v>220</v>
      </c>
      <c r="P107">
        <v>1</v>
      </c>
      <c r="Q107" t="s">
        <v>535</v>
      </c>
    </row>
    <row r="108" spans="1:18" x14ac:dyDescent="0.3">
      <c r="A108" t="s">
        <v>536</v>
      </c>
      <c r="B108" t="s">
        <v>537</v>
      </c>
      <c r="C108" t="s">
        <v>214</v>
      </c>
      <c r="D108" t="s">
        <v>141</v>
      </c>
      <c r="E108" t="s">
        <v>142</v>
      </c>
      <c r="F108" t="s">
        <v>531</v>
      </c>
      <c r="H108">
        <v>272.8</v>
      </c>
      <c r="I108">
        <v>0</v>
      </c>
      <c r="J108" t="s">
        <v>230</v>
      </c>
      <c r="K108" t="s">
        <v>492</v>
      </c>
      <c r="L108" t="s">
        <v>218</v>
      </c>
      <c r="M108" t="s">
        <v>219</v>
      </c>
      <c r="N108" s="19">
        <v>46262</v>
      </c>
      <c r="O108" t="s">
        <v>220</v>
      </c>
      <c r="P108">
        <v>1</v>
      </c>
      <c r="Q108" t="s">
        <v>538</v>
      </c>
    </row>
    <row r="109" spans="1:18" x14ac:dyDescent="0.3">
      <c r="A109" t="s">
        <v>539</v>
      </c>
      <c r="B109" t="s">
        <v>540</v>
      </c>
      <c r="C109" t="s">
        <v>214</v>
      </c>
      <c r="D109" t="s">
        <v>141</v>
      </c>
      <c r="E109" t="s">
        <v>142</v>
      </c>
      <c r="F109" t="s">
        <v>531</v>
      </c>
      <c r="H109">
        <v>391.5</v>
      </c>
      <c r="I109">
        <v>0</v>
      </c>
      <c r="J109" t="s">
        <v>230</v>
      </c>
      <c r="K109" t="s">
        <v>492</v>
      </c>
      <c r="L109" t="s">
        <v>218</v>
      </c>
      <c r="M109" t="s">
        <v>219</v>
      </c>
      <c r="N109" s="19">
        <v>46262</v>
      </c>
      <c r="O109" t="s">
        <v>220</v>
      </c>
      <c r="P109">
        <v>1</v>
      </c>
      <c r="Q109" t="s">
        <v>541</v>
      </c>
    </row>
    <row r="110" spans="1:18" x14ac:dyDescent="0.3">
      <c r="A110" t="s">
        <v>542</v>
      </c>
      <c r="B110" t="s">
        <v>543</v>
      </c>
      <c r="C110" t="s">
        <v>214</v>
      </c>
      <c r="D110" t="s">
        <v>141</v>
      </c>
      <c r="E110" t="s">
        <v>142</v>
      </c>
      <c r="F110" t="s">
        <v>531</v>
      </c>
      <c r="H110">
        <v>376.67</v>
      </c>
      <c r="I110">
        <v>0</v>
      </c>
      <c r="J110" t="s">
        <v>230</v>
      </c>
      <c r="K110" t="s">
        <v>492</v>
      </c>
      <c r="L110" t="s">
        <v>218</v>
      </c>
      <c r="M110" t="s">
        <v>219</v>
      </c>
      <c r="N110" s="19">
        <v>46262</v>
      </c>
      <c r="O110" t="s">
        <v>220</v>
      </c>
      <c r="P110">
        <v>1</v>
      </c>
      <c r="Q110" t="s">
        <v>544</v>
      </c>
    </row>
    <row r="111" spans="1:18" x14ac:dyDescent="0.3">
      <c r="A111" t="s">
        <v>545</v>
      </c>
      <c r="B111" t="s">
        <v>546</v>
      </c>
      <c r="C111" t="s">
        <v>214</v>
      </c>
      <c r="D111" t="s">
        <v>141</v>
      </c>
      <c r="E111" t="s">
        <v>142</v>
      </c>
      <c r="F111" t="s">
        <v>531</v>
      </c>
      <c r="H111">
        <v>501.12</v>
      </c>
      <c r="I111">
        <v>0</v>
      </c>
      <c r="J111" t="s">
        <v>230</v>
      </c>
      <c r="K111" t="s">
        <v>492</v>
      </c>
      <c r="L111" t="s">
        <v>218</v>
      </c>
      <c r="M111" t="s">
        <v>219</v>
      </c>
      <c r="N111" s="19">
        <v>46262</v>
      </c>
      <c r="O111" t="s">
        <v>220</v>
      </c>
      <c r="P111">
        <v>2</v>
      </c>
      <c r="Q111" t="s">
        <v>547</v>
      </c>
      <c r="R111" t="s">
        <v>92</v>
      </c>
    </row>
    <row r="112" spans="1:18" x14ac:dyDescent="0.3">
      <c r="A112" t="s">
        <v>548</v>
      </c>
      <c r="B112" t="s">
        <v>549</v>
      </c>
      <c r="C112" t="s">
        <v>214</v>
      </c>
      <c r="D112" t="s">
        <v>141</v>
      </c>
      <c r="E112" t="s">
        <v>142</v>
      </c>
      <c r="F112" t="s">
        <v>531</v>
      </c>
      <c r="H112">
        <v>187.92</v>
      </c>
      <c r="I112">
        <v>0</v>
      </c>
      <c r="J112" t="s">
        <v>230</v>
      </c>
      <c r="K112" t="s">
        <v>492</v>
      </c>
      <c r="L112" t="s">
        <v>218</v>
      </c>
      <c r="M112" t="s">
        <v>219</v>
      </c>
      <c r="N112" s="19">
        <v>46262</v>
      </c>
      <c r="O112" t="s">
        <v>220</v>
      </c>
      <c r="P112">
        <v>1</v>
      </c>
      <c r="Q112" t="s">
        <v>550</v>
      </c>
    </row>
    <row r="113" spans="1:17" x14ac:dyDescent="0.3">
      <c r="A113" t="s">
        <v>551</v>
      </c>
      <c r="B113" t="s">
        <v>552</v>
      </c>
      <c r="C113" t="s">
        <v>214</v>
      </c>
      <c r="D113" t="s">
        <v>141</v>
      </c>
      <c r="E113" t="s">
        <v>142</v>
      </c>
      <c r="F113" t="s">
        <v>531</v>
      </c>
      <c r="H113">
        <v>220</v>
      </c>
      <c r="I113">
        <v>0</v>
      </c>
      <c r="J113" t="s">
        <v>230</v>
      </c>
      <c r="K113" t="s">
        <v>492</v>
      </c>
      <c r="L113" t="s">
        <v>218</v>
      </c>
      <c r="M113" t="s">
        <v>219</v>
      </c>
      <c r="N113" s="19">
        <v>46262</v>
      </c>
      <c r="O113" t="s">
        <v>220</v>
      </c>
      <c r="P113">
        <v>1</v>
      </c>
      <c r="Q113" t="s">
        <v>553</v>
      </c>
    </row>
    <row r="114" spans="1:17" x14ac:dyDescent="0.3">
      <c r="A114" t="s">
        <v>554</v>
      </c>
      <c r="B114" t="s">
        <v>555</v>
      </c>
      <c r="C114" t="s">
        <v>214</v>
      </c>
      <c r="D114" t="s">
        <v>141</v>
      </c>
      <c r="E114" t="s">
        <v>142</v>
      </c>
      <c r="F114" t="s">
        <v>531</v>
      </c>
      <c r="H114">
        <v>374.59</v>
      </c>
      <c r="I114">
        <v>0</v>
      </c>
      <c r="J114" t="s">
        <v>230</v>
      </c>
      <c r="K114" t="s">
        <v>492</v>
      </c>
      <c r="L114" t="s">
        <v>218</v>
      </c>
      <c r="M114" t="s">
        <v>219</v>
      </c>
      <c r="N114" s="19">
        <v>46262</v>
      </c>
      <c r="O114" t="s">
        <v>220</v>
      </c>
      <c r="P114">
        <v>1</v>
      </c>
      <c r="Q114" t="s">
        <v>556</v>
      </c>
    </row>
    <row r="115" spans="1:17" x14ac:dyDescent="0.3">
      <c r="A115" t="s">
        <v>557</v>
      </c>
      <c r="B115" t="s">
        <v>558</v>
      </c>
      <c r="C115" t="s">
        <v>214</v>
      </c>
      <c r="D115" t="s">
        <v>141</v>
      </c>
      <c r="E115" t="s">
        <v>142</v>
      </c>
      <c r="F115" t="s">
        <v>531</v>
      </c>
      <c r="H115">
        <v>322.01</v>
      </c>
      <c r="I115">
        <v>0</v>
      </c>
      <c r="J115" t="s">
        <v>230</v>
      </c>
      <c r="K115" t="s">
        <v>492</v>
      </c>
      <c r="L115" t="s">
        <v>218</v>
      </c>
      <c r="M115" t="s">
        <v>219</v>
      </c>
      <c r="N115" s="19">
        <v>46262</v>
      </c>
      <c r="O115" t="s">
        <v>220</v>
      </c>
      <c r="P115">
        <v>1</v>
      </c>
      <c r="Q115" t="s">
        <v>559</v>
      </c>
    </row>
    <row r="116" spans="1:17" x14ac:dyDescent="0.3">
      <c r="A116" t="s">
        <v>560</v>
      </c>
      <c r="B116" t="s">
        <v>561</v>
      </c>
      <c r="C116" t="s">
        <v>214</v>
      </c>
      <c r="D116" t="s">
        <v>141</v>
      </c>
      <c r="E116" t="s">
        <v>142</v>
      </c>
      <c r="F116" t="s">
        <v>531</v>
      </c>
      <c r="H116">
        <v>375.84</v>
      </c>
      <c r="I116">
        <v>0</v>
      </c>
      <c r="J116" t="s">
        <v>230</v>
      </c>
      <c r="K116" t="s">
        <v>492</v>
      </c>
      <c r="L116" t="s">
        <v>218</v>
      </c>
      <c r="M116" t="s">
        <v>219</v>
      </c>
      <c r="N116" s="19">
        <v>46262</v>
      </c>
      <c r="O116" t="s">
        <v>220</v>
      </c>
      <c r="P116">
        <v>1</v>
      </c>
      <c r="Q116" t="s">
        <v>562</v>
      </c>
    </row>
    <row r="117" spans="1:17" x14ac:dyDescent="0.3">
      <c r="A117" t="s">
        <v>563</v>
      </c>
      <c r="B117" t="s">
        <v>564</v>
      </c>
      <c r="C117" t="s">
        <v>518</v>
      </c>
      <c r="D117" t="s">
        <v>141</v>
      </c>
      <c r="E117" t="s">
        <v>142</v>
      </c>
      <c r="F117" t="s">
        <v>531</v>
      </c>
      <c r="H117">
        <v>78.86</v>
      </c>
      <c r="I117">
        <v>0</v>
      </c>
      <c r="J117" t="s">
        <v>230</v>
      </c>
      <c r="K117" t="s">
        <v>492</v>
      </c>
      <c r="L117" t="s">
        <v>218</v>
      </c>
      <c r="M117" t="s">
        <v>219</v>
      </c>
      <c r="N117" s="19">
        <v>46262</v>
      </c>
      <c r="O117" t="s">
        <v>220</v>
      </c>
      <c r="P117">
        <v>1</v>
      </c>
      <c r="Q117" t="s">
        <v>565</v>
      </c>
    </row>
    <row r="118" spans="1:17" x14ac:dyDescent="0.3">
      <c r="A118" t="s">
        <v>566</v>
      </c>
      <c r="B118" t="s">
        <v>567</v>
      </c>
      <c r="C118" t="s">
        <v>518</v>
      </c>
      <c r="D118" t="s">
        <v>141</v>
      </c>
      <c r="E118" t="s">
        <v>142</v>
      </c>
      <c r="F118" t="s">
        <v>531</v>
      </c>
      <c r="H118">
        <v>78.38</v>
      </c>
      <c r="I118">
        <v>0</v>
      </c>
      <c r="J118" t="s">
        <v>230</v>
      </c>
      <c r="K118" t="s">
        <v>492</v>
      </c>
      <c r="L118" t="s">
        <v>218</v>
      </c>
      <c r="M118" t="s">
        <v>219</v>
      </c>
      <c r="N118" s="19">
        <v>46262</v>
      </c>
      <c r="O118" t="s">
        <v>220</v>
      </c>
      <c r="P118">
        <v>1</v>
      </c>
      <c r="Q118" t="s">
        <v>568</v>
      </c>
    </row>
    <row r="119" spans="1:17" x14ac:dyDescent="0.3">
      <c r="A119" t="s">
        <v>569</v>
      </c>
      <c r="B119" t="s">
        <v>570</v>
      </c>
      <c r="C119" t="s">
        <v>214</v>
      </c>
      <c r="D119" t="s">
        <v>141</v>
      </c>
      <c r="E119" t="s">
        <v>142</v>
      </c>
      <c r="F119" t="s">
        <v>531</v>
      </c>
      <c r="H119">
        <v>5622.11</v>
      </c>
      <c r="I119">
        <v>0</v>
      </c>
      <c r="J119" t="s">
        <v>230</v>
      </c>
      <c r="K119" t="s">
        <v>492</v>
      </c>
      <c r="L119" t="s">
        <v>218</v>
      </c>
      <c r="M119" t="s">
        <v>219</v>
      </c>
      <c r="N119" s="19">
        <v>46262</v>
      </c>
      <c r="O119" t="s">
        <v>220</v>
      </c>
      <c r="P119">
        <v>1</v>
      </c>
      <c r="Q119" t="s">
        <v>571</v>
      </c>
    </row>
    <row r="120" spans="1:17" x14ac:dyDescent="0.3">
      <c r="A120" t="s">
        <v>572</v>
      </c>
      <c r="B120" t="s">
        <v>573</v>
      </c>
      <c r="C120" t="s">
        <v>518</v>
      </c>
      <c r="D120" t="s">
        <v>141</v>
      </c>
      <c r="E120" t="s">
        <v>142</v>
      </c>
      <c r="F120" t="s">
        <v>531</v>
      </c>
      <c r="H120">
        <v>814.32</v>
      </c>
      <c r="I120">
        <v>0</v>
      </c>
      <c r="J120" t="s">
        <v>230</v>
      </c>
      <c r="K120" t="s">
        <v>492</v>
      </c>
      <c r="L120" t="s">
        <v>218</v>
      </c>
      <c r="M120" t="s">
        <v>219</v>
      </c>
      <c r="N120" s="19">
        <v>46262</v>
      </c>
      <c r="O120" t="s">
        <v>220</v>
      </c>
      <c r="P120">
        <v>1</v>
      </c>
      <c r="Q120" t="s">
        <v>574</v>
      </c>
    </row>
    <row r="121" spans="1:17" x14ac:dyDescent="0.3">
      <c r="A121" t="s">
        <v>575</v>
      </c>
      <c r="B121" t="s">
        <v>576</v>
      </c>
      <c r="C121" t="s">
        <v>214</v>
      </c>
      <c r="D121" t="s">
        <v>141</v>
      </c>
      <c r="E121" t="s">
        <v>142</v>
      </c>
      <c r="F121" t="s">
        <v>531</v>
      </c>
      <c r="H121">
        <v>209</v>
      </c>
      <c r="I121">
        <v>0</v>
      </c>
      <c r="J121" t="s">
        <v>230</v>
      </c>
      <c r="K121" t="s">
        <v>492</v>
      </c>
      <c r="L121" t="s">
        <v>218</v>
      </c>
      <c r="M121" t="s">
        <v>219</v>
      </c>
      <c r="N121" s="19">
        <v>46262</v>
      </c>
      <c r="O121" t="s">
        <v>220</v>
      </c>
      <c r="P121">
        <v>1</v>
      </c>
      <c r="Q121" t="s">
        <v>577</v>
      </c>
    </row>
    <row r="122" spans="1:17" x14ac:dyDescent="0.3">
      <c r="A122" t="s">
        <v>578</v>
      </c>
      <c r="B122" t="s">
        <v>579</v>
      </c>
      <c r="C122" t="s">
        <v>214</v>
      </c>
      <c r="D122" t="s">
        <v>141</v>
      </c>
      <c r="E122" t="s">
        <v>142</v>
      </c>
      <c r="F122" t="s">
        <v>580</v>
      </c>
      <c r="H122">
        <v>1021.9</v>
      </c>
      <c r="I122">
        <v>0</v>
      </c>
      <c r="J122" t="s">
        <v>230</v>
      </c>
      <c r="K122" t="s">
        <v>492</v>
      </c>
      <c r="L122" t="s">
        <v>218</v>
      </c>
      <c r="M122" t="s">
        <v>219</v>
      </c>
      <c r="N122" s="19">
        <v>46262</v>
      </c>
      <c r="O122" t="s">
        <v>220</v>
      </c>
      <c r="P122">
        <v>1</v>
      </c>
      <c r="Q122" t="s">
        <v>581</v>
      </c>
    </row>
    <row r="123" spans="1:17" x14ac:dyDescent="0.3">
      <c r="A123" t="s">
        <v>582</v>
      </c>
      <c r="B123" t="s">
        <v>583</v>
      </c>
      <c r="C123" t="s">
        <v>214</v>
      </c>
      <c r="D123" t="s">
        <v>141</v>
      </c>
      <c r="E123" t="s">
        <v>142</v>
      </c>
      <c r="F123" t="s">
        <v>580</v>
      </c>
      <c r="H123">
        <v>1287</v>
      </c>
      <c r="I123">
        <v>0</v>
      </c>
      <c r="J123" t="s">
        <v>230</v>
      </c>
      <c r="K123" t="s">
        <v>492</v>
      </c>
      <c r="L123" t="s">
        <v>218</v>
      </c>
      <c r="M123" t="s">
        <v>219</v>
      </c>
      <c r="N123" s="19">
        <v>46262</v>
      </c>
      <c r="O123" t="s">
        <v>220</v>
      </c>
      <c r="P123">
        <v>1</v>
      </c>
      <c r="Q123" t="s">
        <v>584</v>
      </c>
    </row>
    <row r="124" spans="1:17" x14ac:dyDescent="0.3">
      <c r="A124" t="s">
        <v>585</v>
      </c>
      <c r="B124" t="s">
        <v>586</v>
      </c>
      <c r="C124" t="s">
        <v>514</v>
      </c>
      <c r="D124" t="s">
        <v>141</v>
      </c>
      <c r="E124" t="s">
        <v>142</v>
      </c>
      <c r="F124" t="s">
        <v>580</v>
      </c>
      <c r="H124">
        <v>8175.22</v>
      </c>
      <c r="I124">
        <v>0</v>
      </c>
      <c r="J124" t="s">
        <v>230</v>
      </c>
      <c r="K124" t="s">
        <v>492</v>
      </c>
      <c r="L124" t="s">
        <v>218</v>
      </c>
      <c r="M124" t="s">
        <v>219</v>
      </c>
      <c r="N124" s="19">
        <v>46262</v>
      </c>
      <c r="O124" t="s">
        <v>220</v>
      </c>
      <c r="P124">
        <v>1</v>
      </c>
      <c r="Q124" t="s">
        <v>587</v>
      </c>
    </row>
    <row r="125" spans="1:17" x14ac:dyDescent="0.3">
      <c r="A125" t="s">
        <v>588</v>
      </c>
      <c r="B125" t="s">
        <v>589</v>
      </c>
      <c r="C125" t="s">
        <v>514</v>
      </c>
      <c r="D125" t="s">
        <v>141</v>
      </c>
      <c r="E125" t="s">
        <v>142</v>
      </c>
      <c r="F125" t="s">
        <v>580</v>
      </c>
      <c r="H125">
        <v>8992.74</v>
      </c>
      <c r="I125">
        <v>0</v>
      </c>
      <c r="J125" t="s">
        <v>230</v>
      </c>
      <c r="K125" t="s">
        <v>492</v>
      </c>
      <c r="L125" t="s">
        <v>218</v>
      </c>
      <c r="M125" t="s">
        <v>219</v>
      </c>
      <c r="N125" s="19">
        <v>46262</v>
      </c>
      <c r="O125" t="s">
        <v>220</v>
      </c>
      <c r="P125">
        <v>1</v>
      </c>
      <c r="Q125" t="s">
        <v>590</v>
      </c>
    </row>
    <row r="126" spans="1:17" x14ac:dyDescent="0.3">
      <c r="A126" t="s">
        <v>591</v>
      </c>
      <c r="B126" t="s">
        <v>592</v>
      </c>
      <c r="C126" t="s">
        <v>214</v>
      </c>
      <c r="D126" t="s">
        <v>141</v>
      </c>
      <c r="E126" t="s">
        <v>142</v>
      </c>
      <c r="F126" t="s">
        <v>580</v>
      </c>
      <c r="H126">
        <v>144.58000000000001</v>
      </c>
      <c r="I126">
        <v>0</v>
      </c>
      <c r="J126" t="s">
        <v>230</v>
      </c>
      <c r="K126" t="s">
        <v>492</v>
      </c>
      <c r="L126" t="s">
        <v>218</v>
      </c>
      <c r="M126" t="s">
        <v>219</v>
      </c>
      <c r="N126" s="19">
        <v>46262</v>
      </c>
      <c r="O126" t="s">
        <v>220</v>
      </c>
      <c r="P126">
        <v>1</v>
      </c>
      <c r="Q126" t="s">
        <v>593</v>
      </c>
    </row>
    <row r="127" spans="1:17" x14ac:dyDescent="0.3">
      <c r="A127" t="s">
        <v>594</v>
      </c>
      <c r="B127" t="s">
        <v>595</v>
      </c>
      <c r="C127" t="s">
        <v>514</v>
      </c>
      <c r="D127" t="s">
        <v>141</v>
      </c>
      <c r="E127" t="s">
        <v>142</v>
      </c>
      <c r="F127" t="s">
        <v>580</v>
      </c>
      <c r="H127">
        <v>156.6</v>
      </c>
      <c r="I127">
        <v>0</v>
      </c>
      <c r="J127" t="s">
        <v>230</v>
      </c>
      <c r="K127" t="s">
        <v>492</v>
      </c>
      <c r="L127" t="s">
        <v>218</v>
      </c>
      <c r="M127" t="s">
        <v>219</v>
      </c>
      <c r="N127" s="19">
        <v>46262</v>
      </c>
      <c r="O127" t="s">
        <v>220</v>
      </c>
      <c r="P127">
        <v>1</v>
      </c>
      <c r="Q127" t="s">
        <v>596</v>
      </c>
    </row>
    <row r="128" spans="1:17" x14ac:dyDescent="0.3">
      <c r="A128" t="s">
        <v>597</v>
      </c>
      <c r="B128" t="s">
        <v>598</v>
      </c>
      <c r="C128" t="s">
        <v>214</v>
      </c>
      <c r="D128" t="s">
        <v>141</v>
      </c>
      <c r="E128" t="s">
        <v>142</v>
      </c>
      <c r="F128" t="s">
        <v>580</v>
      </c>
      <c r="H128">
        <v>341.73</v>
      </c>
      <c r="I128">
        <v>0</v>
      </c>
      <c r="J128" t="s">
        <v>230</v>
      </c>
      <c r="K128" t="s">
        <v>492</v>
      </c>
      <c r="L128" t="s">
        <v>218</v>
      </c>
      <c r="M128" t="s">
        <v>219</v>
      </c>
      <c r="N128" s="19">
        <v>46262</v>
      </c>
      <c r="O128" t="s">
        <v>220</v>
      </c>
      <c r="P128">
        <v>1</v>
      </c>
      <c r="Q128" t="s">
        <v>599</v>
      </c>
    </row>
    <row r="129" spans="1:18" x14ac:dyDescent="0.3">
      <c r="A129" t="s">
        <v>600</v>
      </c>
      <c r="B129" t="s">
        <v>601</v>
      </c>
      <c r="C129" t="s">
        <v>214</v>
      </c>
      <c r="D129" t="s">
        <v>141</v>
      </c>
      <c r="E129" t="s">
        <v>142</v>
      </c>
      <c r="F129" t="s">
        <v>580</v>
      </c>
      <c r="H129">
        <v>281.88</v>
      </c>
      <c r="I129">
        <v>0</v>
      </c>
      <c r="J129" t="s">
        <v>230</v>
      </c>
      <c r="K129" t="s">
        <v>492</v>
      </c>
      <c r="L129" t="s">
        <v>218</v>
      </c>
      <c r="M129" t="s">
        <v>219</v>
      </c>
      <c r="N129" s="19">
        <v>46262</v>
      </c>
      <c r="O129" t="s">
        <v>220</v>
      </c>
      <c r="P129">
        <v>1</v>
      </c>
      <c r="Q129" t="s">
        <v>602</v>
      </c>
    </row>
    <row r="130" spans="1:18" x14ac:dyDescent="0.3">
      <c r="A130" t="s">
        <v>603</v>
      </c>
      <c r="B130" t="s">
        <v>604</v>
      </c>
      <c r="C130" t="s">
        <v>214</v>
      </c>
      <c r="D130" t="s">
        <v>141</v>
      </c>
      <c r="E130" t="s">
        <v>142</v>
      </c>
      <c r="F130" t="s">
        <v>580</v>
      </c>
      <c r="H130">
        <v>433.73</v>
      </c>
      <c r="I130">
        <v>0</v>
      </c>
      <c r="J130" t="s">
        <v>230</v>
      </c>
      <c r="K130" t="s">
        <v>492</v>
      </c>
      <c r="L130" t="s">
        <v>218</v>
      </c>
      <c r="M130" t="s">
        <v>219</v>
      </c>
      <c r="N130" s="19">
        <v>46262</v>
      </c>
      <c r="O130" t="s">
        <v>220</v>
      </c>
      <c r="P130">
        <v>1</v>
      </c>
      <c r="Q130" t="s">
        <v>605</v>
      </c>
    </row>
    <row r="131" spans="1:18" x14ac:dyDescent="0.3">
      <c r="A131" t="s">
        <v>606</v>
      </c>
      <c r="B131" t="s">
        <v>607</v>
      </c>
      <c r="C131" t="s">
        <v>214</v>
      </c>
      <c r="D131" t="s">
        <v>141</v>
      </c>
      <c r="E131" t="s">
        <v>142</v>
      </c>
      <c r="F131" t="s">
        <v>580</v>
      </c>
      <c r="H131">
        <v>453.45</v>
      </c>
      <c r="I131">
        <v>0</v>
      </c>
      <c r="J131" t="s">
        <v>230</v>
      </c>
      <c r="K131" t="s">
        <v>492</v>
      </c>
      <c r="L131" t="s">
        <v>218</v>
      </c>
      <c r="M131" t="s">
        <v>219</v>
      </c>
      <c r="N131" s="19">
        <v>46262</v>
      </c>
      <c r="O131" t="s">
        <v>220</v>
      </c>
      <c r="P131">
        <v>1</v>
      </c>
      <c r="Q131" t="s">
        <v>608</v>
      </c>
    </row>
    <row r="132" spans="1:18" x14ac:dyDescent="0.3">
      <c r="A132" t="s">
        <v>609</v>
      </c>
      <c r="B132" t="s">
        <v>610</v>
      </c>
      <c r="C132" t="s">
        <v>214</v>
      </c>
      <c r="D132" t="s">
        <v>141</v>
      </c>
      <c r="E132" t="s">
        <v>142</v>
      </c>
      <c r="F132" t="s">
        <v>580</v>
      </c>
      <c r="H132">
        <v>337.56</v>
      </c>
      <c r="I132">
        <v>0</v>
      </c>
      <c r="J132" t="s">
        <v>230</v>
      </c>
      <c r="K132" t="s">
        <v>492</v>
      </c>
      <c r="L132" t="s">
        <v>218</v>
      </c>
      <c r="M132" t="s">
        <v>219</v>
      </c>
      <c r="N132" s="19">
        <v>46262</v>
      </c>
      <c r="O132" t="s">
        <v>220</v>
      </c>
      <c r="P132">
        <v>1</v>
      </c>
      <c r="Q132" t="s">
        <v>611</v>
      </c>
    </row>
    <row r="133" spans="1:18" x14ac:dyDescent="0.3">
      <c r="A133" t="s">
        <v>612</v>
      </c>
      <c r="B133" t="s">
        <v>613</v>
      </c>
      <c r="C133" t="s">
        <v>214</v>
      </c>
      <c r="D133" t="s">
        <v>141</v>
      </c>
      <c r="E133" t="s">
        <v>142</v>
      </c>
      <c r="F133" t="s">
        <v>580</v>
      </c>
      <c r="H133">
        <v>125.28</v>
      </c>
      <c r="I133">
        <v>0</v>
      </c>
      <c r="J133" t="s">
        <v>230</v>
      </c>
      <c r="K133" t="s">
        <v>492</v>
      </c>
      <c r="L133" t="s">
        <v>218</v>
      </c>
      <c r="M133" t="s">
        <v>219</v>
      </c>
      <c r="N133" s="19">
        <v>46262</v>
      </c>
      <c r="O133" t="s">
        <v>220</v>
      </c>
      <c r="P133">
        <v>1</v>
      </c>
      <c r="Q133" t="s">
        <v>614</v>
      </c>
    </row>
    <row r="134" spans="1:18" x14ac:dyDescent="0.3">
      <c r="A134" t="s">
        <v>615</v>
      </c>
      <c r="B134" t="s">
        <v>616</v>
      </c>
      <c r="C134" t="s">
        <v>214</v>
      </c>
      <c r="D134" t="s">
        <v>141</v>
      </c>
      <c r="E134" t="s">
        <v>142</v>
      </c>
      <c r="F134" t="s">
        <v>580</v>
      </c>
      <c r="H134">
        <v>501.12</v>
      </c>
      <c r="I134">
        <v>0</v>
      </c>
      <c r="J134" t="s">
        <v>230</v>
      </c>
      <c r="K134" t="s">
        <v>492</v>
      </c>
      <c r="L134" t="s">
        <v>218</v>
      </c>
      <c r="M134" t="s">
        <v>219</v>
      </c>
      <c r="N134" s="19">
        <v>46262</v>
      </c>
      <c r="O134" t="s">
        <v>220</v>
      </c>
      <c r="P134">
        <v>1</v>
      </c>
      <c r="Q134" t="s">
        <v>617</v>
      </c>
    </row>
    <row r="135" spans="1:18" x14ac:dyDescent="0.3">
      <c r="A135" t="s">
        <v>618</v>
      </c>
      <c r="B135" t="s">
        <v>619</v>
      </c>
      <c r="C135" t="s">
        <v>214</v>
      </c>
      <c r="D135" t="s">
        <v>141</v>
      </c>
      <c r="E135" t="s">
        <v>142</v>
      </c>
      <c r="F135" t="s">
        <v>580</v>
      </c>
      <c r="H135">
        <v>627</v>
      </c>
      <c r="I135">
        <v>0</v>
      </c>
      <c r="J135" t="s">
        <v>230</v>
      </c>
      <c r="K135" t="s">
        <v>492</v>
      </c>
      <c r="L135" t="s">
        <v>218</v>
      </c>
      <c r="M135" t="s">
        <v>219</v>
      </c>
      <c r="N135" s="19">
        <v>46262</v>
      </c>
      <c r="O135" t="s">
        <v>220</v>
      </c>
      <c r="P135">
        <v>1</v>
      </c>
      <c r="Q135" t="s">
        <v>620</v>
      </c>
    </row>
    <row r="136" spans="1:18" x14ac:dyDescent="0.3">
      <c r="A136" t="s">
        <v>621</v>
      </c>
      <c r="B136" t="s">
        <v>622</v>
      </c>
      <c r="C136" t="s">
        <v>214</v>
      </c>
      <c r="D136" t="s">
        <v>141</v>
      </c>
      <c r="E136" t="s">
        <v>142</v>
      </c>
      <c r="F136" t="s">
        <v>580</v>
      </c>
      <c r="H136">
        <v>1252.8</v>
      </c>
      <c r="I136">
        <v>0</v>
      </c>
      <c r="J136" t="s">
        <v>230</v>
      </c>
      <c r="K136" t="s">
        <v>492</v>
      </c>
      <c r="L136" t="s">
        <v>218</v>
      </c>
      <c r="M136" t="s">
        <v>219</v>
      </c>
      <c r="N136" s="19">
        <v>46262</v>
      </c>
      <c r="O136" t="s">
        <v>220</v>
      </c>
      <c r="P136">
        <v>1</v>
      </c>
      <c r="Q136" t="s">
        <v>623</v>
      </c>
    </row>
    <row r="137" spans="1:18" x14ac:dyDescent="0.3">
      <c r="A137" t="s">
        <v>624</v>
      </c>
      <c r="B137" t="s">
        <v>625</v>
      </c>
      <c r="C137" t="s">
        <v>214</v>
      </c>
      <c r="D137" t="s">
        <v>141</v>
      </c>
      <c r="E137" t="s">
        <v>142</v>
      </c>
      <c r="F137" t="s">
        <v>580</v>
      </c>
      <c r="H137">
        <v>313.2</v>
      </c>
      <c r="I137">
        <v>0</v>
      </c>
      <c r="J137" t="s">
        <v>230</v>
      </c>
      <c r="K137" t="s">
        <v>492</v>
      </c>
      <c r="L137" t="s">
        <v>218</v>
      </c>
      <c r="M137" t="s">
        <v>219</v>
      </c>
      <c r="N137" s="19">
        <v>46262</v>
      </c>
      <c r="O137" t="s">
        <v>220</v>
      </c>
      <c r="P137">
        <v>1</v>
      </c>
      <c r="Q137" t="s">
        <v>626</v>
      </c>
    </row>
    <row r="138" spans="1:18" x14ac:dyDescent="0.3">
      <c r="A138" t="s">
        <v>627</v>
      </c>
      <c r="B138" t="s">
        <v>628</v>
      </c>
      <c r="C138" t="s">
        <v>214</v>
      </c>
      <c r="D138" t="s">
        <v>141</v>
      </c>
      <c r="E138" t="s">
        <v>142</v>
      </c>
      <c r="F138" t="s">
        <v>580</v>
      </c>
      <c r="H138">
        <v>402.77</v>
      </c>
      <c r="I138">
        <v>0</v>
      </c>
      <c r="J138" t="s">
        <v>230</v>
      </c>
      <c r="K138" t="s">
        <v>492</v>
      </c>
      <c r="L138" t="s">
        <v>218</v>
      </c>
      <c r="M138" t="s">
        <v>219</v>
      </c>
      <c r="N138" s="19">
        <v>46262</v>
      </c>
      <c r="O138" t="s">
        <v>220</v>
      </c>
      <c r="P138">
        <v>1</v>
      </c>
      <c r="Q138" t="s">
        <v>629</v>
      </c>
    </row>
    <row r="139" spans="1:18" x14ac:dyDescent="0.3">
      <c r="A139" t="s">
        <v>630</v>
      </c>
      <c r="B139" t="s">
        <v>631</v>
      </c>
      <c r="C139" t="s">
        <v>461</v>
      </c>
      <c r="D139" t="s">
        <v>141</v>
      </c>
      <c r="E139" t="s">
        <v>142</v>
      </c>
      <c r="F139" t="s">
        <v>632</v>
      </c>
      <c r="H139">
        <v>1045</v>
      </c>
      <c r="I139">
        <v>0</v>
      </c>
      <c r="J139" t="s">
        <v>230</v>
      </c>
      <c r="K139" t="s">
        <v>492</v>
      </c>
      <c r="L139" t="s">
        <v>218</v>
      </c>
      <c r="M139" t="s">
        <v>219</v>
      </c>
      <c r="N139" s="19">
        <v>46262</v>
      </c>
      <c r="O139" t="s">
        <v>220</v>
      </c>
      <c r="P139">
        <v>1</v>
      </c>
      <c r="Q139" t="s">
        <v>633</v>
      </c>
    </row>
    <row r="140" spans="1:18" x14ac:dyDescent="0.3">
      <c r="A140" t="s">
        <v>634</v>
      </c>
      <c r="B140" t="s">
        <v>635</v>
      </c>
      <c r="C140" t="s">
        <v>461</v>
      </c>
      <c r="D140" t="s">
        <v>141</v>
      </c>
      <c r="E140" t="s">
        <v>142</v>
      </c>
      <c r="F140" t="s">
        <v>632</v>
      </c>
      <c r="H140">
        <v>1252.8</v>
      </c>
      <c r="I140">
        <v>0</v>
      </c>
      <c r="J140" t="s">
        <v>230</v>
      </c>
      <c r="K140" t="s">
        <v>492</v>
      </c>
      <c r="L140" t="s">
        <v>218</v>
      </c>
      <c r="M140" t="s">
        <v>219</v>
      </c>
      <c r="N140" s="19">
        <v>46262</v>
      </c>
      <c r="O140" t="s">
        <v>220</v>
      </c>
      <c r="P140">
        <v>1</v>
      </c>
      <c r="Q140" t="s">
        <v>636</v>
      </c>
    </row>
    <row r="141" spans="1:18" x14ac:dyDescent="0.3">
      <c r="A141" t="s">
        <v>637</v>
      </c>
      <c r="B141" t="s">
        <v>638</v>
      </c>
      <c r="C141" t="s">
        <v>461</v>
      </c>
      <c r="D141" t="s">
        <v>141</v>
      </c>
      <c r="E141" t="s">
        <v>142</v>
      </c>
      <c r="F141" t="s">
        <v>632</v>
      </c>
      <c r="H141">
        <v>1980</v>
      </c>
      <c r="I141">
        <v>0</v>
      </c>
      <c r="J141" t="s">
        <v>230</v>
      </c>
      <c r="K141" t="s">
        <v>492</v>
      </c>
      <c r="L141" t="s">
        <v>218</v>
      </c>
      <c r="M141" t="s">
        <v>219</v>
      </c>
      <c r="N141" s="19">
        <v>46262</v>
      </c>
      <c r="O141" t="s">
        <v>220</v>
      </c>
      <c r="P141">
        <v>1</v>
      </c>
      <c r="Q141" t="s">
        <v>639</v>
      </c>
    </row>
    <row r="142" spans="1:18" x14ac:dyDescent="0.3">
      <c r="A142" t="s">
        <v>640</v>
      </c>
      <c r="B142" t="s">
        <v>641</v>
      </c>
      <c r="C142" t="s">
        <v>461</v>
      </c>
      <c r="D142" t="s">
        <v>141</v>
      </c>
      <c r="E142" t="s">
        <v>142</v>
      </c>
      <c r="F142" t="s">
        <v>632</v>
      </c>
      <c r="H142">
        <v>2750</v>
      </c>
      <c r="I142">
        <v>0</v>
      </c>
      <c r="J142" t="s">
        <v>230</v>
      </c>
      <c r="K142" t="s">
        <v>492</v>
      </c>
      <c r="L142" t="s">
        <v>218</v>
      </c>
      <c r="M142" t="s">
        <v>219</v>
      </c>
      <c r="N142" s="19">
        <v>46262</v>
      </c>
      <c r="O142" t="s">
        <v>220</v>
      </c>
      <c r="P142">
        <v>2</v>
      </c>
      <c r="Q142" t="s">
        <v>642</v>
      </c>
      <c r="R142" t="s">
        <v>92</v>
      </c>
    </row>
    <row r="143" spans="1:18" x14ac:dyDescent="0.3">
      <c r="A143" t="s">
        <v>643</v>
      </c>
      <c r="B143" t="s">
        <v>644</v>
      </c>
      <c r="C143" t="s">
        <v>461</v>
      </c>
      <c r="D143" t="s">
        <v>141</v>
      </c>
      <c r="E143" t="s">
        <v>142</v>
      </c>
      <c r="F143" t="s">
        <v>632</v>
      </c>
      <c r="H143">
        <v>2612.5</v>
      </c>
      <c r="I143">
        <v>0</v>
      </c>
      <c r="J143" t="s">
        <v>230</v>
      </c>
      <c r="K143" t="s">
        <v>492</v>
      </c>
      <c r="L143" t="s">
        <v>218</v>
      </c>
      <c r="M143" t="s">
        <v>219</v>
      </c>
      <c r="N143" s="19">
        <v>46262</v>
      </c>
      <c r="O143" t="s">
        <v>220</v>
      </c>
      <c r="P143">
        <v>1</v>
      </c>
      <c r="Q143" t="s">
        <v>645</v>
      </c>
    </row>
    <row r="144" spans="1:18" x14ac:dyDescent="0.3">
      <c r="A144" t="s">
        <v>646</v>
      </c>
      <c r="B144" t="s">
        <v>647</v>
      </c>
      <c r="C144" t="s">
        <v>461</v>
      </c>
      <c r="D144" t="s">
        <v>141</v>
      </c>
      <c r="E144" t="s">
        <v>142</v>
      </c>
      <c r="F144" t="s">
        <v>632</v>
      </c>
      <c r="H144">
        <v>1412.92</v>
      </c>
      <c r="I144">
        <v>0</v>
      </c>
      <c r="J144" t="s">
        <v>230</v>
      </c>
      <c r="K144" t="s">
        <v>492</v>
      </c>
      <c r="L144" t="s">
        <v>218</v>
      </c>
      <c r="M144" t="s">
        <v>219</v>
      </c>
      <c r="N144" s="19">
        <v>46262</v>
      </c>
      <c r="O144" t="s">
        <v>220</v>
      </c>
      <c r="P144">
        <v>1</v>
      </c>
      <c r="Q144" t="s">
        <v>648</v>
      </c>
    </row>
    <row r="145" spans="1:18" x14ac:dyDescent="0.3">
      <c r="A145" t="s">
        <v>649</v>
      </c>
      <c r="B145" t="s">
        <v>650</v>
      </c>
      <c r="C145" t="s">
        <v>461</v>
      </c>
      <c r="D145" t="s">
        <v>141</v>
      </c>
      <c r="E145" t="s">
        <v>142</v>
      </c>
      <c r="F145" t="s">
        <v>632</v>
      </c>
      <c r="H145">
        <v>3052.5</v>
      </c>
      <c r="I145">
        <v>0</v>
      </c>
      <c r="J145" t="s">
        <v>230</v>
      </c>
      <c r="K145" t="s">
        <v>492</v>
      </c>
      <c r="L145" t="s">
        <v>218</v>
      </c>
      <c r="M145" t="s">
        <v>219</v>
      </c>
      <c r="N145" s="19">
        <v>46262</v>
      </c>
      <c r="O145" t="s">
        <v>220</v>
      </c>
      <c r="P145">
        <v>1</v>
      </c>
      <c r="Q145" t="s">
        <v>651</v>
      </c>
    </row>
    <row r="146" spans="1:18" x14ac:dyDescent="0.3">
      <c r="A146" t="s">
        <v>652</v>
      </c>
      <c r="B146" t="s">
        <v>653</v>
      </c>
      <c r="C146" t="s">
        <v>461</v>
      </c>
      <c r="D146" t="s">
        <v>141</v>
      </c>
      <c r="E146" t="s">
        <v>142</v>
      </c>
      <c r="F146" t="s">
        <v>632</v>
      </c>
      <c r="H146">
        <v>3135</v>
      </c>
      <c r="I146">
        <v>0</v>
      </c>
      <c r="J146" t="s">
        <v>230</v>
      </c>
      <c r="K146" t="s">
        <v>492</v>
      </c>
      <c r="L146" t="s">
        <v>218</v>
      </c>
      <c r="M146" t="s">
        <v>219</v>
      </c>
      <c r="N146" s="19">
        <v>46262</v>
      </c>
      <c r="O146" t="s">
        <v>220</v>
      </c>
      <c r="P146">
        <v>1</v>
      </c>
      <c r="Q146" t="s">
        <v>654</v>
      </c>
    </row>
    <row r="147" spans="1:18" x14ac:dyDescent="0.3">
      <c r="A147" t="s">
        <v>655</v>
      </c>
      <c r="B147" t="s">
        <v>656</v>
      </c>
      <c r="C147" t="s">
        <v>214</v>
      </c>
      <c r="D147" t="s">
        <v>141</v>
      </c>
      <c r="E147" t="s">
        <v>142</v>
      </c>
      <c r="F147" t="s">
        <v>657</v>
      </c>
      <c r="H147">
        <v>736.03</v>
      </c>
      <c r="I147">
        <v>0</v>
      </c>
      <c r="J147" t="s">
        <v>230</v>
      </c>
      <c r="K147" t="s">
        <v>492</v>
      </c>
      <c r="L147" t="s">
        <v>218</v>
      </c>
      <c r="M147" t="s">
        <v>219</v>
      </c>
      <c r="N147" s="19">
        <v>46262</v>
      </c>
      <c r="O147" t="s">
        <v>220</v>
      </c>
      <c r="P147">
        <v>3</v>
      </c>
      <c r="Q147" t="s">
        <v>658</v>
      </c>
      <c r="R147" t="s">
        <v>92</v>
      </c>
    </row>
    <row r="148" spans="1:18" x14ac:dyDescent="0.3">
      <c r="A148" t="s">
        <v>659</v>
      </c>
      <c r="B148" t="s">
        <v>660</v>
      </c>
      <c r="C148" t="s">
        <v>214</v>
      </c>
      <c r="D148" t="s">
        <v>141</v>
      </c>
      <c r="E148" t="s">
        <v>142</v>
      </c>
      <c r="F148" t="s">
        <v>657</v>
      </c>
      <c r="H148">
        <v>1612.66</v>
      </c>
      <c r="I148">
        <v>0</v>
      </c>
      <c r="J148" t="s">
        <v>230</v>
      </c>
      <c r="K148" t="s">
        <v>492</v>
      </c>
      <c r="L148" t="s">
        <v>218</v>
      </c>
      <c r="M148" t="s">
        <v>219</v>
      </c>
      <c r="N148" s="19">
        <v>46262</v>
      </c>
      <c r="O148" t="s">
        <v>220</v>
      </c>
      <c r="P148">
        <v>1</v>
      </c>
      <c r="Q148" t="s">
        <v>661</v>
      </c>
    </row>
    <row r="149" spans="1:18" x14ac:dyDescent="0.3">
      <c r="A149" t="s">
        <v>662</v>
      </c>
      <c r="B149" t="s">
        <v>663</v>
      </c>
      <c r="C149" t="s">
        <v>518</v>
      </c>
      <c r="D149" t="s">
        <v>141</v>
      </c>
      <c r="E149" t="s">
        <v>142</v>
      </c>
      <c r="F149" t="s">
        <v>657</v>
      </c>
      <c r="H149">
        <v>261</v>
      </c>
      <c r="I149">
        <v>0</v>
      </c>
      <c r="J149" t="s">
        <v>230</v>
      </c>
      <c r="K149" t="s">
        <v>492</v>
      </c>
      <c r="L149" t="s">
        <v>218</v>
      </c>
      <c r="M149" t="s">
        <v>219</v>
      </c>
      <c r="N149" s="19">
        <v>46262</v>
      </c>
      <c r="O149" t="s">
        <v>220</v>
      </c>
      <c r="P149">
        <v>2</v>
      </c>
      <c r="Q149" t="s">
        <v>664</v>
      </c>
      <c r="R149" t="s">
        <v>92</v>
      </c>
    </row>
    <row r="150" spans="1:18" x14ac:dyDescent="0.3">
      <c r="A150" t="s">
        <v>665</v>
      </c>
      <c r="B150" t="s">
        <v>666</v>
      </c>
      <c r="C150" t="s">
        <v>518</v>
      </c>
      <c r="D150" t="s">
        <v>141</v>
      </c>
      <c r="E150" t="s">
        <v>142</v>
      </c>
      <c r="F150" t="s">
        <v>657</v>
      </c>
      <c r="H150">
        <v>689.04</v>
      </c>
      <c r="I150">
        <v>0</v>
      </c>
      <c r="J150" t="s">
        <v>230</v>
      </c>
      <c r="K150" t="s">
        <v>492</v>
      </c>
      <c r="L150" t="s">
        <v>218</v>
      </c>
      <c r="M150" t="s">
        <v>219</v>
      </c>
      <c r="N150" s="19">
        <v>46262</v>
      </c>
      <c r="O150" t="s">
        <v>220</v>
      </c>
      <c r="P150">
        <v>1</v>
      </c>
      <c r="Q150" t="s">
        <v>667</v>
      </c>
    </row>
    <row r="151" spans="1:18" x14ac:dyDescent="0.3">
      <c r="A151" t="s">
        <v>668</v>
      </c>
      <c r="B151" t="s">
        <v>669</v>
      </c>
      <c r="C151" t="s">
        <v>518</v>
      </c>
      <c r="D151" t="s">
        <v>141</v>
      </c>
      <c r="E151" t="s">
        <v>142</v>
      </c>
      <c r="F151" t="s">
        <v>657</v>
      </c>
      <c r="H151">
        <v>111.79</v>
      </c>
      <c r="I151">
        <v>0</v>
      </c>
      <c r="J151" t="s">
        <v>230</v>
      </c>
      <c r="K151" t="s">
        <v>492</v>
      </c>
      <c r="L151" t="s">
        <v>218</v>
      </c>
      <c r="M151" t="s">
        <v>219</v>
      </c>
      <c r="N151" s="19">
        <v>46262</v>
      </c>
      <c r="O151" t="s">
        <v>220</v>
      </c>
      <c r="P151">
        <v>1</v>
      </c>
      <c r="Q151" t="s">
        <v>670</v>
      </c>
    </row>
    <row r="152" spans="1:18" x14ac:dyDescent="0.3">
      <c r="A152" t="s">
        <v>671</v>
      </c>
      <c r="B152" t="s">
        <v>672</v>
      </c>
      <c r="C152" t="s">
        <v>214</v>
      </c>
      <c r="D152" t="s">
        <v>141</v>
      </c>
      <c r="E152" t="s">
        <v>142</v>
      </c>
      <c r="F152" t="s">
        <v>657</v>
      </c>
      <c r="H152">
        <v>130.5</v>
      </c>
      <c r="I152">
        <v>0</v>
      </c>
      <c r="J152" t="s">
        <v>230</v>
      </c>
      <c r="K152" t="s">
        <v>492</v>
      </c>
      <c r="L152" t="s">
        <v>218</v>
      </c>
      <c r="M152" t="s">
        <v>219</v>
      </c>
      <c r="N152" s="19">
        <v>46262</v>
      </c>
      <c r="O152" t="s">
        <v>220</v>
      </c>
      <c r="P152">
        <v>1</v>
      </c>
      <c r="Q152" t="s">
        <v>673</v>
      </c>
    </row>
    <row r="153" spans="1:18" x14ac:dyDescent="0.3">
      <c r="A153" t="s">
        <v>674</v>
      </c>
      <c r="B153" t="s">
        <v>675</v>
      </c>
      <c r="C153" t="s">
        <v>214</v>
      </c>
      <c r="D153" t="s">
        <v>141</v>
      </c>
      <c r="E153" t="s">
        <v>142</v>
      </c>
      <c r="F153" t="s">
        <v>676</v>
      </c>
      <c r="H153">
        <v>1460</v>
      </c>
      <c r="I153">
        <v>0</v>
      </c>
      <c r="J153" t="s">
        <v>216</v>
      </c>
      <c r="K153" t="s">
        <v>492</v>
      </c>
      <c r="L153" t="s">
        <v>218</v>
      </c>
      <c r="M153" t="s">
        <v>219</v>
      </c>
      <c r="N153" s="19">
        <v>46262</v>
      </c>
      <c r="O153" t="s">
        <v>220</v>
      </c>
      <c r="P153">
        <v>1</v>
      </c>
      <c r="Q153" t="s">
        <v>677</v>
      </c>
    </row>
    <row r="154" spans="1:18" x14ac:dyDescent="0.3">
      <c r="A154" t="s">
        <v>678</v>
      </c>
      <c r="B154" t="s">
        <v>679</v>
      </c>
      <c r="C154" t="s">
        <v>214</v>
      </c>
      <c r="D154" t="s">
        <v>141</v>
      </c>
      <c r="E154" t="s">
        <v>142</v>
      </c>
      <c r="F154" t="s">
        <v>676</v>
      </c>
      <c r="H154">
        <v>422.78</v>
      </c>
      <c r="I154">
        <v>0</v>
      </c>
      <c r="J154" t="s">
        <v>216</v>
      </c>
      <c r="K154" t="s">
        <v>492</v>
      </c>
      <c r="L154" t="s">
        <v>218</v>
      </c>
      <c r="M154" t="s">
        <v>219</v>
      </c>
      <c r="N154" s="19">
        <v>46262</v>
      </c>
      <c r="O154" t="s">
        <v>220</v>
      </c>
      <c r="P154">
        <v>1</v>
      </c>
      <c r="Q154" t="s">
        <v>680</v>
      </c>
    </row>
    <row r="155" spans="1:18" x14ac:dyDescent="0.3">
      <c r="A155" t="s">
        <v>681</v>
      </c>
      <c r="B155" t="s">
        <v>682</v>
      </c>
      <c r="C155" t="s">
        <v>214</v>
      </c>
      <c r="D155" t="s">
        <v>141</v>
      </c>
      <c r="E155" t="s">
        <v>142</v>
      </c>
      <c r="F155" t="s">
        <v>676</v>
      </c>
      <c r="H155">
        <v>1379.7</v>
      </c>
      <c r="I155">
        <v>0</v>
      </c>
      <c r="J155" t="s">
        <v>216</v>
      </c>
      <c r="K155" t="s">
        <v>492</v>
      </c>
      <c r="L155" t="s">
        <v>218</v>
      </c>
      <c r="M155" t="s">
        <v>219</v>
      </c>
      <c r="N155" s="19">
        <v>46262</v>
      </c>
      <c r="O155" t="s">
        <v>220</v>
      </c>
      <c r="P155">
        <v>1</v>
      </c>
      <c r="Q155" t="s">
        <v>683</v>
      </c>
    </row>
    <row r="156" spans="1:18" x14ac:dyDescent="0.3">
      <c r="A156" t="s">
        <v>684</v>
      </c>
      <c r="B156" t="s">
        <v>685</v>
      </c>
      <c r="C156" t="s">
        <v>514</v>
      </c>
      <c r="D156" t="s">
        <v>141</v>
      </c>
      <c r="E156" t="s">
        <v>142</v>
      </c>
      <c r="F156" t="s">
        <v>676</v>
      </c>
      <c r="H156">
        <v>1163.98</v>
      </c>
      <c r="I156">
        <v>0</v>
      </c>
      <c r="J156" t="s">
        <v>216</v>
      </c>
      <c r="K156" t="s">
        <v>492</v>
      </c>
      <c r="L156" t="s">
        <v>218</v>
      </c>
      <c r="M156" t="s">
        <v>219</v>
      </c>
      <c r="N156" s="19">
        <v>46262</v>
      </c>
      <c r="O156" t="s">
        <v>220</v>
      </c>
      <c r="P156">
        <v>1</v>
      </c>
      <c r="Q156" t="s">
        <v>686</v>
      </c>
    </row>
    <row r="157" spans="1:18" x14ac:dyDescent="0.3">
      <c r="A157" t="s">
        <v>687</v>
      </c>
      <c r="B157" t="s">
        <v>688</v>
      </c>
      <c r="C157" t="s">
        <v>518</v>
      </c>
      <c r="D157" t="s">
        <v>141</v>
      </c>
      <c r="E157" t="s">
        <v>142</v>
      </c>
      <c r="F157" t="s">
        <v>676</v>
      </c>
      <c r="H157">
        <v>209</v>
      </c>
      <c r="I157">
        <v>0</v>
      </c>
      <c r="J157" t="s">
        <v>230</v>
      </c>
      <c r="K157" t="s">
        <v>492</v>
      </c>
      <c r="L157" t="s">
        <v>218</v>
      </c>
      <c r="M157" t="s">
        <v>219</v>
      </c>
      <c r="N157" s="19">
        <v>46262</v>
      </c>
      <c r="O157" t="s">
        <v>220</v>
      </c>
      <c r="P157">
        <v>1</v>
      </c>
      <c r="Q157" t="s">
        <v>689</v>
      </c>
    </row>
    <row r="158" spans="1:18" x14ac:dyDescent="0.3">
      <c r="A158" t="s">
        <v>690</v>
      </c>
      <c r="B158" t="s">
        <v>691</v>
      </c>
      <c r="C158" t="s">
        <v>214</v>
      </c>
      <c r="D158" t="s">
        <v>141</v>
      </c>
      <c r="E158" t="s">
        <v>142</v>
      </c>
      <c r="F158" t="s">
        <v>692</v>
      </c>
      <c r="H158">
        <v>339.3</v>
      </c>
      <c r="I158">
        <v>0</v>
      </c>
      <c r="J158" t="s">
        <v>230</v>
      </c>
      <c r="K158" t="s">
        <v>492</v>
      </c>
      <c r="L158" t="s">
        <v>218</v>
      </c>
      <c r="M158" t="s">
        <v>219</v>
      </c>
      <c r="N158" s="19">
        <v>46262</v>
      </c>
      <c r="O158" t="s">
        <v>220</v>
      </c>
      <c r="P158">
        <v>1</v>
      </c>
      <c r="Q158" t="s">
        <v>693</v>
      </c>
    </row>
    <row r="159" spans="1:18" x14ac:dyDescent="0.3">
      <c r="A159" t="s">
        <v>694</v>
      </c>
      <c r="B159" t="s">
        <v>695</v>
      </c>
      <c r="C159" t="s">
        <v>214</v>
      </c>
      <c r="D159" t="s">
        <v>141</v>
      </c>
      <c r="E159" t="s">
        <v>142</v>
      </c>
      <c r="F159" t="s">
        <v>692</v>
      </c>
      <c r="H159">
        <v>882.18</v>
      </c>
      <c r="I159">
        <v>0</v>
      </c>
      <c r="J159" t="s">
        <v>230</v>
      </c>
      <c r="K159" t="s">
        <v>492</v>
      </c>
      <c r="L159" t="s">
        <v>218</v>
      </c>
      <c r="M159" t="s">
        <v>219</v>
      </c>
      <c r="N159" s="19">
        <v>46262</v>
      </c>
      <c r="O159" t="s">
        <v>220</v>
      </c>
      <c r="P159">
        <v>1</v>
      </c>
      <c r="Q159" t="s">
        <v>696</v>
      </c>
    </row>
    <row r="160" spans="1:18" x14ac:dyDescent="0.3">
      <c r="A160" t="s">
        <v>697</v>
      </c>
      <c r="B160" t="s">
        <v>698</v>
      </c>
      <c r="C160" t="s">
        <v>214</v>
      </c>
      <c r="D160" t="s">
        <v>141</v>
      </c>
      <c r="E160" t="s">
        <v>142</v>
      </c>
      <c r="F160" t="s">
        <v>692</v>
      </c>
      <c r="H160">
        <v>7464.6</v>
      </c>
      <c r="I160">
        <v>0</v>
      </c>
      <c r="J160" t="s">
        <v>230</v>
      </c>
      <c r="K160" t="s">
        <v>492</v>
      </c>
      <c r="L160" t="s">
        <v>218</v>
      </c>
      <c r="M160" t="s">
        <v>219</v>
      </c>
      <c r="N160" s="19">
        <v>46262</v>
      </c>
      <c r="O160" t="s">
        <v>220</v>
      </c>
      <c r="P160">
        <v>1</v>
      </c>
      <c r="Q160" t="s">
        <v>699</v>
      </c>
    </row>
    <row r="161" spans="1:17" x14ac:dyDescent="0.3">
      <c r="A161" t="s">
        <v>700</v>
      </c>
      <c r="B161" t="s">
        <v>701</v>
      </c>
      <c r="C161" t="s">
        <v>514</v>
      </c>
      <c r="D161" t="s">
        <v>141</v>
      </c>
      <c r="E161" t="s">
        <v>142</v>
      </c>
      <c r="F161" t="s">
        <v>692</v>
      </c>
      <c r="H161">
        <v>3732.3</v>
      </c>
      <c r="I161">
        <v>0</v>
      </c>
      <c r="J161" t="s">
        <v>230</v>
      </c>
      <c r="K161" t="s">
        <v>492</v>
      </c>
      <c r="L161" t="s">
        <v>218</v>
      </c>
      <c r="M161" t="s">
        <v>219</v>
      </c>
      <c r="N161" s="19">
        <v>46262</v>
      </c>
      <c r="O161" t="s">
        <v>220</v>
      </c>
      <c r="P161">
        <v>1</v>
      </c>
      <c r="Q161" t="s">
        <v>702</v>
      </c>
    </row>
    <row r="162" spans="1:17" x14ac:dyDescent="0.3">
      <c r="A162" t="s">
        <v>703</v>
      </c>
      <c r="B162" t="s">
        <v>704</v>
      </c>
      <c r="C162" t="s">
        <v>518</v>
      </c>
      <c r="D162" t="s">
        <v>141</v>
      </c>
      <c r="E162" t="s">
        <v>142</v>
      </c>
      <c r="F162" t="s">
        <v>692</v>
      </c>
      <c r="H162">
        <v>916.11</v>
      </c>
      <c r="I162">
        <v>0</v>
      </c>
      <c r="J162" t="s">
        <v>230</v>
      </c>
      <c r="K162" t="s">
        <v>492</v>
      </c>
      <c r="L162" t="s">
        <v>218</v>
      </c>
      <c r="M162" t="s">
        <v>219</v>
      </c>
      <c r="N162" s="19">
        <v>46262</v>
      </c>
      <c r="O162" t="s">
        <v>220</v>
      </c>
      <c r="P162">
        <v>1</v>
      </c>
      <c r="Q162" t="s">
        <v>705</v>
      </c>
    </row>
    <row r="163" spans="1:17" x14ac:dyDescent="0.3">
      <c r="A163" t="s">
        <v>706</v>
      </c>
      <c r="B163" t="s">
        <v>707</v>
      </c>
      <c r="C163" t="s">
        <v>518</v>
      </c>
      <c r="D163" t="s">
        <v>141</v>
      </c>
      <c r="E163" t="s">
        <v>142</v>
      </c>
      <c r="F163" t="s">
        <v>692</v>
      </c>
      <c r="H163">
        <v>610.74</v>
      </c>
      <c r="I163">
        <v>0</v>
      </c>
      <c r="J163" t="s">
        <v>230</v>
      </c>
      <c r="K163" t="s">
        <v>492</v>
      </c>
      <c r="L163" t="s">
        <v>218</v>
      </c>
      <c r="M163" t="s">
        <v>219</v>
      </c>
      <c r="N163" s="19">
        <v>46262</v>
      </c>
      <c r="O163" t="s">
        <v>220</v>
      </c>
      <c r="P163">
        <v>1</v>
      </c>
      <c r="Q163" t="s">
        <v>708</v>
      </c>
    </row>
    <row r="164" spans="1:17" x14ac:dyDescent="0.3">
      <c r="A164" t="s">
        <v>709</v>
      </c>
      <c r="B164" t="s">
        <v>710</v>
      </c>
      <c r="C164" t="s">
        <v>214</v>
      </c>
      <c r="D164" t="s">
        <v>141</v>
      </c>
      <c r="E164" t="s">
        <v>142</v>
      </c>
      <c r="F164" t="s">
        <v>692</v>
      </c>
      <c r="H164">
        <v>780.39</v>
      </c>
      <c r="I164">
        <v>0</v>
      </c>
      <c r="J164" t="s">
        <v>230</v>
      </c>
      <c r="K164" t="s">
        <v>492</v>
      </c>
      <c r="L164" t="s">
        <v>218</v>
      </c>
      <c r="M164" t="s">
        <v>219</v>
      </c>
      <c r="N164" s="19">
        <v>46262</v>
      </c>
      <c r="O164" t="s">
        <v>220</v>
      </c>
      <c r="P164">
        <v>1</v>
      </c>
      <c r="Q164" t="s">
        <v>711</v>
      </c>
    </row>
    <row r="165" spans="1:17" x14ac:dyDescent="0.3">
      <c r="A165" t="s">
        <v>712</v>
      </c>
      <c r="B165" t="s">
        <v>713</v>
      </c>
      <c r="C165" t="s">
        <v>214</v>
      </c>
      <c r="D165" t="s">
        <v>141</v>
      </c>
      <c r="E165" t="s">
        <v>142</v>
      </c>
      <c r="F165" t="s">
        <v>692</v>
      </c>
      <c r="H165">
        <v>433.22</v>
      </c>
      <c r="I165">
        <v>0</v>
      </c>
      <c r="J165" t="s">
        <v>216</v>
      </c>
      <c r="K165" t="s">
        <v>492</v>
      </c>
      <c r="L165" t="s">
        <v>218</v>
      </c>
      <c r="M165" t="s">
        <v>219</v>
      </c>
      <c r="N165" s="19">
        <v>46262</v>
      </c>
      <c r="O165" t="s">
        <v>220</v>
      </c>
      <c r="P165">
        <v>1</v>
      </c>
      <c r="Q165" t="s">
        <v>714</v>
      </c>
    </row>
    <row r="166" spans="1:17" x14ac:dyDescent="0.3">
      <c r="A166" t="s">
        <v>715</v>
      </c>
      <c r="B166" t="s">
        <v>716</v>
      </c>
      <c r="C166" t="s">
        <v>214</v>
      </c>
      <c r="D166" t="s">
        <v>141</v>
      </c>
      <c r="E166" t="s">
        <v>142</v>
      </c>
      <c r="F166" t="s">
        <v>692</v>
      </c>
      <c r="H166">
        <v>470.25</v>
      </c>
      <c r="I166">
        <v>0</v>
      </c>
      <c r="J166" t="s">
        <v>216</v>
      </c>
      <c r="K166" t="s">
        <v>492</v>
      </c>
      <c r="L166" t="s">
        <v>218</v>
      </c>
      <c r="M166" t="s">
        <v>219</v>
      </c>
      <c r="N166" s="19">
        <v>46262</v>
      </c>
      <c r="O166" t="s">
        <v>220</v>
      </c>
      <c r="P166">
        <v>1</v>
      </c>
      <c r="Q166" t="s">
        <v>717</v>
      </c>
    </row>
    <row r="167" spans="1:17" x14ac:dyDescent="0.3">
      <c r="A167" t="s">
        <v>718</v>
      </c>
      <c r="B167" t="s">
        <v>719</v>
      </c>
      <c r="C167" t="s">
        <v>518</v>
      </c>
      <c r="D167" t="s">
        <v>141</v>
      </c>
      <c r="E167" t="s">
        <v>142</v>
      </c>
      <c r="F167" t="s">
        <v>692</v>
      </c>
      <c r="H167">
        <v>434.96</v>
      </c>
      <c r="I167">
        <v>0</v>
      </c>
      <c r="J167" t="s">
        <v>216</v>
      </c>
      <c r="K167" t="s">
        <v>492</v>
      </c>
      <c r="L167" t="s">
        <v>218</v>
      </c>
      <c r="M167" t="s">
        <v>219</v>
      </c>
      <c r="N167" s="19">
        <v>46262</v>
      </c>
      <c r="O167" t="s">
        <v>220</v>
      </c>
      <c r="P167">
        <v>1</v>
      </c>
      <c r="Q167" t="s">
        <v>720</v>
      </c>
    </row>
    <row r="168" spans="1:17" x14ac:dyDescent="0.3">
      <c r="A168" t="s">
        <v>721</v>
      </c>
      <c r="B168" t="s">
        <v>722</v>
      </c>
      <c r="C168" t="s">
        <v>214</v>
      </c>
      <c r="D168" t="s">
        <v>141</v>
      </c>
      <c r="E168" t="s">
        <v>142</v>
      </c>
      <c r="F168" t="s">
        <v>692</v>
      </c>
      <c r="H168">
        <v>627</v>
      </c>
      <c r="I168">
        <v>0</v>
      </c>
      <c r="J168" t="s">
        <v>216</v>
      </c>
      <c r="K168" t="s">
        <v>492</v>
      </c>
      <c r="L168" t="s">
        <v>218</v>
      </c>
      <c r="M168" t="s">
        <v>219</v>
      </c>
      <c r="N168" s="19">
        <v>46262</v>
      </c>
      <c r="O168" t="s">
        <v>220</v>
      </c>
      <c r="P168">
        <v>1</v>
      </c>
      <c r="Q168" t="s">
        <v>723</v>
      </c>
    </row>
    <row r="169" spans="1:17" x14ac:dyDescent="0.3">
      <c r="A169" t="s">
        <v>724</v>
      </c>
      <c r="B169" t="s">
        <v>725</v>
      </c>
      <c r="C169" t="s">
        <v>214</v>
      </c>
      <c r="D169" t="s">
        <v>141</v>
      </c>
      <c r="E169" t="s">
        <v>142</v>
      </c>
      <c r="F169" t="s">
        <v>692</v>
      </c>
      <c r="H169">
        <v>475.02</v>
      </c>
      <c r="I169">
        <v>0</v>
      </c>
      <c r="J169" t="s">
        <v>216</v>
      </c>
      <c r="K169" t="s">
        <v>492</v>
      </c>
      <c r="L169" t="s">
        <v>218</v>
      </c>
      <c r="M169" t="s">
        <v>219</v>
      </c>
      <c r="N169" s="19">
        <v>46262</v>
      </c>
      <c r="O169" t="s">
        <v>220</v>
      </c>
      <c r="P169">
        <v>1</v>
      </c>
      <c r="Q169" t="s">
        <v>726</v>
      </c>
    </row>
    <row r="170" spans="1:17" x14ac:dyDescent="0.3">
      <c r="A170" t="s">
        <v>727</v>
      </c>
      <c r="B170" t="s">
        <v>728</v>
      </c>
      <c r="C170" t="s">
        <v>214</v>
      </c>
      <c r="D170" t="s">
        <v>141</v>
      </c>
      <c r="E170" t="s">
        <v>142</v>
      </c>
      <c r="F170" t="s">
        <v>692</v>
      </c>
      <c r="H170">
        <v>373.23</v>
      </c>
      <c r="I170">
        <v>0</v>
      </c>
      <c r="J170" t="s">
        <v>230</v>
      </c>
      <c r="K170" t="s">
        <v>492</v>
      </c>
      <c r="L170" t="s">
        <v>218</v>
      </c>
      <c r="M170" t="s">
        <v>219</v>
      </c>
      <c r="N170" s="19">
        <v>46262</v>
      </c>
      <c r="O170" t="s">
        <v>220</v>
      </c>
      <c r="P170">
        <v>1</v>
      </c>
      <c r="Q170" t="s">
        <v>729</v>
      </c>
    </row>
    <row r="171" spans="1:17" x14ac:dyDescent="0.3">
      <c r="A171" t="s">
        <v>730</v>
      </c>
      <c r="B171" t="s">
        <v>731</v>
      </c>
      <c r="C171" t="s">
        <v>732</v>
      </c>
      <c r="D171" t="s">
        <v>141</v>
      </c>
      <c r="E171" t="s">
        <v>142</v>
      </c>
      <c r="F171" t="s">
        <v>692</v>
      </c>
      <c r="H171">
        <v>6786</v>
      </c>
      <c r="I171">
        <v>0</v>
      </c>
      <c r="J171" t="s">
        <v>230</v>
      </c>
      <c r="K171" t="s">
        <v>492</v>
      </c>
      <c r="L171" t="s">
        <v>218</v>
      </c>
      <c r="M171" t="s">
        <v>219</v>
      </c>
      <c r="N171" s="19">
        <v>46262</v>
      </c>
      <c r="O171" t="s">
        <v>220</v>
      </c>
      <c r="P171">
        <v>1</v>
      </c>
      <c r="Q171" t="s">
        <v>733</v>
      </c>
    </row>
    <row r="172" spans="1:17" x14ac:dyDescent="0.3">
      <c r="A172" t="s">
        <v>734</v>
      </c>
      <c r="B172" t="s">
        <v>735</v>
      </c>
      <c r="C172" t="s">
        <v>477</v>
      </c>
      <c r="D172" t="s">
        <v>141</v>
      </c>
      <c r="E172" t="s">
        <v>142</v>
      </c>
      <c r="F172" t="s">
        <v>736</v>
      </c>
      <c r="H172">
        <v>86.13</v>
      </c>
      <c r="I172">
        <v>0</v>
      </c>
      <c r="J172" t="s">
        <v>230</v>
      </c>
      <c r="K172" t="s">
        <v>492</v>
      </c>
      <c r="L172" t="s">
        <v>218</v>
      </c>
      <c r="M172" t="s">
        <v>219</v>
      </c>
      <c r="N172" s="19">
        <v>46262</v>
      </c>
      <c r="O172" t="s">
        <v>220</v>
      </c>
      <c r="P172">
        <v>1</v>
      </c>
      <c r="Q172" t="s">
        <v>737</v>
      </c>
    </row>
    <row r="173" spans="1:17" x14ac:dyDescent="0.3">
      <c r="A173" t="s">
        <v>738</v>
      </c>
      <c r="B173" t="s">
        <v>739</v>
      </c>
      <c r="C173" t="s">
        <v>477</v>
      </c>
      <c r="D173" t="s">
        <v>141</v>
      </c>
      <c r="E173" t="s">
        <v>142</v>
      </c>
      <c r="F173" t="s">
        <v>736</v>
      </c>
      <c r="H173">
        <v>92.39</v>
      </c>
      <c r="I173">
        <v>0</v>
      </c>
      <c r="J173" t="s">
        <v>230</v>
      </c>
      <c r="K173" t="s">
        <v>492</v>
      </c>
      <c r="L173" t="s">
        <v>218</v>
      </c>
      <c r="M173" t="s">
        <v>219</v>
      </c>
      <c r="N173" s="19">
        <v>46262</v>
      </c>
      <c r="O173" t="s">
        <v>220</v>
      </c>
      <c r="P173">
        <v>1</v>
      </c>
      <c r="Q173" t="s">
        <v>740</v>
      </c>
    </row>
    <row r="174" spans="1:17" x14ac:dyDescent="0.3">
      <c r="A174" t="s">
        <v>741</v>
      </c>
      <c r="B174" t="s">
        <v>742</v>
      </c>
      <c r="C174" t="s">
        <v>461</v>
      </c>
      <c r="D174" t="s">
        <v>141</v>
      </c>
      <c r="E174" t="s">
        <v>142</v>
      </c>
      <c r="F174" t="s">
        <v>736</v>
      </c>
      <c r="H174">
        <v>191.4</v>
      </c>
      <c r="I174">
        <v>0</v>
      </c>
      <c r="J174" t="s">
        <v>230</v>
      </c>
      <c r="K174" t="s">
        <v>492</v>
      </c>
      <c r="L174" t="s">
        <v>218</v>
      </c>
      <c r="M174" t="s">
        <v>219</v>
      </c>
      <c r="N174" s="19">
        <v>46262</v>
      </c>
      <c r="O174" t="s">
        <v>220</v>
      </c>
      <c r="P174">
        <v>1</v>
      </c>
      <c r="Q174" t="s">
        <v>743</v>
      </c>
    </row>
    <row r="175" spans="1:17" x14ac:dyDescent="0.3">
      <c r="A175" t="s">
        <v>744</v>
      </c>
      <c r="B175" t="s">
        <v>745</v>
      </c>
      <c r="C175" t="s">
        <v>461</v>
      </c>
      <c r="D175" t="s">
        <v>141</v>
      </c>
      <c r="E175" t="s">
        <v>142</v>
      </c>
      <c r="F175" t="s">
        <v>736</v>
      </c>
      <c r="H175">
        <v>431.61</v>
      </c>
      <c r="I175">
        <v>0</v>
      </c>
      <c r="J175" t="s">
        <v>230</v>
      </c>
      <c r="K175" t="s">
        <v>492</v>
      </c>
      <c r="L175" t="s">
        <v>218</v>
      </c>
      <c r="M175" t="s">
        <v>219</v>
      </c>
      <c r="N175" s="19">
        <v>46262</v>
      </c>
      <c r="O175" t="s">
        <v>220</v>
      </c>
      <c r="P175">
        <v>1</v>
      </c>
      <c r="Q175" t="s">
        <v>746</v>
      </c>
    </row>
    <row r="176" spans="1:17" x14ac:dyDescent="0.3">
      <c r="A176" t="s">
        <v>747</v>
      </c>
      <c r="B176" t="s">
        <v>748</v>
      </c>
      <c r="C176" t="s">
        <v>461</v>
      </c>
      <c r="D176" t="s">
        <v>141</v>
      </c>
      <c r="E176" t="s">
        <v>142</v>
      </c>
      <c r="F176" t="s">
        <v>736</v>
      </c>
      <c r="H176">
        <v>2200</v>
      </c>
      <c r="I176">
        <v>0</v>
      </c>
      <c r="J176" t="s">
        <v>230</v>
      </c>
      <c r="K176" t="s">
        <v>492</v>
      </c>
      <c r="L176" t="s">
        <v>218</v>
      </c>
      <c r="M176" t="s">
        <v>219</v>
      </c>
      <c r="N176" s="19">
        <v>46262</v>
      </c>
      <c r="O176" t="s">
        <v>220</v>
      </c>
      <c r="P176">
        <v>1</v>
      </c>
      <c r="Q176" t="s">
        <v>749</v>
      </c>
    </row>
    <row r="177" spans="1:17" x14ac:dyDescent="0.3">
      <c r="A177" t="s">
        <v>750</v>
      </c>
      <c r="B177" t="s">
        <v>751</v>
      </c>
      <c r="C177" t="s">
        <v>461</v>
      </c>
      <c r="D177" t="s">
        <v>141</v>
      </c>
      <c r="E177" t="s">
        <v>142</v>
      </c>
      <c r="F177" t="s">
        <v>736</v>
      </c>
      <c r="H177">
        <v>5225</v>
      </c>
      <c r="I177">
        <v>0</v>
      </c>
      <c r="J177" t="s">
        <v>230</v>
      </c>
      <c r="K177" t="s">
        <v>492</v>
      </c>
      <c r="L177" t="s">
        <v>218</v>
      </c>
      <c r="M177" t="s">
        <v>219</v>
      </c>
      <c r="N177" s="19">
        <v>46262</v>
      </c>
      <c r="O177" t="s">
        <v>220</v>
      </c>
      <c r="P177">
        <v>1</v>
      </c>
      <c r="Q177" t="s">
        <v>752</v>
      </c>
    </row>
    <row r="178" spans="1:17" x14ac:dyDescent="0.3">
      <c r="A178" t="s">
        <v>753</v>
      </c>
      <c r="B178" t="s">
        <v>754</v>
      </c>
      <c r="C178" t="s">
        <v>518</v>
      </c>
      <c r="D178" t="s">
        <v>141</v>
      </c>
      <c r="E178" t="s">
        <v>142</v>
      </c>
      <c r="F178" t="s">
        <v>736</v>
      </c>
      <c r="H178">
        <v>435.41</v>
      </c>
      <c r="I178">
        <v>0</v>
      </c>
      <c r="J178" t="s">
        <v>230</v>
      </c>
      <c r="K178" t="s">
        <v>492</v>
      </c>
      <c r="L178" t="s">
        <v>218</v>
      </c>
      <c r="M178" t="s">
        <v>219</v>
      </c>
      <c r="N178" s="19">
        <v>46262</v>
      </c>
      <c r="O178" t="s">
        <v>220</v>
      </c>
      <c r="P178">
        <v>1</v>
      </c>
      <c r="Q178" t="s">
        <v>755</v>
      </c>
    </row>
    <row r="179" spans="1:17" x14ac:dyDescent="0.3">
      <c r="A179" t="s">
        <v>756</v>
      </c>
      <c r="B179" t="s">
        <v>757</v>
      </c>
      <c r="C179" t="s">
        <v>461</v>
      </c>
      <c r="D179" t="s">
        <v>141</v>
      </c>
      <c r="E179" t="s">
        <v>142</v>
      </c>
      <c r="F179" t="s">
        <v>736</v>
      </c>
      <c r="H179">
        <v>1045</v>
      </c>
      <c r="I179">
        <v>0</v>
      </c>
      <c r="J179" t="s">
        <v>230</v>
      </c>
      <c r="K179" t="s">
        <v>492</v>
      </c>
      <c r="L179" t="s">
        <v>218</v>
      </c>
      <c r="M179" t="s">
        <v>219</v>
      </c>
      <c r="N179" s="19">
        <v>46262</v>
      </c>
      <c r="O179" t="s">
        <v>220</v>
      </c>
      <c r="P179">
        <v>1</v>
      </c>
      <c r="Q179" t="s">
        <v>758</v>
      </c>
    </row>
    <row r="180" spans="1:17" x14ac:dyDescent="0.3">
      <c r="A180" t="s">
        <v>759</v>
      </c>
      <c r="B180" t="s">
        <v>760</v>
      </c>
      <c r="C180" t="s">
        <v>518</v>
      </c>
      <c r="D180" t="s">
        <v>141</v>
      </c>
      <c r="E180" t="s">
        <v>142</v>
      </c>
      <c r="F180" t="s">
        <v>736</v>
      </c>
      <c r="H180">
        <v>255.07</v>
      </c>
      <c r="I180">
        <v>0</v>
      </c>
      <c r="J180" t="s">
        <v>230</v>
      </c>
      <c r="K180" t="s">
        <v>492</v>
      </c>
      <c r="L180" t="s">
        <v>218</v>
      </c>
      <c r="M180" t="s">
        <v>219</v>
      </c>
      <c r="N180" s="19">
        <v>46262</v>
      </c>
      <c r="O180" t="s">
        <v>220</v>
      </c>
      <c r="P180">
        <v>1</v>
      </c>
      <c r="Q180" t="s">
        <v>761</v>
      </c>
    </row>
    <row r="181" spans="1:17" x14ac:dyDescent="0.3">
      <c r="A181" t="s">
        <v>762</v>
      </c>
      <c r="B181" t="s">
        <v>763</v>
      </c>
      <c r="C181" t="s">
        <v>477</v>
      </c>
      <c r="D181" t="s">
        <v>141</v>
      </c>
      <c r="E181" t="s">
        <v>142</v>
      </c>
      <c r="F181" t="s">
        <v>764</v>
      </c>
      <c r="H181">
        <v>197.84</v>
      </c>
      <c r="I181">
        <v>0</v>
      </c>
      <c r="J181" t="s">
        <v>230</v>
      </c>
      <c r="K181" t="s">
        <v>492</v>
      </c>
      <c r="L181" t="s">
        <v>218</v>
      </c>
      <c r="M181" t="s">
        <v>219</v>
      </c>
      <c r="N181" s="19">
        <v>46262</v>
      </c>
      <c r="O181" t="s">
        <v>220</v>
      </c>
      <c r="P181">
        <v>1</v>
      </c>
      <c r="Q181" t="s">
        <v>765</v>
      </c>
    </row>
    <row r="182" spans="1:17" x14ac:dyDescent="0.3">
      <c r="A182" t="s">
        <v>766</v>
      </c>
      <c r="B182" t="s">
        <v>767</v>
      </c>
      <c r="C182" t="s">
        <v>461</v>
      </c>
      <c r="D182" t="s">
        <v>141</v>
      </c>
      <c r="E182" t="s">
        <v>142</v>
      </c>
      <c r="F182" t="s">
        <v>764</v>
      </c>
      <c r="H182">
        <v>2639.67</v>
      </c>
      <c r="I182">
        <v>0</v>
      </c>
      <c r="J182" t="s">
        <v>230</v>
      </c>
      <c r="K182" t="s">
        <v>492</v>
      </c>
      <c r="L182" t="s">
        <v>218</v>
      </c>
      <c r="M182" t="s">
        <v>219</v>
      </c>
      <c r="N182" s="19">
        <v>46262</v>
      </c>
      <c r="O182" t="s">
        <v>220</v>
      </c>
      <c r="P182">
        <v>1</v>
      </c>
      <c r="Q182" t="s">
        <v>768</v>
      </c>
    </row>
    <row r="183" spans="1:17" x14ac:dyDescent="0.3">
      <c r="A183" t="s">
        <v>769</v>
      </c>
      <c r="B183" t="s">
        <v>770</v>
      </c>
      <c r="C183" t="s">
        <v>461</v>
      </c>
      <c r="D183" t="s">
        <v>141</v>
      </c>
      <c r="E183" t="s">
        <v>142</v>
      </c>
      <c r="F183" t="s">
        <v>764</v>
      </c>
      <c r="H183">
        <v>7657.74</v>
      </c>
      <c r="I183">
        <v>0</v>
      </c>
      <c r="J183" t="s">
        <v>230</v>
      </c>
      <c r="K183" t="s">
        <v>492</v>
      </c>
      <c r="L183" t="s">
        <v>218</v>
      </c>
      <c r="M183" t="s">
        <v>219</v>
      </c>
      <c r="N183" s="19">
        <v>46262</v>
      </c>
      <c r="O183" t="s">
        <v>220</v>
      </c>
      <c r="P183">
        <v>1</v>
      </c>
      <c r="Q183" t="s">
        <v>771</v>
      </c>
    </row>
    <row r="184" spans="1:17" x14ac:dyDescent="0.3">
      <c r="A184" t="s">
        <v>772</v>
      </c>
      <c r="B184" t="s">
        <v>773</v>
      </c>
      <c r="C184" t="s">
        <v>461</v>
      </c>
      <c r="D184" t="s">
        <v>141</v>
      </c>
      <c r="E184" t="s">
        <v>142</v>
      </c>
      <c r="F184" t="s">
        <v>764</v>
      </c>
      <c r="H184">
        <v>27311.040000000001</v>
      </c>
      <c r="I184">
        <v>0</v>
      </c>
      <c r="J184" t="s">
        <v>230</v>
      </c>
      <c r="K184" t="s">
        <v>492</v>
      </c>
      <c r="L184" t="s">
        <v>218</v>
      </c>
      <c r="M184" t="s">
        <v>219</v>
      </c>
      <c r="N184" s="19">
        <v>46262</v>
      </c>
      <c r="O184" t="s">
        <v>220</v>
      </c>
      <c r="P184">
        <v>1</v>
      </c>
      <c r="Q184" t="s">
        <v>774</v>
      </c>
    </row>
    <row r="185" spans="1:17" x14ac:dyDescent="0.3">
      <c r="A185" t="s">
        <v>775</v>
      </c>
      <c r="B185" t="s">
        <v>776</v>
      </c>
      <c r="C185" t="s">
        <v>461</v>
      </c>
      <c r="D185" t="s">
        <v>141</v>
      </c>
      <c r="E185" t="s">
        <v>142</v>
      </c>
      <c r="F185" t="s">
        <v>764</v>
      </c>
      <c r="H185">
        <v>39400.559999999998</v>
      </c>
      <c r="I185">
        <v>0</v>
      </c>
      <c r="J185" t="s">
        <v>230</v>
      </c>
      <c r="K185" t="s">
        <v>492</v>
      </c>
      <c r="L185" t="s">
        <v>218</v>
      </c>
      <c r="M185" t="s">
        <v>219</v>
      </c>
      <c r="N185" s="19">
        <v>46262</v>
      </c>
      <c r="O185" t="s">
        <v>220</v>
      </c>
      <c r="P185">
        <v>1</v>
      </c>
      <c r="Q185" t="s">
        <v>777</v>
      </c>
    </row>
    <row r="186" spans="1:17" x14ac:dyDescent="0.3">
      <c r="A186" t="s">
        <v>778</v>
      </c>
      <c r="B186" t="s">
        <v>779</v>
      </c>
      <c r="C186" t="s">
        <v>461</v>
      </c>
      <c r="D186" t="s">
        <v>141</v>
      </c>
      <c r="E186" t="s">
        <v>142</v>
      </c>
      <c r="F186" t="s">
        <v>780</v>
      </c>
      <c r="H186">
        <v>783</v>
      </c>
      <c r="I186">
        <v>0</v>
      </c>
      <c r="J186" t="s">
        <v>230</v>
      </c>
      <c r="K186" t="s">
        <v>492</v>
      </c>
      <c r="L186" t="s">
        <v>218</v>
      </c>
      <c r="M186" t="s">
        <v>219</v>
      </c>
      <c r="N186" s="19">
        <v>46262</v>
      </c>
      <c r="O186" t="s">
        <v>220</v>
      </c>
      <c r="P186">
        <v>1</v>
      </c>
      <c r="Q186" t="s">
        <v>781</v>
      </c>
    </row>
    <row r="187" spans="1:17" x14ac:dyDescent="0.3">
      <c r="A187" t="s">
        <v>782</v>
      </c>
      <c r="B187" t="s">
        <v>783</v>
      </c>
      <c r="C187" t="s">
        <v>461</v>
      </c>
      <c r="D187" t="s">
        <v>141</v>
      </c>
      <c r="E187" t="s">
        <v>142</v>
      </c>
      <c r="F187" t="s">
        <v>780</v>
      </c>
      <c r="H187">
        <v>689.04</v>
      </c>
      <c r="I187">
        <v>0</v>
      </c>
      <c r="J187" t="s">
        <v>230</v>
      </c>
      <c r="K187" t="s">
        <v>492</v>
      </c>
      <c r="L187" t="s">
        <v>218</v>
      </c>
      <c r="M187" t="s">
        <v>219</v>
      </c>
      <c r="N187" s="19">
        <v>46262</v>
      </c>
      <c r="O187" t="s">
        <v>220</v>
      </c>
      <c r="P187">
        <v>1</v>
      </c>
      <c r="Q187" t="s">
        <v>784</v>
      </c>
    </row>
    <row r="188" spans="1:17" x14ac:dyDescent="0.3">
      <c r="A188" t="s">
        <v>785</v>
      </c>
      <c r="B188" t="s">
        <v>786</v>
      </c>
      <c r="C188" t="s">
        <v>289</v>
      </c>
      <c r="D188" t="s">
        <v>141</v>
      </c>
      <c r="E188" t="s">
        <v>142</v>
      </c>
      <c r="F188" t="s">
        <v>780</v>
      </c>
      <c r="H188">
        <v>330</v>
      </c>
      <c r="I188">
        <v>0</v>
      </c>
      <c r="J188" t="s">
        <v>230</v>
      </c>
      <c r="K188" t="s">
        <v>492</v>
      </c>
      <c r="L188" t="s">
        <v>218</v>
      </c>
      <c r="M188" t="s">
        <v>219</v>
      </c>
      <c r="N188" s="19">
        <v>46262</v>
      </c>
      <c r="O188" t="s">
        <v>220</v>
      </c>
      <c r="P188">
        <v>1</v>
      </c>
      <c r="Q188" t="s">
        <v>787</v>
      </c>
    </row>
    <row r="189" spans="1:17" x14ac:dyDescent="0.3">
      <c r="A189" t="s">
        <v>788</v>
      </c>
      <c r="B189" t="s">
        <v>789</v>
      </c>
      <c r="C189" t="s">
        <v>461</v>
      </c>
      <c r="D189" t="s">
        <v>141</v>
      </c>
      <c r="E189" t="s">
        <v>142</v>
      </c>
      <c r="F189" t="s">
        <v>780</v>
      </c>
      <c r="H189">
        <v>2612.5</v>
      </c>
      <c r="I189">
        <v>0</v>
      </c>
      <c r="J189" t="s">
        <v>230</v>
      </c>
      <c r="K189" t="s">
        <v>492</v>
      </c>
      <c r="L189" t="s">
        <v>218</v>
      </c>
      <c r="M189" t="s">
        <v>219</v>
      </c>
      <c r="N189" s="19">
        <v>46262</v>
      </c>
      <c r="O189" t="s">
        <v>220</v>
      </c>
      <c r="P189">
        <v>1</v>
      </c>
      <c r="Q189" t="s">
        <v>790</v>
      </c>
    </row>
    <row r="190" spans="1:17" x14ac:dyDescent="0.3">
      <c r="A190" t="s">
        <v>791</v>
      </c>
      <c r="B190" t="s">
        <v>792</v>
      </c>
      <c r="C190" t="s">
        <v>461</v>
      </c>
      <c r="D190" t="s">
        <v>141</v>
      </c>
      <c r="E190" t="s">
        <v>142</v>
      </c>
      <c r="F190" t="s">
        <v>780</v>
      </c>
      <c r="H190">
        <v>1212.71</v>
      </c>
      <c r="I190">
        <v>0</v>
      </c>
      <c r="J190" t="s">
        <v>230</v>
      </c>
      <c r="K190" t="s">
        <v>492</v>
      </c>
      <c r="L190" t="s">
        <v>218</v>
      </c>
      <c r="M190" t="s">
        <v>219</v>
      </c>
      <c r="N190" s="19">
        <v>46262</v>
      </c>
      <c r="O190" t="s">
        <v>220</v>
      </c>
      <c r="P190">
        <v>1</v>
      </c>
      <c r="Q190" t="s">
        <v>793</v>
      </c>
    </row>
    <row r="191" spans="1:17" x14ac:dyDescent="0.3">
      <c r="A191" t="s">
        <v>794</v>
      </c>
      <c r="B191" t="s">
        <v>795</v>
      </c>
      <c r="C191" t="s">
        <v>518</v>
      </c>
      <c r="D191" t="s">
        <v>141</v>
      </c>
      <c r="E191" t="s">
        <v>142</v>
      </c>
      <c r="F191" t="s">
        <v>780</v>
      </c>
      <c r="H191">
        <v>128.15</v>
      </c>
      <c r="I191">
        <v>0</v>
      </c>
      <c r="J191" t="s">
        <v>230</v>
      </c>
      <c r="K191" t="s">
        <v>492</v>
      </c>
      <c r="L191" t="s">
        <v>218</v>
      </c>
      <c r="M191" t="s">
        <v>219</v>
      </c>
      <c r="N191" s="19">
        <v>46262</v>
      </c>
      <c r="O191" t="s">
        <v>220</v>
      </c>
      <c r="P191">
        <v>1</v>
      </c>
      <c r="Q191" t="s">
        <v>796</v>
      </c>
    </row>
    <row r="192" spans="1:17" x14ac:dyDescent="0.3">
      <c r="A192" t="s">
        <v>797</v>
      </c>
      <c r="B192" t="s">
        <v>798</v>
      </c>
      <c r="C192" t="s">
        <v>518</v>
      </c>
      <c r="D192" t="s">
        <v>141</v>
      </c>
      <c r="E192" t="s">
        <v>142</v>
      </c>
      <c r="F192" t="s">
        <v>780</v>
      </c>
      <c r="H192">
        <v>178.94</v>
      </c>
      <c r="I192">
        <v>0</v>
      </c>
      <c r="J192" t="s">
        <v>230</v>
      </c>
      <c r="K192" t="s">
        <v>492</v>
      </c>
      <c r="L192" t="s">
        <v>218</v>
      </c>
      <c r="M192" t="s">
        <v>219</v>
      </c>
      <c r="N192" s="19">
        <v>46262</v>
      </c>
      <c r="O192" t="s">
        <v>220</v>
      </c>
      <c r="P192">
        <v>1</v>
      </c>
      <c r="Q192" t="s">
        <v>799</v>
      </c>
    </row>
    <row r="193" spans="1:17" x14ac:dyDescent="0.3">
      <c r="A193" t="s">
        <v>800</v>
      </c>
      <c r="B193" t="s">
        <v>801</v>
      </c>
      <c r="C193" t="s">
        <v>518</v>
      </c>
      <c r="D193" t="s">
        <v>141</v>
      </c>
      <c r="E193" t="s">
        <v>142</v>
      </c>
      <c r="F193" t="s">
        <v>780</v>
      </c>
      <c r="H193">
        <v>183.45</v>
      </c>
      <c r="I193">
        <v>0</v>
      </c>
      <c r="J193" t="s">
        <v>230</v>
      </c>
      <c r="K193" t="s">
        <v>492</v>
      </c>
      <c r="L193" t="s">
        <v>218</v>
      </c>
      <c r="M193" t="s">
        <v>219</v>
      </c>
      <c r="N193" s="19">
        <v>46262</v>
      </c>
      <c r="O193" t="s">
        <v>220</v>
      </c>
      <c r="P193">
        <v>1</v>
      </c>
      <c r="Q193" t="s">
        <v>802</v>
      </c>
    </row>
    <row r="194" spans="1:17" x14ac:dyDescent="0.3">
      <c r="A194" t="s">
        <v>803</v>
      </c>
      <c r="B194" t="s">
        <v>804</v>
      </c>
      <c r="C194" t="s">
        <v>461</v>
      </c>
      <c r="D194" t="s">
        <v>141</v>
      </c>
      <c r="E194" t="s">
        <v>142</v>
      </c>
      <c r="F194" t="s">
        <v>780</v>
      </c>
      <c r="H194">
        <v>720.26</v>
      </c>
      <c r="I194">
        <v>0</v>
      </c>
      <c r="J194" t="s">
        <v>230</v>
      </c>
      <c r="K194" t="s">
        <v>492</v>
      </c>
      <c r="L194" t="s">
        <v>218</v>
      </c>
      <c r="M194" t="s">
        <v>219</v>
      </c>
      <c r="N194" s="19">
        <v>46262</v>
      </c>
      <c r="O194" t="s">
        <v>220</v>
      </c>
      <c r="P194">
        <v>1</v>
      </c>
      <c r="Q194" t="s">
        <v>805</v>
      </c>
    </row>
    <row r="195" spans="1:17" x14ac:dyDescent="0.3">
      <c r="A195" t="s">
        <v>806</v>
      </c>
      <c r="B195" t="s">
        <v>807</v>
      </c>
      <c r="C195" t="s">
        <v>461</v>
      </c>
      <c r="D195" t="s">
        <v>141</v>
      </c>
      <c r="E195" t="s">
        <v>142</v>
      </c>
      <c r="F195" t="s">
        <v>780</v>
      </c>
      <c r="H195">
        <v>313.5</v>
      </c>
      <c r="I195">
        <v>0</v>
      </c>
      <c r="J195" t="s">
        <v>230</v>
      </c>
      <c r="K195" t="s">
        <v>492</v>
      </c>
      <c r="L195" t="s">
        <v>218</v>
      </c>
      <c r="M195" t="s">
        <v>219</v>
      </c>
      <c r="N195" s="19">
        <v>46262</v>
      </c>
      <c r="O195" t="s">
        <v>220</v>
      </c>
      <c r="P195">
        <v>1</v>
      </c>
      <c r="Q195" t="s">
        <v>808</v>
      </c>
    </row>
    <row r="196" spans="1:17" x14ac:dyDescent="0.3">
      <c r="A196" t="s">
        <v>809</v>
      </c>
      <c r="B196" t="s">
        <v>810</v>
      </c>
      <c r="C196" t="s">
        <v>461</v>
      </c>
      <c r="D196" t="s">
        <v>141</v>
      </c>
      <c r="E196" t="s">
        <v>142</v>
      </c>
      <c r="F196" t="s">
        <v>780</v>
      </c>
      <c r="H196">
        <v>1492.92</v>
      </c>
      <c r="I196">
        <v>0</v>
      </c>
      <c r="J196" t="s">
        <v>230</v>
      </c>
      <c r="K196" t="s">
        <v>492</v>
      </c>
      <c r="L196" t="s">
        <v>218</v>
      </c>
      <c r="M196" t="s">
        <v>219</v>
      </c>
      <c r="N196" s="19">
        <v>46262</v>
      </c>
      <c r="O196" t="s">
        <v>220</v>
      </c>
      <c r="P196">
        <v>1</v>
      </c>
      <c r="Q196" t="s">
        <v>811</v>
      </c>
    </row>
    <row r="197" spans="1:17" x14ac:dyDescent="0.3">
      <c r="A197" t="s">
        <v>812</v>
      </c>
      <c r="B197" t="s">
        <v>813</v>
      </c>
      <c r="C197" t="s">
        <v>461</v>
      </c>
      <c r="D197" t="s">
        <v>141</v>
      </c>
      <c r="E197" t="s">
        <v>142</v>
      </c>
      <c r="F197" t="s">
        <v>780</v>
      </c>
      <c r="H197">
        <v>463.67</v>
      </c>
      <c r="I197">
        <v>0</v>
      </c>
      <c r="J197" t="s">
        <v>230</v>
      </c>
      <c r="K197" t="s">
        <v>492</v>
      </c>
      <c r="L197" t="s">
        <v>218</v>
      </c>
      <c r="M197" t="s">
        <v>219</v>
      </c>
      <c r="N197" s="19">
        <v>46262</v>
      </c>
      <c r="O197" t="s">
        <v>220</v>
      </c>
      <c r="P197">
        <v>1</v>
      </c>
      <c r="Q197" t="s">
        <v>814</v>
      </c>
    </row>
    <row r="198" spans="1:17" x14ac:dyDescent="0.3">
      <c r="A198" t="s">
        <v>815</v>
      </c>
      <c r="B198" t="s">
        <v>816</v>
      </c>
      <c r="C198" t="s">
        <v>461</v>
      </c>
      <c r="D198" t="s">
        <v>141</v>
      </c>
      <c r="E198" t="s">
        <v>142</v>
      </c>
      <c r="F198" t="s">
        <v>780</v>
      </c>
      <c r="H198">
        <v>2592.6</v>
      </c>
      <c r="I198">
        <v>0</v>
      </c>
      <c r="J198" t="s">
        <v>230</v>
      </c>
      <c r="K198" t="s">
        <v>492</v>
      </c>
      <c r="L198" t="s">
        <v>218</v>
      </c>
      <c r="M198" t="s">
        <v>219</v>
      </c>
      <c r="N198" s="19">
        <v>46262</v>
      </c>
      <c r="O198" t="s">
        <v>220</v>
      </c>
      <c r="P198">
        <v>1</v>
      </c>
      <c r="Q198" t="s">
        <v>817</v>
      </c>
    </row>
    <row r="199" spans="1:17" x14ac:dyDescent="0.3">
      <c r="A199" t="s">
        <v>818</v>
      </c>
      <c r="B199" t="s">
        <v>819</v>
      </c>
      <c r="C199" t="s">
        <v>461</v>
      </c>
      <c r="D199" t="s">
        <v>141</v>
      </c>
      <c r="E199" t="s">
        <v>142</v>
      </c>
      <c r="F199" t="s">
        <v>820</v>
      </c>
      <c r="H199">
        <v>13200</v>
      </c>
      <c r="I199">
        <v>0</v>
      </c>
      <c r="J199" t="s">
        <v>230</v>
      </c>
      <c r="K199" t="s">
        <v>492</v>
      </c>
      <c r="L199" t="s">
        <v>218</v>
      </c>
      <c r="M199" t="s">
        <v>219</v>
      </c>
      <c r="N199" s="19">
        <v>46262</v>
      </c>
      <c r="O199" t="s">
        <v>220</v>
      </c>
      <c r="P199">
        <v>1</v>
      </c>
      <c r="Q199" t="s">
        <v>821</v>
      </c>
    </row>
    <row r="200" spans="1:17" x14ac:dyDescent="0.3">
      <c r="A200" t="s">
        <v>822</v>
      </c>
      <c r="B200" t="s">
        <v>823</v>
      </c>
      <c r="C200" t="s">
        <v>461</v>
      </c>
      <c r="D200" t="s">
        <v>141</v>
      </c>
      <c r="E200" t="s">
        <v>142</v>
      </c>
      <c r="F200" t="s">
        <v>820</v>
      </c>
      <c r="H200">
        <v>32447.25</v>
      </c>
      <c r="I200">
        <v>0</v>
      </c>
      <c r="J200" t="s">
        <v>230</v>
      </c>
      <c r="K200" t="s">
        <v>492</v>
      </c>
      <c r="L200" t="s">
        <v>218</v>
      </c>
      <c r="M200" t="s">
        <v>219</v>
      </c>
      <c r="N200" s="19">
        <v>46262</v>
      </c>
      <c r="O200" t="s">
        <v>220</v>
      </c>
      <c r="P200">
        <v>1</v>
      </c>
      <c r="Q200" t="s">
        <v>824</v>
      </c>
    </row>
    <row r="201" spans="1:17" x14ac:dyDescent="0.3">
      <c r="A201" t="s">
        <v>825</v>
      </c>
      <c r="B201" t="s">
        <v>826</v>
      </c>
      <c r="C201" t="s">
        <v>461</v>
      </c>
      <c r="D201" t="s">
        <v>141</v>
      </c>
      <c r="E201" t="s">
        <v>142</v>
      </c>
      <c r="F201" t="s">
        <v>820</v>
      </c>
      <c r="H201">
        <v>28842</v>
      </c>
      <c r="I201">
        <v>0</v>
      </c>
      <c r="J201" t="s">
        <v>230</v>
      </c>
      <c r="K201" t="s">
        <v>492</v>
      </c>
      <c r="L201" t="s">
        <v>218</v>
      </c>
      <c r="M201" t="s">
        <v>219</v>
      </c>
      <c r="N201" s="19">
        <v>46262</v>
      </c>
      <c r="O201" t="s">
        <v>220</v>
      </c>
      <c r="P201">
        <v>1</v>
      </c>
      <c r="Q201" t="s">
        <v>827</v>
      </c>
    </row>
    <row r="202" spans="1:17" x14ac:dyDescent="0.3">
      <c r="A202" t="s">
        <v>828</v>
      </c>
      <c r="B202" t="s">
        <v>829</v>
      </c>
      <c r="C202" t="s">
        <v>461</v>
      </c>
      <c r="D202" t="s">
        <v>141</v>
      </c>
      <c r="E202" t="s">
        <v>142</v>
      </c>
      <c r="F202" t="s">
        <v>820</v>
      </c>
      <c r="H202">
        <v>24795</v>
      </c>
      <c r="I202">
        <v>0</v>
      </c>
      <c r="J202" t="s">
        <v>230</v>
      </c>
      <c r="K202" t="s">
        <v>492</v>
      </c>
      <c r="L202" t="s">
        <v>218</v>
      </c>
      <c r="M202" t="s">
        <v>219</v>
      </c>
      <c r="N202" s="19">
        <v>46262</v>
      </c>
      <c r="O202" t="s">
        <v>220</v>
      </c>
      <c r="P202">
        <v>1</v>
      </c>
      <c r="Q202" t="s">
        <v>830</v>
      </c>
    </row>
    <row r="203" spans="1:17" x14ac:dyDescent="0.3">
      <c r="A203" t="s">
        <v>831</v>
      </c>
      <c r="B203" t="s">
        <v>832</v>
      </c>
      <c r="C203" t="s">
        <v>732</v>
      </c>
      <c r="D203" t="s">
        <v>141</v>
      </c>
      <c r="E203" t="s">
        <v>142</v>
      </c>
      <c r="F203" t="s">
        <v>820</v>
      </c>
      <c r="H203">
        <v>1268.6300000000001</v>
      </c>
      <c r="I203">
        <v>0</v>
      </c>
      <c r="J203" t="s">
        <v>230</v>
      </c>
      <c r="K203" t="s">
        <v>492</v>
      </c>
      <c r="L203" t="s">
        <v>218</v>
      </c>
      <c r="M203" t="s">
        <v>219</v>
      </c>
      <c r="N203" s="19">
        <v>46262</v>
      </c>
      <c r="O203" t="s">
        <v>220</v>
      </c>
      <c r="P203">
        <v>1</v>
      </c>
      <c r="Q203" t="s">
        <v>833</v>
      </c>
    </row>
    <row r="204" spans="1:17" x14ac:dyDescent="0.3">
      <c r="A204" t="s">
        <v>834</v>
      </c>
      <c r="B204" t="s">
        <v>835</v>
      </c>
      <c r="C204" t="s">
        <v>214</v>
      </c>
      <c r="D204" t="s">
        <v>141</v>
      </c>
      <c r="E204" t="s">
        <v>142</v>
      </c>
      <c r="F204" t="s">
        <v>820</v>
      </c>
      <c r="H204">
        <v>94.05</v>
      </c>
      <c r="I204">
        <v>0</v>
      </c>
      <c r="J204" t="s">
        <v>230</v>
      </c>
      <c r="K204" t="s">
        <v>492</v>
      </c>
      <c r="L204" t="s">
        <v>218</v>
      </c>
      <c r="M204" t="s">
        <v>219</v>
      </c>
      <c r="N204" s="19">
        <v>46262</v>
      </c>
      <c r="O204" t="s">
        <v>220</v>
      </c>
      <c r="P204">
        <v>1</v>
      </c>
      <c r="Q204" t="s">
        <v>836</v>
      </c>
    </row>
    <row r="205" spans="1:17" x14ac:dyDescent="0.3">
      <c r="A205" t="s">
        <v>837</v>
      </c>
      <c r="B205" t="s">
        <v>838</v>
      </c>
      <c r="C205" t="s">
        <v>214</v>
      </c>
      <c r="D205" t="s">
        <v>141</v>
      </c>
      <c r="E205" t="s">
        <v>142</v>
      </c>
      <c r="F205" t="s">
        <v>820</v>
      </c>
      <c r="H205">
        <v>110.69</v>
      </c>
      <c r="I205">
        <v>0</v>
      </c>
      <c r="J205" t="s">
        <v>230</v>
      </c>
      <c r="K205" t="s">
        <v>492</v>
      </c>
      <c r="L205" t="s">
        <v>218</v>
      </c>
      <c r="M205" t="s">
        <v>219</v>
      </c>
      <c r="N205" s="19">
        <v>46262</v>
      </c>
      <c r="O205" t="s">
        <v>220</v>
      </c>
      <c r="P205">
        <v>1</v>
      </c>
      <c r="Q205" t="s">
        <v>839</v>
      </c>
    </row>
    <row r="206" spans="1:17" x14ac:dyDescent="0.3">
      <c r="A206" t="s">
        <v>840</v>
      </c>
      <c r="B206" t="s">
        <v>841</v>
      </c>
      <c r="C206" t="s">
        <v>214</v>
      </c>
      <c r="D206" t="s">
        <v>141</v>
      </c>
      <c r="E206" t="s">
        <v>142</v>
      </c>
      <c r="F206" t="s">
        <v>820</v>
      </c>
      <c r="H206">
        <v>519</v>
      </c>
      <c r="I206">
        <v>0</v>
      </c>
      <c r="J206" t="s">
        <v>230</v>
      </c>
      <c r="K206" t="s">
        <v>492</v>
      </c>
      <c r="L206" t="s">
        <v>218</v>
      </c>
      <c r="M206" t="s">
        <v>219</v>
      </c>
      <c r="N206" s="19">
        <v>46262</v>
      </c>
      <c r="O206" t="s">
        <v>220</v>
      </c>
      <c r="P206">
        <v>1</v>
      </c>
      <c r="Q206" t="s">
        <v>842</v>
      </c>
    </row>
    <row r="207" spans="1:17" x14ac:dyDescent="0.3">
      <c r="A207" t="s">
        <v>843</v>
      </c>
      <c r="B207" t="s">
        <v>844</v>
      </c>
      <c r="C207" t="s">
        <v>461</v>
      </c>
      <c r="D207" t="s">
        <v>141</v>
      </c>
      <c r="E207" t="s">
        <v>142</v>
      </c>
      <c r="F207" t="s">
        <v>845</v>
      </c>
      <c r="H207">
        <v>522.5</v>
      </c>
      <c r="I207">
        <v>0</v>
      </c>
      <c r="J207" t="s">
        <v>230</v>
      </c>
      <c r="K207" t="s">
        <v>492</v>
      </c>
      <c r="L207" t="s">
        <v>218</v>
      </c>
      <c r="M207" t="s">
        <v>219</v>
      </c>
      <c r="N207" s="19">
        <v>46262</v>
      </c>
      <c r="O207" t="s">
        <v>220</v>
      </c>
      <c r="P207">
        <v>1</v>
      </c>
      <c r="Q207" t="s">
        <v>846</v>
      </c>
    </row>
    <row r="208" spans="1:17" x14ac:dyDescent="0.3">
      <c r="A208" t="s">
        <v>847</v>
      </c>
      <c r="B208" t="s">
        <v>848</v>
      </c>
      <c r="C208" t="s">
        <v>461</v>
      </c>
      <c r="D208" t="s">
        <v>141</v>
      </c>
      <c r="E208" t="s">
        <v>142</v>
      </c>
      <c r="F208" t="s">
        <v>845</v>
      </c>
      <c r="H208">
        <v>3027.6</v>
      </c>
      <c r="I208">
        <v>0</v>
      </c>
      <c r="J208" t="s">
        <v>230</v>
      </c>
      <c r="K208" t="s">
        <v>492</v>
      </c>
      <c r="L208" t="s">
        <v>218</v>
      </c>
      <c r="M208" t="s">
        <v>219</v>
      </c>
      <c r="N208" s="19">
        <v>46262</v>
      </c>
      <c r="O208" t="s">
        <v>220</v>
      </c>
      <c r="P208">
        <v>1</v>
      </c>
      <c r="Q208" t="s">
        <v>849</v>
      </c>
    </row>
    <row r="209" spans="1:18" x14ac:dyDescent="0.3">
      <c r="A209" t="s">
        <v>850</v>
      </c>
      <c r="B209" t="s">
        <v>851</v>
      </c>
      <c r="C209" t="s">
        <v>214</v>
      </c>
      <c r="D209" t="s">
        <v>141</v>
      </c>
      <c r="E209" t="s">
        <v>142</v>
      </c>
      <c r="F209" t="s">
        <v>845</v>
      </c>
      <c r="H209">
        <v>626.4</v>
      </c>
      <c r="I209">
        <v>0</v>
      </c>
      <c r="J209" t="s">
        <v>230</v>
      </c>
      <c r="K209" t="s">
        <v>492</v>
      </c>
      <c r="L209" t="s">
        <v>218</v>
      </c>
      <c r="M209" t="s">
        <v>219</v>
      </c>
      <c r="N209" s="19">
        <v>46262</v>
      </c>
      <c r="O209" t="s">
        <v>220</v>
      </c>
      <c r="P209">
        <v>1</v>
      </c>
      <c r="Q209" t="s">
        <v>852</v>
      </c>
    </row>
    <row r="210" spans="1:18" x14ac:dyDescent="0.3">
      <c r="A210" t="s">
        <v>853</v>
      </c>
      <c r="B210" t="s">
        <v>854</v>
      </c>
      <c r="C210" t="s">
        <v>214</v>
      </c>
      <c r="D210" t="s">
        <v>141</v>
      </c>
      <c r="E210" t="s">
        <v>142</v>
      </c>
      <c r="F210" t="s">
        <v>845</v>
      </c>
      <c r="H210">
        <v>174</v>
      </c>
      <c r="I210">
        <v>0</v>
      </c>
      <c r="J210" t="s">
        <v>230</v>
      </c>
      <c r="K210" t="s">
        <v>492</v>
      </c>
      <c r="L210" t="s">
        <v>218</v>
      </c>
      <c r="M210" t="s">
        <v>219</v>
      </c>
      <c r="N210" s="19">
        <v>46262</v>
      </c>
      <c r="O210" t="s">
        <v>220</v>
      </c>
      <c r="P210">
        <v>1</v>
      </c>
      <c r="Q210" t="s">
        <v>855</v>
      </c>
    </row>
    <row r="211" spans="1:18" x14ac:dyDescent="0.3">
      <c r="A211" t="s">
        <v>856</v>
      </c>
      <c r="B211" t="s">
        <v>857</v>
      </c>
      <c r="C211" t="s">
        <v>732</v>
      </c>
      <c r="D211" t="s">
        <v>141</v>
      </c>
      <c r="E211" t="s">
        <v>142</v>
      </c>
      <c r="F211" t="s">
        <v>845</v>
      </c>
      <c r="H211">
        <v>5225</v>
      </c>
      <c r="I211">
        <v>0</v>
      </c>
      <c r="J211" t="s">
        <v>230</v>
      </c>
      <c r="K211" t="s">
        <v>492</v>
      </c>
      <c r="L211" t="s">
        <v>218</v>
      </c>
      <c r="M211" t="s">
        <v>219</v>
      </c>
      <c r="N211" s="19">
        <v>46262</v>
      </c>
      <c r="O211" t="s">
        <v>220</v>
      </c>
      <c r="P211">
        <v>1</v>
      </c>
      <c r="Q211" t="s">
        <v>858</v>
      </c>
    </row>
    <row r="212" spans="1:18" x14ac:dyDescent="0.3">
      <c r="A212" t="s">
        <v>859</v>
      </c>
      <c r="B212" t="s">
        <v>860</v>
      </c>
      <c r="C212" t="s">
        <v>461</v>
      </c>
      <c r="D212" t="s">
        <v>141</v>
      </c>
      <c r="E212" t="s">
        <v>142</v>
      </c>
      <c r="F212" t="s">
        <v>845</v>
      </c>
      <c r="H212">
        <v>8143.2</v>
      </c>
      <c r="I212">
        <v>0</v>
      </c>
      <c r="J212" t="s">
        <v>230</v>
      </c>
      <c r="K212" t="s">
        <v>492</v>
      </c>
      <c r="L212" t="s">
        <v>218</v>
      </c>
      <c r="M212" t="s">
        <v>219</v>
      </c>
      <c r="N212" s="19">
        <v>46262</v>
      </c>
      <c r="O212" t="s">
        <v>220</v>
      </c>
      <c r="P212">
        <v>1</v>
      </c>
      <c r="Q212" t="s">
        <v>861</v>
      </c>
    </row>
    <row r="213" spans="1:18" x14ac:dyDescent="0.3">
      <c r="A213" t="s">
        <v>862</v>
      </c>
      <c r="B213" t="s">
        <v>863</v>
      </c>
      <c r="C213" t="s">
        <v>461</v>
      </c>
      <c r="D213" t="s">
        <v>141</v>
      </c>
      <c r="E213" t="s">
        <v>142</v>
      </c>
      <c r="F213" t="s">
        <v>845</v>
      </c>
      <c r="H213">
        <v>305370</v>
      </c>
      <c r="I213">
        <v>0</v>
      </c>
      <c r="J213" t="s">
        <v>216</v>
      </c>
      <c r="K213" t="s">
        <v>492</v>
      </c>
      <c r="L213" t="s">
        <v>218</v>
      </c>
      <c r="M213" t="s">
        <v>219</v>
      </c>
      <c r="N213" s="19">
        <v>46262</v>
      </c>
      <c r="O213" t="s">
        <v>220</v>
      </c>
      <c r="P213">
        <v>1</v>
      </c>
      <c r="Q213" t="s">
        <v>864</v>
      </c>
    </row>
    <row r="214" spans="1:18" x14ac:dyDescent="0.3">
      <c r="A214" t="s">
        <v>865</v>
      </c>
      <c r="B214" t="s">
        <v>866</v>
      </c>
      <c r="C214" t="s">
        <v>214</v>
      </c>
      <c r="D214" t="s">
        <v>141</v>
      </c>
      <c r="E214" t="s">
        <v>142</v>
      </c>
      <c r="F214" t="s">
        <v>845</v>
      </c>
      <c r="H214">
        <v>820</v>
      </c>
      <c r="I214">
        <v>0</v>
      </c>
      <c r="J214" t="s">
        <v>230</v>
      </c>
      <c r="K214" t="s">
        <v>492</v>
      </c>
      <c r="L214" t="s">
        <v>218</v>
      </c>
      <c r="M214" t="s">
        <v>219</v>
      </c>
      <c r="N214" s="19">
        <v>46262</v>
      </c>
      <c r="O214" t="s">
        <v>220</v>
      </c>
      <c r="P214">
        <v>1</v>
      </c>
      <c r="Q214" t="s">
        <v>867</v>
      </c>
    </row>
    <row r="215" spans="1:18" x14ac:dyDescent="0.3">
      <c r="A215" t="s">
        <v>868</v>
      </c>
      <c r="B215" t="s">
        <v>869</v>
      </c>
      <c r="C215" t="s">
        <v>214</v>
      </c>
      <c r="D215" t="s">
        <v>141</v>
      </c>
      <c r="E215" t="s">
        <v>142</v>
      </c>
      <c r="F215" t="s">
        <v>870</v>
      </c>
      <c r="H215">
        <v>2133.33</v>
      </c>
      <c r="I215">
        <v>0</v>
      </c>
      <c r="J215" t="s">
        <v>230</v>
      </c>
      <c r="K215" t="s">
        <v>492</v>
      </c>
      <c r="L215" t="s">
        <v>218</v>
      </c>
      <c r="M215" t="s">
        <v>219</v>
      </c>
      <c r="N215" s="19">
        <v>46262</v>
      </c>
      <c r="O215" t="s">
        <v>220</v>
      </c>
      <c r="P215">
        <v>1</v>
      </c>
      <c r="Q215" t="s">
        <v>871</v>
      </c>
    </row>
    <row r="216" spans="1:18" x14ac:dyDescent="0.3">
      <c r="A216" t="s">
        <v>872</v>
      </c>
      <c r="B216" t="s">
        <v>873</v>
      </c>
      <c r="C216" t="s">
        <v>214</v>
      </c>
      <c r="D216" t="s">
        <v>143</v>
      </c>
      <c r="E216" t="s">
        <v>144</v>
      </c>
      <c r="F216" t="s">
        <v>215</v>
      </c>
      <c r="G216" t="s">
        <v>874</v>
      </c>
      <c r="H216">
        <v>2392.5</v>
      </c>
      <c r="I216">
        <v>5</v>
      </c>
      <c r="J216" t="s">
        <v>230</v>
      </c>
      <c r="K216" t="s">
        <v>44</v>
      </c>
      <c r="L216" t="s">
        <v>92</v>
      </c>
      <c r="M216" t="s">
        <v>219</v>
      </c>
      <c r="N216" s="19">
        <v>46262</v>
      </c>
      <c r="O216" t="s">
        <v>220</v>
      </c>
      <c r="P216">
        <v>1</v>
      </c>
      <c r="Q216" t="s">
        <v>875</v>
      </c>
    </row>
    <row r="217" spans="1:18" x14ac:dyDescent="0.3">
      <c r="A217" t="s">
        <v>876</v>
      </c>
      <c r="B217" t="s">
        <v>877</v>
      </c>
      <c r="C217" t="s">
        <v>214</v>
      </c>
      <c r="D217" t="s">
        <v>143</v>
      </c>
      <c r="E217" t="s">
        <v>144</v>
      </c>
      <c r="F217" t="s">
        <v>215</v>
      </c>
      <c r="G217" t="s">
        <v>874</v>
      </c>
      <c r="H217">
        <v>2704.48</v>
      </c>
      <c r="I217">
        <v>5</v>
      </c>
      <c r="J217" t="s">
        <v>230</v>
      </c>
      <c r="K217" t="s">
        <v>44</v>
      </c>
      <c r="L217" t="s">
        <v>92</v>
      </c>
      <c r="M217" t="s">
        <v>219</v>
      </c>
      <c r="N217" s="19">
        <v>46262</v>
      </c>
      <c r="O217" t="s">
        <v>220</v>
      </c>
      <c r="P217">
        <v>1</v>
      </c>
      <c r="Q217" t="s">
        <v>878</v>
      </c>
    </row>
    <row r="218" spans="1:18" x14ac:dyDescent="0.3">
      <c r="A218" t="s">
        <v>879</v>
      </c>
      <c r="B218" t="s">
        <v>880</v>
      </c>
      <c r="C218" t="s">
        <v>214</v>
      </c>
      <c r="D218" t="s">
        <v>143</v>
      </c>
      <c r="E218" t="s">
        <v>144</v>
      </c>
      <c r="F218" t="s">
        <v>215</v>
      </c>
      <c r="G218" t="s">
        <v>874</v>
      </c>
      <c r="H218">
        <v>2035.8</v>
      </c>
      <c r="I218">
        <v>5</v>
      </c>
      <c r="J218" t="s">
        <v>230</v>
      </c>
      <c r="K218" t="s">
        <v>44</v>
      </c>
      <c r="L218" t="s">
        <v>92</v>
      </c>
      <c r="M218" t="s">
        <v>219</v>
      </c>
      <c r="N218" s="19">
        <v>46262</v>
      </c>
      <c r="O218" t="s">
        <v>220</v>
      </c>
      <c r="P218">
        <v>1</v>
      </c>
      <c r="Q218" t="s">
        <v>881</v>
      </c>
    </row>
    <row r="219" spans="1:18" x14ac:dyDescent="0.3">
      <c r="A219" t="s">
        <v>882</v>
      </c>
      <c r="B219" t="s">
        <v>883</v>
      </c>
      <c r="C219" t="s">
        <v>514</v>
      </c>
      <c r="D219" t="s">
        <v>143</v>
      </c>
      <c r="E219" t="s">
        <v>144</v>
      </c>
      <c r="F219" t="s">
        <v>215</v>
      </c>
      <c r="G219" t="s">
        <v>874</v>
      </c>
      <c r="H219">
        <v>9787.5</v>
      </c>
      <c r="I219">
        <v>5</v>
      </c>
      <c r="J219" t="s">
        <v>230</v>
      </c>
      <c r="K219" t="s">
        <v>44</v>
      </c>
      <c r="L219" t="s">
        <v>92</v>
      </c>
      <c r="M219" t="s">
        <v>219</v>
      </c>
      <c r="N219" s="19">
        <v>46262</v>
      </c>
      <c r="O219" t="s">
        <v>220</v>
      </c>
      <c r="P219">
        <v>1</v>
      </c>
      <c r="Q219" t="s">
        <v>884</v>
      </c>
    </row>
    <row r="220" spans="1:18" x14ac:dyDescent="0.3">
      <c r="A220" t="s">
        <v>885</v>
      </c>
      <c r="B220" t="s">
        <v>886</v>
      </c>
      <c r="C220" t="s">
        <v>518</v>
      </c>
      <c r="D220" t="s">
        <v>143</v>
      </c>
      <c r="E220" t="s">
        <v>144</v>
      </c>
      <c r="F220" t="s">
        <v>215</v>
      </c>
      <c r="H220">
        <v>1045</v>
      </c>
      <c r="I220">
        <v>0</v>
      </c>
      <c r="J220" t="s">
        <v>216</v>
      </c>
      <c r="K220" t="s">
        <v>887</v>
      </c>
      <c r="L220" t="s">
        <v>218</v>
      </c>
      <c r="M220" t="s">
        <v>219</v>
      </c>
      <c r="N220" s="19">
        <v>46262</v>
      </c>
      <c r="O220" t="s">
        <v>220</v>
      </c>
      <c r="P220">
        <v>2</v>
      </c>
      <c r="Q220" t="s">
        <v>888</v>
      </c>
      <c r="R220" t="s">
        <v>92</v>
      </c>
    </row>
    <row r="221" spans="1:18" x14ac:dyDescent="0.3">
      <c r="A221" t="s">
        <v>889</v>
      </c>
      <c r="B221" t="s">
        <v>890</v>
      </c>
      <c r="C221" t="s">
        <v>518</v>
      </c>
      <c r="D221" t="s">
        <v>143</v>
      </c>
      <c r="E221" t="s">
        <v>144</v>
      </c>
      <c r="F221" t="s">
        <v>215</v>
      </c>
      <c r="H221">
        <v>2090</v>
      </c>
      <c r="I221">
        <v>0</v>
      </c>
      <c r="J221" t="s">
        <v>216</v>
      </c>
      <c r="K221" t="s">
        <v>887</v>
      </c>
      <c r="L221" t="s">
        <v>218</v>
      </c>
      <c r="M221" t="s">
        <v>219</v>
      </c>
      <c r="N221" s="19">
        <v>46262</v>
      </c>
      <c r="O221" t="s">
        <v>220</v>
      </c>
      <c r="P221">
        <v>2</v>
      </c>
      <c r="Q221" t="s">
        <v>891</v>
      </c>
      <c r="R221" t="s">
        <v>92</v>
      </c>
    </row>
    <row r="222" spans="1:18" x14ac:dyDescent="0.3">
      <c r="A222" t="s">
        <v>892</v>
      </c>
      <c r="B222" t="s">
        <v>893</v>
      </c>
      <c r="C222" t="s">
        <v>214</v>
      </c>
      <c r="D222" t="s">
        <v>143</v>
      </c>
      <c r="E222" t="s">
        <v>144</v>
      </c>
      <c r="F222" t="s">
        <v>215</v>
      </c>
      <c r="G222" t="s">
        <v>894</v>
      </c>
      <c r="H222">
        <v>1722.6</v>
      </c>
      <c r="I222">
        <v>5</v>
      </c>
      <c r="J222" t="s">
        <v>230</v>
      </c>
      <c r="K222" t="s">
        <v>44</v>
      </c>
      <c r="L222" t="s">
        <v>92</v>
      </c>
      <c r="M222" t="s">
        <v>219</v>
      </c>
      <c r="N222" s="19">
        <v>46262</v>
      </c>
      <c r="O222" t="s">
        <v>220</v>
      </c>
      <c r="P222">
        <v>1</v>
      </c>
      <c r="Q222" t="s">
        <v>895</v>
      </c>
    </row>
    <row r="223" spans="1:18" x14ac:dyDescent="0.3">
      <c r="A223" t="s">
        <v>896</v>
      </c>
      <c r="B223" t="s">
        <v>897</v>
      </c>
      <c r="C223" t="s">
        <v>214</v>
      </c>
      <c r="D223" t="s">
        <v>143</v>
      </c>
      <c r="E223" t="s">
        <v>144</v>
      </c>
      <c r="F223" t="s">
        <v>215</v>
      </c>
      <c r="G223" t="s">
        <v>894</v>
      </c>
      <c r="H223">
        <v>1894.86</v>
      </c>
      <c r="I223">
        <v>5</v>
      </c>
      <c r="J223" t="s">
        <v>230</v>
      </c>
      <c r="K223" t="s">
        <v>44</v>
      </c>
      <c r="L223" t="s">
        <v>92</v>
      </c>
      <c r="M223" t="s">
        <v>219</v>
      </c>
      <c r="N223" s="19">
        <v>46262</v>
      </c>
      <c r="O223" t="s">
        <v>220</v>
      </c>
      <c r="P223">
        <v>1</v>
      </c>
      <c r="Q223" t="s">
        <v>898</v>
      </c>
    </row>
    <row r="224" spans="1:18" x14ac:dyDescent="0.3">
      <c r="A224" t="s">
        <v>899</v>
      </c>
      <c r="B224" t="s">
        <v>900</v>
      </c>
      <c r="C224" t="s">
        <v>214</v>
      </c>
      <c r="D224" t="s">
        <v>143</v>
      </c>
      <c r="E224" t="s">
        <v>144</v>
      </c>
      <c r="F224" t="s">
        <v>215</v>
      </c>
      <c r="G224" t="s">
        <v>894</v>
      </c>
      <c r="H224">
        <v>1305.22</v>
      </c>
      <c r="I224">
        <v>5</v>
      </c>
      <c r="J224" t="s">
        <v>230</v>
      </c>
      <c r="K224" t="s">
        <v>44</v>
      </c>
      <c r="L224" t="s">
        <v>92</v>
      </c>
      <c r="M224" t="s">
        <v>219</v>
      </c>
      <c r="N224" s="19">
        <v>46262</v>
      </c>
      <c r="O224" t="s">
        <v>220</v>
      </c>
      <c r="P224">
        <v>3</v>
      </c>
      <c r="Q224" t="s">
        <v>901</v>
      </c>
      <c r="R224" t="s">
        <v>92</v>
      </c>
    </row>
    <row r="225" spans="1:18" x14ac:dyDescent="0.3">
      <c r="A225" t="s">
        <v>902</v>
      </c>
      <c r="B225" t="s">
        <v>900</v>
      </c>
      <c r="C225" t="s">
        <v>214</v>
      </c>
      <c r="D225" t="s">
        <v>143</v>
      </c>
      <c r="E225" t="s">
        <v>144</v>
      </c>
      <c r="F225" t="s">
        <v>215</v>
      </c>
      <c r="G225" t="s">
        <v>894</v>
      </c>
      <c r="H225">
        <v>1515.98</v>
      </c>
      <c r="I225">
        <v>5</v>
      </c>
      <c r="J225" t="s">
        <v>230</v>
      </c>
      <c r="K225" t="s">
        <v>44</v>
      </c>
      <c r="L225" t="s">
        <v>92</v>
      </c>
      <c r="M225" t="s">
        <v>219</v>
      </c>
      <c r="N225" s="19">
        <v>46262</v>
      </c>
      <c r="O225" t="s">
        <v>220</v>
      </c>
      <c r="P225">
        <v>2</v>
      </c>
      <c r="Q225" t="s">
        <v>903</v>
      </c>
      <c r="R225" t="s">
        <v>92</v>
      </c>
    </row>
    <row r="226" spans="1:18" x14ac:dyDescent="0.3">
      <c r="A226" t="s">
        <v>904</v>
      </c>
      <c r="B226" t="s">
        <v>905</v>
      </c>
      <c r="C226" t="s">
        <v>214</v>
      </c>
      <c r="D226" t="s">
        <v>143</v>
      </c>
      <c r="E226" t="s">
        <v>144</v>
      </c>
      <c r="F226" t="s">
        <v>215</v>
      </c>
      <c r="G226" t="s">
        <v>894</v>
      </c>
      <c r="H226">
        <v>1357.2</v>
      </c>
      <c r="I226">
        <v>5</v>
      </c>
      <c r="J226" t="s">
        <v>230</v>
      </c>
      <c r="K226" t="s">
        <v>44</v>
      </c>
      <c r="L226" t="s">
        <v>92</v>
      </c>
      <c r="M226" t="s">
        <v>219</v>
      </c>
      <c r="N226" s="19">
        <v>46262</v>
      </c>
      <c r="O226" t="s">
        <v>220</v>
      </c>
      <c r="P226">
        <v>1</v>
      </c>
      <c r="Q226" t="s">
        <v>906</v>
      </c>
    </row>
    <row r="227" spans="1:18" x14ac:dyDescent="0.3">
      <c r="A227" t="s">
        <v>907</v>
      </c>
      <c r="B227" t="s">
        <v>908</v>
      </c>
      <c r="C227" t="s">
        <v>214</v>
      </c>
      <c r="D227" t="s">
        <v>143</v>
      </c>
      <c r="E227" t="s">
        <v>144</v>
      </c>
      <c r="F227" t="s">
        <v>215</v>
      </c>
      <c r="G227" t="s">
        <v>894</v>
      </c>
      <c r="H227">
        <v>1305</v>
      </c>
      <c r="I227">
        <v>5</v>
      </c>
      <c r="J227" t="s">
        <v>230</v>
      </c>
      <c r="K227" t="s">
        <v>44</v>
      </c>
      <c r="L227" t="s">
        <v>92</v>
      </c>
      <c r="M227" t="s">
        <v>219</v>
      </c>
      <c r="N227" s="19">
        <v>46262</v>
      </c>
      <c r="O227" t="s">
        <v>220</v>
      </c>
      <c r="P227">
        <v>1</v>
      </c>
      <c r="Q227" t="s">
        <v>909</v>
      </c>
    </row>
    <row r="228" spans="1:18" x14ac:dyDescent="0.3">
      <c r="A228" t="s">
        <v>910</v>
      </c>
      <c r="B228" t="s">
        <v>911</v>
      </c>
      <c r="C228" t="s">
        <v>214</v>
      </c>
      <c r="D228" t="s">
        <v>143</v>
      </c>
      <c r="E228" t="s">
        <v>144</v>
      </c>
      <c r="F228" t="s">
        <v>215</v>
      </c>
      <c r="G228" t="s">
        <v>912</v>
      </c>
      <c r="H228">
        <v>106.14</v>
      </c>
      <c r="I228">
        <v>5</v>
      </c>
      <c r="J228" t="s">
        <v>230</v>
      </c>
      <c r="K228" t="s">
        <v>48</v>
      </c>
      <c r="L228" t="s">
        <v>92</v>
      </c>
      <c r="M228" t="s">
        <v>219</v>
      </c>
      <c r="N228" s="19">
        <v>46262</v>
      </c>
      <c r="O228" t="s">
        <v>220</v>
      </c>
      <c r="P228">
        <v>1</v>
      </c>
      <c r="Q228" t="s">
        <v>913</v>
      </c>
    </row>
    <row r="229" spans="1:18" x14ac:dyDescent="0.3">
      <c r="A229" t="s">
        <v>914</v>
      </c>
      <c r="B229" t="s">
        <v>915</v>
      </c>
      <c r="C229" t="s">
        <v>214</v>
      </c>
      <c r="D229" t="s">
        <v>143</v>
      </c>
      <c r="E229" t="s">
        <v>144</v>
      </c>
      <c r="F229" t="s">
        <v>215</v>
      </c>
      <c r="H229">
        <v>977.08</v>
      </c>
      <c r="I229">
        <v>0</v>
      </c>
      <c r="J229" t="s">
        <v>230</v>
      </c>
      <c r="K229" t="s">
        <v>48</v>
      </c>
      <c r="L229" t="s">
        <v>218</v>
      </c>
      <c r="M229" t="s">
        <v>219</v>
      </c>
      <c r="N229" s="19">
        <v>46262</v>
      </c>
      <c r="O229" t="s">
        <v>220</v>
      </c>
      <c r="P229">
        <v>1</v>
      </c>
      <c r="Q229" t="s">
        <v>916</v>
      </c>
    </row>
    <row r="230" spans="1:18" x14ac:dyDescent="0.3">
      <c r="A230" t="s">
        <v>917</v>
      </c>
      <c r="B230" t="s">
        <v>918</v>
      </c>
      <c r="C230" t="s">
        <v>518</v>
      </c>
      <c r="D230" t="s">
        <v>143</v>
      </c>
      <c r="E230" t="s">
        <v>144</v>
      </c>
      <c r="F230" t="s">
        <v>215</v>
      </c>
      <c r="G230" t="s">
        <v>874</v>
      </c>
      <c r="H230">
        <v>616.1</v>
      </c>
      <c r="I230">
        <v>5</v>
      </c>
      <c r="J230" t="s">
        <v>230</v>
      </c>
      <c r="K230" t="s">
        <v>44</v>
      </c>
      <c r="L230" t="s">
        <v>92</v>
      </c>
      <c r="M230" t="s">
        <v>219</v>
      </c>
      <c r="N230" s="19">
        <v>46262</v>
      </c>
      <c r="O230" t="s">
        <v>220</v>
      </c>
      <c r="P230">
        <v>1</v>
      </c>
      <c r="Q230" t="s">
        <v>919</v>
      </c>
    </row>
    <row r="231" spans="1:18" x14ac:dyDescent="0.3">
      <c r="A231" t="s">
        <v>920</v>
      </c>
      <c r="B231" t="s">
        <v>921</v>
      </c>
      <c r="C231" t="s">
        <v>518</v>
      </c>
      <c r="D231" t="s">
        <v>143</v>
      </c>
      <c r="E231" t="s">
        <v>144</v>
      </c>
      <c r="F231" t="s">
        <v>215</v>
      </c>
      <c r="H231">
        <v>585.20000000000005</v>
      </c>
      <c r="I231">
        <v>0</v>
      </c>
      <c r="J231" t="s">
        <v>230</v>
      </c>
      <c r="K231" t="s">
        <v>887</v>
      </c>
      <c r="L231" t="s">
        <v>218</v>
      </c>
      <c r="M231" t="s">
        <v>219</v>
      </c>
      <c r="N231" s="19">
        <v>46262</v>
      </c>
      <c r="O231" t="s">
        <v>220</v>
      </c>
      <c r="P231">
        <v>1</v>
      </c>
      <c r="Q231" t="s">
        <v>922</v>
      </c>
    </row>
    <row r="232" spans="1:18" x14ac:dyDescent="0.3">
      <c r="A232" t="s">
        <v>923</v>
      </c>
      <c r="B232" t="s">
        <v>924</v>
      </c>
      <c r="C232" t="s">
        <v>514</v>
      </c>
      <c r="D232" t="s">
        <v>143</v>
      </c>
      <c r="E232" t="s">
        <v>144</v>
      </c>
      <c r="F232" t="s">
        <v>215</v>
      </c>
      <c r="G232" t="s">
        <v>874</v>
      </c>
      <c r="H232">
        <v>25414.48</v>
      </c>
      <c r="I232">
        <v>5</v>
      </c>
      <c r="J232" t="s">
        <v>216</v>
      </c>
      <c r="K232" t="s">
        <v>52</v>
      </c>
      <c r="L232" t="s">
        <v>92</v>
      </c>
      <c r="M232" t="s">
        <v>219</v>
      </c>
      <c r="N232" s="19">
        <v>46262</v>
      </c>
      <c r="O232" t="s">
        <v>220</v>
      </c>
      <c r="P232">
        <v>1</v>
      </c>
      <c r="Q232" t="s">
        <v>925</v>
      </c>
    </row>
    <row r="233" spans="1:18" x14ac:dyDescent="0.3">
      <c r="A233" t="s">
        <v>926</v>
      </c>
      <c r="B233" t="s">
        <v>927</v>
      </c>
      <c r="C233" t="s">
        <v>514</v>
      </c>
      <c r="D233" t="s">
        <v>143</v>
      </c>
      <c r="E233" t="s">
        <v>144</v>
      </c>
      <c r="F233" t="s">
        <v>215</v>
      </c>
      <c r="H233">
        <v>31115.45</v>
      </c>
      <c r="I233">
        <v>0</v>
      </c>
      <c r="J233" t="s">
        <v>216</v>
      </c>
      <c r="K233" t="s">
        <v>52</v>
      </c>
      <c r="L233" t="s">
        <v>218</v>
      </c>
      <c r="M233" t="s">
        <v>219</v>
      </c>
      <c r="N233" s="19">
        <v>46262</v>
      </c>
      <c r="O233" t="s">
        <v>220</v>
      </c>
      <c r="P233">
        <v>1</v>
      </c>
      <c r="Q233" t="s">
        <v>928</v>
      </c>
    </row>
    <row r="234" spans="1:18" x14ac:dyDescent="0.3">
      <c r="A234" t="s">
        <v>929</v>
      </c>
      <c r="B234" t="s">
        <v>930</v>
      </c>
      <c r="C234" t="s">
        <v>214</v>
      </c>
      <c r="D234" t="s">
        <v>143</v>
      </c>
      <c r="E234" t="s">
        <v>144</v>
      </c>
      <c r="F234" t="s">
        <v>215</v>
      </c>
      <c r="H234">
        <v>500.21</v>
      </c>
      <c r="I234">
        <v>0</v>
      </c>
      <c r="J234" t="s">
        <v>230</v>
      </c>
      <c r="K234" t="s">
        <v>48</v>
      </c>
      <c r="L234" t="s">
        <v>218</v>
      </c>
      <c r="M234" t="s">
        <v>219</v>
      </c>
      <c r="N234" s="19">
        <v>46262</v>
      </c>
      <c r="O234" t="s">
        <v>220</v>
      </c>
      <c r="P234">
        <v>1</v>
      </c>
      <c r="Q234" t="s">
        <v>931</v>
      </c>
    </row>
    <row r="235" spans="1:18" x14ac:dyDescent="0.3">
      <c r="A235" t="s">
        <v>932</v>
      </c>
      <c r="B235" t="s">
        <v>933</v>
      </c>
      <c r="C235" t="s">
        <v>514</v>
      </c>
      <c r="D235" t="s">
        <v>143</v>
      </c>
      <c r="E235" t="s">
        <v>144</v>
      </c>
      <c r="F235" t="s">
        <v>215</v>
      </c>
      <c r="H235">
        <v>12214.8</v>
      </c>
      <c r="I235">
        <v>0</v>
      </c>
      <c r="J235" t="s">
        <v>230</v>
      </c>
      <c r="K235" t="s">
        <v>44</v>
      </c>
      <c r="L235" t="s">
        <v>218</v>
      </c>
      <c r="M235" t="s">
        <v>219</v>
      </c>
      <c r="N235" s="19">
        <v>46262</v>
      </c>
      <c r="O235" t="s">
        <v>220</v>
      </c>
      <c r="P235">
        <v>1</v>
      </c>
      <c r="Q235" t="s">
        <v>934</v>
      </c>
    </row>
    <row r="236" spans="1:18" x14ac:dyDescent="0.3">
      <c r="A236" t="s">
        <v>935</v>
      </c>
      <c r="B236" t="s">
        <v>936</v>
      </c>
      <c r="C236" t="s">
        <v>514</v>
      </c>
      <c r="D236" t="s">
        <v>143</v>
      </c>
      <c r="E236" t="s">
        <v>144</v>
      </c>
      <c r="F236" t="s">
        <v>215</v>
      </c>
      <c r="G236" t="s">
        <v>874</v>
      </c>
      <c r="H236">
        <v>10521.32</v>
      </c>
      <c r="I236">
        <v>5</v>
      </c>
      <c r="J236" t="s">
        <v>230</v>
      </c>
      <c r="K236" t="s">
        <v>44</v>
      </c>
      <c r="L236" t="s">
        <v>92</v>
      </c>
      <c r="M236" t="s">
        <v>219</v>
      </c>
      <c r="N236" s="19">
        <v>46262</v>
      </c>
      <c r="O236" t="s">
        <v>220</v>
      </c>
      <c r="P236">
        <v>1</v>
      </c>
      <c r="Q236" t="s">
        <v>937</v>
      </c>
    </row>
    <row r="237" spans="1:18" x14ac:dyDescent="0.3">
      <c r="A237" t="s">
        <v>938</v>
      </c>
      <c r="B237" t="s">
        <v>939</v>
      </c>
      <c r="C237" t="s">
        <v>940</v>
      </c>
      <c r="D237" t="s">
        <v>143</v>
      </c>
      <c r="E237" t="s">
        <v>144</v>
      </c>
      <c r="F237" t="s">
        <v>215</v>
      </c>
      <c r="H237">
        <v>76.37</v>
      </c>
      <c r="I237">
        <v>0</v>
      </c>
      <c r="J237" t="s">
        <v>230</v>
      </c>
      <c r="K237" t="s">
        <v>44</v>
      </c>
      <c r="L237" t="s">
        <v>218</v>
      </c>
      <c r="M237" t="s">
        <v>219</v>
      </c>
      <c r="N237" s="19">
        <v>46262</v>
      </c>
      <c r="O237" t="s">
        <v>220</v>
      </c>
      <c r="P237">
        <v>1</v>
      </c>
      <c r="Q237" t="s">
        <v>941</v>
      </c>
    </row>
    <row r="238" spans="1:18" x14ac:dyDescent="0.3">
      <c r="A238" t="s">
        <v>942</v>
      </c>
      <c r="B238" t="s">
        <v>943</v>
      </c>
      <c r="C238" t="s">
        <v>940</v>
      </c>
      <c r="D238" t="s">
        <v>143</v>
      </c>
      <c r="E238" t="s">
        <v>144</v>
      </c>
      <c r="F238" t="s">
        <v>215</v>
      </c>
      <c r="H238">
        <v>78.959999999999994</v>
      </c>
      <c r="I238">
        <v>0</v>
      </c>
      <c r="J238" t="s">
        <v>230</v>
      </c>
      <c r="K238" t="s">
        <v>44</v>
      </c>
      <c r="L238" t="s">
        <v>218</v>
      </c>
      <c r="M238" t="s">
        <v>219</v>
      </c>
      <c r="N238" s="19">
        <v>46262</v>
      </c>
      <c r="O238" t="s">
        <v>220</v>
      </c>
      <c r="P238">
        <v>1</v>
      </c>
      <c r="Q238" t="s">
        <v>944</v>
      </c>
    </row>
    <row r="239" spans="1:18" x14ac:dyDescent="0.3">
      <c r="A239" t="s">
        <v>945</v>
      </c>
      <c r="B239" t="s">
        <v>946</v>
      </c>
      <c r="C239" t="s">
        <v>940</v>
      </c>
      <c r="D239" t="s">
        <v>143</v>
      </c>
      <c r="E239" t="s">
        <v>144</v>
      </c>
      <c r="F239" t="s">
        <v>215</v>
      </c>
      <c r="H239">
        <v>134.85</v>
      </c>
      <c r="I239">
        <v>0</v>
      </c>
      <c r="J239" t="s">
        <v>230</v>
      </c>
      <c r="K239" t="s">
        <v>44</v>
      </c>
      <c r="L239" t="s">
        <v>218</v>
      </c>
      <c r="M239" t="s">
        <v>219</v>
      </c>
      <c r="N239" s="19">
        <v>46262</v>
      </c>
      <c r="O239" t="s">
        <v>220</v>
      </c>
      <c r="P239">
        <v>1</v>
      </c>
      <c r="Q239" t="s">
        <v>947</v>
      </c>
    </row>
    <row r="240" spans="1:18" x14ac:dyDescent="0.3">
      <c r="A240" t="s">
        <v>948</v>
      </c>
      <c r="B240" t="s">
        <v>949</v>
      </c>
      <c r="C240" t="s">
        <v>940</v>
      </c>
      <c r="D240" t="s">
        <v>143</v>
      </c>
      <c r="E240" t="s">
        <v>144</v>
      </c>
      <c r="F240" t="s">
        <v>215</v>
      </c>
      <c r="H240">
        <v>174</v>
      </c>
      <c r="I240">
        <v>0</v>
      </c>
      <c r="J240" t="s">
        <v>230</v>
      </c>
      <c r="K240" t="s">
        <v>44</v>
      </c>
      <c r="L240" t="s">
        <v>218</v>
      </c>
      <c r="M240" t="s">
        <v>219</v>
      </c>
      <c r="N240" s="19">
        <v>46262</v>
      </c>
      <c r="O240" t="s">
        <v>220</v>
      </c>
      <c r="P240">
        <v>1</v>
      </c>
      <c r="Q240" t="s">
        <v>950</v>
      </c>
    </row>
    <row r="241" spans="1:18" x14ac:dyDescent="0.3">
      <c r="A241" t="s">
        <v>951</v>
      </c>
      <c r="B241" t="s">
        <v>952</v>
      </c>
      <c r="C241" t="s">
        <v>214</v>
      </c>
      <c r="D241" t="s">
        <v>143</v>
      </c>
      <c r="E241" t="s">
        <v>144</v>
      </c>
      <c r="F241" t="s">
        <v>215</v>
      </c>
      <c r="H241">
        <v>560</v>
      </c>
      <c r="I241">
        <v>0</v>
      </c>
      <c r="J241" t="s">
        <v>230</v>
      </c>
      <c r="K241" t="s">
        <v>48</v>
      </c>
      <c r="L241" t="s">
        <v>218</v>
      </c>
      <c r="M241" t="s">
        <v>219</v>
      </c>
      <c r="N241" s="19">
        <v>46262</v>
      </c>
      <c r="O241" t="s">
        <v>220</v>
      </c>
      <c r="P241">
        <v>2</v>
      </c>
      <c r="Q241" t="s">
        <v>953</v>
      </c>
      <c r="R241" t="s">
        <v>92</v>
      </c>
    </row>
    <row r="242" spans="1:18" x14ac:dyDescent="0.3">
      <c r="A242" t="s">
        <v>954</v>
      </c>
      <c r="B242" t="s">
        <v>955</v>
      </c>
      <c r="C242" t="s">
        <v>461</v>
      </c>
      <c r="D242" t="s">
        <v>143</v>
      </c>
      <c r="E242" t="s">
        <v>144</v>
      </c>
      <c r="F242" t="s">
        <v>215</v>
      </c>
      <c r="G242" t="s">
        <v>894</v>
      </c>
      <c r="H242">
        <v>3063.98</v>
      </c>
      <c r="I242">
        <v>5</v>
      </c>
      <c r="J242" t="s">
        <v>230</v>
      </c>
      <c r="K242" t="s">
        <v>44</v>
      </c>
      <c r="L242" t="s">
        <v>92</v>
      </c>
      <c r="M242" t="s">
        <v>219</v>
      </c>
      <c r="N242" s="19">
        <v>46262</v>
      </c>
      <c r="O242" t="s">
        <v>220</v>
      </c>
      <c r="P242">
        <v>1</v>
      </c>
      <c r="Q242" t="s">
        <v>956</v>
      </c>
    </row>
    <row r="243" spans="1:18" x14ac:dyDescent="0.3">
      <c r="A243" t="s">
        <v>957</v>
      </c>
      <c r="B243" t="s">
        <v>958</v>
      </c>
      <c r="C243" t="s">
        <v>214</v>
      </c>
      <c r="D243" t="s">
        <v>143</v>
      </c>
      <c r="E243" t="s">
        <v>144</v>
      </c>
      <c r="F243" t="s">
        <v>215</v>
      </c>
      <c r="H243">
        <v>115.13</v>
      </c>
      <c r="I243">
        <v>0</v>
      </c>
      <c r="J243" t="s">
        <v>230</v>
      </c>
      <c r="K243" t="s">
        <v>42</v>
      </c>
      <c r="L243" t="s">
        <v>218</v>
      </c>
      <c r="M243" t="s">
        <v>219</v>
      </c>
      <c r="N243" s="19">
        <v>46262</v>
      </c>
      <c r="O243" t="s">
        <v>220</v>
      </c>
      <c r="P243">
        <v>1</v>
      </c>
      <c r="Q243" t="s">
        <v>959</v>
      </c>
    </row>
    <row r="244" spans="1:18" x14ac:dyDescent="0.3">
      <c r="A244" t="s">
        <v>960</v>
      </c>
      <c r="B244" t="s">
        <v>961</v>
      </c>
      <c r="C244" t="s">
        <v>518</v>
      </c>
      <c r="D244" t="s">
        <v>143</v>
      </c>
      <c r="E244" t="s">
        <v>144</v>
      </c>
      <c r="F244" t="s">
        <v>215</v>
      </c>
      <c r="H244">
        <v>490.94</v>
      </c>
      <c r="I244">
        <v>0</v>
      </c>
      <c r="J244" t="s">
        <v>216</v>
      </c>
      <c r="K244" t="s">
        <v>887</v>
      </c>
      <c r="L244" t="s">
        <v>218</v>
      </c>
      <c r="M244" t="s">
        <v>219</v>
      </c>
      <c r="N244" s="19">
        <v>46262</v>
      </c>
      <c r="O244" t="s">
        <v>220</v>
      </c>
      <c r="P244">
        <v>1</v>
      </c>
      <c r="Q244" t="s">
        <v>962</v>
      </c>
    </row>
    <row r="245" spans="1:18" x14ac:dyDescent="0.3">
      <c r="A245" t="s">
        <v>963</v>
      </c>
      <c r="B245" t="s">
        <v>964</v>
      </c>
      <c r="C245" t="s">
        <v>461</v>
      </c>
      <c r="D245" t="s">
        <v>143</v>
      </c>
      <c r="E245" t="s">
        <v>144</v>
      </c>
      <c r="F245" t="s">
        <v>215</v>
      </c>
      <c r="H245">
        <v>1788.72</v>
      </c>
      <c r="I245">
        <v>0</v>
      </c>
      <c r="J245" t="s">
        <v>230</v>
      </c>
      <c r="K245" t="s">
        <v>965</v>
      </c>
      <c r="L245" t="s">
        <v>218</v>
      </c>
      <c r="M245" t="s">
        <v>219</v>
      </c>
      <c r="N245" s="19">
        <v>46262</v>
      </c>
      <c r="O245" t="s">
        <v>220</v>
      </c>
      <c r="P245">
        <v>1</v>
      </c>
      <c r="Q245" t="s">
        <v>966</v>
      </c>
    </row>
    <row r="246" spans="1:18" x14ac:dyDescent="0.3">
      <c r="A246" t="s">
        <v>967</v>
      </c>
      <c r="B246" t="s">
        <v>968</v>
      </c>
      <c r="C246" t="s">
        <v>461</v>
      </c>
      <c r="D246" t="s">
        <v>143</v>
      </c>
      <c r="E246" t="s">
        <v>144</v>
      </c>
      <c r="F246" t="s">
        <v>215</v>
      </c>
      <c r="H246">
        <v>2401.1999999999998</v>
      </c>
      <c r="I246">
        <v>0</v>
      </c>
      <c r="J246" t="s">
        <v>230</v>
      </c>
      <c r="K246" t="s">
        <v>965</v>
      </c>
      <c r="L246" t="s">
        <v>218</v>
      </c>
      <c r="M246" t="s">
        <v>219</v>
      </c>
      <c r="N246" s="19">
        <v>46262</v>
      </c>
      <c r="O246" t="s">
        <v>220</v>
      </c>
      <c r="P246">
        <v>1</v>
      </c>
      <c r="Q246" t="s">
        <v>969</v>
      </c>
    </row>
    <row r="247" spans="1:18" x14ac:dyDescent="0.3">
      <c r="A247" t="s">
        <v>970</v>
      </c>
      <c r="B247" t="s">
        <v>971</v>
      </c>
      <c r="C247" t="s">
        <v>461</v>
      </c>
      <c r="D247" t="s">
        <v>143</v>
      </c>
      <c r="E247" t="s">
        <v>144</v>
      </c>
      <c r="F247" t="s">
        <v>215</v>
      </c>
      <c r="H247">
        <v>2554.3200000000002</v>
      </c>
      <c r="I247">
        <v>0</v>
      </c>
      <c r="J247" t="s">
        <v>230</v>
      </c>
      <c r="K247" t="s">
        <v>965</v>
      </c>
      <c r="L247" t="s">
        <v>218</v>
      </c>
      <c r="M247" t="s">
        <v>219</v>
      </c>
      <c r="N247" s="19">
        <v>46262</v>
      </c>
      <c r="O247" t="s">
        <v>220</v>
      </c>
      <c r="P247">
        <v>1</v>
      </c>
      <c r="Q247" t="s">
        <v>972</v>
      </c>
    </row>
    <row r="248" spans="1:18" x14ac:dyDescent="0.3">
      <c r="A248" t="s">
        <v>973</v>
      </c>
      <c r="B248" t="s">
        <v>974</v>
      </c>
      <c r="C248" t="s">
        <v>461</v>
      </c>
      <c r="D248" t="s">
        <v>143</v>
      </c>
      <c r="E248" t="s">
        <v>144</v>
      </c>
      <c r="F248" t="s">
        <v>215</v>
      </c>
      <c r="H248">
        <v>2924.94</v>
      </c>
      <c r="I248">
        <v>0</v>
      </c>
      <c r="J248" t="s">
        <v>230</v>
      </c>
      <c r="K248" t="s">
        <v>965</v>
      </c>
      <c r="L248" t="s">
        <v>218</v>
      </c>
      <c r="M248" t="s">
        <v>219</v>
      </c>
      <c r="N248" s="19">
        <v>46262</v>
      </c>
      <c r="O248" t="s">
        <v>220</v>
      </c>
      <c r="P248">
        <v>1</v>
      </c>
      <c r="Q248" t="s">
        <v>975</v>
      </c>
    </row>
    <row r="249" spans="1:18" x14ac:dyDescent="0.3">
      <c r="A249" t="s">
        <v>976</v>
      </c>
      <c r="B249" t="s">
        <v>977</v>
      </c>
      <c r="C249" t="s">
        <v>518</v>
      </c>
      <c r="D249" t="s">
        <v>143</v>
      </c>
      <c r="E249" t="s">
        <v>144</v>
      </c>
      <c r="F249" t="s">
        <v>215</v>
      </c>
      <c r="G249" t="s">
        <v>894</v>
      </c>
      <c r="H249">
        <v>1733.48</v>
      </c>
      <c r="I249">
        <v>5</v>
      </c>
      <c r="J249" t="s">
        <v>230</v>
      </c>
      <c r="K249" t="s">
        <v>44</v>
      </c>
      <c r="L249" t="s">
        <v>92</v>
      </c>
      <c r="M249" t="s">
        <v>219</v>
      </c>
      <c r="N249" s="19">
        <v>46262</v>
      </c>
      <c r="O249" t="s">
        <v>220</v>
      </c>
      <c r="P249">
        <v>1</v>
      </c>
      <c r="Q249" t="s">
        <v>978</v>
      </c>
    </row>
    <row r="250" spans="1:18" x14ac:dyDescent="0.3">
      <c r="A250" t="s">
        <v>979</v>
      </c>
      <c r="B250" t="s">
        <v>980</v>
      </c>
      <c r="C250" t="s">
        <v>214</v>
      </c>
      <c r="D250" t="s">
        <v>143</v>
      </c>
      <c r="E250" t="s">
        <v>144</v>
      </c>
      <c r="F250" t="s">
        <v>531</v>
      </c>
      <c r="H250">
        <v>3065.04</v>
      </c>
      <c r="I250">
        <v>0</v>
      </c>
      <c r="J250" t="s">
        <v>230</v>
      </c>
      <c r="K250" t="s">
        <v>48</v>
      </c>
      <c r="L250" t="s">
        <v>218</v>
      </c>
      <c r="M250" t="s">
        <v>219</v>
      </c>
      <c r="N250" s="19">
        <v>46262</v>
      </c>
      <c r="O250" t="s">
        <v>220</v>
      </c>
      <c r="P250">
        <v>1</v>
      </c>
      <c r="Q250" t="s">
        <v>981</v>
      </c>
    </row>
    <row r="251" spans="1:18" x14ac:dyDescent="0.3">
      <c r="A251" t="s">
        <v>982</v>
      </c>
      <c r="B251" t="s">
        <v>983</v>
      </c>
      <c r="C251" t="s">
        <v>214</v>
      </c>
      <c r="D251" t="s">
        <v>143</v>
      </c>
      <c r="E251" t="s">
        <v>144</v>
      </c>
      <c r="F251" t="s">
        <v>531</v>
      </c>
      <c r="G251" t="s">
        <v>984</v>
      </c>
      <c r="H251">
        <v>2210.33</v>
      </c>
      <c r="I251">
        <v>5</v>
      </c>
      <c r="J251" t="s">
        <v>230</v>
      </c>
      <c r="K251" t="s">
        <v>44</v>
      </c>
      <c r="L251" t="s">
        <v>92</v>
      </c>
      <c r="M251" t="s">
        <v>219</v>
      </c>
      <c r="N251" s="19">
        <v>46262</v>
      </c>
      <c r="O251" t="s">
        <v>220</v>
      </c>
      <c r="P251">
        <v>1</v>
      </c>
      <c r="Q251" t="s">
        <v>985</v>
      </c>
    </row>
    <row r="252" spans="1:18" x14ac:dyDescent="0.3">
      <c r="A252" t="s">
        <v>986</v>
      </c>
      <c r="B252" t="s">
        <v>987</v>
      </c>
      <c r="C252" t="s">
        <v>214</v>
      </c>
      <c r="D252" t="s">
        <v>143</v>
      </c>
      <c r="E252" t="s">
        <v>144</v>
      </c>
      <c r="F252" t="s">
        <v>531</v>
      </c>
      <c r="G252" t="s">
        <v>984</v>
      </c>
      <c r="H252">
        <v>2197.3200000000002</v>
      </c>
      <c r="I252">
        <v>5</v>
      </c>
      <c r="J252" t="s">
        <v>230</v>
      </c>
      <c r="K252" t="s">
        <v>44</v>
      </c>
      <c r="L252" t="s">
        <v>92</v>
      </c>
      <c r="M252" t="s">
        <v>219</v>
      </c>
      <c r="N252" s="19">
        <v>46262</v>
      </c>
      <c r="O252" t="s">
        <v>220</v>
      </c>
      <c r="P252">
        <v>1</v>
      </c>
      <c r="Q252" t="s">
        <v>988</v>
      </c>
    </row>
    <row r="253" spans="1:18" x14ac:dyDescent="0.3">
      <c r="A253" t="s">
        <v>989</v>
      </c>
      <c r="B253" t="s">
        <v>990</v>
      </c>
      <c r="C253" t="s">
        <v>214</v>
      </c>
      <c r="D253" t="s">
        <v>143</v>
      </c>
      <c r="E253" t="s">
        <v>144</v>
      </c>
      <c r="F253" t="s">
        <v>531</v>
      </c>
      <c r="H253">
        <v>1650</v>
      </c>
      <c r="I253">
        <v>0</v>
      </c>
      <c r="J253" t="s">
        <v>230</v>
      </c>
      <c r="K253" t="s">
        <v>44</v>
      </c>
      <c r="L253" t="s">
        <v>218</v>
      </c>
      <c r="M253" t="s">
        <v>219</v>
      </c>
      <c r="N253" s="19">
        <v>46262</v>
      </c>
      <c r="O253" t="s">
        <v>220</v>
      </c>
      <c r="P253">
        <v>1</v>
      </c>
      <c r="Q253" t="s">
        <v>991</v>
      </c>
    </row>
    <row r="254" spans="1:18" x14ac:dyDescent="0.3">
      <c r="A254" t="s">
        <v>992</v>
      </c>
      <c r="B254" t="s">
        <v>993</v>
      </c>
      <c r="C254" t="s">
        <v>214</v>
      </c>
      <c r="D254" t="s">
        <v>143</v>
      </c>
      <c r="E254" t="s">
        <v>144</v>
      </c>
      <c r="F254" t="s">
        <v>531</v>
      </c>
      <c r="G254" t="s">
        <v>984</v>
      </c>
      <c r="H254">
        <v>5637.6</v>
      </c>
      <c r="I254">
        <v>5</v>
      </c>
      <c r="J254" t="s">
        <v>230</v>
      </c>
      <c r="K254" t="s">
        <v>44</v>
      </c>
      <c r="L254" t="s">
        <v>92</v>
      </c>
      <c r="M254" t="s">
        <v>219</v>
      </c>
      <c r="N254" s="19">
        <v>46262</v>
      </c>
      <c r="O254" t="s">
        <v>220</v>
      </c>
      <c r="P254">
        <v>2</v>
      </c>
      <c r="Q254" t="s">
        <v>994</v>
      </c>
      <c r="R254" t="s">
        <v>92</v>
      </c>
    </row>
    <row r="255" spans="1:18" x14ac:dyDescent="0.3">
      <c r="A255" t="s">
        <v>995</v>
      </c>
      <c r="B255" t="s">
        <v>996</v>
      </c>
      <c r="C255" t="s">
        <v>214</v>
      </c>
      <c r="D255" t="s">
        <v>143</v>
      </c>
      <c r="E255" t="s">
        <v>144</v>
      </c>
      <c r="F255" t="s">
        <v>531</v>
      </c>
      <c r="G255" t="s">
        <v>997</v>
      </c>
      <c r="H255">
        <v>8143.2</v>
      </c>
      <c r="I255">
        <v>5</v>
      </c>
      <c r="J255" t="s">
        <v>230</v>
      </c>
      <c r="K255" t="s">
        <v>42</v>
      </c>
      <c r="L255" t="s">
        <v>92</v>
      </c>
      <c r="M255" t="s">
        <v>219</v>
      </c>
      <c r="N255" s="19">
        <v>46262</v>
      </c>
      <c r="O255" t="s">
        <v>220</v>
      </c>
      <c r="P255">
        <v>5</v>
      </c>
      <c r="Q255" t="s">
        <v>998</v>
      </c>
      <c r="R255" t="s">
        <v>92</v>
      </c>
    </row>
    <row r="256" spans="1:18" x14ac:dyDescent="0.3">
      <c r="A256" t="s">
        <v>999</v>
      </c>
      <c r="B256" t="s">
        <v>1000</v>
      </c>
      <c r="C256" t="s">
        <v>461</v>
      </c>
      <c r="D256" t="s">
        <v>143</v>
      </c>
      <c r="E256" t="s">
        <v>144</v>
      </c>
      <c r="F256" t="s">
        <v>531</v>
      </c>
      <c r="G256" t="s">
        <v>1001</v>
      </c>
      <c r="H256">
        <v>720.36</v>
      </c>
      <c r="I256">
        <v>5</v>
      </c>
      <c r="J256" t="s">
        <v>230</v>
      </c>
      <c r="K256" t="s">
        <v>44</v>
      </c>
      <c r="L256" t="s">
        <v>92</v>
      </c>
      <c r="M256" t="s">
        <v>219</v>
      </c>
      <c r="N256" s="19">
        <v>46262</v>
      </c>
      <c r="O256" t="s">
        <v>220</v>
      </c>
      <c r="P256">
        <v>1</v>
      </c>
      <c r="Q256" t="s">
        <v>1002</v>
      </c>
    </row>
    <row r="257" spans="1:18" x14ac:dyDescent="0.3">
      <c r="A257" t="s">
        <v>1003</v>
      </c>
      <c r="B257" t="s">
        <v>1004</v>
      </c>
      <c r="C257" t="s">
        <v>461</v>
      </c>
      <c r="D257" t="s">
        <v>143</v>
      </c>
      <c r="E257" t="s">
        <v>144</v>
      </c>
      <c r="F257" t="s">
        <v>531</v>
      </c>
      <c r="H257">
        <v>250.56</v>
      </c>
      <c r="I257">
        <v>0</v>
      </c>
      <c r="J257" t="s">
        <v>230</v>
      </c>
      <c r="K257" t="s">
        <v>965</v>
      </c>
      <c r="L257" t="s">
        <v>218</v>
      </c>
      <c r="M257" t="s">
        <v>219</v>
      </c>
      <c r="N257" s="19">
        <v>46262</v>
      </c>
      <c r="O257" t="s">
        <v>220</v>
      </c>
      <c r="P257">
        <v>2</v>
      </c>
      <c r="Q257" t="s">
        <v>1005</v>
      </c>
      <c r="R257" t="s">
        <v>92</v>
      </c>
    </row>
    <row r="258" spans="1:18" x14ac:dyDescent="0.3">
      <c r="A258" t="s">
        <v>1006</v>
      </c>
      <c r="B258" t="s">
        <v>1007</v>
      </c>
      <c r="C258" t="s">
        <v>214</v>
      </c>
      <c r="D258" t="s">
        <v>143</v>
      </c>
      <c r="E258" t="s">
        <v>144</v>
      </c>
      <c r="F258" t="s">
        <v>580</v>
      </c>
      <c r="H258">
        <v>87</v>
      </c>
      <c r="I258">
        <v>0</v>
      </c>
      <c r="J258" t="s">
        <v>230</v>
      </c>
      <c r="K258" t="s">
        <v>44</v>
      </c>
      <c r="L258" t="s">
        <v>218</v>
      </c>
      <c r="M258" t="s">
        <v>219</v>
      </c>
      <c r="N258" s="19">
        <v>46262</v>
      </c>
      <c r="O258" t="s">
        <v>220</v>
      </c>
      <c r="P258">
        <v>1</v>
      </c>
      <c r="Q258" t="s">
        <v>1008</v>
      </c>
    </row>
    <row r="259" spans="1:18" x14ac:dyDescent="0.3">
      <c r="A259" t="s">
        <v>1009</v>
      </c>
      <c r="B259" t="s">
        <v>1010</v>
      </c>
      <c r="C259" t="s">
        <v>214</v>
      </c>
      <c r="D259" t="s">
        <v>143</v>
      </c>
      <c r="E259" t="s">
        <v>144</v>
      </c>
      <c r="F259" t="s">
        <v>580</v>
      </c>
      <c r="H259">
        <v>143.55000000000001</v>
      </c>
      <c r="I259">
        <v>0</v>
      </c>
      <c r="J259" t="s">
        <v>230</v>
      </c>
      <c r="K259" t="s">
        <v>48</v>
      </c>
      <c r="L259" t="s">
        <v>218</v>
      </c>
      <c r="M259" t="s">
        <v>219</v>
      </c>
      <c r="N259" s="19">
        <v>46262</v>
      </c>
      <c r="O259" t="s">
        <v>220</v>
      </c>
      <c r="P259">
        <v>1</v>
      </c>
      <c r="Q259" t="s">
        <v>1011</v>
      </c>
    </row>
    <row r="260" spans="1:18" x14ac:dyDescent="0.3">
      <c r="A260" t="s">
        <v>1012</v>
      </c>
      <c r="B260" t="s">
        <v>1013</v>
      </c>
      <c r="C260" t="s">
        <v>214</v>
      </c>
      <c r="D260" t="s">
        <v>143</v>
      </c>
      <c r="E260" t="s">
        <v>144</v>
      </c>
      <c r="F260" t="s">
        <v>580</v>
      </c>
      <c r="H260">
        <v>530.66</v>
      </c>
      <c r="I260">
        <v>0</v>
      </c>
      <c r="J260" t="s">
        <v>230</v>
      </c>
      <c r="K260" t="s">
        <v>48</v>
      </c>
      <c r="L260" t="s">
        <v>218</v>
      </c>
      <c r="M260" t="s">
        <v>219</v>
      </c>
      <c r="N260" s="19">
        <v>46262</v>
      </c>
      <c r="O260" t="s">
        <v>220</v>
      </c>
      <c r="P260">
        <v>1</v>
      </c>
      <c r="Q260" t="s">
        <v>1014</v>
      </c>
    </row>
    <row r="261" spans="1:18" x14ac:dyDescent="0.3">
      <c r="A261" t="s">
        <v>1015</v>
      </c>
      <c r="B261" t="s">
        <v>1016</v>
      </c>
      <c r="C261" t="s">
        <v>214</v>
      </c>
      <c r="D261" t="s">
        <v>143</v>
      </c>
      <c r="E261" t="s">
        <v>144</v>
      </c>
      <c r="F261" t="s">
        <v>580</v>
      </c>
      <c r="H261">
        <v>531.53</v>
      </c>
      <c r="I261">
        <v>0</v>
      </c>
      <c r="J261" t="s">
        <v>230</v>
      </c>
      <c r="K261" t="s">
        <v>48</v>
      </c>
      <c r="L261" t="s">
        <v>218</v>
      </c>
      <c r="M261" t="s">
        <v>219</v>
      </c>
      <c r="N261" s="19">
        <v>46262</v>
      </c>
      <c r="O261" t="s">
        <v>220</v>
      </c>
      <c r="P261">
        <v>1</v>
      </c>
      <c r="Q261" t="s">
        <v>1017</v>
      </c>
    </row>
    <row r="262" spans="1:18" x14ac:dyDescent="0.3">
      <c r="A262" t="s">
        <v>1018</v>
      </c>
      <c r="B262" t="s">
        <v>1019</v>
      </c>
      <c r="C262" t="s">
        <v>214</v>
      </c>
      <c r="D262" t="s">
        <v>143</v>
      </c>
      <c r="E262" t="s">
        <v>144</v>
      </c>
      <c r="F262" t="s">
        <v>580</v>
      </c>
      <c r="H262">
        <v>532.4</v>
      </c>
      <c r="I262">
        <v>0</v>
      </c>
      <c r="J262" t="s">
        <v>230</v>
      </c>
      <c r="K262" t="s">
        <v>48</v>
      </c>
      <c r="L262" t="s">
        <v>218</v>
      </c>
      <c r="M262" t="s">
        <v>219</v>
      </c>
      <c r="N262" s="19">
        <v>46262</v>
      </c>
      <c r="O262" t="s">
        <v>220</v>
      </c>
      <c r="P262">
        <v>1</v>
      </c>
      <c r="Q262" t="s">
        <v>1020</v>
      </c>
    </row>
    <row r="263" spans="1:18" x14ac:dyDescent="0.3">
      <c r="A263" t="s">
        <v>1021</v>
      </c>
      <c r="B263" t="s">
        <v>1022</v>
      </c>
      <c r="C263" t="s">
        <v>214</v>
      </c>
      <c r="D263" t="s">
        <v>143</v>
      </c>
      <c r="E263" t="s">
        <v>144</v>
      </c>
      <c r="F263" t="s">
        <v>580</v>
      </c>
      <c r="H263">
        <v>75.2</v>
      </c>
      <c r="I263">
        <v>0</v>
      </c>
      <c r="J263" t="s">
        <v>230</v>
      </c>
      <c r="K263" t="s">
        <v>48</v>
      </c>
      <c r="L263" t="s">
        <v>218</v>
      </c>
      <c r="M263" t="s">
        <v>219</v>
      </c>
      <c r="N263" s="19">
        <v>46262</v>
      </c>
      <c r="O263" t="s">
        <v>220</v>
      </c>
      <c r="P263">
        <v>1</v>
      </c>
      <c r="Q263" t="s">
        <v>1023</v>
      </c>
    </row>
    <row r="264" spans="1:18" x14ac:dyDescent="0.3">
      <c r="A264" t="s">
        <v>1024</v>
      </c>
      <c r="B264" t="s">
        <v>1025</v>
      </c>
      <c r="C264" t="s">
        <v>214</v>
      </c>
      <c r="D264" t="s">
        <v>143</v>
      </c>
      <c r="E264" t="s">
        <v>144</v>
      </c>
      <c r="F264" t="s">
        <v>580</v>
      </c>
      <c r="G264" t="s">
        <v>1026</v>
      </c>
      <c r="H264">
        <v>350</v>
      </c>
      <c r="I264">
        <v>5</v>
      </c>
      <c r="J264" t="s">
        <v>230</v>
      </c>
      <c r="K264" t="s">
        <v>48</v>
      </c>
      <c r="L264" t="s">
        <v>92</v>
      </c>
      <c r="M264" t="s">
        <v>219</v>
      </c>
      <c r="N264" s="19">
        <v>46262</v>
      </c>
      <c r="O264" t="s">
        <v>220</v>
      </c>
      <c r="P264">
        <v>1</v>
      </c>
      <c r="Q264" t="s">
        <v>1027</v>
      </c>
    </row>
    <row r="265" spans="1:18" x14ac:dyDescent="0.3">
      <c r="A265" t="s">
        <v>1028</v>
      </c>
      <c r="B265" t="s">
        <v>1029</v>
      </c>
      <c r="C265" t="s">
        <v>214</v>
      </c>
      <c r="D265" t="s">
        <v>143</v>
      </c>
      <c r="E265" t="s">
        <v>144</v>
      </c>
      <c r="F265" t="s">
        <v>580</v>
      </c>
      <c r="G265" t="s">
        <v>1030</v>
      </c>
      <c r="H265">
        <v>220</v>
      </c>
      <c r="I265">
        <v>5</v>
      </c>
      <c r="J265" t="s">
        <v>230</v>
      </c>
      <c r="K265" t="s">
        <v>44</v>
      </c>
      <c r="L265" t="s">
        <v>92</v>
      </c>
      <c r="M265" t="s">
        <v>219</v>
      </c>
      <c r="N265" s="19">
        <v>46262</v>
      </c>
      <c r="O265" t="s">
        <v>220</v>
      </c>
      <c r="P265">
        <v>1</v>
      </c>
      <c r="Q265" t="s">
        <v>1031</v>
      </c>
    </row>
    <row r="266" spans="1:18" x14ac:dyDescent="0.3">
      <c r="A266" t="s">
        <v>1032</v>
      </c>
      <c r="B266" t="s">
        <v>1033</v>
      </c>
      <c r="C266" t="s">
        <v>214</v>
      </c>
      <c r="D266" t="s">
        <v>143</v>
      </c>
      <c r="E266" t="s">
        <v>144</v>
      </c>
      <c r="F266" t="s">
        <v>580</v>
      </c>
      <c r="H266">
        <v>977.08</v>
      </c>
      <c r="I266">
        <v>0</v>
      </c>
      <c r="J266" t="s">
        <v>230</v>
      </c>
      <c r="K266" t="s">
        <v>48</v>
      </c>
      <c r="L266" t="s">
        <v>218</v>
      </c>
      <c r="M266" t="s">
        <v>219</v>
      </c>
      <c r="N266" s="19">
        <v>46262</v>
      </c>
      <c r="O266" t="s">
        <v>220</v>
      </c>
      <c r="P266">
        <v>1</v>
      </c>
      <c r="Q266" t="s">
        <v>1034</v>
      </c>
    </row>
    <row r="267" spans="1:18" x14ac:dyDescent="0.3">
      <c r="A267" t="s">
        <v>1035</v>
      </c>
      <c r="B267" t="s">
        <v>1036</v>
      </c>
      <c r="C267" t="s">
        <v>214</v>
      </c>
      <c r="D267" t="s">
        <v>143</v>
      </c>
      <c r="E267" t="s">
        <v>144</v>
      </c>
      <c r="F267" t="s">
        <v>580</v>
      </c>
      <c r="G267" t="s">
        <v>1037</v>
      </c>
      <c r="H267">
        <v>2307.71</v>
      </c>
      <c r="I267">
        <v>5</v>
      </c>
      <c r="J267" t="s">
        <v>230</v>
      </c>
      <c r="K267" t="s">
        <v>44</v>
      </c>
      <c r="L267" t="s">
        <v>92</v>
      </c>
      <c r="M267" t="s">
        <v>219</v>
      </c>
      <c r="N267" s="19">
        <v>46262</v>
      </c>
      <c r="O267" t="s">
        <v>220</v>
      </c>
      <c r="P267">
        <v>1</v>
      </c>
      <c r="Q267" t="s">
        <v>1038</v>
      </c>
    </row>
    <row r="268" spans="1:18" x14ac:dyDescent="0.3">
      <c r="A268" t="s">
        <v>1039</v>
      </c>
      <c r="B268" t="s">
        <v>1040</v>
      </c>
      <c r="C268" t="s">
        <v>214</v>
      </c>
      <c r="D268" t="s">
        <v>143</v>
      </c>
      <c r="E268" t="s">
        <v>144</v>
      </c>
      <c r="F268" t="s">
        <v>580</v>
      </c>
      <c r="G268" t="s">
        <v>1037</v>
      </c>
      <c r="H268">
        <v>3048.05</v>
      </c>
      <c r="I268">
        <v>5</v>
      </c>
      <c r="J268" t="s">
        <v>230</v>
      </c>
      <c r="K268" t="s">
        <v>44</v>
      </c>
      <c r="L268" t="s">
        <v>92</v>
      </c>
      <c r="M268" t="s">
        <v>219</v>
      </c>
      <c r="N268" s="19">
        <v>46262</v>
      </c>
      <c r="O268" t="s">
        <v>220</v>
      </c>
      <c r="P268">
        <v>12</v>
      </c>
      <c r="Q268" t="s">
        <v>1041</v>
      </c>
      <c r="R268" t="s">
        <v>92</v>
      </c>
    </row>
    <row r="269" spans="1:18" x14ac:dyDescent="0.3">
      <c r="A269" t="s">
        <v>1042</v>
      </c>
      <c r="B269" t="s">
        <v>1043</v>
      </c>
      <c r="C269" t="s">
        <v>461</v>
      </c>
      <c r="D269" t="s">
        <v>143</v>
      </c>
      <c r="E269" t="s">
        <v>144</v>
      </c>
      <c r="F269" t="s">
        <v>580</v>
      </c>
      <c r="H269">
        <v>339.3</v>
      </c>
      <c r="I269">
        <v>0</v>
      </c>
      <c r="J269" t="s">
        <v>230</v>
      </c>
      <c r="K269" t="s">
        <v>965</v>
      </c>
      <c r="L269" t="s">
        <v>218</v>
      </c>
      <c r="M269" t="s">
        <v>219</v>
      </c>
      <c r="N269" s="19">
        <v>46262</v>
      </c>
      <c r="O269" t="s">
        <v>220</v>
      </c>
      <c r="P269">
        <v>1</v>
      </c>
      <c r="Q269" t="s">
        <v>1044</v>
      </c>
    </row>
    <row r="270" spans="1:18" x14ac:dyDescent="0.3">
      <c r="A270" t="s">
        <v>1045</v>
      </c>
      <c r="B270" t="s">
        <v>1046</v>
      </c>
      <c r="C270" t="s">
        <v>518</v>
      </c>
      <c r="D270" t="s">
        <v>143</v>
      </c>
      <c r="E270" t="s">
        <v>144</v>
      </c>
      <c r="F270" t="s">
        <v>580</v>
      </c>
      <c r="H270">
        <v>297.58</v>
      </c>
      <c r="I270">
        <v>0</v>
      </c>
      <c r="J270" t="s">
        <v>230</v>
      </c>
      <c r="K270" t="s">
        <v>44</v>
      </c>
      <c r="L270" t="s">
        <v>218</v>
      </c>
      <c r="M270" t="s">
        <v>219</v>
      </c>
      <c r="N270" s="19">
        <v>46262</v>
      </c>
      <c r="O270" t="s">
        <v>220</v>
      </c>
      <c r="P270">
        <v>2</v>
      </c>
      <c r="Q270" t="s">
        <v>1047</v>
      </c>
      <c r="R270" t="s">
        <v>92</v>
      </c>
    </row>
    <row r="271" spans="1:18" x14ac:dyDescent="0.3">
      <c r="A271" t="s">
        <v>1048</v>
      </c>
      <c r="B271" t="s">
        <v>1049</v>
      </c>
      <c r="C271" t="s">
        <v>214</v>
      </c>
      <c r="D271" t="s">
        <v>143</v>
      </c>
      <c r="E271" t="s">
        <v>144</v>
      </c>
      <c r="F271" t="s">
        <v>580</v>
      </c>
      <c r="H271">
        <v>2926</v>
      </c>
      <c r="I271">
        <v>0</v>
      </c>
      <c r="J271" t="s">
        <v>230</v>
      </c>
      <c r="K271" t="s">
        <v>48</v>
      </c>
      <c r="L271" t="s">
        <v>218</v>
      </c>
      <c r="M271" t="s">
        <v>219</v>
      </c>
      <c r="N271" s="19">
        <v>46262</v>
      </c>
      <c r="O271" t="s">
        <v>220</v>
      </c>
      <c r="P271">
        <v>2</v>
      </c>
      <c r="Q271" t="s">
        <v>1050</v>
      </c>
      <c r="R271" t="s">
        <v>92</v>
      </c>
    </row>
    <row r="272" spans="1:18" x14ac:dyDescent="0.3">
      <c r="A272" t="s">
        <v>1051</v>
      </c>
      <c r="B272" t="s">
        <v>1052</v>
      </c>
      <c r="C272" t="s">
        <v>214</v>
      </c>
      <c r="D272" t="s">
        <v>143</v>
      </c>
      <c r="E272" t="s">
        <v>144</v>
      </c>
      <c r="F272" t="s">
        <v>580</v>
      </c>
      <c r="G272" t="s">
        <v>1030</v>
      </c>
      <c r="H272">
        <v>475.02</v>
      </c>
      <c r="I272">
        <v>5</v>
      </c>
      <c r="J272" t="s">
        <v>230</v>
      </c>
      <c r="K272" t="s">
        <v>44</v>
      </c>
      <c r="L272" t="s">
        <v>92</v>
      </c>
      <c r="M272" t="s">
        <v>219</v>
      </c>
      <c r="N272" s="19">
        <v>46262</v>
      </c>
      <c r="O272" t="s">
        <v>220</v>
      </c>
      <c r="P272">
        <v>1</v>
      </c>
      <c r="Q272" t="s">
        <v>1053</v>
      </c>
    </row>
    <row r="273" spans="1:18" x14ac:dyDescent="0.3">
      <c r="A273" t="s">
        <v>1054</v>
      </c>
      <c r="B273" t="s">
        <v>1055</v>
      </c>
      <c r="C273" t="s">
        <v>214</v>
      </c>
      <c r="D273" t="s">
        <v>143</v>
      </c>
      <c r="E273" t="s">
        <v>144</v>
      </c>
      <c r="F273" t="s">
        <v>580</v>
      </c>
      <c r="H273">
        <v>1289.3399999999999</v>
      </c>
      <c r="I273">
        <v>0</v>
      </c>
      <c r="J273" t="s">
        <v>230</v>
      </c>
      <c r="K273" t="s">
        <v>48</v>
      </c>
      <c r="L273" t="s">
        <v>218</v>
      </c>
      <c r="M273" t="s">
        <v>219</v>
      </c>
      <c r="N273" s="19">
        <v>46262</v>
      </c>
      <c r="O273" t="s">
        <v>220</v>
      </c>
      <c r="P273">
        <v>2</v>
      </c>
      <c r="Q273" t="s">
        <v>1056</v>
      </c>
      <c r="R273" t="s">
        <v>92</v>
      </c>
    </row>
    <row r="274" spans="1:18" x14ac:dyDescent="0.3">
      <c r="A274" t="s">
        <v>1057</v>
      </c>
      <c r="B274" t="s">
        <v>1058</v>
      </c>
      <c r="C274" t="s">
        <v>214</v>
      </c>
      <c r="D274" t="s">
        <v>143</v>
      </c>
      <c r="E274" t="s">
        <v>144</v>
      </c>
      <c r="F274" t="s">
        <v>580</v>
      </c>
      <c r="H274">
        <v>548.05999999999995</v>
      </c>
      <c r="I274">
        <v>0</v>
      </c>
      <c r="J274" t="s">
        <v>230</v>
      </c>
      <c r="K274" t="s">
        <v>44</v>
      </c>
      <c r="L274" t="s">
        <v>218</v>
      </c>
      <c r="M274" t="s">
        <v>219</v>
      </c>
      <c r="N274" s="19">
        <v>46262</v>
      </c>
      <c r="O274" t="s">
        <v>220</v>
      </c>
      <c r="P274">
        <v>1</v>
      </c>
      <c r="Q274" t="s">
        <v>1059</v>
      </c>
    </row>
    <row r="275" spans="1:18" x14ac:dyDescent="0.3">
      <c r="A275" t="s">
        <v>1060</v>
      </c>
      <c r="B275" t="s">
        <v>1061</v>
      </c>
      <c r="C275" t="s">
        <v>214</v>
      </c>
      <c r="D275" t="s">
        <v>143</v>
      </c>
      <c r="E275" t="s">
        <v>144</v>
      </c>
      <c r="F275" t="s">
        <v>580</v>
      </c>
      <c r="G275" t="s">
        <v>1030</v>
      </c>
      <c r="H275">
        <v>1628.64</v>
      </c>
      <c r="I275">
        <v>5</v>
      </c>
      <c r="J275" t="s">
        <v>230</v>
      </c>
      <c r="K275" t="s">
        <v>44</v>
      </c>
      <c r="L275" t="s">
        <v>92</v>
      </c>
      <c r="M275" t="s">
        <v>219</v>
      </c>
      <c r="N275" s="19">
        <v>46262</v>
      </c>
      <c r="O275" t="s">
        <v>220</v>
      </c>
      <c r="P275">
        <v>2</v>
      </c>
      <c r="Q275" t="s">
        <v>1062</v>
      </c>
      <c r="R275" t="s">
        <v>92</v>
      </c>
    </row>
    <row r="276" spans="1:18" x14ac:dyDescent="0.3">
      <c r="A276" t="s">
        <v>1063</v>
      </c>
      <c r="B276" t="s">
        <v>1064</v>
      </c>
      <c r="C276" t="s">
        <v>214</v>
      </c>
      <c r="D276" t="s">
        <v>143</v>
      </c>
      <c r="E276" t="s">
        <v>144</v>
      </c>
      <c r="F276" t="s">
        <v>580</v>
      </c>
      <c r="G276" t="s">
        <v>1030</v>
      </c>
      <c r="H276">
        <v>474.15</v>
      </c>
      <c r="I276">
        <v>5</v>
      </c>
      <c r="J276" t="s">
        <v>230</v>
      </c>
      <c r="K276" t="s">
        <v>44</v>
      </c>
      <c r="L276" t="s">
        <v>92</v>
      </c>
      <c r="M276" t="s">
        <v>219</v>
      </c>
      <c r="N276" s="19">
        <v>46262</v>
      </c>
      <c r="O276" t="s">
        <v>220</v>
      </c>
      <c r="P276">
        <v>1</v>
      </c>
      <c r="Q276" t="s">
        <v>1065</v>
      </c>
    </row>
    <row r="277" spans="1:18" x14ac:dyDescent="0.3">
      <c r="A277" t="s">
        <v>1066</v>
      </c>
      <c r="B277" t="s">
        <v>1067</v>
      </c>
      <c r="C277" t="s">
        <v>214</v>
      </c>
      <c r="D277" t="s">
        <v>143</v>
      </c>
      <c r="E277" t="s">
        <v>144</v>
      </c>
      <c r="F277" t="s">
        <v>580</v>
      </c>
      <c r="G277" t="s">
        <v>1030</v>
      </c>
      <c r="H277">
        <v>652.5</v>
      </c>
      <c r="I277">
        <v>5</v>
      </c>
      <c r="J277" t="s">
        <v>230</v>
      </c>
      <c r="K277" t="s">
        <v>44</v>
      </c>
      <c r="L277" t="s">
        <v>92</v>
      </c>
      <c r="M277" t="s">
        <v>219</v>
      </c>
      <c r="N277" s="19">
        <v>46262</v>
      </c>
      <c r="O277" t="s">
        <v>220</v>
      </c>
      <c r="P277">
        <v>1</v>
      </c>
      <c r="Q277" t="s">
        <v>1068</v>
      </c>
    </row>
    <row r="278" spans="1:18" x14ac:dyDescent="0.3">
      <c r="A278" t="s">
        <v>1069</v>
      </c>
      <c r="B278" t="s">
        <v>1070</v>
      </c>
      <c r="C278" t="s">
        <v>461</v>
      </c>
      <c r="D278" t="s">
        <v>143</v>
      </c>
      <c r="E278" t="s">
        <v>144</v>
      </c>
      <c r="F278" t="s">
        <v>632</v>
      </c>
      <c r="G278" t="s">
        <v>1071</v>
      </c>
      <c r="H278">
        <v>5781.74</v>
      </c>
      <c r="I278">
        <v>5</v>
      </c>
      <c r="J278" t="s">
        <v>230</v>
      </c>
      <c r="K278" t="s">
        <v>965</v>
      </c>
      <c r="L278" t="s">
        <v>92</v>
      </c>
      <c r="M278" t="s">
        <v>219</v>
      </c>
      <c r="N278" s="19">
        <v>46262</v>
      </c>
      <c r="O278" t="s">
        <v>220</v>
      </c>
      <c r="P278">
        <v>1</v>
      </c>
      <c r="Q278" t="s">
        <v>1072</v>
      </c>
    </row>
    <row r="279" spans="1:18" x14ac:dyDescent="0.3">
      <c r="A279" t="s">
        <v>1073</v>
      </c>
      <c r="B279" t="s">
        <v>1074</v>
      </c>
      <c r="C279" t="s">
        <v>461</v>
      </c>
      <c r="D279" t="s">
        <v>143</v>
      </c>
      <c r="E279" t="s">
        <v>144</v>
      </c>
      <c r="F279" t="s">
        <v>632</v>
      </c>
      <c r="G279" t="s">
        <v>1071</v>
      </c>
      <c r="H279">
        <v>7892.64</v>
      </c>
      <c r="I279">
        <v>5</v>
      </c>
      <c r="J279" t="s">
        <v>230</v>
      </c>
      <c r="K279" t="s">
        <v>965</v>
      </c>
      <c r="L279" t="s">
        <v>92</v>
      </c>
      <c r="M279" t="s">
        <v>219</v>
      </c>
      <c r="N279" s="19">
        <v>46262</v>
      </c>
      <c r="O279" t="s">
        <v>220</v>
      </c>
      <c r="P279">
        <v>1</v>
      </c>
      <c r="Q279" t="s">
        <v>1075</v>
      </c>
    </row>
    <row r="280" spans="1:18" x14ac:dyDescent="0.3">
      <c r="A280" t="s">
        <v>1076</v>
      </c>
      <c r="B280" t="s">
        <v>1077</v>
      </c>
      <c r="C280" t="s">
        <v>461</v>
      </c>
      <c r="D280" t="s">
        <v>143</v>
      </c>
      <c r="E280" t="s">
        <v>144</v>
      </c>
      <c r="F280" t="s">
        <v>632</v>
      </c>
      <c r="G280" t="s">
        <v>1071</v>
      </c>
      <c r="H280">
        <v>9900</v>
      </c>
      <c r="I280">
        <v>5</v>
      </c>
      <c r="J280" t="s">
        <v>230</v>
      </c>
      <c r="K280" t="s">
        <v>965</v>
      </c>
      <c r="L280" t="s">
        <v>92</v>
      </c>
      <c r="M280" t="s">
        <v>219</v>
      </c>
      <c r="N280" s="19">
        <v>46262</v>
      </c>
      <c r="O280" t="s">
        <v>220</v>
      </c>
      <c r="P280">
        <v>1</v>
      </c>
      <c r="Q280" t="s">
        <v>1078</v>
      </c>
    </row>
    <row r="281" spans="1:18" x14ac:dyDescent="0.3">
      <c r="A281" t="s">
        <v>1079</v>
      </c>
      <c r="B281" t="s">
        <v>1080</v>
      </c>
      <c r="C281" t="s">
        <v>461</v>
      </c>
      <c r="D281" t="s">
        <v>143</v>
      </c>
      <c r="E281" t="s">
        <v>144</v>
      </c>
      <c r="F281" t="s">
        <v>632</v>
      </c>
      <c r="G281" t="s">
        <v>1081</v>
      </c>
      <c r="H281">
        <v>1280.1300000000001</v>
      </c>
      <c r="I281">
        <v>5</v>
      </c>
      <c r="J281" t="s">
        <v>230</v>
      </c>
      <c r="K281" t="s">
        <v>965</v>
      </c>
      <c r="L281" t="s">
        <v>92</v>
      </c>
      <c r="M281" t="s">
        <v>219</v>
      </c>
      <c r="N281" s="19">
        <v>46262</v>
      </c>
      <c r="O281" t="s">
        <v>220</v>
      </c>
      <c r="P281">
        <v>4</v>
      </c>
      <c r="Q281" t="s">
        <v>1082</v>
      </c>
      <c r="R281" t="s">
        <v>92</v>
      </c>
    </row>
    <row r="282" spans="1:18" x14ac:dyDescent="0.3">
      <c r="A282" t="s">
        <v>1083</v>
      </c>
      <c r="B282" t="s">
        <v>1080</v>
      </c>
      <c r="C282" t="s">
        <v>461</v>
      </c>
      <c r="D282" t="s">
        <v>143</v>
      </c>
      <c r="E282" t="s">
        <v>144</v>
      </c>
      <c r="F282" t="s">
        <v>632</v>
      </c>
      <c r="G282" t="s">
        <v>1081</v>
      </c>
      <c r="H282">
        <v>10648.8</v>
      </c>
      <c r="I282">
        <v>5</v>
      </c>
      <c r="J282" t="s">
        <v>230</v>
      </c>
      <c r="K282" t="s">
        <v>965</v>
      </c>
      <c r="L282" t="s">
        <v>92</v>
      </c>
      <c r="M282" t="s">
        <v>219</v>
      </c>
      <c r="N282" s="19">
        <v>46262</v>
      </c>
      <c r="O282" t="s">
        <v>220</v>
      </c>
      <c r="P282">
        <v>3</v>
      </c>
      <c r="Q282" t="s">
        <v>1084</v>
      </c>
      <c r="R282" t="s">
        <v>92</v>
      </c>
    </row>
    <row r="283" spans="1:18" x14ac:dyDescent="0.3">
      <c r="A283" t="s">
        <v>1085</v>
      </c>
      <c r="B283" t="s">
        <v>1086</v>
      </c>
      <c r="C283" t="s">
        <v>461</v>
      </c>
      <c r="D283" t="s">
        <v>143</v>
      </c>
      <c r="E283" t="s">
        <v>144</v>
      </c>
      <c r="F283" t="s">
        <v>632</v>
      </c>
      <c r="G283" t="s">
        <v>1026</v>
      </c>
      <c r="H283">
        <v>13154.4</v>
      </c>
      <c r="I283">
        <v>5</v>
      </c>
      <c r="J283" t="s">
        <v>230</v>
      </c>
      <c r="K283" t="s">
        <v>48</v>
      </c>
      <c r="L283" t="s">
        <v>92</v>
      </c>
      <c r="M283" t="s">
        <v>219</v>
      </c>
      <c r="N283" s="19">
        <v>46262</v>
      </c>
      <c r="O283" t="s">
        <v>220</v>
      </c>
      <c r="P283">
        <v>1</v>
      </c>
      <c r="Q283" t="s">
        <v>1087</v>
      </c>
    </row>
    <row r="284" spans="1:18" x14ac:dyDescent="0.3">
      <c r="A284" t="s">
        <v>1088</v>
      </c>
      <c r="B284" t="s">
        <v>1089</v>
      </c>
      <c r="C284" t="s">
        <v>461</v>
      </c>
      <c r="D284" t="s">
        <v>143</v>
      </c>
      <c r="E284" t="s">
        <v>144</v>
      </c>
      <c r="F284" t="s">
        <v>632</v>
      </c>
      <c r="G284" t="s">
        <v>1081</v>
      </c>
      <c r="H284">
        <v>1315.44</v>
      </c>
      <c r="I284">
        <v>5</v>
      </c>
      <c r="J284" t="s">
        <v>230</v>
      </c>
      <c r="K284" t="s">
        <v>965</v>
      </c>
      <c r="L284" t="s">
        <v>92</v>
      </c>
      <c r="M284" t="s">
        <v>219</v>
      </c>
      <c r="N284" s="19">
        <v>46262</v>
      </c>
      <c r="O284" t="s">
        <v>220</v>
      </c>
      <c r="P284">
        <v>1</v>
      </c>
      <c r="Q284" t="s">
        <v>1090</v>
      </c>
    </row>
    <row r="285" spans="1:18" x14ac:dyDescent="0.3">
      <c r="A285" t="s">
        <v>1091</v>
      </c>
      <c r="B285" t="s">
        <v>1092</v>
      </c>
      <c r="C285" t="s">
        <v>461</v>
      </c>
      <c r="D285" t="s">
        <v>143</v>
      </c>
      <c r="E285" t="s">
        <v>144</v>
      </c>
      <c r="F285" t="s">
        <v>632</v>
      </c>
      <c r="G285" t="s">
        <v>1093</v>
      </c>
      <c r="H285">
        <v>11901.6</v>
      </c>
      <c r="I285">
        <v>5</v>
      </c>
      <c r="J285" t="s">
        <v>216</v>
      </c>
      <c r="K285" t="s">
        <v>965</v>
      </c>
      <c r="L285" t="s">
        <v>92</v>
      </c>
      <c r="M285" t="s">
        <v>219</v>
      </c>
      <c r="N285" s="19">
        <v>46262</v>
      </c>
      <c r="O285" t="s">
        <v>220</v>
      </c>
      <c r="P285">
        <v>1</v>
      </c>
      <c r="Q285" t="s">
        <v>1094</v>
      </c>
    </row>
    <row r="286" spans="1:18" x14ac:dyDescent="0.3">
      <c r="A286" t="s">
        <v>1095</v>
      </c>
      <c r="B286" t="s">
        <v>1096</v>
      </c>
      <c r="C286" t="s">
        <v>461</v>
      </c>
      <c r="D286" t="s">
        <v>143</v>
      </c>
      <c r="E286" t="s">
        <v>144</v>
      </c>
      <c r="F286" t="s">
        <v>632</v>
      </c>
      <c r="G286" t="s">
        <v>1097</v>
      </c>
      <c r="H286">
        <v>9350</v>
      </c>
      <c r="I286">
        <v>5</v>
      </c>
      <c r="J286" t="s">
        <v>230</v>
      </c>
      <c r="K286" t="s">
        <v>965</v>
      </c>
      <c r="L286" t="s">
        <v>92</v>
      </c>
      <c r="M286" t="s">
        <v>219</v>
      </c>
      <c r="N286" s="19">
        <v>46262</v>
      </c>
      <c r="O286" t="s">
        <v>220</v>
      </c>
      <c r="P286">
        <v>6</v>
      </c>
      <c r="Q286" t="s">
        <v>1098</v>
      </c>
      <c r="R286" t="s">
        <v>92</v>
      </c>
    </row>
    <row r="287" spans="1:18" x14ac:dyDescent="0.3">
      <c r="A287" t="s">
        <v>1099</v>
      </c>
      <c r="B287" t="s">
        <v>1100</v>
      </c>
      <c r="C287" t="s">
        <v>461</v>
      </c>
      <c r="D287" t="s">
        <v>143</v>
      </c>
      <c r="E287" t="s">
        <v>144</v>
      </c>
      <c r="F287" t="s">
        <v>632</v>
      </c>
      <c r="G287" t="s">
        <v>1097</v>
      </c>
      <c r="H287">
        <v>12069.75</v>
      </c>
      <c r="I287">
        <v>5</v>
      </c>
      <c r="J287" t="s">
        <v>230</v>
      </c>
      <c r="K287" t="s">
        <v>965</v>
      </c>
      <c r="L287" t="s">
        <v>92</v>
      </c>
      <c r="M287" t="s">
        <v>219</v>
      </c>
      <c r="N287" s="19">
        <v>46262</v>
      </c>
      <c r="O287" t="s">
        <v>220</v>
      </c>
      <c r="P287">
        <v>1</v>
      </c>
      <c r="Q287" t="s">
        <v>1101</v>
      </c>
    </row>
    <row r="288" spans="1:18" x14ac:dyDescent="0.3">
      <c r="A288" t="s">
        <v>1102</v>
      </c>
      <c r="B288" t="s">
        <v>1103</v>
      </c>
      <c r="C288" t="s">
        <v>461</v>
      </c>
      <c r="D288" t="s">
        <v>143</v>
      </c>
      <c r="E288" t="s">
        <v>144</v>
      </c>
      <c r="F288" t="s">
        <v>632</v>
      </c>
      <c r="G288" t="s">
        <v>1071</v>
      </c>
      <c r="H288">
        <v>11000</v>
      </c>
      <c r="I288">
        <v>5</v>
      </c>
      <c r="J288" t="s">
        <v>230</v>
      </c>
      <c r="K288" t="s">
        <v>965</v>
      </c>
      <c r="L288" t="s">
        <v>92</v>
      </c>
      <c r="M288" t="s">
        <v>219</v>
      </c>
      <c r="N288" s="19">
        <v>46262</v>
      </c>
      <c r="O288" t="s">
        <v>220</v>
      </c>
      <c r="P288">
        <v>1</v>
      </c>
      <c r="Q288" t="s">
        <v>1104</v>
      </c>
    </row>
    <row r="289" spans="1:18" x14ac:dyDescent="0.3">
      <c r="A289" t="s">
        <v>1105</v>
      </c>
      <c r="B289" t="s">
        <v>1106</v>
      </c>
      <c r="C289" t="s">
        <v>461</v>
      </c>
      <c r="D289" t="s">
        <v>143</v>
      </c>
      <c r="E289" t="s">
        <v>144</v>
      </c>
      <c r="F289" t="s">
        <v>632</v>
      </c>
      <c r="G289" t="s">
        <v>1107</v>
      </c>
      <c r="H289">
        <v>11880</v>
      </c>
      <c r="I289">
        <v>5</v>
      </c>
      <c r="J289" t="s">
        <v>230</v>
      </c>
      <c r="K289" t="s">
        <v>965</v>
      </c>
      <c r="L289" t="s">
        <v>92</v>
      </c>
      <c r="M289" t="s">
        <v>219</v>
      </c>
      <c r="N289" s="19">
        <v>46262</v>
      </c>
      <c r="O289" t="s">
        <v>220</v>
      </c>
      <c r="P289">
        <v>3</v>
      </c>
      <c r="Q289" t="s">
        <v>1108</v>
      </c>
      <c r="R289" t="s">
        <v>92</v>
      </c>
    </row>
    <row r="290" spans="1:18" x14ac:dyDescent="0.3">
      <c r="A290" t="s">
        <v>1109</v>
      </c>
      <c r="B290" t="s">
        <v>1106</v>
      </c>
      <c r="C290" t="s">
        <v>461</v>
      </c>
      <c r="D290" t="s">
        <v>143</v>
      </c>
      <c r="E290" t="s">
        <v>144</v>
      </c>
      <c r="F290" t="s">
        <v>632</v>
      </c>
      <c r="G290" t="s">
        <v>1107</v>
      </c>
      <c r="H290">
        <v>13750</v>
      </c>
      <c r="I290">
        <v>5</v>
      </c>
      <c r="J290" t="s">
        <v>230</v>
      </c>
      <c r="K290" t="s">
        <v>965</v>
      </c>
      <c r="L290" t="s">
        <v>92</v>
      </c>
      <c r="M290" t="s">
        <v>219</v>
      </c>
      <c r="N290" s="19">
        <v>46262</v>
      </c>
      <c r="O290" t="s">
        <v>220</v>
      </c>
      <c r="P290">
        <v>2</v>
      </c>
      <c r="Q290" t="s">
        <v>1110</v>
      </c>
      <c r="R290" t="s">
        <v>92</v>
      </c>
    </row>
    <row r="291" spans="1:18" x14ac:dyDescent="0.3">
      <c r="A291" t="s">
        <v>1111</v>
      </c>
      <c r="B291" t="s">
        <v>1112</v>
      </c>
      <c r="C291" t="s">
        <v>461</v>
      </c>
      <c r="D291" t="s">
        <v>143</v>
      </c>
      <c r="E291" t="s">
        <v>144</v>
      </c>
      <c r="F291" t="s">
        <v>632</v>
      </c>
      <c r="G291" t="s">
        <v>1081</v>
      </c>
      <c r="H291">
        <v>1503.36</v>
      </c>
      <c r="I291">
        <v>5</v>
      </c>
      <c r="J291" t="s">
        <v>230</v>
      </c>
      <c r="K291" t="s">
        <v>965</v>
      </c>
      <c r="L291" t="s">
        <v>92</v>
      </c>
      <c r="M291" t="s">
        <v>219</v>
      </c>
      <c r="N291" s="19">
        <v>46262</v>
      </c>
      <c r="O291" t="s">
        <v>220</v>
      </c>
      <c r="P291">
        <v>1</v>
      </c>
      <c r="Q291" t="s">
        <v>1113</v>
      </c>
    </row>
    <row r="292" spans="1:18" x14ac:dyDescent="0.3">
      <c r="A292" t="s">
        <v>1114</v>
      </c>
      <c r="B292" t="s">
        <v>1115</v>
      </c>
      <c r="C292" t="s">
        <v>461</v>
      </c>
      <c r="D292" t="s">
        <v>143</v>
      </c>
      <c r="E292" t="s">
        <v>144</v>
      </c>
      <c r="F292" t="s">
        <v>632</v>
      </c>
      <c r="H292">
        <v>2192.4</v>
      </c>
      <c r="I292">
        <v>0</v>
      </c>
      <c r="J292" t="s">
        <v>230</v>
      </c>
      <c r="K292" t="s">
        <v>217</v>
      </c>
      <c r="L292" t="s">
        <v>218</v>
      </c>
      <c r="M292" t="s">
        <v>219</v>
      </c>
      <c r="N292" s="19">
        <v>46262</v>
      </c>
      <c r="O292" t="s">
        <v>220</v>
      </c>
      <c r="P292">
        <v>1</v>
      </c>
      <c r="Q292" t="s">
        <v>1116</v>
      </c>
    </row>
    <row r="293" spans="1:18" x14ac:dyDescent="0.3">
      <c r="A293" t="s">
        <v>1117</v>
      </c>
      <c r="B293" t="s">
        <v>1118</v>
      </c>
      <c r="C293" t="s">
        <v>461</v>
      </c>
      <c r="D293" t="s">
        <v>143</v>
      </c>
      <c r="E293" t="s">
        <v>144</v>
      </c>
      <c r="F293" t="s">
        <v>632</v>
      </c>
      <c r="G293" t="s">
        <v>1119</v>
      </c>
      <c r="H293">
        <v>7297.56</v>
      </c>
      <c r="I293">
        <v>5</v>
      </c>
      <c r="J293" t="s">
        <v>230</v>
      </c>
      <c r="K293" t="s">
        <v>965</v>
      </c>
      <c r="L293" t="s">
        <v>92</v>
      </c>
      <c r="M293" t="s">
        <v>219</v>
      </c>
      <c r="N293" s="19">
        <v>46262</v>
      </c>
      <c r="O293" t="s">
        <v>220</v>
      </c>
      <c r="P293">
        <v>8</v>
      </c>
      <c r="Q293" t="s">
        <v>1120</v>
      </c>
      <c r="R293" t="s">
        <v>92</v>
      </c>
    </row>
    <row r="294" spans="1:18" x14ac:dyDescent="0.3">
      <c r="A294" t="s">
        <v>1121</v>
      </c>
      <c r="B294" t="s">
        <v>1122</v>
      </c>
      <c r="C294" t="s">
        <v>461</v>
      </c>
      <c r="D294" t="s">
        <v>143</v>
      </c>
      <c r="E294" t="s">
        <v>144</v>
      </c>
      <c r="F294" t="s">
        <v>632</v>
      </c>
      <c r="G294" t="s">
        <v>1081</v>
      </c>
      <c r="H294">
        <v>224.46</v>
      </c>
      <c r="I294">
        <v>5</v>
      </c>
      <c r="J294" t="s">
        <v>230</v>
      </c>
      <c r="K294" t="s">
        <v>965</v>
      </c>
      <c r="L294" t="s">
        <v>92</v>
      </c>
      <c r="M294" t="s">
        <v>219</v>
      </c>
      <c r="N294" s="19">
        <v>46262</v>
      </c>
      <c r="O294" t="s">
        <v>220</v>
      </c>
      <c r="P294">
        <v>2</v>
      </c>
      <c r="Q294" t="s">
        <v>1123</v>
      </c>
      <c r="R294" t="s">
        <v>92</v>
      </c>
    </row>
    <row r="295" spans="1:18" x14ac:dyDescent="0.3">
      <c r="A295" t="s">
        <v>1124</v>
      </c>
      <c r="B295" t="s">
        <v>1125</v>
      </c>
      <c r="C295" t="s">
        <v>214</v>
      </c>
      <c r="D295" t="s">
        <v>143</v>
      </c>
      <c r="E295" t="s">
        <v>144</v>
      </c>
      <c r="F295" t="s">
        <v>632</v>
      </c>
      <c r="G295" t="s">
        <v>1126</v>
      </c>
      <c r="H295">
        <v>2750</v>
      </c>
      <c r="I295">
        <v>5</v>
      </c>
      <c r="J295" t="s">
        <v>230</v>
      </c>
      <c r="K295" t="s">
        <v>50</v>
      </c>
      <c r="L295" t="s">
        <v>92</v>
      </c>
      <c r="M295" t="s">
        <v>219</v>
      </c>
      <c r="N295" s="19">
        <v>46262</v>
      </c>
      <c r="O295" t="s">
        <v>220</v>
      </c>
      <c r="P295">
        <v>2</v>
      </c>
      <c r="Q295" t="s">
        <v>1127</v>
      </c>
      <c r="R295" t="s">
        <v>92</v>
      </c>
    </row>
    <row r="296" spans="1:18" x14ac:dyDescent="0.3">
      <c r="A296" t="s">
        <v>1128</v>
      </c>
      <c r="B296" t="s">
        <v>1129</v>
      </c>
      <c r="C296" t="s">
        <v>214</v>
      </c>
      <c r="D296" t="s">
        <v>143</v>
      </c>
      <c r="E296" t="s">
        <v>144</v>
      </c>
      <c r="F296" t="s">
        <v>632</v>
      </c>
      <c r="G296" t="s">
        <v>1026</v>
      </c>
      <c r="H296">
        <v>1252.8</v>
      </c>
      <c r="I296">
        <v>5</v>
      </c>
      <c r="J296" t="s">
        <v>230</v>
      </c>
      <c r="K296" t="s">
        <v>48</v>
      </c>
      <c r="L296" t="s">
        <v>92</v>
      </c>
      <c r="M296" t="s">
        <v>219</v>
      </c>
      <c r="N296" s="19">
        <v>46262</v>
      </c>
      <c r="O296" t="s">
        <v>220</v>
      </c>
      <c r="P296">
        <v>6</v>
      </c>
      <c r="Q296" t="s">
        <v>1130</v>
      </c>
      <c r="R296" t="s">
        <v>92</v>
      </c>
    </row>
    <row r="297" spans="1:18" x14ac:dyDescent="0.3">
      <c r="A297" t="s">
        <v>1131</v>
      </c>
      <c r="B297" t="s">
        <v>1132</v>
      </c>
      <c r="C297" t="s">
        <v>214</v>
      </c>
      <c r="D297" t="s">
        <v>143</v>
      </c>
      <c r="E297" t="s">
        <v>144</v>
      </c>
      <c r="F297" t="s">
        <v>632</v>
      </c>
      <c r="G297" t="s">
        <v>1133</v>
      </c>
      <c r="H297">
        <v>220</v>
      </c>
      <c r="I297">
        <v>5</v>
      </c>
      <c r="J297" t="s">
        <v>230</v>
      </c>
      <c r="K297" t="s">
        <v>50</v>
      </c>
      <c r="L297" t="s">
        <v>92</v>
      </c>
      <c r="M297" t="s">
        <v>219</v>
      </c>
      <c r="N297" s="19">
        <v>46262</v>
      </c>
      <c r="O297" t="s">
        <v>220</v>
      </c>
      <c r="P297">
        <v>1</v>
      </c>
      <c r="Q297" t="s">
        <v>1134</v>
      </c>
    </row>
    <row r="298" spans="1:18" x14ac:dyDescent="0.3">
      <c r="A298" t="s">
        <v>1135</v>
      </c>
      <c r="B298" t="s">
        <v>1136</v>
      </c>
      <c r="C298" t="s">
        <v>214</v>
      </c>
      <c r="D298" t="s">
        <v>143</v>
      </c>
      <c r="E298" t="s">
        <v>144</v>
      </c>
      <c r="F298" t="s">
        <v>632</v>
      </c>
      <c r="G298" t="s">
        <v>1133</v>
      </c>
      <c r="H298">
        <v>330</v>
      </c>
      <c r="I298">
        <v>5</v>
      </c>
      <c r="J298" t="s">
        <v>230</v>
      </c>
      <c r="K298" t="s">
        <v>50</v>
      </c>
      <c r="L298" t="s">
        <v>92</v>
      </c>
      <c r="M298" t="s">
        <v>219</v>
      </c>
      <c r="N298" s="19">
        <v>46262</v>
      </c>
      <c r="O298" t="s">
        <v>220</v>
      </c>
      <c r="P298">
        <v>1</v>
      </c>
      <c r="Q298" t="s">
        <v>1137</v>
      </c>
    </row>
    <row r="299" spans="1:18" x14ac:dyDescent="0.3">
      <c r="A299" t="s">
        <v>1138</v>
      </c>
      <c r="B299" t="s">
        <v>1139</v>
      </c>
      <c r="C299" t="s">
        <v>518</v>
      </c>
      <c r="D299" t="s">
        <v>143</v>
      </c>
      <c r="E299" t="s">
        <v>144</v>
      </c>
      <c r="F299" t="s">
        <v>632</v>
      </c>
      <c r="G299" t="s">
        <v>1140</v>
      </c>
      <c r="H299">
        <v>888.25</v>
      </c>
      <c r="I299">
        <v>5</v>
      </c>
      <c r="J299" t="s">
        <v>230</v>
      </c>
      <c r="K299" t="s">
        <v>887</v>
      </c>
      <c r="L299" t="s">
        <v>92</v>
      </c>
      <c r="M299" t="s">
        <v>219</v>
      </c>
      <c r="N299" s="19">
        <v>46262</v>
      </c>
      <c r="O299" t="s">
        <v>220</v>
      </c>
      <c r="P299">
        <v>3</v>
      </c>
      <c r="Q299" t="s">
        <v>1141</v>
      </c>
      <c r="R299" t="s">
        <v>92</v>
      </c>
    </row>
    <row r="300" spans="1:18" x14ac:dyDescent="0.3">
      <c r="A300" t="s">
        <v>1142</v>
      </c>
      <c r="B300" t="s">
        <v>1143</v>
      </c>
      <c r="C300" t="s">
        <v>518</v>
      </c>
      <c r="D300" t="s">
        <v>143</v>
      </c>
      <c r="E300" t="s">
        <v>144</v>
      </c>
      <c r="F300" t="s">
        <v>632</v>
      </c>
      <c r="G300" t="s">
        <v>1026</v>
      </c>
      <c r="H300">
        <v>599.39</v>
      </c>
      <c r="I300">
        <v>5</v>
      </c>
      <c r="J300" t="s">
        <v>230</v>
      </c>
      <c r="K300" t="s">
        <v>48</v>
      </c>
      <c r="L300" t="s">
        <v>92</v>
      </c>
      <c r="M300" t="s">
        <v>219</v>
      </c>
      <c r="N300" s="19">
        <v>46262</v>
      </c>
      <c r="O300" t="s">
        <v>220</v>
      </c>
      <c r="P300">
        <v>1</v>
      </c>
      <c r="Q300" t="s">
        <v>1144</v>
      </c>
    </row>
    <row r="301" spans="1:18" x14ac:dyDescent="0.3">
      <c r="A301" t="s">
        <v>1145</v>
      </c>
      <c r="B301" t="s">
        <v>1146</v>
      </c>
      <c r="C301" t="s">
        <v>214</v>
      </c>
      <c r="D301" t="s">
        <v>143</v>
      </c>
      <c r="E301" t="s">
        <v>144</v>
      </c>
      <c r="F301" t="s">
        <v>632</v>
      </c>
      <c r="G301" t="s">
        <v>1147</v>
      </c>
      <c r="H301">
        <v>2000</v>
      </c>
      <c r="I301">
        <v>5</v>
      </c>
      <c r="J301" t="s">
        <v>230</v>
      </c>
      <c r="K301" t="s">
        <v>48</v>
      </c>
      <c r="L301" t="s">
        <v>92</v>
      </c>
      <c r="M301" t="s">
        <v>219</v>
      </c>
      <c r="N301" s="19">
        <v>46262</v>
      </c>
      <c r="O301" t="s">
        <v>220</v>
      </c>
      <c r="P301">
        <v>1</v>
      </c>
      <c r="Q301" t="s">
        <v>1148</v>
      </c>
    </row>
    <row r="302" spans="1:18" x14ac:dyDescent="0.3">
      <c r="A302" t="s">
        <v>1149</v>
      </c>
      <c r="B302" t="s">
        <v>1150</v>
      </c>
      <c r="C302" t="s">
        <v>214</v>
      </c>
      <c r="D302" t="s">
        <v>143</v>
      </c>
      <c r="E302" t="s">
        <v>144</v>
      </c>
      <c r="F302" t="s">
        <v>632</v>
      </c>
      <c r="G302" t="s">
        <v>1147</v>
      </c>
      <c r="H302">
        <v>1450</v>
      </c>
      <c r="I302">
        <v>5</v>
      </c>
      <c r="J302" t="s">
        <v>230</v>
      </c>
      <c r="K302" t="s">
        <v>48</v>
      </c>
      <c r="L302" t="s">
        <v>92</v>
      </c>
      <c r="M302" t="s">
        <v>219</v>
      </c>
      <c r="N302" s="19">
        <v>46262</v>
      </c>
      <c r="O302" t="s">
        <v>220</v>
      </c>
      <c r="P302">
        <v>1</v>
      </c>
      <c r="Q302" t="s">
        <v>1151</v>
      </c>
    </row>
    <row r="303" spans="1:18" x14ac:dyDescent="0.3">
      <c r="A303" t="s">
        <v>1152</v>
      </c>
      <c r="B303" t="s">
        <v>1125</v>
      </c>
      <c r="C303" t="s">
        <v>214</v>
      </c>
      <c r="D303" t="s">
        <v>143</v>
      </c>
      <c r="E303" t="s">
        <v>144</v>
      </c>
      <c r="F303" t="s">
        <v>632</v>
      </c>
      <c r="G303" t="s">
        <v>1126</v>
      </c>
      <c r="H303">
        <v>4384.8</v>
      </c>
      <c r="I303">
        <v>5</v>
      </c>
      <c r="J303" t="s">
        <v>230</v>
      </c>
      <c r="K303" t="s">
        <v>50</v>
      </c>
      <c r="L303" t="s">
        <v>92</v>
      </c>
      <c r="M303" t="s">
        <v>219</v>
      </c>
      <c r="N303" s="19">
        <v>46262</v>
      </c>
      <c r="O303" t="s">
        <v>220</v>
      </c>
      <c r="P303">
        <v>2</v>
      </c>
      <c r="Q303" t="s">
        <v>1153</v>
      </c>
      <c r="R303" t="s">
        <v>92</v>
      </c>
    </row>
    <row r="304" spans="1:18" x14ac:dyDescent="0.3">
      <c r="A304" t="s">
        <v>1154</v>
      </c>
      <c r="B304" t="s">
        <v>1155</v>
      </c>
      <c r="C304" t="s">
        <v>461</v>
      </c>
      <c r="D304" t="s">
        <v>143</v>
      </c>
      <c r="E304" t="s">
        <v>144</v>
      </c>
      <c r="F304" t="s">
        <v>632</v>
      </c>
      <c r="H304">
        <v>3758.4</v>
      </c>
      <c r="I304">
        <v>0</v>
      </c>
      <c r="J304" t="s">
        <v>230</v>
      </c>
      <c r="K304" t="s">
        <v>965</v>
      </c>
      <c r="L304" t="s">
        <v>218</v>
      </c>
      <c r="M304" t="s">
        <v>219</v>
      </c>
      <c r="N304" s="19">
        <v>46262</v>
      </c>
      <c r="O304" t="s">
        <v>220</v>
      </c>
      <c r="P304">
        <v>1</v>
      </c>
      <c r="Q304" t="s">
        <v>1156</v>
      </c>
    </row>
    <row r="305" spans="1:18" x14ac:dyDescent="0.3">
      <c r="A305" t="s">
        <v>1157</v>
      </c>
      <c r="B305" t="s">
        <v>1158</v>
      </c>
      <c r="C305" t="s">
        <v>214</v>
      </c>
      <c r="D305" t="s">
        <v>143</v>
      </c>
      <c r="E305" t="s">
        <v>144</v>
      </c>
      <c r="F305" t="s">
        <v>657</v>
      </c>
      <c r="G305" t="s">
        <v>1159</v>
      </c>
      <c r="H305">
        <v>609.83000000000004</v>
      </c>
      <c r="I305">
        <v>5</v>
      </c>
      <c r="J305" t="s">
        <v>230</v>
      </c>
      <c r="K305" t="s">
        <v>46</v>
      </c>
      <c r="L305" t="s">
        <v>92</v>
      </c>
      <c r="M305" t="s">
        <v>219</v>
      </c>
      <c r="N305" s="19">
        <v>46262</v>
      </c>
      <c r="O305" t="s">
        <v>220</v>
      </c>
      <c r="P305">
        <v>1</v>
      </c>
      <c r="Q305" t="s">
        <v>1160</v>
      </c>
    </row>
    <row r="306" spans="1:18" x14ac:dyDescent="0.3">
      <c r="A306" t="s">
        <v>1161</v>
      </c>
      <c r="B306" t="s">
        <v>1162</v>
      </c>
      <c r="C306" t="s">
        <v>214</v>
      </c>
      <c r="D306" t="s">
        <v>143</v>
      </c>
      <c r="E306" t="s">
        <v>144</v>
      </c>
      <c r="F306" t="s">
        <v>657</v>
      </c>
      <c r="G306" t="s">
        <v>1159</v>
      </c>
      <c r="H306">
        <v>610.70000000000005</v>
      </c>
      <c r="I306">
        <v>5</v>
      </c>
      <c r="J306" t="s">
        <v>230</v>
      </c>
      <c r="K306" t="s">
        <v>46</v>
      </c>
      <c r="L306" t="s">
        <v>92</v>
      </c>
      <c r="M306" t="s">
        <v>219</v>
      </c>
      <c r="N306" s="19">
        <v>46262</v>
      </c>
      <c r="O306" t="s">
        <v>220</v>
      </c>
      <c r="P306">
        <v>1</v>
      </c>
      <c r="Q306" t="s">
        <v>1163</v>
      </c>
    </row>
    <row r="307" spans="1:18" x14ac:dyDescent="0.3">
      <c r="A307" t="s">
        <v>1164</v>
      </c>
      <c r="B307" t="s">
        <v>1165</v>
      </c>
      <c r="C307" t="s">
        <v>214</v>
      </c>
      <c r="D307" t="s">
        <v>143</v>
      </c>
      <c r="E307" t="s">
        <v>144</v>
      </c>
      <c r="F307" t="s">
        <v>657</v>
      </c>
      <c r="G307" t="s">
        <v>1159</v>
      </c>
      <c r="H307">
        <v>611.57000000000005</v>
      </c>
      <c r="I307">
        <v>5</v>
      </c>
      <c r="J307" t="s">
        <v>230</v>
      </c>
      <c r="K307" t="s">
        <v>46</v>
      </c>
      <c r="L307" t="s">
        <v>92</v>
      </c>
      <c r="M307" t="s">
        <v>219</v>
      </c>
      <c r="N307" s="19">
        <v>46262</v>
      </c>
      <c r="O307" t="s">
        <v>220</v>
      </c>
      <c r="P307">
        <v>1</v>
      </c>
      <c r="Q307" t="s">
        <v>1166</v>
      </c>
    </row>
    <row r="308" spans="1:18" x14ac:dyDescent="0.3">
      <c r="A308" t="s">
        <v>1167</v>
      </c>
      <c r="B308" t="s">
        <v>1168</v>
      </c>
      <c r="C308" t="s">
        <v>214</v>
      </c>
      <c r="D308" t="s">
        <v>143</v>
      </c>
      <c r="E308" t="s">
        <v>144</v>
      </c>
      <c r="F308" t="s">
        <v>657</v>
      </c>
      <c r="H308">
        <v>326.25</v>
      </c>
      <c r="I308">
        <v>0</v>
      </c>
      <c r="J308" t="s">
        <v>230</v>
      </c>
      <c r="K308" t="s">
        <v>48</v>
      </c>
      <c r="L308" t="s">
        <v>218</v>
      </c>
      <c r="M308" t="s">
        <v>219</v>
      </c>
      <c r="N308" s="19">
        <v>46262</v>
      </c>
      <c r="O308" t="s">
        <v>220</v>
      </c>
      <c r="P308">
        <v>1</v>
      </c>
      <c r="Q308" t="s">
        <v>1169</v>
      </c>
    </row>
    <row r="309" spans="1:18" x14ac:dyDescent="0.3">
      <c r="A309" t="s">
        <v>1170</v>
      </c>
      <c r="B309" t="s">
        <v>1171</v>
      </c>
      <c r="C309" t="s">
        <v>214</v>
      </c>
      <c r="D309" t="s">
        <v>143</v>
      </c>
      <c r="E309" t="s">
        <v>144</v>
      </c>
      <c r="F309" t="s">
        <v>657</v>
      </c>
      <c r="G309" t="s">
        <v>1159</v>
      </c>
      <c r="H309">
        <v>1934.01</v>
      </c>
      <c r="I309">
        <v>5</v>
      </c>
      <c r="J309" t="s">
        <v>230</v>
      </c>
      <c r="K309" t="s">
        <v>46</v>
      </c>
      <c r="L309" t="s">
        <v>92</v>
      </c>
      <c r="M309" t="s">
        <v>219</v>
      </c>
      <c r="N309" s="19">
        <v>46262</v>
      </c>
      <c r="O309" t="s">
        <v>220</v>
      </c>
      <c r="P309">
        <v>1</v>
      </c>
      <c r="Q309" t="s">
        <v>1172</v>
      </c>
    </row>
    <row r="310" spans="1:18" x14ac:dyDescent="0.3">
      <c r="A310" t="s">
        <v>1173</v>
      </c>
      <c r="B310" t="s">
        <v>1174</v>
      </c>
      <c r="C310" t="s">
        <v>214</v>
      </c>
      <c r="D310" t="s">
        <v>143</v>
      </c>
      <c r="E310" t="s">
        <v>144</v>
      </c>
      <c r="F310" t="s">
        <v>657</v>
      </c>
      <c r="G310" t="s">
        <v>1159</v>
      </c>
      <c r="H310">
        <v>2035.8</v>
      </c>
      <c r="I310">
        <v>5</v>
      </c>
      <c r="J310" t="s">
        <v>230</v>
      </c>
      <c r="K310" t="s">
        <v>46</v>
      </c>
      <c r="L310" t="s">
        <v>92</v>
      </c>
      <c r="M310" t="s">
        <v>219</v>
      </c>
      <c r="N310" s="19">
        <v>46262</v>
      </c>
      <c r="O310" t="s">
        <v>220</v>
      </c>
      <c r="P310">
        <v>4</v>
      </c>
      <c r="Q310" t="s">
        <v>1175</v>
      </c>
      <c r="R310" t="s">
        <v>92</v>
      </c>
    </row>
    <row r="311" spans="1:18" x14ac:dyDescent="0.3">
      <c r="A311" t="s">
        <v>1176</v>
      </c>
      <c r="B311" t="s">
        <v>1174</v>
      </c>
      <c r="C311" t="s">
        <v>214</v>
      </c>
      <c r="D311" t="s">
        <v>143</v>
      </c>
      <c r="E311" t="s">
        <v>144</v>
      </c>
      <c r="F311" t="s">
        <v>657</v>
      </c>
      <c r="G311" t="s">
        <v>1159</v>
      </c>
      <c r="H311">
        <v>660</v>
      </c>
      <c r="I311">
        <v>5</v>
      </c>
      <c r="J311" t="s">
        <v>230</v>
      </c>
      <c r="K311" t="s">
        <v>46</v>
      </c>
      <c r="L311" t="s">
        <v>92</v>
      </c>
      <c r="M311" t="s">
        <v>219</v>
      </c>
      <c r="N311" s="19">
        <v>46262</v>
      </c>
      <c r="O311" t="s">
        <v>220</v>
      </c>
      <c r="P311">
        <v>4</v>
      </c>
      <c r="Q311" t="s">
        <v>1177</v>
      </c>
      <c r="R311" t="s">
        <v>92</v>
      </c>
    </row>
    <row r="312" spans="1:18" x14ac:dyDescent="0.3">
      <c r="A312" t="s">
        <v>1178</v>
      </c>
      <c r="B312" t="s">
        <v>1179</v>
      </c>
      <c r="C312" t="s">
        <v>214</v>
      </c>
      <c r="D312" t="s">
        <v>143</v>
      </c>
      <c r="E312" t="s">
        <v>144</v>
      </c>
      <c r="F312" t="s">
        <v>657</v>
      </c>
      <c r="G312" t="s">
        <v>1159</v>
      </c>
      <c r="H312">
        <v>890.14</v>
      </c>
      <c r="I312">
        <v>5</v>
      </c>
      <c r="J312" t="s">
        <v>230</v>
      </c>
      <c r="K312" t="s">
        <v>46</v>
      </c>
      <c r="L312" t="s">
        <v>92</v>
      </c>
      <c r="M312" t="s">
        <v>219</v>
      </c>
      <c r="N312" s="19">
        <v>46262</v>
      </c>
      <c r="O312" t="s">
        <v>220</v>
      </c>
      <c r="P312">
        <v>1</v>
      </c>
      <c r="Q312" t="s">
        <v>1180</v>
      </c>
    </row>
    <row r="313" spans="1:18" x14ac:dyDescent="0.3">
      <c r="A313" t="s">
        <v>1181</v>
      </c>
      <c r="B313" t="s">
        <v>1182</v>
      </c>
      <c r="C313" t="s">
        <v>214</v>
      </c>
      <c r="D313" t="s">
        <v>143</v>
      </c>
      <c r="E313" t="s">
        <v>144</v>
      </c>
      <c r="F313" t="s">
        <v>657</v>
      </c>
      <c r="H313">
        <v>2239.38</v>
      </c>
      <c r="I313">
        <v>0</v>
      </c>
      <c r="J313" t="s">
        <v>230</v>
      </c>
      <c r="K313" t="s">
        <v>48</v>
      </c>
      <c r="L313" t="s">
        <v>218</v>
      </c>
      <c r="M313" t="s">
        <v>219</v>
      </c>
      <c r="N313" s="19">
        <v>46262</v>
      </c>
      <c r="O313" t="s">
        <v>220</v>
      </c>
      <c r="P313">
        <v>1</v>
      </c>
      <c r="Q313" t="s">
        <v>1183</v>
      </c>
    </row>
    <row r="314" spans="1:18" x14ac:dyDescent="0.3">
      <c r="A314" t="s">
        <v>1184</v>
      </c>
      <c r="B314" t="s">
        <v>1185</v>
      </c>
      <c r="C314" t="s">
        <v>214</v>
      </c>
      <c r="D314" t="s">
        <v>143</v>
      </c>
      <c r="E314" t="s">
        <v>144</v>
      </c>
      <c r="F314" t="s">
        <v>657</v>
      </c>
      <c r="G314" t="s">
        <v>1159</v>
      </c>
      <c r="H314">
        <v>622.01</v>
      </c>
      <c r="I314">
        <v>5</v>
      </c>
      <c r="J314" t="s">
        <v>230</v>
      </c>
      <c r="K314" t="s">
        <v>46</v>
      </c>
      <c r="L314" t="s">
        <v>92</v>
      </c>
      <c r="M314" t="s">
        <v>219</v>
      </c>
      <c r="N314" s="19">
        <v>46262</v>
      </c>
      <c r="O314" t="s">
        <v>220</v>
      </c>
      <c r="P314">
        <v>1</v>
      </c>
      <c r="Q314" t="s">
        <v>1186</v>
      </c>
    </row>
    <row r="315" spans="1:18" x14ac:dyDescent="0.3">
      <c r="A315" t="s">
        <v>1187</v>
      </c>
      <c r="B315" t="s">
        <v>1188</v>
      </c>
      <c r="C315" t="s">
        <v>214</v>
      </c>
      <c r="D315" t="s">
        <v>143</v>
      </c>
      <c r="E315" t="s">
        <v>144</v>
      </c>
      <c r="F315" t="s">
        <v>657</v>
      </c>
      <c r="H315">
        <v>1196.25</v>
      </c>
      <c r="I315">
        <v>0</v>
      </c>
      <c r="J315" t="s">
        <v>230</v>
      </c>
      <c r="K315" t="s">
        <v>48</v>
      </c>
      <c r="L315" t="s">
        <v>218</v>
      </c>
      <c r="M315" t="s">
        <v>219</v>
      </c>
      <c r="N315" s="19">
        <v>46262</v>
      </c>
      <c r="O315" t="s">
        <v>220</v>
      </c>
      <c r="P315">
        <v>1</v>
      </c>
      <c r="Q315" t="s">
        <v>1189</v>
      </c>
    </row>
    <row r="316" spans="1:18" x14ac:dyDescent="0.3">
      <c r="A316" t="s">
        <v>1190</v>
      </c>
      <c r="B316" t="s">
        <v>1191</v>
      </c>
      <c r="C316" t="s">
        <v>214</v>
      </c>
      <c r="D316" t="s">
        <v>143</v>
      </c>
      <c r="E316" t="s">
        <v>144</v>
      </c>
      <c r="F316" t="s">
        <v>657</v>
      </c>
      <c r="G316" t="s">
        <v>912</v>
      </c>
      <c r="H316">
        <v>134.85</v>
      </c>
      <c r="I316">
        <v>5</v>
      </c>
      <c r="J316" t="s">
        <v>230</v>
      </c>
      <c r="K316" t="s">
        <v>48</v>
      </c>
      <c r="L316" t="s">
        <v>92</v>
      </c>
      <c r="M316" t="s">
        <v>219</v>
      </c>
      <c r="N316" s="19">
        <v>46262</v>
      </c>
      <c r="O316" t="s">
        <v>220</v>
      </c>
      <c r="P316">
        <v>1</v>
      </c>
      <c r="Q316" t="s">
        <v>1192</v>
      </c>
    </row>
    <row r="317" spans="1:18" x14ac:dyDescent="0.3">
      <c r="A317" t="s">
        <v>1193</v>
      </c>
      <c r="B317" t="s">
        <v>1194</v>
      </c>
      <c r="C317" t="s">
        <v>214</v>
      </c>
      <c r="D317" t="s">
        <v>143</v>
      </c>
      <c r="E317" t="s">
        <v>144</v>
      </c>
      <c r="F317" t="s">
        <v>657</v>
      </c>
      <c r="H317">
        <v>625.49</v>
      </c>
      <c r="I317">
        <v>0</v>
      </c>
      <c r="J317" t="s">
        <v>230</v>
      </c>
      <c r="K317" t="s">
        <v>48</v>
      </c>
      <c r="L317" t="s">
        <v>218</v>
      </c>
      <c r="M317" t="s">
        <v>219</v>
      </c>
      <c r="N317" s="19">
        <v>46262</v>
      </c>
      <c r="O317" t="s">
        <v>220</v>
      </c>
      <c r="P317">
        <v>1</v>
      </c>
      <c r="Q317" t="s">
        <v>1195</v>
      </c>
    </row>
    <row r="318" spans="1:18" x14ac:dyDescent="0.3">
      <c r="A318" t="s">
        <v>1196</v>
      </c>
      <c r="B318" t="s">
        <v>1197</v>
      </c>
      <c r="C318" t="s">
        <v>214</v>
      </c>
      <c r="D318" t="s">
        <v>143</v>
      </c>
      <c r="E318" t="s">
        <v>144</v>
      </c>
      <c r="F318" t="s">
        <v>657</v>
      </c>
      <c r="H318">
        <v>105.33</v>
      </c>
      <c r="I318">
        <v>0</v>
      </c>
      <c r="J318" t="s">
        <v>230</v>
      </c>
      <c r="K318" t="s">
        <v>48</v>
      </c>
      <c r="L318" t="s">
        <v>218</v>
      </c>
      <c r="M318" t="s">
        <v>219</v>
      </c>
      <c r="N318" s="19">
        <v>46262</v>
      </c>
      <c r="O318" t="s">
        <v>220</v>
      </c>
      <c r="P318">
        <v>1</v>
      </c>
      <c r="Q318" t="s">
        <v>1198</v>
      </c>
    </row>
    <row r="319" spans="1:18" x14ac:dyDescent="0.3">
      <c r="A319" t="s">
        <v>1199</v>
      </c>
      <c r="B319" t="s">
        <v>1200</v>
      </c>
      <c r="C319" t="s">
        <v>214</v>
      </c>
      <c r="D319" t="s">
        <v>143</v>
      </c>
      <c r="E319" t="s">
        <v>144</v>
      </c>
      <c r="F319" t="s">
        <v>657</v>
      </c>
      <c r="G319" t="s">
        <v>1030</v>
      </c>
      <c r="H319">
        <v>232</v>
      </c>
      <c r="I319">
        <v>5</v>
      </c>
      <c r="J319" t="s">
        <v>230</v>
      </c>
      <c r="K319" t="s">
        <v>44</v>
      </c>
      <c r="L319" t="s">
        <v>92</v>
      </c>
      <c r="M319" t="s">
        <v>219</v>
      </c>
      <c r="N319" s="19">
        <v>46262</v>
      </c>
      <c r="O319" t="s">
        <v>220</v>
      </c>
      <c r="P319">
        <v>1</v>
      </c>
      <c r="Q319" t="s">
        <v>1201</v>
      </c>
    </row>
    <row r="320" spans="1:18" x14ac:dyDescent="0.3">
      <c r="A320" t="s">
        <v>1202</v>
      </c>
      <c r="B320" t="s">
        <v>1129</v>
      </c>
      <c r="C320" t="s">
        <v>214</v>
      </c>
      <c r="D320" t="s">
        <v>143</v>
      </c>
      <c r="E320" t="s">
        <v>144</v>
      </c>
      <c r="F320" t="s">
        <v>657</v>
      </c>
      <c r="G320" t="s">
        <v>1026</v>
      </c>
      <c r="H320">
        <v>393.67</v>
      </c>
      <c r="I320">
        <v>5</v>
      </c>
      <c r="J320" t="s">
        <v>230</v>
      </c>
      <c r="K320" t="s">
        <v>48</v>
      </c>
      <c r="L320" t="s">
        <v>92</v>
      </c>
      <c r="M320" t="s">
        <v>219</v>
      </c>
      <c r="N320" s="19">
        <v>46262</v>
      </c>
      <c r="O320" t="s">
        <v>220</v>
      </c>
      <c r="P320">
        <v>2</v>
      </c>
      <c r="Q320" t="s">
        <v>1203</v>
      </c>
      <c r="R320" t="s">
        <v>92</v>
      </c>
    </row>
    <row r="321" spans="1:18" x14ac:dyDescent="0.3">
      <c r="A321" t="s">
        <v>1204</v>
      </c>
      <c r="B321" t="s">
        <v>1205</v>
      </c>
      <c r="C321" t="s">
        <v>461</v>
      </c>
      <c r="D321" t="s">
        <v>143</v>
      </c>
      <c r="E321" t="s">
        <v>144</v>
      </c>
      <c r="F321" t="s">
        <v>657</v>
      </c>
      <c r="H321">
        <v>1480.74</v>
      </c>
      <c r="I321">
        <v>0</v>
      </c>
      <c r="J321" t="s">
        <v>230</v>
      </c>
      <c r="K321" t="s">
        <v>965</v>
      </c>
      <c r="L321" t="s">
        <v>218</v>
      </c>
      <c r="M321" t="s">
        <v>219</v>
      </c>
      <c r="N321" s="19">
        <v>46262</v>
      </c>
      <c r="O321" t="s">
        <v>220</v>
      </c>
      <c r="P321">
        <v>3</v>
      </c>
      <c r="Q321" t="s">
        <v>1206</v>
      </c>
      <c r="R321" t="s">
        <v>92</v>
      </c>
    </row>
    <row r="322" spans="1:18" x14ac:dyDescent="0.3">
      <c r="A322" t="s">
        <v>1207</v>
      </c>
      <c r="B322" t="s">
        <v>1208</v>
      </c>
      <c r="C322" t="s">
        <v>461</v>
      </c>
      <c r="D322" t="s">
        <v>143</v>
      </c>
      <c r="E322" t="s">
        <v>144</v>
      </c>
      <c r="F322" t="s">
        <v>657</v>
      </c>
      <c r="H322">
        <v>1378.95</v>
      </c>
      <c r="I322">
        <v>0</v>
      </c>
      <c r="J322" t="s">
        <v>230</v>
      </c>
      <c r="K322" t="s">
        <v>965</v>
      </c>
      <c r="L322" t="s">
        <v>218</v>
      </c>
      <c r="M322" t="s">
        <v>219</v>
      </c>
      <c r="N322" s="19">
        <v>46262</v>
      </c>
      <c r="O322" t="s">
        <v>220</v>
      </c>
      <c r="P322">
        <v>2</v>
      </c>
      <c r="Q322" t="s">
        <v>1209</v>
      </c>
      <c r="R322" t="s">
        <v>92</v>
      </c>
    </row>
    <row r="323" spans="1:18" x14ac:dyDescent="0.3">
      <c r="A323" t="s">
        <v>1210</v>
      </c>
      <c r="B323" t="s">
        <v>1211</v>
      </c>
      <c r="C323" t="s">
        <v>214</v>
      </c>
      <c r="D323" t="s">
        <v>143</v>
      </c>
      <c r="E323" t="s">
        <v>144</v>
      </c>
      <c r="F323" t="s">
        <v>657</v>
      </c>
      <c r="H323">
        <v>217.5</v>
      </c>
      <c r="I323">
        <v>0</v>
      </c>
      <c r="J323" t="s">
        <v>230</v>
      </c>
      <c r="K323" t="s">
        <v>48</v>
      </c>
      <c r="L323" t="s">
        <v>218</v>
      </c>
      <c r="M323" t="s">
        <v>219</v>
      </c>
      <c r="N323" s="19">
        <v>46262</v>
      </c>
      <c r="O323" t="s">
        <v>220</v>
      </c>
      <c r="P323">
        <v>1</v>
      </c>
      <c r="Q323" t="s">
        <v>1212</v>
      </c>
    </row>
    <row r="324" spans="1:18" x14ac:dyDescent="0.3">
      <c r="A324" t="s">
        <v>1213</v>
      </c>
      <c r="B324" t="s">
        <v>1214</v>
      </c>
      <c r="C324" t="s">
        <v>214</v>
      </c>
      <c r="D324" t="s">
        <v>143</v>
      </c>
      <c r="E324" t="s">
        <v>144</v>
      </c>
      <c r="F324" t="s">
        <v>657</v>
      </c>
      <c r="H324">
        <v>516.78</v>
      </c>
      <c r="I324">
        <v>0</v>
      </c>
      <c r="J324" t="s">
        <v>230</v>
      </c>
      <c r="K324" t="s">
        <v>48</v>
      </c>
      <c r="L324" t="s">
        <v>218</v>
      </c>
      <c r="M324" t="s">
        <v>219</v>
      </c>
      <c r="N324" s="19">
        <v>46262</v>
      </c>
      <c r="O324" t="s">
        <v>220</v>
      </c>
      <c r="P324">
        <v>1</v>
      </c>
      <c r="Q324" t="s">
        <v>1215</v>
      </c>
    </row>
    <row r="325" spans="1:18" x14ac:dyDescent="0.3">
      <c r="A325" t="s">
        <v>1216</v>
      </c>
      <c r="B325" t="s">
        <v>1217</v>
      </c>
      <c r="C325" t="s">
        <v>214</v>
      </c>
      <c r="D325" t="s">
        <v>143</v>
      </c>
      <c r="E325" t="s">
        <v>144</v>
      </c>
      <c r="F325" t="s">
        <v>657</v>
      </c>
      <c r="G325" t="s">
        <v>1159</v>
      </c>
      <c r="H325">
        <v>1581.22</v>
      </c>
      <c r="I325">
        <v>5</v>
      </c>
      <c r="J325" t="s">
        <v>230</v>
      </c>
      <c r="K325" t="s">
        <v>46</v>
      </c>
      <c r="L325" t="s">
        <v>92</v>
      </c>
      <c r="M325" t="s">
        <v>219</v>
      </c>
      <c r="N325" s="19">
        <v>46262</v>
      </c>
      <c r="O325" t="s">
        <v>220</v>
      </c>
      <c r="P325">
        <v>1</v>
      </c>
      <c r="Q325" t="s">
        <v>1218</v>
      </c>
    </row>
    <row r="326" spans="1:18" x14ac:dyDescent="0.3">
      <c r="A326" t="s">
        <v>1219</v>
      </c>
      <c r="B326" t="s">
        <v>1220</v>
      </c>
      <c r="C326" t="s">
        <v>214</v>
      </c>
      <c r="D326" t="s">
        <v>143</v>
      </c>
      <c r="E326" t="s">
        <v>144</v>
      </c>
      <c r="F326" t="s">
        <v>657</v>
      </c>
      <c r="G326" t="s">
        <v>1159</v>
      </c>
      <c r="H326">
        <v>221.85</v>
      </c>
      <c r="I326">
        <v>5</v>
      </c>
      <c r="J326" t="s">
        <v>230</v>
      </c>
      <c r="K326" t="s">
        <v>46</v>
      </c>
      <c r="L326" t="s">
        <v>92</v>
      </c>
      <c r="M326" t="s">
        <v>219</v>
      </c>
      <c r="N326" s="19">
        <v>46262</v>
      </c>
      <c r="O326" t="s">
        <v>220</v>
      </c>
      <c r="P326">
        <v>1</v>
      </c>
      <c r="Q326" t="s">
        <v>1221</v>
      </c>
    </row>
    <row r="327" spans="1:18" x14ac:dyDescent="0.3">
      <c r="A327" t="s">
        <v>1222</v>
      </c>
      <c r="B327" t="s">
        <v>1223</v>
      </c>
      <c r="C327" t="s">
        <v>518</v>
      </c>
      <c r="D327" t="s">
        <v>143</v>
      </c>
      <c r="E327" t="s">
        <v>144</v>
      </c>
      <c r="F327" t="s">
        <v>657</v>
      </c>
      <c r="H327">
        <v>302.08999999999997</v>
      </c>
      <c r="I327">
        <v>0</v>
      </c>
      <c r="J327" t="s">
        <v>230</v>
      </c>
      <c r="K327" t="s">
        <v>887</v>
      </c>
      <c r="L327" t="s">
        <v>218</v>
      </c>
      <c r="M327" t="s">
        <v>219</v>
      </c>
      <c r="N327" s="19">
        <v>46262</v>
      </c>
      <c r="O327" t="s">
        <v>220</v>
      </c>
      <c r="P327">
        <v>1</v>
      </c>
      <c r="Q327" t="s">
        <v>1224</v>
      </c>
    </row>
    <row r="328" spans="1:18" x14ac:dyDescent="0.3">
      <c r="A328" t="s">
        <v>1225</v>
      </c>
      <c r="B328" t="s">
        <v>1226</v>
      </c>
      <c r="C328" t="s">
        <v>1227</v>
      </c>
      <c r="D328" t="s">
        <v>143</v>
      </c>
      <c r="E328" t="s">
        <v>144</v>
      </c>
      <c r="F328" t="s">
        <v>676</v>
      </c>
      <c r="H328">
        <v>0</v>
      </c>
      <c r="I328">
        <v>0</v>
      </c>
      <c r="J328" t="s">
        <v>230</v>
      </c>
      <c r="K328" t="s">
        <v>42</v>
      </c>
      <c r="L328" t="s">
        <v>218</v>
      </c>
      <c r="M328" t="s">
        <v>219</v>
      </c>
      <c r="N328" s="19">
        <v>46262</v>
      </c>
      <c r="O328" t="s">
        <v>220</v>
      </c>
      <c r="P328">
        <v>1</v>
      </c>
      <c r="Q328" t="s">
        <v>1228</v>
      </c>
    </row>
    <row r="329" spans="1:18" x14ac:dyDescent="0.3">
      <c r="A329" t="s">
        <v>1229</v>
      </c>
      <c r="B329" t="s">
        <v>1230</v>
      </c>
      <c r="C329" t="s">
        <v>514</v>
      </c>
      <c r="D329" t="s">
        <v>143</v>
      </c>
      <c r="E329" t="s">
        <v>144</v>
      </c>
      <c r="F329" t="s">
        <v>676</v>
      </c>
      <c r="H329">
        <v>1306.25</v>
      </c>
      <c r="I329">
        <v>0</v>
      </c>
      <c r="J329" t="s">
        <v>230</v>
      </c>
      <c r="K329" t="s">
        <v>42</v>
      </c>
      <c r="L329" t="s">
        <v>218</v>
      </c>
      <c r="M329" t="s">
        <v>219</v>
      </c>
      <c r="N329" s="19">
        <v>46262</v>
      </c>
      <c r="O329" t="s">
        <v>220</v>
      </c>
      <c r="P329">
        <v>1</v>
      </c>
      <c r="Q329" t="s">
        <v>1231</v>
      </c>
    </row>
    <row r="330" spans="1:18" x14ac:dyDescent="0.3">
      <c r="A330" t="s">
        <v>1232</v>
      </c>
      <c r="B330" t="s">
        <v>1233</v>
      </c>
      <c r="C330" t="s">
        <v>214</v>
      </c>
      <c r="D330" t="s">
        <v>143</v>
      </c>
      <c r="E330" t="s">
        <v>144</v>
      </c>
      <c r="F330" t="s">
        <v>676</v>
      </c>
      <c r="H330">
        <v>652.5</v>
      </c>
      <c r="I330">
        <v>0</v>
      </c>
      <c r="J330" t="s">
        <v>230</v>
      </c>
      <c r="K330" t="s">
        <v>42</v>
      </c>
      <c r="L330" t="s">
        <v>218</v>
      </c>
      <c r="M330" t="s">
        <v>219</v>
      </c>
      <c r="N330" s="19">
        <v>46262</v>
      </c>
      <c r="O330" t="s">
        <v>220</v>
      </c>
      <c r="P330">
        <v>1</v>
      </c>
      <c r="Q330" t="s">
        <v>1234</v>
      </c>
    </row>
    <row r="331" spans="1:18" x14ac:dyDescent="0.3">
      <c r="A331" t="s">
        <v>1235</v>
      </c>
      <c r="B331" t="s">
        <v>1236</v>
      </c>
      <c r="C331" t="s">
        <v>214</v>
      </c>
      <c r="D331" t="s">
        <v>143</v>
      </c>
      <c r="E331" t="s">
        <v>144</v>
      </c>
      <c r="F331" t="s">
        <v>676</v>
      </c>
      <c r="H331">
        <v>761.25</v>
      </c>
      <c r="I331">
        <v>0</v>
      </c>
      <c r="J331" t="s">
        <v>230</v>
      </c>
      <c r="K331" t="s">
        <v>42</v>
      </c>
      <c r="L331" t="s">
        <v>218</v>
      </c>
      <c r="M331" t="s">
        <v>219</v>
      </c>
      <c r="N331" s="19">
        <v>46262</v>
      </c>
      <c r="O331" t="s">
        <v>220</v>
      </c>
      <c r="P331">
        <v>1</v>
      </c>
      <c r="Q331" t="s">
        <v>1237</v>
      </c>
    </row>
    <row r="332" spans="1:18" x14ac:dyDescent="0.3">
      <c r="A332" t="s">
        <v>1238</v>
      </c>
      <c r="B332" t="s">
        <v>1239</v>
      </c>
      <c r="C332" t="s">
        <v>214</v>
      </c>
      <c r="D332" t="s">
        <v>143</v>
      </c>
      <c r="E332" t="s">
        <v>144</v>
      </c>
      <c r="F332" t="s">
        <v>676</v>
      </c>
      <c r="H332">
        <v>634.67999999999995</v>
      </c>
      <c r="I332">
        <v>0</v>
      </c>
      <c r="J332" t="s">
        <v>230</v>
      </c>
      <c r="K332" t="s">
        <v>42</v>
      </c>
      <c r="L332" t="s">
        <v>218</v>
      </c>
      <c r="M332" t="s">
        <v>219</v>
      </c>
      <c r="N332" s="19">
        <v>46262</v>
      </c>
      <c r="O332" t="s">
        <v>220</v>
      </c>
      <c r="P332">
        <v>1</v>
      </c>
      <c r="Q332" t="s">
        <v>1240</v>
      </c>
    </row>
    <row r="333" spans="1:18" x14ac:dyDescent="0.3">
      <c r="A333" t="s">
        <v>1241</v>
      </c>
      <c r="B333" t="s">
        <v>1242</v>
      </c>
      <c r="C333" t="s">
        <v>214</v>
      </c>
      <c r="D333" t="s">
        <v>143</v>
      </c>
      <c r="E333" t="s">
        <v>144</v>
      </c>
      <c r="F333" t="s">
        <v>676</v>
      </c>
      <c r="H333">
        <v>172.26</v>
      </c>
      <c r="I333">
        <v>0</v>
      </c>
      <c r="J333" t="s">
        <v>230</v>
      </c>
      <c r="K333" t="s">
        <v>48</v>
      </c>
      <c r="L333" t="s">
        <v>218</v>
      </c>
      <c r="M333" t="s">
        <v>219</v>
      </c>
      <c r="N333" s="19">
        <v>46262</v>
      </c>
      <c r="O333" t="s">
        <v>220</v>
      </c>
      <c r="P333">
        <v>1</v>
      </c>
      <c r="Q333" t="s">
        <v>1243</v>
      </c>
    </row>
    <row r="334" spans="1:18" x14ac:dyDescent="0.3">
      <c r="A334" t="s">
        <v>1244</v>
      </c>
      <c r="B334" t="s">
        <v>1245</v>
      </c>
      <c r="C334" t="s">
        <v>214</v>
      </c>
      <c r="D334" t="s">
        <v>143</v>
      </c>
      <c r="E334" t="s">
        <v>144</v>
      </c>
      <c r="F334" t="s">
        <v>676</v>
      </c>
      <c r="H334">
        <v>65.25</v>
      </c>
      <c r="I334">
        <v>0</v>
      </c>
      <c r="J334" t="s">
        <v>230</v>
      </c>
      <c r="K334" t="s">
        <v>48</v>
      </c>
      <c r="L334" t="s">
        <v>218</v>
      </c>
      <c r="M334" t="s">
        <v>219</v>
      </c>
      <c r="N334" s="19">
        <v>46262</v>
      </c>
      <c r="O334" t="s">
        <v>220</v>
      </c>
      <c r="P334">
        <v>1</v>
      </c>
      <c r="Q334" t="s">
        <v>1246</v>
      </c>
    </row>
    <row r="335" spans="1:18" x14ac:dyDescent="0.3">
      <c r="A335" t="s">
        <v>1247</v>
      </c>
      <c r="B335" t="s">
        <v>1248</v>
      </c>
      <c r="C335" t="s">
        <v>214</v>
      </c>
      <c r="D335" t="s">
        <v>143</v>
      </c>
      <c r="E335" t="s">
        <v>144</v>
      </c>
      <c r="F335" t="s">
        <v>676</v>
      </c>
      <c r="H335">
        <v>81.430000000000007</v>
      </c>
      <c r="I335">
        <v>0</v>
      </c>
      <c r="J335" t="s">
        <v>230</v>
      </c>
      <c r="K335" t="s">
        <v>48</v>
      </c>
      <c r="L335" t="s">
        <v>218</v>
      </c>
      <c r="M335" t="s">
        <v>219</v>
      </c>
      <c r="N335" s="19">
        <v>46262</v>
      </c>
      <c r="O335" t="s">
        <v>220</v>
      </c>
      <c r="P335">
        <v>1</v>
      </c>
      <c r="Q335" t="s">
        <v>1249</v>
      </c>
    </row>
    <row r="336" spans="1:18" x14ac:dyDescent="0.3">
      <c r="A336" t="s">
        <v>1250</v>
      </c>
      <c r="B336" t="s">
        <v>1251</v>
      </c>
      <c r="C336" t="s">
        <v>214</v>
      </c>
      <c r="D336" t="s">
        <v>143</v>
      </c>
      <c r="E336" t="s">
        <v>144</v>
      </c>
      <c r="F336" t="s">
        <v>676</v>
      </c>
      <c r="H336">
        <v>478.5</v>
      </c>
      <c r="I336">
        <v>0</v>
      </c>
      <c r="J336" t="s">
        <v>230</v>
      </c>
      <c r="K336" t="s">
        <v>44</v>
      </c>
      <c r="L336" t="s">
        <v>218</v>
      </c>
      <c r="M336" t="s">
        <v>219</v>
      </c>
      <c r="N336" s="19">
        <v>46262</v>
      </c>
      <c r="O336" t="s">
        <v>220</v>
      </c>
      <c r="P336">
        <v>1</v>
      </c>
      <c r="Q336" t="s">
        <v>1252</v>
      </c>
    </row>
    <row r="337" spans="1:17" x14ac:dyDescent="0.3">
      <c r="A337" t="s">
        <v>1253</v>
      </c>
      <c r="B337" t="s">
        <v>1254</v>
      </c>
      <c r="C337" t="s">
        <v>214</v>
      </c>
      <c r="D337" t="s">
        <v>143</v>
      </c>
      <c r="E337" t="s">
        <v>144</v>
      </c>
      <c r="F337" t="s">
        <v>676</v>
      </c>
      <c r="H337">
        <v>0</v>
      </c>
      <c r="I337">
        <v>0</v>
      </c>
      <c r="J337" t="s">
        <v>230</v>
      </c>
      <c r="K337" t="s">
        <v>48</v>
      </c>
      <c r="L337" t="s">
        <v>218</v>
      </c>
      <c r="M337" t="s">
        <v>219</v>
      </c>
      <c r="N337" s="19">
        <v>46262</v>
      </c>
      <c r="O337" t="s">
        <v>220</v>
      </c>
      <c r="P337">
        <v>1</v>
      </c>
      <c r="Q337" t="s">
        <v>1255</v>
      </c>
    </row>
    <row r="338" spans="1:17" x14ac:dyDescent="0.3">
      <c r="A338" t="s">
        <v>1256</v>
      </c>
      <c r="B338" t="s">
        <v>1257</v>
      </c>
      <c r="C338" t="s">
        <v>214</v>
      </c>
      <c r="D338" t="s">
        <v>143</v>
      </c>
      <c r="E338" t="s">
        <v>144</v>
      </c>
      <c r="F338" t="s">
        <v>676</v>
      </c>
      <c r="H338">
        <v>0</v>
      </c>
      <c r="I338">
        <v>0</v>
      </c>
      <c r="J338" t="s">
        <v>230</v>
      </c>
      <c r="K338" t="s">
        <v>42</v>
      </c>
      <c r="L338" t="s">
        <v>218</v>
      </c>
      <c r="M338" t="s">
        <v>219</v>
      </c>
      <c r="N338" s="19">
        <v>46262</v>
      </c>
      <c r="O338" t="s">
        <v>220</v>
      </c>
      <c r="P338">
        <v>1</v>
      </c>
      <c r="Q338" t="s">
        <v>1258</v>
      </c>
    </row>
    <row r="339" spans="1:17" x14ac:dyDescent="0.3">
      <c r="A339" t="s">
        <v>1259</v>
      </c>
      <c r="B339" t="s">
        <v>1260</v>
      </c>
      <c r="C339" t="s">
        <v>214</v>
      </c>
      <c r="D339" t="s">
        <v>143</v>
      </c>
      <c r="E339" t="s">
        <v>144</v>
      </c>
      <c r="F339" t="s">
        <v>676</v>
      </c>
      <c r="H339">
        <v>0</v>
      </c>
      <c r="I339">
        <v>0</v>
      </c>
      <c r="J339" t="s">
        <v>230</v>
      </c>
      <c r="K339" t="s">
        <v>44</v>
      </c>
      <c r="L339" t="s">
        <v>218</v>
      </c>
      <c r="M339" t="s">
        <v>219</v>
      </c>
      <c r="N339" s="19">
        <v>46262</v>
      </c>
      <c r="O339" t="s">
        <v>220</v>
      </c>
      <c r="P339">
        <v>1</v>
      </c>
      <c r="Q339" t="s">
        <v>1261</v>
      </c>
    </row>
    <row r="340" spans="1:17" x14ac:dyDescent="0.3">
      <c r="A340" t="s">
        <v>1262</v>
      </c>
      <c r="B340" t="s">
        <v>1263</v>
      </c>
      <c r="C340" t="s">
        <v>214</v>
      </c>
      <c r="D340" t="s">
        <v>143</v>
      </c>
      <c r="E340" t="s">
        <v>144</v>
      </c>
      <c r="F340" t="s">
        <v>676</v>
      </c>
      <c r="H340">
        <v>0</v>
      </c>
      <c r="I340">
        <v>0</v>
      </c>
      <c r="J340" t="s">
        <v>230</v>
      </c>
      <c r="K340" t="s">
        <v>48</v>
      </c>
      <c r="L340" t="s">
        <v>218</v>
      </c>
      <c r="M340" t="s">
        <v>219</v>
      </c>
      <c r="N340" s="19">
        <v>46262</v>
      </c>
      <c r="O340" t="s">
        <v>220</v>
      </c>
      <c r="P340">
        <v>1</v>
      </c>
      <c r="Q340" t="s">
        <v>1264</v>
      </c>
    </row>
    <row r="341" spans="1:17" x14ac:dyDescent="0.3">
      <c r="A341" t="s">
        <v>1265</v>
      </c>
      <c r="B341" t="s">
        <v>1266</v>
      </c>
      <c r="C341" t="s">
        <v>514</v>
      </c>
      <c r="D341" t="s">
        <v>143</v>
      </c>
      <c r="E341" t="s">
        <v>144</v>
      </c>
      <c r="F341" t="s">
        <v>676</v>
      </c>
      <c r="H341">
        <v>0</v>
      </c>
      <c r="I341">
        <v>0</v>
      </c>
      <c r="J341" t="s">
        <v>216</v>
      </c>
      <c r="K341" t="s">
        <v>1267</v>
      </c>
      <c r="L341" t="s">
        <v>218</v>
      </c>
      <c r="M341" t="s">
        <v>219</v>
      </c>
      <c r="N341" s="19">
        <v>46262</v>
      </c>
      <c r="O341" t="s">
        <v>220</v>
      </c>
      <c r="P341">
        <v>1</v>
      </c>
      <c r="Q341" t="s">
        <v>1268</v>
      </c>
    </row>
    <row r="342" spans="1:17" x14ac:dyDescent="0.3">
      <c r="A342" t="s">
        <v>1269</v>
      </c>
      <c r="B342" t="s">
        <v>1270</v>
      </c>
      <c r="C342" t="s">
        <v>214</v>
      </c>
      <c r="D342" t="s">
        <v>143</v>
      </c>
      <c r="E342" t="s">
        <v>144</v>
      </c>
      <c r="F342" t="s">
        <v>676</v>
      </c>
      <c r="G342" t="s">
        <v>1271</v>
      </c>
      <c r="H342">
        <v>0</v>
      </c>
      <c r="I342">
        <v>0</v>
      </c>
      <c r="J342" t="s">
        <v>230</v>
      </c>
      <c r="K342" t="s">
        <v>42</v>
      </c>
      <c r="L342" t="s">
        <v>92</v>
      </c>
      <c r="M342" t="s">
        <v>219</v>
      </c>
      <c r="N342" s="19">
        <v>46262</v>
      </c>
      <c r="O342" t="s">
        <v>220</v>
      </c>
      <c r="P342">
        <v>1</v>
      </c>
      <c r="Q342" t="s">
        <v>1272</v>
      </c>
    </row>
    <row r="343" spans="1:17" x14ac:dyDescent="0.3">
      <c r="A343" t="s">
        <v>1273</v>
      </c>
      <c r="B343" t="s">
        <v>1274</v>
      </c>
      <c r="C343" t="s">
        <v>214</v>
      </c>
      <c r="D343" t="s">
        <v>143</v>
      </c>
      <c r="E343" t="s">
        <v>144</v>
      </c>
      <c r="F343" t="s">
        <v>676</v>
      </c>
      <c r="G343" t="s">
        <v>1271</v>
      </c>
      <c r="H343">
        <v>0</v>
      </c>
      <c r="I343">
        <v>0</v>
      </c>
      <c r="J343" t="s">
        <v>230</v>
      </c>
      <c r="K343" t="s">
        <v>42</v>
      </c>
      <c r="L343" t="s">
        <v>92</v>
      </c>
      <c r="M343" t="s">
        <v>219</v>
      </c>
      <c r="N343" s="19">
        <v>46262</v>
      </c>
      <c r="O343" t="s">
        <v>220</v>
      </c>
      <c r="P343">
        <v>1</v>
      </c>
      <c r="Q343" t="s">
        <v>1275</v>
      </c>
    </row>
    <row r="344" spans="1:17" x14ac:dyDescent="0.3">
      <c r="A344" t="s">
        <v>1276</v>
      </c>
      <c r="B344" t="s">
        <v>1277</v>
      </c>
      <c r="C344" t="s">
        <v>214</v>
      </c>
      <c r="D344" t="s">
        <v>143</v>
      </c>
      <c r="E344" t="s">
        <v>144</v>
      </c>
      <c r="F344" t="s">
        <v>676</v>
      </c>
      <c r="H344">
        <v>0</v>
      </c>
      <c r="I344">
        <v>0</v>
      </c>
      <c r="J344" t="s">
        <v>230</v>
      </c>
      <c r="K344" t="s">
        <v>48</v>
      </c>
      <c r="L344" t="s">
        <v>218</v>
      </c>
      <c r="M344" t="s">
        <v>219</v>
      </c>
      <c r="N344" s="19">
        <v>46262</v>
      </c>
      <c r="O344" t="s">
        <v>220</v>
      </c>
      <c r="P344">
        <v>1</v>
      </c>
      <c r="Q344" t="s">
        <v>1278</v>
      </c>
    </row>
    <row r="345" spans="1:17" x14ac:dyDescent="0.3">
      <c r="A345" t="s">
        <v>1279</v>
      </c>
      <c r="B345" t="s">
        <v>1280</v>
      </c>
      <c r="C345" t="s">
        <v>214</v>
      </c>
      <c r="D345" t="s">
        <v>143</v>
      </c>
      <c r="E345" t="s">
        <v>144</v>
      </c>
      <c r="F345" t="s">
        <v>676</v>
      </c>
      <c r="H345">
        <v>0</v>
      </c>
      <c r="I345">
        <v>0</v>
      </c>
      <c r="J345" t="s">
        <v>230</v>
      </c>
      <c r="K345" t="s">
        <v>48</v>
      </c>
      <c r="L345" t="s">
        <v>218</v>
      </c>
      <c r="M345" t="s">
        <v>219</v>
      </c>
      <c r="N345" s="19">
        <v>46262</v>
      </c>
      <c r="O345" t="s">
        <v>220</v>
      </c>
      <c r="P345">
        <v>1</v>
      </c>
      <c r="Q345" t="s">
        <v>1281</v>
      </c>
    </row>
    <row r="346" spans="1:17" x14ac:dyDescent="0.3">
      <c r="A346" t="s">
        <v>1282</v>
      </c>
      <c r="B346" t="s">
        <v>1283</v>
      </c>
      <c r="C346" t="s">
        <v>461</v>
      </c>
      <c r="D346" t="s">
        <v>143</v>
      </c>
      <c r="E346" t="s">
        <v>144</v>
      </c>
      <c r="F346" t="s">
        <v>676</v>
      </c>
      <c r="H346">
        <v>0</v>
      </c>
      <c r="I346">
        <v>0</v>
      </c>
      <c r="J346" t="s">
        <v>230</v>
      </c>
      <c r="K346" t="s">
        <v>965</v>
      </c>
      <c r="L346" t="s">
        <v>218</v>
      </c>
      <c r="M346" t="s">
        <v>219</v>
      </c>
      <c r="N346" s="19">
        <v>46262</v>
      </c>
      <c r="O346" t="s">
        <v>220</v>
      </c>
      <c r="P346">
        <v>1</v>
      </c>
      <c r="Q346" t="s">
        <v>1284</v>
      </c>
    </row>
    <row r="347" spans="1:17" x14ac:dyDescent="0.3">
      <c r="A347" t="s">
        <v>1285</v>
      </c>
      <c r="B347" t="s">
        <v>1286</v>
      </c>
      <c r="C347" t="s">
        <v>518</v>
      </c>
      <c r="D347" t="s">
        <v>143</v>
      </c>
      <c r="E347" t="s">
        <v>144</v>
      </c>
      <c r="F347" t="s">
        <v>676</v>
      </c>
      <c r="H347">
        <v>0</v>
      </c>
      <c r="I347">
        <v>0</v>
      </c>
      <c r="J347" t="s">
        <v>230</v>
      </c>
      <c r="K347" t="s">
        <v>887</v>
      </c>
      <c r="L347" t="s">
        <v>218</v>
      </c>
      <c r="M347" t="s">
        <v>219</v>
      </c>
      <c r="N347" s="19">
        <v>46262</v>
      </c>
      <c r="O347" t="s">
        <v>220</v>
      </c>
      <c r="P347">
        <v>1</v>
      </c>
      <c r="Q347" t="s">
        <v>1287</v>
      </c>
    </row>
    <row r="348" spans="1:17" x14ac:dyDescent="0.3">
      <c r="A348" t="s">
        <v>1288</v>
      </c>
      <c r="B348" t="s">
        <v>1289</v>
      </c>
      <c r="C348" t="s">
        <v>514</v>
      </c>
      <c r="D348" t="s">
        <v>143</v>
      </c>
      <c r="E348" t="s">
        <v>144</v>
      </c>
      <c r="F348" t="s">
        <v>676</v>
      </c>
      <c r="H348">
        <v>7464.6</v>
      </c>
      <c r="I348">
        <v>0</v>
      </c>
      <c r="J348" t="s">
        <v>230</v>
      </c>
      <c r="K348" t="s">
        <v>1267</v>
      </c>
      <c r="L348" t="s">
        <v>218</v>
      </c>
      <c r="M348" t="s">
        <v>219</v>
      </c>
      <c r="N348" s="19">
        <v>46262</v>
      </c>
      <c r="O348" t="s">
        <v>220</v>
      </c>
      <c r="P348">
        <v>1</v>
      </c>
      <c r="Q348" t="s">
        <v>1290</v>
      </c>
    </row>
    <row r="349" spans="1:17" x14ac:dyDescent="0.3">
      <c r="A349" t="s">
        <v>1291</v>
      </c>
      <c r="B349" t="s">
        <v>1292</v>
      </c>
      <c r="C349" t="s">
        <v>518</v>
      </c>
      <c r="D349" t="s">
        <v>143</v>
      </c>
      <c r="E349" t="s">
        <v>144</v>
      </c>
      <c r="F349" t="s">
        <v>676</v>
      </c>
      <c r="H349">
        <v>407.16</v>
      </c>
      <c r="I349">
        <v>0</v>
      </c>
      <c r="J349" t="s">
        <v>230</v>
      </c>
      <c r="K349" t="s">
        <v>887</v>
      </c>
      <c r="L349" t="s">
        <v>218</v>
      </c>
      <c r="M349" t="s">
        <v>219</v>
      </c>
      <c r="N349" s="19">
        <v>46262</v>
      </c>
      <c r="O349" t="s">
        <v>220</v>
      </c>
      <c r="P349">
        <v>1</v>
      </c>
      <c r="Q349" t="s">
        <v>1293</v>
      </c>
    </row>
    <row r="350" spans="1:17" x14ac:dyDescent="0.3">
      <c r="A350" t="s">
        <v>1294</v>
      </c>
      <c r="B350" t="s">
        <v>1295</v>
      </c>
      <c r="C350" t="s">
        <v>214</v>
      </c>
      <c r="D350" t="s">
        <v>143</v>
      </c>
      <c r="E350" t="s">
        <v>144</v>
      </c>
      <c r="F350" t="s">
        <v>676</v>
      </c>
      <c r="H350">
        <v>646.37</v>
      </c>
      <c r="I350">
        <v>0</v>
      </c>
      <c r="J350" t="s">
        <v>230</v>
      </c>
      <c r="K350" t="s">
        <v>42</v>
      </c>
      <c r="L350" t="s">
        <v>218</v>
      </c>
      <c r="M350" t="s">
        <v>219</v>
      </c>
      <c r="N350" s="19">
        <v>46262</v>
      </c>
      <c r="O350" t="s">
        <v>220</v>
      </c>
      <c r="P350">
        <v>1</v>
      </c>
      <c r="Q350" t="s">
        <v>1296</v>
      </c>
    </row>
    <row r="351" spans="1:17" x14ac:dyDescent="0.3">
      <c r="A351" t="s">
        <v>1297</v>
      </c>
      <c r="B351" t="s">
        <v>1298</v>
      </c>
      <c r="C351" t="s">
        <v>214</v>
      </c>
      <c r="D351" t="s">
        <v>143</v>
      </c>
      <c r="E351" t="s">
        <v>144</v>
      </c>
      <c r="F351" t="s">
        <v>676</v>
      </c>
      <c r="G351" t="s">
        <v>1299</v>
      </c>
      <c r="H351">
        <v>8160.6</v>
      </c>
      <c r="I351">
        <v>0</v>
      </c>
      <c r="J351" t="s">
        <v>230</v>
      </c>
      <c r="K351" t="s">
        <v>48</v>
      </c>
      <c r="L351" t="s">
        <v>218</v>
      </c>
      <c r="M351" t="s">
        <v>219</v>
      </c>
      <c r="N351" s="19">
        <v>46262</v>
      </c>
      <c r="O351" t="s">
        <v>220</v>
      </c>
      <c r="P351">
        <v>1</v>
      </c>
      <c r="Q351" t="s">
        <v>1300</v>
      </c>
    </row>
    <row r="352" spans="1:17" x14ac:dyDescent="0.3">
      <c r="A352" t="s">
        <v>1301</v>
      </c>
      <c r="B352" t="s">
        <v>1302</v>
      </c>
      <c r="C352" t="s">
        <v>1227</v>
      </c>
      <c r="D352" t="s">
        <v>143</v>
      </c>
      <c r="E352" t="s">
        <v>144</v>
      </c>
      <c r="F352" t="s">
        <v>676</v>
      </c>
      <c r="H352">
        <v>0</v>
      </c>
      <c r="I352">
        <v>0</v>
      </c>
      <c r="J352" t="s">
        <v>230</v>
      </c>
      <c r="K352" t="s">
        <v>42</v>
      </c>
      <c r="L352" t="s">
        <v>218</v>
      </c>
      <c r="M352" t="s">
        <v>219</v>
      </c>
      <c r="N352" s="19">
        <v>46262</v>
      </c>
      <c r="O352" t="s">
        <v>220</v>
      </c>
      <c r="P352">
        <v>1</v>
      </c>
      <c r="Q352" t="s">
        <v>1303</v>
      </c>
    </row>
    <row r="353" spans="1:18" x14ac:dyDescent="0.3">
      <c r="A353" t="s">
        <v>1304</v>
      </c>
      <c r="B353" t="s">
        <v>1305</v>
      </c>
      <c r="C353" t="s">
        <v>214</v>
      </c>
      <c r="D353" t="s">
        <v>143</v>
      </c>
      <c r="E353" t="s">
        <v>144</v>
      </c>
      <c r="F353" t="s">
        <v>676</v>
      </c>
      <c r="G353" t="s">
        <v>1306</v>
      </c>
      <c r="H353">
        <v>3048.05</v>
      </c>
      <c r="I353">
        <v>5</v>
      </c>
      <c r="J353" t="s">
        <v>230</v>
      </c>
      <c r="K353" t="s">
        <v>42</v>
      </c>
      <c r="L353" t="s">
        <v>92</v>
      </c>
      <c r="M353" t="s">
        <v>219</v>
      </c>
      <c r="N353" s="19">
        <v>46262</v>
      </c>
      <c r="O353" t="s">
        <v>220</v>
      </c>
      <c r="P353">
        <v>16</v>
      </c>
      <c r="Q353" t="s">
        <v>1307</v>
      </c>
      <c r="R353" t="s">
        <v>92</v>
      </c>
    </row>
    <row r="354" spans="1:18" x14ac:dyDescent="0.3">
      <c r="A354" t="s">
        <v>1308</v>
      </c>
      <c r="B354" t="s">
        <v>1309</v>
      </c>
      <c r="C354" t="s">
        <v>518</v>
      </c>
      <c r="D354" t="s">
        <v>143</v>
      </c>
      <c r="E354" t="s">
        <v>144</v>
      </c>
      <c r="F354" t="s">
        <v>676</v>
      </c>
      <c r="G354" t="s">
        <v>1310</v>
      </c>
      <c r="H354">
        <v>297.58</v>
      </c>
      <c r="I354">
        <v>5</v>
      </c>
      <c r="J354" t="s">
        <v>230</v>
      </c>
      <c r="K354" t="s">
        <v>1311</v>
      </c>
      <c r="L354" t="s">
        <v>92</v>
      </c>
      <c r="M354" t="s">
        <v>219</v>
      </c>
      <c r="N354" s="19">
        <v>46262</v>
      </c>
      <c r="O354" t="s">
        <v>220</v>
      </c>
      <c r="P354">
        <v>3</v>
      </c>
      <c r="Q354" t="s">
        <v>1312</v>
      </c>
      <c r="R354" t="s">
        <v>92</v>
      </c>
    </row>
    <row r="355" spans="1:18" x14ac:dyDescent="0.3">
      <c r="A355" t="s">
        <v>1313</v>
      </c>
      <c r="B355" t="s">
        <v>1314</v>
      </c>
      <c r="C355" t="s">
        <v>518</v>
      </c>
      <c r="D355" t="s">
        <v>143</v>
      </c>
      <c r="E355" t="s">
        <v>144</v>
      </c>
      <c r="F355" t="s">
        <v>676</v>
      </c>
      <c r="G355" t="s">
        <v>1310</v>
      </c>
      <c r="H355">
        <v>330.6</v>
      </c>
      <c r="I355">
        <v>5</v>
      </c>
      <c r="J355" t="s">
        <v>230</v>
      </c>
      <c r="K355" t="s">
        <v>1311</v>
      </c>
      <c r="L355" t="s">
        <v>92</v>
      </c>
      <c r="M355" t="s">
        <v>219</v>
      </c>
      <c r="N355" s="19">
        <v>46262</v>
      </c>
      <c r="O355" t="s">
        <v>220</v>
      </c>
      <c r="P355">
        <v>1</v>
      </c>
      <c r="Q355" t="s">
        <v>1315</v>
      </c>
    </row>
    <row r="356" spans="1:18" x14ac:dyDescent="0.3">
      <c r="A356" t="s">
        <v>1316</v>
      </c>
      <c r="B356" t="s">
        <v>1317</v>
      </c>
      <c r="C356" t="s">
        <v>214</v>
      </c>
      <c r="D356" t="s">
        <v>143</v>
      </c>
      <c r="E356" t="s">
        <v>144</v>
      </c>
      <c r="F356" t="s">
        <v>676</v>
      </c>
      <c r="G356" t="s">
        <v>1318</v>
      </c>
      <c r="H356">
        <v>535.91999999999996</v>
      </c>
      <c r="I356">
        <v>5</v>
      </c>
      <c r="J356" t="s">
        <v>230</v>
      </c>
      <c r="K356" t="s">
        <v>42</v>
      </c>
      <c r="L356" t="s">
        <v>92</v>
      </c>
      <c r="M356" t="s">
        <v>219</v>
      </c>
      <c r="N356" s="19">
        <v>46262</v>
      </c>
      <c r="O356" t="s">
        <v>220</v>
      </c>
      <c r="P356">
        <v>15</v>
      </c>
      <c r="Q356" t="s">
        <v>1319</v>
      </c>
      <c r="R356" t="s">
        <v>92</v>
      </c>
    </row>
    <row r="357" spans="1:18" x14ac:dyDescent="0.3">
      <c r="A357" t="s">
        <v>1320</v>
      </c>
      <c r="B357" t="s">
        <v>1321</v>
      </c>
      <c r="C357" t="s">
        <v>518</v>
      </c>
      <c r="D357" t="s">
        <v>143</v>
      </c>
      <c r="E357" t="s">
        <v>144</v>
      </c>
      <c r="F357" t="s">
        <v>676</v>
      </c>
      <c r="G357" t="s">
        <v>1310</v>
      </c>
      <c r="H357">
        <v>387.15</v>
      </c>
      <c r="I357">
        <v>5</v>
      </c>
      <c r="J357" t="s">
        <v>230</v>
      </c>
      <c r="K357" t="s">
        <v>1311</v>
      </c>
      <c r="L357" t="s">
        <v>92</v>
      </c>
      <c r="M357" t="s">
        <v>219</v>
      </c>
      <c r="N357" s="19">
        <v>46262</v>
      </c>
      <c r="O357" t="s">
        <v>220</v>
      </c>
      <c r="P357">
        <v>1</v>
      </c>
      <c r="Q357" t="s">
        <v>1322</v>
      </c>
    </row>
    <row r="358" spans="1:18" x14ac:dyDescent="0.3">
      <c r="A358" t="s">
        <v>1323</v>
      </c>
      <c r="B358" t="s">
        <v>1324</v>
      </c>
      <c r="C358" t="s">
        <v>214</v>
      </c>
      <c r="D358" t="s">
        <v>143</v>
      </c>
      <c r="E358" t="s">
        <v>144</v>
      </c>
      <c r="F358" t="s">
        <v>676</v>
      </c>
      <c r="G358" t="s">
        <v>1306</v>
      </c>
      <c r="H358">
        <v>221.85</v>
      </c>
      <c r="I358">
        <v>5</v>
      </c>
      <c r="J358" t="s">
        <v>230</v>
      </c>
      <c r="K358" t="s">
        <v>42</v>
      </c>
      <c r="L358" t="s">
        <v>92</v>
      </c>
      <c r="M358" t="s">
        <v>219</v>
      </c>
      <c r="N358" s="19">
        <v>46262</v>
      </c>
      <c r="O358" t="s">
        <v>220</v>
      </c>
      <c r="P358">
        <v>1</v>
      </c>
      <c r="Q358" t="s">
        <v>1325</v>
      </c>
    </row>
    <row r="359" spans="1:18" x14ac:dyDescent="0.3">
      <c r="A359" t="s">
        <v>1326</v>
      </c>
      <c r="B359" t="s">
        <v>1327</v>
      </c>
      <c r="C359" t="s">
        <v>214</v>
      </c>
      <c r="D359" t="s">
        <v>143</v>
      </c>
      <c r="E359" t="s">
        <v>144</v>
      </c>
      <c r="F359" t="s">
        <v>676</v>
      </c>
      <c r="G359" t="s">
        <v>1306</v>
      </c>
      <c r="H359">
        <v>543.75</v>
      </c>
      <c r="I359">
        <v>5</v>
      </c>
      <c r="J359" t="s">
        <v>230</v>
      </c>
      <c r="K359" t="s">
        <v>42</v>
      </c>
      <c r="L359" t="s">
        <v>92</v>
      </c>
      <c r="M359" t="s">
        <v>219</v>
      </c>
      <c r="N359" s="19">
        <v>46262</v>
      </c>
      <c r="O359" t="s">
        <v>220</v>
      </c>
      <c r="P359">
        <v>2</v>
      </c>
      <c r="Q359" t="s">
        <v>1328</v>
      </c>
      <c r="R359" t="s">
        <v>92</v>
      </c>
    </row>
    <row r="360" spans="1:18" x14ac:dyDescent="0.3">
      <c r="A360" t="s">
        <v>1329</v>
      </c>
      <c r="B360" t="s">
        <v>1330</v>
      </c>
      <c r="C360" t="s">
        <v>518</v>
      </c>
      <c r="D360" t="s">
        <v>143</v>
      </c>
      <c r="E360" t="s">
        <v>144</v>
      </c>
      <c r="F360" t="s">
        <v>676</v>
      </c>
      <c r="G360" t="s">
        <v>1310</v>
      </c>
      <c r="H360">
        <v>339.3</v>
      </c>
      <c r="I360">
        <v>5</v>
      </c>
      <c r="J360" t="s">
        <v>230</v>
      </c>
      <c r="K360" t="s">
        <v>1311</v>
      </c>
      <c r="L360" t="s">
        <v>92</v>
      </c>
      <c r="M360" t="s">
        <v>219</v>
      </c>
      <c r="N360" s="19">
        <v>46262</v>
      </c>
      <c r="O360" t="s">
        <v>220</v>
      </c>
      <c r="P360">
        <v>1</v>
      </c>
      <c r="Q360" t="s">
        <v>1331</v>
      </c>
    </row>
    <row r="361" spans="1:18" x14ac:dyDescent="0.3">
      <c r="A361" t="s">
        <v>1332</v>
      </c>
      <c r="B361" t="s">
        <v>1333</v>
      </c>
      <c r="C361" t="s">
        <v>518</v>
      </c>
      <c r="D361" t="s">
        <v>143</v>
      </c>
      <c r="E361" t="s">
        <v>144</v>
      </c>
      <c r="F361" t="s">
        <v>676</v>
      </c>
      <c r="G361" t="s">
        <v>1310</v>
      </c>
      <c r="H361">
        <v>380.02</v>
      </c>
      <c r="I361">
        <v>5</v>
      </c>
      <c r="J361" t="s">
        <v>230</v>
      </c>
      <c r="K361" t="s">
        <v>1311</v>
      </c>
      <c r="L361" t="s">
        <v>92</v>
      </c>
      <c r="M361" t="s">
        <v>219</v>
      </c>
      <c r="N361" s="19">
        <v>46262</v>
      </c>
      <c r="O361" t="s">
        <v>220</v>
      </c>
      <c r="P361">
        <v>1</v>
      </c>
      <c r="Q361" t="s">
        <v>1334</v>
      </c>
    </row>
    <row r="362" spans="1:18" x14ac:dyDescent="0.3">
      <c r="A362" t="s">
        <v>1335</v>
      </c>
      <c r="B362" t="s">
        <v>1336</v>
      </c>
      <c r="C362" t="s">
        <v>214</v>
      </c>
      <c r="D362" t="s">
        <v>143</v>
      </c>
      <c r="E362" t="s">
        <v>144</v>
      </c>
      <c r="F362" t="s">
        <v>676</v>
      </c>
      <c r="G362" t="s">
        <v>1318</v>
      </c>
      <c r="H362">
        <v>406.29</v>
      </c>
      <c r="I362">
        <v>5</v>
      </c>
      <c r="J362" t="s">
        <v>230</v>
      </c>
      <c r="K362" t="s">
        <v>42</v>
      </c>
      <c r="L362" t="s">
        <v>92</v>
      </c>
      <c r="M362" t="s">
        <v>219</v>
      </c>
      <c r="N362" s="19">
        <v>46262</v>
      </c>
      <c r="O362" t="s">
        <v>220</v>
      </c>
      <c r="P362">
        <v>1</v>
      </c>
      <c r="Q362" t="s">
        <v>1337</v>
      </c>
    </row>
    <row r="363" spans="1:18" x14ac:dyDescent="0.3">
      <c r="A363" t="s">
        <v>1338</v>
      </c>
      <c r="B363" t="s">
        <v>1339</v>
      </c>
      <c r="C363" t="s">
        <v>518</v>
      </c>
      <c r="D363" t="s">
        <v>143</v>
      </c>
      <c r="E363" t="s">
        <v>144</v>
      </c>
      <c r="F363" t="s">
        <v>676</v>
      </c>
      <c r="G363" t="s">
        <v>1310</v>
      </c>
      <c r="H363">
        <v>317.55</v>
      </c>
      <c r="I363">
        <v>5</v>
      </c>
      <c r="J363" t="s">
        <v>230</v>
      </c>
      <c r="K363" t="s">
        <v>1311</v>
      </c>
      <c r="L363" t="s">
        <v>92</v>
      </c>
      <c r="M363" t="s">
        <v>219</v>
      </c>
      <c r="N363" s="19">
        <v>46262</v>
      </c>
      <c r="O363" t="s">
        <v>220</v>
      </c>
      <c r="P363">
        <v>1</v>
      </c>
      <c r="Q363" t="s">
        <v>1340</v>
      </c>
    </row>
    <row r="364" spans="1:18" x14ac:dyDescent="0.3">
      <c r="A364" t="s">
        <v>1341</v>
      </c>
      <c r="B364" t="s">
        <v>1342</v>
      </c>
      <c r="C364" t="s">
        <v>518</v>
      </c>
      <c r="D364" t="s">
        <v>143</v>
      </c>
      <c r="E364" t="s">
        <v>144</v>
      </c>
      <c r="F364" t="s">
        <v>676</v>
      </c>
      <c r="G364" t="s">
        <v>1310</v>
      </c>
      <c r="H364">
        <v>434.3</v>
      </c>
      <c r="I364">
        <v>5</v>
      </c>
      <c r="J364" t="s">
        <v>230</v>
      </c>
      <c r="K364" t="s">
        <v>1311</v>
      </c>
      <c r="L364" t="s">
        <v>92</v>
      </c>
      <c r="M364" t="s">
        <v>219</v>
      </c>
      <c r="N364" s="19">
        <v>46262</v>
      </c>
      <c r="O364" t="s">
        <v>220</v>
      </c>
      <c r="P364">
        <v>1</v>
      </c>
      <c r="Q364" t="s">
        <v>1343</v>
      </c>
    </row>
    <row r="365" spans="1:18" x14ac:dyDescent="0.3">
      <c r="A365" t="s">
        <v>1344</v>
      </c>
      <c r="B365" t="s">
        <v>1345</v>
      </c>
      <c r="C365" t="s">
        <v>214</v>
      </c>
      <c r="D365" t="s">
        <v>143</v>
      </c>
      <c r="E365" t="s">
        <v>144</v>
      </c>
      <c r="F365" t="s">
        <v>676</v>
      </c>
      <c r="G365" t="s">
        <v>1306</v>
      </c>
      <c r="H365">
        <v>3262.5</v>
      </c>
      <c r="I365">
        <v>5</v>
      </c>
      <c r="J365" t="s">
        <v>230</v>
      </c>
      <c r="K365" t="s">
        <v>965</v>
      </c>
      <c r="L365" t="s">
        <v>92</v>
      </c>
      <c r="M365" t="s">
        <v>219</v>
      </c>
      <c r="N365" s="19">
        <v>46262</v>
      </c>
      <c r="O365" t="s">
        <v>220</v>
      </c>
      <c r="P365">
        <v>1</v>
      </c>
      <c r="Q365" t="s">
        <v>1346</v>
      </c>
    </row>
    <row r="366" spans="1:18" x14ac:dyDescent="0.3">
      <c r="A366" t="s">
        <v>1347</v>
      </c>
      <c r="B366" t="s">
        <v>1348</v>
      </c>
      <c r="C366" t="s">
        <v>214</v>
      </c>
      <c r="D366" t="s">
        <v>143</v>
      </c>
      <c r="E366" t="s">
        <v>144</v>
      </c>
      <c r="F366" t="s">
        <v>676</v>
      </c>
      <c r="H366">
        <v>1746.09</v>
      </c>
      <c r="I366">
        <v>0</v>
      </c>
      <c r="J366" t="s">
        <v>230</v>
      </c>
      <c r="K366" t="s">
        <v>965</v>
      </c>
      <c r="L366" t="s">
        <v>218</v>
      </c>
      <c r="M366" t="s">
        <v>219</v>
      </c>
      <c r="N366" s="19">
        <v>46262</v>
      </c>
      <c r="O366" t="s">
        <v>220</v>
      </c>
      <c r="P366">
        <v>1</v>
      </c>
      <c r="Q366" t="s">
        <v>1349</v>
      </c>
    </row>
    <row r="367" spans="1:18" x14ac:dyDescent="0.3">
      <c r="A367" t="s">
        <v>1350</v>
      </c>
      <c r="B367" t="s">
        <v>1351</v>
      </c>
      <c r="C367" t="s">
        <v>518</v>
      </c>
      <c r="D367" t="s">
        <v>143</v>
      </c>
      <c r="E367" t="s">
        <v>144</v>
      </c>
      <c r="F367" t="s">
        <v>676</v>
      </c>
      <c r="H367">
        <v>616.1</v>
      </c>
      <c r="I367">
        <v>0</v>
      </c>
      <c r="J367" t="s">
        <v>230</v>
      </c>
      <c r="K367" t="s">
        <v>42</v>
      </c>
      <c r="L367" t="s">
        <v>218</v>
      </c>
      <c r="M367" t="s">
        <v>219</v>
      </c>
      <c r="N367" s="19">
        <v>46262</v>
      </c>
      <c r="O367" t="s">
        <v>220</v>
      </c>
      <c r="P367">
        <v>1</v>
      </c>
      <c r="Q367" t="s">
        <v>1352</v>
      </c>
    </row>
    <row r="368" spans="1:18" x14ac:dyDescent="0.3">
      <c r="A368" t="s">
        <v>1353</v>
      </c>
      <c r="B368" t="s">
        <v>1354</v>
      </c>
      <c r="C368" t="s">
        <v>518</v>
      </c>
      <c r="D368" t="s">
        <v>143</v>
      </c>
      <c r="E368" t="s">
        <v>144</v>
      </c>
      <c r="F368" t="s">
        <v>676</v>
      </c>
      <c r="H368">
        <v>528.39</v>
      </c>
      <c r="I368">
        <v>0</v>
      </c>
      <c r="J368" t="s">
        <v>230</v>
      </c>
      <c r="K368" t="s">
        <v>42</v>
      </c>
      <c r="L368" t="s">
        <v>218</v>
      </c>
      <c r="M368" t="s">
        <v>219</v>
      </c>
      <c r="N368" s="19">
        <v>46262</v>
      </c>
      <c r="O368" t="s">
        <v>220</v>
      </c>
      <c r="P368">
        <v>1</v>
      </c>
      <c r="Q368" t="s">
        <v>1355</v>
      </c>
    </row>
    <row r="369" spans="1:18" x14ac:dyDescent="0.3">
      <c r="A369" t="s">
        <v>1356</v>
      </c>
      <c r="B369" t="s">
        <v>1357</v>
      </c>
      <c r="C369" t="s">
        <v>214</v>
      </c>
      <c r="D369" t="s">
        <v>143</v>
      </c>
      <c r="E369" t="s">
        <v>144</v>
      </c>
      <c r="F369" t="s">
        <v>676</v>
      </c>
      <c r="H369">
        <v>95.7</v>
      </c>
      <c r="I369">
        <v>0</v>
      </c>
      <c r="J369" t="s">
        <v>230</v>
      </c>
      <c r="K369" t="s">
        <v>42</v>
      </c>
      <c r="L369" t="s">
        <v>218</v>
      </c>
      <c r="M369" t="s">
        <v>219</v>
      </c>
      <c r="N369" s="19">
        <v>46262</v>
      </c>
      <c r="O369" t="s">
        <v>220</v>
      </c>
      <c r="P369">
        <v>1</v>
      </c>
      <c r="Q369" t="s">
        <v>1358</v>
      </c>
    </row>
    <row r="370" spans="1:18" x14ac:dyDescent="0.3">
      <c r="A370" t="s">
        <v>1359</v>
      </c>
      <c r="B370" t="s">
        <v>1360</v>
      </c>
      <c r="C370" t="s">
        <v>214</v>
      </c>
      <c r="D370" t="s">
        <v>143</v>
      </c>
      <c r="E370" t="s">
        <v>144</v>
      </c>
      <c r="F370" t="s">
        <v>676</v>
      </c>
      <c r="H370">
        <v>67.86</v>
      </c>
      <c r="I370">
        <v>0</v>
      </c>
      <c r="J370" t="s">
        <v>230</v>
      </c>
      <c r="K370" t="s">
        <v>42</v>
      </c>
      <c r="L370" t="s">
        <v>218</v>
      </c>
      <c r="M370" t="s">
        <v>219</v>
      </c>
      <c r="N370" s="19">
        <v>46262</v>
      </c>
      <c r="O370" t="s">
        <v>220</v>
      </c>
      <c r="P370">
        <v>1</v>
      </c>
      <c r="Q370" t="s">
        <v>1361</v>
      </c>
    </row>
    <row r="371" spans="1:18" x14ac:dyDescent="0.3">
      <c r="A371" t="s">
        <v>1362</v>
      </c>
      <c r="B371" t="s">
        <v>996</v>
      </c>
      <c r="C371" t="s">
        <v>214</v>
      </c>
      <c r="D371" t="s">
        <v>143</v>
      </c>
      <c r="E371" t="s">
        <v>144</v>
      </c>
      <c r="F371" t="s">
        <v>676</v>
      </c>
      <c r="G371" t="s">
        <v>997</v>
      </c>
      <c r="H371">
        <v>1287</v>
      </c>
      <c r="I371">
        <v>5</v>
      </c>
      <c r="J371" t="s">
        <v>230</v>
      </c>
      <c r="K371" t="s">
        <v>42</v>
      </c>
      <c r="L371" t="s">
        <v>92</v>
      </c>
      <c r="M371" t="s">
        <v>219</v>
      </c>
      <c r="N371" s="19">
        <v>46262</v>
      </c>
      <c r="O371" t="s">
        <v>220</v>
      </c>
      <c r="P371">
        <v>2</v>
      </c>
      <c r="Q371" t="s">
        <v>1363</v>
      </c>
      <c r="R371" t="s">
        <v>92</v>
      </c>
    </row>
    <row r="372" spans="1:18" x14ac:dyDescent="0.3">
      <c r="A372" t="s">
        <v>1364</v>
      </c>
      <c r="B372" t="s">
        <v>1365</v>
      </c>
      <c r="C372" t="s">
        <v>214</v>
      </c>
      <c r="D372" t="s">
        <v>143</v>
      </c>
      <c r="E372" t="s">
        <v>144</v>
      </c>
      <c r="F372" t="s">
        <v>676</v>
      </c>
      <c r="H372">
        <v>165</v>
      </c>
      <c r="I372">
        <v>0</v>
      </c>
      <c r="J372" t="s">
        <v>230</v>
      </c>
      <c r="K372" t="s">
        <v>48</v>
      </c>
      <c r="L372" t="s">
        <v>218</v>
      </c>
      <c r="M372" t="s">
        <v>219</v>
      </c>
      <c r="N372" s="19">
        <v>46262</v>
      </c>
      <c r="O372" t="s">
        <v>220</v>
      </c>
      <c r="P372">
        <v>1</v>
      </c>
      <c r="Q372" t="s">
        <v>1366</v>
      </c>
    </row>
    <row r="373" spans="1:18" x14ac:dyDescent="0.3">
      <c r="A373" t="s">
        <v>1367</v>
      </c>
      <c r="B373" t="s">
        <v>1368</v>
      </c>
      <c r="C373" t="s">
        <v>518</v>
      </c>
      <c r="D373" t="s">
        <v>143</v>
      </c>
      <c r="E373" t="s">
        <v>144</v>
      </c>
      <c r="F373" t="s">
        <v>676</v>
      </c>
      <c r="H373">
        <v>393.59</v>
      </c>
      <c r="I373">
        <v>0</v>
      </c>
      <c r="J373" t="s">
        <v>230</v>
      </c>
      <c r="K373" t="s">
        <v>887</v>
      </c>
      <c r="L373" t="s">
        <v>218</v>
      </c>
      <c r="M373" t="s">
        <v>219</v>
      </c>
      <c r="N373" s="19">
        <v>46262</v>
      </c>
      <c r="O373" t="s">
        <v>220</v>
      </c>
      <c r="P373">
        <v>1</v>
      </c>
      <c r="Q373" t="s">
        <v>1369</v>
      </c>
    </row>
    <row r="374" spans="1:18" x14ac:dyDescent="0.3">
      <c r="A374" t="s">
        <v>1370</v>
      </c>
      <c r="B374" t="s">
        <v>1371</v>
      </c>
      <c r="C374" t="s">
        <v>214</v>
      </c>
      <c r="D374" t="s">
        <v>143</v>
      </c>
      <c r="E374" t="s">
        <v>144</v>
      </c>
      <c r="F374" t="s">
        <v>676</v>
      </c>
      <c r="G374" t="s">
        <v>1372</v>
      </c>
      <c r="H374">
        <v>2030.58</v>
      </c>
      <c r="I374">
        <v>5</v>
      </c>
      <c r="J374" t="s">
        <v>230</v>
      </c>
      <c r="K374" t="s">
        <v>42</v>
      </c>
      <c r="L374" t="s">
        <v>92</v>
      </c>
      <c r="M374" t="s">
        <v>219</v>
      </c>
      <c r="N374" s="19">
        <v>46262</v>
      </c>
      <c r="O374" t="s">
        <v>220</v>
      </c>
      <c r="P374">
        <v>1</v>
      </c>
      <c r="Q374" t="s">
        <v>1373</v>
      </c>
    </row>
    <row r="375" spans="1:18" x14ac:dyDescent="0.3">
      <c r="A375" t="s">
        <v>1374</v>
      </c>
      <c r="B375" t="s">
        <v>1375</v>
      </c>
      <c r="C375" t="s">
        <v>214</v>
      </c>
      <c r="D375" t="s">
        <v>143</v>
      </c>
      <c r="E375" t="s">
        <v>144</v>
      </c>
      <c r="F375" t="s">
        <v>676</v>
      </c>
      <c r="H375">
        <v>4438.46</v>
      </c>
      <c r="I375">
        <v>0</v>
      </c>
      <c r="J375" t="s">
        <v>230</v>
      </c>
      <c r="K375" t="s">
        <v>48</v>
      </c>
      <c r="L375" t="s">
        <v>218</v>
      </c>
      <c r="M375" t="s">
        <v>219</v>
      </c>
      <c r="N375" s="19">
        <v>46262</v>
      </c>
      <c r="O375" t="s">
        <v>220</v>
      </c>
      <c r="P375">
        <v>1</v>
      </c>
      <c r="Q375" t="s">
        <v>1376</v>
      </c>
    </row>
    <row r="376" spans="1:18" x14ac:dyDescent="0.3">
      <c r="A376" t="s">
        <v>1377</v>
      </c>
      <c r="B376" t="s">
        <v>1378</v>
      </c>
      <c r="C376" t="s">
        <v>214</v>
      </c>
      <c r="D376" t="s">
        <v>143</v>
      </c>
      <c r="E376" t="s">
        <v>144</v>
      </c>
      <c r="F376" t="s">
        <v>676</v>
      </c>
      <c r="H376">
        <v>1900.08</v>
      </c>
      <c r="I376">
        <v>0</v>
      </c>
      <c r="J376" t="s">
        <v>230</v>
      </c>
      <c r="K376" t="s">
        <v>42</v>
      </c>
      <c r="L376" t="s">
        <v>218</v>
      </c>
      <c r="M376" t="s">
        <v>219</v>
      </c>
      <c r="N376" s="19">
        <v>46262</v>
      </c>
      <c r="O376" t="s">
        <v>220</v>
      </c>
      <c r="P376">
        <v>1</v>
      </c>
      <c r="Q376" t="s">
        <v>1379</v>
      </c>
    </row>
    <row r="377" spans="1:18" x14ac:dyDescent="0.3">
      <c r="A377" t="s">
        <v>1380</v>
      </c>
      <c r="B377" t="s">
        <v>1381</v>
      </c>
      <c r="C377" t="s">
        <v>214</v>
      </c>
      <c r="D377" t="s">
        <v>143</v>
      </c>
      <c r="E377" t="s">
        <v>144</v>
      </c>
      <c r="F377" t="s">
        <v>676</v>
      </c>
      <c r="G377" t="s">
        <v>1271</v>
      </c>
      <c r="H377">
        <v>2015.27</v>
      </c>
      <c r="I377">
        <v>5</v>
      </c>
      <c r="J377" t="s">
        <v>230</v>
      </c>
      <c r="K377" t="s">
        <v>42</v>
      </c>
      <c r="L377" t="s">
        <v>92</v>
      </c>
      <c r="M377" t="s">
        <v>219</v>
      </c>
      <c r="N377" s="19">
        <v>46262</v>
      </c>
      <c r="O377" t="s">
        <v>220</v>
      </c>
      <c r="P377">
        <v>1</v>
      </c>
      <c r="Q377" t="s">
        <v>1382</v>
      </c>
    </row>
    <row r="378" spans="1:18" x14ac:dyDescent="0.3">
      <c r="A378" t="s">
        <v>1383</v>
      </c>
      <c r="B378" t="s">
        <v>1384</v>
      </c>
      <c r="C378" t="s">
        <v>214</v>
      </c>
      <c r="D378" t="s">
        <v>143</v>
      </c>
      <c r="E378" t="s">
        <v>144</v>
      </c>
      <c r="F378" t="s">
        <v>676</v>
      </c>
      <c r="H378">
        <v>475.02</v>
      </c>
      <c r="I378">
        <v>0</v>
      </c>
      <c r="J378" t="s">
        <v>230</v>
      </c>
      <c r="K378" t="s">
        <v>48</v>
      </c>
      <c r="L378" t="s">
        <v>218</v>
      </c>
      <c r="M378" t="s">
        <v>219</v>
      </c>
      <c r="N378" s="19">
        <v>46262</v>
      </c>
      <c r="O378" t="s">
        <v>220</v>
      </c>
      <c r="P378">
        <v>1</v>
      </c>
      <c r="Q378" t="s">
        <v>1385</v>
      </c>
    </row>
    <row r="379" spans="1:18" x14ac:dyDescent="0.3">
      <c r="A379" t="s">
        <v>1386</v>
      </c>
      <c r="B379" t="s">
        <v>1387</v>
      </c>
      <c r="C379" t="s">
        <v>461</v>
      </c>
      <c r="D379" t="s">
        <v>143</v>
      </c>
      <c r="E379" t="s">
        <v>144</v>
      </c>
      <c r="F379" t="s">
        <v>692</v>
      </c>
      <c r="G379" t="s">
        <v>1093</v>
      </c>
      <c r="H379">
        <v>8143.2</v>
      </c>
      <c r="I379">
        <v>5</v>
      </c>
      <c r="J379" t="s">
        <v>230</v>
      </c>
      <c r="K379" t="s">
        <v>965</v>
      </c>
      <c r="L379" t="s">
        <v>92</v>
      </c>
      <c r="M379" t="s">
        <v>219</v>
      </c>
      <c r="N379" s="19">
        <v>46262</v>
      </c>
      <c r="O379" t="s">
        <v>220</v>
      </c>
      <c r="P379">
        <v>2</v>
      </c>
      <c r="Q379" t="s">
        <v>1388</v>
      </c>
      <c r="R379" t="s">
        <v>92</v>
      </c>
    </row>
    <row r="380" spans="1:18" x14ac:dyDescent="0.3">
      <c r="A380" t="s">
        <v>1389</v>
      </c>
      <c r="B380" t="s">
        <v>1387</v>
      </c>
      <c r="C380" t="s">
        <v>461</v>
      </c>
      <c r="D380" t="s">
        <v>143</v>
      </c>
      <c r="E380" t="s">
        <v>144</v>
      </c>
      <c r="F380" t="s">
        <v>692</v>
      </c>
      <c r="G380" t="s">
        <v>1093</v>
      </c>
      <c r="H380">
        <v>13154.4</v>
      </c>
      <c r="I380">
        <v>5</v>
      </c>
      <c r="J380" t="s">
        <v>230</v>
      </c>
      <c r="K380" t="s">
        <v>965</v>
      </c>
      <c r="L380" t="s">
        <v>92</v>
      </c>
      <c r="M380" t="s">
        <v>219</v>
      </c>
      <c r="N380" s="19">
        <v>46262</v>
      </c>
      <c r="O380" t="s">
        <v>220</v>
      </c>
      <c r="P380">
        <v>2</v>
      </c>
      <c r="Q380" t="s">
        <v>1390</v>
      </c>
      <c r="R380" t="s">
        <v>92</v>
      </c>
    </row>
    <row r="381" spans="1:18" x14ac:dyDescent="0.3">
      <c r="A381" t="s">
        <v>1391</v>
      </c>
      <c r="B381" t="s">
        <v>1392</v>
      </c>
      <c r="C381" t="s">
        <v>461</v>
      </c>
      <c r="D381" t="s">
        <v>143</v>
      </c>
      <c r="E381" t="s">
        <v>144</v>
      </c>
      <c r="F381" t="s">
        <v>692</v>
      </c>
      <c r="G381" t="s">
        <v>1093</v>
      </c>
      <c r="H381">
        <v>25056</v>
      </c>
      <c r="I381">
        <v>5</v>
      </c>
      <c r="J381" t="s">
        <v>230</v>
      </c>
      <c r="K381" t="s">
        <v>965</v>
      </c>
      <c r="L381" t="s">
        <v>92</v>
      </c>
      <c r="M381" t="s">
        <v>219</v>
      </c>
      <c r="N381" s="19">
        <v>46262</v>
      </c>
      <c r="O381" t="s">
        <v>220</v>
      </c>
      <c r="P381">
        <v>1</v>
      </c>
      <c r="Q381" t="s">
        <v>1393</v>
      </c>
    </row>
    <row r="382" spans="1:18" x14ac:dyDescent="0.3">
      <c r="A382" t="s">
        <v>1394</v>
      </c>
      <c r="B382" t="s">
        <v>1395</v>
      </c>
      <c r="C382" t="s">
        <v>461</v>
      </c>
      <c r="D382" t="s">
        <v>143</v>
      </c>
      <c r="E382" t="s">
        <v>144</v>
      </c>
      <c r="F382" t="s">
        <v>692</v>
      </c>
      <c r="G382" t="s">
        <v>1081</v>
      </c>
      <c r="H382">
        <v>1879.2</v>
      </c>
      <c r="I382">
        <v>5</v>
      </c>
      <c r="J382" t="s">
        <v>230</v>
      </c>
      <c r="K382" t="s">
        <v>965</v>
      </c>
      <c r="L382" t="s">
        <v>92</v>
      </c>
      <c r="M382" t="s">
        <v>219</v>
      </c>
      <c r="N382" s="19">
        <v>46262</v>
      </c>
      <c r="O382" t="s">
        <v>220</v>
      </c>
      <c r="P382">
        <v>1</v>
      </c>
      <c r="Q382" t="s">
        <v>1396</v>
      </c>
    </row>
    <row r="383" spans="1:18" x14ac:dyDescent="0.3">
      <c r="A383" t="s">
        <v>1397</v>
      </c>
      <c r="B383" t="s">
        <v>1398</v>
      </c>
      <c r="C383" t="s">
        <v>214</v>
      </c>
      <c r="D383" t="s">
        <v>143</v>
      </c>
      <c r="E383" t="s">
        <v>144</v>
      </c>
      <c r="F383" t="s">
        <v>692</v>
      </c>
      <c r="G383" t="s">
        <v>1299</v>
      </c>
      <c r="H383">
        <v>600.5</v>
      </c>
      <c r="I383">
        <v>0</v>
      </c>
      <c r="J383" t="s">
        <v>230</v>
      </c>
      <c r="K383" t="s">
        <v>48</v>
      </c>
      <c r="L383" t="s">
        <v>218</v>
      </c>
      <c r="M383" t="s">
        <v>219</v>
      </c>
      <c r="N383" s="19">
        <v>46262</v>
      </c>
      <c r="O383" t="s">
        <v>220</v>
      </c>
      <c r="P383">
        <v>1</v>
      </c>
      <c r="Q383" t="s">
        <v>1399</v>
      </c>
    </row>
    <row r="384" spans="1:18" x14ac:dyDescent="0.3">
      <c r="A384" t="s">
        <v>1400</v>
      </c>
      <c r="B384" t="s">
        <v>1401</v>
      </c>
      <c r="C384" t="s">
        <v>214</v>
      </c>
      <c r="D384" t="s">
        <v>143</v>
      </c>
      <c r="E384" t="s">
        <v>144</v>
      </c>
      <c r="F384" t="s">
        <v>692</v>
      </c>
      <c r="G384" t="s">
        <v>1299</v>
      </c>
      <c r="H384">
        <v>814.32</v>
      </c>
      <c r="I384">
        <v>0</v>
      </c>
      <c r="J384" t="s">
        <v>230</v>
      </c>
      <c r="K384" t="s">
        <v>48</v>
      </c>
      <c r="L384" t="s">
        <v>218</v>
      </c>
      <c r="M384" t="s">
        <v>219</v>
      </c>
      <c r="N384" s="19">
        <v>46262</v>
      </c>
      <c r="O384" t="s">
        <v>220</v>
      </c>
      <c r="P384">
        <v>1</v>
      </c>
      <c r="Q384" t="s">
        <v>1402</v>
      </c>
    </row>
    <row r="385" spans="1:18" x14ac:dyDescent="0.3">
      <c r="A385" t="s">
        <v>1403</v>
      </c>
      <c r="B385" t="s">
        <v>1404</v>
      </c>
      <c r="C385" t="s">
        <v>214</v>
      </c>
      <c r="D385" t="s">
        <v>143</v>
      </c>
      <c r="E385" t="s">
        <v>144</v>
      </c>
      <c r="F385" t="s">
        <v>692</v>
      </c>
      <c r="G385" t="s">
        <v>1299</v>
      </c>
      <c r="H385">
        <v>597.11</v>
      </c>
      <c r="I385">
        <v>0</v>
      </c>
      <c r="J385" t="s">
        <v>230</v>
      </c>
      <c r="K385" t="s">
        <v>48</v>
      </c>
      <c r="L385" t="s">
        <v>218</v>
      </c>
      <c r="M385" t="s">
        <v>219</v>
      </c>
      <c r="N385" s="19">
        <v>46262</v>
      </c>
      <c r="O385" t="s">
        <v>220</v>
      </c>
      <c r="P385">
        <v>1</v>
      </c>
      <c r="Q385" t="s">
        <v>1405</v>
      </c>
    </row>
    <row r="386" spans="1:18" x14ac:dyDescent="0.3">
      <c r="A386" t="s">
        <v>1406</v>
      </c>
      <c r="B386" t="s">
        <v>1407</v>
      </c>
      <c r="C386" t="s">
        <v>214</v>
      </c>
      <c r="D386" t="s">
        <v>143</v>
      </c>
      <c r="E386" t="s">
        <v>144</v>
      </c>
      <c r="F386" t="s">
        <v>692</v>
      </c>
      <c r="G386" t="s">
        <v>1299</v>
      </c>
      <c r="H386">
        <v>583.73</v>
      </c>
      <c r="I386">
        <v>0</v>
      </c>
      <c r="J386" t="s">
        <v>230</v>
      </c>
      <c r="K386" t="s">
        <v>48</v>
      </c>
      <c r="L386" t="s">
        <v>218</v>
      </c>
      <c r="M386" t="s">
        <v>219</v>
      </c>
      <c r="N386" s="19">
        <v>46262</v>
      </c>
      <c r="O386" t="s">
        <v>220</v>
      </c>
      <c r="P386">
        <v>1</v>
      </c>
      <c r="Q386" t="s">
        <v>1408</v>
      </c>
    </row>
    <row r="387" spans="1:18" x14ac:dyDescent="0.3">
      <c r="A387" t="s">
        <v>1409</v>
      </c>
      <c r="B387" t="s">
        <v>1410</v>
      </c>
      <c r="C387" t="s">
        <v>461</v>
      </c>
      <c r="D387" t="s">
        <v>143</v>
      </c>
      <c r="E387" t="s">
        <v>144</v>
      </c>
      <c r="F387" t="s">
        <v>692</v>
      </c>
      <c r="G387" t="s">
        <v>1411</v>
      </c>
      <c r="H387">
        <v>6890.4</v>
      </c>
      <c r="I387">
        <v>5</v>
      </c>
      <c r="J387" t="s">
        <v>230</v>
      </c>
      <c r="K387" t="s">
        <v>965</v>
      </c>
      <c r="L387" t="s">
        <v>92</v>
      </c>
      <c r="M387" t="s">
        <v>219</v>
      </c>
      <c r="N387" s="19">
        <v>46262</v>
      </c>
      <c r="O387" t="s">
        <v>220</v>
      </c>
      <c r="P387">
        <v>1</v>
      </c>
      <c r="Q387" t="s">
        <v>1412</v>
      </c>
    </row>
    <row r="388" spans="1:18" x14ac:dyDescent="0.3">
      <c r="A388" t="s">
        <v>1413</v>
      </c>
      <c r="B388" t="s">
        <v>1414</v>
      </c>
      <c r="C388" t="s">
        <v>461</v>
      </c>
      <c r="D388" t="s">
        <v>143</v>
      </c>
      <c r="E388" t="s">
        <v>144</v>
      </c>
      <c r="F388" t="s">
        <v>692</v>
      </c>
      <c r="G388" t="s">
        <v>1026</v>
      </c>
      <c r="H388">
        <v>4384.8</v>
      </c>
      <c r="I388">
        <v>5</v>
      </c>
      <c r="J388" t="s">
        <v>230</v>
      </c>
      <c r="K388" t="s">
        <v>48</v>
      </c>
      <c r="L388" t="s">
        <v>92</v>
      </c>
      <c r="M388" t="s">
        <v>219</v>
      </c>
      <c r="N388" s="19">
        <v>46262</v>
      </c>
      <c r="O388" t="s">
        <v>220</v>
      </c>
      <c r="P388">
        <v>1</v>
      </c>
      <c r="Q388" t="s">
        <v>1415</v>
      </c>
    </row>
    <row r="389" spans="1:18" x14ac:dyDescent="0.3">
      <c r="A389" t="s">
        <v>1416</v>
      </c>
      <c r="B389" t="s">
        <v>1417</v>
      </c>
      <c r="C389" t="s">
        <v>1227</v>
      </c>
      <c r="D389" t="s">
        <v>143</v>
      </c>
      <c r="E389" t="s">
        <v>144</v>
      </c>
      <c r="F389" t="s">
        <v>692</v>
      </c>
      <c r="G389" t="s">
        <v>1026</v>
      </c>
      <c r="H389">
        <v>8207.66</v>
      </c>
      <c r="I389">
        <v>5</v>
      </c>
      <c r="J389" t="s">
        <v>230</v>
      </c>
      <c r="K389" t="s">
        <v>48</v>
      </c>
      <c r="L389" t="s">
        <v>92</v>
      </c>
      <c r="M389" t="s">
        <v>219</v>
      </c>
      <c r="N389" s="19">
        <v>46262</v>
      </c>
      <c r="O389" t="s">
        <v>220</v>
      </c>
      <c r="P389">
        <v>1</v>
      </c>
      <c r="Q389" t="s">
        <v>1418</v>
      </c>
    </row>
    <row r="390" spans="1:18" x14ac:dyDescent="0.3">
      <c r="A390" t="s">
        <v>1419</v>
      </c>
      <c r="B390" t="s">
        <v>1420</v>
      </c>
      <c r="C390" t="s">
        <v>461</v>
      </c>
      <c r="D390" t="s">
        <v>143</v>
      </c>
      <c r="E390" t="s">
        <v>144</v>
      </c>
      <c r="F390" t="s">
        <v>692</v>
      </c>
      <c r="G390" t="s">
        <v>1026</v>
      </c>
      <c r="H390">
        <v>9396</v>
      </c>
      <c r="I390">
        <v>5</v>
      </c>
      <c r="J390" t="s">
        <v>230</v>
      </c>
      <c r="K390" t="s">
        <v>48</v>
      </c>
      <c r="L390" t="s">
        <v>92</v>
      </c>
      <c r="M390" t="s">
        <v>219</v>
      </c>
      <c r="N390" s="19">
        <v>46262</v>
      </c>
      <c r="O390" t="s">
        <v>220</v>
      </c>
      <c r="P390">
        <v>1</v>
      </c>
      <c r="Q390" t="s">
        <v>1421</v>
      </c>
    </row>
    <row r="391" spans="1:18" x14ac:dyDescent="0.3">
      <c r="A391" t="s">
        <v>1422</v>
      </c>
      <c r="B391" t="s">
        <v>1423</v>
      </c>
      <c r="C391" t="s">
        <v>1227</v>
      </c>
      <c r="D391" t="s">
        <v>143</v>
      </c>
      <c r="E391" t="s">
        <v>144</v>
      </c>
      <c r="F391" t="s">
        <v>692</v>
      </c>
      <c r="G391" t="s">
        <v>1026</v>
      </c>
      <c r="H391">
        <v>8769.6</v>
      </c>
      <c r="I391">
        <v>5</v>
      </c>
      <c r="J391" t="s">
        <v>230</v>
      </c>
      <c r="K391" t="s">
        <v>48</v>
      </c>
      <c r="L391" t="s">
        <v>92</v>
      </c>
      <c r="M391" t="s">
        <v>219</v>
      </c>
      <c r="N391" s="19">
        <v>46262</v>
      </c>
      <c r="O391" t="s">
        <v>220</v>
      </c>
      <c r="P391">
        <v>1</v>
      </c>
      <c r="Q391" t="s">
        <v>1424</v>
      </c>
    </row>
    <row r="392" spans="1:18" x14ac:dyDescent="0.3">
      <c r="A392" t="s">
        <v>1425</v>
      </c>
      <c r="B392" t="s">
        <v>1426</v>
      </c>
      <c r="C392" t="s">
        <v>461</v>
      </c>
      <c r="D392" t="s">
        <v>143</v>
      </c>
      <c r="E392" t="s">
        <v>144</v>
      </c>
      <c r="F392" t="s">
        <v>692</v>
      </c>
      <c r="G392" t="s">
        <v>1411</v>
      </c>
      <c r="H392">
        <v>1711.97</v>
      </c>
      <c r="I392">
        <v>5</v>
      </c>
      <c r="J392" t="s">
        <v>230</v>
      </c>
      <c r="K392" t="s">
        <v>965</v>
      </c>
      <c r="L392" t="s">
        <v>92</v>
      </c>
      <c r="M392" t="s">
        <v>219</v>
      </c>
      <c r="N392" s="19">
        <v>46262</v>
      </c>
      <c r="O392" t="s">
        <v>220</v>
      </c>
      <c r="P392">
        <v>1</v>
      </c>
      <c r="Q392" t="s">
        <v>1427</v>
      </c>
    </row>
    <row r="393" spans="1:18" x14ac:dyDescent="0.3">
      <c r="A393" t="s">
        <v>1428</v>
      </c>
      <c r="B393" t="s">
        <v>1129</v>
      </c>
      <c r="C393" t="s">
        <v>214</v>
      </c>
      <c r="D393" t="s">
        <v>143</v>
      </c>
      <c r="E393" t="s">
        <v>144</v>
      </c>
      <c r="F393" t="s">
        <v>692</v>
      </c>
      <c r="G393" t="s">
        <v>1026</v>
      </c>
      <c r="H393">
        <v>3908.74</v>
      </c>
      <c r="I393">
        <v>5</v>
      </c>
      <c r="J393" t="s">
        <v>230</v>
      </c>
      <c r="K393" t="s">
        <v>48</v>
      </c>
      <c r="L393" t="s">
        <v>92</v>
      </c>
      <c r="M393" t="s">
        <v>219</v>
      </c>
      <c r="N393" s="19">
        <v>46262</v>
      </c>
      <c r="O393" t="s">
        <v>220</v>
      </c>
      <c r="P393">
        <v>2</v>
      </c>
      <c r="Q393" t="s">
        <v>1429</v>
      </c>
      <c r="R393" t="s">
        <v>92</v>
      </c>
    </row>
    <row r="394" spans="1:18" x14ac:dyDescent="0.3">
      <c r="A394" t="s">
        <v>1430</v>
      </c>
      <c r="B394" t="s">
        <v>1431</v>
      </c>
      <c r="C394" t="s">
        <v>214</v>
      </c>
      <c r="D394" t="s">
        <v>143</v>
      </c>
      <c r="E394" t="s">
        <v>144</v>
      </c>
      <c r="F394" t="s">
        <v>692</v>
      </c>
      <c r="G394" t="s">
        <v>1026</v>
      </c>
      <c r="H394">
        <v>5345.28</v>
      </c>
      <c r="I394">
        <v>5</v>
      </c>
      <c r="J394" t="s">
        <v>230</v>
      </c>
      <c r="K394" t="s">
        <v>48</v>
      </c>
      <c r="L394" t="s">
        <v>92</v>
      </c>
      <c r="M394" t="s">
        <v>219</v>
      </c>
      <c r="N394" s="19">
        <v>46262</v>
      </c>
      <c r="O394" t="s">
        <v>220</v>
      </c>
      <c r="P394">
        <v>1</v>
      </c>
      <c r="Q394" t="s">
        <v>1432</v>
      </c>
    </row>
    <row r="395" spans="1:18" x14ac:dyDescent="0.3">
      <c r="A395" t="s">
        <v>1433</v>
      </c>
      <c r="B395" t="s">
        <v>1434</v>
      </c>
      <c r="C395" t="s">
        <v>1435</v>
      </c>
      <c r="D395" t="s">
        <v>143</v>
      </c>
      <c r="E395" t="s">
        <v>144</v>
      </c>
      <c r="F395" t="s">
        <v>736</v>
      </c>
      <c r="H395">
        <v>0</v>
      </c>
      <c r="I395">
        <v>0</v>
      </c>
      <c r="J395" t="s">
        <v>230</v>
      </c>
      <c r="K395" t="s">
        <v>965</v>
      </c>
      <c r="L395" t="s">
        <v>218</v>
      </c>
      <c r="M395" t="s">
        <v>219</v>
      </c>
      <c r="N395" s="19">
        <v>46262</v>
      </c>
      <c r="O395" t="s">
        <v>220</v>
      </c>
      <c r="P395">
        <v>1</v>
      </c>
      <c r="Q395" t="s">
        <v>1436</v>
      </c>
    </row>
    <row r="396" spans="1:18" x14ac:dyDescent="0.3">
      <c r="A396" t="s">
        <v>1437</v>
      </c>
      <c r="B396" t="s">
        <v>1438</v>
      </c>
      <c r="C396" t="s">
        <v>1435</v>
      </c>
      <c r="D396" t="s">
        <v>143</v>
      </c>
      <c r="E396" t="s">
        <v>144</v>
      </c>
      <c r="F396" t="s">
        <v>736</v>
      </c>
      <c r="H396">
        <v>0</v>
      </c>
      <c r="I396">
        <v>0</v>
      </c>
      <c r="J396" t="s">
        <v>230</v>
      </c>
      <c r="K396" t="s">
        <v>965</v>
      </c>
      <c r="L396" t="s">
        <v>218</v>
      </c>
      <c r="M396" t="s">
        <v>219</v>
      </c>
      <c r="N396" s="19">
        <v>46262</v>
      </c>
      <c r="O396" t="s">
        <v>220</v>
      </c>
      <c r="P396">
        <v>1</v>
      </c>
      <c r="Q396" t="s">
        <v>1439</v>
      </c>
    </row>
    <row r="397" spans="1:18" x14ac:dyDescent="0.3">
      <c r="A397" t="s">
        <v>1440</v>
      </c>
      <c r="B397" t="s">
        <v>1441</v>
      </c>
      <c r="C397" t="s">
        <v>214</v>
      </c>
      <c r="D397" t="s">
        <v>143</v>
      </c>
      <c r="E397" t="s">
        <v>144</v>
      </c>
      <c r="F397" t="s">
        <v>736</v>
      </c>
      <c r="H397">
        <v>718.58</v>
      </c>
      <c r="I397">
        <v>0</v>
      </c>
      <c r="J397" t="s">
        <v>216</v>
      </c>
      <c r="K397" t="s">
        <v>48</v>
      </c>
      <c r="L397" t="s">
        <v>218</v>
      </c>
      <c r="M397" t="s">
        <v>219</v>
      </c>
      <c r="N397" s="19">
        <v>46262</v>
      </c>
      <c r="O397" t="s">
        <v>220</v>
      </c>
      <c r="P397">
        <v>1</v>
      </c>
      <c r="Q397" t="s">
        <v>1442</v>
      </c>
    </row>
    <row r="398" spans="1:18" x14ac:dyDescent="0.3">
      <c r="A398" t="s">
        <v>1443</v>
      </c>
      <c r="B398" t="s">
        <v>1444</v>
      </c>
      <c r="C398" t="s">
        <v>214</v>
      </c>
      <c r="D398" t="s">
        <v>143</v>
      </c>
      <c r="E398" t="s">
        <v>144</v>
      </c>
      <c r="F398" t="s">
        <v>736</v>
      </c>
      <c r="H398">
        <v>1503.36</v>
      </c>
      <c r="I398">
        <v>0</v>
      </c>
      <c r="J398" t="s">
        <v>230</v>
      </c>
      <c r="K398" t="s">
        <v>48</v>
      </c>
      <c r="L398" t="s">
        <v>218</v>
      </c>
      <c r="M398" t="s">
        <v>219</v>
      </c>
      <c r="N398" s="19">
        <v>46262</v>
      </c>
      <c r="O398" t="s">
        <v>220</v>
      </c>
      <c r="P398">
        <v>2</v>
      </c>
      <c r="Q398" t="s">
        <v>1445</v>
      </c>
      <c r="R398" t="s">
        <v>92</v>
      </c>
    </row>
    <row r="399" spans="1:18" x14ac:dyDescent="0.3">
      <c r="A399" t="s">
        <v>1446</v>
      </c>
      <c r="B399" t="s">
        <v>1447</v>
      </c>
      <c r="C399" t="s">
        <v>214</v>
      </c>
      <c r="D399" t="s">
        <v>143</v>
      </c>
      <c r="E399" t="s">
        <v>144</v>
      </c>
      <c r="F399" t="s">
        <v>736</v>
      </c>
      <c r="H399">
        <v>2100</v>
      </c>
      <c r="I399">
        <v>0</v>
      </c>
      <c r="J399" t="s">
        <v>216</v>
      </c>
      <c r="K399" t="s">
        <v>48</v>
      </c>
      <c r="L399" t="s">
        <v>218</v>
      </c>
      <c r="M399" t="s">
        <v>219</v>
      </c>
      <c r="N399" s="19">
        <v>46262</v>
      </c>
      <c r="O399" t="s">
        <v>220</v>
      </c>
      <c r="P399">
        <v>1</v>
      </c>
      <c r="Q399" t="s">
        <v>1448</v>
      </c>
    </row>
    <row r="400" spans="1:18" x14ac:dyDescent="0.3">
      <c r="A400" t="s">
        <v>1449</v>
      </c>
      <c r="B400" t="s">
        <v>1450</v>
      </c>
      <c r="C400" t="s">
        <v>214</v>
      </c>
      <c r="D400" t="s">
        <v>143</v>
      </c>
      <c r="E400" t="s">
        <v>144</v>
      </c>
      <c r="F400" t="s">
        <v>736</v>
      </c>
      <c r="G400" t="s">
        <v>1026</v>
      </c>
      <c r="H400">
        <v>382.8</v>
      </c>
      <c r="I400">
        <v>5</v>
      </c>
      <c r="J400" t="s">
        <v>230</v>
      </c>
      <c r="K400" t="s">
        <v>48</v>
      </c>
      <c r="L400" t="s">
        <v>92</v>
      </c>
      <c r="M400" t="s">
        <v>219</v>
      </c>
      <c r="N400" s="19">
        <v>46262</v>
      </c>
      <c r="O400" t="s">
        <v>220</v>
      </c>
      <c r="P400">
        <v>1</v>
      </c>
      <c r="Q400" t="s">
        <v>1451</v>
      </c>
    </row>
    <row r="401" spans="1:18" x14ac:dyDescent="0.3">
      <c r="A401" t="s">
        <v>1452</v>
      </c>
      <c r="B401" t="s">
        <v>1453</v>
      </c>
      <c r="C401" t="s">
        <v>518</v>
      </c>
      <c r="D401" t="s">
        <v>143</v>
      </c>
      <c r="E401" t="s">
        <v>144</v>
      </c>
      <c r="F401" t="s">
        <v>736</v>
      </c>
      <c r="H401">
        <v>2612.5</v>
      </c>
      <c r="I401">
        <v>0</v>
      </c>
      <c r="J401" t="s">
        <v>230</v>
      </c>
      <c r="K401" t="s">
        <v>887</v>
      </c>
      <c r="L401" t="s">
        <v>218</v>
      </c>
      <c r="M401" t="s">
        <v>219</v>
      </c>
      <c r="N401" s="19">
        <v>46262</v>
      </c>
      <c r="O401" t="s">
        <v>220</v>
      </c>
      <c r="P401">
        <v>1</v>
      </c>
      <c r="Q401" t="s">
        <v>1454</v>
      </c>
    </row>
    <row r="402" spans="1:18" x14ac:dyDescent="0.3">
      <c r="A402" t="s">
        <v>1455</v>
      </c>
      <c r="B402" t="s">
        <v>1456</v>
      </c>
      <c r="C402" t="s">
        <v>518</v>
      </c>
      <c r="D402" t="s">
        <v>143</v>
      </c>
      <c r="E402" t="s">
        <v>144</v>
      </c>
      <c r="F402" t="s">
        <v>736</v>
      </c>
      <c r="H402">
        <v>670.77</v>
      </c>
      <c r="I402">
        <v>0</v>
      </c>
      <c r="J402" t="s">
        <v>230</v>
      </c>
      <c r="K402" t="s">
        <v>965</v>
      </c>
      <c r="L402" t="s">
        <v>218</v>
      </c>
      <c r="M402" t="s">
        <v>219</v>
      </c>
      <c r="N402" s="19">
        <v>46262</v>
      </c>
      <c r="O402" t="s">
        <v>220</v>
      </c>
      <c r="P402">
        <v>1</v>
      </c>
      <c r="Q402" t="s">
        <v>1457</v>
      </c>
    </row>
    <row r="403" spans="1:18" x14ac:dyDescent="0.3">
      <c r="A403" t="s">
        <v>1458</v>
      </c>
      <c r="B403" t="s">
        <v>1459</v>
      </c>
      <c r="C403" t="s">
        <v>214</v>
      </c>
      <c r="D403" t="s">
        <v>143</v>
      </c>
      <c r="E403" t="s">
        <v>144</v>
      </c>
      <c r="F403" t="s">
        <v>736</v>
      </c>
      <c r="G403" t="s">
        <v>1133</v>
      </c>
      <c r="H403">
        <v>2505.6</v>
      </c>
      <c r="I403">
        <v>5</v>
      </c>
      <c r="J403" t="s">
        <v>230</v>
      </c>
      <c r="K403" t="s">
        <v>965</v>
      </c>
      <c r="L403" t="s">
        <v>92</v>
      </c>
      <c r="M403" t="s">
        <v>219</v>
      </c>
      <c r="N403" s="19">
        <v>46262</v>
      </c>
      <c r="O403" t="s">
        <v>220</v>
      </c>
      <c r="P403">
        <v>1</v>
      </c>
      <c r="Q403" t="s">
        <v>1460</v>
      </c>
    </row>
    <row r="404" spans="1:18" x14ac:dyDescent="0.3">
      <c r="A404" t="s">
        <v>1461</v>
      </c>
      <c r="B404" t="s">
        <v>1462</v>
      </c>
      <c r="C404" t="s">
        <v>214</v>
      </c>
      <c r="D404" t="s">
        <v>143</v>
      </c>
      <c r="E404" t="s">
        <v>144</v>
      </c>
      <c r="F404" t="s">
        <v>736</v>
      </c>
      <c r="G404" t="s">
        <v>1133</v>
      </c>
      <c r="H404">
        <v>1879.2</v>
      </c>
      <c r="I404">
        <v>5</v>
      </c>
      <c r="J404" t="s">
        <v>230</v>
      </c>
      <c r="K404" t="s">
        <v>965</v>
      </c>
      <c r="L404" t="s">
        <v>92</v>
      </c>
      <c r="M404" t="s">
        <v>219</v>
      </c>
      <c r="N404" s="19">
        <v>46262</v>
      </c>
      <c r="O404" t="s">
        <v>220</v>
      </c>
      <c r="P404">
        <v>1</v>
      </c>
      <c r="Q404" t="s">
        <v>1463</v>
      </c>
    </row>
    <row r="405" spans="1:18" x14ac:dyDescent="0.3">
      <c r="A405" t="s">
        <v>1464</v>
      </c>
      <c r="B405" t="s">
        <v>1465</v>
      </c>
      <c r="C405" t="s">
        <v>514</v>
      </c>
      <c r="D405" t="s">
        <v>143</v>
      </c>
      <c r="E405" t="s">
        <v>144</v>
      </c>
      <c r="F405" t="s">
        <v>736</v>
      </c>
      <c r="H405">
        <v>2035.2</v>
      </c>
      <c r="I405">
        <v>0</v>
      </c>
      <c r="J405" t="s">
        <v>230</v>
      </c>
      <c r="K405" t="s">
        <v>1267</v>
      </c>
      <c r="L405" t="s">
        <v>218</v>
      </c>
      <c r="M405" t="s">
        <v>219</v>
      </c>
      <c r="N405" s="19">
        <v>46262</v>
      </c>
      <c r="O405" t="s">
        <v>220</v>
      </c>
      <c r="P405">
        <v>1</v>
      </c>
      <c r="Q405" t="s">
        <v>1466</v>
      </c>
    </row>
    <row r="406" spans="1:18" x14ac:dyDescent="0.3">
      <c r="A406" t="s">
        <v>1467</v>
      </c>
      <c r="B406" t="s">
        <v>1468</v>
      </c>
      <c r="C406" t="s">
        <v>214</v>
      </c>
      <c r="D406" t="s">
        <v>143</v>
      </c>
      <c r="E406" t="s">
        <v>144</v>
      </c>
      <c r="F406" t="s">
        <v>736</v>
      </c>
      <c r="H406">
        <v>962.5</v>
      </c>
      <c r="I406">
        <v>0</v>
      </c>
      <c r="J406" t="s">
        <v>230</v>
      </c>
      <c r="K406" t="s">
        <v>48</v>
      </c>
      <c r="L406" t="s">
        <v>218</v>
      </c>
      <c r="M406" t="s">
        <v>219</v>
      </c>
      <c r="N406" s="19">
        <v>46262</v>
      </c>
      <c r="O406" t="s">
        <v>220</v>
      </c>
      <c r="P406">
        <v>1</v>
      </c>
      <c r="Q406" t="s">
        <v>1469</v>
      </c>
    </row>
    <row r="407" spans="1:18" x14ac:dyDescent="0.3">
      <c r="A407" t="s">
        <v>1470</v>
      </c>
      <c r="B407" t="s">
        <v>1471</v>
      </c>
      <c r="C407" t="s">
        <v>732</v>
      </c>
      <c r="D407" t="s">
        <v>143</v>
      </c>
      <c r="E407" t="s">
        <v>144</v>
      </c>
      <c r="F407" t="s">
        <v>736</v>
      </c>
      <c r="H407">
        <v>125280</v>
      </c>
      <c r="I407">
        <v>0</v>
      </c>
      <c r="J407" t="s">
        <v>230</v>
      </c>
      <c r="K407" t="s">
        <v>1267</v>
      </c>
      <c r="L407" t="s">
        <v>218</v>
      </c>
      <c r="M407" t="s">
        <v>219</v>
      </c>
      <c r="N407" s="19">
        <v>46262</v>
      </c>
      <c r="O407" t="s">
        <v>220</v>
      </c>
      <c r="P407">
        <v>2</v>
      </c>
      <c r="Q407" t="s">
        <v>1472</v>
      </c>
      <c r="R407" t="s">
        <v>92</v>
      </c>
    </row>
    <row r="408" spans="1:18" x14ac:dyDescent="0.3">
      <c r="A408" t="s">
        <v>1473</v>
      </c>
      <c r="B408" t="s">
        <v>1474</v>
      </c>
      <c r="C408" t="s">
        <v>214</v>
      </c>
      <c r="D408" t="s">
        <v>143</v>
      </c>
      <c r="E408" t="s">
        <v>144</v>
      </c>
      <c r="F408" t="s">
        <v>736</v>
      </c>
      <c r="H408">
        <v>2860</v>
      </c>
      <c r="I408">
        <v>0</v>
      </c>
      <c r="J408" t="s">
        <v>230</v>
      </c>
      <c r="K408" t="s">
        <v>887</v>
      </c>
      <c r="L408" t="s">
        <v>218</v>
      </c>
      <c r="M408" t="s">
        <v>219</v>
      </c>
      <c r="N408" s="19">
        <v>46262</v>
      </c>
      <c r="O408" t="s">
        <v>220</v>
      </c>
      <c r="P408">
        <v>1</v>
      </c>
      <c r="Q408" t="s">
        <v>1475</v>
      </c>
    </row>
    <row r="409" spans="1:18" x14ac:dyDescent="0.3">
      <c r="A409" t="s">
        <v>1476</v>
      </c>
      <c r="B409" t="s">
        <v>1477</v>
      </c>
      <c r="C409" t="s">
        <v>214</v>
      </c>
      <c r="D409" t="s">
        <v>143</v>
      </c>
      <c r="E409" t="s">
        <v>144</v>
      </c>
      <c r="F409" t="s">
        <v>736</v>
      </c>
      <c r="H409">
        <v>371.49</v>
      </c>
      <c r="I409">
        <v>0</v>
      </c>
      <c r="J409" t="s">
        <v>230</v>
      </c>
      <c r="K409" t="s">
        <v>48</v>
      </c>
      <c r="L409" t="s">
        <v>218</v>
      </c>
      <c r="M409" t="s">
        <v>219</v>
      </c>
      <c r="N409" s="19">
        <v>46262</v>
      </c>
      <c r="O409" t="s">
        <v>220</v>
      </c>
      <c r="P409">
        <v>1</v>
      </c>
      <c r="Q409" t="s">
        <v>1478</v>
      </c>
    </row>
    <row r="410" spans="1:18" x14ac:dyDescent="0.3">
      <c r="A410" t="s">
        <v>1479</v>
      </c>
      <c r="B410" t="s">
        <v>1480</v>
      </c>
      <c r="C410" t="s">
        <v>214</v>
      </c>
      <c r="D410" t="s">
        <v>143</v>
      </c>
      <c r="E410" t="s">
        <v>144</v>
      </c>
      <c r="F410" t="s">
        <v>736</v>
      </c>
      <c r="H410">
        <v>63.95</v>
      </c>
      <c r="I410">
        <v>0</v>
      </c>
      <c r="J410" t="s">
        <v>230</v>
      </c>
      <c r="K410" t="s">
        <v>42</v>
      </c>
      <c r="L410" t="s">
        <v>218</v>
      </c>
      <c r="M410" t="s">
        <v>219</v>
      </c>
      <c r="N410" s="19">
        <v>46262</v>
      </c>
      <c r="O410" t="s">
        <v>220</v>
      </c>
      <c r="P410">
        <v>1</v>
      </c>
      <c r="Q410" t="s">
        <v>1481</v>
      </c>
    </row>
    <row r="411" spans="1:18" x14ac:dyDescent="0.3">
      <c r="A411" t="s">
        <v>1482</v>
      </c>
      <c r="B411" t="s">
        <v>1483</v>
      </c>
      <c r="C411" t="s">
        <v>214</v>
      </c>
      <c r="D411" t="s">
        <v>143</v>
      </c>
      <c r="E411" t="s">
        <v>144</v>
      </c>
      <c r="F411" t="s">
        <v>736</v>
      </c>
      <c r="H411">
        <v>626.4</v>
      </c>
      <c r="I411">
        <v>0</v>
      </c>
      <c r="J411" t="s">
        <v>230</v>
      </c>
      <c r="K411" t="s">
        <v>42</v>
      </c>
      <c r="L411" t="s">
        <v>218</v>
      </c>
      <c r="M411" t="s">
        <v>219</v>
      </c>
      <c r="N411" s="19">
        <v>46262</v>
      </c>
      <c r="O411" t="s">
        <v>220</v>
      </c>
      <c r="P411">
        <v>1</v>
      </c>
      <c r="Q411" t="s">
        <v>1484</v>
      </c>
    </row>
    <row r="412" spans="1:18" x14ac:dyDescent="0.3">
      <c r="A412" t="s">
        <v>1485</v>
      </c>
      <c r="B412" t="s">
        <v>1486</v>
      </c>
      <c r="C412" t="s">
        <v>461</v>
      </c>
      <c r="D412" t="s">
        <v>143</v>
      </c>
      <c r="E412" t="s">
        <v>144</v>
      </c>
      <c r="F412" t="s">
        <v>736</v>
      </c>
      <c r="H412">
        <v>730.76</v>
      </c>
      <c r="I412">
        <v>0</v>
      </c>
      <c r="J412" t="s">
        <v>230</v>
      </c>
      <c r="K412" t="s">
        <v>965</v>
      </c>
      <c r="L412" t="s">
        <v>218</v>
      </c>
      <c r="M412" t="s">
        <v>219</v>
      </c>
      <c r="N412" s="19">
        <v>46262</v>
      </c>
      <c r="O412" t="s">
        <v>220</v>
      </c>
      <c r="P412">
        <v>1</v>
      </c>
      <c r="Q412" t="s">
        <v>1487</v>
      </c>
    </row>
    <row r="413" spans="1:18" x14ac:dyDescent="0.3">
      <c r="A413" t="s">
        <v>1488</v>
      </c>
      <c r="B413" t="s">
        <v>1489</v>
      </c>
      <c r="C413" t="s">
        <v>214</v>
      </c>
      <c r="D413" t="s">
        <v>143</v>
      </c>
      <c r="E413" t="s">
        <v>144</v>
      </c>
      <c r="F413" t="s">
        <v>736</v>
      </c>
      <c r="G413" t="s">
        <v>1026</v>
      </c>
      <c r="H413">
        <v>381.78</v>
      </c>
      <c r="I413">
        <v>5</v>
      </c>
      <c r="J413" t="s">
        <v>230</v>
      </c>
      <c r="K413" t="s">
        <v>48</v>
      </c>
      <c r="L413" t="s">
        <v>92</v>
      </c>
      <c r="M413" t="s">
        <v>219</v>
      </c>
      <c r="N413" s="19">
        <v>46262</v>
      </c>
      <c r="O413" t="s">
        <v>220</v>
      </c>
      <c r="P413">
        <v>1</v>
      </c>
      <c r="Q413" t="s">
        <v>1490</v>
      </c>
    </row>
    <row r="414" spans="1:18" x14ac:dyDescent="0.3">
      <c r="A414" t="s">
        <v>1491</v>
      </c>
      <c r="B414" t="s">
        <v>1492</v>
      </c>
      <c r="C414" t="s">
        <v>214</v>
      </c>
      <c r="D414" t="s">
        <v>143</v>
      </c>
      <c r="E414" t="s">
        <v>144</v>
      </c>
      <c r="F414" t="s">
        <v>736</v>
      </c>
      <c r="H414">
        <v>11400.52</v>
      </c>
      <c r="I414">
        <v>0</v>
      </c>
      <c r="J414" t="s">
        <v>230</v>
      </c>
      <c r="K414" t="s">
        <v>48</v>
      </c>
      <c r="L414" t="s">
        <v>218</v>
      </c>
      <c r="M414" t="s">
        <v>219</v>
      </c>
      <c r="N414" s="19">
        <v>46262</v>
      </c>
      <c r="O414" t="s">
        <v>220</v>
      </c>
      <c r="P414">
        <v>1</v>
      </c>
      <c r="Q414" t="s">
        <v>1493</v>
      </c>
    </row>
    <row r="415" spans="1:18" x14ac:dyDescent="0.3">
      <c r="A415" t="s">
        <v>1494</v>
      </c>
      <c r="B415" t="s">
        <v>1495</v>
      </c>
      <c r="C415" t="s">
        <v>214</v>
      </c>
      <c r="D415" t="s">
        <v>143</v>
      </c>
      <c r="E415" t="s">
        <v>144</v>
      </c>
      <c r="F415" t="s">
        <v>736</v>
      </c>
      <c r="H415">
        <v>669.87</v>
      </c>
      <c r="I415">
        <v>0</v>
      </c>
      <c r="J415" t="s">
        <v>230</v>
      </c>
      <c r="K415" t="s">
        <v>44</v>
      </c>
      <c r="L415" t="s">
        <v>218</v>
      </c>
      <c r="M415" t="s">
        <v>219</v>
      </c>
      <c r="N415" s="19">
        <v>46262</v>
      </c>
      <c r="O415" t="s">
        <v>220</v>
      </c>
      <c r="P415">
        <v>1</v>
      </c>
      <c r="Q415" t="s">
        <v>1496</v>
      </c>
    </row>
    <row r="416" spans="1:18" x14ac:dyDescent="0.3">
      <c r="A416" t="s">
        <v>1497</v>
      </c>
      <c r="B416" t="s">
        <v>1498</v>
      </c>
      <c r="C416" t="s">
        <v>214</v>
      </c>
      <c r="D416" t="s">
        <v>143</v>
      </c>
      <c r="E416" t="s">
        <v>144</v>
      </c>
      <c r="F416" t="s">
        <v>736</v>
      </c>
      <c r="G416" t="s">
        <v>894</v>
      </c>
      <c r="H416">
        <v>736.85</v>
      </c>
      <c r="I416">
        <v>5</v>
      </c>
      <c r="J416" t="s">
        <v>230</v>
      </c>
      <c r="K416" t="s">
        <v>44</v>
      </c>
      <c r="L416" t="s">
        <v>92</v>
      </c>
      <c r="M416" t="s">
        <v>219</v>
      </c>
      <c r="N416" s="19">
        <v>46262</v>
      </c>
      <c r="O416" t="s">
        <v>220</v>
      </c>
      <c r="P416">
        <v>1</v>
      </c>
      <c r="Q416" t="s">
        <v>1499</v>
      </c>
    </row>
    <row r="417" spans="1:17" x14ac:dyDescent="0.3">
      <c r="A417" t="s">
        <v>1500</v>
      </c>
      <c r="B417" t="s">
        <v>1501</v>
      </c>
      <c r="C417" t="s">
        <v>732</v>
      </c>
      <c r="D417" t="s">
        <v>143</v>
      </c>
      <c r="E417" t="s">
        <v>144</v>
      </c>
      <c r="F417" t="s">
        <v>736</v>
      </c>
      <c r="H417">
        <v>93960</v>
      </c>
      <c r="I417">
        <v>0</v>
      </c>
      <c r="J417" t="s">
        <v>230</v>
      </c>
      <c r="K417" t="s">
        <v>1267</v>
      </c>
      <c r="L417" t="s">
        <v>218</v>
      </c>
      <c r="M417" t="s">
        <v>219</v>
      </c>
      <c r="N417" s="19">
        <v>46262</v>
      </c>
      <c r="O417" t="s">
        <v>220</v>
      </c>
      <c r="P417">
        <v>1</v>
      </c>
      <c r="Q417" t="s">
        <v>1502</v>
      </c>
    </row>
    <row r="418" spans="1:17" x14ac:dyDescent="0.3">
      <c r="A418" t="s">
        <v>1503</v>
      </c>
      <c r="B418" t="s">
        <v>1504</v>
      </c>
      <c r="C418" t="s">
        <v>214</v>
      </c>
      <c r="D418" t="s">
        <v>143</v>
      </c>
      <c r="E418" t="s">
        <v>144</v>
      </c>
      <c r="F418" t="s">
        <v>736</v>
      </c>
      <c r="H418">
        <v>738.59</v>
      </c>
      <c r="I418">
        <v>0</v>
      </c>
      <c r="J418" t="s">
        <v>230</v>
      </c>
      <c r="K418" t="s">
        <v>48</v>
      </c>
      <c r="L418" t="s">
        <v>218</v>
      </c>
      <c r="M418" t="s">
        <v>219</v>
      </c>
      <c r="N418" s="19">
        <v>46262</v>
      </c>
      <c r="O418" t="s">
        <v>220</v>
      </c>
      <c r="P418">
        <v>1</v>
      </c>
      <c r="Q418" t="s">
        <v>1505</v>
      </c>
    </row>
    <row r="419" spans="1:17" x14ac:dyDescent="0.3">
      <c r="A419" t="s">
        <v>1506</v>
      </c>
      <c r="B419" t="s">
        <v>1507</v>
      </c>
      <c r="C419" t="s">
        <v>518</v>
      </c>
      <c r="D419" t="s">
        <v>143</v>
      </c>
      <c r="E419" t="s">
        <v>144</v>
      </c>
      <c r="F419" t="s">
        <v>736</v>
      </c>
      <c r="H419">
        <v>281.88</v>
      </c>
      <c r="I419">
        <v>0</v>
      </c>
      <c r="J419" t="s">
        <v>230</v>
      </c>
      <c r="K419" t="s">
        <v>42</v>
      </c>
      <c r="L419" t="s">
        <v>218</v>
      </c>
      <c r="M419" t="s">
        <v>219</v>
      </c>
      <c r="N419" s="19">
        <v>46262</v>
      </c>
      <c r="O419" t="s">
        <v>220</v>
      </c>
      <c r="P419">
        <v>1</v>
      </c>
      <c r="Q419" t="s">
        <v>1508</v>
      </c>
    </row>
    <row r="420" spans="1:17" x14ac:dyDescent="0.3">
      <c r="A420" t="s">
        <v>1509</v>
      </c>
      <c r="B420" t="s">
        <v>1510</v>
      </c>
      <c r="C420" t="s">
        <v>214</v>
      </c>
      <c r="D420" t="s">
        <v>143</v>
      </c>
      <c r="E420" t="s">
        <v>144</v>
      </c>
      <c r="F420" t="s">
        <v>736</v>
      </c>
      <c r="H420">
        <v>516.26</v>
      </c>
      <c r="I420">
        <v>0</v>
      </c>
      <c r="J420" t="s">
        <v>230</v>
      </c>
      <c r="K420" t="s">
        <v>44</v>
      </c>
      <c r="L420" t="s">
        <v>218</v>
      </c>
      <c r="M420" t="s">
        <v>219</v>
      </c>
      <c r="N420" s="19">
        <v>46262</v>
      </c>
      <c r="O420" t="s">
        <v>220</v>
      </c>
      <c r="P420">
        <v>1</v>
      </c>
      <c r="Q420" t="s">
        <v>1511</v>
      </c>
    </row>
    <row r="421" spans="1:17" x14ac:dyDescent="0.3">
      <c r="A421" t="s">
        <v>1512</v>
      </c>
      <c r="B421" t="s">
        <v>1513</v>
      </c>
      <c r="C421" t="s">
        <v>461</v>
      </c>
      <c r="D421" t="s">
        <v>143</v>
      </c>
      <c r="E421" t="s">
        <v>144</v>
      </c>
      <c r="F421" t="s">
        <v>736</v>
      </c>
      <c r="H421">
        <v>741.2</v>
      </c>
      <c r="I421">
        <v>0</v>
      </c>
      <c r="J421" t="s">
        <v>230</v>
      </c>
      <c r="K421" t="s">
        <v>965</v>
      </c>
      <c r="L421" t="s">
        <v>218</v>
      </c>
      <c r="M421" t="s">
        <v>219</v>
      </c>
      <c r="N421" s="19">
        <v>46262</v>
      </c>
      <c r="O421" t="s">
        <v>220</v>
      </c>
      <c r="P421">
        <v>1</v>
      </c>
      <c r="Q421" t="s">
        <v>1514</v>
      </c>
    </row>
    <row r="422" spans="1:17" x14ac:dyDescent="0.3">
      <c r="A422" t="s">
        <v>1515</v>
      </c>
      <c r="B422" t="s">
        <v>1516</v>
      </c>
      <c r="C422" t="s">
        <v>732</v>
      </c>
      <c r="D422" t="s">
        <v>143</v>
      </c>
      <c r="E422" t="s">
        <v>144</v>
      </c>
      <c r="F422" t="s">
        <v>736</v>
      </c>
      <c r="G422" t="s">
        <v>1299</v>
      </c>
      <c r="H422">
        <v>10875.13</v>
      </c>
      <c r="I422">
        <v>0</v>
      </c>
      <c r="J422" t="s">
        <v>230</v>
      </c>
      <c r="K422" t="s">
        <v>48</v>
      </c>
      <c r="L422" t="s">
        <v>218</v>
      </c>
      <c r="M422" t="s">
        <v>219</v>
      </c>
      <c r="N422" s="19">
        <v>46262</v>
      </c>
      <c r="O422" t="s">
        <v>220</v>
      </c>
      <c r="P422">
        <v>1</v>
      </c>
      <c r="Q422" t="s">
        <v>1517</v>
      </c>
    </row>
    <row r="423" spans="1:17" x14ac:dyDescent="0.3">
      <c r="A423" t="s">
        <v>1518</v>
      </c>
      <c r="B423" t="s">
        <v>1519</v>
      </c>
      <c r="C423" t="s">
        <v>461</v>
      </c>
      <c r="D423" t="s">
        <v>143</v>
      </c>
      <c r="E423" t="s">
        <v>144</v>
      </c>
      <c r="F423" t="s">
        <v>736</v>
      </c>
      <c r="H423">
        <v>1127.52</v>
      </c>
      <c r="I423">
        <v>0</v>
      </c>
      <c r="J423" t="s">
        <v>230</v>
      </c>
      <c r="K423" t="s">
        <v>965</v>
      </c>
      <c r="L423" t="s">
        <v>218</v>
      </c>
      <c r="M423" t="s">
        <v>219</v>
      </c>
      <c r="N423" s="19">
        <v>46262</v>
      </c>
      <c r="O423" t="s">
        <v>220</v>
      </c>
      <c r="P423">
        <v>1</v>
      </c>
      <c r="Q423" t="s">
        <v>1520</v>
      </c>
    </row>
    <row r="424" spans="1:17" x14ac:dyDescent="0.3">
      <c r="A424" t="s">
        <v>1521</v>
      </c>
      <c r="B424" t="s">
        <v>1522</v>
      </c>
      <c r="C424" t="s">
        <v>518</v>
      </c>
      <c r="D424" t="s">
        <v>143</v>
      </c>
      <c r="E424" t="s">
        <v>144</v>
      </c>
      <c r="F424" t="s">
        <v>736</v>
      </c>
      <c r="H424">
        <v>1697</v>
      </c>
      <c r="I424">
        <v>0</v>
      </c>
      <c r="J424" t="s">
        <v>230</v>
      </c>
      <c r="K424" t="s">
        <v>42</v>
      </c>
      <c r="L424" t="s">
        <v>218</v>
      </c>
      <c r="M424" t="s">
        <v>219</v>
      </c>
      <c r="N424" s="19">
        <v>46262</v>
      </c>
      <c r="O424" t="s">
        <v>220</v>
      </c>
      <c r="P424">
        <v>1</v>
      </c>
      <c r="Q424" t="s">
        <v>1523</v>
      </c>
    </row>
    <row r="425" spans="1:17" x14ac:dyDescent="0.3">
      <c r="A425" t="s">
        <v>1524</v>
      </c>
      <c r="B425" t="s">
        <v>1525</v>
      </c>
      <c r="C425" t="s">
        <v>461</v>
      </c>
      <c r="D425" t="s">
        <v>143</v>
      </c>
      <c r="E425" t="s">
        <v>144</v>
      </c>
      <c r="F425" t="s">
        <v>736</v>
      </c>
      <c r="H425">
        <v>20044.8</v>
      </c>
      <c r="I425">
        <v>0</v>
      </c>
      <c r="J425" t="s">
        <v>230</v>
      </c>
      <c r="K425" t="s">
        <v>965</v>
      </c>
      <c r="L425" t="s">
        <v>218</v>
      </c>
      <c r="M425" t="s">
        <v>219</v>
      </c>
      <c r="N425" s="19">
        <v>46262</v>
      </c>
      <c r="O425" t="s">
        <v>220</v>
      </c>
      <c r="P425">
        <v>1</v>
      </c>
      <c r="Q425" t="s">
        <v>1526</v>
      </c>
    </row>
    <row r="426" spans="1:17" x14ac:dyDescent="0.3">
      <c r="A426" t="s">
        <v>1527</v>
      </c>
      <c r="B426" t="s">
        <v>1528</v>
      </c>
      <c r="C426" t="s">
        <v>214</v>
      </c>
      <c r="D426" t="s">
        <v>145</v>
      </c>
      <c r="E426" t="s">
        <v>146</v>
      </c>
      <c r="F426" t="s">
        <v>215</v>
      </c>
      <c r="H426">
        <v>365.88</v>
      </c>
      <c r="I426">
        <v>0</v>
      </c>
      <c r="J426" t="s">
        <v>216</v>
      </c>
      <c r="K426" t="s">
        <v>42</v>
      </c>
      <c r="L426" t="s">
        <v>218</v>
      </c>
      <c r="M426" t="s">
        <v>219</v>
      </c>
      <c r="N426" s="19">
        <v>46262</v>
      </c>
      <c r="O426" t="s">
        <v>220</v>
      </c>
      <c r="P426">
        <v>1</v>
      </c>
      <c r="Q426" t="s">
        <v>1529</v>
      </c>
    </row>
    <row r="427" spans="1:17" x14ac:dyDescent="0.3">
      <c r="A427" t="s">
        <v>1530</v>
      </c>
      <c r="B427" t="s">
        <v>1531</v>
      </c>
      <c r="C427" t="s">
        <v>214</v>
      </c>
      <c r="D427" t="s">
        <v>145</v>
      </c>
      <c r="E427" t="s">
        <v>146</v>
      </c>
      <c r="F427" t="s">
        <v>215</v>
      </c>
      <c r="H427">
        <v>1000</v>
      </c>
      <c r="I427">
        <v>0</v>
      </c>
      <c r="J427" t="s">
        <v>216</v>
      </c>
      <c r="K427" t="s">
        <v>52</v>
      </c>
      <c r="L427" t="s">
        <v>218</v>
      </c>
      <c r="M427" t="s">
        <v>219</v>
      </c>
      <c r="N427" s="19">
        <v>46262</v>
      </c>
      <c r="O427" t="s">
        <v>220</v>
      </c>
      <c r="P427">
        <v>1</v>
      </c>
      <c r="Q427" t="s">
        <v>1532</v>
      </c>
    </row>
    <row r="428" spans="1:17" x14ac:dyDescent="0.3">
      <c r="A428" t="s">
        <v>1533</v>
      </c>
      <c r="B428" t="s">
        <v>1534</v>
      </c>
      <c r="C428" t="s">
        <v>518</v>
      </c>
      <c r="D428" t="s">
        <v>145</v>
      </c>
      <c r="E428" t="s">
        <v>146</v>
      </c>
      <c r="F428" t="s">
        <v>215</v>
      </c>
      <c r="H428">
        <v>640</v>
      </c>
      <c r="I428">
        <v>0</v>
      </c>
      <c r="J428" t="s">
        <v>216</v>
      </c>
      <c r="K428" t="s">
        <v>52</v>
      </c>
      <c r="L428" t="s">
        <v>218</v>
      </c>
      <c r="M428" t="s">
        <v>219</v>
      </c>
      <c r="N428" s="19">
        <v>46262</v>
      </c>
      <c r="O428" t="s">
        <v>220</v>
      </c>
      <c r="P428">
        <v>1</v>
      </c>
      <c r="Q428" t="s">
        <v>1535</v>
      </c>
    </row>
    <row r="429" spans="1:17" x14ac:dyDescent="0.3">
      <c r="A429" t="s">
        <v>1536</v>
      </c>
      <c r="B429" t="s">
        <v>1537</v>
      </c>
      <c r="C429" t="s">
        <v>214</v>
      </c>
      <c r="D429" t="s">
        <v>145</v>
      </c>
      <c r="E429" t="s">
        <v>146</v>
      </c>
      <c r="F429" t="s">
        <v>215</v>
      </c>
      <c r="H429">
        <v>1289.3399999999999</v>
      </c>
      <c r="I429">
        <v>0</v>
      </c>
      <c r="J429" t="s">
        <v>216</v>
      </c>
      <c r="K429" t="s">
        <v>52</v>
      </c>
      <c r="L429" t="s">
        <v>218</v>
      </c>
      <c r="M429" t="s">
        <v>219</v>
      </c>
      <c r="N429" s="19">
        <v>46262</v>
      </c>
      <c r="O429" t="s">
        <v>220</v>
      </c>
      <c r="P429">
        <v>1</v>
      </c>
      <c r="Q429" t="s">
        <v>1538</v>
      </c>
    </row>
    <row r="430" spans="1:17" x14ac:dyDescent="0.3">
      <c r="A430" t="s">
        <v>1539</v>
      </c>
      <c r="B430" t="s">
        <v>1540</v>
      </c>
      <c r="C430" t="s">
        <v>214</v>
      </c>
      <c r="D430" t="s">
        <v>145</v>
      </c>
      <c r="E430" t="s">
        <v>146</v>
      </c>
      <c r="F430" t="s">
        <v>215</v>
      </c>
      <c r="H430">
        <v>547.04999999999995</v>
      </c>
      <c r="I430">
        <v>0</v>
      </c>
      <c r="J430" t="s">
        <v>216</v>
      </c>
      <c r="K430" t="s">
        <v>48</v>
      </c>
      <c r="L430" t="s">
        <v>218</v>
      </c>
      <c r="M430" t="s">
        <v>219</v>
      </c>
      <c r="N430" s="19">
        <v>46262</v>
      </c>
      <c r="O430" t="s">
        <v>220</v>
      </c>
      <c r="P430">
        <v>1</v>
      </c>
      <c r="Q430" t="s">
        <v>1541</v>
      </c>
    </row>
    <row r="431" spans="1:17" x14ac:dyDescent="0.3">
      <c r="A431" t="s">
        <v>1542</v>
      </c>
      <c r="B431" t="s">
        <v>1543</v>
      </c>
      <c r="C431" t="s">
        <v>461</v>
      </c>
      <c r="D431" t="s">
        <v>145</v>
      </c>
      <c r="E431" t="s">
        <v>146</v>
      </c>
      <c r="F431" t="s">
        <v>215</v>
      </c>
      <c r="H431">
        <v>752.51</v>
      </c>
      <c r="I431">
        <v>0</v>
      </c>
      <c r="J431" t="s">
        <v>216</v>
      </c>
      <c r="K431" t="s">
        <v>965</v>
      </c>
      <c r="L431" t="s">
        <v>218</v>
      </c>
      <c r="M431" t="s">
        <v>219</v>
      </c>
      <c r="N431" s="19">
        <v>46262</v>
      </c>
      <c r="O431" t="s">
        <v>220</v>
      </c>
      <c r="P431">
        <v>1</v>
      </c>
      <c r="Q431" t="s">
        <v>1544</v>
      </c>
    </row>
    <row r="432" spans="1:17" x14ac:dyDescent="0.3">
      <c r="A432" t="s">
        <v>1545</v>
      </c>
      <c r="B432" t="s">
        <v>1546</v>
      </c>
      <c r="C432" t="s">
        <v>518</v>
      </c>
      <c r="D432" t="s">
        <v>145</v>
      </c>
      <c r="E432" t="s">
        <v>146</v>
      </c>
      <c r="F432" t="s">
        <v>215</v>
      </c>
      <c r="H432">
        <v>203.58</v>
      </c>
      <c r="I432">
        <v>0</v>
      </c>
      <c r="J432" t="s">
        <v>216</v>
      </c>
      <c r="K432" t="s">
        <v>887</v>
      </c>
      <c r="L432" t="s">
        <v>218</v>
      </c>
      <c r="M432" t="s">
        <v>219</v>
      </c>
      <c r="N432" s="19">
        <v>46262</v>
      </c>
      <c r="O432" t="s">
        <v>220</v>
      </c>
      <c r="P432">
        <v>1</v>
      </c>
      <c r="Q432" t="s">
        <v>1547</v>
      </c>
    </row>
    <row r="433" spans="1:18" x14ac:dyDescent="0.3">
      <c r="A433" t="s">
        <v>1548</v>
      </c>
      <c r="B433" t="s">
        <v>1549</v>
      </c>
      <c r="C433" t="s">
        <v>214</v>
      </c>
      <c r="D433" t="s">
        <v>145</v>
      </c>
      <c r="E433" t="s">
        <v>146</v>
      </c>
      <c r="F433" t="s">
        <v>215</v>
      </c>
      <c r="H433">
        <v>135.72</v>
      </c>
      <c r="I433">
        <v>0</v>
      </c>
      <c r="J433" t="s">
        <v>216</v>
      </c>
      <c r="K433" t="s">
        <v>52</v>
      </c>
      <c r="L433" t="s">
        <v>218</v>
      </c>
      <c r="M433" t="s">
        <v>219</v>
      </c>
      <c r="N433" s="19">
        <v>46262</v>
      </c>
      <c r="O433" t="s">
        <v>220</v>
      </c>
      <c r="P433">
        <v>1</v>
      </c>
      <c r="Q433" t="s">
        <v>1550</v>
      </c>
    </row>
    <row r="434" spans="1:18" x14ac:dyDescent="0.3">
      <c r="A434" t="s">
        <v>1551</v>
      </c>
      <c r="B434" t="s">
        <v>1552</v>
      </c>
      <c r="C434" t="s">
        <v>214</v>
      </c>
      <c r="D434" t="s">
        <v>145</v>
      </c>
      <c r="E434" t="s">
        <v>146</v>
      </c>
      <c r="F434" t="s">
        <v>215</v>
      </c>
      <c r="H434">
        <v>755.12</v>
      </c>
      <c r="I434">
        <v>0</v>
      </c>
      <c r="J434" t="s">
        <v>216</v>
      </c>
      <c r="K434" t="s">
        <v>48</v>
      </c>
      <c r="L434" t="s">
        <v>218</v>
      </c>
      <c r="M434" t="s">
        <v>219</v>
      </c>
      <c r="N434" s="19">
        <v>46262</v>
      </c>
      <c r="O434" t="s">
        <v>220</v>
      </c>
      <c r="P434">
        <v>1</v>
      </c>
      <c r="Q434" t="s">
        <v>1553</v>
      </c>
    </row>
    <row r="435" spans="1:18" x14ac:dyDescent="0.3">
      <c r="A435" t="s">
        <v>1554</v>
      </c>
      <c r="B435" t="s">
        <v>1555</v>
      </c>
      <c r="C435" t="s">
        <v>732</v>
      </c>
      <c r="D435" t="s">
        <v>145</v>
      </c>
      <c r="E435" t="s">
        <v>146</v>
      </c>
      <c r="F435" t="s">
        <v>215</v>
      </c>
      <c r="H435">
        <v>11296.84</v>
      </c>
      <c r="I435">
        <v>0</v>
      </c>
      <c r="J435" t="s">
        <v>216</v>
      </c>
      <c r="K435" t="s">
        <v>965</v>
      </c>
      <c r="L435" t="s">
        <v>218</v>
      </c>
      <c r="M435" t="s">
        <v>219</v>
      </c>
      <c r="N435" s="19">
        <v>46262</v>
      </c>
      <c r="O435" t="s">
        <v>220</v>
      </c>
      <c r="P435">
        <v>1</v>
      </c>
      <c r="Q435" t="s">
        <v>1556</v>
      </c>
    </row>
    <row r="436" spans="1:18" x14ac:dyDescent="0.3">
      <c r="A436" t="s">
        <v>1557</v>
      </c>
      <c r="B436" t="s">
        <v>1558</v>
      </c>
      <c r="C436" t="s">
        <v>518</v>
      </c>
      <c r="D436" t="s">
        <v>145</v>
      </c>
      <c r="E436" t="s">
        <v>146</v>
      </c>
      <c r="F436" t="s">
        <v>215</v>
      </c>
      <c r="H436">
        <v>610.74</v>
      </c>
      <c r="I436">
        <v>0</v>
      </c>
      <c r="J436" t="s">
        <v>216</v>
      </c>
      <c r="K436" t="s">
        <v>887</v>
      </c>
      <c r="L436" t="s">
        <v>218</v>
      </c>
      <c r="M436" t="s">
        <v>219</v>
      </c>
      <c r="N436" s="19">
        <v>46262</v>
      </c>
      <c r="O436" t="s">
        <v>220</v>
      </c>
      <c r="P436">
        <v>1</v>
      </c>
      <c r="Q436" t="s">
        <v>1559</v>
      </c>
    </row>
    <row r="437" spans="1:18" x14ac:dyDescent="0.3">
      <c r="A437" t="s">
        <v>1560</v>
      </c>
      <c r="B437" t="s">
        <v>1561</v>
      </c>
      <c r="C437" t="s">
        <v>289</v>
      </c>
      <c r="D437" t="s">
        <v>145</v>
      </c>
      <c r="E437" t="s">
        <v>146</v>
      </c>
      <c r="F437" t="s">
        <v>215</v>
      </c>
      <c r="H437">
        <v>12325.63</v>
      </c>
      <c r="I437">
        <v>0</v>
      </c>
      <c r="J437" t="s">
        <v>216</v>
      </c>
      <c r="K437" t="s">
        <v>52</v>
      </c>
      <c r="L437" t="s">
        <v>218</v>
      </c>
      <c r="M437" t="s">
        <v>219</v>
      </c>
      <c r="N437" s="19">
        <v>46262</v>
      </c>
      <c r="O437" t="s">
        <v>220</v>
      </c>
      <c r="P437">
        <v>1</v>
      </c>
      <c r="Q437" t="s">
        <v>1562</v>
      </c>
    </row>
    <row r="438" spans="1:18" x14ac:dyDescent="0.3">
      <c r="A438" t="s">
        <v>1563</v>
      </c>
      <c r="B438" t="s">
        <v>1564</v>
      </c>
      <c r="C438" t="s">
        <v>214</v>
      </c>
      <c r="D438" t="s">
        <v>145</v>
      </c>
      <c r="E438" t="s">
        <v>146</v>
      </c>
      <c r="F438" t="s">
        <v>531</v>
      </c>
      <c r="H438">
        <v>339.3</v>
      </c>
      <c r="I438">
        <v>0</v>
      </c>
      <c r="J438" t="s">
        <v>216</v>
      </c>
      <c r="K438" t="s">
        <v>48</v>
      </c>
      <c r="L438" t="s">
        <v>218</v>
      </c>
      <c r="M438" t="s">
        <v>219</v>
      </c>
      <c r="N438" s="19">
        <v>46262</v>
      </c>
      <c r="O438" t="s">
        <v>220</v>
      </c>
      <c r="P438">
        <v>1</v>
      </c>
      <c r="Q438" t="s">
        <v>1565</v>
      </c>
    </row>
    <row r="439" spans="1:18" x14ac:dyDescent="0.3">
      <c r="A439" t="s">
        <v>1566</v>
      </c>
      <c r="B439" t="s">
        <v>1567</v>
      </c>
      <c r="C439" t="s">
        <v>214</v>
      </c>
      <c r="D439" t="s">
        <v>145</v>
      </c>
      <c r="E439" t="s">
        <v>146</v>
      </c>
      <c r="F439" t="s">
        <v>531</v>
      </c>
      <c r="H439">
        <v>1000</v>
      </c>
      <c r="I439">
        <v>0</v>
      </c>
      <c r="J439" t="s">
        <v>216</v>
      </c>
      <c r="K439" t="s">
        <v>48</v>
      </c>
      <c r="L439" t="s">
        <v>218</v>
      </c>
      <c r="M439" t="s">
        <v>219</v>
      </c>
      <c r="N439" s="19">
        <v>46262</v>
      </c>
      <c r="O439" t="s">
        <v>220</v>
      </c>
      <c r="P439">
        <v>1</v>
      </c>
      <c r="Q439" t="s">
        <v>1568</v>
      </c>
    </row>
    <row r="440" spans="1:18" x14ac:dyDescent="0.3">
      <c r="A440" t="s">
        <v>1569</v>
      </c>
      <c r="B440" t="s">
        <v>1570</v>
      </c>
      <c r="C440" t="s">
        <v>214</v>
      </c>
      <c r="D440" t="s">
        <v>145</v>
      </c>
      <c r="E440" t="s">
        <v>146</v>
      </c>
      <c r="F440" t="s">
        <v>531</v>
      </c>
      <c r="H440">
        <v>761.21</v>
      </c>
      <c r="I440">
        <v>0</v>
      </c>
      <c r="J440" t="s">
        <v>216</v>
      </c>
      <c r="K440" t="s">
        <v>48</v>
      </c>
      <c r="L440" t="s">
        <v>218</v>
      </c>
      <c r="M440" t="s">
        <v>219</v>
      </c>
      <c r="N440" s="19">
        <v>46262</v>
      </c>
      <c r="O440" t="s">
        <v>220</v>
      </c>
      <c r="P440">
        <v>1</v>
      </c>
      <c r="Q440" t="s">
        <v>1571</v>
      </c>
    </row>
    <row r="441" spans="1:18" x14ac:dyDescent="0.3">
      <c r="A441" t="s">
        <v>1572</v>
      </c>
      <c r="B441" t="s">
        <v>1573</v>
      </c>
      <c r="C441" t="s">
        <v>214</v>
      </c>
      <c r="D441" t="s">
        <v>145</v>
      </c>
      <c r="E441" t="s">
        <v>146</v>
      </c>
      <c r="F441" t="s">
        <v>531</v>
      </c>
      <c r="H441">
        <v>762.08</v>
      </c>
      <c r="I441">
        <v>0</v>
      </c>
      <c r="J441" t="s">
        <v>216</v>
      </c>
      <c r="K441" t="s">
        <v>48</v>
      </c>
      <c r="L441" t="s">
        <v>218</v>
      </c>
      <c r="M441" t="s">
        <v>219</v>
      </c>
      <c r="N441" s="19">
        <v>46262</v>
      </c>
      <c r="O441" t="s">
        <v>220</v>
      </c>
      <c r="P441">
        <v>1</v>
      </c>
      <c r="Q441" t="s">
        <v>1574</v>
      </c>
    </row>
    <row r="442" spans="1:18" x14ac:dyDescent="0.3">
      <c r="A442" t="s">
        <v>1575</v>
      </c>
      <c r="B442" t="s">
        <v>1576</v>
      </c>
      <c r="C442" t="s">
        <v>214</v>
      </c>
      <c r="D442" t="s">
        <v>145</v>
      </c>
      <c r="E442" t="s">
        <v>146</v>
      </c>
      <c r="F442" t="s">
        <v>531</v>
      </c>
      <c r="H442">
        <v>75.2</v>
      </c>
      <c r="I442">
        <v>0</v>
      </c>
      <c r="J442" t="s">
        <v>216</v>
      </c>
      <c r="K442" t="s">
        <v>48</v>
      </c>
      <c r="L442" t="s">
        <v>218</v>
      </c>
      <c r="M442" t="s">
        <v>219</v>
      </c>
      <c r="N442" s="19">
        <v>46262</v>
      </c>
      <c r="O442" t="s">
        <v>220</v>
      </c>
      <c r="P442">
        <v>1</v>
      </c>
      <c r="Q442" t="s">
        <v>1577</v>
      </c>
    </row>
    <row r="443" spans="1:18" x14ac:dyDescent="0.3">
      <c r="A443" t="s">
        <v>1578</v>
      </c>
      <c r="B443" t="s">
        <v>1579</v>
      </c>
      <c r="C443" t="s">
        <v>214</v>
      </c>
      <c r="D443" t="s">
        <v>145</v>
      </c>
      <c r="E443" t="s">
        <v>146</v>
      </c>
      <c r="F443" t="s">
        <v>531</v>
      </c>
      <c r="H443">
        <v>763.82</v>
      </c>
      <c r="I443">
        <v>0</v>
      </c>
      <c r="J443" t="s">
        <v>216</v>
      </c>
      <c r="K443" t="s">
        <v>48</v>
      </c>
      <c r="L443" t="s">
        <v>218</v>
      </c>
      <c r="M443" t="s">
        <v>219</v>
      </c>
      <c r="N443" s="19">
        <v>46262</v>
      </c>
      <c r="O443" t="s">
        <v>220</v>
      </c>
      <c r="P443">
        <v>1</v>
      </c>
      <c r="Q443" t="s">
        <v>1580</v>
      </c>
    </row>
    <row r="444" spans="1:18" x14ac:dyDescent="0.3">
      <c r="A444" t="s">
        <v>1581</v>
      </c>
      <c r="B444" t="s">
        <v>1129</v>
      </c>
      <c r="C444" t="s">
        <v>214</v>
      </c>
      <c r="D444" t="s">
        <v>145</v>
      </c>
      <c r="E444" t="s">
        <v>146</v>
      </c>
      <c r="F444" t="s">
        <v>531</v>
      </c>
      <c r="G444" t="s">
        <v>1026</v>
      </c>
      <c r="H444">
        <v>746.46</v>
      </c>
      <c r="I444">
        <v>5</v>
      </c>
      <c r="J444" t="s">
        <v>216</v>
      </c>
      <c r="K444" t="s">
        <v>48</v>
      </c>
      <c r="L444" t="s">
        <v>92</v>
      </c>
      <c r="M444" t="s">
        <v>219</v>
      </c>
      <c r="N444" s="19">
        <v>46262</v>
      </c>
      <c r="O444" t="s">
        <v>220</v>
      </c>
      <c r="P444">
        <v>2</v>
      </c>
      <c r="Q444" t="s">
        <v>1582</v>
      </c>
      <c r="R444" t="s">
        <v>92</v>
      </c>
    </row>
    <row r="445" spans="1:18" x14ac:dyDescent="0.3">
      <c r="A445" t="s">
        <v>1583</v>
      </c>
      <c r="B445" t="s">
        <v>1584</v>
      </c>
      <c r="C445" t="s">
        <v>214</v>
      </c>
      <c r="D445" t="s">
        <v>145</v>
      </c>
      <c r="E445" t="s">
        <v>146</v>
      </c>
      <c r="F445" t="s">
        <v>531</v>
      </c>
      <c r="H445">
        <v>475.02</v>
      </c>
      <c r="I445">
        <v>0</v>
      </c>
      <c r="J445" t="s">
        <v>216</v>
      </c>
      <c r="K445" t="s">
        <v>965</v>
      </c>
      <c r="L445" t="s">
        <v>218</v>
      </c>
      <c r="M445" t="s">
        <v>219</v>
      </c>
      <c r="N445" s="19">
        <v>46262</v>
      </c>
      <c r="O445" t="s">
        <v>220</v>
      </c>
      <c r="P445">
        <v>1</v>
      </c>
      <c r="Q445" t="s">
        <v>1585</v>
      </c>
    </row>
    <row r="446" spans="1:18" x14ac:dyDescent="0.3">
      <c r="A446" t="s">
        <v>1586</v>
      </c>
      <c r="B446" t="s">
        <v>1587</v>
      </c>
      <c r="C446" t="s">
        <v>214</v>
      </c>
      <c r="D446" t="s">
        <v>145</v>
      </c>
      <c r="E446" t="s">
        <v>146</v>
      </c>
      <c r="F446" t="s">
        <v>531</v>
      </c>
      <c r="H446">
        <v>4500</v>
      </c>
      <c r="I446">
        <v>0</v>
      </c>
      <c r="J446" t="s">
        <v>216</v>
      </c>
      <c r="K446" t="s">
        <v>48</v>
      </c>
      <c r="L446" t="s">
        <v>218</v>
      </c>
      <c r="M446" t="s">
        <v>219</v>
      </c>
      <c r="N446" s="19">
        <v>46262</v>
      </c>
      <c r="O446" t="s">
        <v>220</v>
      </c>
      <c r="P446">
        <v>1</v>
      </c>
      <c r="Q446" t="s">
        <v>1588</v>
      </c>
    </row>
    <row r="447" spans="1:18" x14ac:dyDescent="0.3">
      <c r="A447" t="s">
        <v>1589</v>
      </c>
      <c r="B447" t="s">
        <v>1590</v>
      </c>
      <c r="C447" t="s">
        <v>214</v>
      </c>
      <c r="D447" t="s">
        <v>145</v>
      </c>
      <c r="E447" t="s">
        <v>146</v>
      </c>
      <c r="F447" t="s">
        <v>531</v>
      </c>
      <c r="H447">
        <v>5500</v>
      </c>
      <c r="I447">
        <v>0</v>
      </c>
      <c r="J447" t="s">
        <v>216</v>
      </c>
      <c r="K447" t="s">
        <v>48</v>
      </c>
      <c r="L447" t="s">
        <v>218</v>
      </c>
      <c r="M447" t="s">
        <v>219</v>
      </c>
      <c r="N447" s="19">
        <v>46262</v>
      </c>
      <c r="O447" t="s">
        <v>220</v>
      </c>
      <c r="P447">
        <v>1</v>
      </c>
      <c r="Q447" t="s">
        <v>1591</v>
      </c>
    </row>
    <row r="448" spans="1:18" x14ac:dyDescent="0.3">
      <c r="A448" t="s">
        <v>1592</v>
      </c>
      <c r="B448" t="s">
        <v>1593</v>
      </c>
      <c r="C448" t="s">
        <v>214</v>
      </c>
      <c r="D448" t="s">
        <v>145</v>
      </c>
      <c r="E448" t="s">
        <v>146</v>
      </c>
      <c r="F448" t="s">
        <v>531</v>
      </c>
      <c r="G448" t="s">
        <v>1026</v>
      </c>
      <c r="H448">
        <v>3393</v>
      </c>
      <c r="I448">
        <v>5</v>
      </c>
      <c r="J448" t="s">
        <v>216</v>
      </c>
      <c r="K448" t="s">
        <v>48</v>
      </c>
      <c r="L448" t="s">
        <v>92</v>
      </c>
      <c r="M448" t="s">
        <v>219</v>
      </c>
      <c r="N448" s="19">
        <v>46262</v>
      </c>
      <c r="O448" t="s">
        <v>220</v>
      </c>
      <c r="P448">
        <v>1</v>
      </c>
      <c r="Q448" t="s">
        <v>1594</v>
      </c>
    </row>
    <row r="449" spans="1:17" x14ac:dyDescent="0.3">
      <c r="A449" t="s">
        <v>1595</v>
      </c>
      <c r="B449" t="s">
        <v>1596</v>
      </c>
      <c r="C449" t="s">
        <v>214</v>
      </c>
      <c r="D449" t="s">
        <v>145</v>
      </c>
      <c r="E449" t="s">
        <v>146</v>
      </c>
      <c r="F449" t="s">
        <v>531</v>
      </c>
      <c r="G449" t="s">
        <v>1026</v>
      </c>
      <c r="H449">
        <v>4071.6</v>
      </c>
      <c r="I449">
        <v>5</v>
      </c>
      <c r="J449" t="s">
        <v>216</v>
      </c>
      <c r="K449" t="s">
        <v>48</v>
      </c>
      <c r="L449" t="s">
        <v>92</v>
      </c>
      <c r="M449" t="s">
        <v>219</v>
      </c>
      <c r="N449" s="19">
        <v>46262</v>
      </c>
      <c r="O449" t="s">
        <v>220</v>
      </c>
      <c r="P449">
        <v>1</v>
      </c>
      <c r="Q449" t="s">
        <v>1597</v>
      </c>
    </row>
    <row r="450" spans="1:17" x14ac:dyDescent="0.3">
      <c r="A450" t="s">
        <v>1598</v>
      </c>
      <c r="B450" t="s">
        <v>1599</v>
      </c>
      <c r="C450" t="s">
        <v>514</v>
      </c>
      <c r="D450" t="s">
        <v>145</v>
      </c>
      <c r="E450" t="s">
        <v>146</v>
      </c>
      <c r="F450" t="s">
        <v>531</v>
      </c>
      <c r="H450">
        <v>3725.76</v>
      </c>
      <c r="I450">
        <v>0</v>
      </c>
      <c r="J450" t="s">
        <v>216</v>
      </c>
      <c r="K450" t="s">
        <v>1267</v>
      </c>
      <c r="L450" t="s">
        <v>218</v>
      </c>
      <c r="M450" t="s">
        <v>219</v>
      </c>
      <c r="N450" s="19">
        <v>46262</v>
      </c>
      <c r="O450" t="s">
        <v>220</v>
      </c>
      <c r="P450">
        <v>1</v>
      </c>
      <c r="Q450" t="s">
        <v>1600</v>
      </c>
    </row>
    <row r="451" spans="1:17" x14ac:dyDescent="0.3">
      <c r="A451" t="s">
        <v>1601</v>
      </c>
      <c r="B451" t="s">
        <v>1602</v>
      </c>
      <c r="C451" t="s">
        <v>214</v>
      </c>
      <c r="D451" t="s">
        <v>145</v>
      </c>
      <c r="E451" t="s">
        <v>146</v>
      </c>
      <c r="F451" t="s">
        <v>531</v>
      </c>
      <c r="H451">
        <v>3500</v>
      </c>
      <c r="I451">
        <v>0</v>
      </c>
      <c r="J451" t="s">
        <v>216</v>
      </c>
      <c r="K451" t="s">
        <v>52</v>
      </c>
      <c r="L451" t="s">
        <v>218</v>
      </c>
      <c r="M451" t="s">
        <v>219</v>
      </c>
      <c r="N451" s="19">
        <v>46262</v>
      </c>
      <c r="O451" t="s">
        <v>220</v>
      </c>
      <c r="P451">
        <v>1</v>
      </c>
      <c r="Q451" t="s">
        <v>1603</v>
      </c>
    </row>
    <row r="452" spans="1:17" x14ac:dyDescent="0.3">
      <c r="A452" t="s">
        <v>1604</v>
      </c>
      <c r="B452" t="s">
        <v>1605</v>
      </c>
      <c r="C452" t="s">
        <v>214</v>
      </c>
      <c r="D452" t="s">
        <v>145</v>
      </c>
      <c r="E452" t="s">
        <v>146</v>
      </c>
      <c r="F452" t="s">
        <v>531</v>
      </c>
      <c r="H452">
        <v>771.65</v>
      </c>
      <c r="I452">
        <v>0</v>
      </c>
      <c r="J452" t="s">
        <v>216</v>
      </c>
      <c r="K452" t="s">
        <v>42</v>
      </c>
      <c r="L452" t="s">
        <v>218</v>
      </c>
      <c r="M452" t="s">
        <v>219</v>
      </c>
      <c r="N452" s="19">
        <v>46262</v>
      </c>
      <c r="O452" t="s">
        <v>220</v>
      </c>
      <c r="P452">
        <v>1</v>
      </c>
      <c r="Q452" t="s">
        <v>1606</v>
      </c>
    </row>
    <row r="453" spans="1:17" x14ac:dyDescent="0.3">
      <c r="A453" t="s">
        <v>1607</v>
      </c>
      <c r="B453" t="s">
        <v>1608</v>
      </c>
      <c r="C453" t="s">
        <v>214</v>
      </c>
      <c r="D453" t="s">
        <v>145</v>
      </c>
      <c r="E453" t="s">
        <v>146</v>
      </c>
      <c r="F453" t="s">
        <v>531</v>
      </c>
      <c r="H453">
        <v>350</v>
      </c>
      <c r="I453">
        <v>0</v>
      </c>
      <c r="J453" t="s">
        <v>216</v>
      </c>
      <c r="K453" t="s">
        <v>48</v>
      </c>
      <c r="L453" t="s">
        <v>218</v>
      </c>
      <c r="M453" t="s">
        <v>219</v>
      </c>
      <c r="N453" s="19">
        <v>46262</v>
      </c>
      <c r="O453" t="s">
        <v>220</v>
      </c>
      <c r="P453">
        <v>1</v>
      </c>
      <c r="Q453" t="s">
        <v>1609</v>
      </c>
    </row>
    <row r="454" spans="1:17" x14ac:dyDescent="0.3">
      <c r="A454" t="s">
        <v>1610</v>
      </c>
      <c r="B454" t="s">
        <v>1611</v>
      </c>
      <c r="C454" t="s">
        <v>289</v>
      </c>
      <c r="D454" t="s">
        <v>145</v>
      </c>
      <c r="E454" t="s">
        <v>146</v>
      </c>
      <c r="F454" t="s">
        <v>531</v>
      </c>
      <c r="H454">
        <v>36442.949999999997</v>
      </c>
      <c r="I454">
        <v>0</v>
      </c>
      <c r="J454" t="s">
        <v>216</v>
      </c>
      <c r="K454" t="s">
        <v>52</v>
      </c>
      <c r="L454" t="s">
        <v>218</v>
      </c>
      <c r="M454" t="s">
        <v>219</v>
      </c>
      <c r="N454" s="19">
        <v>46262</v>
      </c>
      <c r="O454" t="s">
        <v>220</v>
      </c>
      <c r="P454">
        <v>1</v>
      </c>
      <c r="Q454" t="s">
        <v>1612</v>
      </c>
    </row>
    <row r="455" spans="1:17" x14ac:dyDescent="0.3">
      <c r="A455" t="s">
        <v>1613</v>
      </c>
      <c r="B455" t="s">
        <v>1614</v>
      </c>
      <c r="C455" t="s">
        <v>214</v>
      </c>
      <c r="D455" t="s">
        <v>145</v>
      </c>
      <c r="E455" t="s">
        <v>146</v>
      </c>
      <c r="F455" t="s">
        <v>531</v>
      </c>
      <c r="H455">
        <v>3048.05</v>
      </c>
      <c r="I455">
        <v>0</v>
      </c>
      <c r="J455" t="s">
        <v>216</v>
      </c>
      <c r="K455" t="s">
        <v>52</v>
      </c>
      <c r="L455" t="s">
        <v>218</v>
      </c>
      <c r="M455" t="s">
        <v>219</v>
      </c>
      <c r="N455" s="19">
        <v>46262</v>
      </c>
      <c r="O455" t="s">
        <v>220</v>
      </c>
      <c r="P455">
        <v>1</v>
      </c>
      <c r="Q455" t="s">
        <v>1615</v>
      </c>
    </row>
    <row r="456" spans="1:17" x14ac:dyDescent="0.3">
      <c r="A456" t="s">
        <v>1616</v>
      </c>
      <c r="B456" t="s">
        <v>1617</v>
      </c>
      <c r="C456" t="s">
        <v>214</v>
      </c>
      <c r="D456" t="s">
        <v>145</v>
      </c>
      <c r="E456" t="s">
        <v>146</v>
      </c>
      <c r="F456" t="s">
        <v>531</v>
      </c>
      <c r="H456">
        <v>3048</v>
      </c>
      <c r="I456">
        <v>0</v>
      </c>
      <c r="J456" t="s">
        <v>216</v>
      </c>
      <c r="K456" t="s">
        <v>52</v>
      </c>
      <c r="L456" t="s">
        <v>218</v>
      </c>
      <c r="M456" t="s">
        <v>219</v>
      </c>
      <c r="N456" s="19">
        <v>46262</v>
      </c>
      <c r="O456" t="s">
        <v>220</v>
      </c>
      <c r="P456">
        <v>1</v>
      </c>
      <c r="Q456" t="s">
        <v>1618</v>
      </c>
    </row>
    <row r="457" spans="1:17" x14ac:dyDescent="0.3">
      <c r="A457" t="s">
        <v>1619</v>
      </c>
      <c r="B457" t="s">
        <v>1620</v>
      </c>
      <c r="C457" t="s">
        <v>518</v>
      </c>
      <c r="D457" t="s">
        <v>145</v>
      </c>
      <c r="E457" t="s">
        <v>146</v>
      </c>
      <c r="F457" t="s">
        <v>531</v>
      </c>
      <c r="H457">
        <v>451.35</v>
      </c>
      <c r="I457">
        <v>0</v>
      </c>
      <c r="J457" t="s">
        <v>216</v>
      </c>
      <c r="K457" t="s">
        <v>887</v>
      </c>
      <c r="L457" t="s">
        <v>218</v>
      </c>
      <c r="M457" t="s">
        <v>219</v>
      </c>
      <c r="N457" s="19">
        <v>46262</v>
      </c>
      <c r="O457" t="s">
        <v>220</v>
      </c>
      <c r="P457">
        <v>1</v>
      </c>
      <c r="Q457" t="s">
        <v>1621</v>
      </c>
    </row>
    <row r="458" spans="1:17" x14ac:dyDescent="0.3">
      <c r="A458" t="s">
        <v>1622</v>
      </c>
      <c r="B458" t="s">
        <v>1623</v>
      </c>
      <c r="C458" t="s">
        <v>214</v>
      </c>
      <c r="D458" t="s">
        <v>145</v>
      </c>
      <c r="E458" t="s">
        <v>146</v>
      </c>
      <c r="F458" t="s">
        <v>531</v>
      </c>
      <c r="H458">
        <v>2035.8</v>
      </c>
      <c r="I458">
        <v>0</v>
      </c>
      <c r="J458" t="s">
        <v>216</v>
      </c>
      <c r="K458" t="s">
        <v>48</v>
      </c>
      <c r="L458" t="s">
        <v>218</v>
      </c>
      <c r="M458" t="s">
        <v>219</v>
      </c>
      <c r="N458" s="19">
        <v>46262</v>
      </c>
      <c r="O458" t="s">
        <v>220</v>
      </c>
      <c r="P458">
        <v>1</v>
      </c>
      <c r="Q458" t="s">
        <v>1624</v>
      </c>
    </row>
    <row r="459" spans="1:17" x14ac:dyDescent="0.3">
      <c r="A459" t="s">
        <v>1625</v>
      </c>
      <c r="B459" t="s">
        <v>1626</v>
      </c>
      <c r="C459" t="s">
        <v>518</v>
      </c>
      <c r="D459" t="s">
        <v>145</v>
      </c>
      <c r="E459" t="s">
        <v>146</v>
      </c>
      <c r="F459" t="s">
        <v>531</v>
      </c>
      <c r="H459">
        <v>217.5</v>
      </c>
      <c r="I459">
        <v>0</v>
      </c>
      <c r="J459" t="s">
        <v>216</v>
      </c>
      <c r="K459" t="s">
        <v>965</v>
      </c>
      <c r="L459" t="s">
        <v>218</v>
      </c>
      <c r="M459" t="s">
        <v>219</v>
      </c>
      <c r="N459" s="19">
        <v>46262</v>
      </c>
      <c r="O459" t="s">
        <v>220</v>
      </c>
      <c r="P459">
        <v>1</v>
      </c>
      <c r="Q459" t="s">
        <v>1627</v>
      </c>
    </row>
    <row r="460" spans="1:17" x14ac:dyDescent="0.3">
      <c r="A460" t="s">
        <v>1628</v>
      </c>
      <c r="B460" t="s">
        <v>1629</v>
      </c>
      <c r="C460" t="s">
        <v>461</v>
      </c>
      <c r="D460" t="s">
        <v>145</v>
      </c>
      <c r="E460" t="s">
        <v>146</v>
      </c>
      <c r="F460" t="s">
        <v>531</v>
      </c>
      <c r="H460">
        <v>45000</v>
      </c>
      <c r="I460">
        <v>0</v>
      </c>
      <c r="J460" t="s">
        <v>216</v>
      </c>
      <c r="K460" t="s">
        <v>52</v>
      </c>
      <c r="L460" t="s">
        <v>218</v>
      </c>
      <c r="M460" t="s">
        <v>219</v>
      </c>
      <c r="N460" s="19">
        <v>46262</v>
      </c>
      <c r="O460" t="s">
        <v>220</v>
      </c>
      <c r="P460">
        <v>1</v>
      </c>
      <c r="Q460" t="s">
        <v>1630</v>
      </c>
    </row>
    <row r="461" spans="1:17" x14ac:dyDescent="0.3">
      <c r="A461" t="s">
        <v>1631</v>
      </c>
      <c r="B461" t="s">
        <v>1632</v>
      </c>
      <c r="C461" t="s">
        <v>461</v>
      </c>
      <c r="D461" t="s">
        <v>145</v>
      </c>
      <c r="E461" t="s">
        <v>146</v>
      </c>
      <c r="F461" t="s">
        <v>531</v>
      </c>
      <c r="H461">
        <v>53000</v>
      </c>
      <c r="I461">
        <v>0</v>
      </c>
      <c r="J461" t="s">
        <v>216</v>
      </c>
      <c r="K461" t="s">
        <v>52</v>
      </c>
      <c r="L461" t="s">
        <v>218</v>
      </c>
      <c r="M461" t="s">
        <v>219</v>
      </c>
      <c r="N461" s="19">
        <v>46262</v>
      </c>
      <c r="O461" t="s">
        <v>220</v>
      </c>
      <c r="P461">
        <v>1</v>
      </c>
      <c r="Q461" t="s">
        <v>1633</v>
      </c>
    </row>
    <row r="462" spans="1:17" x14ac:dyDescent="0.3">
      <c r="A462" t="s">
        <v>1634</v>
      </c>
      <c r="B462" t="s">
        <v>1635</v>
      </c>
      <c r="C462" t="s">
        <v>461</v>
      </c>
      <c r="D462" t="s">
        <v>145</v>
      </c>
      <c r="E462" t="s">
        <v>146</v>
      </c>
      <c r="F462" t="s">
        <v>531</v>
      </c>
      <c r="H462">
        <v>30000</v>
      </c>
      <c r="I462">
        <v>0</v>
      </c>
      <c r="J462" t="s">
        <v>216</v>
      </c>
      <c r="K462" t="s">
        <v>52</v>
      </c>
      <c r="L462" t="s">
        <v>218</v>
      </c>
      <c r="M462" t="s">
        <v>219</v>
      </c>
      <c r="N462" s="19">
        <v>46262</v>
      </c>
      <c r="O462" t="s">
        <v>220</v>
      </c>
      <c r="P462">
        <v>1</v>
      </c>
      <c r="Q462" t="s">
        <v>1636</v>
      </c>
    </row>
    <row r="463" spans="1:17" x14ac:dyDescent="0.3">
      <c r="A463" t="s">
        <v>1637</v>
      </c>
      <c r="B463" t="s">
        <v>1638</v>
      </c>
      <c r="C463" t="s">
        <v>514</v>
      </c>
      <c r="D463" t="s">
        <v>145</v>
      </c>
      <c r="E463" t="s">
        <v>146</v>
      </c>
      <c r="F463" t="s">
        <v>580</v>
      </c>
      <c r="H463">
        <v>4853.8500000000004</v>
      </c>
      <c r="I463">
        <v>0</v>
      </c>
      <c r="J463" t="s">
        <v>216</v>
      </c>
      <c r="K463" t="s">
        <v>1267</v>
      </c>
      <c r="L463" t="s">
        <v>218</v>
      </c>
      <c r="M463" t="s">
        <v>219</v>
      </c>
      <c r="N463" s="19">
        <v>46262</v>
      </c>
      <c r="O463" t="s">
        <v>220</v>
      </c>
      <c r="P463">
        <v>1</v>
      </c>
      <c r="Q463" t="s">
        <v>1639</v>
      </c>
    </row>
    <row r="464" spans="1:17" x14ac:dyDescent="0.3">
      <c r="A464" t="s">
        <v>1640</v>
      </c>
      <c r="B464" t="s">
        <v>1641</v>
      </c>
      <c r="C464" t="s">
        <v>214</v>
      </c>
      <c r="D464" t="s">
        <v>145</v>
      </c>
      <c r="E464" t="s">
        <v>146</v>
      </c>
      <c r="F464" t="s">
        <v>580</v>
      </c>
      <c r="H464">
        <v>788.18</v>
      </c>
      <c r="I464">
        <v>0</v>
      </c>
      <c r="J464" t="s">
        <v>216</v>
      </c>
      <c r="K464" t="s">
        <v>42</v>
      </c>
      <c r="L464" t="s">
        <v>218</v>
      </c>
      <c r="M464" t="s">
        <v>219</v>
      </c>
      <c r="N464" s="19">
        <v>46262</v>
      </c>
      <c r="O464" t="s">
        <v>220</v>
      </c>
      <c r="P464">
        <v>1</v>
      </c>
      <c r="Q464" t="s">
        <v>1642</v>
      </c>
    </row>
    <row r="465" spans="1:18" x14ac:dyDescent="0.3">
      <c r="A465" t="s">
        <v>1643</v>
      </c>
      <c r="B465" t="s">
        <v>1644</v>
      </c>
      <c r="C465" t="s">
        <v>214</v>
      </c>
      <c r="D465" t="s">
        <v>145</v>
      </c>
      <c r="E465" t="s">
        <v>146</v>
      </c>
      <c r="F465" t="s">
        <v>580</v>
      </c>
      <c r="H465">
        <v>522.34</v>
      </c>
      <c r="I465">
        <v>0</v>
      </c>
      <c r="J465" t="s">
        <v>216</v>
      </c>
      <c r="K465" t="s">
        <v>42</v>
      </c>
      <c r="L465" t="s">
        <v>218</v>
      </c>
      <c r="M465" t="s">
        <v>219</v>
      </c>
      <c r="N465" s="19">
        <v>46262</v>
      </c>
      <c r="O465" t="s">
        <v>220</v>
      </c>
      <c r="P465">
        <v>1</v>
      </c>
      <c r="Q465" t="s">
        <v>1645</v>
      </c>
    </row>
    <row r="466" spans="1:18" x14ac:dyDescent="0.3">
      <c r="A466" t="s">
        <v>1646</v>
      </c>
      <c r="B466" t="s">
        <v>1647</v>
      </c>
      <c r="C466" t="s">
        <v>1648</v>
      </c>
      <c r="D466" t="s">
        <v>145</v>
      </c>
      <c r="E466" t="s">
        <v>146</v>
      </c>
      <c r="F466" t="s">
        <v>580</v>
      </c>
      <c r="H466">
        <v>95.7</v>
      </c>
      <c r="I466">
        <v>0</v>
      </c>
      <c r="J466" t="s">
        <v>216</v>
      </c>
      <c r="K466" t="s">
        <v>1267</v>
      </c>
      <c r="L466" t="s">
        <v>218</v>
      </c>
      <c r="M466" t="s">
        <v>219</v>
      </c>
      <c r="N466" s="19">
        <v>46262</v>
      </c>
      <c r="O466" t="s">
        <v>220</v>
      </c>
      <c r="P466">
        <v>1</v>
      </c>
      <c r="Q466" t="s">
        <v>1649</v>
      </c>
    </row>
    <row r="467" spans="1:18" x14ac:dyDescent="0.3">
      <c r="A467" t="s">
        <v>1650</v>
      </c>
      <c r="B467" t="s">
        <v>1651</v>
      </c>
      <c r="C467" t="s">
        <v>1648</v>
      </c>
      <c r="D467" t="s">
        <v>145</v>
      </c>
      <c r="E467" t="s">
        <v>146</v>
      </c>
      <c r="F467" t="s">
        <v>580</v>
      </c>
      <c r="H467">
        <v>169.65</v>
      </c>
      <c r="I467">
        <v>0</v>
      </c>
      <c r="J467" t="s">
        <v>216</v>
      </c>
      <c r="K467" t="s">
        <v>1267</v>
      </c>
      <c r="L467" t="s">
        <v>218</v>
      </c>
      <c r="M467" t="s">
        <v>219</v>
      </c>
      <c r="N467" s="19">
        <v>46262</v>
      </c>
      <c r="O467" t="s">
        <v>220</v>
      </c>
      <c r="P467">
        <v>1</v>
      </c>
      <c r="Q467" t="s">
        <v>1652</v>
      </c>
    </row>
    <row r="468" spans="1:18" x14ac:dyDescent="0.3">
      <c r="A468" t="s">
        <v>1653</v>
      </c>
      <c r="B468" t="s">
        <v>1654</v>
      </c>
      <c r="C468" t="s">
        <v>1648</v>
      </c>
      <c r="D468" t="s">
        <v>145</v>
      </c>
      <c r="E468" t="s">
        <v>146</v>
      </c>
      <c r="F468" t="s">
        <v>580</v>
      </c>
      <c r="H468">
        <v>140.35</v>
      </c>
      <c r="I468">
        <v>0</v>
      </c>
      <c r="J468" t="s">
        <v>216</v>
      </c>
      <c r="K468" t="s">
        <v>1267</v>
      </c>
      <c r="L468" t="s">
        <v>218</v>
      </c>
      <c r="M468" t="s">
        <v>219</v>
      </c>
      <c r="N468" s="19">
        <v>46262</v>
      </c>
      <c r="O468" t="s">
        <v>220</v>
      </c>
      <c r="P468">
        <v>1</v>
      </c>
      <c r="Q468" t="s">
        <v>1655</v>
      </c>
    </row>
    <row r="469" spans="1:18" x14ac:dyDescent="0.3">
      <c r="A469" t="s">
        <v>1656</v>
      </c>
      <c r="B469" t="s">
        <v>1657</v>
      </c>
      <c r="C469" t="s">
        <v>214</v>
      </c>
      <c r="D469" t="s">
        <v>145</v>
      </c>
      <c r="E469" t="s">
        <v>146</v>
      </c>
      <c r="F469" t="s">
        <v>657</v>
      </c>
      <c r="H469">
        <v>2035.8</v>
      </c>
      <c r="I469">
        <v>0</v>
      </c>
      <c r="J469" t="s">
        <v>216</v>
      </c>
      <c r="K469" t="s">
        <v>48</v>
      </c>
      <c r="L469" t="s">
        <v>218</v>
      </c>
      <c r="M469" t="s">
        <v>219</v>
      </c>
      <c r="N469" s="19">
        <v>46262</v>
      </c>
      <c r="O469" t="s">
        <v>220</v>
      </c>
      <c r="P469">
        <v>3</v>
      </c>
      <c r="Q469" t="s">
        <v>1658</v>
      </c>
      <c r="R469" t="s">
        <v>92</v>
      </c>
    </row>
    <row r="470" spans="1:18" x14ac:dyDescent="0.3">
      <c r="A470" t="s">
        <v>1659</v>
      </c>
      <c r="B470" t="s">
        <v>1660</v>
      </c>
      <c r="C470" t="s">
        <v>514</v>
      </c>
      <c r="D470" t="s">
        <v>145</v>
      </c>
      <c r="E470" t="s">
        <v>146</v>
      </c>
      <c r="F470" t="s">
        <v>657</v>
      </c>
      <c r="H470">
        <v>1173.8699999999999</v>
      </c>
      <c r="I470">
        <v>0</v>
      </c>
      <c r="J470" t="s">
        <v>216</v>
      </c>
      <c r="K470" t="s">
        <v>1267</v>
      </c>
      <c r="L470" t="s">
        <v>218</v>
      </c>
      <c r="M470" t="s">
        <v>219</v>
      </c>
      <c r="N470" s="19">
        <v>46262</v>
      </c>
      <c r="O470" t="s">
        <v>220</v>
      </c>
      <c r="P470">
        <v>1</v>
      </c>
      <c r="Q470" t="s">
        <v>1661</v>
      </c>
    </row>
    <row r="471" spans="1:18" x14ac:dyDescent="0.3">
      <c r="A471" t="s">
        <v>1662</v>
      </c>
      <c r="B471" t="s">
        <v>1663</v>
      </c>
      <c r="C471" t="s">
        <v>514</v>
      </c>
      <c r="D471" t="s">
        <v>145</v>
      </c>
      <c r="E471" t="s">
        <v>146</v>
      </c>
      <c r="F471" t="s">
        <v>657</v>
      </c>
      <c r="H471">
        <v>1839.5</v>
      </c>
      <c r="I471">
        <v>0</v>
      </c>
      <c r="J471" t="s">
        <v>216</v>
      </c>
      <c r="K471" t="s">
        <v>1267</v>
      </c>
      <c r="L471" t="s">
        <v>218</v>
      </c>
      <c r="M471" t="s">
        <v>219</v>
      </c>
      <c r="N471" s="19">
        <v>46262</v>
      </c>
      <c r="O471" t="s">
        <v>220</v>
      </c>
      <c r="P471">
        <v>1</v>
      </c>
      <c r="Q471" t="s">
        <v>1664</v>
      </c>
    </row>
    <row r="472" spans="1:18" x14ac:dyDescent="0.3">
      <c r="A472" t="s">
        <v>1665</v>
      </c>
      <c r="B472" t="s">
        <v>1666</v>
      </c>
      <c r="C472" t="s">
        <v>461</v>
      </c>
      <c r="D472" t="s">
        <v>145</v>
      </c>
      <c r="E472" t="s">
        <v>146</v>
      </c>
      <c r="F472" t="s">
        <v>657</v>
      </c>
      <c r="H472">
        <v>24429.599999999999</v>
      </c>
      <c r="I472">
        <v>0</v>
      </c>
      <c r="J472" t="s">
        <v>216</v>
      </c>
      <c r="K472" t="s">
        <v>965</v>
      </c>
      <c r="L472" t="s">
        <v>218</v>
      </c>
      <c r="M472" t="s">
        <v>219</v>
      </c>
      <c r="N472" s="19">
        <v>46262</v>
      </c>
      <c r="O472" t="s">
        <v>220</v>
      </c>
      <c r="P472">
        <v>1</v>
      </c>
      <c r="Q472" t="s">
        <v>1667</v>
      </c>
    </row>
    <row r="473" spans="1:18" x14ac:dyDescent="0.3">
      <c r="A473" t="s">
        <v>1668</v>
      </c>
      <c r="B473" t="s">
        <v>1669</v>
      </c>
      <c r="C473" t="s">
        <v>461</v>
      </c>
      <c r="D473" t="s">
        <v>145</v>
      </c>
      <c r="E473" t="s">
        <v>146</v>
      </c>
      <c r="F473" t="s">
        <v>657</v>
      </c>
      <c r="H473">
        <v>28112.05</v>
      </c>
      <c r="I473">
        <v>0</v>
      </c>
      <c r="J473" t="s">
        <v>216</v>
      </c>
      <c r="K473" t="s">
        <v>965</v>
      </c>
      <c r="L473" t="s">
        <v>218</v>
      </c>
      <c r="M473" t="s">
        <v>219</v>
      </c>
      <c r="N473" s="19">
        <v>46262</v>
      </c>
      <c r="O473" t="s">
        <v>220</v>
      </c>
      <c r="P473">
        <v>1</v>
      </c>
      <c r="Q473" t="s">
        <v>1670</v>
      </c>
    </row>
    <row r="474" spans="1:18" x14ac:dyDescent="0.3">
      <c r="A474" t="s">
        <v>1671</v>
      </c>
      <c r="B474" t="s">
        <v>1672</v>
      </c>
      <c r="C474" t="s">
        <v>461</v>
      </c>
      <c r="D474" t="s">
        <v>145</v>
      </c>
      <c r="E474" t="s">
        <v>146</v>
      </c>
      <c r="F474" t="s">
        <v>657</v>
      </c>
      <c r="H474">
        <v>28501.200000000001</v>
      </c>
      <c r="I474">
        <v>0</v>
      </c>
      <c r="J474" t="s">
        <v>216</v>
      </c>
      <c r="K474" t="s">
        <v>965</v>
      </c>
      <c r="L474" t="s">
        <v>218</v>
      </c>
      <c r="M474" t="s">
        <v>219</v>
      </c>
      <c r="N474" s="19">
        <v>46262</v>
      </c>
      <c r="O474" t="s">
        <v>220</v>
      </c>
      <c r="P474">
        <v>1</v>
      </c>
      <c r="Q474" t="s">
        <v>1673</v>
      </c>
    </row>
    <row r="475" spans="1:18" x14ac:dyDescent="0.3">
      <c r="A475" t="s">
        <v>1674</v>
      </c>
      <c r="B475" t="s">
        <v>1675</v>
      </c>
      <c r="C475" t="s">
        <v>518</v>
      </c>
      <c r="D475" t="s">
        <v>145</v>
      </c>
      <c r="E475" t="s">
        <v>146</v>
      </c>
      <c r="F475" t="s">
        <v>657</v>
      </c>
      <c r="G475" t="s">
        <v>1026</v>
      </c>
      <c r="H475">
        <v>6571.11</v>
      </c>
      <c r="I475">
        <v>5</v>
      </c>
      <c r="J475" t="s">
        <v>216</v>
      </c>
      <c r="K475" t="s">
        <v>48</v>
      </c>
      <c r="L475" t="s">
        <v>92</v>
      </c>
      <c r="M475" t="s">
        <v>219</v>
      </c>
      <c r="N475" s="19">
        <v>46262</v>
      </c>
      <c r="O475" t="s">
        <v>220</v>
      </c>
      <c r="P475">
        <v>1</v>
      </c>
      <c r="Q475" t="s">
        <v>1676</v>
      </c>
    </row>
    <row r="476" spans="1:18" x14ac:dyDescent="0.3">
      <c r="A476" t="s">
        <v>1677</v>
      </c>
      <c r="B476" t="s">
        <v>1678</v>
      </c>
      <c r="C476" t="s">
        <v>214</v>
      </c>
      <c r="D476" t="s">
        <v>145</v>
      </c>
      <c r="E476" t="s">
        <v>146</v>
      </c>
      <c r="F476" t="s">
        <v>657</v>
      </c>
      <c r="H476">
        <v>746.46</v>
      </c>
      <c r="I476">
        <v>0</v>
      </c>
      <c r="J476" t="s">
        <v>216</v>
      </c>
      <c r="K476" t="s">
        <v>48</v>
      </c>
      <c r="L476" t="s">
        <v>218</v>
      </c>
      <c r="M476" t="s">
        <v>219</v>
      </c>
      <c r="N476" s="19">
        <v>46262</v>
      </c>
      <c r="O476" t="s">
        <v>220</v>
      </c>
      <c r="P476">
        <v>1</v>
      </c>
      <c r="Q476" t="s">
        <v>1679</v>
      </c>
    </row>
    <row r="477" spans="1:18" x14ac:dyDescent="0.3">
      <c r="A477" t="s">
        <v>1680</v>
      </c>
      <c r="B477" t="s">
        <v>1681</v>
      </c>
      <c r="C477" t="s">
        <v>214</v>
      </c>
      <c r="D477" t="s">
        <v>145</v>
      </c>
      <c r="E477" t="s">
        <v>146</v>
      </c>
      <c r="F477" t="s">
        <v>657</v>
      </c>
      <c r="H477">
        <v>800.36</v>
      </c>
      <c r="I477">
        <v>0</v>
      </c>
      <c r="J477" t="s">
        <v>216</v>
      </c>
      <c r="K477" t="s">
        <v>52</v>
      </c>
      <c r="L477" t="s">
        <v>218</v>
      </c>
      <c r="M477" t="s">
        <v>219</v>
      </c>
      <c r="N477" s="19">
        <v>46262</v>
      </c>
      <c r="O477" t="s">
        <v>220</v>
      </c>
      <c r="P477">
        <v>1</v>
      </c>
      <c r="Q477" t="s">
        <v>1682</v>
      </c>
    </row>
    <row r="478" spans="1:18" x14ac:dyDescent="0.3">
      <c r="A478" t="s">
        <v>1683</v>
      </c>
      <c r="B478" t="s">
        <v>1684</v>
      </c>
      <c r="C478" t="s">
        <v>461</v>
      </c>
      <c r="D478" t="s">
        <v>145</v>
      </c>
      <c r="E478" t="s">
        <v>146</v>
      </c>
      <c r="F478" t="s">
        <v>657</v>
      </c>
      <c r="H478">
        <v>1850.12</v>
      </c>
      <c r="I478">
        <v>0</v>
      </c>
      <c r="J478" t="s">
        <v>216</v>
      </c>
      <c r="K478" t="s">
        <v>965</v>
      </c>
      <c r="L478" t="s">
        <v>218</v>
      </c>
      <c r="M478" t="s">
        <v>219</v>
      </c>
      <c r="N478" s="19">
        <v>46262</v>
      </c>
      <c r="O478" t="s">
        <v>220</v>
      </c>
      <c r="P478">
        <v>1</v>
      </c>
      <c r="Q478" t="s">
        <v>1685</v>
      </c>
    </row>
    <row r="479" spans="1:18" x14ac:dyDescent="0.3">
      <c r="A479" t="s">
        <v>1686</v>
      </c>
      <c r="B479" t="s">
        <v>1687</v>
      </c>
      <c r="C479" t="s">
        <v>214</v>
      </c>
      <c r="D479" t="s">
        <v>145</v>
      </c>
      <c r="E479" t="s">
        <v>146</v>
      </c>
      <c r="F479" t="s">
        <v>657</v>
      </c>
      <c r="H479">
        <v>452.96</v>
      </c>
      <c r="I479">
        <v>0</v>
      </c>
      <c r="J479" t="s">
        <v>216</v>
      </c>
      <c r="K479" t="s">
        <v>48</v>
      </c>
      <c r="L479" t="s">
        <v>218</v>
      </c>
      <c r="M479" t="s">
        <v>219</v>
      </c>
      <c r="N479" s="19">
        <v>46262</v>
      </c>
      <c r="O479" t="s">
        <v>220</v>
      </c>
      <c r="P479">
        <v>1</v>
      </c>
      <c r="Q479" t="s">
        <v>1688</v>
      </c>
    </row>
    <row r="480" spans="1:18" x14ac:dyDescent="0.3">
      <c r="A480" t="s">
        <v>1689</v>
      </c>
      <c r="B480" t="s">
        <v>1690</v>
      </c>
      <c r="C480" t="s">
        <v>214</v>
      </c>
      <c r="D480" t="s">
        <v>145</v>
      </c>
      <c r="E480" t="s">
        <v>146</v>
      </c>
      <c r="F480" t="s">
        <v>657</v>
      </c>
      <c r="H480">
        <v>3048</v>
      </c>
      <c r="I480">
        <v>0</v>
      </c>
      <c r="J480" t="s">
        <v>216</v>
      </c>
      <c r="K480" t="s">
        <v>48</v>
      </c>
      <c r="L480" t="s">
        <v>218</v>
      </c>
      <c r="M480" t="s">
        <v>219</v>
      </c>
      <c r="N480" s="19">
        <v>46262</v>
      </c>
      <c r="O480" t="s">
        <v>220</v>
      </c>
      <c r="P480">
        <v>1</v>
      </c>
      <c r="Q480" t="s">
        <v>1691</v>
      </c>
    </row>
    <row r="481" spans="1:18" x14ac:dyDescent="0.3">
      <c r="A481" t="s">
        <v>1692</v>
      </c>
      <c r="B481" t="s">
        <v>1693</v>
      </c>
      <c r="C481" t="s">
        <v>518</v>
      </c>
      <c r="D481" t="s">
        <v>145</v>
      </c>
      <c r="E481" t="s">
        <v>146</v>
      </c>
      <c r="F481" t="s">
        <v>657</v>
      </c>
      <c r="H481">
        <v>1500</v>
      </c>
      <c r="I481">
        <v>0</v>
      </c>
      <c r="J481" t="s">
        <v>216</v>
      </c>
      <c r="K481" t="s">
        <v>887</v>
      </c>
      <c r="L481" t="s">
        <v>218</v>
      </c>
      <c r="M481" t="s">
        <v>219</v>
      </c>
      <c r="N481" s="19">
        <v>46262</v>
      </c>
      <c r="O481" t="s">
        <v>220</v>
      </c>
      <c r="P481">
        <v>1</v>
      </c>
      <c r="Q481" t="s">
        <v>1694</v>
      </c>
    </row>
    <row r="482" spans="1:18" x14ac:dyDescent="0.3">
      <c r="A482" t="s">
        <v>1695</v>
      </c>
      <c r="B482" t="s">
        <v>1696</v>
      </c>
      <c r="C482" t="s">
        <v>214</v>
      </c>
      <c r="D482" t="s">
        <v>145</v>
      </c>
      <c r="E482" t="s">
        <v>146</v>
      </c>
      <c r="F482" t="s">
        <v>657</v>
      </c>
      <c r="H482">
        <v>2000</v>
      </c>
      <c r="I482">
        <v>0</v>
      </c>
      <c r="J482" t="s">
        <v>216</v>
      </c>
      <c r="K482" t="s">
        <v>48</v>
      </c>
      <c r="L482" t="s">
        <v>218</v>
      </c>
      <c r="M482" t="s">
        <v>219</v>
      </c>
      <c r="N482" s="19">
        <v>46262</v>
      </c>
      <c r="O482" t="s">
        <v>220</v>
      </c>
      <c r="P482">
        <v>1</v>
      </c>
      <c r="Q482" t="s">
        <v>1697</v>
      </c>
    </row>
    <row r="483" spans="1:18" x14ac:dyDescent="0.3">
      <c r="A483" t="s">
        <v>1698</v>
      </c>
      <c r="B483" t="s">
        <v>1699</v>
      </c>
      <c r="C483" t="s">
        <v>518</v>
      </c>
      <c r="D483" t="s">
        <v>145</v>
      </c>
      <c r="E483" t="s">
        <v>146</v>
      </c>
      <c r="F483" t="s">
        <v>657</v>
      </c>
      <c r="H483">
        <v>16286.4</v>
      </c>
      <c r="I483">
        <v>0</v>
      </c>
      <c r="J483" t="s">
        <v>216</v>
      </c>
      <c r="K483" t="s">
        <v>965</v>
      </c>
      <c r="L483" t="s">
        <v>218</v>
      </c>
      <c r="M483" t="s">
        <v>219</v>
      </c>
      <c r="N483" s="19">
        <v>46262</v>
      </c>
      <c r="O483" t="s">
        <v>220</v>
      </c>
      <c r="P483">
        <v>1</v>
      </c>
      <c r="Q483" t="s">
        <v>1700</v>
      </c>
    </row>
    <row r="484" spans="1:18" x14ac:dyDescent="0.3">
      <c r="A484" t="s">
        <v>1701</v>
      </c>
      <c r="B484" t="s">
        <v>1702</v>
      </c>
      <c r="C484" t="s">
        <v>289</v>
      </c>
      <c r="D484" t="s">
        <v>147</v>
      </c>
      <c r="E484" t="s">
        <v>148</v>
      </c>
      <c r="F484" t="s">
        <v>215</v>
      </c>
      <c r="H484">
        <v>6297.41</v>
      </c>
      <c r="I484">
        <v>0</v>
      </c>
      <c r="J484" t="s">
        <v>230</v>
      </c>
      <c r="K484" t="s">
        <v>965</v>
      </c>
      <c r="L484" t="s">
        <v>218</v>
      </c>
      <c r="M484" t="s">
        <v>219</v>
      </c>
      <c r="N484" s="19">
        <v>46262</v>
      </c>
      <c r="O484" t="s">
        <v>220</v>
      </c>
      <c r="P484">
        <v>1</v>
      </c>
      <c r="Q484" t="s">
        <v>1703</v>
      </c>
    </row>
    <row r="485" spans="1:18" x14ac:dyDescent="0.3">
      <c r="A485" t="s">
        <v>1704</v>
      </c>
      <c r="B485" t="s">
        <v>1705</v>
      </c>
      <c r="C485" t="s">
        <v>289</v>
      </c>
      <c r="D485" t="s">
        <v>147</v>
      </c>
      <c r="E485" t="s">
        <v>148</v>
      </c>
      <c r="F485" t="s">
        <v>215</v>
      </c>
      <c r="H485">
        <v>6965.22</v>
      </c>
      <c r="I485">
        <v>0</v>
      </c>
      <c r="J485" t="s">
        <v>230</v>
      </c>
      <c r="K485" t="s">
        <v>965</v>
      </c>
      <c r="L485" t="s">
        <v>218</v>
      </c>
      <c r="M485" t="s">
        <v>219</v>
      </c>
      <c r="N485" s="19">
        <v>46262</v>
      </c>
      <c r="O485" t="s">
        <v>220</v>
      </c>
      <c r="P485">
        <v>1</v>
      </c>
      <c r="Q485" t="s">
        <v>1706</v>
      </c>
    </row>
    <row r="486" spans="1:18" x14ac:dyDescent="0.3">
      <c r="A486" t="s">
        <v>1707</v>
      </c>
      <c r="B486" t="s">
        <v>1708</v>
      </c>
      <c r="C486" t="s">
        <v>461</v>
      </c>
      <c r="D486" t="s">
        <v>147</v>
      </c>
      <c r="E486" t="s">
        <v>148</v>
      </c>
      <c r="F486" t="s">
        <v>215</v>
      </c>
      <c r="H486">
        <v>11629.56</v>
      </c>
      <c r="I486">
        <v>0</v>
      </c>
      <c r="J486" t="s">
        <v>230</v>
      </c>
      <c r="K486" t="s">
        <v>965</v>
      </c>
      <c r="L486" t="s">
        <v>218</v>
      </c>
      <c r="M486" t="s">
        <v>219</v>
      </c>
      <c r="N486" s="19">
        <v>46262</v>
      </c>
      <c r="O486" t="s">
        <v>220</v>
      </c>
      <c r="P486">
        <v>1</v>
      </c>
      <c r="Q486" t="s">
        <v>1709</v>
      </c>
    </row>
    <row r="487" spans="1:18" x14ac:dyDescent="0.3">
      <c r="A487" t="s">
        <v>1710</v>
      </c>
      <c r="B487" t="s">
        <v>1711</v>
      </c>
      <c r="C487" t="s">
        <v>461</v>
      </c>
      <c r="D487" t="s">
        <v>147</v>
      </c>
      <c r="E487" t="s">
        <v>148</v>
      </c>
      <c r="F487" t="s">
        <v>215</v>
      </c>
      <c r="G487" t="s">
        <v>1712</v>
      </c>
      <c r="H487">
        <v>2612.5</v>
      </c>
      <c r="I487">
        <v>5</v>
      </c>
      <c r="J487" t="s">
        <v>230</v>
      </c>
      <c r="K487" t="s">
        <v>965</v>
      </c>
      <c r="L487" t="s">
        <v>92</v>
      </c>
      <c r="M487" t="s">
        <v>219</v>
      </c>
      <c r="N487" s="19">
        <v>46262</v>
      </c>
      <c r="O487" t="s">
        <v>220</v>
      </c>
      <c r="P487">
        <v>1</v>
      </c>
      <c r="Q487" t="s">
        <v>1713</v>
      </c>
    </row>
    <row r="488" spans="1:18" x14ac:dyDescent="0.3">
      <c r="A488" t="s">
        <v>1714</v>
      </c>
      <c r="B488" t="s">
        <v>1715</v>
      </c>
      <c r="C488" t="s">
        <v>518</v>
      </c>
      <c r="D488" t="s">
        <v>147</v>
      </c>
      <c r="E488" t="s">
        <v>148</v>
      </c>
      <c r="F488" t="s">
        <v>215</v>
      </c>
      <c r="G488" t="s">
        <v>1716</v>
      </c>
      <c r="H488">
        <v>1017.01</v>
      </c>
      <c r="I488">
        <v>5</v>
      </c>
      <c r="J488" t="s">
        <v>230</v>
      </c>
      <c r="K488" t="s">
        <v>887</v>
      </c>
      <c r="L488" t="s">
        <v>92</v>
      </c>
      <c r="M488" t="s">
        <v>219</v>
      </c>
      <c r="N488" s="19">
        <v>46262</v>
      </c>
      <c r="O488" t="s">
        <v>220</v>
      </c>
      <c r="P488">
        <v>1</v>
      </c>
      <c r="Q488" t="s">
        <v>1717</v>
      </c>
    </row>
    <row r="489" spans="1:18" x14ac:dyDescent="0.3">
      <c r="A489" t="s">
        <v>1718</v>
      </c>
      <c r="B489" t="s">
        <v>1719</v>
      </c>
      <c r="C489" t="s">
        <v>461</v>
      </c>
      <c r="D489" t="s">
        <v>147</v>
      </c>
      <c r="E489" t="s">
        <v>148</v>
      </c>
      <c r="F489" t="s">
        <v>531</v>
      </c>
      <c r="H489">
        <v>574.20000000000005</v>
      </c>
      <c r="I489">
        <v>0</v>
      </c>
      <c r="J489" t="s">
        <v>230</v>
      </c>
      <c r="K489" t="s">
        <v>965</v>
      </c>
      <c r="L489" t="s">
        <v>218</v>
      </c>
      <c r="M489" t="s">
        <v>219</v>
      </c>
      <c r="N489" s="19">
        <v>46262</v>
      </c>
      <c r="O489" t="s">
        <v>220</v>
      </c>
      <c r="P489">
        <v>4</v>
      </c>
      <c r="Q489" t="s">
        <v>1720</v>
      </c>
      <c r="R489" t="s">
        <v>92</v>
      </c>
    </row>
    <row r="490" spans="1:18" x14ac:dyDescent="0.3">
      <c r="A490" t="s">
        <v>1721</v>
      </c>
      <c r="B490" t="s">
        <v>1722</v>
      </c>
      <c r="C490" t="s">
        <v>461</v>
      </c>
      <c r="D490" t="s">
        <v>147</v>
      </c>
      <c r="E490" t="s">
        <v>148</v>
      </c>
      <c r="F490" t="s">
        <v>531</v>
      </c>
      <c r="H490">
        <v>543.16</v>
      </c>
      <c r="I490">
        <v>0</v>
      </c>
      <c r="J490" t="s">
        <v>230</v>
      </c>
      <c r="K490" t="s">
        <v>42</v>
      </c>
      <c r="L490" t="s">
        <v>218</v>
      </c>
      <c r="M490" t="s">
        <v>219</v>
      </c>
      <c r="N490" s="19">
        <v>46262</v>
      </c>
      <c r="O490" t="s">
        <v>220</v>
      </c>
      <c r="P490">
        <v>2</v>
      </c>
      <c r="Q490" t="s">
        <v>1723</v>
      </c>
      <c r="R490" t="s">
        <v>92</v>
      </c>
    </row>
    <row r="491" spans="1:18" x14ac:dyDescent="0.3">
      <c r="A491" t="s">
        <v>1724</v>
      </c>
      <c r="B491" t="s">
        <v>1725</v>
      </c>
      <c r="C491" t="s">
        <v>461</v>
      </c>
      <c r="D491" t="s">
        <v>147</v>
      </c>
      <c r="E491" t="s">
        <v>148</v>
      </c>
      <c r="F491" t="s">
        <v>531</v>
      </c>
      <c r="H491">
        <v>626.4</v>
      </c>
      <c r="I491">
        <v>0</v>
      </c>
      <c r="J491" t="s">
        <v>230</v>
      </c>
      <c r="K491" t="s">
        <v>965</v>
      </c>
      <c r="L491" t="s">
        <v>218</v>
      </c>
      <c r="M491" t="s">
        <v>219</v>
      </c>
      <c r="N491" s="19">
        <v>46262</v>
      </c>
      <c r="O491" t="s">
        <v>220</v>
      </c>
      <c r="P491">
        <v>1</v>
      </c>
      <c r="Q491" t="s">
        <v>1726</v>
      </c>
    </row>
    <row r="492" spans="1:18" x14ac:dyDescent="0.3">
      <c r="A492" t="s">
        <v>1727</v>
      </c>
      <c r="B492" t="s">
        <v>1728</v>
      </c>
      <c r="C492" t="s">
        <v>461</v>
      </c>
      <c r="D492" t="s">
        <v>147</v>
      </c>
      <c r="E492" t="s">
        <v>148</v>
      </c>
      <c r="F492" t="s">
        <v>531</v>
      </c>
      <c r="H492">
        <v>10450</v>
      </c>
      <c r="I492">
        <v>0</v>
      </c>
      <c r="J492" t="s">
        <v>230</v>
      </c>
      <c r="K492" t="s">
        <v>965</v>
      </c>
      <c r="L492" t="s">
        <v>218</v>
      </c>
      <c r="M492" t="s">
        <v>219</v>
      </c>
      <c r="N492" s="19">
        <v>46262</v>
      </c>
      <c r="O492" t="s">
        <v>220</v>
      </c>
      <c r="P492">
        <v>1</v>
      </c>
      <c r="Q492" t="s">
        <v>1729</v>
      </c>
    </row>
    <row r="493" spans="1:18" x14ac:dyDescent="0.3">
      <c r="A493" t="s">
        <v>1730</v>
      </c>
      <c r="B493" t="s">
        <v>1731</v>
      </c>
      <c r="C493" t="s">
        <v>461</v>
      </c>
      <c r="D493" t="s">
        <v>147</v>
      </c>
      <c r="E493" t="s">
        <v>148</v>
      </c>
      <c r="F493" t="s">
        <v>580</v>
      </c>
      <c r="G493" t="s">
        <v>1732</v>
      </c>
      <c r="H493">
        <v>4284.5</v>
      </c>
      <c r="I493">
        <v>5</v>
      </c>
      <c r="J493" t="s">
        <v>230</v>
      </c>
      <c r="K493" t="s">
        <v>965</v>
      </c>
      <c r="L493" t="s">
        <v>92</v>
      </c>
      <c r="M493" t="s">
        <v>219</v>
      </c>
      <c r="N493" s="19">
        <v>46262</v>
      </c>
      <c r="O493" t="s">
        <v>220</v>
      </c>
      <c r="P493">
        <v>7</v>
      </c>
      <c r="Q493" t="s">
        <v>1733</v>
      </c>
      <c r="R493" t="s">
        <v>92</v>
      </c>
    </row>
    <row r="494" spans="1:18" x14ac:dyDescent="0.3">
      <c r="A494" t="s">
        <v>1734</v>
      </c>
      <c r="B494" t="s">
        <v>1735</v>
      </c>
      <c r="C494" t="s">
        <v>461</v>
      </c>
      <c r="D494" t="s">
        <v>147</v>
      </c>
      <c r="E494" t="s">
        <v>148</v>
      </c>
      <c r="F494" t="s">
        <v>580</v>
      </c>
      <c r="G494" t="s">
        <v>1736</v>
      </c>
      <c r="H494">
        <v>7837.5</v>
      </c>
      <c r="I494">
        <v>5</v>
      </c>
      <c r="J494" t="s">
        <v>230</v>
      </c>
      <c r="K494" t="s">
        <v>965</v>
      </c>
      <c r="L494" t="s">
        <v>92</v>
      </c>
      <c r="M494" t="s">
        <v>219</v>
      </c>
      <c r="N494" s="19">
        <v>46262</v>
      </c>
      <c r="O494" t="s">
        <v>220</v>
      </c>
      <c r="P494">
        <v>2</v>
      </c>
      <c r="Q494" t="s">
        <v>1737</v>
      </c>
      <c r="R494" t="s">
        <v>92</v>
      </c>
    </row>
    <row r="495" spans="1:18" x14ac:dyDescent="0.3">
      <c r="A495" t="s">
        <v>1738</v>
      </c>
      <c r="B495" t="s">
        <v>1735</v>
      </c>
      <c r="C495" t="s">
        <v>461</v>
      </c>
      <c r="D495" t="s">
        <v>147</v>
      </c>
      <c r="E495" t="s">
        <v>148</v>
      </c>
      <c r="F495" t="s">
        <v>580</v>
      </c>
      <c r="G495" t="s">
        <v>1736</v>
      </c>
      <c r="H495">
        <v>6688</v>
      </c>
      <c r="I495">
        <v>5</v>
      </c>
      <c r="J495" t="s">
        <v>230</v>
      </c>
      <c r="K495" t="s">
        <v>965</v>
      </c>
      <c r="L495" t="s">
        <v>92</v>
      </c>
      <c r="M495" t="s">
        <v>219</v>
      </c>
      <c r="N495" s="19">
        <v>46262</v>
      </c>
      <c r="O495" t="s">
        <v>220</v>
      </c>
      <c r="P495">
        <v>10</v>
      </c>
      <c r="Q495" t="s">
        <v>1739</v>
      </c>
      <c r="R495" t="s">
        <v>92</v>
      </c>
    </row>
    <row r="496" spans="1:18" x14ac:dyDescent="0.3">
      <c r="A496" t="s">
        <v>1740</v>
      </c>
      <c r="B496" t="s">
        <v>1741</v>
      </c>
      <c r="C496" t="s">
        <v>461</v>
      </c>
      <c r="D496" t="s">
        <v>147</v>
      </c>
      <c r="E496" t="s">
        <v>148</v>
      </c>
      <c r="F496" t="s">
        <v>580</v>
      </c>
      <c r="H496">
        <v>4186.88</v>
      </c>
      <c r="I496">
        <v>0</v>
      </c>
      <c r="J496" t="s">
        <v>230</v>
      </c>
      <c r="K496" t="s">
        <v>965</v>
      </c>
      <c r="L496" t="s">
        <v>218</v>
      </c>
      <c r="M496" t="s">
        <v>219</v>
      </c>
      <c r="N496" s="19">
        <v>46262</v>
      </c>
      <c r="O496" t="s">
        <v>220</v>
      </c>
      <c r="P496">
        <v>5</v>
      </c>
      <c r="Q496" t="s">
        <v>1742</v>
      </c>
      <c r="R496" t="s">
        <v>92</v>
      </c>
    </row>
    <row r="497" spans="1:18" x14ac:dyDescent="0.3">
      <c r="A497" t="s">
        <v>1743</v>
      </c>
      <c r="B497" t="s">
        <v>1731</v>
      </c>
      <c r="C497" t="s">
        <v>461</v>
      </c>
      <c r="D497" t="s">
        <v>147</v>
      </c>
      <c r="E497" t="s">
        <v>148</v>
      </c>
      <c r="F497" t="s">
        <v>580</v>
      </c>
      <c r="G497" t="s">
        <v>1732</v>
      </c>
      <c r="H497">
        <v>5575.08</v>
      </c>
      <c r="I497">
        <v>5</v>
      </c>
      <c r="J497" t="s">
        <v>230</v>
      </c>
      <c r="K497" t="s">
        <v>965</v>
      </c>
      <c r="L497" t="s">
        <v>92</v>
      </c>
      <c r="M497" t="s">
        <v>219</v>
      </c>
      <c r="N497" s="19">
        <v>46262</v>
      </c>
      <c r="O497" t="s">
        <v>220</v>
      </c>
      <c r="P497">
        <v>3</v>
      </c>
      <c r="Q497" t="s">
        <v>1744</v>
      </c>
      <c r="R497" t="s">
        <v>92</v>
      </c>
    </row>
    <row r="498" spans="1:18" x14ac:dyDescent="0.3">
      <c r="A498" t="s">
        <v>1745</v>
      </c>
      <c r="B498" t="s">
        <v>1746</v>
      </c>
      <c r="C498" t="s">
        <v>461</v>
      </c>
      <c r="D498" t="s">
        <v>147</v>
      </c>
      <c r="E498" t="s">
        <v>148</v>
      </c>
      <c r="F498" t="s">
        <v>580</v>
      </c>
      <c r="G498" t="s">
        <v>1747</v>
      </c>
      <c r="H498">
        <v>1809.6</v>
      </c>
      <c r="I498">
        <v>5</v>
      </c>
      <c r="J498" t="s">
        <v>230</v>
      </c>
      <c r="K498" t="s">
        <v>965</v>
      </c>
      <c r="L498" t="s">
        <v>92</v>
      </c>
      <c r="M498" t="s">
        <v>219</v>
      </c>
      <c r="N498" s="19">
        <v>46262</v>
      </c>
      <c r="O498" t="s">
        <v>220</v>
      </c>
      <c r="P498">
        <v>10</v>
      </c>
      <c r="Q498" t="s">
        <v>1748</v>
      </c>
      <c r="R498" t="s">
        <v>92</v>
      </c>
    </row>
    <row r="499" spans="1:18" x14ac:dyDescent="0.3">
      <c r="A499" t="s">
        <v>1749</v>
      </c>
      <c r="B499" t="s">
        <v>1735</v>
      </c>
      <c r="C499" t="s">
        <v>461</v>
      </c>
      <c r="D499" t="s">
        <v>147</v>
      </c>
      <c r="E499" t="s">
        <v>148</v>
      </c>
      <c r="F499" t="s">
        <v>580</v>
      </c>
      <c r="G499" t="s">
        <v>1736</v>
      </c>
      <c r="H499">
        <v>500</v>
      </c>
      <c r="I499">
        <v>5</v>
      </c>
      <c r="J499" t="s">
        <v>230</v>
      </c>
      <c r="K499" t="s">
        <v>965</v>
      </c>
      <c r="L499" t="s">
        <v>92</v>
      </c>
      <c r="M499" t="s">
        <v>219</v>
      </c>
      <c r="N499" s="19">
        <v>46262</v>
      </c>
      <c r="O499" t="s">
        <v>220</v>
      </c>
      <c r="P499">
        <v>2</v>
      </c>
      <c r="Q499" t="s">
        <v>1750</v>
      </c>
      <c r="R499" t="s">
        <v>92</v>
      </c>
    </row>
    <row r="500" spans="1:18" x14ac:dyDescent="0.3">
      <c r="A500" t="s">
        <v>1751</v>
      </c>
      <c r="B500" t="s">
        <v>1752</v>
      </c>
      <c r="C500" t="s">
        <v>461</v>
      </c>
      <c r="D500" t="s">
        <v>147</v>
      </c>
      <c r="E500" t="s">
        <v>148</v>
      </c>
      <c r="F500" t="s">
        <v>580</v>
      </c>
      <c r="G500" t="s">
        <v>1736</v>
      </c>
      <c r="H500">
        <v>2035.8</v>
      </c>
      <c r="I500">
        <v>5</v>
      </c>
      <c r="J500" t="s">
        <v>230</v>
      </c>
      <c r="K500" t="s">
        <v>965</v>
      </c>
      <c r="L500" t="s">
        <v>92</v>
      </c>
      <c r="M500" t="s">
        <v>219</v>
      </c>
      <c r="N500" s="19">
        <v>46262</v>
      </c>
      <c r="O500" t="s">
        <v>220</v>
      </c>
      <c r="P500">
        <v>1</v>
      </c>
      <c r="Q500" t="s">
        <v>1753</v>
      </c>
    </row>
    <row r="501" spans="1:18" x14ac:dyDescent="0.3">
      <c r="A501" t="s">
        <v>1754</v>
      </c>
      <c r="B501" t="s">
        <v>1746</v>
      </c>
      <c r="C501" t="s">
        <v>461</v>
      </c>
      <c r="D501" t="s">
        <v>147</v>
      </c>
      <c r="E501" t="s">
        <v>148</v>
      </c>
      <c r="F501" t="s">
        <v>580</v>
      </c>
      <c r="G501" t="s">
        <v>1747</v>
      </c>
      <c r="H501">
        <v>2239.38</v>
      </c>
      <c r="I501">
        <v>5</v>
      </c>
      <c r="J501" t="s">
        <v>230</v>
      </c>
      <c r="K501" t="s">
        <v>965</v>
      </c>
      <c r="L501" t="s">
        <v>92</v>
      </c>
      <c r="M501" t="s">
        <v>219</v>
      </c>
      <c r="N501" s="19">
        <v>46262</v>
      </c>
      <c r="O501" t="s">
        <v>220</v>
      </c>
      <c r="P501">
        <v>3</v>
      </c>
      <c r="Q501" t="s">
        <v>1755</v>
      </c>
      <c r="R501" t="s">
        <v>92</v>
      </c>
    </row>
    <row r="502" spans="1:18" x14ac:dyDescent="0.3">
      <c r="A502" t="s">
        <v>1756</v>
      </c>
      <c r="B502" t="s">
        <v>1757</v>
      </c>
      <c r="C502" t="s">
        <v>289</v>
      </c>
      <c r="D502" t="s">
        <v>147</v>
      </c>
      <c r="E502" t="s">
        <v>148</v>
      </c>
      <c r="F502" t="s">
        <v>580</v>
      </c>
      <c r="G502" t="s">
        <v>1712</v>
      </c>
      <c r="H502">
        <v>7419.36</v>
      </c>
      <c r="I502">
        <v>5</v>
      </c>
      <c r="J502" t="s">
        <v>230</v>
      </c>
      <c r="K502" t="s">
        <v>965</v>
      </c>
      <c r="L502" t="s">
        <v>92</v>
      </c>
      <c r="M502" t="s">
        <v>219</v>
      </c>
      <c r="N502" s="19">
        <v>46262</v>
      </c>
      <c r="O502" t="s">
        <v>220</v>
      </c>
      <c r="P502">
        <v>1</v>
      </c>
      <c r="Q502" t="s">
        <v>1758</v>
      </c>
    </row>
    <row r="503" spans="1:18" x14ac:dyDescent="0.3">
      <c r="A503" t="s">
        <v>1759</v>
      </c>
      <c r="B503" t="s">
        <v>1760</v>
      </c>
      <c r="C503" t="s">
        <v>518</v>
      </c>
      <c r="D503" t="s">
        <v>147</v>
      </c>
      <c r="E503" t="s">
        <v>148</v>
      </c>
      <c r="F503" t="s">
        <v>580</v>
      </c>
      <c r="G503" t="s">
        <v>1716</v>
      </c>
      <c r="H503">
        <v>551.22</v>
      </c>
      <c r="I503">
        <v>5</v>
      </c>
      <c r="J503" t="s">
        <v>230</v>
      </c>
      <c r="K503" t="s">
        <v>887</v>
      </c>
      <c r="L503" t="s">
        <v>92</v>
      </c>
      <c r="M503" t="s">
        <v>219</v>
      </c>
      <c r="N503" s="19">
        <v>46262</v>
      </c>
      <c r="O503" t="s">
        <v>220</v>
      </c>
      <c r="P503">
        <v>5</v>
      </c>
      <c r="Q503" t="s">
        <v>1761</v>
      </c>
      <c r="R503" t="s">
        <v>92</v>
      </c>
    </row>
    <row r="504" spans="1:18" x14ac:dyDescent="0.3">
      <c r="A504" t="s">
        <v>1762</v>
      </c>
      <c r="B504" t="s">
        <v>1763</v>
      </c>
      <c r="C504" t="s">
        <v>461</v>
      </c>
      <c r="D504" t="s">
        <v>147</v>
      </c>
      <c r="E504" t="s">
        <v>148</v>
      </c>
      <c r="F504" t="s">
        <v>580</v>
      </c>
      <c r="G504" t="s">
        <v>1712</v>
      </c>
      <c r="H504">
        <v>886.23</v>
      </c>
      <c r="I504">
        <v>5</v>
      </c>
      <c r="J504" t="s">
        <v>230</v>
      </c>
      <c r="K504" t="s">
        <v>965</v>
      </c>
      <c r="L504" t="s">
        <v>92</v>
      </c>
      <c r="M504" t="s">
        <v>219</v>
      </c>
      <c r="N504" s="19">
        <v>46262</v>
      </c>
      <c r="O504" t="s">
        <v>220</v>
      </c>
      <c r="P504">
        <v>11</v>
      </c>
      <c r="Q504" t="s">
        <v>1764</v>
      </c>
      <c r="R504" t="s">
        <v>92</v>
      </c>
    </row>
    <row r="505" spans="1:18" x14ac:dyDescent="0.3">
      <c r="A505" t="s">
        <v>1765</v>
      </c>
      <c r="B505" t="s">
        <v>1766</v>
      </c>
      <c r="C505" t="s">
        <v>518</v>
      </c>
      <c r="D505" t="s">
        <v>147</v>
      </c>
      <c r="E505" t="s">
        <v>148</v>
      </c>
      <c r="F505" t="s">
        <v>580</v>
      </c>
      <c r="G505" t="s">
        <v>1716</v>
      </c>
      <c r="H505">
        <v>610.74</v>
      </c>
      <c r="I505">
        <v>5</v>
      </c>
      <c r="J505" t="s">
        <v>230</v>
      </c>
      <c r="K505" t="s">
        <v>887</v>
      </c>
      <c r="L505" t="s">
        <v>92</v>
      </c>
      <c r="M505" t="s">
        <v>219</v>
      </c>
      <c r="N505" s="19">
        <v>46262</v>
      </c>
      <c r="O505" t="s">
        <v>220</v>
      </c>
      <c r="P505">
        <v>1</v>
      </c>
      <c r="Q505" t="s">
        <v>1767</v>
      </c>
    </row>
    <row r="506" spans="1:18" x14ac:dyDescent="0.3">
      <c r="A506" t="s">
        <v>1768</v>
      </c>
      <c r="B506" t="s">
        <v>1769</v>
      </c>
      <c r="C506" t="s">
        <v>518</v>
      </c>
      <c r="D506" t="s">
        <v>147</v>
      </c>
      <c r="E506" t="s">
        <v>148</v>
      </c>
      <c r="F506" t="s">
        <v>580</v>
      </c>
      <c r="G506" t="s">
        <v>1716</v>
      </c>
      <c r="H506">
        <v>2149.84</v>
      </c>
      <c r="I506">
        <v>5</v>
      </c>
      <c r="J506" t="s">
        <v>230</v>
      </c>
      <c r="K506" t="s">
        <v>887</v>
      </c>
      <c r="L506" t="s">
        <v>92</v>
      </c>
      <c r="M506" t="s">
        <v>219</v>
      </c>
      <c r="N506" s="19">
        <v>46262</v>
      </c>
      <c r="O506" t="s">
        <v>220</v>
      </c>
      <c r="P506">
        <v>1</v>
      </c>
      <c r="Q506" t="s">
        <v>1770</v>
      </c>
    </row>
    <row r="507" spans="1:18" x14ac:dyDescent="0.3">
      <c r="A507" t="s">
        <v>1771</v>
      </c>
      <c r="B507" t="s">
        <v>1772</v>
      </c>
      <c r="C507" t="s">
        <v>518</v>
      </c>
      <c r="D507" t="s">
        <v>147</v>
      </c>
      <c r="E507" t="s">
        <v>148</v>
      </c>
      <c r="F507" t="s">
        <v>580</v>
      </c>
      <c r="G507" t="s">
        <v>1716</v>
      </c>
      <c r="H507">
        <v>561.9</v>
      </c>
      <c r="I507">
        <v>5</v>
      </c>
      <c r="J507" t="s">
        <v>230</v>
      </c>
      <c r="K507" t="s">
        <v>887</v>
      </c>
      <c r="L507" t="s">
        <v>92</v>
      </c>
      <c r="M507" t="s">
        <v>219</v>
      </c>
      <c r="N507" s="19">
        <v>46262</v>
      </c>
      <c r="O507" t="s">
        <v>220</v>
      </c>
      <c r="P507">
        <v>1</v>
      </c>
      <c r="Q507" t="s">
        <v>1773</v>
      </c>
    </row>
    <row r="508" spans="1:18" x14ac:dyDescent="0.3">
      <c r="A508" t="s">
        <v>1774</v>
      </c>
      <c r="B508" t="s">
        <v>1775</v>
      </c>
      <c r="C508" t="s">
        <v>518</v>
      </c>
      <c r="D508" t="s">
        <v>147</v>
      </c>
      <c r="E508" t="s">
        <v>148</v>
      </c>
      <c r="F508" t="s">
        <v>580</v>
      </c>
      <c r="G508" t="s">
        <v>1716</v>
      </c>
      <c r="H508">
        <v>746.46</v>
      </c>
      <c r="I508">
        <v>5</v>
      </c>
      <c r="J508" t="s">
        <v>230</v>
      </c>
      <c r="K508" t="s">
        <v>887</v>
      </c>
      <c r="L508" t="s">
        <v>92</v>
      </c>
      <c r="M508" t="s">
        <v>219</v>
      </c>
      <c r="N508" s="19">
        <v>46262</v>
      </c>
      <c r="O508" t="s">
        <v>220</v>
      </c>
      <c r="P508">
        <v>1</v>
      </c>
      <c r="Q508" t="s">
        <v>1776</v>
      </c>
    </row>
    <row r="509" spans="1:18" x14ac:dyDescent="0.3">
      <c r="A509" t="s">
        <v>1777</v>
      </c>
      <c r="B509" t="s">
        <v>1778</v>
      </c>
      <c r="C509" t="s">
        <v>461</v>
      </c>
      <c r="D509" t="s">
        <v>147</v>
      </c>
      <c r="E509" t="s">
        <v>148</v>
      </c>
      <c r="F509" t="s">
        <v>580</v>
      </c>
      <c r="H509">
        <v>539.75</v>
      </c>
      <c r="I509">
        <v>0</v>
      </c>
      <c r="J509" t="s">
        <v>230</v>
      </c>
      <c r="K509" t="s">
        <v>965</v>
      </c>
      <c r="L509" t="s">
        <v>218</v>
      </c>
      <c r="M509" t="s">
        <v>219</v>
      </c>
      <c r="N509" s="19">
        <v>46262</v>
      </c>
      <c r="O509" t="s">
        <v>220</v>
      </c>
      <c r="P509">
        <v>1</v>
      </c>
      <c r="Q509" t="s">
        <v>1779</v>
      </c>
    </row>
    <row r="510" spans="1:18" x14ac:dyDescent="0.3">
      <c r="A510" t="s">
        <v>1780</v>
      </c>
      <c r="B510" t="s">
        <v>1781</v>
      </c>
      <c r="C510" t="s">
        <v>518</v>
      </c>
      <c r="D510" t="s">
        <v>147</v>
      </c>
      <c r="E510" t="s">
        <v>148</v>
      </c>
      <c r="F510" t="s">
        <v>580</v>
      </c>
      <c r="H510">
        <v>829.44</v>
      </c>
      <c r="I510">
        <v>0</v>
      </c>
      <c r="J510" t="s">
        <v>230</v>
      </c>
      <c r="K510" t="s">
        <v>42</v>
      </c>
      <c r="L510" t="s">
        <v>218</v>
      </c>
      <c r="M510" t="s">
        <v>219</v>
      </c>
      <c r="N510" s="19">
        <v>46262</v>
      </c>
      <c r="O510" t="s">
        <v>220</v>
      </c>
      <c r="P510">
        <v>1</v>
      </c>
      <c r="Q510" t="s">
        <v>1782</v>
      </c>
    </row>
    <row r="511" spans="1:18" x14ac:dyDescent="0.3">
      <c r="A511" t="s">
        <v>1783</v>
      </c>
      <c r="B511" t="s">
        <v>1784</v>
      </c>
      <c r="C511" t="s">
        <v>518</v>
      </c>
      <c r="D511" t="s">
        <v>147</v>
      </c>
      <c r="E511" t="s">
        <v>148</v>
      </c>
      <c r="F511" t="s">
        <v>580</v>
      </c>
      <c r="H511">
        <v>278.23</v>
      </c>
      <c r="I511">
        <v>0</v>
      </c>
      <c r="J511" t="s">
        <v>230</v>
      </c>
      <c r="K511" t="s">
        <v>887</v>
      </c>
      <c r="L511" t="s">
        <v>218</v>
      </c>
      <c r="M511" t="s">
        <v>219</v>
      </c>
      <c r="N511" s="19">
        <v>46262</v>
      </c>
      <c r="O511" t="s">
        <v>220</v>
      </c>
      <c r="P511">
        <v>4</v>
      </c>
      <c r="Q511" t="s">
        <v>1785</v>
      </c>
      <c r="R511" t="s">
        <v>92</v>
      </c>
    </row>
    <row r="512" spans="1:18" x14ac:dyDescent="0.3">
      <c r="A512" t="s">
        <v>1786</v>
      </c>
      <c r="B512" t="s">
        <v>1787</v>
      </c>
      <c r="C512" t="s">
        <v>461</v>
      </c>
      <c r="D512" t="s">
        <v>147</v>
      </c>
      <c r="E512" t="s">
        <v>148</v>
      </c>
      <c r="F512" t="s">
        <v>580</v>
      </c>
      <c r="G512" t="s">
        <v>1716</v>
      </c>
      <c r="H512">
        <v>531.71</v>
      </c>
      <c r="I512">
        <v>5</v>
      </c>
      <c r="J512" t="s">
        <v>230</v>
      </c>
      <c r="K512" t="s">
        <v>887</v>
      </c>
      <c r="L512" t="s">
        <v>92</v>
      </c>
      <c r="M512" t="s">
        <v>219</v>
      </c>
      <c r="N512" s="19">
        <v>46262</v>
      </c>
      <c r="O512" t="s">
        <v>220</v>
      </c>
      <c r="P512">
        <v>1</v>
      </c>
      <c r="Q512" t="s">
        <v>1788</v>
      </c>
    </row>
    <row r="513" spans="1:18" x14ac:dyDescent="0.3">
      <c r="A513" t="s">
        <v>1789</v>
      </c>
      <c r="B513" t="s">
        <v>1790</v>
      </c>
      <c r="C513" t="s">
        <v>461</v>
      </c>
      <c r="D513" t="s">
        <v>147</v>
      </c>
      <c r="E513" t="s">
        <v>148</v>
      </c>
      <c r="F513" t="s">
        <v>580</v>
      </c>
      <c r="H513">
        <v>844.73</v>
      </c>
      <c r="I513">
        <v>0</v>
      </c>
      <c r="J513" t="s">
        <v>230</v>
      </c>
      <c r="K513" t="s">
        <v>965</v>
      </c>
      <c r="L513" t="s">
        <v>218</v>
      </c>
      <c r="M513" t="s">
        <v>219</v>
      </c>
      <c r="N513" s="19">
        <v>46262</v>
      </c>
      <c r="O513" t="s">
        <v>220</v>
      </c>
      <c r="P513">
        <v>1</v>
      </c>
      <c r="Q513" t="s">
        <v>1791</v>
      </c>
    </row>
    <row r="514" spans="1:18" x14ac:dyDescent="0.3">
      <c r="A514" t="s">
        <v>1792</v>
      </c>
      <c r="B514" t="s">
        <v>1793</v>
      </c>
      <c r="C514" t="s">
        <v>289</v>
      </c>
      <c r="D514" t="s">
        <v>147</v>
      </c>
      <c r="E514" t="s">
        <v>148</v>
      </c>
      <c r="F514" t="s">
        <v>580</v>
      </c>
      <c r="H514">
        <v>3681.58</v>
      </c>
      <c r="I514">
        <v>0</v>
      </c>
      <c r="J514" t="s">
        <v>230</v>
      </c>
      <c r="K514" t="s">
        <v>965</v>
      </c>
      <c r="L514" t="s">
        <v>218</v>
      </c>
      <c r="M514" t="s">
        <v>219</v>
      </c>
      <c r="N514" s="19">
        <v>46262</v>
      </c>
      <c r="O514" t="s">
        <v>220</v>
      </c>
      <c r="P514">
        <v>1</v>
      </c>
      <c r="Q514" t="s">
        <v>1794</v>
      </c>
    </row>
    <row r="515" spans="1:18" x14ac:dyDescent="0.3">
      <c r="A515" t="s">
        <v>1795</v>
      </c>
      <c r="B515" t="s">
        <v>1796</v>
      </c>
      <c r="C515" t="s">
        <v>289</v>
      </c>
      <c r="D515" t="s">
        <v>147</v>
      </c>
      <c r="E515" t="s">
        <v>148</v>
      </c>
      <c r="F515" t="s">
        <v>580</v>
      </c>
      <c r="H515">
        <v>5225</v>
      </c>
      <c r="I515">
        <v>0</v>
      </c>
      <c r="J515" t="s">
        <v>230</v>
      </c>
      <c r="K515" t="s">
        <v>965</v>
      </c>
      <c r="L515" t="s">
        <v>218</v>
      </c>
      <c r="M515" t="s">
        <v>219</v>
      </c>
      <c r="N515" s="19">
        <v>46262</v>
      </c>
      <c r="O515" t="s">
        <v>220</v>
      </c>
      <c r="P515">
        <v>2</v>
      </c>
      <c r="Q515" t="s">
        <v>1797</v>
      </c>
      <c r="R515" t="s">
        <v>92</v>
      </c>
    </row>
    <row r="516" spans="1:18" x14ac:dyDescent="0.3">
      <c r="A516" t="s">
        <v>1798</v>
      </c>
      <c r="B516" t="s">
        <v>1799</v>
      </c>
      <c r="C516" t="s">
        <v>461</v>
      </c>
      <c r="D516" t="s">
        <v>147</v>
      </c>
      <c r="E516" t="s">
        <v>148</v>
      </c>
      <c r="F516" t="s">
        <v>580</v>
      </c>
      <c r="G516" t="s">
        <v>1800</v>
      </c>
      <c r="H516">
        <v>3544.73</v>
      </c>
      <c r="I516">
        <v>5</v>
      </c>
      <c r="J516" t="s">
        <v>230</v>
      </c>
      <c r="K516" t="s">
        <v>965</v>
      </c>
      <c r="L516" t="s">
        <v>92</v>
      </c>
      <c r="M516" t="s">
        <v>219</v>
      </c>
      <c r="N516" s="19">
        <v>46262</v>
      </c>
      <c r="O516" t="s">
        <v>220</v>
      </c>
      <c r="P516">
        <v>3</v>
      </c>
      <c r="Q516" t="s">
        <v>1801</v>
      </c>
      <c r="R516" t="s">
        <v>92</v>
      </c>
    </row>
    <row r="517" spans="1:18" x14ac:dyDescent="0.3">
      <c r="A517" t="s">
        <v>1802</v>
      </c>
      <c r="B517" t="s">
        <v>1803</v>
      </c>
      <c r="C517" t="s">
        <v>461</v>
      </c>
      <c r="D517" t="s">
        <v>147</v>
      </c>
      <c r="E517" t="s">
        <v>148</v>
      </c>
      <c r="F517" t="s">
        <v>580</v>
      </c>
      <c r="H517">
        <v>678.6</v>
      </c>
      <c r="I517">
        <v>0</v>
      </c>
      <c r="J517" t="s">
        <v>230</v>
      </c>
      <c r="K517" t="s">
        <v>965</v>
      </c>
      <c r="L517" t="s">
        <v>218</v>
      </c>
      <c r="M517" t="s">
        <v>219</v>
      </c>
      <c r="N517" s="19">
        <v>46262</v>
      </c>
      <c r="O517" t="s">
        <v>220</v>
      </c>
      <c r="P517">
        <v>1</v>
      </c>
      <c r="Q517" t="s">
        <v>1804</v>
      </c>
    </row>
    <row r="518" spans="1:18" x14ac:dyDescent="0.3">
      <c r="A518" t="s">
        <v>1805</v>
      </c>
      <c r="B518" t="s">
        <v>1806</v>
      </c>
      <c r="C518" t="s">
        <v>289</v>
      </c>
      <c r="D518" t="s">
        <v>147</v>
      </c>
      <c r="E518" t="s">
        <v>148</v>
      </c>
      <c r="F518" t="s">
        <v>580</v>
      </c>
      <c r="H518">
        <v>6457.67</v>
      </c>
      <c r="I518">
        <v>0</v>
      </c>
      <c r="J518" t="s">
        <v>230</v>
      </c>
      <c r="K518" t="s">
        <v>965</v>
      </c>
      <c r="L518" t="s">
        <v>218</v>
      </c>
      <c r="M518" t="s">
        <v>219</v>
      </c>
      <c r="N518" s="19">
        <v>46262</v>
      </c>
      <c r="O518" t="s">
        <v>220</v>
      </c>
      <c r="P518">
        <v>1</v>
      </c>
      <c r="Q518" t="s">
        <v>1807</v>
      </c>
    </row>
    <row r="519" spans="1:18" x14ac:dyDescent="0.3">
      <c r="A519" t="s">
        <v>1808</v>
      </c>
      <c r="B519" t="s">
        <v>1809</v>
      </c>
      <c r="C519" t="s">
        <v>461</v>
      </c>
      <c r="D519" t="s">
        <v>147</v>
      </c>
      <c r="E519" t="s">
        <v>148</v>
      </c>
      <c r="F519" t="s">
        <v>580</v>
      </c>
      <c r="G519" t="s">
        <v>1747</v>
      </c>
      <c r="H519">
        <v>16720</v>
      </c>
      <c r="I519">
        <v>5</v>
      </c>
      <c r="J519" t="s">
        <v>230</v>
      </c>
      <c r="K519" t="s">
        <v>965</v>
      </c>
      <c r="L519" t="s">
        <v>92</v>
      </c>
      <c r="M519" t="s">
        <v>219</v>
      </c>
      <c r="N519" s="19">
        <v>46262</v>
      </c>
      <c r="O519" t="s">
        <v>220</v>
      </c>
      <c r="P519">
        <v>1</v>
      </c>
      <c r="Q519" t="s">
        <v>1810</v>
      </c>
    </row>
    <row r="520" spans="1:18" x14ac:dyDescent="0.3">
      <c r="A520" t="s">
        <v>1811</v>
      </c>
      <c r="B520" t="s">
        <v>1812</v>
      </c>
      <c r="C520" t="s">
        <v>461</v>
      </c>
      <c r="D520" t="s">
        <v>147</v>
      </c>
      <c r="E520" t="s">
        <v>148</v>
      </c>
      <c r="F520" t="s">
        <v>580</v>
      </c>
      <c r="H520">
        <v>4950</v>
      </c>
      <c r="I520">
        <v>0</v>
      </c>
      <c r="J520" t="s">
        <v>216</v>
      </c>
      <c r="K520" t="s">
        <v>965</v>
      </c>
      <c r="L520" t="s">
        <v>218</v>
      </c>
      <c r="M520" t="s">
        <v>219</v>
      </c>
      <c r="N520" s="19">
        <v>46262</v>
      </c>
      <c r="O520" t="s">
        <v>220</v>
      </c>
      <c r="P520">
        <v>1</v>
      </c>
      <c r="Q520" t="s">
        <v>1813</v>
      </c>
    </row>
    <row r="521" spans="1:18" x14ac:dyDescent="0.3">
      <c r="A521" t="s">
        <v>1814</v>
      </c>
      <c r="B521" t="s">
        <v>1815</v>
      </c>
      <c r="C521" t="s">
        <v>461</v>
      </c>
      <c r="D521" t="s">
        <v>147</v>
      </c>
      <c r="E521" t="s">
        <v>148</v>
      </c>
      <c r="F521" t="s">
        <v>580</v>
      </c>
      <c r="G521" t="s">
        <v>1747</v>
      </c>
      <c r="H521">
        <v>2714.4</v>
      </c>
      <c r="I521">
        <v>5</v>
      </c>
      <c r="J521" t="s">
        <v>230</v>
      </c>
      <c r="K521" t="s">
        <v>965</v>
      </c>
      <c r="L521" t="s">
        <v>92</v>
      </c>
      <c r="M521" t="s">
        <v>219</v>
      </c>
      <c r="N521" s="19">
        <v>46262</v>
      </c>
      <c r="O521" t="s">
        <v>220</v>
      </c>
      <c r="P521">
        <v>1</v>
      </c>
      <c r="Q521" t="s">
        <v>1816</v>
      </c>
    </row>
    <row r="522" spans="1:18" x14ac:dyDescent="0.3">
      <c r="A522" t="s">
        <v>1817</v>
      </c>
      <c r="B522" t="s">
        <v>1818</v>
      </c>
      <c r="C522" t="s">
        <v>461</v>
      </c>
      <c r="D522" t="s">
        <v>147</v>
      </c>
      <c r="E522" t="s">
        <v>148</v>
      </c>
      <c r="F522" t="s">
        <v>580</v>
      </c>
      <c r="G522" t="s">
        <v>1716</v>
      </c>
      <c r="H522">
        <v>1492.92</v>
      </c>
      <c r="I522">
        <v>5</v>
      </c>
      <c r="J522" t="s">
        <v>230</v>
      </c>
      <c r="K522" t="s">
        <v>887</v>
      </c>
      <c r="L522" t="s">
        <v>92</v>
      </c>
      <c r="M522" t="s">
        <v>219</v>
      </c>
      <c r="N522" s="19">
        <v>46262</v>
      </c>
      <c r="O522" t="s">
        <v>220</v>
      </c>
      <c r="P522">
        <v>1</v>
      </c>
      <c r="Q522" t="s">
        <v>1819</v>
      </c>
    </row>
    <row r="523" spans="1:18" x14ac:dyDescent="0.3">
      <c r="A523" t="s">
        <v>1820</v>
      </c>
      <c r="B523" t="s">
        <v>1760</v>
      </c>
      <c r="C523" t="s">
        <v>461</v>
      </c>
      <c r="D523" t="s">
        <v>147</v>
      </c>
      <c r="E523" t="s">
        <v>148</v>
      </c>
      <c r="F523" t="s">
        <v>580</v>
      </c>
      <c r="G523" t="s">
        <v>1716</v>
      </c>
      <c r="H523">
        <v>1073.8499999999999</v>
      </c>
      <c r="I523">
        <v>5</v>
      </c>
      <c r="J523" t="s">
        <v>230</v>
      </c>
      <c r="K523" t="s">
        <v>887</v>
      </c>
      <c r="L523" t="s">
        <v>92</v>
      </c>
      <c r="M523" t="s">
        <v>219</v>
      </c>
      <c r="N523" s="19">
        <v>46262</v>
      </c>
      <c r="O523" t="s">
        <v>220</v>
      </c>
      <c r="P523">
        <v>2</v>
      </c>
      <c r="Q523" t="s">
        <v>1821</v>
      </c>
      <c r="R523" t="s">
        <v>92</v>
      </c>
    </row>
    <row r="524" spans="1:18" x14ac:dyDescent="0.3">
      <c r="A524" t="s">
        <v>1822</v>
      </c>
      <c r="B524" t="s">
        <v>1823</v>
      </c>
      <c r="C524" t="s">
        <v>461</v>
      </c>
      <c r="D524" t="s">
        <v>147</v>
      </c>
      <c r="E524" t="s">
        <v>148</v>
      </c>
      <c r="F524" t="s">
        <v>580</v>
      </c>
      <c r="H524">
        <v>2612.5</v>
      </c>
      <c r="I524">
        <v>0</v>
      </c>
      <c r="J524" t="s">
        <v>230</v>
      </c>
      <c r="K524" t="s">
        <v>965</v>
      </c>
      <c r="L524" t="s">
        <v>218</v>
      </c>
      <c r="M524" t="s">
        <v>219</v>
      </c>
      <c r="N524" s="19">
        <v>46262</v>
      </c>
      <c r="O524" t="s">
        <v>220</v>
      </c>
      <c r="P524">
        <v>3</v>
      </c>
      <c r="Q524" t="s">
        <v>1824</v>
      </c>
      <c r="R524" t="s">
        <v>92</v>
      </c>
    </row>
    <row r="525" spans="1:18" x14ac:dyDescent="0.3">
      <c r="A525" t="s">
        <v>1825</v>
      </c>
      <c r="B525" t="s">
        <v>1826</v>
      </c>
      <c r="C525" t="s">
        <v>461</v>
      </c>
      <c r="D525" t="s">
        <v>147</v>
      </c>
      <c r="E525" t="s">
        <v>148</v>
      </c>
      <c r="F525" t="s">
        <v>580</v>
      </c>
      <c r="H525">
        <v>1945.32</v>
      </c>
      <c r="I525">
        <v>0</v>
      </c>
      <c r="J525" t="s">
        <v>230</v>
      </c>
      <c r="K525" t="s">
        <v>965</v>
      </c>
      <c r="L525" t="s">
        <v>218</v>
      </c>
      <c r="M525" t="s">
        <v>219</v>
      </c>
      <c r="N525" s="19">
        <v>46262</v>
      </c>
      <c r="O525" t="s">
        <v>220</v>
      </c>
      <c r="P525">
        <v>1</v>
      </c>
      <c r="Q525" t="s">
        <v>1827</v>
      </c>
    </row>
    <row r="526" spans="1:18" x14ac:dyDescent="0.3">
      <c r="A526" t="s">
        <v>1828</v>
      </c>
      <c r="B526" t="s">
        <v>1829</v>
      </c>
      <c r="C526" t="s">
        <v>461</v>
      </c>
      <c r="D526" t="s">
        <v>147</v>
      </c>
      <c r="E526" t="s">
        <v>148</v>
      </c>
      <c r="F526" t="s">
        <v>580</v>
      </c>
      <c r="G526" t="s">
        <v>1712</v>
      </c>
      <c r="H526">
        <v>1933.25</v>
      </c>
      <c r="I526">
        <v>5</v>
      </c>
      <c r="J526" t="s">
        <v>230</v>
      </c>
      <c r="K526" t="s">
        <v>965</v>
      </c>
      <c r="L526" t="s">
        <v>92</v>
      </c>
      <c r="M526" t="s">
        <v>219</v>
      </c>
      <c r="N526" s="19">
        <v>46262</v>
      </c>
      <c r="O526" t="s">
        <v>220</v>
      </c>
      <c r="P526">
        <v>1</v>
      </c>
      <c r="Q526" t="s">
        <v>1830</v>
      </c>
    </row>
    <row r="527" spans="1:18" x14ac:dyDescent="0.3">
      <c r="A527" t="s">
        <v>1831</v>
      </c>
      <c r="B527" t="s">
        <v>1832</v>
      </c>
      <c r="C527" t="s">
        <v>518</v>
      </c>
      <c r="D527" t="s">
        <v>147</v>
      </c>
      <c r="E527" t="s">
        <v>148</v>
      </c>
      <c r="F527" t="s">
        <v>580</v>
      </c>
      <c r="G527" t="s">
        <v>1716</v>
      </c>
      <c r="H527">
        <v>791.7</v>
      </c>
      <c r="I527">
        <v>5</v>
      </c>
      <c r="J527" t="s">
        <v>230</v>
      </c>
      <c r="K527" t="s">
        <v>887</v>
      </c>
      <c r="L527" t="s">
        <v>92</v>
      </c>
      <c r="M527" t="s">
        <v>219</v>
      </c>
      <c r="N527" s="19">
        <v>46262</v>
      </c>
      <c r="O527" t="s">
        <v>220</v>
      </c>
      <c r="P527">
        <v>1</v>
      </c>
      <c r="Q527" t="s">
        <v>1833</v>
      </c>
    </row>
    <row r="528" spans="1:18" x14ac:dyDescent="0.3">
      <c r="A528" t="s">
        <v>1834</v>
      </c>
      <c r="B528" t="s">
        <v>1835</v>
      </c>
      <c r="C528" t="s">
        <v>461</v>
      </c>
      <c r="D528" t="s">
        <v>147</v>
      </c>
      <c r="E528" t="s">
        <v>148</v>
      </c>
      <c r="F528" t="s">
        <v>632</v>
      </c>
      <c r="H528">
        <v>4180</v>
      </c>
      <c r="I528">
        <v>0</v>
      </c>
      <c r="J528" t="s">
        <v>230</v>
      </c>
      <c r="K528" t="s">
        <v>965</v>
      </c>
      <c r="L528" t="s">
        <v>218</v>
      </c>
      <c r="M528" t="s">
        <v>219</v>
      </c>
      <c r="N528" s="19">
        <v>46262</v>
      </c>
      <c r="O528" t="s">
        <v>220</v>
      </c>
      <c r="P528">
        <v>1</v>
      </c>
      <c r="Q528" t="s">
        <v>1836</v>
      </c>
    </row>
    <row r="529" spans="1:18" x14ac:dyDescent="0.3">
      <c r="A529" t="s">
        <v>1837</v>
      </c>
      <c r="B529" t="s">
        <v>1838</v>
      </c>
      <c r="C529" t="s">
        <v>214</v>
      </c>
      <c r="D529" t="s">
        <v>147</v>
      </c>
      <c r="E529" t="s">
        <v>148</v>
      </c>
      <c r="F529" t="s">
        <v>632</v>
      </c>
      <c r="H529">
        <v>2714.4</v>
      </c>
      <c r="I529">
        <v>0</v>
      </c>
      <c r="J529" t="s">
        <v>230</v>
      </c>
      <c r="K529" t="s">
        <v>48</v>
      </c>
      <c r="L529" t="s">
        <v>218</v>
      </c>
      <c r="M529" t="s">
        <v>219</v>
      </c>
      <c r="N529" s="19">
        <v>46262</v>
      </c>
      <c r="O529" t="s">
        <v>220</v>
      </c>
      <c r="P529">
        <v>1</v>
      </c>
      <c r="Q529" t="s">
        <v>1839</v>
      </c>
    </row>
    <row r="530" spans="1:18" x14ac:dyDescent="0.3">
      <c r="A530" t="s">
        <v>1840</v>
      </c>
      <c r="B530" t="s">
        <v>1841</v>
      </c>
      <c r="C530" t="s">
        <v>461</v>
      </c>
      <c r="D530" t="s">
        <v>149</v>
      </c>
      <c r="E530" t="s">
        <v>150</v>
      </c>
      <c r="F530" t="s">
        <v>215</v>
      </c>
      <c r="G530" t="s">
        <v>1716</v>
      </c>
      <c r="H530">
        <v>2090</v>
      </c>
      <c r="I530">
        <v>5</v>
      </c>
      <c r="J530" t="s">
        <v>230</v>
      </c>
      <c r="K530" t="s">
        <v>887</v>
      </c>
      <c r="L530" t="s">
        <v>92</v>
      </c>
      <c r="M530" t="s">
        <v>219</v>
      </c>
      <c r="N530" s="19">
        <v>46262</v>
      </c>
      <c r="O530" t="s">
        <v>220</v>
      </c>
      <c r="P530">
        <v>1</v>
      </c>
      <c r="Q530" t="s">
        <v>1842</v>
      </c>
    </row>
    <row r="531" spans="1:18" x14ac:dyDescent="0.3">
      <c r="A531" t="s">
        <v>1843</v>
      </c>
      <c r="B531" t="s">
        <v>1844</v>
      </c>
      <c r="C531" t="s">
        <v>461</v>
      </c>
      <c r="D531" t="s">
        <v>149</v>
      </c>
      <c r="E531" t="s">
        <v>150</v>
      </c>
      <c r="F531" t="s">
        <v>215</v>
      </c>
      <c r="H531">
        <v>4702.5</v>
      </c>
      <c r="I531">
        <v>0</v>
      </c>
      <c r="J531" t="s">
        <v>230</v>
      </c>
      <c r="K531" t="s">
        <v>965</v>
      </c>
      <c r="L531" t="s">
        <v>218</v>
      </c>
      <c r="M531" t="s">
        <v>219</v>
      </c>
      <c r="N531" s="19">
        <v>46262</v>
      </c>
      <c r="O531" t="s">
        <v>220</v>
      </c>
      <c r="P531">
        <v>4</v>
      </c>
      <c r="Q531" t="s">
        <v>1845</v>
      </c>
      <c r="R531" t="s">
        <v>92</v>
      </c>
    </row>
    <row r="532" spans="1:18" x14ac:dyDescent="0.3">
      <c r="A532" t="s">
        <v>1846</v>
      </c>
      <c r="B532" t="s">
        <v>1847</v>
      </c>
      <c r="C532" t="s">
        <v>1848</v>
      </c>
      <c r="D532" t="s">
        <v>149</v>
      </c>
      <c r="E532" t="s">
        <v>150</v>
      </c>
      <c r="F532" t="s">
        <v>215</v>
      </c>
      <c r="G532" t="s">
        <v>1849</v>
      </c>
      <c r="H532">
        <v>470.25</v>
      </c>
      <c r="I532">
        <v>5</v>
      </c>
      <c r="J532" t="s">
        <v>230</v>
      </c>
      <c r="K532" t="s">
        <v>965</v>
      </c>
      <c r="L532" t="s">
        <v>92</v>
      </c>
      <c r="M532" t="s">
        <v>219</v>
      </c>
      <c r="N532" s="19">
        <v>46262</v>
      </c>
      <c r="O532" t="s">
        <v>220</v>
      </c>
      <c r="P532">
        <v>4</v>
      </c>
      <c r="Q532" t="s">
        <v>1850</v>
      </c>
      <c r="R532" t="s">
        <v>92</v>
      </c>
    </row>
    <row r="533" spans="1:18" x14ac:dyDescent="0.3">
      <c r="A533" t="s">
        <v>1851</v>
      </c>
      <c r="B533" t="s">
        <v>1763</v>
      </c>
      <c r="C533" t="s">
        <v>461</v>
      </c>
      <c r="D533" t="s">
        <v>149</v>
      </c>
      <c r="E533" t="s">
        <v>150</v>
      </c>
      <c r="F533" t="s">
        <v>215</v>
      </c>
      <c r="G533" t="s">
        <v>1712</v>
      </c>
      <c r="H533">
        <v>588.12</v>
      </c>
      <c r="I533">
        <v>5</v>
      </c>
      <c r="J533" t="s">
        <v>230</v>
      </c>
      <c r="K533" t="s">
        <v>965</v>
      </c>
      <c r="L533" t="s">
        <v>92</v>
      </c>
      <c r="M533" t="s">
        <v>219</v>
      </c>
      <c r="N533" s="19">
        <v>46262</v>
      </c>
      <c r="O533" t="s">
        <v>220</v>
      </c>
      <c r="P533">
        <v>3</v>
      </c>
      <c r="Q533" t="s">
        <v>1852</v>
      </c>
      <c r="R533" t="s">
        <v>92</v>
      </c>
    </row>
    <row r="534" spans="1:18" x14ac:dyDescent="0.3">
      <c r="A534" t="s">
        <v>1853</v>
      </c>
      <c r="B534" t="s">
        <v>1854</v>
      </c>
      <c r="C534" t="s">
        <v>289</v>
      </c>
      <c r="D534" t="s">
        <v>149</v>
      </c>
      <c r="E534" t="s">
        <v>150</v>
      </c>
      <c r="F534" t="s">
        <v>215</v>
      </c>
      <c r="G534" t="s">
        <v>1855</v>
      </c>
      <c r="H534">
        <v>271.44</v>
      </c>
      <c r="I534">
        <v>5</v>
      </c>
      <c r="J534" t="s">
        <v>230</v>
      </c>
      <c r="K534" t="s">
        <v>965</v>
      </c>
      <c r="L534" t="s">
        <v>92</v>
      </c>
      <c r="M534" t="s">
        <v>219</v>
      </c>
      <c r="N534" s="19">
        <v>46262</v>
      </c>
      <c r="O534" t="s">
        <v>220</v>
      </c>
      <c r="P534">
        <v>19</v>
      </c>
      <c r="Q534" t="s">
        <v>1856</v>
      </c>
      <c r="R534" t="s">
        <v>92</v>
      </c>
    </row>
    <row r="535" spans="1:18" x14ac:dyDescent="0.3">
      <c r="A535" t="s">
        <v>1857</v>
      </c>
      <c r="B535" t="s">
        <v>1854</v>
      </c>
      <c r="C535" t="s">
        <v>289</v>
      </c>
      <c r="D535" t="s">
        <v>149</v>
      </c>
      <c r="E535" t="s">
        <v>150</v>
      </c>
      <c r="F535" t="s">
        <v>215</v>
      </c>
      <c r="G535" t="s">
        <v>1855</v>
      </c>
      <c r="H535">
        <v>305.37</v>
      </c>
      <c r="I535">
        <v>5</v>
      </c>
      <c r="J535" t="s">
        <v>230</v>
      </c>
      <c r="K535" t="s">
        <v>965</v>
      </c>
      <c r="L535" t="s">
        <v>92</v>
      </c>
      <c r="M535" t="s">
        <v>219</v>
      </c>
      <c r="N535" s="19">
        <v>46262</v>
      </c>
      <c r="O535" t="s">
        <v>220</v>
      </c>
      <c r="P535">
        <v>2</v>
      </c>
      <c r="Q535" t="s">
        <v>1858</v>
      </c>
      <c r="R535" t="s">
        <v>92</v>
      </c>
    </row>
    <row r="536" spans="1:18" x14ac:dyDescent="0.3">
      <c r="A536" t="s">
        <v>1859</v>
      </c>
      <c r="B536" t="s">
        <v>1860</v>
      </c>
      <c r="C536" t="s">
        <v>289</v>
      </c>
      <c r="D536" t="s">
        <v>149</v>
      </c>
      <c r="E536" t="s">
        <v>150</v>
      </c>
      <c r="F536" t="s">
        <v>215</v>
      </c>
      <c r="G536" t="s">
        <v>1849</v>
      </c>
      <c r="H536">
        <v>0</v>
      </c>
      <c r="I536">
        <v>0</v>
      </c>
      <c r="J536" t="s">
        <v>230</v>
      </c>
      <c r="K536" t="s">
        <v>965</v>
      </c>
      <c r="L536" t="s">
        <v>92</v>
      </c>
      <c r="M536" t="s">
        <v>219</v>
      </c>
      <c r="N536" s="19">
        <v>46262</v>
      </c>
      <c r="O536" t="s">
        <v>220</v>
      </c>
      <c r="P536">
        <v>1</v>
      </c>
      <c r="Q536" t="s">
        <v>1861</v>
      </c>
    </row>
    <row r="537" spans="1:18" x14ac:dyDescent="0.3">
      <c r="A537" t="s">
        <v>1862</v>
      </c>
      <c r="B537" t="s">
        <v>1847</v>
      </c>
      <c r="C537" t="s">
        <v>461</v>
      </c>
      <c r="D537" t="s">
        <v>149</v>
      </c>
      <c r="E537" t="s">
        <v>150</v>
      </c>
      <c r="F537" t="s">
        <v>215</v>
      </c>
      <c r="G537" t="s">
        <v>1849</v>
      </c>
      <c r="H537">
        <v>1881</v>
      </c>
      <c r="I537">
        <v>5</v>
      </c>
      <c r="J537" t="s">
        <v>230</v>
      </c>
      <c r="K537" t="s">
        <v>965</v>
      </c>
      <c r="L537" t="s">
        <v>92</v>
      </c>
      <c r="M537" t="s">
        <v>219</v>
      </c>
      <c r="N537" s="19">
        <v>46262</v>
      </c>
      <c r="O537" t="s">
        <v>220</v>
      </c>
      <c r="P537">
        <v>3</v>
      </c>
      <c r="Q537" t="s">
        <v>1863</v>
      </c>
      <c r="R537" t="s">
        <v>92</v>
      </c>
    </row>
    <row r="538" spans="1:18" x14ac:dyDescent="0.3">
      <c r="A538" t="s">
        <v>1864</v>
      </c>
      <c r="B538" t="s">
        <v>1847</v>
      </c>
      <c r="C538" t="s">
        <v>461</v>
      </c>
      <c r="D538" t="s">
        <v>149</v>
      </c>
      <c r="E538" t="s">
        <v>150</v>
      </c>
      <c r="F538" t="s">
        <v>215</v>
      </c>
      <c r="G538" t="s">
        <v>1849</v>
      </c>
      <c r="H538">
        <v>2351.25</v>
      </c>
      <c r="I538">
        <v>5</v>
      </c>
      <c r="J538" t="s">
        <v>230</v>
      </c>
      <c r="K538" t="s">
        <v>965</v>
      </c>
      <c r="L538" t="s">
        <v>92</v>
      </c>
      <c r="M538" t="s">
        <v>219</v>
      </c>
      <c r="N538" s="19">
        <v>46262</v>
      </c>
      <c r="O538" t="s">
        <v>220</v>
      </c>
      <c r="P538">
        <v>3</v>
      </c>
      <c r="Q538" t="s">
        <v>1865</v>
      </c>
      <c r="R538" t="s">
        <v>92</v>
      </c>
    </row>
    <row r="539" spans="1:18" x14ac:dyDescent="0.3">
      <c r="A539" t="s">
        <v>1866</v>
      </c>
      <c r="B539" t="s">
        <v>1847</v>
      </c>
      <c r="C539" t="s">
        <v>461</v>
      </c>
      <c r="D539" t="s">
        <v>149</v>
      </c>
      <c r="E539" t="s">
        <v>150</v>
      </c>
      <c r="F539" t="s">
        <v>215</v>
      </c>
      <c r="G539" t="s">
        <v>1849</v>
      </c>
      <c r="H539">
        <v>2821.5</v>
      </c>
      <c r="I539">
        <v>5</v>
      </c>
      <c r="J539" t="s">
        <v>230</v>
      </c>
      <c r="K539" t="s">
        <v>965</v>
      </c>
      <c r="L539" t="s">
        <v>92</v>
      </c>
      <c r="M539" t="s">
        <v>219</v>
      </c>
      <c r="N539" s="19">
        <v>46262</v>
      </c>
      <c r="O539" t="s">
        <v>220</v>
      </c>
      <c r="P539">
        <v>3</v>
      </c>
      <c r="Q539" t="s">
        <v>1867</v>
      </c>
      <c r="R539" t="s">
        <v>92</v>
      </c>
    </row>
    <row r="540" spans="1:18" x14ac:dyDescent="0.3">
      <c r="A540" t="s">
        <v>1868</v>
      </c>
      <c r="B540" t="s">
        <v>1847</v>
      </c>
      <c r="C540" t="s">
        <v>461</v>
      </c>
      <c r="D540" t="s">
        <v>149</v>
      </c>
      <c r="E540" t="s">
        <v>150</v>
      </c>
      <c r="F540" t="s">
        <v>215</v>
      </c>
      <c r="G540" t="s">
        <v>1849</v>
      </c>
      <c r="H540">
        <v>3291.75</v>
      </c>
      <c r="I540">
        <v>5</v>
      </c>
      <c r="J540" t="s">
        <v>230</v>
      </c>
      <c r="K540" t="s">
        <v>965</v>
      </c>
      <c r="L540" t="s">
        <v>92</v>
      </c>
      <c r="M540" t="s">
        <v>219</v>
      </c>
      <c r="N540" s="19">
        <v>46262</v>
      </c>
      <c r="O540" t="s">
        <v>220</v>
      </c>
      <c r="P540">
        <v>3</v>
      </c>
      <c r="Q540" t="s">
        <v>1869</v>
      </c>
      <c r="R540" t="s">
        <v>92</v>
      </c>
    </row>
    <row r="541" spans="1:18" x14ac:dyDescent="0.3">
      <c r="A541" t="s">
        <v>1870</v>
      </c>
      <c r="B541" t="s">
        <v>1847</v>
      </c>
      <c r="C541" t="s">
        <v>461</v>
      </c>
      <c r="D541" t="s">
        <v>149</v>
      </c>
      <c r="E541" t="s">
        <v>150</v>
      </c>
      <c r="F541" t="s">
        <v>215</v>
      </c>
      <c r="G541" t="s">
        <v>1849</v>
      </c>
      <c r="H541">
        <v>3762</v>
      </c>
      <c r="I541">
        <v>5</v>
      </c>
      <c r="J541" t="s">
        <v>230</v>
      </c>
      <c r="K541" t="s">
        <v>965</v>
      </c>
      <c r="L541" t="s">
        <v>92</v>
      </c>
      <c r="M541" t="s">
        <v>219</v>
      </c>
      <c r="N541" s="19">
        <v>46262</v>
      </c>
      <c r="O541" t="s">
        <v>220</v>
      </c>
      <c r="P541">
        <v>3</v>
      </c>
      <c r="Q541" t="s">
        <v>1871</v>
      </c>
      <c r="R541" t="s">
        <v>92</v>
      </c>
    </row>
    <row r="542" spans="1:18" x14ac:dyDescent="0.3">
      <c r="A542" t="s">
        <v>1872</v>
      </c>
      <c r="B542" t="s">
        <v>1847</v>
      </c>
      <c r="C542" t="s">
        <v>461</v>
      </c>
      <c r="D542" t="s">
        <v>149</v>
      </c>
      <c r="E542" t="s">
        <v>150</v>
      </c>
      <c r="F542" t="s">
        <v>215</v>
      </c>
      <c r="G542" t="s">
        <v>1849</v>
      </c>
      <c r="H542">
        <v>4232.25</v>
      </c>
      <c r="I542">
        <v>5</v>
      </c>
      <c r="J542" t="s">
        <v>230</v>
      </c>
      <c r="K542" t="s">
        <v>965</v>
      </c>
      <c r="L542" t="s">
        <v>92</v>
      </c>
      <c r="M542" t="s">
        <v>219</v>
      </c>
      <c r="N542" s="19">
        <v>46262</v>
      </c>
      <c r="O542" t="s">
        <v>220</v>
      </c>
      <c r="P542">
        <v>3</v>
      </c>
      <c r="Q542" t="s">
        <v>1873</v>
      </c>
      <c r="R542" t="s">
        <v>92</v>
      </c>
    </row>
    <row r="543" spans="1:18" x14ac:dyDescent="0.3">
      <c r="A543" t="s">
        <v>1874</v>
      </c>
      <c r="B543" t="s">
        <v>1847</v>
      </c>
      <c r="C543" t="s">
        <v>461</v>
      </c>
      <c r="D543" t="s">
        <v>149</v>
      </c>
      <c r="E543" t="s">
        <v>150</v>
      </c>
      <c r="F543" t="s">
        <v>215</v>
      </c>
      <c r="G543" t="s">
        <v>1849</v>
      </c>
      <c r="H543">
        <v>5172.75</v>
      </c>
      <c r="I543">
        <v>5</v>
      </c>
      <c r="J543" t="s">
        <v>230</v>
      </c>
      <c r="K543" t="s">
        <v>965</v>
      </c>
      <c r="L543" t="s">
        <v>92</v>
      </c>
      <c r="M543" t="s">
        <v>219</v>
      </c>
      <c r="N543" s="19">
        <v>46262</v>
      </c>
      <c r="O543" t="s">
        <v>220</v>
      </c>
      <c r="P543">
        <v>3</v>
      </c>
      <c r="Q543" t="s">
        <v>1875</v>
      </c>
      <c r="R543" t="s">
        <v>92</v>
      </c>
    </row>
    <row r="544" spans="1:18" x14ac:dyDescent="0.3">
      <c r="A544" t="s">
        <v>1876</v>
      </c>
      <c r="B544" t="s">
        <v>1847</v>
      </c>
      <c r="C544" t="s">
        <v>461</v>
      </c>
      <c r="D544" t="s">
        <v>149</v>
      </c>
      <c r="E544" t="s">
        <v>150</v>
      </c>
      <c r="F544" t="s">
        <v>215</v>
      </c>
      <c r="G544" t="s">
        <v>1849</v>
      </c>
      <c r="H544">
        <v>5643</v>
      </c>
      <c r="I544">
        <v>5</v>
      </c>
      <c r="J544" t="s">
        <v>230</v>
      </c>
      <c r="K544" t="s">
        <v>965</v>
      </c>
      <c r="L544" t="s">
        <v>92</v>
      </c>
      <c r="M544" t="s">
        <v>219</v>
      </c>
      <c r="N544" s="19">
        <v>46262</v>
      </c>
      <c r="O544" t="s">
        <v>220</v>
      </c>
      <c r="P544">
        <v>3</v>
      </c>
      <c r="Q544" t="s">
        <v>1877</v>
      </c>
      <c r="R544" t="s">
        <v>92</v>
      </c>
    </row>
    <row r="545" spans="1:18" x14ac:dyDescent="0.3">
      <c r="A545" t="s">
        <v>1878</v>
      </c>
      <c r="B545" t="s">
        <v>1847</v>
      </c>
      <c r="C545" t="s">
        <v>461</v>
      </c>
      <c r="D545" t="s">
        <v>149</v>
      </c>
      <c r="E545" t="s">
        <v>150</v>
      </c>
      <c r="F545" t="s">
        <v>215</v>
      </c>
      <c r="G545" t="s">
        <v>1849</v>
      </c>
      <c r="H545">
        <v>6113.25</v>
      </c>
      <c r="I545">
        <v>5</v>
      </c>
      <c r="J545" t="s">
        <v>230</v>
      </c>
      <c r="K545" t="s">
        <v>965</v>
      </c>
      <c r="L545" t="s">
        <v>92</v>
      </c>
      <c r="M545" t="s">
        <v>219</v>
      </c>
      <c r="N545" s="19">
        <v>46262</v>
      </c>
      <c r="O545" t="s">
        <v>220</v>
      </c>
      <c r="P545">
        <v>3</v>
      </c>
      <c r="Q545" t="s">
        <v>1879</v>
      </c>
      <c r="R545" t="s">
        <v>92</v>
      </c>
    </row>
    <row r="546" spans="1:18" x14ac:dyDescent="0.3">
      <c r="A546" t="s">
        <v>1880</v>
      </c>
      <c r="B546" t="s">
        <v>1847</v>
      </c>
      <c r="C546" t="s">
        <v>461</v>
      </c>
      <c r="D546" t="s">
        <v>149</v>
      </c>
      <c r="E546" t="s">
        <v>150</v>
      </c>
      <c r="F546" t="s">
        <v>215</v>
      </c>
      <c r="G546" t="s">
        <v>1849</v>
      </c>
      <c r="H546">
        <v>6583.5</v>
      </c>
      <c r="I546">
        <v>5</v>
      </c>
      <c r="J546" t="s">
        <v>230</v>
      </c>
      <c r="K546" t="s">
        <v>965</v>
      </c>
      <c r="L546" t="s">
        <v>92</v>
      </c>
      <c r="M546" t="s">
        <v>219</v>
      </c>
      <c r="N546" s="19">
        <v>46262</v>
      </c>
      <c r="O546" t="s">
        <v>220</v>
      </c>
      <c r="P546">
        <v>3</v>
      </c>
      <c r="Q546" t="s">
        <v>1881</v>
      </c>
      <c r="R546" t="s">
        <v>92</v>
      </c>
    </row>
    <row r="547" spans="1:18" x14ac:dyDescent="0.3">
      <c r="A547" t="s">
        <v>1882</v>
      </c>
      <c r="B547" t="s">
        <v>1883</v>
      </c>
      <c r="C547" t="s">
        <v>461</v>
      </c>
      <c r="D547" t="s">
        <v>149</v>
      </c>
      <c r="E547" t="s">
        <v>150</v>
      </c>
      <c r="F547" t="s">
        <v>215</v>
      </c>
      <c r="H547">
        <v>3175.5</v>
      </c>
      <c r="I547">
        <v>0</v>
      </c>
      <c r="J547" t="s">
        <v>230</v>
      </c>
      <c r="K547" t="s">
        <v>965</v>
      </c>
      <c r="L547" t="s">
        <v>218</v>
      </c>
      <c r="M547" t="s">
        <v>219</v>
      </c>
      <c r="N547" s="19">
        <v>46262</v>
      </c>
      <c r="O547" t="s">
        <v>220</v>
      </c>
      <c r="P547">
        <v>2</v>
      </c>
      <c r="Q547" t="s">
        <v>1884</v>
      </c>
      <c r="R547" t="s">
        <v>92</v>
      </c>
    </row>
    <row r="548" spans="1:18" x14ac:dyDescent="0.3">
      <c r="A548" t="s">
        <v>1885</v>
      </c>
      <c r="B548" t="s">
        <v>1847</v>
      </c>
      <c r="C548" t="s">
        <v>461</v>
      </c>
      <c r="D548" t="s">
        <v>149</v>
      </c>
      <c r="E548" t="s">
        <v>150</v>
      </c>
      <c r="F548" t="s">
        <v>215</v>
      </c>
      <c r="G548" t="s">
        <v>1849</v>
      </c>
      <c r="H548">
        <v>3328.29</v>
      </c>
      <c r="I548">
        <v>5</v>
      </c>
      <c r="J548" t="s">
        <v>230</v>
      </c>
      <c r="K548" t="s">
        <v>965</v>
      </c>
      <c r="L548" t="s">
        <v>92</v>
      </c>
      <c r="M548" t="s">
        <v>219</v>
      </c>
      <c r="N548" s="19">
        <v>46262</v>
      </c>
      <c r="O548" t="s">
        <v>220</v>
      </c>
      <c r="P548">
        <v>2</v>
      </c>
      <c r="Q548" t="s">
        <v>1886</v>
      </c>
      <c r="R548" t="s">
        <v>92</v>
      </c>
    </row>
    <row r="549" spans="1:18" x14ac:dyDescent="0.3">
      <c r="A549" t="s">
        <v>1887</v>
      </c>
      <c r="B549" t="s">
        <v>1847</v>
      </c>
      <c r="C549" t="s">
        <v>461</v>
      </c>
      <c r="D549" t="s">
        <v>149</v>
      </c>
      <c r="E549" t="s">
        <v>150</v>
      </c>
      <c r="F549" t="s">
        <v>215</v>
      </c>
      <c r="G549" t="s">
        <v>1849</v>
      </c>
      <c r="H549">
        <v>3439.08</v>
      </c>
      <c r="I549">
        <v>5</v>
      </c>
      <c r="J549" t="s">
        <v>230</v>
      </c>
      <c r="K549" t="s">
        <v>965</v>
      </c>
      <c r="L549" t="s">
        <v>92</v>
      </c>
      <c r="M549" t="s">
        <v>219</v>
      </c>
      <c r="N549" s="19">
        <v>46262</v>
      </c>
      <c r="O549" t="s">
        <v>220</v>
      </c>
      <c r="P549">
        <v>4</v>
      </c>
      <c r="Q549" t="s">
        <v>1888</v>
      </c>
      <c r="R549" t="s">
        <v>92</v>
      </c>
    </row>
    <row r="550" spans="1:18" x14ac:dyDescent="0.3">
      <c r="A550" t="s">
        <v>1889</v>
      </c>
      <c r="B550" t="s">
        <v>1847</v>
      </c>
      <c r="C550" t="s">
        <v>461</v>
      </c>
      <c r="D550" t="s">
        <v>149</v>
      </c>
      <c r="E550" t="s">
        <v>150</v>
      </c>
      <c r="F550" t="s">
        <v>215</v>
      </c>
      <c r="G550" t="s">
        <v>1849</v>
      </c>
      <c r="H550">
        <v>3463.69</v>
      </c>
      <c r="I550">
        <v>5</v>
      </c>
      <c r="J550" t="s">
        <v>230</v>
      </c>
      <c r="K550" t="s">
        <v>965</v>
      </c>
      <c r="L550" t="s">
        <v>92</v>
      </c>
      <c r="M550" t="s">
        <v>219</v>
      </c>
      <c r="N550" s="19">
        <v>46262</v>
      </c>
      <c r="O550" t="s">
        <v>220</v>
      </c>
      <c r="P550">
        <v>2</v>
      </c>
      <c r="Q550" t="s">
        <v>1890</v>
      </c>
      <c r="R550" t="s">
        <v>92</v>
      </c>
    </row>
    <row r="551" spans="1:18" x14ac:dyDescent="0.3">
      <c r="A551" t="s">
        <v>1891</v>
      </c>
      <c r="B551" t="s">
        <v>1892</v>
      </c>
      <c r="C551" t="s">
        <v>461</v>
      </c>
      <c r="D551" t="s">
        <v>149</v>
      </c>
      <c r="E551" t="s">
        <v>150</v>
      </c>
      <c r="F551" t="s">
        <v>215</v>
      </c>
      <c r="G551" t="s">
        <v>1849</v>
      </c>
      <c r="H551">
        <v>1874.2</v>
      </c>
      <c r="I551">
        <v>5</v>
      </c>
      <c r="J551" t="s">
        <v>230</v>
      </c>
      <c r="K551" t="s">
        <v>965</v>
      </c>
      <c r="L551" t="s">
        <v>92</v>
      </c>
      <c r="M551" t="s">
        <v>219</v>
      </c>
      <c r="N551" s="19">
        <v>46262</v>
      </c>
      <c r="O551" t="s">
        <v>220</v>
      </c>
      <c r="P551">
        <v>3</v>
      </c>
      <c r="Q551" t="s">
        <v>1893</v>
      </c>
      <c r="R551" t="s">
        <v>92</v>
      </c>
    </row>
    <row r="552" spans="1:18" x14ac:dyDescent="0.3">
      <c r="A552" t="s">
        <v>1894</v>
      </c>
      <c r="B552" t="s">
        <v>1895</v>
      </c>
      <c r="C552" t="s">
        <v>461</v>
      </c>
      <c r="D552" t="s">
        <v>149</v>
      </c>
      <c r="E552" t="s">
        <v>150</v>
      </c>
      <c r="F552" t="s">
        <v>215</v>
      </c>
      <c r="H552">
        <v>130.5</v>
      </c>
      <c r="I552">
        <v>0</v>
      </c>
      <c r="J552" t="s">
        <v>230</v>
      </c>
      <c r="K552" t="s">
        <v>965</v>
      </c>
      <c r="L552" t="s">
        <v>218</v>
      </c>
      <c r="M552" t="s">
        <v>219</v>
      </c>
      <c r="N552" s="19">
        <v>46262</v>
      </c>
      <c r="O552" t="s">
        <v>220</v>
      </c>
      <c r="P552">
        <v>3</v>
      </c>
      <c r="Q552" t="s">
        <v>1896</v>
      </c>
      <c r="R552" t="s">
        <v>92</v>
      </c>
    </row>
    <row r="553" spans="1:18" x14ac:dyDescent="0.3">
      <c r="A553" t="s">
        <v>1897</v>
      </c>
      <c r="B553" t="s">
        <v>1898</v>
      </c>
      <c r="C553" t="s">
        <v>1848</v>
      </c>
      <c r="D553" t="s">
        <v>149</v>
      </c>
      <c r="E553" t="s">
        <v>150</v>
      </c>
      <c r="F553" t="s">
        <v>215</v>
      </c>
      <c r="G553" t="s">
        <v>1849</v>
      </c>
      <c r="H553">
        <v>887.73</v>
      </c>
      <c r="I553">
        <v>5</v>
      </c>
      <c r="J553" t="s">
        <v>230</v>
      </c>
      <c r="K553" t="s">
        <v>965</v>
      </c>
      <c r="L553" t="s">
        <v>92</v>
      </c>
      <c r="M553" t="s">
        <v>219</v>
      </c>
      <c r="N553" s="19">
        <v>46262</v>
      </c>
      <c r="O553" t="s">
        <v>220</v>
      </c>
      <c r="P553">
        <v>1</v>
      </c>
      <c r="Q553" t="s">
        <v>1899</v>
      </c>
    </row>
    <row r="554" spans="1:18" x14ac:dyDescent="0.3">
      <c r="A554" t="s">
        <v>1900</v>
      </c>
      <c r="B554" t="s">
        <v>1760</v>
      </c>
      <c r="C554" t="s">
        <v>518</v>
      </c>
      <c r="D554" t="s">
        <v>149</v>
      </c>
      <c r="E554" t="s">
        <v>150</v>
      </c>
      <c r="F554" t="s">
        <v>215</v>
      </c>
      <c r="G554" t="s">
        <v>1716</v>
      </c>
      <c r="H554">
        <v>551.22</v>
      </c>
      <c r="I554">
        <v>5</v>
      </c>
      <c r="J554" t="s">
        <v>230</v>
      </c>
      <c r="K554" t="s">
        <v>887</v>
      </c>
      <c r="L554" t="s">
        <v>92</v>
      </c>
      <c r="M554" t="s">
        <v>219</v>
      </c>
      <c r="N554" s="19">
        <v>46262</v>
      </c>
      <c r="O554" t="s">
        <v>220</v>
      </c>
      <c r="P554">
        <v>12</v>
      </c>
      <c r="Q554" t="s">
        <v>1901</v>
      </c>
      <c r="R554" t="s">
        <v>92</v>
      </c>
    </row>
    <row r="555" spans="1:18" x14ac:dyDescent="0.3">
      <c r="A555" t="s">
        <v>1902</v>
      </c>
      <c r="B555" t="s">
        <v>1903</v>
      </c>
      <c r="C555" t="s">
        <v>461</v>
      </c>
      <c r="D555" t="s">
        <v>149</v>
      </c>
      <c r="E555" t="s">
        <v>150</v>
      </c>
      <c r="F555" t="s">
        <v>215</v>
      </c>
      <c r="G555" t="s">
        <v>1712</v>
      </c>
      <c r="H555">
        <v>886.23</v>
      </c>
      <c r="I555">
        <v>5</v>
      </c>
      <c r="J555" t="s">
        <v>230</v>
      </c>
      <c r="K555" t="s">
        <v>965</v>
      </c>
      <c r="L555" t="s">
        <v>92</v>
      </c>
      <c r="M555" t="s">
        <v>219</v>
      </c>
      <c r="N555" s="19">
        <v>46262</v>
      </c>
      <c r="O555" t="s">
        <v>220</v>
      </c>
      <c r="P555">
        <v>7</v>
      </c>
      <c r="Q555" t="s">
        <v>1904</v>
      </c>
      <c r="R555" t="s">
        <v>92</v>
      </c>
    </row>
    <row r="556" spans="1:18" x14ac:dyDescent="0.3">
      <c r="A556" t="s">
        <v>1905</v>
      </c>
      <c r="B556" t="s">
        <v>1906</v>
      </c>
      <c r="C556" t="s">
        <v>289</v>
      </c>
      <c r="D556" t="s">
        <v>149</v>
      </c>
      <c r="E556" t="s">
        <v>150</v>
      </c>
      <c r="F556" t="s">
        <v>215</v>
      </c>
      <c r="H556">
        <v>33963</v>
      </c>
      <c r="I556">
        <v>0</v>
      </c>
      <c r="J556" t="s">
        <v>230</v>
      </c>
      <c r="K556" t="s">
        <v>965</v>
      </c>
      <c r="L556" t="s">
        <v>218</v>
      </c>
      <c r="M556" t="s">
        <v>219</v>
      </c>
      <c r="N556" s="19">
        <v>46262</v>
      </c>
      <c r="O556" t="s">
        <v>220</v>
      </c>
      <c r="P556">
        <v>1</v>
      </c>
      <c r="Q556" t="s">
        <v>1907</v>
      </c>
    </row>
    <row r="557" spans="1:18" x14ac:dyDescent="0.3">
      <c r="A557" t="s">
        <v>1908</v>
      </c>
      <c r="B557" t="s">
        <v>1909</v>
      </c>
      <c r="C557" t="s">
        <v>477</v>
      </c>
      <c r="D557" t="s">
        <v>149</v>
      </c>
      <c r="E557" t="s">
        <v>150</v>
      </c>
      <c r="F557" t="s">
        <v>215</v>
      </c>
      <c r="H557">
        <v>113.21</v>
      </c>
      <c r="I557">
        <v>0</v>
      </c>
      <c r="J557" t="s">
        <v>230</v>
      </c>
      <c r="K557" t="s">
        <v>965</v>
      </c>
      <c r="L557" t="s">
        <v>218</v>
      </c>
      <c r="M557" t="s">
        <v>219</v>
      </c>
      <c r="N557" s="19">
        <v>46262</v>
      </c>
      <c r="O557" t="s">
        <v>220</v>
      </c>
      <c r="P557">
        <v>1</v>
      </c>
      <c r="Q557" t="s">
        <v>1910</v>
      </c>
    </row>
    <row r="558" spans="1:18" x14ac:dyDescent="0.3">
      <c r="A558" t="s">
        <v>1911</v>
      </c>
      <c r="B558" t="s">
        <v>1912</v>
      </c>
      <c r="C558" t="s">
        <v>461</v>
      </c>
      <c r="D558" t="s">
        <v>149</v>
      </c>
      <c r="E558" t="s">
        <v>150</v>
      </c>
      <c r="F558" t="s">
        <v>215</v>
      </c>
      <c r="G558" t="s">
        <v>1716</v>
      </c>
      <c r="H558">
        <v>3053.7</v>
      </c>
      <c r="I558">
        <v>5</v>
      </c>
      <c r="J558" t="s">
        <v>230</v>
      </c>
      <c r="K558" t="s">
        <v>887</v>
      </c>
      <c r="L558" t="s">
        <v>92</v>
      </c>
      <c r="M558" t="s">
        <v>219</v>
      </c>
      <c r="N558" s="19">
        <v>46262</v>
      </c>
      <c r="O558" t="s">
        <v>220</v>
      </c>
      <c r="P558">
        <v>1</v>
      </c>
      <c r="Q558" t="s">
        <v>1913</v>
      </c>
    </row>
    <row r="559" spans="1:18" x14ac:dyDescent="0.3">
      <c r="A559" t="s">
        <v>1914</v>
      </c>
      <c r="B559" t="s">
        <v>1915</v>
      </c>
      <c r="C559" t="s">
        <v>461</v>
      </c>
      <c r="D559" t="s">
        <v>149</v>
      </c>
      <c r="E559" t="s">
        <v>150</v>
      </c>
      <c r="F559" t="s">
        <v>215</v>
      </c>
      <c r="H559">
        <v>6135.33</v>
      </c>
      <c r="I559">
        <v>0</v>
      </c>
      <c r="J559" t="s">
        <v>230</v>
      </c>
      <c r="K559" t="s">
        <v>965</v>
      </c>
      <c r="L559" t="s">
        <v>218</v>
      </c>
      <c r="M559" t="s">
        <v>219</v>
      </c>
      <c r="N559" s="19">
        <v>46262</v>
      </c>
      <c r="O559" t="s">
        <v>220</v>
      </c>
      <c r="P559">
        <v>1</v>
      </c>
      <c r="Q559" t="s">
        <v>1916</v>
      </c>
    </row>
    <row r="560" spans="1:18" x14ac:dyDescent="0.3">
      <c r="A560" t="s">
        <v>1917</v>
      </c>
      <c r="B560" t="s">
        <v>1918</v>
      </c>
      <c r="C560" t="s">
        <v>461</v>
      </c>
      <c r="D560" t="s">
        <v>149</v>
      </c>
      <c r="E560" t="s">
        <v>150</v>
      </c>
      <c r="F560" t="s">
        <v>215</v>
      </c>
      <c r="G560" t="s">
        <v>1716</v>
      </c>
      <c r="H560">
        <v>806.66</v>
      </c>
      <c r="I560">
        <v>5</v>
      </c>
      <c r="J560" t="s">
        <v>230</v>
      </c>
      <c r="K560" t="s">
        <v>887</v>
      </c>
      <c r="L560" t="s">
        <v>92</v>
      </c>
      <c r="M560" t="s">
        <v>219</v>
      </c>
      <c r="N560" s="19">
        <v>46262</v>
      </c>
      <c r="O560" t="s">
        <v>220</v>
      </c>
      <c r="P560">
        <v>1</v>
      </c>
      <c r="Q560" t="s">
        <v>1919</v>
      </c>
    </row>
    <row r="561" spans="1:18" x14ac:dyDescent="0.3">
      <c r="A561" t="s">
        <v>1920</v>
      </c>
      <c r="B561" t="s">
        <v>1921</v>
      </c>
      <c r="C561" t="s">
        <v>461</v>
      </c>
      <c r="D561" t="s">
        <v>149</v>
      </c>
      <c r="E561" t="s">
        <v>150</v>
      </c>
      <c r="F561" t="s">
        <v>215</v>
      </c>
      <c r="G561" t="s">
        <v>1849</v>
      </c>
      <c r="H561">
        <v>2578.6799999999998</v>
      </c>
      <c r="I561">
        <v>5</v>
      </c>
      <c r="J561" t="s">
        <v>230</v>
      </c>
      <c r="K561" t="s">
        <v>965</v>
      </c>
      <c r="L561" t="s">
        <v>92</v>
      </c>
      <c r="M561" t="s">
        <v>219</v>
      </c>
      <c r="N561" s="19">
        <v>46262</v>
      </c>
      <c r="O561" t="s">
        <v>220</v>
      </c>
      <c r="P561">
        <v>3</v>
      </c>
      <c r="Q561" t="s">
        <v>1922</v>
      </c>
      <c r="R561" t="s">
        <v>92</v>
      </c>
    </row>
    <row r="562" spans="1:18" x14ac:dyDescent="0.3">
      <c r="A562" t="s">
        <v>1923</v>
      </c>
      <c r="B562" t="s">
        <v>1924</v>
      </c>
      <c r="C562" t="s">
        <v>518</v>
      </c>
      <c r="D562" t="s">
        <v>149</v>
      </c>
      <c r="E562" t="s">
        <v>150</v>
      </c>
      <c r="F562" t="s">
        <v>215</v>
      </c>
      <c r="H562">
        <v>449.16</v>
      </c>
      <c r="I562">
        <v>0</v>
      </c>
      <c r="J562" t="s">
        <v>230</v>
      </c>
      <c r="K562" t="s">
        <v>887</v>
      </c>
      <c r="L562" t="s">
        <v>218</v>
      </c>
      <c r="M562" t="s">
        <v>219</v>
      </c>
      <c r="N562" s="19">
        <v>46262</v>
      </c>
      <c r="O562" t="s">
        <v>220</v>
      </c>
      <c r="P562">
        <v>1</v>
      </c>
      <c r="Q562" t="s">
        <v>1925</v>
      </c>
    </row>
    <row r="563" spans="1:18" x14ac:dyDescent="0.3">
      <c r="A563" t="s">
        <v>1926</v>
      </c>
      <c r="B563" t="s">
        <v>1927</v>
      </c>
      <c r="C563" t="s">
        <v>518</v>
      </c>
      <c r="D563" t="s">
        <v>149</v>
      </c>
      <c r="E563" t="s">
        <v>150</v>
      </c>
      <c r="F563" t="s">
        <v>215</v>
      </c>
      <c r="H563">
        <v>467.5</v>
      </c>
      <c r="I563">
        <v>0</v>
      </c>
      <c r="J563" t="s">
        <v>230</v>
      </c>
      <c r="K563" t="s">
        <v>887</v>
      </c>
      <c r="L563" t="s">
        <v>218</v>
      </c>
      <c r="M563" t="s">
        <v>219</v>
      </c>
      <c r="N563" s="19">
        <v>46262</v>
      </c>
      <c r="O563" t="s">
        <v>220</v>
      </c>
      <c r="P563">
        <v>1</v>
      </c>
      <c r="Q563" t="s">
        <v>1928</v>
      </c>
    </row>
    <row r="564" spans="1:18" x14ac:dyDescent="0.3">
      <c r="A564" t="s">
        <v>1929</v>
      </c>
      <c r="B564" t="s">
        <v>1930</v>
      </c>
      <c r="C564" t="s">
        <v>518</v>
      </c>
      <c r="D564" t="s">
        <v>149</v>
      </c>
      <c r="E564" t="s">
        <v>150</v>
      </c>
      <c r="F564" t="s">
        <v>215</v>
      </c>
      <c r="H564">
        <v>583.6</v>
      </c>
      <c r="I564">
        <v>0</v>
      </c>
      <c r="J564" t="s">
        <v>230</v>
      </c>
      <c r="K564" t="s">
        <v>887</v>
      </c>
      <c r="L564" t="s">
        <v>218</v>
      </c>
      <c r="M564" t="s">
        <v>219</v>
      </c>
      <c r="N564" s="19">
        <v>46262</v>
      </c>
      <c r="O564" t="s">
        <v>220</v>
      </c>
      <c r="P564">
        <v>3</v>
      </c>
      <c r="Q564" t="s">
        <v>1931</v>
      </c>
      <c r="R564" t="s">
        <v>92</v>
      </c>
    </row>
    <row r="565" spans="1:18" x14ac:dyDescent="0.3">
      <c r="A565" t="s">
        <v>1932</v>
      </c>
      <c r="B565" t="s">
        <v>1933</v>
      </c>
      <c r="C565" t="s">
        <v>461</v>
      </c>
      <c r="D565" t="s">
        <v>149</v>
      </c>
      <c r="E565" t="s">
        <v>150</v>
      </c>
      <c r="F565" t="s">
        <v>215</v>
      </c>
      <c r="G565" t="s">
        <v>1849</v>
      </c>
      <c r="H565">
        <v>3135</v>
      </c>
      <c r="I565">
        <v>5</v>
      </c>
      <c r="J565" t="s">
        <v>230</v>
      </c>
      <c r="K565" t="s">
        <v>965</v>
      </c>
      <c r="L565" t="s">
        <v>92</v>
      </c>
      <c r="M565" t="s">
        <v>219</v>
      </c>
      <c r="N565" s="19">
        <v>46262</v>
      </c>
      <c r="O565" t="s">
        <v>220</v>
      </c>
      <c r="P565">
        <v>1</v>
      </c>
      <c r="Q565" t="s">
        <v>1934</v>
      </c>
    </row>
    <row r="566" spans="1:18" x14ac:dyDescent="0.3">
      <c r="A566" t="s">
        <v>1935</v>
      </c>
      <c r="B566" t="s">
        <v>1936</v>
      </c>
      <c r="C566" t="s">
        <v>518</v>
      </c>
      <c r="D566" t="s">
        <v>149</v>
      </c>
      <c r="E566" t="s">
        <v>150</v>
      </c>
      <c r="F566" t="s">
        <v>215</v>
      </c>
      <c r="G566" t="s">
        <v>1716</v>
      </c>
      <c r="H566">
        <v>156.75</v>
      </c>
      <c r="I566">
        <v>5</v>
      </c>
      <c r="J566" t="s">
        <v>230</v>
      </c>
      <c r="K566" t="s">
        <v>887</v>
      </c>
      <c r="L566" t="s">
        <v>92</v>
      </c>
      <c r="M566" t="s">
        <v>219</v>
      </c>
      <c r="N566" s="19">
        <v>46262</v>
      </c>
      <c r="O566" t="s">
        <v>220</v>
      </c>
      <c r="P566">
        <v>1</v>
      </c>
      <c r="Q566" t="s">
        <v>1937</v>
      </c>
    </row>
    <row r="567" spans="1:18" x14ac:dyDescent="0.3">
      <c r="A567" t="s">
        <v>1938</v>
      </c>
      <c r="B567" t="s">
        <v>1939</v>
      </c>
      <c r="C567" t="s">
        <v>461</v>
      </c>
      <c r="D567" t="s">
        <v>149</v>
      </c>
      <c r="E567" t="s">
        <v>150</v>
      </c>
      <c r="F567" t="s">
        <v>215</v>
      </c>
      <c r="H567">
        <v>4177.25</v>
      </c>
      <c r="I567">
        <v>0</v>
      </c>
      <c r="J567" t="s">
        <v>230</v>
      </c>
      <c r="K567" t="s">
        <v>965</v>
      </c>
      <c r="L567" t="s">
        <v>218</v>
      </c>
      <c r="M567" t="s">
        <v>219</v>
      </c>
      <c r="N567" s="19">
        <v>46262</v>
      </c>
      <c r="O567" t="s">
        <v>220</v>
      </c>
      <c r="P567">
        <v>1</v>
      </c>
      <c r="Q567" t="s">
        <v>1940</v>
      </c>
    </row>
    <row r="568" spans="1:18" x14ac:dyDescent="0.3">
      <c r="A568" t="s">
        <v>1941</v>
      </c>
      <c r="B568" t="s">
        <v>1942</v>
      </c>
      <c r="C568" t="s">
        <v>461</v>
      </c>
      <c r="D568" t="s">
        <v>149</v>
      </c>
      <c r="E568" t="s">
        <v>150</v>
      </c>
      <c r="F568" t="s">
        <v>215</v>
      </c>
      <c r="H568">
        <v>4172.6899999999996</v>
      </c>
      <c r="I568">
        <v>0</v>
      </c>
      <c r="J568" t="s">
        <v>230</v>
      </c>
      <c r="K568" t="s">
        <v>965</v>
      </c>
      <c r="L568" t="s">
        <v>218</v>
      </c>
      <c r="M568" t="s">
        <v>219</v>
      </c>
      <c r="N568" s="19">
        <v>46262</v>
      </c>
      <c r="O568" t="s">
        <v>220</v>
      </c>
      <c r="P568">
        <v>1</v>
      </c>
      <c r="Q568" t="s">
        <v>1943</v>
      </c>
    </row>
    <row r="569" spans="1:18" x14ac:dyDescent="0.3">
      <c r="A569" t="s">
        <v>1944</v>
      </c>
      <c r="B569" t="s">
        <v>1945</v>
      </c>
      <c r="C569" t="s">
        <v>461</v>
      </c>
      <c r="D569" t="s">
        <v>149</v>
      </c>
      <c r="E569" t="s">
        <v>150</v>
      </c>
      <c r="F569" t="s">
        <v>215</v>
      </c>
      <c r="H569">
        <v>4153.88</v>
      </c>
      <c r="I569">
        <v>0</v>
      </c>
      <c r="J569" t="s">
        <v>230</v>
      </c>
      <c r="K569" t="s">
        <v>965</v>
      </c>
      <c r="L569" t="s">
        <v>218</v>
      </c>
      <c r="M569" t="s">
        <v>219</v>
      </c>
      <c r="N569" s="19">
        <v>46262</v>
      </c>
      <c r="O569" t="s">
        <v>220</v>
      </c>
      <c r="P569">
        <v>1</v>
      </c>
      <c r="Q569" t="s">
        <v>1946</v>
      </c>
    </row>
    <row r="570" spans="1:18" x14ac:dyDescent="0.3">
      <c r="A570" t="s">
        <v>1947</v>
      </c>
      <c r="B570" t="s">
        <v>1948</v>
      </c>
      <c r="C570" t="s">
        <v>461</v>
      </c>
      <c r="D570" t="s">
        <v>149</v>
      </c>
      <c r="E570" t="s">
        <v>150</v>
      </c>
      <c r="F570" t="s">
        <v>215</v>
      </c>
      <c r="H570">
        <v>365.75</v>
      </c>
      <c r="I570">
        <v>0</v>
      </c>
      <c r="J570" t="s">
        <v>230</v>
      </c>
      <c r="K570" t="s">
        <v>965</v>
      </c>
      <c r="L570" t="s">
        <v>218</v>
      </c>
      <c r="M570" t="s">
        <v>219</v>
      </c>
      <c r="N570" s="19">
        <v>46262</v>
      </c>
      <c r="O570" t="s">
        <v>220</v>
      </c>
      <c r="P570">
        <v>2</v>
      </c>
      <c r="Q570" t="s">
        <v>1949</v>
      </c>
      <c r="R570" t="s">
        <v>92</v>
      </c>
    </row>
    <row r="571" spans="1:18" x14ac:dyDescent="0.3">
      <c r="A571" t="s">
        <v>1950</v>
      </c>
      <c r="B571" t="s">
        <v>1951</v>
      </c>
      <c r="C571" t="s">
        <v>461</v>
      </c>
      <c r="D571" t="s">
        <v>149</v>
      </c>
      <c r="E571" t="s">
        <v>150</v>
      </c>
      <c r="F571" t="s">
        <v>215</v>
      </c>
      <c r="H571">
        <v>2646.54</v>
      </c>
      <c r="I571">
        <v>0</v>
      </c>
      <c r="J571" t="s">
        <v>230</v>
      </c>
      <c r="K571" t="s">
        <v>965</v>
      </c>
      <c r="L571" t="s">
        <v>218</v>
      </c>
      <c r="M571" t="s">
        <v>219</v>
      </c>
      <c r="N571" s="19">
        <v>46262</v>
      </c>
      <c r="O571" t="s">
        <v>220</v>
      </c>
      <c r="P571">
        <v>1</v>
      </c>
      <c r="Q571" t="s">
        <v>1952</v>
      </c>
    </row>
    <row r="572" spans="1:18" x14ac:dyDescent="0.3">
      <c r="A572" t="s">
        <v>1953</v>
      </c>
      <c r="B572" t="s">
        <v>1954</v>
      </c>
      <c r="C572" t="s">
        <v>461</v>
      </c>
      <c r="D572" t="s">
        <v>149</v>
      </c>
      <c r="E572" t="s">
        <v>150</v>
      </c>
      <c r="F572" t="s">
        <v>215</v>
      </c>
      <c r="G572" t="s">
        <v>1712</v>
      </c>
      <c r="H572">
        <v>542.88</v>
      </c>
      <c r="I572">
        <v>5</v>
      </c>
      <c r="J572" t="s">
        <v>230</v>
      </c>
      <c r="K572" t="s">
        <v>965</v>
      </c>
      <c r="L572" t="s">
        <v>92</v>
      </c>
      <c r="M572" t="s">
        <v>219</v>
      </c>
      <c r="N572" s="19">
        <v>46262</v>
      </c>
      <c r="O572" t="s">
        <v>220</v>
      </c>
      <c r="P572">
        <v>1</v>
      </c>
      <c r="Q572" t="s">
        <v>1955</v>
      </c>
    </row>
    <row r="573" spans="1:18" x14ac:dyDescent="0.3">
      <c r="A573" t="s">
        <v>1956</v>
      </c>
      <c r="B573" t="s">
        <v>1957</v>
      </c>
      <c r="C573" t="s">
        <v>518</v>
      </c>
      <c r="D573" t="s">
        <v>149</v>
      </c>
      <c r="E573" t="s">
        <v>150</v>
      </c>
      <c r="F573" t="s">
        <v>215</v>
      </c>
      <c r="G573" t="s">
        <v>1716</v>
      </c>
      <c r="H573">
        <v>1299.72</v>
      </c>
      <c r="I573">
        <v>5</v>
      </c>
      <c r="J573" t="s">
        <v>230</v>
      </c>
      <c r="K573" t="s">
        <v>887</v>
      </c>
      <c r="L573" t="s">
        <v>92</v>
      </c>
      <c r="M573" t="s">
        <v>219</v>
      </c>
      <c r="N573" s="19">
        <v>46262</v>
      </c>
      <c r="O573" t="s">
        <v>220</v>
      </c>
      <c r="P573">
        <v>1</v>
      </c>
      <c r="Q573" t="s">
        <v>1958</v>
      </c>
    </row>
    <row r="574" spans="1:18" x14ac:dyDescent="0.3">
      <c r="A574" t="s">
        <v>1959</v>
      </c>
      <c r="B574" t="s">
        <v>1960</v>
      </c>
      <c r="C574" t="s">
        <v>214</v>
      </c>
      <c r="D574" t="s">
        <v>149</v>
      </c>
      <c r="E574" t="s">
        <v>150</v>
      </c>
      <c r="F574" t="s">
        <v>215</v>
      </c>
      <c r="H574">
        <v>0</v>
      </c>
      <c r="I574">
        <v>0</v>
      </c>
      <c r="J574" t="s">
        <v>230</v>
      </c>
      <c r="K574" t="s">
        <v>965</v>
      </c>
      <c r="L574" t="s">
        <v>218</v>
      </c>
      <c r="M574" t="s">
        <v>219</v>
      </c>
      <c r="N574" s="19">
        <v>46262</v>
      </c>
      <c r="O574" t="s">
        <v>220</v>
      </c>
      <c r="P574">
        <v>1</v>
      </c>
      <c r="Q574" t="s">
        <v>1961</v>
      </c>
    </row>
    <row r="575" spans="1:18" x14ac:dyDescent="0.3">
      <c r="A575" t="s">
        <v>1962</v>
      </c>
      <c r="B575" t="s">
        <v>1963</v>
      </c>
      <c r="C575" t="s">
        <v>289</v>
      </c>
      <c r="D575" t="s">
        <v>149</v>
      </c>
      <c r="E575" t="s">
        <v>150</v>
      </c>
      <c r="F575" t="s">
        <v>215</v>
      </c>
      <c r="H575">
        <v>28501.200000000001</v>
      </c>
      <c r="I575">
        <v>0</v>
      </c>
      <c r="J575" t="s">
        <v>230</v>
      </c>
      <c r="K575" t="s">
        <v>965</v>
      </c>
      <c r="L575" t="s">
        <v>218</v>
      </c>
      <c r="M575" t="s">
        <v>219</v>
      </c>
      <c r="N575" s="19">
        <v>46262</v>
      </c>
      <c r="O575" t="s">
        <v>220</v>
      </c>
      <c r="P575">
        <v>1</v>
      </c>
      <c r="Q575" t="s">
        <v>1964</v>
      </c>
    </row>
    <row r="576" spans="1:18" x14ac:dyDescent="0.3">
      <c r="A576" t="s">
        <v>1965</v>
      </c>
      <c r="B576" t="s">
        <v>1966</v>
      </c>
      <c r="C576" t="s">
        <v>461</v>
      </c>
      <c r="D576" t="s">
        <v>149</v>
      </c>
      <c r="E576" t="s">
        <v>150</v>
      </c>
      <c r="F576" t="s">
        <v>215</v>
      </c>
      <c r="H576">
        <v>2171.52</v>
      </c>
      <c r="I576">
        <v>0</v>
      </c>
      <c r="J576" t="s">
        <v>230</v>
      </c>
      <c r="K576" t="s">
        <v>965</v>
      </c>
      <c r="L576" t="s">
        <v>218</v>
      </c>
      <c r="M576" t="s">
        <v>219</v>
      </c>
      <c r="N576" s="19">
        <v>46262</v>
      </c>
      <c r="O576" t="s">
        <v>220</v>
      </c>
      <c r="P576">
        <v>1</v>
      </c>
      <c r="Q576" t="s">
        <v>1967</v>
      </c>
    </row>
    <row r="577" spans="1:18" x14ac:dyDescent="0.3">
      <c r="A577" t="s">
        <v>1968</v>
      </c>
      <c r="B577" t="s">
        <v>1969</v>
      </c>
      <c r="C577" t="s">
        <v>461</v>
      </c>
      <c r="D577" t="s">
        <v>151</v>
      </c>
      <c r="E577" t="s">
        <v>152</v>
      </c>
      <c r="F577" t="s">
        <v>215</v>
      </c>
      <c r="G577" t="s">
        <v>1970</v>
      </c>
      <c r="H577">
        <v>75324.600000000006</v>
      </c>
      <c r="I577">
        <v>5</v>
      </c>
      <c r="J577" t="s">
        <v>230</v>
      </c>
      <c r="K577" t="s">
        <v>965</v>
      </c>
      <c r="L577" t="s">
        <v>92</v>
      </c>
      <c r="M577" t="s">
        <v>219</v>
      </c>
      <c r="N577" s="19">
        <v>46262</v>
      </c>
      <c r="O577" t="s">
        <v>220</v>
      </c>
      <c r="P577">
        <v>1</v>
      </c>
      <c r="Q577" t="s">
        <v>1971</v>
      </c>
    </row>
    <row r="578" spans="1:18" x14ac:dyDescent="0.3">
      <c r="A578" t="s">
        <v>1972</v>
      </c>
      <c r="B578" t="s">
        <v>1973</v>
      </c>
      <c r="C578" t="s">
        <v>461</v>
      </c>
      <c r="D578" t="s">
        <v>151</v>
      </c>
      <c r="E578" t="s">
        <v>152</v>
      </c>
      <c r="F578" t="s">
        <v>215</v>
      </c>
      <c r="G578" t="s">
        <v>1970</v>
      </c>
      <c r="H578">
        <v>94777.8</v>
      </c>
      <c r="I578">
        <v>5</v>
      </c>
      <c r="J578" t="s">
        <v>230</v>
      </c>
      <c r="K578" t="s">
        <v>965</v>
      </c>
      <c r="L578" t="s">
        <v>92</v>
      </c>
      <c r="M578" t="s">
        <v>219</v>
      </c>
      <c r="N578" s="19">
        <v>46262</v>
      </c>
      <c r="O578" t="s">
        <v>220</v>
      </c>
      <c r="P578">
        <v>1</v>
      </c>
      <c r="Q578" t="s">
        <v>1974</v>
      </c>
    </row>
    <row r="579" spans="1:18" x14ac:dyDescent="0.3">
      <c r="A579" t="s">
        <v>1975</v>
      </c>
      <c r="B579" t="s">
        <v>1976</v>
      </c>
      <c r="C579" t="s">
        <v>461</v>
      </c>
      <c r="D579" t="s">
        <v>151</v>
      </c>
      <c r="E579" t="s">
        <v>152</v>
      </c>
      <c r="F579" t="s">
        <v>215</v>
      </c>
      <c r="G579" t="s">
        <v>1970</v>
      </c>
      <c r="H579">
        <v>104278.2</v>
      </c>
      <c r="I579">
        <v>5</v>
      </c>
      <c r="J579" t="s">
        <v>230</v>
      </c>
      <c r="K579" t="s">
        <v>965</v>
      </c>
      <c r="L579" t="s">
        <v>92</v>
      </c>
      <c r="M579" t="s">
        <v>219</v>
      </c>
      <c r="N579" s="19">
        <v>46262</v>
      </c>
      <c r="O579" t="s">
        <v>220</v>
      </c>
      <c r="P579">
        <v>1</v>
      </c>
      <c r="Q579" t="s">
        <v>1977</v>
      </c>
    </row>
    <row r="580" spans="1:18" x14ac:dyDescent="0.3">
      <c r="A580" t="s">
        <v>1978</v>
      </c>
      <c r="B580" t="s">
        <v>1979</v>
      </c>
      <c r="C580" t="s">
        <v>461</v>
      </c>
      <c r="D580" t="s">
        <v>151</v>
      </c>
      <c r="E580" t="s">
        <v>152</v>
      </c>
      <c r="F580" t="s">
        <v>215</v>
      </c>
      <c r="G580" t="s">
        <v>1970</v>
      </c>
      <c r="H580">
        <v>141375</v>
      </c>
      <c r="I580">
        <v>5</v>
      </c>
      <c r="J580" t="s">
        <v>230</v>
      </c>
      <c r="K580" t="s">
        <v>965</v>
      </c>
      <c r="L580" t="s">
        <v>92</v>
      </c>
      <c r="M580" t="s">
        <v>219</v>
      </c>
      <c r="N580" s="19">
        <v>46262</v>
      </c>
      <c r="O580" t="s">
        <v>220</v>
      </c>
      <c r="P580">
        <v>1</v>
      </c>
      <c r="Q580" t="s">
        <v>1980</v>
      </c>
    </row>
    <row r="581" spans="1:18" x14ac:dyDescent="0.3">
      <c r="A581" t="s">
        <v>1981</v>
      </c>
      <c r="B581" t="s">
        <v>1982</v>
      </c>
      <c r="C581" t="s">
        <v>461</v>
      </c>
      <c r="D581" t="s">
        <v>151</v>
      </c>
      <c r="E581" t="s">
        <v>152</v>
      </c>
      <c r="F581" t="s">
        <v>215</v>
      </c>
      <c r="G581" t="s">
        <v>1970</v>
      </c>
      <c r="H581">
        <v>162411.6</v>
      </c>
      <c r="I581">
        <v>5</v>
      </c>
      <c r="J581" t="s">
        <v>230</v>
      </c>
      <c r="K581" t="s">
        <v>965</v>
      </c>
      <c r="L581" t="s">
        <v>92</v>
      </c>
      <c r="M581" t="s">
        <v>219</v>
      </c>
      <c r="N581" s="19">
        <v>46262</v>
      </c>
      <c r="O581" t="s">
        <v>220</v>
      </c>
      <c r="P581">
        <v>1</v>
      </c>
      <c r="Q581" t="s">
        <v>1983</v>
      </c>
    </row>
    <row r="582" spans="1:18" x14ac:dyDescent="0.3">
      <c r="A582" t="s">
        <v>1984</v>
      </c>
      <c r="B582" t="s">
        <v>1985</v>
      </c>
      <c r="C582" t="s">
        <v>461</v>
      </c>
      <c r="D582" t="s">
        <v>151</v>
      </c>
      <c r="E582" t="s">
        <v>152</v>
      </c>
      <c r="F582" t="s">
        <v>215</v>
      </c>
      <c r="G582" t="s">
        <v>1986</v>
      </c>
      <c r="H582">
        <v>9960.67</v>
      </c>
      <c r="I582">
        <v>5</v>
      </c>
      <c r="J582" t="s">
        <v>230</v>
      </c>
      <c r="K582" t="s">
        <v>965</v>
      </c>
      <c r="L582" t="s">
        <v>92</v>
      </c>
      <c r="M582" t="s">
        <v>219</v>
      </c>
      <c r="N582" s="19">
        <v>46262</v>
      </c>
      <c r="O582" t="s">
        <v>220</v>
      </c>
      <c r="P582">
        <v>1</v>
      </c>
      <c r="Q582" t="s">
        <v>1987</v>
      </c>
    </row>
    <row r="583" spans="1:18" x14ac:dyDescent="0.3">
      <c r="A583" t="s">
        <v>1988</v>
      </c>
      <c r="B583" t="s">
        <v>1989</v>
      </c>
      <c r="C583" t="s">
        <v>461</v>
      </c>
      <c r="D583" t="s">
        <v>151</v>
      </c>
      <c r="E583" t="s">
        <v>152</v>
      </c>
      <c r="F583" t="s">
        <v>215</v>
      </c>
      <c r="G583" t="s">
        <v>1986</v>
      </c>
      <c r="H583">
        <v>11246.67</v>
      </c>
      <c r="I583">
        <v>5</v>
      </c>
      <c r="J583" t="s">
        <v>230</v>
      </c>
      <c r="K583" t="s">
        <v>965</v>
      </c>
      <c r="L583" t="s">
        <v>92</v>
      </c>
      <c r="M583" t="s">
        <v>219</v>
      </c>
      <c r="N583" s="19">
        <v>46262</v>
      </c>
      <c r="O583" t="s">
        <v>220</v>
      </c>
      <c r="P583">
        <v>3</v>
      </c>
      <c r="Q583" t="s">
        <v>1990</v>
      </c>
      <c r="R583" t="s">
        <v>92</v>
      </c>
    </row>
    <row r="584" spans="1:18" x14ac:dyDescent="0.3">
      <c r="A584" t="s">
        <v>1991</v>
      </c>
      <c r="B584" t="s">
        <v>1992</v>
      </c>
      <c r="C584" t="s">
        <v>461</v>
      </c>
      <c r="D584" t="s">
        <v>151</v>
      </c>
      <c r="E584" t="s">
        <v>152</v>
      </c>
      <c r="F584" t="s">
        <v>215</v>
      </c>
      <c r="H584">
        <v>10540.92</v>
      </c>
      <c r="I584">
        <v>0</v>
      </c>
      <c r="J584" t="s">
        <v>230</v>
      </c>
      <c r="K584" t="s">
        <v>965</v>
      </c>
      <c r="L584" t="s">
        <v>218</v>
      </c>
      <c r="M584" t="s">
        <v>219</v>
      </c>
      <c r="N584" s="19">
        <v>46262</v>
      </c>
      <c r="O584" t="s">
        <v>220</v>
      </c>
      <c r="P584">
        <v>1</v>
      </c>
      <c r="Q584" t="s">
        <v>1993</v>
      </c>
    </row>
    <row r="585" spans="1:18" x14ac:dyDescent="0.3">
      <c r="A585" t="s">
        <v>1994</v>
      </c>
      <c r="B585" t="s">
        <v>1995</v>
      </c>
      <c r="C585" t="s">
        <v>461</v>
      </c>
      <c r="D585" t="s">
        <v>151</v>
      </c>
      <c r="E585" t="s">
        <v>152</v>
      </c>
      <c r="F585" t="s">
        <v>215</v>
      </c>
      <c r="G585" t="s">
        <v>1970</v>
      </c>
      <c r="H585">
        <v>27500</v>
      </c>
      <c r="I585">
        <v>5</v>
      </c>
      <c r="J585" t="s">
        <v>230</v>
      </c>
      <c r="K585" t="s">
        <v>965</v>
      </c>
      <c r="L585" t="s">
        <v>92</v>
      </c>
      <c r="M585" t="s">
        <v>219</v>
      </c>
      <c r="N585" s="19">
        <v>46262</v>
      </c>
      <c r="O585" t="s">
        <v>220</v>
      </c>
      <c r="P585">
        <v>1</v>
      </c>
      <c r="Q585" t="s">
        <v>1996</v>
      </c>
    </row>
    <row r="586" spans="1:18" x14ac:dyDescent="0.3">
      <c r="A586" t="s">
        <v>1997</v>
      </c>
      <c r="B586" t="s">
        <v>1998</v>
      </c>
      <c r="C586" t="s">
        <v>461</v>
      </c>
      <c r="D586" t="s">
        <v>151</v>
      </c>
      <c r="E586" t="s">
        <v>152</v>
      </c>
      <c r="F586" t="s">
        <v>215</v>
      </c>
      <c r="G586" t="s">
        <v>1970</v>
      </c>
      <c r="H586">
        <v>1890</v>
      </c>
      <c r="I586">
        <v>5</v>
      </c>
      <c r="J586" t="s">
        <v>230</v>
      </c>
      <c r="K586" t="s">
        <v>965</v>
      </c>
      <c r="L586" t="s">
        <v>92</v>
      </c>
      <c r="M586" t="s">
        <v>219</v>
      </c>
      <c r="N586" s="19">
        <v>46262</v>
      </c>
      <c r="O586" t="s">
        <v>220</v>
      </c>
      <c r="P586">
        <v>1</v>
      </c>
      <c r="Q586" t="s">
        <v>1999</v>
      </c>
    </row>
    <row r="587" spans="1:18" x14ac:dyDescent="0.3">
      <c r="A587" t="s">
        <v>2000</v>
      </c>
      <c r="B587" t="s">
        <v>2001</v>
      </c>
      <c r="C587" t="s">
        <v>461</v>
      </c>
      <c r="D587" t="s">
        <v>151</v>
      </c>
      <c r="E587" t="s">
        <v>152</v>
      </c>
      <c r="F587" t="s">
        <v>215</v>
      </c>
      <c r="G587" t="s">
        <v>1970</v>
      </c>
      <c r="H587">
        <v>954</v>
      </c>
      <c r="I587">
        <v>5</v>
      </c>
      <c r="J587" t="s">
        <v>230</v>
      </c>
      <c r="K587" t="s">
        <v>965</v>
      </c>
      <c r="L587" t="s">
        <v>92</v>
      </c>
      <c r="M587" t="s">
        <v>219</v>
      </c>
      <c r="N587" s="19">
        <v>46262</v>
      </c>
      <c r="O587" t="s">
        <v>220</v>
      </c>
      <c r="P587">
        <v>1</v>
      </c>
      <c r="Q587" t="s">
        <v>2002</v>
      </c>
    </row>
    <row r="588" spans="1:18" x14ac:dyDescent="0.3">
      <c r="A588" t="s">
        <v>2003</v>
      </c>
      <c r="B588" t="s">
        <v>2004</v>
      </c>
      <c r="C588" t="s">
        <v>461</v>
      </c>
      <c r="D588" t="s">
        <v>151</v>
      </c>
      <c r="E588" t="s">
        <v>152</v>
      </c>
      <c r="F588" t="s">
        <v>215</v>
      </c>
      <c r="G588" t="s">
        <v>1970</v>
      </c>
      <c r="H588">
        <v>963</v>
      </c>
      <c r="I588">
        <v>5</v>
      </c>
      <c r="J588" t="s">
        <v>230</v>
      </c>
      <c r="K588" t="s">
        <v>965</v>
      </c>
      <c r="L588" t="s">
        <v>92</v>
      </c>
      <c r="M588" t="s">
        <v>219</v>
      </c>
      <c r="N588" s="19">
        <v>46262</v>
      </c>
      <c r="O588" t="s">
        <v>220</v>
      </c>
      <c r="P588">
        <v>1</v>
      </c>
      <c r="Q588" t="s">
        <v>2005</v>
      </c>
    </row>
    <row r="589" spans="1:18" x14ac:dyDescent="0.3">
      <c r="A589" t="s">
        <v>2006</v>
      </c>
      <c r="B589" t="s">
        <v>2007</v>
      </c>
      <c r="C589" t="s">
        <v>461</v>
      </c>
      <c r="D589" t="s">
        <v>151</v>
      </c>
      <c r="E589" t="s">
        <v>152</v>
      </c>
      <c r="F589" t="s">
        <v>215</v>
      </c>
      <c r="G589" t="s">
        <v>1970</v>
      </c>
      <c r="H589">
        <v>267</v>
      </c>
      <c r="I589">
        <v>5</v>
      </c>
      <c r="J589" t="s">
        <v>230</v>
      </c>
      <c r="K589" t="s">
        <v>965</v>
      </c>
      <c r="L589" t="s">
        <v>92</v>
      </c>
      <c r="M589" t="s">
        <v>219</v>
      </c>
      <c r="N589" s="19">
        <v>46262</v>
      </c>
      <c r="O589" t="s">
        <v>220</v>
      </c>
      <c r="P589">
        <v>1</v>
      </c>
      <c r="Q589" t="s">
        <v>2008</v>
      </c>
    </row>
    <row r="590" spans="1:18" x14ac:dyDescent="0.3">
      <c r="A590" t="s">
        <v>2009</v>
      </c>
      <c r="B590" t="s">
        <v>2010</v>
      </c>
      <c r="C590" t="s">
        <v>461</v>
      </c>
      <c r="D590" t="s">
        <v>151</v>
      </c>
      <c r="E590" t="s">
        <v>152</v>
      </c>
      <c r="F590" t="s">
        <v>215</v>
      </c>
      <c r="G590" t="s">
        <v>1970</v>
      </c>
      <c r="H590">
        <v>289</v>
      </c>
      <c r="I590">
        <v>5</v>
      </c>
      <c r="J590" t="s">
        <v>230</v>
      </c>
      <c r="K590" t="s">
        <v>965</v>
      </c>
      <c r="L590" t="s">
        <v>92</v>
      </c>
      <c r="M590" t="s">
        <v>219</v>
      </c>
      <c r="N590" s="19">
        <v>46262</v>
      </c>
      <c r="O590" t="s">
        <v>220</v>
      </c>
      <c r="P590">
        <v>1</v>
      </c>
      <c r="Q590" t="s">
        <v>2011</v>
      </c>
    </row>
    <row r="591" spans="1:18" x14ac:dyDescent="0.3">
      <c r="A591" t="s">
        <v>2012</v>
      </c>
      <c r="B591" t="s">
        <v>2013</v>
      </c>
      <c r="C591" t="s">
        <v>461</v>
      </c>
      <c r="D591" t="s">
        <v>151</v>
      </c>
      <c r="E591" t="s">
        <v>152</v>
      </c>
      <c r="F591" t="s">
        <v>215</v>
      </c>
      <c r="G591" t="s">
        <v>2014</v>
      </c>
      <c r="H591">
        <v>2205.4499999999998</v>
      </c>
      <c r="I591">
        <v>5</v>
      </c>
      <c r="J591" t="s">
        <v>230</v>
      </c>
      <c r="K591" t="s">
        <v>965</v>
      </c>
      <c r="L591" t="s">
        <v>92</v>
      </c>
      <c r="M591" t="s">
        <v>219</v>
      </c>
      <c r="N591" s="19">
        <v>46262</v>
      </c>
      <c r="O591" t="s">
        <v>220</v>
      </c>
      <c r="P591">
        <v>2</v>
      </c>
      <c r="Q591" t="s">
        <v>2015</v>
      </c>
      <c r="R591" t="s">
        <v>92</v>
      </c>
    </row>
    <row r="592" spans="1:18" x14ac:dyDescent="0.3">
      <c r="A592" t="s">
        <v>2016</v>
      </c>
      <c r="B592" t="s">
        <v>2017</v>
      </c>
      <c r="C592" t="s">
        <v>461</v>
      </c>
      <c r="D592" t="s">
        <v>151</v>
      </c>
      <c r="E592" t="s">
        <v>152</v>
      </c>
      <c r="F592" t="s">
        <v>215</v>
      </c>
      <c r="G592" t="s">
        <v>1986</v>
      </c>
      <c r="H592">
        <v>9499.25</v>
      </c>
      <c r="I592">
        <v>5</v>
      </c>
      <c r="J592" t="s">
        <v>230</v>
      </c>
      <c r="K592" t="s">
        <v>965</v>
      </c>
      <c r="L592" t="s">
        <v>92</v>
      </c>
      <c r="M592" t="s">
        <v>219</v>
      </c>
      <c r="N592" s="19">
        <v>46262</v>
      </c>
      <c r="O592" t="s">
        <v>220</v>
      </c>
      <c r="P592">
        <v>1</v>
      </c>
      <c r="Q592" t="s">
        <v>2018</v>
      </c>
    </row>
    <row r="593" spans="1:18" x14ac:dyDescent="0.3">
      <c r="A593" t="s">
        <v>2019</v>
      </c>
      <c r="B593" t="s">
        <v>2020</v>
      </c>
      <c r="C593" t="s">
        <v>477</v>
      </c>
      <c r="D593" t="s">
        <v>151</v>
      </c>
      <c r="E593" t="s">
        <v>152</v>
      </c>
      <c r="F593" t="s">
        <v>215</v>
      </c>
      <c r="H593">
        <v>107</v>
      </c>
      <c r="I593">
        <v>0</v>
      </c>
      <c r="J593" t="s">
        <v>230</v>
      </c>
      <c r="K593" t="s">
        <v>965</v>
      </c>
      <c r="L593" t="s">
        <v>218</v>
      </c>
      <c r="M593" t="s">
        <v>219</v>
      </c>
      <c r="N593" s="19">
        <v>46262</v>
      </c>
      <c r="O593" t="s">
        <v>220</v>
      </c>
      <c r="P593">
        <v>1</v>
      </c>
      <c r="Q593" t="s">
        <v>2021</v>
      </c>
    </row>
    <row r="594" spans="1:18" x14ac:dyDescent="0.3">
      <c r="A594" t="s">
        <v>2022</v>
      </c>
      <c r="B594" t="s">
        <v>2023</v>
      </c>
      <c r="C594" t="s">
        <v>461</v>
      </c>
      <c r="D594" t="s">
        <v>151</v>
      </c>
      <c r="E594" t="s">
        <v>152</v>
      </c>
      <c r="F594" t="s">
        <v>215</v>
      </c>
      <c r="H594">
        <v>2548.85</v>
      </c>
      <c r="I594">
        <v>0</v>
      </c>
      <c r="J594" t="s">
        <v>230</v>
      </c>
      <c r="K594" t="s">
        <v>965</v>
      </c>
      <c r="L594" t="s">
        <v>218</v>
      </c>
      <c r="M594" t="s">
        <v>219</v>
      </c>
      <c r="N594" s="19">
        <v>46262</v>
      </c>
      <c r="O594" t="s">
        <v>220</v>
      </c>
      <c r="P594">
        <v>1</v>
      </c>
      <c r="Q594" t="s">
        <v>2024</v>
      </c>
    </row>
    <row r="595" spans="1:18" x14ac:dyDescent="0.3">
      <c r="A595" t="s">
        <v>2025</v>
      </c>
      <c r="B595" t="s">
        <v>2026</v>
      </c>
      <c r="C595" t="s">
        <v>214</v>
      </c>
      <c r="D595" t="s">
        <v>151</v>
      </c>
      <c r="E595" t="s">
        <v>152</v>
      </c>
      <c r="F595" t="s">
        <v>215</v>
      </c>
      <c r="G595" t="s">
        <v>2027</v>
      </c>
      <c r="H595">
        <v>822.99</v>
      </c>
      <c r="I595">
        <v>5</v>
      </c>
      <c r="J595" t="s">
        <v>230</v>
      </c>
      <c r="K595" t="s">
        <v>48</v>
      </c>
      <c r="L595" t="s">
        <v>92</v>
      </c>
      <c r="M595" t="s">
        <v>219</v>
      </c>
      <c r="N595" s="19">
        <v>46262</v>
      </c>
      <c r="O595" t="s">
        <v>220</v>
      </c>
      <c r="P595">
        <v>1</v>
      </c>
      <c r="Q595" t="s">
        <v>2028</v>
      </c>
    </row>
    <row r="596" spans="1:18" x14ac:dyDescent="0.3">
      <c r="A596" t="s">
        <v>2029</v>
      </c>
      <c r="B596" t="s">
        <v>2030</v>
      </c>
      <c r="C596" t="s">
        <v>214</v>
      </c>
      <c r="D596" t="s">
        <v>151</v>
      </c>
      <c r="E596" t="s">
        <v>152</v>
      </c>
      <c r="F596" t="s">
        <v>215</v>
      </c>
      <c r="G596" t="s">
        <v>2027</v>
      </c>
      <c r="H596">
        <v>250</v>
      </c>
      <c r="I596">
        <v>5</v>
      </c>
      <c r="J596" t="s">
        <v>230</v>
      </c>
      <c r="K596" t="s">
        <v>48</v>
      </c>
      <c r="L596" t="s">
        <v>92</v>
      </c>
      <c r="M596" t="s">
        <v>219</v>
      </c>
      <c r="N596" s="19">
        <v>46262</v>
      </c>
      <c r="O596" t="s">
        <v>220</v>
      </c>
      <c r="P596">
        <v>1</v>
      </c>
      <c r="Q596" t="s">
        <v>2031</v>
      </c>
    </row>
    <row r="597" spans="1:18" x14ac:dyDescent="0.3">
      <c r="A597" t="s">
        <v>2032</v>
      </c>
      <c r="B597" t="s">
        <v>2033</v>
      </c>
      <c r="C597" t="s">
        <v>461</v>
      </c>
      <c r="D597" t="s">
        <v>151</v>
      </c>
      <c r="E597" t="s">
        <v>152</v>
      </c>
      <c r="F597" t="s">
        <v>215</v>
      </c>
      <c r="H597">
        <v>339.3</v>
      </c>
      <c r="I597">
        <v>0</v>
      </c>
      <c r="J597" t="s">
        <v>230</v>
      </c>
      <c r="K597" t="s">
        <v>965</v>
      </c>
      <c r="L597" t="s">
        <v>218</v>
      </c>
      <c r="M597" t="s">
        <v>219</v>
      </c>
      <c r="N597" s="19">
        <v>46262</v>
      </c>
      <c r="O597" t="s">
        <v>220</v>
      </c>
      <c r="P597">
        <v>1</v>
      </c>
      <c r="Q597" t="s">
        <v>2034</v>
      </c>
    </row>
    <row r="598" spans="1:18" x14ac:dyDescent="0.3">
      <c r="A598" t="s">
        <v>2035</v>
      </c>
      <c r="B598" t="s">
        <v>2036</v>
      </c>
      <c r="C598" t="s">
        <v>2037</v>
      </c>
      <c r="D598" t="s">
        <v>151</v>
      </c>
      <c r="E598" t="s">
        <v>152</v>
      </c>
      <c r="F598" t="s">
        <v>215</v>
      </c>
      <c r="G598" t="s">
        <v>2027</v>
      </c>
      <c r="H598">
        <v>499.9</v>
      </c>
      <c r="I598">
        <v>5</v>
      </c>
      <c r="J598" t="s">
        <v>230</v>
      </c>
      <c r="K598" t="s">
        <v>48</v>
      </c>
      <c r="L598" t="s">
        <v>92</v>
      </c>
      <c r="M598" t="s">
        <v>219</v>
      </c>
      <c r="N598" s="19">
        <v>46262</v>
      </c>
      <c r="O598" t="s">
        <v>220</v>
      </c>
      <c r="P598">
        <v>1</v>
      </c>
      <c r="Q598" t="s">
        <v>2038</v>
      </c>
    </row>
    <row r="599" spans="1:18" x14ac:dyDescent="0.3">
      <c r="A599" t="s">
        <v>2039</v>
      </c>
      <c r="B599" t="s">
        <v>2040</v>
      </c>
      <c r="C599" t="s">
        <v>461</v>
      </c>
      <c r="D599" t="s">
        <v>151</v>
      </c>
      <c r="E599" t="s">
        <v>152</v>
      </c>
      <c r="F599" t="s">
        <v>215</v>
      </c>
      <c r="G599" t="s">
        <v>2041</v>
      </c>
      <c r="H599">
        <v>2973.52</v>
      </c>
      <c r="I599">
        <v>5</v>
      </c>
      <c r="J599" t="s">
        <v>230</v>
      </c>
      <c r="K599" t="s">
        <v>965</v>
      </c>
      <c r="L599" t="s">
        <v>92</v>
      </c>
      <c r="M599" t="s">
        <v>219</v>
      </c>
      <c r="N599" s="19">
        <v>46262</v>
      </c>
      <c r="O599" t="s">
        <v>220</v>
      </c>
      <c r="P599">
        <v>2</v>
      </c>
      <c r="Q599" t="s">
        <v>2042</v>
      </c>
      <c r="R599" t="s">
        <v>92</v>
      </c>
    </row>
    <row r="600" spans="1:18" x14ac:dyDescent="0.3">
      <c r="A600" t="s">
        <v>2043</v>
      </c>
      <c r="B600" t="s">
        <v>2013</v>
      </c>
      <c r="C600" t="s">
        <v>461</v>
      </c>
      <c r="D600" t="s">
        <v>151</v>
      </c>
      <c r="E600" t="s">
        <v>152</v>
      </c>
      <c r="F600" t="s">
        <v>215</v>
      </c>
      <c r="G600" t="s">
        <v>2014</v>
      </c>
      <c r="H600">
        <v>1819.43</v>
      </c>
      <c r="I600">
        <v>5</v>
      </c>
      <c r="J600" t="s">
        <v>230</v>
      </c>
      <c r="K600" t="s">
        <v>965</v>
      </c>
      <c r="L600" t="s">
        <v>92</v>
      </c>
      <c r="M600" t="s">
        <v>219</v>
      </c>
      <c r="N600" s="19">
        <v>46262</v>
      </c>
      <c r="O600" t="s">
        <v>220</v>
      </c>
      <c r="P600">
        <v>8</v>
      </c>
      <c r="Q600" t="s">
        <v>2044</v>
      </c>
      <c r="R600" t="s">
        <v>92</v>
      </c>
    </row>
    <row r="601" spans="1:18" x14ac:dyDescent="0.3">
      <c r="A601" t="s">
        <v>2045</v>
      </c>
      <c r="B601" t="s">
        <v>2046</v>
      </c>
      <c r="C601" t="s">
        <v>461</v>
      </c>
      <c r="D601" t="s">
        <v>151</v>
      </c>
      <c r="E601" t="s">
        <v>152</v>
      </c>
      <c r="F601" t="s">
        <v>215</v>
      </c>
      <c r="G601" t="s">
        <v>2047</v>
      </c>
      <c r="H601">
        <v>1000</v>
      </c>
      <c r="I601">
        <v>5</v>
      </c>
      <c r="J601" t="s">
        <v>230</v>
      </c>
      <c r="K601" t="s">
        <v>965</v>
      </c>
      <c r="L601" t="s">
        <v>92</v>
      </c>
      <c r="M601" t="s">
        <v>219</v>
      </c>
      <c r="N601" s="19">
        <v>46262</v>
      </c>
      <c r="O601" t="s">
        <v>220</v>
      </c>
      <c r="P601">
        <v>39</v>
      </c>
      <c r="Q601" t="s">
        <v>2048</v>
      </c>
      <c r="R601" t="s">
        <v>92</v>
      </c>
    </row>
    <row r="602" spans="1:18" x14ac:dyDescent="0.3">
      <c r="A602" t="s">
        <v>2049</v>
      </c>
      <c r="B602" t="s">
        <v>2050</v>
      </c>
      <c r="C602" t="s">
        <v>461</v>
      </c>
      <c r="D602" t="s">
        <v>151</v>
      </c>
      <c r="E602" t="s">
        <v>152</v>
      </c>
      <c r="F602" t="s">
        <v>215</v>
      </c>
      <c r="H602">
        <v>500</v>
      </c>
      <c r="I602">
        <v>0</v>
      </c>
      <c r="J602" t="s">
        <v>230</v>
      </c>
      <c r="K602" t="s">
        <v>965</v>
      </c>
      <c r="L602" t="s">
        <v>218</v>
      </c>
      <c r="M602" t="s">
        <v>219</v>
      </c>
      <c r="N602" s="19">
        <v>46262</v>
      </c>
      <c r="O602" t="s">
        <v>220</v>
      </c>
      <c r="P602">
        <v>5</v>
      </c>
      <c r="Q602" t="s">
        <v>2051</v>
      </c>
      <c r="R602" t="s">
        <v>92</v>
      </c>
    </row>
    <row r="603" spans="1:18" x14ac:dyDescent="0.3">
      <c r="A603" t="s">
        <v>2052</v>
      </c>
      <c r="B603" t="s">
        <v>2040</v>
      </c>
      <c r="C603" t="s">
        <v>461</v>
      </c>
      <c r="D603" t="s">
        <v>151</v>
      </c>
      <c r="E603" t="s">
        <v>152</v>
      </c>
      <c r="F603" t="s">
        <v>215</v>
      </c>
      <c r="G603" t="s">
        <v>2041</v>
      </c>
      <c r="H603">
        <v>200</v>
      </c>
      <c r="I603">
        <v>5</v>
      </c>
      <c r="J603" t="s">
        <v>230</v>
      </c>
      <c r="K603" t="s">
        <v>965</v>
      </c>
      <c r="L603" t="s">
        <v>92</v>
      </c>
      <c r="M603" t="s">
        <v>219</v>
      </c>
      <c r="N603" s="19">
        <v>46262</v>
      </c>
      <c r="O603" t="s">
        <v>220</v>
      </c>
      <c r="P603">
        <v>19</v>
      </c>
      <c r="Q603" t="s">
        <v>2053</v>
      </c>
      <c r="R603" t="s">
        <v>92</v>
      </c>
    </row>
    <row r="604" spans="1:18" x14ac:dyDescent="0.3">
      <c r="A604" t="s">
        <v>2054</v>
      </c>
      <c r="B604" t="s">
        <v>2055</v>
      </c>
      <c r="C604" t="s">
        <v>518</v>
      </c>
      <c r="D604" t="s">
        <v>151</v>
      </c>
      <c r="E604" t="s">
        <v>152</v>
      </c>
      <c r="F604" t="s">
        <v>215</v>
      </c>
      <c r="G604" t="s">
        <v>2041</v>
      </c>
      <c r="H604">
        <v>1492.92</v>
      </c>
      <c r="I604">
        <v>5</v>
      </c>
      <c r="J604" t="s">
        <v>230</v>
      </c>
      <c r="K604" t="s">
        <v>965</v>
      </c>
      <c r="L604" t="s">
        <v>92</v>
      </c>
      <c r="M604" t="s">
        <v>219</v>
      </c>
      <c r="N604" s="19">
        <v>46262</v>
      </c>
      <c r="O604" t="s">
        <v>220</v>
      </c>
      <c r="P604">
        <v>1</v>
      </c>
      <c r="Q604" t="s">
        <v>2056</v>
      </c>
    </row>
    <row r="605" spans="1:18" x14ac:dyDescent="0.3">
      <c r="A605" t="s">
        <v>2057</v>
      </c>
      <c r="B605" t="s">
        <v>2058</v>
      </c>
      <c r="C605" t="s">
        <v>477</v>
      </c>
      <c r="D605" t="s">
        <v>151</v>
      </c>
      <c r="E605" t="s">
        <v>152</v>
      </c>
      <c r="F605" t="s">
        <v>215</v>
      </c>
      <c r="G605" t="s">
        <v>2041</v>
      </c>
      <c r="H605">
        <v>1764.36</v>
      </c>
      <c r="I605">
        <v>5</v>
      </c>
      <c r="J605" t="s">
        <v>230</v>
      </c>
      <c r="K605" t="s">
        <v>965</v>
      </c>
      <c r="L605" t="s">
        <v>92</v>
      </c>
      <c r="M605" t="s">
        <v>219</v>
      </c>
      <c r="N605" s="19">
        <v>46262</v>
      </c>
      <c r="O605" t="s">
        <v>220</v>
      </c>
      <c r="P605">
        <v>1</v>
      </c>
      <c r="Q605" t="s">
        <v>2059</v>
      </c>
    </row>
    <row r="606" spans="1:18" x14ac:dyDescent="0.3">
      <c r="A606" t="s">
        <v>2060</v>
      </c>
      <c r="B606" t="s">
        <v>2061</v>
      </c>
      <c r="C606" t="s">
        <v>461</v>
      </c>
      <c r="D606" t="s">
        <v>151</v>
      </c>
      <c r="E606" t="s">
        <v>152</v>
      </c>
      <c r="F606" t="s">
        <v>531</v>
      </c>
      <c r="G606" t="s">
        <v>2014</v>
      </c>
      <c r="H606">
        <v>42299.4</v>
      </c>
      <c r="I606">
        <v>5</v>
      </c>
      <c r="J606" t="s">
        <v>230</v>
      </c>
      <c r="K606" t="s">
        <v>965</v>
      </c>
      <c r="L606" t="s">
        <v>92</v>
      </c>
      <c r="M606" t="s">
        <v>219</v>
      </c>
      <c r="N606" s="19">
        <v>46262</v>
      </c>
      <c r="O606" t="s">
        <v>220</v>
      </c>
      <c r="P606">
        <v>1</v>
      </c>
      <c r="Q606" t="s">
        <v>2062</v>
      </c>
    </row>
    <row r="607" spans="1:18" x14ac:dyDescent="0.3">
      <c r="A607" t="s">
        <v>2063</v>
      </c>
      <c r="B607" t="s">
        <v>2064</v>
      </c>
      <c r="C607" t="s">
        <v>214</v>
      </c>
      <c r="D607" t="s">
        <v>151</v>
      </c>
      <c r="E607" t="s">
        <v>152</v>
      </c>
      <c r="F607" t="s">
        <v>531</v>
      </c>
      <c r="H607">
        <v>250</v>
      </c>
      <c r="I607">
        <v>0</v>
      </c>
      <c r="J607" t="s">
        <v>230</v>
      </c>
      <c r="K607" t="s">
        <v>48</v>
      </c>
      <c r="L607" t="s">
        <v>218</v>
      </c>
      <c r="M607" t="s">
        <v>219</v>
      </c>
      <c r="N607" s="19">
        <v>46262</v>
      </c>
      <c r="O607" t="s">
        <v>220</v>
      </c>
      <c r="P607">
        <v>1</v>
      </c>
      <c r="Q607" t="s">
        <v>2065</v>
      </c>
    </row>
    <row r="608" spans="1:18" x14ac:dyDescent="0.3">
      <c r="A608" t="s">
        <v>2066</v>
      </c>
      <c r="B608" t="s">
        <v>2067</v>
      </c>
      <c r="C608" t="s">
        <v>214</v>
      </c>
      <c r="D608" t="s">
        <v>151</v>
      </c>
      <c r="E608" t="s">
        <v>152</v>
      </c>
      <c r="F608" t="s">
        <v>531</v>
      </c>
      <c r="H608">
        <v>350</v>
      </c>
      <c r="I608">
        <v>0</v>
      </c>
      <c r="J608" t="s">
        <v>230</v>
      </c>
      <c r="K608" t="s">
        <v>48</v>
      </c>
      <c r="L608" t="s">
        <v>218</v>
      </c>
      <c r="M608" t="s">
        <v>219</v>
      </c>
      <c r="N608" s="19">
        <v>46262</v>
      </c>
      <c r="O608" t="s">
        <v>220</v>
      </c>
      <c r="P608">
        <v>2</v>
      </c>
      <c r="Q608" t="s">
        <v>2068</v>
      </c>
      <c r="R608" t="s">
        <v>92</v>
      </c>
    </row>
    <row r="609" spans="1:18" x14ac:dyDescent="0.3">
      <c r="A609" t="s">
        <v>2069</v>
      </c>
      <c r="B609" t="s">
        <v>2070</v>
      </c>
      <c r="C609" t="s">
        <v>461</v>
      </c>
      <c r="D609" t="s">
        <v>151</v>
      </c>
      <c r="E609" t="s">
        <v>152</v>
      </c>
      <c r="F609" t="s">
        <v>531</v>
      </c>
      <c r="G609" t="s">
        <v>2071</v>
      </c>
      <c r="H609">
        <v>2548.85</v>
      </c>
      <c r="I609">
        <v>5</v>
      </c>
      <c r="J609" t="s">
        <v>230</v>
      </c>
      <c r="K609" t="s">
        <v>965</v>
      </c>
      <c r="L609" t="s">
        <v>92</v>
      </c>
      <c r="M609" t="s">
        <v>219</v>
      </c>
      <c r="N609" s="19">
        <v>46262</v>
      </c>
      <c r="O609" t="s">
        <v>220</v>
      </c>
      <c r="P609">
        <v>1</v>
      </c>
      <c r="Q609" t="s">
        <v>2072</v>
      </c>
    </row>
    <row r="610" spans="1:18" x14ac:dyDescent="0.3">
      <c r="A610" t="s">
        <v>2073</v>
      </c>
      <c r="B610" t="s">
        <v>2074</v>
      </c>
      <c r="C610" t="s">
        <v>477</v>
      </c>
      <c r="D610" t="s">
        <v>151</v>
      </c>
      <c r="E610" t="s">
        <v>152</v>
      </c>
      <c r="F610" t="s">
        <v>531</v>
      </c>
      <c r="H610">
        <v>1221.48</v>
      </c>
      <c r="I610">
        <v>0</v>
      </c>
      <c r="J610" t="s">
        <v>230</v>
      </c>
      <c r="K610" t="s">
        <v>965</v>
      </c>
      <c r="L610" t="s">
        <v>218</v>
      </c>
      <c r="M610" t="s">
        <v>219</v>
      </c>
      <c r="N610" s="19">
        <v>46262</v>
      </c>
      <c r="O610" t="s">
        <v>220</v>
      </c>
      <c r="P610">
        <v>1</v>
      </c>
      <c r="Q610" t="s">
        <v>2075</v>
      </c>
    </row>
    <row r="611" spans="1:18" x14ac:dyDescent="0.3">
      <c r="A611" t="s">
        <v>2076</v>
      </c>
      <c r="B611" t="s">
        <v>2077</v>
      </c>
      <c r="C611" t="s">
        <v>461</v>
      </c>
      <c r="D611" t="s">
        <v>153</v>
      </c>
      <c r="E611" t="s">
        <v>154</v>
      </c>
      <c r="F611" t="s">
        <v>215</v>
      </c>
      <c r="G611" t="s">
        <v>2078</v>
      </c>
      <c r="H611">
        <v>26465.4</v>
      </c>
      <c r="I611">
        <v>5</v>
      </c>
      <c r="J611" t="s">
        <v>230</v>
      </c>
      <c r="K611" t="s">
        <v>965</v>
      </c>
      <c r="L611" t="s">
        <v>92</v>
      </c>
      <c r="M611" t="s">
        <v>219</v>
      </c>
      <c r="N611" s="19">
        <v>46262</v>
      </c>
      <c r="O611" t="s">
        <v>220</v>
      </c>
      <c r="P611">
        <v>5</v>
      </c>
      <c r="Q611" t="s">
        <v>2079</v>
      </c>
      <c r="R611" t="s">
        <v>92</v>
      </c>
    </row>
    <row r="612" spans="1:18" x14ac:dyDescent="0.3">
      <c r="A612" t="s">
        <v>2080</v>
      </c>
      <c r="B612" t="s">
        <v>2081</v>
      </c>
      <c r="C612" t="s">
        <v>461</v>
      </c>
      <c r="D612" t="s">
        <v>153</v>
      </c>
      <c r="E612" t="s">
        <v>154</v>
      </c>
      <c r="F612" t="s">
        <v>215</v>
      </c>
      <c r="H612">
        <v>3754.92</v>
      </c>
      <c r="I612">
        <v>0</v>
      </c>
      <c r="J612" t="s">
        <v>230</v>
      </c>
      <c r="K612" t="s">
        <v>965</v>
      </c>
      <c r="L612" t="s">
        <v>218</v>
      </c>
      <c r="M612" t="s">
        <v>219</v>
      </c>
      <c r="N612" s="19">
        <v>46262</v>
      </c>
      <c r="O612" t="s">
        <v>220</v>
      </c>
      <c r="P612">
        <v>2</v>
      </c>
      <c r="Q612" t="s">
        <v>2082</v>
      </c>
      <c r="R612" t="s">
        <v>92</v>
      </c>
    </row>
    <row r="613" spans="1:18" x14ac:dyDescent="0.3">
      <c r="A613" t="s">
        <v>2083</v>
      </c>
      <c r="B613" t="s">
        <v>2077</v>
      </c>
      <c r="C613" t="s">
        <v>461</v>
      </c>
      <c r="D613" t="s">
        <v>153</v>
      </c>
      <c r="E613" t="s">
        <v>154</v>
      </c>
      <c r="F613" t="s">
        <v>531</v>
      </c>
      <c r="G613" t="s">
        <v>2078</v>
      </c>
      <c r="H613">
        <v>23696.85</v>
      </c>
      <c r="I613">
        <v>5</v>
      </c>
      <c r="J613" t="s">
        <v>230</v>
      </c>
      <c r="K613" t="s">
        <v>965</v>
      </c>
      <c r="L613" t="s">
        <v>92</v>
      </c>
      <c r="M613" t="s">
        <v>219</v>
      </c>
      <c r="N613" s="19">
        <v>46262</v>
      </c>
      <c r="O613" t="s">
        <v>220</v>
      </c>
      <c r="P613">
        <v>10</v>
      </c>
      <c r="Q613" t="s">
        <v>2084</v>
      </c>
      <c r="R613" t="s">
        <v>92</v>
      </c>
    </row>
    <row r="614" spans="1:18" x14ac:dyDescent="0.3">
      <c r="A614" t="s">
        <v>2085</v>
      </c>
      <c r="B614" t="s">
        <v>2086</v>
      </c>
      <c r="C614" t="s">
        <v>461</v>
      </c>
      <c r="D614" t="s">
        <v>153</v>
      </c>
      <c r="E614" t="s">
        <v>154</v>
      </c>
      <c r="F614" t="s">
        <v>531</v>
      </c>
      <c r="G614" t="s">
        <v>1970</v>
      </c>
      <c r="H614">
        <v>19500.18</v>
      </c>
      <c r="I614">
        <v>5</v>
      </c>
      <c r="J614" t="s">
        <v>230</v>
      </c>
      <c r="K614" t="s">
        <v>965</v>
      </c>
      <c r="L614" t="s">
        <v>92</v>
      </c>
      <c r="M614" t="s">
        <v>219</v>
      </c>
      <c r="N614" s="19">
        <v>46262</v>
      </c>
      <c r="O614" t="s">
        <v>220</v>
      </c>
      <c r="P614">
        <v>2</v>
      </c>
      <c r="Q614" t="s">
        <v>2087</v>
      </c>
      <c r="R614" t="s">
        <v>92</v>
      </c>
    </row>
    <row r="615" spans="1:18" x14ac:dyDescent="0.3">
      <c r="A615" t="s">
        <v>2088</v>
      </c>
      <c r="B615" t="s">
        <v>2086</v>
      </c>
      <c r="C615" t="s">
        <v>461</v>
      </c>
      <c r="D615" t="s">
        <v>153</v>
      </c>
      <c r="E615" t="s">
        <v>154</v>
      </c>
      <c r="F615" t="s">
        <v>531</v>
      </c>
      <c r="G615" t="s">
        <v>1970</v>
      </c>
      <c r="H615">
        <v>20038.87</v>
      </c>
      <c r="I615">
        <v>5</v>
      </c>
      <c r="J615" t="s">
        <v>230</v>
      </c>
      <c r="K615" t="s">
        <v>965</v>
      </c>
      <c r="L615" t="s">
        <v>92</v>
      </c>
      <c r="M615" t="s">
        <v>219</v>
      </c>
      <c r="N615" s="19">
        <v>46262</v>
      </c>
      <c r="O615" t="s">
        <v>220</v>
      </c>
      <c r="P615">
        <v>4</v>
      </c>
      <c r="Q615" t="s">
        <v>2089</v>
      </c>
      <c r="R615" t="s">
        <v>92</v>
      </c>
    </row>
    <row r="616" spans="1:18" x14ac:dyDescent="0.3">
      <c r="A616" t="s">
        <v>2090</v>
      </c>
      <c r="B616" t="s">
        <v>2091</v>
      </c>
      <c r="C616" t="s">
        <v>461</v>
      </c>
      <c r="D616" t="s">
        <v>153</v>
      </c>
      <c r="E616" t="s">
        <v>154</v>
      </c>
      <c r="F616" t="s">
        <v>531</v>
      </c>
      <c r="G616" t="s">
        <v>1970</v>
      </c>
      <c r="H616">
        <v>20362.07</v>
      </c>
      <c r="I616">
        <v>5</v>
      </c>
      <c r="J616" t="s">
        <v>230</v>
      </c>
      <c r="K616" t="s">
        <v>965</v>
      </c>
      <c r="L616" t="s">
        <v>92</v>
      </c>
      <c r="M616" t="s">
        <v>219</v>
      </c>
      <c r="N616" s="19">
        <v>46262</v>
      </c>
      <c r="O616" t="s">
        <v>220</v>
      </c>
      <c r="P616">
        <v>1</v>
      </c>
      <c r="Q616" t="s">
        <v>2092</v>
      </c>
    </row>
    <row r="617" spans="1:18" x14ac:dyDescent="0.3">
      <c r="A617" t="s">
        <v>2093</v>
      </c>
      <c r="B617" t="s">
        <v>2094</v>
      </c>
      <c r="C617" t="s">
        <v>461</v>
      </c>
      <c r="D617" t="s">
        <v>153</v>
      </c>
      <c r="E617" t="s">
        <v>154</v>
      </c>
      <c r="F617" t="s">
        <v>531</v>
      </c>
      <c r="G617" t="s">
        <v>1970</v>
      </c>
      <c r="H617">
        <v>21547.17</v>
      </c>
      <c r="I617">
        <v>5</v>
      </c>
      <c r="J617" t="s">
        <v>230</v>
      </c>
      <c r="K617" t="s">
        <v>965</v>
      </c>
      <c r="L617" t="s">
        <v>92</v>
      </c>
      <c r="M617" t="s">
        <v>219</v>
      </c>
      <c r="N617" s="19">
        <v>46262</v>
      </c>
      <c r="O617" t="s">
        <v>220</v>
      </c>
      <c r="P617">
        <v>1</v>
      </c>
      <c r="Q617" t="s">
        <v>2095</v>
      </c>
    </row>
    <row r="618" spans="1:18" x14ac:dyDescent="0.3">
      <c r="A618" t="s">
        <v>2096</v>
      </c>
      <c r="B618" t="s">
        <v>2097</v>
      </c>
      <c r="C618" t="s">
        <v>461</v>
      </c>
      <c r="D618" t="s">
        <v>153</v>
      </c>
      <c r="E618" t="s">
        <v>154</v>
      </c>
      <c r="F618" t="s">
        <v>531</v>
      </c>
      <c r="G618" t="s">
        <v>2078</v>
      </c>
      <c r="H618">
        <v>18668.68</v>
      </c>
      <c r="I618">
        <v>5</v>
      </c>
      <c r="J618" t="s">
        <v>230</v>
      </c>
      <c r="K618" t="s">
        <v>965</v>
      </c>
      <c r="L618" t="s">
        <v>92</v>
      </c>
      <c r="M618" t="s">
        <v>219</v>
      </c>
      <c r="N618" s="19">
        <v>46262</v>
      </c>
      <c r="O618" t="s">
        <v>220</v>
      </c>
      <c r="P618">
        <v>2</v>
      </c>
      <c r="Q618" t="s">
        <v>2098</v>
      </c>
      <c r="R618" t="s">
        <v>92</v>
      </c>
    </row>
    <row r="619" spans="1:18" x14ac:dyDescent="0.3">
      <c r="A619" t="s">
        <v>2099</v>
      </c>
      <c r="B619" t="s">
        <v>2100</v>
      </c>
      <c r="C619" t="s">
        <v>461</v>
      </c>
      <c r="D619" t="s">
        <v>153</v>
      </c>
      <c r="E619" t="s">
        <v>154</v>
      </c>
      <c r="F619" t="s">
        <v>531</v>
      </c>
      <c r="G619" t="s">
        <v>2101</v>
      </c>
      <c r="H619">
        <v>11164.47</v>
      </c>
      <c r="I619">
        <v>5</v>
      </c>
      <c r="J619" t="s">
        <v>230</v>
      </c>
      <c r="K619" t="s">
        <v>965</v>
      </c>
      <c r="L619" t="s">
        <v>92</v>
      </c>
      <c r="M619" t="s">
        <v>219</v>
      </c>
      <c r="N619" s="19">
        <v>46262</v>
      </c>
      <c r="O619" t="s">
        <v>220</v>
      </c>
      <c r="P619">
        <v>10</v>
      </c>
      <c r="Q619" t="s">
        <v>2102</v>
      </c>
      <c r="R619" t="s">
        <v>92</v>
      </c>
    </row>
    <row r="620" spans="1:18" x14ac:dyDescent="0.3">
      <c r="A620" t="s">
        <v>2103</v>
      </c>
      <c r="B620" t="s">
        <v>2100</v>
      </c>
      <c r="C620" t="s">
        <v>461</v>
      </c>
      <c r="D620" t="s">
        <v>153</v>
      </c>
      <c r="E620" t="s">
        <v>154</v>
      </c>
      <c r="F620" t="s">
        <v>531</v>
      </c>
      <c r="G620" t="s">
        <v>2101</v>
      </c>
      <c r="H620">
        <v>13211.43</v>
      </c>
      <c r="I620">
        <v>5</v>
      </c>
      <c r="J620" t="s">
        <v>230</v>
      </c>
      <c r="K620" t="s">
        <v>965</v>
      </c>
      <c r="L620" t="s">
        <v>92</v>
      </c>
      <c r="M620" t="s">
        <v>219</v>
      </c>
      <c r="N620" s="19">
        <v>46262</v>
      </c>
      <c r="O620" t="s">
        <v>220</v>
      </c>
      <c r="P620">
        <v>20</v>
      </c>
      <c r="Q620" t="s">
        <v>2104</v>
      </c>
      <c r="R620" t="s">
        <v>92</v>
      </c>
    </row>
    <row r="621" spans="1:18" x14ac:dyDescent="0.3">
      <c r="A621" t="s">
        <v>2105</v>
      </c>
      <c r="B621" t="s">
        <v>2100</v>
      </c>
      <c r="C621" t="s">
        <v>461</v>
      </c>
      <c r="D621" t="s">
        <v>153</v>
      </c>
      <c r="E621" t="s">
        <v>154</v>
      </c>
      <c r="F621" t="s">
        <v>531</v>
      </c>
      <c r="G621" t="s">
        <v>2101</v>
      </c>
      <c r="H621">
        <v>106530.43</v>
      </c>
      <c r="I621">
        <v>5</v>
      </c>
      <c r="J621" t="s">
        <v>230</v>
      </c>
      <c r="K621" t="s">
        <v>965</v>
      </c>
      <c r="L621" t="s">
        <v>92</v>
      </c>
      <c r="M621" t="s">
        <v>219</v>
      </c>
      <c r="N621" s="19">
        <v>46262</v>
      </c>
      <c r="O621" t="s">
        <v>220</v>
      </c>
      <c r="P621">
        <v>6</v>
      </c>
      <c r="Q621" t="s">
        <v>2106</v>
      </c>
      <c r="R621" t="s">
        <v>92</v>
      </c>
    </row>
    <row r="622" spans="1:18" x14ac:dyDescent="0.3">
      <c r="A622" t="s">
        <v>2107</v>
      </c>
      <c r="B622" t="s">
        <v>2108</v>
      </c>
      <c r="C622" t="s">
        <v>461</v>
      </c>
      <c r="D622" t="s">
        <v>153</v>
      </c>
      <c r="E622" t="s">
        <v>154</v>
      </c>
      <c r="F622" t="s">
        <v>531</v>
      </c>
      <c r="H622">
        <v>1039.6099999999999</v>
      </c>
      <c r="I622">
        <v>0</v>
      </c>
      <c r="J622" t="s">
        <v>230</v>
      </c>
      <c r="K622" t="s">
        <v>965</v>
      </c>
      <c r="L622" t="s">
        <v>218</v>
      </c>
      <c r="M622" t="s">
        <v>219</v>
      </c>
      <c r="N622" s="19">
        <v>46262</v>
      </c>
      <c r="O622" t="s">
        <v>220</v>
      </c>
      <c r="P622">
        <v>2</v>
      </c>
      <c r="Q622" t="s">
        <v>2109</v>
      </c>
      <c r="R622" t="s">
        <v>92</v>
      </c>
    </row>
    <row r="623" spans="1:18" x14ac:dyDescent="0.3">
      <c r="A623" t="s">
        <v>2110</v>
      </c>
      <c r="B623" t="s">
        <v>2111</v>
      </c>
      <c r="C623" t="s">
        <v>461</v>
      </c>
      <c r="D623" t="s">
        <v>153</v>
      </c>
      <c r="E623" t="s">
        <v>154</v>
      </c>
      <c r="F623" t="s">
        <v>531</v>
      </c>
      <c r="H623">
        <v>1040.48</v>
      </c>
      <c r="I623">
        <v>0</v>
      </c>
      <c r="J623" t="s">
        <v>230</v>
      </c>
      <c r="K623" t="s">
        <v>965</v>
      </c>
      <c r="L623" t="s">
        <v>218</v>
      </c>
      <c r="M623" t="s">
        <v>219</v>
      </c>
      <c r="N623" s="19">
        <v>46262</v>
      </c>
      <c r="O623" t="s">
        <v>220</v>
      </c>
      <c r="P623">
        <v>5</v>
      </c>
      <c r="Q623" t="s">
        <v>2112</v>
      </c>
      <c r="R623" t="s">
        <v>92</v>
      </c>
    </row>
    <row r="624" spans="1:18" x14ac:dyDescent="0.3">
      <c r="A624" t="s">
        <v>2113</v>
      </c>
      <c r="B624" t="s">
        <v>2114</v>
      </c>
      <c r="C624" t="s">
        <v>461</v>
      </c>
      <c r="D624" t="s">
        <v>153</v>
      </c>
      <c r="E624" t="s">
        <v>154</v>
      </c>
      <c r="F624" t="s">
        <v>531</v>
      </c>
      <c r="H624">
        <v>2000</v>
      </c>
      <c r="I624">
        <v>0</v>
      </c>
      <c r="J624" t="s">
        <v>230</v>
      </c>
      <c r="K624" t="s">
        <v>965</v>
      </c>
      <c r="L624" t="s">
        <v>218</v>
      </c>
      <c r="M624" t="s">
        <v>219</v>
      </c>
      <c r="N624" s="19">
        <v>46262</v>
      </c>
      <c r="O624" t="s">
        <v>220</v>
      </c>
      <c r="P624">
        <v>2</v>
      </c>
      <c r="Q624" t="s">
        <v>2115</v>
      </c>
      <c r="R624" t="s">
        <v>92</v>
      </c>
    </row>
    <row r="625" spans="1:18" x14ac:dyDescent="0.3">
      <c r="A625" t="s">
        <v>2116</v>
      </c>
      <c r="B625" t="s">
        <v>2117</v>
      </c>
      <c r="C625" t="s">
        <v>461</v>
      </c>
      <c r="D625" t="s">
        <v>153</v>
      </c>
      <c r="E625" t="s">
        <v>154</v>
      </c>
      <c r="F625" t="s">
        <v>531</v>
      </c>
      <c r="H625">
        <v>1500</v>
      </c>
      <c r="I625">
        <v>0</v>
      </c>
      <c r="J625" t="s">
        <v>230</v>
      </c>
      <c r="K625" t="s">
        <v>44</v>
      </c>
      <c r="L625" t="s">
        <v>218</v>
      </c>
      <c r="M625" t="s">
        <v>219</v>
      </c>
      <c r="N625" s="19">
        <v>46262</v>
      </c>
      <c r="O625" t="s">
        <v>220</v>
      </c>
      <c r="P625">
        <v>1</v>
      </c>
      <c r="Q625" t="s">
        <v>2118</v>
      </c>
    </row>
    <row r="626" spans="1:18" x14ac:dyDescent="0.3">
      <c r="A626" t="s">
        <v>2119</v>
      </c>
      <c r="B626" t="s">
        <v>2120</v>
      </c>
      <c r="C626" t="s">
        <v>461</v>
      </c>
      <c r="D626" t="s">
        <v>153</v>
      </c>
      <c r="E626" t="s">
        <v>154</v>
      </c>
      <c r="F626" t="s">
        <v>531</v>
      </c>
      <c r="G626" t="s">
        <v>2101</v>
      </c>
      <c r="H626">
        <v>750</v>
      </c>
      <c r="I626">
        <v>5</v>
      </c>
      <c r="J626" t="s">
        <v>230</v>
      </c>
      <c r="K626" t="s">
        <v>965</v>
      </c>
      <c r="L626" t="s">
        <v>92</v>
      </c>
      <c r="M626" t="s">
        <v>219</v>
      </c>
      <c r="N626" s="19">
        <v>46262</v>
      </c>
      <c r="O626" t="s">
        <v>220</v>
      </c>
      <c r="P626">
        <v>1</v>
      </c>
      <c r="Q626" t="s">
        <v>2121</v>
      </c>
    </row>
    <row r="627" spans="1:18" x14ac:dyDescent="0.3">
      <c r="A627" t="s">
        <v>2122</v>
      </c>
      <c r="B627" t="s">
        <v>2123</v>
      </c>
      <c r="C627" t="s">
        <v>2124</v>
      </c>
      <c r="D627" t="s">
        <v>153</v>
      </c>
      <c r="E627" t="s">
        <v>154</v>
      </c>
      <c r="F627" t="s">
        <v>531</v>
      </c>
      <c r="H627">
        <v>700</v>
      </c>
      <c r="I627">
        <v>0</v>
      </c>
      <c r="J627" t="s">
        <v>230</v>
      </c>
      <c r="K627" t="s">
        <v>965</v>
      </c>
      <c r="L627" t="s">
        <v>218</v>
      </c>
      <c r="M627" t="s">
        <v>219</v>
      </c>
      <c r="N627" s="19">
        <v>46262</v>
      </c>
      <c r="O627" t="s">
        <v>220</v>
      </c>
      <c r="P627">
        <v>1</v>
      </c>
      <c r="Q627" t="s">
        <v>2125</v>
      </c>
    </row>
    <row r="628" spans="1:18" x14ac:dyDescent="0.3">
      <c r="A628" t="s">
        <v>2126</v>
      </c>
      <c r="B628" t="s">
        <v>2127</v>
      </c>
      <c r="C628" t="s">
        <v>461</v>
      </c>
      <c r="D628" t="s">
        <v>153</v>
      </c>
      <c r="E628" t="s">
        <v>154</v>
      </c>
      <c r="F628" t="s">
        <v>531</v>
      </c>
      <c r="H628">
        <v>4293.7</v>
      </c>
      <c r="I628">
        <v>0</v>
      </c>
      <c r="J628" t="s">
        <v>230</v>
      </c>
      <c r="K628" t="s">
        <v>965</v>
      </c>
      <c r="L628" t="s">
        <v>218</v>
      </c>
      <c r="M628" t="s">
        <v>219</v>
      </c>
      <c r="N628" s="19">
        <v>46262</v>
      </c>
      <c r="O628" t="s">
        <v>220</v>
      </c>
      <c r="P628">
        <v>2</v>
      </c>
      <c r="Q628" t="s">
        <v>2128</v>
      </c>
      <c r="R628" t="s">
        <v>92</v>
      </c>
    </row>
    <row r="629" spans="1:18" x14ac:dyDescent="0.3">
      <c r="A629" t="s">
        <v>2129</v>
      </c>
      <c r="B629" t="s">
        <v>2130</v>
      </c>
      <c r="C629" t="s">
        <v>289</v>
      </c>
      <c r="D629" t="s">
        <v>153</v>
      </c>
      <c r="E629" t="s">
        <v>154</v>
      </c>
      <c r="F629" t="s">
        <v>531</v>
      </c>
      <c r="H629">
        <v>1148.3599999999999</v>
      </c>
      <c r="I629">
        <v>0</v>
      </c>
      <c r="J629" t="s">
        <v>230</v>
      </c>
      <c r="K629" t="s">
        <v>965</v>
      </c>
      <c r="L629" t="s">
        <v>218</v>
      </c>
      <c r="M629" t="s">
        <v>219</v>
      </c>
      <c r="N629" s="19">
        <v>46262</v>
      </c>
      <c r="O629" t="s">
        <v>220</v>
      </c>
      <c r="P629">
        <v>1</v>
      </c>
      <c r="Q629" t="s">
        <v>2131</v>
      </c>
    </row>
    <row r="630" spans="1:18" x14ac:dyDescent="0.3">
      <c r="A630" t="s">
        <v>2132</v>
      </c>
      <c r="B630" t="s">
        <v>2133</v>
      </c>
      <c r="C630" t="s">
        <v>477</v>
      </c>
      <c r="D630" t="s">
        <v>153</v>
      </c>
      <c r="E630" t="s">
        <v>154</v>
      </c>
      <c r="F630" t="s">
        <v>531</v>
      </c>
      <c r="H630">
        <v>96.36</v>
      </c>
      <c r="I630">
        <v>0</v>
      </c>
      <c r="J630" t="s">
        <v>230</v>
      </c>
      <c r="K630" t="s">
        <v>965</v>
      </c>
      <c r="L630" t="s">
        <v>218</v>
      </c>
      <c r="M630" t="s">
        <v>219</v>
      </c>
      <c r="N630" s="19">
        <v>46262</v>
      </c>
      <c r="O630" t="s">
        <v>220</v>
      </c>
      <c r="P630">
        <v>1</v>
      </c>
      <c r="Q630" t="s">
        <v>2134</v>
      </c>
    </row>
    <row r="631" spans="1:18" x14ac:dyDescent="0.3">
      <c r="A631" t="s">
        <v>2135</v>
      </c>
      <c r="B631" t="s">
        <v>2136</v>
      </c>
      <c r="C631" t="s">
        <v>461</v>
      </c>
      <c r="D631" t="s">
        <v>153</v>
      </c>
      <c r="E631" t="s">
        <v>154</v>
      </c>
      <c r="F631" t="s">
        <v>531</v>
      </c>
      <c r="G631" t="s">
        <v>2078</v>
      </c>
      <c r="H631">
        <v>2200</v>
      </c>
      <c r="I631">
        <v>5</v>
      </c>
      <c r="J631" t="s">
        <v>230</v>
      </c>
      <c r="K631" t="s">
        <v>965</v>
      </c>
      <c r="L631" t="s">
        <v>92</v>
      </c>
      <c r="M631" t="s">
        <v>219</v>
      </c>
      <c r="N631" s="19">
        <v>46262</v>
      </c>
      <c r="O631" t="s">
        <v>220</v>
      </c>
      <c r="P631">
        <v>1</v>
      </c>
      <c r="Q631" t="s">
        <v>2137</v>
      </c>
    </row>
    <row r="632" spans="1:18" x14ac:dyDescent="0.3">
      <c r="A632" t="s">
        <v>2138</v>
      </c>
      <c r="B632" t="s">
        <v>2139</v>
      </c>
      <c r="C632" t="s">
        <v>461</v>
      </c>
      <c r="D632" t="s">
        <v>153</v>
      </c>
      <c r="E632" t="s">
        <v>154</v>
      </c>
      <c r="F632" t="s">
        <v>531</v>
      </c>
      <c r="H632">
        <v>3014.67</v>
      </c>
      <c r="I632">
        <v>0</v>
      </c>
      <c r="J632" t="s">
        <v>230</v>
      </c>
      <c r="K632" t="s">
        <v>965</v>
      </c>
      <c r="L632" t="s">
        <v>218</v>
      </c>
      <c r="M632" t="s">
        <v>219</v>
      </c>
      <c r="N632" s="19">
        <v>46262</v>
      </c>
      <c r="O632" t="s">
        <v>220</v>
      </c>
      <c r="P632">
        <v>3</v>
      </c>
      <c r="Q632" t="s">
        <v>2140</v>
      </c>
      <c r="R632" t="s">
        <v>92</v>
      </c>
    </row>
    <row r="633" spans="1:18" x14ac:dyDescent="0.3">
      <c r="A633" t="s">
        <v>2141</v>
      </c>
      <c r="B633" t="s">
        <v>2142</v>
      </c>
      <c r="C633" t="s">
        <v>518</v>
      </c>
      <c r="D633" t="s">
        <v>153</v>
      </c>
      <c r="E633" t="s">
        <v>154</v>
      </c>
      <c r="F633" t="s">
        <v>531</v>
      </c>
      <c r="H633">
        <v>1562.35</v>
      </c>
      <c r="I633">
        <v>0</v>
      </c>
      <c r="J633" t="s">
        <v>230</v>
      </c>
      <c r="K633" t="s">
        <v>887</v>
      </c>
      <c r="L633" t="s">
        <v>218</v>
      </c>
      <c r="M633" t="s">
        <v>219</v>
      </c>
      <c r="N633" s="19">
        <v>46262</v>
      </c>
      <c r="O633" t="s">
        <v>220</v>
      </c>
      <c r="P633">
        <v>1</v>
      </c>
      <c r="Q633" t="s">
        <v>2143</v>
      </c>
    </row>
    <row r="634" spans="1:18" x14ac:dyDescent="0.3">
      <c r="A634" t="s">
        <v>2144</v>
      </c>
      <c r="B634" t="s">
        <v>2145</v>
      </c>
      <c r="C634" t="s">
        <v>518</v>
      </c>
      <c r="D634" t="s">
        <v>153</v>
      </c>
      <c r="E634" t="s">
        <v>154</v>
      </c>
      <c r="F634" t="s">
        <v>531</v>
      </c>
      <c r="G634" t="s">
        <v>2146</v>
      </c>
      <c r="H634">
        <v>2500</v>
      </c>
      <c r="I634">
        <v>5</v>
      </c>
      <c r="J634" t="s">
        <v>216</v>
      </c>
      <c r="K634" t="s">
        <v>965</v>
      </c>
      <c r="L634" t="s">
        <v>92</v>
      </c>
      <c r="M634" t="s">
        <v>219</v>
      </c>
      <c r="N634" s="19">
        <v>46262</v>
      </c>
      <c r="O634" t="s">
        <v>220</v>
      </c>
      <c r="P634">
        <v>1</v>
      </c>
      <c r="Q634" t="s">
        <v>2147</v>
      </c>
    </row>
    <row r="635" spans="1:18" x14ac:dyDescent="0.3">
      <c r="A635" t="s">
        <v>2148</v>
      </c>
      <c r="B635" t="s">
        <v>2149</v>
      </c>
      <c r="C635" t="s">
        <v>477</v>
      </c>
      <c r="D635" t="s">
        <v>153</v>
      </c>
      <c r="E635" t="s">
        <v>154</v>
      </c>
      <c r="F635" t="s">
        <v>531</v>
      </c>
      <c r="H635">
        <v>2081.64</v>
      </c>
      <c r="I635">
        <v>0</v>
      </c>
      <c r="J635" t="s">
        <v>230</v>
      </c>
      <c r="K635" t="s">
        <v>887</v>
      </c>
      <c r="L635" t="s">
        <v>218</v>
      </c>
      <c r="M635" t="s">
        <v>219</v>
      </c>
      <c r="N635" s="19">
        <v>46262</v>
      </c>
      <c r="O635" t="s">
        <v>220</v>
      </c>
      <c r="P635">
        <v>1</v>
      </c>
      <c r="Q635" t="s">
        <v>2150</v>
      </c>
    </row>
    <row r="636" spans="1:18" x14ac:dyDescent="0.3">
      <c r="A636" t="s">
        <v>2151</v>
      </c>
      <c r="B636" t="s">
        <v>2152</v>
      </c>
      <c r="C636" t="s">
        <v>461</v>
      </c>
      <c r="D636" t="s">
        <v>155</v>
      </c>
      <c r="E636" t="s">
        <v>156</v>
      </c>
      <c r="F636" t="s">
        <v>215</v>
      </c>
      <c r="G636" t="s">
        <v>2153</v>
      </c>
      <c r="H636">
        <v>7441</v>
      </c>
      <c r="I636">
        <v>5</v>
      </c>
      <c r="J636" t="s">
        <v>230</v>
      </c>
      <c r="K636" t="s">
        <v>965</v>
      </c>
      <c r="L636" t="s">
        <v>92</v>
      </c>
      <c r="M636" t="s">
        <v>219</v>
      </c>
      <c r="N636" s="19">
        <v>46262</v>
      </c>
      <c r="O636" t="s">
        <v>220</v>
      </c>
      <c r="P636">
        <v>3</v>
      </c>
      <c r="Q636" t="s">
        <v>2154</v>
      </c>
      <c r="R636" t="s">
        <v>92</v>
      </c>
    </row>
    <row r="637" spans="1:18" x14ac:dyDescent="0.3">
      <c r="A637" t="s">
        <v>2155</v>
      </c>
      <c r="B637" t="s">
        <v>2156</v>
      </c>
      <c r="C637" t="s">
        <v>461</v>
      </c>
      <c r="D637" t="s">
        <v>155</v>
      </c>
      <c r="E637" t="s">
        <v>156</v>
      </c>
      <c r="F637" t="s">
        <v>215</v>
      </c>
      <c r="G637" t="s">
        <v>2153</v>
      </c>
      <c r="H637">
        <v>12756</v>
      </c>
      <c r="I637">
        <v>5</v>
      </c>
      <c r="J637" t="s">
        <v>230</v>
      </c>
      <c r="K637" t="s">
        <v>965</v>
      </c>
      <c r="L637" t="s">
        <v>92</v>
      </c>
      <c r="M637" t="s">
        <v>219</v>
      </c>
      <c r="N637" s="19">
        <v>46262</v>
      </c>
      <c r="O637" t="s">
        <v>220</v>
      </c>
      <c r="P637">
        <v>5</v>
      </c>
      <c r="Q637" t="s">
        <v>2157</v>
      </c>
      <c r="R637" t="s">
        <v>92</v>
      </c>
    </row>
    <row r="638" spans="1:18" x14ac:dyDescent="0.3">
      <c r="A638" t="s">
        <v>2158</v>
      </c>
      <c r="B638" t="s">
        <v>2159</v>
      </c>
      <c r="C638" t="s">
        <v>461</v>
      </c>
      <c r="D638" t="s">
        <v>155</v>
      </c>
      <c r="E638" t="s">
        <v>156</v>
      </c>
      <c r="F638" t="s">
        <v>215</v>
      </c>
      <c r="G638" t="s">
        <v>2153</v>
      </c>
      <c r="H638">
        <v>7312.35</v>
      </c>
      <c r="I638">
        <v>5</v>
      </c>
      <c r="J638" t="s">
        <v>230</v>
      </c>
      <c r="K638" t="s">
        <v>965</v>
      </c>
      <c r="L638" t="s">
        <v>92</v>
      </c>
      <c r="M638" t="s">
        <v>219</v>
      </c>
      <c r="N638" s="19">
        <v>46262</v>
      </c>
      <c r="O638" t="s">
        <v>220</v>
      </c>
      <c r="P638">
        <v>1</v>
      </c>
      <c r="Q638" t="s">
        <v>2160</v>
      </c>
    </row>
    <row r="639" spans="1:18" x14ac:dyDescent="0.3">
      <c r="A639" t="s">
        <v>2161</v>
      </c>
      <c r="B639" t="s">
        <v>2162</v>
      </c>
      <c r="C639" t="s">
        <v>461</v>
      </c>
      <c r="D639" t="s">
        <v>155</v>
      </c>
      <c r="E639" t="s">
        <v>156</v>
      </c>
      <c r="F639" t="s">
        <v>531</v>
      </c>
      <c r="G639" t="s">
        <v>2153</v>
      </c>
      <c r="H639">
        <v>5261.85</v>
      </c>
      <c r="I639">
        <v>5</v>
      </c>
      <c r="J639" t="s">
        <v>230</v>
      </c>
      <c r="K639" t="s">
        <v>965</v>
      </c>
      <c r="L639" t="s">
        <v>92</v>
      </c>
      <c r="M639" t="s">
        <v>219</v>
      </c>
      <c r="N639" s="19">
        <v>46262</v>
      </c>
      <c r="O639" t="s">
        <v>220</v>
      </c>
      <c r="P639">
        <v>4</v>
      </c>
      <c r="Q639" t="s">
        <v>2163</v>
      </c>
      <c r="R639" t="s">
        <v>92</v>
      </c>
    </row>
    <row r="640" spans="1:18" x14ac:dyDescent="0.3">
      <c r="A640" t="s">
        <v>2164</v>
      </c>
      <c r="B640" t="s">
        <v>2165</v>
      </c>
      <c r="C640" t="s">
        <v>461</v>
      </c>
      <c r="D640" t="s">
        <v>155</v>
      </c>
      <c r="E640" t="s">
        <v>156</v>
      </c>
      <c r="F640" t="s">
        <v>531</v>
      </c>
      <c r="G640" t="s">
        <v>2153</v>
      </c>
      <c r="H640">
        <v>6084.32</v>
      </c>
      <c r="I640">
        <v>5</v>
      </c>
      <c r="J640" t="s">
        <v>230</v>
      </c>
      <c r="K640" t="s">
        <v>965</v>
      </c>
      <c r="L640" t="s">
        <v>92</v>
      </c>
      <c r="M640" t="s">
        <v>219</v>
      </c>
      <c r="N640" s="19">
        <v>46262</v>
      </c>
      <c r="O640" t="s">
        <v>220</v>
      </c>
      <c r="P640">
        <v>1</v>
      </c>
      <c r="Q640" t="s">
        <v>2166</v>
      </c>
    </row>
    <row r="641" spans="1:18" x14ac:dyDescent="0.3">
      <c r="A641" t="s">
        <v>2167</v>
      </c>
      <c r="B641" t="s">
        <v>2168</v>
      </c>
      <c r="C641" t="s">
        <v>461</v>
      </c>
      <c r="D641" t="s">
        <v>155</v>
      </c>
      <c r="E641" t="s">
        <v>156</v>
      </c>
      <c r="F641" t="s">
        <v>531</v>
      </c>
      <c r="G641" t="s">
        <v>2153</v>
      </c>
      <c r="H641">
        <v>7089.07</v>
      </c>
      <c r="I641">
        <v>5</v>
      </c>
      <c r="J641" t="s">
        <v>230</v>
      </c>
      <c r="K641" t="s">
        <v>965</v>
      </c>
      <c r="L641" t="s">
        <v>92</v>
      </c>
      <c r="M641" t="s">
        <v>219</v>
      </c>
      <c r="N641" s="19">
        <v>46262</v>
      </c>
      <c r="O641" t="s">
        <v>220</v>
      </c>
      <c r="P641">
        <v>1</v>
      </c>
      <c r="Q641" t="s">
        <v>2169</v>
      </c>
    </row>
    <row r="642" spans="1:18" x14ac:dyDescent="0.3">
      <c r="A642" t="s">
        <v>2170</v>
      </c>
      <c r="B642" t="s">
        <v>2171</v>
      </c>
      <c r="C642" t="s">
        <v>461</v>
      </c>
      <c r="D642" t="s">
        <v>155</v>
      </c>
      <c r="E642" t="s">
        <v>156</v>
      </c>
      <c r="F642" t="s">
        <v>531</v>
      </c>
      <c r="G642" t="s">
        <v>2153</v>
      </c>
      <c r="H642">
        <v>8484.56</v>
      </c>
      <c r="I642">
        <v>5</v>
      </c>
      <c r="J642" t="s">
        <v>230</v>
      </c>
      <c r="K642" t="s">
        <v>965</v>
      </c>
      <c r="L642" t="s">
        <v>92</v>
      </c>
      <c r="M642" t="s">
        <v>219</v>
      </c>
      <c r="N642" s="19">
        <v>46262</v>
      </c>
      <c r="O642" t="s">
        <v>220</v>
      </c>
      <c r="P642">
        <v>1</v>
      </c>
      <c r="Q642" t="s">
        <v>2172</v>
      </c>
    </row>
    <row r="643" spans="1:18" x14ac:dyDescent="0.3">
      <c r="A643" t="s">
        <v>2173</v>
      </c>
      <c r="B643" t="s">
        <v>2174</v>
      </c>
      <c r="C643" t="s">
        <v>461</v>
      </c>
      <c r="D643" t="s">
        <v>155</v>
      </c>
      <c r="E643" t="s">
        <v>156</v>
      </c>
      <c r="F643" t="s">
        <v>531</v>
      </c>
      <c r="G643" t="s">
        <v>2153</v>
      </c>
      <c r="H643">
        <v>13843.23</v>
      </c>
      <c r="I643">
        <v>5</v>
      </c>
      <c r="J643" t="s">
        <v>230</v>
      </c>
      <c r="K643" t="s">
        <v>965</v>
      </c>
      <c r="L643" t="s">
        <v>92</v>
      </c>
      <c r="M643" t="s">
        <v>219</v>
      </c>
      <c r="N643" s="19">
        <v>46262</v>
      </c>
      <c r="O643" t="s">
        <v>220</v>
      </c>
      <c r="P643">
        <v>1</v>
      </c>
      <c r="Q643" t="s">
        <v>2175</v>
      </c>
    </row>
    <row r="644" spans="1:18" x14ac:dyDescent="0.3">
      <c r="A644" t="s">
        <v>2176</v>
      </c>
      <c r="B644" t="s">
        <v>2177</v>
      </c>
      <c r="C644" t="s">
        <v>461</v>
      </c>
      <c r="D644" t="s">
        <v>155</v>
      </c>
      <c r="E644" t="s">
        <v>156</v>
      </c>
      <c r="F644" t="s">
        <v>531</v>
      </c>
      <c r="G644" t="s">
        <v>2153</v>
      </c>
      <c r="H644">
        <v>20988.12</v>
      </c>
      <c r="I644">
        <v>5</v>
      </c>
      <c r="J644" t="s">
        <v>230</v>
      </c>
      <c r="K644" t="s">
        <v>965</v>
      </c>
      <c r="L644" t="s">
        <v>92</v>
      </c>
      <c r="M644" t="s">
        <v>219</v>
      </c>
      <c r="N644" s="19">
        <v>46262</v>
      </c>
      <c r="O644" t="s">
        <v>220</v>
      </c>
      <c r="P644">
        <v>1</v>
      </c>
      <c r="Q644" t="s">
        <v>2178</v>
      </c>
    </row>
    <row r="645" spans="1:18" x14ac:dyDescent="0.3">
      <c r="A645" t="s">
        <v>2179</v>
      </c>
      <c r="B645" t="s">
        <v>2180</v>
      </c>
      <c r="C645" t="s">
        <v>461</v>
      </c>
      <c r="D645" t="s">
        <v>155</v>
      </c>
      <c r="E645" t="s">
        <v>156</v>
      </c>
      <c r="F645" t="s">
        <v>531</v>
      </c>
      <c r="G645" t="s">
        <v>2153</v>
      </c>
      <c r="H645">
        <v>7312.35</v>
      </c>
      <c r="I645">
        <v>5</v>
      </c>
      <c r="J645" t="s">
        <v>230</v>
      </c>
      <c r="K645" t="s">
        <v>965</v>
      </c>
      <c r="L645" t="s">
        <v>92</v>
      </c>
      <c r="M645" t="s">
        <v>219</v>
      </c>
      <c r="N645" s="19">
        <v>46262</v>
      </c>
      <c r="O645" t="s">
        <v>220</v>
      </c>
      <c r="P645">
        <v>1</v>
      </c>
      <c r="Q645" t="s">
        <v>2181</v>
      </c>
    </row>
    <row r="646" spans="1:18" x14ac:dyDescent="0.3">
      <c r="A646" t="s">
        <v>2182</v>
      </c>
      <c r="B646" t="s">
        <v>2183</v>
      </c>
      <c r="C646" t="s">
        <v>461</v>
      </c>
      <c r="D646" t="s">
        <v>155</v>
      </c>
      <c r="E646" t="s">
        <v>156</v>
      </c>
      <c r="F646" t="s">
        <v>531</v>
      </c>
      <c r="H646">
        <v>18264.259999999998</v>
      </c>
      <c r="I646">
        <v>0</v>
      </c>
      <c r="J646" t="s">
        <v>230</v>
      </c>
      <c r="K646" t="s">
        <v>965</v>
      </c>
      <c r="L646" t="s">
        <v>218</v>
      </c>
      <c r="M646" t="s">
        <v>219</v>
      </c>
      <c r="N646" s="19">
        <v>46262</v>
      </c>
      <c r="O646" t="s">
        <v>220</v>
      </c>
      <c r="P646">
        <v>1</v>
      </c>
      <c r="Q646" t="s">
        <v>2184</v>
      </c>
    </row>
    <row r="647" spans="1:18" x14ac:dyDescent="0.3">
      <c r="A647" t="s">
        <v>2185</v>
      </c>
      <c r="B647" t="s">
        <v>2186</v>
      </c>
      <c r="C647" t="s">
        <v>461</v>
      </c>
      <c r="D647" t="s">
        <v>155</v>
      </c>
      <c r="E647" t="s">
        <v>156</v>
      </c>
      <c r="F647" t="s">
        <v>531</v>
      </c>
      <c r="H647">
        <v>31350.799999999999</v>
      </c>
      <c r="I647">
        <v>0</v>
      </c>
      <c r="J647" t="s">
        <v>230</v>
      </c>
      <c r="K647" t="s">
        <v>965</v>
      </c>
      <c r="L647" t="s">
        <v>218</v>
      </c>
      <c r="M647" t="s">
        <v>219</v>
      </c>
      <c r="N647" s="19">
        <v>46262</v>
      </c>
      <c r="O647" t="s">
        <v>220</v>
      </c>
      <c r="P647">
        <v>1</v>
      </c>
      <c r="Q647" t="s">
        <v>2187</v>
      </c>
    </row>
    <row r="648" spans="1:18" x14ac:dyDescent="0.3">
      <c r="A648" t="s">
        <v>2188</v>
      </c>
      <c r="B648" t="s">
        <v>2189</v>
      </c>
      <c r="C648" t="s">
        <v>461</v>
      </c>
      <c r="D648" t="s">
        <v>155</v>
      </c>
      <c r="E648" t="s">
        <v>156</v>
      </c>
      <c r="F648" t="s">
        <v>531</v>
      </c>
      <c r="H648">
        <v>47566.73</v>
      </c>
      <c r="I648">
        <v>0</v>
      </c>
      <c r="J648" t="s">
        <v>230</v>
      </c>
      <c r="K648" t="s">
        <v>965</v>
      </c>
      <c r="L648" t="s">
        <v>218</v>
      </c>
      <c r="M648" t="s">
        <v>219</v>
      </c>
      <c r="N648" s="19">
        <v>46262</v>
      </c>
      <c r="O648" t="s">
        <v>220</v>
      </c>
      <c r="P648">
        <v>1</v>
      </c>
      <c r="Q648" t="s">
        <v>2190</v>
      </c>
    </row>
    <row r="649" spans="1:18" x14ac:dyDescent="0.3">
      <c r="A649" t="s">
        <v>2191</v>
      </c>
      <c r="B649" t="s">
        <v>2192</v>
      </c>
      <c r="C649" t="s">
        <v>461</v>
      </c>
      <c r="D649" t="s">
        <v>155</v>
      </c>
      <c r="E649" t="s">
        <v>156</v>
      </c>
      <c r="F649" t="s">
        <v>531</v>
      </c>
      <c r="G649" t="s">
        <v>2193</v>
      </c>
      <c r="H649">
        <v>870</v>
      </c>
      <c r="I649">
        <v>5</v>
      </c>
      <c r="J649" t="s">
        <v>230</v>
      </c>
      <c r="K649" t="s">
        <v>965</v>
      </c>
      <c r="L649" t="s">
        <v>92</v>
      </c>
      <c r="M649" t="s">
        <v>219</v>
      </c>
      <c r="N649" s="19">
        <v>46262</v>
      </c>
      <c r="O649" t="s">
        <v>220</v>
      </c>
      <c r="P649">
        <v>2</v>
      </c>
      <c r="Q649" t="s">
        <v>2194</v>
      </c>
      <c r="R649" t="s">
        <v>92</v>
      </c>
    </row>
    <row r="650" spans="1:18" x14ac:dyDescent="0.3">
      <c r="A650" t="s">
        <v>2195</v>
      </c>
      <c r="B650" t="s">
        <v>2196</v>
      </c>
      <c r="C650" t="s">
        <v>461</v>
      </c>
      <c r="D650" t="s">
        <v>155</v>
      </c>
      <c r="E650" t="s">
        <v>156</v>
      </c>
      <c r="F650" t="s">
        <v>531</v>
      </c>
      <c r="G650" t="s">
        <v>2193</v>
      </c>
      <c r="H650">
        <v>916.11</v>
      </c>
      <c r="I650">
        <v>5</v>
      </c>
      <c r="J650" t="s">
        <v>230</v>
      </c>
      <c r="K650" t="s">
        <v>965</v>
      </c>
      <c r="L650" t="s">
        <v>92</v>
      </c>
      <c r="M650" t="s">
        <v>219</v>
      </c>
      <c r="N650" s="19">
        <v>46262</v>
      </c>
      <c r="O650" t="s">
        <v>220</v>
      </c>
      <c r="P650">
        <v>1</v>
      </c>
      <c r="Q650" t="s">
        <v>2197</v>
      </c>
    </row>
    <row r="651" spans="1:18" x14ac:dyDescent="0.3">
      <c r="A651" t="s">
        <v>2198</v>
      </c>
      <c r="B651" t="s">
        <v>2199</v>
      </c>
      <c r="C651" t="s">
        <v>461</v>
      </c>
      <c r="D651" t="s">
        <v>155</v>
      </c>
      <c r="E651" t="s">
        <v>156</v>
      </c>
      <c r="F651" t="s">
        <v>531</v>
      </c>
      <c r="G651" t="s">
        <v>2193</v>
      </c>
      <c r="H651">
        <v>1082.6500000000001</v>
      </c>
      <c r="I651">
        <v>5</v>
      </c>
      <c r="J651" t="s">
        <v>230</v>
      </c>
      <c r="K651" t="s">
        <v>965</v>
      </c>
      <c r="L651" t="s">
        <v>92</v>
      </c>
      <c r="M651" t="s">
        <v>219</v>
      </c>
      <c r="N651" s="19">
        <v>46262</v>
      </c>
      <c r="O651" t="s">
        <v>220</v>
      </c>
      <c r="P651">
        <v>1</v>
      </c>
      <c r="Q651" t="s">
        <v>2200</v>
      </c>
    </row>
    <row r="652" spans="1:18" x14ac:dyDescent="0.3">
      <c r="A652" t="s">
        <v>2201</v>
      </c>
      <c r="B652" t="s">
        <v>2192</v>
      </c>
      <c r="C652" t="s">
        <v>461</v>
      </c>
      <c r="D652" t="s">
        <v>155</v>
      </c>
      <c r="E652" t="s">
        <v>156</v>
      </c>
      <c r="F652" t="s">
        <v>531</v>
      </c>
      <c r="G652" t="s">
        <v>2193</v>
      </c>
      <c r="H652">
        <v>1785.39</v>
      </c>
      <c r="I652">
        <v>5</v>
      </c>
      <c r="J652" t="s">
        <v>230</v>
      </c>
      <c r="K652" t="s">
        <v>965</v>
      </c>
      <c r="L652" t="s">
        <v>92</v>
      </c>
      <c r="M652" t="s">
        <v>219</v>
      </c>
      <c r="N652" s="19">
        <v>46262</v>
      </c>
      <c r="O652" t="s">
        <v>220</v>
      </c>
      <c r="P652">
        <v>3</v>
      </c>
      <c r="Q652" t="s">
        <v>2202</v>
      </c>
      <c r="R652" t="s">
        <v>92</v>
      </c>
    </row>
    <row r="653" spans="1:18" x14ac:dyDescent="0.3">
      <c r="A653" t="s">
        <v>2203</v>
      </c>
      <c r="B653" t="s">
        <v>2204</v>
      </c>
      <c r="C653" t="s">
        <v>461</v>
      </c>
      <c r="D653" t="s">
        <v>155</v>
      </c>
      <c r="E653" t="s">
        <v>156</v>
      </c>
      <c r="F653" t="s">
        <v>531</v>
      </c>
      <c r="H653">
        <v>2171.52</v>
      </c>
      <c r="I653">
        <v>0</v>
      </c>
      <c r="J653" t="s">
        <v>230</v>
      </c>
      <c r="K653" t="s">
        <v>965</v>
      </c>
      <c r="L653" t="s">
        <v>218</v>
      </c>
      <c r="M653" t="s">
        <v>219</v>
      </c>
      <c r="N653" s="19">
        <v>46262</v>
      </c>
      <c r="O653" t="s">
        <v>220</v>
      </c>
      <c r="P653">
        <v>2</v>
      </c>
      <c r="Q653" t="s">
        <v>2205</v>
      </c>
      <c r="R653" t="s">
        <v>92</v>
      </c>
    </row>
    <row r="654" spans="1:18" x14ac:dyDescent="0.3">
      <c r="A654" t="s">
        <v>2206</v>
      </c>
      <c r="B654" t="s">
        <v>2207</v>
      </c>
      <c r="C654" t="s">
        <v>461</v>
      </c>
      <c r="D654" t="s">
        <v>155</v>
      </c>
      <c r="E654" t="s">
        <v>156</v>
      </c>
      <c r="F654" t="s">
        <v>531</v>
      </c>
      <c r="H654">
        <v>3300</v>
      </c>
      <c r="I654">
        <v>0</v>
      </c>
      <c r="J654" t="s">
        <v>230</v>
      </c>
      <c r="K654" t="s">
        <v>965</v>
      </c>
      <c r="L654" t="s">
        <v>218</v>
      </c>
      <c r="M654" t="s">
        <v>219</v>
      </c>
      <c r="N654" s="19">
        <v>46262</v>
      </c>
      <c r="O654" t="s">
        <v>220</v>
      </c>
      <c r="P654">
        <v>1</v>
      </c>
      <c r="Q654" t="s">
        <v>2208</v>
      </c>
    </row>
    <row r="655" spans="1:18" x14ac:dyDescent="0.3">
      <c r="A655" t="s">
        <v>2209</v>
      </c>
      <c r="B655" t="s">
        <v>2210</v>
      </c>
      <c r="C655" t="s">
        <v>461</v>
      </c>
      <c r="D655" t="s">
        <v>155</v>
      </c>
      <c r="E655" t="s">
        <v>156</v>
      </c>
      <c r="F655" t="s">
        <v>531</v>
      </c>
      <c r="G655" t="s">
        <v>2153</v>
      </c>
      <c r="H655">
        <v>1050.23</v>
      </c>
      <c r="I655">
        <v>5</v>
      </c>
      <c r="J655" t="s">
        <v>230</v>
      </c>
      <c r="K655" t="s">
        <v>965</v>
      </c>
      <c r="L655" t="s">
        <v>92</v>
      </c>
      <c r="M655" t="s">
        <v>219</v>
      </c>
      <c r="N655" s="19">
        <v>46262</v>
      </c>
      <c r="O655" t="s">
        <v>220</v>
      </c>
      <c r="P655">
        <v>2</v>
      </c>
      <c r="Q655" t="s">
        <v>2211</v>
      </c>
      <c r="R655" t="s">
        <v>92</v>
      </c>
    </row>
    <row r="656" spans="1:18" x14ac:dyDescent="0.3">
      <c r="A656" t="s">
        <v>2212</v>
      </c>
      <c r="B656" t="s">
        <v>2213</v>
      </c>
      <c r="C656" t="s">
        <v>461</v>
      </c>
      <c r="D656" t="s">
        <v>155</v>
      </c>
      <c r="E656" t="s">
        <v>156</v>
      </c>
      <c r="F656" t="s">
        <v>531</v>
      </c>
      <c r="G656" t="s">
        <v>2153</v>
      </c>
      <c r="H656">
        <v>1522.83</v>
      </c>
      <c r="I656">
        <v>5</v>
      </c>
      <c r="J656" t="s">
        <v>230</v>
      </c>
      <c r="K656" t="s">
        <v>965</v>
      </c>
      <c r="L656" t="s">
        <v>92</v>
      </c>
      <c r="M656" t="s">
        <v>219</v>
      </c>
      <c r="N656" s="19">
        <v>46262</v>
      </c>
      <c r="O656" t="s">
        <v>220</v>
      </c>
      <c r="P656">
        <v>4</v>
      </c>
      <c r="Q656" t="s">
        <v>2214</v>
      </c>
      <c r="R656" t="s">
        <v>92</v>
      </c>
    </row>
    <row r="657" spans="1:18" x14ac:dyDescent="0.3">
      <c r="A657" t="s">
        <v>2215</v>
      </c>
      <c r="B657" t="s">
        <v>2216</v>
      </c>
      <c r="C657" t="s">
        <v>461</v>
      </c>
      <c r="D657" t="s">
        <v>155</v>
      </c>
      <c r="E657" t="s">
        <v>156</v>
      </c>
      <c r="F657" t="s">
        <v>531</v>
      </c>
      <c r="G657" t="s">
        <v>2153</v>
      </c>
      <c r="H657">
        <v>1890.41</v>
      </c>
      <c r="I657">
        <v>5</v>
      </c>
      <c r="J657" t="s">
        <v>230</v>
      </c>
      <c r="K657" t="s">
        <v>965</v>
      </c>
      <c r="L657" t="s">
        <v>92</v>
      </c>
      <c r="M657" t="s">
        <v>219</v>
      </c>
      <c r="N657" s="19">
        <v>46262</v>
      </c>
      <c r="O657" t="s">
        <v>220</v>
      </c>
      <c r="P657">
        <v>4</v>
      </c>
      <c r="Q657" t="s">
        <v>2217</v>
      </c>
      <c r="R657" t="s">
        <v>92</v>
      </c>
    </row>
    <row r="658" spans="1:18" x14ac:dyDescent="0.3">
      <c r="A658" t="s">
        <v>2218</v>
      </c>
      <c r="B658" t="s">
        <v>2219</v>
      </c>
      <c r="C658" t="s">
        <v>461</v>
      </c>
      <c r="D658" t="s">
        <v>155</v>
      </c>
      <c r="E658" t="s">
        <v>156</v>
      </c>
      <c r="F658" t="s">
        <v>531</v>
      </c>
      <c r="G658" t="s">
        <v>2153</v>
      </c>
      <c r="H658">
        <v>2520.54</v>
      </c>
      <c r="I658">
        <v>5</v>
      </c>
      <c r="J658" t="s">
        <v>230</v>
      </c>
      <c r="K658" t="s">
        <v>965</v>
      </c>
      <c r="L658" t="s">
        <v>92</v>
      </c>
      <c r="M658" t="s">
        <v>219</v>
      </c>
      <c r="N658" s="19">
        <v>46262</v>
      </c>
      <c r="O658" t="s">
        <v>220</v>
      </c>
      <c r="P658">
        <v>3</v>
      </c>
      <c r="Q658" t="s">
        <v>2220</v>
      </c>
      <c r="R658" t="s">
        <v>92</v>
      </c>
    </row>
    <row r="659" spans="1:18" x14ac:dyDescent="0.3">
      <c r="A659" t="s">
        <v>2221</v>
      </c>
      <c r="B659" t="s">
        <v>2222</v>
      </c>
      <c r="C659" t="s">
        <v>461</v>
      </c>
      <c r="D659" t="s">
        <v>155</v>
      </c>
      <c r="E659" t="s">
        <v>156</v>
      </c>
      <c r="F659" t="s">
        <v>531</v>
      </c>
      <c r="G659" t="s">
        <v>2153</v>
      </c>
      <c r="H659">
        <v>2152.96</v>
      </c>
      <c r="I659">
        <v>5</v>
      </c>
      <c r="J659" t="s">
        <v>230</v>
      </c>
      <c r="K659" t="s">
        <v>965</v>
      </c>
      <c r="L659" t="s">
        <v>92</v>
      </c>
      <c r="M659" t="s">
        <v>219</v>
      </c>
      <c r="N659" s="19">
        <v>46262</v>
      </c>
      <c r="O659" t="s">
        <v>220</v>
      </c>
      <c r="P659">
        <v>4</v>
      </c>
      <c r="Q659" t="s">
        <v>2223</v>
      </c>
      <c r="R659" t="s">
        <v>92</v>
      </c>
    </row>
    <row r="660" spans="1:18" x14ac:dyDescent="0.3">
      <c r="A660" t="s">
        <v>2224</v>
      </c>
      <c r="B660" t="s">
        <v>2225</v>
      </c>
      <c r="C660" t="s">
        <v>461</v>
      </c>
      <c r="D660" t="s">
        <v>155</v>
      </c>
      <c r="E660" t="s">
        <v>156</v>
      </c>
      <c r="F660" t="s">
        <v>531</v>
      </c>
      <c r="G660" t="s">
        <v>2153</v>
      </c>
      <c r="H660">
        <v>1417.8</v>
      </c>
      <c r="I660">
        <v>5</v>
      </c>
      <c r="J660" t="s">
        <v>230</v>
      </c>
      <c r="K660" t="s">
        <v>965</v>
      </c>
      <c r="L660" t="s">
        <v>92</v>
      </c>
      <c r="M660" t="s">
        <v>219</v>
      </c>
      <c r="N660" s="19">
        <v>46262</v>
      </c>
      <c r="O660" t="s">
        <v>220</v>
      </c>
      <c r="P660">
        <v>3</v>
      </c>
      <c r="Q660" t="s">
        <v>2226</v>
      </c>
      <c r="R660" t="s">
        <v>92</v>
      </c>
    </row>
    <row r="661" spans="1:18" x14ac:dyDescent="0.3">
      <c r="A661" t="s">
        <v>2227</v>
      </c>
      <c r="B661" t="s">
        <v>2228</v>
      </c>
      <c r="C661" t="s">
        <v>461</v>
      </c>
      <c r="D661" t="s">
        <v>155</v>
      </c>
      <c r="E661" t="s">
        <v>156</v>
      </c>
      <c r="F661" t="s">
        <v>531</v>
      </c>
      <c r="G661" t="s">
        <v>2153</v>
      </c>
      <c r="H661">
        <v>2363.0100000000002</v>
      </c>
      <c r="I661">
        <v>5</v>
      </c>
      <c r="J661" t="s">
        <v>230</v>
      </c>
      <c r="K661" t="s">
        <v>965</v>
      </c>
      <c r="L661" t="s">
        <v>92</v>
      </c>
      <c r="M661" t="s">
        <v>219</v>
      </c>
      <c r="N661" s="19">
        <v>46262</v>
      </c>
      <c r="O661" t="s">
        <v>220</v>
      </c>
      <c r="P661">
        <v>4</v>
      </c>
      <c r="Q661" t="s">
        <v>2229</v>
      </c>
      <c r="R661" t="s">
        <v>92</v>
      </c>
    </row>
    <row r="662" spans="1:18" x14ac:dyDescent="0.3">
      <c r="A662" t="s">
        <v>2230</v>
      </c>
      <c r="B662" t="s">
        <v>2231</v>
      </c>
      <c r="C662" t="s">
        <v>461</v>
      </c>
      <c r="D662" t="s">
        <v>155</v>
      </c>
      <c r="E662" t="s">
        <v>156</v>
      </c>
      <c r="F662" t="s">
        <v>531</v>
      </c>
      <c r="G662" t="s">
        <v>2153</v>
      </c>
      <c r="H662">
        <v>3833.32</v>
      </c>
      <c r="I662">
        <v>5</v>
      </c>
      <c r="J662" t="s">
        <v>230</v>
      </c>
      <c r="K662" t="s">
        <v>965</v>
      </c>
      <c r="L662" t="s">
        <v>92</v>
      </c>
      <c r="M662" t="s">
        <v>219</v>
      </c>
      <c r="N662" s="19">
        <v>46262</v>
      </c>
      <c r="O662" t="s">
        <v>220</v>
      </c>
      <c r="P662">
        <v>1</v>
      </c>
      <c r="Q662" t="s">
        <v>2232</v>
      </c>
    </row>
    <row r="663" spans="1:18" x14ac:dyDescent="0.3">
      <c r="A663" t="s">
        <v>2233</v>
      </c>
      <c r="B663" t="s">
        <v>2234</v>
      </c>
      <c r="C663" t="s">
        <v>461</v>
      </c>
      <c r="D663" t="s">
        <v>155</v>
      </c>
      <c r="E663" t="s">
        <v>156</v>
      </c>
      <c r="F663" t="s">
        <v>531</v>
      </c>
      <c r="G663" t="s">
        <v>2153</v>
      </c>
      <c r="H663">
        <v>10659.78</v>
      </c>
      <c r="I663">
        <v>5</v>
      </c>
      <c r="J663" t="s">
        <v>230</v>
      </c>
      <c r="K663" t="s">
        <v>965</v>
      </c>
      <c r="L663" t="s">
        <v>92</v>
      </c>
      <c r="M663" t="s">
        <v>219</v>
      </c>
      <c r="N663" s="19">
        <v>46262</v>
      </c>
      <c r="O663" t="s">
        <v>220</v>
      </c>
      <c r="P663">
        <v>1</v>
      </c>
      <c r="Q663" t="s">
        <v>2235</v>
      </c>
    </row>
    <row r="664" spans="1:18" x14ac:dyDescent="0.3">
      <c r="A664" t="s">
        <v>2236</v>
      </c>
      <c r="B664" t="s">
        <v>2237</v>
      </c>
      <c r="C664" t="s">
        <v>461</v>
      </c>
      <c r="D664" t="s">
        <v>155</v>
      </c>
      <c r="E664" t="s">
        <v>156</v>
      </c>
      <c r="F664" t="s">
        <v>531</v>
      </c>
      <c r="G664" t="s">
        <v>2153</v>
      </c>
      <c r="H664">
        <v>16908.63</v>
      </c>
      <c r="I664">
        <v>5</v>
      </c>
      <c r="J664" t="s">
        <v>230</v>
      </c>
      <c r="K664" t="s">
        <v>965</v>
      </c>
      <c r="L664" t="s">
        <v>92</v>
      </c>
      <c r="M664" t="s">
        <v>219</v>
      </c>
      <c r="N664" s="19">
        <v>46262</v>
      </c>
      <c r="O664" t="s">
        <v>220</v>
      </c>
      <c r="P664">
        <v>1</v>
      </c>
      <c r="Q664" t="s">
        <v>2238</v>
      </c>
    </row>
    <row r="665" spans="1:18" x14ac:dyDescent="0.3">
      <c r="A665" t="s">
        <v>2239</v>
      </c>
      <c r="B665" t="s">
        <v>2192</v>
      </c>
      <c r="C665" t="s">
        <v>461</v>
      </c>
      <c r="D665" t="s">
        <v>155</v>
      </c>
      <c r="E665" t="s">
        <v>156</v>
      </c>
      <c r="F665" t="s">
        <v>531</v>
      </c>
      <c r="G665" t="s">
        <v>2193</v>
      </c>
      <c r="H665">
        <v>287.10000000000002</v>
      </c>
      <c r="I665">
        <v>5</v>
      </c>
      <c r="J665" t="s">
        <v>230</v>
      </c>
      <c r="K665" t="s">
        <v>965</v>
      </c>
      <c r="L665" t="s">
        <v>92</v>
      </c>
      <c r="M665" t="s">
        <v>219</v>
      </c>
      <c r="N665" s="19">
        <v>46262</v>
      </c>
      <c r="O665" t="s">
        <v>220</v>
      </c>
      <c r="P665">
        <v>20</v>
      </c>
      <c r="Q665" t="s">
        <v>2240</v>
      </c>
      <c r="R665" t="s">
        <v>92</v>
      </c>
    </row>
    <row r="666" spans="1:18" x14ac:dyDescent="0.3">
      <c r="A666" t="s">
        <v>2241</v>
      </c>
      <c r="B666" t="s">
        <v>2192</v>
      </c>
      <c r="C666" t="s">
        <v>461</v>
      </c>
      <c r="D666" t="s">
        <v>155</v>
      </c>
      <c r="E666" t="s">
        <v>156</v>
      </c>
      <c r="F666" t="s">
        <v>531</v>
      </c>
      <c r="G666" t="s">
        <v>2193</v>
      </c>
      <c r="H666">
        <v>438.48</v>
      </c>
      <c r="I666">
        <v>5</v>
      </c>
      <c r="J666" t="s">
        <v>230</v>
      </c>
      <c r="K666" t="s">
        <v>965</v>
      </c>
      <c r="L666" t="s">
        <v>92</v>
      </c>
      <c r="M666" t="s">
        <v>219</v>
      </c>
      <c r="N666" s="19">
        <v>46262</v>
      </c>
      <c r="O666" t="s">
        <v>220</v>
      </c>
      <c r="P666">
        <v>8</v>
      </c>
      <c r="Q666" t="s">
        <v>2242</v>
      </c>
      <c r="R666" t="s">
        <v>92</v>
      </c>
    </row>
    <row r="667" spans="1:18" x14ac:dyDescent="0.3">
      <c r="A667" t="s">
        <v>2243</v>
      </c>
      <c r="B667" t="s">
        <v>2192</v>
      </c>
      <c r="C667" t="s">
        <v>461</v>
      </c>
      <c r="D667" t="s">
        <v>155</v>
      </c>
      <c r="E667" t="s">
        <v>156</v>
      </c>
      <c r="F667" t="s">
        <v>531</v>
      </c>
      <c r="G667" t="s">
        <v>2193</v>
      </c>
      <c r="H667">
        <v>449.79</v>
      </c>
      <c r="I667">
        <v>5</v>
      </c>
      <c r="J667" t="s">
        <v>230</v>
      </c>
      <c r="K667" t="s">
        <v>965</v>
      </c>
      <c r="L667" t="s">
        <v>92</v>
      </c>
      <c r="M667" t="s">
        <v>219</v>
      </c>
      <c r="N667" s="19">
        <v>46262</v>
      </c>
      <c r="O667" t="s">
        <v>220</v>
      </c>
      <c r="P667">
        <v>2</v>
      </c>
      <c r="Q667" t="s">
        <v>2244</v>
      </c>
      <c r="R667" t="s">
        <v>92</v>
      </c>
    </row>
    <row r="668" spans="1:18" x14ac:dyDescent="0.3">
      <c r="A668" t="s">
        <v>2245</v>
      </c>
      <c r="B668" t="s">
        <v>2192</v>
      </c>
      <c r="C668" t="s">
        <v>461</v>
      </c>
      <c r="D668" t="s">
        <v>155</v>
      </c>
      <c r="E668" t="s">
        <v>156</v>
      </c>
      <c r="F668" t="s">
        <v>531</v>
      </c>
      <c r="G668" t="s">
        <v>2193</v>
      </c>
      <c r="H668">
        <v>577.62</v>
      </c>
      <c r="I668">
        <v>5</v>
      </c>
      <c r="J668" t="s">
        <v>230</v>
      </c>
      <c r="K668" t="s">
        <v>965</v>
      </c>
      <c r="L668" t="s">
        <v>92</v>
      </c>
      <c r="M668" t="s">
        <v>219</v>
      </c>
      <c r="N668" s="19">
        <v>46262</v>
      </c>
      <c r="O668" t="s">
        <v>220</v>
      </c>
      <c r="P668">
        <v>59</v>
      </c>
      <c r="Q668" t="s">
        <v>2246</v>
      </c>
      <c r="R668" t="s">
        <v>92</v>
      </c>
    </row>
    <row r="669" spans="1:18" x14ac:dyDescent="0.3">
      <c r="A669" t="s">
        <v>2247</v>
      </c>
      <c r="B669" t="s">
        <v>2192</v>
      </c>
      <c r="C669" t="s">
        <v>461</v>
      </c>
      <c r="D669" t="s">
        <v>155</v>
      </c>
      <c r="E669" t="s">
        <v>156</v>
      </c>
      <c r="F669" t="s">
        <v>531</v>
      </c>
      <c r="G669" t="s">
        <v>2193</v>
      </c>
      <c r="H669">
        <v>636.41</v>
      </c>
      <c r="I669">
        <v>5</v>
      </c>
      <c r="J669" t="s">
        <v>230</v>
      </c>
      <c r="K669" t="s">
        <v>965</v>
      </c>
      <c r="L669" t="s">
        <v>92</v>
      </c>
      <c r="M669" t="s">
        <v>219</v>
      </c>
      <c r="N669" s="19">
        <v>46262</v>
      </c>
      <c r="O669" t="s">
        <v>220</v>
      </c>
      <c r="P669">
        <v>29</v>
      </c>
      <c r="Q669" t="s">
        <v>2248</v>
      </c>
      <c r="R669" t="s">
        <v>92</v>
      </c>
    </row>
    <row r="670" spans="1:18" x14ac:dyDescent="0.3">
      <c r="A670" t="s">
        <v>2249</v>
      </c>
      <c r="B670" t="s">
        <v>2192</v>
      </c>
      <c r="C670" t="s">
        <v>461</v>
      </c>
      <c r="D670" t="s">
        <v>155</v>
      </c>
      <c r="E670" t="s">
        <v>156</v>
      </c>
      <c r="F670" t="s">
        <v>531</v>
      </c>
      <c r="G670" t="s">
        <v>2193</v>
      </c>
      <c r="H670">
        <v>787.67</v>
      </c>
      <c r="I670">
        <v>5</v>
      </c>
      <c r="J670" t="s">
        <v>230</v>
      </c>
      <c r="K670" t="s">
        <v>965</v>
      </c>
      <c r="L670" t="s">
        <v>92</v>
      </c>
      <c r="M670" t="s">
        <v>219</v>
      </c>
      <c r="N670" s="19">
        <v>46262</v>
      </c>
      <c r="O670" t="s">
        <v>220</v>
      </c>
      <c r="P670">
        <v>6</v>
      </c>
      <c r="Q670" t="s">
        <v>2250</v>
      </c>
      <c r="R670" t="s">
        <v>92</v>
      </c>
    </row>
    <row r="671" spans="1:18" x14ac:dyDescent="0.3">
      <c r="A671" t="s">
        <v>2251</v>
      </c>
      <c r="B671" t="s">
        <v>2192</v>
      </c>
      <c r="C671" t="s">
        <v>461</v>
      </c>
      <c r="D671" t="s">
        <v>155</v>
      </c>
      <c r="E671" t="s">
        <v>156</v>
      </c>
      <c r="F671" t="s">
        <v>531</v>
      </c>
      <c r="G671" t="s">
        <v>2193</v>
      </c>
      <c r="H671">
        <v>746.46</v>
      </c>
      <c r="I671">
        <v>5</v>
      </c>
      <c r="J671" t="s">
        <v>230</v>
      </c>
      <c r="K671" t="s">
        <v>965</v>
      </c>
      <c r="L671" t="s">
        <v>92</v>
      </c>
      <c r="M671" t="s">
        <v>219</v>
      </c>
      <c r="N671" s="19">
        <v>46262</v>
      </c>
      <c r="O671" t="s">
        <v>220</v>
      </c>
      <c r="P671">
        <v>12</v>
      </c>
      <c r="Q671" t="s">
        <v>2252</v>
      </c>
      <c r="R671" t="s">
        <v>92</v>
      </c>
    </row>
    <row r="672" spans="1:18" x14ac:dyDescent="0.3">
      <c r="A672" t="s">
        <v>2253</v>
      </c>
      <c r="B672" t="s">
        <v>2192</v>
      </c>
      <c r="C672" t="s">
        <v>461</v>
      </c>
      <c r="D672" t="s">
        <v>155</v>
      </c>
      <c r="E672" t="s">
        <v>156</v>
      </c>
      <c r="F672" t="s">
        <v>531</v>
      </c>
      <c r="G672" t="s">
        <v>2193</v>
      </c>
      <c r="H672">
        <v>791.7</v>
      </c>
      <c r="I672">
        <v>5</v>
      </c>
      <c r="J672" t="s">
        <v>230</v>
      </c>
      <c r="K672" t="s">
        <v>965</v>
      </c>
      <c r="L672" t="s">
        <v>92</v>
      </c>
      <c r="M672" t="s">
        <v>219</v>
      </c>
      <c r="N672" s="19">
        <v>46262</v>
      </c>
      <c r="O672" t="s">
        <v>220</v>
      </c>
      <c r="P672">
        <v>4</v>
      </c>
      <c r="Q672" t="s">
        <v>2254</v>
      </c>
      <c r="R672" t="s">
        <v>92</v>
      </c>
    </row>
    <row r="673" spans="1:18" x14ac:dyDescent="0.3">
      <c r="A673" t="s">
        <v>2255</v>
      </c>
      <c r="B673" t="s">
        <v>2192</v>
      </c>
      <c r="C673" t="s">
        <v>461</v>
      </c>
      <c r="D673" t="s">
        <v>155</v>
      </c>
      <c r="E673" t="s">
        <v>156</v>
      </c>
      <c r="F673" t="s">
        <v>531</v>
      </c>
      <c r="G673" t="s">
        <v>2193</v>
      </c>
      <c r="H673">
        <v>945.21</v>
      </c>
      <c r="I673">
        <v>5</v>
      </c>
      <c r="J673" t="s">
        <v>230</v>
      </c>
      <c r="K673" t="s">
        <v>965</v>
      </c>
      <c r="L673" t="s">
        <v>92</v>
      </c>
      <c r="M673" t="s">
        <v>219</v>
      </c>
      <c r="N673" s="19">
        <v>46262</v>
      </c>
      <c r="O673" t="s">
        <v>220</v>
      </c>
      <c r="P673">
        <v>4</v>
      </c>
      <c r="Q673" t="s">
        <v>2256</v>
      </c>
      <c r="R673" t="s">
        <v>92</v>
      </c>
    </row>
    <row r="674" spans="1:18" x14ac:dyDescent="0.3">
      <c r="A674" t="s">
        <v>2257</v>
      </c>
      <c r="B674" t="s">
        <v>2192</v>
      </c>
      <c r="C674" t="s">
        <v>461</v>
      </c>
      <c r="D674" t="s">
        <v>155</v>
      </c>
      <c r="E674" t="s">
        <v>156</v>
      </c>
      <c r="F674" t="s">
        <v>531</v>
      </c>
      <c r="G674" t="s">
        <v>2193</v>
      </c>
      <c r="H674">
        <v>997.71</v>
      </c>
      <c r="I674">
        <v>5</v>
      </c>
      <c r="J674" t="s">
        <v>230</v>
      </c>
      <c r="K674" t="s">
        <v>965</v>
      </c>
      <c r="L674" t="s">
        <v>92</v>
      </c>
      <c r="M674" t="s">
        <v>219</v>
      </c>
      <c r="N674" s="19">
        <v>46262</v>
      </c>
      <c r="O674" t="s">
        <v>220</v>
      </c>
      <c r="P674">
        <v>4</v>
      </c>
      <c r="Q674" t="s">
        <v>2258</v>
      </c>
      <c r="R674" t="s">
        <v>92</v>
      </c>
    </row>
    <row r="675" spans="1:18" x14ac:dyDescent="0.3">
      <c r="A675" t="s">
        <v>2259</v>
      </c>
      <c r="B675" t="s">
        <v>2192</v>
      </c>
      <c r="C675" t="s">
        <v>461</v>
      </c>
      <c r="D675" t="s">
        <v>155</v>
      </c>
      <c r="E675" t="s">
        <v>156</v>
      </c>
      <c r="F675" t="s">
        <v>531</v>
      </c>
      <c r="G675" t="s">
        <v>2193</v>
      </c>
      <c r="H675">
        <v>1260.27</v>
      </c>
      <c r="I675">
        <v>5</v>
      </c>
      <c r="J675" t="s">
        <v>230</v>
      </c>
      <c r="K675" t="s">
        <v>965</v>
      </c>
      <c r="L675" t="s">
        <v>92</v>
      </c>
      <c r="M675" t="s">
        <v>219</v>
      </c>
      <c r="N675" s="19">
        <v>46262</v>
      </c>
      <c r="O675" t="s">
        <v>220</v>
      </c>
      <c r="P675">
        <v>5</v>
      </c>
      <c r="Q675" t="s">
        <v>2260</v>
      </c>
      <c r="R675" t="s">
        <v>92</v>
      </c>
    </row>
    <row r="676" spans="1:18" x14ac:dyDescent="0.3">
      <c r="A676" t="s">
        <v>2261</v>
      </c>
      <c r="B676" t="s">
        <v>2192</v>
      </c>
      <c r="C676" t="s">
        <v>461</v>
      </c>
      <c r="D676" t="s">
        <v>155</v>
      </c>
      <c r="E676" t="s">
        <v>156</v>
      </c>
      <c r="F676" t="s">
        <v>531</v>
      </c>
      <c r="G676" t="s">
        <v>2193</v>
      </c>
      <c r="H676">
        <v>1540.16</v>
      </c>
      <c r="I676">
        <v>5</v>
      </c>
      <c r="J676" t="s">
        <v>230</v>
      </c>
      <c r="K676" t="s">
        <v>965</v>
      </c>
      <c r="L676" t="s">
        <v>92</v>
      </c>
      <c r="M676" t="s">
        <v>219</v>
      </c>
      <c r="N676" s="19">
        <v>46262</v>
      </c>
      <c r="O676" t="s">
        <v>220</v>
      </c>
      <c r="P676">
        <v>2</v>
      </c>
      <c r="Q676" t="s">
        <v>2262</v>
      </c>
      <c r="R676" t="s">
        <v>92</v>
      </c>
    </row>
    <row r="677" spans="1:18" x14ac:dyDescent="0.3">
      <c r="A677" t="s">
        <v>2263</v>
      </c>
      <c r="B677" t="s">
        <v>2192</v>
      </c>
      <c r="C677" t="s">
        <v>461</v>
      </c>
      <c r="D677" t="s">
        <v>155</v>
      </c>
      <c r="E677" t="s">
        <v>156</v>
      </c>
      <c r="F677" t="s">
        <v>531</v>
      </c>
      <c r="G677" t="s">
        <v>2193</v>
      </c>
      <c r="H677">
        <v>984.84</v>
      </c>
      <c r="I677">
        <v>5</v>
      </c>
      <c r="J677" t="s">
        <v>230</v>
      </c>
      <c r="K677" t="s">
        <v>965</v>
      </c>
      <c r="L677" t="s">
        <v>92</v>
      </c>
      <c r="M677" t="s">
        <v>219</v>
      </c>
      <c r="N677" s="19">
        <v>46262</v>
      </c>
      <c r="O677" t="s">
        <v>220</v>
      </c>
      <c r="P677">
        <v>2</v>
      </c>
      <c r="Q677" t="s">
        <v>2264</v>
      </c>
      <c r="R677" t="s">
        <v>92</v>
      </c>
    </row>
    <row r="678" spans="1:18" x14ac:dyDescent="0.3">
      <c r="A678" t="s">
        <v>2265</v>
      </c>
      <c r="B678" t="s">
        <v>2192</v>
      </c>
      <c r="C678" t="s">
        <v>461</v>
      </c>
      <c r="D678" t="s">
        <v>155</v>
      </c>
      <c r="E678" t="s">
        <v>156</v>
      </c>
      <c r="F678" t="s">
        <v>531</v>
      </c>
      <c r="G678" t="s">
        <v>2193</v>
      </c>
      <c r="H678">
        <v>1245.3800000000001</v>
      </c>
      <c r="I678">
        <v>5</v>
      </c>
      <c r="J678" t="s">
        <v>230</v>
      </c>
      <c r="K678" t="s">
        <v>965</v>
      </c>
      <c r="L678" t="s">
        <v>92</v>
      </c>
      <c r="M678" t="s">
        <v>219</v>
      </c>
      <c r="N678" s="19">
        <v>46262</v>
      </c>
      <c r="O678" t="s">
        <v>220</v>
      </c>
      <c r="P678">
        <v>3</v>
      </c>
      <c r="Q678" t="s">
        <v>2266</v>
      </c>
      <c r="R678" t="s">
        <v>92</v>
      </c>
    </row>
    <row r="679" spans="1:18" x14ac:dyDescent="0.3">
      <c r="A679" t="s">
        <v>2267</v>
      </c>
      <c r="B679" t="s">
        <v>2192</v>
      </c>
      <c r="C679" t="s">
        <v>461</v>
      </c>
      <c r="D679" t="s">
        <v>155</v>
      </c>
      <c r="E679" t="s">
        <v>156</v>
      </c>
      <c r="F679" t="s">
        <v>531</v>
      </c>
      <c r="G679" t="s">
        <v>2193</v>
      </c>
      <c r="H679">
        <v>1087.83</v>
      </c>
      <c r="I679">
        <v>5</v>
      </c>
      <c r="J679" t="s">
        <v>230</v>
      </c>
      <c r="K679" t="s">
        <v>965</v>
      </c>
      <c r="L679" t="s">
        <v>92</v>
      </c>
      <c r="M679" t="s">
        <v>219</v>
      </c>
      <c r="N679" s="19">
        <v>46262</v>
      </c>
      <c r="O679" t="s">
        <v>220</v>
      </c>
      <c r="P679">
        <v>2</v>
      </c>
      <c r="Q679" t="s">
        <v>2268</v>
      </c>
      <c r="R679" t="s">
        <v>92</v>
      </c>
    </row>
    <row r="680" spans="1:18" x14ac:dyDescent="0.3">
      <c r="A680" t="s">
        <v>2269</v>
      </c>
      <c r="B680" t="s">
        <v>2192</v>
      </c>
      <c r="C680" t="s">
        <v>461</v>
      </c>
      <c r="D680" t="s">
        <v>155</v>
      </c>
      <c r="E680" t="s">
        <v>156</v>
      </c>
      <c r="F680" t="s">
        <v>531</v>
      </c>
      <c r="G680" t="s">
        <v>2193</v>
      </c>
      <c r="H680">
        <v>1420.16</v>
      </c>
      <c r="I680">
        <v>5</v>
      </c>
      <c r="J680" t="s">
        <v>230</v>
      </c>
      <c r="K680" t="s">
        <v>965</v>
      </c>
      <c r="L680" t="s">
        <v>92</v>
      </c>
      <c r="M680" t="s">
        <v>219</v>
      </c>
      <c r="N680" s="19">
        <v>46262</v>
      </c>
      <c r="O680" t="s">
        <v>220</v>
      </c>
      <c r="P680">
        <v>2</v>
      </c>
      <c r="Q680" t="s">
        <v>2270</v>
      </c>
      <c r="R680" t="s">
        <v>92</v>
      </c>
    </row>
    <row r="681" spans="1:18" x14ac:dyDescent="0.3">
      <c r="A681" t="s">
        <v>2271</v>
      </c>
      <c r="B681" t="s">
        <v>2192</v>
      </c>
      <c r="C681" t="s">
        <v>461</v>
      </c>
      <c r="D681" t="s">
        <v>155</v>
      </c>
      <c r="E681" t="s">
        <v>156</v>
      </c>
      <c r="F681" t="s">
        <v>531</v>
      </c>
      <c r="G681" t="s">
        <v>2193</v>
      </c>
      <c r="H681">
        <v>1680.36</v>
      </c>
      <c r="I681">
        <v>5</v>
      </c>
      <c r="J681" t="s">
        <v>230</v>
      </c>
      <c r="K681" t="s">
        <v>965</v>
      </c>
      <c r="L681" t="s">
        <v>92</v>
      </c>
      <c r="M681" t="s">
        <v>219</v>
      </c>
      <c r="N681" s="19">
        <v>46262</v>
      </c>
      <c r="O681" t="s">
        <v>220</v>
      </c>
      <c r="P681">
        <v>2</v>
      </c>
      <c r="Q681" t="s">
        <v>2272</v>
      </c>
      <c r="R681" t="s">
        <v>92</v>
      </c>
    </row>
    <row r="682" spans="1:18" x14ac:dyDescent="0.3">
      <c r="A682" t="s">
        <v>2273</v>
      </c>
      <c r="B682" t="s">
        <v>2274</v>
      </c>
      <c r="C682" t="s">
        <v>461</v>
      </c>
      <c r="D682" t="s">
        <v>155</v>
      </c>
      <c r="E682" t="s">
        <v>156</v>
      </c>
      <c r="F682" t="s">
        <v>531</v>
      </c>
      <c r="G682" t="s">
        <v>2193</v>
      </c>
      <c r="H682">
        <v>2240.63</v>
      </c>
      <c r="I682">
        <v>5</v>
      </c>
      <c r="J682" t="s">
        <v>230</v>
      </c>
      <c r="K682" t="s">
        <v>965</v>
      </c>
      <c r="L682" t="s">
        <v>92</v>
      </c>
      <c r="M682" t="s">
        <v>219</v>
      </c>
      <c r="N682" s="19">
        <v>46262</v>
      </c>
      <c r="O682" t="s">
        <v>220</v>
      </c>
      <c r="P682">
        <v>1</v>
      </c>
      <c r="Q682" t="s">
        <v>2275</v>
      </c>
    </row>
    <row r="683" spans="1:18" x14ac:dyDescent="0.3">
      <c r="A683" t="s">
        <v>2276</v>
      </c>
      <c r="B683" t="s">
        <v>2277</v>
      </c>
      <c r="C683" t="s">
        <v>461</v>
      </c>
      <c r="D683" t="s">
        <v>155</v>
      </c>
      <c r="E683" t="s">
        <v>156</v>
      </c>
      <c r="F683" t="s">
        <v>531</v>
      </c>
      <c r="G683" t="s">
        <v>2193</v>
      </c>
      <c r="H683">
        <v>2110.63</v>
      </c>
      <c r="I683">
        <v>5</v>
      </c>
      <c r="J683" t="s">
        <v>230</v>
      </c>
      <c r="K683" t="s">
        <v>965</v>
      </c>
      <c r="L683" t="s">
        <v>92</v>
      </c>
      <c r="M683" t="s">
        <v>219</v>
      </c>
      <c r="N683" s="19">
        <v>46262</v>
      </c>
      <c r="O683" t="s">
        <v>220</v>
      </c>
      <c r="P683">
        <v>1</v>
      </c>
      <c r="Q683" t="s">
        <v>2278</v>
      </c>
    </row>
    <row r="684" spans="1:18" x14ac:dyDescent="0.3">
      <c r="A684" t="s">
        <v>2279</v>
      </c>
      <c r="B684" t="s">
        <v>2280</v>
      </c>
      <c r="C684" t="s">
        <v>461</v>
      </c>
      <c r="D684" t="s">
        <v>155</v>
      </c>
      <c r="E684" t="s">
        <v>156</v>
      </c>
      <c r="F684" t="s">
        <v>531</v>
      </c>
      <c r="G684" t="s">
        <v>2193</v>
      </c>
      <c r="H684">
        <v>1940.63</v>
      </c>
      <c r="I684">
        <v>5</v>
      </c>
      <c r="J684" t="s">
        <v>230</v>
      </c>
      <c r="K684" t="s">
        <v>965</v>
      </c>
      <c r="L684" t="s">
        <v>92</v>
      </c>
      <c r="M684" t="s">
        <v>219</v>
      </c>
      <c r="N684" s="19">
        <v>46262</v>
      </c>
      <c r="O684" t="s">
        <v>220</v>
      </c>
      <c r="P684">
        <v>1</v>
      </c>
      <c r="Q684" t="s">
        <v>2281</v>
      </c>
    </row>
    <row r="685" spans="1:18" x14ac:dyDescent="0.3">
      <c r="A685" t="s">
        <v>2282</v>
      </c>
      <c r="B685" t="s">
        <v>2283</v>
      </c>
      <c r="C685" t="s">
        <v>461</v>
      </c>
      <c r="D685" t="s">
        <v>155</v>
      </c>
      <c r="E685" t="s">
        <v>156</v>
      </c>
      <c r="F685" t="s">
        <v>531</v>
      </c>
      <c r="G685" t="s">
        <v>2193</v>
      </c>
      <c r="H685">
        <v>2780.81</v>
      </c>
      <c r="I685">
        <v>5</v>
      </c>
      <c r="J685" t="s">
        <v>230</v>
      </c>
      <c r="K685" t="s">
        <v>965</v>
      </c>
      <c r="L685" t="s">
        <v>92</v>
      </c>
      <c r="M685" t="s">
        <v>219</v>
      </c>
      <c r="N685" s="19">
        <v>46262</v>
      </c>
      <c r="O685" t="s">
        <v>220</v>
      </c>
      <c r="P685">
        <v>1</v>
      </c>
      <c r="Q685" t="s">
        <v>2284</v>
      </c>
    </row>
    <row r="686" spans="1:18" x14ac:dyDescent="0.3">
      <c r="A686" t="s">
        <v>2285</v>
      </c>
      <c r="B686" t="s">
        <v>2286</v>
      </c>
      <c r="C686" t="s">
        <v>461</v>
      </c>
      <c r="D686" t="s">
        <v>155</v>
      </c>
      <c r="E686" t="s">
        <v>156</v>
      </c>
      <c r="F686" t="s">
        <v>531</v>
      </c>
      <c r="G686" t="s">
        <v>2193</v>
      </c>
      <c r="H686">
        <v>2468.0300000000002</v>
      </c>
      <c r="I686">
        <v>5</v>
      </c>
      <c r="J686" t="s">
        <v>230</v>
      </c>
      <c r="K686" t="s">
        <v>965</v>
      </c>
      <c r="L686" t="s">
        <v>92</v>
      </c>
      <c r="M686" t="s">
        <v>219</v>
      </c>
      <c r="N686" s="19">
        <v>46262</v>
      </c>
      <c r="O686" t="s">
        <v>220</v>
      </c>
      <c r="P686">
        <v>1</v>
      </c>
      <c r="Q686" t="s">
        <v>2287</v>
      </c>
    </row>
    <row r="687" spans="1:18" x14ac:dyDescent="0.3">
      <c r="A687" t="s">
        <v>2288</v>
      </c>
      <c r="B687" t="s">
        <v>2289</v>
      </c>
      <c r="C687" t="s">
        <v>461</v>
      </c>
      <c r="D687" t="s">
        <v>155</v>
      </c>
      <c r="E687" t="s">
        <v>156</v>
      </c>
      <c r="F687" t="s">
        <v>531</v>
      </c>
      <c r="G687" t="s">
        <v>2193</v>
      </c>
      <c r="H687">
        <v>3043.37</v>
      </c>
      <c r="I687">
        <v>5</v>
      </c>
      <c r="J687" t="s">
        <v>230</v>
      </c>
      <c r="K687" t="s">
        <v>965</v>
      </c>
      <c r="L687" t="s">
        <v>92</v>
      </c>
      <c r="M687" t="s">
        <v>219</v>
      </c>
      <c r="N687" s="19">
        <v>46262</v>
      </c>
      <c r="O687" t="s">
        <v>220</v>
      </c>
      <c r="P687">
        <v>1</v>
      </c>
      <c r="Q687" t="s">
        <v>2290</v>
      </c>
    </row>
    <row r="688" spans="1:18" x14ac:dyDescent="0.3">
      <c r="A688" t="s">
        <v>2291</v>
      </c>
      <c r="B688" t="s">
        <v>2292</v>
      </c>
      <c r="C688" t="s">
        <v>461</v>
      </c>
      <c r="D688" t="s">
        <v>155</v>
      </c>
      <c r="E688" t="s">
        <v>156</v>
      </c>
      <c r="F688" t="s">
        <v>531</v>
      </c>
      <c r="G688" t="s">
        <v>2193</v>
      </c>
      <c r="H688">
        <v>3568.48</v>
      </c>
      <c r="I688">
        <v>5</v>
      </c>
      <c r="J688" t="s">
        <v>230</v>
      </c>
      <c r="K688" t="s">
        <v>965</v>
      </c>
      <c r="L688" t="s">
        <v>92</v>
      </c>
      <c r="M688" t="s">
        <v>219</v>
      </c>
      <c r="N688" s="19">
        <v>46262</v>
      </c>
      <c r="O688" t="s">
        <v>220</v>
      </c>
      <c r="P688">
        <v>1</v>
      </c>
      <c r="Q688" t="s">
        <v>2293</v>
      </c>
    </row>
    <row r="689" spans="1:18" x14ac:dyDescent="0.3">
      <c r="A689" t="s">
        <v>2294</v>
      </c>
      <c r="B689" t="s">
        <v>2295</v>
      </c>
      <c r="C689" t="s">
        <v>461</v>
      </c>
      <c r="D689" t="s">
        <v>155</v>
      </c>
      <c r="E689" t="s">
        <v>156</v>
      </c>
      <c r="F689" t="s">
        <v>531</v>
      </c>
      <c r="G689" t="s">
        <v>2193</v>
      </c>
      <c r="H689">
        <v>3988.57</v>
      </c>
      <c r="I689">
        <v>5</v>
      </c>
      <c r="J689" t="s">
        <v>230</v>
      </c>
      <c r="K689" t="s">
        <v>965</v>
      </c>
      <c r="L689" t="s">
        <v>92</v>
      </c>
      <c r="M689" t="s">
        <v>219</v>
      </c>
      <c r="N689" s="19">
        <v>46262</v>
      </c>
      <c r="O689" t="s">
        <v>220</v>
      </c>
      <c r="P689">
        <v>1</v>
      </c>
      <c r="Q689" t="s">
        <v>2296</v>
      </c>
    </row>
    <row r="690" spans="1:18" x14ac:dyDescent="0.3">
      <c r="A690" t="s">
        <v>2297</v>
      </c>
      <c r="B690" t="s">
        <v>2298</v>
      </c>
      <c r="C690" t="s">
        <v>461</v>
      </c>
      <c r="D690" t="s">
        <v>155</v>
      </c>
      <c r="E690" t="s">
        <v>156</v>
      </c>
      <c r="F690" t="s">
        <v>531</v>
      </c>
      <c r="H690">
        <v>420.09</v>
      </c>
      <c r="I690">
        <v>0</v>
      </c>
      <c r="J690" t="s">
        <v>230</v>
      </c>
      <c r="K690" t="s">
        <v>965</v>
      </c>
      <c r="L690" t="s">
        <v>218</v>
      </c>
      <c r="M690" t="s">
        <v>219</v>
      </c>
      <c r="N690" s="19">
        <v>46262</v>
      </c>
      <c r="O690" t="s">
        <v>220</v>
      </c>
      <c r="P690">
        <v>1</v>
      </c>
      <c r="Q690" t="s">
        <v>2299</v>
      </c>
    </row>
    <row r="691" spans="1:18" x14ac:dyDescent="0.3">
      <c r="A691" t="s">
        <v>2300</v>
      </c>
      <c r="B691" t="s">
        <v>2192</v>
      </c>
      <c r="C691" t="s">
        <v>461</v>
      </c>
      <c r="D691" t="s">
        <v>155</v>
      </c>
      <c r="E691" t="s">
        <v>156</v>
      </c>
      <c r="F691" t="s">
        <v>531</v>
      </c>
      <c r="G691" t="s">
        <v>2193</v>
      </c>
      <c r="H691">
        <v>922.83</v>
      </c>
      <c r="I691">
        <v>5</v>
      </c>
      <c r="J691" t="s">
        <v>230</v>
      </c>
      <c r="K691" t="s">
        <v>965</v>
      </c>
      <c r="L691" t="s">
        <v>92</v>
      </c>
      <c r="M691" t="s">
        <v>219</v>
      </c>
      <c r="N691" s="19">
        <v>46262</v>
      </c>
      <c r="O691" t="s">
        <v>220</v>
      </c>
      <c r="P691">
        <v>2</v>
      </c>
      <c r="Q691" t="s">
        <v>2301</v>
      </c>
      <c r="R691" t="s">
        <v>92</v>
      </c>
    </row>
    <row r="692" spans="1:18" x14ac:dyDescent="0.3">
      <c r="A692" t="s">
        <v>2302</v>
      </c>
      <c r="B692" t="s">
        <v>2303</v>
      </c>
      <c r="C692" t="s">
        <v>461</v>
      </c>
      <c r="D692" t="s">
        <v>155</v>
      </c>
      <c r="E692" t="s">
        <v>156</v>
      </c>
      <c r="F692" t="s">
        <v>531</v>
      </c>
      <c r="G692" t="s">
        <v>2193</v>
      </c>
      <c r="H692">
        <v>1673.5</v>
      </c>
      <c r="I692">
        <v>5</v>
      </c>
      <c r="J692" t="s">
        <v>230</v>
      </c>
      <c r="K692" t="s">
        <v>965</v>
      </c>
      <c r="L692" t="s">
        <v>92</v>
      </c>
      <c r="M692" t="s">
        <v>219</v>
      </c>
      <c r="N692" s="19">
        <v>46262</v>
      </c>
      <c r="O692" t="s">
        <v>220</v>
      </c>
      <c r="P692">
        <v>1</v>
      </c>
      <c r="Q692" t="s">
        <v>2304</v>
      </c>
    </row>
    <row r="693" spans="1:18" x14ac:dyDescent="0.3">
      <c r="A693" t="s">
        <v>2305</v>
      </c>
      <c r="B693" t="s">
        <v>2192</v>
      </c>
      <c r="C693" t="s">
        <v>461</v>
      </c>
      <c r="D693" t="s">
        <v>155</v>
      </c>
      <c r="E693" t="s">
        <v>156</v>
      </c>
      <c r="F693" t="s">
        <v>531</v>
      </c>
      <c r="G693" t="s">
        <v>2193</v>
      </c>
      <c r="H693">
        <v>2198.61</v>
      </c>
      <c r="I693">
        <v>5</v>
      </c>
      <c r="J693" t="s">
        <v>230</v>
      </c>
      <c r="K693" t="s">
        <v>965</v>
      </c>
      <c r="L693" t="s">
        <v>92</v>
      </c>
      <c r="M693" t="s">
        <v>219</v>
      </c>
      <c r="N693" s="19">
        <v>46262</v>
      </c>
      <c r="O693" t="s">
        <v>220</v>
      </c>
      <c r="P693">
        <v>2</v>
      </c>
      <c r="Q693" t="s">
        <v>2306</v>
      </c>
      <c r="R693" t="s">
        <v>92</v>
      </c>
    </row>
    <row r="694" spans="1:18" x14ac:dyDescent="0.3">
      <c r="A694" t="s">
        <v>2307</v>
      </c>
      <c r="B694" t="s">
        <v>2192</v>
      </c>
      <c r="C694" t="s">
        <v>461</v>
      </c>
      <c r="D694" t="s">
        <v>155</v>
      </c>
      <c r="E694" t="s">
        <v>156</v>
      </c>
      <c r="F694" t="s">
        <v>531</v>
      </c>
      <c r="G694" t="s">
        <v>2193</v>
      </c>
      <c r="H694">
        <v>2251.13</v>
      </c>
      <c r="I694">
        <v>5</v>
      </c>
      <c r="J694" t="s">
        <v>230</v>
      </c>
      <c r="K694" t="s">
        <v>965</v>
      </c>
      <c r="L694" t="s">
        <v>92</v>
      </c>
      <c r="M694" t="s">
        <v>219</v>
      </c>
      <c r="N694" s="19">
        <v>46262</v>
      </c>
      <c r="O694" t="s">
        <v>220</v>
      </c>
      <c r="P694">
        <v>2</v>
      </c>
      <c r="Q694" t="s">
        <v>2308</v>
      </c>
      <c r="R694" t="s">
        <v>92</v>
      </c>
    </row>
    <row r="695" spans="1:18" x14ac:dyDescent="0.3">
      <c r="A695" t="s">
        <v>2309</v>
      </c>
      <c r="B695" t="s">
        <v>2310</v>
      </c>
      <c r="C695" t="s">
        <v>461</v>
      </c>
      <c r="D695" t="s">
        <v>155</v>
      </c>
      <c r="E695" t="s">
        <v>156</v>
      </c>
      <c r="F695" t="s">
        <v>531</v>
      </c>
      <c r="G695" t="s">
        <v>2193</v>
      </c>
      <c r="H695">
        <v>2878.97</v>
      </c>
      <c r="I695">
        <v>5</v>
      </c>
      <c r="J695" t="s">
        <v>230</v>
      </c>
      <c r="K695" t="s">
        <v>965</v>
      </c>
      <c r="L695" t="s">
        <v>92</v>
      </c>
      <c r="M695" t="s">
        <v>219</v>
      </c>
      <c r="N695" s="19">
        <v>46262</v>
      </c>
      <c r="O695" t="s">
        <v>220</v>
      </c>
      <c r="P695">
        <v>1</v>
      </c>
      <c r="Q695" t="s">
        <v>2311</v>
      </c>
    </row>
    <row r="696" spans="1:18" x14ac:dyDescent="0.3">
      <c r="A696" t="s">
        <v>2312</v>
      </c>
      <c r="B696" t="s">
        <v>2313</v>
      </c>
      <c r="C696" t="s">
        <v>461</v>
      </c>
      <c r="D696" t="s">
        <v>155</v>
      </c>
      <c r="E696" t="s">
        <v>156</v>
      </c>
      <c r="F696" t="s">
        <v>531</v>
      </c>
      <c r="H696">
        <v>1155.25</v>
      </c>
      <c r="I696">
        <v>0</v>
      </c>
      <c r="J696" t="s">
        <v>230</v>
      </c>
      <c r="K696" t="s">
        <v>965</v>
      </c>
      <c r="L696" t="s">
        <v>218</v>
      </c>
      <c r="M696" t="s">
        <v>219</v>
      </c>
      <c r="N696" s="19">
        <v>46262</v>
      </c>
      <c r="O696" t="s">
        <v>220</v>
      </c>
      <c r="P696">
        <v>1</v>
      </c>
      <c r="Q696" t="s">
        <v>2314</v>
      </c>
    </row>
    <row r="697" spans="1:18" x14ac:dyDescent="0.3">
      <c r="A697" t="s">
        <v>2315</v>
      </c>
      <c r="B697" t="s">
        <v>2316</v>
      </c>
      <c r="C697" t="s">
        <v>461</v>
      </c>
      <c r="D697" t="s">
        <v>155</v>
      </c>
      <c r="E697" t="s">
        <v>156</v>
      </c>
      <c r="F697" t="s">
        <v>531</v>
      </c>
      <c r="H697">
        <v>1207.76</v>
      </c>
      <c r="I697">
        <v>0</v>
      </c>
      <c r="J697" t="s">
        <v>230</v>
      </c>
      <c r="K697" t="s">
        <v>965</v>
      </c>
      <c r="L697" t="s">
        <v>218</v>
      </c>
      <c r="M697" t="s">
        <v>219</v>
      </c>
      <c r="N697" s="19">
        <v>46262</v>
      </c>
      <c r="O697" t="s">
        <v>220</v>
      </c>
      <c r="P697">
        <v>1</v>
      </c>
      <c r="Q697" t="s">
        <v>2317</v>
      </c>
    </row>
    <row r="698" spans="1:18" x14ac:dyDescent="0.3">
      <c r="A698" t="s">
        <v>2318</v>
      </c>
      <c r="B698" t="s">
        <v>2319</v>
      </c>
      <c r="C698" t="s">
        <v>461</v>
      </c>
      <c r="D698" t="s">
        <v>155</v>
      </c>
      <c r="E698" t="s">
        <v>156</v>
      </c>
      <c r="F698" t="s">
        <v>531</v>
      </c>
      <c r="H698">
        <v>1837.89</v>
      </c>
      <c r="I698">
        <v>0</v>
      </c>
      <c r="J698" t="s">
        <v>230</v>
      </c>
      <c r="K698" t="s">
        <v>965</v>
      </c>
      <c r="L698" t="s">
        <v>218</v>
      </c>
      <c r="M698" t="s">
        <v>219</v>
      </c>
      <c r="N698" s="19">
        <v>46262</v>
      </c>
      <c r="O698" t="s">
        <v>220</v>
      </c>
      <c r="P698">
        <v>1</v>
      </c>
      <c r="Q698" t="s">
        <v>2320</v>
      </c>
    </row>
    <row r="699" spans="1:18" x14ac:dyDescent="0.3">
      <c r="A699" t="s">
        <v>2321</v>
      </c>
      <c r="B699" t="s">
        <v>2322</v>
      </c>
      <c r="C699" t="s">
        <v>461</v>
      </c>
      <c r="D699" t="s">
        <v>155</v>
      </c>
      <c r="E699" t="s">
        <v>156</v>
      </c>
      <c r="F699" t="s">
        <v>531</v>
      </c>
      <c r="H699">
        <v>1627.85</v>
      </c>
      <c r="I699">
        <v>0</v>
      </c>
      <c r="J699" t="s">
        <v>230</v>
      </c>
      <c r="K699" t="s">
        <v>965</v>
      </c>
      <c r="L699" t="s">
        <v>218</v>
      </c>
      <c r="M699" t="s">
        <v>219</v>
      </c>
      <c r="N699" s="19">
        <v>46262</v>
      </c>
      <c r="O699" t="s">
        <v>220</v>
      </c>
      <c r="P699">
        <v>1</v>
      </c>
      <c r="Q699" t="s">
        <v>2323</v>
      </c>
    </row>
    <row r="700" spans="1:18" x14ac:dyDescent="0.3">
      <c r="A700" t="s">
        <v>2324</v>
      </c>
      <c r="B700" t="s">
        <v>2325</v>
      </c>
      <c r="C700" t="s">
        <v>461</v>
      </c>
      <c r="D700" t="s">
        <v>155</v>
      </c>
      <c r="E700" t="s">
        <v>156</v>
      </c>
      <c r="F700" t="s">
        <v>531</v>
      </c>
      <c r="H700">
        <v>4883.55</v>
      </c>
      <c r="I700">
        <v>0</v>
      </c>
      <c r="J700" t="s">
        <v>230</v>
      </c>
      <c r="K700" t="s">
        <v>965</v>
      </c>
      <c r="L700" t="s">
        <v>218</v>
      </c>
      <c r="M700" t="s">
        <v>219</v>
      </c>
      <c r="N700" s="19">
        <v>46262</v>
      </c>
      <c r="O700" t="s">
        <v>220</v>
      </c>
      <c r="P700">
        <v>1</v>
      </c>
      <c r="Q700" t="s">
        <v>2326</v>
      </c>
    </row>
    <row r="701" spans="1:18" x14ac:dyDescent="0.3">
      <c r="A701" t="s">
        <v>2327</v>
      </c>
      <c r="B701" t="s">
        <v>2328</v>
      </c>
      <c r="C701" t="s">
        <v>461</v>
      </c>
      <c r="D701" t="s">
        <v>155</v>
      </c>
      <c r="E701" t="s">
        <v>156</v>
      </c>
      <c r="F701" t="s">
        <v>531</v>
      </c>
      <c r="H701">
        <v>3150.68</v>
      </c>
      <c r="I701">
        <v>0</v>
      </c>
      <c r="J701" t="s">
        <v>230</v>
      </c>
      <c r="K701" t="s">
        <v>965</v>
      </c>
      <c r="L701" t="s">
        <v>218</v>
      </c>
      <c r="M701" t="s">
        <v>219</v>
      </c>
      <c r="N701" s="19">
        <v>46262</v>
      </c>
      <c r="O701" t="s">
        <v>220</v>
      </c>
      <c r="P701">
        <v>1</v>
      </c>
      <c r="Q701" t="s">
        <v>2329</v>
      </c>
    </row>
    <row r="702" spans="1:18" x14ac:dyDescent="0.3">
      <c r="A702" t="s">
        <v>2330</v>
      </c>
      <c r="B702" t="s">
        <v>2331</v>
      </c>
      <c r="C702" t="s">
        <v>461</v>
      </c>
      <c r="D702" t="s">
        <v>155</v>
      </c>
      <c r="E702" t="s">
        <v>156</v>
      </c>
      <c r="F702" t="s">
        <v>531</v>
      </c>
      <c r="H702">
        <v>3518.25</v>
      </c>
      <c r="I702">
        <v>0</v>
      </c>
      <c r="J702" t="s">
        <v>230</v>
      </c>
      <c r="K702" t="s">
        <v>965</v>
      </c>
      <c r="L702" t="s">
        <v>218</v>
      </c>
      <c r="M702" t="s">
        <v>219</v>
      </c>
      <c r="N702" s="19">
        <v>46262</v>
      </c>
      <c r="O702" t="s">
        <v>220</v>
      </c>
      <c r="P702">
        <v>2</v>
      </c>
      <c r="Q702" t="s">
        <v>2332</v>
      </c>
      <c r="R702" t="s">
        <v>92</v>
      </c>
    </row>
    <row r="703" spans="1:18" x14ac:dyDescent="0.3">
      <c r="A703" t="s">
        <v>2333</v>
      </c>
      <c r="B703" t="s">
        <v>2334</v>
      </c>
      <c r="C703" t="s">
        <v>461</v>
      </c>
      <c r="D703" t="s">
        <v>155</v>
      </c>
      <c r="E703" t="s">
        <v>156</v>
      </c>
      <c r="F703" t="s">
        <v>531</v>
      </c>
      <c r="H703">
        <v>10134.67</v>
      </c>
      <c r="I703">
        <v>0</v>
      </c>
      <c r="J703" t="s">
        <v>230</v>
      </c>
      <c r="K703" t="s">
        <v>965</v>
      </c>
      <c r="L703" t="s">
        <v>218</v>
      </c>
      <c r="M703" t="s">
        <v>219</v>
      </c>
      <c r="N703" s="19">
        <v>46262</v>
      </c>
      <c r="O703" t="s">
        <v>220</v>
      </c>
      <c r="P703">
        <v>1</v>
      </c>
      <c r="Q703" t="s">
        <v>2335</v>
      </c>
    </row>
    <row r="704" spans="1:18" x14ac:dyDescent="0.3">
      <c r="A704" t="s">
        <v>2336</v>
      </c>
      <c r="B704" t="s">
        <v>2337</v>
      </c>
      <c r="C704" t="s">
        <v>461</v>
      </c>
      <c r="D704" t="s">
        <v>155</v>
      </c>
      <c r="E704" t="s">
        <v>156</v>
      </c>
      <c r="F704" t="s">
        <v>531</v>
      </c>
      <c r="H704">
        <v>3045.66</v>
      </c>
      <c r="I704">
        <v>0</v>
      </c>
      <c r="J704" t="s">
        <v>230</v>
      </c>
      <c r="K704" t="s">
        <v>965</v>
      </c>
      <c r="L704" t="s">
        <v>218</v>
      </c>
      <c r="M704" t="s">
        <v>219</v>
      </c>
      <c r="N704" s="19">
        <v>46262</v>
      </c>
      <c r="O704" t="s">
        <v>220</v>
      </c>
      <c r="P704">
        <v>1</v>
      </c>
      <c r="Q704" t="s">
        <v>2338</v>
      </c>
    </row>
    <row r="705" spans="1:18" x14ac:dyDescent="0.3">
      <c r="A705" t="s">
        <v>2339</v>
      </c>
      <c r="B705" t="s">
        <v>2340</v>
      </c>
      <c r="C705" t="s">
        <v>461</v>
      </c>
      <c r="D705" t="s">
        <v>155</v>
      </c>
      <c r="E705" t="s">
        <v>156</v>
      </c>
      <c r="F705" t="s">
        <v>531</v>
      </c>
      <c r="G705" t="s">
        <v>2193</v>
      </c>
      <c r="H705">
        <v>1470.32</v>
      </c>
      <c r="I705">
        <v>5</v>
      </c>
      <c r="J705" t="s">
        <v>230</v>
      </c>
      <c r="K705" t="s">
        <v>965</v>
      </c>
      <c r="L705" t="s">
        <v>92</v>
      </c>
      <c r="M705" t="s">
        <v>219</v>
      </c>
      <c r="N705" s="19">
        <v>46262</v>
      </c>
      <c r="O705" t="s">
        <v>220</v>
      </c>
      <c r="P705">
        <v>1</v>
      </c>
      <c r="Q705" t="s">
        <v>2341</v>
      </c>
    </row>
    <row r="706" spans="1:18" x14ac:dyDescent="0.3">
      <c r="A706" t="s">
        <v>2342</v>
      </c>
      <c r="B706" t="s">
        <v>2343</v>
      </c>
      <c r="C706" t="s">
        <v>461</v>
      </c>
      <c r="D706" t="s">
        <v>155</v>
      </c>
      <c r="E706" t="s">
        <v>156</v>
      </c>
      <c r="F706" t="s">
        <v>531</v>
      </c>
      <c r="G706" t="s">
        <v>2344</v>
      </c>
      <c r="H706">
        <v>1591.19</v>
      </c>
      <c r="I706">
        <v>5</v>
      </c>
      <c r="J706" t="s">
        <v>230</v>
      </c>
      <c r="K706" t="s">
        <v>965</v>
      </c>
      <c r="L706" t="s">
        <v>92</v>
      </c>
      <c r="M706" t="s">
        <v>219</v>
      </c>
      <c r="N706" s="19">
        <v>46262</v>
      </c>
      <c r="O706" t="s">
        <v>220</v>
      </c>
      <c r="P706">
        <v>28</v>
      </c>
      <c r="Q706" t="s">
        <v>2345</v>
      </c>
      <c r="R706" t="s">
        <v>92</v>
      </c>
    </row>
    <row r="707" spans="1:18" x14ac:dyDescent="0.3">
      <c r="A707" t="s">
        <v>2346</v>
      </c>
      <c r="B707" t="s">
        <v>2347</v>
      </c>
      <c r="C707" t="s">
        <v>461</v>
      </c>
      <c r="D707" t="s">
        <v>155</v>
      </c>
      <c r="E707" t="s">
        <v>156</v>
      </c>
      <c r="F707" t="s">
        <v>531</v>
      </c>
      <c r="G707" t="s">
        <v>2348</v>
      </c>
      <c r="H707">
        <v>1900.08</v>
      </c>
      <c r="I707">
        <v>5</v>
      </c>
      <c r="J707" t="s">
        <v>230</v>
      </c>
      <c r="K707" t="s">
        <v>965</v>
      </c>
      <c r="L707" t="s">
        <v>92</v>
      </c>
      <c r="M707" t="s">
        <v>219</v>
      </c>
      <c r="N707" s="19">
        <v>46262</v>
      </c>
      <c r="O707" t="s">
        <v>220</v>
      </c>
      <c r="P707">
        <v>1</v>
      </c>
      <c r="Q707" t="s">
        <v>2349</v>
      </c>
    </row>
    <row r="708" spans="1:18" x14ac:dyDescent="0.3">
      <c r="A708" t="s">
        <v>2350</v>
      </c>
      <c r="B708" t="s">
        <v>2351</v>
      </c>
      <c r="C708" t="s">
        <v>518</v>
      </c>
      <c r="D708" t="s">
        <v>155</v>
      </c>
      <c r="E708" t="s">
        <v>156</v>
      </c>
      <c r="F708" t="s">
        <v>531</v>
      </c>
      <c r="G708" t="s">
        <v>2352</v>
      </c>
      <c r="H708">
        <v>75.8</v>
      </c>
      <c r="I708">
        <v>5</v>
      </c>
      <c r="J708" t="s">
        <v>230</v>
      </c>
      <c r="K708" t="s">
        <v>887</v>
      </c>
      <c r="L708" t="s">
        <v>92</v>
      </c>
      <c r="M708" t="s">
        <v>219</v>
      </c>
      <c r="N708" s="19">
        <v>46262</v>
      </c>
      <c r="O708" t="s">
        <v>220</v>
      </c>
      <c r="P708">
        <v>7</v>
      </c>
      <c r="Q708" t="s">
        <v>2353</v>
      </c>
      <c r="R708" t="s">
        <v>92</v>
      </c>
    </row>
    <row r="709" spans="1:18" x14ac:dyDescent="0.3">
      <c r="A709" t="s">
        <v>2354</v>
      </c>
      <c r="B709" t="s">
        <v>2355</v>
      </c>
      <c r="C709" t="s">
        <v>518</v>
      </c>
      <c r="D709" t="s">
        <v>155</v>
      </c>
      <c r="E709" t="s">
        <v>156</v>
      </c>
      <c r="F709" t="s">
        <v>531</v>
      </c>
      <c r="G709" t="s">
        <v>2352</v>
      </c>
      <c r="H709">
        <v>113.3</v>
      </c>
      <c r="I709">
        <v>5</v>
      </c>
      <c r="J709" t="s">
        <v>230</v>
      </c>
      <c r="K709" t="s">
        <v>887</v>
      </c>
      <c r="L709" t="s">
        <v>92</v>
      </c>
      <c r="M709" t="s">
        <v>219</v>
      </c>
      <c r="N709" s="19">
        <v>46262</v>
      </c>
      <c r="O709" t="s">
        <v>220</v>
      </c>
      <c r="P709">
        <v>1</v>
      </c>
      <c r="Q709" t="s">
        <v>2356</v>
      </c>
    </row>
    <row r="710" spans="1:18" x14ac:dyDescent="0.3">
      <c r="A710" t="s">
        <v>2357</v>
      </c>
      <c r="B710" t="s">
        <v>2358</v>
      </c>
      <c r="C710" t="s">
        <v>518</v>
      </c>
      <c r="D710" t="s">
        <v>155</v>
      </c>
      <c r="E710" t="s">
        <v>156</v>
      </c>
      <c r="F710" t="s">
        <v>531</v>
      </c>
      <c r="G710" t="s">
        <v>2352</v>
      </c>
      <c r="H710">
        <v>135.72</v>
      </c>
      <c r="I710">
        <v>5</v>
      </c>
      <c r="J710" t="s">
        <v>230</v>
      </c>
      <c r="K710" t="s">
        <v>887</v>
      </c>
      <c r="L710" t="s">
        <v>92</v>
      </c>
      <c r="M710" t="s">
        <v>219</v>
      </c>
      <c r="N710" s="19">
        <v>46262</v>
      </c>
      <c r="O710" t="s">
        <v>220</v>
      </c>
      <c r="P710">
        <v>1</v>
      </c>
      <c r="Q710" t="s">
        <v>2359</v>
      </c>
    </row>
    <row r="711" spans="1:18" x14ac:dyDescent="0.3">
      <c r="A711" t="s">
        <v>2360</v>
      </c>
      <c r="B711" t="s">
        <v>2361</v>
      </c>
      <c r="C711" t="s">
        <v>518</v>
      </c>
      <c r="D711" t="s">
        <v>155</v>
      </c>
      <c r="E711" t="s">
        <v>156</v>
      </c>
      <c r="F711" t="s">
        <v>531</v>
      </c>
      <c r="G711" t="s">
        <v>2352</v>
      </c>
      <c r="H711">
        <v>71.680000000000007</v>
      </c>
      <c r="I711">
        <v>5</v>
      </c>
      <c r="J711" t="s">
        <v>230</v>
      </c>
      <c r="K711" t="s">
        <v>887</v>
      </c>
      <c r="L711" t="s">
        <v>92</v>
      </c>
      <c r="M711" t="s">
        <v>219</v>
      </c>
      <c r="N711" s="19">
        <v>46262</v>
      </c>
      <c r="O711" t="s">
        <v>220</v>
      </c>
      <c r="P711">
        <v>1</v>
      </c>
      <c r="Q711" t="s">
        <v>2362</v>
      </c>
    </row>
    <row r="712" spans="1:18" x14ac:dyDescent="0.3">
      <c r="A712" t="s">
        <v>2363</v>
      </c>
      <c r="B712" t="s">
        <v>2364</v>
      </c>
      <c r="C712" t="s">
        <v>518</v>
      </c>
      <c r="D712" t="s">
        <v>155</v>
      </c>
      <c r="E712" t="s">
        <v>156</v>
      </c>
      <c r="F712" t="s">
        <v>531</v>
      </c>
      <c r="H712">
        <v>84.76</v>
      </c>
      <c r="I712">
        <v>0</v>
      </c>
      <c r="J712" t="s">
        <v>230</v>
      </c>
      <c r="K712" t="s">
        <v>887</v>
      </c>
      <c r="L712" t="s">
        <v>218</v>
      </c>
      <c r="M712" t="s">
        <v>219</v>
      </c>
      <c r="N712" s="19">
        <v>46262</v>
      </c>
      <c r="O712" t="s">
        <v>220</v>
      </c>
      <c r="P712">
        <v>1</v>
      </c>
      <c r="Q712" t="s">
        <v>2365</v>
      </c>
    </row>
    <row r="713" spans="1:18" x14ac:dyDescent="0.3">
      <c r="A713" t="s">
        <v>2366</v>
      </c>
      <c r="B713" t="s">
        <v>2367</v>
      </c>
      <c r="C713" t="s">
        <v>461</v>
      </c>
      <c r="D713" t="s">
        <v>155</v>
      </c>
      <c r="E713" t="s">
        <v>156</v>
      </c>
      <c r="F713" t="s">
        <v>531</v>
      </c>
      <c r="H713">
        <v>105.17</v>
      </c>
      <c r="I713">
        <v>0</v>
      </c>
      <c r="J713" t="s">
        <v>230</v>
      </c>
      <c r="K713" t="s">
        <v>887</v>
      </c>
      <c r="L713" t="s">
        <v>218</v>
      </c>
      <c r="M713" t="s">
        <v>219</v>
      </c>
      <c r="N713" s="19">
        <v>46262</v>
      </c>
      <c r="O713" t="s">
        <v>220</v>
      </c>
      <c r="P713">
        <v>1</v>
      </c>
      <c r="Q713" t="s">
        <v>2368</v>
      </c>
    </row>
    <row r="714" spans="1:18" x14ac:dyDescent="0.3">
      <c r="A714" t="s">
        <v>2369</v>
      </c>
      <c r="B714" t="s">
        <v>2370</v>
      </c>
      <c r="C714" t="s">
        <v>518</v>
      </c>
      <c r="D714" t="s">
        <v>155</v>
      </c>
      <c r="E714" t="s">
        <v>156</v>
      </c>
      <c r="F714" t="s">
        <v>531</v>
      </c>
      <c r="G714" t="s">
        <v>2371</v>
      </c>
      <c r="H714">
        <v>570.72</v>
      </c>
      <c r="I714">
        <v>5</v>
      </c>
      <c r="J714" t="s">
        <v>230</v>
      </c>
      <c r="K714" t="s">
        <v>887</v>
      </c>
      <c r="L714" t="s">
        <v>92</v>
      </c>
      <c r="M714" t="s">
        <v>219</v>
      </c>
      <c r="N714" s="19">
        <v>46262</v>
      </c>
      <c r="O714" t="s">
        <v>220</v>
      </c>
      <c r="P714">
        <v>3</v>
      </c>
      <c r="Q714" t="s">
        <v>2372</v>
      </c>
      <c r="R714" t="s">
        <v>92</v>
      </c>
    </row>
    <row r="715" spans="1:18" x14ac:dyDescent="0.3">
      <c r="A715" t="s">
        <v>2373</v>
      </c>
      <c r="B715" t="s">
        <v>2374</v>
      </c>
      <c r="C715" t="s">
        <v>461</v>
      </c>
      <c r="D715" t="s">
        <v>155</v>
      </c>
      <c r="E715" t="s">
        <v>156</v>
      </c>
      <c r="F715" t="s">
        <v>531</v>
      </c>
      <c r="H715">
        <v>119.19</v>
      </c>
      <c r="I715">
        <v>0</v>
      </c>
      <c r="J715" t="s">
        <v>230</v>
      </c>
      <c r="K715" t="s">
        <v>965</v>
      </c>
      <c r="L715" t="s">
        <v>218</v>
      </c>
      <c r="M715" t="s">
        <v>219</v>
      </c>
      <c r="N715" s="19">
        <v>46262</v>
      </c>
      <c r="O715" t="s">
        <v>220</v>
      </c>
      <c r="P715">
        <v>8</v>
      </c>
      <c r="Q715" t="s">
        <v>2375</v>
      </c>
      <c r="R715" t="s">
        <v>92</v>
      </c>
    </row>
    <row r="716" spans="1:18" x14ac:dyDescent="0.3">
      <c r="A716" t="s">
        <v>2376</v>
      </c>
      <c r="B716" t="s">
        <v>2377</v>
      </c>
      <c r="C716" t="s">
        <v>518</v>
      </c>
      <c r="D716" t="s">
        <v>155</v>
      </c>
      <c r="E716" t="s">
        <v>156</v>
      </c>
      <c r="F716" t="s">
        <v>531</v>
      </c>
      <c r="G716" t="s">
        <v>2378</v>
      </c>
      <c r="H716">
        <v>946</v>
      </c>
      <c r="I716">
        <v>5</v>
      </c>
      <c r="J716" t="s">
        <v>230</v>
      </c>
      <c r="K716" t="s">
        <v>887</v>
      </c>
      <c r="L716" t="s">
        <v>92</v>
      </c>
      <c r="M716" t="s">
        <v>219</v>
      </c>
      <c r="N716" s="19">
        <v>46262</v>
      </c>
      <c r="O716" t="s">
        <v>220</v>
      </c>
      <c r="P716">
        <v>2</v>
      </c>
      <c r="Q716" t="s">
        <v>2379</v>
      </c>
      <c r="R716" t="s">
        <v>92</v>
      </c>
    </row>
    <row r="717" spans="1:18" x14ac:dyDescent="0.3">
      <c r="A717" t="s">
        <v>2380</v>
      </c>
      <c r="B717" t="s">
        <v>2377</v>
      </c>
      <c r="C717" t="s">
        <v>518</v>
      </c>
      <c r="D717" t="s">
        <v>155</v>
      </c>
      <c r="E717" t="s">
        <v>156</v>
      </c>
      <c r="F717" t="s">
        <v>531</v>
      </c>
      <c r="G717" t="s">
        <v>2378</v>
      </c>
      <c r="H717">
        <v>1057.05</v>
      </c>
      <c r="I717">
        <v>5</v>
      </c>
      <c r="J717" t="s">
        <v>230</v>
      </c>
      <c r="K717" t="s">
        <v>887</v>
      </c>
      <c r="L717" t="s">
        <v>92</v>
      </c>
      <c r="M717" t="s">
        <v>219</v>
      </c>
      <c r="N717" s="19">
        <v>46262</v>
      </c>
      <c r="O717" t="s">
        <v>220</v>
      </c>
      <c r="P717">
        <v>3</v>
      </c>
      <c r="Q717" t="s">
        <v>2381</v>
      </c>
      <c r="R717" t="s">
        <v>92</v>
      </c>
    </row>
    <row r="718" spans="1:18" x14ac:dyDescent="0.3">
      <c r="A718" t="s">
        <v>2382</v>
      </c>
      <c r="B718" t="s">
        <v>2383</v>
      </c>
      <c r="C718" t="s">
        <v>518</v>
      </c>
      <c r="D718" t="s">
        <v>155</v>
      </c>
      <c r="E718" t="s">
        <v>156</v>
      </c>
      <c r="F718" t="s">
        <v>531</v>
      </c>
      <c r="H718">
        <v>769.95</v>
      </c>
      <c r="I718">
        <v>0</v>
      </c>
      <c r="J718" t="s">
        <v>230</v>
      </c>
      <c r="K718" t="s">
        <v>887</v>
      </c>
      <c r="L718" t="s">
        <v>218</v>
      </c>
      <c r="M718" t="s">
        <v>219</v>
      </c>
      <c r="N718" s="19">
        <v>46262</v>
      </c>
      <c r="O718" t="s">
        <v>220</v>
      </c>
      <c r="P718">
        <v>2</v>
      </c>
      <c r="Q718" t="s">
        <v>2384</v>
      </c>
      <c r="R718" t="s">
        <v>92</v>
      </c>
    </row>
    <row r="719" spans="1:18" x14ac:dyDescent="0.3">
      <c r="A719" t="s">
        <v>2385</v>
      </c>
      <c r="B719" t="s">
        <v>2386</v>
      </c>
      <c r="C719" t="s">
        <v>518</v>
      </c>
      <c r="D719" t="s">
        <v>155</v>
      </c>
      <c r="E719" t="s">
        <v>156</v>
      </c>
      <c r="F719" t="s">
        <v>531</v>
      </c>
      <c r="H719">
        <v>784.74</v>
      </c>
      <c r="I719">
        <v>0</v>
      </c>
      <c r="J719" t="s">
        <v>230</v>
      </c>
      <c r="K719" t="s">
        <v>887</v>
      </c>
      <c r="L719" t="s">
        <v>218</v>
      </c>
      <c r="M719" t="s">
        <v>219</v>
      </c>
      <c r="N719" s="19">
        <v>46262</v>
      </c>
      <c r="O719" t="s">
        <v>220</v>
      </c>
      <c r="P719">
        <v>3</v>
      </c>
      <c r="Q719" t="s">
        <v>2387</v>
      </c>
      <c r="R719" t="s">
        <v>92</v>
      </c>
    </row>
    <row r="720" spans="1:18" x14ac:dyDescent="0.3">
      <c r="A720" t="s">
        <v>2388</v>
      </c>
      <c r="B720" t="s">
        <v>2389</v>
      </c>
      <c r="C720" t="s">
        <v>461</v>
      </c>
      <c r="D720" t="s">
        <v>155</v>
      </c>
      <c r="E720" t="s">
        <v>156</v>
      </c>
      <c r="F720" t="s">
        <v>531</v>
      </c>
      <c r="G720" t="s">
        <v>2390</v>
      </c>
      <c r="H720">
        <v>683.82</v>
      </c>
      <c r="I720">
        <v>5</v>
      </c>
      <c r="J720" t="s">
        <v>230</v>
      </c>
      <c r="K720" t="s">
        <v>965</v>
      </c>
      <c r="L720" t="s">
        <v>92</v>
      </c>
      <c r="M720" t="s">
        <v>219</v>
      </c>
      <c r="N720" s="19">
        <v>46262</v>
      </c>
      <c r="O720" t="s">
        <v>220</v>
      </c>
      <c r="P720">
        <v>10</v>
      </c>
      <c r="Q720" t="s">
        <v>2391</v>
      </c>
      <c r="R720" t="s">
        <v>92</v>
      </c>
    </row>
    <row r="721" spans="1:18" x14ac:dyDescent="0.3">
      <c r="A721" t="s">
        <v>2392</v>
      </c>
      <c r="B721" t="s">
        <v>2389</v>
      </c>
      <c r="C721" t="s">
        <v>461</v>
      </c>
      <c r="D721" t="s">
        <v>155</v>
      </c>
      <c r="E721" t="s">
        <v>156</v>
      </c>
      <c r="F721" t="s">
        <v>531</v>
      </c>
      <c r="G721" t="s">
        <v>2390</v>
      </c>
      <c r="H721">
        <v>685.73</v>
      </c>
      <c r="I721">
        <v>5</v>
      </c>
      <c r="J721" t="s">
        <v>230</v>
      </c>
      <c r="K721" t="s">
        <v>965</v>
      </c>
      <c r="L721" t="s">
        <v>92</v>
      </c>
      <c r="M721" t="s">
        <v>219</v>
      </c>
      <c r="N721" s="19">
        <v>46262</v>
      </c>
      <c r="O721" t="s">
        <v>220</v>
      </c>
      <c r="P721">
        <v>2</v>
      </c>
      <c r="Q721" t="s">
        <v>2393</v>
      </c>
      <c r="R721" t="s">
        <v>92</v>
      </c>
    </row>
    <row r="722" spans="1:18" x14ac:dyDescent="0.3">
      <c r="A722" t="s">
        <v>2394</v>
      </c>
      <c r="B722" t="s">
        <v>2395</v>
      </c>
      <c r="C722" t="s">
        <v>461</v>
      </c>
      <c r="D722" t="s">
        <v>155</v>
      </c>
      <c r="E722" t="s">
        <v>156</v>
      </c>
      <c r="F722" t="s">
        <v>531</v>
      </c>
      <c r="G722" t="s">
        <v>2396</v>
      </c>
      <c r="H722">
        <v>706.44</v>
      </c>
      <c r="I722">
        <v>5</v>
      </c>
      <c r="J722" t="s">
        <v>230</v>
      </c>
      <c r="K722" t="s">
        <v>965</v>
      </c>
      <c r="L722" t="s">
        <v>92</v>
      </c>
      <c r="M722" t="s">
        <v>219</v>
      </c>
      <c r="N722" s="19">
        <v>46262</v>
      </c>
      <c r="O722" t="s">
        <v>220</v>
      </c>
      <c r="P722">
        <v>4</v>
      </c>
      <c r="Q722" t="s">
        <v>2397</v>
      </c>
      <c r="R722" t="s">
        <v>92</v>
      </c>
    </row>
    <row r="723" spans="1:18" x14ac:dyDescent="0.3">
      <c r="A723" t="s">
        <v>2398</v>
      </c>
      <c r="B723" t="s">
        <v>2395</v>
      </c>
      <c r="C723" t="s">
        <v>461</v>
      </c>
      <c r="D723" t="s">
        <v>155</v>
      </c>
      <c r="E723" t="s">
        <v>156</v>
      </c>
      <c r="F723" t="s">
        <v>531</v>
      </c>
      <c r="G723" t="s">
        <v>2396</v>
      </c>
      <c r="H723">
        <v>679.25</v>
      </c>
      <c r="I723">
        <v>5</v>
      </c>
      <c r="J723" t="s">
        <v>230</v>
      </c>
      <c r="K723" t="s">
        <v>965</v>
      </c>
      <c r="L723" t="s">
        <v>92</v>
      </c>
      <c r="M723" t="s">
        <v>219</v>
      </c>
      <c r="N723" s="19">
        <v>46262</v>
      </c>
      <c r="O723" t="s">
        <v>220</v>
      </c>
      <c r="P723">
        <v>4</v>
      </c>
      <c r="Q723" t="s">
        <v>2399</v>
      </c>
      <c r="R723" t="s">
        <v>92</v>
      </c>
    </row>
    <row r="724" spans="1:18" x14ac:dyDescent="0.3">
      <c r="A724" t="s">
        <v>2400</v>
      </c>
      <c r="B724" t="s">
        <v>2401</v>
      </c>
      <c r="C724" t="s">
        <v>461</v>
      </c>
      <c r="D724" t="s">
        <v>155</v>
      </c>
      <c r="E724" t="s">
        <v>156</v>
      </c>
      <c r="F724" t="s">
        <v>531</v>
      </c>
      <c r="G724" t="s">
        <v>2348</v>
      </c>
      <c r="H724">
        <v>847.38</v>
      </c>
      <c r="I724">
        <v>5</v>
      </c>
      <c r="J724" t="s">
        <v>230</v>
      </c>
      <c r="K724" t="s">
        <v>965</v>
      </c>
      <c r="L724" t="s">
        <v>92</v>
      </c>
      <c r="M724" t="s">
        <v>219</v>
      </c>
      <c r="N724" s="19">
        <v>46262</v>
      </c>
      <c r="O724" t="s">
        <v>220</v>
      </c>
      <c r="P724">
        <v>1</v>
      </c>
      <c r="Q724" t="s">
        <v>2402</v>
      </c>
    </row>
    <row r="725" spans="1:18" x14ac:dyDescent="0.3">
      <c r="A725" t="s">
        <v>2403</v>
      </c>
      <c r="B725" t="s">
        <v>2404</v>
      </c>
      <c r="C725" t="s">
        <v>461</v>
      </c>
      <c r="D725" t="s">
        <v>155</v>
      </c>
      <c r="E725" t="s">
        <v>156</v>
      </c>
      <c r="F725" t="s">
        <v>531</v>
      </c>
      <c r="H725">
        <v>140.59</v>
      </c>
      <c r="I725">
        <v>0</v>
      </c>
      <c r="J725" t="s">
        <v>230</v>
      </c>
      <c r="K725" t="s">
        <v>965</v>
      </c>
      <c r="L725" t="s">
        <v>218</v>
      </c>
      <c r="M725" t="s">
        <v>219</v>
      </c>
      <c r="N725" s="19">
        <v>46262</v>
      </c>
      <c r="O725" t="s">
        <v>220</v>
      </c>
      <c r="P725">
        <v>1</v>
      </c>
      <c r="Q725" t="s">
        <v>2405</v>
      </c>
    </row>
    <row r="726" spans="1:18" x14ac:dyDescent="0.3">
      <c r="A726" t="s">
        <v>2406</v>
      </c>
      <c r="B726" t="s">
        <v>2407</v>
      </c>
      <c r="C726" t="s">
        <v>289</v>
      </c>
      <c r="D726" t="s">
        <v>155</v>
      </c>
      <c r="E726" t="s">
        <v>156</v>
      </c>
      <c r="F726" t="s">
        <v>531</v>
      </c>
      <c r="H726">
        <v>22550.400000000001</v>
      </c>
      <c r="I726">
        <v>0</v>
      </c>
      <c r="J726" t="s">
        <v>230</v>
      </c>
      <c r="K726" t="s">
        <v>965</v>
      </c>
      <c r="L726" t="s">
        <v>218</v>
      </c>
      <c r="M726" t="s">
        <v>219</v>
      </c>
      <c r="N726" s="19">
        <v>46262</v>
      </c>
      <c r="O726" t="s">
        <v>220</v>
      </c>
      <c r="P726">
        <v>1</v>
      </c>
      <c r="Q726" t="s">
        <v>2408</v>
      </c>
    </row>
    <row r="727" spans="1:18" x14ac:dyDescent="0.3">
      <c r="A727" t="s">
        <v>2409</v>
      </c>
      <c r="B727" t="s">
        <v>2410</v>
      </c>
      <c r="C727" t="s">
        <v>214</v>
      </c>
      <c r="D727" t="s">
        <v>155</v>
      </c>
      <c r="E727" t="s">
        <v>156</v>
      </c>
      <c r="F727" t="s">
        <v>531</v>
      </c>
      <c r="G727" t="s">
        <v>2411</v>
      </c>
      <c r="H727">
        <v>0</v>
      </c>
      <c r="I727">
        <v>0</v>
      </c>
      <c r="J727" t="s">
        <v>230</v>
      </c>
      <c r="K727" t="s">
        <v>887</v>
      </c>
      <c r="L727" t="s">
        <v>92</v>
      </c>
      <c r="M727" t="s">
        <v>219</v>
      </c>
      <c r="N727" s="19">
        <v>46262</v>
      </c>
      <c r="O727" t="s">
        <v>220</v>
      </c>
      <c r="P727">
        <v>1</v>
      </c>
      <c r="Q727" t="s">
        <v>2412</v>
      </c>
    </row>
    <row r="728" spans="1:18" x14ac:dyDescent="0.3">
      <c r="A728" t="s">
        <v>2413</v>
      </c>
      <c r="B728" t="s">
        <v>2414</v>
      </c>
      <c r="C728" t="s">
        <v>461</v>
      </c>
      <c r="D728" t="s">
        <v>155</v>
      </c>
      <c r="E728" t="s">
        <v>156</v>
      </c>
      <c r="F728" t="s">
        <v>531</v>
      </c>
      <c r="H728">
        <v>4950</v>
      </c>
      <c r="I728">
        <v>0</v>
      </c>
      <c r="J728" t="s">
        <v>230</v>
      </c>
      <c r="K728" t="s">
        <v>965</v>
      </c>
      <c r="L728" t="s">
        <v>218</v>
      </c>
      <c r="M728" t="s">
        <v>219</v>
      </c>
      <c r="N728" s="19">
        <v>46262</v>
      </c>
      <c r="O728" t="s">
        <v>220</v>
      </c>
      <c r="P728">
        <v>1</v>
      </c>
      <c r="Q728" t="s">
        <v>2415</v>
      </c>
    </row>
    <row r="729" spans="1:18" x14ac:dyDescent="0.3">
      <c r="A729" t="s">
        <v>2416</v>
      </c>
      <c r="B729" t="s">
        <v>2417</v>
      </c>
      <c r="C729" t="s">
        <v>461</v>
      </c>
      <c r="D729" t="s">
        <v>155</v>
      </c>
      <c r="E729" t="s">
        <v>156</v>
      </c>
      <c r="F729" t="s">
        <v>531</v>
      </c>
      <c r="H729">
        <v>1524.19</v>
      </c>
      <c r="I729">
        <v>0</v>
      </c>
      <c r="J729" t="s">
        <v>230</v>
      </c>
      <c r="K729" t="s">
        <v>965</v>
      </c>
      <c r="L729" t="s">
        <v>218</v>
      </c>
      <c r="M729" t="s">
        <v>219</v>
      </c>
      <c r="N729" s="19">
        <v>46262</v>
      </c>
      <c r="O729" t="s">
        <v>220</v>
      </c>
      <c r="P729">
        <v>1</v>
      </c>
      <c r="Q729" t="s">
        <v>2418</v>
      </c>
    </row>
    <row r="730" spans="1:18" x14ac:dyDescent="0.3">
      <c r="A730" t="s">
        <v>2419</v>
      </c>
      <c r="B730" t="s">
        <v>2420</v>
      </c>
      <c r="C730" t="s">
        <v>461</v>
      </c>
      <c r="D730" t="s">
        <v>155</v>
      </c>
      <c r="E730" t="s">
        <v>156</v>
      </c>
      <c r="F730" t="s">
        <v>531</v>
      </c>
      <c r="H730">
        <v>2641.32</v>
      </c>
      <c r="I730">
        <v>0</v>
      </c>
      <c r="J730" t="s">
        <v>230</v>
      </c>
      <c r="K730" t="s">
        <v>965</v>
      </c>
      <c r="L730" t="s">
        <v>218</v>
      </c>
      <c r="M730" t="s">
        <v>219</v>
      </c>
      <c r="N730" s="19">
        <v>46262</v>
      </c>
      <c r="O730" t="s">
        <v>220</v>
      </c>
      <c r="P730">
        <v>1</v>
      </c>
      <c r="Q730" t="s">
        <v>2421</v>
      </c>
    </row>
    <row r="731" spans="1:18" x14ac:dyDescent="0.3">
      <c r="A731" t="s">
        <v>2422</v>
      </c>
      <c r="B731" t="s">
        <v>2423</v>
      </c>
      <c r="C731" t="s">
        <v>518</v>
      </c>
      <c r="D731" t="s">
        <v>155</v>
      </c>
      <c r="E731" t="s">
        <v>156</v>
      </c>
      <c r="F731" t="s">
        <v>531</v>
      </c>
      <c r="H731">
        <v>621.17999999999995</v>
      </c>
      <c r="I731">
        <v>0</v>
      </c>
      <c r="J731" t="s">
        <v>230</v>
      </c>
      <c r="K731" t="s">
        <v>887</v>
      </c>
      <c r="L731" t="s">
        <v>218</v>
      </c>
      <c r="M731" t="s">
        <v>219</v>
      </c>
      <c r="N731" s="19">
        <v>46262</v>
      </c>
      <c r="O731" t="s">
        <v>220</v>
      </c>
      <c r="P731">
        <v>1</v>
      </c>
      <c r="Q731" t="s">
        <v>2424</v>
      </c>
    </row>
    <row r="732" spans="1:18" x14ac:dyDescent="0.3">
      <c r="A732" t="s">
        <v>2425</v>
      </c>
      <c r="B732" t="s">
        <v>2426</v>
      </c>
      <c r="C732" t="s">
        <v>518</v>
      </c>
      <c r="D732" t="s">
        <v>155</v>
      </c>
      <c r="E732" t="s">
        <v>156</v>
      </c>
      <c r="F732" t="s">
        <v>531</v>
      </c>
      <c r="H732">
        <v>219.24</v>
      </c>
      <c r="I732">
        <v>0</v>
      </c>
      <c r="J732" t="s">
        <v>230</v>
      </c>
      <c r="K732" t="s">
        <v>887</v>
      </c>
      <c r="L732" t="s">
        <v>218</v>
      </c>
      <c r="M732" t="s">
        <v>219</v>
      </c>
      <c r="N732" s="19">
        <v>46262</v>
      </c>
      <c r="O732" t="s">
        <v>220</v>
      </c>
      <c r="P732">
        <v>1</v>
      </c>
      <c r="Q732" t="s">
        <v>2427</v>
      </c>
    </row>
    <row r="733" spans="1:18" x14ac:dyDescent="0.3">
      <c r="A733" t="s">
        <v>2428</v>
      </c>
      <c r="B733" t="s">
        <v>2429</v>
      </c>
      <c r="C733" t="s">
        <v>461</v>
      </c>
      <c r="D733" t="s">
        <v>155</v>
      </c>
      <c r="E733" t="s">
        <v>156</v>
      </c>
      <c r="F733" t="s">
        <v>531</v>
      </c>
      <c r="H733">
        <v>291.27999999999997</v>
      </c>
      <c r="I733">
        <v>0</v>
      </c>
      <c r="J733" t="s">
        <v>230</v>
      </c>
      <c r="K733" t="s">
        <v>965</v>
      </c>
      <c r="L733" t="s">
        <v>218</v>
      </c>
      <c r="M733" t="s">
        <v>219</v>
      </c>
      <c r="N733" s="19">
        <v>46262</v>
      </c>
      <c r="O733" t="s">
        <v>220</v>
      </c>
      <c r="P733">
        <v>2</v>
      </c>
      <c r="Q733" t="s">
        <v>2430</v>
      </c>
      <c r="R733" t="s">
        <v>92</v>
      </c>
    </row>
    <row r="734" spans="1:18" x14ac:dyDescent="0.3">
      <c r="A734" t="s">
        <v>2431</v>
      </c>
      <c r="B734" t="s">
        <v>2432</v>
      </c>
      <c r="C734" t="s">
        <v>461</v>
      </c>
      <c r="D734" t="s">
        <v>155</v>
      </c>
      <c r="E734" t="s">
        <v>156</v>
      </c>
      <c r="F734" t="s">
        <v>531</v>
      </c>
      <c r="G734" t="s">
        <v>2348</v>
      </c>
      <c r="H734">
        <v>1983.6</v>
      </c>
      <c r="I734">
        <v>5</v>
      </c>
      <c r="J734" t="s">
        <v>230</v>
      </c>
      <c r="K734" t="s">
        <v>965</v>
      </c>
      <c r="L734" t="s">
        <v>92</v>
      </c>
      <c r="M734" t="s">
        <v>219</v>
      </c>
      <c r="N734" s="19">
        <v>46262</v>
      </c>
      <c r="O734" t="s">
        <v>220</v>
      </c>
      <c r="P734">
        <v>1</v>
      </c>
      <c r="Q734" t="s">
        <v>2433</v>
      </c>
    </row>
    <row r="735" spans="1:18" x14ac:dyDescent="0.3">
      <c r="A735" t="s">
        <v>2434</v>
      </c>
      <c r="B735" t="s">
        <v>2435</v>
      </c>
      <c r="C735" t="s">
        <v>461</v>
      </c>
      <c r="D735" t="s">
        <v>155</v>
      </c>
      <c r="E735" t="s">
        <v>156</v>
      </c>
      <c r="F735" t="s">
        <v>531</v>
      </c>
      <c r="H735">
        <v>0</v>
      </c>
      <c r="I735">
        <v>0</v>
      </c>
      <c r="J735" t="s">
        <v>230</v>
      </c>
      <c r="K735" t="s">
        <v>965</v>
      </c>
      <c r="L735" t="s">
        <v>218</v>
      </c>
      <c r="M735" t="s">
        <v>219</v>
      </c>
      <c r="N735" s="19">
        <v>46262</v>
      </c>
      <c r="O735" t="s">
        <v>220</v>
      </c>
      <c r="P735">
        <v>1</v>
      </c>
      <c r="Q735" t="s">
        <v>2436</v>
      </c>
    </row>
    <row r="736" spans="1:18" x14ac:dyDescent="0.3">
      <c r="A736" t="s">
        <v>2437</v>
      </c>
      <c r="B736" t="s">
        <v>2438</v>
      </c>
      <c r="C736" t="s">
        <v>461</v>
      </c>
      <c r="D736" t="s">
        <v>155</v>
      </c>
      <c r="E736" t="s">
        <v>156</v>
      </c>
      <c r="F736" t="s">
        <v>531</v>
      </c>
      <c r="H736">
        <v>0</v>
      </c>
      <c r="I736">
        <v>0</v>
      </c>
      <c r="J736" t="s">
        <v>230</v>
      </c>
      <c r="K736" t="s">
        <v>965</v>
      </c>
      <c r="L736" t="s">
        <v>218</v>
      </c>
      <c r="M736" t="s">
        <v>219</v>
      </c>
      <c r="N736" s="19">
        <v>46262</v>
      </c>
      <c r="O736" t="s">
        <v>220</v>
      </c>
      <c r="P736">
        <v>1</v>
      </c>
      <c r="Q736" t="s">
        <v>2439</v>
      </c>
    </row>
    <row r="737" spans="1:18" x14ac:dyDescent="0.3">
      <c r="A737" t="s">
        <v>2440</v>
      </c>
      <c r="B737" t="s">
        <v>2441</v>
      </c>
      <c r="C737" t="s">
        <v>461</v>
      </c>
      <c r="D737" t="s">
        <v>155</v>
      </c>
      <c r="E737" t="s">
        <v>156</v>
      </c>
      <c r="F737" t="s">
        <v>531</v>
      </c>
      <c r="H737">
        <v>3182.38</v>
      </c>
      <c r="I737">
        <v>0</v>
      </c>
      <c r="J737" t="s">
        <v>230</v>
      </c>
      <c r="K737" t="s">
        <v>965</v>
      </c>
      <c r="L737" t="s">
        <v>218</v>
      </c>
      <c r="M737" t="s">
        <v>219</v>
      </c>
      <c r="N737" s="19">
        <v>46262</v>
      </c>
      <c r="O737" t="s">
        <v>220</v>
      </c>
      <c r="P737">
        <v>1</v>
      </c>
      <c r="Q737" t="s">
        <v>2442</v>
      </c>
    </row>
    <row r="738" spans="1:18" x14ac:dyDescent="0.3">
      <c r="A738" t="s">
        <v>2443</v>
      </c>
      <c r="B738" t="s">
        <v>2444</v>
      </c>
      <c r="C738" t="s">
        <v>461</v>
      </c>
      <c r="D738" t="s">
        <v>155</v>
      </c>
      <c r="E738" t="s">
        <v>156</v>
      </c>
      <c r="F738" t="s">
        <v>531</v>
      </c>
      <c r="H738">
        <v>2386.79</v>
      </c>
      <c r="I738">
        <v>0</v>
      </c>
      <c r="J738" t="s">
        <v>230</v>
      </c>
      <c r="K738" t="s">
        <v>965</v>
      </c>
      <c r="L738" t="s">
        <v>218</v>
      </c>
      <c r="M738" t="s">
        <v>219</v>
      </c>
      <c r="N738" s="19">
        <v>46262</v>
      </c>
      <c r="O738" t="s">
        <v>220</v>
      </c>
      <c r="P738">
        <v>1</v>
      </c>
      <c r="Q738" t="s">
        <v>2445</v>
      </c>
    </row>
    <row r="739" spans="1:18" x14ac:dyDescent="0.3">
      <c r="A739" t="s">
        <v>2446</v>
      </c>
      <c r="B739" t="s">
        <v>2447</v>
      </c>
      <c r="C739" t="s">
        <v>461</v>
      </c>
      <c r="D739" t="s">
        <v>155</v>
      </c>
      <c r="E739" t="s">
        <v>156</v>
      </c>
      <c r="F739" t="s">
        <v>531</v>
      </c>
      <c r="H739">
        <v>0</v>
      </c>
      <c r="I739">
        <v>0</v>
      </c>
      <c r="J739" t="s">
        <v>230</v>
      </c>
      <c r="K739" t="s">
        <v>965</v>
      </c>
      <c r="L739" t="s">
        <v>218</v>
      </c>
      <c r="M739" t="s">
        <v>219</v>
      </c>
      <c r="N739" s="19">
        <v>46262</v>
      </c>
      <c r="O739" t="s">
        <v>220</v>
      </c>
      <c r="P739">
        <v>1</v>
      </c>
      <c r="Q739" t="s">
        <v>2448</v>
      </c>
    </row>
    <row r="740" spans="1:18" x14ac:dyDescent="0.3">
      <c r="A740" t="s">
        <v>2449</v>
      </c>
      <c r="B740" t="s">
        <v>2450</v>
      </c>
      <c r="C740" t="s">
        <v>461</v>
      </c>
      <c r="D740" t="s">
        <v>155</v>
      </c>
      <c r="E740" t="s">
        <v>156</v>
      </c>
      <c r="F740" t="s">
        <v>531</v>
      </c>
      <c r="H740">
        <v>0</v>
      </c>
      <c r="I740">
        <v>0</v>
      </c>
      <c r="J740" t="s">
        <v>230</v>
      </c>
      <c r="K740" t="s">
        <v>965</v>
      </c>
      <c r="L740" t="s">
        <v>218</v>
      </c>
      <c r="M740" t="s">
        <v>219</v>
      </c>
      <c r="N740" s="19">
        <v>46262</v>
      </c>
      <c r="O740" t="s">
        <v>220</v>
      </c>
      <c r="P740">
        <v>1</v>
      </c>
      <c r="Q740" t="s">
        <v>2451</v>
      </c>
    </row>
    <row r="741" spans="1:18" x14ac:dyDescent="0.3">
      <c r="A741" t="s">
        <v>2452</v>
      </c>
      <c r="B741" t="s">
        <v>2453</v>
      </c>
      <c r="C741" t="s">
        <v>461</v>
      </c>
      <c r="D741" t="s">
        <v>155</v>
      </c>
      <c r="E741" t="s">
        <v>156</v>
      </c>
      <c r="F741" t="s">
        <v>531</v>
      </c>
      <c r="H741">
        <v>0</v>
      </c>
      <c r="I741">
        <v>0</v>
      </c>
      <c r="J741" t="s">
        <v>230</v>
      </c>
      <c r="K741" t="s">
        <v>965</v>
      </c>
      <c r="L741" t="s">
        <v>218</v>
      </c>
      <c r="M741" t="s">
        <v>219</v>
      </c>
      <c r="N741" s="19">
        <v>46262</v>
      </c>
      <c r="O741" t="s">
        <v>220</v>
      </c>
      <c r="P741">
        <v>1</v>
      </c>
      <c r="Q741" t="s">
        <v>2454</v>
      </c>
    </row>
    <row r="742" spans="1:18" x14ac:dyDescent="0.3">
      <c r="A742" t="s">
        <v>2455</v>
      </c>
      <c r="B742" t="s">
        <v>2456</v>
      </c>
      <c r="C742" t="s">
        <v>461</v>
      </c>
      <c r="D742" t="s">
        <v>155</v>
      </c>
      <c r="E742" t="s">
        <v>156</v>
      </c>
      <c r="F742" t="s">
        <v>531</v>
      </c>
      <c r="H742">
        <v>0</v>
      </c>
      <c r="I742">
        <v>0</v>
      </c>
      <c r="J742" t="s">
        <v>230</v>
      </c>
      <c r="K742" t="s">
        <v>965</v>
      </c>
      <c r="L742" t="s">
        <v>218</v>
      </c>
      <c r="M742" t="s">
        <v>219</v>
      </c>
      <c r="N742" s="19">
        <v>46262</v>
      </c>
      <c r="O742" t="s">
        <v>220</v>
      </c>
      <c r="P742">
        <v>1</v>
      </c>
      <c r="Q742" t="s">
        <v>2457</v>
      </c>
    </row>
    <row r="743" spans="1:18" x14ac:dyDescent="0.3">
      <c r="A743" t="s">
        <v>2458</v>
      </c>
      <c r="B743" t="s">
        <v>2459</v>
      </c>
      <c r="C743" t="s">
        <v>461</v>
      </c>
      <c r="D743" t="s">
        <v>155</v>
      </c>
      <c r="E743" t="s">
        <v>156</v>
      </c>
      <c r="F743" t="s">
        <v>531</v>
      </c>
      <c r="G743" t="s">
        <v>2348</v>
      </c>
      <c r="H743">
        <v>2000</v>
      </c>
      <c r="I743">
        <v>5</v>
      </c>
      <c r="J743" t="s">
        <v>230</v>
      </c>
      <c r="K743" t="s">
        <v>965</v>
      </c>
      <c r="L743" t="s">
        <v>92</v>
      </c>
      <c r="M743" t="s">
        <v>219</v>
      </c>
      <c r="N743" s="19">
        <v>46262</v>
      </c>
      <c r="O743" t="s">
        <v>220</v>
      </c>
      <c r="P743">
        <v>2</v>
      </c>
      <c r="Q743" t="s">
        <v>2460</v>
      </c>
      <c r="R743" t="s">
        <v>92</v>
      </c>
    </row>
    <row r="744" spans="1:18" x14ac:dyDescent="0.3">
      <c r="A744" t="s">
        <v>2461</v>
      </c>
      <c r="B744" t="s">
        <v>2459</v>
      </c>
      <c r="C744" t="s">
        <v>461</v>
      </c>
      <c r="D744" t="s">
        <v>155</v>
      </c>
      <c r="E744" t="s">
        <v>156</v>
      </c>
      <c r="F744" t="s">
        <v>531</v>
      </c>
      <c r="G744" t="s">
        <v>2348</v>
      </c>
      <c r="H744">
        <v>5225</v>
      </c>
      <c r="I744">
        <v>5</v>
      </c>
      <c r="J744" t="s">
        <v>230</v>
      </c>
      <c r="K744" t="s">
        <v>965</v>
      </c>
      <c r="L744" t="s">
        <v>92</v>
      </c>
      <c r="M744" t="s">
        <v>219</v>
      </c>
      <c r="N744" s="19">
        <v>46262</v>
      </c>
      <c r="O744" t="s">
        <v>220</v>
      </c>
      <c r="P744">
        <v>2</v>
      </c>
      <c r="Q744" t="s">
        <v>2462</v>
      </c>
      <c r="R744" t="s">
        <v>92</v>
      </c>
    </row>
    <row r="745" spans="1:18" x14ac:dyDescent="0.3">
      <c r="A745" t="s">
        <v>2463</v>
      </c>
      <c r="B745" t="s">
        <v>2464</v>
      </c>
      <c r="C745" t="s">
        <v>461</v>
      </c>
      <c r="D745" t="s">
        <v>155</v>
      </c>
      <c r="E745" t="s">
        <v>156</v>
      </c>
      <c r="F745" t="s">
        <v>531</v>
      </c>
      <c r="G745" t="s">
        <v>2153</v>
      </c>
      <c r="H745">
        <v>8119.83</v>
      </c>
      <c r="I745">
        <v>5</v>
      </c>
      <c r="J745" t="s">
        <v>230</v>
      </c>
      <c r="K745" t="s">
        <v>965</v>
      </c>
      <c r="L745" t="s">
        <v>92</v>
      </c>
      <c r="M745" t="s">
        <v>219</v>
      </c>
      <c r="N745" s="19">
        <v>46262</v>
      </c>
      <c r="O745" t="s">
        <v>220</v>
      </c>
      <c r="P745">
        <v>2</v>
      </c>
      <c r="Q745" t="s">
        <v>2465</v>
      </c>
      <c r="R745" t="s">
        <v>92</v>
      </c>
    </row>
    <row r="746" spans="1:18" x14ac:dyDescent="0.3">
      <c r="A746" t="s">
        <v>2466</v>
      </c>
      <c r="B746" t="s">
        <v>2467</v>
      </c>
      <c r="C746" t="s">
        <v>461</v>
      </c>
      <c r="D746" t="s">
        <v>155</v>
      </c>
      <c r="E746" t="s">
        <v>156</v>
      </c>
      <c r="F746" t="s">
        <v>531</v>
      </c>
      <c r="G746" t="s">
        <v>2153</v>
      </c>
      <c r="H746">
        <v>12580.24</v>
      </c>
      <c r="I746">
        <v>5</v>
      </c>
      <c r="J746" t="s">
        <v>230</v>
      </c>
      <c r="K746" t="s">
        <v>965</v>
      </c>
      <c r="L746" t="s">
        <v>92</v>
      </c>
      <c r="M746" t="s">
        <v>219</v>
      </c>
      <c r="N746" s="19">
        <v>46262</v>
      </c>
      <c r="O746" t="s">
        <v>220</v>
      </c>
      <c r="P746">
        <v>1</v>
      </c>
      <c r="Q746" t="s">
        <v>2468</v>
      </c>
    </row>
    <row r="747" spans="1:18" x14ac:dyDescent="0.3">
      <c r="A747" t="s">
        <v>2469</v>
      </c>
      <c r="B747" t="s">
        <v>2470</v>
      </c>
      <c r="C747" t="s">
        <v>461</v>
      </c>
      <c r="D747" t="s">
        <v>155</v>
      </c>
      <c r="E747" t="s">
        <v>156</v>
      </c>
      <c r="F747" t="s">
        <v>531</v>
      </c>
      <c r="G747" t="s">
        <v>2153</v>
      </c>
      <c r="H747">
        <v>18640.72</v>
      </c>
      <c r="I747">
        <v>5</v>
      </c>
      <c r="J747" t="s">
        <v>230</v>
      </c>
      <c r="K747" t="s">
        <v>965</v>
      </c>
      <c r="L747" t="s">
        <v>92</v>
      </c>
      <c r="M747" t="s">
        <v>219</v>
      </c>
      <c r="N747" s="19">
        <v>46262</v>
      </c>
      <c r="O747" t="s">
        <v>220</v>
      </c>
      <c r="P747">
        <v>1</v>
      </c>
      <c r="Q747" t="s">
        <v>2471</v>
      </c>
    </row>
    <row r="748" spans="1:18" x14ac:dyDescent="0.3">
      <c r="A748" t="s">
        <v>2472</v>
      </c>
      <c r="B748" t="s">
        <v>2473</v>
      </c>
      <c r="C748" t="s">
        <v>461</v>
      </c>
      <c r="D748" t="s">
        <v>155</v>
      </c>
      <c r="E748" t="s">
        <v>156</v>
      </c>
      <c r="F748" t="s">
        <v>531</v>
      </c>
      <c r="G748" t="s">
        <v>2153</v>
      </c>
      <c r="H748">
        <v>33392.39</v>
      </c>
      <c r="I748">
        <v>5</v>
      </c>
      <c r="J748" t="s">
        <v>230</v>
      </c>
      <c r="K748" t="s">
        <v>965</v>
      </c>
      <c r="L748" t="s">
        <v>92</v>
      </c>
      <c r="M748" t="s">
        <v>219</v>
      </c>
      <c r="N748" s="19">
        <v>46262</v>
      </c>
      <c r="O748" t="s">
        <v>220</v>
      </c>
      <c r="P748">
        <v>1</v>
      </c>
      <c r="Q748" t="s">
        <v>2474</v>
      </c>
    </row>
    <row r="749" spans="1:18" x14ac:dyDescent="0.3">
      <c r="A749" t="s">
        <v>2475</v>
      </c>
      <c r="B749" t="s">
        <v>2476</v>
      </c>
      <c r="C749" t="s">
        <v>461</v>
      </c>
      <c r="D749" t="s">
        <v>155</v>
      </c>
      <c r="E749" t="s">
        <v>156</v>
      </c>
      <c r="F749" t="s">
        <v>531</v>
      </c>
      <c r="G749" t="s">
        <v>2153</v>
      </c>
      <c r="H749">
        <v>0</v>
      </c>
      <c r="I749">
        <v>0</v>
      </c>
      <c r="J749" t="s">
        <v>230</v>
      </c>
      <c r="K749" t="s">
        <v>965</v>
      </c>
      <c r="L749" t="s">
        <v>92</v>
      </c>
      <c r="M749" t="s">
        <v>219</v>
      </c>
      <c r="N749" s="19">
        <v>46262</v>
      </c>
      <c r="O749" t="s">
        <v>220</v>
      </c>
      <c r="P749">
        <v>1</v>
      </c>
      <c r="Q749" t="s">
        <v>2477</v>
      </c>
    </row>
    <row r="750" spans="1:18" x14ac:dyDescent="0.3">
      <c r="A750" t="s">
        <v>2478</v>
      </c>
      <c r="B750" t="s">
        <v>2459</v>
      </c>
      <c r="C750" t="s">
        <v>461</v>
      </c>
      <c r="D750" t="s">
        <v>155</v>
      </c>
      <c r="E750" t="s">
        <v>156</v>
      </c>
      <c r="F750" t="s">
        <v>531</v>
      </c>
      <c r="G750" t="s">
        <v>2348</v>
      </c>
      <c r="H750">
        <v>3242.86</v>
      </c>
      <c r="I750">
        <v>5</v>
      </c>
      <c r="J750" t="s">
        <v>230</v>
      </c>
      <c r="K750" t="s">
        <v>965</v>
      </c>
      <c r="L750" t="s">
        <v>92</v>
      </c>
      <c r="M750" t="s">
        <v>219</v>
      </c>
      <c r="N750" s="19">
        <v>46262</v>
      </c>
      <c r="O750" t="s">
        <v>220</v>
      </c>
      <c r="P750">
        <v>3</v>
      </c>
      <c r="Q750" t="s">
        <v>2479</v>
      </c>
      <c r="R750" t="s">
        <v>92</v>
      </c>
    </row>
    <row r="751" spans="1:18" x14ac:dyDescent="0.3">
      <c r="A751" t="s">
        <v>2480</v>
      </c>
      <c r="B751" t="s">
        <v>2459</v>
      </c>
      <c r="C751" t="s">
        <v>461</v>
      </c>
      <c r="D751" t="s">
        <v>155</v>
      </c>
      <c r="E751" t="s">
        <v>156</v>
      </c>
      <c r="F751" t="s">
        <v>531</v>
      </c>
      <c r="G751" t="s">
        <v>2348</v>
      </c>
      <c r="H751">
        <v>3756.47</v>
      </c>
      <c r="I751">
        <v>5</v>
      </c>
      <c r="J751" t="s">
        <v>230</v>
      </c>
      <c r="K751" t="s">
        <v>965</v>
      </c>
      <c r="L751" t="s">
        <v>92</v>
      </c>
      <c r="M751" t="s">
        <v>219</v>
      </c>
      <c r="N751" s="19">
        <v>46262</v>
      </c>
      <c r="O751" t="s">
        <v>220</v>
      </c>
      <c r="P751">
        <v>3</v>
      </c>
      <c r="Q751" t="s">
        <v>2481</v>
      </c>
      <c r="R751" t="s">
        <v>92</v>
      </c>
    </row>
    <row r="752" spans="1:18" x14ac:dyDescent="0.3">
      <c r="A752" t="s">
        <v>2482</v>
      </c>
      <c r="B752" t="s">
        <v>2459</v>
      </c>
      <c r="C752" t="s">
        <v>461</v>
      </c>
      <c r="D752" t="s">
        <v>155</v>
      </c>
      <c r="E752" t="s">
        <v>156</v>
      </c>
      <c r="F752" t="s">
        <v>531</v>
      </c>
      <c r="G752" t="s">
        <v>2348</v>
      </c>
      <c r="H752">
        <v>3357.21</v>
      </c>
      <c r="I752">
        <v>5</v>
      </c>
      <c r="J752" t="s">
        <v>230</v>
      </c>
      <c r="K752" t="s">
        <v>965</v>
      </c>
      <c r="L752" t="s">
        <v>92</v>
      </c>
      <c r="M752" t="s">
        <v>219</v>
      </c>
      <c r="N752" s="19">
        <v>46262</v>
      </c>
      <c r="O752" t="s">
        <v>220</v>
      </c>
      <c r="P752">
        <v>3</v>
      </c>
      <c r="Q752" t="s">
        <v>2483</v>
      </c>
      <c r="R752" t="s">
        <v>92</v>
      </c>
    </row>
    <row r="753" spans="1:18" x14ac:dyDescent="0.3">
      <c r="A753" t="s">
        <v>2484</v>
      </c>
      <c r="B753" t="s">
        <v>2343</v>
      </c>
      <c r="C753" t="s">
        <v>461</v>
      </c>
      <c r="D753" t="s">
        <v>155</v>
      </c>
      <c r="E753" t="s">
        <v>156</v>
      </c>
      <c r="F753" t="s">
        <v>531</v>
      </c>
      <c r="G753" t="s">
        <v>2344</v>
      </c>
      <c r="H753">
        <v>3870.81</v>
      </c>
      <c r="I753">
        <v>5</v>
      </c>
      <c r="J753" t="s">
        <v>230</v>
      </c>
      <c r="K753" t="s">
        <v>965</v>
      </c>
      <c r="L753" t="s">
        <v>92</v>
      </c>
      <c r="M753" t="s">
        <v>219</v>
      </c>
      <c r="N753" s="19">
        <v>46262</v>
      </c>
      <c r="O753" t="s">
        <v>220</v>
      </c>
      <c r="P753">
        <v>3</v>
      </c>
      <c r="Q753" t="s">
        <v>2485</v>
      </c>
      <c r="R753" t="s">
        <v>92</v>
      </c>
    </row>
    <row r="754" spans="1:18" x14ac:dyDescent="0.3">
      <c r="A754" t="s">
        <v>2486</v>
      </c>
      <c r="B754" t="s">
        <v>2459</v>
      </c>
      <c r="C754" t="s">
        <v>461</v>
      </c>
      <c r="D754" t="s">
        <v>155</v>
      </c>
      <c r="E754" t="s">
        <v>156</v>
      </c>
      <c r="F754" t="s">
        <v>531</v>
      </c>
      <c r="G754" t="s">
        <v>2348</v>
      </c>
      <c r="H754">
        <v>571.25</v>
      </c>
      <c r="I754">
        <v>5</v>
      </c>
      <c r="J754" t="s">
        <v>230</v>
      </c>
      <c r="K754" t="s">
        <v>965</v>
      </c>
      <c r="L754" t="s">
        <v>92</v>
      </c>
      <c r="M754" t="s">
        <v>219</v>
      </c>
      <c r="N754" s="19">
        <v>46262</v>
      </c>
      <c r="O754" t="s">
        <v>220</v>
      </c>
      <c r="P754">
        <v>2</v>
      </c>
      <c r="Q754" t="s">
        <v>2487</v>
      </c>
      <c r="R754" t="s">
        <v>92</v>
      </c>
    </row>
    <row r="755" spans="1:18" x14ac:dyDescent="0.3">
      <c r="A755" t="s">
        <v>2488</v>
      </c>
      <c r="B755" t="s">
        <v>2459</v>
      </c>
      <c r="C755" t="s">
        <v>461</v>
      </c>
      <c r="D755" t="s">
        <v>155</v>
      </c>
      <c r="E755" t="s">
        <v>156</v>
      </c>
      <c r="F755" t="s">
        <v>531</v>
      </c>
      <c r="G755" t="s">
        <v>2348</v>
      </c>
      <c r="H755">
        <v>707.24</v>
      </c>
      <c r="I755">
        <v>5</v>
      </c>
      <c r="J755" t="s">
        <v>230</v>
      </c>
      <c r="K755" t="s">
        <v>965</v>
      </c>
      <c r="L755" t="s">
        <v>92</v>
      </c>
      <c r="M755" t="s">
        <v>219</v>
      </c>
      <c r="N755" s="19">
        <v>46262</v>
      </c>
      <c r="O755" t="s">
        <v>220</v>
      </c>
      <c r="P755">
        <v>3</v>
      </c>
      <c r="Q755" t="s">
        <v>2489</v>
      </c>
      <c r="R755" t="s">
        <v>92</v>
      </c>
    </row>
    <row r="756" spans="1:18" x14ac:dyDescent="0.3">
      <c r="A756" t="s">
        <v>2490</v>
      </c>
      <c r="B756" t="s">
        <v>2491</v>
      </c>
      <c r="C756" t="s">
        <v>461</v>
      </c>
      <c r="D756" t="s">
        <v>155</v>
      </c>
      <c r="E756" t="s">
        <v>156</v>
      </c>
      <c r="F756" t="s">
        <v>531</v>
      </c>
      <c r="G756" t="s">
        <v>2344</v>
      </c>
      <c r="H756">
        <v>1293.6099999999999</v>
      </c>
      <c r="I756">
        <v>5</v>
      </c>
      <c r="J756" t="s">
        <v>230</v>
      </c>
      <c r="K756" t="s">
        <v>965</v>
      </c>
      <c r="L756" t="s">
        <v>92</v>
      </c>
      <c r="M756" t="s">
        <v>219</v>
      </c>
      <c r="N756" s="19">
        <v>46262</v>
      </c>
      <c r="O756" t="s">
        <v>220</v>
      </c>
      <c r="P756">
        <v>1</v>
      </c>
      <c r="Q756" t="s">
        <v>2492</v>
      </c>
    </row>
    <row r="757" spans="1:18" x14ac:dyDescent="0.3">
      <c r="A757" t="s">
        <v>2493</v>
      </c>
      <c r="B757" t="s">
        <v>2494</v>
      </c>
      <c r="C757" t="s">
        <v>461</v>
      </c>
      <c r="D757" t="s">
        <v>155</v>
      </c>
      <c r="E757" t="s">
        <v>156</v>
      </c>
      <c r="F757" t="s">
        <v>531</v>
      </c>
      <c r="G757" t="s">
        <v>2348</v>
      </c>
      <c r="H757">
        <v>514.54999999999995</v>
      </c>
      <c r="I757">
        <v>5</v>
      </c>
      <c r="J757" t="s">
        <v>230</v>
      </c>
      <c r="K757" t="s">
        <v>965</v>
      </c>
      <c r="L757" t="s">
        <v>92</v>
      </c>
      <c r="M757" t="s">
        <v>219</v>
      </c>
      <c r="N757" s="19">
        <v>46262</v>
      </c>
      <c r="O757" t="s">
        <v>220</v>
      </c>
      <c r="P757">
        <v>1</v>
      </c>
      <c r="Q757" t="s">
        <v>2495</v>
      </c>
    </row>
    <row r="758" spans="1:18" x14ac:dyDescent="0.3">
      <c r="A758" t="s">
        <v>2496</v>
      </c>
      <c r="B758" t="s">
        <v>2459</v>
      </c>
      <c r="C758" t="s">
        <v>461</v>
      </c>
      <c r="D758" t="s">
        <v>155</v>
      </c>
      <c r="E758" t="s">
        <v>156</v>
      </c>
      <c r="F758" t="s">
        <v>531</v>
      </c>
      <c r="G758" t="s">
        <v>2348</v>
      </c>
      <c r="H758">
        <v>857.68</v>
      </c>
      <c r="I758">
        <v>5</v>
      </c>
      <c r="J758" t="s">
        <v>230</v>
      </c>
      <c r="K758" t="s">
        <v>965</v>
      </c>
      <c r="L758" t="s">
        <v>92</v>
      </c>
      <c r="M758" t="s">
        <v>219</v>
      </c>
      <c r="N758" s="19">
        <v>46262</v>
      </c>
      <c r="O758" t="s">
        <v>220</v>
      </c>
      <c r="P758">
        <v>2</v>
      </c>
      <c r="Q758" t="s">
        <v>2497</v>
      </c>
      <c r="R758" t="s">
        <v>92</v>
      </c>
    </row>
    <row r="759" spans="1:18" x14ac:dyDescent="0.3">
      <c r="A759" t="s">
        <v>2498</v>
      </c>
      <c r="B759" t="s">
        <v>2343</v>
      </c>
      <c r="C759" t="s">
        <v>461</v>
      </c>
      <c r="D759" t="s">
        <v>155</v>
      </c>
      <c r="E759" t="s">
        <v>156</v>
      </c>
      <c r="F759" t="s">
        <v>531</v>
      </c>
      <c r="G759" t="s">
        <v>2344</v>
      </c>
      <c r="H759">
        <v>1444.05</v>
      </c>
      <c r="I759">
        <v>5</v>
      </c>
      <c r="J759" t="s">
        <v>230</v>
      </c>
      <c r="K759" t="s">
        <v>965</v>
      </c>
      <c r="L759" t="s">
        <v>92</v>
      </c>
      <c r="M759" t="s">
        <v>219</v>
      </c>
      <c r="N759" s="19">
        <v>46262</v>
      </c>
      <c r="O759" t="s">
        <v>220</v>
      </c>
      <c r="P759">
        <v>2</v>
      </c>
      <c r="Q759" t="s">
        <v>2499</v>
      </c>
      <c r="R759" t="s">
        <v>92</v>
      </c>
    </row>
    <row r="760" spans="1:18" x14ac:dyDescent="0.3">
      <c r="A760" t="s">
        <v>2500</v>
      </c>
      <c r="B760" t="s">
        <v>2459</v>
      </c>
      <c r="C760" t="s">
        <v>461</v>
      </c>
      <c r="D760" t="s">
        <v>155</v>
      </c>
      <c r="E760" t="s">
        <v>156</v>
      </c>
      <c r="F760" t="s">
        <v>531</v>
      </c>
      <c r="G760" t="s">
        <v>2348</v>
      </c>
      <c r="H760">
        <v>810.34</v>
      </c>
      <c r="I760">
        <v>5</v>
      </c>
      <c r="J760" t="s">
        <v>230</v>
      </c>
      <c r="K760" t="s">
        <v>965</v>
      </c>
      <c r="L760" t="s">
        <v>92</v>
      </c>
      <c r="M760" t="s">
        <v>219</v>
      </c>
      <c r="N760" s="19">
        <v>46262</v>
      </c>
      <c r="O760" t="s">
        <v>220</v>
      </c>
      <c r="P760">
        <v>2</v>
      </c>
      <c r="Q760" t="s">
        <v>2501</v>
      </c>
      <c r="R760" t="s">
        <v>92</v>
      </c>
    </row>
    <row r="761" spans="1:18" x14ac:dyDescent="0.3">
      <c r="A761" t="s">
        <v>2502</v>
      </c>
      <c r="B761" t="s">
        <v>2343</v>
      </c>
      <c r="C761" t="s">
        <v>461</v>
      </c>
      <c r="D761" t="s">
        <v>155</v>
      </c>
      <c r="E761" t="s">
        <v>156</v>
      </c>
      <c r="F761" t="s">
        <v>531</v>
      </c>
      <c r="G761" t="s">
        <v>2344</v>
      </c>
      <c r="H761">
        <v>1396.71</v>
      </c>
      <c r="I761">
        <v>5</v>
      </c>
      <c r="J761" t="s">
        <v>230</v>
      </c>
      <c r="K761" t="s">
        <v>965</v>
      </c>
      <c r="L761" t="s">
        <v>92</v>
      </c>
      <c r="M761" t="s">
        <v>219</v>
      </c>
      <c r="N761" s="19">
        <v>46262</v>
      </c>
      <c r="O761" t="s">
        <v>220</v>
      </c>
      <c r="P761">
        <v>2</v>
      </c>
      <c r="Q761" t="s">
        <v>2503</v>
      </c>
      <c r="R761" t="s">
        <v>92</v>
      </c>
    </row>
    <row r="762" spans="1:18" x14ac:dyDescent="0.3">
      <c r="A762" t="s">
        <v>2504</v>
      </c>
      <c r="B762" t="s">
        <v>2505</v>
      </c>
      <c r="C762" t="s">
        <v>461</v>
      </c>
      <c r="D762" t="s">
        <v>155</v>
      </c>
      <c r="E762" t="s">
        <v>156</v>
      </c>
      <c r="F762" t="s">
        <v>531</v>
      </c>
      <c r="G762" t="s">
        <v>2348</v>
      </c>
      <c r="H762">
        <v>735.87</v>
      </c>
      <c r="I762">
        <v>5</v>
      </c>
      <c r="J762" t="s">
        <v>230</v>
      </c>
      <c r="K762" t="s">
        <v>965</v>
      </c>
      <c r="L762" t="s">
        <v>92</v>
      </c>
      <c r="M762" t="s">
        <v>219</v>
      </c>
      <c r="N762" s="19">
        <v>46262</v>
      </c>
      <c r="O762" t="s">
        <v>220</v>
      </c>
      <c r="P762">
        <v>1</v>
      </c>
      <c r="Q762" t="s">
        <v>2506</v>
      </c>
    </row>
    <row r="763" spans="1:18" x14ac:dyDescent="0.3">
      <c r="A763" t="s">
        <v>2507</v>
      </c>
      <c r="B763" t="s">
        <v>2508</v>
      </c>
      <c r="C763" t="s">
        <v>461</v>
      </c>
      <c r="D763" t="s">
        <v>155</v>
      </c>
      <c r="E763" t="s">
        <v>156</v>
      </c>
      <c r="F763" t="s">
        <v>531</v>
      </c>
      <c r="G763" t="s">
        <v>2348</v>
      </c>
      <c r="H763">
        <v>714.33</v>
      </c>
      <c r="I763">
        <v>5</v>
      </c>
      <c r="J763" t="s">
        <v>230</v>
      </c>
      <c r="K763" t="s">
        <v>965</v>
      </c>
      <c r="L763" t="s">
        <v>92</v>
      </c>
      <c r="M763" t="s">
        <v>219</v>
      </c>
      <c r="N763" s="19">
        <v>46262</v>
      </c>
      <c r="O763" t="s">
        <v>220</v>
      </c>
      <c r="P763">
        <v>1</v>
      </c>
      <c r="Q763" t="s">
        <v>2509</v>
      </c>
    </row>
    <row r="764" spans="1:18" x14ac:dyDescent="0.3">
      <c r="A764" t="s">
        <v>2510</v>
      </c>
      <c r="B764" t="s">
        <v>2511</v>
      </c>
      <c r="C764" t="s">
        <v>461</v>
      </c>
      <c r="D764" t="s">
        <v>155</v>
      </c>
      <c r="E764" t="s">
        <v>156</v>
      </c>
      <c r="F764" t="s">
        <v>531</v>
      </c>
      <c r="G764" t="s">
        <v>2348</v>
      </c>
      <c r="H764">
        <v>838.31</v>
      </c>
      <c r="I764">
        <v>5</v>
      </c>
      <c r="J764" t="s">
        <v>230</v>
      </c>
      <c r="K764" t="s">
        <v>965</v>
      </c>
      <c r="L764" t="s">
        <v>92</v>
      </c>
      <c r="M764" t="s">
        <v>219</v>
      </c>
      <c r="N764" s="19">
        <v>46262</v>
      </c>
      <c r="O764" t="s">
        <v>220</v>
      </c>
      <c r="P764">
        <v>1</v>
      </c>
      <c r="Q764" t="s">
        <v>2512</v>
      </c>
    </row>
    <row r="765" spans="1:18" x14ac:dyDescent="0.3">
      <c r="A765" t="s">
        <v>2513</v>
      </c>
      <c r="B765" t="s">
        <v>2514</v>
      </c>
      <c r="C765" t="s">
        <v>461</v>
      </c>
      <c r="D765" t="s">
        <v>155</v>
      </c>
      <c r="E765" t="s">
        <v>156</v>
      </c>
      <c r="F765" t="s">
        <v>531</v>
      </c>
      <c r="G765" t="s">
        <v>2348</v>
      </c>
      <c r="H765">
        <v>3198.26</v>
      </c>
      <c r="I765">
        <v>5</v>
      </c>
      <c r="J765" t="s">
        <v>230</v>
      </c>
      <c r="K765" t="s">
        <v>965</v>
      </c>
      <c r="L765" t="s">
        <v>92</v>
      </c>
      <c r="M765" t="s">
        <v>219</v>
      </c>
      <c r="N765" s="19">
        <v>46262</v>
      </c>
      <c r="O765" t="s">
        <v>220</v>
      </c>
      <c r="P765">
        <v>1</v>
      </c>
      <c r="Q765" t="s">
        <v>2515</v>
      </c>
    </row>
    <row r="766" spans="1:18" x14ac:dyDescent="0.3">
      <c r="A766" t="s">
        <v>2516</v>
      </c>
      <c r="B766" t="s">
        <v>2517</v>
      </c>
      <c r="C766" t="s">
        <v>461</v>
      </c>
      <c r="D766" t="s">
        <v>155</v>
      </c>
      <c r="E766" t="s">
        <v>156</v>
      </c>
      <c r="F766" t="s">
        <v>531</v>
      </c>
      <c r="G766" t="s">
        <v>2348</v>
      </c>
      <c r="H766">
        <v>2546.21</v>
      </c>
      <c r="I766">
        <v>5</v>
      </c>
      <c r="J766" t="s">
        <v>230</v>
      </c>
      <c r="K766" t="s">
        <v>965</v>
      </c>
      <c r="L766" t="s">
        <v>92</v>
      </c>
      <c r="M766" t="s">
        <v>219</v>
      </c>
      <c r="N766" s="19">
        <v>46262</v>
      </c>
      <c r="O766" t="s">
        <v>220</v>
      </c>
      <c r="P766">
        <v>1</v>
      </c>
      <c r="Q766" t="s">
        <v>2518</v>
      </c>
    </row>
    <row r="767" spans="1:18" x14ac:dyDescent="0.3">
      <c r="A767" t="s">
        <v>2519</v>
      </c>
      <c r="B767" t="s">
        <v>2520</v>
      </c>
      <c r="C767" t="s">
        <v>461</v>
      </c>
      <c r="D767" t="s">
        <v>155</v>
      </c>
      <c r="E767" t="s">
        <v>156</v>
      </c>
      <c r="F767" t="s">
        <v>531</v>
      </c>
      <c r="G767" t="s">
        <v>2344</v>
      </c>
      <c r="H767">
        <v>3059.82</v>
      </c>
      <c r="I767">
        <v>5</v>
      </c>
      <c r="J767" t="s">
        <v>230</v>
      </c>
      <c r="K767" t="s">
        <v>965</v>
      </c>
      <c r="L767" t="s">
        <v>92</v>
      </c>
      <c r="M767" t="s">
        <v>219</v>
      </c>
      <c r="N767" s="19">
        <v>46262</v>
      </c>
      <c r="O767" t="s">
        <v>220</v>
      </c>
      <c r="P767">
        <v>1</v>
      </c>
      <c r="Q767" t="s">
        <v>2521</v>
      </c>
    </row>
    <row r="768" spans="1:18" x14ac:dyDescent="0.3">
      <c r="A768" t="s">
        <v>2522</v>
      </c>
      <c r="B768" t="s">
        <v>2523</v>
      </c>
      <c r="C768" t="s">
        <v>461</v>
      </c>
      <c r="D768" t="s">
        <v>155</v>
      </c>
      <c r="E768" t="s">
        <v>156</v>
      </c>
      <c r="F768" t="s">
        <v>531</v>
      </c>
      <c r="G768" t="s">
        <v>2348</v>
      </c>
      <c r="H768">
        <v>2510.6799999999998</v>
      </c>
      <c r="I768">
        <v>5</v>
      </c>
      <c r="J768" t="s">
        <v>230</v>
      </c>
      <c r="K768" t="s">
        <v>965</v>
      </c>
      <c r="L768" t="s">
        <v>92</v>
      </c>
      <c r="M768" t="s">
        <v>219</v>
      </c>
      <c r="N768" s="19">
        <v>46262</v>
      </c>
      <c r="O768" t="s">
        <v>220</v>
      </c>
      <c r="P768">
        <v>1</v>
      </c>
      <c r="Q768" t="s">
        <v>2524</v>
      </c>
    </row>
    <row r="769" spans="1:18" x14ac:dyDescent="0.3">
      <c r="A769" t="s">
        <v>2525</v>
      </c>
      <c r="B769" t="s">
        <v>2526</v>
      </c>
      <c r="C769" t="s">
        <v>461</v>
      </c>
      <c r="D769" t="s">
        <v>155</v>
      </c>
      <c r="E769" t="s">
        <v>156</v>
      </c>
      <c r="F769" t="s">
        <v>531</v>
      </c>
      <c r="G769" t="s">
        <v>2348</v>
      </c>
      <c r="H769">
        <v>1837.93</v>
      </c>
      <c r="I769">
        <v>5</v>
      </c>
      <c r="J769" t="s">
        <v>230</v>
      </c>
      <c r="K769" t="s">
        <v>965</v>
      </c>
      <c r="L769" t="s">
        <v>92</v>
      </c>
      <c r="M769" t="s">
        <v>219</v>
      </c>
      <c r="N769" s="19">
        <v>46262</v>
      </c>
      <c r="O769" t="s">
        <v>220</v>
      </c>
      <c r="P769">
        <v>1</v>
      </c>
      <c r="Q769" t="s">
        <v>2527</v>
      </c>
    </row>
    <row r="770" spans="1:18" x14ac:dyDescent="0.3">
      <c r="A770" t="s">
        <v>2528</v>
      </c>
      <c r="B770" t="s">
        <v>2529</v>
      </c>
      <c r="C770" t="s">
        <v>461</v>
      </c>
      <c r="D770" t="s">
        <v>155</v>
      </c>
      <c r="E770" t="s">
        <v>156</v>
      </c>
      <c r="F770" t="s">
        <v>531</v>
      </c>
      <c r="G770" t="s">
        <v>2348</v>
      </c>
      <c r="H770">
        <v>1395.39</v>
      </c>
      <c r="I770">
        <v>5</v>
      </c>
      <c r="J770" t="s">
        <v>230</v>
      </c>
      <c r="K770" t="s">
        <v>965</v>
      </c>
      <c r="L770" t="s">
        <v>92</v>
      </c>
      <c r="M770" t="s">
        <v>219</v>
      </c>
      <c r="N770" s="19">
        <v>46262</v>
      </c>
      <c r="O770" t="s">
        <v>220</v>
      </c>
      <c r="P770">
        <v>1</v>
      </c>
      <c r="Q770" t="s">
        <v>2530</v>
      </c>
    </row>
    <row r="771" spans="1:18" x14ac:dyDescent="0.3">
      <c r="A771" t="s">
        <v>2531</v>
      </c>
      <c r="B771" t="s">
        <v>2532</v>
      </c>
      <c r="C771" t="s">
        <v>461</v>
      </c>
      <c r="D771" t="s">
        <v>155</v>
      </c>
      <c r="E771" t="s">
        <v>156</v>
      </c>
      <c r="F771" t="s">
        <v>531</v>
      </c>
      <c r="G771" t="s">
        <v>2344</v>
      </c>
      <c r="H771">
        <v>1908.99</v>
      </c>
      <c r="I771">
        <v>5</v>
      </c>
      <c r="J771" t="s">
        <v>230</v>
      </c>
      <c r="K771" t="s">
        <v>965</v>
      </c>
      <c r="L771" t="s">
        <v>92</v>
      </c>
      <c r="M771" t="s">
        <v>219</v>
      </c>
      <c r="N771" s="19">
        <v>46262</v>
      </c>
      <c r="O771" t="s">
        <v>220</v>
      </c>
      <c r="P771">
        <v>1</v>
      </c>
      <c r="Q771" t="s">
        <v>2533</v>
      </c>
    </row>
    <row r="772" spans="1:18" x14ac:dyDescent="0.3">
      <c r="A772" t="s">
        <v>2534</v>
      </c>
      <c r="B772" t="s">
        <v>2535</v>
      </c>
      <c r="C772" t="s">
        <v>461</v>
      </c>
      <c r="D772" t="s">
        <v>155</v>
      </c>
      <c r="E772" t="s">
        <v>156</v>
      </c>
      <c r="F772" t="s">
        <v>531</v>
      </c>
      <c r="G772" t="s">
        <v>2348</v>
      </c>
      <c r="H772">
        <v>5658</v>
      </c>
      <c r="I772">
        <v>5</v>
      </c>
      <c r="J772" t="s">
        <v>230</v>
      </c>
      <c r="K772" t="s">
        <v>965</v>
      </c>
      <c r="L772" t="s">
        <v>92</v>
      </c>
      <c r="M772" t="s">
        <v>219</v>
      </c>
      <c r="N772" s="19">
        <v>46262</v>
      </c>
      <c r="O772" t="s">
        <v>220</v>
      </c>
      <c r="P772">
        <v>1</v>
      </c>
      <c r="Q772" t="s">
        <v>2536</v>
      </c>
    </row>
    <row r="773" spans="1:18" x14ac:dyDescent="0.3">
      <c r="A773" t="s">
        <v>2537</v>
      </c>
      <c r="B773" t="s">
        <v>2538</v>
      </c>
      <c r="C773" t="s">
        <v>461</v>
      </c>
      <c r="D773" t="s">
        <v>155</v>
      </c>
      <c r="E773" t="s">
        <v>156</v>
      </c>
      <c r="F773" t="s">
        <v>531</v>
      </c>
      <c r="G773" t="s">
        <v>2348</v>
      </c>
      <c r="H773">
        <v>1423.45</v>
      </c>
      <c r="I773">
        <v>5</v>
      </c>
      <c r="J773" t="s">
        <v>230</v>
      </c>
      <c r="K773" t="s">
        <v>965</v>
      </c>
      <c r="L773" t="s">
        <v>92</v>
      </c>
      <c r="M773" t="s">
        <v>219</v>
      </c>
      <c r="N773" s="19">
        <v>46262</v>
      </c>
      <c r="O773" t="s">
        <v>220</v>
      </c>
      <c r="P773">
        <v>1</v>
      </c>
      <c r="Q773" t="s">
        <v>2539</v>
      </c>
    </row>
    <row r="774" spans="1:18" x14ac:dyDescent="0.3">
      <c r="A774" t="s">
        <v>2540</v>
      </c>
      <c r="B774" t="s">
        <v>2541</v>
      </c>
      <c r="C774" t="s">
        <v>461</v>
      </c>
      <c r="D774" t="s">
        <v>155</v>
      </c>
      <c r="E774" t="s">
        <v>156</v>
      </c>
      <c r="F774" t="s">
        <v>531</v>
      </c>
      <c r="G774" t="s">
        <v>2344</v>
      </c>
      <c r="H774">
        <v>1937.06</v>
      </c>
      <c r="I774">
        <v>5</v>
      </c>
      <c r="J774" t="s">
        <v>230</v>
      </c>
      <c r="K774" t="s">
        <v>965</v>
      </c>
      <c r="L774" t="s">
        <v>92</v>
      </c>
      <c r="M774" t="s">
        <v>219</v>
      </c>
      <c r="N774" s="19">
        <v>46262</v>
      </c>
      <c r="O774" t="s">
        <v>220</v>
      </c>
      <c r="P774">
        <v>1</v>
      </c>
      <c r="Q774" t="s">
        <v>2542</v>
      </c>
    </row>
    <row r="775" spans="1:18" x14ac:dyDescent="0.3">
      <c r="A775" t="s">
        <v>2543</v>
      </c>
      <c r="B775" t="s">
        <v>2544</v>
      </c>
      <c r="C775" t="s">
        <v>461</v>
      </c>
      <c r="D775" t="s">
        <v>155</v>
      </c>
      <c r="E775" t="s">
        <v>156</v>
      </c>
      <c r="F775" t="s">
        <v>531</v>
      </c>
      <c r="G775" t="s">
        <v>2348</v>
      </c>
      <c r="H775">
        <v>1705.25</v>
      </c>
      <c r="I775">
        <v>5</v>
      </c>
      <c r="J775" t="s">
        <v>230</v>
      </c>
      <c r="K775" t="s">
        <v>965</v>
      </c>
      <c r="L775" t="s">
        <v>92</v>
      </c>
      <c r="M775" t="s">
        <v>219</v>
      </c>
      <c r="N775" s="19">
        <v>46262</v>
      </c>
      <c r="O775" t="s">
        <v>220</v>
      </c>
      <c r="P775">
        <v>1</v>
      </c>
      <c r="Q775" t="s">
        <v>2545</v>
      </c>
    </row>
    <row r="776" spans="1:18" x14ac:dyDescent="0.3">
      <c r="A776" t="s">
        <v>2546</v>
      </c>
      <c r="B776" t="s">
        <v>2547</v>
      </c>
      <c r="C776" t="s">
        <v>461</v>
      </c>
      <c r="D776" t="s">
        <v>155</v>
      </c>
      <c r="E776" t="s">
        <v>156</v>
      </c>
      <c r="F776" t="s">
        <v>531</v>
      </c>
      <c r="G776" t="s">
        <v>2348</v>
      </c>
      <c r="H776">
        <v>5117.6499999999996</v>
      </c>
      <c r="I776">
        <v>5</v>
      </c>
      <c r="J776" t="s">
        <v>230</v>
      </c>
      <c r="K776" t="s">
        <v>965</v>
      </c>
      <c r="L776" t="s">
        <v>92</v>
      </c>
      <c r="M776" t="s">
        <v>219</v>
      </c>
      <c r="N776" s="19">
        <v>46262</v>
      </c>
      <c r="O776" t="s">
        <v>220</v>
      </c>
      <c r="P776">
        <v>1</v>
      </c>
      <c r="Q776" t="s">
        <v>2548</v>
      </c>
    </row>
    <row r="777" spans="1:18" x14ac:dyDescent="0.3">
      <c r="A777" t="s">
        <v>2549</v>
      </c>
      <c r="B777" t="s">
        <v>2550</v>
      </c>
      <c r="C777" t="s">
        <v>461</v>
      </c>
      <c r="D777" t="s">
        <v>155</v>
      </c>
      <c r="E777" t="s">
        <v>156</v>
      </c>
      <c r="F777" t="s">
        <v>531</v>
      </c>
      <c r="H777">
        <v>66.06</v>
      </c>
      <c r="I777">
        <v>0</v>
      </c>
      <c r="J777" t="s">
        <v>230</v>
      </c>
      <c r="K777" t="s">
        <v>46</v>
      </c>
      <c r="L777" t="s">
        <v>218</v>
      </c>
      <c r="M777" t="s">
        <v>219</v>
      </c>
      <c r="N777" s="19">
        <v>46262</v>
      </c>
      <c r="O777" t="s">
        <v>220</v>
      </c>
      <c r="P777">
        <v>1</v>
      </c>
      <c r="Q777" t="s">
        <v>2551</v>
      </c>
    </row>
    <row r="778" spans="1:18" x14ac:dyDescent="0.3">
      <c r="A778" t="s">
        <v>2552</v>
      </c>
      <c r="B778" t="s">
        <v>2553</v>
      </c>
      <c r="C778" t="s">
        <v>461</v>
      </c>
      <c r="D778" t="s">
        <v>155</v>
      </c>
      <c r="E778" t="s">
        <v>156</v>
      </c>
      <c r="F778" t="s">
        <v>531</v>
      </c>
      <c r="G778" t="s">
        <v>2348</v>
      </c>
      <c r="H778">
        <v>4811.66</v>
      </c>
      <c r="I778">
        <v>5</v>
      </c>
      <c r="J778" t="s">
        <v>230</v>
      </c>
      <c r="K778" t="s">
        <v>965</v>
      </c>
      <c r="L778" t="s">
        <v>92</v>
      </c>
      <c r="M778" t="s">
        <v>219</v>
      </c>
      <c r="N778" s="19">
        <v>46262</v>
      </c>
      <c r="O778" t="s">
        <v>220</v>
      </c>
      <c r="P778">
        <v>1</v>
      </c>
      <c r="Q778" t="s">
        <v>2554</v>
      </c>
    </row>
    <row r="779" spans="1:18" x14ac:dyDescent="0.3">
      <c r="A779" t="s">
        <v>2555</v>
      </c>
      <c r="B779" t="s">
        <v>2556</v>
      </c>
      <c r="C779" t="s">
        <v>461</v>
      </c>
      <c r="D779" t="s">
        <v>155</v>
      </c>
      <c r="E779" t="s">
        <v>156</v>
      </c>
      <c r="F779" t="s">
        <v>531</v>
      </c>
      <c r="G779" t="s">
        <v>2348</v>
      </c>
      <c r="H779">
        <v>899.92</v>
      </c>
      <c r="I779">
        <v>5</v>
      </c>
      <c r="J779" t="s">
        <v>230</v>
      </c>
      <c r="K779" t="s">
        <v>965</v>
      </c>
      <c r="L779" t="s">
        <v>92</v>
      </c>
      <c r="M779" t="s">
        <v>219</v>
      </c>
      <c r="N779" s="19">
        <v>46262</v>
      </c>
      <c r="O779" t="s">
        <v>220</v>
      </c>
      <c r="P779">
        <v>1</v>
      </c>
      <c r="Q779" t="s">
        <v>2557</v>
      </c>
    </row>
    <row r="780" spans="1:18" x14ac:dyDescent="0.3">
      <c r="A780" t="s">
        <v>2558</v>
      </c>
      <c r="B780" t="s">
        <v>2559</v>
      </c>
      <c r="C780" t="s">
        <v>461</v>
      </c>
      <c r="D780" t="s">
        <v>155</v>
      </c>
      <c r="E780" t="s">
        <v>156</v>
      </c>
      <c r="F780" t="s">
        <v>531</v>
      </c>
      <c r="G780" t="s">
        <v>2348</v>
      </c>
      <c r="H780">
        <v>2236.5300000000002</v>
      </c>
      <c r="I780">
        <v>5</v>
      </c>
      <c r="J780" t="s">
        <v>230</v>
      </c>
      <c r="K780" t="s">
        <v>965</v>
      </c>
      <c r="L780" t="s">
        <v>92</v>
      </c>
      <c r="M780" t="s">
        <v>219</v>
      </c>
      <c r="N780" s="19">
        <v>46262</v>
      </c>
      <c r="O780" t="s">
        <v>220</v>
      </c>
      <c r="P780">
        <v>1</v>
      </c>
      <c r="Q780" t="s">
        <v>2560</v>
      </c>
    </row>
    <row r="781" spans="1:18" x14ac:dyDescent="0.3">
      <c r="A781" t="s">
        <v>2561</v>
      </c>
      <c r="B781" t="s">
        <v>2562</v>
      </c>
      <c r="C781" t="s">
        <v>461</v>
      </c>
      <c r="D781" t="s">
        <v>155</v>
      </c>
      <c r="E781" t="s">
        <v>156</v>
      </c>
      <c r="F781" t="s">
        <v>531</v>
      </c>
      <c r="G781" t="s">
        <v>2348</v>
      </c>
      <c r="H781">
        <v>3573.05</v>
      </c>
      <c r="I781">
        <v>5</v>
      </c>
      <c r="J781" t="s">
        <v>230</v>
      </c>
      <c r="K781" t="s">
        <v>965</v>
      </c>
      <c r="L781" t="s">
        <v>92</v>
      </c>
      <c r="M781" t="s">
        <v>219</v>
      </c>
      <c r="N781" s="19">
        <v>46262</v>
      </c>
      <c r="O781" t="s">
        <v>220</v>
      </c>
      <c r="P781">
        <v>1</v>
      </c>
      <c r="Q781" t="s">
        <v>2563</v>
      </c>
    </row>
    <row r="782" spans="1:18" x14ac:dyDescent="0.3">
      <c r="A782" t="s">
        <v>2564</v>
      </c>
      <c r="B782" t="s">
        <v>2565</v>
      </c>
      <c r="C782" t="s">
        <v>461</v>
      </c>
      <c r="D782" t="s">
        <v>155</v>
      </c>
      <c r="E782" t="s">
        <v>156</v>
      </c>
      <c r="F782" t="s">
        <v>531</v>
      </c>
      <c r="G782" t="s">
        <v>2348</v>
      </c>
      <c r="H782">
        <v>1078.43</v>
      </c>
      <c r="I782">
        <v>5</v>
      </c>
      <c r="J782" t="s">
        <v>230</v>
      </c>
      <c r="K782" t="s">
        <v>965</v>
      </c>
      <c r="L782" t="s">
        <v>92</v>
      </c>
      <c r="M782" t="s">
        <v>219</v>
      </c>
      <c r="N782" s="19">
        <v>46262</v>
      </c>
      <c r="O782" t="s">
        <v>220</v>
      </c>
      <c r="P782">
        <v>1</v>
      </c>
      <c r="Q782" t="s">
        <v>2566</v>
      </c>
    </row>
    <row r="783" spans="1:18" x14ac:dyDescent="0.3">
      <c r="A783" t="s">
        <v>2567</v>
      </c>
      <c r="B783" t="s">
        <v>2568</v>
      </c>
      <c r="C783" t="s">
        <v>461</v>
      </c>
      <c r="D783" t="s">
        <v>155</v>
      </c>
      <c r="E783" t="s">
        <v>156</v>
      </c>
      <c r="F783" t="s">
        <v>531</v>
      </c>
      <c r="G783" t="s">
        <v>2348</v>
      </c>
      <c r="H783">
        <v>2014.27</v>
      </c>
      <c r="I783">
        <v>5</v>
      </c>
      <c r="J783" t="s">
        <v>230</v>
      </c>
      <c r="K783" t="s">
        <v>965</v>
      </c>
      <c r="L783" t="s">
        <v>92</v>
      </c>
      <c r="M783" t="s">
        <v>219</v>
      </c>
      <c r="N783" s="19">
        <v>46262</v>
      </c>
      <c r="O783" t="s">
        <v>220</v>
      </c>
      <c r="P783">
        <v>1</v>
      </c>
      <c r="Q783" t="s">
        <v>2569</v>
      </c>
    </row>
    <row r="784" spans="1:18" x14ac:dyDescent="0.3">
      <c r="A784" t="s">
        <v>2570</v>
      </c>
      <c r="B784" t="s">
        <v>2459</v>
      </c>
      <c r="C784" t="s">
        <v>461</v>
      </c>
      <c r="D784" t="s">
        <v>155</v>
      </c>
      <c r="E784" t="s">
        <v>156</v>
      </c>
      <c r="F784" t="s">
        <v>531</v>
      </c>
      <c r="G784" t="s">
        <v>2348</v>
      </c>
      <c r="H784">
        <v>2905.21</v>
      </c>
      <c r="I784">
        <v>5</v>
      </c>
      <c r="J784" t="s">
        <v>230</v>
      </c>
      <c r="K784" t="s">
        <v>965</v>
      </c>
      <c r="L784" t="s">
        <v>92</v>
      </c>
      <c r="M784" t="s">
        <v>219</v>
      </c>
      <c r="N784" s="19">
        <v>46262</v>
      </c>
      <c r="O784" t="s">
        <v>220</v>
      </c>
      <c r="P784">
        <v>2</v>
      </c>
      <c r="Q784" t="s">
        <v>2571</v>
      </c>
      <c r="R784" t="s">
        <v>92</v>
      </c>
    </row>
    <row r="785" spans="1:18" x14ac:dyDescent="0.3">
      <c r="A785" t="s">
        <v>2572</v>
      </c>
      <c r="B785" t="s">
        <v>2459</v>
      </c>
      <c r="C785" t="s">
        <v>461</v>
      </c>
      <c r="D785" t="s">
        <v>155</v>
      </c>
      <c r="E785" t="s">
        <v>156</v>
      </c>
      <c r="F785" t="s">
        <v>531</v>
      </c>
      <c r="G785" t="s">
        <v>2348</v>
      </c>
      <c r="H785">
        <v>3127.48</v>
      </c>
      <c r="I785">
        <v>5</v>
      </c>
      <c r="J785" t="s">
        <v>230</v>
      </c>
      <c r="K785" t="s">
        <v>965</v>
      </c>
      <c r="L785" t="s">
        <v>92</v>
      </c>
      <c r="M785" t="s">
        <v>219</v>
      </c>
      <c r="N785" s="19">
        <v>46262</v>
      </c>
      <c r="O785" t="s">
        <v>220</v>
      </c>
      <c r="P785">
        <v>2</v>
      </c>
      <c r="Q785" t="s">
        <v>2573</v>
      </c>
      <c r="R785" t="s">
        <v>92</v>
      </c>
    </row>
    <row r="786" spans="1:18" x14ac:dyDescent="0.3">
      <c r="A786" t="s">
        <v>2574</v>
      </c>
      <c r="B786" t="s">
        <v>2575</v>
      </c>
      <c r="C786" t="s">
        <v>461</v>
      </c>
      <c r="D786" t="s">
        <v>155</v>
      </c>
      <c r="E786" t="s">
        <v>156</v>
      </c>
      <c r="F786" t="s">
        <v>531</v>
      </c>
      <c r="G786" t="s">
        <v>2348</v>
      </c>
      <c r="H786">
        <v>3796.25</v>
      </c>
      <c r="I786">
        <v>5</v>
      </c>
      <c r="J786" t="s">
        <v>230</v>
      </c>
      <c r="K786" t="s">
        <v>965</v>
      </c>
      <c r="L786" t="s">
        <v>92</v>
      </c>
      <c r="M786" t="s">
        <v>219</v>
      </c>
      <c r="N786" s="19">
        <v>46262</v>
      </c>
      <c r="O786" t="s">
        <v>220</v>
      </c>
      <c r="P786">
        <v>1</v>
      </c>
      <c r="Q786" t="s">
        <v>2576</v>
      </c>
    </row>
    <row r="787" spans="1:18" x14ac:dyDescent="0.3">
      <c r="A787" t="s">
        <v>2577</v>
      </c>
      <c r="B787" t="s">
        <v>2578</v>
      </c>
      <c r="C787" t="s">
        <v>461</v>
      </c>
      <c r="D787" t="s">
        <v>155</v>
      </c>
      <c r="E787" t="s">
        <v>156</v>
      </c>
      <c r="F787" t="s">
        <v>531</v>
      </c>
      <c r="G787" t="s">
        <v>2348</v>
      </c>
      <c r="H787">
        <v>4909.6499999999996</v>
      </c>
      <c r="I787">
        <v>5</v>
      </c>
      <c r="J787" t="s">
        <v>230</v>
      </c>
      <c r="K787" t="s">
        <v>965</v>
      </c>
      <c r="L787" t="s">
        <v>92</v>
      </c>
      <c r="M787" t="s">
        <v>219</v>
      </c>
      <c r="N787" s="19">
        <v>46262</v>
      </c>
      <c r="O787" t="s">
        <v>220</v>
      </c>
      <c r="P787">
        <v>1</v>
      </c>
      <c r="Q787" t="s">
        <v>2579</v>
      </c>
    </row>
    <row r="788" spans="1:18" x14ac:dyDescent="0.3">
      <c r="A788" t="s">
        <v>2580</v>
      </c>
      <c r="B788" t="s">
        <v>2581</v>
      </c>
      <c r="C788" t="s">
        <v>461</v>
      </c>
      <c r="D788" t="s">
        <v>155</v>
      </c>
      <c r="E788" t="s">
        <v>156</v>
      </c>
      <c r="F788" t="s">
        <v>531</v>
      </c>
      <c r="G788" t="s">
        <v>2348</v>
      </c>
      <c r="H788">
        <v>5132.7700000000004</v>
      </c>
      <c r="I788">
        <v>5</v>
      </c>
      <c r="J788" t="s">
        <v>230</v>
      </c>
      <c r="K788" t="s">
        <v>965</v>
      </c>
      <c r="L788" t="s">
        <v>92</v>
      </c>
      <c r="M788" t="s">
        <v>219</v>
      </c>
      <c r="N788" s="19">
        <v>46262</v>
      </c>
      <c r="O788" t="s">
        <v>220</v>
      </c>
      <c r="P788">
        <v>1</v>
      </c>
      <c r="Q788" t="s">
        <v>2582</v>
      </c>
    </row>
    <row r="789" spans="1:18" x14ac:dyDescent="0.3">
      <c r="A789" t="s">
        <v>2583</v>
      </c>
      <c r="B789" t="s">
        <v>2584</v>
      </c>
      <c r="C789" t="s">
        <v>461</v>
      </c>
      <c r="D789" t="s">
        <v>155</v>
      </c>
      <c r="E789" t="s">
        <v>156</v>
      </c>
      <c r="F789" t="s">
        <v>531</v>
      </c>
      <c r="G789" t="s">
        <v>2348</v>
      </c>
      <c r="H789">
        <v>5355.13</v>
      </c>
      <c r="I789">
        <v>5</v>
      </c>
      <c r="J789" t="s">
        <v>230</v>
      </c>
      <c r="K789" t="s">
        <v>965</v>
      </c>
      <c r="L789" t="s">
        <v>92</v>
      </c>
      <c r="M789" t="s">
        <v>219</v>
      </c>
      <c r="N789" s="19">
        <v>46262</v>
      </c>
      <c r="O789" t="s">
        <v>220</v>
      </c>
      <c r="P789">
        <v>1</v>
      </c>
      <c r="Q789" t="s">
        <v>2585</v>
      </c>
    </row>
    <row r="790" spans="1:18" x14ac:dyDescent="0.3">
      <c r="A790" t="s">
        <v>2586</v>
      </c>
      <c r="B790" t="s">
        <v>2587</v>
      </c>
      <c r="C790" t="s">
        <v>461</v>
      </c>
      <c r="D790" t="s">
        <v>155</v>
      </c>
      <c r="E790" t="s">
        <v>156</v>
      </c>
      <c r="F790" t="s">
        <v>531</v>
      </c>
      <c r="G790" t="s">
        <v>2348</v>
      </c>
      <c r="H790">
        <v>5578.43</v>
      </c>
      <c r="I790">
        <v>5</v>
      </c>
      <c r="J790" t="s">
        <v>230</v>
      </c>
      <c r="K790" t="s">
        <v>965</v>
      </c>
      <c r="L790" t="s">
        <v>92</v>
      </c>
      <c r="M790" t="s">
        <v>219</v>
      </c>
      <c r="N790" s="19">
        <v>46262</v>
      </c>
      <c r="O790" t="s">
        <v>220</v>
      </c>
      <c r="P790">
        <v>1</v>
      </c>
      <c r="Q790" t="s">
        <v>2588</v>
      </c>
    </row>
    <row r="791" spans="1:18" x14ac:dyDescent="0.3">
      <c r="A791" t="s">
        <v>2589</v>
      </c>
      <c r="B791" t="s">
        <v>2590</v>
      </c>
      <c r="C791" t="s">
        <v>461</v>
      </c>
      <c r="D791" t="s">
        <v>155</v>
      </c>
      <c r="E791" t="s">
        <v>156</v>
      </c>
      <c r="F791" t="s">
        <v>531</v>
      </c>
      <c r="G791" t="s">
        <v>2348</v>
      </c>
      <c r="H791">
        <v>6469.38</v>
      </c>
      <c r="I791">
        <v>5</v>
      </c>
      <c r="J791" t="s">
        <v>230</v>
      </c>
      <c r="K791" t="s">
        <v>965</v>
      </c>
      <c r="L791" t="s">
        <v>92</v>
      </c>
      <c r="M791" t="s">
        <v>219</v>
      </c>
      <c r="N791" s="19">
        <v>46262</v>
      </c>
      <c r="O791" t="s">
        <v>220</v>
      </c>
      <c r="P791">
        <v>1</v>
      </c>
      <c r="Q791" t="s">
        <v>2591</v>
      </c>
    </row>
    <row r="792" spans="1:18" x14ac:dyDescent="0.3">
      <c r="A792" t="s">
        <v>2592</v>
      </c>
      <c r="B792" t="s">
        <v>2593</v>
      </c>
      <c r="C792" t="s">
        <v>461</v>
      </c>
      <c r="D792" t="s">
        <v>155</v>
      </c>
      <c r="E792" t="s">
        <v>156</v>
      </c>
      <c r="F792" t="s">
        <v>531</v>
      </c>
      <c r="G792" t="s">
        <v>2348</v>
      </c>
      <c r="H792">
        <v>6691.64</v>
      </c>
      <c r="I792">
        <v>5</v>
      </c>
      <c r="J792" t="s">
        <v>230</v>
      </c>
      <c r="K792" t="s">
        <v>965</v>
      </c>
      <c r="L792" t="s">
        <v>92</v>
      </c>
      <c r="M792" t="s">
        <v>219</v>
      </c>
      <c r="N792" s="19">
        <v>46262</v>
      </c>
      <c r="O792" t="s">
        <v>220</v>
      </c>
      <c r="P792">
        <v>1</v>
      </c>
      <c r="Q792" t="s">
        <v>2594</v>
      </c>
    </row>
    <row r="793" spans="1:18" x14ac:dyDescent="0.3">
      <c r="A793" t="s">
        <v>2595</v>
      </c>
      <c r="B793" t="s">
        <v>2596</v>
      </c>
      <c r="C793" t="s">
        <v>461</v>
      </c>
      <c r="D793" t="s">
        <v>155</v>
      </c>
      <c r="E793" t="s">
        <v>156</v>
      </c>
      <c r="F793" t="s">
        <v>531</v>
      </c>
      <c r="G793" t="s">
        <v>2348</v>
      </c>
      <c r="H793">
        <v>7582.87</v>
      </c>
      <c r="I793">
        <v>5</v>
      </c>
      <c r="J793" t="s">
        <v>230</v>
      </c>
      <c r="K793" t="s">
        <v>965</v>
      </c>
      <c r="L793" t="s">
        <v>92</v>
      </c>
      <c r="M793" t="s">
        <v>219</v>
      </c>
      <c r="N793" s="19">
        <v>46262</v>
      </c>
      <c r="O793" t="s">
        <v>220</v>
      </c>
      <c r="P793">
        <v>1</v>
      </c>
      <c r="Q793" t="s">
        <v>2597</v>
      </c>
    </row>
    <row r="794" spans="1:18" x14ac:dyDescent="0.3">
      <c r="A794" t="s">
        <v>2598</v>
      </c>
      <c r="B794" t="s">
        <v>2599</v>
      </c>
      <c r="C794" t="s">
        <v>461</v>
      </c>
      <c r="D794" t="s">
        <v>155</v>
      </c>
      <c r="E794" t="s">
        <v>156</v>
      </c>
      <c r="F794" t="s">
        <v>531</v>
      </c>
      <c r="G794" t="s">
        <v>2348</v>
      </c>
      <c r="H794">
        <v>7805.98</v>
      </c>
      <c r="I794">
        <v>5</v>
      </c>
      <c r="J794" t="s">
        <v>230</v>
      </c>
      <c r="K794" t="s">
        <v>965</v>
      </c>
      <c r="L794" t="s">
        <v>92</v>
      </c>
      <c r="M794" t="s">
        <v>219</v>
      </c>
      <c r="N794" s="19">
        <v>46262</v>
      </c>
      <c r="O794" t="s">
        <v>220</v>
      </c>
      <c r="P794">
        <v>1</v>
      </c>
      <c r="Q794" t="s">
        <v>2600</v>
      </c>
    </row>
    <row r="795" spans="1:18" x14ac:dyDescent="0.3">
      <c r="A795" t="s">
        <v>2601</v>
      </c>
      <c r="B795" t="s">
        <v>2602</v>
      </c>
      <c r="C795" t="s">
        <v>461</v>
      </c>
      <c r="D795" t="s">
        <v>155</v>
      </c>
      <c r="E795" t="s">
        <v>156</v>
      </c>
      <c r="F795" t="s">
        <v>531</v>
      </c>
      <c r="G795" t="s">
        <v>2348</v>
      </c>
      <c r="H795">
        <v>8028.25</v>
      </c>
      <c r="I795">
        <v>5</v>
      </c>
      <c r="J795" t="s">
        <v>230</v>
      </c>
      <c r="K795" t="s">
        <v>965</v>
      </c>
      <c r="L795" t="s">
        <v>92</v>
      </c>
      <c r="M795" t="s">
        <v>219</v>
      </c>
      <c r="N795" s="19">
        <v>46262</v>
      </c>
      <c r="O795" t="s">
        <v>220</v>
      </c>
      <c r="P795">
        <v>1</v>
      </c>
      <c r="Q795" t="s">
        <v>2603</v>
      </c>
    </row>
    <row r="796" spans="1:18" x14ac:dyDescent="0.3">
      <c r="A796" t="s">
        <v>2604</v>
      </c>
      <c r="B796" t="s">
        <v>2605</v>
      </c>
      <c r="C796" t="s">
        <v>461</v>
      </c>
      <c r="D796" t="s">
        <v>155</v>
      </c>
      <c r="E796" t="s">
        <v>156</v>
      </c>
      <c r="F796" t="s">
        <v>531</v>
      </c>
      <c r="G796" t="s">
        <v>2348</v>
      </c>
      <c r="H796">
        <v>8697.1200000000008</v>
      </c>
      <c r="I796">
        <v>5</v>
      </c>
      <c r="J796" t="s">
        <v>230</v>
      </c>
      <c r="K796" t="s">
        <v>965</v>
      </c>
      <c r="L796" t="s">
        <v>92</v>
      </c>
      <c r="M796" t="s">
        <v>219</v>
      </c>
      <c r="N796" s="19">
        <v>46262</v>
      </c>
      <c r="O796" t="s">
        <v>220</v>
      </c>
      <c r="P796">
        <v>1</v>
      </c>
      <c r="Q796" t="s">
        <v>2606</v>
      </c>
    </row>
    <row r="797" spans="1:18" x14ac:dyDescent="0.3">
      <c r="A797" t="s">
        <v>2607</v>
      </c>
      <c r="B797" t="s">
        <v>2608</v>
      </c>
      <c r="C797" t="s">
        <v>461</v>
      </c>
      <c r="D797" t="s">
        <v>155</v>
      </c>
      <c r="E797" t="s">
        <v>156</v>
      </c>
      <c r="F797" t="s">
        <v>531</v>
      </c>
      <c r="G797" t="s">
        <v>2348</v>
      </c>
      <c r="H797">
        <v>492.35</v>
      </c>
      <c r="I797">
        <v>5</v>
      </c>
      <c r="J797" t="s">
        <v>230</v>
      </c>
      <c r="K797" t="s">
        <v>965</v>
      </c>
      <c r="L797" t="s">
        <v>92</v>
      </c>
      <c r="M797" t="s">
        <v>219</v>
      </c>
      <c r="N797" s="19">
        <v>46262</v>
      </c>
      <c r="O797" t="s">
        <v>220</v>
      </c>
      <c r="P797">
        <v>1</v>
      </c>
      <c r="Q797" t="s">
        <v>2609</v>
      </c>
    </row>
    <row r="798" spans="1:18" x14ac:dyDescent="0.3">
      <c r="A798" t="s">
        <v>2610</v>
      </c>
      <c r="B798" t="s">
        <v>2611</v>
      </c>
      <c r="C798" t="s">
        <v>461</v>
      </c>
      <c r="D798" t="s">
        <v>155</v>
      </c>
      <c r="E798" t="s">
        <v>156</v>
      </c>
      <c r="F798" t="s">
        <v>531</v>
      </c>
      <c r="G798" t="s">
        <v>2348</v>
      </c>
      <c r="H798">
        <v>1005.95</v>
      </c>
      <c r="I798">
        <v>5</v>
      </c>
      <c r="J798" t="s">
        <v>230</v>
      </c>
      <c r="K798" t="s">
        <v>965</v>
      </c>
      <c r="L798" t="s">
        <v>92</v>
      </c>
      <c r="M798" t="s">
        <v>219</v>
      </c>
      <c r="N798" s="19">
        <v>46262</v>
      </c>
      <c r="O798" t="s">
        <v>220</v>
      </c>
      <c r="P798">
        <v>1</v>
      </c>
      <c r="Q798" t="s">
        <v>2612</v>
      </c>
    </row>
    <row r="799" spans="1:18" x14ac:dyDescent="0.3">
      <c r="A799" t="s">
        <v>2613</v>
      </c>
      <c r="B799" t="s">
        <v>2614</v>
      </c>
      <c r="C799" t="s">
        <v>461</v>
      </c>
      <c r="D799" t="s">
        <v>155</v>
      </c>
      <c r="E799" t="s">
        <v>156</v>
      </c>
      <c r="F799" t="s">
        <v>531</v>
      </c>
      <c r="H799">
        <v>91.76</v>
      </c>
      <c r="I799">
        <v>0</v>
      </c>
      <c r="J799" t="s">
        <v>230</v>
      </c>
      <c r="K799" t="s">
        <v>965</v>
      </c>
      <c r="L799" t="s">
        <v>218</v>
      </c>
      <c r="M799" t="s">
        <v>219</v>
      </c>
      <c r="N799" s="19">
        <v>46262</v>
      </c>
      <c r="O799" t="s">
        <v>220</v>
      </c>
      <c r="P799">
        <v>1</v>
      </c>
      <c r="Q799" t="s">
        <v>2615</v>
      </c>
    </row>
    <row r="800" spans="1:18" x14ac:dyDescent="0.3">
      <c r="A800" t="s">
        <v>2616</v>
      </c>
      <c r="B800" t="s">
        <v>2617</v>
      </c>
      <c r="C800" t="s">
        <v>461</v>
      </c>
      <c r="D800" t="s">
        <v>155</v>
      </c>
      <c r="E800" t="s">
        <v>156</v>
      </c>
      <c r="F800" t="s">
        <v>531</v>
      </c>
      <c r="H800">
        <v>389.81</v>
      </c>
      <c r="I800">
        <v>0</v>
      </c>
      <c r="J800" t="s">
        <v>230</v>
      </c>
      <c r="K800" t="s">
        <v>965</v>
      </c>
      <c r="L800" t="s">
        <v>218</v>
      </c>
      <c r="M800" t="s">
        <v>219</v>
      </c>
      <c r="N800" s="19">
        <v>46262</v>
      </c>
      <c r="O800" t="s">
        <v>220</v>
      </c>
      <c r="P800">
        <v>1</v>
      </c>
      <c r="Q800" t="s">
        <v>2618</v>
      </c>
    </row>
    <row r="801" spans="1:18" x14ac:dyDescent="0.3">
      <c r="A801" t="s">
        <v>2619</v>
      </c>
      <c r="B801" t="s">
        <v>2620</v>
      </c>
      <c r="C801" t="s">
        <v>461</v>
      </c>
      <c r="D801" t="s">
        <v>155</v>
      </c>
      <c r="E801" t="s">
        <v>156</v>
      </c>
      <c r="F801" t="s">
        <v>531</v>
      </c>
      <c r="H801">
        <v>239.37</v>
      </c>
      <c r="I801">
        <v>0</v>
      </c>
      <c r="J801" t="s">
        <v>230</v>
      </c>
      <c r="K801" t="s">
        <v>965</v>
      </c>
      <c r="L801" t="s">
        <v>218</v>
      </c>
      <c r="M801" t="s">
        <v>219</v>
      </c>
      <c r="N801" s="19">
        <v>46262</v>
      </c>
      <c r="O801" t="s">
        <v>220</v>
      </c>
      <c r="P801">
        <v>1</v>
      </c>
      <c r="Q801" t="s">
        <v>2621</v>
      </c>
    </row>
    <row r="802" spans="1:18" x14ac:dyDescent="0.3">
      <c r="A802" t="s">
        <v>2622</v>
      </c>
      <c r="B802" t="s">
        <v>2623</v>
      </c>
      <c r="C802" t="s">
        <v>461</v>
      </c>
      <c r="D802" t="s">
        <v>155</v>
      </c>
      <c r="E802" t="s">
        <v>156</v>
      </c>
      <c r="F802" t="s">
        <v>531</v>
      </c>
      <c r="H802">
        <v>309.3</v>
      </c>
      <c r="I802">
        <v>0</v>
      </c>
      <c r="J802" t="s">
        <v>230</v>
      </c>
      <c r="K802" t="s">
        <v>965</v>
      </c>
      <c r="L802" t="s">
        <v>218</v>
      </c>
      <c r="M802" t="s">
        <v>219</v>
      </c>
      <c r="N802" s="19">
        <v>46262</v>
      </c>
      <c r="O802" t="s">
        <v>220</v>
      </c>
      <c r="P802">
        <v>1</v>
      </c>
      <c r="Q802" t="s">
        <v>2624</v>
      </c>
    </row>
    <row r="803" spans="1:18" x14ac:dyDescent="0.3">
      <c r="A803" t="s">
        <v>2625</v>
      </c>
      <c r="B803" t="s">
        <v>2626</v>
      </c>
      <c r="C803" t="s">
        <v>461</v>
      </c>
      <c r="D803" t="s">
        <v>155</v>
      </c>
      <c r="E803" t="s">
        <v>156</v>
      </c>
      <c r="F803" t="s">
        <v>531</v>
      </c>
      <c r="H803">
        <v>346.82</v>
      </c>
      <c r="I803">
        <v>0</v>
      </c>
      <c r="J803" t="s">
        <v>230</v>
      </c>
      <c r="K803" t="s">
        <v>965</v>
      </c>
      <c r="L803" t="s">
        <v>218</v>
      </c>
      <c r="M803" t="s">
        <v>219</v>
      </c>
      <c r="N803" s="19">
        <v>46262</v>
      </c>
      <c r="O803" t="s">
        <v>220</v>
      </c>
      <c r="P803">
        <v>1</v>
      </c>
      <c r="Q803" t="s">
        <v>2627</v>
      </c>
    </row>
    <row r="804" spans="1:18" x14ac:dyDescent="0.3">
      <c r="A804" t="s">
        <v>2628</v>
      </c>
      <c r="B804" t="s">
        <v>2629</v>
      </c>
      <c r="C804" t="s">
        <v>461</v>
      </c>
      <c r="D804" t="s">
        <v>155</v>
      </c>
      <c r="E804" t="s">
        <v>156</v>
      </c>
      <c r="F804" t="s">
        <v>531</v>
      </c>
      <c r="H804">
        <v>125.31</v>
      </c>
      <c r="I804">
        <v>0</v>
      </c>
      <c r="J804" t="s">
        <v>230</v>
      </c>
      <c r="K804" t="s">
        <v>965</v>
      </c>
      <c r="L804" t="s">
        <v>218</v>
      </c>
      <c r="M804" t="s">
        <v>219</v>
      </c>
      <c r="N804" s="19">
        <v>46262</v>
      </c>
      <c r="O804" t="s">
        <v>220</v>
      </c>
      <c r="P804">
        <v>1</v>
      </c>
      <c r="Q804" t="s">
        <v>2630</v>
      </c>
    </row>
    <row r="805" spans="1:18" x14ac:dyDescent="0.3">
      <c r="A805" t="s">
        <v>2631</v>
      </c>
      <c r="B805" t="s">
        <v>2632</v>
      </c>
      <c r="C805" t="s">
        <v>461</v>
      </c>
      <c r="D805" t="s">
        <v>155</v>
      </c>
      <c r="E805" t="s">
        <v>156</v>
      </c>
      <c r="F805" t="s">
        <v>531</v>
      </c>
      <c r="H805">
        <v>24.38</v>
      </c>
      <c r="I805">
        <v>0</v>
      </c>
      <c r="J805" t="s">
        <v>230</v>
      </c>
      <c r="K805" t="s">
        <v>965</v>
      </c>
      <c r="L805" t="s">
        <v>218</v>
      </c>
      <c r="M805" t="s">
        <v>219</v>
      </c>
      <c r="N805" s="19">
        <v>46262</v>
      </c>
      <c r="O805" t="s">
        <v>220</v>
      </c>
      <c r="P805">
        <v>1</v>
      </c>
      <c r="Q805" t="s">
        <v>2633</v>
      </c>
    </row>
    <row r="806" spans="1:18" x14ac:dyDescent="0.3">
      <c r="A806" t="s">
        <v>2634</v>
      </c>
      <c r="B806" t="s">
        <v>2635</v>
      </c>
      <c r="C806" t="s">
        <v>461</v>
      </c>
      <c r="D806" t="s">
        <v>155</v>
      </c>
      <c r="E806" t="s">
        <v>156</v>
      </c>
      <c r="F806" t="s">
        <v>531</v>
      </c>
      <c r="G806" t="s">
        <v>2411</v>
      </c>
      <c r="H806">
        <v>500.57</v>
      </c>
      <c r="I806">
        <v>5</v>
      </c>
      <c r="J806" t="s">
        <v>230</v>
      </c>
      <c r="K806" t="s">
        <v>887</v>
      </c>
      <c r="L806" t="s">
        <v>92</v>
      </c>
      <c r="M806" t="s">
        <v>219</v>
      </c>
      <c r="N806" s="19">
        <v>46262</v>
      </c>
      <c r="O806" t="s">
        <v>220</v>
      </c>
      <c r="P806">
        <v>6</v>
      </c>
      <c r="Q806" t="s">
        <v>2636</v>
      </c>
      <c r="R806" t="s">
        <v>92</v>
      </c>
    </row>
    <row r="807" spans="1:18" x14ac:dyDescent="0.3">
      <c r="A807" t="s">
        <v>2637</v>
      </c>
      <c r="B807" t="s">
        <v>2638</v>
      </c>
      <c r="C807" t="s">
        <v>461</v>
      </c>
      <c r="D807" t="s">
        <v>155</v>
      </c>
      <c r="E807" t="s">
        <v>156</v>
      </c>
      <c r="F807" t="s">
        <v>531</v>
      </c>
      <c r="G807" t="s">
        <v>2411</v>
      </c>
      <c r="H807">
        <v>66.53</v>
      </c>
      <c r="I807">
        <v>5</v>
      </c>
      <c r="J807" t="s">
        <v>230</v>
      </c>
      <c r="K807" t="s">
        <v>965</v>
      </c>
      <c r="L807" t="s">
        <v>92</v>
      </c>
      <c r="M807" t="s">
        <v>219</v>
      </c>
      <c r="N807" s="19">
        <v>46262</v>
      </c>
      <c r="O807" t="s">
        <v>220</v>
      </c>
      <c r="P807">
        <v>4</v>
      </c>
      <c r="Q807" t="s">
        <v>2639</v>
      </c>
      <c r="R807" t="s">
        <v>92</v>
      </c>
    </row>
    <row r="808" spans="1:18" x14ac:dyDescent="0.3">
      <c r="A808" t="s">
        <v>2640</v>
      </c>
      <c r="B808" t="s">
        <v>2641</v>
      </c>
      <c r="C808" t="s">
        <v>461</v>
      </c>
      <c r="D808" t="s">
        <v>155</v>
      </c>
      <c r="E808" t="s">
        <v>156</v>
      </c>
      <c r="F808" t="s">
        <v>531</v>
      </c>
      <c r="H808">
        <v>22.3</v>
      </c>
      <c r="I808">
        <v>0</v>
      </c>
      <c r="J808" t="s">
        <v>230</v>
      </c>
      <c r="K808" t="s">
        <v>965</v>
      </c>
      <c r="L808" t="s">
        <v>218</v>
      </c>
      <c r="M808" t="s">
        <v>219</v>
      </c>
      <c r="N808" s="19">
        <v>46262</v>
      </c>
      <c r="O808" t="s">
        <v>220</v>
      </c>
      <c r="P808">
        <v>1</v>
      </c>
      <c r="Q808" t="s">
        <v>2642</v>
      </c>
    </row>
    <row r="809" spans="1:18" x14ac:dyDescent="0.3">
      <c r="A809" t="s">
        <v>2643</v>
      </c>
      <c r="B809" t="s">
        <v>2644</v>
      </c>
      <c r="C809" t="s">
        <v>461</v>
      </c>
      <c r="D809" t="s">
        <v>155</v>
      </c>
      <c r="E809" t="s">
        <v>156</v>
      </c>
      <c r="F809" t="s">
        <v>531</v>
      </c>
      <c r="G809" t="s">
        <v>2411</v>
      </c>
      <c r="H809">
        <v>91.67</v>
      </c>
      <c r="I809">
        <v>5</v>
      </c>
      <c r="J809" t="s">
        <v>230</v>
      </c>
      <c r="K809" t="s">
        <v>965</v>
      </c>
      <c r="L809" t="s">
        <v>92</v>
      </c>
      <c r="M809" t="s">
        <v>219</v>
      </c>
      <c r="N809" s="19">
        <v>46262</v>
      </c>
      <c r="O809" t="s">
        <v>220</v>
      </c>
      <c r="P809">
        <v>5</v>
      </c>
      <c r="Q809" t="s">
        <v>2645</v>
      </c>
      <c r="R809" t="s">
        <v>92</v>
      </c>
    </row>
    <row r="810" spans="1:18" x14ac:dyDescent="0.3">
      <c r="A810" t="s">
        <v>2646</v>
      </c>
      <c r="B810" t="s">
        <v>2647</v>
      </c>
      <c r="C810" t="s">
        <v>461</v>
      </c>
      <c r="D810" t="s">
        <v>155</v>
      </c>
      <c r="E810" t="s">
        <v>156</v>
      </c>
      <c r="F810" t="s">
        <v>531</v>
      </c>
      <c r="G810" t="s">
        <v>2411</v>
      </c>
      <c r="H810">
        <v>17.48</v>
      </c>
      <c r="I810">
        <v>5</v>
      </c>
      <c r="J810" t="s">
        <v>230</v>
      </c>
      <c r="K810" t="s">
        <v>965</v>
      </c>
      <c r="L810" t="s">
        <v>92</v>
      </c>
      <c r="M810" t="s">
        <v>219</v>
      </c>
      <c r="N810" s="19">
        <v>46262</v>
      </c>
      <c r="O810" t="s">
        <v>220</v>
      </c>
      <c r="P810">
        <v>6</v>
      </c>
      <c r="Q810" t="s">
        <v>2648</v>
      </c>
      <c r="R810" t="s">
        <v>92</v>
      </c>
    </row>
    <row r="811" spans="1:18" x14ac:dyDescent="0.3">
      <c r="A811" t="s">
        <v>2649</v>
      </c>
      <c r="B811" t="s">
        <v>2650</v>
      </c>
      <c r="C811" t="s">
        <v>461</v>
      </c>
      <c r="D811" t="s">
        <v>155</v>
      </c>
      <c r="E811" t="s">
        <v>156</v>
      </c>
      <c r="F811" t="s">
        <v>531</v>
      </c>
      <c r="H811">
        <v>51.79</v>
      </c>
      <c r="I811">
        <v>0</v>
      </c>
      <c r="J811" t="s">
        <v>230</v>
      </c>
      <c r="K811" t="s">
        <v>965</v>
      </c>
      <c r="L811" t="s">
        <v>218</v>
      </c>
      <c r="M811" t="s">
        <v>219</v>
      </c>
      <c r="N811" s="19">
        <v>46262</v>
      </c>
      <c r="O811" t="s">
        <v>220</v>
      </c>
      <c r="P811">
        <v>6</v>
      </c>
      <c r="Q811" t="s">
        <v>2651</v>
      </c>
      <c r="R811" t="s">
        <v>92</v>
      </c>
    </row>
    <row r="812" spans="1:18" x14ac:dyDescent="0.3">
      <c r="A812" t="s">
        <v>2652</v>
      </c>
      <c r="B812" t="s">
        <v>2653</v>
      </c>
      <c r="C812" t="s">
        <v>461</v>
      </c>
      <c r="D812" t="s">
        <v>155</v>
      </c>
      <c r="E812" t="s">
        <v>156</v>
      </c>
      <c r="F812" t="s">
        <v>531</v>
      </c>
      <c r="G812" t="s">
        <v>2411</v>
      </c>
      <c r="H812">
        <v>27.97</v>
      </c>
      <c r="I812">
        <v>5</v>
      </c>
      <c r="J812" t="s">
        <v>230</v>
      </c>
      <c r="K812" t="s">
        <v>965</v>
      </c>
      <c r="L812" t="s">
        <v>92</v>
      </c>
      <c r="M812" t="s">
        <v>219</v>
      </c>
      <c r="N812" s="19">
        <v>46262</v>
      </c>
      <c r="O812" t="s">
        <v>220</v>
      </c>
      <c r="P812">
        <v>6</v>
      </c>
      <c r="Q812" t="s">
        <v>2654</v>
      </c>
      <c r="R812" t="s">
        <v>92</v>
      </c>
    </row>
    <row r="813" spans="1:18" x14ac:dyDescent="0.3">
      <c r="A813" t="s">
        <v>2655</v>
      </c>
      <c r="B813" t="s">
        <v>2656</v>
      </c>
      <c r="C813" t="s">
        <v>461</v>
      </c>
      <c r="D813" t="s">
        <v>155</v>
      </c>
      <c r="E813" t="s">
        <v>156</v>
      </c>
      <c r="F813" t="s">
        <v>531</v>
      </c>
      <c r="H813">
        <v>793.71</v>
      </c>
      <c r="I813">
        <v>0</v>
      </c>
      <c r="J813" t="s">
        <v>230</v>
      </c>
      <c r="K813" t="s">
        <v>965</v>
      </c>
      <c r="L813" t="s">
        <v>218</v>
      </c>
      <c r="M813" t="s">
        <v>219</v>
      </c>
      <c r="N813" s="19">
        <v>46262</v>
      </c>
      <c r="O813" t="s">
        <v>220</v>
      </c>
      <c r="P813">
        <v>6</v>
      </c>
      <c r="Q813" t="s">
        <v>2657</v>
      </c>
      <c r="R813" t="s">
        <v>92</v>
      </c>
    </row>
    <row r="814" spans="1:18" x14ac:dyDescent="0.3">
      <c r="A814" t="s">
        <v>2658</v>
      </c>
      <c r="B814" t="s">
        <v>2659</v>
      </c>
      <c r="C814" t="s">
        <v>461</v>
      </c>
      <c r="D814" t="s">
        <v>155</v>
      </c>
      <c r="E814" t="s">
        <v>156</v>
      </c>
      <c r="F814" t="s">
        <v>531</v>
      </c>
      <c r="G814" t="s">
        <v>2411</v>
      </c>
      <c r="H814">
        <v>177.75</v>
      </c>
      <c r="I814">
        <v>5</v>
      </c>
      <c r="J814" t="s">
        <v>230</v>
      </c>
      <c r="K814" t="s">
        <v>965</v>
      </c>
      <c r="L814" t="s">
        <v>92</v>
      </c>
      <c r="M814" t="s">
        <v>219</v>
      </c>
      <c r="N814" s="19">
        <v>46262</v>
      </c>
      <c r="O814" t="s">
        <v>220</v>
      </c>
      <c r="P814">
        <v>1</v>
      </c>
      <c r="Q814" t="s">
        <v>2660</v>
      </c>
    </row>
    <row r="815" spans="1:18" x14ac:dyDescent="0.3">
      <c r="A815" t="s">
        <v>2661</v>
      </c>
      <c r="B815" t="s">
        <v>2662</v>
      </c>
      <c r="C815" t="s">
        <v>461</v>
      </c>
      <c r="D815" t="s">
        <v>155</v>
      </c>
      <c r="E815" t="s">
        <v>156</v>
      </c>
      <c r="F815" t="s">
        <v>531</v>
      </c>
      <c r="G815" t="s">
        <v>2411</v>
      </c>
      <c r="H815">
        <v>166.89</v>
      </c>
      <c r="I815">
        <v>5</v>
      </c>
      <c r="J815" t="s">
        <v>230</v>
      </c>
      <c r="K815" t="s">
        <v>887</v>
      </c>
      <c r="L815" t="s">
        <v>92</v>
      </c>
      <c r="M815" t="s">
        <v>219</v>
      </c>
      <c r="N815" s="19">
        <v>46262</v>
      </c>
      <c r="O815" t="s">
        <v>220</v>
      </c>
      <c r="P815">
        <v>2</v>
      </c>
      <c r="Q815" t="s">
        <v>2663</v>
      </c>
      <c r="R815" t="s">
        <v>92</v>
      </c>
    </row>
    <row r="816" spans="1:18" x14ac:dyDescent="0.3">
      <c r="A816" t="s">
        <v>2664</v>
      </c>
      <c r="B816" t="s">
        <v>2665</v>
      </c>
      <c r="C816" t="s">
        <v>461</v>
      </c>
      <c r="D816" t="s">
        <v>155</v>
      </c>
      <c r="E816" t="s">
        <v>156</v>
      </c>
      <c r="F816" t="s">
        <v>531</v>
      </c>
      <c r="H816">
        <v>4.0599999999999996</v>
      </c>
      <c r="I816">
        <v>0</v>
      </c>
      <c r="J816" t="s">
        <v>230</v>
      </c>
      <c r="K816" t="s">
        <v>965</v>
      </c>
      <c r="L816" t="s">
        <v>218</v>
      </c>
      <c r="M816" t="s">
        <v>219</v>
      </c>
      <c r="N816" s="19">
        <v>46262</v>
      </c>
      <c r="O816" t="s">
        <v>220</v>
      </c>
      <c r="P816">
        <v>4</v>
      </c>
      <c r="Q816" t="s">
        <v>2666</v>
      </c>
      <c r="R816" t="s">
        <v>92</v>
      </c>
    </row>
    <row r="817" spans="1:18" x14ac:dyDescent="0.3">
      <c r="A817" t="s">
        <v>2667</v>
      </c>
      <c r="B817" t="s">
        <v>2668</v>
      </c>
      <c r="C817" t="s">
        <v>461</v>
      </c>
      <c r="D817" t="s">
        <v>155</v>
      </c>
      <c r="E817" t="s">
        <v>156</v>
      </c>
      <c r="F817" t="s">
        <v>531</v>
      </c>
      <c r="G817" t="s">
        <v>2411</v>
      </c>
      <c r="H817">
        <v>372.99</v>
      </c>
      <c r="I817">
        <v>5</v>
      </c>
      <c r="J817" t="s">
        <v>230</v>
      </c>
      <c r="K817" t="s">
        <v>887</v>
      </c>
      <c r="L817" t="s">
        <v>92</v>
      </c>
      <c r="M817" t="s">
        <v>219</v>
      </c>
      <c r="N817" s="19">
        <v>46262</v>
      </c>
      <c r="O817" t="s">
        <v>220</v>
      </c>
      <c r="P817">
        <v>1</v>
      </c>
      <c r="Q817" t="s">
        <v>2669</v>
      </c>
    </row>
    <row r="818" spans="1:18" x14ac:dyDescent="0.3">
      <c r="A818" t="s">
        <v>2670</v>
      </c>
      <c r="B818" t="s">
        <v>2671</v>
      </c>
      <c r="C818" t="s">
        <v>461</v>
      </c>
      <c r="D818" t="s">
        <v>155</v>
      </c>
      <c r="E818" t="s">
        <v>156</v>
      </c>
      <c r="F818" t="s">
        <v>531</v>
      </c>
      <c r="G818" t="s">
        <v>2348</v>
      </c>
      <c r="H818">
        <v>2896.14</v>
      </c>
      <c r="I818">
        <v>5</v>
      </c>
      <c r="J818" t="s">
        <v>230</v>
      </c>
      <c r="K818" t="s">
        <v>965</v>
      </c>
      <c r="L818" t="s">
        <v>92</v>
      </c>
      <c r="M818" t="s">
        <v>219</v>
      </c>
      <c r="N818" s="19">
        <v>46262</v>
      </c>
      <c r="O818" t="s">
        <v>220</v>
      </c>
      <c r="P818">
        <v>1</v>
      </c>
      <c r="Q818" t="s">
        <v>2672</v>
      </c>
    </row>
    <row r="819" spans="1:18" x14ac:dyDescent="0.3">
      <c r="A819" t="s">
        <v>2673</v>
      </c>
      <c r="B819" t="s">
        <v>2674</v>
      </c>
      <c r="C819" t="s">
        <v>461</v>
      </c>
      <c r="D819" t="s">
        <v>155</v>
      </c>
      <c r="E819" t="s">
        <v>156</v>
      </c>
      <c r="F819" t="s">
        <v>531</v>
      </c>
      <c r="G819" t="s">
        <v>2348</v>
      </c>
      <c r="H819">
        <v>1209.32</v>
      </c>
      <c r="I819">
        <v>5</v>
      </c>
      <c r="J819" t="s">
        <v>230</v>
      </c>
      <c r="K819" t="s">
        <v>965</v>
      </c>
      <c r="L819" t="s">
        <v>92</v>
      </c>
      <c r="M819" t="s">
        <v>219</v>
      </c>
      <c r="N819" s="19">
        <v>46262</v>
      </c>
      <c r="O819" t="s">
        <v>220</v>
      </c>
      <c r="P819">
        <v>1</v>
      </c>
      <c r="Q819" t="s">
        <v>2675</v>
      </c>
    </row>
    <row r="820" spans="1:18" x14ac:dyDescent="0.3">
      <c r="A820" t="s">
        <v>2676</v>
      </c>
      <c r="B820" t="s">
        <v>2677</v>
      </c>
      <c r="C820" t="s">
        <v>461</v>
      </c>
      <c r="D820" t="s">
        <v>155</v>
      </c>
      <c r="E820" t="s">
        <v>156</v>
      </c>
      <c r="F820" t="s">
        <v>531</v>
      </c>
      <c r="G820" t="s">
        <v>2348</v>
      </c>
      <c r="H820">
        <v>2342.75</v>
      </c>
      <c r="I820">
        <v>5</v>
      </c>
      <c r="J820" t="s">
        <v>230</v>
      </c>
      <c r="K820" t="s">
        <v>965</v>
      </c>
      <c r="L820" t="s">
        <v>92</v>
      </c>
      <c r="M820" t="s">
        <v>219</v>
      </c>
      <c r="N820" s="19">
        <v>46262</v>
      </c>
      <c r="O820" t="s">
        <v>220</v>
      </c>
      <c r="P820">
        <v>1</v>
      </c>
      <c r="Q820" t="s">
        <v>2678</v>
      </c>
    </row>
    <row r="821" spans="1:18" x14ac:dyDescent="0.3">
      <c r="A821" t="s">
        <v>2679</v>
      </c>
      <c r="B821" t="s">
        <v>2680</v>
      </c>
      <c r="C821" t="s">
        <v>461</v>
      </c>
      <c r="D821" t="s">
        <v>155</v>
      </c>
      <c r="E821" t="s">
        <v>156</v>
      </c>
      <c r="F821" t="s">
        <v>531</v>
      </c>
      <c r="G821" t="s">
        <v>2348</v>
      </c>
      <c r="H821">
        <v>3553.58</v>
      </c>
      <c r="I821">
        <v>5</v>
      </c>
      <c r="J821" t="s">
        <v>230</v>
      </c>
      <c r="K821" t="s">
        <v>965</v>
      </c>
      <c r="L821" t="s">
        <v>92</v>
      </c>
      <c r="M821" t="s">
        <v>219</v>
      </c>
      <c r="N821" s="19">
        <v>46262</v>
      </c>
      <c r="O821" t="s">
        <v>220</v>
      </c>
      <c r="P821">
        <v>1</v>
      </c>
      <c r="Q821" t="s">
        <v>2681</v>
      </c>
    </row>
    <row r="822" spans="1:18" x14ac:dyDescent="0.3">
      <c r="A822" t="s">
        <v>2682</v>
      </c>
      <c r="B822" t="s">
        <v>2683</v>
      </c>
      <c r="C822" t="s">
        <v>461</v>
      </c>
      <c r="D822" t="s">
        <v>155</v>
      </c>
      <c r="E822" t="s">
        <v>156</v>
      </c>
      <c r="F822" t="s">
        <v>531</v>
      </c>
      <c r="H822">
        <v>27.69</v>
      </c>
      <c r="I822">
        <v>0</v>
      </c>
      <c r="J822" t="s">
        <v>230</v>
      </c>
      <c r="K822" t="s">
        <v>965</v>
      </c>
      <c r="L822" t="s">
        <v>218</v>
      </c>
      <c r="M822" t="s">
        <v>219</v>
      </c>
      <c r="N822" s="19">
        <v>46262</v>
      </c>
      <c r="O822" t="s">
        <v>220</v>
      </c>
      <c r="P822">
        <v>3</v>
      </c>
      <c r="Q822" t="s">
        <v>2684</v>
      </c>
      <c r="R822" t="s">
        <v>92</v>
      </c>
    </row>
    <row r="823" spans="1:18" x14ac:dyDescent="0.3">
      <c r="A823" t="s">
        <v>2685</v>
      </c>
      <c r="B823" t="s">
        <v>2686</v>
      </c>
      <c r="C823" t="s">
        <v>461</v>
      </c>
      <c r="D823" t="s">
        <v>155</v>
      </c>
      <c r="E823" t="s">
        <v>156</v>
      </c>
      <c r="F823" t="s">
        <v>531</v>
      </c>
      <c r="G823" t="s">
        <v>2348</v>
      </c>
      <c r="H823">
        <v>1201</v>
      </c>
      <c r="I823">
        <v>5</v>
      </c>
      <c r="J823" t="s">
        <v>230</v>
      </c>
      <c r="K823" t="s">
        <v>965</v>
      </c>
      <c r="L823" t="s">
        <v>92</v>
      </c>
      <c r="M823" t="s">
        <v>219</v>
      </c>
      <c r="N823" s="19">
        <v>46262</v>
      </c>
      <c r="O823" t="s">
        <v>220</v>
      </c>
      <c r="P823">
        <v>1</v>
      </c>
      <c r="Q823" t="s">
        <v>2687</v>
      </c>
    </row>
    <row r="824" spans="1:18" x14ac:dyDescent="0.3">
      <c r="A824" t="s">
        <v>2688</v>
      </c>
      <c r="B824" t="s">
        <v>2689</v>
      </c>
      <c r="C824" t="s">
        <v>461</v>
      </c>
      <c r="D824" t="s">
        <v>155</v>
      </c>
      <c r="E824" t="s">
        <v>156</v>
      </c>
      <c r="F824" t="s">
        <v>531</v>
      </c>
      <c r="H824">
        <v>2406.12</v>
      </c>
      <c r="I824">
        <v>0</v>
      </c>
      <c r="J824" t="s">
        <v>230</v>
      </c>
      <c r="K824" t="s">
        <v>965</v>
      </c>
      <c r="L824" t="s">
        <v>218</v>
      </c>
      <c r="M824" t="s">
        <v>219</v>
      </c>
      <c r="N824" s="19">
        <v>46262</v>
      </c>
      <c r="O824" t="s">
        <v>220</v>
      </c>
      <c r="P824">
        <v>1</v>
      </c>
      <c r="Q824" t="s">
        <v>2690</v>
      </c>
    </row>
    <row r="825" spans="1:18" x14ac:dyDescent="0.3">
      <c r="A825" t="s">
        <v>2691</v>
      </c>
      <c r="B825" t="s">
        <v>2692</v>
      </c>
      <c r="C825" t="s">
        <v>518</v>
      </c>
      <c r="D825" t="s">
        <v>155</v>
      </c>
      <c r="E825" t="s">
        <v>156</v>
      </c>
      <c r="F825" t="s">
        <v>531</v>
      </c>
      <c r="G825" t="s">
        <v>2411</v>
      </c>
      <c r="H825">
        <v>200.45</v>
      </c>
      <c r="I825">
        <v>5</v>
      </c>
      <c r="J825" t="s">
        <v>230</v>
      </c>
      <c r="K825" t="s">
        <v>887</v>
      </c>
      <c r="L825" t="s">
        <v>92</v>
      </c>
      <c r="M825" t="s">
        <v>219</v>
      </c>
      <c r="N825" s="19">
        <v>46262</v>
      </c>
      <c r="O825" t="s">
        <v>220</v>
      </c>
      <c r="P825">
        <v>1</v>
      </c>
      <c r="Q825" t="s">
        <v>2693</v>
      </c>
    </row>
    <row r="826" spans="1:18" x14ac:dyDescent="0.3">
      <c r="A826" t="s">
        <v>2694</v>
      </c>
      <c r="B826" t="s">
        <v>2695</v>
      </c>
      <c r="C826" t="s">
        <v>518</v>
      </c>
      <c r="D826" t="s">
        <v>155</v>
      </c>
      <c r="E826" t="s">
        <v>156</v>
      </c>
      <c r="F826" t="s">
        <v>531</v>
      </c>
      <c r="G826" t="s">
        <v>2411</v>
      </c>
      <c r="H826">
        <v>150.34</v>
      </c>
      <c r="I826">
        <v>5</v>
      </c>
      <c r="J826" t="s">
        <v>230</v>
      </c>
      <c r="K826" t="s">
        <v>887</v>
      </c>
      <c r="L826" t="s">
        <v>92</v>
      </c>
      <c r="M826" t="s">
        <v>219</v>
      </c>
      <c r="N826" s="19">
        <v>46262</v>
      </c>
      <c r="O826" t="s">
        <v>220</v>
      </c>
      <c r="P826">
        <v>1</v>
      </c>
      <c r="Q826" t="s">
        <v>2696</v>
      </c>
    </row>
    <row r="827" spans="1:18" x14ac:dyDescent="0.3">
      <c r="A827" t="s">
        <v>2697</v>
      </c>
      <c r="B827" t="s">
        <v>2698</v>
      </c>
      <c r="C827" t="s">
        <v>518</v>
      </c>
      <c r="D827" t="s">
        <v>155</v>
      </c>
      <c r="E827" t="s">
        <v>156</v>
      </c>
      <c r="F827" t="s">
        <v>531</v>
      </c>
      <c r="G827" t="s">
        <v>2411</v>
      </c>
      <c r="H827">
        <v>143.55000000000001</v>
      </c>
      <c r="I827">
        <v>5</v>
      </c>
      <c r="J827" t="s">
        <v>230</v>
      </c>
      <c r="K827" t="s">
        <v>887</v>
      </c>
      <c r="L827" t="s">
        <v>92</v>
      </c>
      <c r="M827" t="s">
        <v>219</v>
      </c>
      <c r="N827" s="19">
        <v>46262</v>
      </c>
      <c r="O827" t="s">
        <v>220</v>
      </c>
      <c r="P827">
        <v>1</v>
      </c>
      <c r="Q827" t="s">
        <v>2699</v>
      </c>
    </row>
    <row r="828" spans="1:18" x14ac:dyDescent="0.3">
      <c r="A828" t="s">
        <v>2700</v>
      </c>
      <c r="B828" t="s">
        <v>2701</v>
      </c>
      <c r="C828" t="s">
        <v>518</v>
      </c>
      <c r="D828" t="s">
        <v>155</v>
      </c>
      <c r="E828" t="s">
        <v>156</v>
      </c>
      <c r="F828" t="s">
        <v>531</v>
      </c>
      <c r="G828" t="s">
        <v>2411</v>
      </c>
      <c r="H828">
        <v>124.41</v>
      </c>
      <c r="I828">
        <v>5</v>
      </c>
      <c r="J828" t="s">
        <v>230</v>
      </c>
      <c r="K828" t="s">
        <v>887</v>
      </c>
      <c r="L828" t="s">
        <v>92</v>
      </c>
      <c r="M828" t="s">
        <v>219</v>
      </c>
      <c r="N828" s="19">
        <v>46262</v>
      </c>
      <c r="O828" t="s">
        <v>220</v>
      </c>
      <c r="P828">
        <v>1</v>
      </c>
      <c r="Q828" t="s">
        <v>2702</v>
      </c>
    </row>
    <row r="829" spans="1:18" x14ac:dyDescent="0.3">
      <c r="A829" t="s">
        <v>2703</v>
      </c>
      <c r="B829" t="s">
        <v>2704</v>
      </c>
      <c r="C829" t="s">
        <v>518</v>
      </c>
      <c r="D829" t="s">
        <v>155</v>
      </c>
      <c r="E829" t="s">
        <v>156</v>
      </c>
      <c r="F829" t="s">
        <v>531</v>
      </c>
      <c r="G829" t="s">
        <v>2411</v>
      </c>
      <c r="H829">
        <v>129.46</v>
      </c>
      <c r="I829">
        <v>5</v>
      </c>
      <c r="J829" t="s">
        <v>230</v>
      </c>
      <c r="K829" t="s">
        <v>887</v>
      </c>
      <c r="L829" t="s">
        <v>92</v>
      </c>
      <c r="M829" t="s">
        <v>219</v>
      </c>
      <c r="N829" s="19">
        <v>46262</v>
      </c>
      <c r="O829" t="s">
        <v>220</v>
      </c>
      <c r="P829">
        <v>2</v>
      </c>
      <c r="Q829" t="s">
        <v>2705</v>
      </c>
      <c r="R829" t="s">
        <v>92</v>
      </c>
    </row>
    <row r="830" spans="1:18" x14ac:dyDescent="0.3">
      <c r="A830" t="s">
        <v>2706</v>
      </c>
      <c r="B830" t="s">
        <v>2704</v>
      </c>
      <c r="C830" t="s">
        <v>518</v>
      </c>
      <c r="D830" t="s">
        <v>155</v>
      </c>
      <c r="E830" t="s">
        <v>156</v>
      </c>
      <c r="F830" t="s">
        <v>531</v>
      </c>
      <c r="G830" t="s">
        <v>2411</v>
      </c>
      <c r="H830">
        <v>110.06</v>
      </c>
      <c r="I830">
        <v>5</v>
      </c>
      <c r="J830" t="s">
        <v>230</v>
      </c>
      <c r="K830" t="s">
        <v>887</v>
      </c>
      <c r="L830" t="s">
        <v>92</v>
      </c>
      <c r="M830" t="s">
        <v>219</v>
      </c>
      <c r="N830" s="19">
        <v>46262</v>
      </c>
      <c r="O830" t="s">
        <v>220</v>
      </c>
      <c r="P830">
        <v>5</v>
      </c>
      <c r="Q830" t="s">
        <v>2707</v>
      </c>
      <c r="R830" t="s">
        <v>92</v>
      </c>
    </row>
    <row r="831" spans="1:18" x14ac:dyDescent="0.3">
      <c r="A831" t="s">
        <v>2708</v>
      </c>
      <c r="B831" t="s">
        <v>2704</v>
      </c>
      <c r="C831" t="s">
        <v>518</v>
      </c>
      <c r="D831" t="s">
        <v>155</v>
      </c>
      <c r="E831" t="s">
        <v>156</v>
      </c>
      <c r="F831" t="s">
        <v>531</v>
      </c>
      <c r="G831" t="s">
        <v>2411</v>
      </c>
      <c r="H831">
        <v>100.22</v>
      </c>
      <c r="I831">
        <v>5</v>
      </c>
      <c r="J831" t="s">
        <v>230</v>
      </c>
      <c r="K831" t="s">
        <v>887</v>
      </c>
      <c r="L831" t="s">
        <v>92</v>
      </c>
      <c r="M831" t="s">
        <v>219</v>
      </c>
      <c r="N831" s="19">
        <v>46262</v>
      </c>
      <c r="O831" t="s">
        <v>220</v>
      </c>
      <c r="P831">
        <v>13</v>
      </c>
      <c r="Q831" t="s">
        <v>2709</v>
      </c>
      <c r="R831" t="s">
        <v>92</v>
      </c>
    </row>
    <row r="832" spans="1:18" x14ac:dyDescent="0.3">
      <c r="A832" t="s">
        <v>2710</v>
      </c>
      <c r="B832" t="s">
        <v>2704</v>
      </c>
      <c r="C832" t="s">
        <v>518</v>
      </c>
      <c r="D832" t="s">
        <v>155</v>
      </c>
      <c r="E832" t="s">
        <v>156</v>
      </c>
      <c r="F832" t="s">
        <v>531</v>
      </c>
      <c r="G832" t="s">
        <v>2411</v>
      </c>
      <c r="H832">
        <v>90.48</v>
      </c>
      <c r="I832">
        <v>5</v>
      </c>
      <c r="J832" t="s">
        <v>230</v>
      </c>
      <c r="K832" t="s">
        <v>887</v>
      </c>
      <c r="L832" t="s">
        <v>92</v>
      </c>
      <c r="M832" t="s">
        <v>219</v>
      </c>
      <c r="N832" s="19">
        <v>46262</v>
      </c>
      <c r="O832" t="s">
        <v>220</v>
      </c>
      <c r="P832">
        <v>2</v>
      </c>
      <c r="Q832" t="s">
        <v>2711</v>
      </c>
      <c r="R832" t="s">
        <v>92</v>
      </c>
    </row>
    <row r="833" spans="1:18" x14ac:dyDescent="0.3">
      <c r="A833" t="s">
        <v>2712</v>
      </c>
      <c r="B833" t="s">
        <v>2713</v>
      </c>
      <c r="C833" t="s">
        <v>518</v>
      </c>
      <c r="D833" t="s">
        <v>155</v>
      </c>
      <c r="E833" t="s">
        <v>156</v>
      </c>
      <c r="F833" t="s">
        <v>531</v>
      </c>
      <c r="G833" t="s">
        <v>2411</v>
      </c>
      <c r="H833">
        <v>334.95</v>
      </c>
      <c r="I833">
        <v>5</v>
      </c>
      <c r="J833" t="s">
        <v>230</v>
      </c>
      <c r="K833" t="s">
        <v>887</v>
      </c>
      <c r="L833" t="s">
        <v>92</v>
      </c>
      <c r="M833" t="s">
        <v>219</v>
      </c>
      <c r="N833" s="19">
        <v>46262</v>
      </c>
      <c r="O833" t="s">
        <v>220</v>
      </c>
      <c r="P833">
        <v>1</v>
      </c>
      <c r="Q833" t="s">
        <v>2714</v>
      </c>
    </row>
    <row r="834" spans="1:18" x14ac:dyDescent="0.3">
      <c r="A834" t="s">
        <v>2715</v>
      </c>
      <c r="B834" t="s">
        <v>2716</v>
      </c>
      <c r="C834" t="s">
        <v>518</v>
      </c>
      <c r="D834" t="s">
        <v>155</v>
      </c>
      <c r="E834" t="s">
        <v>156</v>
      </c>
      <c r="F834" t="s">
        <v>531</v>
      </c>
      <c r="G834" t="s">
        <v>2411</v>
      </c>
      <c r="H834">
        <v>226.2</v>
      </c>
      <c r="I834">
        <v>5</v>
      </c>
      <c r="J834" t="s">
        <v>230</v>
      </c>
      <c r="K834" t="s">
        <v>887</v>
      </c>
      <c r="L834" t="s">
        <v>92</v>
      </c>
      <c r="M834" t="s">
        <v>219</v>
      </c>
      <c r="N834" s="19">
        <v>46262</v>
      </c>
      <c r="O834" t="s">
        <v>220</v>
      </c>
      <c r="P834">
        <v>1</v>
      </c>
      <c r="Q834" t="s">
        <v>2717</v>
      </c>
    </row>
    <row r="835" spans="1:18" x14ac:dyDescent="0.3">
      <c r="A835" t="s">
        <v>2718</v>
      </c>
      <c r="B835" t="s">
        <v>2704</v>
      </c>
      <c r="C835" t="s">
        <v>518</v>
      </c>
      <c r="D835" t="s">
        <v>155</v>
      </c>
      <c r="E835" t="s">
        <v>156</v>
      </c>
      <c r="F835" t="s">
        <v>531</v>
      </c>
      <c r="G835" t="s">
        <v>2411</v>
      </c>
      <c r="H835">
        <v>209</v>
      </c>
      <c r="I835">
        <v>5</v>
      </c>
      <c r="J835" t="s">
        <v>230</v>
      </c>
      <c r="K835" t="s">
        <v>887</v>
      </c>
      <c r="L835" t="s">
        <v>92</v>
      </c>
      <c r="M835" t="s">
        <v>219</v>
      </c>
      <c r="N835" s="19">
        <v>46262</v>
      </c>
      <c r="O835" t="s">
        <v>220</v>
      </c>
      <c r="P835">
        <v>2</v>
      </c>
      <c r="Q835" t="s">
        <v>2719</v>
      </c>
      <c r="R835" t="s">
        <v>92</v>
      </c>
    </row>
    <row r="836" spans="1:18" x14ac:dyDescent="0.3">
      <c r="A836" t="s">
        <v>2720</v>
      </c>
      <c r="B836" t="s">
        <v>2721</v>
      </c>
      <c r="C836" t="s">
        <v>518</v>
      </c>
      <c r="D836" t="s">
        <v>155</v>
      </c>
      <c r="E836" t="s">
        <v>156</v>
      </c>
      <c r="F836" t="s">
        <v>531</v>
      </c>
      <c r="G836" t="s">
        <v>2411</v>
      </c>
      <c r="H836">
        <v>198</v>
      </c>
      <c r="I836">
        <v>5</v>
      </c>
      <c r="J836" t="s">
        <v>230</v>
      </c>
      <c r="K836" t="s">
        <v>887</v>
      </c>
      <c r="L836" t="s">
        <v>92</v>
      </c>
      <c r="M836" t="s">
        <v>219</v>
      </c>
      <c r="N836" s="19">
        <v>46262</v>
      </c>
      <c r="O836" t="s">
        <v>220</v>
      </c>
      <c r="P836">
        <v>1</v>
      </c>
      <c r="Q836" t="s">
        <v>2722</v>
      </c>
    </row>
    <row r="837" spans="1:18" x14ac:dyDescent="0.3">
      <c r="A837" t="s">
        <v>2723</v>
      </c>
      <c r="B837" t="s">
        <v>2724</v>
      </c>
      <c r="C837" t="s">
        <v>518</v>
      </c>
      <c r="D837" t="s">
        <v>155</v>
      </c>
      <c r="E837" t="s">
        <v>156</v>
      </c>
      <c r="F837" t="s">
        <v>531</v>
      </c>
      <c r="G837" t="s">
        <v>2411</v>
      </c>
      <c r="H837">
        <v>132</v>
      </c>
      <c r="I837">
        <v>5</v>
      </c>
      <c r="J837" t="s">
        <v>230</v>
      </c>
      <c r="K837" t="s">
        <v>887</v>
      </c>
      <c r="L837" t="s">
        <v>92</v>
      </c>
      <c r="M837" t="s">
        <v>219</v>
      </c>
      <c r="N837" s="19">
        <v>46262</v>
      </c>
      <c r="O837" t="s">
        <v>220</v>
      </c>
      <c r="P837">
        <v>1</v>
      </c>
      <c r="Q837" t="s">
        <v>2725</v>
      </c>
    </row>
    <row r="838" spans="1:18" x14ac:dyDescent="0.3">
      <c r="A838" t="s">
        <v>2726</v>
      </c>
      <c r="B838" t="s">
        <v>2727</v>
      </c>
      <c r="C838" t="s">
        <v>518</v>
      </c>
      <c r="D838" t="s">
        <v>155</v>
      </c>
      <c r="E838" t="s">
        <v>156</v>
      </c>
      <c r="F838" t="s">
        <v>531</v>
      </c>
      <c r="G838" t="s">
        <v>2411</v>
      </c>
      <c r="H838">
        <v>118.67</v>
      </c>
      <c r="I838">
        <v>5</v>
      </c>
      <c r="J838" t="s">
        <v>230</v>
      </c>
      <c r="K838" t="s">
        <v>887</v>
      </c>
      <c r="L838" t="s">
        <v>92</v>
      </c>
      <c r="M838" t="s">
        <v>219</v>
      </c>
      <c r="N838" s="19">
        <v>46262</v>
      </c>
      <c r="O838" t="s">
        <v>220</v>
      </c>
      <c r="P838">
        <v>1</v>
      </c>
      <c r="Q838" t="s">
        <v>2728</v>
      </c>
    </row>
    <row r="839" spans="1:18" x14ac:dyDescent="0.3">
      <c r="A839" t="s">
        <v>2729</v>
      </c>
      <c r="B839" t="s">
        <v>2704</v>
      </c>
      <c r="C839" t="s">
        <v>518</v>
      </c>
      <c r="D839" t="s">
        <v>155</v>
      </c>
      <c r="E839" t="s">
        <v>156</v>
      </c>
      <c r="F839" t="s">
        <v>531</v>
      </c>
      <c r="G839" t="s">
        <v>2411</v>
      </c>
      <c r="H839">
        <v>138.5</v>
      </c>
      <c r="I839">
        <v>5</v>
      </c>
      <c r="J839" t="s">
        <v>230</v>
      </c>
      <c r="K839" t="s">
        <v>887</v>
      </c>
      <c r="L839" t="s">
        <v>92</v>
      </c>
      <c r="M839" t="s">
        <v>219</v>
      </c>
      <c r="N839" s="19">
        <v>46262</v>
      </c>
      <c r="O839" t="s">
        <v>220</v>
      </c>
      <c r="P839">
        <v>2</v>
      </c>
      <c r="Q839" t="s">
        <v>2730</v>
      </c>
      <c r="R839" t="s">
        <v>92</v>
      </c>
    </row>
    <row r="840" spans="1:18" x14ac:dyDescent="0.3">
      <c r="A840" t="s">
        <v>2731</v>
      </c>
      <c r="B840" t="s">
        <v>2704</v>
      </c>
      <c r="C840" t="s">
        <v>518</v>
      </c>
      <c r="D840" t="s">
        <v>155</v>
      </c>
      <c r="E840" t="s">
        <v>156</v>
      </c>
      <c r="F840" t="s">
        <v>531</v>
      </c>
      <c r="G840" t="s">
        <v>2411</v>
      </c>
      <c r="H840">
        <v>145.51</v>
      </c>
      <c r="I840">
        <v>5</v>
      </c>
      <c r="J840" t="s">
        <v>230</v>
      </c>
      <c r="K840" t="s">
        <v>887</v>
      </c>
      <c r="L840" t="s">
        <v>92</v>
      </c>
      <c r="M840" t="s">
        <v>219</v>
      </c>
      <c r="N840" s="19">
        <v>46262</v>
      </c>
      <c r="O840" t="s">
        <v>220</v>
      </c>
      <c r="P840">
        <v>2</v>
      </c>
      <c r="Q840" t="s">
        <v>2732</v>
      </c>
      <c r="R840" t="s">
        <v>92</v>
      </c>
    </row>
    <row r="841" spans="1:18" x14ac:dyDescent="0.3">
      <c r="A841" t="s">
        <v>2733</v>
      </c>
      <c r="B841" t="s">
        <v>2734</v>
      </c>
      <c r="C841" t="s">
        <v>461</v>
      </c>
      <c r="D841" t="s">
        <v>155</v>
      </c>
      <c r="E841" t="s">
        <v>156</v>
      </c>
      <c r="F841" t="s">
        <v>531</v>
      </c>
      <c r="G841" t="s">
        <v>2411</v>
      </c>
      <c r="H841">
        <v>1045</v>
      </c>
      <c r="I841">
        <v>5</v>
      </c>
      <c r="J841" t="s">
        <v>230</v>
      </c>
      <c r="K841" t="s">
        <v>887</v>
      </c>
      <c r="L841" t="s">
        <v>92</v>
      </c>
      <c r="M841" t="s">
        <v>219</v>
      </c>
      <c r="N841" s="19">
        <v>46262</v>
      </c>
      <c r="O841" t="s">
        <v>220</v>
      </c>
      <c r="P841">
        <v>1</v>
      </c>
      <c r="Q841" t="s">
        <v>2735</v>
      </c>
    </row>
    <row r="842" spans="1:18" x14ac:dyDescent="0.3">
      <c r="A842" t="s">
        <v>2736</v>
      </c>
      <c r="B842" t="s">
        <v>2704</v>
      </c>
      <c r="C842" t="s">
        <v>461</v>
      </c>
      <c r="D842" t="s">
        <v>155</v>
      </c>
      <c r="E842" t="s">
        <v>156</v>
      </c>
      <c r="F842" t="s">
        <v>531</v>
      </c>
      <c r="G842" t="s">
        <v>2411</v>
      </c>
      <c r="H842">
        <v>1210</v>
      </c>
      <c r="I842">
        <v>5</v>
      </c>
      <c r="J842" t="s">
        <v>230</v>
      </c>
      <c r="K842" t="s">
        <v>887</v>
      </c>
      <c r="L842" t="s">
        <v>92</v>
      </c>
      <c r="M842" t="s">
        <v>219</v>
      </c>
      <c r="N842" s="19">
        <v>46262</v>
      </c>
      <c r="O842" t="s">
        <v>220</v>
      </c>
      <c r="P842">
        <v>2</v>
      </c>
      <c r="Q842" t="s">
        <v>2737</v>
      </c>
      <c r="R842" t="s">
        <v>92</v>
      </c>
    </row>
    <row r="843" spans="1:18" x14ac:dyDescent="0.3">
      <c r="A843" t="s">
        <v>2738</v>
      </c>
      <c r="B843" t="s">
        <v>2739</v>
      </c>
      <c r="C843" t="s">
        <v>461</v>
      </c>
      <c r="D843" t="s">
        <v>155</v>
      </c>
      <c r="E843" t="s">
        <v>156</v>
      </c>
      <c r="F843" t="s">
        <v>531</v>
      </c>
      <c r="G843" t="s">
        <v>2740</v>
      </c>
      <c r="H843">
        <v>2592.6</v>
      </c>
      <c r="I843">
        <v>5</v>
      </c>
      <c r="J843" t="s">
        <v>230</v>
      </c>
      <c r="K843" t="s">
        <v>965</v>
      </c>
      <c r="L843" t="s">
        <v>92</v>
      </c>
      <c r="M843" t="s">
        <v>219</v>
      </c>
      <c r="N843" s="19">
        <v>46262</v>
      </c>
      <c r="O843" t="s">
        <v>220</v>
      </c>
      <c r="P843">
        <v>1</v>
      </c>
      <c r="Q843" t="s">
        <v>2741</v>
      </c>
    </row>
    <row r="844" spans="1:18" x14ac:dyDescent="0.3">
      <c r="A844" t="s">
        <v>2742</v>
      </c>
      <c r="B844" t="s">
        <v>2389</v>
      </c>
      <c r="C844" t="s">
        <v>461</v>
      </c>
      <c r="D844" t="s">
        <v>155</v>
      </c>
      <c r="E844" t="s">
        <v>156</v>
      </c>
      <c r="F844" t="s">
        <v>531</v>
      </c>
      <c r="G844" t="s">
        <v>2390</v>
      </c>
      <c r="H844">
        <v>3125.04</v>
      </c>
      <c r="I844">
        <v>5</v>
      </c>
      <c r="J844" t="s">
        <v>230</v>
      </c>
      <c r="K844" t="s">
        <v>965</v>
      </c>
      <c r="L844" t="s">
        <v>92</v>
      </c>
      <c r="M844" t="s">
        <v>219</v>
      </c>
      <c r="N844" s="19">
        <v>46262</v>
      </c>
      <c r="O844" t="s">
        <v>220</v>
      </c>
      <c r="P844">
        <v>4</v>
      </c>
      <c r="Q844" t="s">
        <v>2743</v>
      </c>
      <c r="R844" t="s">
        <v>92</v>
      </c>
    </row>
    <row r="845" spans="1:18" x14ac:dyDescent="0.3">
      <c r="A845" t="s">
        <v>2744</v>
      </c>
      <c r="B845" t="s">
        <v>2745</v>
      </c>
      <c r="C845" t="s">
        <v>518</v>
      </c>
      <c r="D845" t="s">
        <v>155</v>
      </c>
      <c r="E845" t="s">
        <v>156</v>
      </c>
      <c r="F845" t="s">
        <v>531</v>
      </c>
      <c r="G845" t="s">
        <v>2352</v>
      </c>
      <c r="H845">
        <v>256</v>
      </c>
      <c r="I845">
        <v>5</v>
      </c>
      <c r="J845" t="s">
        <v>230</v>
      </c>
      <c r="K845" t="s">
        <v>887</v>
      </c>
      <c r="L845" t="s">
        <v>92</v>
      </c>
      <c r="M845" t="s">
        <v>219</v>
      </c>
      <c r="N845" s="19">
        <v>46262</v>
      </c>
      <c r="O845" t="s">
        <v>220</v>
      </c>
      <c r="P845">
        <v>1</v>
      </c>
      <c r="Q845" t="s">
        <v>2746</v>
      </c>
    </row>
    <row r="846" spans="1:18" x14ac:dyDescent="0.3">
      <c r="A846" t="s">
        <v>2747</v>
      </c>
      <c r="B846" t="s">
        <v>2748</v>
      </c>
      <c r="C846" t="s">
        <v>461</v>
      </c>
      <c r="D846" t="s">
        <v>155</v>
      </c>
      <c r="E846" t="s">
        <v>156</v>
      </c>
      <c r="F846" t="s">
        <v>531</v>
      </c>
      <c r="G846" t="s">
        <v>2411</v>
      </c>
      <c r="H846">
        <v>250.56</v>
      </c>
      <c r="I846">
        <v>5</v>
      </c>
      <c r="J846" t="s">
        <v>230</v>
      </c>
      <c r="K846" t="s">
        <v>44</v>
      </c>
      <c r="L846" t="s">
        <v>92</v>
      </c>
      <c r="M846" t="s">
        <v>219</v>
      </c>
      <c r="N846" s="19">
        <v>46262</v>
      </c>
      <c r="O846" t="s">
        <v>220</v>
      </c>
      <c r="P846">
        <v>1</v>
      </c>
      <c r="Q846" t="s">
        <v>2749</v>
      </c>
    </row>
    <row r="847" spans="1:18" x14ac:dyDescent="0.3">
      <c r="A847" t="s">
        <v>2750</v>
      </c>
      <c r="B847" t="s">
        <v>2751</v>
      </c>
      <c r="C847" t="s">
        <v>461</v>
      </c>
      <c r="D847" t="s">
        <v>155</v>
      </c>
      <c r="E847" t="s">
        <v>156</v>
      </c>
      <c r="F847" t="s">
        <v>580</v>
      </c>
      <c r="H847">
        <v>12000</v>
      </c>
      <c r="I847">
        <v>0</v>
      </c>
      <c r="J847" t="s">
        <v>230</v>
      </c>
      <c r="K847" t="s">
        <v>965</v>
      </c>
      <c r="L847" t="s">
        <v>218</v>
      </c>
      <c r="M847" t="s">
        <v>219</v>
      </c>
      <c r="N847" s="19">
        <v>46262</v>
      </c>
      <c r="O847" t="s">
        <v>220</v>
      </c>
      <c r="P847">
        <v>1</v>
      </c>
      <c r="Q847" t="s">
        <v>2752</v>
      </c>
    </row>
    <row r="848" spans="1:18" x14ac:dyDescent="0.3">
      <c r="A848" t="s">
        <v>2753</v>
      </c>
      <c r="B848" t="s">
        <v>2754</v>
      </c>
      <c r="C848" t="s">
        <v>461</v>
      </c>
      <c r="D848" t="s">
        <v>155</v>
      </c>
      <c r="E848" t="s">
        <v>156</v>
      </c>
      <c r="F848" t="s">
        <v>580</v>
      </c>
      <c r="G848" t="s">
        <v>2153</v>
      </c>
      <c r="H848">
        <v>6878.97</v>
      </c>
      <c r="I848">
        <v>5</v>
      </c>
      <c r="J848" t="s">
        <v>230</v>
      </c>
      <c r="K848" t="s">
        <v>965</v>
      </c>
      <c r="L848" t="s">
        <v>92</v>
      </c>
      <c r="M848" t="s">
        <v>219</v>
      </c>
      <c r="N848" s="19">
        <v>46262</v>
      </c>
      <c r="O848" t="s">
        <v>220</v>
      </c>
      <c r="P848">
        <v>1</v>
      </c>
      <c r="Q848" t="s">
        <v>2755</v>
      </c>
    </row>
    <row r="849" spans="1:18" x14ac:dyDescent="0.3">
      <c r="A849" t="s">
        <v>2756</v>
      </c>
      <c r="B849" t="s">
        <v>2757</v>
      </c>
      <c r="C849" t="s">
        <v>461</v>
      </c>
      <c r="D849" t="s">
        <v>155</v>
      </c>
      <c r="E849" t="s">
        <v>156</v>
      </c>
      <c r="F849" t="s">
        <v>632</v>
      </c>
      <c r="G849" t="s">
        <v>2344</v>
      </c>
      <c r="H849">
        <v>1591.19</v>
      </c>
      <c r="I849">
        <v>5</v>
      </c>
      <c r="J849" t="s">
        <v>230</v>
      </c>
      <c r="K849" t="s">
        <v>965</v>
      </c>
      <c r="L849" t="s">
        <v>92</v>
      </c>
      <c r="M849" t="s">
        <v>219</v>
      </c>
      <c r="N849" s="19">
        <v>46262</v>
      </c>
      <c r="O849" t="s">
        <v>220</v>
      </c>
      <c r="P849">
        <v>1</v>
      </c>
      <c r="Q849" t="s">
        <v>2758</v>
      </c>
    </row>
    <row r="850" spans="1:18" x14ac:dyDescent="0.3">
      <c r="A850" t="s">
        <v>2759</v>
      </c>
      <c r="B850" t="s">
        <v>2760</v>
      </c>
      <c r="C850" t="s">
        <v>518</v>
      </c>
      <c r="D850" t="s">
        <v>155</v>
      </c>
      <c r="E850" t="s">
        <v>156</v>
      </c>
      <c r="F850" t="s">
        <v>632</v>
      </c>
      <c r="G850" t="s">
        <v>2352</v>
      </c>
      <c r="H850">
        <v>75.8</v>
      </c>
      <c r="I850">
        <v>5</v>
      </c>
      <c r="J850" t="s">
        <v>230</v>
      </c>
      <c r="K850" t="s">
        <v>887</v>
      </c>
      <c r="L850" t="s">
        <v>92</v>
      </c>
      <c r="M850" t="s">
        <v>219</v>
      </c>
      <c r="N850" s="19">
        <v>46262</v>
      </c>
      <c r="O850" t="s">
        <v>220</v>
      </c>
      <c r="P850">
        <v>1</v>
      </c>
      <c r="Q850" t="s">
        <v>2761</v>
      </c>
    </row>
    <row r="851" spans="1:18" x14ac:dyDescent="0.3">
      <c r="A851" t="s">
        <v>2762</v>
      </c>
      <c r="B851" t="s">
        <v>2355</v>
      </c>
      <c r="C851" t="s">
        <v>518</v>
      </c>
      <c r="D851" t="s">
        <v>155</v>
      </c>
      <c r="E851" t="s">
        <v>156</v>
      </c>
      <c r="F851" t="s">
        <v>632</v>
      </c>
      <c r="G851" t="s">
        <v>2352</v>
      </c>
      <c r="H851">
        <v>113.3</v>
      </c>
      <c r="I851">
        <v>5</v>
      </c>
      <c r="J851" t="s">
        <v>230</v>
      </c>
      <c r="K851" t="s">
        <v>887</v>
      </c>
      <c r="L851" t="s">
        <v>92</v>
      </c>
      <c r="M851" t="s">
        <v>219</v>
      </c>
      <c r="N851" s="19">
        <v>46262</v>
      </c>
      <c r="O851" t="s">
        <v>220</v>
      </c>
      <c r="P851">
        <v>1</v>
      </c>
      <c r="Q851" t="s">
        <v>2763</v>
      </c>
    </row>
    <row r="852" spans="1:18" x14ac:dyDescent="0.3">
      <c r="A852" t="s">
        <v>2764</v>
      </c>
      <c r="B852" t="s">
        <v>2765</v>
      </c>
      <c r="C852" t="s">
        <v>518</v>
      </c>
      <c r="D852" t="s">
        <v>155</v>
      </c>
      <c r="E852" t="s">
        <v>156</v>
      </c>
      <c r="F852" t="s">
        <v>632</v>
      </c>
      <c r="G852" t="s">
        <v>2371</v>
      </c>
      <c r="H852">
        <v>469.8</v>
      </c>
      <c r="I852">
        <v>5</v>
      </c>
      <c r="J852" t="s">
        <v>230</v>
      </c>
      <c r="K852" t="s">
        <v>887</v>
      </c>
      <c r="L852" t="s">
        <v>92</v>
      </c>
      <c r="M852" t="s">
        <v>219</v>
      </c>
      <c r="N852" s="19">
        <v>46262</v>
      </c>
      <c r="O852" t="s">
        <v>220</v>
      </c>
      <c r="P852">
        <v>1</v>
      </c>
      <c r="Q852" t="s">
        <v>2766</v>
      </c>
    </row>
    <row r="853" spans="1:18" x14ac:dyDescent="0.3">
      <c r="A853" t="s">
        <v>2767</v>
      </c>
      <c r="B853" t="s">
        <v>2768</v>
      </c>
      <c r="C853" t="s">
        <v>461</v>
      </c>
      <c r="D853" t="s">
        <v>155</v>
      </c>
      <c r="E853" t="s">
        <v>156</v>
      </c>
      <c r="F853" t="s">
        <v>632</v>
      </c>
      <c r="H853">
        <v>10.45</v>
      </c>
      <c r="I853">
        <v>0</v>
      </c>
      <c r="J853" t="s">
        <v>230</v>
      </c>
      <c r="K853" t="s">
        <v>965</v>
      </c>
      <c r="L853" t="s">
        <v>218</v>
      </c>
      <c r="M853" t="s">
        <v>219</v>
      </c>
      <c r="N853" s="19">
        <v>46262</v>
      </c>
      <c r="O853" t="s">
        <v>220</v>
      </c>
      <c r="P853">
        <v>1</v>
      </c>
      <c r="Q853" t="s">
        <v>2769</v>
      </c>
    </row>
    <row r="854" spans="1:18" x14ac:dyDescent="0.3">
      <c r="A854" t="s">
        <v>2770</v>
      </c>
      <c r="B854" t="s">
        <v>2771</v>
      </c>
      <c r="C854" t="s">
        <v>518</v>
      </c>
      <c r="D854" t="s">
        <v>155</v>
      </c>
      <c r="E854" t="s">
        <v>156</v>
      </c>
      <c r="F854" t="s">
        <v>632</v>
      </c>
      <c r="G854" t="s">
        <v>2411</v>
      </c>
      <c r="H854">
        <v>126.67</v>
      </c>
      <c r="I854">
        <v>5</v>
      </c>
      <c r="J854" t="s">
        <v>230</v>
      </c>
      <c r="K854" t="s">
        <v>887</v>
      </c>
      <c r="L854" t="s">
        <v>92</v>
      </c>
      <c r="M854" t="s">
        <v>219</v>
      </c>
      <c r="N854" s="19">
        <v>46262</v>
      </c>
      <c r="O854" t="s">
        <v>220</v>
      </c>
      <c r="P854">
        <v>1</v>
      </c>
      <c r="Q854" t="s">
        <v>2772</v>
      </c>
    </row>
    <row r="855" spans="1:18" x14ac:dyDescent="0.3">
      <c r="A855" t="s">
        <v>2773</v>
      </c>
      <c r="B855" t="s">
        <v>2774</v>
      </c>
      <c r="C855" t="s">
        <v>518</v>
      </c>
      <c r="D855" t="s">
        <v>155</v>
      </c>
      <c r="E855" t="s">
        <v>156</v>
      </c>
      <c r="F855" t="s">
        <v>632</v>
      </c>
      <c r="G855" t="s">
        <v>2411</v>
      </c>
      <c r="H855">
        <v>87.7</v>
      </c>
      <c r="I855">
        <v>5</v>
      </c>
      <c r="J855" t="s">
        <v>230</v>
      </c>
      <c r="K855" t="s">
        <v>887</v>
      </c>
      <c r="L855" t="s">
        <v>92</v>
      </c>
      <c r="M855" t="s">
        <v>219</v>
      </c>
      <c r="N855" s="19">
        <v>46262</v>
      </c>
      <c r="O855" t="s">
        <v>220</v>
      </c>
      <c r="P855">
        <v>1</v>
      </c>
      <c r="Q855" t="s">
        <v>2775</v>
      </c>
    </row>
    <row r="856" spans="1:18" x14ac:dyDescent="0.3">
      <c r="A856" t="s">
        <v>2776</v>
      </c>
      <c r="B856" t="s">
        <v>2389</v>
      </c>
      <c r="C856" t="s">
        <v>461</v>
      </c>
      <c r="D856" t="s">
        <v>155</v>
      </c>
      <c r="E856" t="s">
        <v>156</v>
      </c>
      <c r="F856" t="s">
        <v>632</v>
      </c>
      <c r="G856" t="s">
        <v>2390</v>
      </c>
      <c r="H856">
        <v>679.25</v>
      </c>
      <c r="I856">
        <v>5</v>
      </c>
      <c r="J856" t="s">
        <v>230</v>
      </c>
      <c r="K856" t="s">
        <v>965</v>
      </c>
      <c r="L856" t="s">
        <v>92</v>
      </c>
      <c r="M856" t="s">
        <v>219</v>
      </c>
      <c r="N856" s="19">
        <v>46262</v>
      </c>
      <c r="O856" t="s">
        <v>220</v>
      </c>
      <c r="P856">
        <v>5</v>
      </c>
      <c r="Q856" t="s">
        <v>2777</v>
      </c>
      <c r="R856" t="s">
        <v>92</v>
      </c>
    </row>
    <row r="857" spans="1:18" x14ac:dyDescent="0.3">
      <c r="A857" t="s">
        <v>2778</v>
      </c>
      <c r="B857" t="s">
        <v>2779</v>
      </c>
      <c r="C857" t="s">
        <v>461</v>
      </c>
      <c r="D857" t="s">
        <v>155</v>
      </c>
      <c r="E857" t="s">
        <v>156</v>
      </c>
      <c r="F857" t="s">
        <v>632</v>
      </c>
      <c r="G857" t="s">
        <v>2396</v>
      </c>
      <c r="H857">
        <v>698.42</v>
      </c>
      <c r="I857">
        <v>5</v>
      </c>
      <c r="J857" t="s">
        <v>230</v>
      </c>
      <c r="K857" t="s">
        <v>965</v>
      </c>
      <c r="L857" t="s">
        <v>92</v>
      </c>
      <c r="M857" t="s">
        <v>219</v>
      </c>
      <c r="N857" s="19">
        <v>46262</v>
      </c>
      <c r="O857" t="s">
        <v>220</v>
      </c>
      <c r="P857">
        <v>1</v>
      </c>
      <c r="Q857" t="s">
        <v>2780</v>
      </c>
    </row>
    <row r="858" spans="1:18" x14ac:dyDescent="0.3">
      <c r="A858" t="s">
        <v>2781</v>
      </c>
      <c r="B858" t="s">
        <v>2407</v>
      </c>
      <c r="C858" t="s">
        <v>289</v>
      </c>
      <c r="D858" t="s">
        <v>155</v>
      </c>
      <c r="E858" t="s">
        <v>156</v>
      </c>
      <c r="F858" t="s">
        <v>632</v>
      </c>
      <c r="H858">
        <v>25099.8</v>
      </c>
      <c r="I858">
        <v>0</v>
      </c>
      <c r="J858" t="s">
        <v>230</v>
      </c>
      <c r="K858" t="s">
        <v>965</v>
      </c>
      <c r="L858" t="s">
        <v>218</v>
      </c>
      <c r="M858" t="s">
        <v>219</v>
      </c>
      <c r="N858" s="19">
        <v>46262</v>
      </c>
      <c r="O858" t="s">
        <v>220</v>
      </c>
      <c r="P858">
        <v>1</v>
      </c>
      <c r="Q858" t="s">
        <v>2782</v>
      </c>
    </row>
    <row r="859" spans="1:18" x14ac:dyDescent="0.3">
      <c r="A859" t="s">
        <v>2783</v>
      </c>
      <c r="B859" t="s">
        <v>1960</v>
      </c>
      <c r="C859" t="s">
        <v>289</v>
      </c>
      <c r="D859" t="s">
        <v>155</v>
      </c>
      <c r="E859" t="s">
        <v>156</v>
      </c>
      <c r="F859" t="s">
        <v>632</v>
      </c>
      <c r="H859">
        <v>0</v>
      </c>
      <c r="I859">
        <v>0</v>
      </c>
      <c r="J859" t="s">
        <v>230</v>
      </c>
      <c r="K859" t="s">
        <v>965</v>
      </c>
      <c r="L859" t="s">
        <v>218</v>
      </c>
      <c r="M859" t="s">
        <v>219</v>
      </c>
      <c r="N859" s="19">
        <v>46262</v>
      </c>
      <c r="O859" t="s">
        <v>220</v>
      </c>
      <c r="P859">
        <v>1</v>
      </c>
      <c r="Q859" t="s">
        <v>2784</v>
      </c>
    </row>
    <row r="860" spans="1:18" x14ac:dyDescent="0.3">
      <c r="A860" t="s">
        <v>2785</v>
      </c>
      <c r="B860" t="s">
        <v>2429</v>
      </c>
      <c r="C860" t="s">
        <v>461</v>
      </c>
      <c r="D860" t="s">
        <v>155</v>
      </c>
      <c r="E860" t="s">
        <v>156</v>
      </c>
      <c r="F860" t="s">
        <v>632</v>
      </c>
      <c r="H860">
        <v>295.19</v>
      </c>
      <c r="I860">
        <v>0</v>
      </c>
      <c r="J860" t="s">
        <v>230</v>
      </c>
      <c r="K860" t="s">
        <v>965</v>
      </c>
      <c r="L860" t="s">
        <v>218</v>
      </c>
      <c r="M860" t="s">
        <v>219</v>
      </c>
      <c r="N860" s="19">
        <v>46262</v>
      </c>
      <c r="O860" t="s">
        <v>220</v>
      </c>
      <c r="P860">
        <v>2</v>
      </c>
      <c r="Q860" t="s">
        <v>2786</v>
      </c>
      <c r="R860" t="s">
        <v>92</v>
      </c>
    </row>
    <row r="861" spans="1:18" x14ac:dyDescent="0.3">
      <c r="A861" t="s">
        <v>2787</v>
      </c>
      <c r="B861" t="s">
        <v>2704</v>
      </c>
      <c r="C861" t="s">
        <v>518</v>
      </c>
      <c r="D861" t="s">
        <v>155</v>
      </c>
      <c r="E861" t="s">
        <v>156</v>
      </c>
      <c r="F861" t="s">
        <v>632</v>
      </c>
      <c r="G861" t="s">
        <v>2411</v>
      </c>
      <c r="H861">
        <v>124.41</v>
      </c>
      <c r="I861">
        <v>5</v>
      </c>
      <c r="J861" t="s">
        <v>230</v>
      </c>
      <c r="K861" t="s">
        <v>887</v>
      </c>
      <c r="L861" t="s">
        <v>92</v>
      </c>
      <c r="M861" t="s">
        <v>219</v>
      </c>
      <c r="N861" s="19">
        <v>46262</v>
      </c>
      <c r="O861" t="s">
        <v>220</v>
      </c>
      <c r="P861">
        <v>2</v>
      </c>
      <c r="Q861" t="s">
        <v>2788</v>
      </c>
      <c r="R861" t="s">
        <v>92</v>
      </c>
    </row>
    <row r="862" spans="1:18" x14ac:dyDescent="0.3">
      <c r="A862" t="s">
        <v>2789</v>
      </c>
      <c r="B862" t="s">
        <v>2704</v>
      </c>
      <c r="C862" t="s">
        <v>518</v>
      </c>
      <c r="D862" t="s">
        <v>155</v>
      </c>
      <c r="E862" t="s">
        <v>156</v>
      </c>
      <c r="F862" t="s">
        <v>632</v>
      </c>
      <c r="G862" t="s">
        <v>2411</v>
      </c>
      <c r="H862">
        <v>108.58</v>
      </c>
      <c r="I862">
        <v>5</v>
      </c>
      <c r="J862" t="s">
        <v>230</v>
      </c>
      <c r="K862" t="s">
        <v>887</v>
      </c>
      <c r="L862" t="s">
        <v>92</v>
      </c>
      <c r="M862" t="s">
        <v>219</v>
      </c>
      <c r="N862" s="19">
        <v>46262</v>
      </c>
      <c r="O862" t="s">
        <v>220</v>
      </c>
      <c r="P862">
        <v>3</v>
      </c>
      <c r="Q862" t="s">
        <v>2790</v>
      </c>
      <c r="R862" t="s">
        <v>92</v>
      </c>
    </row>
    <row r="863" spans="1:18" x14ac:dyDescent="0.3">
      <c r="A863" t="s">
        <v>2791</v>
      </c>
      <c r="B863" t="s">
        <v>2792</v>
      </c>
      <c r="C863" t="s">
        <v>518</v>
      </c>
      <c r="D863" t="s">
        <v>155</v>
      </c>
      <c r="E863" t="s">
        <v>156</v>
      </c>
      <c r="F863" t="s">
        <v>657</v>
      </c>
      <c r="G863" t="s">
        <v>2793</v>
      </c>
      <c r="H863">
        <v>51.97</v>
      </c>
      <c r="I863">
        <v>5</v>
      </c>
      <c r="J863" t="s">
        <v>230</v>
      </c>
      <c r="K863" t="s">
        <v>965</v>
      </c>
      <c r="L863" t="s">
        <v>92</v>
      </c>
      <c r="M863" t="s">
        <v>219</v>
      </c>
      <c r="N863" s="19">
        <v>46262</v>
      </c>
      <c r="O863" t="s">
        <v>220</v>
      </c>
      <c r="P863">
        <v>1</v>
      </c>
      <c r="Q863" t="s">
        <v>2794</v>
      </c>
    </row>
    <row r="864" spans="1:18" x14ac:dyDescent="0.3">
      <c r="A864" t="s">
        <v>2795</v>
      </c>
      <c r="B864" t="s">
        <v>2796</v>
      </c>
      <c r="C864" t="s">
        <v>518</v>
      </c>
      <c r="D864" t="s">
        <v>155</v>
      </c>
      <c r="E864" t="s">
        <v>156</v>
      </c>
      <c r="F864" t="s">
        <v>657</v>
      </c>
      <c r="G864" t="s">
        <v>2793</v>
      </c>
      <c r="H864">
        <v>12.29</v>
      </c>
      <c r="I864">
        <v>5</v>
      </c>
      <c r="J864" t="s">
        <v>230</v>
      </c>
      <c r="K864" t="s">
        <v>965</v>
      </c>
      <c r="L864" t="s">
        <v>92</v>
      </c>
      <c r="M864" t="s">
        <v>219</v>
      </c>
      <c r="N864" s="19">
        <v>46262</v>
      </c>
      <c r="O864" t="s">
        <v>220</v>
      </c>
      <c r="P864">
        <v>1</v>
      </c>
      <c r="Q864" t="s">
        <v>2797</v>
      </c>
    </row>
    <row r="865" spans="1:18" x14ac:dyDescent="0.3">
      <c r="A865" t="s">
        <v>2798</v>
      </c>
      <c r="B865" t="s">
        <v>2799</v>
      </c>
      <c r="C865" t="s">
        <v>461</v>
      </c>
      <c r="D865" t="s">
        <v>155</v>
      </c>
      <c r="E865" t="s">
        <v>156</v>
      </c>
      <c r="F865" t="s">
        <v>657</v>
      </c>
      <c r="G865" t="s">
        <v>2793</v>
      </c>
      <c r="H865">
        <v>34.659999999999997</v>
      </c>
      <c r="I865">
        <v>5</v>
      </c>
      <c r="J865" t="s">
        <v>230</v>
      </c>
      <c r="K865" t="s">
        <v>965</v>
      </c>
      <c r="L865" t="s">
        <v>92</v>
      </c>
      <c r="M865" t="s">
        <v>219</v>
      </c>
      <c r="N865" s="19">
        <v>46262</v>
      </c>
      <c r="O865" t="s">
        <v>220</v>
      </c>
      <c r="P865">
        <v>1</v>
      </c>
      <c r="Q865" t="s">
        <v>2800</v>
      </c>
    </row>
    <row r="866" spans="1:18" x14ac:dyDescent="0.3">
      <c r="A866" t="s">
        <v>2801</v>
      </c>
      <c r="B866" t="s">
        <v>2802</v>
      </c>
      <c r="C866" t="s">
        <v>461</v>
      </c>
      <c r="D866" t="s">
        <v>155</v>
      </c>
      <c r="E866" t="s">
        <v>156</v>
      </c>
      <c r="F866" t="s">
        <v>657</v>
      </c>
      <c r="G866" t="s">
        <v>2793</v>
      </c>
      <c r="H866">
        <v>24.27</v>
      </c>
      <c r="I866">
        <v>5</v>
      </c>
      <c r="J866" t="s">
        <v>216</v>
      </c>
      <c r="K866" t="s">
        <v>965</v>
      </c>
      <c r="L866" t="s">
        <v>92</v>
      </c>
      <c r="M866" t="s">
        <v>219</v>
      </c>
      <c r="N866" s="19">
        <v>46262</v>
      </c>
      <c r="O866" t="s">
        <v>220</v>
      </c>
      <c r="P866">
        <v>1</v>
      </c>
      <c r="Q866" t="s">
        <v>2803</v>
      </c>
    </row>
    <row r="867" spans="1:18" x14ac:dyDescent="0.3">
      <c r="A867" t="s">
        <v>2804</v>
      </c>
      <c r="B867" t="s">
        <v>2805</v>
      </c>
      <c r="C867" t="s">
        <v>461</v>
      </c>
      <c r="D867" t="s">
        <v>155</v>
      </c>
      <c r="E867" t="s">
        <v>156</v>
      </c>
      <c r="F867" t="s">
        <v>657</v>
      </c>
      <c r="G867" t="s">
        <v>2793</v>
      </c>
      <c r="H867">
        <v>22.45</v>
      </c>
      <c r="I867">
        <v>5</v>
      </c>
      <c r="J867" t="s">
        <v>216</v>
      </c>
      <c r="K867" t="s">
        <v>965</v>
      </c>
      <c r="L867" t="s">
        <v>92</v>
      </c>
      <c r="M867" t="s">
        <v>219</v>
      </c>
      <c r="N867" s="19">
        <v>46262</v>
      </c>
      <c r="O867" t="s">
        <v>220</v>
      </c>
      <c r="P867">
        <v>1</v>
      </c>
      <c r="Q867" t="s">
        <v>2806</v>
      </c>
    </row>
    <row r="868" spans="1:18" x14ac:dyDescent="0.3">
      <c r="A868" t="s">
        <v>2807</v>
      </c>
      <c r="B868" t="s">
        <v>2808</v>
      </c>
      <c r="C868" t="s">
        <v>461</v>
      </c>
      <c r="D868" t="s">
        <v>155</v>
      </c>
      <c r="E868" t="s">
        <v>156</v>
      </c>
      <c r="F868" t="s">
        <v>657</v>
      </c>
      <c r="G868" t="s">
        <v>2793</v>
      </c>
      <c r="H868">
        <v>474.27</v>
      </c>
      <c r="I868">
        <v>5</v>
      </c>
      <c r="J868" t="s">
        <v>230</v>
      </c>
      <c r="K868" t="s">
        <v>965</v>
      </c>
      <c r="L868" t="s">
        <v>92</v>
      </c>
      <c r="M868" t="s">
        <v>219</v>
      </c>
      <c r="N868" s="19">
        <v>46262</v>
      </c>
      <c r="O868" t="s">
        <v>220</v>
      </c>
      <c r="P868">
        <v>1</v>
      </c>
      <c r="Q868" t="s">
        <v>2809</v>
      </c>
    </row>
    <row r="869" spans="1:18" x14ac:dyDescent="0.3">
      <c r="A869" t="s">
        <v>2810</v>
      </c>
      <c r="B869" t="s">
        <v>2811</v>
      </c>
      <c r="C869" t="s">
        <v>461</v>
      </c>
      <c r="D869" t="s">
        <v>155</v>
      </c>
      <c r="E869" t="s">
        <v>156</v>
      </c>
      <c r="F869" t="s">
        <v>657</v>
      </c>
      <c r="H869">
        <v>14.45</v>
      </c>
      <c r="I869">
        <v>0</v>
      </c>
      <c r="J869" t="s">
        <v>230</v>
      </c>
      <c r="K869" t="s">
        <v>965</v>
      </c>
      <c r="L869" t="s">
        <v>218</v>
      </c>
      <c r="M869" t="s">
        <v>219</v>
      </c>
      <c r="N869" s="19">
        <v>46262</v>
      </c>
      <c r="O869" t="s">
        <v>220</v>
      </c>
      <c r="P869">
        <v>1</v>
      </c>
      <c r="Q869" t="s">
        <v>2812</v>
      </c>
    </row>
    <row r="870" spans="1:18" x14ac:dyDescent="0.3">
      <c r="A870" t="s">
        <v>2813</v>
      </c>
      <c r="B870" t="s">
        <v>2814</v>
      </c>
      <c r="C870" t="s">
        <v>461</v>
      </c>
      <c r="D870" t="s">
        <v>155</v>
      </c>
      <c r="E870" t="s">
        <v>156</v>
      </c>
      <c r="F870" t="s">
        <v>657</v>
      </c>
      <c r="G870" t="s">
        <v>2793</v>
      </c>
      <c r="H870">
        <v>17.079999999999998</v>
      </c>
      <c r="I870">
        <v>5</v>
      </c>
      <c r="J870" t="s">
        <v>230</v>
      </c>
      <c r="K870" t="s">
        <v>965</v>
      </c>
      <c r="L870" t="s">
        <v>92</v>
      </c>
      <c r="M870" t="s">
        <v>219</v>
      </c>
      <c r="N870" s="19">
        <v>46262</v>
      </c>
      <c r="O870" t="s">
        <v>220</v>
      </c>
      <c r="P870">
        <v>1</v>
      </c>
      <c r="Q870" t="s">
        <v>2815</v>
      </c>
    </row>
    <row r="871" spans="1:18" x14ac:dyDescent="0.3">
      <c r="A871" t="s">
        <v>2816</v>
      </c>
      <c r="B871" t="s">
        <v>2817</v>
      </c>
      <c r="C871" t="s">
        <v>461</v>
      </c>
      <c r="D871" t="s">
        <v>155</v>
      </c>
      <c r="E871" t="s">
        <v>156</v>
      </c>
      <c r="F871" t="s">
        <v>657</v>
      </c>
      <c r="G871" t="s">
        <v>2793</v>
      </c>
      <c r="H871">
        <v>27.98</v>
      </c>
      <c r="I871">
        <v>5</v>
      </c>
      <c r="J871" t="s">
        <v>230</v>
      </c>
      <c r="K871" t="s">
        <v>965</v>
      </c>
      <c r="L871" t="s">
        <v>92</v>
      </c>
      <c r="M871" t="s">
        <v>219</v>
      </c>
      <c r="N871" s="19">
        <v>46262</v>
      </c>
      <c r="O871" t="s">
        <v>220</v>
      </c>
      <c r="P871">
        <v>1</v>
      </c>
      <c r="Q871" t="s">
        <v>2818</v>
      </c>
    </row>
    <row r="872" spans="1:18" x14ac:dyDescent="0.3">
      <c r="A872" t="s">
        <v>2819</v>
      </c>
      <c r="B872" t="s">
        <v>2820</v>
      </c>
      <c r="C872" t="s">
        <v>461</v>
      </c>
      <c r="D872" t="s">
        <v>155</v>
      </c>
      <c r="E872" t="s">
        <v>156</v>
      </c>
      <c r="F872" t="s">
        <v>657</v>
      </c>
      <c r="H872">
        <v>48.99</v>
      </c>
      <c r="I872">
        <v>0</v>
      </c>
      <c r="J872" t="s">
        <v>230</v>
      </c>
      <c r="K872" t="s">
        <v>42</v>
      </c>
      <c r="L872" t="s">
        <v>218</v>
      </c>
      <c r="M872" t="s">
        <v>219</v>
      </c>
      <c r="N872" s="19">
        <v>46262</v>
      </c>
      <c r="O872" t="s">
        <v>220</v>
      </c>
      <c r="P872">
        <v>1</v>
      </c>
      <c r="Q872" t="s">
        <v>2821</v>
      </c>
    </row>
    <row r="873" spans="1:18" x14ac:dyDescent="0.3">
      <c r="A873" t="s">
        <v>2822</v>
      </c>
      <c r="B873" t="s">
        <v>2823</v>
      </c>
      <c r="C873" t="s">
        <v>461</v>
      </c>
      <c r="D873" t="s">
        <v>155</v>
      </c>
      <c r="E873" t="s">
        <v>156</v>
      </c>
      <c r="F873" t="s">
        <v>657</v>
      </c>
      <c r="H873">
        <v>48.51</v>
      </c>
      <c r="I873">
        <v>0</v>
      </c>
      <c r="J873" t="s">
        <v>230</v>
      </c>
      <c r="K873" t="s">
        <v>42</v>
      </c>
      <c r="L873" t="s">
        <v>218</v>
      </c>
      <c r="M873" t="s">
        <v>219</v>
      </c>
      <c r="N873" s="19">
        <v>46262</v>
      </c>
      <c r="O873" t="s">
        <v>220</v>
      </c>
      <c r="P873">
        <v>1</v>
      </c>
      <c r="Q873" t="s">
        <v>2824</v>
      </c>
    </row>
    <row r="874" spans="1:18" x14ac:dyDescent="0.3">
      <c r="A874" t="s">
        <v>2825</v>
      </c>
      <c r="B874" t="s">
        <v>2826</v>
      </c>
      <c r="C874" t="s">
        <v>461</v>
      </c>
      <c r="D874" t="s">
        <v>155</v>
      </c>
      <c r="E874" t="s">
        <v>156</v>
      </c>
      <c r="F874" t="s">
        <v>657</v>
      </c>
      <c r="G874" t="s">
        <v>2793</v>
      </c>
      <c r="H874">
        <v>35.299999999999997</v>
      </c>
      <c r="I874">
        <v>5</v>
      </c>
      <c r="J874" t="s">
        <v>230</v>
      </c>
      <c r="K874" t="s">
        <v>965</v>
      </c>
      <c r="L874" t="s">
        <v>92</v>
      </c>
      <c r="M874" t="s">
        <v>219</v>
      </c>
      <c r="N874" s="19">
        <v>46262</v>
      </c>
      <c r="O874" t="s">
        <v>220</v>
      </c>
      <c r="P874">
        <v>1</v>
      </c>
      <c r="Q874" t="s">
        <v>2827</v>
      </c>
    </row>
    <row r="875" spans="1:18" x14ac:dyDescent="0.3">
      <c r="A875" t="s">
        <v>2828</v>
      </c>
      <c r="B875" t="s">
        <v>2829</v>
      </c>
      <c r="C875" t="s">
        <v>289</v>
      </c>
      <c r="D875" t="s">
        <v>157</v>
      </c>
      <c r="E875" t="s">
        <v>158</v>
      </c>
      <c r="F875" t="s">
        <v>215</v>
      </c>
      <c r="H875">
        <v>217152</v>
      </c>
      <c r="I875">
        <v>0</v>
      </c>
      <c r="J875" t="s">
        <v>216</v>
      </c>
      <c r="K875" t="s">
        <v>965</v>
      </c>
      <c r="L875" t="s">
        <v>218</v>
      </c>
      <c r="M875" t="s">
        <v>219</v>
      </c>
      <c r="N875" s="19">
        <v>46262</v>
      </c>
      <c r="O875" t="s">
        <v>220</v>
      </c>
      <c r="P875">
        <v>1</v>
      </c>
      <c r="Q875" t="s">
        <v>2830</v>
      </c>
    </row>
    <row r="876" spans="1:18" x14ac:dyDescent="0.3">
      <c r="A876" t="s">
        <v>2831</v>
      </c>
      <c r="B876" t="s">
        <v>2832</v>
      </c>
      <c r="C876" t="s">
        <v>289</v>
      </c>
      <c r="D876" t="s">
        <v>157</v>
      </c>
      <c r="E876" t="s">
        <v>158</v>
      </c>
      <c r="F876" t="s">
        <v>215</v>
      </c>
      <c r="H876">
        <v>162864</v>
      </c>
      <c r="I876">
        <v>0</v>
      </c>
      <c r="J876" t="s">
        <v>216</v>
      </c>
      <c r="K876" t="s">
        <v>965</v>
      </c>
      <c r="L876" t="s">
        <v>218</v>
      </c>
      <c r="M876" t="s">
        <v>219</v>
      </c>
      <c r="N876" s="19">
        <v>46262</v>
      </c>
      <c r="O876" t="s">
        <v>220</v>
      </c>
      <c r="P876">
        <v>1</v>
      </c>
      <c r="Q876" t="s">
        <v>2833</v>
      </c>
    </row>
    <row r="877" spans="1:18" x14ac:dyDescent="0.3">
      <c r="A877" t="s">
        <v>2834</v>
      </c>
      <c r="B877" t="s">
        <v>2835</v>
      </c>
      <c r="C877" t="s">
        <v>289</v>
      </c>
      <c r="D877" t="s">
        <v>157</v>
      </c>
      <c r="E877" t="s">
        <v>158</v>
      </c>
      <c r="F877" t="s">
        <v>215</v>
      </c>
      <c r="G877" t="s">
        <v>2836</v>
      </c>
      <c r="H877">
        <v>678.6</v>
      </c>
      <c r="I877">
        <v>5</v>
      </c>
      <c r="J877" t="s">
        <v>216</v>
      </c>
      <c r="K877" t="s">
        <v>965</v>
      </c>
      <c r="L877" t="s">
        <v>92</v>
      </c>
      <c r="M877" t="s">
        <v>219</v>
      </c>
      <c r="N877" s="19">
        <v>46262</v>
      </c>
      <c r="O877" t="s">
        <v>220</v>
      </c>
      <c r="P877">
        <v>2</v>
      </c>
      <c r="Q877" t="s">
        <v>2837</v>
      </c>
      <c r="R877" t="s">
        <v>92</v>
      </c>
    </row>
    <row r="878" spans="1:18" x14ac:dyDescent="0.3">
      <c r="A878" t="s">
        <v>2838</v>
      </c>
      <c r="B878" t="s">
        <v>2839</v>
      </c>
      <c r="C878" t="s">
        <v>518</v>
      </c>
      <c r="D878" t="s">
        <v>157</v>
      </c>
      <c r="E878" t="s">
        <v>158</v>
      </c>
      <c r="F878" t="s">
        <v>215</v>
      </c>
      <c r="H878">
        <v>393.59</v>
      </c>
      <c r="I878">
        <v>0</v>
      </c>
      <c r="J878" t="s">
        <v>216</v>
      </c>
      <c r="K878" t="s">
        <v>965</v>
      </c>
      <c r="L878" t="s">
        <v>218</v>
      </c>
      <c r="M878" t="s">
        <v>219</v>
      </c>
      <c r="N878" s="19">
        <v>46262</v>
      </c>
      <c r="O878" t="s">
        <v>220</v>
      </c>
      <c r="P878">
        <v>1</v>
      </c>
      <c r="Q878" t="s">
        <v>2840</v>
      </c>
    </row>
    <row r="879" spans="1:18" x14ac:dyDescent="0.3">
      <c r="A879" t="s">
        <v>2841</v>
      </c>
      <c r="B879" t="s">
        <v>2842</v>
      </c>
      <c r="C879" t="s">
        <v>461</v>
      </c>
      <c r="D879" t="s">
        <v>157</v>
      </c>
      <c r="E879" t="s">
        <v>158</v>
      </c>
      <c r="F879" t="s">
        <v>215</v>
      </c>
      <c r="G879" t="s">
        <v>2836</v>
      </c>
      <c r="H879">
        <v>1413.71</v>
      </c>
      <c r="I879">
        <v>5</v>
      </c>
      <c r="J879" t="s">
        <v>216</v>
      </c>
      <c r="K879" t="s">
        <v>965</v>
      </c>
      <c r="L879" t="s">
        <v>92</v>
      </c>
      <c r="M879" t="s">
        <v>219</v>
      </c>
      <c r="N879" s="19">
        <v>46262</v>
      </c>
      <c r="O879" t="s">
        <v>220</v>
      </c>
      <c r="P879">
        <v>1</v>
      </c>
      <c r="Q879" t="s">
        <v>2843</v>
      </c>
    </row>
    <row r="880" spans="1:18" x14ac:dyDescent="0.3">
      <c r="A880" t="s">
        <v>2844</v>
      </c>
      <c r="B880" t="s">
        <v>2845</v>
      </c>
      <c r="C880" t="s">
        <v>461</v>
      </c>
      <c r="D880" t="s">
        <v>157</v>
      </c>
      <c r="E880" t="s">
        <v>158</v>
      </c>
      <c r="F880" t="s">
        <v>215</v>
      </c>
      <c r="G880" t="s">
        <v>2836</v>
      </c>
      <c r="H880">
        <v>1414.58</v>
      </c>
      <c r="I880">
        <v>5</v>
      </c>
      <c r="J880" t="s">
        <v>216</v>
      </c>
      <c r="K880" t="s">
        <v>965</v>
      </c>
      <c r="L880" t="s">
        <v>92</v>
      </c>
      <c r="M880" t="s">
        <v>219</v>
      </c>
      <c r="N880" s="19">
        <v>46262</v>
      </c>
      <c r="O880" t="s">
        <v>220</v>
      </c>
      <c r="P880">
        <v>1</v>
      </c>
      <c r="Q880" t="s">
        <v>2846</v>
      </c>
    </row>
    <row r="881" spans="1:19" x14ac:dyDescent="0.3">
      <c r="A881" t="s">
        <v>2847</v>
      </c>
      <c r="B881" t="s">
        <v>2848</v>
      </c>
      <c r="C881" t="s">
        <v>461</v>
      </c>
      <c r="D881" t="s">
        <v>157</v>
      </c>
      <c r="E881" t="s">
        <v>158</v>
      </c>
      <c r="F881" t="s">
        <v>215</v>
      </c>
      <c r="G881" t="s">
        <v>2836</v>
      </c>
      <c r="H881">
        <v>1415.45</v>
      </c>
      <c r="I881">
        <v>5</v>
      </c>
      <c r="J881" t="s">
        <v>216</v>
      </c>
      <c r="K881" t="s">
        <v>965</v>
      </c>
      <c r="L881" t="s">
        <v>92</v>
      </c>
      <c r="M881" t="s">
        <v>219</v>
      </c>
      <c r="N881" s="19">
        <v>46262</v>
      </c>
      <c r="O881" t="s">
        <v>220</v>
      </c>
      <c r="P881">
        <v>1</v>
      </c>
      <c r="Q881" t="s">
        <v>2849</v>
      </c>
    </row>
    <row r="882" spans="1:19" x14ac:dyDescent="0.3">
      <c r="A882" t="s">
        <v>2850</v>
      </c>
      <c r="B882" t="s">
        <v>2851</v>
      </c>
      <c r="C882" t="s">
        <v>461</v>
      </c>
      <c r="D882" t="s">
        <v>157</v>
      </c>
      <c r="E882" t="s">
        <v>158</v>
      </c>
      <c r="F882" t="s">
        <v>215</v>
      </c>
      <c r="G882" t="s">
        <v>2836</v>
      </c>
      <c r="H882">
        <v>1416.32</v>
      </c>
      <c r="I882">
        <v>5</v>
      </c>
      <c r="J882" t="s">
        <v>216</v>
      </c>
      <c r="K882" t="s">
        <v>965</v>
      </c>
      <c r="L882" t="s">
        <v>92</v>
      </c>
      <c r="M882" t="s">
        <v>219</v>
      </c>
      <c r="N882" s="19">
        <v>46262</v>
      </c>
      <c r="O882" t="s">
        <v>220</v>
      </c>
      <c r="P882">
        <v>1</v>
      </c>
      <c r="Q882" t="s">
        <v>2852</v>
      </c>
    </row>
    <row r="883" spans="1:19" x14ac:dyDescent="0.3">
      <c r="A883" t="s">
        <v>2853</v>
      </c>
      <c r="B883" t="s">
        <v>2854</v>
      </c>
      <c r="C883" t="s">
        <v>461</v>
      </c>
      <c r="D883" t="s">
        <v>157</v>
      </c>
      <c r="E883" t="s">
        <v>158</v>
      </c>
      <c r="F883" t="s">
        <v>215</v>
      </c>
      <c r="G883" t="s">
        <v>2836</v>
      </c>
      <c r="H883">
        <v>1417.19</v>
      </c>
      <c r="I883">
        <v>5</v>
      </c>
      <c r="J883" t="s">
        <v>216</v>
      </c>
      <c r="K883" t="s">
        <v>965</v>
      </c>
      <c r="L883" t="s">
        <v>92</v>
      </c>
      <c r="M883" t="s">
        <v>219</v>
      </c>
      <c r="N883" s="19">
        <v>46262</v>
      </c>
      <c r="O883" t="s">
        <v>220</v>
      </c>
      <c r="P883">
        <v>1</v>
      </c>
      <c r="Q883" t="s">
        <v>2855</v>
      </c>
    </row>
    <row r="884" spans="1:19" x14ac:dyDescent="0.3">
      <c r="A884" t="s">
        <v>2856</v>
      </c>
      <c r="B884" t="s">
        <v>2857</v>
      </c>
      <c r="C884" t="s">
        <v>461</v>
      </c>
      <c r="D884" t="s">
        <v>157</v>
      </c>
      <c r="E884" t="s">
        <v>158</v>
      </c>
      <c r="F884" t="s">
        <v>215</v>
      </c>
      <c r="H884">
        <v>271.44</v>
      </c>
      <c r="I884">
        <v>0</v>
      </c>
      <c r="J884" t="s">
        <v>216</v>
      </c>
      <c r="K884" t="s">
        <v>965</v>
      </c>
      <c r="L884" t="s">
        <v>218</v>
      </c>
      <c r="M884" t="s">
        <v>219</v>
      </c>
      <c r="N884" s="19">
        <v>46262</v>
      </c>
      <c r="O884" t="s">
        <v>220</v>
      </c>
      <c r="P884">
        <v>13</v>
      </c>
      <c r="Q884" t="s">
        <v>2858</v>
      </c>
      <c r="R884" t="s">
        <v>92</v>
      </c>
    </row>
    <row r="885" spans="1:19" x14ac:dyDescent="0.3">
      <c r="A885" t="s">
        <v>2859</v>
      </c>
      <c r="B885" t="s">
        <v>125</v>
      </c>
      <c r="C885" t="s">
        <v>2860</v>
      </c>
      <c r="D885" t="s">
        <v>157</v>
      </c>
      <c r="E885" t="s">
        <v>158</v>
      </c>
      <c r="F885" t="s">
        <v>215</v>
      </c>
      <c r="H885">
        <v>0</v>
      </c>
      <c r="I885">
        <v>0</v>
      </c>
      <c r="J885" t="s">
        <v>216</v>
      </c>
      <c r="K885" t="s">
        <v>965</v>
      </c>
      <c r="L885" t="s">
        <v>218</v>
      </c>
      <c r="M885" t="s">
        <v>219</v>
      </c>
      <c r="N885" s="19">
        <v>46262</v>
      </c>
      <c r="O885" t="s">
        <v>220</v>
      </c>
      <c r="P885">
        <v>1</v>
      </c>
      <c r="Q885" t="s">
        <v>2861</v>
      </c>
    </row>
    <row r="886" spans="1:19" x14ac:dyDescent="0.3">
      <c r="A886" t="s">
        <v>2862</v>
      </c>
      <c r="B886" t="s">
        <v>128</v>
      </c>
      <c r="C886" t="s">
        <v>2863</v>
      </c>
      <c r="D886" t="s">
        <v>157</v>
      </c>
      <c r="E886" t="s">
        <v>158</v>
      </c>
      <c r="F886" t="s">
        <v>215</v>
      </c>
      <c r="H886">
        <v>0</v>
      </c>
      <c r="I886">
        <v>0</v>
      </c>
      <c r="J886" t="s">
        <v>216</v>
      </c>
      <c r="K886" t="s">
        <v>965</v>
      </c>
      <c r="L886" t="s">
        <v>218</v>
      </c>
      <c r="M886" t="s">
        <v>219</v>
      </c>
      <c r="N886" s="19">
        <v>46262</v>
      </c>
      <c r="O886" t="s">
        <v>220</v>
      </c>
      <c r="P886">
        <v>1</v>
      </c>
      <c r="Q886" t="s">
        <v>2864</v>
      </c>
    </row>
    <row r="887" spans="1:19" x14ac:dyDescent="0.3">
      <c r="A887" t="s">
        <v>2865</v>
      </c>
      <c r="B887" t="s">
        <v>2866</v>
      </c>
      <c r="C887" t="s">
        <v>2867</v>
      </c>
      <c r="D887" t="s">
        <v>159</v>
      </c>
      <c r="E887" t="s">
        <v>160</v>
      </c>
      <c r="F887" t="s">
        <v>215</v>
      </c>
      <c r="H887">
        <v>0</v>
      </c>
      <c r="I887">
        <v>0</v>
      </c>
      <c r="J887" t="s">
        <v>216</v>
      </c>
      <c r="K887" t="s">
        <v>965</v>
      </c>
      <c r="L887" t="s">
        <v>218</v>
      </c>
      <c r="M887" t="s">
        <v>2868</v>
      </c>
      <c r="N887" s="19">
        <v>46262</v>
      </c>
      <c r="O887" t="s">
        <v>220</v>
      </c>
      <c r="P887">
        <v>1</v>
      </c>
      <c r="Q887" t="s">
        <v>2869</v>
      </c>
      <c r="S887" t="s">
        <v>2870</v>
      </c>
    </row>
    <row r="888" spans="1:19" x14ac:dyDescent="0.3">
      <c r="A888" t="s">
        <v>2871</v>
      </c>
      <c r="B888" t="s">
        <v>2872</v>
      </c>
      <c r="C888" t="s">
        <v>2867</v>
      </c>
      <c r="D888" t="s">
        <v>159</v>
      </c>
      <c r="E888" t="s">
        <v>160</v>
      </c>
      <c r="F888" t="s">
        <v>215</v>
      </c>
      <c r="H888">
        <v>0</v>
      </c>
      <c r="I888">
        <v>0</v>
      </c>
      <c r="J888" t="s">
        <v>216</v>
      </c>
      <c r="K888" t="s">
        <v>965</v>
      </c>
      <c r="L888" t="s">
        <v>218</v>
      </c>
      <c r="M888" t="s">
        <v>2868</v>
      </c>
      <c r="N888" s="19">
        <v>46262</v>
      </c>
      <c r="O888" t="s">
        <v>220</v>
      </c>
      <c r="P888">
        <v>1</v>
      </c>
      <c r="Q888" t="s">
        <v>2869</v>
      </c>
      <c r="S888" t="s">
        <v>2870</v>
      </c>
    </row>
    <row r="889" spans="1:19" x14ac:dyDescent="0.3">
      <c r="A889" t="s">
        <v>2873</v>
      </c>
      <c r="B889" t="s">
        <v>2874</v>
      </c>
      <c r="C889" t="s">
        <v>2867</v>
      </c>
      <c r="D889" t="s">
        <v>159</v>
      </c>
      <c r="E889" t="s">
        <v>160</v>
      </c>
      <c r="F889" t="s">
        <v>531</v>
      </c>
      <c r="H889">
        <v>0</v>
      </c>
      <c r="I889">
        <v>0</v>
      </c>
      <c r="J889" t="s">
        <v>216</v>
      </c>
      <c r="K889" t="s">
        <v>965</v>
      </c>
      <c r="L889" t="s">
        <v>218</v>
      </c>
      <c r="M889" t="s">
        <v>2868</v>
      </c>
      <c r="N889" s="19">
        <v>46262</v>
      </c>
      <c r="O889" t="s">
        <v>220</v>
      </c>
      <c r="P889">
        <v>1</v>
      </c>
      <c r="Q889" t="s">
        <v>2869</v>
      </c>
      <c r="S889" t="s">
        <v>2870</v>
      </c>
    </row>
    <row r="890" spans="1:19" x14ac:dyDescent="0.3">
      <c r="A890" t="s">
        <v>2875</v>
      </c>
      <c r="B890" t="s">
        <v>2876</v>
      </c>
      <c r="C890" t="s">
        <v>2867</v>
      </c>
      <c r="D890" t="s">
        <v>159</v>
      </c>
      <c r="E890" t="s">
        <v>160</v>
      </c>
      <c r="F890" t="s">
        <v>531</v>
      </c>
      <c r="H890">
        <v>0</v>
      </c>
      <c r="I890">
        <v>0</v>
      </c>
      <c r="J890" t="s">
        <v>216</v>
      </c>
      <c r="K890" t="s">
        <v>965</v>
      </c>
      <c r="L890" t="s">
        <v>218</v>
      </c>
      <c r="M890" t="s">
        <v>2868</v>
      </c>
      <c r="N890" s="19">
        <v>46262</v>
      </c>
      <c r="O890" t="s">
        <v>220</v>
      </c>
      <c r="P890">
        <v>1</v>
      </c>
      <c r="Q890" t="s">
        <v>2869</v>
      </c>
      <c r="S890" t="s">
        <v>2870</v>
      </c>
    </row>
    <row r="891" spans="1:19" x14ac:dyDescent="0.3">
      <c r="A891" t="s">
        <v>2877</v>
      </c>
      <c r="B891" t="s">
        <v>2878</v>
      </c>
      <c r="C891" t="s">
        <v>2867</v>
      </c>
      <c r="D891" t="s">
        <v>159</v>
      </c>
      <c r="E891" t="s">
        <v>160</v>
      </c>
      <c r="F891" t="s">
        <v>531</v>
      </c>
      <c r="H891">
        <v>0</v>
      </c>
      <c r="I891">
        <v>0</v>
      </c>
      <c r="J891" t="s">
        <v>216</v>
      </c>
      <c r="K891" t="s">
        <v>965</v>
      </c>
      <c r="L891" t="s">
        <v>218</v>
      </c>
      <c r="M891" t="s">
        <v>2868</v>
      </c>
      <c r="N891" s="19">
        <v>46262</v>
      </c>
      <c r="O891" t="s">
        <v>220</v>
      </c>
      <c r="P891">
        <v>1</v>
      </c>
      <c r="Q891" t="s">
        <v>2869</v>
      </c>
      <c r="S891" t="s">
        <v>2870</v>
      </c>
    </row>
    <row r="892" spans="1:19" x14ac:dyDescent="0.3">
      <c r="A892" t="s">
        <v>2879</v>
      </c>
      <c r="B892" t="s">
        <v>2880</v>
      </c>
      <c r="C892" t="s">
        <v>2867</v>
      </c>
      <c r="D892" t="s">
        <v>159</v>
      </c>
      <c r="E892" t="s">
        <v>160</v>
      </c>
      <c r="F892" t="s">
        <v>531</v>
      </c>
      <c r="H892">
        <v>0</v>
      </c>
      <c r="I892">
        <v>0</v>
      </c>
      <c r="J892" t="s">
        <v>216</v>
      </c>
      <c r="K892" t="s">
        <v>965</v>
      </c>
      <c r="L892" t="s">
        <v>218</v>
      </c>
      <c r="M892" t="s">
        <v>2868</v>
      </c>
      <c r="N892" s="19">
        <v>46262</v>
      </c>
      <c r="O892" t="s">
        <v>220</v>
      </c>
      <c r="P892">
        <v>1</v>
      </c>
      <c r="Q892" t="s">
        <v>2869</v>
      </c>
      <c r="S892" t="s">
        <v>2870</v>
      </c>
    </row>
    <row r="893" spans="1:19" x14ac:dyDescent="0.3">
      <c r="A893" t="s">
        <v>2881</v>
      </c>
      <c r="B893" t="s">
        <v>2882</v>
      </c>
      <c r="C893" t="s">
        <v>2867</v>
      </c>
      <c r="D893" t="s">
        <v>159</v>
      </c>
      <c r="E893" t="s">
        <v>160</v>
      </c>
      <c r="F893" t="s">
        <v>580</v>
      </c>
      <c r="H893">
        <v>0</v>
      </c>
      <c r="I893">
        <v>0</v>
      </c>
      <c r="J893" t="s">
        <v>216</v>
      </c>
      <c r="K893" t="s">
        <v>965</v>
      </c>
      <c r="L893" t="s">
        <v>218</v>
      </c>
      <c r="M893" t="s">
        <v>2868</v>
      </c>
      <c r="N893" s="19">
        <v>46262</v>
      </c>
      <c r="O893" t="s">
        <v>220</v>
      </c>
      <c r="P893">
        <v>1</v>
      </c>
      <c r="Q893" t="s">
        <v>2869</v>
      </c>
      <c r="S893" t="s">
        <v>2870</v>
      </c>
    </row>
    <row r="894" spans="1:19" x14ac:dyDescent="0.3">
      <c r="A894" t="s">
        <v>2883</v>
      </c>
      <c r="B894" t="s">
        <v>2884</v>
      </c>
      <c r="C894" t="s">
        <v>518</v>
      </c>
      <c r="D894" t="s">
        <v>159</v>
      </c>
      <c r="E894" t="s">
        <v>160</v>
      </c>
      <c r="F894" t="s">
        <v>580</v>
      </c>
      <c r="H894">
        <v>0</v>
      </c>
      <c r="I894">
        <v>0</v>
      </c>
      <c r="J894" t="s">
        <v>230</v>
      </c>
      <c r="K894" t="s">
        <v>887</v>
      </c>
      <c r="L894" t="s">
        <v>218</v>
      </c>
      <c r="M894" t="s">
        <v>2868</v>
      </c>
      <c r="N894" s="19">
        <v>46262</v>
      </c>
      <c r="O894" t="s">
        <v>220</v>
      </c>
      <c r="P894">
        <v>1</v>
      </c>
      <c r="Q894" t="s">
        <v>2869</v>
      </c>
      <c r="S894" t="s">
        <v>2885</v>
      </c>
    </row>
    <row r="895" spans="1:19" x14ac:dyDescent="0.3">
      <c r="A895" t="s">
        <v>2886</v>
      </c>
      <c r="B895" t="s">
        <v>2887</v>
      </c>
      <c r="C895" t="s">
        <v>2867</v>
      </c>
      <c r="D895" t="s">
        <v>159</v>
      </c>
      <c r="E895" t="s">
        <v>160</v>
      </c>
      <c r="F895" t="s">
        <v>764</v>
      </c>
      <c r="H895">
        <v>0</v>
      </c>
      <c r="I895">
        <v>0</v>
      </c>
      <c r="J895" t="s">
        <v>216</v>
      </c>
      <c r="K895" t="s">
        <v>965</v>
      </c>
      <c r="L895" t="s">
        <v>218</v>
      </c>
      <c r="M895" t="s">
        <v>2868</v>
      </c>
      <c r="N895" s="19">
        <v>46262</v>
      </c>
      <c r="O895" t="s">
        <v>220</v>
      </c>
      <c r="P895">
        <v>1</v>
      </c>
      <c r="Q895" t="s">
        <v>2869</v>
      </c>
      <c r="S895" t="s">
        <v>2888</v>
      </c>
    </row>
    <row r="896" spans="1:19" x14ac:dyDescent="0.3">
      <c r="A896" t="s">
        <v>2889</v>
      </c>
      <c r="B896" t="s">
        <v>2890</v>
      </c>
      <c r="C896" t="s">
        <v>2867</v>
      </c>
      <c r="D896" t="s">
        <v>161</v>
      </c>
      <c r="E896" t="s">
        <v>162</v>
      </c>
      <c r="F896" t="s">
        <v>215</v>
      </c>
      <c r="H896">
        <v>0</v>
      </c>
      <c r="I896">
        <v>0</v>
      </c>
      <c r="J896" t="s">
        <v>230</v>
      </c>
      <c r="K896" t="s">
        <v>965</v>
      </c>
      <c r="L896" t="s">
        <v>218</v>
      </c>
      <c r="M896" t="s">
        <v>2868</v>
      </c>
      <c r="N896" s="19">
        <v>46262</v>
      </c>
      <c r="O896" t="s">
        <v>220</v>
      </c>
      <c r="P896">
        <v>1</v>
      </c>
      <c r="Q896" t="s">
        <v>2869</v>
      </c>
      <c r="S896" t="s">
        <v>2891</v>
      </c>
    </row>
    <row r="897" spans="1:19" x14ac:dyDescent="0.3">
      <c r="A897" t="s">
        <v>2892</v>
      </c>
      <c r="B897" t="s">
        <v>2893</v>
      </c>
      <c r="C897" t="s">
        <v>2867</v>
      </c>
      <c r="D897" t="s">
        <v>161</v>
      </c>
      <c r="E897" t="s">
        <v>162</v>
      </c>
      <c r="F897" t="s">
        <v>215</v>
      </c>
      <c r="H897">
        <v>0</v>
      </c>
      <c r="I897">
        <v>0</v>
      </c>
      <c r="J897" t="s">
        <v>230</v>
      </c>
      <c r="K897" t="s">
        <v>965</v>
      </c>
      <c r="L897" t="s">
        <v>218</v>
      </c>
      <c r="M897" t="s">
        <v>2868</v>
      </c>
      <c r="N897" s="19">
        <v>46262</v>
      </c>
      <c r="O897" t="s">
        <v>220</v>
      </c>
      <c r="P897">
        <v>1</v>
      </c>
      <c r="Q897" t="s">
        <v>2869</v>
      </c>
      <c r="S897" t="s">
        <v>2891</v>
      </c>
    </row>
    <row r="898" spans="1:19" x14ac:dyDescent="0.3">
      <c r="A898" t="s">
        <v>2894</v>
      </c>
      <c r="B898" t="s">
        <v>2895</v>
      </c>
      <c r="C898" t="s">
        <v>518</v>
      </c>
      <c r="D898" t="s">
        <v>161</v>
      </c>
      <c r="E898" t="s">
        <v>162</v>
      </c>
      <c r="F898" t="s">
        <v>215</v>
      </c>
      <c r="H898">
        <v>0</v>
      </c>
      <c r="I898">
        <v>0</v>
      </c>
      <c r="J898" t="s">
        <v>230</v>
      </c>
      <c r="K898" t="s">
        <v>887</v>
      </c>
      <c r="L898" t="s">
        <v>218</v>
      </c>
      <c r="M898" t="s">
        <v>2868</v>
      </c>
      <c r="N898" s="19">
        <v>46262</v>
      </c>
      <c r="O898" t="s">
        <v>220</v>
      </c>
      <c r="P898">
        <v>1</v>
      </c>
      <c r="Q898" t="s">
        <v>2869</v>
      </c>
      <c r="S898" t="s">
        <v>2891</v>
      </c>
    </row>
    <row r="899" spans="1:19" x14ac:dyDescent="0.3">
      <c r="A899" t="s">
        <v>2896</v>
      </c>
      <c r="B899" t="s">
        <v>2897</v>
      </c>
      <c r="C899" t="s">
        <v>2898</v>
      </c>
      <c r="D899" t="s">
        <v>161</v>
      </c>
      <c r="E899" t="s">
        <v>162</v>
      </c>
      <c r="F899" t="s">
        <v>215</v>
      </c>
      <c r="H899">
        <v>0</v>
      </c>
      <c r="I899">
        <v>0</v>
      </c>
      <c r="J899" t="s">
        <v>230</v>
      </c>
      <c r="K899" t="s">
        <v>1267</v>
      </c>
      <c r="L899" t="s">
        <v>218</v>
      </c>
      <c r="M899" t="s">
        <v>2868</v>
      </c>
      <c r="N899" s="19">
        <v>46262</v>
      </c>
      <c r="O899" t="s">
        <v>220</v>
      </c>
      <c r="P899">
        <v>1</v>
      </c>
      <c r="Q899" t="s">
        <v>2869</v>
      </c>
      <c r="S899" t="s">
        <v>2899</v>
      </c>
    </row>
    <row r="900" spans="1:19" x14ac:dyDescent="0.3">
      <c r="A900" t="s">
        <v>2900</v>
      </c>
      <c r="B900" t="s">
        <v>2901</v>
      </c>
      <c r="C900" t="s">
        <v>2898</v>
      </c>
      <c r="D900" t="s">
        <v>161</v>
      </c>
      <c r="E900" t="s">
        <v>162</v>
      </c>
      <c r="F900" t="s">
        <v>215</v>
      </c>
      <c r="H900">
        <v>0</v>
      </c>
      <c r="I900">
        <v>0</v>
      </c>
      <c r="J900" t="s">
        <v>230</v>
      </c>
      <c r="K900" t="s">
        <v>1267</v>
      </c>
      <c r="L900" t="s">
        <v>218</v>
      </c>
      <c r="M900" t="s">
        <v>2868</v>
      </c>
      <c r="N900" s="19">
        <v>46262</v>
      </c>
      <c r="O900" t="s">
        <v>220</v>
      </c>
      <c r="P900">
        <v>1</v>
      </c>
      <c r="Q900" t="s">
        <v>2869</v>
      </c>
      <c r="S900" t="s">
        <v>2902</v>
      </c>
    </row>
    <row r="901" spans="1:19" x14ac:dyDescent="0.3">
      <c r="A901" t="s">
        <v>2903</v>
      </c>
      <c r="B901" t="s">
        <v>2904</v>
      </c>
      <c r="C901" t="s">
        <v>2867</v>
      </c>
      <c r="D901" t="s">
        <v>161</v>
      </c>
      <c r="E901" t="s">
        <v>162</v>
      </c>
      <c r="F901" t="s">
        <v>215</v>
      </c>
      <c r="H901">
        <v>0</v>
      </c>
      <c r="I901">
        <v>0</v>
      </c>
      <c r="J901" t="s">
        <v>230</v>
      </c>
      <c r="K901" t="s">
        <v>217</v>
      </c>
      <c r="L901" t="s">
        <v>218</v>
      </c>
      <c r="M901" t="s">
        <v>2868</v>
      </c>
      <c r="N901" s="19">
        <v>46262</v>
      </c>
      <c r="O901" t="s">
        <v>220</v>
      </c>
      <c r="P901">
        <v>1</v>
      </c>
      <c r="Q901" t="s">
        <v>2869</v>
      </c>
      <c r="S901" t="s">
        <v>2905</v>
      </c>
    </row>
    <row r="902" spans="1:19" x14ac:dyDescent="0.3">
      <c r="A902" t="s">
        <v>2906</v>
      </c>
      <c r="B902" t="s">
        <v>2907</v>
      </c>
      <c r="C902" t="s">
        <v>2867</v>
      </c>
      <c r="D902" t="s">
        <v>161</v>
      </c>
      <c r="E902" t="s">
        <v>162</v>
      </c>
      <c r="F902" t="s">
        <v>531</v>
      </c>
      <c r="H902">
        <v>0</v>
      </c>
      <c r="I902">
        <v>0</v>
      </c>
      <c r="J902" t="s">
        <v>230</v>
      </c>
      <c r="K902" t="s">
        <v>965</v>
      </c>
      <c r="L902" t="s">
        <v>218</v>
      </c>
      <c r="M902" t="s">
        <v>2868</v>
      </c>
      <c r="N902" s="19">
        <v>46262</v>
      </c>
      <c r="O902" t="s">
        <v>220</v>
      </c>
      <c r="P902">
        <v>1</v>
      </c>
      <c r="Q902" t="s">
        <v>2869</v>
      </c>
      <c r="S902" t="s">
        <v>2891</v>
      </c>
    </row>
    <row r="903" spans="1:19" x14ac:dyDescent="0.3">
      <c r="A903" t="s">
        <v>2908</v>
      </c>
      <c r="B903" t="s">
        <v>2133</v>
      </c>
      <c r="C903" t="s">
        <v>2867</v>
      </c>
      <c r="D903" t="s">
        <v>161</v>
      </c>
      <c r="E903" t="s">
        <v>162</v>
      </c>
      <c r="F903" t="s">
        <v>531</v>
      </c>
      <c r="H903">
        <v>0</v>
      </c>
      <c r="I903">
        <v>0</v>
      </c>
      <c r="J903" t="s">
        <v>230</v>
      </c>
      <c r="K903" t="s">
        <v>965</v>
      </c>
      <c r="L903" t="s">
        <v>218</v>
      </c>
      <c r="M903" t="s">
        <v>2868</v>
      </c>
      <c r="N903" s="19">
        <v>46262</v>
      </c>
      <c r="O903" t="s">
        <v>220</v>
      </c>
      <c r="P903">
        <v>1</v>
      </c>
      <c r="Q903" t="s">
        <v>2869</v>
      </c>
      <c r="S903" t="s">
        <v>2891</v>
      </c>
    </row>
    <row r="904" spans="1:19" x14ac:dyDescent="0.3">
      <c r="A904" t="s">
        <v>2909</v>
      </c>
      <c r="B904" t="s">
        <v>2910</v>
      </c>
      <c r="C904" t="s">
        <v>2867</v>
      </c>
      <c r="D904" t="s">
        <v>161</v>
      </c>
      <c r="E904" t="s">
        <v>162</v>
      </c>
      <c r="F904" t="s">
        <v>531</v>
      </c>
      <c r="H904">
        <v>0</v>
      </c>
      <c r="I904">
        <v>0</v>
      </c>
      <c r="J904" t="s">
        <v>230</v>
      </c>
      <c r="K904" t="s">
        <v>965</v>
      </c>
      <c r="L904" t="s">
        <v>218</v>
      </c>
      <c r="M904" t="s">
        <v>2868</v>
      </c>
      <c r="N904" s="19">
        <v>46262</v>
      </c>
      <c r="O904" t="s">
        <v>220</v>
      </c>
      <c r="P904">
        <v>1</v>
      </c>
      <c r="Q904" t="s">
        <v>2869</v>
      </c>
      <c r="S904" t="s">
        <v>2891</v>
      </c>
    </row>
    <row r="905" spans="1:19" x14ac:dyDescent="0.3">
      <c r="A905" t="s">
        <v>2911</v>
      </c>
      <c r="B905" t="s">
        <v>2912</v>
      </c>
      <c r="C905" t="s">
        <v>2867</v>
      </c>
      <c r="D905" t="s">
        <v>161</v>
      </c>
      <c r="E905" t="s">
        <v>162</v>
      </c>
      <c r="F905" t="s">
        <v>531</v>
      </c>
      <c r="H905">
        <v>0</v>
      </c>
      <c r="I905">
        <v>0</v>
      </c>
      <c r="J905" t="s">
        <v>230</v>
      </c>
      <c r="K905" t="s">
        <v>965</v>
      </c>
      <c r="L905" t="s">
        <v>218</v>
      </c>
      <c r="M905" t="s">
        <v>2868</v>
      </c>
      <c r="N905" s="19">
        <v>46262</v>
      </c>
      <c r="O905" t="s">
        <v>220</v>
      </c>
      <c r="P905">
        <v>1</v>
      </c>
      <c r="Q905" t="s">
        <v>2869</v>
      </c>
      <c r="S905" t="s">
        <v>2891</v>
      </c>
    </row>
    <row r="906" spans="1:19" x14ac:dyDescent="0.3">
      <c r="A906" t="s">
        <v>2913</v>
      </c>
      <c r="B906" t="s">
        <v>2914</v>
      </c>
      <c r="C906" t="s">
        <v>2867</v>
      </c>
      <c r="D906" t="s">
        <v>161</v>
      </c>
      <c r="E906" t="s">
        <v>162</v>
      </c>
      <c r="F906" t="s">
        <v>531</v>
      </c>
      <c r="H906">
        <v>0</v>
      </c>
      <c r="I906">
        <v>0</v>
      </c>
      <c r="J906" t="s">
        <v>216</v>
      </c>
      <c r="K906" t="s">
        <v>965</v>
      </c>
      <c r="L906" t="s">
        <v>218</v>
      </c>
      <c r="M906" t="s">
        <v>2868</v>
      </c>
      <c r="N906" s="19">
        <v>46262</v>
      </c>
      <c r="O906" t="s">
        <v>220</v>
      </c>
      <c r="P906">
        <v>1</v>
      </c>
      <c r="Q906" t="s">
        <v>2869</v>
      </c>
      <c r="S906" t="s">
        <v>2891</v>
      </c>
    </row>
    <row r="907" spans="1:19" x14ac:dyDescent="0.3">
      <c r="A907" t="s">
        <v>2915</v>
      </c>
      <c r="B907" t="s">
        <v>2916</v>
      </c>
      <c r="C907" t="s">
        <v>2867</v>
      </c>
      <c r="D907" t="s">
        <v>161</v>
      </c>
      <c r="E907" t="s">
        <v>162</v>
      </c>
      <c r="F907" t="s">
        <v>580</v>
      </c>
      <c r="H907">
        <v>0</v>
      </c>
      <c r="I907">
        <v>0</v>
      </c>
      <c r="J907" t="s">
        <v>230</v>
      </c>
      <c r="K907" t="s">
        <v>217</v>
      </c>
      <c r="L907" t="s">
        <v>218</v>
      </c>
      <c r="M907" t="s">
        <v>2868</v>
      </c>
      <c r="N907" s="19">
        <v>46262</v>
      </c>
      <c r="O907" t="s">
        <v>220</v>
      </c>
      <c r="P907">
        <v>1</v>
      </c>
      <c r="Q907" t="s">
        <v>2869</v>
      </c>
      <c r="S907" t="s">
        <v>2917</v>
      </c>
    </row>
    <row r="908" spans="1:19" x14ac:dyDescent="0.3">
      <c r="A908" t="s">
        <v>2918</v>
      </c>
      <c r="B908" t="s">
        <v>2919</v>
      </c>
      <c r="C908" t="s">
        <v>2867</v>
      </c>
      <c r="D908" t="s">
        <v>161</v>
      </c>
      <c r="E908" t="s">
        <v>162</v>
      </c>
      <c r="F908" t="s">
        <v>580</v>
      </c>
      <c r="H908">
        <v>0</v>
      </c>
      <c r="I908">
        <v>0</v>
      </c>
      <c r="J908" t="s">
        <v>230</v>
      </c>
      <c r="K908" t="s">
        <v>965</v>
      </c>
      <c r="L908" t="s">
        <v>218</v>
      </c>
      <c r="M908" t="s">
        <v>2868</v>
      </c>
      <c r="N908" s="19">
        <v>46262</v>
      </c>
      <c r="O908" t="s">
        <v>220</v>
      </c>
      <c r="P908">
        <v>1</v>
      </c>
      <c r="Q908" t="s">
        <v>2869</v>
      </c>
      <c r="S908" t="s">
        <v>2891</v>
      </c>
    </row>
    <row r="909" spans="1:19" x14ac:dyDescent="0.3">
      <c r="A909" t="s">
        <v>2920</v>
      </c>
      <c r="B909" t="s">
        <v>2921</v>
      </c>
      <c r="C909" t="s">
        <v>214</v>
      </c>
      <c r="D909" t="s">
        <v>161</v>
      </c>
      <c r="E909" t="s">
        <v>162</v>
      </c>
      <c r="F909" t="s">
        <v>580</v>
      </c>
      <c r="H909">
        <v>0</v>
      </c>
      <c r="I909">
        <v>0</v>
      </c>
      <c r="J909" t="s">
        <v>230</v>
      </c>
      <c r="K909" t="s">
        <v>217</v>
      </c>
      <c r="L909" t="s">
        <v>218</v>
      </c>
      <c r="M909" t="s">
        <v>2868</v>
      </c>
      <c r="N909" s="19">
        <v>46262</v>
      </c>
      <c r="O909" t="s">
        <v>220</v>
      </c>
      <c r="P909">
        <v>1</v>
      </c>
      <c r="Q909" t="s">
        <v>2869</v>
      </c>
      <c r="S909" t="s">
        <v>2891</v>
      </c>
    </row>
    <row r="910" spans="1:19" x14ac:dyDescent="0.3">
      <c r="A910" t="s">
        <v>2922</v>
      </c>
      <c r="B910" t="s">
        <v>2923</v>
      </c>
      <c r="C910" t="s">
        <v>214</v>
      </c>
      <c r="D910" t="s">
        <v>161</v>
      </c>
      <c r="E910" t="s">
        <v>162</v>
      </c>
      <c r="F910" t="s">
        <v>632</v>
      </c>
      <c r="H910">
        <v>0</v>
      </c>
      <c r="I910">
        <v>0</v>
      </c>
      <c r="J910" t="s">
        <v>230</v>
      </c>
      <c r="K910" t="s">
        <v>42</v>
      </c>
      <c r="L910" t="s">
        <v>218</v>
      </c>
      <c r="M910" t="s">
        <v>2868</v>
      </c>
      <c r="N910" s="19">
        <v>46262</v>
      </c>
      <c r="O910" t="s">
        <v>220</v>
      </c>
      <c r="P910">
        <v>1</v>
      </c>
      <c r="Q910" t="s">
        <v>2869</v>
      </c>
      <c r="S910" t="s">
        <v>2924</v>
      </c>
    </row>
    <row r="911" spans="1:19" x14ac:dyDescent="0.3">
      <c r="A911" t="s">
        <v>2925</v>
      </c>
      <c r="B911" t="s">
        <v>2926</v>
      </c>
      <c r="C911" t="s">
        <v>514</v>
      </c>
      <c r="D911" t="s">
        <v>161</v>
      </c>
      <c r="E911" t="s">
        <v>162</v>
      </c>
      <c r="F911" t="s">
        <v>632</v>
      </c>
      <c r="H911">
        <v>0</v>
      </c>
      <c r="I911">
        <v>0</v>
      </c>
      <c r="J911" t="s">
        <v>230</v>
      </c>
      <c r="K911" t="s">
        <v>1267</v>
      </c>
      <c r="L911" t="s">
        <v>218</v>
      </c>
      <c r="M911" t="s">
        <v>2868</v>
      </c>
      <c r="N911" s="19">
        <v>46262</v>
      </c>
      <c r="O911" t="s">
        <v>220</v>
      </c>
      <c r="P911">
        <v>1</v>
      </c>
      <c r="Q911" t="s">
        <v>2869</v>
      </c>
      <c r="S911" t="s">
        <v>2891</v>
      </c>
    </row>
    <row r="912" spans="1:19" x14ac:dyDescent="0.3">
      <c r="A912" t="s">
        <v>2927</v>
      </c>
      <c r="B912" t="s">
        <v>2928</v>
      </c>
      <c r="C912" t="s">
        <v>2860</v>
      </c>
      <c r="D912" t="s">
        <v>161</v>
      </c>
      <c r="E912" t="s">
        <v>162</v>
      </c>
      <c r="F912" t="s">
        <v>657</v>
      </c>
      <c r="H912">
        <v>0</v>
      </c>
      <c r="I912">
        <v>0</v>
      </c>
      <c r="J912" t="s">
        <v>216</v>
      </c>
      <c r="K912" t="s">
        <v>1267</v>
      </c>
      <c r="L912" t="s">
        <v>218</v>
      </c>
      <c r="M912" t="s">
        <v>2868</v>
      </c>
      <c r="N912" s="19">
        <v>46262</v>
      </c>
      <c r="O912" t="s">
        <v>220</v>
      </c>
      <c r="P912">
        <v>1</v>
      </c>
      <c r="Q912" t="s">
        <v>2869</v>
      </c>
      <c r="S912" t="s">
        <v>2929</v>
      </c>
    </row>
  </sheetData>
  <autoFilter ref="A1:S91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O1219"/>
  <sheetViews>
    <sheetView zoomScale="54" workbookViewId="0">
      <pane xSplit="1" ySplit="1" topLeftCell="B2" activePane="bottomRight" state="frozen"/>
      <selection pane="topRight"/>
      <selection pane="bottomLeft"/>
      <selection pane="bottomRight" activeCell="M1" sqref="M1"/>
    </sheetView>
  </sheetViews>
  <sheetFormatPr defaultRowHeight="14.4" x14ac:dyDescent="0.3"/>
  <cols>
    <col min="1" max="1" width="20" customWidth="1"/>
    <col min="2" max="2" width="58" customWidth="1"/>
    <col min="3" max="3" width="20" customWidth="1"/>
    <col min="4" max="4" width="16" customWidth="1"/>
    <col min="5" max="5" width="22" customWidth="1"/>
    <col min="6" max="6" width="8" customWidth="1"/>
    <col min="7" max="7" width="16" customWidth="1"/>
    <col min="8" max="9" width="14" customWidth="1"/>
    <col min="10" max="10" width="8" customWidth="1"/>
    <col min="11" max="12" width="10" customWidth="1"/>
    <col min="13" max="13" width="12" customWidth="1"/>
    <col min="14" max="14" width="20" customWidth="1"/>
    <col min="15" max="15" width="30" customWidth="1"/>
  </cols>
  <sheetData>
    <row r="1" spans="1:15" ht="28.8" x14ac:dyDescent="0.3">
      <c r="A1" s="3" t="s">
        <v>80</v>
      </c>
      <c r="B1" s="3" t="s">
        <v>134</v>
      </c>
      <c r="C1" s="3" t="s">
        <v>2930</v>
      </c>
      <c r="D1" s="3" t="s">
        <v>2931</v>
      </c>
      <c r="E1" s="3" t="s">
        <v>2932</v>
      </c>
      <c r="F1" s="3" t="s">
        <v>198</v>
      </c>
      <c r="G1" s="3" t="s">
        <v>200</v>
      </c>
      <c r="H1" s="3" t="s">
        <v>2933</v>
      </c>
      <c r="I1" s="3" t="s">
        <v>2934</v>
      </c>
      <c r="J1" s="3" t="s">
        <v>2935</v>
      </c>
      <c r="K1" s="3" t="s">
        <v>2936</v>
      </c>
      <c r="L1" s="3" t="s">
        <v>2937</v>
      </c>
      <c r="M1" s="3" t="s">
        <v>206</v>
      </c>
      <c r="N1" s="3" t="s">
        <v>2938</v>
      </c>
      <c r="O1" s="3" t="s">
        <v>211</v>
      </c>
    </row>
    <row r="2" spans="1:15" x14ac:dyDescent="0.3">
      <c r="A2" t="s">
        <v>2939</v>
      </c>
      <c r="B2" t="s">
        <v>2940</v>
      </c>
      <c r="C2" t="s">
        <v>2941</v>
      </c>
      <c r="D2" t="s">
        <v>2942</v>
      </c>
      <c r="E2" t="s">
        <v>2943</v>
      </c>
      <c r="F2" t="s">
        <v>1227</v>
      </c>
      <c r="G2" t="s">
        <v>2101</v>
      </c>
      <c r="H2">
        <v>1706</v>
      </c>
      <c r="I2">
        <v>1791.3</v>
      </c>
      <c r="J2" t="s">
        <v>2944</v>
      </c>
      <c r="K2">
        <v>1</v>
      </c>
      <c r="L2" t="s">
        <v>2945</v>
      </c>
      <c r="M2" s="19">
        <v>46262</v>
      </c>
      <c r="N2" t="s">
        <v>2946</v>
      </c>
    </row>
    <row r="3" spans="1:15" x14ac:dyDescent="0.3">
      <c r="A3" t="s">
        <v>2947</v>
      </c>
      <c r="B3" t="s">
        <v>2948</v>
      </c>
      <c r="C3" t="s">
        <v>2949</v>
      </c>
      <c r="D3" t="s">
        <v>2942</v>
      </c>
      <c r="E3" t="s">
        <v>2943</v>
      </c>
      <c r="F3" t="s">
        <v>1227</v>
      </c>
      <c r="G3" t="s">
        <v>2101</v>
      </c>
      <c r="H3">
        <v>280</v>
      </c>
      <c r="I3">
        <v>294</v>
      </c>
      <c r="J3" t="s">
        <v>2944</v>
      </c>
      <c r="K3">
        <v>1</v>
      </c>
      <c r="L3" t="s">
        <v>2945</v>
      </c>
      <c r="M3" s="19">
        <v>46262</v>
      </c>
      <c r="N3" t="s">
        <v>2946</v>
      </c>
    </row>
    <row r="4" spans="1:15" x14ac:dyDescent="0.3">
      <c r="A4" t="s">
        <v>2950</v>
      </c>
      <c r="B4" t="s">
        <v>2951</v>
      </c>
      <c r="D4" t="s">
        <v>2952</v>
      </c>
      <c r="E4" t="s">
        <v>2953</v>
      </c>
      <c r="F4" t="s">
        <v>1227</v>
      </c>
      <c r="G4" t="s">
        <v>2101</v>
      </c>
      <c r="H4">
        <v>965.83</v>
      </c>
      <c r="I4">
        <v>1014.13</v>
      </c>
      <c r="J4" t="s">
        <v>2944</v>
      </c>
      <c r="K4">
        <v>1</v>
      </c>
      <c r="L4" t="s">
        <v>2945</v>
      </c>
      <c r="M4" s="19">
        <v>46262</v>
      </c>
      <c r="N4" t="s">
        <v>2954</v>
      </c>
      <c r="O4" t="s">
        <v>2955</v>
      </c>
    </row>
    <row r="5" spans="1:15" x14ac:dyDescent="0.3">
      <c r="A5" t="s">
        <v>2956</v>
      </c>
      <c r="B5" t="s">
        <v>2957</v>
      </c>
      <c r="D5" t="s">
        <v>2952</v>
      </c>
      <c r="E5" t="s">
        <v>2953</v>
      </c>
      <c r="F5" t="s">
        <v>1227</v>
      </c>
      <c r="G5" t="s">
        <v>2101</v>
      </c>
      <c r="H5">
        <v>1081.73</v>
      </c>
      <c r="I5">
        <v>1135.82</v>
      </c>
      <c r="J5" t="s">
        <v>2944</v>
      </c>
      <c r="K5">
        <v>1</v>
      </c>
      <c r="L5" t="s">
        <v>2945</v>
      </c>
      <c r="M5" s="19">
        <v>46262</v>
      </c>
      <c r="N5" t="s">
        <v>2954</v>
      </c>
      <c r="O5" t="s">
        <v>2955</v>
      </c>
    </row>
    <row r="6" spans="1:15" x14ac:dyDescent="0.3">
      <c r="A6" t="s">
        <v>2958</v>
      </c>
      <c r="B6" t="s">
        <v>2959</v>
      </c>
      <c r="D6" t="s">
        <v>2952</v>
      </c>
      <c r="E6" t="s">
        <v>2953</v>
      </c>
      <c r="F6" t="s">
        <v>1227</v>
      </c>
      <c r="G6" t="s">
        <v>2101</v>
      </c>
      <c r="H6">
        <v>1126.06</v>
      </c>
      <c r="I6">
        <v>1182.3599999999999</v>
      </c>
      <c r="J6" t="s">
        <v>2944</v>
      </c>
      <c r="K6">
        <v>1</v>
      </c>
      <c r="L6" t="s">
        <v>2945</v>
      </c>
      <c r="M6" s="19">
        <v>46262</v>
      </c>
      <c r="N6" t="s">
        <v>2954</v>
      </c>
      <c r="O6" t="s">
        <v>2960</v>
      </c>
    </row>
    <row r="7" spans="1:15" x14ac:dyDescent="0.3">
      <c r="A7" t="s">
        <v>2961</v>
      </c>
      <c r="B7" t="s">
        <v>2962</v>
      </c>
      <c r="D7" t="s">
        <v>2952</v>
      </c>
      <c r="E7" t="s">
        <v>2953</v>
      </c>
      <c r="F7" t="s">
        <v>1227</v>
      </c>
      <c r="G7" t="s">
        <v>2101</v>
      </c>
      <c r="H7">
        <v>1110.6099999999999</v>
      </c>
      <c r="I7">
        <v>1166.1400000000001</v>
      </c>
      <c r="J7" t="s">
        <v>2944</v>
      </c>
      <c r="K7">
        <v>1</v>
      </c>
      <c r="L7" t="s">
        <v>2945</v>
      </c>
      <c r="M7" s="19">
        <v>46262</v>
      </c>
      <c r="N7" t="s">
        <v>2954</v>
      </c>
      <c r="O7" t="s">
        <v>2960</v>
      </c>
    </row>
    <row r="8" spans="1:15" x14ac:dyDescent="0.3">
      <c r="A8" t="s">
        <v>2963</v>
      </c>
      <c r="B8" t="s">
        <v>2964</v>
      </c>
      <c r="D8" t="s">
        <v>2952</v>
      </c>
      <c r="E8" t="s">
        <v>2953</v>
      </c>
      <c r="F8" t="s">
        <v>1227</v>
      </c>
      <c r="G8" t="s">
        <v>2101</v>
      </c>
      <c r="H8">
        <v>835.7</v>
      </c>
      <c r="I8">
        <v>877.49</v>
      </c>
      <c r="J8" t="s">
        <v>2944</v>
      </c>
      <c r="K8">
        <v>1</v>
      </c>
      <c r="L8" t="s">
        <v>2945</v>
      </c>
      <c r="M8" s="19">
        <v>46262</v>
      </c>
      <c r="N8" t="s">
        <v>2954</v>
      </c>
      <c r="O8" t="s">
        <v>2960</v>
      </c>
    </row>
    <row r="9" spans="1:15" x14ac:dyDescent="0.3">
      <c r="A9" t="s">
        <v>2965</v>
      </c>
      <c r="B9" t="s">
        <v>2966</v>
      </c>
      <c r="D9" t="s">
        <v>2952</v>
      </c>
      <c r="E9" t="s">
        <v>2953</v>
      </c>
      <c r="F9" t="s">
        <v>1227</v>
      </c>
      <c r="G9" t="s">
        <v>2101</v>
      </c>
      <c r="H9">
        <v>764.53</v>
      </c>
      <c r="I9">
        <v>802.76</v>
      </c>
      <c r="J9" t="s">
        <v>2944</v>
      </c>
      <c r="K9">
        <v>1</v>
      </c>
      <c r="L9" t="s">
        <v>2945</v>
      </c>
      <c r="M9" s="19">
        <v>46262</v>
      </c>
      <c r="N9" t="s">
        <v>2954</v>
      </c>
      <c r="O9" t="s">
        <v>2960</v>
      </c>
    </row>
    <row r="10" spans="1:15" x14ac:dyDescent="0.3">
      <c r="A10" t="s">
        <v>2967</v>
      </c>
      <c r="B10" t="s">
        <v>2968</v>
      </c>
      <c r="D10" t="s">
        <v>2952</v>
      </c>
      <c r="E10" t="s">
        <v>2953</v>
      </c>
      <c r="F10" t="s">
        <v>1227</v>
      </c>
      <c r="G10" t="s">
        <v>2101</v>
      </c>
      <c r="H10">
        <v>1047.57</v>
      </c>
      <c r="I10">
        <v>1099.95</v>
      </c>
      <c r="J10" t="s">
        <v>2944</v>
      </c>
      <c r="K10">
        <v>1</v>
      </c>
      <c r="L10" t="s">
        <v>2945</v>
      </c>
      <c r="M10" s="19">
        <v>46262</v>
      </c>
      <c r="N10" t="s">
        <v>2954</v>
      </c>
      <c r="O10" t="s">
        <v>2960</v>
      </c>
    </row>
    <row r="11" spans="1:15" x14ac:dyDescent="0.3">
      <c r="A11" t="s">
        <v>2969</v>
      </c>
      <c r="B11" t="s">
        <v>2970</v>
      </c>
      <c r="D11" t="s">
        <v>2952</v>
      </c>
      <c r="E11" t="s">
        <v>2953</v>
      </c>
      <c r="F11" t="s">
        <v>1227</v>
      </c>
      <c r="G11" t="s">
        <v>2101</v>
      </c>
      <c r="H11">
        <v>1163.07</v>
      </c>
      <c r="I11">
        <v>1221.22</v>
      </c>
      <c r="J11" t="s">
        <v>2944</v>
      </c>
      <c r="K11">
        <v>1</v>
      </c>
      <c r="L11" t="s">
        <v>2945</v>
      </c>
      <c r="M11" s="19">
        <v>46262</v>
      </c>
      <c r="N11" t="s">
        <v>2954</v>
      </c>
      <c r="O11" t="s">
        <v>2971</v>
      </c>
    </row>
    <row r="12" spans="1:15" x14ac:dyDescent="0.3">
      <c r="A12" t="s">
        <v>2972</v>
      </c>
      <c r="B12" t="s">
        <v>2973</v>
      </c>
      <c r="D12" t="s">
        <v>2952</v>
      </c>
      <c r="E12" t="s">
        <v>2953</v>
      </c>
      <c r="F12" t="s">
        <v>1227</v>
      </c>
      <c r="G12" t="s">
        <v>2101</v>
      </c>
      <c r="H12">
        <v>782.02</v>
      </c>
      <c r="I12">
        <v>821.12</v>
      </c>
      <c r="J12" t="s">
        <v>2944</v>
      </c>
      <c r="K12">
        <v>1</v>
      </c>
      <c r="L12" t="s">
        <v>2945</v>
      </c>
      <c r="M12" s="19">
        <v>46262</v>
      </c>
      <c r="N12" t="s">
        <v>2954</v>
      </c>
      <c r="O12" t="s">
        <v>2971</v>
      </c>
    </row>
    <row r="13" spans="1:15" x14ac:dyDescent="0.3">
      <c r="A13" t="s">
        <v>2974</v>
      </c>
      <c r="B13" t="s">
        <v>2975</v>
      </c>
      <c r="D13" t="s">
        <v>2952</v>
      </c>
      <c r="E13" t="s">
        <v>2953</v>
      </c>
      <c r="F13" t="s">
        <v>1227</v>
      </c>
      <c r="G13" t="s">
        <v>2101</v>
      </c>
      <c r="H13">
        <v>1079.29</v>
      </c>
      <c r="I13">
        <v>1133.26</v>
      </c>
      <c r="J13" t="s">
        <v>2944</v>
      </c>
      <c r="K13">
        <v>1</v>
      </c>
      <c r="L13" t="s">
        <v>2945</v>
      </c>
      <c r="M13" s="19">
        <v>46262</v>
      </c>
      <c r="N13" t="s">
        <v>2954</v>
      </c>
      <c r="O13" t="s">
        <v>2971</v>
      </c>
    </row>
    <row r="14" spans="1:15" x14ac:dyDescent="0.3">
      <c r="A14" t="s">
        <v>2976</v>
      </c>
      <c r="B14" t="s">
        <v>2977</v>
      </c>
      <c r="D14" t="s">
        <v>2952</v>
      </c>
      <c r="E14" t="s">
        <v>2953</v>
      </c>
      <c r="F14" t="s">
        <v>1227</v>
      </c>
      <c r="G14" t="s">
        <v>2101</v>
      </c>
      <c r="H14">
        <v>1170.3900000000001</v>
      </c>
      <c r="I14">
        <v>1228.9100000000001</v>
      </c>
      <c r="J14" t="s">
        <v>2944</v>
      </c>
      <c r="K14">
        <v>1</v>
      </c>
      <c r="L14" t="s">
        <v>2945</v>
      </c>
      <c r="M14" s="19">
        <v>46262</v>
      </c>
      <c r="N14" t="s">
        <v>2954</v>
      </c>
      <c r="O14" t="s">
        <v>2978</v>
      </c>
    </row>
    <row r="15" spans="1:15" x14ac:dyDescent="0.3">
      <c r="A15" t="s">
        <v>2979</v>
      </c>
      <c r="B15" t="s">
        <v>2980</v>
      </c>
      <c r="D15" t="s">
        <v>2952</v>
      </c>
      <c r="E15" t="s">
        <v>2953</v>
      </c>
      <c r="F15" t="s">
        <v>1227</v>
      </c>
      <c r="G15" t="s">
        <v>2101</v>
      </c>
      <c r="H15">
        <v>1174.8599999999999</v>
      </c>
      <c r="I15">
        <v>1233.5999999999999</v>
      </c>
      <c r="J15" t="s">
        <v>2944</v>
      </c>
      <c r="K15">
        <v>1</v>
      </c>
      <c r="L15" t="s">
        <v>2945</v>
      </c>
      <c r="M15" s="19">
        <v>46262</v>
      </c>
      <c r="N15" t="s">
        <v>2954</v>
      </c>
      <c r="O15" t="s">
        <v>2978</v>
      </c>
    </row>
    <row r="16" spans="1:15" x14ac:dyDescent="0.3">
      <c r="A16" t="s">
        <v>2981</v>
      </c>
      <c r="B16" t="s">
        <v>2982</v>
      </c>
      <c r="D16" t="s">
        <v>2952</v>
      </c>
      <c r="E16" t="s">
        <v>2953</v>
      </c>
      <c r="F16" t="s">
        <v>1227</v>
      </c>
      <c r="G16" t="s">
        <v>2101</v>
      </c>
      <c r="H16">
        <v>786.49</v>
      </c>
      <c r="I16">
        <v>825.82</v>
      </c>
      <c r="J16" t="s">
        <v>2944</v>
      </c>
      <c r="K16">
        <v>1</v>
      </c>
      <c r="L16" t="s">
        <v>2945</v>
      </c>
      <c r="M16" s="19">
        <v>46262</v>
      </c>
      <c r="N16" t="s">
        <v>2954</v>
      </c>
      <c r="O16" t="s">
        <v>2978</v>
      </c>
    </row>
    <row r="17" spans="1:15" x14ac:dyDescent="0.3">
      <c r="A17" t="s">
        <v>2983</v>
      </c>
      <c r="B17" t="s">
        <v>2984</v>
      </c>
      <c r="D17" t="s">
        <v>2952</v>
      </c>
      <c r="E17" t="s">
        <v>2953</v>
      </c>
      <c r="F17" t="s">
        <v>1227</v>
      </c>
      <c r="G17" t="s">
        <v>2101</v>
      </c>
      <c r="H17">
        <v>1124.8399999999999</v>
      </c>
      <c r="I17">
        <v>1181.08</v>
      </c>
      <c r="J17" t="s">
        <v>2944</v>
      </c>
      <c r="K17">
        <v>1</v>
      </c>
      <c r="L17" t="s">
        <v>2945</v>
      </c>
      <c r="M17" s="19">
        <v>46262</v>
      </c>
      <c r="N17" t="s">
        <v>2954</v>
      </c>
      <c r="O17" t="s">
        <v>2978</v>
      </c>
    </row>
    <row r="18" spans="1:15" x14ac:dyDescent="0.3">
      <c r="A18" t="s">
        <v>2985</v>
      </c>
      <c r="B18" t="s">
        <v>2986</v>
      </c>
      <c r="D18" t="s">
        <v>2952</v>
      </c>
      <c r="E18" t="s">
        <v>2953</v>
      </c>
      <c r="F18" t="s">
        <v>1227</v>
      </c>
      <c r="G18" t="s">
        <v>2101</v>
      </c>
      <c r="H18">
        <v>1015.45</v>
      </c>
      <c r="I18">
        <v>1066.22</v>
      </c>
      <c r="J18" t="s">
        <v>2944</v>
      </c>
      <c r="K18">
        <v>1</v>
      </c>
      <c r="L18" t="s">
        <v>2945</v>
      </c>
      <c r="M18" s="19">
        <v>46262</v>
      </c>
      <c r="N18" t="s">
        <v>2954</v>
      </c>
      <c r="O18" t="s">
        <v>2978</v>
      </c>
    </row>
    <row r="19" spans="1:15" x14ac:dyDescent="0.3">
      <c r="A19" t="s">
        <v>2987</v>
      </c>
      <c r="B19" t="s">
        <v>2988</v>
      </c>
      <c r="D19" t="s">
        <v>2952</v>
      </c>
      <c r="E19" t="s">
        <v>2953</v>
      </c>
      <c r="F19" t="s">
        <v>1227</v>
      </c>
      <c r="G19" t="s">
        <v>2101</v>
      </c>
      <c r="H19">
        <v>442.45</v>
      </c>
      <c r="I19">
        <v>464.58</v>
      </c>
      <c r="J19" t="s">
        <v>2944</v>
      </c>
      <c r="K19">
        <v>1</v>
      </c>
      <c r="L19" t="s">
        <v>2945</v>
      </c>
      <c r="M19" s="19">
        <v>46262</v>
      </c>
      <c r="N19" t="s">
        <v>2954</v>
      </c>
      <c r="O19" t="s">
        <v>2989</v>
      </c>
    </row>
    <row r="20" spans="1:15" x14ac:dyDescent="0.3">
      <c r="A20" t="s">
        <v>2990</v>
      </c>
      <c r="B20" t="s">
        <v>2991</v>
      </c>
      <c r="D20" t="s">
        <v>2952</v>
      </c>
      <c r="E20" t="s">
        <v>2953</v>
      </c>
      <c r="F20" t="s">
        <v>1227</v>
      </c>
      <c r="G20" t="s">
        <v>2101</v>
      </c>
      <c r="H20">
        <v>477.83</v>
      </c>
      <c r="I20">
        <v>501.73</v>
      </c>
      <c r="J20" t="s">
        <v>2944</v>
      </c>
      <c r="K20">
        <v>1</v>
      </c>
      <c r="L20" t="s">
        <v>2945</v>
      </c>
      <c r="M20" s="19">
        <v>46262</v>
      </c>
      <c r="N20" t="s">
        <v>2954</v>
      </c>
      <c r="O20" t="s">
        <v>2989</v>
      </c>
    </row>
    <row r="21" spans="1:15" x14ac:dyDescent="0.3">
      <c r="A21" t="s">
        <v>2992</v>
      </c>
      <c r="B21" t="s">
        <v>2993</v>
      </c>
      <c r="D21" t="s">
        <v>2952</v>
      </c>
      <c r="E21" t="s">
        <v>2953</v>
      </c>
      <c r="F21" t="s">
        <v>1227</v>
      </c>
      <c r="G21" t="s">
        <v>2101</v>
      </c>
      <c r="H21">
        <v>485.56</v>
      </c>
      <c r="I21">
        <v>509.84</v>
      </c>
      <c r="J21" t="s">
        <v>2944</v>
      </c>
      <c r="K21">
        <v>1</v>
      </c>
      <c r="L21" t="s">
        <v>2945</v>
      </c>
      <c r="M21" s="19">
        <v>46262</v>
      </c>
      <c r="N21" t="s">
        <v>2954</v>
      </c>
      <c r="O21" t="s">
        <v>2989</v>
      </c>
    </row>
    <row r="22" spans="1:15" x14ac:dyDescent="0.3">
      <c r="A22" t="s">
        <v>2994</v>
      </c>
      <c r="B22" t="s">
        <v>2995</v>
      </c>
      <c r="D22" t="s">
        <v>2952</v>
      </c>
      <c r="E22" t="s">
        <v>2953</v>
      </c>
      <c r="F22" t="s">
        <v>1227</v>
      </c>
      <c r="G22" t="s">
        <v>2101</v>
      </c>
      <c r="H22">
        <v>404.63</v>
      </c>
      <c r="I22">
        <v>424.87</v>
      </c>
      <c r="J22" t="s">
        <v>2944</v>
      </c>
      <c r="K22">
        <v>1</v>
      </c>
      <c r="L22" t="s">
        <v>2945</v>
      </c>
      <c r="M22" s="19">
        <v>46262</v>
      </c>
      <c r="N22" t="s">
        <v>2954</v>
      </c>
      <c r="O22" t="s">
        <v>2989</v>
      </c>
    </row>
    <row r="23" spans="1:15" x14ac:dyDescent="0.3">
      <c r="A23" t="s">
        <v>2996</v>
      </c>
      <c r="B23" t="s">
        <v>2997</v>
      </c>
      <c r="D23" t="s">
        <v>2952</v>
      </c>
      <c r="E23" t="s">
        <v>2953</v>
      </c>
      <c r="F23" t="s">
        <v>1227</v>
      </c>
      <c r="G23" t="s">
        <v>2101</v>
      </c>
      <c r="H23">
        <v>480.68</v>
      </c>
      <c r="I23">
        <v>504.71</v>
      </c>
      <c r="J23" t="s">
        <v>2944</v>
      </c>
      <c r="K23">
        <v>1</v>
      </c>
      <c r="L23" t="s">
        <v>2945</v>
      </c>
      <c r="M23" s="19">
        <v>46262</v>
      </c>
      <c r="N23" t="s">
        <v>2954</v>
      </c>
      <c r="O23" t="s">
        <v>2989</v>
      </c>
    </row>
    <row r="24" spans="1:15" x14ac:dyDescent="0.3">
      <c r="A24" t="s">
        <v>2998</v>
      </c>
      <c r="B24" t="s">
        <v>2999</v>
      </c>
      <c r="D24" t="s">
        <v>2952</v>
      </c>
      <c r="E24" t="s">
        <v>2953</v>
      </c>
      <c r="F24" t="s">
        <v>1227</v>
      </c>
      <c r="G24" t="s">
        <v>2101</v>
      </c>
      <c r="H24">
        <v>1181.3699999999999</v>
      </c>
      <c r="I24">
        <v>1240.44</v>
      </c>
      <c r="J24" t="s">
        <v>2944</v>
      </c>
      <c r="K24">
        <v>1</v>
      </c>
      <c r="L24" t="s">
        <v>2945</v>
      </c>
      <c r="M24" s="19">
        <v>46262</v>
      </c>
      <c r="N24" t="s">
        <v>2954</v>
      </c>
      <c r="O24" t="s">
        <v>3000</v>
      </c>
    </row>
    <row r="25" spans="1:15" x14ac:dyDescent="0.3">
      <c r="A25" t="s">
        <v>3001</v>
      </c>
      <c r="B25" t="s">
        <v>3002</v>
      </c>
      <c r="D25" t="s">
        <v>2952</v>
      </c>
      <c r="E25" t="s">
        <v>2953</v>
      </c>
      <c r="F25" t="s">
        <v>1227</v>
      </c>
      <c r="G25" t="s">
        <v>2101</v>
      </c>
      <c r="H25">
        <v>921.91</v>
      </c>
      <c r="I25">
        <v>968.01</v>
      </c>
      <c r="J25" t="s">
        <v>2944</v>
      </c>
      <c r="K25">
        <v>1</v>
      </c>
      <c r="L25" t="s">
        <v>2945</v>
      </c>
      <c r="M25" s="19">
        <v>46262</v>
      </c>
      <c r="N25" t="s">
        <v>2954</v>
      </c>
      <c r="O25" t="s">
        <v>3000</v>
      </c>
    </row>
    <row r="26" spans="1:15" x14ac:dyDescent="0.3">
      <c r="A26" t="s">
        <v>3003</v>
      </c>
      <c r="B26" t="s">
        <v>3004</v>
      </c>
      <c r="D26" t="s">
        <v>2952</v>
      </c>
      <c r="E26" t="s">
        <v>2953</v>
      </c>
      <c r="F26" t="s">
        <v>1227</v>
      </c>
      <c r="G26" t="s">
        <v>2101</v>
      </c>
      <c r="H26">
        <v>1180.96</v>
      </c>
      <c r="I26">
        <v>1240.01</v>
      </c>
      <c r="J26" t="s">
        <v>2944</v>
      </c>
      <c r="K26">
        <v>1</v>
      </c>
      <c r="L26" t="s">
        <v>2945</v>
      </c>
      <c r="M26" s="19">
        <v>46262</v>
      </c>
      <c r="N26" t="s">
        <v>2954</v>
      </c>
      <c r="O26" t="s">
        <v>3000</v>
      </c>
    </row>
    <row r="27" spans="1:15" x14ac:dyDescent="0.3">
      <c r="A27" t="s">
        <v>3005</v>
      </c>
      <c r="B27" t="s">
        <v>3006</v>
      </c>
      <c r="D27" t="s">
        <v>2952</v>
      </c>
      <c r="E27" t="s">
        <v>2953</v>
      </c>
      <c r="F27" t="s">
        <v>1227</v>
      </c>
      <c r="G27" t="s">
        <v>2101</v>
      </c>
      <c r="H27">
        <v>1091.9000000000001</v>
      </c>
      <c r="I27">
        <v>1146.49</v>
      </c>
      <c r="J27" t="s">
        <v>2944</v>
      </c>
      <c r="K27">
        <v>1</v>
      </c>
      <c r="L27" t="s">
        <v>2945</v>
      </c>
      <c r="M27" s="19">
        <v>46262</v>
      </c>
      <c r="N27" t="s">
        <v>2954</v>
      </c>
      <c r="O27" t="s">
        <v>3000</v>
      </c>
    </row>
    <row r="28" spans="1:15" x14ac:dyDescent="0.3">
      <c r="A28" t="s">
        <v>3007</v>
      </c>
      <c r="B28" t="s">
        <v>3008</v>
      </c>
      <c r="D28" t="s">
        <v>2952</v>
      </c>
      <c r="E28" t="s">
        <v>2953</v>
      </c>
      <c r="F28" t="s">
        <v>1227</v>
      </c>
      <c r="G28" t="s">
        <v>2101</v>
      </c>
      <c r="H28">
        <v>1211.05</v>
      </c>
      <c r="I28">
        <v>1271.6099999999999</v>
      </c>
      <c r="J28" t="s">
        <v>2944</v>
      </c>
      <c r="K28">
        <v>1</v>
      </c>
      <c r="L28" t="s">
        <v>2945</v>
      </c>
      <c r="M28" s="19">
        <v>46262</v>
      </c>
      <c r="N28" t="s">
        <v>2954</v>
      </c>
      <c r="O28" t="s">
        <v>3009</v>
      </c>
    </row>
    <row r="29" spans="1:15" x14ac:dyDescent="0.3">
      <c r="A29" t="s">
        <v>3010</v>
      </c>
      <c r="B29" t="s">
        <v>3011</v>
      </c>
      <c r="D29" t="s">
        <v>2952</v>
      </c>
      <c r="E29" t="s">
        <v>2953</v>
      </c>
      <c r="F29" t="s">
        <v>1227</v>
      </c>
      <c r="G29" t="s">
        <v>2101</v>
      </c>
      <c r="H29">
        <v>542.49</v>
      </c>
      <c r="I29">
        <v>569.62</v>
      </c>
      <c r="J29" t="s">
        <v>2944</v>
      </c>
      <c r="K29">
        <v>1</v>
      </c>
      <c r="L29" t="s">
        <v>2945</v>
      </c>
      <c r="M29" s="19">
        <v>46262</v>
      </c>
      <c r="N29" t="s">
        <v>2954</v>
      </c>
      <c r="O29" t="s">
        <v>3012</v>
      </c>
    </row>
    <row r="30" spans="1:15" x14ac:dyDescent="0.3">
      <c r="A30" t="s">
        <v>3013</v>
      </c>
      <c r="B30" t="s">
        <v>3014</v>
      </c>
      <c r="D30" t="s">
        <v>2952</v>
      </c>
      <c r="E30" t="s">
        <v>2953</v>
      </c>
      <c r="F30" t="s">
        <v>1227</v>
      </c>
      <c r="G30" t="s">
        <v>2101</v>
      </c>
      <c r="H30">
        <v>1585.19</v>
      </c>
      <c r="I30">
        <v>1664.45</v>
      </c>
      <c r="J30" t="s">
        <v>2944</v>
      </c>
      <c r="K30">
        <v>1</v>
      </c>
      <c r="L30" t="s">
        <v>2945</v>
      </c>
      <c r="M30" s="19">
        <v>46262</v>
      </c>
      <c r="N30" t="s">
        <v>2954</v>
      </c>
      <c r="O30" t="s">
        <v>3015</v>
      </c>
    </row>
    <row r="31" spans="1:15" x14ac:dyDescent="0.3">
      <c r="A31" t="s">
        <v>3016</v>
      </c>
      <c r="B31" t="s">
        <v>3017</v>
      </c>
      <c r="D31" t="s">
        <v>2952</v>
      </c>
      <c r="E31" t="s">
        <v>2953</v>
      </c>
      <c r="F31" t="s">
        <v>1227</v>
      </c>
      <c r="G31" t="s">
        <v>2101</v>
      </c>
      <c r="H31">
        <v>2506.29</v>
      </c>
      <c r="I31">
        <v>2631.6</v>
      </c>
      <c r="J31" t="s">
        <v>2944</v>
      </c>
      <c r="K31">
        <v>1</v>
      </c>
      <c r="L31" t="s">
        <v>2945</v>
      </c>
      <c r="M31" s="19">
        <v>46262</v>
      </c>
      <c r="N31" t="s">
        <v>2954</v>
      </c>
      <c r="O31" t="s">
        <v>3015</v>
      </c>
    </row>
    <row r="32" spans="1:15" x14ac:dyDescent="0.3">
      <c r="A32" t="s">
        <v>3018</v>
      </c>
      <c r="B32" t="s">
        <v>3019</v>
      </c>
      <c r="D32" t="s">
        <v>2952</v>
      </c>
      <c r="E32" t="s">
        <v>2953</v>
      </c>
      <c r="F32" t="s">
        <v>1227</v>
      </c>
      <c r="G32" t="s">
        <v>2101</v>
      </c>
      <c r="H32">
        <v>1638.87</v>
      </c>
      <c r="I32">
        <v>1720.81</v>
      </c>
      <c r="J32" t="s">
        <v>2944</v>
      </c>
      <c r="K32">
        <v>1</v>
      </c>
      <c r="L32" t="s">
        <v>2945</v>
      </c>
      <c r="M32" s="19">
        <v>46262</v>
      </c>
      <c r="N32" t="s">
        <v>2954</v>
      </c>
      <c r="O32" t="s">
        <v>3020</v>
      </c>
    </row>
    <row r="33" spans="1:15" x14ac:dyDescent="0.3">
      <c r="A33" t="s">
        <v>3021</v>
      </c>
      <c r="B33" t="s">
        <v>3022</v>
      </c>
      <c r="D33" t="s">
        <v>2952</v>
      </c>
      <c r="E33" t="s">
        <v>2953</v>
      </c>
      <c r="F33" t="s">
        <v>1227</v>
      </c>
      <c r="G33" t="s">
        <v>2101</v>
      </c>
      <c r="H33">
        <v>2553.0500000000002</v>
      </c>
      <c r="I33">
        <v>2680.71</v>
      </c>
      <c r="J33" t="s">
        <v>2944</v>
      </c>
      <c r="K33">
        <v>1</v>
      </c>
      <c r="L33" t="s">
        <v>2945</v>
      </c>
      <c r="M33" s="19">
        <v>46262</v>
      </c>
      <c r="N33" t="s">
        <v>2954</v>
      </c>
      <c r="O33" t="s">
        <v>3020</v>
      </c>
    </row>
    <row r="34" spans="1:15" x14ac:dyDescent="0.3">
      <c r="A34" t="s">
        <v>3023</v>
      </c>
      <c r="B34" t="s">
        <v>3024</v>
      </c>
      <c r="D34" t="s">
        <v>2952</v>
      </c>
      <c r="E34" t="s">
        <v>2953</v>
      </c>
      <c r="F34" t="s">
        <v>1227</v>
      </c>
      <c r="G34" t="s">
        <v>2101</v>
      </c>
      <c r="H34">
        <v>1396.9</v>
      </c>
      <c r="I34">
        <v>1466.74</v>
      </c>
      <c r="J34" t="s">
        <v>2944</v>
      </c>
      <c r="K34">
        <v>1</v>
      </c>
      <c r="L34" t="s">
        <v>2945</v>
      </c>
      <c r="M34" s="19">
        <v>46262</v>
      </c>
      <c r="N34" t="s">
        <v>2954</v>
      </c>
      <c r="O34" t="s">
        <v>3020</v>
      </c>
    </row>
    <row r="35" spans="1:15" x14ac:dyDescent="0.3">
      <c r="A35" t="s">
        <v>3025</v>
      </c>
      <c r="B35" t="s">
        <v>3026</v>
      </c>
      <c r="D35" t="s">
        <v>2952</v>
      </c>
      <c r="E35" t="s">
        <v>2953</v>
      </c>
      <c r="F35" t="s">
        <v>1227</v>
      </c>
      <c r="G35" t="s">
        <v>2101</v>
      </c>
      <c r="H35">
        <v>579.91</v>
      </c>
      <c r="I35">
        <v>608.9</v>
      </c>
      <c r="J35" t="s">
        <v>2944</v>
      </c>
      <c r="K35">
        <v>1</v>
      </c>
      <c r="L35" t="s">
        <v>2945</v>
      </c>
      <c r="M35" s="19">
        <v>46262</v>
      </c>
      <c r="N35" t="s">
        <v>2954</v>
      </c>
      <c r="O35" t="s">
        <v>3027</v>
      </c>
    </row>
    <row r="36" spans="1:15" x14ac:dyDescent="0.3">
      <c r="A36" t="s">
        <v>3028</v>
      </c>
      <c r="B36" t="s">
        <v>3029</v>
      </c>
      <c r="D36" t="s">
        <v>2952</v>
      </c>
      <c r="E36" t="s">
        <v>2953</v>
      </c>
      <c r="F36" t="s">
        <v>1227</v>
      </c>
      <c r="G36" t="s">
        <v>2101</v>
      </c>
      <c r="H36">
        <v>670.19</v>
      </c>
      <c r="I36">
        <v>703.7</v>
      </c>
      <c r="J36" t="s">
        <v>2944</v>
      </c>
      <c r="K36">
        <v>1</v>
      </c>
      <c r="L36" t="s">
        <v>2945</v>
      </c>
      <c r="M36" s="19">
        <v>46262</v>
      </c>
      <c r="N36" t="s">
        <v>2954</v>
      </c>
      <c r="O36" t="s">
        <v>3027</v>
      </c>
    </row>
    <row r="37" spans="1:15" x14ac:dyDescent="0.3">
      <c r="A37" t="s">
        <v>3030</v>
      </c>
      <c r="B37" t="s">
        <v>3031</v>
      </c>
      <c r="D37" t="s">
        <v>2952</v>
      </c>
      <c r="E37" t="s">
        <v>2953</v>
      </c>
      <c r="F37" t="s">
        <v>1227</v>
      </c>
      <c r="G37" t="s">
        <v>2101</v>
      </c>
      <c r="H37">
        <v>511.59</v>
      </c>
      <c r="I37">
        <v>537.16999999999996</v>
      </c>
      <c r="J37" t="s">
        <v>2944</v>
      </c>
      <c r="K37">
        <v>1</v>
      </c>
      <c r="L37" t="s">
        <v>2945</v>
      </c>
      <c r="M37" s="19">
        <v>46262</v>
      </c>
      <c r="N37" t="s">
        <v>2954</v>
      </c>
      <c r="O37" t="s">
        <v>3027</v>
      </c>
    </row>
    <row r="38" spans="1:15" x14ac:dyDescent="0.3">
      <c r="A38" t="s">
        <v>3032</v>
      </c>
      <c r="B38" t="s">
        <v>3033</v>
      </c>
      <c r="D38" t="s">
        <v>2952</v>
      </c>
      <c r="E38" t="s">
        <v>2953</v>
      </c>
      <c r="F38" t="s">
        <v>1227</v>
      </c>
      <c r="G38" t="s">
        <v>2101</v>
      </c>
      <c r="H38">
        <v>519.72</v>
      </c>
      <c r="I38">
        <v>545.71</v>
      </c>
      <c r="J38" t="s">
        <v>2944</v>
      </c>
      <c r="K38">
        <v>1</v>
      </c>
      <c r="L38" t="s">
        <v>2945</v>
      </c>
      <c r="M38" s="19">
        <v>46262</v>
      </c>
      <c r="N38" t="s">
        <v>2954</v>
      </c>
      <c r="O38" t="s">
        <v>3027</v>
      </c>
    </row>
    <row r="39" spans="1:15" x14ac:dyDescent="0.3">
      <c r="A39" t="s">
        <v>3034</v>
      </c>
      <c r="B39" t="s">
        <v>3035</v>
      </c>
      <c r="D39" t="s">
        <v>2952</v>
      </c>
      <c r="E39" t="s">
        <v>2953</v>
      </c>
      <c r="F39" t="s">
        <v>1227</v>
      </c>
      <c r="G39" t="s">
        <v>2101</v>
      </c>
      <c r="H39">
        <v>499.79</v>
      </c>
      <c r="I39">
        <v>524.78</v>
      </c>
      <c r="J39" t="s">
        <v>2944</v>
      </c>
      <c r="K39">
        <v>1</v>
      </c>
      <c r="L39" t="s">
        <v>2945</v>
      </c>
      <c r="M39" s="19">
        <v>46262</v>
      </c>
      <c r="N39" t="s">
        <v>2954</v>
      </c>
      <c r="O39" t="s">
        <v>3027</v>
      </c>
    </row>
    <row r="40" spans="1:15" x14ac:dyDescent="0.3">
      <c r="A40" t="s">
        <v>3036</v>
      </c>
      <c r="B40" t="s">
        <v>3037</v>
      </c>
      <c r="D40" t="s">
        <v>2952</v>
      </c>
      <c r="E40" t="s">
        <v>2953</v>
      </c>
      <c r="F40" t="s">
        <v>1227</v>
      </c>
      <c r="G40" t="s">
        <v>2101</v>
      </c>
      <c r="H40">
        <v>654.73</v>
      </c>
      <c r="I40">
        <v>687.47</v>
      </c>
      <c r="J40" t="s">
        <v>2944</v>
      </c>
      <c r="K40">
        <v>1</v>
      </c>
      <c r="L40" t="s">
        <v>2945</v>
      </c>
      <c r="M40" s="19">
        <v>46262</v>
      </c>
      <c r="N40" t="s">
        <v>2954</v>
      </c>
      <c r="O40" t="s">
        <v>3027</v>
      </c>
    </row>
    <row r="41" spans="1:15" x14ac:dyDescent="0.3">
      <c r="A41" t="s">
        <v>3038</v>
      </c>
      <c r="B41" t="s">
        <v>3039</v>
      </c>
      <c r="D41" t="s">
        <v>2952</v>
      </c>
      <c r="E41" t="s">
        <v>2953</v>
      </c>
      <c r="F41" t="s">
        <v>1227</v>
      </c>
      <c r="G41" t="s">
        <v>2101</v>
      </c>
      <c r="H41">
        <v>721.83</v>
      </c>
      <c r="I41">
        <v>757.93</v>
      </c>
      <c r="J41" t="s">
        <v>2944</v>
      </c>
      <c r="K41">
        <v>1</v>
      </c>
      <c r="L41" t="s">
        <v>2945</v>
      </c>
      <c r="M41" s="19">
        <v>46262</v>
      </c>
      <c r="N41" t="s">
        <v>2954</v>
      </c>
      <c r="O41" t="s">
        <v>3027</v>
      </c>
    </row>
    <row r="42" spans="1:15" x14ac:dyDescent="0.3">
      <c r="A42" t="s">
        <v>3040</v>
      </c>
      <c r="B42" t="s">
        <v>3041</v>
      </c>
      <c r="D42" t="s">
        <v>2952</v>
      </c>
      <c r="E42" t="s">
        <v>2953</v>
      </c>
      <c r="F42" t="s">
        <v>1227</v>
      </c>
      <c r="G42" t="s">
        <v>2101</v>
      </c>
      <c r="H42">
        <v>716.95</v>
      </c>
      <c r="I42">
        <v>752.8</v>
      </c>
      <c r="J42" t="s">
        <v>2944</v>
      </c>
      <c r="K42">
        <v>1</v>
      </c>
      <c r="L42" t="s">
        <v>2945</v>
      </c>
      <c r="M42" s="19">
        <v>46262</v>
      </c>
      <c r="N42" t="s">
        <v>2954</v>
      </c>
      <c r="O42" t="s">
        <v>3027</v>
      </c>
    </row>
    <row r="43" spans="1:15" x14ac:dyDescent="0.3">
      <c r="A43" t="s">
        <v>3042</v>
      </c>
      <c r="B43" t="s">
        <v>3043</v>
      </c>
      <c r="D43" t="s">
        <v>2952</v>
      </c>
      <c r="E43" t="s">
        <v>2953</v>
      </c>
      <c r="F43" t="s">
        <v>1227</v>
      </c>
      <c r="G43" t="s">
        <v>2101</v>
      </c>
      <c r="H43">
        <v>411.55</v>
      </c>
      <c r="I43">
        <v>432.12</v>
      </c>
      <c r="J43" t="s">
        <v>2944</v>
      </c>
      <c r="K43">
        <v>1</v>
      </c>
      <c r="L43" t="s">
        <v>2945</v>
      </c>
      <c r="M43" s="19">
        <v>46262</v>
      </c>
      <c r="N43" t="s">
        <v>2954</v>
      </c>
      <c r="O43" t="s">
        <v>3027</v>
      </c>
    </row>
    <row r="44" spans="1:15" x14ac:dyDescent="0.3">
      <c r="A44" t="s">
        <v>3044</v>
      </c>
      <c r="B44" t="s">
        <v>3045</v>
      </c>
      <c r="D44" t="s">
        <v>2952</v>
      </c>
      <c r="E44" t="s">
        <v>2953</v>
      </c>
      <c r="F44" t="s">
        <v>1227</v>
      </c>
      <c r="G44" t="s">
        <v>2101</v>
      </c>
      <c r="H44">
        <v>555.91</v>
      </c>
      <c r="I44">
        <v>583.71</v>
      </c>
      <c r="J44" t="s">
        <v>2944</v>
      </c>
      <c r="K44">
        <v>1</v>
      </c>
      <c r="L44" t="s">
        <v>2945</v>
      </c>
      <c r="M44" s="19">
        <v>46262</v>
      </c>
      <c r="N44" t="s">
        <v>2954</v>
      </c>
      <c r="O44" t="s">
        <v>3027</v>
      </c>
    </row>
    <row r="45" spans="1:15" x14ac:dyDescent="0.3">
      <c r="A45" t="s">
        <v>3046</v>
      </c>
      <c r="B45" t="s">
        <v>3047</v>
      </c>
      <c r="D45" t="s">
        <v>2952</v>
      </c>
      <c r="E45" t="s">
        <v>2953</v>
      </c>
      <c r="F45" t="s">
        <v>1227</v>
      </c>
      <c r="G45" t="s">
        <v>2101</v>
      </c>
      <c r="H45">
        <v>1653.1</v>
      </c>
      <c r="I45">
        <v>1735.75</v>
      </c>
      <c r="J45" t="s">
        <v>2944</v>
      </c>
      <c r="K45">
        <v>1</v>
      </c>
      <c r="L45" t="s">
        <v>2945</v>
      </c>
      <c r="M45" s="19">
        <v>46262</v>
      </c>
      <c r="N45" t="s">
        <v>2954</v>
      </c>
      <c r="O45" t="s">
        <v>3048</v>
      </c>
    </row>
    <row r="46" spans="1:15" x14ac:dyDescent="0.3">
      <c r="A46" t="s">
        <v>3049</v>
      </c>
      <c r="B46" t="s">
        <v>3050</v>
      </c>
      <c r="D46" t="s">
        <v>2952</v>
      </c>
      <c r="E46" t="s">
        <v>2953</v>
      </c>
      <c r="F46" t="s">
        <v>1227</v>
      </c>
      <c r="G46" t="s">
        <v>2101</v>
      </c>
      <c r="H46">
        <v>2588.84</v>
      </c>
      <c r="I46">
        <v>2718.28</v>
      </c>
      <c r="J46" t="s">
        <v>2944</v>
      </c>
      <c r="K46">
        <v>1</v>
      </c>
      <c r="L46" t="s">
        <v>2945</v>
      </c>
      <c r="M46" s="19">
        <v>46262</v>
      </c>
      <c r="N46" t="s">
        <v>2954</v>
      </c>
      <c r="O46" t="s">
        <v>3048</v>
      </c>
    </row>
    <row r="47" spans="1:15" x14ac:dyDescent="0.3">
      <c r="A47" t="s">
        <v>3051</v>
      </c>
      <c r="B47" t="s">
        <v>3052</v>
      </c>
      <c r="D47" t="s">
        <v>2952</v>
      </c>
      <c r="E47" t="s">
        <v>2953</v>
      </c>
      <c r="F47" t="s">
        <v>1227</v>
      </c>
      <c r="G47" t="s">
        <v>2101</v>
      </c>
      <c r="H47">
        <v>1675.87</v>
      </c>
      <c r="I47">
        <v>1759.67</v>
      </c>
      <c r="J47" t="s">
        <v>2944</v>
      </c>
      <c r="K47">
        <v>1</v>
      </c>
      <c r="L47" t="s">
        <v>2945</v>
      </c>
      <c r="M47" s="19">
        <v>46262</v>
      </c>
      <c r="N47" t="s">
        <v>2954</v>
      </c>
      <c r="O47" t="s">
        <v>3053</v>
      </c>
    </row>
    <row r="48" spans="1:15" x14ac:dyDescent="0.3">
      <c r="A48" t="s">
        <v>3054</v>
      </c>
      <c r="B48" t="s">
        <v>3055</v>
      </c>
      <c r="D48" t="s">
        <v>2952</v>
      </c>
      <c r="E48" t="s">
        <v>2953</v>
      </c>
      <c r="F48" t="s">
        <v>1227</v>
      </c>
      <c r="G48" t="s">
        <v>2101</v>
      </c>
      <c r="H48">
        <v>2616.09</v>
      </c>
      <c r="I48">
        <v>2746.89</v>
      </c>
      <c r="J48" t="s">
        <v>2944</v>
      </c>
      <c r="K48">
        <v>1</v>
      </c>
      <c r="L48" t="s">
        <v>2945</v>
      </c>
      <c r="M48" s="19">
        <v>46262</v>
      </c>
      <c r="N48" t="s">
        <v>2954</v>
      </c>
      <c r="O48" t="s">
        <v>3053</v>
      </c>
    </row>
    <row r="49" spans="1:15" x14ac:dyDescent="0.3">
      <c r="A49" t="s">
        <v>3056</v>
      </c>
      <c r="B49" t="s">
        <v>3057</v>
      </c>
      <c r="D49" t="s">
        <v>2952</v>
      </c>
      <c r="E49" t="s">
        <v>2953</v>
      </c>
      <c r="F49" t="s">
        <v>1227</v>
      </c>
      <c r="G49" t="s">
        <v>2101</v>
      </c>
      <c r="H49">
        <v>1507.11</v>
      </c>
      <c r="I49">
        <v>1582.46</v>
      </c>
      <c r="J49" t="s">
        <v>2944</v>
      </c>
      <c r="K49">
        <v>1</v>
      </c>
      <c r="L49" t="s">
        <v>2945</v>
      </c>
      <c r="M49" s="19">
        <v>46262</v>
      </c>
      <c r="N49" t="s">
        <v>2954</v>
      </c>
      <c r="O49" t="s">
        <v>3053</v>
      </c>
    </row>
    <row r="50" spans="1:15" x14ac:dyDescent="0.3">
      <c r="A50" t="s">
        <v>3058</v>
      </c>
      <c r="B50" t="s">
        <v>3059</v>
      </c>
      <c r="D50" t="s">
        <v>2952</v>
      </c>
      <c r="E50" t="s">
        <v>2953</v>
      </c>
      <c r="F50" t="s">
        <v>1227</v>
      </c>
      <c r="G50" t="s">
        <v>2101</v>
      </c>
      <c r="H50">
        <v>629.11</v>
      </c>
      <c r="I50">
        <v>660.57</v>
      </c>
      <c r="J50" t="s">
        <v>2944</v>
      </c>
      <c r="K50">
        <v>1</v>
      </c>
      <c r="L50" t="s">
        <v>2945</v>
      </c>
      <c r="M50" s="19">
        <v>46262</v>
      </c>
      <c r="N50" t="s">
        <v>2954</v>
      </c>
      <c r="O50" t="s">
        <v>3060</v>
      </c>
    </row>
    <row r="51" spans="1:15" x14ac:dyDescent="0.3">
      <c r="A51" t="s">
        <v>3061</v>
      </c>
      <c r="B51" t="s">
        <v>3062</v>
      </c>
      <c r="D51" t="s">
        <v>2952</v>
      </c>
      <c r="E51" t="s">
        <v>2953</v>
      </c>
      <c r="F51" t="s">
        <v>1227</v>
      </c>
      <c r="G51" t="s">
        <v>2101</v>
      </c>
      <c r="H51">
        <v>718.58</v>
      </c>
      <c r="I51">
        <v>754.51</v>
      </c>
      <c r="J51" t="s">
        <v>2944</v>
      </c>
      <c r="K51">
        <v>1</v>
      </c>
      <c r="L51" t="s">
        <v>2945</v>
      </c>
      <c r="M51" s="19">
        <v>46262</v>
      </c>
      <c r="N51" t="s">
        <v>2954</v>
      </c>
      <c r="O51" t="s">
        <v>3060</v>
      </c>
    </row>
    <row r="52" spans="1:15" x14ac:dyDescent="0.3">
      <c r="A52" t="s">
        <v>3063</v>
      </c>
      <c r="B52" t="s">
        <v>3064</v>
      </c>
      <c r="D52" t="s">
        <v>2952</v>
      </c>
      <c r="E52" t="s">
        <v>2953</v>
      </c>
      <c r="F52" t="s">
        <v>1227</v>
      </c>
      <c r="G52" t="s">
        <v>2101</v>
      </c>
      <c r="H52">
        <v>518.5</v>
      </c>
      <c r="I52">
        <v>544.42999999999995</v>
      </c>
      <c r="J52" t="s">
        <v>2944</v>
      </c>
      <c r="K52">
        <v>1</v>
      </c>
      <c r="L52" t="s">
        <v>2945</v>
      </c>
      <c r="M52" s="19">
        <v>46262</v>
      </c>
      <c r="N52" t="s">
        <v>2954</v>
      </c>
      <c r="O52" t="s">
        <v>3060</v>
      </c>
    </row>
    <row r="53" spans="1:15" x14ac:dyDescent="0.3">
      <c r="A53" t="s">
        <v>3065</v>
      </c>
      <c r="B53" t="s">
        <v>3066</v>
      </c>
      <c r="D53" t="s">
        <v>2952</v>
      </c>
      <c r="E53" t="s">
        <v>2953</v>
      </c>
      <c r="F53" t="s">
        <v>1227</v>
      </c>
      <c r="G53" t="s">
        <v>2101</v>
      </c>
      <c r="H53">
        <v>590.07000000000005</v>
      </c>
      <c r="I53">
        <v>619.58000000000004</v>
      </c>
      <c r="J53" t="s">
        <v>2944</v>
      </c>
      <c r="K53">
        <v>1</v>
      </c>
      <c r="L53" t="s">
        <v>2945</v>
      </c>
      <c r="M53" s="19">
        <v>46262</v>
      </c>
      <c r="N53" t="s">
        <v>2954</v>
      </c>
      <c r="O53" t="s">
        <v>3060</v>
      </c>
    </row>
    <row r="54" spans="1:15" x14ac:dyDescent="0.3">
      <c r="A54" t="s">
        <v>3067</v>
      </c>
      <c r="B54" t="s">
        <v>3068</v>
      </c>
      <c r="D54" t="s">
        <v>2952</v>
      </c>
      <c r="E54" t="s">
        <v>2953</v>
      </c>
      <c r="F54" t="s">
        <v>1227</v>
      </c>
      <c r="G54" t="s">
        <v>2101</v>
      </c>
      <c r="H54">
        <v>533.14</v>
      </c>
      <c r="I54">
        <v>559.79999999999995</v>
      </c>
      <c r="J54" t="s">
        <v>2944</v>
      </c>
      <c r="K54">
        <v>1</v>
      </c>
      <c r="L54" t="s">
        <v>2945</v>
      </c>
      <c r="M54" s="19">
        <v>46262</v>
      </c>
      <c r="N54" t="s">
        <v>2954</v>
      </c>
      <c r="O54" t="s">
        <v>3060</v>
      </c>
    </row>
    <row r="55" spans="1:15" x14ac:dyDescent="0.3">
      <c r="A55" t="s">
        <v>3069</v>
      </c>
      <c r="B55" t="s">
        <v>3070</v>
      </c>
      <c r="D55" t="s">
        <v>2952</v>
      </c>
      <c r="E55" t="s">
        <v>2953</v>
      </c>
      <c r="F55" t="s">
        <v>1227</v>
      </c>
      <c r="G55" t="s">
        <v>2101</v>
      </c>
      <c r="H55">
        <v>512.80999999999995</v>
      </c>
      <c r="I55">
        <v>538.45000000000005</v>
      </c>
      <c r="J55" t="s">
        <v>2944</v>
      </c>
      <c r="K55">
        <v>1</v>
      </c>
      <c r="L55" t="s">
        <v>2945</v>
      </c>
      <c r="M55" s="19">
        <v>46262</v>
      </c>
      <c r="N55" t="s">
        <v>2954</v>
      </c>
      <c r="O55" t="s">
        <v>3060</v>
      </c>
    </row>
    <row r="56" spans="1:15" x14ac:dyDescent="0.3">
      <c r="A56" t="s">
        <v>3071</v>
      </c>
      <c r="B56" t="s">
        <v>3072</v>
      </c>
      <c r="D56" t="s">
        <v>2952</v>
      </c>
      <c r="E56" t="s">
        <v>2953</v>
      </c>
      <c r="F56" t="s">
        <v>1227</v>
      </c>
      <c r="G56" t="s">
        <v>2101</v>
      </c>
      <c r="H56">
        <v>661.24</v>
      </c>
      <c r="I56">
        <v>694.3</v>
      </c>
      <c r="J56" t="s">
        <v>2944</v>
      </c>
      <c r="K56">
        <v>1</v>
      </c>
      <c r="L56" t="s">
        <v>2945</v>
      </c>
      <c r="M56" s="19">
        <v>46262</v>
      </c>
      <c r="N56" t="s">
        <v>2954</v>
      </c>
      <c r="O56" t="s">
        <v>3060</v>
      </c>
    </row>
    <row r="57" spans="1:15" x14ac:dyDescent="0.3">
      <c r="A57" t="s">
        <v>3073</v>
      </c>
      <c r="B57" t="s">
        <v>3074</v>
      </c>
      <c r="D57" t="s">
        <v>2952</v>
      </c>
      <c r="E57" t="s">
        <v>2953</v>
      </c>
      <c r="F57" t="s">
        <v>1227</v>
      </c>
      <c r="G57" t="s">
        <v>2101</v>
      </c>
      <c r="H57">
        <v>726.31</v>
      </c>
      <c r="I57">
        <v>762.62</v>
      </c>
      <c r="J57" t="s">
        <v>2944</v>
      </c>
      <c r="K57">
        <v>1</v>
      </c>
      <c r="L57" t="s">
        <v>2945</v>
      </c>
      <c r="M57" s="19">
        <v>46262</v>
      </c>
      <c r="N57" t="s">
        <v>2954</v>
      </c>
      <c r="O57" t="s">
        <v>3060</v>
      </c>
    </row>
    <row r="58" spans="1:15" x14ac:dyDescent="0.3">
      <c r="A58" t="s">
        <v>3075</v>
      </c>
      <c r="B58" t="s">
        <v>3076</v>
      </c>
      <c r="D58" t="s">
        <v>2952</v>
      </c>
      <c r="E58" t="s">
        <v>2953</v>
      </c>
      <c r="F58" t="s">
        <v>1227</v>
      </c>
      <c r="G58" t="s">
        <v>2101</v>
      </c>
      <c r="H58">
        <v>726.31</v>
      </c>
      <c r="I58">
        <v>762.62</v>
      </c>
      <c r="J58" t="s">
        <v>2944</v>
      </c>
      <c r="K58">
        <v>1</v>
      </c>
      <c r="L58" t="s">
        <v>2945</v>
      </c>
      <c r="M58" s="19">
        <v>46262</v>
      </c>
      <c r="N58" t="s">
        <v>2954</v>
      </c>
      <c r="O58" t="s">
        <v>3060</v>
      </c>
    </row>
    <row r="59" spans="1:15" x14ac:dyDescent="0.3">
      <c r="A59" t="s">
        <v>3077</v>
      </c>
      <c r="B59" t="s">
        <v>3078</v>
      </c>
      <c r="D59" t="s">
        <v>2952</v>
      </c>
      <c r="E59" t="s">
        <v>2953</v>
      </c>
      <c r="F59" t="s">
        <v>1227</v>
      </c>
      <c r="G59" t="s">
        <v>2101</v>
      </c>
      <c r="H59">
        <v>433.91</v>
      </c>
      <c r="I59">
        <v>455.61</v>
      </c>
      <c r="J59" t="s">
        <v>2944</v>
      </c>
      <c r="K59">
        <v>1</v>
      </c>
      <c r="L59" t="s">
        <v>2945</v>
      </c>
      <c r="M59" s="19">
        <v>46262</v>
      </c>
      <c r="N59" t="s">
        <v>2954</v>
      </c>
      <c r="O59" t="s">
        <v>3060</v>
      </c>
    </row>
    <row r="60" spans="1:15" x14ac:dyDescent="0.3">
      <c r="A60" t="s">
        <v>3079</v>
      </c>
      <c r="B60" t="s">
        <v>3080</v>
      </c>
      <c r="D60" t="s">
        <v>2952</v>
      </c>
      <c r="E60" t="s">
        <v>2953</v>
      </c>
      <c r="F60" t="s">
        <v>1227</v>
      </c>
      <c r="G60" t="s">
        <v>2101</v>
      </c>
      <c r="H60">
        <v>577.05999999999995</v>
      </c>
      <c r="I60">
        <v>605.91</v>
      </c>
      <c r="J60" t="s">
        <v>2944</v>
      </c>
      <c r="K60">
        <v>1</v>
      </c>
      <c r="L60" t="s">
        <v>2945</v>
      </c>
      <c r="M60" s="19">
        <v>46262</v>
      </c>
      <c r="N60" t="s">
        <v>2954</v>
      </c>
      <c r="O60" t="s">
        <v>3060</v>
      </c>
    </row>
    <row r="61" spans="1:15" x14ac:dyDescent="0.3">
      <c r="A61" t="s">
        <v>3081</v>
      </c>
      <c r="B61" t="s">
        <v>3082</v>
      </c>
      <c r="D61" t="s">
        <v>2952</v>
      </c>
      <c r="E61" t="s">
        <v>2953</v>
      </c>
      <c r="F61" t="s">
        <v>1227</v>
      </c>
      <c r="G61" t="s">
        <v>2101</v>
      </c>
      <c r="H61">
        <v>2389.5700000000002</v>
      </c>
      <c r="I61">
        <v>2509.0500000000002</v>
      </c>
      <c r="J61" t="s">
        <v>2944</v>
      </c>
      <c r="K61">
        <v>1</v>
      </c>
      <c r="L61" t="s">
        <v>2945</v>
      </c>
      <c r="M61" s="19">
        <v>46262</v>
      </c>
      <c r="N61" t="s">
        <v>2954</v>
      </c>
      <c r="O61" t="s">
        <v>3083</v>
      </c>
    </row>
    <row r="62" spans="1:15" x14ac:dyDescent="0.3">
      <c r="A62" t="s">
        <v>3084</v>
      </c>
      <c r="B62" t="s">
        <v>3085</v>
      </c>
      <c r="D62" t="s">
        <v>2952</v>
      </c>
      <c r="E62" t="s">
        <v>2953</v>
      </c>
      <c r="F62" t="s">
        <v>1227</v>
      </c>
      <c r="G62" t="s">
        <v>2101</v>
      </c>
      <c r="H62">
        <v>2654.72</v>
      </c>
      <c r="I62">
        <v>2787.46</v>
      </c>
      <c r="J62" t="s">
        <v>2944</v>
      </c>
      <c r="K62">
        <v>1</v>
      </c>
      <c r="L62" t="s">
        <v>2945</v>
      </c>
      <c r="M62" s="19">
        <v>46262</v>
      </c>
      <c r="N62" t="s">
        <v>2954</v>
      </c>
      <c r="O62" t="s">
        <v>3083</v>
      </c>
    </row>
    <row r="63" spans="1:15" x14ac:dyDescent="0.3">
      <c r="A63" t="s">
        <v>3086</v>
      </c>
      <c r="B63" t="s">
        <v>3087</v>
      </c>
      <c r="D63" t="s">
        <v>2952</v>
      </c>
      <c r="E63" t="s">
        <v>2953</v>
      </c>
      <c r="F63" t="s">
        <v>1227</v>
      </c>
      <c r="G63" t="s">
        <v>2101</v>
      </c>
      <c r="H63">
        <v>653.91999999999996</v>
      </c>
      <c r="I63">
        <v>686.62</v>
      </c>
      <c r="J63" t="s">
        <v>2944</v>
      </c>
      <c r="K63">
        <v>1</v>
      </c>
      <c r="L63" t="s">
        <v>2945</v>
      </c>
      <c r="M63" s="19">
        <v>46262</v>
      </c>
      <c r="N63" t="s">
        <v>2954</v>
      </c>
      <c r="O63" t="s">
        <v>3088</v>
      </c>
    </row>
    <row r="64" spans="1:15" x14ac:dyDescent="0.3">
      <c r="A64" t="s">
        <v>3089</v>
      </c>
      <c r="B64" t="s">
        <v>3090</v>
      </c>
      <c r="D64" t="s">
        <v>2952</v>
      </c>
      <c r="E64" t="s">
        <v>2953</v>
      </c>
      <c r="F64" t="s">
        <v>1227</v>
      </c>
      <c r="G64" t="s">
        <v>2101</v>
      </c>
      <c r="H64">
        <v>764.53</v>
      </c>
      <c r="I64">
        <v>802.76</v>
      </c>
      <c r="J64" t="s">
        <v>2944</v>
      </c>
      <c r="K64">
        <v>1</v>
      </c>
      <c r="L64" t="s">
        <v>2945</v>
      </c>
      <c r="M64" s="19">
        <v>46262</v>
      </c>
      <c r="N64" t="s">
        <v>2954</v>
      </c>
      <c r="O64" t="s">
        <v>3088</v>
      </c>
    </row>
    <row r="65" spans="1:15" x14ac:dyDescent="0.3">
      <c r="A65" t="s">
        <v>3091</v>
      </c>
      <c r="B65" t="s">
        <v>3092</v>
      </c>
      <c r="D65" t="s">
        <v>2952</v>
      </c>
      <c r="E65" t="s">
        <v>2953</v>
      </c>
      <c r="F65" t="s">
        <v>1227</v>
      </c>
      <c r="G65" t="s">
        <v>2101</v>
      </c>
      <c r="H65">
        <v>551.85</v>
      </c>
      <c r="I65">
        <v>579.44000000000005</v>
      </c>
      <c r="J65" t="s">
        <v>2944</v>
      </c>
      <c r="K65">
        <v>1</v>
      </c>
      <c r="L65" t="s">
        <v>2945</v>
      </c>
      <c r="M65" s="19">
        <v>46262</v>
      </c>
      <c r="N65" t="s">
        <v>2954</v>
      </c>
      <c r="O65" t="s">
        <v>3088</v>
      </c>
    </row>
    <row r="66" spans="1:15" x14ac:dyDescent="0.3">
      <c r="A66" t="s">
        <v>3093</v>
      </c>
      <c r="B66" t="s">
        <v>3094</v>
      </c>
      <c r="D66" t="s">
        <v>2952</v>
      </c>
      <c r="E66" t="s">
        <v>2953</v>
      </c>
      <c r="F66" t="s">
        <v>1227</v>
      </c>
      <c r="G66" t="s">
        <v>2101</v>
      </c>
      <c r="H66">
        <v>599.83000000000004</v>
      </c>
      <c r="I66">
        <v>629.83000000000004</v>
      </c>
      <c r="J66" t="s">
        <v>2944</v>
      </c>
      <c r="K66">
        <v>1</v>
      </c>
      <c r="L66" t="s">
        <v>2945</v>
      </c>
      <c r="M66" s="19">
        <v>46262</v>
      </c>
      <c r="N66" t="s">
        <v>2954</v>
      </c>
      <c r="O66" t="s">
        <v>3088</v>
      </c>
    </row>
    <row r="67" spans="1:15" x14ac:dyDescent="0.3">
      <c r="A67" t="s">
        <v>3095</v>
      </c>
      <c r="B67" t="s">
        <v>3096</v>
      </c>
      <c r="D67" t="s">
        <v>2952</v>
      </c>
      <c r="E67" t="s">
        <v>2953</v>
      </c>
      <c r="F67" t="s">
        <v>1227</v>
      </c>
      <c r="G67" t="s">
        <v>2101</v>
      </c>
      <c r="H67">
        <v>809.67</v>
      </c>
      <c r="I67">
        <v>850.16</v>
      </c>
      <c r="J67" t="s">
        <v>2944</v>
      </c>
      <c r="K67">
        <v>1</v>
      </c>
      <c r="L67" t="s">
        <v>2945</v>
      </c>
      <c r="M67" s="19">
        <v>46262</v>
      </c>
      <c r="N67" t="s">
        <v>2954</v>
      </c>
      <c r="O67" t="s">
        <v>3088</v>
      </c>
    </row>
    <row r="68" spans="1:15" x14ac:dyDescent="0.3">
      <c r="A68" t="s">
        <v>3097</v>
      </c>
      <c r="B68" t="s">
        <v>3098</v>
      </c>
      <c r="D68" t="s">
        <v>2952</v>
      </c>
      <c r="E68" t="s">
        <v>2953</v>
      </c>
      <c r="F68" t="s">
        <v>1227</v>
      </c>
      <c r="G68" t="s">
        <v>2101</v>
      </c>
      <c r="H68">
        <v>546.15</v>
      </c>
      <c r="I68">
        <v>573.46</v>
      </c>
      <c r="J68" t="s">
        <v>2944</v>
      </c>
      <c r="K68">
        <v>1</v>
      </c>
      <c r="L68" t="s">
        <v>2945</v>
      </c>
      <c r="M68" s="19">
        <v>46262</v>
      </c>
      <c r="N68" t="s">
        <v>2954</v>
      </c>
      <c r="O68" t="s">
        <v>3088</v>
      </c>
    </row>
    <row r="69" spans="1:15" x14ac:dyDescent="0.3">
      <c r="A69" t="s">
        <v>3099</v>
      </c>
      <c r="B69" t="s">
        <v>3100</v>
      </c>
      <c r="D69" t="s">
        <v>2952</v>
      </c>
      <c r="E69" t="s">
        <v>2953</v>
      </c>
      <c r="F69" t="s">
        <v>1227</v>
      </c>
      <c r="G69" t="s">
        <v>2101</v>
      </c>
      <c r="H69">
        <v>525.41</v>
      </c>
      <c r="I69">
        <v>551.67999999999995</v>
      </c>
      <c r="J69" t="s">
        <v>2944</v>
      </c>
      <c r="K69">
        <v>1</v>
      </c>
      <c r="L69" t="s">
        <v>2945</v>
      </c>
      <c r="M69" s="19">
        <v>46262</v>
      </c>
      <c r="N69" t="s">
        <v>2954</v>
      </c>
      <c r="O69" t="s">
        <v>3088</v>
      </c>
    </row>
    <row r="70" spans="1:15" x14ac:dyDescent="0.3">
      <c r="A70" t="s">
        <v>3101</v>
      </c>
      <c r="B70" t="s">
        <v>3102</v>
      </c>
      <c r="D70" t="s">
        <v>2952</v>
      </c>
      <c r="E70" t="s">
        <v>2953</v>
      </c>
      <c r="F70" t="s">
        <v>1227</v>
      </c>
      <c r="G70" t="s">
        <v>2101</v>
      </c>
      <c r="H70">
        <v>741.35</v>
      </c>
      <c r="I70">
        <v>778.42</v>
      </c>
      <c r="J70" t="s">
        <v>2944</v>
      </c>
      <c r="K70">
        <v>1</v>
      </c>
      <c r="L70" t="s">
        <v>2945</v>
      </c>
      <c r="M70" s="19">
        <v>46262</v>
      </c>
      <c r="N70" t="s">
        <v>2954</v>
      </c>
      <c r="O70" t="s">
        <v>3088</v>
      </c>
    </row>
    <row r="71" spans="1:15" x14ac:dyDescent="0.3">
      <c r="A71" t="s">
        <v>3103</v>
      </c>
      <c r="B71" t="s">
        <v>3104</v>
      </c>
      <c r="D71" t="s">
        <v>2952</v>
      </c>
      <c r="E71" t="s">
        <v>2953</v>
      </c>
      <c r="F71" t="s">
        <v>1227</v>
      </c>
      <c r="G71" t="s">
        <v>2101</v>
      </c>
      <c r="H71">
        <v>799.1</v>
      </c>
      <c r="I71">
        <v>839.06</v>
      </c>
      <c r="J71" t="s">
        <v>2944</v>
      </c>
      <c r="K71">
        <v>1</v>
      </c>
      <c r="L71" t="s">
        <v>2945</v>
      </c>
      <c r="M71" s="19">
        <v>46262</v>
      </c>
      <c r="N71" t="s">
        <v>2954</v>
      </c>
      <c r="O71" t="s">
        <v>3088</v>
      </c>
    </row>
    <row r="72" spans="1:15" x14ac:dyDescent="0.3">
      <c r="A72" t="s">
        <v>3105</v>
      </c>
      <c r="B72" t="s">
        <v>3106</v>
      </c>
      <c r="D72" t="s">
        <v>2952</v>
      </c>
      <c r="E72" t="s">
        <v>2953</v>
      </c>
      <c r="F72" t="s">
        <v>1227</v>
      </c>
      <c r="G72" t="s">
        <v>2101</v>
      </c>
      <c r="H72">
        <v>799.1</v>
      </c>
      <c r="I72">
        <v>839.06</v>
      </c>
      <c r="J72" t="s">
        <v>2944</v>
      </c>
      <c r="K72">
        <v>1</v>
      </c>
      <c r="L72" t="s">
        <v>2945</v>
      </c>
      <c r="M72" s="19">
        <v>46262</v>
      </c>
      <c r="N72" t="s">
        <v>2954</v>
      </c>
      <c r="O72" t="s">
        <v>3088</v>
      </c>
    </row>
    <row r="73" spans="1:15" x14ac:dyDescent="0.3">
      <c r="A73" t="s">
        <v>3107</v>
      </c>
      <c r="B73" t="s">
        <v>3108</v>
      </c>
      <c r="D73" t="s">
        <v>2952</v>
      </c>
      <c r="E73" t="s">
        <v>2953</v>
      </c>
      <c r="F73" t="s">
        <v>1227</v>
      </c>
      <c r="G73" t="s">
        <v>2101</v>
      </c>
      <c r="H73">
        <v>481.09</v>
      </c>
      <c r="I73">
        <v>505.14</v>
      </c>
      <c r="J73" t="s">
        <v>2944</v>
      </c>
      <c r="K73">
        <v>1</v>
      </c>
      <c r="L73" t="s">
        <v>2945</v>
      </c>
      <c r="M73" s="19">
        <v>46262</v>
      </c>
      <c r="N73" t="s">
        <v>2954</v>
      </c>
      <c r="O73" t="s">
        <v>3088</v>
      </c>
    </row>
    <row r="74" spans="1:15" x14ac:dyDescent="0.3">
      <c r="A74" t="s">
        <v>3109</v>
      </c>
      <c r="B74" t="s">
        <v>3110</v>
      </c>
      <c r="D74" t="s">
        <v>2952</v>
      </c>
      <c r="E74" t="s">
        <v>2953</v>
      </c>
      <c r="F74" t="s">
        <v>1227</v>
      </c>
      <c r="G74" t="s">
        <v>2101</v>
      </c>
      <c r="H74">
        <v>619.35</v>
      </c>
      <c r="I74">
        <v>650.32000000000005</v>
      </c>
      <c r="J74" t="s">
        <v>2944</v>
      </c>
      <c r="K74">
        <v>1</v>
      </c>
      <c r="L74" t="s">
        <v>2945</v>
      </c>
      <c r="M74" s="19">
        <v>46262</v>
      </c>
      <c r="N74" t="s">
        <v>2954</v>
      </c>
      <c r="O74" t="s">
        <v>3088</v>
      </c>
    </row>
    <row r="75" spans="1:15" x14ac:dyDescent="0.3">
      <c r="A75" t="s">
        <v>3111</v>
      </c>
      <c r="B75" t="s">
        <v>3112</v>
      </c>
      <c r="D75" t="s">
        <v>2952</v>
      </c>
      <c r="E75" t="s">
        <v>2953</v>
      </c>
      <c r="F75" t="s">
        <v>1227</v>
      </c>
      <c r="G75" t="s">
        <v>2101</v>
      </c>
      <c r="H75">
        <v>3721.41</v>
      </c>
      <c r="I75">
        <v>3907.48</v>
      </c>
      <c r="J75" t="s">
        <v>2944</v>
      </c>
      <c r="K75">
        <v>1</v>
      </c>
      <c r="L75" t="s">
        <v>2945</v>
      </c>
      <c r="M75" s="19">
        <v>46262</v>
      </c>
      <c r="N75" t="s">
        <v>2954</v>
      </c>
      <c r="O75" t="s">
        <v>3113</v>
      </c>
    </row>
    <row r="76" spans="1:15" x14ac:dyDescent="0.3">
      <c r="A76" t="s">
        <v>3114</v>
      </c>
      <c r="B76" t="s">
        <v>3115</v>
      </c>
      <c r="D76" t="s">
        <v>2952</v>
      </c>
      <c r="E76" t="s">
        <v>2953</v>
      </c>
      <c r="F76" t="s">
        <v>1227</v>
      </c>
      <c r="G76" t="s">
        <v>2101</v>
      </c>
      <c r="H76">
        <v>3235.03</v>
      </c>
      <c r="I76">
        <v>3396.79</v>
      </c>
      <c r="J76" t="s">
        <v>2944</v>
      </c>
      <c r="K76">
        <v>1</v>
      </c>
      <c r="L76" t="s">
        <v>2945</v>
      </c>
      <c r="M76" s="19">
        <v>46262</v>
      </c>
      <c r="N76" t="s">
        <v>2954</v>
      </c>
      <c r="O76" t="s">
        <v>3113</v>
      </c>
    </row>
    <row r="77" spans="1:15" x14ac:dyDescent="0.3">
      <c r="A77" t="s">
        <v>3116</v>
      </c>
      <c r="B77" t="s">
        <v>3117</v>
      </c>
      <c r="D77" t="s">
        <v>2952</v>
      </c>
      <c r="E77" t="s">
        <v>2953</v>
      </c>
      <c r="F77" t="s">
        <v>1227</v>
      </c>
      <c r="G77" t="s">
        <v>2101</v>
      </c>
      <c r="H77">
        <v>3893.83</v>
      </c>
      <c r="I77">
        <v>4088.53</v>
      </c>
      <c r="J77" t="s">
        <v>2944</v>
      </c>
      <c r="K77">
        <v>1</v>
      </c>
      <c r="L77" t="s">
        <v>2945</v>
      </c>
      <c r="M77" s="19">
        <v>46262</v>
      </c>
      <c r="N77" t="s">
        <v>2954</v>
      </c>
      <c r="O77" t="s">
        <v>3118</v>
      </c>
    </row>
    <row r="78" spans="1:15" x14ac:dyDescent="0.3">
      <c r="A78" t="s">
        <v>3119</v>
      </c>
      <c r="B78" t="s">
        <v>3120</v>
      </c>
      <c r="D78" t="s">
        <v>2952</v>
      </c>
      <c r="E78" t="s">
        <v>2953</v>
      </c>
      <c r="F78" t="s">
        <v>1227</v>
      </c>
      <c r="G78" t="s">
        <v>2101</v>
      </c>
      <c r="H78">
        <v>3378.18</v>
      </c>
      <c r="I78">
        <v>3547.09</v>
      </c>
      <c r="J78" t="s">
        <v>2944</v>
      </c>
      <c r="K78">
        <v>1</v>
      </c>
      <c r="L78" t="s">
        <v>2945</v>
      </c>
      <c r="M78" s="19">
        <v>46262</v>
      </c>
      <c r="N78" t="s">
        <v>2954</v>
      </c>
      <c r="O78" t="s">
        <v>3118</v>
      </c>
    </row>
    <row r="79" spans="1:15" x14ac:dyDescent="0.3">
      <c r="A79" t="s">
        <v>3121</v>
      </c>
      <c r="B79" t="s">
        <v>3122</v>
      </c>
      <c r="D79" t="s">
        <v>2952</v>
      </c>
      <c r="E79" t="s">
        <v>2953</v>
      </c>
      <c r="F79" t="s">
        <v>1227</v>
      </c>
      <c r="G79" t="s">
        <v>2101</v>
      </c>
      <c r="H79">
        <v>697.84</v>
      </c>
      <c r="I79">
        <v>732.73</v>
      </c>
      <c r="J79" t="s">
        <v>2944</v>
      </c>
      <c r="K79">
        <v>1</v>
      </c>
      <c r="L79" t="s">
        <v>2945</v>
      </c>
      <c r="M79" s="19">
        <v>46262</v>
      </c>
      <c r="N79" t="s">
        <v>2954</v>
      </c>
      <c r="O79" t="s">
        <v>3123</v>
      </c>
    </row>
    <row r="80" spans="1:15" x14ac:dyDescent="0.3">
      <c r="A80" t="s">
        <v>3124</v>
      </c>
      <c r="B80" t="s">
        <v>3125</v>
      </c>
      <c r="D80" t="s">
        <v>2952</v>
      </c>
      <c r="E80" t="s">
        <v>2953</v>
      </c>
      <c r="F80" t="s">
        <v>1227</v>
      </c>
      <c r="G80" t="s">
        <v>2101</v>
      </c>
      <c r="H80">
        <v>778.77</v>
      </c>
      <c r="I80">
        <v>817.71</v>
      </c>
      <c r="J80" t="s">
        <v>2944</v>
      </c>
      <c r="K80">
        <v>1</v>
      </c>
      <c r="L80" t="s">
        <v>2945</v>
      </c>
      <c r="M80" s="19">
        <v>46262</v>
      </c>
      <c r="N80" t="s">
        <v>2954</v>
      </c>
      <c r="O80" t="s">
        <v>3123</v>
      </c>
    </row>
    <row r="81" spans="1:15" x14ac:dyDescent="0.3">
      <c r="A81" t="s">
        <v>3126</v>
      </c>
      <c r="B81" t="s">
        <v>3127</v>
      </c>
      <c r="D81" t="s">
        <v>2952</v>
      </c>
      <c r="E81" t="s">
        <v>2953</v>
      </c>
      <c r="F81" t="s">
        <v>1227</v>
      </c>
      <c r="G81" t="s">
        <v>2101</v>
      </c>
      <c r="H81">
        <v>603.49</v>
      </c>
      <c r="I81">
        <v>633.66999999999996</v>
      </c>
      <c r="J81" t="s">
        <v>2944</v>
      </c>
      <c r="K81">
        <v>1</v>
      </c>
      <c r="L81" t="s">
        <v>2945</v>
      </c>
      <c r="M81" s="19">
        <v>46262</v>
      </c>
      <c r="N81" t="s">
        <v>2954</v>
      </c>
      <c r="O81" t="s">
        <v>3123</v>
      </c>
    </row>
    <row r="82" spans="1:15" x14ac:dyDescent="0.3">
      <c r="A82" t="s">
        <v>3128</v>
      </c>
      <c r="B82" t="s">
        <v>3129</v>
      </c>
      <c r="D82" t="s">
        <v>2952</v>
      </c>
      <c r="E82" t="s">
        <v>2953</v>
      </c>
      <c r="F82" t="s">
        <v>1227</v>
      </c>
      <c r="G82" t="s">
        <v>2101</v>
      </c>
      <c r="H82">
        <v>633.17999999999995</v>
      </c>
      <c r="I82">
        <v>664.84</v>
      </c>
      <c r="J82" t="s">
        <v>2944</v>
      </c>
      <c r="K82">
        <v>1</v>
      </c>
      <c r="L82" t="s">
        <v>2945</v>
      </c>
      <c r="M82" s="19">
        <v>46262</v>
      </c>
      <c r="N82" t="s">
        <v>2954</v>
      </c>
      <c r="O82" t="s">
        <v>3123</v>
      </c>
    </row>
    <row r="83" spans="1:15" x14ac:dyDescent="0.3">
      <c r="A83" t="s">
        <v>3130</v>
      </c>
      <c r="B83" t="s">
        <v>3131</v>
      </c>
      <c r="D83" t="s">
        <v>2952</v>
      </c>
      <c r="E83" t="s">
        <v>2953</v>
      </c>
      <c r="F83" t="s">
        <v>1227</v>
      </c>
      <c r="G83" t="s">
        <v>2101</v>
      </c>
      <c r="H83">
        <v>793</v>
      </c>
      <c r="I83">
        <v>832.65</v>
      </c>
      <c r="J83" t="s">
        <v>2944</v>
      </c>
      <c r="K83">
        <v>1</v>
      </c>
      <c r="L83" t="s">
        <v>2945</v>
      </c>
      <c r="M83" s="19">
        <v>46262</v>
      </c>
      <c r="N83" t="s">
        <v>2954</v>
      </c>
      <c r="O83" t="s">
        <v>3123</v>
      </c>
    </row>
    <row r="84" spans="1:15" x14ac:dyDescent="0.3">
      <c r="A84" t="s">
        <v>3132</v>
      </c>
      <c r="B84" t="s">
        <v>3133</v>
      </c>
      <c r="D84" t="s">
        <v>2952</v>
      </c>
      <c r="E84" t="s">
        <v>2953</v>
      </c>
      <c r="F84" t="s">
        <v>1227</v>
      </c>
      <c r="G84" t="s">
        <v>2101</v>
      </c>
      <c r="H84">
        <v>639.28</v>
      </c>
      <c r="I84">
        <v>671.24</v>
      </c>
      <c r="J84" t="s">
        <v>2944</v>
      </c>
      <c r="K84">
        <v>1</v>
      </c>
      <c r="L84" t="s">
        <v>2945</v>
      </c>
      <c r="M84" s="19">
        <v>46262</v>
      </c>
      <c r="N84" t="s">
        <v>2954</v>
      </c>
      <c r="O84" t="s">
        <v>3123</v>
      </c>
    </row>
    <row r="85" spans="1:15" x14ac:dyDescent="0.3">
      <c r="A85" t="s">
        <v>3134</v>
      </c>
      <c r="B85" t="s">
        <v>3135</v>
      </c>
      <c r="D85" t="s">
        <v>2952</v>
      </c>
      <c r="E85" t="s">
        <v>2953</v>
      </c>
      <c r="F85" t="s">
        <v>1227</v>
      </c>
      <c r="G85" t="s">
        <v>2101</v>
      </c>
      <c r="H85">
        <v>614.47</v>
      </c>
      <c r="I85">
        <v>645.20000000000005</v>
      </c>
      <c r="J85" t="s">
        <v>2944</v>
      </c>
      <c r="K85">
        <v>1</v>
      </c>
      <c r="L85" t="s">
        <v>2945</v>
      </c>
      <c r="M85" s="19">
        <v>46262</v>
      </c>
      <c r="N85" t="s">
        <v>2954</v>
      </c>
      <c r="O85" t="s">
        <v>3123</v>
      </c>
    </row>
    <row r="86" spans="1:15" x14ac:dyDescent="0.3">
      <c r="A86" t="s">
        <v>3136</v>
      </c>
      <c r="B86" t="s">
        <v>3137</v>
      </c>
      <c r="D86" t="s">
        <v>2952</v>
      </c>
      <c r="E86" t="s">
        <v>2953</v>
      </c>
      <c r="F86" t="s">
        <v>1227</v>
      </c>
      <c r="G86" t="s">
        <v>2101</v>
      </c>
      <c r="H86">
        <v>786.09</v>
      </c>
      <c r="I86">
        <v>825.39</v>
      </c>
      <c r="J86" t="s">
        <v>2944</v>
      </c>
      <c r="K86">
        <v>1</v>
      </c>
      <c r="L86" t="s">
        <v>2945</v>
      </c>
      <c r="M86" s="19">
        <v>46262</v>
      </c>
      <c r="N86" t="s">
        <v>2954</v>
      </c>
      <c r="O86" t="s">
        <v>3123</v>
      </c>
    </row>
    <row r="87" spans="1:15" x14ac:dyDescent="0.3">
      <c r="A87" t="s">
        <v>3138</v>
      </c>
      <c r="B87" t="s">
        <v>3139</v>
      </c>
      <c r="D87" t="s">
        <v>2952</v>
      </c>
      <c r="E87" t="s">
        <v>2953</v>
      </c>
      <c r="F87" t="s">
        <v>1227</v>
      </c>
      <c r="G87" t="s">
        <v>2101</v>
      </c>
      <c r="H87">
        <v>851.56</v>
      </c>
      <c r="I87">
        <v>894.14</v>
      </c>
      <c r="J87" t="s">
        <v>2944</v>
      </c>
      <c r="K87">
        <v>1</v>
      </c>
      <c r="L87" t="s">
        <v>2945</v>
      </c>
      <c r="M87" s="19">
        <v>46262</v>
      </c>
      <c r="N87" t="s">
        <v>2954</v>
      </c>
      <c r="O87" t="s">
        <v>3123</v>
      </c>
    </row>
    <row r="88" spans="1:15" x14ac:dyDescent="0.3">
      <c r="A88" t="s">
        <v>3140</v>
      </c>
      <c r="B88" t="s">
        <v>3141</v>
      </c>
      <c r="D88" t="s">
        <v>2952</v>
      </c>
      <c r="E88" t="s">
        <v>2953</v>
      </c>
      <c r="F88" t="s">
        <v>1227</v>
      </c>
      <c r="G88" t="s">
        <v>2101</v>
      </c>
      <c r="H88">
        <v>853.19</v>
      </c>
      <c r="I88">
        <v>895.85</v>
      </c>
      <c r="J88" t="s">
        <v>2944</v>
      </c>
      <c r="K88">
        <v>1</v>
      </c>
      <c r="L88" t="s">
        <v>2945</v>
      </c>
      <c r="M88" s="19">
        <v>46262</v>
      </c>
      <c r="N88" t="s">
        <v>2954</v>
      </c>
      <c r="O88" t="s">
        <v>3123</v>
      </c>
    </row>
    <row r="89" spans="1:15" x14ac:dyDescent="0.3">
      <c r="A89" t="s">
        <v>3142</v>
      </c>
      <c r="B89" t="s">
        <v>3143</v>
      </c>
      <c r="D89" t="s">
        <v>2952</v>
      </c>
      <c r="E89" t="s">
        <v>2953</v>
      </c>
      <c r="F89" t="s">
        <v>1227</v>
      </c>
      <c r="G89" t="s">
        <v>2101</v>
      </c>
      <c r="H89">
        <v>544.92999999999995</v>
      </c>
      <c r="I89">
        <v>572.17999999999995</v>
      </c>
      <c r="J89" t="s">
        <v>2944</v>
      </c>
      <c r="K89">
        <v>1</v>
      </c>
      <c r="L89" t="s">
        <v>2945</v>
      </c>
      <c r="M89" s="19">
        <v>46262</v>
      </c>
      <c r="N89" t="s">
        <v>2954</v>
      </c>
      <c r="O89" t="s">
        <v>3123</v>
      </c>
    </row>
    <row r="90" spans="1:15" x14ac:dyDescent="0.3">
      <c r="A90" t="s">
        <v>3144</v>
      </c>
      <c r="B90" t="s">
        <v>3145</v>
      </c>
      <c r="D90" t="s">
        <v>2952</v>
      </c>
      <c r="E90" t="s">
        <v>2953</v>
      </c>
      <c r="F90" t="s">
        <v>1227</v>
      </c>
      <c r="G90" t="s">
        <v>2101</v>
      </c>
      <c r="H90">
        <v>688.08</v>
      </c>
      <c r="I90">
        <v>722.48</v>
      </c>
      <c r="J90" t="s">
        <v>2944</v>
      </c>
      <c r="K90">
        <v>1</v>
      </c>
      <c r="L90" t="s">
        <v>2945</v>
      </c>
      <c r="M90" s="19">
        <v>46262</v>
      </c>
      <c r="N90" t="s">
        <v>2954</v>
      </c>
      <c r="O90" t="s">
        <v>3123</v>
      </c>
    </row>
    <row r="91" spans="1:15" x14ac:dyDescent="0.3">
      <c r="A91" t="s">
        <v>3146</v>
      </c>
      <c r="B91" t="s">
        <v>3147</v>
      </c>
      <c r="D91" t="s">
        <v>2952</v>
      </c>
      <c r="E91" t="s">
        <v>2953</v>
      </c>
      <c r="F91" t="s">
        <v>1227</v>
      </c>
      <c r="G91" t="s">
        <v>2101</v>
      </c>
      <c r="H91">
        <v>4083.34</v>
      </c>
      <c r="I91">
        <v>4287.51</v>
      </c>
      <c r="J91" t="s">
        <v>2944</v>
      </c>
      <c r="K91">
        <v>1</v>
      </c>
      <c r="L91" t="s">
        <v>2945</v>
      </c>
      <c r="M91" s="19">
        <v>46262</v>
      </c>
      <c r="N91" t="s">
        <v>2954</v>
      </c>
      <c r="O91" t="s">
        <v>3148</v>
      </c>
    </row>
    <row r="92" spans="1:15" x14ac:dyDescent="0.3">
      <c r="A92" t="s">
        <v>3149</v>
      </c>
      <c r="B92" t="s">
        <v>3150</v>
      </c>
      <c r="D92" t="s">
        <v>2952</v>
      </c>
      <c r="E92" t="s">
        <v>2953</v>
      </c>
      <c r="F92" t="s">
        <v>1227</v>
      </c>
      <c r="G92" t="s">
        <v>2101</v>
      </c>
      <c r="H92">
        <v>3758.01</v>
      </c>
      <c r="I92">
        <v>3945.91</v>
      </c>
      <c r="J92" t="s">
        <v>2944</v>
      </c>
      <c r="K92">
        <v>1</v>
      </c>
      <c r="L92" t="s">
        <v>2945</v>
      </c>
      <c r="M92" s="19">
        <v>46262</v>
      </c>
      <c r="N92" t="s">
        <v>2954</v>
      </c>
      <c r="O92" t="s">
        <v>3148</v>
      </c>
    </row>
    <row r="93" spans="1:15" x14ac:dyDescent="0.3">
      <c r="A93" t="s">
        <v>3151</v>
      </c>
      <c r="B93" t="s">
        <v>3152</v>
      </c>
      <c r="D93" t="s">
        <v>2952</v>
      </c>
      <c r="E93" t="s">
        <v>2953</v>
      </c>
      <c r="F93" t="s">
        <v>1227</v>
      </c>
      <c r="G93" t="s">
        <v>2101</v>
      </c>
      <c r="H93">
        <v>726.71</v>
      </c>
      <c r="I93">
        <v>763.05</v>
      </c>
      <c r="J93" t="s">
        <v>2944</v>
      </c>
      <c r="K93">
        <v>1</v>
      </c>
      <c r="L93" t="s">
        <v>2945</v>
      </c>
      <c r="M93" s="19">
        <v>46262</v>
      </c>
      <c r="N93" t="s">
        <v>2954</v>
      </c>
      <c r="O93" t="s">
        <v>3153</v>
      </c>
    </row>
    <row r="94" spans="1:15" x14ac:dyDescent="0.3">
      <c r="A94" t="s">
        <v>3154</v>
      </c>
      <c r="B94" t="s">
        <v>3155</v>
      </c>
      <c r="D94" t="s">
        <v>2952</v>
      </c>
      <c r="E94" t="s">
        <v>2953</v>
      </c>
      <c r="F94" t="s">
        <v>1227</v>
      </c>
      <c r="G94" t="s">
        <v>2101</v>
      </c>
      <c r="H94">
        <v>805.2</v>
      </c>
      <c r="I94">
        <v>845.46</v>
      </c>
      <c r="J94" t="s">
        <v>2944</v>
      </c>
      <c r="K94">
        <v>1</v>
      </c>
      <c r="L94" t="s">
        <v>2945</v>
      </c>
      <c r="M94" s="19">
        <v>46262</v>
      </c>
      <c r="N94" t="s">
        <v>2954</v>
      </c>
      <c r="O94" t="s">
        <v>3153</v>
      </c>
    </row>
    <row r="95" spans="1:15" x14ac:dyDescent="0.3">
      <c r="A95" t="s">
        <v>3156</v>
      </c>
      <c r="B95" t="s">
        <v>3157</v>
      </c>
      <c r="D95" t="s">
        <v>2952</v>
      </c>
      <c r="E95" t="s">
        <v>2953</v>
      </c>
      <c r="F95" t="s">
        <v>1227</v>
      </c>
      <c r="G95" t="s">
        <v>2101</v>
      </c>
      <c r="H95">
        <v>606.75</v>
      </c>
      <c r="I95">
        <v>637.08000000000004</v>
      </c>
      <c r="J95" t="s">
        <v>2944</v>
      </c>
      <c r="K95">
        <v>1</v>
      </c>
      <c r="L95" t="s">
        <v>2945</v>
      </c>
      <c r="M95" s="19">
        <v>46262</v>
      </c>
      <c r="N95" t="s">
        <v>2954</v>
      </c>
      <c r="O95" t="s">
        <v>3153</v>
      </c>
    </row>
    <row r="96" spans="1:15" x14ac:dyDescent="0.3">
      <c r="A96" t="s">
        <v>3158</v>
      </c>
      <c r="B96" t="s">
        <v>3159</v>
      </c>
      <c r="D96" t="s">
        <v>2952</v>
      </c>
      <c r="E96" t="s">
        <v>2953</v>
      </c>
      <c r="F96" t="s">
        <v>1227</v>
      </c>
      <c r="G96" t="s">
        <v>2101</v>
      </c>
      <c r="H96">
        <v>670.19</v>
      </c>
      <c r="I96">
        <v>703.7</v>
      </c>
      <c r="J96" t="s">
        <v>2944</v>
      </c>
      <c r="K96">
        <v>1</v>
      </c>
      <c r="L96" t="s">
        <v>2945</v>
      </c>
      <c r="M96" s="19">
        <v>46262</v>
      </c>
      <c r="N96" t="s">
        <v>2954</v>
      </c>
      <c r="O96" t="s">
        <v>3153</v>
      </c>
    </row>
    <row r="97" spans="1:15" x14ac:dyDescent="0.3">
      <c r="A97" t="s">
        <v>3160</v>
      </c>
      <c r="B97" t="s">
        <v>3161</v>
      </c>
      <c r="D97" t="s">
        <v>2952</v>
      </c>
      <c r="E97" t="s">
        <v>2953</v>
      </c>
      <c r="F97" t="s">
        <v>1227</v>
      </c>
      <c r="G97" t="s">
        <v>2101</v>
      </c>
      <c r="H97">
        <v>812.11</v>
      </c>
      <c r="I97">
        <v>852.72</v>
      </c>
      <c r="J97" t="s">
        <v>2944</v>
      </c>
      <c r="K97">
        <v>1</v>
      </c>
      <c r="L97" t="s">
        <v>2945</v>
      </c>
      <c r="M97" s="19">
        <v>46262</v>
      </c>
      <c r="N97" t="s">
        <v>2954</v>
      </c>
      <c r="O97" t="s">
        <v>3153</v>
      </c>
    </row>
    <row r="98" spans="1:15" x14ac:dyDescent="0.3">
      <c r="A98" t="s">
        <v>3162</v>
      </c>
      <c r="B98" t="s">
        <v>3163</v>
      </c>
      <c r="D98" t="s">
        <v>2952</v>
      </c>
      <c r="E98" t="s">
        <v>2953</v>
      </c>
      <c r="F98" t="s">
        <v>1227</v>
      </c>
      <c r="G98" t="s">
        <v>2101</v>
      </c>
      <c r="H98">
        <v>679.95</v>
      </c>
      <c r="I98">
        <v>713.94</v>
      </c>
      <c r="J98" t="s">
        <v>2944</v>
      </c>
      <c r="K98">
        <v>1</v>
      </c>
      <c r="L98" t="s">
        <v>2945</v>
      </c>
      <c r="M98" s="19">
        <v>46262</v>
      </c>
      <c r="N98" t="s">
        <v>2954</v>
      </c>
      <c r="O98" t="s">
        <v>3153</v>
      </c>
    </row>
    <row r="99" spans="1:15" x14ac:dyDescent="0.3">
      <c r="A99" t="s">
        <v>3164</v>
      </c>
      <c r="B99" t="s">
        <v>3165</v>
      </c>
      <c r="D99" t="s">
        <v>2952</v>
      </c>
      <c r="E99" t="s">
        <v>2953</v>
      </c>
      <c r="F99" t="s">
        <v>1227</v>
      </c>
      <c r="G99" t="s">
        <v>2101</v>
      </c>
      <c r="H99">
        <v>653.91999999999996</v>
      </c>
      <c r="I99">
        <v>686.62</v>
      </c>
      <c r="J99" t="s">
        <v>2944</v>
      </c>
      <c r="K99">
        <v>1</v>
      </c>
      <c r="L99" t="s">
        <v>2945</v>
      </c>
      <c r="M99" s="19">
        <v>46262</v>
      </c>
      <c r="N99" t="s">
        <v>2954</v>
      </c>
      <c r="O99" t="s">
        <v>3153</v>
      </c>
    </row>
    <row r="100" spans="1:15" x14ac:dyDescent="0.3">
      <c r="A100" t="s">
        <v>3166</v>
      </c>
      <c r="B100" t="s">
        <v>3167</v>
      </c>
      <c r="D100" t="s">
        <v>2952</v>
      </c>
      <c r="E100" t="s">
        <v>2953</v>
      </c>
      <c r="F100" t="s">
        <v>1227</v>
      </c>
      <c r="G100" t="s">
        <v>2101</v>
      </c>
      <c r="H100">
        <v>802.35</v>
      </c>
      <c r="I100">
        <v>842.47</v>
      </c>
      <c r="J100" t="s">
        <v>2944</v>
      </c>
      <c r="K100">
        <v>1</v>
      </c>
      <c r="L100" t="s">
        <v>2945</v>
      </c>
      <c r="M100" s="19">
        <v>46262</v>
      </c>
      <c r="N100" t="s">
        <v>2954</v>
      </c>
      <c r="O100" t="s">
        <v>3153</v>
      </c>
    </row>
    <row r="101" spans="1:15" x14ac:dyDescent="0.3">
      <c r="A101" t="s">
        <v>3168</v>
      </c>
      <c r="B101" t="s">
        <v>3169</v>
      </c>
      <c r="D101" t="s">
        <v>2952</v>
      </c>
      <c r="E101" t="s">
        <v>2953</v>
      </c>
      <c r="F101" t="s">
        <v>1227</v>
      </c>
      <c r="G101" t="s">
        <v>2101</v>
      </c>
      <c r="H101">
        <v>851.97</v>
      </c>
      <c r="I101">
        <v>894.57</v>
      </c>
      <c r="J101" t="s">
        <v>2944</v>
      </c>
      <c r="K101">
        <v>1</v>
      </c>
      <c r="L101" t="s">
        <v>2945</v>
      </c>
      <c r="M101" s="19">
        <v>46262</v>
      </c>
      <c r="N101" t="s">
        <v>2954</v>
      </c>
      <c r="O101" t="s">
        <v>3153</v>
      </c>
    </row>
    <row r="102" spans="1:15" x14ac:dyDescent="0.3">
      <c r="A102" t="s">
        <v>3170</v>
      </c>
      <c r="B102" t="s">
        <v>3171</v>
      </c>
      <c r="D102" t="s">
        <v>2952</v>
      </c>
      <c r="E102" t="s">
        <v>2953</v>
      </c>
      <c r="F102" t="s">
        <v>1227</v>
      </c>
      <c r="G102" t="s">
        <v>2101</v>
      </c>
      <c r="H102">
        <v>910.53</v>
      </c>
      <c r="I102">
        <v>956.05</v>
      </c>
      <c r="J102" t="s">
        <v>2944</v>
      </c>
      <c r="K102">
        <v>1</v>
      </c>
      <c r="L102" t="s">
        <v>2945</v>
      </c>
      <c r="M102" s="19">
        <v>46262</v>
      </c>
      <c r="N102" t="s">
        <v>2954</v>
      </c>
      <c r="O102" t="s">
        <v>3153</v>
      </c>
    </row>
    <row r="103" spans="1:15" x14ac:dyDescent="0.3">
      <c r="A103" t="s">
        <v>3172</v>
      </c>
      <c r="B103" t="s">
        <v>3173</v>
      </c>
      <c r="D103" t="s">
        <v>2952</v>
      </c>
      <c r="E103" t="s">
        <v>2953</v>
      </c>
      <c r="F103" t="s">
        <v>1227</v>
      </c>
      <c r="G103" t="s">
        <v>2101</v>
      </c>
      <c r="H103">
        <v>912.15</v>
      </c>
      <c r="I103">
        <v>957.76</v>
      </c>
      <c r="J103" t="s">
        <v>2944</v>
      </c>
      <c r="K103">
        <v>1</v>
      </c>
      <c r="L103" t="s">
        <v>2945</v>
      </c>
      <c r="M103" s="19">
        <v>46262</v>
      </c>
      <c r="N103" t="s">
        <v>2954</v>
      </c>
      <c r="O103" t="s">
        <v>3153</v>
      </c>
    </row>
    <row r="104" spans="1:15" x14ac:dyDescent="0.3">
      <c r="A104" t="s">
        <v>3174</v>
      </c>
      <c r="B104" t="s">
        <v>3175</v>
      </c>
      <c r="D104" t="s">
        <v>2952</v>
      </c>
      <c r="E104" t="s">
        <v>2953</v>
      </c>
      <c r="F104" t="s">
        <v>1227</v>
      </c>
      <c r="G104" t="s">
        <v>2101</v>
      </c>
      <c r="H104">
        <v>558.35</v>
      </c>
      <c r="I104">
        <v>586.27</v>
      </c>
      <c r="J104" t="s">
        <v>2944</v>
      </c>
      <c r="K104">
        <v>1</v>
      </c>
      <c r="L104" t="s">
        <v>2945</v>
      </c>
      <c r="M104" s="19">
        <v>46262</v>
      </c>
      <c r="N104" t="s">
        <v>2954</v>
      </c>
      <c r="O104" t="s">
        <v>3153</v>
      </c>
    </row>
    <row r="105" spans="1:15" x14ac:dyDescent="0.3">
      <c r="A105" t="s">
        <v>3176</v>
      </c>
      <c r="B105" t="s">
        <v>3177</v>
      </c>
      <c r="D105" t="s">
        <v>2952</v>
      </c>
      <c r="E105" t="s">
        <v>2953</v>
      </c>
      <c r="F105" t="s">
        <v>1227</v>
      </c>
      <c r="G105" t="s">
        <v>2101</v>
      </c>
      <c r="H105">
        <v>706.79</v>
      </c>
      <c r="I105">
        <v>742.13</v>
      </c>
      <c r="J105" t="s">
        <v>2944</v>
      </c>
      <c r="K105">
        <v>1</v>
      </c>
      <c r="L105" t="s">
        <v>2945</v>
      </c>
      <c r="M105" s="19">
        <v>46262</v>
      </c>
      <c r="N105" t="s">
        <v>2954</v>
      </c>
      <c r="O105" t="s">
        <v>3153</v>
      </c>
    </row>
    <row r="106" spans="1:15" x14ac:dyDescent="0.3">
      <c r="A106" t="s">
        <v>3178</v>
      </c>
      <c r="B106" t="s">
        <v>3179</v>
      </c>
      <c r="D106" t="s">
        <v>2952</v>
      </c>
      <c r="E106" t="s">
        <v>2953</v>
      </c>
      <c r="F106" t="s">
        <v>1227</v>
      </c>
      <c r="G106" t="s">
        <v>2101</v>
      </c>
      <c r="H106">
        <v>630.33000000000004</v>
      </c>
      <c r="I106">
        <v>661.85</v>
      </c>
      <c r="J106" t="s">
        <v>2944</v>
      </c>
      <c r="K106">
        <v>1</v>
      </c>
      <c r="L106" t="s">
        <v>2945</v>
      </c>
      <c r="M106" s="19">
        <v>46262</v>
      </c>
      <c r="N106" t="s">
        <v>2954</v>
      </c>
      <c r="O106" t="s">
        <v>3180</v>
      </c>
    </row>
    <row r="107" spans="1:15" x14ac:dyDescent="0.3">
      <c r="A107" t="s">
        <v>3181</v>
      </c>
      <c r="B107" t="s">
        <v>3182</v>
      </c>
      <c r="D107" t="s">
        <v>2952</v>
      </c>
      <c r="E107" t="s">
        <v>2953</v>
      </c>
      <c r="F107" t="s">
        <v>1227</v>
      </c>
      <c r="G107" t="s">
        <v>2101</v>
      </c>
      <c r="H107">
        <v>746.64</v>
      </c>
      <c r="I107">
        <v>783.97</v>
      </c>
      <c r="J107" t="s">
        <v>2944</v>
      </c>
      <c r="K107">
        <v>1</v>
      </c>
      <c r="L107" t="s">
        <v>2945</v>
      </c>
      <c r="M107" s="19">
        <v>46262</v>
      </c>
      <c r="N107" t="s">
        <v>2954</v>
      </c>
      <c r="O107" t="s">
        <v>3183</v>
      </c>
    </row>
    <row r="108" spans="1:15" x14ac:dyDescent="0.3">
      <c r="A108" t="s">
        <v>3184</v>
      </c>
      <c r="B108" t="s">
        <v>3185</v>
      </c>
      <c r="D108" t="s">
        <v>2952</v>
      </c>
      <c r="E108" t="s">
        <v>2953</v>
      </c>
      <c r="F108" t="s">
        <v>1227</v>
      </c>
      <c r="G108" t="s">
        <v>2101</v>
      </c>
      <c r="H108">
        <v>836.11</v>
      </c>
      <c r="I108">
        <v>877.91</v>
      </c>
      <c r="J108" t="s">
        <v>2944</v>
      </c>
      <c r="K108">
        <v>1</v>
      </c>
      <c r="L108" t="s">
        <v>2945</v>
      </c>
      <c r="M108" s="19">
        <v>46262</v>
      </c>
      <c r="N108" t="s">
        <v>2954</v>
      </c>
      <c r="O108" t="s">
        <v>3183</v>
      </c>
    </row>
    <row r="109" spans="1:15" x14ac:dyDescent="0.3">
      <c r="A109" t="s">
        <v>3186</v>
      </c>
      <c r="B109" t="s">
        <v>3187</v>
      </c>
      <c r="D109" t="s">
        <v>2952</v>
      </c>
      <c r="E109" t="s">
        <v>2953</v>
      </c>
      <c r="F109" t="s">
        <v>1227</v>
      </c>
      <c r="G109" t="s">
        <v>2101</v>
      </c>
      <c r="H109">
        <v>854.41</v>
      </c>
      <c r="I109">
        <v>897.13</v>
      </c>
      <c r="J109" t="s">
        <v>2944</v>
      </c>
      <c r="K109">
        <v>1</v>
      </c>
      <c r="L109" t="s">
        <v>2945</v>
      </c>
      <c r="M109" s="19">
        <v>46262</v>
      </c>
      <c r="N109" t="s">
        <v>2954</v>
      </c>
      <c r="O109" t="s">
        <v>3183</v>
      </c>
    </row>
    <row r="110" spans="1:15" x14ac:dyDescent="0.3">
      <c r="A110" t="s">
        <v>3188</v>
      </c>
      <c r="B110" t="s">
        <v>3189</v>
      </c>
      <c r="D110" t="s">
        <v>2952</v>
      </c>
      <c r="E110" t="s">
        <v>2953</v>
      </c>
      <c r="F110" t="s">
        <v>1227</v>
      </c>
      <c r="G110" t="s">
        <v>2101</v>
      </c>
      <c r="H110">
        <v>861.73</v>
      </c>
      <c r="I110">
        <v>904.81</v>
      </c>
      <c r="J110" t="s">
        <v>2944</v>
      </c>
      <c r="K110">
        <v>1</v>
      </c>
      <c r="L110" t="s">
        <v>2945</v>
      </c>
      <c r="M110" s="19">
        <v>46262</v>
      </c>
      <c r="N110" t="s">
        <v>2954</v>
      </c>
      <c r="O110" t="s">
        <v>3183</v>
      </c>
    </row>
    <row r="111" spans="1:15" x14ac:dyDescent="0.3">
      <c r="A111" t="s">
        <v>3190</v>
      </c>
      <c r="B111" t="s">
        <v>3191</v>
      </c>
      <c r="D111" t="s">
        <v>2952</v>
      </c>
      <c r="E111" t="s">
        <v>2953</v>
      </c>
      <c r="F111" t="s">
        <v>1227</v>
      </c>
      <c r="G111" t="s">
        <v>2101</v>
      </c>
      <c r="H111">
        <v>723.46</v>
      </c>
      <c r="I111">
        <v>759.63</v>
      </c>
      <c r="J111" t="s">
        <v>2944</v>
      </c>
      <c r="K111">
        <v>1</v>
      </c>
      <c r="L111" t="s">
        <v>2945</v>
      </c>
      <c r="M111" s="19">
        <v>46262</v>
      </c>
      <c r="N111" t="s">
        <v>2954</v>
      </c>
      <c r="O111" t="s">
        <v>3183</v>
      </c>
    </row>
    <row r="112" spans="1:15" x14ac:dyDescent="0.3">
      <c r="A112" t="s">
        <v>3192</v>
      </c>
      <c r="B112" t="s">
        <v>3193</v>
      </c>
      <c r="D112" t="s">
        <v>2952</v>
      </c>
      <c r="E112" t="s">
        <v>2953</v>
      </c>
      <c r="F112" t="s">
        <v>1227</v>
      </c>
      <c r="G112" t="s">
        <v>2101</v>
      </c>
      <c r="H112">
        <v>695.81</v>
      </c>
      <c r="I112">
        <v>730.6</v>
      </c>
      <c r="J112" t="s">
        <v>2944</v>
      </c>
      <c r="K112">
        <v>1</v>
      </c>
      <c r="L112" t="s">
        <v>2945</v>
      </c>
      <c r="M112" s="19">
        <v>46262</v>
      </c>
      <c r="N112" t="s">
        <v>2954</v>
      </c>
      <c r="O112" t="s">
        <v>3183</v>
      </c>
    </row>
    <row r="113" spans="1:15" x14ac:dyDescent="0.3">
      <c r="A113" t="s">
        <v>3194</v>
      </c>
      <c r="B113" t="s">
        <v>3195</v>
      </c>
      <c r="D113" t="s">
        <v>2952</v>
      </c>
      <c r="E113" t="s">
        <v>2953</v>
      </c>
      <c r="F113" t="s">
        <v>1227</v>
      </c>
      <c r="G113" t="s">
        <v>2101</v>
      </c>
      <c r="H113">
        <v>867.01</v>
      </c>
      <c r="I113">
        <v>910.36</v>
      </c>
      <c r="J113" t="s">
        <v>2944</v>
      </c>
      <c r="K113">
        <v>1</v>
      </c>
      <c r="L113" t="s">
        <v>2945</v>
      </c>
      <c r="M113" s="19">
        <v>46262</v>
      </c>
      <c r="N113" t="s">
        <v>2954</v>
      </c>
      <c r="O113" t="s">
        <v>3183</v>
      </c>
    </row>
    <row r="114" spans="1:15" x14ac:dyDescent="0.3">
      <c r="A114" t="s">
        <v>3196</v>
      </c>
      <c r="B114" t="s">
        <v>3197</v>
      </c>
      <c r="D114" t="s">
        <v>2952</v>
      </c>
      <c r="E114" t="s">
        <v>2953</v>
      </c>
      <c r="F114" t="s">
        <v>1227</v>
      </c>
      <c r="G114" t="s">
        <v>2101</v>
      </c>
      <c r="H114">
        <v>875.55</v>
      </c>
      <c r="I114">
        <v>919.33</v>
      </c>
      <c r="J114" t="s">
        <v>2944</v>
      </c>
      <c r="K114">
        <v>1</v>
      </c>
      <c r="L114" t="s">
        <v>2945</v>
      </c>
      <c r="M114" s="19">
        <v>46262</v>
      </c>
      <c r="N114" t="s">
        <v>2954</v>
      </c>
      <c r="O114" t="s">
        <v>3183</v>
      </c>
    </row>
    <row r="115" spans="1:15" x14ac:dyDescent="0.3">
      <c r="A115" t="s">
        <v>3198</v>
      </c>
      <c r="B115" t="s">
        <v>3199</v>
      </c>
      <c r="D115" t="s">
        <v>2952</v>
      </c>
      <c r="E115" t="s">
        <v>2953</v>
      </c>
      <c r="F115" t="s">
        <v>1227</v>
      </c>
      <c r="G115" t="s">
        <v>2101</v>
      </c>
      <c r="H115">
        <v>940.62</v>
      </c>
      <c r="I115">
        <v>987.65</v>
      </c>
      <c r="J115" t="s">
        <v>2944</v>
      </c>
      <c r="K115">
        <v>1</v>
      </c>
      <c r="L115" t="s">
        <v>2945</v>
      </c>
      <c r="M115" s="19">
        <v>46262</v>
      </c>
      <c r="N115" t="s">
        <v>2954</v>
      </c>
      <c r="O115" t="s">
        <v>3183</v>
      </c>
    </row>
    <row r="116" spans="1:15" x14ac:dyDescent="0.3">
      <c r="A116" t="s">
        <v>3200</v>
      </c>
      <c r="B116" t="s">
        <v>3201</v>
      </c>
      <c r="D116" t="s">
        <v>2952</v>
      </c>
      <c r="E116" t="s">
        <v>2953</v>
      </c>
      <c r="F116" t="s">
        <v>1227</v>
      </c>
      <c r="G116" t="s">
        <v>2101</v>
      </c>
      <c r="H116">
        <v>940.62</v>
      </c>
      <c r="I116">
        <v>987.65</v>
      </c>
      <c r="J116" t="s">
        <v>2944</v>
      </c>
      <c r="K116">
        <v>1</v>
      </c>
      <c r="L116" t="s">
        <v>2945</v>
      </c>
      <c r="M116" s="19">
        <v>46262</v>
      </c>
      <c r="N116" t="s">
        <v>2954</v>
      </c>
      <c r="O116" t="s">
        <v>3183</v>
      </c>
    </row>
    <row r="117" spans="1:15" x14ac:dyDescent="0.3">
      <c r="A117" t="s">
        <v>3202</v>
      </c>
      <c r="B117" t="s">
        <v>3203</v>
      </c>
      <c r="D117" t="s">
        <v>2952</v>
      </c>
      <c r="E117" t="s">
        <v>2953</v>
      </c>
      <c r="F117" t="s">
        <v>1227</v>
      </c>
      <c r="G117" t="s">
        <v>2101</v>
      </c>
      <c r="H117">
        <v>602.67999999999995</v>
      </c>
      <c r="I117">
        <v>632.80999999999995</v>
      </c>
      <c r="J117" t="s">
        <v>2944</v>
      </c>
      <c r="K117">
        <v>1</v>
      </c>
      <c r="L117" t="s">
        <v>2945</v>
      </c>
      <c r="M117" s="19">
        <v>46262</v>
      </c>
      <c r="N117" t="s">
        <v>2954</v>
      </c>
      <c r="O117" t="s">
        <v>3183</v>
      </c>
    </row>
    <row r="118" spans="1:15" x14ac:dyDescent="0.3">
      <c r="A118" t="s">
        <v>3204</v>
      </c>
      <c r="B118" t="s">
        <v>3205</v>
      </c>
      <c r="D118" t="s">
        <v>2952</v>
      </c>
      <c r="E118" t="s">
        <v>2953</v>
      </c>
      <c r="F118" t="s">
        <v>1227</v>
      </c>
      <c r="G118" t="s">
        <v>2101</v>
      </c>
      <c r="H118">
        <v>789.34</v>
      </c>
      <c r="I118">
        <v>828.81</v>
      </c>
      <c r="J118" t="s">
        <v>2944</v>
      </c>
      <c r="K118">
        <v>1</v>
      </c>
      <c r="L118" t="s">
        <v>2945</v>
      </c>
      <c r="M118" s="19">
        <v>46262</v>
      </c>
      <c r="N118" t="s">
        <v>2954</v>
      </c>
      <c r="O118" t="s">
        <v>3183</v>
      </c>
    </row>
    <row r="119" spans="1:15" x14ac:dyDescent="0.3">
      <c r="A119" t="s">
        <v>3206</v>
      </c>
      <c r="B119" t="s">
        <v>3207</v>
      </c>
      <c r="D119" t="s">
        <v>2952</v>
      </c>
      <c r="E119" t="s">
        <v>2953</v>
      </c>
      <c r="F119" t="s">
        <v>1227</v>
      </c>
      <c r="G119" t="s">
        <v>2101</v>
      </c>
      <c r="H119">
        <v>881.25</v>
      </c>
      <c r="I119">
        <v>925.31</v>
      </c>
      <c r="J119" t="s">
        <v>2944</v>
      </c>
      <c r="K119">
        <v>1</v>
      </c>
      <c r="L119" t="s">
        <v>2945</v>
      </c>
      <c r="M119" s="19">
        <v>46262</v>
      </c>
      <c r="N119" t="s">
        <v>2954</v>
      </c>
      <c r="O119" t="s">
        <v>3208</v>
      </c>
    </row>
    <row r="120" spans="1:15" x14ac:dyDescent="0.3">
      <c r="A120" t="s">
        <v>3209</v>
      </c>
      <c r="B120" t="s">
        <v>3210</v>
      </c>
      <c r="D120" t="s">
        <v>2952</v>
      </c>
      <c r="E120" t="s">
        <v>2953</v>
      </c>
      <c r="F120" t="s">
        <v>1227</v>
      </c>
      <c r="G120" t="s">
        <v>2101</v>
      </c>
      <c r="H120">
        <v>973.56</v>
      </c>
      <c r="I120">
        <v>1022.24</v>
      </c>
      <c r="J120" t="s">
        <v>2944</v>
      </c>
      <c r="K120">
        <v>1</v>
      </c>
      <c r="L120" t="s">
        <v>2945</v>
      </c>
      <c r="M120" s="19">
        <v>46262</v>
      </c>
      <c r="N120" t="s">
        <v>2954</v>
      </c>
      <c r="O120" t="s">
        <v>3208</v>
      </c>
    </row>
    <row r="121" spans="1:15" x14ac:dyDescent="0.3">
      <c r="A121" t="s">
        <v>3211</v>
      </c>
      <c r="B121" t="s">
        <v>3212</v>
      </c>
      <c r="D121" t="s">
        <v>2952</v>
      </c>
      <c r="E121" t="s">
        <v>2953</v>
      </c>
      <c r="F121" t="s">
        <v>1227</v>
      </c>
      <c r="G121" t="s">
        <v>2101</v>
      </c>
      <c r="H121">
        <v>724.68</v>
      </c>
      <c r="I121">
        <v>760.91</v>
      </c>
      <c r="J121" t="s">
        <v>2944</v>
      </c>
      <c r="K121">
        <v>1</v>
      </c>
      <c r="L121" t="s">
        <v>2945</v>
      </c>
      <c r="M121" s="19">
        <v>46262</v>
      </c>
      <c r="N121" t="s">
        <v>2954</v>
      </c>
      <c r="O121" t="s">
        <v>3208</v>
      </c>
    </row>
    <row r="122" spans="1:15" x14ac:dyDescent="0.3">
      <c r="A122" t="s">
        <v>3213</v>
      </c>
      <c r="B122" t="s">
        <v>3214</v>
      </c>
      <c r="D122" t="s">
        <v>2952</v>
      </c>
      <c r="E122" t="s">
        <v>2953</v>
      </c>
      <c r="F122" t="s">
        <v>1227</v>
      </c>
      <c r="G122" t="s">
        <v>2101</v>
      </c>
      <c r="H122">
        <v>645.79</v>
      </c>
      <c r="I122">
        <v>678.08</v>
      </c>
      <c r="J122" t="s">
        <v>2944</v>
      </c>
      <c r="K122">
        <v>1</v>
      </c>
      <c r="L122" t="s">
        <v>2945</v>
      </c>
      <c r="M122" s="19">
        <v>46262</v>
      </c>
      <c r="N122" t="s">
        <v>2954</v>
      </c>
      <c r="O122" t="s">
        <v>3208</v>
      </c>
    </row>
    <row r="123" spans="1:15" x14ac:dyDescent="0.3">
      <c r="A123" t="s">
        <v>3215</v>
      </c>
      <c r="B123" t="s">
        <v>3216</v>
      </c>
      <c r="D123" t="s">
        <v>2952</v>
      </c>
      <c r="E123" t="s">
        <v>2953</v>
      </c>
      <c r="F123" t="s">
        <v>1227</v>
      </c>
      <c r="G123" t="s">
        <v>2101</v>
      </c>
      <c r="H123">
        <v>919.07</v>
      </c>
      <c r="I123">
        <v>965.02</v>
      </c>
      <c r="J123" t="s">
        <v>2944</v>
      </c>
      <c r="K123">
        <v>1</v>
      </c>
      <c r="L123" t="s">
        <v>2945</v>
      </c>
      <c r="M123" s="19">
        <v>46262</v>
      </c>
      <c r="N123" t="s">
        <v>2954</v>
      </c>
      <c r="O123" t="s">
        <v>3208</v>
      </c>
    </row>
    <row r="124" spans="1:15" x14ac:dyDescent="0.3">
      <c r="A124" t="s">
        <v>3217</v>
      </c>
      <c r="B124" t="s">
        <v>3218</v>
      </c>
      <c r="D124" t="s">
        <v>2952</v>
      </c>
      <c r="E124" t="s">
        <v>2953</v>
      </c>
      <c r="F124" t="s">
        <v>1227</v>
      </c>
      <c r="G124" t="s">
        <v>2101</v>
      </c>
      <c r="H124">
        <v>940.62</v>
      </c>
      <c r="I124">
        <v>987.65</v>
      </c>
      <c r="J124" t="s">
        <v>2944</v>
      </c>
      <c r="K124">
        <v>1</v>
      </c>
      <c r="L124" t="s">
        <v>2945</v>
      </c>
      <c r="M124" s="19">
        <v>46262</v>
      </c>
      <c r="N124" t="s">
        <v>2954</v>
      </c>
      <c r="O124" t="s">
        <v>3208</v>
      </c>
    </row>
    <row r="125" spans="1:15" x14ac:dyDescent="0.3">
      <c r="A125" t="s">
        <v>3219</v>
      </c>
      <c r="B125" t="s">
        <v>3220</v>
      </c>
      <c r="D125" t="s">
        <v>2952</v>
      </c>
      <c r="E125" t="s">
        <v>2953</v>
      </c>
      <c r="F125" t="s">
        <v>1227</v>
      </c>
      <c r="G125" t="s">
        <v>2101</v>
      </c>
      <c r="H125">
        <v>1005.69</v>
      </c>
      <c r="I125">
        <v>1055.97</v>
      </c>
      <c r="J125" t="s">
        <v>2944</v>
      </c>
      <c r="K125">
        <v>1</v>
      </c>
      <c r="L125" t="s">
        <v>2945</v>
      </c>
      <c r="M125" s="19">
        <v>46262</v>
      </c>
      <c r="N125" t="s">
        <v>2954</v>
      </c>
      <c r="O125" t="s">
        <v>3208</v>
      </c>
    </row>
    <row r="126" spans="1:15" x14ac:dyDescent="0.3">
      <c r="A126" t="s">
        <v>3221</v>
      </c>
      <c r="B126" t="s">
        <v>3222</v>
      </c>
      <c r="D126" t="s">
        <v>2952</v>
      </c>
      <c r="E126" t="s">
        <v>2953</v>
      </c>
      <c r="F126" t="s">
        <v>1227</v>
      </c>
      <c r="G126" t="s">
        <v>2101</v>
      </c>
      <c r="H126">
        <v>1007.72</v>
      </c>
      <c r="I126">
        <v>1058.1099999999999</v>
      </c>
      <c r="J126" t="s">
        <v>2944</v>
      </c>
      <c r="K126">
        <v>1</v>
      </c>
      <c r="L126" t="s">
        <v>2945</v>
      </c>
      <c r="M126" s="19">
        <v>46262</v>
      </c>
      <c r="N126" t="s">
        <v>2954</v>
      </c>
      <c r="O126" t="s">
        <v>3208</v>
      </c>
    </row>
    <row r="127" spans="1:15" x14ac:dyDescent="0.3">
      <c r="A127" t="s">
        <v>3223</v>
      </c>
      <c r="B127" t="s">
        <v>3224</v>
      </c>
      <c r="D127" t="s">
        <v>2952</v>
      </c>
      <c r="E127" t="s">
        <v>2953</v>
      </c>
      <c r="F127" t="s">
        <v>1227</v>
      </c>
      <c r="G127" t="s">
        <v>2101</v>
      </c>
      <c r="H127">
        <v>613.66</v>
      </c>
      <c r="I127">
        <v>644.34</v>
      </c>
      <c r="J127" t="s">
        <v>2944</v>
      </c>
      <c r="K127">
        <v>1</v>
      </c>
      <c r="L127" t="s">
        <v>2945</v>
      </c>
      <c r="M127" s="19">
        <v>46262</v>
      </c>
      <c r="N127" t="s">
        <v>2954</v>
      </c>
      <c r="O127" t="s">
        <v>3208</v>
      </c>
    </row>
    <row r="128" spans="1:15" x14ac:dyDescent="0.3">
      <c r="A128" t="s">
        <v>3225</v>
      </c>
      <c r="B128" t="s">
        <v>3226</v>
      </c>
      <c r="D128" t="s">
        <v>2952</v>
      </c>
      <c r="E128" t="s">
        <v>2953</v>
      </c>
      <c r="F128" t="s">
        <v>1227</v>
      </c>
      <c r="G128" t="s">
        <v>2101</v>
      </c>
      <c r="H128">
        <v>803.98</v>
      </c>
      <c r="I128">
        <v>844.18</v>
      </c>
      <c r="J128" t="s">
        <v>2944</v>
      </c>
      <c r="K128">
        <v>1</v>
      </c>
      <c r="L128" t="s">
        <v>2945</v>
      </c>
      <c r="M128" s="19">
        <v>46262</v>
      </c>
      <c r="N128" t="s">
        <v>2954</v>
      </c>
      <c r="O128" t="s">
        <v>3208</v>
      </c>
    </row>
    <row r="129" spans="1:15" x14ac:dyDescent="0.3">
      <c r="A129" t="s">
        <v>3227</v>
      </c>
      <c r="B129" t="s">
        <v>3228</v>
      </c>
      <c r="D129" t="s">
        <v>2952</v>
      </c>
      <c r="E129" t="s">
        <v>2953</v>
      </c>
      <c r="F129" t="s">
        <v>1227</v>
      </c>
      <c r="G129" t="s">
        <v>2101</v>
      </c>
      <c r="H129">
        <v>897.92</v>
      </c>
      <c r="I129">
        <v>942.82</v>
      </c>
      <c r="J129" t="s">
        <v>2944</v>
      </c>
      <c r="K129">
        <v>1</v>
      </c>
      <c r="L129" t="s">
        <v>2945</v>
      </c>
      <c r="M129" s="19">
        <v>46262</v>
      </c>
      <c r="N129" t="s">
        <v>2954</v>
      </c>
      <c r="O129" t="s">
        <v>3229</v>
      </c>
    </row>
    <row r="130" spans="1:15" x14ac:dyDescent="0.3">
      <c r="A130" t="s">
        <v>3230</v>
      </c>
      <c r="B130" t="s">
        <v>3231</v>
      </c>
      <c r="D130" t="s">
        <v>2952</v>
      </c>
      <c r="E130" t="s">
        <v>2953</v>
      </c>
      <c r="F130" t="s">
        <v>1227</v>
      </c>
      <c r="G130" t="s">
        <v>2101</v>
      </c>
      <c r="H130">
        <v>955.67</v>
      </c>
      <c r="I130">
        <v>1003.45</v>
      </c>
      <c r="J130" t="s">
        <v>2944</v>
      </c>
      <c r="K130">
        <v>1</v>
      </c>
      <c r="L130" t="s">
        <v>2945</v>
      </c>
      <c r="M130" s="19">
        <v>46262</v>
      </c>
      <c r="N130" t="s">
        <v>2954</v>
      </c>
      <c r="O130" t="s">
        <v>3229</v>
      </c>
    </row>
    <row r="131" spans="1:15" x14ac:dyDescent="0.3">
      <c r="A131" t="s">
        <v>3232</v>
      </c>
      <c r="B131" t="s">
        <v>3233</v>
      </c>
      <c r="D131" t="s">
        <v>2952</v>
      </c>
      <c r="E131" t="s">
        <v>2953</v>
      </c>
      <c r="F131" t="s">
        <v>1227</v>
      </c>
      <c r="G131" t="s">
        <v>2101</v>
      </c>
      <c r="H131">
        <v>763.72</v>
      </c>
      <c r="I131">
        <v>801.91</v>
      </c>
      <c r="J131" t="s">
        <v>2944</v>
      </c>
      <c r="K131">
        <v>1</v>
      </c>
      <c r="L131" t="s">
        <v>2945</v>
      </c>
      <c r="M131" s="19">
        <v>46262</v>
      </c>
      <c r="N131" t="s">
        <v>2954</v>
      </c>
      <c r="O131" t="s">
        <v>3229</v>
      </c>
    </row>
    <row r="132" spans="1:15" x14ac:dyDescent="0.3">
      <c r="A132" t="s">
        <v>3234</v>
      </c>
      <c r="B132" t="s">
        <v>3235</v>
      </c>
      <c r="D132" t="s">
        <v>2952</v>
      </c>
      <c r="E132" t="s">
        <v>2953</v>
      </c>
      <c r="F132" t="s">
        <v>1227</v>
      </c>
      <c r="G132" t="s">
        <v>2101</v>
      </c>
      <c r="H132">
        <v>696.62</v>
      </c>
      <c r="I132">
        <v>731.45</v>
      </c>
      <c r="J132" t="s">
        <v>2944</v>
      </c>
      <c r="K132">
        <v>1</v>
      </c>
      <c r="L132" t="s">
        <v>2945</v>
      </c>
      <c r="M132" s="19">
        <v>46262</v>
      </c>
      <c r="N132" t="s">
        <v>2954</v>
      </c>
      <c r="O132" t="s">
        <v>3229</v>
      </c>
    </row>
    <row r="133" spans="1:15" x14ac:dyDescent="0.3">
      <c r="A133" t="s">
        <v>3236</v>
      </c>
      <c r="B133" t="s">
        <v>3237</v>
      </c>
      <c r="D133" t="s">
        <v>2952</v>
      </c>
      <c r="E133" t="s">
        <v>2953</v>
      </c>
      <c r="F133" t="s">
        <v>1227</v>
      </c>
      <c r="G133" t="s">
        <v>2101</v>
      </c>
      <c r="H133">
        <v>1003.25</v>
      </c>
      <c r="I133">
        <v>1053.4100000000001</v>
      </c>
      <c r="J133" t="s">
        <v>2944</v>
      </c>
      <c r="K133">
        <v>1</v>
      </c>
      <c r="L133" t="s">
        <v>2945</v>
      </c>
      <c r="M133" s="19">
        <v>46262</v>
      </c>
      <c r="N133" t="s">
        <v>2954</v>
      </c>
      <c r="O133" t="s">
        <v>3229</v>
      </c>
    </row>
    <row r="134" spans="1:15" x14ac:dyDescent="0.3">
      <c r="A134" t="s">
        <v>3238</v>
      </c>
      <c r="B134" t="s">
        <v>3239</v>
      </c>
      <c r="D134" t="s">
        <v>2952</v>
      </c>
      <c r="E134" t="s">
        <v>2953</v>
      </c>
      <c r="F134" t="s">
        <v>1227</v>
      </c>
      <c r="G134" t="s">
        <v>2101</v>
      </c>
      <c r="H134">
        <v>977.22</v>
      </c>
      <c r="I134">
        <v>1026.08</v>
      </c>
      <c r="J134" t="s">
        <v>2944</v>
      </c>
      <c r="K134">
        <v>1</v>
      </c>
      <c r="L134" t="s">
        <v>2945</v>
      </c>
      <c r="M134" s="19">
        <v>46262</v>
      </c>
      <c r="N134" t="s">
        <v>2954</v>
      </c>
      <c r="O134" t="s">
        <v>3229</v>
      </c>
    </row>
    <row r="135" spans="1:15" x14ac:dyDescent="0.3">
      <c r="A135" t="s">
        <v>3240</v>
      </c>
      <c r="B135" t="s">
        <v>3241</v>
      </c>
      <c r="C135" t="s">
        <v>3242</v>
      </c>
      <c r="D135" t="s">
        <v>2942</v>
      </c>
      <c r="E135" t="s">
        <v>2943</v>
      </c>
      <c r="F135" t="s">
        <v>1227</v>
      </c>
      <c r="G135" t="s">
        <v>2101</v>
      </c>
      <c r="H135">
        <v>38</v>
      </c>
      <c r="I135">
        <v>39.9</v>
      </c>
      <c r="J135" t="s">
        <v>2944</v>
      </c>
      <c r="K135">
        <v>1</v>
      </c>
      <c r="L135" t="s">
        <v>2945</v>
      </c>
      <c r="M135" s="19">
        <v>46262</v>
      </c>
      <c r="N135" t="s">
        <v>2946</v>
      </c>
    </row>
    <row r="136" spans="1:15" x14ac:dyDescent="0.3">
      <c r="A136" t="s">
        <v>3243</v>
      </c>
      <c r="B136" t="s">
        <v>3244</v>
      </c>
      <c r="C136" t="s">
        <v>3245</v>
      </c>
      <c r="D136" t="s">
        <v>2942</v>
      </c>
      <c r="E136" t="s">
        <v>2943</v>
      </c>
      <c r="F136" t="s">
        <v>1227</v>
      </c>
      <c r="G136" t="s">
        <v>2101</v>
      </c>
      <c r="H136">
        <v>59</v>
      </c>
      <c r="I136">
        <v>61.95</v>
      </c>
      <c r="J136" t="s">
        <v>2944</v>
      </c>
      <c r="K136">
        <v>1</v>
      </c>
      <c r="L136" t="s">
        <v>2945</v>
      </c>
      <c r="M136" s="19">
        <v>46262</v>
      </c>
      <c r="N136" t="s">
        <v>2946</v>
      </c>
    </row>
    <row r="137" spans="1:15" x14ac:dyDescent="0.3">
      <c r="A137" t="s">
        <v>3246</v>
      </c>
      <c r="B137" t="s">
        <v>3247</v>
      </c>
      <c r="C137" t="s">
        <v>3248</v>
      </c>
      <c r="D137" t="s">
        <v>2942</v>
      </c>
      <c r="E137" t="s">
        <v>2943</v>
      </c>
      <c r="F137" t="s">
        <v>1227</v>
      </c>
      <c r="G137" t="s">
        <v>2101</v>
      </c>
      <c r="H137">
        <v>84</v>
      </c>
      <c r="I137">
        <v>88.2</v>
      </c>
      <c r="J137" t="s">
        <v>2944</v>
      </c>
      <c r="K137">
        <v>1</v>
      </c>
      <c r="L137" t="s">
        <v>2945</v>
      </c>
      <c r="M137" s="19">
        <v>46262</v>
      </c>
      <c r="N137" t="s">
        <v>2946</v>
      </c>
    </row>
    <row r="138" spans="1:15" x14ac:dyDescent="0.3">
      <c r="A138" t="s">
        <v>3249</v>
      </c>
      <c r="B138" t="s">
        <v>3250</v>
      </c>
      <c r="C138" t="s">
        <v>3251</v>
      </c>
      <c r="D138" t="s">
        <v>2942</v>
      </c>
      <c r="E138" t="s">
        <v>2943</v>
      </c>
      <c r="F138" t="s">
        <v>1227</v>
      </c>
      <c r="G138" t="s">
        <v>2101</v>
      </c>
      <c r="H138">
        <v>49</v>
      </c>
      <c r="I138">
        <v>51.45</v>
      </c>
      <c r="J138" t="s">
        <v>2944</v>
      </c>
      <c r="K138">
        <v>1</v>
      </c>
      <c r="L138" t="s">
        <v>2945</v>
      </c>
      <c r="M138" s="19">
        <v>46262</v>
      </c>
      <c r="N138" t="s">
        <v>2946</v>
      </c>
    </row>
    <row r="139" spans="1:15" x14ac:dyDescent="0.3">
      <c r="A139" t="s">
        <v>3252</v>
      </c>
      <c r="B139" t="s">
        <v>3253</v>
      </c>
      <c r="C139" t="s">
        <v>3254</v>
      </c>
      <c r="D139" t="s">
        <v>2942</v>
      </c>
      <c r="E139" t="s">
        <v>2943</v>
      </c>
      <c r="F139" t="s">
        <v>1227</v>
      </c>
      <c r="G139" t="s">
        <v>2101</v>
      </c>
      <c r="H139">
        <v>69</v>
      </c>
      <c r="I139">
        <v>72.45</v>
      </c>
      <c r="J139" t="s">
        <v>2944</v>
      </c>
      <c r="K139">
        <v>1</v>
      </c>
      <c r="L139" t="s">
        <v>2945</v>
      </c>
      <c r="M139" s="19">
        <v>46262</v>
      </c>
      <c r="N139" t="s">
        <v>2946</v>
      </c>
    </row>
    <row r="140" spans="1:15" x14ac:dyDescent="0.3">
      <c r="A140" t="s">
        <v>3255</v>
      </c>
      <c r="B140" t="s">
        <v>3256</v>
      </c>
      <c r="C140" t="s">
        <v>3257</v>
      </c>
      <c r="D140" t="s">
        <v>2942</v>
      </c>
      <c r="E140" t="s">
        <v>2943</v>
      </c>
      <c r="F140" t="s">
        <v>1227</v>
      </c>
      <c r="G140" t="s">
        <v>2101</v>
      </c>
      <c r="H140">
        <v>26</v>
      </c>
      <c r="I140">
        <v>27.3</v>
      </c>
      <c r="J140" t="s">
        <v>2944</v>
      </c>
      <c r="K140">
        <v>1</v>
      </c>
      <c r="L140" t="s">
        <v>2945</v>
      </c>
      <c r="M140" s="19">
        <v>46262</v>
      </c>
      <c r="N140" t="s">
        <v>2946</v>
      </c>
    </row>
    <row r="141" spans="1:15" x14ac:dyDescent="0.3">
      <c r="A141" t="s">
        <v>3258</v>
      </c>
      <c r="B141" t="s">
        <v>3259</v>
      </c>
      <c r="C141" t="s">
        <v>3260</v>
      </c>
      <c r="D141" t="s">
        <v>2942</v>
      </c>
      <c r="E141" t="s">
        <v>2943</v>
      </c>
      <c r="F141" t="s">
        <v>1227</v>
      </c>
      <c r="G141" t="s">
        <v>2101</v>
      </c>
      <c r="H141">
        <v>13</v>
      </c>
      <c r="I141">
        <v>13.65</v>
      </c>
      <c r="J141" t="s">
        <v>2944</v>
      </c>
      <c r="K141">
        <v>1</v>
      </c>
      <c r="L141" t="s">
        <v>2945</v>
      </c>
      <c r="M141" s="19">
        <v>46262</v>
      </c>
      <c r="N141" t="s">
        <v>2946</v>
      </c>
    </row>
    <row r="142" spans="1:15" x14ac:dyDescent="0.3">
      <c r="A142" t="s">
        <v>3261</v>
      </c>
      <c r="B142" t="s">
        <v>3262</v>
      </c>
      <c r="C142" t="s">
        <v>3263</v>
      </c>
      <c r="D142" t="s">
        <v>2942</v>
      </c>
      <c r="E142" t="s">
        <v>2943</v>
      </c>
      <c r="F142" t="s">
        <v>1227</v>
      </c>
      <c r="G142" t="s">
        <v>2101</v>
      </c>
      <c r="H142">
        <v>540</v>
      </c>
      <c r="I142">
        <v>567</v>
      </c>
      <c r="J142" t="s">
        <v>2944</v>
      </c>
      <c r="K142">
        <v>1</v>
      </c>
      <c r="L142" t="s">
        <v>2945</v>
      </c>
      <c r="M142" s="19">
        <v>46262</v>
      </c>
      <c r="N142" t="s">
        <v>2946</v>
      </c>
    </row>
    <row r="143" spans="1:15" x14ac:dyDescent="0.3">
      <c r="A143" t="s">
        <v>3264</v>
      </c>
      <c r="B143" t="s">
        <v>3265</v>
      </c>
      <c r="C143" t="s">
        <v>3266</v>
      </c>
      <c r="D143" t="s">
        <v>2942</v>
      </c>
      <c r="E143" t="s">
        <v>2943</v>
      </c>
      <c r="F143" t="s">
        <v>1227</v>
      </c>
      <c r="G143" t="s">
        <v>2101</v>
      </c>
      <c r="H143">
        <v>713</v>
      </c>
      <c r="I143">
        <v>748.65</v>
      </c>
      <c r="J143" t="s">
        <v>2944</v>
      </c>
      <c r="K143">
        <v>1</v>
      </c>
      <c r="L143" t="s">
        <v>2945</v>
      </c>
      <c r="M143" s="19">
        <v>46262</v>
      </c>
      <c r="N143" t="s">
        <v>2946</v>
      </c>
    </row>
    <row r="144" spans="1:15" x14ac:dyDescent="0.3">
      <c r="A144" t="s">
        <v>3267</v>
      </c>
      <c r="B144" t="s">
        <v>3268</v>
      </c>
      <c r="C144" t="s">
        <v>3269</v>
      </c>
      <c r="D144" t="s">
        <v>2942</v>
      </c>
      <c r="E144" t="s">
        <v>2943</v>
      </c>
      <c r="F144" t="s">
        <v>1227</v>
      </c>
      <c r="G144" t="s">
        <v>2101</v>
      </c>
      <c r="H144">
        <v>324</v>
      </c>
      <c r="I144">
        <v>340.2</v>
      </c>
      <c r="J144" t="s">
        <v>2944</v>
      </c>
      <c r="K144">
        <v>1</v>
      </c>
      <c r="L144" t="s">
        <v>2945</v>
      </c>
      <c r="M144" s="19">
        <v>46262</v>
      </c>
      <c r="N144" t="s">
        <v>2946</v>
      </c>
    </row>
    <row r="145" spans="1:14" x14ac:dyDescent="0.3">
      <c r="A145" t="s">
        <v>3270</v>
      </c>
      <c r="B145" t="s">
        <v>3271</v>
      </c>
      <c r="C145" t="s">
        <v>3272</v>
      </c>
      <c r="D145" t="s">
        <v>2942</v>
      </c>
      <c r="E145" t="s">
        <v>2943</v>
      </c>
      <c r="F145" t="s">
        <v>1227</v>
      </c>
      <c r="G145" t="s">
        <v>2101</v>
      </c>
      <c r="H145">
        <v>421</v>
      </c>
      <c r="I145">
        <v>442.05</v>
      </c>
      <c r="J145" t="s">
        <v>2944</v>
      </c>
      <c r="K145">
        <v>1</v>
      </c>
      <c r="L145" t="s">
        <v>2945</v>
      </c>
      <c r="M145" s="19">
        <v>46262</v>
      </c>
      <c r="N145" t="s">
        <v>2946</v>
      </c>
    </row>
    <row r="146" spans="1:14" x14ac:dyDescent="0.3">
      <c r="A146" t="s">
        <v>3273</v>
      </c>
      <c r="B146" t="s">
        <v>3274</v>
      </c>
      <c r="C146" t="s">
        <v>3275</v>
      </c>
      <c r="D146" t="s">
        <v>2942</v>
      </c>
      <c r="E146" t="s">
        <v>2943</v>
      </c>
      <c r="F146" t="s">
        <v>1227</v>
      </c>
      <c r="G146" t="s">
        <v>2101</v>
      </c>
      <c r="H146">
        <v>562</v>
      </c>
      <c r="I146">
        <v>590.1</v>
      </c>
      <c r="J146" t="s">
        <v>2944</v>
      </c>
      <c r="K146">
        <v>1</v>
      </c>
      <c r="L146" t="s">
        <v>2945</v>
      </c>
      <c r="M146" s="19">
        <v>46262</v>
      </c>
      <c r="N146" t="s">
        <v>2946</v>
      </c>
    </row>
    <row r="147" spans="1:14" x14ac:dyDescent="0.3">
      <c r="A147" t="s">
        <v>3276</v>
      </c>
      <c r="B147" t="s">
        <v>3277</v>
      </c>
      <c r="C147" t="s">
        <v>3278</v>
      </c>
      <c r="D147" t="s">
        <v>2942</v>
      </c>
      <c r="E147" t="s">
        <v>2943</v>
      </c>
      <c r="F147" t="s">
        <v>1227</v>
      </c>
      <c r="G147" t="s">
        <v>2101</v>
      </c>
      <c r="H147">
        <v>754</v>
      </c>
      <c r="I147">
        <v>791.7</v>
      </c>
      <c r="J147" t="s">
        <v>2944</v>
      </c>
      <c r="K147">
        <v>1</v>
      </c>
      <c r="L147" t="s">
        <v>2945</v>
      </c>
      <c r="M147" s="19">
        <v>46262</v>
      </c>
      <c r="N147" t="s">
        <v>2946</v>
      </c>
    </row>
    <row r="148" spans="1:14" x14ac:dyDescent="0.3">
      <c r="A148" t="s">
        <v>3279</v>
      </c>
      <c r="B148" t="s">
        <v>3280</v>
      </c>
      <c r="C148" t="s">
        <v>3281</v>
      </c>
      <c r="D148" t="s">
        <v>2942</v>
      </c>
      <c r="E148" t="s">
        <v>2943</v>
      </c>
      <c r="F148" t="s">
        <v>1227</v>
      </c>
      <c r="G148" t="s">
        <v>2101</v>
      </c>
      <c r="H148">
        <v>367</v>
      </c>
      <c r="I148">
        <v>385.35</v>
      </c>
      <c r="J148" t="s">
        <v>2944</v>
      </c>
      <c r="K148">
        <v>1</v>
      </c>
      <c r="L148" t="s">
        <v>2945</v>
      </c>
      <c r="M148" s="19">
        <v>46262</v>
      </c>
      <c r="N148" t="s">
        <v>2946</v>
      </c>
    </row>
    <row r="149" spans="1:14" x14ac:dyDescent="0.3">
      <c r="A149" t="s">
        <v>3282</v>
      </c>
      <c r="B149" t="s">
        <v>3283</v>
      </c>
      <c r="C149" t="s">
        <v>3284</v>
      </c>
      <c r="D149" t="s">
        <v>2942</v>
      </c>
      <c r="E149" t="s">
        <v>2943</v>
      </c>
      <c r="F149" t="s">
        <v>1227</v>
      </c>
      <c r="G149" t="s">
        <v>2101</v>
      </c>
      <c r="H149">
        <v>432</v>
      </c>
      <c r="I149">
        <v>453.6</v>
      </c>
      <c r="J149" t="s">
        <v>2944</v>
      </c>
      <c r="K149">
        <v>1</v>
      </c>
      <c r="L149" t="s">
        <v>2945</v>
      </c>
      <c r="M149" s="19">
        <v>46262</v>
      </c>
      <c r="N149" t="s">
        <v>2946</v>
      </c>
    </row>
    <row r="150" spans="1:14" x14ac:dyDescent="0.3">
      <c r="A150" t="s">
        <v>3285</v>
      </c>
      <c r="B150" t="s">
        <v>3286</v>
      </c>
      <c r="C150" t="s">
        <v>3287</v>
      </c>
      <c r="D150" t="s">
        <v>2942</v>
      </c>
      <c r="E150" t="s">
        <v>2943</v>
      </c>
      <c r="F150" t="s">
        <v>1227</v>
      </c>
      <c r="G150" t="s">
        <v>2101</v>
      </c>
      <c r="H150">
        <v>610</v>
      </c>
      <c r="I150">
        <v>640.5</v>
      </c>
      <c r="J150" t="s">
        <v>2944</v>
      </c>
      <c r="K150">
        <v>1</v>
      </c>
      <c r="L150" t="s">
        <v>2945</v>
      </c>
      <c r="M150" s="19">
        <v>46262</v>
      </c>
      <c r="N150" t="s">
        <v>2946</v>
      </c>
    </row>
    <row r="151" spans="1:14" x14ac:dyDescent="0.3">
      <c r="A151" t="s">
        <v>3288</v>
      </c>
      <c r="B151" t="s">
        <v>3289</v>
      </c>
      <c r="C151" t="s">
        <v>3290</v>
      </c>
      <c r="D151" t="s">
        <v>2942</v>
      </c>
      <c r="E151" t="s">
        <v>2943</v>
      </c>
      <c r="F151" t="s">
        <v>1227</v>
      </c>
      <c r="G151" t="s">
        <v>2101</v>
      </c>
      <c r="H151">
        <v>821</v>
      </c>
      <c r="I151">
        <v>862.05</v>
      </c>
      <c r="J151" t="s">
        <v>2944</v>
      </c>
      <c r="K151">
        <v>1</v>
      </c>
      <c r="L151" t="s">
        <v>2945</v>
      </c>
      <c r="M151" s="19">
        <v>46262</v>
      </c>
      <c r="N151" t="s">
        <v>2946</v>
      </c>
    </row>
    <row r="152" spans="1:14" x14ac:dyDescent="0.3">
      <c r="A152" t="s">
        <v>3291</v>
      </c>
      <c r="B152" t="s">
        <v>3292</v>
      </c>
      <c r="C152" t="s">
        <v>3293</v>
      </c>
      <c r="D152" t="s">
        <v>2942</v>
      </c>
      <c r="E152" t="s">
        <v>2943</v>
      </c>
      <c r="F152" t="s">
        <v>1227</v>
      </c>
      <c r="G152" t="s">
        <v>2101</v>
      </c>
      <c r="H152">
        <v>421</v>
      </c>
      <c r="I152">
        <v>442.05</v>
      </c>
      <c r="J152" t="s">
        <v>2944</v>
      </c>
      <c r="K152">
        <v>1</v>
      </c>
      <c r="L152" t="s">
        <v>2945</v>
      </c>
      <c r="M152" s="19">
        <v>46262</v>
      </c>
      <c r="N152" t="s">
        <v>2946</v>
      </c>
    </row>
    <row r="153" spans="1:14" x14ac:dyDescent="0.3">
      <c r="A153" t="s">
        <v>3294</v>
      </c>
      <c r="B153" t="s">
        <v>3295</v>
      </c>
      <c r="C153" t="s">
        <v>3296</v>
      </c>
      <c r="D153" t="s">
        <v>2942</v>
      </c>
      <c r="E153" t="s">
        <v>2943</v>
      </c>
      <c r="F153" t="s">
        <v>1227</v>
      </c>
      <c r="G153" t="s">
        <v>2101</v>
      </c>
      <c r="H153">
        <v>486</v>
      </c>
      <c r="I153">
        <v>510.3</v>
      </c>
      <c r="J153" t="s">
        <v>2944</v>
      </c>
      <c r="K153">
        <v>1</v>
      </c>
      <c r="L153" t="s">
        <v>2945</v>
      </c>
      <c r="M153" s="19">
        <v>46262</v>
      </c>
      <c r="N153" t="s">
        <v>2946</v>
      </c>
    </row>
    <row r="154" spans="1:14" x14ac:dyDescent="0.3">
      <c r="A154" t="s">
        <v>3297</v>
      </c>
      <c r="B154" t="s">
        <v>3298</v>
      </c>
      <c r="C154" t="s">
        <v>3299</v>
      </c>
      <c r="D154" t="s">
        <v>2942</v>
      </c>
      <c r="E154" t="s">
        <v>2943</v>
      </c>
      <c r="F154" t="s">
        <v>1227</v>
      </c>
      <c r="G154" t="s">
        <v>2101</v>
      </c>
      <c r="H154">
        <v>659</v>
      </c>
      <c r="I154">
        <v>691.95</v>
      </c>
      <c r="J154" t="s">
        <v>2944</v>
      </c>
      <c r="K154">
        <v>1</v>
      </c>
      <c r="L154" t="s">
        <v>2945</v>
      </c>
      <c r="M154" s="19">
        <v>46262</v>
      </c>
      <c r="N154" t="s">
        <v>2946</v>
      </c>
    </row>
    <row r="155" spans="1:14" x14ac:dyDescent="0.3">
      <c r="A155" t="s">
        <v>3300</v>
      </c>
      <c r="B155" t="s">
        <v>3301</v>
      </c>
      <c r="C155" t="s">
        <v>3302</v>
      </c>
      <c r="D155" t="s">
        <v>2942</v>
      </c>
      <c r="E155" t="s">
        <v>2943</v>
      </c>
      <c r="F155" t="s">
        <v>1227</v>
      </c>
      <c r="G155" t="s">
        <v>2101</v>
      </c>
      <c r="H155">
        <v>853</v>
      </c>
      <c r="I155">
        <v>895.65</v>
      </c>
      <c r="J155" t="s">
        <v>2944</v>
      </c>
      <c r="K155">
        <v>1</v>
      </c>
      <c r="L155" t="s">
        <v>2945</v>
      </c>
      <c r="M155" s="19">
        <v>46262</v>
      </c>
      <c r="N155" t="s">
        <v>2946</v>
      </c>
    </row>
    <row r="156" spans="1:14" x14ac:dyDescent="0.3">
      <c r="A156" t="s">
        <v>3303</v>
      </c>
      <c r="B156" t="s">
        <v>3304</v>
      </c>
      <c r="C156" t="s">
        <v>3305</v>
      </c>
      <c r="D156" t="s">
        <v>2942</v>
      </c>
      <c r="E156" t="s">
        <v>2943</v>
      </c>
      <c r="F156" t="s">
        <v>1227</v>
      </c>
      <c r="G156" t="s">
        <v>2101</v>
      </c>
      <c r="H156">
        <v>458</v>
      </c>
      <c r="I156">
        <v>480.9</v>
      </c>
      <c r="J156" t="s">
        <v>2944</v>
      </c>
      <c r="K156">
        <v>1</v>
      </c>
      <c r="L156" t="s">
        <v>2945</v>
      </c>
      <c r="M156" s="19">
        <v>46262</v>
      </c>
      <c r="N156" t="s">
        <v>2946</v>
      </c>
    </row>
    <row r="157" spans="1:14" x14ac:dyDescent="0.3">
      <c r="A157" t="s">
        <v>3306</v>
      </c>
      <c r="B157" t="s">
        <v>3307</v>
      </c>
      <c r="C157" t="s">
        <v>3308</v>
      </c>
      <c r="D157" t="s">
        <v>2942</v>
      </c>
      <c r="E157" t="s">
        <v>2943</v>
      </c>
      <c r="F157" t="s">
        <v>1227</v>
      </c>
      <c r="G157" t="s">
        <v>2101</v>
      </c>
      <c r="H157">
        <v>508</v>
      </c>
      <c r="I157">
        <v>533.4</v>
      </c>
      <c r="J157" t="s">
        <v>2944</v>
      </c>
      <c r="K157">
        <v>1</v>
      </c>
      <c r="L157" t="s">
        <v>2945</v>
      </c>
      <c r="M157" s="19">
        <v>46262</v>
      </c>
      <c r="N157" t="s">
        <v>2946</v>
      </c>
    </row>
    <row r="158" spans="1:14" x14ac:dyDescent="0.3">
      <c r="A158" t="s">
        <v>3309</v>
      </c>
      <c r="B158" t="s">
        <v>3310</v>
      </c>
      <c r="C158" t="s">
        <v>3311</v>
      </c>
      <c r="D158" t="s">
        <v>2942</v>
      </c>
      <c r="E158" t="s">
        <v>2943</v>
      </c>
      <c r="F158" t="s">
        <v>1227</v>
      </c>
      <c r="G158" t="s">
        <v>2101</v>
      </c>
      <c r="H158">
        <v>680</v>
      </c>
      <c r="I158">
        <v>714</v>
      </c>
      <c r="J158" t="s">
        <v>2944</v>
      </c>
      <c r="K158">
        <v>1</v>
      </c>
      <c r="L158" t="s">
        <v>2945</v>
      </c>
      <c r="M158" s="19">
        <v>46262</v>
      </c>
      <c r="N158" t="s">
        <v>2946</v>
      </c>
    </row>
    <row r="159" spans="1:14" x14ac:dyDescent="0.3">
      <c r="A159" t="s">
        <v>3312</v>
      </c>
      <c r="B159" t="s">
        <v>3313</v>
      </c>
      <c r="C159" t="s">
        <v>3314</v>
      </c>
      <c r="D159" t="s">
        <v>2942</v>
      </c>
      <c r="E159" t="s">
        <v>2943</v>
      </c>
      <c r="F159" t="s">
        <v>1227</v>
      </c>
      <c r="G159" t="s">
        <v>2101</v>
      </c>
      <c r="H159">
        <v>875</v>
      </c>
      <c r="I159">
        <v>918.75</v>
      </c>
      <c r="J159" t="s">
        <v>2944</v>
      </c>
      <c r="K159">
        <v>1</v>
      </c>
      <c r="L159" t="s">
        <v>2945</v>
      </c>
      <c r="M159" s="19">
        <v>46262</v>
      </c>
      <c r="N159" t="s">
        <v>2946</v>
      </c>
    </row>
    <row r="160" spans="1:14" x14ac:dyDescent="0.3">
      <c r="A160" t="s">
        <v>3315</v>
      </c>
      <c r="B160" t="s">
        <v>3316</v>
      </c>
      <c r="C160" t="s">
        <v>3317</v>
      </c>
      <c r="D160" t="s">
        <v>2942</v>
      </c>
      <c r="E160" t="s">
        <v>2943</v>
      </c>
      <c r="F160" t="s">
        <v>1227</v>
      </c>
      <c r="G160" t="s">
        <v>2101</v>
      </c>
      <c r="H160">
        <v>724</v>
      </c>
      <c r="I160">
        <v>760.2</v>
      </c>
      <c r="J160" t="s">
        <v>2944</v>
      </c>
      <c r="K160">
        <v>1</v>
      </c>
      <c r="L160" t="s">
        <v>2945</v>
      </c>
      <c r="M160" s="19">
        <v>46262</v>
      </c>
      <c r="N160" t="s">
        <v>2946</v>
      </c>
    </row>
    <row r="161" spans="1:14" x14ac:dyDescent="0.3">
      <c r="A161" t="s">
        <v>3318</v>
      </c>
      <c r="B161" t="s">
        <v>3319</v>
      </c>
      <c r="C161" t="s">
        <v>3320</v>
      </c>
      <c r="D161" t="s">
        <v>2942</v>
      </c>
      <c r="E161" t="s">
        <v>2943</v>
      </c>
      <c r="F161" t="s">
        <v>1227</v>
      </c>
      <c r="G161" t="s">
        <v>2101</v>
      </c>
      <c r="H161">
        <v>918</v>
      </c>
      <c r="I161">
        <v>963.9</v>
      </c>
      <c r="J161" t="s">
        <v>2944</v>
      </c>
      <c r="K161">
        <v>1</v>
      </c>
      <c r="L161" t="s">
        <v>2945</v>
      </c>
      <c r="M161" s="19">
        <v>46262</v>
      </c>
      <c r="N161" t="s">
        <v>2946</v>
      </c>
    </row>
    <row r="162" spans="1:14" x14ac:dyDescent="0.3">
      <c r="A162" t="s">
        <v>3321</v>
      </c>
      <c r="B162" t="s">
        <v>3322</v>
      </c>
      <c r="C162" t="s">
        <v>3323</v>
      </c>
      <c r="D162" t="s">
        <v>2942</v>
      </c>
      <c r="E162" t="s">
        <v>2943</v>
      </c>
      <c r="F162" t="s">
        <v>1227</v>
      </c>
      <c r="G162" t="s">
        <v>2101</v>
      </c>
      <c r="H162">
        <v>821</v>
      </c>
      <c r="I162">
        <v>862.05</v>
      </c>
      <c r="J162" t="s">
        <v>2944</v>
      </c>
      <c r="K162">
        <v>1</v>
      </c>
      <c r="L162" t="s">
        <v>2945</v>
      </c>
      <c r="M162" s="19">
        <v>46262</v>
      </c>
      <c r="N162" t="s">
        <v>2946</v>
      </c>
    </row>
    <row r="163" spans="1:14" x14ac:dyDescent="0.3">
      <c r="A163" t="s">
        <v>3324</v>
      </c>
      <c r="B163" t="s">
        <v>3325</v>
      </c>
      <c r="C163" t="s">
        <v>3326</v>
      </c>
      <c r="D163" t="s">
        <v>2942</v>
      </c>
      <c r="E163" t="s">
        <v>2943</v>
      </c>
      <c r="F163" t="s">
        <v>1227</v>
      </c>
      <c r="G163" t="s">
        <v>2101</v>
      </c>
      <c r="H163">
        <v>1026</v>
      </c>
      <c r="I163">
        <v>1077.3</v>
      </c>
      <c r="J163" t="s">
        <v>2944</v>
      </c>
      <c r="K163">
        <v>1</v>
      </c>
      <c r="L163" t="s">
        <v>2945</v>
      </c>
      <c r="M163" s="19">
        <v>46262</v>
      </c>
      <c r="N163" t="s">
        <v>2946</v>
      </c>
    </row>
    <row r="164" spans="1:14" x14ac:dyDescent="0.3">
      <c r="A164" t="s">
        <v>3327</v>
      </c>
      <c r="B164" t="s">
        <v>3328</v>
      </c>
      <c r="C164" t="s">
        <v>3329</v>
      </c>
      <c r="D164" t="s">
        <v>2942</v>
      </c>
      <c r="E164" t="s">
        <v>2943</v>
      </c>
      <c r="F164" t="s">
        <v>1227</v>
      </c>
      <c r="G164" t="s">
        <v>2101</v>
      </c>
      <c r="H164">
        <v>886</v>
      </c>
      <c r="I164">
        <v>930.3</v>
      </c>
      <c r="J164" t="s">
        <v>2944</v>
      </c>
      <c r="K164">
        <v>1</v>
      </c>
      <c r="L164" t="s">
        <v>2945</v>
      </c>
      <c r="M164" s="19">
        <v>46262</v>
      </c>
      <c r="N164" t="s">
        <v>2946</v>
      </c>
    </row>
    <row r="165" spans="1:14" x14ac:dyDescent="0.3">
      <c r="A165" t="s">
        <v>3330</v>
      </c>
      <c r="B165" t="s">
        <v>3331</v>
      </c>
      <c r="C165" t="s">
        <v>3332</v>
      </c>
      <c r="D165" t="s">
        <v>2942</v>
      </c>
      <c r="E165" t="s">
        <v>2943</v>
      </c>
      <c r="F165" t="s">
        <v>1227</v>
      </c>
      <c r="G165" t="s">
        <v>2101</v>
      </c>
      <c r="H165">
        <v>1134</v>
      </c>
      <c r="I165">
        <v>1190.7</v>
      </c>
      <c r="J165" t="s">
        <v>2944</v>
      </c>
      <c r="K165">
        <v>1</v>
      </c>
      <c r="L165" t="s">
        <v>2945</v>
      </c>
      <c r="M165" s="19">
        <v>46262</v>
      </c>
      <c r="N165" t="s">
        <v>2946</v>
      </c>
    </row>
    <row r="166" spans="1:14" x14ac:dyDescent="0.3">
      <c r="A166" t="s">
        <v>3333</v>
      </c>
      <c r="B166" t="s">
        <v>3334</v>
      </c>
      <c r="C166" t="s">
        <v>3335</v>
      </c>
      <c r="D166" t="s">
        <v>2942</v>
      </c>
      <c r="E166" t="s">
        <v>2943</v>
      </c>
      <c r="F166" t="s">
        <v>1227</v>
      </c>
      <c r="G166" t="s">
        <v>2101</v>
      </c>
      <c r="H166">
        <v>778</v>
      </c>
      <c r="I166">
        <v>816.9</v>
      </c>
      <c r="J166" t="s">
        <v>2944</v>
      </c>
      <c r="K166">
        <v>1</v>
      </c>
      <c r="L166" t="s">
        <v>2945</v>
      </c>
      <c r="M166" s="19">
        <v>46262</v>
      </c>
      <c r="N166" t="s">
        <v>2946</v>
      </c>
    </row>
    <row r="167" spans="1:14" x14ac:dyDescent="0.3">
      <c r="A167" t="s">
        <v>3336</v>
      </c>
      <c r="B167" t="s">
        <v>3337</v>
      </c>
      <c r="C167" t="s">
        <v>3338</v>
      </c>
      <c r="D167" t="s">
        <v>2942</v>
      </c>
      <c r="E167" t="s">
        <v>2943</v>
      </c>
      <c r="F167" t="s">
        <v>1227</v>
      </c>
      <c r="G167" t="s">
        <v>2101</v>
      </c>
      <c r="H167">
        <v>929</v>
      </c>
      <c r="I167">
        <v>975.45</v>
      </c>
      <c r="J167" t="s">
        <v>2944</v>
      </c>
      <c r="K167">
        <v>1</v>
      </c>
      <c r="L167" t="s">
        <v>2945</v>
      </c>
      <c r="M167" s="19">
        <v>46262</v>
      </c>
      <c r="N167" t="s">
        <v>2946</v>
      </c>
    </row>
    <row r="168" spans="1:14" x14ac:dyDescent="0.3">
      <c r="A168" t="s">
        <v>3339</v>
      </c>
      <c r="B168" t="s">
        <v>3340</v>
      </c>
      <c r="C168" t="s">
        <v>3341</v>
      </c>
      <c r="D168" t="s">
        <v>2942</v>
      </c>
      <c r="E168" t="s">
        <v>2943</v>
      </c>
      <c r="F168" t="s">
        <v>1227</v>
      </c>
      <c r="G168" t="s">
        <v>2101</v>
      </c>
      <c r="H168">
        <v>1188</v>
      </c>
      <c r="I168">
        <v>1247.4000000000001</v>
      </c>
      <c r="J168" t="s">
        <v>2944</v>
      </c>
      <c r="K168">
        <v>1</v>
      </c>
      <c r="L168" t="s">
        <v>2945</v>
      </c>
      <c r="M168" s="19">
        <v>46262</v>
      </c>
      <c r="N168" t="s">
        <v>2946</v>
      </c>
    </row>
    <row r="169" spans="1:14" x14ac:dyDescent="0.3">
      <c r="A169" t="s">
        <v>3342</v>
      </c>
      <c r="B169" t="s">
        <v>3343</v>
      </c>
      <c r="C169" t="s">
        <v>3344</v>
      </c>
      <c r="D169" t="s">
        <v>2942</v>
      </c>
      <c r="E169" t="s">
        <v>2943</v>
      </c>
      <c r="F169" t="s">
        <v>1227</v>
      </c>
      <c r="G169" t="s">
        <v>2101</v>
      </c>
      <c r="H169">
        <v>497</v>
      </c>
      <c r="I169">
        <v>521.85</v>
      </c>
      <c r="J169" t="s">
        <v>2944</v>
      </c>
      <c r="K169">
        <v>1</v>
      </c>
      <c r="L169" t="s">
        <v>2945</v>
      </c>
      <c r="M169" s="19">
        <v>46262</v>
      </c>
      <c r="N169" t="s">
        <v>2946</v>
      </c>
    </row>
    <row r="170" spans="1:14" x14ac:dyDescent="0.3">
      <c r="A170" t="s">
        <v>3345</v>
      </c>
      <c r="B170" t="s">
        <v>3346</v>
      </c>
      <c r="C170" t="s">
        <v>3347</v>
      </c>
      <c r="D170" t="s">
        <v>2942</v>
      </c>
      <c r="E170" t="s">
        <v>2943</v>
      </c>
      <c r="F170" t="s">
        <v>1227</v>
      </c>
      <c r="G170" t="s">
        <v>2101</v>
      </c>
      <c r="H170">
        <v>648</v>
      </c>
      <c r="I170">
        <v>680.4</v>
      </c>
      <c r="J170" t="s">
        <v>2944</v>
      </c>
      <c r="K170">
        <v>1</v>
      </c>
      <c r="L170" t="s">
        <v>2945</v>
      </c>
      <c r="M170" s="19">
        <v>46262</v>
      </c>
      <c r="N170" t="s">
        <v>2946</v>
      </c>
    </row>
    <row r="171" spans="1:14" x14ac:dyDescent="0.3">
      <c r="A171" t="s">
        <v>3348</v>
      </c>
      <c r="B171" t="s">
        <v>3349</v>
      </c>
      <c r="C171" t="s">
        <v>3350</v>
      </c>
      <c r="D171" t="s">
        <v>2942</v>
      </c>
      <c r="E171" t="s">
        <v>2943</v>
      </c>
      <c r="F171" t="s">
        <v>1227</v>
      </c>
      <c r="G171" t="s">
        <v>2101</v>
      </c>
      <c r="H171">
        <v>289</v>
      </c>
      <c r="I171">
        <v>303.45</v>
      </c>
      <c r="J171" t="s">
        <v>2944</v>
      </c>
      <c r="K171">
        <v>1</v>
      </c>
      <c r="L171" t="s">
        <v>2945</v>
      </c>
      <c r="M171" s="19">
        <v>46262</v>
      </c>
      <c r="N171" t="s">
        <v>2946</v>
      </c>
    </row>
    <row r="172" spans="1:14" x14ac:dyDescent="0.3">
      <c r="A172" t="s">
        <v>3351</v>
      </c>
      <c r="B172" t="s">
        <v>3352</v>
      </c>
      <c r="C172" t="s">
        <v>3353</v>
      </c>
      <c r="D172" t="s">
        <v>2942</v>
      </c>
      <c r="E172" t="s">
        <v>2943</v>
      </c>
      <c r="F172" t="s">
        <v>1227</v>
      </c>
      <c r="G172" t="s">
        <v>2101</v>
      </c>
      <c r="H172">
        <v>389</v>
      </c>
      <c r="I172">
        <v>408.45</v>
      </c>
      <c r="J172" t="s">
        <v>2944</v>
      </c>
      <c r="K172">
        <v>1</v>
      </c>
      <c r="L172" t="s">
        <v>2945</v>
      </c>
      <c r="M172" s="19">
        <v>46262</v>
      </c>
      <c r="N172" t="s">
        <v>2946</v>
      </c>
    </row>
    <row r="173" spans="1:14" x14ac:dyDescent="0.3">
      <c r="A173" t="s">
        <v>3354</v>
      </c>
      <c r="B173" t="s">
        <v>3355</v>
      </c>
      <c r="C173" t="s">
        <v>3356</v>
      </c>
      <c r="D173" t="s">
        <v>2942</v>
      </c>
      <c r="E173" t="s">
        <v>2943</v>
      </c>
      <c r="F173" t="s">
        <v>1227</v>
      </c>
      <c r="G173" t="s">
        <v>2101</v>
      </c>
      <c r="H173">
        <v>1264</v>
      </c>
      <c r="I173">
        <v>1327.2</v>
      </c>
      <c r="J173" t="s">
        <v>2944</v>
      </c>
      <c r="K173">
        <v>1</v>
      </c>
      <c r="L173" t="s">
        <v>2945</v>
      </c>
      <c r="M173" s="19">
        <v>46262</v>
      </c>
      <c r="N173" t="s">
        <v>2946</v>
      </c>
    </row>
    <row r="174" spans="1:14" x14ac:dyDescent="0.3">
      <c r="A174" t="s">
        <v>3357</v>
      </c>
      <c r="B174" t="s">
        <v>3358</v>
      </c>
      <c r="C174" t="s">
        <v>3359</v>
      </c>
      <c r="D174" t="s">
        <v>2942</v>
      </c>
      <c r="E174" t="s">
        <v>2943</v>
      </c>
      <c r="F174" t="s">
        <v>1227</v>
      </c>
      <c r="G174" t="s">
        <v>2101</v>
      </c>
      <c r="H174">
        <v>1318</v>
      </c>
      <c r="I174">
        <v>1383.9</v>
      </c>
      <c r="J174" t="s">
        <v>2944</v>
      </c>
      <c r="K174">
        <v>1</v>
      </c>
      <c r="L174" t="s">
        <v>2945</v>
      </c>
      <c r="M174" s="19">
        <v>46262</v>
      </c>
      <c r="N174" t="s">
        <v>2946</v>
      </c>
    </row>
    <row r="175" spans="1:14" x14ac:dyDescent="0.3">
      <c r="A175" t="s">
        <v>3360</v>
      </c>
      <c r="B175" t="s">
        <v>3361</v>
      </c>
      <c r="C175" t="s">
        <v>3362</v>
      </c>
      <c r="D175" t="s">
        <v>2942</v>
      </c>
      <c r="E175" t="s">
        <v>2943</v>
      </c>
      <c r="F175" t="s">
        <v>1227</v>
      </c>
      <c r="G175" t="s">
        <v>2101</v>
      </c>
      <c r="H175">
        <v>508</v>
      </c>
      <c r="I175">
        <v>533.4</v>
      </c>
      <c r="J175" t="s">
        <v>2944</v>
      </c>
      <c r="K175">
        <v>1</v>
      </c>
      <c r="L175" t="s">
        <v>2945</v>
      </c>
      <c r="M175" s="19">
        <v>46262</v>
      </c>
      <c r="N175" t="s">
        <v>2946</v>
      </c>
    </row>
    <row r="176" spans="1:14" x14ac:dyDescent="0.3">
      <c r="A176" t="s">
        <v>3363</v>
      </c>
      <c r="B176" t="s">
        <v>3364</v>
      </c>
      <c r="C176" t="s">
        <v>3365</v>
      </c>
      <c r="D176" t="s">
        <v>2942</v>
      </c>
      <c r="E176" t="s">
        <v>2943</v>
      </c>
      <c r="F176" t="s">
        <v>1227</v>
      </c>
      <c r="G176" t="s">
        <v>2101</v>
      </c>
      <c r="H176">
        <v>670</v>
      </c>
      <c r="I176">
        <v>703.5</v>
      </c>
      <c r="J176" t="s">
        <v>2944</v>
      </c>
      <c r="K176">
        <v>1</v>
      </c>
      <c r="L176" t="s">
        <v>2945</v>
      </c>
      <c r="M176" s="19">
        <v>46262</v>
      </c>
      <c r="N176" t="s">
        <v>2946</v>
      </c>
    </row>
    <row r="177" spans="1:14" x14ac:dyDescent="0.3">
      <c r="A177" t="s">
        <v>3366</v>
      </c>
      <c r="B177" t="s">
        <v>3367</v>
      </c>
      <c r="C177" t="s">
        <v>3368</v>
      </c>
      <c r="D177" t="s">
        <v>2942</v>
      </c>
      <c r="E177" t="s">
        <v>2943</v>
      </c>
      <c r="F177" t="s">
        <v>1227</v>
      </c>
      <c r="G177" t="s">
        <v>2101</v>
      </c>
      <c r="H177">
        <v>302</v>
      </c>
      <c r="I177">
        <v>317.10000000000002</v>
      </c>
      <c r="J177" t="s">
        <v>2944</v>
      </c>
      <c r="K177">
        <v>1</v>
      </c>
      <c r="L177" t="s">
        <v>2945</v>
      </c>
      <c r="M177" s="19">
        <v>46262</v>
      </c>
      <c r="N177" t="s">
        <v>2946</v>
      </c>
    </row>
    <row r="178" spans="1:14" x14ac:dyDescent="0.3">
      <c r="A178" t="s">
        <v>3369</v>
      </c>
      <c r="B178" t="s">
        <v>3370</v>
      </c>
      <c r="C178" t="s">
        <v>3371</v>
      </c>
      <c r="D178" t="s">
        <v>2942</v>
      </c>
      <c r="E178" t="s">
        <v>2943</v>
      </c>
      <c r="F178" t="s">
        <v>1227</v>
      </c>
      <c r="G178" t="s">
        <v>2101</v>
      </c>
      <c r="H178">
        <v>400</v>
      </c>
      <c r="I178">
        <v>420</v>
      </c>
      <c r="J178" t="s">
        <v>2944</v>
      </c>
      <c r="K178">
        <v>1</v>
      </c>
      <c r="L178" t="s">
        <v>2945</v>
      </c>
      <c r="M178" s="19">
        <v>46262</v>
      </c>
      <c r="N178" t="s">
        <v>2946</v>
      </c>
    </row>
    <row r="179" spans="1:14" x14ac:dyDescent="0.3">
      <c r="A179" t="s">
        <v>3372</v>
      </c>
      <c r="B179" t="s">
        <v>3373</v>
      </c>
      <c r="C179" t="s">
        <v>3374</v>
      </c>
      <c r="D179" t="s">
        <v>2942</v>
      </c>
      <c r="E179" t="s">
        <v>2943</v>
      </c>
      <c r="F179" t="s">
        <v>1227</v>
      </c>
      <c r="G179" t="s">
        <v>2101</v>
      </c>
      <c r="H179">
        <v>1328</v>
      </c>
      <c r="I179">
        <v>1394.4</v>
      </c>
      <c r="J179" t="s">
        <v>2944</v>
      </c>
      <c r="K179">
        <v>1</v>
      </c>
      <c r="L179" t="s">
        <v>2945</v>
      </c>
      <c r="M179" s="19">
        <v>46262</v>
      </c>
      <c r="N179" t="s">
        <v>2946</v>
      </c>
    </row>
    <row r="180" spans="1:14" x14ac:dyDescent="0.3">
      <c r="A180" t="s">
        <v>3375</v>
      </c>
      <c r="B180" t="s">
        <v>3376</v>
      </c>
      <c r="C180" t="s">
        <v>3377</v>
      </c>
      <c r="D180" t="s">
        <v>2942</v>
      </c>
      <c r="E180" t="s">
        <v>2943</v>
      </c>
      <c r="F180" t="s">
        <v>1227</v>
      </c>
      <c r="G180" t="s">
        <v>2101</v>
      </c>
      <c r="H180">
        <v>1361</v>
      </c>
      <c r="I180">
        <v>1429.05</v>
      </c>
      <c r="J180" t="s">
        <v>2944</v>
      </c>
      <c r="K180">
        <v>1</v>
      </c>
      <c r="L180" t="s">
        <v>2945</v>
      </c>
      <c r="M180" s="19">
        <v>46262</v>
      </c>
      <c r="N180" t="s">
        <v>2946</v>
      </c>
    </row>
    <row r="181" spans="1:14" x14ac:dyDescent="0.3">
      <c r="A181" t="s">
        <v>3378</v>
      </c>
      <c r="B181" t="s">
        <v>3379</v>
      </c>
      <c r="C181" t="s">
        <v>3380</v>
      </c>
      <c r="D181" t="s">
        <v>2942</v>
      </c>
      <c r="E181" t="s">
        <v>2943</v>
      </c>
      <c r="F181" t="s">
        <v>1227</v>
      </c>
      <c r="G181" t="s">
        <v>2101</v>
      </c>
      <c r="H181">
        <v>521</v>
      </c>
      <c r="I181">
        <v>547.04999999999995</v>
      </c>
      <c r="J181" t="s">
        <v>2944</v>
      </c>
      <c r="K181">
        <v>1</v>
      </c>
      <c r="L181" t="s">
        <v>2945</v>
      </c>
      <c r="M181" s="19">
        <v>46262</v>
      </c>
      <c r="N181" t="s">
        <v>2946</v>
      </c>
    </row>
    <row r="182" spans="1:14" x14ac:dyDescent="0.3">
      <c r="A182" t="s">
        <v>3381</v>
      </c>
      <c r="B182" t="s">
        <v>3382</v>
      </c>
      <c r="C182" t="s">
        <v>3383</v>
      </c>
      <c r="D182" t="s">
        <v>2942</v>
      </c>
      <c r="E182" t="s">
        <v>2943</v>
      </c>
      <c r="F182" t="s">
        <v>1227</v>
      </c>
      <c r="G182" t="s">
        <v>2101</v>
      </c>
      <c r="H182">
        <v>691</v>
      </c>
      <c r="I182">
        <v>725.55</v>
      </c>
      <c r="J182" t="s">
        <v>2944</v>
      </c>
      <c r="K182">
        <v>1</v>
      </c>
      <c r="L182" t="s">
        <v>2945</v>
      </c>
      <c r="M182" s="19">
        <v>46262</v>
      </c>
      <c r="N182" t="s">
        <v>2946</v>
      </c>
    </row>
    <row r="183" spans="1:14" x14ac:dyDescent="0.3">
      <c r="A183" t="s">
        <v>3384</v>
      </c>
      <c r="B183" t="s">
        <v>3385</v>
      </c>
      <c r="C183" t="s">
        <v>3386</v>
      </c>
      <c r="D183" t="s">
        <v>2942</v>
      </c>
      <c r="E183" t="s">
        <v>2943</v>
      </c>
      <c r="F183" t="s">
        <v>1227</v>
      </c>
      <c r="G183" t="s">
        <v>2101</v>
      </c>
      <c r="H183">
        <v>313</v>
      </c>
      <c r="I183">
        <v>328.65</v>
      </c>
      <c r="J183" t="s">
        <v>2944</v>
      </c>
      <c r="K183">
        <v>1</v>
      </c>
      <c r="L183" t="s">
        <v>2945</v>
      </c>
      <c r="M183" s="19">
        <v>46262</v>
      </c>
      <c r="N183" t="s">
        <v>2946</v>
      </c>
    </row>
    <row r="184" spans="1:14" x14ac:dyDescent="0.3">
      <c r="A184" t="s">
        <v>3387</v>
      </c>
      <c r="B184" t="s">
        <v>3388</v>
      </c>
      <c r="C184" t="s">
        <v>3389</v>
      </c>
      <c r="D184" t="s">
        <v>2942</v>
      </c>
      <c r="E184" t="s">
        <v>2943</v>
      </c>
      <c r="F184" t="s">
        <v>1227</v>
      </c>
      <c r="G184" t="s">
        <v>2101</v>
      </c>
      <c r="H184">
        <v>410</v>
      </c>
      <c r="I184">
        <v>430.5</v>
      </c>
      <c r="J184" t="s">
        <v>2944</v>
      </c>
      <c r="K184">
        <v>1</v>
      </c>
      <c r="L184" t="s">
        <v>2945</v>
      </c>
      <c r="M184" s="19">
        <v>46262</v>
      </c>
      <c r="N184" t="s">
        <v>2946</v>
      </c>
    </row>
    <row r="185" spans="1:14" x14ac:dyDescent="0.3">
      <c r="A185" t="s">
        <v>3390</v>
      </c>
      <c r="B185" t="s">
        <v>3391</v>
      </c>
      <c r="C185" t="s">
        <v>3392</v>
      </c>
      <c r="D185" t="s">
        <v>2942</v>
      </c>
      <c r="E185" t="s">
        <v>2943</v>
      </c>
      <c r="F185" t="s">
        <v>1227</v>
      </c>
      <c r="G185" t="s">
        <v>2101</v>
      </c>
      <c r="H185">
        <v>302</v>
      </c>
      <c r="I185">
        <v>317.10000000000002</v>
      </c>
      <c r="J185" t="s">
        <v>2944</v>
      </c>
      <c r="K185">
        <v>1</v>
      </c>
      <c r="L185" t="s">
        <v>2945</v>
      </c>
      <c r="M185" s="19">
        <v>46262</v>
      </c>
      <c r="N185" t="s">
        <v>2946</v>
      </c>
    </row>
    <row r="186" spans="1:14" x14ac:dyDescent="0.3">
      <c r="A186" t="s">
        <v>3393</v>
      </c>
      <c r="B186" t="s">
        <v>3394</v>
      </c>
      <c r="C186" t="s">
        <v>3395</v>
      </c>
      <c r="D186" t="s">
        <v>2942</v>
      </c>
      <c r="E186" t="s">
        <v>2943</v>
      </c>
      <c r="F186" t="s">
        <v>1227</v>
      </c>
      <c r="G186" t="s">
        <v>2101</v>
      </c>
      <c r="H186">
        <v>316</v>
      </c>
      <c r="I186">
        <v>331.8</v>
      </c>
      <c r="J186" t="s">
        <v>2944</v>
      </c>
      <c r="K186">
        <v>1</v>
      </c>
      <c r="L186" t="s">
        <v>2945</v>
      </c>
      <c r="M186" s="19">
        <v>46262</v>
      </c>
      <c r="N186" t="s">
        <v>2946</v>
      </c>
    </row>
    <row r="187" spans="1:14" x14ac:dyDescent="0.3">
      <c r="A187" t="s">
        <v>3396</v>
      </c>
      <c r="B187" t="s">
        <v>3397</v>
      </c>
      <c r="C187" t="s">
        <v>3398</v>
      </c>
      <c r="D187" t="s">
        <v>2942</v>
      </c>
      <c r="E187" t="s">
        <v>2943</v>
      </c>
      <c r="F187" t="s">
        <v>1227</v>
      </c>
      <c r="G187" t="s">
        <v>2101</v>
      </c>
      <c r="H187">
        <v>351</v>
      </c>
      <c r="I187">
        <v>368.55</v>
      </c>
      <c r="J187" t="s">
        <v>2944</v>
      </c>
      <c r="K187">
        <v>1</v>
      </c>
      <c r="L187" t="s">
        <v>2945</v>
      </c>
      <c r="M187" s="19">
        <v>46262</v>
      </c>
      <c r="N187" t="s">
        <v>2946</v>
      </c>
    </row>
    <row r="188" spans="1:14" x14ac:dyDescent="0.3">
      <c r="A188" t="s">
        <v>3399</v>
      </c>
      <c r="B188" t="s">
        <v>3400</v>
      </c>
      <c r="C188" t="s">
        <v>3401</v>
      </c>
      <c r="D188" t="s">
        <v>2942</v>
      </c>
      <c r="E188" t="s">
        <v>2943</v>
      </c>
      <c r="F188" t="s">
        <v>1227</v>
      </c>
      <c r="G188" t="s">
        <v>2101</v>
      </c>
      <c r="H188">
        <v>486</v>
      </c>
      <c r="I188">
        <v>510.3</v>
      </c>
      <c r="J188" t="s">
        <v>2944</v>
      </c>
      <c r="K188">
        <v>1</v>
      </c>
      <c r="L188" t="s">
        <v>2945</v>
      </c>
      <c r="M188" s="19">
        <v>46262</v>
      </c>
      <c r="N188" t="s">
        <v>2946</v>
      </c>
    </row>
    <row r="189" spans="1:14" x14ac:dyDescent="0.3">
      <c r="A189" t="s">
        <v>3402</v>
      </c>
      <c r="B189" t="s">
        <v>3403</v>
      </c>
      <c r="C189" t="s">
        <v>3404</v>
      </c>
      <c r="D189" t="s">
        <v>2942</v>
      </c>
      <c r="E189" t="s">
        <v>2943</v>
      </c>
      <c r="F189" t="s">
        <v>1227</v>
      </c>
      <c r="G189" t="s">
        <v>2101</v>
      </c>
      <c r="H189">
        <v>508</v>
      </c>
      <c r="I189">
        <v>533.4</v>
      </c>
      <c r="J189" t="s">
        <v>2944</v>
      </c>
      <c r="K189">
        <v>1</v>
      </c>
      <c r="L189" t="s">
        <v>2945</v>
      </c>
      <c r="M189" s="19">
        <v>46262</v>
      </c>
      <c r="N189" t="s">
        <v>2946</v>
      </c>
    </row>
    <row r="190" spans="1:14" x14ac:dyDescent="0.3">
      <c r="A190" t="s">
        <v>3405</v>
      </c>
      <c r="B190" t="s">
        <v>3406</v>
      </c>
      <c r="C190" t="s">
        <v>3407</v>
      </c>
      <c r="D190" t="s">
        <v>2942</v>
      </c>
      <c r="E190" t="s">
        <v>2943</v>
      </c>
      <c r="F190" t="s">
        <v>1227</v>
      </c>
      <c r="G190" t="s">
        <v>2101</v>
      </c>
      <c r="H190">
        <v>529</v>
      </c>
      <c r="I190">
        <v>555.45000000000005</v>
      </c>
      <c r="J190" t="s">
        <v>2944</v>
      </c>
      <c r="K190">
        <v>1</v>
      </c>
      <c r="L190" t="s">
        <v>2945</v>
      </c>
      <c r="M190" s="19">
        <v>46262</v>
      </c>
      <c r="N190" t="s">
        <v>2946</v>
      </c>
    </row>
    <row r="191" spans="1:14" x14ac:dyDescent="0.3">
      <c r="A191" t="s">
        <v>3408</v>
      </c>
      <c r="B191" t="s">
        <v>3409</v>
      </c>
      <c r="C191" t="s">
        <v>3410</v>
      </c>
      <c r="D191" t="s">
        <v>2942</v>
      </c>
      <c r="E191" t="s">
        <v>2943</v>
      </c>
      <c r="F191" t="s">
        <v>1227</v>
      </c>
      <c r="G191" t="s">
        <v>2101</v>
      </c>
      <c r="H191">
        <v>567</v>
      </c>
      <c r="I191">
        <v>595.35</v>
      </c>
      <c r="J191" t="s">
        <v>2944</v>
      </c>
      <c r="K191">
        <v>1</v>
      </c>
      <c r="L191" t="s">
        <v>2945</v>
      </c>
      <c r="M191" s="19">
        <v>46262</v>
      </c>
      <c r="N191" t="s">
        <v>2946</v>
      </c>
    </row>
    <row r="192" spans="1:14" x14ac:dyDescent="0.3">
      <c r="A192" t="s">
        <v>3411</v>
      </c>
      <c r="B192" t="s">
        <v>3412</v>
      </c>
      <c r="C192" t="s">
        <v>3413</v>
      </c>
      <c r="D192" t="s">
        <v>2942</v>
      </c>
      <c r="E192" t="s">
        <v>2943</v>
      </c>
      <c r="F192" t="s">
        <v>1227</v>
      </c>
      <c r="G192" t="s">
        <v>2101</v>
      </c>
      <c r="H192">
        <v>594</v>
      </c>
      <c r="I192">
        <v>623.70000000000005</v>
      </c>
      <c r="J192" t="s">
        <v>2944</v>
      </c>
      <c r="K192">
        <v>1</v>
      </c>
      <c r="L192" t="s">
        <v>2945</v>
      </c>
      <c r="M192" s="19">
        <v>46262</v>
      </c>
      <c r="N192" t="s">
        <v>2946</v>
      </c>
    </row>
    <row r="193" spans="1:14" x14ac:dyDescent="0.3">
      <c r="A193" t="s">
        <v>3414</v>
      </c>
      <c r="B193" t="s">
        <v>3415</v>
      </c>
      <c r="C193" t="s">
        <v>3416</v>
      </c>
      <c r="D193" t="s">
        <v>2942</v>
      </c>
      <c r="E193" t="s">
        <v>2943</v>
      </c>
      <c r="F193" t="s">
        <v>1227</v>
      </c>
      <c r="G193" t="s">
        <v>2101</v>
      </c>
      <c r="H193">
        <v>616</v>
      </c>
      <c r="I193">
        <v>646.79999999999995</v>
      </c>
      <c r="J193" t="s">
        <v>2944</v>
      </c>
      <c r="K193">
        <v>1</v>
      </c>
      <c r="L193" t="s">
        <v>2945</v>
      </c>
      <c r="M193" s="19">
        <v>46262</v>
      </c>
      <c r="N193" t="s">
        <v>2946</v>
      </c>
    </row>
    <row r="194" spans="1:14" x14ac:dyDescent="0.3">
      <c r="A194" t="s">
        <v>3417</v>
      </c>
      <c r="B194" t="s">
        <v>3418</v>
      </c>
      <c r="C194" t="s">
        <v>3419</v>
      </c>
      <c r="D194" t="s">
        <v>2942</v>
      </c>
      <c r="E194" t="s">
        <v>2943</v>
      </c>
      <c r="F194" t="s">
        <v>1227</v>
      </c>
      <c r="G194" t="s">
        <v>2101</v>
      </c>
      <c r="H194">
        <v>276</v>
      </c>
      <c r="I194">
        <v>289.8</v>
      </c>
      <c r="J194" t="s">
        <v>2944</v>
      </c>
      <c r="K194">
        <v>1</v>
      </c>
      <c r="L194" t="s">
        <v>2945</v>
      </c>
      <c r="M194" s="19">
        <v>46262</v>
      </c>
      <c r="N194" t="s">
        <v>2946</v>
      </c>
    </row>
    <row r="195" spans="1:14" x14ac:dyDescent="0.3">
      <c r="A195" t="s">
        <v>3420</v>
      </c>
      <c r="B195" t="s">
        <v>3421</v>
      </c>
      <c r="C195" t="s">
        <v>3422</v>
      </c>
      <c r="D195" t="s">
        <v>2942</v>
      </c>
      <c r="E195" t="s">
        <v>2943</v>
      </c>
      <c r="F195" t="s">
        <v>1227</v>
      </c>
      <c r="G195" t="s">
        <v>2101</v>
      </c>
      <c r="H195">
        <v>281</v>
      </c>
      <c r="I195">
        <v>295.05</v>
      </c>
      <c r="J195" t="s">
        <v>2944</v>
      </c>
      <c r="K195">
        <v>1</v>
      </c>
      <c r="L195" t="s">
        <v>2945</v>
      </c>
      <c r="M195" s="19">
        <v>46262</v>
      </c>
      <c r="N195" t="s">
        <v>2946</v>
      </c>
    </row>
    <row r="196" spans="1:14" x14ac:dyDescent="0.3">
      <c r="A196" t="s">
        <v>3423</v>
      </c>
      <c r="B196" t="s">
        <v>3424</v>
      </c>
      <c r="C196" t="s">
        <v>3425</v>
      </c>
      <c r="D196" t="s">
        <v>2942</v>
      </c>
      <c r="E196" t="s">
        <v>2943</v>
      </c>
      <c r="F196" t="s">
        <v>1227</v>
      </c>
      <c r="G196" t="s">
        <v>2101</v>
      </c>
      <c r="H196">
        <v>289</v>
      </c>
      <c r="I196">
        <v>303.45</v>
      </c>
      <c r="J196" t="s">
        <v>2944</v>
      </c>
      <c r="K196">
        <v>1</v>
      </c>
      <c r="L196" t="s">
        <v>2945</v>
      </c>
      <c r="M196" s="19">
        <v>46262</v>
      </c>
      <c r="N196" t="s">
        <v>2946</v>
      </c>
    </row>
    <row r="197" spans="1:14" x14ac:dyDescent="0.3">
      <c r="A197" t="s">
        <v>3426</v>
      </c>
      <c r="B197" t="s">
        <v>3427</v>
      </c>
      <c r="C197" t="s">
        <v>3428</v>
      </c>
      <c r="D197" t="s">
        <v>2942</v>
      </c>
      <c r="E197" t="s">
        <v>2943</v>
      </c>
      <c r="F197" t="s">
        <v>1227</v>
      </c>
      <c r="G197" t="s">
        <v>2101</v>
      </c>
      <c r="H197">
        <v>648</v>
      </c>
      <c r="I197">
        <v>680.4</v>
      </c>
      <c r="J197" t="s">
        <v>2944</v>
      </c>
      <c r="K197">
        <v>1</v>
      </c>
      <c r="L197" t="s">
        <v>2945</v>
      </c>
      <c r="M197" s="19">
        <v>46262</v>
      </c>
      <c r="N197" t="s">
        <v>2946</v>
      </c>
    </row>
    <row r="198" spans="1:14" x14ac:dyDescent="0.3">
      <c r="A198" t="s">
        <v>3429</v>
      </c>
      <c r="B198" t="s">
        <v>3430</v>
      </c>
      <c r="C198" t="s">
        <v>3431</v>
      </c>
      <c r="D198" t="s">
        <v>2942</v>
      </c>
      <c r="E198" t="s">
        <v>2943</v>
      </c>
      <c r="F198" t="s">
        <v>1227</v>
      </c>
      <c r="G198" t="s">
        <v>2101</v>
      </c>
      <c r="H198">
        <v>1868</v>
      </c>
      <c r="I198">
        <v>1961.4</v>
      </c>
      <c r="J198" t="s">
        <v>2944</v>
      </c>
      <c r="K198">
        <v>1</v>
      </c>
      <c r="L198" t="s">
        <v>2945</v>
      </c>
      <c r="M198" s="19">
        <v>46262</v>
      </c>
      <c r="N198" t="s">
        <v>2946</v>
      </c>
    </row>
    <row r="199" spans="1:14" x14ac:dyDescent="0.3">
      <c r="A199" t="s">
        <v>3432</v>
      </c>
      <c r="B199" t="s">
        <v>3433</v>
      </c>
      <c r="C199" t="s">
        <v>3434</v>
      </c>
      <c r="D199" t="s">
        <v>2942</v>
      </c>
      <c r="E199" t="s">
        <v>2943</v>
      </c>
      <c r="F199" t="s">
        <v>1227</v>
      </c>
      <c r="G199" t="s">
        <v>2101</v>
      </c>
      <c r="H199">
        <v>265</v>
      </c>
      <c r="I199">
        <v>278.25</v>
      </c>
      <c r="J199" t="s">
        <v>2944</v>
      </c>
      <c r="K199">
        <v>1</v>
      </c>
      <c r="L199" t="s">
        <v>2945</v>
      </c>
      <c r="M199" s="19">
        <v>46262</v>
      </c>
      <c r="N199" t="s">
        <v>2946</v>
      </c>
    </row>
    <row r="200" spans="1:14" x14ac:dyDescent="0.3">
      <c r="A200" t="s">
        <v>3435</v>
      </c>
      <c r="B200" t="s">
        <v>3436</v>
      </c>
      <c r="C200" t="s">
        <v>3437</v>
      </c>
      <c r="D200" t="s">
        <v>2942</v>
      </c>
      <c r="E200" t="s">
        <v>2943</v>
      </c>
      <c r="F200" t="s">
        <v>1227</v>
      </c>
      <c r="G200" t="s">
        <v>2101</v>
      </c>
      <c r="H200">
        <v>291</v>
      </c>
      <c r="I200">
        <v>305.55</v>
      </c>
      <c r="J200" t="s">
        <v>2944</v>
      </c>
      <c r="K200">
        <v>1</v>
      </c>
      <c r="L200" t="s">
        <v>2945</v>
      </c>
      <c r="M200" s="19">
        <v>46262</v>
      </c>
      <c r="N200" t="s">
        <v>2946</v>
      </c>
    </row>
    <row r="201" spans="1:14" x14ac:dyDescent="0.3">
      <c r="A201" t="s">
        <v>3438</v>
      </c>
      <c r="B201" t="s">
        <v>3439</v>
      </c>
      <c r="C201" t="s">
        <v>3440</v>
      </c>
      <c r="D201" t="s">
        <v>2942</v>
      </c>
      <c r="E201" t="s">
        <v>2943</v>
      </c>
      <c r="F201" t="s">
        <v>1227</v>
      </c>
      <c r="G201" t="s">
        <v>2101</v>
      </c>
      <c r="H201">
        <v>311</v>
      </c>
      <c r="I201">
        <v>326.55</v>
      </c>
      <c r="J201" t="s">
        <v>2944</v>
      </c>
      <c r="K201">
        <v>1</v>
      </c>
      <c r="L201" t="s">
        <v>2945</v>
      </c>
      <c r="M201" s="19">
        <v>46262</v>
      </c>
      <c r="N201" t="s">
        <v>2946</v>
      </c>
    </row>
    <row r="202" spans="1:14" x14ac:dyDescent="0.3">
      <c r="A202" t="s">
        <v>3441</v>
      </c>
      <c r="B202" t="s">
        <v>3442</v>
      </c>
      <c r="C202" t="s">
        <v>3443</v>
      </c>
      <c r="D202" t="s">
        <v>2942</v>
      </c>
      <c r="E202" t="s">
        <v>2943</v>
      </c>
      <c r="F202" t="s">
        <v>1227</v>
      </c>
      <c r="G202" t="s">
        <v>2101</v>
      </c>
      <c r="H202">
        <v>333</v>
      </c>
      <c r="I202">
        <v>349.65</v>
      </c>
      <c r="J202" t="s">
        <v>2944</v>
      </c>
      <c r="K202">
        <v>1</v>
      </c>
      <c r="L202" t="s">
        <v>2945</v>
      </c>
      <c r="M202" s="19">
        <v>46262</v>
      </c>
      <c r="N202" t="s">
        <v>2946</v>
      </c>
    </row>
    <row r="203" spans="1:14" x14ac:dyDescent="0.3">
      <c r="A203" t="s">
        <v>3444</v>
      </c>
      <c r="B203" t="s">
        <v>3445</v>
      </c>
      <c r="C203" t="s">
        <v>3446</v>
      </c>
      <c r="D203" t="s">
        <v>2942</v>
      </c>
      <c r="E203" t="s">
        <v>2943</v>
      </c>
      <c r="F203" t="s">
        <v>1227</v>
      </c>
      <c r="G203" t="s">
        <v>2101</v>
      </c>
      <c r="H203">
        <v>376</v>
      </c>
      <c r="I203">
        <v>394.8</v>
      </c>
      <c r="J203" t="s">
        <v>2944</v>
      </c>
      <c r="K203">
        <v>1</v>
      </c>
      <c r="L203" t="s">
        <v>2945</v>
      </c>
      <c r="M203" s="19">
        <v>46262</v>
      </c>
      <c r="N203" t="s">
        <v>2946</v>
      </c>
    </row>
    <row r="204" spans="1:14" x14ac:dyDescent="0.3">
      <c r="A204" t="s">
        <v>3447</v>
      </c>
      <c r="B204" t="s">
        <v>3448</v>
      </c>
      <c r="C204" t="s">
        <v>3449</v>
      </c>
      <c r="D204" t="s">
        <v>2942</v>
      </c>
      <c r="E204" t="s">
        <v>2943</v>
      </c>
      <c r="F204" t="s">
        <v>1227</v>
      </c>
      <c r="G204" t="s">
        <v>2101</v>
      </c>
      <c r="H204">
        <v>400</v>
      </c>
      <c r="I204">
        <v>420</v>
      </c>
      <c r="J204" t="s">
        <v>2944</v>
      </c>
      <c r="K204">
        <v>1</v>
      </c>
      <c r="L204" t="s">
        <v>2945</v>
      </c>
      <c r="M204" s="19">
        <v>46262</v>
      </c>
      <c r="N204" t="s">
        <v>2946</v>
      </c>
    </row>
    <row r="205" spans="1:14" x14ac:dyDescent="0.3">
      <c r="A205" t="s">
        <v>3450</v>
      </c>
      <c r="B205" t="s">
        <v>3451</v>
      </c>
      <c r="C205" t="s">
        <v>3452</v>
      </c>
      <c r="D205" t="s">
        <v>2942</v>
      </c>
      <c r="E205" t="s">
        <v>2943</v>
      </c>
      <c r="F205" t="s">
        <v>1227</v>
      </c>
      <c r="G205" t="s">
        <v>2101</v>
      </c>
      <c r="H205">
        <v>255</v>
      </c>
      <c r="I205">
        <v>267.75</v>
      </c>
      <c r="J205" t="s">
        <v>2944</v>
      </c>
      <c r="K205">
        <v>1</v>
      </c>
      <c r="L205" t="s">
        <v>2945</v>
      </c>
      <c r="M205" s="19">
        <v>46262</v>
      </c>
      <c r="N205" t="s">
        <v>2946</v>
      </c>
    </row>
    <row r="206" spans="1:14" x14ac:dyDescent="0.3">
      <c r="A206" t="s">
        <v>3453</v>
      </c>
      <c r="B206" t="s">
        <v>3454</v>
      </c>
      <c r="C206" t="s">
        <v>3455</v>
      </c>
      <c r="D206" t="s">
        <v>2942</v>
      </c>
      <c r="E206" t="s">
        <v>2943</v>
      </c>
      <c r="F206" t="s">
        <v>1227</v>
      </c>
      <c r="G206" t="s">
        <v>2101</v>
      </c>
      <c r="H206">
        <v>257</v>
      </c>
      <c r="I206">
        <v>269.85000000000002</v>
      </c>
      <c r="J206" t="s">
        <v>2944</v>
      </c>
      <c r="K206">
        <v>1</v>
      </c>
      <c r="L206" t="s">
        <v>2945</v>
      </c>
      <c r="M206" s="19">
        <v>46262</v>
      </c>
      <c r="N206" t="s">
        <v>2946</v>
      </c>
    </row>
    <row r="207" spans="1:14" x14ac:dyDescent="0.3">
      <c r="A207" t="s">
        <v>3456</v>
      </c>
      <c r="B207" t="s">
        <v>3457</v>
      </c>
      <c r="C207" t="s">
        <v>3458</v>
      </c>
      <c r="D207" t="s">
        <v>2942</v>
      </c>
      <c r="E207" t="s">
        <v>2943</v>
      </c>
      <c r="F207" t="s">
        <v>1227</v>
      </c>
      <c r="G207" t="s">
        <v>2101</v>
      </c>
      <c r="H207">
        <v>259</v>
      </c>
      <c r="I207">
        <v>271.95</v>
      </c>
      <c r="J207" t="s">
        <v>2944</v>
      </c>
      <c r="K207">
        <v>1</v>
      </c>
      <c r="L207" t="s">
        <v>2945</v>
      </c>
      <c r="M207" s="19">
        <v>46262</v>
      </c>
      <c r="N207" t="s">
        <v>2946</v>
      </c>
    </row>
    <row r="208" spans="1:14" x14ac:dyDescent="0.3">
      <c r="A208" t="s">
        <v>3459</v>
      </c>
      <c r="B208" t="s">
        <v>3460</v>
      </c>
      <c r="C208" t="s">
        <v>3461</v>
      </c>
      <c r="D208" t="s">
        <v>2942</v>
      </c>
      <c r="E208" t="s">
        <v>2943</v>
      </c>
      <c r="F208" t="s">
        <v>1227</v>
      </c>
      <c r="G208" t="s">
        <v>2101</v>
      </c>
      <c r="H208">
        <v>302</v>
      </c>
      <c r="I208">
        <v>317.10000000000002</v>
      </c>
      <c r="J208" t="s">
        <v>2944</v>
      </c>
      <c r="K208">
        <v>1</v>
      </c>
      <c r="L208" t="s">
        <v>2945</v>
      </c>
      <c r="M208" s="19">
        <v>46262</v>
      </c>
      <c r="N208" t="s">
        <v>2946</v>
      </c>
    </row>
    <row r="209" spans="1:14" x14ac:dyDescent="0.3">
      <c r="A209" t="s">
        <v>3462</v>
      </c>
      <c r="B209" t="s">
        <v>3463</v>
      </c>
      <c r="C209" t="s">
        <v>3464</v>
      </c>
      <c r="D209" t="s">
        <v>2942</v>
      </c>
      <c r="E209" t="s">
        <v>2943</v>
      </c>
      <c r="F209" t="s">
        <v>1227</v>
      </c>
      <c r="G209" t="s">
        <v>2101</v>
      </c>
      <c r="H209">
        <v>340</v>
      </c>
      <c r="I209">
        <v>357</v>
      </c>
      <c r="J209" t="s">
        <v>2944</v>
      </c>
      <c r="K209">
        <v>1</v>
      </c>
      <c r="L209" t="s">
        <v>2945</v>
      </c>
      <c r="M209" s="19">
        <v>46262</v>
      </c>
      <c r="N209" t="s">
        <v>2946</v>
      </c>
    </row>
    <row r="210" spans="1:14" x14ac:dyDescent="0.3">
      <c r="A210" t="s">
        <v>3465</v>
      </c>
      <c r="B210" t="s">
        <v>3466</v>
      </c>
      <c r="C210" t="s">
        <v>3467</v>
      </c>
      <c r="D210" t="s">
        <v>2942</v>
      </c>
      <c r="E210" t="s">
        <v>2943</v>
      </c>
      <c r="F210" t="s">
        <v>1227</v>
      </c>
      <c r="G210" t="s">
        <v>2101</v>
      </c>
      <c r="H210">
        <v>356</v>
      </c>
      <c r="I210">
        <v>373.8</v>
      </c>
      <c r="J210" t="s">
        <v>2944</v>
      </c>
      <c r="K210">
        <v>1</v>
      </c>
      <c r="L210" t="s">
        <v>2945</v>
      </c>
      <c r="M210" s="19">
        <v>46262</v>
      </c>
      <c r="N210" t="s">
        <v>2946</v>
      </c>
    </row>
    <row r="211" spans="1:14" x14ac:dyDescent="0.3">
      <c r="A211" t="s">
        <v>3468</v>
      </c>
      <c r="B211" t="s">
        <v>3469</v>
      </c>
      <c r="C211" t="s">
        <v>3470</v>
      </c>
      <c r="D211" t="s">
        <v>2942</v>
      </c>
      <c r="E211" t="s">
        <v>2943</v>
      </c>
      <c r="F211" t="s">
        <v>1227</v>
      </c>
      <c r="G211" t="s">
        <v>2101</v>
      </c>
      <c r="H211">
        <v>378</v>
      </c>
      <c r="I211">
        <v>396.9</v>
      </c>
      <c r="J211" t="s">
        <v>2944</v>
      </c>
      <c r="K211">
        <v>1</v>
      </c>
      <c r="L211" t="s">
        <v>2945</v>
      </c>
      <c r="M211" s="19">
        <v>46262</v>
      </c>
      <c r="N211" t="s">
        <v>2946</v>
      </c>
    </row>
    <row r="212" spans="1:14" x14ac:dyDescent="0.3">
      <c r="A212" t="s">
        <v>3471</v>
      </c>
      <c r="B212" t="s">
        <v>3472</v>
      </c>
      <c r="C212" t="s">
        <v>3473</v>
      </c>
      <c r="D212" t="s">
        <v>2942</v>
      </c>
      <c r="E212" t="s">
        <v>2943</v>
      </c>
      <c r="F212" t="s">
        <v>1227</v>
      </c>
      <c r="G212" t="s">
        <v>2101</v>
      </c>
      <c r="H212">
        <v>294</v>
      </c>
      <c r="I212">
        <v>308.7</v>
      </c>
      <c r="J212" t="s">
        <v>2944</v>
      </c>
      <c r="K212">
        <v>1</v>
      </c>
      <c r="L212" t="s">
        <v>2945</v>
      </c>
      <c r="M212" s="19">
        <v>46262</v>
      </c>
      <c r="N212" t="s">
        <v>2946</v>
      </c>
    </row>
    <row r="213" spans="1:14" x14ac:dyDescent="0.3">
      <c r="A213" t="s">
        <v>3474</v>
      </c>
      <c r="B213" t="s">
        <v>3475</v>
      </c>
      <c r="C213" t="s">
        <v>3476</v>
      </c>
      <c r="D213" t="s">
        <v>2942</v>
      </c>
      <c r="E213" t="s">
        <v>2943</v>
      </c>
      <c r="F213" t="s">
        <v>1227</v>
      </c>
      <c r="G213" t="s">
        <v>2101</v>
      </c>
      <c r="H213">
        <v>296</v>
      </c>
      <c r="I213">
        <v>310.8</v>
      </c>
      <c r="J213" t="s">
        <v>2944</v>
      </c>
      <c r="K213">
        <v>1</v>
      </c>
      <c r="L213" t="s">
        <v>2945</v>
      </c>
      <c r="M213" s="19">
        <v>46262</v>
      </c>
      <c r="N213" t="s">
        <v>2946</v>
      </c>
    </row>
    <row r="214" spans="1:14" x14ac:dyDescent="0.3">
      <c r="A214" t="s">
        <v>3477</v>
      </c>
      <c r="B214" t="s">
        <v>3478</v>
      </c>
      <c r="C214" t="s">
        <v>3479</v>
      </c>
      <c r="D214" t="s">
        <v>2942</v>
      </c>
      <c r="E214" t="s">
        <v>2943</v>
      </c>
      <c r="F214" t="s">
        <v>1227</v>
      </c>
      <c r="G214" t="s">
        <v>2101</v>
      </c>
      <c r="H214">
        <v>298</v>
      </c>
      <c r="I214">
        <v>312.89999999999998</v>
      </c>
      <c r="J214" t="s">
        <v>2944</v>
      </c>
      <c r="K214">
        <v>1</v>
      </c>
      <c r="L214" t="s">
        <v>2945</v>
      </c>
      <c r="M214" s="19">
        <v>46262</v>
      </c>
      <c r="N214" t="s">
        <v>2946</v>
      </c>
    </row>
    <row r="215" spans="1:14" x14ac:dyDescent="0.3">
      <c r="A215" t="s">
        <v>3480</v>
      </c>
      <c r="B215" t="s">
        <v>3481</v>
      </c>
      <c r="C215" t="s">
        <v>3482</v>
      </c>
      <c r="D215" t="s">
        <v>2942</v>
      </c>
      <c r="E215" t="s">
        <v>2943</v>
      </c>
      <c r="F215" t="s">
        <v>1227</v>
      </c>
      <c r="G215" t="s">
        <v>2101</v>
      </c>
      <c r="H215">
        <v>93</v>
      </c>
      <c r="I215">
        <v>97.65</v>
      </c>
      <c r="J215" t="s">
        <v>2944</v>
      </c>
      <c r="K215">
        <v>1</v>
      </c>
      <c r="L215" t="s">
        <v>2945</v>
      </c>
      <c r="M215" s="19">
        <v>46262</v>
      </c>
      <c r="N215" t="s">
        <v>2946</v>
      </c>
    </row>
    <row r="216" spans="1:14" x14ac:dyDescent="0.3">
      <c r="A216" t="s">
        <v>3483</v>
      </c>
      <c r="B216" t="s">
        <v>3484</v>
      </c>
      <c r="C216" t="s">
        <v>3485</v>
      </c>
      <c r="D216" t="s">
        <v>2942</v>
      </c>
      <c r="E216" t="s">
        <v>2943</v>
      </c>
      <c r="F216" t="s">
        <v>1227</v>
      </c>
      <c r="G216" t="s">
        <v>2101</v>
      </c>
      <c r="H216">
        <v>119</v>
      </c>
      <c r="I216">
        <v>124.95</v>
      </c>
      <c r="J216" t="s">
        <v>2944</v>
      </c>
      <c r="K216">
        <v>1</v>
      </c>
      <c r="L216" t="s">
        <v>2945</v>
      </c>
      <c r="M216" s="19">
        <v>46262</v>
      </c>
      <c r="N216" t="s">
        <v>2946</v>
      </c>
    </row>
    <row r="217" spans="1:14" x14ac:dyDescent="0.3">
      <c r="A217" t="s">
        <v>3486</v>
      </c>
      <c r="B217" t="s">
        <v>3487</v>
      </c>
      <c r="C217" t="s">
        <v>3488</v>
      </c>
      <c r="D217" t="s">
        <v>2942</v>
      </c>
      <c r="E217" t="s">
        <v>2943</v>
      </c>
      <c r="F217" t="s">
        <v>1227</v>
      </c>
      <c r="G217" t="s">
        <v>2101</v>
      </c>
      <c r="H217">
        <v>63</v>
      </c>
      <c r="I217">
        <v>66.150000000000006</v>
      </c>
      <c r="J217" t="s">
        <v>2944</v>
      </c>
      <c r="K217">
        <v>1</v>
      </c>
      <c r="L217" t="s">
        <v>2945</v>
      </c>
      <c r="M217" s="19">
        <v>46262</v>
      </c>
      <c r="N217" t="s">
        <v>2946</v>
      </c>
    </row>
    <row r="218" spans="1:14" x14ac:dyDescent="0.3">
      <c r="A218" t="s">
        <v>3489</v>
      </c>
      <c r="B218" t="s">
        <v>3490</v>
      </c>
      <c r="C218" t="s">
        <v>3491</v>
      </c>
      <c r="D218" t="s">
        <v>2942</v>
      </c>
      <c r="E218" t="s">
        <v>2943</v>
      </c>
      <c r="F218" t="s">
        <v>1227</v>
      </c>
      <c r="G218" t="s">
        <v>2101</v>
      </c>
      <c r="H218">
        <v>50</v>
      </c>
      <c r="I218">
        <v>52.5</v>
      </c>
      <c r="J218" t="s">
        <v>2944</v>
      </c>
      <c r="K218">
        <v>1</v>
      </c>
      <c r="L218" t="s">
        <v>2945</v>
      </c>
      <c r="M218" s="19">
        <v>46262</v>
      </c>
      <c r="N218" t="s">
        <v>2946</v>
      </c>
    </row>
    <row r="219" spans="1:14" x14ac:dyDescent="0.3">
      <c r="A219" t="s">
        <v>3492</v>
      </c>
      <c r="B219" t="s">
        <v>3493</v>
      </c>
      <c r="C219" t="s">
        <v>3494</v>
      </c>
      <c r="D219" t="s">
        <v>2942</v>
      </c>
      <c r="E219" t="s">
        <v>2943</v>
      </c>
      <c r="F219" t="s">
        <v>1227</v>
      </c>
      <c r="G219" t="s">
        <v>2101</v>
      </c>
      <c r="H219">
        <v>54</v>
      </c>
      <c r="I219">
        <v>56.7</v>
      </c>
      <c r="J219" t="s">
        <v>2944</v>
      </c>
      <c r="K219">
        <v>1</v>
      </c>
      <c r="L219" t="s">
        <v>2945</v>
      </c>
      <c r="M219" s="19">
        <v>46262</v>
      </c>
      <c r="N219" t="s">
        <v>2946</v>
      </c>
    </row>
    <row r="220" spans="1:14" x14ac:dyDescent="0.3">
      <c r="A220" t="s">
        <v>3495</v>
      </c>
      <c r="B220" t="s">
        <v>3496</v>
      </c>
      <c r="C220" t="s">
        <v>3497</v>
      </c>
      <c r="D220" t="s">
        <v>2942</v>
      </c>
      <c r="E220" t="s">
        <v>2943</v>
      </c>
      <c r="F220" t="s">
        <v>1227</v>
      </c>
      <c r="G220" t="s">
        <v>2101</v>
      </c>
      <c r="H220">
        <v>102</v>
      </c>
      <c r="I220">
        <v>107.1</v>
      </c>
      <c r="J220" t="s">
        <v>2944</v>
      </c>
      <c r="K220">
        <v>1</v>
      </c>
      <c r="L220" t="s">
        <v>2945</v>
      </c>
      <c r="M220" s="19">
        <v>46262</v>
      </c>
      <c r="N220" t="s">
        <v>2946</v>
      </c>
    </row>
    <row r="221" spans="1:14" x14ac:dyDescent="0.3">
      <c r="A221" t="s">
        <v>3498</v>
      </c>
      <c r="B221" t="s">
        <v>3499</v>
      </c>
      <c r="C221" t="s">
        <v>3500</v>
      </c>
      <c r="D221" t="s">
        <v>2942</v>
      </c>
      <c r="E221" t="s">
        <v>2943</v>
      </c>
      <c r="F221" t="s">
        <v>1227</v>
      </c>
      <c r="G221" t="s">
        <v>2101</v>
      </c>
      <c r="H221">
        <v>57</v>
      </c>
      <c r="I221">
        <v>59.85</v>
      </c>
      <c r="J221" t="s">
        <v>2944</v>
      </c>
      <c r="K221">
        <v>1</v>
      </c>
      <c r="L221" t="s">
        <v>2945</v>
      </c>
      <c r="M221" s="19">
        <v>46262</v>
      </c>
      <c r="N221" t="s">
        <v>2946</v>
      </c>
    </row>
    <row r="222" spans="1:14" x14ac:dyDescent="0.3">
      <c r="A222" t="s">
        <v>3501</v>
      </c>
      <c r="B222" t="s">
        <v>3502</v>
      </c>
      <c r="C222" t="s">
        <v>3503</v>
      </c>
      <c r="D222" t="s">
        <v>2942</v>
      </c>
      <c r="E222" t="s">
        <v>2943</v>
      </c>
      <c r="F222" t="s">
        <v>1227</v>
      </c>
      <c r="G222" t="s">
        <v>2101</v>
      </c>
      <c r="H222">
        <v>27</v>
      </c>
      <c r="I222">
        <v>28.35</v>
      </c>
      <c r="J222" t="s">
        <v>2944</v>
      </c>
      <c r="K222">
        <v>1</v>
      </c>
      <c r="L222" t="s">
        <v>2945</v>
      </c>
      <c r="M222" s="19">
        <v>46262</v>
      </c>
      <c r="N222" t="s">
        <v>2946</v>
      </c>
    </row>
    <row r="223" spans="1:14" x14ac:dyDescent="0.3">
      <c r="A223" t="s">
        <v>3504</v>
      </c>
      <c r="B223" t="s">
        <v>3505</v>
      </c>
      <c r="C223" t="s">
        <v>3506</v>
      </c>
      <c r="D223" t="s">
        <v>2942</v>
      </c>
      <c r="E223" t="s">
        <v>2943</v>
      </c>
      <c r="F223" t="s">
        <v>1227</v>
      </c>
      <c r="G223" t="s">
        <v>2101</v>
      </c>
      <c r="H223">
        <v>83</v>
      </c>
      <c r="I223">
        <v>87.15</v>
      </c>
      <c r="J223" t="s">
        <v>2944</v>
      </c>
      <c r="K223">
        <v>1</v>
      </c>
      <c r="L223" t="s">
        <v>2945</v>
      </c>
      <c r="M223" s="19">
        <v>46262</v>
      </c>
      <c r="N223" t="s">
        <v>2946</v>
      </c>
    </row>
    <row r="224" spans="1:14" x14ac:dyDescent="0.3">
      <c r="A224" t="s">
        <v>3507</v>
      </c>
      <c r="B224" t="s">
        <v>3508</v>
      </c>
      <c r="C224" t="s">
        <v>3509</v>
      </c>
      <c r="D224" t="s">
        <v>2942</v>
      </c>
      <c r="E224" t="s">
        <v>2943</v>
      </c>
      <c r="F224" t="s">
        <v>1227</v>
      </c>
      <c r="G224" t="s">
        <v>2101</v>
      </c>
      <c r="H224">
        <v>49</v>
      </c>
      <c r="I224">
        <v>51.45</v>
      </c>
      <c r="J224" t="s">
        <v>2944</v>
      </c>
      <c r="K224">
        <v>1</v>
      </c>
      <c r="L224" t="s">
        <v>2945</v>
      </c>
      <c r="M224" s="19">
        <v>46262</v>
      </c>
      <c r="N224" t="s">
        <v>2946</v>
      </c>
    </row>
    <row r="225" spans="1:14" x14ac:dyDescent="0.3">
      <c r="A225" t="s">
        <v>3510</v>
      </c>
      <c r="B225" t="s">
        <v>3511</v>
      </c>
      <c r="C225" t="s">
        <v>3512</v>
      </c>
      <c r="D225" t="s">
        <v>2942</v>
      </c>
      <c r="E225" t="s">
        <v>2943</v>
      </c>
      <c r="F225" t="s">
        <v>1227</v>
      </c>
      <c r="G225" t="s">
        <v>2101</v>
      </c>
      <c r="H225">
        <v>114</v>
      </c>
      <c r="I225">
        <v>119.7</v>
      </c>
      <c r="J225" t="s">
        <v>2944</v>
      </c>
      <c r="K225">
        <v>1</v>
      </c>
      <c r="L225" t="s">
        <v>2945</v>
      </c>
      <c r="M225" s="19">
        <v>46262</v>
      </c>
      <c r="N225" t="s">
        <v>2946</v>
      </c>
    </row>
    <row r="226" spans="1:14" x14ac:dyDescent="0.3">
      <c r="A226" t="s">
        <v>3513</v>
      </c>
      <c r="B226" t="s">
        <v>3514</v>
      </c>
      <c r="C226" t="s">
        <v>3515</v>
      </c>
      <c r="D226" t="s">
        <v>2942</v>
      </c>
      <c r="E226" t="s">
        <v>2943</v>
      </c>
      <c r="F226" t="s">
        <v>1227</v>
      </c>
      <c r="G226" t="s">
        <v>2101</v>
      </c>
      <c r="H226">
        <v>117</v>
      </c>
      <c r="I226">
        <v>122.85</v>
      </c>
      <c r="J226" t="s">
        <v>2944</v>
      </c>
      <c r="K226">
        <v>1</v>
      </c>
      <c r="L226" t="s">
        <v>2945</v>
      </c>
      <c r="M226" s="19">
        <v>46262</v>
      </c>
      <c r="N226" t="s">
        <v>2946</v>
      </c>
    </row>
    <row r="227" spans="1:14" x14ac:dyDescent="0.3">
      <c r="A227" t="s">
        <v>3516</v>
      </c>
      <c r="B227" t="s">
        <v>3517</v>
      </c>
      <c r="C227" t="s">
        <v>3518</v>
      </c>
      <c r="D227" t="s">
        <v>2942</v>
      </c>
      <c r="E227" t="s">
        <v>2943</v>
      </c>
      <c r="F227" t="s">
        <v>1227</v>
      </c>
      <c r="G227" t="s">
        <v>2101</v>
      </c>
      <c r="H227">
        <v>205</v>
      </c>
      <c r="I227">
        <v>215.25</v>
      </c>
      <c r="J227" t="s">
        <v>2944</v>
      </c>
      <c r="K227">
        <v>1</v>
      </c>
      <c r="L227" t="s">
        <v>2945</v>
      </c>
      <c r="M227" s="19">
        <v>46262</v>
      </c>
      <c r="N227" t="s">
        <v>2946</v>
      </c>
    </row>
    <row r="228" spans="1:14" x14ac:dyDescent="0.3">
      <c r="A228" t="s">
        <v>3519</v>
      </c>
      <c r="B228" t="s">
        <v>3520</v>
      </c>
      <c r="C228" t="s">
        <v>3521</v>
      </c>
      <c r="D228" t="s">
        <v>2942</v>
      </c>
      <c r="E228" t="s">
        <v>2943</v>
      </c>
      <c r="F228" t="s">
        <v>1227</v>
      </c>
      <c r="G228" t="s">
        <v>2101</v>
      </c>
      <c r="H228">
        <v>49</v>
      </c>
      <c r="I228">
        <v>51.45</v>
      </c>
      <c r="J228" t="s">
        <v>2944</v>
      </c>
      <c r="K228">
        <v>1</v>
      </c>
      <c r="L228" t="s">
        <v>2945</v>
      </c>
      <c r="M228" s="19">
        <v>46262</v>
      </c>
      <c r="N228" t="s">
        <v>2946</v>
      </c>
    </row>
    <row r="229" spans="1:14" x14ac:dyDescent="0.3">
      <c r="A229" t="s">
        <v>3522</v>
      </c>
      <c r="B229" t="s">
        <v>3523</v>
      </c>
      <c r="C229" t="s">
        <v>3524</v>
      </c>
      <c r="D229" t="s">
        <v>2942</v>
      </c>
      <c r="E229" t="s">
        <v>2943</v>
      </c>
      <c r="F229" t="s">
        <v>1227</v>
      </c>
      <c r="G229" t="s">
        <v>2101</v>
      </c>
      <c r="H229">
        <v>56</v>
      </c>
      <c r="I229">
        <v>58.8</v>
      </c>
      <c r="J229" t="s">
        <v>2944</v>
      </c>
      <c r="K229">
        <v>1</v>
      </c>
      <c r="L229" t="s">
        <v>2945</v>
      </c>
      <c r="M229" s="19">
        <v>46262</v>
      </c>
      <c r="N229" t="s">
        <v>2946</v>
      </c>
    </row>
    <row r="230" spans="1:14" x14ac:dyDescent="0.3">
      <c r="A230" t="s">
        <v>3525</v>
      </c>
      <c r="B230" t="s">
        <v>3526</v>
      </c>
      <c r="C230" t="s">
        <v>3527</v>
      </c>
      <c r="D230" t="s">
        <v>2942</v>
      </c>
      <c r="E230" t="s">
        <v>2943</v>
      </c>
      <c r="F230" t="s">
        <v>1227</v>
      </c>
      <c r="G230" t="s">
        <v>2101</v>
      </c>
      <c r="H230">
        <v>76</v>
      </c>
      <c r="I230">
        <v>79.8</v>
      </c>
      <c r="J230" t="s">
        <v>2944</v>
      </c>
      <c r="K230">
        <v>1</v>
      </c>
      <c r="L230" t="s">
        <v>2945</v>
      </c>
      <c r="M230" s="19">
        <v>46262</v>
      </c>
      <c r="N230" t="s">
        <v>2946</v>
      </c>
    </row>
    <row r="231" spans="1:14" x14ac:dyDescent="0.3">
      <c r="A231" t="s">
        <v>3528</v>
      </c>
      <c r="B231" t="s">
        <v>3529</v>
      </c>
      <c r="C231" t="s">
        <v>3530</v>
      </c>
      <c r="D231" t="s">
        <v>2942</v>
      </c>
      <c r="E231" t="s">
        <v>2943</v>
      </c>
      <c r="F231" t="s">
        <v>1227</v>
      </c>
      <c r="G231" t="s">
        <v>2101</v>
      </c>
      <c r="H231">
        <v>319</v>
      </c>
      <c r="I231">
        <v>334.95</v>
      </c>
      <c r="J231" t="s">
        <v>2944</v>
      </c>
      <c r="K231">
        <v>1</v>
      </c>
      <c r="L231" t="s">
        <v>2945</v>
      </c>
      <c r="M231" s="19">
        <v>46262</v>
      </c>
      <c r="N231" t="s">
        <v>2946</v>
      </c>
    </row>
    <row r="232" spans="1:14" x14ac:dyDescent="0.3">
      <c r="A232" t="s">
        <v>3531</v>
      </c>
      <c r="B232" t="s">
        <v>3532</v>
      </c>
      <c r="C232" t="s">
        <v>3533</v>
      </c>
      <c r="D232" t="s">
        <v>2942</v>
      </c>
      <c r="E232" t="s">
        <v>2943</v>
      </c>
      <c r="F232" t="s">
        <v>1227</v>
      </c>
      <c r="G232" t="s">
        <v>2101</v>
      </c>
      <c r="H232">
        <v>361</v>
      </c>
      <c r="I232">
        <v>379.05</v>
      </c>
      <c r="J232" t="s">
        <v>2944</v>
      </c>
      <c r="K232">
        <v>1</v>
      </c>
      <c r="L232" t="s">
        <v>2945</v>
      </c>
      <c r="M232" s="19">
        <v>46262</v>
      </c>
      <c r="N232" t="s">
        <v>2946</v>
      </c>
    </row>
    <row r="233" spans="1:14" x14ac:dyDescent="0.3">
      <c r="A233" t="s">
        <v>3534</v>
      </c>
      <c r="B233" t="s">
        <v>3535</v>
      </c>
      <c r="C233" t="s">
        <v>3536</v>
      </c>
      <c r="D233" t="s">
        <v>2942</v>
      </c>
      <c r="E233" t="s">
        <v>2943</v>
      </c>
      <c r="F233" t="s">
        <v>1227</v>
      </c>
      <c r="G233" t="s">
        <v>2101</v>
      </c>
      <c r="H233">
        <v>414</v>
      </c>
      <c r="I233">
        <v>434.7</v>
      </c>
      <c r="J233" t="s">
        <v>2944</v>
      </c>
      <c r="K233">
        <v>1</v>
      </c>
      <c r="L233" t="s">
        <v>2945</v>
      </c>
      <c r="M233" s="19">
        <v>46262</v>
      </c>
      <c r="N233" t="s">
        <v>2946</v>
      </c>
    </row>
    <row r="234" spans="1:14" x14ac:dyDescent="0.3">
      <c r="A234" t="s">
        <v>3537</v>
      </c>
      <c r="B234" t="s">
        <v>3538</v>
      </c>
      <c r="C234" t="s">
        <v>3539</v>
      </c>
      <c r="D234" t="s">
        <v>2942</v>
      </c>
      <c r="E234" t="s">
        <v>2943</v>
      </c>
      <c r="F234" t="s">
        <v>1227</v>
      </c>
      <c r="G234" t="s">
        <v>2101</v>
      </c>
      <c r="H234">
        <v>447</v>
      </c>
      <c r="I234">
        <v>469.35</v>
      </c>
      <c r="J234" t="s">
        <v>2944</v>
      </c>
      <c r="K234">
        <v>1</v>
      </c>
      <c r="L234" t="s">
        <v>2945</v>
      </c>
      <c r="M234" s="19">
        <v>46262</v>
      </c>
      <c r="N234" t="s">
        <v>2946</v>
      </c>
    </row>
    <row r="235" spans="1:14" x14ac:dyDescent="0.3">
      <c r="A235" t="s">
        <v>3540</v>
      </c>
      <c r="B235" t="s">
        <v>3541</v>
      </c>
      <c r="C235" t="s">
        <v>3542</v>
      </c>
      <c r="D235" t="s">
        <v>2942</v>
      </c>
      <c r="E235" t="s">
        <v>2943</v>
      </c>
      <c r="F235" t="s">
        <v>1227</v>
      </c>
      <c r="G235" t="s">
        <v>2101</v>
      </c>
      <c r="H235">
        <v>285</v>
      </c>
      <c r="I235">
        <v>299.25</v>
      </c>
      <c r="J235" t="s">
        <v>2944</v>
      </c>
      <c r="K235">
        <v>1</v>
      </c>
      <c r="L235" t="s">
        <v>2945</v>
      </c>
      <c r="M235" s="19">
        <v>46262</v>
      </c>
      <c r="N235" t="s">
        <v>2946</v>
      </c>
    </row>
    <row r="236" spans="1:14" x14ac:dyDescent="0.3">
      <c r="A236" t="s">
        <v>3543</v>
      </c>
      <c r="B236" t="s">
        <v>3544</v>
      </c>
      <c r="C236" t="s">
        <v>3545</v>
      </c>
      <c r="D236" t="s">
        <v>2942</v>
      </c>
      <c r="E236" t="s">
        <v>2943</v>
      </c>
      <c r="F236" t="s">
        <v>1227</v>
      </c>
      <c r="G236" t="s">
        <v>2101</v>
      </c>
      <c r="H236">
        <v>302</v>
      </c>
      <c r="I236">
        <v>317.10000000000002</v>
      </c>
      <c r="J236" t="s">
        <v>2944</v>
      </c>
      <c r="K236">
        <v>1</v>
      </c>
      <c r="L236" t="s">
        <v>2945</v>
      </c>
      <c r="M236" s="19">
        <v>46262</v>
      </c>
      <c r="N236" t="s">
        <v>2946</v>
      </c>
    </row>
    <row r="237" spans="1:14" x14ac:dyDescent="0.3">
      <c r="A237" t="s">
        <v>3546</v>
      </c>
      <c r="B237" t="s">
        <v>3547</v>
      </c>
      <c r="C237" t="s">
        <v>3548</v>
      </c>
      <c r="D237" t="s">
        <v>2942</v>
      </c>
      <c r="E237" t="s">
        <v>2943</v>
      </c>
      <c r="F237" t="s">
        <v>1227</v>
      </c>
      <c r="G237" t="s">
        <v>2101</v>
      </c>
      <c r="H237">
        <v>417</v>
      </c>
      <c r="I237">
        <v>437.85</v>
      </c>
      <c r="J237" t="s">
        <v>2944</v>
      </c>
      <c r="K237">
        <v>1</v>
      </c>
      <c r="L237" t="s">
        <v>2945</v>
      </c>
      <c r="M237" s="19">
        <v>46262</v>
      </c>
      <c r="N237" t="s">
        <v>2946</v>
      </c>
    </row>
    <row r="238" spans="1:14" x14ac:dyDescent="0.3">
      <c r="A238" t="s">
        <v>3549</v>
      </c>
      <c r="B238" t="s">
        <v>3550</v>
      </c>
      <c r="C238" t="s">
        <v>3551</v>
      </c>
      <c r="D238" t="s">
        <v>2942</v>
      </c>
      <c r="E238" t="s">
        <v>2943</v>
      </c>
      <c r="F238" t="s">
        <v>1227</v>
      </c>
      <c r="G238" t="s">
        <v>2101</v>
      </c>
      <c r="H238">
        <v>471</v>
      </c>
      <c r="I238">
        <v>494.55</v>
      </c>
      <c r="J238" t="s">
        <v>2944</v>
      </c>
      <c r="K238">
        <v>1</v>
      </c>
      <c r="L238" t="s">
        <v>2945</v>
      </c>
      <c r="M238" s="19">
        <v>46262</v>
      </c>
      <c r="N238" t="s">
        <v>2946</v>
      </c>
    </row>
    <row r="239" spans="1:14" x14ac:dyDescent="0.3">
      <c r="A239" t="s">
        <v>3552</v>
      </c>
      <c r="B239" t="s">
        <v>3553</v>
      </c>
      <c r="C239" t="s">
        <v>3554</v>
      </c>
      <c r="D239" t="s">
        <v>2942</v>
      </c>
      <c r="E239" t="s">
        <v>2943</v>
      </c>
      <c r="F239" t="s">
        <v>1227</v>
      </c>
      <c r="G239" t="s">
        <v>2101</v>
      </c>
      <c r="H239">
        <v>502</v>
      </c>
      <c r="I239">
        <v>527.1</v>
      </c>
      <c r="J239" t="s">
        <v>2944</v>
      </c>
      <c r="K239">
        <v>1</v>
      </c>
      <c r="L239" t="s">
        <v>2945</v>
      </c>
      <c r="M239" s="19">
        <v>46262</v>
      </c>
      <c r="N239" t="s">
        <v>2946</v>
      </c>
    </row>
    <row r="240" spans="1:14" x14ac:dyDescent="0.3">
      <c r="A240" t="s">
        <v>3555</v>
      </c>
      <c r="B240" t="s">
        <v>3556</v>
      </c>
      <c r="C240" t="s">
        <v>3557</v>
      </c>
      <c r="D240" t="s">
        <v>2942</v>
      </c>
      <c r="E240" t="s">
        <v>2943</v>
      </c>
      <c r="F240" t="s">
        <v>1227</v>
      </c>
      <c r="G240" t="s">
        <v>2101</v>
      </c>
      <c r="H240">
        <v>391</v>
      </c>
      <c r="I240">
        <v>410.55</v>
      </c>
      <c r="J240" t="s">
        <v>2944</v>
      </c>
      <c r="K240">
        <v>1</v>
      </c>
      <c r="L240" t="s">
        <v>2945</v>
      </c>
      <c r="M240" s="19">
        <v>46262</v>
      </c>
      <c r="N240" t="s">
        <v>2946</v>
      </c>
    </row>
    <row r="241" spans="1:14" x14ac:dyDescent="0.3">
      <c r="A241" t="s">
        <v>3558</v>
      </c>
      <c r="B241" t="s">
        <v>3559</v>
      </c>
      <c r="C241" t="s">
        <v>3560</v>
      </c>
      <c r="D241" t="s">
        <v>2942</v>
      </c>
      <c r="E241" t="s">
        <v>2943</v>
      </c>
      <c r="F241" t="s">
        <v>1227</v>
      </c>
      <c r="G241" t="s">
        <v>2101</v>
      </c>
      <c r="H241">
        <v>378</v>
      </c>
      <c r="I241">
        <v>396.9</v>
      </c>
      <c r="J241" t="s">
        <v>2944</v>
      </c>
      <c r="K241">
        <v>1</v>
      </c>
      <c r="L241" t="s">
        <v>2945</v>
      </c>
      <c r="M241" s="19">
        <v>46262</v>
      </c>
      <c r="N241" t="s">
        <v>2946</v>
      </c>
    </row>
    <row r="242" spans="1:14" x14ac:dyDescent="0.3">
      <c r="A242" t="s">
        <v>3561</v>
      </c>
      <c r="B242" t="s">
        <v>3562</v>
      </c>
      <c r="C242" t="s">
        <v>3563</v>
      </c>
      <c r="D242" t="s">
        <v>2942</v>
      </c>
      <c r="E242" t="s">
        <v>2943</v>
      </c>
      <c r="F242" t="s">
        <v>1227</v>
      </c>
      <c r="G242" t="s">
        <v>2101</v>
      </c>
      <c r="H242">
        <v>562</v>
      </c>
      <c r="I242">
        <v>590.1</v>
      </c>
      <c r="J242" t="s">
        <v>2944</v>
      </c>
      <c r="K242">
        <v>1</v>
      </c>
      <c r="L242" t="s">
        <v>2945</v>
      </c>
      <c r="M242" s="19">
        <v>46262</v>
      </c>
      <c r="N242" t="s">
        <v>2946</v>
      </c>
    </row>
    <row r="243" spans="1:14" x14ac:dyDescent="0.3">
      <c r="A243" t="s">
        <v>3564</v>
      </c>
      <c r="B243" t="s">
        <v>3565</v>
      </c>
      <c r="C243" t="s">
        <v>3566</v>
      </c>
      <c r="D243" t="s">
        <v>2942</v>
      </c>
      <c r="E243" t="s">
        <v>2943</v>
      </c>
      <c r="F243" t="s">
        <v>1227</v>
      </c>
      <c r="G243" t="s">
        <v>2101</v>
      </c>
      <c r="H243">
        <v>572</v>
      </c>
      <c r="I243">
        <v>600.6</v>
      </c>
      <c r="J243" t="s">
        <v>2944</v>
      </c>
      <c r="K243">
        <v>1</v>
      </c>
      <c r="L243" t="s">
        <v>2945</v>
      </c>
      <c r="M243" s="19">
        <v>46262</v>
      </c>
      <c r="N243" t="s">
        <v>2946</v>
      </c>
    </row>
    <row r="244" spans="1:14" x14ac:dyDescent="0.3">
      <c r="A244" t="s">
        <v>3567</v>
      </c>
      <c r="B244" t="s">
        <v>3568</v>
      </c>
      <c r="C244" t="s">
        <v>3569</v>
      </c>
      <c r="D244" t="s">
        <v>2942</v>
      </c>
      <c r="E244" t="s">
        <v>2943</v>
      </c>
      <c r="F244" t="s">
        <v>1227</v>
      </c>
      <c r="G244" t="s">
        <v>2101</v>
      </c>
      <c r="H244">
        <v>594</v>
      </c>
      <c r="I244">
        <v>623.70000000000005</v>
      </c>
      <c r="J244" t="s">
        <v>2944</v>
      </c>
      <c r="K244">
        <v>1</v>
      </c>
      <c r="L244" t="s">
        <v>2945</v>
      </c>
      <c r="M244" s="19">
        <v>46262</v>
      </c>
      <c r="N244" t="s">
        <v>2946</v>
      </c>
    </row>
    <row r="245" spans="1:14" x14ac:dyDescent="0.3">
      <c r="A245" t="s">
        <v>3570</v>
      </c>
      <c r="B245" t="s">
        <v>3571</v>
      </c>
      <c r="C245" t="s">
        <v>3572</v>
      </c>
      <c r="D245" t="s">
        <v>2942</v>
      </c>
      <c r="E245" t="s">
        <v>2943</v>
      </c>
      <c r="F245" t="s">
        <v>1227</v>
      </c>
      <c r="G245" t="s">
        <v>2101</v>
      </c>
      <c r="H245">
        <v>637</v>
      </c>
      <c r="I245">
        <v>668.85</v>
      </c>
      <c r="J245" t="s">
        <v>2944</v>
      </c>
      <c r="K245">
        <v>1</v>
      </c>
      <c r="L245" t="s">
        <v>2945</v>
      </c>
      <c r="M245" s="19">
        <v>46262</v>
      </c>
      <c r="N245" t="s">
        <v>2946</v>
      </c>
    </row>
    <row r="246" spans="1:14" x14ac:dyDescent="0.3">
      <c r="A246" t="s">
        <v>3573</v>
      </c>
      <c r="B246" t="s">
        <v>3574</v>
      </c>
      <c r="C246" t="s">
        <v>3575</v>
      </c>
      <c r="D246" t="s">
        <v>2942</v>
      </c>
      <c r="E246" t="s">
        <v>2943</v>
      </c>
      <c r="F246" t="s">
        <v>1227</v>
      </c>
      <c r="G246" t="s">
        <v>2101</v>
      </c>
      <c r="H246">
        <v>734</v>
      </c>
      <c r="I246">
        <v>770.7</v>
      </c>
      <c r="J246" t="s">
        <v>2944</v>
      </c>
      <c r="K246">
        <v>1</v>
      </c>
      <c r="L246" t="s">
        <v>2945</v>
      </c>
      <c r="M246" s="19">
        <v>46262</v>
      </c>
      <c r="N246" t="s">
        <v>2946</v>
      </c>
    </row>
    <row r="247" spans="1:14" x14ac:dyDescent="0.3">
      <c r="A247" t="s">
        <v>3576</v>
      </c>
      <c r="B247" t="s">
        <v>3577</v>
      </c>
      <c r="C247" t="s">
        <v>3578</v>
      </c>
      <c r="D247" t="s">
        <v>2942</v>
      </c>
      <c r="E247" t="s">
        <v>2943</v>
      </c>
      <c r="F247" t="s">
        <v>1227</v>
      </c>
      <c r="G247" t="s">
        <v>2101</v>
      </c>
      <c r="H247">
        <v>756</v>
      </c>
      <c r="I247">
        <v>793.8</v>
      </c>
      <c r="J247" t="s">
        <v>2944</v>
      </c>
      <c r="K247">
        <v>1</v>
      </c>
      <c r="L247" t="s">
        <v>2945</v>
      </c>
      <c r="M247" s="19">
        <v>46262</v>
      </c>
      <c r="N247" t="s">
        <v>2946</v>
      </c>
    </row>
    <row r="248" spans="1:14" x14ac:dyDescent="0.3">
      <c r="A248" t="s">
        <v>3579</v>
      </c>
      <c r="B248" t="s">
        <v>3580</v>
      </c>
      <c r="C248" t="s">
        <v>3581</v>
      </c>
      <c r="D248" t="s">
        <v>2942</v>
      </c>
      <c r="E248" t="s">
        <v>2943</v>
      </c>
      <c r="F248" t="s">
        <v>1227</v>
      </c>
      <c r="G248" t="s">
        <v>2101</v>
      </c>
      <c r="H248">
        <v>810</v>
      </c>
      <c r="I248">
        <v>850.5</v>
      </c>
      <c r="J248" t="s">
        <v>2944</v>
      </c>
      <c r="K248">
        <v>1</v>
      </c>
      <c r="L248" t="s">
        <v>2945</v>
      </c>
      <c r="M248" s="19">
        <v>46262</v>
      </c>
      <c r="N248" t="s">
        <v>2946</v>
      </c>
    </row>
    <row r="249" spans="1:14" x14ac:dyDescent="0.3">
      <c r="A249" t="s">
        <v>3582</v>
      </c>
      <c r="B249" t="s">
        <v>3583</v>
      </c>
      <c r="C249" t="s">
        <v>3584</v>
      </c>
      <c r="D249" t="s">
        <v>2942</v>
      </c>
      <c r="E249" t="s">
        <v>2943</v>
      </c>
      <c r="F249" t="s">
        <v>1227</v>
      </c>
      <c r="G249" t="s">
        <v>2101</v>
      </c>
      <c r="H249">
        <v>842</v>
      </c>
      <c r="I249">
        <v>884.1</v>
      </c>
      <c r="J249" t="s">
        <v>2944</v>
      </c>
      <c r="K249">
        <v>1</v>
      </c>
      <c r="L249" t="s">
        <v>2945</v>
      </c>
      <c r="M249" s="19">
        <v>46262</v>
      </c>
      <c r="N249" t="s">
        <v>2946</v>
      </c>
    </row>
    <row r="250" spans="1:14" x14ac:dyDescent="0.3">
      <c r="A250" t="s">
        <v>3585</v>
      </c>
      <c r="B250" t="s">
        <v>3586</v>
      </c>
      <c r="C250" t="s">
        <v>3587</v>
      </c>
      <c r="D250" t="s">
        <v>2942</v>
      </c>
      <c r="E250" t="s">
        <v>2943</v>
      </c>
      <c r="F250" t="s">
        <v>1227</v>
      </c>
      <c r="G250" t="s">
        <v>2101</v>
      </c>
      <c r="H250">
        <v>529</v>
      </c>
      <c r="I250">
        <v>555.45000000000005</v>
      </c>
      <c r="J250" t="s">
        <v>2944</v>
      </c>
      <c r="K250">
        <v>1</v>
      </c>
      <c r="L250" t="s">
        <v>2945</v>
      </c>
      <c r="M250" s="19">
        <v>46262</v>
      </c>
      <c r="N250" t="s">
        <v>2946</v>
      </c>
    </row>
    <row r="251" spans="1:14" x14ac:dyDescent="0.3">
      <c r="A251" t="s">
        <v>3588</v>
      </c>
      <c r="B251" t="s">
        <v>3589</v>
      </c>
      <c r="C251" t="s">
        <v>3590</v>
      </c>
      <c r="D251" t="s">
        <v>2942</v>
      </c>
      <c r="E251" t="s">
        <v>2943</v>
      </c>
      <c r="F251" t="s">
        <v>1227</v>
      </c>
      <c r="G251" t="s">
        <v>2101</v>
      </c>
      <c r="H251">
        <v>497</v>
      </c>
      <c r="I251">
        <v>521.85</v>
      </c>
      <c r="J251" t="s">
        <v>2944</v>
      </c>
      <c r="K251">
        <v>1</v>
      </c>
      <c r="L251" t="s">
        <v>2945</v>
      </c>
      <c r="M251" s="19">
        <v>46262</v>
      </c>
      <c r="N251" t="s">
        <v>2946</v>
      </c>
    </row>
    <row r="252" spans="1:14" x14ac:dyDescent="0.3">
      <c r="A252" t="s">
        <v>3591</v>
      </c>
      <c r="B252" t="s">
        <v>3592</v>
      </c>
      <c r="C252" t="s">
        <v>3593</v>
      </c>
      <c r="D252" t="s">
        <v>2942</v>
      </c>
      <c r="E252" t="s">
        <v>2943</v>
      </c>
      <c r="F252" t="s">
        <v>1227</v>
      </c>
      <c r="G252" t="s">
        <v>2101</v>
      </c>
      <c r="H252">
        <v>306</v>
      </c>
      <c r="I252">
        <v>321.3</v>
      </c>
      <c r="J252" t="s">
        <v>2944</v>
      </c>
      <c r="K252">
        <v>1</v>
      </c>
      <c r="L252" t="s">
        <v>2945</v>
      </c>
      <c r="M252" s="19">
        <v>46262</v>
      </c>
      <c r="N252" t="s">
        <v>2946</v>
      </c>
    </row>
    <row r="253" spans="1:14" x14ac:dyDescent="0.3">
      <c r="A253" t="s">
        <v>3594</v>
      </c>
      <c r="B253" t="s">
        <v>3595</v>
      </c>
      <c r="C253" t="s">
        <v>3596</v>
      </c>
      <c r="D253" t="s">
        <v>2942</v>
      </c>
      <c r="E253" t="s">
        <v>2943</v>
      </c>
      <c r="F253" t="s">
        <v>1227</v>
      </c>
      <c r="G253" t="s">
        <v>2101</v>
      </c>
      <c r="H253">
        <v>8592</v>
      </c>
      <c r="I253">
        <v>9021.6</v>
      </c>
      <c r="J253" t="s">
        <v>2944</v>
      </c>
      <c r="K253">
        <v>1</v>
      </c>
      <c r="L253" t="s">
        <v>2945</v>
      </c>
      <c r="M253" s="19">
        <v>46262</v>
      </c>
      <c r="N253" t="s">
        <v>2946</v>
      </c>
    </row>
    <row r="254" spans="1:14" x14ac:dyDescent="0.3">
      <c r="A254" t="s">
        <v>3597</v>
      </c>
      <c r="B254" t="s">
        <v>3598</v>
      </c>
      <c r="C254" t="s">
        <v>3599</v>
      </c>
      <c r="D254" t="s">
        <v>2942</v>
      </c>
      <c r="E254" t="s">
        <v>2943</v>
      </c>
      <c r="F254" t="s">
        <v>1227</v>
      </c>
      <c r="G254" t="s">
        <v>2101</v>
      </c>
      <c r="H254">
        <v>8770</v>
      </c>
      <c r="I254">
        <v>9208.5</v>
      </c>
      <c r="J254" t="s">
        <v>2944</v>
      </c>
      <c r="K254">
        <v>1</v>
      </c>
      <c r="L254" t="s">
        <v>2945</v>
      </c>
      <c r="M254" s="19">
        <v>46262</v>
      </c>
      <c r="N254" t="s">
        <v>2946</v>
      </c>
    </row>
    <row r="255" spans="1:14" x14ac:dyDescent="0.3">
      <c r="A255" t="s">
        <v>3600</v>
      </c>
      <c r="B255" t="s">
        <v>3601</v>
      </c>
      <c r="C255" t="s">
        <v>3602</v>
      </c>
      <c r="D255" t="s">
        <v>2942</v>
      </c>
      <c r="E255" t="s">
        <v>2943</v>
      </c>
      <c r="F255" t="s">
        <v>1227</v>
      </c>
      <c r="G255" t="s">
        <v>2101</v>
      </c>
      <c r="H255">
        <v>13090</v>
      </c>
      <c r="I255">
        <v>13744.5</v>
      </c>
      <c r="J255" t="s">
        <v>2944</v>
      </c>
      <c r="K255">
        <v>1</v>
      </c>
      <c r="L255" t="s">
        <v>2945</v>
      </c>
      <c r="M255" s="19">
        <v>46262</v>
      </c>
      <c r="N255" t="s">
        <v>2946</v>
      </c>
    </row>
    <row r="256" spans="1:14" x14ac:dyDescent="0.3">
      <c r="A256" t="s">
        <v>3603</v>
      </c>
      <c r="B256" t="s">
        <v>3604</v>
      </c>
      <c r="C256" t="s">
        <v>3605</v>
      </c>
      <c r="D256" t="s">
        <v>2942</v>
      </c>
      <c r="E256" t="s">
        <v>2943</v>
      </c>
      <c r="F256" t="s">
        <v>1227</v>
      </c>
      <c r="G256" t="s">
        <v>2101</v>
      </c>
      <c r="H256">
        <v>1474</v>
      </c>
      <c r="I256">
        <v>1547.7</v>
      </c>
      <c r="J256" t="s">
        <v>2944</v>
      </c>
      <c r="K256">
        <v>1</v>
      </c>
      <c r="L256" t="s">
        <v>2945</v>
      </c>
      <c r="M256" s="19">
        <v>46262</v>
      </c>
      <c r="N256" t="s">
        <v>2946</v>
      </c>
    </row>
    <row r="257" spans="1:15" x14ac:dyDescent="0.3">
      <c r="A257" t="s">
        <v>3606</v>
      </c>
      <c r="B257" t="s">
        <v>3607</v>
      </c>
      <c r="C257" t="s">
        <v>3608</v>
      </c>
      <c r="D257" t="s">
        <v>2942</v>
      </c>
      <c r="E257" t="s">
        <v>2943</v>
      </c>
      <c r="F257" t="s">
        <v>1227</v>
      </c>
      <c r="G257" t="s">
        <v>2101</v>
      </c>
      <c r="H257">
        <v>94</v>
      </c>
      <c r="I257">
        <v>98.7</v>
      </c>
      <c r="J257" t="s">
        <v>2944</v>
      </c>
      <c r="K257">
        <v>1</v>
      </c>
      <c r="L257" t="s">
        <v>2945</v>
      </c>
      <c r="M257" s="19">
        <v>46262</v>
      </c>
      <c r="N257" t="s">
        <v>2946</v>
      </c>
    </row>
    <row r="258" spans="1:15" x14ac:dyDescent="0.3">
      <c r="A258" t="s">
        <v>3609</v>
      </c>
      <c r="B258" t="s">
        <v>3610</v>
      </c>
      <c r="C258" t="s">
        <v>3611</v>
      </c>
      <c r="D258" t="s">
        <v>2942</v>
      </c>
      <c r="E258" t="s">
        <v>2943</v>
      </c>
      <c r="F258" t="s">
        <v>1227</v>
      </c>
      <c r="G258" t="s">
        <v>2101</v>
      </c>
      <c r="H258">
        <v>769</v>
      </c>
      <c r="I258">
        <v>807.45</v>
      </c>
      <c r="J258" t="s">
        <v>2944</v>
      </c>
      <c r="K258">
        <v>1</v>
      </c>
      <c r="L258" t="s">
        <v>2945</v>
      </c>
      <c r="M258" s="19">
        <v>46262</v>
      </c>
      <c r="N258" t="s">
        <v>2946</v>
      </c>
    </row>
    <row r="259" spans="1:15" x14ac:dyDescent="0.3">
      <c r="A259" t="s">
        <v>3612</v>
      </c>
      <c r="B259" t="s">
        <v>3613</v>
      </c>
      <c r="C259" t="s">
        <v>3614</v>
      </c>
      <c r="D259" t="s">
        <v>2942</v>
      </c>
      <c r="E259" t="s">
        <v>2943</v>
      </c>
      <c r="F259" t="s">
        <v>1227</v>
      </c>
      <c r="G259" t="s">
        <v>2101</v>
      </c>
      <c r="H259">
        <v>313</v>
      </c>
      <c r="I259">
        <v>328.65</v>
      </c>
      <c r="J259" t="s">
        <v>2944</v>
      </c>
      <c r="K259">
        <v>1</v>
      </c>
      <c r="L259" t="s">
        <v>2945</v>
      </c>
      <c r="M259" s="19">
        <v>46262</v>
      </c>
      <c r="N259" t="s">
        <v>2946</v>
      </c>
    </row>
    <row r="260" spans="1:15" x14ac:dyDescent="0.3">
      <c r="A260" t="s">
        <v>3615</v>
      </c>
      <c r="B260" t="s">
        <v>3616</v>
      </c>
      <c r="D260" t="s">
        <v>2952</v>
      </c>
      <c r="E260" t="s">
        <v>2953</v>
      </c>
      <c r="F260" t="s">
        <v>1227</v>
      </c>
      <c r="G260" t="s">
        <v>2146</v>
      </c>
      <c r="H260">
        <v>19874.21</v>
      </c>
      <c r="I260">
        <v>20867.919999999998</v>
      </c>
      <c r="J260" t="s">
        <v>2944</v>
      </c>
      <c r="K260">
        <v>1</v>
      </c>
      <c r="L260" t="s">
        <v>2945</v>
      </c>
      <c r="M260" s="19">
        <v>46262</v>
      </c>
      <c r="N260" t="s">
        <v>2954</v>
      </c>
      <c r="O260" t="s">
        <v>3617</v>
      </c>
    </row>
    <row r="261" spans="1:15" x14ac:dyDescent="0.3">
      <c r="A261" t="s">
        <v>3618</v>
      </c>
      <c r="B261" t="s">
        <v>3619</v>
      </c>
      <c r="D261" t="s">
        <v>2952</v>
      </c>
      <c r="E261" t="s">
        <v>2953</v>
      </c>
      <c r="F261" t="s">
        <v>1227</v>
      </c>
      <c r="G261" t="s">
        <v>2146</v>
      </c>
      <c r="H261">
        <v>21433.77</v>
      </c>
      <c r="I261">
        <v>22505.46</v>
      </c>
      <c r="J261" t="s">
        <v>2944</v>
      </c>
      <c r="K261">
        <v>1</v>
      </c>
      <c r="L261" t="s">
        <v>2945</v>
      </c>
      <c r="M261" s="19">
        <v>46262</v>
      </c>
      <c r="N261" t="s">
        <v>2954</v>
      </c>
      <c r="O261" t="s">
        <v>3620</v>
      </c>
    </row>
    <row r="262" spans="1:15" x14ac:dyDescent="0.3">
      <c r="A262" t="s">
        <v>3621</v>
      </c>
      <c r="B262" t="s">
        <v>3622</v>
      </c>
      <c r="D262" t="s">
        <v>2952</v>
      </c>
      <c r="E262" t="s">
        <v>2953</v>
      </c>
      <c r="F262" t="s">
        <v>1227</v>
      </c>
      <c r="G262" t="s">
        <v>2146</v>
      </c>
      <c r="H262">
        <v>21923.81</v>
      </c>
      <c r="I262">
        <v>23020</v>
      </c>
      <c r="J262" t="s">
        <v>2944</v>
      </c>
      <c r="K262">
        <v>1</v>
      </c>
      <c r="L262" t="s">
        <v>2945</v>
      </c>
      <c r="M262" s="19">
        <v>46262</v>
      </c>
      <c r="N262" t="s">
        <v>2954</v>
      </c>
      <c r="O262" t="s">
        <v>3623</v>
      </c>
    </row>
    <row r="263" spans="1:15" x14ac:dyDescent="0.3">
      <c r="A263" t="s">
        <v>3624</v>
      </c>
      <c r="B263" t="s">
        <v>3625</v>
      </c>
      <c r="D263" t="s">
        <v>2952</v>
      </c>
      <c r="E263" t="s">
        <v>2953</v>
      </c>
      <c r="F263" t="s">
        <v>1227</v>
      </c>
      <c r="G263" t="s">
        <v>2146</v>
      </c>
      <c r="H263">
        <v>7409.47</v>
      </c>
      <c r="I263">
        <v>7779.94</v>
      </c>
      <c r="J263" t="s">
        <v>2944</v>
      </c>
      <c r="K263">
        <v>1</v>
      </c>
      <c r="L263" t="s">
        <v>2945</v>
      </c>
      <c r="M263" s="19">
        <v>46262</v>
      </c>
      <c r="N263" t="s">
        <v>2954</v>
      </c>
      <c r="O263" t="s">
        <v>3048</v>
      </c>
    </row>
    <row r="264" spans="1:15" x14ac:dyDescent="0.3">
      <c r="A264" t="s">
        <v>3626</v>
      </c>
      <c r="B264" t="s">
        <v>3627</v>
      </c>
      <c r="D264" t="s">
        <v>2952</v>
      </c>
      <c r="E264" t="s">
        <v>2953</v>
      </c>
      <c r="F264" t="s">
        <v>1227</v>
      </c>
      <c r="G264" t="s">
        <v>2146</v>
      </c>
      <c r="H264">
        <v>7985.31</v>
      </c>
      <c r="I264">
        <v>8384.57</v>
      </c>
      <c r="J264" t="s">
        <v>2944</v>
      </c>
      <c r="K264">
        <v>1</v>
      </c>
      <c r="L264" t="s">
        <v>2945</v>
      </c>
      <c r="M264" s="19">
        <v>46262</v>
      </c>
      <c r="N264" t="s">
        <v>2954</v>
      </c>
      <c r="O264" t="s">
        <v>3053</v>
      </c>
    </row>
    <row r="265" spans="1:15" x14ac:dyDescent="0.3">
      <c r="A265" t="s">
        <v>3628</v>
      </c>
      <c r="B265" t="s">
        <v>3629</v>
      </c>
      <c r="D265" t="s">
        <v>2952</v>
      </c>
      <c r="E265" t="s">
        <v>2953</v>
      </c>
      <c r="F265" t="s">
        <v>1227</v>
      </c>
      <c r="G265" t="s">
        <v>2146</v>
      </c>
      <c r="H265">
        <v>8497.7099999999991</v>
      </c>
      <c r="I265">
        <v>8922.59</v>
      </c>
      <c r="J265" t="s">
        <v>2944</v>
      </c>
      <c r="K265">
        <v>1</v>
      </c>
      <c r="L265" t="s">
        <v>2945</v>
      </c>
      <c r="M265" s="19">
        <v>46262</v>
      </c>
      <c r="N265" t="s">
        <v>2954</v>
      </c>
      <c r="O265" t="s">
        <v>3083</v>
      </c>
    </row>
    <row r="266" spans="1:15" x14ac:dyDescent="0.3">
      <c r="A266" t="s">
        <v>3630</v>
      </c>
      <c r="B266" t="s">
        <v>3631</v>
      </c>
      <c r="D266" t="s">
        <v>2952</v>
      </c>
      <c r="E266" t="s">
        <v>2953</v>
      </c>
      <c r="F266" t="s">
        <v>1227</v>
      </c>
      <c r="G266" t="s">
        <v>2146</v>
      </c>
      <c r="H266">
        <v>9728.69</v>
      </c>
      <c r="I266">
        <v>10215.120000000001</v>
      </c>
      <c r="J266" t="s">
        <v>2944</v>
      </c>
      <c r="K266">
        <v>1</v>
      </c>
      <c r="L266" t="s">
        <v>2945</v>
      </c>
      <c r="M266" s="19">
        <v>46262</v>
      </c>
      <c r="N266" t="s">
        <v>2954</v>
      </c>
      <c r="O266" t="s">
        <v>3113</v>
      </c>
    </row>
    <row r="267" spans="1:15" x14ac:dyDescent="0.3">
      <c r="A267" t="s">
        <v>3632</v>
      </c>
      <c r="B267" t="s">
        <v>3633</v>
      </c>
      <c r="D267" t="s">
        <v>2952</v>
      </c>
      <c r="E267" t="s">
        <v>2953</v>
      </c>
      <c r="F267" t="s">
        <v>1227</v>
      </c>
      <c r="G267" t="s">
        <v>2146</v>
      </c>
      <c r="H267">
        <v>10209.77</v>
      </c>
      <c r="I267">
        <v>10720.26</v>
      </c>
      <c r="J267" t="s">
        <v>2944</v>
      </c>
      <c r="K267">
        <v>1</v>
      </c>
      <c r="L267" t="s">
        <v>2945</v>
      </c>
      <c r="M267" s="19">
        <v>46262</v>
      </c>
      <c r="N267" t="s">
        <v>2954</v>
      </c>
      <c r="O267" t="s">
        <v>3118</v>
      </c>
    </row>
    <row r="268" spans="1:15" x14ac:dyDescent="0.3">
      <c r="A268" t="s">
        <v>3634</v>
      </c>
      <c r="B268" t="s">
        <v>3635</v>
      </c>
      <c r="D268" t="s">
        <v>2952</v>
      </c>
      <c r="E268" t="s">
        <v>2953</v>
      </c>
      <c r="F268" t="s">
        <v>1227</v>
      </c>
      <c r="G268" t="s">
        <v>2146</v>
      </c>
      <c r="H268">
        <v>11920.62</v>
      </c>
      <c r="I268">
        <v>12516.65</v>
      </c>
      <c r="J268" t="s">
        <v>2944</v>
      </c>
      <c r="K268">
        <v>1</v>
      </c>
      <c r="L268" t="s">
        <v>2945</v>
      </c>
      <c r="M268" s="19">
        <v>46262</v>
      </c>
      <c r="N268" t="s">
        <v>2954</v>
      </c>
      <c r="O268" t="s">
        <v>3636</v>
      </c>
    </row>
    <row r="269" spans="1:15" x14ac:dyDescent="0.3">
      <c r="A269" t="s">
        <v>3637</v>
      </c>
      <c r="B269" t="s">
        <v>3638</v>
      </c>
      <c r="D269" t="s">
        <v>2952</v>
      </c>
      <c r="E269" t="s">
        <v>2953</v>
      </c>
      <c r="F269" t="s">
        <v>1227</v>
      </c>
      <c r="G269" t="s">
        <v>2146</v>
      </c>
      <c r="H269">
        <v>12582.67</v>
      </c>
      <c r="I269">
        <v>13211.81</v>
      </c>
      <c r="J269" t="s">
        <v>2944</v>
      </c>
      <c r="K269">
        <v>1</v>
      </c>
      <c r="L269" t="s">
        <v>2945</v>
      </c>
      <c r="M269" s="19">
        <v>46262</v>
      </c>
      <c r="N269" t="s">
        <v>2954</v>
      </c>
      <c r="O269" t="s">
        <v>3148</v>
      </c>
    </row>
    <row r="270" spans="1:15" x14ac:dyDescent="0.3">
      <c r="A270" t="s">
        <v>3639</v>
      </c>
      <c r="B270" t="s">
        <v>3640</v>
      </c>
      <c r="D270" t="s">
        <v>2952</v>
      </c>
      <c r="E270" t="s">
        <v>2953</v>
      </c>
      <c r="F270" t="s">
        <v>1227</v>
      </c>
      <c r="G270" t="s">
        <v>2146</v>
      </c>
      <c r="H270">
        <v>13526.14</v>
      </c>
      <c r="I270">
        <v>14202.45</v>
      </c>
      <c r="J270" t="s">
        <v>2944</v>
      </c>
      <c r="K270">
        <v>1</v>
      </c>
      <c r="L270" t="s">
        <v>2945</v>
      </c>
      <c r="M270" s="19">
        <v>46262</v>
      </c>
      <c r="N270" t="s">
        <v>2954</v>
      </c>
      <c r="O270" t="s">
        <v>3641</v>
      </c>
    </row>
    <row r="271" spans="1:15" x14ac:dyDescent="0.3">
      <c r="A271" t="s">
        <v>3642</v>
      </c>
      <c r="B271" t="s">
        <v>3643</v>
      </c>
      <c r="D271" t="s">
        <v>2952</v>
      </c>
      <c r="E271" t="s">
        <v>2953</v>
      </c>
      <c r="F271" t="s">
        <v>1227</v>
      </c>
      <c r="G271" t="s">
        <v>2146</v>
      </c>
      <c r="H271">
        <v>15264.64</v>
      </c>
      <c r="I271">
        <v>16027.87</v>
      </c>
      <c r="J271" t="s">
        <v>2944</v>
      </c>
      <c r="K271">
        <v>1</v>
      </c>
      <c r="L271" t="s">
        <v>2945</v>
      </c>
      <c r="M271" s="19">
        <v>46262</v>
      </c>
      <c r="N271" t="s">
        <v>2954</v>
      </c>
      <c r="O271" t="s">
        <v>3644</v>
      </c>
    </row>
    <row r="272" spans="1:15" x14ac:dyDescent="0.3">
      <c r="A272" t="s">
        <v>3645</v>
      </c>
      <c r="B272" t="s">
        <v>3646</v>
      </c>
      <c r="D272" t="s">
        <v>2952</v>
      </c>
      <c r="E272" t="s">
        <v>2953</v>
      </c>
      <c r="F272" t="s">
        <v>1227</v>
      </c>
      <c r="G272" t="s">
        <v>2146</v>
      </c>
      <c r="H272">
        <v>16796.55</v>
      </c>
      <c r="I272">
        <v>17636.38</v>
      </c>
      <c r="J272" t="s">
        <v>2944</v>
      </c>
      <c r="K272">
        <v>1</v>
      </c>
      <c r="L272" t="s">
        <v>2945</v>
      </c>
      <c r="M272" s="19">
        <v>46262</v>
      </c>
      <c r="N272" t="s">
        <v>2954</v>
      </c>
      <c r="O272" t="s">
        <v>3647</v>
      </c>
    </row>
    <row r="273" spans="1:15" x14ac:dyDescent="0.3">
      <c r="A273" t="s">
        <v>3648</v>
      </c>
      <c r="B273" t="s">
        <v>3649</v>
      </c>
      <c r="D273" t="s">
        <v>2952</v>
      </c>
      <c r="E273" t="s">
        <v>2953</v>
      </c>
      <c r="F273" t="s">
        <v>1227</v>
      </c>
      <c r="G273" t="s">
        <v>2146</v>
      </c>
      <c r="H273">
        <v>17329.689999999999</v>
      </c>
      <c r="I273">
        <v>18196.18</v>
      </c>
      <c r="J273" t="s">
        <v>2944</v>
      </c>
      <c r="K273">
        <v>1</v>
      </c>
      <c r="L273" t="s">
        <v>2945</v>
      </c>
      <c r="M273" s="19">
        <v>46262</v>
      </c>
      <c r="N273" t="s">
        <v>2954</v>
      </c>
      <c r="O273" t="s">
        <v>3650</v>
      </c>
    </row>
    <row r="274" spans="1:15" x14ac:dyDescent="0.3">
      <c r="A274" t="s">
        <v>3651</v>
      </c>
      <c r="B274" t="s">
        <v>3652</v>
      </c>
      <c r="D274" t="s">
        <v>2952</v>
      </c>
      <c r="E274" t="s">
        <v>2953</v>
      </c>
      <c r="F274" t="s">
        <v>1227</v>
      </c>
      <c r="G274" t="s">
        <v>2146</v>
      </c>
      <c r="H274">
        <v>18770.919999999998</v>
      </c>
      <c r="I274">
        <v>19709.47</v>
      </c>
      <c r="J274" t="s">
        <v>2944</v>
      </c>
      <c r="K274">
        <v>1</v>
      </c>
      <c r="L274" t="s">
        <v>2945</v>
      </c>
      <c r="M274" s="19">
        <v>46262</v>
      </c>
      <c r="N274" t="s">
        <v>2954</v>
      </c>
      <c r="O274" t="s">
        <v>3653</v>
      </c>
    </row>
    <row r="275" spans="1:15" x14ac:dyDescent="0.3">
      <c r="A275" t="s">
        <v>3654</v>
      </c>
      <c r="B275" t="s">
        <v>3655</v>
      </c>
      <c r="D275" t="s">
        <v>2952</v>
      </c>
      <c r="E275" t="s">
        <v>2953</v>
      </c>
      <c r="F275" t="s">
        <v>1227</v>
      </c>
      <c r="G275" t="s">
        <v>2146</v>
      </c>
      <c r="H275">
        <v>18912.849999999999</v>
      </c>
      <c r="I275">
        <v>19858.490000000002</v>
      </c>
      <c r="J275" t="s">
        <v>2944</v>
      </c>
      <c r="K275">
        <v>1</v>
      </c>
      <c r="L275" t="s">
        <v>2945</v>
      </c>
      <c r="M275" s="19">
        <v>46262</v>
      </c>
      <c r="N275" t="s">
        <v>2954</v>
      </c>
      <c r="O275" t="s">
        <v>3656</v>
      </c>
    </row>
    <row r="276" spans="1:15" x14ac:dyDescent="0.3">
      <c r="A276" t="s">
        <v>3657</v>
      </c>
      <c r="B276" t="s">
        <v>3658</v>
      </c>
      <c r="D276" t="s">
        <v>2952</v>
      </c>
      <c r="E276" t="s">
        <v>2953</v>
      </c>
      <c r="F276" t="s">
        <v>1227</v>
      </c>
      <c r="G276" t="s">
        <v>2146</v>
      </c>
      <c r="H276">
        <v>19639.560000000001</v>
      </c>
      <c r="I276">
        <v>20621.54</v>
      </c>
      <c r="J276" t="s">
        <v>2944</v>
      </c>
      <c r="K276">
        <v>1</v>
      </c>
      <c r="L276" t="s">
        <v>2945</v>
      </c>
      <c r="M276" s="19">
        <v>46262</v>
      </c>
      <c r="N276" t="s">
        <v>2954</v>
      </c>
      <c r="O276" t="s">
        <v>3659</v>
      </c>
    </row>
    <row r="277" spans="1:15" x14ac:dyDescent="0.3">
      <c r="A277" t="s">
        <v>3660</v>
      </c>
      <c r="B277" t="s">
        <v>3661</v>
      </c>
      <c r="D277" t="s">
        <v>2952</v>
      </c>
      <c r="E277" t="s">
        <v>2953</v>
      </c>
      <c r="F277" t="s">
        <v>1227</v>
      </c>
      <c r="G277" t="s">
        <v>2146</v>
      </c>
      <c r="H277">
        <v>2185.4299999999998</v>
      </c>
      <c r="I277">
        <v>2294.6999999999998</v>
      </c>
      <c r="J277" t="s">
        <v>2944</v>
      </c>
      <c r="K277">
        <v>1</v>
      </c>
      <c r="L277" t="s">
        <v>2945</v>
      </c>
      <c r="M277" s="19">
        <v>46262</v>
      </c>
      <c r="N277" t="s">
        <v>2954</v>
      </c>
      <c r="O277" t="s">
        <v>2955</v>
      </c>
    </row>
    <row r="278" spans="1:15" x14ac:dyDescent="0.3">
      <c r="A278" t="s">
        <v>3662</v>
      </c>
      <c r="B278" t="s">
        <v>3663</v>
      </c>
      <c r="D278" t="s">
        <v>2952</v>
      </c>
      <c r="E278" t="s">
        <v>2953</v>
      </c>
      <c r="F278" t="s">
        <v>1227</v>
      </c>
      <c r="G278" t="s">
        <v>2146</v>
      </c>
      <c r="H278">
        <v>3132.55</v>
      </c>
      <c r="I278">
        <v>3289.18</v>
      </c>
      <c r="J278" t="s">
        <v>2944</v>
      </c>
      <c r="K278">
        <v>1</v>
      </c>
      <c r="L278" t="s">
        <v>2945</v>
      </c>
      <c r="M278" s="19">
        <v>46262</v>
      </c>
      <c r="N278" t="s">
        <v>2954</v>
      </c>
      <c r="O278" t="s">
        <v>3664</v>
      </c>
    </row>
    <row r="279" spans="1:15" x14ac:dyDescent="0.3">
      <c r="A279" t="s">
        <v>3665</v>
      </c>
      <c r="B279" t="s">
        <v>3666</v>
      </c>
      <c r="D279" t="s">
        <v>2952</v>
      </c>
      <c r="E279" t="s">
        <v>2953</v>
      </c>
      <c r="F279" t="s">
        <v>1227</v>
      </c>
      <c r="G279" t="s">
        <v>2146</v>
      </c>
      <c r="H279">
        <v>2624.22</v>
      </c>
      <c r="I279">
        <v>2755.43</v>
      </c>
      <c r="J279" t="s">
        <v>2944</v>
      </c>
      <c r="K279">
        <v>1</v>
      </c>
      <c r="L279" t="s">
        <v>2945</v>
      </c>
      <c r="M279" s="19">
        <v>46262</v>
      </c>
      <c r="N279" t="s">
        <v>2954</v>
      </c>
      <c r="O279" t="s">
        <v>3664</v>
      </c>
    </row>
    <row r="280" spans="1:15" x14ac:dyDescent="0.3">
      <c r="A280" t="s">
        <v>3667</v>
      </c>
      <c r="B280" t="s">
        <v>3668</v>
      </c>
      <c r="D280" t="s">
        <v>2952</v>
      </c>
      <c r="E280" t="s">
        <v>2953</v>
      </c>
      <c r="F280" t="s">
        <v>1227</v>
      </c>
      <c r="G280" t="s">
        <v>2146</v>
      </c>
      <c r="H280">
        <v>3414.78</v>
      </c>
      <c r="I280">
        <v>3585.52</v>
      </c>
      <c r="J280" t="s">
        <v>2944</v>
      </c>
      <c r="K280">
        <v>1</v>
      </c>
      <c r="L280" t="s">
        <v>2945</v>
      </c>
      <c r="M280" s="19">
        <v>46262</v>
      </c>
      <c r="N280" t="s">
        <v>2954</v>
      </c>
      <c r="O280" t="s">
        <v>2978</v>
      </c>
    </row>
    <row r="281" spans="1:15" x14ac:dyDescent="0.3">
      <c r="A281" t="s">
        <v>3669</v>
      </c>
      <c r="B281" t="s">
        <v>3670</v>
      </c>
      <c r="D281" t="s">
        <v>2952</v>
      </c>
      <c r="E281" t="s">
        <v>2953</v>
      </c>
      <c r="F281" t="s">
        <v>1227</v>
      </c>
      <c r="G281" t="s">
        <v>2146</v>
      </c>
      <c r="H281">
        <v>2864.56</v>
      </c>
      <c r="I281">
        <v>3007.79</v>
      </c>
      <c r="J281" t="s">
        <v>2944</v>
      </c>
      <c r="K281">
        <v>1</v>
      </c>
      <c r="L281" t="s">
        <v>2945</v>
      </c>
      <c r="M281" s="19">
        <v>46262</v>
      </c>
      <c r="N281" t="s">
        <v>2954</v>
      </c>
      <c r="O281" t="s">
        <v>2978</v>
      </c>
    </row>
    <row r="282" spans="1:15" x14ac:dyDescent="0.3">
      <c r="A282" t="s">
        <v>3671</v>
      </c>
      <c r="B282" t="s">
        <v>3672</v>
      </c>
      <c r="D282" t="s">
        <v>2952</v>
      </c>
      <c r="E282" t="s">
        <v>2953</v>
      </c>
      <c r="F282" t="s">
        <v>1227</v>
      </c>
      <c r="G282" t="s">
        <v>2146</v>
      </c>
      <c r="H282">
        <v>3840.97</v>
      </c>
      <c r="I282">
        <v>4033.02</v>
      </c>
      <c r="J282" t="s">
        <v>2944</v>
      </c>
      <c r="K282">
        <v>1</v>
      </c>
      <c r="L282" t="s">
        <v>2945</v>
      </c>
      <c r="M282" s="19">
        <v>46262</v>
      </c>
      <c r="N282" t="s">
        <v>2954</v>
      </c>
      <c r="O282" t="s">
        <v>3000</v>
      </c>
    </row>
    <row r="283" spans="1:15" x14ac:dyDescent="0.3">
      <c r="A283" t="s">
        <v>3673</v>
      </c>
      <c r="B283" t="s">
        <v>3674</v>
      </c>
      <c r="D283" t="s">
        <v>2952</v>
      </c>
      <c r="E283" t="s">
        <v>2953</v>
      </c>
      <c r="F283" t="s">
        <v>1227</v>
      </c>
      <c r="G283" t="s">
        <v>2146</v>
      </c>
      <c r="H283">
        <v>3225.27</v>
      </c>
      <c r="I283">
        <v>3386.54</v>
      </c>
      <c r="J283" t="s">
        <v>2944</v>
      </c>
      <c r="K283">
        <v>1</v>
      </c>
      <c r="L283" t="s">
        <v>2945</v>
      </c>
      <c r="M283" s="19">
        <v>46262</v>
      </c>
      <c r="N283" t="s">
        <v>2954</v>
      </c>
      <c r="O283" t="s">
        <v>3000</v>
      </c>
    </row>
    <row r="284" spans="1:15" x14ac:dyDescent="0.3">
      <c r="A284" t="s">
        <v>3675</v>
      </c>
      <c r="B284" t="s">
        <v>3676</v>
      </c>
      <c r="D284" t="s">
        <v>2952</v>
      </c>
      <c r="E284" t="s">
        <v>2953</v>
      </c>
      <c r="F284" t="s">
        <v>1227</v>
      </c>
      <c r="G284" t="s">
        <v>2146</v>
      </c>
      <c r="H284">
        <v>1875.55</v>
      </c>
      <c r="I284">
        <v>1969.32</v>
      </c>
      <c r="J284" t="s">
        <v>2944</v>
      </c>
      <c r="K284">
        <v>1</v>
      </c>
      <c r="L284" t="s">
        <v>2945</v>
      </c>
      <c r="M284" s="19">
        <v>46262</v>
      </c>
      <c r="N284" t="s">
        <v>2954</v>
      </c>
      <c r="O284" t="s">
        <v>3208</v>
      </c>
    </row>
    <row r="285" spans="1:15" x14ac:dyDescent="0.3">
      <c r="A285" t="s">
        <v>3677</v>
      </c>
      <c r="B285" t="s">
        <v>3678</v>
      </c>
      <c r="D285" t="s">
        <v>2952</v>
      </c>
      <c r="E285" t="s">
        <v>2953</v>
      </c>
      <c r="F285" t="s">
        <v>1227</v>
      </c>
      <c r="G285" t="s">
        <v>2146</v>
      </c>
      <c r="H285">
        <v>6839.73</v>
      </c>
      <c r="I285">
        <v>7181.71</v>
      </c>
      <c r="J285" t="s">
        <v>2944</v>
      </c>
      <c r="K285">
        <v>1</v>
      </c>
      <c r="L285" t="s">
        <v>2945</v>
      </c>
      <c r="M285" s="19">
        <v>46262</v>
      </c>
      <c r="N285" t="s">
        <v>2954</v>
      </c>
      <c r="O285" t="s">
        <v>3679</v>
      </c>
    </row>
    <row r="286" spans="1:15" x14ac:dyDescent="0.3">
      <c r="A286" t="s">
        <v>3680</v>
      </c>
      <c r="B286" t="s">
        <v>3681</v>
      </c>
      <c r="D286" t="s">
        <v>2952</v>
      </c>
      <c r="E286" t="s">
        <v>2953</v>
      </c>
      <c r="F286" t="s">
        <v>1227</v>
      </c>
      <c r="G286" t="s">
        <v>2146</v>
      </c>
      <c r="H286">
        <v>7371.24</v>
      </c>
      <c r="I286">
        <v>7739.8</v>
      </c>
      <c r="J286" t="s">
        <v>2944</v>
      </c>
      <c r="K286">
        <v>1</v>
      </c>
      <c r="L286" t="s">
        <v>2945</v>
      </c>
      <c r="M286" s="19">
        <v>46262</v>
      </c>
      <c r="N286" t="s">
        <v>2954</v>
      </c>
      <c r="O286" t="s">
        <v>3053</v>
      </c>
    </row>
    <row r="287" spans="1:15" x14ac:dyDescent="0.3">
      <c r="A287" t="s">
        <v>3682</v>
      </c>
      <c r="B287" t="s">
        <v>3683</v>
      </c>
      <c r="D287" t="s">
        <v>2952</v>
      </c>
      <c r="E287" t="s">
        <v>2953</v>
      </c>
      <c r="F287" t="s">
        <v>1227</v>
      </c>
      <c r="G287" t="s">
        <v>2146</v>
      </c>
      <c r="H287">
        <v>7843.38</v>
      </c>
      <c r="I287">
        <v>8235.5499999999993</v>
      </c>
      <c r="J287" t="s">
        <v>2944</v>
      </c>
      <c r="K287">
        <v>1</v>
      </c>
      <c r="L287" t="s">
        <v>2945</v>
      </c>
      <c r="M287" s="19">
        <v>46262</v>
      </c>
      <c r="N287" t="s">
        <v>2954</v>
      </c>
      <c r="O287" t="s">
        <v>3083</v>
      </c>
    </row>
    <row r="288" spans="1:15" x14ac:dyDescent="0.3">
      <c r="A288" t="s">
        <v>3684</v>
      </c>
      <c r="B288" t="s">
        <v>3685</v>
      </c>
      <c r="D288" t="s">
        <v>2952</v>
      </c>
      <c r="E288" t="s">
        <v>2953</v>
      </c>
      <c r="F288" t="s">
        <v>1227</v>
      </c>
      <c r="G288" t="s">
        <v>2146</v>
      </c>
      <c r="H288">
        <v>8634.75</v>
      </c>
      <c r="I288">
        <v>9066.49</v>
      </c>
      <c r="J288" t="s">
        <v>2944</v>
      </c>
      <c r="K288">
        <v>1</v>
      </c>
      <c r="L288" t="s">
        <v>2945</v>
      </c>
      <c r="M288" s="19">
        <v>46262</v>
      </c>
      <c r="N288" t="s">
        <v>2954</v>
      </c>
      <c r="O288" t="s">
        <v>3113</v>
      </c>
    </row>
    <row r="289" spans="1:15" x14ac:dyDescent="0.3">
      <c r="A289" t="s">
        <v>3686</v>
      </c>
      <c r="B289" t="s">
        <v>3687</v>
      </c>
      <c r="D289" t="s">
        <v>2952</v>
      </c>
      <c r="E289" t="s">
        <v>2953</v>
      </c>
      <c r="F289" t="s">
        <v>1227</v>
      </c>
      <c r="G289" t="s">
        <v>2146</v>
      </c>
      <c r="H289">
        <v>9424.09</v>
      </c>
      <c r="I289">
        <v>9895.2999999999993</v>
      </c>
      <c r="J289" t="s">
        <v>2944</v>
      </c>
      <c r="K289">
        <v>1</v>
      </c>
      <c r="L289" t="s">
        <v>2945</v>
      </c>
      <c r="M289" s="19">
        <v>46262</v>
      </c>
      <c r="N289" t="s">
        <v>2954</v>
      </c>
      <c r="O289" t="s">
        <v>3118</v>
      </c>
    </row>
    <row r="290" spans="1:15" x14ac:dyDescent="0.3">
      <c r="A290" t="s">
        <v>3688</v>
      </c>
      <c r="B290" t="s">
        <v>3689</v>
      </c>
      <c r="D290" t="s">
        <v>2952</v>
      </c>
      <c r="E290" t="s">
        <v>2953</v>
      </c>
      <c r="F290" t="s">
        <v>1227</v>
      </c>
      <c r="G290" t="s">
        <v>2146</v>
      </c>
      <c r="H290">
        <v>10580.25</v>
      </c>
      <c r="I290">
        <v>11109.26</v>
      </c>
      <c r="J290" t="s">
        <v>2944</v>
      </c>
      <c r="K290">
        <v>1</v>
      </c>
      <c r="L290" t="s">
        <v>2945</v>
      </c>
      <c r="M290" s="19">
        <v>46262</v>
      </c>
      <c r="N290" t="s">
        <v>2954</v>
      </c>
      <c r="O290" t="s">
        <v>3636</v>
      </c>
    </row>
    <row r="291" spans="1:15" x14ac:dyDescent="0.3">
      <c r="A291" t="s">
        <v>3690</v>
      </c>
      <c r="B291" t="s">
        <v>3691</v>
      </c>
      <c r="D291" t="s">
        <v>2952</v>
      </c>
      <c r="E291" t="s">
        <v>2953</v>
      </c>
      <c r="F291" t="s">
        <v>1227</v>
      </c>
      <c r="G291" t="s">
        <v>2146</v>
      </c>
      <c r="H291">
        <v>11615.21</v>
      </c>
      <c r="I291">
        <v>12195.97</v>
      </c>
      <c r="J291" t="s">
        <v>2944</v>
      </c>
      <c r="K291">
        <v>1</v>
      </c>
      <c r="L291" t="s">
        <v>2945</v>
      </c>
      <c r="M291" s="19">
        <v>46262</v>
      </c>
      <c r="N291" t="s">
        <v>2954</v>
      </c>
      <c r="O291" t="s">
        <v>3148</v>
      </c>
    </row>
    <row r="292" spans="1:15" x14ac:dyDescent="0.3">
      <c r="A292" t="s">
        <v>3692</v>
      </c>
      <c r="B292" t="s">
        <v>3693</v>
      </c>
      <c r="D292" t="s">
        <v>2952</v>
      </c>
      <c r="E292" t="s">
        <v>2953</v>
      </c>
      <c r="F292" t="s">
        <v>1227</v>
      </c>
      <c r="G292" t="s">
        <v>2146</v>
      </c>
      <c r="H292">
        <v>11161.37</v>
      </c>
      <c r="I292">
        <v>11719.44</v>
      </c>
      <c r="J292" t="s">
        <v>2944</v>
      </c>
      <c r="K292">
        <v>1</v>
      </c>
      <c r="L292" t="s">
        <v>2945</v>
      </c>
      <c r="M292" s="19">
        <v>46262</v>
      </c>
      <c r="N292" t="s">
        <v>2954</v>
      </c>
      <c r="O292" t="s">
        <v>3641</v>
      </c>
    </row>
    <row r="293" spans="1:15" x14ac:dyDescent="0.3">
      <c r="A293" t="s">
        <v>3694</v>
      </c>
      <c r="B293" t="s">
        <v>3695</v>
      </c>
      <c r="D293" t="s">
        <v>2952</v>
      </c>
      <c r="E293" t="s">
        <v>2953</v>
      </c>
      <c r="F293" t="s">
        <v>1227</v>
      </c>
      <c r="G293" t="s">
        <v>2146</v>
      </c>
      <c r="H293">
        <v>12063.36</v>
      </c>
      <c r="I293">
        <v>12666.53</v>
      </c>
      <c r="J293" t="s">
        <v>2944</v>
      </c>
      <c r="K293">
        <v>1</v>
      </c>
      <c r="L293" t="s">
        <v>2945</v>
      </c>
      <c r="M293" s="19">
        <v>46262</v>
      </c>
      <c r="N293" t="s">
        <v>2954</v>
      </c>
      <c r="O293" t="s">
        <v>3644</v>
      </c>
    </row>
    <row r="294" spans="1:15" x14ac:dyDescent="0.3">
      <c r="A294" t="s">
        <v>3696</v>
      </c>
      <c r="B294" t="s">
        <v>3697</v>
      </c>
      <c r="D294" t="s">
        <v>2952</v>
      </c>
      <c r="E294" t="s">
        <v>2953</v>
      </c>
      <c r="F294" t="s">
        <v>1227</v>
      </c>
      <c r="G294" t="s">
        <v>2146</v>
      </c>
      <c r="H294">
        <v>17690.41</v>
      </c>
      <c r="I294">
        <v>18574.93</v>
      </c>
      <c r="J294" t="s">
        <v>2944</v>
      </c>
      <c r="K294">
        <v>1</v>
      </c>
      <c r="L294" t="s">
        <v>2945</v>
      </c>
      <c r="M294" s="19">
        <v>46262</v>
      </c>
      <c r="N294" t="s">
        <v>2954</v>
      </c>
      <c r="O294" t="s">
        <v>3617</v>
      </c>
    </row>
    <row r="295" spans="1:15" x14ac:dyDescent="0.3">
      <c r="A295" t="s">
        <v>3698</v>
      </c>
      <c r="B295" t="s">
        <v>3699</v>
      </c>
      <c r="D295" t="s">
        <v>2952</v>
      </c>
      <c r="E295" t="s">
        <v>2953</v>
      </c>
      <c r="F295" t="s">
        <v>1227</v>
      </c>
      <c r="G295" t="s">
        <v>2146</v>
      </c>
      <c r="H295">
        <v>18419.150000000001</v>
      </c>
      <c r="I295">
        <v>19340.11</v>
      </c>
      <c r="J295" t="s">
        <v>2944</v>
      </c>
      <c r="K295">
        <v>1</v>
      </c>
      <c r="L295" t="s">
        <v>2945</v>
      </c>
      <c r="M295" s="19">
        <v>46262</v>
      </c>
      <c r="N295" t="s">
        <v>2954</v>
      </c>
      <c r="O295" t="s">
        <v>3620</v>
      </c>
    </row>
    <row r="296" spans="1:15" x14ac:dyDescent="0.3">
      <c r="A296" t="s">
        <v>3700</v>
      </c>
      <c r="B296" t="s">
        <v>3701</v>
      </c>
      <c r="D296" t="s">
        <v>2952</v>
      </c>
      <c r="E296" t="s">
        <v>2953</v>
      </c>
      <c r="F296" t="s">
        <v>1227</v>
      </c>
      <c r="G296" t="s">
        <v>2146</v>
      </c>
      <c r="H296">
        <v>18965.71</v>
      </c>
      <c r="I296">
        <v>19914</v>
      </c>
      <c r="J296" t="s">
        <v>2944</v>
      </c>
      <c r="K296">
        <v>1</v>
      </c>
      <c r="L296" t="s">
        <v>2945</v>
      </c>
      <c r="M296" s="19">
        <v>46262</v>
      </c>
      <c r="N296" t="s">
        <v>2954</v>
      </c>
      <c r="O296" t="s">
        <v>3623</v>
      </c>
    </row>
    <row r="297" spans="1:15" x14ac:dyDescent="0.3">
      <c r="A297" t="s">
        <v>3702</v>
      </c>
      <c r="B297" t="s">
        <v>3703</v>
      </c>
      <c r="D297" t="s">
        <v>2952</v>
      </c>
      <c r="E297" t="s">
        <v>2953</v>
      </c>
      <c r="F297" t="s">
        <v>1227</v>
      </c>
      <c r="G297" t="s">
        <v>2146</v>
      </c>
      <c r="H297">
        <v>19199.55</v>
      </c>
      <c r="I297">
        <v>20159.52</v>
      </c>
      <c r="J297" t="s">
        <v>2944</v>
      </c>
      <c r="K297">
        <v>1</v>
      </c>
      <c r="L297" t="s">
        <v>2945</v>
      </c>
      <c r="M297" s="19">
        <v>46262</v>
      </c>
      <c r="N297" t="s">
        <v>2954</v>
      </c>
      <c r="O297" t="s">
        <v>3704</v>
      </c>
    </row>
    <row r="298" spans="1:15" x14ac:dyDescent="0.3">
      <c r="A298" t="s">
        <v>3705</v>
      </c>
      <c r="B298" t="s">
        <v>3706</v>
      </c>
      <c r="D298" t="s">
        <v>2952</v>
      </c>
      <c r="E298" t="s">
        <v>2953</v>
      </c>
      <c r="F298" t="s">
        <v>1227</v>
      </c>
      <c r="G298" t="s">
        <v>2146</v>
      </c>
      <c r="H298">
        <v>6140.26</v>
      </c>
      <c r="I298">
        <v>6447.27</v>
      </c>
      <c r="J298" t="s">
        <v>2944</v>
      </c>
      <c r="K298">
        <v>1</v>
      </c>
      <c r="L298" t="s">
        <v>2945</v>
      </c>
      <c r="M298" s="19">
        <v>46262</v>
      </c>
      <c r="N298" t="s">
        <v>2954</v>
      </c>
      <c r="O298" t="s">
        <v>3048</v>
      </c>
    </row>
    <row r="299" spans="1:15" x14ac:dyDescent="0.3">
      <c r="A299" t="s">
        <v>3707</v>
      </c>
      <c r="B299" t="s">
        <v>3708</v>
      </c>
      <c r="D299" t="s">
        <v>2952</v>
      </c>
      <c r="E299" t="s">
        <v>2953</v>
      </c>
      <c r="F299" t="s">
        <v>1227</v>
      </c>
      <c r="G299" t="s">
        <v>2146</v>
      </c>
      <c r="H299">
        <v>6472.1</v>
      </c>
      <c r="I299">
        <v>6795.7</v>
      </c>
      <c r="J299" t="s">
        <v>2944</v>
      </c>
      <c r="K299">
        <v>1</v>
      </c>
      <c r="L299" t="s">
        <v>2945</v>
      </c>
      <c r="M299" s="19">
        <v>46262</v>
      </c>
      <c r="N299" t="s">
        <v>2954</v>
      </c>
      <c r="O299" t="s">
        <v>3053</v>
      </c>
    </row>
    <row r="300" spans="1:15" x14ac:dyDescent="0.3">
      <c r="A300" t="s">
        <v>3709</v>
      </c>
      <c r="B300" t="s">
        <v>3710</v>
      </c>
      <c r="D300" t="s">
        <v>2952</v>
      </c>
      <c r="E300" t="s">
        <v>2953</v>
      </c>
      <c r="F300" t="s">
        <v>1227</v>
      </c>
      <c r="G300" t="s">
        <v>2146</v>
      </c>
      <c r="H300">
        <v>7108.53</v>
      </c>
      <c r="I300">
        <v>7463.96</v>
      </c>
      <c r="J300" t="s">
        <v>2944</v>
      </c>
      <c r="K300">
        <v>1</v>
      </c>
      <c r="L300" t="s">
        <v>2945</v>
      </c>
      <c r="M300" s="19">
        <v>46262</v>
      </c>
      <c r="N300" t="s">
        <v>2954</v>
      </c>
      <c r="O300" t="s">
        <v>3083</v>
      </c>
    </row>
    <row r="301" spans="1:15" x14ac:dyDescent="0.3">
      <c r="A301" t="s">
        <v>3711</v>
      </c>
      <c r="B301" t="s">
        <v>3712</v>
      </c>
      <c r="D301" t="s">
        <v>2952</v>
      </c>
      <c r="E301" t="s">
        <v>2953</v>
      </c>
      <c r="F301" t="s">
        <v>1227</v>
      </c>
      <c r="G301" t="s">
        <v>2146</v>
      </c>
      <c r="H301">
        <v>8138.62</v>
      </c>
      <c r="I301">
        <v>8545.5499999999993</v>
      </c>
      <c r="J301" t="s">
        <v>2944</v>
      </c>
      <c r="K301">
        <v>1</v>
      </c>
      <c r="L301" t="s">
        <v>2945</v>
      </c>
      <c r="M301" s="19">
        <v>46262</v>
      </c>
      <c r="N301" t="s">
        <v>2954</v>
      </c>
      <c r="O301" t="s">
        <v>3113</v>
      </c>
    </row>
    <row r="302" spans="1:15" x14ac:dyDescent="0.3">
      <c r="A302" t="s">
        <v>3713</v>
      </c>
      <c r="B302" t="s">
        <v>3714</v>
      </c>
      <c r="D302" t="s">
        <v>2952</v>
      </c>
      <c r="E302" t="s">
        <v>2953</v>
      </c>
      <c r="F302" t="s">
        <v>1227</v>
      </c>
      <c r="G302" t="s">
        <v>2146</v>
      </c>
      <c r="H302">
        <v>8351.31</v>
      </c>
      <c r="I302">
        <v>8768.8700000000008</v>
      </c>
      <c r="J302" t="s">
        <v>2944</v>
      </c>
      <c r="K302">
        <v>1</v>
      </c>
      <c r="L302" t="s">
        <v>2945</v>
      </c>
      <c r="M302" s="19">
        <v>46262</v>
      </c>
      <c r="N302" t="s">
        <v>2954</v>
      </c>
      <c r="O302" t="s">
        <v>3118</v>
      </c>
    </row>
    <row r="303" spans="1:15" x14ac:dyDescent="0.3">
      <c r="A303" t="s">
        <v>3715</v>
      </c>
      <c r="B303" t="s">
        <v>3716</v>
      </c>
      <c r="D303" t="s">
        <v>2952</v>
      </c>
      <c r="E303" t="s">
        <v>2953</v>
      </c>
      <c r="F303" t="s">
        <v>1227</v>
      </c>
      <c r="G303" t="s">
        <v>2146</v>
      </c>
      <c r="H303">
        <v>9652.64</v>
      </c>
      <c r="I303">
        <v>10135.27</v>
      </c>
      <c r="J303" t="s">
        <v>2944</v>
      </c>
      <c r="K303">
        <v>1</v>
      </c>
      <c r="L303" t="s">
        <v>2945</v>
      </c>
      <c r="M303" s="19">
        <v>46262</v>
      </c>
      <c r="N303" t="s">
        <v>2954</v>
      </c>
      <c r="O303" t="s">
        <v>3636</v>
      </c>
    </row>
    <row r="304" spans="1:15" x14ac:dyDescent="0.3">
      <c r="A304" t="s">
        <v>3717</v>
      </c>
      <c r="B304" t="s">
        <v>3718</v>
      </c>
      <c r="D304" t="s">
        <v>2952</v>
      </c>
      <c r="E304" t="s">
        <v>2953</v>
      </c>
      <c r="F304" t="s">
        <v>1227</v>
      </c>
      <c r="G304" t="s">
        <v>2146</v>
      </c>
      <c r="H304">
        <v>10189.030000000001</v>
      </c>
      <c r="I304">
        <v>10698.49</v>
      </c>
      <c r="J304" t="s">
        <v>2944</v>
      </c>
      <c r="K304">
        <v>1</v>
      </c>
      <c r="L304" t="s">
        <v>2945</v>
      </c>
      <c r="M304" s="19">
        <v>46262</v>
      </c>
      <c r="N304" t="s">
        <v>2954</v>
      </c>
      <c r="O304" t="s">
        <v>3148</v>
      </c>
    </row>
    <row r="305" spans="1:15" x14ac:dyDescent="0.3">
      <c r="A305" t="s">
        <v>3719</v>
      </c>
      <c r="B305" t="s">
        <v>3720</v>
      </c>
      <c r="D305" t="s">
        <v>2952</v>
      </c>
      <c r="E305" t="s">
        <v>2953</v>
      </c>
      <c r="F305" t="s">
        <v>1227</v>
      </c>
      <c r="G305" t="s">
        <v>2146</v>
      </c>
      <c r="H305">
        <v>11055.23</v>
      </c>
      <c r="I305">
        <v>11608</v>
      </c>
      <c r="J305" t="s">
        <v>2944</v>
      </c>
      <c r="K305">
        <v>1</v>
      </c>
      <c r="L305" t="s">
        <v>2945</v>
      </c>
      <c r="M305" s="19">
        <v>46262</v>
      </c>
      <c r="N305" t="s">
        <v>2954</v>
      </c>
      <c r="O305" t="s">
        <v>3641</v>
      </c>
    </row>
    <row r="306" spans="1:15" x14ac:dyDescent="0.3">
      <c r="A306" t="s">
        <v>3721</v>
      </c>
      <c r="B306" t="s">
        <v>3722</v>
      </c>
      <c r="D306" t="s">
        <v>2952</v>
      </c>
      <c r="E306" t="s">
        <v>2953</v>
      </c>
      <c r="F306" t="s">
        <v>1227</v>
      </c>
      <c r="G306" t="s">
        <v>2146</v>
      </c>
      <c r="H306">
        <v>11948.27</v>
      </c>
      <c r="I306">
        <v>12545.69</v>
      </c>
      <c r="J306" t="s">
        <v>2944</v>
      </c>
      <c r="K306">
        <v>1</v>
      </c>
      <c r="L306" t="s">
        <v>2945</v>
      </c>
      <c r="M306" s="19">
        <v>46262</v>
      </c>
      <c r="N306" t="s">
        <v>2954</v>
      </c>
      <c r="O306" t="s">
        <v>3644</v>
      </c>
    </row>
    <row r="307" spans="1:15" x14ac:dyDescent="0.3">
      <c r="A307" t="s">
        <v>3723</v>
      </c>
      <c r="B307" t="s">
        <v>3724</v>
      </c>
      <c r="D307" t="s">
        <v>2952</v>
      </c>
      <c r="E307" t="s">
        <v>2953</v>
      </c>
      <c r="F307" t="s">
        <v>1227</v>
      </c>
      <c r="G307" t="s">
        <v>2146</v>
      </c>
      <c r="H307">
        <v>14033.25</v>
      </c>
      <c r="I307">
        <v>14734.92</v>
      </c>
      <c r="J307" t="s">
        <v>2944</v>
      </c>
      <c r="K307">
        <v>1</v>
      </c>
      <c r="L307" t="s">
        <v>2945</v>
      </c>
      <c r="M307" s="19">
        <v>46262</v>
      </c>
      <c r="N307" t="s">
        <v>2954</v>
      </c>
      <c r="O307" t="s">
        <v>3647</v>
      </c>
    </row>
    <row r="308" spans="1:15" x14ac:dyDescent="0.3">
      <c r="A308" t="s">
        <v>3725</v>
      </c>
      <c r="B308" t="s">
        <v>3726</v>
      </c>
      <c r="D308" t="s">
        <v>2952</v>
      </c>
      <c r="E308" t="s">
        <v>2953</v>
      </c>
      <c r="F308" t="s">
        <v>1227</v>
      </c>
      <c r="G308" t="s">
        <v>2146</v>
      </c>
      <c r="H308">
        <v>14164.2</v>
      </c>
      <c r="I308">
        <v>14872.41</v>
      </c>
      <c r="J308" t="s">
        <v>2944</v>
      </c>
      <c r="K308">
        <v>1</v>
      </c>
      <c r="L308" t="s">
        <v>2945</v>
      </c>
      <c r="M308" s="19">
        <v>46262</v>
      </c>
      <c r="N308" t="s">
        <v>2954</v>
      </c>
      <c r="O308" t="s">
        <v>3650</v>
      </c>
    </row>
    <row r="309" spans="1:15" x14ac:dyDescent="0.3">
      <c r="A309" t="s">
        <v>3727</v>
      </c>
      <c r="B309" t="s">
        <v>3728</v>
      </c>
      <c r="D309" t="s">
        <v>2952</v>
      </c>
      <c r="E309" t="s">
        <v>2953</v>
      </c>
      <c r="F309" t="s">
        <v>1227</v>
      </c>
      <c r="G309" t="s">
        <v>2146</v>
      </c>
      <c r="H309">
        <v>15353.29</v>
      </c>
      <c r="I309">
        <v>16120.96</v>
      </c>
      <c r="J309" t="s">
        <v>2944</v>
      </c>
      <c r="K309">
        <v>1</v>
      </c>
      <c r="L309" t="s">
        <v>2945</v>
      </c>
      <c r="M309" s="19">
        <v>46262</v>
      </c>
      <c r="N309" t="s">
        <v>2954</v>
      </c>
      <c r="O309" t="s">
        <v>3653</v>
      </c>
    </row>
    <row r="310" spans="1:15" x14ac:dyDescent="0.3">
      <c r="A310" t="s">
        <v>3729</v>
      </c>
      <c r="B310" t="s">
        <v>3730</v>
      </c>
      <c r="D310" t="s">
        <v>2952</v>
      </c>
      <c r="E310" t="s">
        <v>2953</v>
      </c>
      <c r="F310" t="s">
        <v>1227</v>
      </c>
      <c r="G310" t="s">
        <v>2146</v>
      </c>
      <c r="H310">
        <v>15469.19</v>
      </c>
      <c r="I310">
        <v>16242.65</v>
      </c>
      <c r="J310" t="s">
        <v>2944</v>
      </c>
      <c r="K310">
        <v>1</v>
      </c>
      <c r="L310" t="s">
        <v>2945</v>
      </c>
      <c r="M310" s="19">
        <v>46262</v>
      </c>
      <c r="N310" t="s">
        <v>2954</v>
      </c>
      <c r="O310" t="s">
        <v>3656</v>
      </c>
    </row>
    <row r="311" spans="1:15" x14ac:dyDescent="0.3">
      <c r="A311" t="s">
        <v>3731</v>
      </c>
      <c r="B311" t="s">
        <v>3732</v>
      </c>
      <c r="D311" t="s">
        <v>2952</v>
      </c>
      <c r="E311" t="s">
        <v>2953</v>
      </c>
      <c r="F311" t="s">
        <v>1227</v>
      </c>
      <c r="G311" t="s">
        <v>2146</v>
      </c>
      <c r="H311">
        <v>16930.349999999999</v>
      </c>
      <c r="I311">
        <v>17776.86</v>
      </c>
      <c r="J311" t="s">
        <v>2944</v>
      </c>
      <c r="K311">
        <v>1</v>
      </c>
      <c r="L311" t="s">
        <v>2945</v>
      </c>
      <c r="M311" s="19">
        <v>46262</v>
      </c>
      <c r="N311" t="s">
        <v>2954</v>
      </c>
      <c r="O311" t="s">
        <v>3659</v>
      </c>
    </row>
    <row r="312" spans="1:15" x14ac:dyDescent="0.3">
      <c r="A312" t="s">
        <v>3733</v>
      </c>
      <c r="B312" t="s">
        <v>3734</v>
      </c>
      <c r="D312" t="s">
        <v>2952</v>
      </c>
      <c r="E312" t="s">
        <v>2953</v>
      </c>
      <c r="F312" t="s">
        <v>1227</v>
      </c>
      <c r="G312" t="s">
        <v>2146</v>
      </c>
      <c r="H312">
        <v>5903.99</v>
      </c>
      <c r="I312">
        <v>6199.19</v>
      </c>
      <c r="J312" t="s">
        <v>2944</v>
      </c>
      <c r="K312">
        <v>1</v>
      </c>
      <c r="L312" t="s">
        <v>2945</v>
      </c>
      <c r="M312" s="19">
        <v>46262</v>
      </c>
      <c r="N312" t="s">
        <v>2954</v>
      </c>
      <c r="O312" t="s">
        <v>3048</v>
      </c>
    </row>
    <row r="313" spans="1:15" x14ac:dyDescent="0.3">
      <c r="A313" t="s">
        <v>3735</v>
      </c>
      <c r="B313" t="s">
        <v>3736</v>
      </c>
      <c r="D313" t="s">
        <v>2952</v>
      </c>
      <c r="E313" t="s">
        <v>2953</v>
      </c>
      <c r="F313" t="s">
        <v>1227</v>
      </c>
      <c r="G313" t="s">
        <v>2146</v>
      </c>
      <c r="H313">
        <v>6222.81</v>
      </c>
      <c r="I313">
        <v>6533.95</v>
      </c>
      <c r="J313" t="s">
        <v>2944</v>
      </c>
      <c r="K313">
        <v>1</v>
      </c>
      <c r="L313" t="s">
        <v>2945</v>
      </c>
      <c r="M313" s="19">
        <v>46262</v>
      </c>
      <c r="N313" t="s">
        <v>2954</v>
      </c>
      <c r="O313" t="s">
        <v>3053</v>
      </c>
    </row>
    <row r="314" spans="1:15" x14ac:dyDescent="0.3">
      <c r="A314" t="s">
        <v>3737</v>
      </c>
      <c r="B314" t="s">
        <v>3738</v>
      </c>
      <c r="D314" t="s">
        <v>2952</v>
      </c>
      <c r="E314" t="s">
        <v>2953</v>
      </c>
      <c r="F314" t="s">
        <v>1227</v>
      </c>
      <c r="G314" t="s">
        <v>2146</v>
      </c>
      <c r="H314">
        <v>6835.25</v>
      </c>
      <c r="I314">
        <v>7177.02</v>
      </c>
      <c r="J314" t="s">
        <v>2944</v>
      </c>
      <c r="K314">
        <v>1</v>
      </c>
      <c r="L314" t="s">
        <v>2945</v>
      </c>
      <c r="M314" s="19">
        <v>46262</v>
      </c>
      <c r="N314" t="s">
        <v>2954</v>
      </c>
      <c r="O314" t="s">
        <v>3083</v>
      </c>
    </row>
    <row r="315" spans="1:15" x14ac:dyDescent="0.3">
      <c r="A315" t="s">
        <v>3739</v>
      </c>
      <c r="B315" t="s">
        <v>3740</v>
      </c>
      <c r="D315" t="s">
        <v>2952</v>
      </c>
      <c r="E315" t="s">
        <v>2953</v>
      </c>
      <c r="F315" t="s">
        <v>1227</v>
      </c>
      <c r="G315" t="s">
        <v>2146</v>
      </c>
      <c r="H315">
        <v>7825.08</v>
      </c>
      <c r="I315">
        <v>8216.33</v>
      </c>
      <c r="J315" t="s">
        <v>2944</v>
      </c>
      <c r="K315">
        <v>1</v>
      </c>
      <c r="L315" t="s">
        <v>2945</v>
      </c>
      <c r="M315" s="19">
        <v>46262</v>
      </c>
      <c r="N315" t="s">
        <v>2954</v>
      </c>
      <c r="O315" t="s">
        <v>3113</v>
      </c>
    </row>
    <row r="316" spans="1:15" x14ac:dyDescent="0.3">
      <c r="A316" t="s">
        <v>3741</v>
      </c>
      <c r="B316" t="s">
        <v>3742</v>
      </c>
      <c r="D316" t="s">
        <v>2952</v>
      </c>
      <c r="E316" t="s">
        <v>2953</v>
      </c>
      <c r="F316" t="s">
        <v>1227</v>
      </c>
      <c r="G316" t="s">
        <v>2146</v>
      </c>
      <c r="H316">
        <v>8030.04</v>
      </c>
      <c r="I316">
        <v>8431.5400000000009</v>
      </c>
      <c r="J316" t="s">
        <v>2944</v>
      </c>
      <c r="K316">
        <v>1</v>
      </c>
      <c r="L316" t="s">
        <v>2945</v>
      </c>
      <c r="M316" s="19">
        <v>46262</v>
      </c>
      <c r="N316" t="s">
        <v>2954</v>
      </c>
      <c r="O316" t="s">
        <v>3118</v>
      </c>
    </row>
    <row r="317" spans="1:15" x14ac:dyDescent="0.3">
      <c r="A317" t="s">
        <v>3743</v>
      </c>
      <c r="B317" t="s">
        <v>3744</v>
      </c>
      <c r="D317" t="s">
        <v>2952</v>
      </c>
      <c r="E317" t="s">
        <v>2953</v>
      </c>
      <c r="F317" t="s">
        <v>1227</v>
      </c>
      <c r="G317" t="s">
        <v>2146</v>
      </c>
      <c r="H317">
        <v>9281.35</v>
      </c>
      <c r="I317">
        <v>9745.42</v>
      </c>
      <c r="J317" t="s">
        <v>2944</v>
      </c>
      <c r="K317">
        <v>1</v>
      </c>
      <c r="L317" t="s">
        <v>2945</v>
      </c>
      <c r="M317" s="19">
        <v>46262</v>
      </c>
      <c r="N317" t="s">
        <v>2954</v>
      </c>
      <c r="O317" t="s">
        <v>3636</v>
      </c>
    </row>
    <row r="318" spans="1:15" x14ac:dyDescent="0.3">
      <c r="A318" t="s">
        <v>3745</v>
      </c>
      <c r="B318" t="s">
        <v>3746</v>
      </c>
      <c r="D318" t="s">
        <v>2952</v>
      </c>
      <c r="E318" t="s">
        <v>2953</v>
      </c>
      <c r="F318" t="s">
        <v>1227</v>
      </c>
      <c r="G318" t="s">
        <v>2146</v>
      </c>
      <c r="H318">
        <v>9797.41</v>
      </c>
      <c r="I318">
        <v>10287.280000000001</v>
      </c>
      <c r="J318" t="s">
        <v>2944</v>
      </c>
      <c r="K318">
        <v>1</v>
      </c>
      <c r="L318" t="s">
        <v>2945</v>
      </c>
      <c r="M318" s="19">
        <v>46262</v>
      </c>
      <c r="N318" t="s">
        <v>2954</v>
      </c>
      <c r="O318" t="s">
        <v>3148</v>
      </c>
    </row>
    <row r="319" spans="1:15" x14ac:dyDescent="0.3">
      <c r="A319" t="s">
        <v>3747</v>
      </c>
      <c r="B319" t="s">
        <v>3748</v>
      </c>
      <c r="D319" t="s">
        <v>2952</v>
      </c>
      <c r="E319" t="s">
        <v>2953</v>
      </c>
      <c r="F319" t="s">
        <v>1227</v>
      </c>
      <c r="G319" t="s">
        <v>2146</v>
      </c>
      <c r="H319">
        <v>10629.86</v>
      </c>
      <c r="I319">
        <v>11161.35</v>
      </c>
      <c r="J319" t="s">
        <v>2944</v>
      </c>
      <c r="K319">
        <v>1</v>
      </c>
      <c r="L319" t="s">
        <v>2945</v>
      </c>
      <c r="M319" s="19">
        <v>46262</v>
      </c>
      <c r="N319" t="s">
        <v>2954</v>
      </c>
      <c r="O319" t="s">
        <v>3641</v>
      </c>
    </row>
    <row r="320" spans="1:15" x14ac:dyDescent="0.3">
      <c r="A320" t="s">
        <v>3749</v>
      </c>
      <c r="B320" t="s">
        <v>3750</v>
      </c>
      <c r="D320" t="s">
        <v>2952</v>
      </c>
      <c r="E320" t="s">
        <v>2953</v>
      </c>
      <c r="F320" t="s">
        <v>1227</v>
      </c>
      <c r="G320" t="s">
        <v>2146</v>
      </c>
      <c r="H320">
        <v>11488.74</v>
      </c>
      <c r="I320">
        <v>12063.18</v>
      </c>
      <c r="J320" t="s">
        <v>2944</v>
      </c>
      <c r="K320">
        <v>1</v>
      </c>
      <c r="L320" t="s">
        <v>2945</v>
      </c>
      <c r="M320" s="19">
        <v>46262</v>
      </c>
      <c r="N320" t="s">
        <v>2954</v>
      </c>
      <c r="O320" t="s">
        <v>3644</v>
      </c>
    </row>
    <row r="321" spans="1:15" x14ac:dyDescent="0.3">
      <c r="A321" t="s">
        <v>3751</v>
      </c>
      <c r="B321" t="s">
        <v>3752</v>
      </c>
      <c r="D321" t="s">
        <v>2952</v>
      </c>
      <c r="E321" t="s">
        <v>2953</v>
      </c>
      <c r="F321" t="s">
        <v>1227</v>
      </c>
      <c r="G321" t="s">
        <v>2146</v>
      </c>
      <c r="H321">
        <v>3174.44</v>
      </c>
      <c r="I321">
        <v>3333.16</v>
      </c>
      <c r="J321" t="s">
        <v>2944</v>
      </c>
      <c r="K321">
        <v>1</v>
      </c>
      <c r="L321" t="s">
        <v>2945</v>
      </c>
      <c r="M321" s="19">
        <v>46262</v>
      </c>
      <c r="N321" t="s">
        <v>2954</v>
      </c>
      <c r="O321" t="s">
        <v>3020</v>
      </c>
    </row>
    <row r="322" spans="1:15" x14ac:dyDescent="0.3">
      <c r="A322" t="s">
        <v>3753</v>
      </c>
      <c r="B322" t="s">
        <v>3754</v>
      </c>
      <c r="D322" t="s">
        <v>2952</v>
      </c>
      <c r="E322" t="s">
        <v>2953</v>
      </c>
      <c r="F322" t="s">
        <v>1227</v>
      </c>
      <c r="G322" t="s">
        <v>2146</v>
      </c>
      <c r="H322">
        <v>3331.01</v>
      </c>
      <c r="I322">
        <v>3497.56</v>
      </c>
      <c r="J322" t="s">
        <v>2944</v>
      </c>
      <c r="K322">
        <v>1</v>
      </c>
      <c r="L322" t="s">
        <v>2945</v>
      </c>
      <c r="M322" s="19">
        <v>46262</v>
      </c>
      <c r="N322" t="s">
        <v>2954</v>
      </c>
      <c r="O322" t="s">
        <v>3053</v>
      </c>
    </row>
    <row r="323" spans="1:15" x14ac:dyDescent="0.3">
      <c r="A323" t="s">
        <v>3755</v>
      </c>
      <c r="B323" t="s">
        <v>3756</v>
      </c>
      <c r="D323" t="s">
        <v>2952</v>
      </c>
      <c r="E323" t="s">
        <v>2953</v>
      </c>
      <c r="F323" t="s">
        <v>1227</v>
      </c>
      <c r="G323" t="s">
        <v>2146</v>
      </c>
      <c r="H323">
        <v>4100.01</v>
      </c>
      <c r="I323">
        <v>4305.01</v>
      </c>
      <c r="J323" t="s">
        <v>2944</v>
      </c>
      <c r="K323">
        <v>1</v>
      </c>
      <c r="L323" t="s">
        <v>2945</v>
      </c>
      <c r="M323" s="19">
        <v>46262</v>
      </c>
      <c r="N323" t="s">
        <v>2954</v>
      </c>
      <c r="O323" t="s">
        <v>3083</v>
      </c>
    </row>
    <row r="324" spans="1:15" x14ac:dyDescent="0.3">
      <c r="A324" t="s">
        <v>3757</v>
      </c>
      <c r="B324" t="s">
        <v>3758</v>
      </c>
      <c r="D324" t="s">
        <v>2952</v>
      </c>
      <c r="E324" t="s">
        <v>2953</v>
      </c>
      <c r="F324" t="s">
        <v>1227</v>
      </c>
      <c r="G324" t="s">
        <v>2146</v>
      </c>
      <c r="H324">
        <v>5130.1000000000004</v>
      </c>
      <c r="I324">
        <v>5386.6</v>
      </c>
      <c r="J324" t="s">
        <v>2944</v>
      </c>
      <c r="K324">
        <v>1</v>
      </c>
      <c r="L324" t="s">
        <v>2945</v>
      </c>
      <c r="M324" s="19">
        <v>46262</v>
      </c>
      <c r="N324" t="s">
        <v>2954</v>
      </c>
      <c r="O324" t="s">
        <v>3113</v>
      </c>
    </row>
    <row r="325" spans="1:15" x14ac:dyDescent="0.3">
      <c r="A325" t="s">
        <v>3759</v>
      </c>
      <c r="B325" t="s">
        <v>3760</v>
      </c>
      <c r="D325" t="s">
        <v>2952</v>
      </c>
      <c r="E325" t="s">
        <v>2953</v>
      </c>
      <c r="F325" t="s">
        <v>1227</v>
      </c>
      <c r="G325" t="s">
        <v>2146</v>
      </c>
      <c r="H325">
        <v>5413.55</v>
      </c>
      <c r="I325">
        <v>5684.22</v>
      </c>
      <c r="J325" t="s">
        <v>2944</v>
      </c>
      <c r="K325">
        <v>1</v>
      </c>
      <c r="L325" t="s">
        <v>2945</v>
      </c>
      <c r="M325" s="19">
        <v>46262</v>
      </c>
      <c r="N325" t="s">
        <v>2954</v>
      </c>
      <c r="O325" t="s">
        <v>3118</v>
      </c>
    </row>
    <row r="326" spans="1:15" x14ac:dyDescent="0.3">
      <c r="A326" t="s">
        <v>3761</v>
      </c>
      <c r="B326" t="s">
        <v>3762</v>
      </c>
      <c r="D326" t="s">
        <v>2952</v>
      </c>
      <c r="E326" t="s">
        <v>2953</v>
      </c>
      <c r="F326" t="s">
        <v>1227</v>
      </c>
      <c r="G326" t="s">
        <v>2146</v>
      </c>
      <c r="H326">
        <v>6911.3</v>
      </c>
      <c r="I326">
        <v>7256.87</v>
      </c>
      <c r="J326" t="s">
        <v>2944</v>
      </c>
      <c r="K326">
        <v>1</v>
      </c>
      <c r="L326" t="s">
        <v>2945</v>
      </c>
      <c r="M326" s="19">
        <v>46262</v>
      </c>
      <c r="N326" t="s">
        <v>2954</v>
      </c>
      <c r="O326" t="s">
        <v>3636</v>
      </c>
    </row>
    <row r="327" spans="1:15" x14ac:dyDescent="0.3">
      <c r="A327" t="s">
        <v>3763</v>
      </c>
      <c r="B327" t="s">
        <v>3764</v>
      </c>
      <c r="D327" t="s">
        <v>2952</v>
      </c>
      <c r="E327" t="s">
        <v>2953</v>
      </c>
      <c r="F327" t="s">
        <v>1227</v>
      </c>
      <c r="G327" t="s">
        <v>2146</v>
      </c>
      <c r="H327">
        <v>7130.09</v>
      </c>
      <c r="I327">
        <v>7486.59</v>
      </c>
      <c r="J327" t="s">
        <v>2944</v>
      </c>
      <c r="K327">
        <v>1</v>
      </c>
      <c r="L327" t="s">
        <v>2945</v>
      </c>
      <c r="M327" s="19">
        <v>46262</v>
      </c>
      <c r="N327" t="s">
        <v>2954</v>
      </c>
      <c r="O327" t="s">
        <v>3148</v>
      </c>
    </row>
    <row r="328" spans="1:15" x14ac:dyDescent="0.3">
      <c r="A328" t="s">
        <v>3765</v>
      </c>
      <c r="B328" t="s">
        <v>3766</v>
      </c>
      <c r="D328" t="s">
        <v>2952</v>
      </c>
      <c r="E328" t="s">
        <v>2953</v>
      </c>
      <c r="F328" t="s">
        <v>1227</v>
      </c>
      <c r="G328" t="s">
        <v>2146</v>
      </c>
      <c r="H328">
        <v>7781.97</v>
      </c>
      <c r="I328">
        <v>8171.07</v>
      </c>
      <c r="J328" t="s">
        <v>2944</v>
      </c>
      <c r="K328">
        <v>1</v>
      </c>
      <c r="L328" t="s">
        <v>2945</v>
      </c>
      <c r="M328" s="19">
        <v>46262</v>
      </c>
      <c r="N328" t="s">
        <v>2954</v>
      </c>
      <c r="O328" t="s">
        <v>3641</v>
      </c>
    </row>
    <row r="329" spans="1:15" x14ac:dyDescent="0.3">
      <c r="A329" t="s">
        <v>3767</v>
      </c>
      <c r="B329" t="s">
        <v>3768</v>
      </c>
      <c r="D329" t="s">
        <v>2952</v>
      </c>
      <c r="E329" t="s">
        <v>2953</v>
      </c>
      <c r="F329" t="s">
        <v>1227</v>
      </c>
      <c r="G329" t="s">
        <v>2146</v>
      </c>
      <c r="H329">
        <v>8232.56</v>
      </c>
      <c r="I329">
        <v>8644.19</v>
      </c>
      <c r="J329" t="s">
        <v>2944</v>
      </c>
      <c r="K329">
        <v>1</v>
      </c>
      <c r="L329" t="s">
        <v>2945</v>
      </c>
      <c r="M329" s="19">
        <v>46262</v>
      </c>
      <c r="N329" t="s">
        <v>2954</v>
      </c>
      <c r="O329" t="s">
        <v>3644</v>
      </c>
    </row>
    <row r="330" spans="1:15" x14ac:dyDescent="0.3">
      <c r="A330" t="s">
        <v>3769</v>
      </c>
      <c r="B330" t="s">
        <v>3770</v>
      </c>
      <c r="D330" t="s">
        <v>2952</v>
      </c>
      <c r="E330" t="s">
        <v>2953</v>
      </c>
      <c r="F330" t="s">
        <v>1227</v>
      </c>
      <c r="G330" t="s">
        <v>2146</v>
      </c>
      <c r="H330">
        <v>8683.15</v>
      </c>
      <c r="I330">
        <v>9117.2999999999993</v>
      </c>
      <c r="J330" t="s">
        <v>2944</v>
      </c>
      <c r="K330">
        <v>1</v>
      </c>
      <c r="L330" t="s">
        <v>2945</v>
      </c>
      <c r="M330" s="19">
        <v>46262</v>
      </c>
      <c r="N330" t="s">
        <v>2954</v>
      </c>
      <c r="O330" t="s">
        <v>3647</v>
      </c>
    </row>
    <row r="331" spans="1:15" x14ac:dyDescent="0.3">
      <c r="A331" t="s">
        <v>3771</v>
      </c>
      <c r="B331" t="s">
        <v>3772</v>
      </c>
      <c r="D331" t="s">
        <v>2952</v>
      </c>
      <c r="E331" t="s">
        <v>2953</v>
      </c>
      <c r="F331" t="s">
        <v>1227</v>
      </c>
      <c r="G331" t="s">
        <v>2146</v>
      </c>
      <c r="H331">
        <v>9022.31</v>
      </c>
      <c r="I331">
        <v>9473.42</v>
      </c>
      <c r="J331" t="s">
        <v>2944</v>
      </c>
      <c r="K331">
        <v>1</v>
      </c>
      <c r="L331" t="s">
        <v>2945</v>
      </c>
      <c r="M331" s="19">
        <v>46262</v>
      </c>
      <c r="N331" t="s">
        <v>2954</v>
      </c>
      <c r="O331" t="s">
        <v>3650</v>
      </c>
    </row>
    <row r="332" spans="1:15" x14ac:dyDescent="0.3">
      <c r="A332" t="s">
        <v>3773</v>
      </c>
      <c r="B332" t="s">
        <v>3774</v>
      </c>
      <c r="D332" t="s">
        <v>2952</v>
      </c>
      <c r="E332" t="s">
        <v>2953</v>
      </c>
      <c r="F332" t="s">
        <v>1227</v>
      </c>
      <c r="G332" t="s">
        <v>2146</v>
      </c>
      <c r="H332">
        <v>9553.41</v>
      </c>
      <c r="I332">
        <v>10031.08</v>
      </c>
      <c r="J332" t="s">
        <v>2944</v>
      </c>
      <c r="K332">
        <v>1</v>
      </c>
      <c r="L332" t="s">
        <v>2945</v>
      </c>
      <c r="M332" s="19">
        <v>46262</v>
      </c>
      <c r="N332" t="s">
        <v>2954</v>
      </c>
      <c r="O332" t="s">
        <v>3653</v>
      </c>
    </row>
    <row r="333" spans="1:15" x14ac:dyDescent="0.3">
      <c r="A333" t="s">
        <v>3775</v>
      </c>
      <c r="B333" t="s">
        <v>3776</v>
      </c>
      <c r="C333" t="s">
        <v>3777</v>
      </c>
      <c r="D333" t="s">
        <v>2942</v>
      </c>
      <c r="E333" t="s">
        <v>2943</v>
      </c>
      <c r="F333" t="s">
        <v>1227</v>
      </c>
      <c r="G333" t="s">
        <v>2146</v>
      </c>
      <c r="H333">
        <v>3110</v>
      </c>
      <c r="I333">
        <v>3265.5</v>
      </c>
      <c r="J333" t="s">
        <v>2944</v>
      </c>
      <c r="K333">
        <v>1</v>
      </c>
      <c r="L333" t="s">
        <v>2945</v>
      </c>
      <c r="M333" s="19">
        <v>46262</v>
      </c>
      <c r="N333" t="s">
        <v>2946</v>
      </c>
    </row>
    <row r="334" spans="1:15" x14ac:dyDescent="0.3">
      <c r="A334" t="s">
        <v>3778</v>
      </c>
      <c r="B334" t="s">
        <v>3779</v>
      </c>
      <c r="C334" t="s">
        <v>3780</v>
      </c>
      <c r="D334" t="s">
        <v>2942</v>
      </c>
      <c r="E334" t="s">
        <v>2943</v>
      </c>
      <c r="F334" t="s">
        <v>1227</v>
      </c>
      <c r="G334" t="s">
        <v>2146</v>
      </c>
      <c r="H334">
        <v>3218</v>
      </c>
      <c r="I334">
        <v>3378.9</v>
      </c>
      <c r="J334" t="s">
        <v>2944</v>
      </c>
      <c r="K334">
        <v>1</v>
      </c>
      <c r="L334" t="s">
        <v>2945</v>
      </c>
      <c r="M334" s="19">
        <v>46262</v>
      </c>
      <c r="N334" t="s">
        <v>2946</v>
      </c>
    </row>
    <row r="335" spans="1:15" x14ac:dyDescent="0.3">
      <c r="A335" t="s">
        <v>3781</v>
      </c>
      <c r="B335" t="s">
        <v>3782</v>
      </c>
      <c r="C335" t="s">
        <v>3783</v>
      </c>
      <c r="D335" t="s">
        <v>2942</v>
      </c>
      <c r="E335" t="s">
        <v>2943</v>
      </c>
      <c r="F335" t="s">
        <v>1227</v>
      </c>
      <c r="G335" t="s">
        <v>2146</v>
      </c>
      <c r="H335">
        <v>1242</v>
      </c>
      <c r="I335">
        <v>1304.0999999999999</v>
      </c>
      <c r="J335" t="s">
        <v>2944</v>
      </c>
      <c r="K335">
        <v>1</v>
      </c>
      <c r="L335" t="s">
        <v>2945</v>
      </c>
      <c r="M335" s="19">
        <v>46262</v>
      </c>
      <c r="N335" t="s">
        <v>2946</v>
      </c>
    </row>
    <row r="336" spans="1:15" x14ac:dyDescent="0.3">
      <c r="A336" t="s">
        <v>3784</v>
      </c>
      <c r="B336" t="s">
        <v>3785</v>
      </c>
      <c r="C336" t="s">
        <v>3786</v>
      </c>
      <c r="D336" t="s">
        <v>2942</v>
      </c>
      <c r="E336" t="s">
        <v>2943</v>
      </c>
      <c r="F336" t="s">
        <v>1227</v>
      </c>
      <c r="G336" t="s">
        <v>2146</v>
      </c>
      <c r="H336">
        <v>1966</v>
      </c>
      <c r="I336">
        <v>2064.3000000000002</v>
      </c>
      <c r="J336" t="s">
        <v>2944</v>
      </c>
      <c r="K336">
        <v>1</v>
      </c>
      <c r="L336" t="s">
        <v>2945</v>
      </c>
      <c r="M336" s="19">
        <v>46262</v>
      </c>
      <c r="N336" t="s">
        <v>2946</v>
      </c>
    </row>
    <row r="337" spans="1:14" x14ac:dyDescent="0.3">
      <c r="A337" t="s">
        <v>3787</v>
      </c>
      <c r="B337" t="s">
        <v>3788</v>
      </c>
      <c r="C337" t="s">
        <v>3789</v>
      </c>
      <c r="D337" t="s">
        <v>2942</v>
      </c>
      <c r="E337" t="s">
        <v>2943</v>
      </c>
      <c r="F337" t="s">
        <v>1227</v>
      </c>
      <c r="G337" t="s">
        <v>2146</v>
      </c>
      <c r="H337">
        <v>2203</v>
      </c>
      <c r="I337">
        <v>2313.15</v>
      </c>
      <c r="J337" t="s">
        <v>2944</v>
      </c>
      <c r="K337">
        <v>1</v>
      </c>
      <c r="L337" t="s">
        <v>2945</v>
      </c>
      <c r="M337" s="19">
        <v>46262</v>
      </c>
      <c r="N337" t="s">
        <v>2946</v>
      </c>
    </row>
    <row r="338" spans="1:14" x14ac:dyDescent="0.3">
      <c r="A338" t="s">
        <v>3790</v>
      </c>
      <c r="B338" t="s">
        <v>3791</v>
      </c>
      <c r="C338" t="s">
        <v>3792</v>
      </c>
      <c r="D338" t="s">
        <v>2942</v>
      </c>
      <c r="E338" t="s">
        <v>2943</v>
      </c>
      <c r="F338" t="s">
        <v>1227</v>
      </c>
      <c r="G338" t="s">
        <v>2146</v>
      </c>
      <c r="H338">
        <v>2203</v>
      </c>
      <c r="I338">
        <v>2313.15</v>
      </c>
      <c r="J338" t="s">
        <v>2944</v>
      </c>
      <c r="K338">
        <v>1</v>
      </c>
      <c r="L338" t="s">
        <v>2945</v>
      </c>
      <c r="M338" s="19">
        <v>46262</v>
      </c>
      <c r="N338" t="s">
        <v>2946</v>
      </c>
    </row>
    <row r="339" spans="1:14" x14ac:dyDescent="0.3">
      <c r="A339" t="s">
        <v>3793</v>
      </c>
      <c r="B339" t="s">
        <v>3794</v>
      </c>
      <c r="C339" t="s">
        <v>3795</v>
      </c>
      <c r="D339" t="s">
        <v>2942</v>
      </c>
      <c r="E339" t="s">
        <v>2943</v>
      </c>
      <c r="F339" t="s">
        <v>1227</v>
      </c>
      <c r="G339" t="s">
        <v>2146</v>
      </c>
      <c r="H339">
        <v>1976</v>
      </c>
      <c r="I339">
        <v>2074.8000000000002</v>
      </c>
      <c r="J339" t="s">
        <v>2944</v>
      </c>
      <c r="K339">
        <v>1</v>
      </c>
      <c r="L339" t="s">
        <v>2945</v>
      </c>
      <c r="M339" s="19">
        <v>46262</v>
      </c>
      <c r="N339" t="s">
        <v>2946</v>
      </c>
    </row>
    <row r="340" spans="1:14" x14ac:dyDescent="0.3">
      <c r="A340" t="s">
        <v>3796</v>
      </c>
      <c r="B340" t="s">
        <v>3797</v>
      </c>
      <c r="C340" t="s">
        <v>3798</v>
      </c>
      <c r="D340" t="s">
        <v>2942</v>
      </c>
      <c r="E340" t="s">
        <v>2943</v>
      </c>
      <c r="F340" t="s">
        <v>1227</v>
      </c>
      <c r="G340" t="s">
        <v>2146</v>
      </c>
      <c r="H340">
        <v>2214</v>
      </c>
      <c r="I340">
        <v>2324.6999999999998</v>
      </c>
      <c r="J340" t="s">
        <v>2944</v>
      </c>
      <c r="K340">
        <v>1</v>
      </c>
      <c r="L340" t="s">
        <v>2945</v>
      </c>
      <c r="M340" s="19">
        <v>46262</v>
      </c>
      <c r="N340" t="s">
        <v>2946</v>
      </c>
    </row>
    <row r="341" spans="1:14" x14ac:dyDescent="0.3">
      <c r="A341" t="s">
        <v>3799</v>
      </c>
      <c r="B341" t="s">
        <v>3800</v>
      </c>
      <c r="C341" t="s">
        <v>3801</v>
      </c>
      <c r="D341" t="s">
        <v>2942</v>
      </c>
      <c r="E341" t="s">
        <v>2943</v>
      </c>
      <c r="F341" t="s">
        <v>1227</v>
      </c>
      <c r="G341" t="s">
        <v>2146</v>
      </c>
      <c r="H341">
        <v>2149</v>
      </c>
      <c r="I341">
        <v>2256.4499999999998</v>
      </c>
      <c r="J341" t="s">
        <v>2944</v>
      </c>
      <c r="K341">
        <v>1</v>
      </c>
      <c r="L341" t="s">
        <v>2945</v>
      </c>
      <c r="M341" s="19">
        <v>46262</v>
      </c>
      <c r="N341" t="s">
        <v>2946</v>
      </c>
    </row>
    <row r="342" spans="1:14" x14ac:dyDescent="0.3">
      <c r="A342" t="s">
        <v>3802</v>
      </c>
      <c r="B342" t="s">
        <v>3803</v>
      </c>
      <c r="C342" t="s">
        <v>3804</v>
      </c>
      <c r="D342" t="s">
        <v>2942</v>
      </c>
      <c r="E342" t="s">
        <v>2943</v>
      </c>
      <c r="F342" t="s">
        <v>1227</v>
      </c>
      <c r="G342" t="s">
        <v>2146</v>
      </c>
      <c r="H342">
        <v>2214</v>
      </c>
      <c r="I342">
        <v>2324.6999999999998</v>
      </c>
      <c r="J342" t="s">
        <v>2944</v>
      </c>
      <c r="K342">
        <v>1</v>
      </c>
      <c r="L342" t="s">
        <v>2945</v>
      </c>
      <c r="M342" s="19">
        <v>46262</v>
      </c>
      <c r="N342" t="s">
        <v>2946</v>
      </c>
    </row>
    <row r="343" spans="1:14" x14ac:dyDescent="0.3">
      <c r="A343" t="s">
        <v>3805</v>
      </c>
      <c r="B343" t="s">
        <v>3806</v>
      </c>
      <c r="C343" t="s">
        <v>3807</v>
      </c>
      <c r="D343" t="s">
        <v>2942</v>
      </c>
      <c r="E343" t="s">
        <v>2943</v>
      </c>
      <c r="F343" t="s">
        <v>1227</v>
      </c>
      <c r="G343" t="s">
        <v>2146</v>
      </c>
      <c r="H343">
        <v>2225</v>
      </c>
      <c r="I343">
        <v>2336.25</v>
      </c>
      <c r="J343" t="s">
        <v>2944</v>
      </c>
      <c r="K343">
        <v>1</v>
      </c>
      <c r="L343" t="s">
        <v>2945</v>
      </c>
      <c r="M343" s="19">
        <v>46262</v>
      </c>
      <c r="N343" t="s">
        <v>2946</v>
      </c>
    </row>
    <row r="344" spans="1:14" x14ac:dyDescent="0.3">
      <c r="A344" t="s">
        <v>3808</v>
      </c>
      <c r="B344" t="s">
        <v>3809</v>
      </c>
      <c r="C344" t="s">
        <v>3810</v>
      </c>
      <c r="D344" t="s">
        <v>2942</v>
      </c>
      <c r="E344" t="s">
        <v>2943</v>
      </c>
      <c r="F344" t="s">
        <v>1227</v>
      </c>
      <c r="G344" t="s">
        <v>2146</v>
      </c>
      <c r="H344">
        <v>2225</v>
      </c>
      <c r="I344">
        <v>2336.25</v>
      </c>
      <c r="J344" t="s">
        <v>2944</v>
      </c>
      <c r="K344">
        <v>1</v>
      </c>
      <c r="L344" t="s">
        <v>2945</v>
      </c>
      <c r="M344" s="19">
        <v>46262</v>
      </c>
      <c r="N344" t="s">
        <v>2946</v>
      </c>
    </row>
    <row r="345" spans="1:14" x14ac:dyDescent="0.3">
      <c r="A345" t="s">
        <v>3811</v>
      </c>
      <c r="B345" t="s">
        <v>3812</v>
      </c>
      <c r="C345" t="s">
        <v>3813</v>
      </c>
      <c r="D345" t="s">
        <v>2942</v>
      </c>
      <c r="E345" t="s">
        <v>2943</v>
      </c>
      <c r="F345" t="s">
        <v>1227</v>
      </c>
      <c r="G345" t="s">
        <v>2146</v>
      </c>
      <c r="H345">
        <v>2182</v>
      </c>
      <c r="I345">
        <v>2291.1</v>
      </c>
      <c r="J345" t="s">
        <v>2944</v>
      </c>
      <c r="K345">
        <v>1</v>
      </c>
      <c r="L345" t="s">
        <v>2945</v>
      </c>
      <c r="M345" s="19">
        <v>46262</v>
      </c>
      <c r="N345" t="s">
        <v>2946</v>
      </c>
    </row>
    <row r="346" spans="1:14" x14ac:dyDescent="0.3">
      <c r="A346" t="s">
        <v>3814</v>
      </c>
      <c r="B346" t="s">
        <v>3815</v>
      </c>
      <c r="C346" t="s">
        <v>3816</v>
      </c>
      <c r="D346" t="s">
        <v>2942</v>
      </c>
      <c r="E346" t="s">
        <v>2943</v>
      </c>
      <c r="F346" t="s">
        <v>1227</v>
      </c>
      <c r="G346" t="s">
        <v>2146</v>
      </c>
      <c r="H346">
        <v>3046</v>
      </c>
      <c r="I346">
        <v>3198.3</v>
      </c>
      <c r="J346" t="s">
        <v>2944</v>
      </c>
      <c r="K346">
        <v>1</v>
      </c>
      <c r="L346" t="s">
        <v>2945</v>
      </c>
      <c r="M346" s="19">
        <v>46262</v>
      </c>
      <c r="N346" t="s">
        <v>2946</v>
      </c>
    </row>
    <row r="347" spans="1:14" x14ac:dyDescent="0.3">
      <c r="A347" t="s">
        <v>3817</v>
      </c>
      <c r="B347" t="s">
        <v>3818</v>
      </c>
      <c r="C347" t="s">
        <v>3819</v>
      </c>
      <c r="D347" t="s">
        <v>2942</v>
      </c>
      <c r="E347" t="s">
        <v>2943</v>
      </c>
      <c r="F347" t="s">
        <v>1227</v>
      </c>
      <c r="G347" t="s">
        <v>2146</v>
      </c>
      <c r="H347">
        <v>5378</v>
      </c>
      <c r="I347">
        <v>5646.9</v>
      </c>
      <c r="J347" t="s">
        <v>2944</v>
      </c>
      <c r="K347">
        <v>1</v>
      </c>
      <c r="L347" t="s">
        <v>2945</v>
      </c>
      <c r="M347" s="19">
        <v>46262</v>
      </c>
      <c r="N347" t="s">
        <v>2946</v>
      </c>
    </row>
    <row r="348" spans="1:14" x14ac:dyDescent="0.3">
      <c r="A348" t="s">
        <v>3820</v>
      </c>
      <c r="B348" t="s">
        <v>3821</v>
      </c>
      <c r="C348" t="s">
        <v>3822</v>
      </c>
      <c r="D348" t="s">
        <v>2942</v>
      </c>
      <c r="E348" t="s">
        <v>2943</v>
      </c>
      <c r="F348" t="s">
        <v>1227</v>
      </c>
      <c r="G348" t="s">
        <v>2146</v>
      </c>
      <c r="H348">
        <v>6372</v>
      </c>
      <c r="I348">
        <v>6690.6</v>
      </c>
      <c r="J348" t="s">
        <v>2944</v>
      </c>
      <c r="K348">
        <v>1</v>
      </c>
      <c r="L348" t="s">
        <v>2945</v>
      </c>
      <c r="M348" s="19">
        <v>46262</v>
      </c>
      <c r="N348" t="s">
        <v>2946</v>
      </c>
    </row>
    <row r="349" spans="1:14" x14ac:dyDescent="0.3">
      <c r="A349" t="s">
        <v>3823</v>
      </c>
      <c r="B349" t="s">
        <v>3824</v>
      </c>
      <c r="C349" t="s">
        <v>3825</v>
      </c>
      <c r="D349" t="s">
        <v>2942</v>
      </c>
      <c r="E349" t="s">
        <v>2943</v>
      </c>
      <c r="F349" t="s">
        <v>1227</v>
      </c>
      <c r="G349" t="s">
        <v>2146</v>
      </c>
      <c r="H349">
        <v>6588</v>
      </c>
      <c r="I349">
        <v>6917.4</v>
      </c>
      <c r="J349" t="s">
        <v>2944</v>
      </c>
      <c r="K349">
        <v>1</v>
      </c>
      <c r="L349" t="s">
        <v>2945</v>
      </c>
      <c r="M349" s="19">
        <v>46262</v>
      </c>
      <c r="N349" t="s">
        <v>2946</v>
      </c>
    </row>
    <row r="350" spans="1:14" x14ac:dyDescent="0.3">
      <c r="A350" t="s">
        <v>3826</v>
      </c>
      <c r="B350" t="s">
        <v>3827</v>
      </c>
      <c r="C350" t="s">
        <v>3828</v>
      </c>
      <c r="D350" t="s">
        <v>2942</v>
      </c>
      <c r="E350" t="s">
        <v>2943</v>
      </c>
      <c r="F350" t="s">
        <v>1227</v>
      </c>
      <c r="G350" t="s">
        <v>2146</v>
      </c>
      <c r="H350">
        <v>7020</v>
      </c>
      <c r="I350">
        <v>7371</v>
      </c>
      <c r="J350" t="s">
        <v>2944</v>
      </c>
      <c r="K350">
        <v>1</v>
      </c>
      <c r="L350" t="s">
        <v>2945</v>
      </c>
      <c r="M350" s="19">
        <v>46262</v>
      </c>
      <c r="N350" t="s">
        <v>2946</v>
      </c>
    </row>
    <row r="351" spans="1:14" x14ac:dyDescent="0.3">
      <c r="A351" t="s">
        <v>3829</v>
      </c>
      <c r="B351" t="s">
        <v>3830</v>
      </c>
      <c r="C351" t="s">
        <v>3831</v>
      </c>
      <c r="D351" t="s">
        <v>2942</v>
      </c>
      <c r="E351" t="s">
        <v>2943</v>
      </c>
      <c r="F351" t="s">
        <v>1227</v>
      </c>
      <c r="G351" t="s">
        <v>2146</v>
      </c>
      <c r="H351">
        <v>7992</v>
      </c>
      <c r="I351">
        <v>8391.6</v>
      </c>
      <c r="J351" t="s">
        <v>2944</v>
      </c>
      <c r="K351">
        <v>1</v>
      </c>
      <c r="L351" t="s">
        <v>2945</v>
      </c>
      <c r="M351" s="19">
        <v>46262</v>
      </c>
      <c r="N351" t="s">
        <v>2946</v>
      </c>
    </row>
    <row r="352" spans="1:14" x14ac:dyDescent="0.3">
      <c r="A352" t="s">
        <v>3832</v>
      </c>
      <c r="B352" t="s">
        <v>3833</v>
      </c>
      <c r="C352" t="s">
        <v>3834</v>
      </c>
      <c r="D352" t="s">
        <v>2942</v>
      </c>
      <c r="E352" t="s">
        <v>2943</v>
      </c>
      <c r="F352" t="s">
        <v>1227</v>
      </c>
      <c r="G352" t="s">
        <v>2146</v>
      </c>
      <c r="H352">
        <v>9288</v>
      </c>
      <c r="I352">
        <v>9752.4</v>
      </c>
      <c r="J352" t="s">
        <v>2944</v>
      </c>
      <c r="K352">
        <v>1</v>
      </c>
      <c r="L352" t="s">
        <v>2945</v>
      </c>
      <c r="M352" s="19">
        <v>46262</v>
      </c>
      <c r="N352" t="s">
        <v>2946</v>
      </c>
    </row>
    <row r="353" spans="1:15" x14ac:dyDescent="0.3">
      <c r="A353" t="s">
        <v>3835</v>
      </c>
      <c r="B353" t="s">
        <v>3836</v>
      </c>
      <c r="C353" t="s">
        <v>3837</v>
      </c>
      <c r="D353" t="s">
        <v>2942</v>
      </c>
      <c r="E353" t="s">
        <v>2943</v>
      </c>
      <c r="F353" t="s">
        <v>1227</v>
      </c>
      <c r="G353" t="s">
        <v>2146</v>
      </c>
      <c r="H353">
        <v>9936</v>
      </c>
      <c r="I353">
        <v>10432.799999999999</v>
      </c>
      <c r="J353" t="s">
        <v>2944</v>
      </c>
      <c r="K353">
        <v>1</v>
      </c>
      <c r="L353" t="s">
        <v>2945</v>
      </c>
      <c r="M353" s="19">
        <v>46262</v>
      </c>
      <c r="N353" t="s">
        <v>2946</v>
      </c>
    </row>
    <row r="354" spans="1:15" x14ac:dyDescent="0.3">
      <c r="A354" t="s">
        <v>3838</v>
      </c>
      <c r="B354" t="s">
        <v>3839</v>
      </c>
      <c r="C354" t="s">
        <v>3840</v>
      </c>
      <c r="D354" t="s">
        <v>2942</v>
      </c>
      <c r="E354" t="s">
        <v>2943</v>
      </c>
      <c r="F354" t="s">
        <v>1227</v>
      </c>
      <c r="G354" t="s">
        <v>2146</v>
      </c>
      <c r="H354">
        <v>10152</v>
      </c>
      <c r="I354">
        <v>10659.6</v>
      </c>
      <c r="J354" t="s">
        <v>2944</v>
      </c>
      <c r="K354">
        <v>1</v>
      </c>
      <c r="L354" t="s">
        <v>2945</v>
      </c>
      <c r="M354" s="19">
        <v>46262</v>
      </c>
      <c r="N354" t="s">
        <v>2946</v>
      </c>
    </row>
    <row r="355" spans="1:15" x14ac:dyDescent="0.3">
      <c r="A355" t="s">
        <v>3841</v>
      </c>
      <c r="B355" t="s">
        <v>3842</v>
      </c>
      <c r="C355" t="s">
        <v>3843</v>
      </c>
      <c r="D355" t="s">
        <v>2942</v>
      </c>
      <c r="E355" t="s">
        <v>2943</v>
      </c>
      <c r="F355" t="s">
        <v>1227</v>
      </c>
      <c r="G355" t="s">
        <v>2146</v>
      </c>
      <c r="H355">
        <v>10368</v>
      </c>
      <c r="I355">
        <v>10886.4</v>
      </c>
      <c r="J355" t="s">
        <v>2944</v>
      </c>
      <c r="K355">
        <v>1</v>
      </c>
      <c r="L355" t="s">
        <v>2945</v>
      </c>
      <c r="M355" s="19">
        <v>46262</v>
      </c>
      <c r="N355" t="s">
        <v>2946</v>
      </c>
    </row>
    <row r="356" spans="1:15" x14ac:dyDescent="0.3">
      <c r="A356" t="s">
        <v>3844</v>
      </c>
      <c r="B356" t="s">
        <v>3845</v>
      </c>
      <c r="C356" t="s">
        <v>3846</v>
      </c>
      <c r="D356" t="s">
        <v>2942</v>
      </c>
      <c r="E356" t="s">
        <v>2943</v>
      </c>
      <c r="F356" t="s">
        <v>1227</v>
      </c>
      <c r="G356" t="s">
        <v>2146</v>
      </c>
      <c r="H356">
        <v>5292</v>
      </c>
      <c r="I356">
        <v>5556.6</v>
      </c>
      <c r="J356" t="s">
        <v>2944</v>
      </c>
      <c r="K356">
        <v>1</v>
      </c>
      <c r="L356" t="s">
        <v>2945</v>
      </c>
      <c r="M356" s="19">
        <v>46262</v>
      </c>
      <c r="N356" t="s">
        <v>2946</v>
      </c>
    </row>
    <row r="357" spans="1:15" x14ac:dyDescent="0.3">
      <c r="A357" t="s">
        <v>3847</v>
      </c>
      <c r="B357" t="s">
        <v>3848</v>
      </c>
      <c r="C357" t="s">
        <v>3849</v>
      </c>
      <c r="D357" t="s">
        <v>2942</v>
      </c>
      <c r="E357" t="s">
        <v>2943</v>
      </c>
      <c r="F357" t="s">
        <v>1227</v>
      </c>
      <c r="G357" t="s">
        <v>2146</v>
      </c>
      <c r="H357">
        <v>151</v>
      </c>
      <c r="I357">
        <v>158.55000000000001</v>
      </c>
      <c r="J357" t="s">
        <v>2944</v>
      </c>
      <c r="K357">
        <v>1</v>
      </c>
      <c r="L357" t="s">
        <v>2945</v>
      </c>
      <c r="M357" s="19">
        <v>46262</v>
      </c>
      <c r="N357" t="s">
        <v>2946</v>
      </c>
    </row>
    <row r="358" spans="1:15" x14ac:dyDescent="0.3">
      <c r="A358" t="s">
        <v>3850</v>
      </c>
      <c r="B358" t="s">
        <v>3851</v>
      </c>
      <c r="C358" t="s">
        <v>3852</v>
      </c>
      <c r="D358" t="s">
        <v>2942</v>
      </c>
      <c r="E358" t="s">
        <v>2943</v>
      </c>
      <c r="F358" t="s">
        <v>1227</v>
      </c>
      <c r="G358" t="s">
        <v>2146</v>
      </c>
      <c r="H358">
        <v>216</v>
      </c>
      <c r="I358">
        <v>226.8</v>
      </c>
      <c r="J358" t="s">
        <v>2944</v>
      </c>
      <c r="K358">
        <v>1</v>
      </c>
      <c r="L358" t="s">
        <v>2945</v>
      </c>
      <c r="M358" s="19">
        <v>46262</v>
      </c>
      <c r="N358" t="s">
        <v>2946</v>
      </c>
    </row>
    <row r="359" spans="1:15" x14ac:dyDescent="0.3">
      <c r="A359" t="s">
        <v>3853</v>
      </c>
      <c r="B359" t="s">
        <v>3854</v>
      </c>
      <c r="C359" t="s">
        <v>3855</v>
      </c>
      <c r="D359" t="s">
        <v>2942</v>
      </c>
      <c r="E359" t="s">
        <v>2943</v>
      </c>
      <c r="F359" t="s">
        <v>1227</v>
      </c>
      <c r="G359" t="s">
        <v>2146</v>
      </c>
      <c r="H359">
        <v>162</v>
      </c>
      <c r="I359">
        <v>170.1</v>
      </c>
      <c r="J359" t="s">
        <v>2944</v>
      </c>
      <c r="K359">
        <v>1</v>
      </c>
      <c r="L359" t="s">
        <v>2945</v>
      </c>
      <c r="M359" s="19">
        <v>46262</v>
      </c>
      <c r="N359" t="s">
        <v>2946</v>
      </c>
    </row>
    <row r="360" spans="1:15" x14ac:dyDescent="0.3">
      <c r="A360" t="s">
        <v>3856</v>
      </c>
      <c r="B360" t="s">
        <v>3857</v>
      </c>
      <c r="C360" t="s">
        <v>3858</v>
      </c>
      <c r="D360" t="s">
        <v>2942</v>
      </c>
      <c r="E360" t="s">
        <v>2943</v>
      </c>
      <c r="F360" t="s">
        <v>1227</v>
      </c>
      <c r="G360" t="s">
        <v>2146</v>
      </c>
      <c r="H360">
        <v>264</v>
      </c>
      <c r="I360">
        <v>277.2</v>
      </c>
      <c r="J360" t="s">
        <v>2944</v>
      </c>
      <c r="K360">
        <v>1</v>
      </c>
      <c r="L360" t="s">
        <v>2945</v>
      </c>
      <c r="M360" s="19">
        <v>46262</v>
      </c>
      <c r="N360" t="s">
        <v>2946</v>
      </c>
    </row>
    <row r="361" spans="1:15" x14ac:dyDescent="0.3">
      <c r="A361" t="s">
        <v>3859</v>
      </c>
      <c r="B361" t="s">
        <v>3860</v>
      </c>
      <c r="E361" t="s">
        <v>3861</v>
      </c>
      <c r="F361" t="s">
        <v>461</v>
      </c>
      <c r="G361" t="s">
        <v>1411</v>
      </c>
      <c r="H361">
        <v>50000</v>
      </c>
      <c r="I361">
        <v>52500</v>
      </c>
      <c r="J361" t="s">
        <v>3862</v>
      </c>
      <c r="K361">
        <v>1</v>
      </c>
      <c r="L361" t="s">
        <v>2945</v>
      </c>
      <c r="M361" s="19">
        <v>46262</v>
      </c>
      <c r="N361" t="s">
        <v>3863</v>
      </c>
    </row>
    <row r="362" spans="1:15" x14ac:dyDescent="0.3">
      <c r="A362" t="s">
        <v>3864</v>
      </c>
      <c r="B362" t="s">
        <v>3865</v>
      </c>
      <c r="E362" t="s">
        <v>3861</v>
      </c>
      <c r="F362" t="s">
        <v>461</v>
      </c>
      <c r="G362" t="s">
        <v>1411</v>
      </c>
      <c r="H362">
        <v>100000</v>
      </c>
      <c r="I362">
        <v>105000</v>
      </c>
      <c r="J362" t="s">
        <v>3862</v>
      </c>
      <c r="K362">
        <v>1</v>
      </c>
      <c r="L362" t="s">
        <v>2945</v>
      </c>
      <c r="M362" s="19">
        <v>46262</v>
      </c>
      <c r="N362" t="s">
        <v>3863</v>
      </c>
    </row>
    <row r="363" spans="1:15" x14ac:dyDescent="0.3">
      <c r="A363" t="s">
        <v>3866</v>
      </c>
      <c r="B363" t="s">
        <v>3867</v>
      </c>
      <c r="E363" t="s">
        <v>3861</v>
      </c>
      <c r="F363" t="s">
        <v>461</v>
      </c>
      <c r="G363" t="s">
        <v>1411</v>
      </c>
      <c r="H363">
        <v>83000</v>
      </c>
      <c r="I363">
        <v>87150</v>
      </c>
      <c r="J363" t="s">
        <v>3862</v>
      </c>
      <c r="K363">
        <v>1</v>
      </c>
      <c r="L363" t="s">
        <v>2945</v>
      </c>
      <c r="M363" s="19">
        <v>46262</v>
      </c>
      <c r="N363" t="s">
        <v>3863</v>
      </c>
      <c r="O363" t="s">
        <v>3868</v>
      </c>
    </row>
    <row r="364" spans="1:15" x14ac:dyDescent="0.3">
      <c r="A364" t="s">
        <v>3869</v>
      </c>
      <c r="B364" t="s">
        <v>3870</v>
      </c>
      <c r="E364" t="s">
        <v>3861</v>
      </c>
      <c r="F364" t="s">
        <v>461</v>
      </c>
      <c r="G364" t="s">
        <v>1411</v>
      </c>
      <c r="H364">
        <v>84500</v>
      </c>
      <c r="I364">
        <v>88725</v>
      </c>
      <c r="J364" t="s">
        <v>3862</v>
      </c>
      <c r="K364">
        <v>1</v>
      </c>
      <c r="L364" t="s">
        <v>2945</v>
      </c>
      <c r="M364" s="19">
        <v>46262</v>
      </c>
      <c r="N364" t="s">
        <v>3863</v>
      </c>
      <c r="O364" t="s">
        <v>3868</v>
      </c>
    </row>
    <row r="365" spans="1:15" x14ac:dyDescent="0.3">
      <c r="A365" t="s">
        <v>3871</v>
      </c>
      <c r="B365" t="s">
        <v>3872</v>
      </c>
      <c r="E365" t="s">
        <v>3861</v>
      </c>
      <c r="F365" t="s">
        <v>461</v>
      </c>
      <c r="G365" t="s">
        <v>1411</v>
      </c>
      <c r="H365">
        <v>141500</v>
      </c>
      <c r="I365">
        <v>148575</v>
      </c>
      <c r="J365" t="s">
        <v>3862</v>
      </c>
      <c r="K365">
        <v>1</v>
      </c>
      <c r="L365" t="s">
        <v>2945</v>
      </c>
      <c r="M365" s="19">
        <v>46262</v>
      </c>
      <c r="N365" t="s">
        <v>3863</v>
      </c>
      <c r="O365" t="s">
        <v>3873</v>
      </c>
    </row>
    <row r="366" spans="1:15" x14ac:dyDescent="0.3">
      <c r="A366" t="s">
        <v>3874</v>
      </c>
      <c r="B366" t="s">
        <v>3875</v>
      </c>
      <c r="E366" t="s">
        <v>3861</v>
      </c>
      <c r="F366" t="s">
        <v>461</v>
      </c>
      <c r="G366" t="s">
        <v>1411</v>
      </c>
      <c r="H366">
        <v>213000</v>
      </c>
      <c r="I366">
        <v>223650</v>
      </c>
      <c r="J366" t="s">
        <v>3862</v>
      </c>
      <c r="K366">
        <v>1</v>
      </c>
      <c r="L366" t="s">
        <v>2945</v>
      </c>
      <c r="M366" s="19">
        <v>46262</v>
      </c>
      <c r="N366" t="s">
        <v>3863</v>
      </c>
      <c r="O366" t="s">
        <v>3876</v>
      </c>
    </row>
    <row r="367" spans="1:15" x14ac:dyDescent="0.3">
      <c r="A367" t="s">
        <v>3877</v>
      </c>
      <c r="B367" t="s">
        <v>3878</v>
      </c>
      <c r="E367" t="s">
        <v>3861</v>
      </c>
      <c r="F367" t="s">
        <v>461</v>
      </c>
      <c r="G367" t="s">
        <v>1411</v>
      </c>
      <c r="H367">
        <v>105000</v>
      </c>
      <c r="I367">
        <v>110250</v>
      </c>
      <c r="J367" t="s">
        <v>3862</v>
      </c>
      <c r="K367">
        <v>1</v>
      </c>
      <c r="L367" t="s">
        <v>2945</v>
      </c>
      <c r="M367" s="19">
        <v>46262</v>
      </c>
      <c r="N367" t="s">
        <v>3863</v>
      </c>
      <c r="O367" t="s">
        <v>3879</v>
      </c>
    </row>
    <row r="368" spans="1:15" x14ac:dyDescent="0.3">
      <c r="A368" t="s">
        <v>3880</v>
      </c>
      <c r="B368" t="s">
        <v>1089</v>
      </c>
      <c r="E368" t="s">
        <v>3861</v>
      </c>
      <c r="F368" t="s">
        <v>461</v>
      </c>
      <c r="G368" t="s">
        <v>1411</v>
      </c>
      <c r="H368">
        <v>8000</v>
      </c>
      <c r="I368">
        <v>8400</v>
      </c>
      <c r="J368" t="s">
        <v>3862</v>
      </c>
      <c r="K368">
        <v>1</v>
      </c>
      <c r="L368" t="s">
        <v>2945</v>
      </c>
      <c r="M368" s="19">
        <v>46262</v>
      </c>
      <c r="N368" t="s">
        <v>3863</v>
      </c>
    </row>
    <row r="369" spans="1:14" x14ac:dyDescent="0.3">
      <c r="A369" t="s">
        <v>3881</v>
      </c>
      <c r="B369" t="s">
        <v>1431</v>
      </c>
      <c r="E369" t="s">
        <v>3861</v>
      </c>
      <c r="F369" t="s">
        <v>214</v>
      </c>
      <c r="G369" t="s">
        <v>1411</v>
      </c>
      <c r="H369">
        <v>15000</v>
      </c>
      <c r="I369">
        <v>15750</v>
      </c>
      <c r="J369" t="s">
        <v>3862</v>
      </c>
      <c r="K369">
        <v>1</v>
      </c>
      <c r="L369" t="s">
        <v>2945</v>
      </c>
      <c r="M369" s="19">
        <v>46262</v>
      </c>
      <c r="N369" t="s">
        <v>3863</v>
      </c>
    </row>
    <row r="370" spans="1:14" x14ac:dyDescent="0.3">
      <c r="A370" t="s">
        <v>3882</v>
      </c>
      <c r="B370" t="s">
        <v>3883</v>
      </c>
      <c r="E370" t="s">
        <v>3861</v>
      </c>
      <c r="F370" t="s">
        <v>214</v>
      </c>
      <c r="G370" t="s">
        <v>1411</v>
      </c>
      <c r="H370">
        <v>14500</v>
      </c>
      <c r="I370">
        <v>15225</v>
      </c>
      <c r="J370" t="s">
        <v>3862</v>
      </c>
      <c r="K370">
        <v>1</v>
      </c>
      <c r="L370" t="s">
        <v>2945</v>
      </c>
      <c r="M370" s="19">
        <v>46262</v>
      </c>
      <c r="N370" t="s">
        <v>3863</v>
      </c>
    </row>
    <row r="371" spans="1:14" x14ac:dyDescent="0.3">
      <c r="A371" t="s">
        <v>3884</v>
      </c>
      <c r="B371" t="s">
        <v>3885</v>
      </c>
      <c r="E371" t="s">
        <v>3861</v>
      </c>
      <c r="F371" t="s">
        <v>214</v>
      </c>
      <c r="G371" t="s">
        <v>1411</v>
      </c>
      <c r="H371">
        <v>14000</v>
      </c>
      <c r="I371">
        <v>14700</v>
      </c>
      <c r="J371" t="s">
        <v>3862</v>
      </c>
      <c r="K371">
        <v>1</v>
      </c>
      <c r="L371" t="s">
        <v>2945</v>
      </c>
      <c r="M371" s="19">
        <v>46262</v>
      </c>
      <c r="N371" t="s">
        <v>3863</v>
      </c>
    </row>
    <row r="372" spans="1:14" x14ac:dyDescent="0.3">
      <c r="A372" t="s">
        <v>3886</v>
      </c>
      <c r="B372" t="s">
        <v>3887</v>
      </c>
      <c r="E372" t="s">
        <v>3861</v>
      </c>
      <c r="F372" t="s">
        <v>214</v>
      </c>
      <c r="G372" t="s">
        <v>1411</v>
      </c>
      <c r="H372">
        <v>17200</v>
      </c>
      <c r="I372">
        <v>18060</v>
      </c>
      <c r="J372" t="s">
        <v>3862</v>
      </c>
      <c r="K372">
        <v>1</v>
      </c>
      <c r="L372" t="s">
        <v>2945</v>
      </c>
      <c r="M372" s="19">
        <v>46262</v>
      </c>
      <c r="N372" t="s">
        <v>3863</v>
      </c>
    </row>
    <row r="373" spans="1:14" x14ac:dyDescent="0.3">
      <c r="A373" t="s">
        <v>3888</v>
      </c>
      <c r="B373" t="s">
        <v>3889</v>
      </c>
      <c r="E373" t="s">
        <v>3861</v>
      </c>
      <c r="F373" t="s">
        <v>214</v>
      </c>
      <c r="G373" t="s">
        <v>1411</v>
      </c>
      <c r="H373">
        <v>16700</v>
      </c>
      <c r="I373">
        <v>17535</v>
      </c>
      <c r="J373" t="s">
        <v>3862</v>
      </c>
      <c r="K373">
        <v>1</v>
      </c>
      <c r="L373" t="s">
        <v>2945</v>
      </c>
      <c r="M373" s="19">
        <v>46262</v>
      </c>
      <c r="N373" t="s">
        <v>3863</v>
      </c>
    </row>
    <row r="374" spans="1:14" x14ac:dyDescent="0.3">
      <c r="A374" t="s">
        <v>3890</v>
      </c>
      <c r="B374" t="s">
        <v>3891</v>
      </c>
      <c r="E374" t="s">
        <v>3861</v>
      </c>
      <c r="F374" t="s">
        <v>461</v>
      </c>
      <c r="G374" t="s">
        <v>1411</v>
      </c>
      <c r="H374">
        <v>38000</v>
      </c>
      <c r="I374">
        <v>39900</v>
      </c>
      <c r="J374" t="s">
        <v>3862</v>
      </c>
      <c r="K374">
        <v>1</v>
      </c>
      <c r="L374" t="s">
        <v>2945</v>
      </c>
      <c r="M374" s="19">
        <v>46262</v>
      </c>
      <c r="N374" t="s">
        <v>3863</v>
      </c>
    </row>
    <row r="375" spans="1:14" x14ac:dyDescent="0.3">
      <c r="A375" t="s">
        <v>3892</v>
      </c>
      <c r="B375" t="s">
        <v>3893</v>
      </c>
      <c r="E375" t="s">
        <v>3861</v>
      </c>
      <c r="F375" t="s">
        <v>461</v>
      </c>
      <c r="G375" t="s">
        <v>1411</v>
      </c>
      <c r="H375">
        <v>105000</v>
      </c>
      <c r="I375">
        <v>110250</v>
      </c>
      <c r="J375" t="s">
        <v>3862</v>
      </c>
      <c r="K375">
        <v>1</v>
      </c>
      <c r="L375" t="s">
        <v>2945</v>
      </c>
      <c r="M375" s="19">
        <v>46262</v>
      </c>
      <c r="N375" t="s">
        <v>3863</v>
      </c>
    </row>
    <row r="376" spans="1:14" x14ac:dyDescent="0.3">
      <c r="A376" t="s">
        <v>3894</v>
      </c>
      <c r="B376" t="s">
        <v>3895</v>
      </c>
      <c r="E376" t="s">
        <v>3861</v>
      </c>
      <c r="F376" t="s">
        <v>1227</v>
      </c>
      <c r="G376" t="s">
        <v>1411</v>
      </c>
      <c r="H376">
        <v>8000</v>
      </c>
      <c r="I376">
        <v>8000</v>
      </c>
      <c r="J376" t="s">
        <v>3862</v>
      </c>
      <c r="K376">
        <v>1</v>
      </c>
      <c r="L376" t="s">
        <v>2945</v>
      </c>
      <c r="M376" s="19">
        <v>46262</v>
      </c>
      <c r="N376" t="s">
        <v>3863</v>
      </c>
    </row>
    <row r="377" spans="1:14" x14ac:dyDescent="0.3">
      <c r="A377" t="s">
        <v>3896</v>
      </c>
      <c r="B377" t="s">
        <v>3897</v>
      </c>
      <c r="E377" t="s">
        <v>3861</v>
      </c>
      <c r="F377" t="s">
        <v>461</v>
      </c>
      <c r="G377" t="s">
        <v>1411</v>
      </c>
      <c r="H377">
        <v>74400</v>
      </c>
      <c r="I377">
        <v>78120</v>
      </c>
      <c r="J377" t="s">
        <v>3862</v>
      </c>
      <c r="K377">
        <v>1</v>
      </c>
      <c r="L377" t="s">
        <v>2945</v>
      </c>
      <c r="M377" s="19">
        <v>46262</v>
      </c>
      <c r="N377" t="s">
        <v>3863</v>
      </c>
    </row>
    <row r="378" spans="1:14" x14ac:dyDescent="0.3">
      <c r="A378" t="s">
        <v>3898</v>
      </c>
      <c r="B378" t="s">
        <v>3899</v>
      </c>
      <c r="E378" t="s">
        <v>3861</v>
      </c>
      <c r="F378" t="s">
        <v>461</v>
      </c>
      <c r="G378" t="s">
        <v>1411</v>
      </c>
      <c r="H378">
        <v>97700</v>
      </c>
      <c r="I378">
        <v>102585</v>
      </c>
      <c r="J378" t="s">
        <v>3862</v>
      </c>
      <c r="K378">
        <v>1</v>
      </c>
      <c r="L378" t="s">
        <v>2945</v>
      </c>
      <c r="M378" s="19">
        <v>46262</v>
      </c>
      <c r="N378" t="s">
        <v>3863</v>
      </c>
    </row>
    <row r="379" spans="1:14" x14ac:dyDescent="0.3">
      <c r="A379" t="s">
        <v>3900</v>
      </c>
      <c r="B379" t="s">
        <v>3901</v>
      </c>
      <c r="E379" t="s">
        <v>3861</v>
      </c>
      <c r="F379" t="s">
        <v>461</v>
      </c>
      <c r="G379" t="s">
        <v>1411</v>
      </c>
      <c r="H379">
        <v>75000</v>
      </c>
      <c r="I379">
        <v>78750</v>
      </c>
      <c r="J379" t="s">
        <v>3862</v>
      </c>
      <c r="K379">
        <v>1</v>
      </c>
      <c r="L379" t="s">
        <v>2945</v>
      </c>
      <c r="M379" s="19">
        <v>46262</v>
      </c>
      <c r="N379" t="s">
        <v>3863</v>
      </c>
    </row>
    <row r="380" spans="1:14" x14ac:dyDescent="0.3">
      <c r="A380" t="s">
        <v>3902</v>
      </c>
      <c r="B380" t="s">
        <v>3903</v>
      </c>
      <c r="E380" t="s">
        <v>3861</v>
      </c>
      <c r="F380" t="s">
        <v>461</v>
      </c>
      <c r="G380" t="s">
        <v>1411</v>
      </c>
      <c r="H380">
        <v>95000</v>
      </c>
      <c r="I380">
        <v>99750</v>
      </c>
      <c r="J380" t="s">
        <v>3862</v>
      </c>
      <c r="K380">
        <v>1</v>
      </c>
      <c r="L380" t="s">
        <v>2945</v>
      </c>
      <c r="M380" s="19">
        <v>46262</v>
      </c>
      <c r="N380" t="s">
        <v>3863</v>
      </c>
    </row>
    <row r="381" spans="1:14" x14ac:dyDescent="0.3">
      <c r="A381" t="s">
        <v>3904</v>
      </c>
      <c r="B381" t="s">
        <v>3905</v>
      </c>
      <c r="E381" t="s">
        <v>3861</v>
      </c>
      <c r="F381" t="s">
        <v>461</v>
      </c>
      <c r="G381" t="s">
        <v>1411</v>
      </c>
      <c r="H381">
        <v>107000</v>
      </c>
      <c r="I381">
        <v>112350</v>
      </c>
      <c r="J381" t="s">
        <v>3862</v>
      </c>
      <c r="K381">
        <v>1</v>
      </c>
      <c r="L381" t="s">
        <v>2945</v>
      </c>
      <c r="M381" s="19">
        <v>46262</v>
      </c>
      <c r="N381" t="s">
        <v>3863</v>
      </c>
    </row>
    <row r="382" spans="1:14" x14ac:dyDescent="0.3">
      <c r="A382" t="s">
        <v>3906</v>
      </c>
      <c r="B382" t="s">
        <v>3907</v>
      </c>
      <c r="E382" t="s">
        <v>3861</v>
      </c>
      <c r="F382" t="s">
        <v>461</v>
      </c>
      <c r="G382" t="s">
        <v>1411</v>
      </c>
      <c r="H382">
        <v>89000</v>
      </c>
      <c r="I382">
        <v>93450</v>
      </c>
      <c r="J382" t="s">
        <v>3862</v>
      </c>
      <c r="K382">
        <v>1</v>
      </c>
      <c r="L382" t="s">
        <v>2945</v>
      </c>
      <c r="M382" s="19">
        <v>46262</v>
      </c>
      <c r="N382" t="s">
        <v>3863</v>
      </c>
    </row>
    <row r="383" spans="1:14" x14ac:dyDescent="0.3">
      <c r="A383" t="s">
        <v>3908</v>
      </c>
      <c r="B383" t="s">
        <v>3909</v>
      </c>
      <c r="D383" t="s">
        <v>3910</v>
      </c>
      <c r="E383" t="s">
        <v>3911</v>
      </c>
      <c r="F383" t="s">
        <v>1227</v>
      </c>
      <c r="G383" t="s">
        <v>1081</v>
      </c>
      <c r="H383">
        <v>460</v>
      </c>
      <c r="I383">
        <v>460</v>
      </c>
      <c r="J383" t="s">
        <v>3862</v>
      </c>
      <c r="K383">
        <v>1</v>
      </c>
      <c r="L383" t="s">
        <v>2945</v>
      </c>
      <c r="M383" s="19">
        <v>46262</v>
      </c>
      <c r="N383" t="s">
        <v>3912</v>
      </c>
    </row>
    <row r="384" spans="1:14" x14ac:dyDescent="0.3">
      <c r="A384" t="s">
        <v>3913</v>
      </c>
      <c r="B384" t="s">
        <v>3914</v>
      </c>
      <c r="D384" t="s">
        <v>3910</v>
      </c>
      <c r="E384" t="s">
        <v>3911</v>
      </c>
      <c r="F384" t="s">
        <v>1227</v>
      </c>
      <c r="G384" t="s">
        <v>1081</v>
      </c>
      <c r="H384">
        <v>690</v>
      </c>
      <c r="I384">
        <v>690</v>
      </c>
      <c r="J384" t="s">
        <v>3862</v>
      </c>
      <c r="K384">
        <v>1</v>
      </c>
      <c r="L384" t="s">
        <v>2945</v>
      </c>
      <c r="M384" s="19">
        <v>46262</v>
      </c>
      <c r="N384" t="s">
        <v>3912</v>
      </c>
    </row>
    <row r="385" spans="1:14" x14ac:dyDescent="0.3">
      <c r="A385" t="s">
        <v>3915</v>
      </c>
      <c r="B385" t="s">
        <v>3916</v>
      </c>
      <c r="D385" t="s">
        <v>3910</v>
      </c>
      <c r="E385" t="s">
        <v>3911</v>
      </c>
      <c r="F385" t="s">
        <v>1227</v>
      </c>
      <c r="G385" t="s">
        <v>1081</v>
      </c>
      <c r="H385">
        <v>270</v>
      </c>
      <c r="I385">
        <v>270</v>
      </c>
      <c r="J385" t="s">
        <v>3862</v>
      </c>
      <c r="K385">
        <v>1</v>
      </c>
      <c r="L385" t="s">
        <v>2945</v>
      </c>
      <c r="M385" s="19">
        <v>46262</v>
      </c>
      <c r="N385" t="s">
        <v>3912</v>
      </c>
    </row>
    <row r="386" spans="1:14" x14ac:dyDescent="0.3">
      <c r="A386" t="s">
        <v>3917</v>
      </c>
      <c r="B386" t="s">
        <v>3918</v>
      </c>
      <c r="D386" t="s">
        <v>3910</v>
      </c>
      <c r="E386" t="s">
        <v>3911</v>
      </c>
      <c r="F386" t="s">
        <v>1227</v>
      </c>
      <c r="G386" t="s">
        <v>1081</v>
      </c>
      <c r="H386">
        <v>390</v>
      </c>
      <c r="I386">
        <v>390</v>
      </c>
      <c r="J386" t="s">
        <v>3862</v>
      </c>
      <c r="K386">
        <v>1</v>
      </c>
      <c r="L386" t="s">
        <v>2945</v>
      </c>
      <c r="M386" s="19">
        <v>46262</v>
      </c>
      <c r="N386" t="s">
        <v>3912</v>
      </c>
    </row>
    <row r="387" spans="1:14" x14ac:dyDescent="0.3">
      <c r="A387" t="s">
        <v>3919</v>
      </c>
      <c r="B387" t="s">
        <v>3920</v>
      </c>
      <c r="D387" t="s">
        <v>3910</v>
      </c>
      <c r="E387" t="s">
        <v>3911</v>
      </c>
      <c r="F387" t="s">
        <v>1227</v>
      </c>
      <c r="G387" t="s">
        <v>1081</v>
      </c>
      <c r="H387">
        <v>410</v>
      </c>
      <c r="I387">
        <v>410</v>
      </c>
      <c r="J387" t="s">
        <v>3862</v>
      </c>
      <c r="K387">
        <v>1</v>
      </c>
      <c r="L387" t="s">
        <v>2945</v>
      </c>
      <c r="M387" s="19">
        <v>46262</v>
      </c>
      <c r="N387" t="s">
        <v>3912</v>
      </c>
    </row>
    <row r="388" spans="1:14" x14ac:dyDescent="0.3">
      <c r="A388" t="s">
        <v>3921</v>
      </c>
      <c r="B388" t="s">
        <v>3922</v>
      </c>
      <c r="D388" t="s">
        <v>3910</v>
      </c>
      <c r="E388" t="s">
        <v>3911</v>
      </c>
      <c r="F388" t="s">
        <v>1227</v>
      </c>
      <c r="G388" t="s">
        <v>1081</v>
      </c>
      <c r="H388">
        <v>121</v>
      </c>
      <c r="I388">
        <v>121</v>
      </c>
      <c r="J388" t="s">
        <v>3862</v>
      </c>
      <c r="K388">
        <v>1</v>
      </c>
      <c r="L388" t="s">
        <v>2945</v>
      </c>
      <c r="M388" s="19">
        <v>46262</v>
      </c>
      <c r="N388" t="s">
        <v>3912</v>
      </c>
    </row>
    <row r="389" spans="1:14" x14ac:dyDescent="0.3">
      <c r="A389" t="s">
        <v>3923</v>
      </c>
      <c r="B389" t="s">
        <v>3924</v>
      </c>
      <c r="D389" t="s">
        <v>3910</v>
      </c>
      <c r="E389" t="s">
        <v>3911</v>
      </c>
      <c r="F389" t="s">
        <v>1227</v>
      </c>
      <c r="G389" t="s">
        <v>1081</v>
      </c>
      <c r="H389">
        <v>510</v>
      </c>
      <c r="I389">
        <v>510</v>
      </c>
      <c r="J389" t="s">
        <v>3862</v>
      </c>
      <c r="K389">
        <v>1</v>
      </c>
      <c r="L389" t="s">
        <v>2945</v>
      </c>
      <c r="M389" s="19">
        <v>46262</v>
      </c>
      <c r="N389" t="s">
        <v>3912</v>
      </c>
    </row>
    <row r="390" spans="1:14" x14ac:dyDescent="0.3">
      <c r="A390" t="s">
        <v>3925</v>
      </c>
      <c r="B390" t="s">
        <v>3926</v>
      </c>
      <c r="D390" t="s">
        <v>3910</v>
      </c>
      <c r="E390" t="s">
        <v>3911</v>
      </c>
      <c r="F390" t="s">
        <v>1227</v>
      </c>
      <c r="G390" t="s">
        <v>1081</v>
      </c>
      <c r="H390">
        <v>75</v>
      </c>
      <c r="I390">
        <v>75</v>
      </c>
      <c r="J390" t="s">
        <v>3862</v>
      </c>
      <c r="K390">
        <v>1</v>
      </c>
      <c r="L390" t="s">
        <v>2945</v>
      </c>
      <c r="M390" s="19">
        <v>46262</v>
      </c>
      <c r="N390" t="s">
        <v>3912</v>
      </c>
    </row>
    <row r="391" spans="1:14" x14ac:dyDescent="0.3">
      <c r="A391" t="s">
        <v>3927</v>
      </c>
      <c r="B391" t="s">
        <v>3928</v>
      </c>
      <c r="D391" t="s">
        <v>3929</v>
      </c>
      <c r="E391" t="s">
        <v>3929</v>
      </c>
      <c r="F391" t="s">
        <v>461</v>
      </c>
      <c r="G391" t="s">
        <v>1081</v>
      </c>
      <c r="H391">
        <v>5500</v>
      </c>
      <c r="I391">
        <v>5775</v>
      </c>
      <c r="J391" t="s">
        <v>3862</v>
      </c>
      <c r="K391">
        <v>1</v>
      </c>
      <c r="L391" t="s">
        <v>2945</v>
      </c>
      <c r="M391" s="19">
        <v>46262</v>
      </c>
      <c r="N391" t="s">
        <v>3930</v>
      </c>
    </row>
    <row r="392" spans="1:14" x14ac:dyDescent="0.3">
      <c r="A392" t="s">
        <v>3931</v>
      </c>
      <c r="B392" t="s">
        <v>3932</v>
      </c>
      <c r="D392" t="s">
        <v>3910</v>
      </c>
      <c r="E392" t="s">
        <v>3911</v>
      </c>
      <c r="F392" t="s">
        <v>1227</v>
      </c>
      <c r="G392" t="s">
        <v>1081</v>
      </c>
      <c r="H392">
        <v>245</v>
      </c>
      <c r="I392">
        <v>245</v>
      </c>
      <c r="J392" t="s">
        <v>3862</v>
      </c>
      <c r="K392">
        <v>1</v>
      </c>
      <c r="L392" t="s">
        <v>2945</v>
      </c>
      <c r="M392" s="19">
        <v>46262</v>
      </c>
      <c r="N392" t="s">
        <v>3912</v>
      </c>
    </row>
    <row r="393" spans="1:14" x14ac:dyDescent="0.3">
      <c r="A393" t="s">
        <v>3933</v>
      </c>
      <c r="B393" t="s">
        <v>3934</v>
      </c>
      <c r="D393" t="s">
        <v>3910</v>
      </c>
      <c r="E393" t="s">
        <v>3911</v>
      </c>
      <c r="F393" t="s">
        <v>1227</v>
      </c>
      <c r="G393" t="s">
        <v>1081</v>
      </c>
      <c r="H393">
        <v>276</v>
      </c>
      <c r="I393">
        <v>276</v>
      </c>
      <c r="J393" t="s">
        <v>3862</v>
      </c>
      <c r="K393">
        <v>1</v>
      </c>
      <c r="L393" t="s">
        <v>2945</v>
      </c>
      <c r="M393" s="19">
        <v>46262</v>
      </c>
      <c r="N393" t="s">
        <v>3912</v>
      </c>
    </row>
    <row r="394" spans="1:14" x14ac:dyDescent="0.3">
      <c r="A394" t="s">
        <v>3935</v>
      </c>
      <c r="B394" t="s">
        <v>3936</v>
      </c>
      <c r="D394" t="s">
        <v>3929</v>
      </c>
      <c r="E394" t="s">
        <v>3929</v>
      </c>
      <c r="F394" t="s">
        <v>461</v>
      </c>
      <c r="G394" t="s">
        <v>1071</v>
      </c>
      <c r="H394">
        <v>84954</v>
      </c>
      <c r="I394">
        <v>89201.7</v>
      </c>
      <c r="J394" t="s">
        <v>3862</v>
      </c>
      <c r="K394">
        <v>1</v>
      </c>
      <c r="L394" t="s">
        <v>2945</v>
      </c>
      <c r="M394" s="19">
        <v>46262</v>
      </c>
      <c r="N394" t="s">
        <v>3930</v>
      </c>
    </row>
    <row r="395" spans="1:14" x14ac:dyDescent="0.3">
      <c r="A395" t="s">
        <v>3937</v>
      </c>
      <c r="B395" t="s">
        <v>3938</v>
      </c>
      <c r="D395" t="s">
        <v>3929</v>
      </c>
      <c r="E395" t="s">
        <v>3929</v>
      </c>
      <c r="F395" t="s">
        <v>461</v>
      </c>
      <c r="G395" t="s">
        <v>1071</v>
      </c>
      <c r="H395">
        <v>72800</v>
      </c>
      <c r="I395">
        <v>76440</v>
      </c>
      <c r="J395" t="s">
        <v>3862</v>
      </c>
      <c r="K395">
        <v>1</v>
      </c>
      <c r="L395" t="s">
        <v>2945</v>
      </c>
      <c r="M395" s="19">
        <v>46262</v>
      </c>
      <c r="N395" t="s">
        <v>3930</v>
      </c>
    </row>
    <row r="396" spans="1:14" x14ac:dyDescent="0.3">
      <c r="A396" t="s">
        <v>3939</v>
      </c>
      <c r="B396" t="s">
        <v>3940</v>
      </c>
      <c r="D396" t="s">
        <v>3929</v>
      </c>
      <c r="E396" t="s">
        <v>3929</v>
      </c>
      <c r="F396" t="s">
        <v>461</v>
      </c>
      <c r="G396" t="s">
        <v>1071</v>
      </c>
      <c r="H396">
        <v>48780</v>
      </c>
      <c r="I396">
        <v>51219</v>
      </c>
      <c r="J396" t="s">
        <v>3862</v>
      </c>
      <c r="K396">
        <v>1</v>
      </c>
      <c r="L396" t="s">
        <v>2945</v>
      </c>
      <c r="M396" s="19">
        <v>46262</v>
      </c>
      <c r="N396" t="s">
        <v>3930</v>
      </c>
    </row>
    <row r="397" spans="1:14" x14ac:dyDescent="0.3">
      <c r="A397" t="s">
        <v>3941</v>
      </c>
      <c r="B397" t="s">
        <v>3942</v>
      </c>
      <c r="D397" t="s">
        <v>3929</v>
      </c>
      <c r="E397" t="s">
        <v>3929</v>
      </c>
      <c r="F397" t="s">
        <v>461</v>
      </c>
      <c r="G397" t="s">
        <v>1071</v>
      </c>
      <c r="H397">
        <v>41720</v>
      </c>
      <c r="I397">
        <v>43806</v>
      </c>
      <c r="J397" t="s">
        <v>3862</v>
      </c>
      <c r="K397">
        <v>1</v>
      </c>
      <c r="L397" t="s">
        <v>2945</v>
      </c>
      <c r="M397" s="19">
        <v>46262</v>
      </c>
      <c r="N397" t="s">
        <v>3930</v>
      </c>
    </row>
    <row r="398" spans="1:14" x14ac:dyDescent="0.3">
      <c r="A398" t="s">
        <v>3943</v>
      </c>
      <c r="B398" t="s">
        <v>3944</v>
      </c>
      <c r="D398" t="s">
        <v>3929</v>
      </c>
      <c r="E398" t="s">
        <v>3929</v>
      </c>
      <c r="F398" t="s">
        <v>461</v>
      </c>
      <c r="G398" t="s">
        <v>1071</v>
      </c>
      <c r="H398">
        <v>70069</v>
      </c>
      <c r="I398">
        <v>73572.45</v>
      </c>
      <c r="J398" t="s">
        <v>3862</v>
      </c>
      <c r="K398">
        <v>1</v>
      </c>
      <c r="L398" t="s">
        <v>2945</v>
      </c>
      <c r="M398" s="19">
        <v>46262</v>
      </c>
      <c r="N398" t="s">
        <v>3930</v>
      </c>
    </row>
    <row r="399" spans="1:14" x14ac:dyDescent="0.3">
      <c r="A399" t="s">
        <v>3945</v>
      </c>
      <c r="B399" t="s">
        <v>3946</v>
      </c>
      <c r="D399" t="s">
        <v>3929</v>
      </c>
      <c r="E399" t="s">
        <v>3929</v>
      </c>
      <c r="F399" t="s">
        <v>461</v>
      </c>
      <c r="G399" t="s">
        <v>1071</v>
      </c>
      <c r="H399">
        <v>60333</v>
      </c>
      <c r="I399">
        <v>63349.65</v>
      </c>
      <c r="J399" t="s">
        <v>3862</v>
      </c>
      <c r="K399">
        <v>1</v>
      </c>
      <c r="L399" t="s">
        <v>2945</v>
      </c>
      <c r="M399" s="19">
        <v>46262</v>
      </c>
      <c r="N399" t="s">
        <v>3930</v>
      </c>
    </row>
    <row r="400" spans="1:14" x14ac:dyDescent="0.3">
      <c r="A400" t="s">
        <v>3947</v>
      </c>
      <c r="B400" t="s">
        <v>3948</v>
      </c>
      <c r="D400" t="s">
        <v>3910</v>
      </c>
      <c r="E400" t="s">
        <v>3911</v>
      </c>
      <c r="F400" t="s">
        <v>2867</v>
      </c>
      <c r="G400" t="s">
        <v>1119</v>
      </c>
      <c r="H400">
        <v>11655</v>
      </c>
      <c r="I400">
        <v>11655</v>
      </c>
      <c r="J400" t="s">
        <v>3862</v>
      </c>
      <c r="K400">
        <v>1</v>
      </c>
      <c r="L400" t="s">
        <v>2945</v>
      </c>
      <c r="M400" s="19">
        <v>46262</v>
      </c>
      <c r="N400" t="s">
        <v>3912</v>
      </c>
    </row>
    <row r="401" spans="1:14" x14ac:dyDescent="0.3">
      <c r="A401" t="s">
        <v>3949</v>
      </c>
      <c r="B401" t="s">
        <v>3950</v>
      </c>
      <c r="D401" t="s">
        <v>3910</v>
      </c>
      <c r="E401" t="s">
        <v>3911</v>
      </c>
      <c r="F401" t="s">
        <v>2867</v>
      </c>
      <c r="G401" t="s">
        <v>1119</v>
      </c>
      <c r="H401">
        <v>11655</v>
      </c>
      <c r="I401">
        <v>11655</v>
      </c>
      <c r="J401" t="s">
        <v>3862</v>
      </c>
      <c r="K401">
        <v>1</v>
      </c>
      <c r="L401" t="s">
        <v>2945</v>
      </c>
      <c r="M401" s="19">
        <v>46262</v>
      </c>
      <c r="N401" t="s">
        <v>3912</v>
      </c>
    </row>
    <row r="402" spans="1:14" x14ac:dyDescent="0.3">
      <c r="A402" t="s">
        <v>3951</v>
      </c>
      <c r="B402" t="s">
        <v>3952</v>
      </c>
      <c r="D402" t="s">
        <v>3910</v>
      </c>
      <c r="E402" t="s">
        <v>3911</v>
      </c>
      <c r="F402" t="s">
        <v>2867</v>
      </c>
      <c r="G402" t="s">
        <v>1119</v>
      </c>
      <c r="H402">
        <v>11655</v>
      </c>
      <c r="I402">
        <v>11655</v>
      </c>
      <c r="J402" t="s">
        <v>3862</v>
      </c>
      <c r="K402">
        <v>1</v>
      </c>
      <c r="L402" t="s">
        <v>2945</v>
      </c>
      <c r="M402" s="19">
        <v>46262</v>
      </c>
      <c r="N402" t="s">
        <v>3912</v>
      </c>
    </row>
    <row r="403" spans="1:14" x14ac:dyDescent="0.3">
      <c r="A403" t="s">
        <v>3953</v>
      </c>
      <c r="B403" t="s">
        <v>3954</v>
      </c>
      <c r="D403" t="s">
        <v>3910</v>
      </c>
      <c r="E403" t="s">
        <v>3911</v>
      </c>
      <c r="F403" t="s">
        <v>2867</v>
      </c>
      <c r="G403" t="s">
        <v>1119</v>
      </c>
      <c r="H403">
        <v>11655</v>
      </c>
      <c r="I403">
        <v>11655</v>
      </c>
      <c r="J403" t="s">
        <v>3862</v>
      </c>
      <c r="K403">
        <v>1</v>
      </c>
      <c r="L403" t="s">
        <v>2945</v>
      </c>
      <c r="M403" s="19">
        <v>46262</v>
      </c>
      <c r="N403" t="s">
        <v>3912</v>
      </c>
    </row>
    <row r="404" spans="1:14" x14ac:dyDescent="0.3">
      <c r="A404" t="s">
        <v>3955</v>
      </c>
      <c r="B404" t="s">
        <v>3956</v>
      </c>
      <c r="E404" t="s">
        <v>3957</v>
      </c>
      <c r="F404" t="s">
        <v>1227</v>
      </c>
      <c r="G404" t="s">
        <v>1119</v>
      </c>
      <c r="H404">
        <v>93350</v>
      </c>
      <c r="I404">
        <v>93350</v>
      </c>
      <c r="J404" t="s">
        <v>3862</v>
      </c>
      <c r="K404">
        <v>1</v>
      </c>
      <c r="L404" t="s">
        <v>2945</v>
      </c>
      <c r="M404" s="19">
        <v>46262</v>
      </c>
      <c r="N404" t="s">
        <v>3958</v>
      </c>
    </row>
    <row r="405" spans="1:14" x14ac:dyDescent="0.3">
      <c r="A405" t="s">
        <v>3959</v>
      </c>
      <c r="B405" t="s">
        <v>3960</v>
      </c>
      <c r="E405" t="s">
        <v>3957</v>
      </c>
      <c r="F405" t="s">
        <v>1227</v>
      </c>
      <c r="G405" t="s">
        <v>1119</v>
      </c>
      <c r="H405">
        <v>88300</v>
      </c>
      <c r="I405">
        <v>88300</v>
      </c>
      <c r="J405" t="s">
        <v>3862</v>
      </c>
      <c r="K405">
        <v>1</v>
      </c>
      <c r="L405" t="s">
        <v>2945</v>
      </c>
      <c r="M405" s="19">
        <v>46262</v>
      </c>
      <c r="N405" t="s">
        <v>3961</v>
      </c>
    </row>
    <row r="406" spans="1:14" x14ac:dyDescent="0.3">
      <c r="A406" t="s">
        <v>3962</v>
      </c>
      <c r="B406" t="s">
        <v>3963</v>
      </c>
      <c r="E406" t="s">
        <v>3957</v>
      </c>
      <c r="F406" t="s">
        <v>1227</v>
      </c>
      <c r="G406" t="s">
        <v>1097</v>
      </c>
      <c r="H406">
        <v>95950</v>
      </c>
      <c r="I406">
        <v>95950</v>
      </c>
      <c r="J406" t="s">
        <v>3862</v>
      </c>
      <c r="K406">
        <v>1</v>
      </c>
      <c r="L406" t="s">
        <v>2945</v>
      </c>
      <c r="M406" s="19">
        <v>46262</v>
      </c>
      <c r="N406" t="s">
        <v>3964</v>
      </c>
    </row>
    <row r="407" spans="1:14" x14ac:dyDescent="0.3">
      <c r="A407" t="s">
        <v>3965</v>
      </c>
      <c r="B407" t="s">
        <v>3966</v>
      </c>
      <c r="E407" t="s">
        <v>3957</v>
      </c>
      <c r="F407" t="s">
        <v>1227</v>
      </c>
      <c r="G407" t="s">
        <v>1097</v>
      </c>
      <c r="H407">
        <v>161350</v>
      </c>
      <c r="I407">
        <v>161350</v>
      </c>
      <c r="J407" t="s">
        <v>3862</v>
      </c>
      <c r="K407">
        <v>1</v>
      </c>
      <c r="L407" t="s">
        <v>2945</v>
      </c>
      <c r="M407" s="19">
        <v>46262</v>
      </c>
      <c r="N407" t="s">
        <v>3967</v>
      </c>
    </row>
    <row r="408" spans="1:14" x14ac:dyDescent="0.3">
      <c r="A408" t="s">
        <v>3968</v>
      </c>
      <c r="B408" t="s">
        <v>3969</v>
      </c>
      <c r="E408" t="s">
        <v>3957</v>
      </c>
      <c r="F408" t="s">
        <v>461</v>
      </c>
      <c r="G408" t="s">
        <v>1097</v>
      </c>
      <c r="H408">
        <v>101248</v>
      </c>
      <c r="I408">
        <v>106310.39999999999</v>
      </c>
      <c r="J408" t="s">
        <v>3862</v>
      </c>
      <c r="K408">
        <v>1</v>
      </c>
      <c r="L408" t="s">
        <v>2945</v>
      </c>
      <c r="M408" s="19">
        <v>46262</v>
      </c>
      <c r="N408" t="s">
        <v>3970</v>
      </c>
    </row>
    <row r="409" spans="1:14" x14ac:dyDescent="0.3">
      <c r="A409" t="s">
        <v>3971</v>
      </c>
      <c r="B409" t="s">
        <v>3972</v>
      </c>
      <c r="E409" t="s">
        <v>3957</v>
      </c>
      <c r="F409" t="s">
        <v>461</v>
      </c>
      <c r="G409" t="s">
        <v>1097</v>
      </c>
      <c r="H409">
        <v>44296</v>
      </c>
      <c r="I409">
        <v>46510.8</v>
      </c>
      <c r="J409" t="s">
        <v>3862</v>
      </c>
      <c r="K409">
        <v>1</v>
      </c>
      <c r="L409" t="s">
        <v>2945</v>
      </c>
      <c r="M409" s="19">
        <v>46262</v>
      </c>
      <c r="N409" t="s">
        <v>3970</v>
      </c>
    </row>
    <row r="410" spans="1:14" x14ac:dyDescent="0.3">
      <c r="A410" t="s">
        <v>3973</v>
      </c>
      <c r="B410" t="s">
        <v>3974</v>
      </c>
      <c r="E410" t="s">
        <v>3957</v>
      </c>
      <c r="F410" t="s">
        <v>461</v>
      </c>
      <c r="G410" t="s">
        <v>1097</v>
      </c>
      <c r="H410">
        <v>68905</v>
      </c>
      <c r="I410">
        <v>72350.25</v>
      </c>
      <c r="J410" t="s">
        <v>3862</v>
      </c>
      <c r="K410">
        <v>1</v>
      </c>
      <c r="L410" t="s">
        <v>2945</v>
      </c>
      <c r="M410" s="19">
        <v>46262</v>
      </c>
      <c r="N410" t="s">
        <v>3970</v>
      </c>
    </row>
    <row r="411" spans="1:14" x14ac:dyDescent="0.3">
      <c r="A411" t="s">
        <v>3975</v>
      </c>
      <c r="B411" t="s">
        <v>3976</v>
      </c>
      <c r="C411" t="s">
        <v>3977</v>
      </c>
      <c r="D411" t="s">
        <v>3978</v>
      </c>
      <c r="E411" t="s">
        <v>3978</v>
      </c>
      <c r="F411" t="s">
        <v>1227</v>
      </c>
      <c r="G411" t="s">
        <v>1986</v>
      </c>
      <c r="H411">
        <v>47512.5</v>
      </c>
      <c r="I411">
        <v>49888.13</v>
      </c>
      <c r="J411" t="s">
        <v>3862</v>
      </c>
      <c r="K411">
        <v>1</v>
      </c>
      <c r="L411" t="s">
        <v>2945</v>
      </c>
      <c r="M411" s="19">
        <v>46262</v>
      </c>
      <c r="N411" t="s">
        <v>3979</v>
      </c>
    </row>
    <row r="412" spans="1:14" x14ac:dyDescent="0.3">
      <c r="A412" t="s">
        <v>3980</v>
      </c>
      <c r="B412" t="s">
        <v>3981</v>
      </c>
      <c r="C412" t="s">
        <v>3982</v>
      </c>
      <c r="D412" t="s">
        <v>3978</v>
      </c>
      <c r="E412" t="s">
        <v>3978</v>
      </c>
      <c r="F412" t="s">
        <v>1227</v>
      </c>
      <c r="G412" t="s">
        <v>1986</v>
      </c>
      <c r="H412">
        <v>11482.5</v>
      </c>
      <c r="I412">
        <v>12056.63</v>
      </c>
      <c r="J412" t="s">
        <v>3862</v>
      </c>
      <c r="K412">
        <v>1</v>
      </c>
      <c r="L412" t="s">
        <v>2945</v>
      </c>
      <c r="M412" s="19">
        <v>46262</v>
      </c>
      <c r="N412" t="s">
        <v>3979</v>
      </c>
    </row>
    <row r="413" spans="1:14" x14ac:dyDescent="0.3">
      <c r="A413" t="s">
        <v>3983</v>
      </c>
      <c r="B413" t="s">
        <v>3984</v>
      </c>
      <c r="C413" t="s">
        <v>3985</v>
      </c>
      <c r="D413" t="s">
        <v>3978</v>
      </c>
      <c r="E413" t="s">
        <v>3978</v>
      </c>
      <c r="F413" t="s">
        <v>1227</v>
      </c>
      <c r="G413" t="s">
        <v>1986</v>
      </c>
      <c r="H413">
        <v>24240</v>
      </c>
      <c r="I413">
        <v>25452</v>
      </c>
      <c r="J413" t="s">
        <v>3862</v>
      </c>
      <c r="K413">
        <v>1</v>
      </c>
      <c r="L413" t="s">
        <v>2945</v>
      </c>
      <c r="M413" s="19">
        <v>46262</v>
      </c>
      <c r="N413" t="s">
        <v>3979</v>
      </c>
    </row>
    <row r="414" spans="1:14" x14ac:dyDescent="0.3">
      <c r="A414" t="s">
        <v>3986</v>
      </c>
      <c r="B414" t="s">
        <v>3987</v>
      </c>
      <c r="C414" t="s">
        <v>3988</v>
      </c>
      <c r="D414" t="s">
        <v>3978</v>
      </c>
      <c r="E414" t="s">
        <v>3978</v>
      </c>
      <c r="F414" t="s">
        <v>1227</v>
      </c>
      <c r="G414" t="s">
        <v>1986</v>
      </c>
      <c r="H414">
        <v>42600</v>
      </c>
      <c r="I414">
        <v>44730</v>
      </c>
      <c r="J414" t="s">
        <v>3862</v>
      </c>
      <c r="K414">
        <v>1</v>
      </c>
      <c r="L414" t="s">
        <v>2945</v>
      </c>
      <c r="M414" s="19">
        <v>46262</v>
      </c>
      <c r="N414" t="s">
        <v>3979</v>
      </c>
    </row>
    <row r="415" spans="1:14" x14ac:dyDescent="0.3">
      <c r="A415" t="s">
        <v>3989</v>
      </c>
      <c r="B415" t="s">
        <v>3990</v>
      </c>
      <c r="C415" t="s">
        <v>3991</v>
      </c>
      <c r="D415" t="s">
        <v>3992</v>
      </c>
      <c r="E415" t="s">
        <v>3993</v>
      </c>
      <c r="F415" t="s">
        <v>1227</v>
      </c>
      <c r="G415" t="s">
        <v>2740</v>
      </c>
      <c r="H415">
        <v>8860.82</v>
      </c>
      <c r="I415">
        <v>9303.8700000000008</v>
      </c>
      <c r="J415" t="s">
        <v>3862</v>
      </c>
      <c r="K415">
        <v>1</v>
      </c>
      <c r="L415" t="s">
        <v>2945</v>
      </c>
      <c r="M415" s="19">
        <v>46262</v>
      </c>
      <c r="N415" t="s">
        <v>3994</v>
      </c>
    </row>
    <row r="416" spans="1:14" x14ac:dyDescent="0.3">
      <c r="A416" t="s">
        <v>3995</v>
      </c>
      <c r="B416" t="s">
        <v>3996</v>
      </c>
      <c r="D416" t="s">
        <v>3997</v>
      </c>
      <c r="E416" t="s">
        <v>3997</v>
      </c>
      <c r="F416" t="s">
        <v>1227</v>
      </c>
      <c r="G416" t="s">
        <v>1970</v>
      </c>
      <c r="H416">
        <v>911963.06</v>
      </c>
      <c r="I416">
        <v>957561.21</v>
      </c>
      <c r="J416" t="s">
        <v>3862</v>
      </c>
      <c r="K416">
        <v>1</v>
      </c>
      <c r="L416" t="s">
        <v>2945</v>
      </c>
      <c r="M416" s="19">
        <v>46262</v>
      </c>
      <c r="N416" t="s">
        <v>3998</v>
      </c>
    </row>
    <row r="417" spans="1:14" x14ac:dyDescent="0.3">
      <c r="A417" t="s">
        <v>3999</v>
      </c>
      <c r="B417" t="s">
        <v>4000</v>
      </c>
      <c r="D417" t="s">
        <v>4001</v>
      </c>
      <c r="E417" t="s">
        <v>4001</v>
      </c>
      <c r="F417" t="s">
        <v>1227</v>
      </c>
      <c r="G417" t="s">
        <v>1970</v>
      </c>
      <c r="H417">
        <v>724080</v>
      </c>
      <c r="I417">
        <v>760284</v>
      </c>
      <c r="J417" t="s">
        <v>3862</v>
      </c>
      <c r="K417">
        <v>1</v>
      </c>
      <c r="L417" t="s">
        <v>2945</v>
      </c>
      <c r="M417" s="19">
        <v>46262</v>
      </c>
      <c r="N417" t="s">
        <v>3998</v>
      </c>
    </row>
    <row r="418" spans="1:14" x14ac:dyDescent="0.3">
      <c r="A418" t="s">
        <v>4002</v>
      </c>
      <c r="B418" t="s">
        <v>4003</v>
      </c>
      <c r="D418" t="s">
        <v>4001</v>
      </c>
      <c r="E418" t="s">
        <v>4001</v>
      </c>
      <c r="F418" t="s">
        <v>1227</v>
      </c>
      <c r="G418" t="s">
        <v>1970</v>
      </c>
      <c r="H418">
        <v>671230</v>
      </c>
      <c r="I418">
        <v>704791.5</v>
      </c>
      <c r="J418" t="s">
        <v>3862</v>
      </c>
      <c r="K418">
        <v>1</v>
      </c>
      <c r="L418" t="s">
        <v>2945</v>
      </c>
      <c r="M418" s="19">
        <v>46262</v>
      </c>
      <c r="N418" t="s">
        <v>3998</v>
      </c>
    </row>
    <row r="419" spans="1:14" x14ac:dyDescent="0.3">
      <c r="A419" t="s">
        <v>4004</v>
      </c>
      <c r="B419" t="s">
        <v>4005</v>
      </c>
      <c r="D419" t="s">
        <v>4001</v>
      </c>
      <c r="E419" t="s">
        <v>4001</v>
      </c>
      <c r="F419" t="s">
        <v>1227</v>
      </c>
      <c r="G419" t="s">
        <v>1970</v>
      </c>
      <c r="H419">
        <v>744590</v>
      </c>
      <c r="I419">
        <v>781819.5</v>
      </c>
      <c r="J419" t="s">
        <v>3862</v>
      </c>
      <c r="K419">
        <v>1</v>
      </c>
      <c r="L419" t="s">
        <v>2945</v>
      </c>
      <c r="M419" s="19">
        <v>46262</v>
      </c>
      <c r="N419" t="s">
        <v>3998</v>
      </c>
    </row>
    <row r="420" spans="1:14" x14ac:dyDescent="0.3">
      <c r="A420" t="s">
        <v>4006</v>
      </c>
      <c r="B420" t="s">
        <v>4007</v>
      </c>
      <c r="D420" t="s">
        <v>4001</v>
      </c>
      <c r="E420" t="s">
        <v>4001</v>
      </c>
      <c r="F420" t="s">
        <v>1227</v>
      </c>
      <c r="G420" t="s">
        <v>1970</v>
      </c>
      <c r="H420">
        <v>863730</v>
      </c>
      <c r="I420">
        <v>906916.5</v>
      </c>
      <c r="J420" t="s">
        <v>3862</v>
      </c>
      <c r="K420">
        <v>1</v>
      </c>
      <c r="L420" t="s">
        <v>2945</v>
      </c>
      <c r="M420" s="19">
        <v>46262</v>
      </c>
      <c r="N420" t="s">
        <v>3998</v>
      </c>
    </row>
    <row r="421" spans="1:14" x14ac:dyDescent="0.3">
      <c r="A421" t="s">
        <v>4008</v>
      </c>
      <c r="B421" t="s">
        <v>4009</v>
      </c>
      <c r="D421" t="s">
        <v>4001</v>
      </c>
      <c r="E421" t="s">
        <v>4001</v>
      </c>
      <c r="F421" t="s">
        <v>1227</v>
      </c>
      <c r="G421" t="s">
        <v>1970</v>
      </c>
      <c r="H421">
        <v>1109850</v>
      </c>
      <c r="I421">
        <v>1165342.5</v>
      </c>
      <c r="J421" t="s">
        <v>3862</v>
      </c>
      <c r="K421">
        <v>1</v>
      </c>
      <c r="L421" t="s">
        <v>2945</v>
      </c>
      <c r="M421" s="19">
        <v>46262</v>
      </c>
      <c r="N421" t="s">
        <v>3998</v>
      </c>
    </row>
    <row r="422" spans="1:14" x14ac:dyDescent="0.3">
      <c r="A422" t="s">
        <v>4010</v>
      </c>
      <c r="B422" t="s">
        <v>4011</v>
      </c>
      <c r="D422" t="s">
        <v>4001</v>
      </c>
      <c r="E422" t="s">
        <v>4001</v>
      </c>
      <c r="F422" t="s">
        <v>1227</v>
      </c>
      <c r="G422" t="s">
        <v>1970</v>
      </c>
      <c r="H422">
        <v>1149050</v>
      </c>
      <c r="I422">
        <v>1206502.5</v>
      </c>
      <c r="J422" t="s">
        <v>3862</v>
      </c>
      <c r="K422">
        <v>1</v>
      </c>
      <c r="L422" t="s">
        <v>2945</v>
      </c>
      <c r="M422" s="19">
        <v>46262</v>
      </c>
      <c r="N422" t="s">
        <v>3998</v>
      </c>
    </row>
    <row r="423" spans="1:14" x14ac:dyDescent="0.3">
      <c r="A423" t="s">
        <v>4012</v>
      </c>
      <c r="B423" t="s">
        <v>4013</v>
      </c>
      <c r="D423" t="s">
        <v>4001</v>
      </c>
      <c r="E423" t="s">
        <v>4001</v>
      </c>
      <c r="F423" t="s">
        <v>1227</v>
      </c>
      <c r="G423" t="s">
        <v>1970</v>
      </c>
      <c r="H423">
        <v>1435910</v>
      </c>
      <c r="I423">
        <v>1507705.5</v>
      </c>
      <c r="J423" t="s">
        <v>3862</v>
      </c>
      <c r="K423">
        <v>1</v>
      </c>
      <c r="L423" t="s">
        <v>2945</v>
      </c>
      <c r="M423" s="19">
        <v>46262</v>
      </c>
      <c r="N423" t="s">
        <v>3998</v>
      </c>
    </row>
    <row r="424" spans="1:14" x14ac:dyDescent="0.3">
      <c r="A424" t="s">
        <v>4014</v>
      </c>
      <c r="B424" t="s">
        <v>4015</v>
      </c>
      <c r="D424" t="s">
        <v>4001</v>
      </c>
      <c r="E424" t="s">
        <v>4001</v>
      </c>
      <c r="F424" t="s">
        <v>1227</v>
      </c>
      <c r="G424" t="s">
        <v>1970</v>
      </c>
      <c r="H424">
        <v>1748320</v>
      </c>
      <c r="I424">
        <v>1835736</v>
      </c>
      <c r="J424" t="s">
        <v>3862</v>
      </c>
      <c r="K424">
        <v>1</v>
      </c>
      <c r="L424" t="s">
        <v>2945</v>
      </c>
      <c r="M424" s="19">
        <v>46262</v>
      </c>
      <c r="N424" t="s">
        <v>3998</v>
      </c>
    </row>
    <row r="425" spans="1:14" x14ac:dyDescent="0.3">
      <c r="A425" t="s">
        <v>4016</v>
      </c>
      <c r="B425" t="s">
        <v>4017</v>
      </c>
      <c r="D425" t="s">
        <v>4001</v>
      </c>
      <c r="E425" t="s">
        <v>4001</v>
      </c>
      <c r="F425" t="s">
        <v>1227</v>
      </c>
      <c r="G425" t="s">
        <v>1970</v>
      </c>
      <c r="H425">
        <v>2025660</v>
      </c>
      <c r="I425">
        <v>2126943</v>
      </c>
      <c r="J425" t="s">
        <v>3862</v>
      </c>
      <c r="K425">
        <v>1</v>
      </c>
      <c r="L425" t="s">
        <v>2945</v>
      </c>
      <c r="M425" s="19">
        <v>46262</v>
      </c>
      <c r="N425" t="s">
        <v>3998</v>
      </c>
    </row>
    <row r="426" spans="1:14" x14ac:dyDescent="0.3">
      <c r="A426" t="s">
        <v>4018</v>
      </c>
      <c r="B426" t="s">
        <v>4019</v>
      </c>
      <c r="D426" t="s">
        <v>3997</v>
      </c>
      <c r="E426" t="s">
        <v>3997</v>
      </c>
      <c r="F426" t="s">
        <v>1227</v>
      </c>
      <c r="G426" t="s">
        <v>1970</v>
      </c>
      <c r="H426">
        <v>616137.54</v>
      </c>
      <c r="I426">
        <v>646944.42000000004</v>
      </c>
      <c r="J426" t="s">
        <v>3862</v>
      </c>
      <c r="K426">
        <v>1</v>
      </c>
      <c r="L426" t="s">
        <v>2945</v>
      </c>
      <c r="M426" s="19">
        <v>46262</v>
      </c>
      <c r="N426" t="s">
        <v>3998</v>
      </c>
    </row>
    <row r="427" spans="1:14" x14ac:dyDescent="0.3">
      <c r="A427" t="s">
        <v>4020</v>
      </c>
      <c r="B427" t="s">
        <v>4021</v>
      </c>
      <c r="D427" t="s">
        <v>3997</v>
      </c>
      <c r="E427" t="s">
        <v>3997</v>
      </c>
      <c r="F427" t="s">
        <v>1227</v>
      </c>
      <c r="G427" t="s">
        <v>1970</v>
      </c>
      <c r="H427">
        <v>1076061.99</v>
      </c>
      <c r="I427">
        <v>1129865.0900000001</v>
      </c>
      <c r="J427" t="s">
        <v>3862</v>
      </c>
      <c r="K427">
        <v>1</v>
      </c>
      <c r="L427" t="s">
        <v>2945</v>
      </c>
      <c r="M427" s="19">
        <v>46262</v>
      </c>
      <c r="N427" t="s">
        <v>3998</v>
      </c>
    </row>
    <row r="428" spans="1:14" x14ac:dyDescent="0.3">
      <c r="A428" t="s">
        <v>4022</v>
      </c>
      <c r="B428" t="s">
        <v>4023</v>
      </c>
      <c r="D428" t="s">
        <v>3997</v>
      </c>
      <c r="E428" t="s">
        <v>3997</v>
      </c>
      <c r="F428" t="s">
        <v>1227</v>
      </c>
      <c r="G428" t="s">
        <v>1970</v>
      </c>
      <c r="H428">
        <v>1161397.06</v>
      </c>
      <c r="I428">
        <v>1219466.9099999999</v>
      </c>
      <c r="J428" t="s">
        <v>3862</v>
      </c>
      <c r="K428">
        <v>1</v>
      </c>
      <c r="L428" t="s">
        <v>2945</v>
      </c>
      <c r="M428" s="19">
        <v>46262</v>
      </c>
      <c r="N428" t="s">
        <v>3998</v>
      </c>
    </row>
    <row r="429" spans="1:14" x14ac:dyDescent="0.3">
      <c r="A429" t="s">
        <v>4024</v>
      </c>
      <c r="B429" t="s">
        <v>4023</v>
      </c>
      <c r="D429" t="s">
        <v>3997</v>
      </c>
      <c r="E429" t="s">
        <v>3997</v>
      </c>
      <c r="F429" t="s">
        <v>1227</v>
      </c>
      <c r="G429" t="s">
        <v>1970</v>
      </c>
      <c r="H429">
        <v>1161397.06</v>
      </c>
      <c r="I429">
        <v>1219466.9099999999</v>
      </c>
      <c r="J429" t="s">
        <v>3862</v>
      </c>
      <c r="K429">
        <v>1</v>
      </c>
      <c r="L429" t="s">
        <v>2945</v>
      </c>
      <c r="M429" s="19">
        <v>46262</v>
      </c>
      <c r="N429" t="s">
        <v>3998</v>
      </c>
    </row>
    <row r="430" spans="1:14" x14ac:dyDescent="0.3">
      <c r="A430" t="s">
        <v>4025</v>
      </c>
      <c r="B430" t="s">
        <v>4026</v>
      </c>
      <c r="D430" t="s">
        <v>3997</v>
      </c>
      <c r="E430" t="s">
        <v>3997</v>
      </c>
      <c r="F430" t="s">
        <v>1227</v>
      </c>
      <c r="G430" t="s">
        <v>1970</v>
      </c>
      <c r="H430">
        <v>760837.84</v>
      </c>
      <c r="I430">
        <v>798879.73</v>
      </c>
      <c r="J430" t="s">
        <v>3862</v>
      </c>
      <c r="K430">
        <v>1</v>
      </c>
      <c r="L430" t="s">
        <v>2945</v>
      </c>
      <c r="M430" s="19">
        <v>46262</v>
      </c>
      <c r="N430" t="s">
        <v>3998</v>
      </c>
    </row>
    <row r="431" spans="1:14" x14ac:dyDescent="0.3">
      <c r="A431" t="s">
        <v>4027</v>
      </c>
      <c r="B431" t="s">
        <v>4026</v>
      </c>
      <c r="D431" t="s">
        <v>3997</v>
      </c>
      <c r="E431" t="s">
        <v>3997</v>
      </c>
      <c r="F431" t="s">
        <v>1227</v>
      </c>
      <c r="G431" t="s">
        <v>1970</v>
      </c>
      <c r="H431">
        <v>774824.58</v>
      </c>
      <c r="I431">
        <v>813565.81</v>
      </c>
      <c r="J431" t="s">
        <v>3862</v>
      </c>
      <c r="K431">
        <v>1</v>
      </c>
      <c r="L431" t="s">
        <v>2945</v>
      </c>
      <c r="M431" s="19">
        <v>46262</v>
      </c>
      <c r="N431" t="s">
        <v>3998</v>
      </c>
    </row>
    <row r="432" spans="1:14" x14ac:dyDescent="0.3">
      <c r="A432" t="s">
        <v>4028</v>
      </c>
      <c r="B432" t="s">
        <v>4029</v>
      </c>
      <c r="E432" t="s">
        <v>3957</v>
      </c>
      <c r="F432" t="s">
        <v>214</v>
      </c>
      <c r="G432" t="s">
        <v>984</v>
      </c>
      <c r="H432">
        <v>15250</v>
      </c>
      <c r="I432">
        <v>15250</v>
      </c>
      <c r="J432" t="s">
        <v>3862</v>
      </c>
      <c r="K432">
        <v>1</v>
      </c>
      <c r="L432" t="s">
        <v>2945</v>
      </c>
      <c r="M432" s="19">
        <v>46262</v>
      </c>
      <c r="N432" t="s">
        <v>4030</v>
      </c>
    </row>
    <row r="433" spans="1:15" x14ac:dyDescent="0.3">
      <c r="A433" t="s">
        <v>4031</v>
      </c>
      <c r="B433" t="s">
        <v>4032</v>
      </c>
      <c r="C433" t="s">
        <v>4033</v>
      </c>
      <c r="E433" t="s">
        <v>4034</v>
      </c>
      <c r="F433" t="s">
        <v>214</v>
      </c>
      <c r="G433" t="s">
        <v>1001</v>
      </c>
      <c r="H433">
        <v>4950</v>
      </c>
      <c r="I433">
        <v>5197.5</v>
      </c>
      <c r="J433" t="s">
        <v>3862</v>
      </c>
      <c r="K433">
        <v>1</v>
      </c>
      <c r="L433" t="s">
        <v>2945</v>
      </c>
      <c r="M433" s="19">
        <v>46262</v>
      </c>
      <c r="N433" t="s">
        <v>4035</v>
      </c>
    </row>
    <row r="434" spans="1:15" x14ac:dyDescent="0.3">
      <c r="A434" t="s">
        <v>4036</v>
      </c>
      <c r="B434" t="s">
        <v>4037</v>
      </c>
      <c r="E434" t="s">
        <v>4034</v>
      </c>
      <c r="F434" t="s">
        <v>214</v>
      </c>
      <c r="G434" t="s">
        <v>1001</v>
      </c>
      <c r="H434">
        <v>7150</v>
      </c>
      <c r="I434">
        <v>7507.5</v>
      </c>
      <c r="J434" t="s">
        <v>3862</v>
      </c>
      <c r="K434">
        <v>1</v>
      </c>
      <c r="L434" t="s">
        <v>2945</v>
      </c>
      <c r="M434" s="19">
        <v>46262</v>
      </c>
      <c r="N434" t="s">
        <v>4035</v>
      </c>
    </row>
    <row r="435" spans="1:15" x14ac:dyDescent="0.3">
      <c r="A435" t="s">
        <v>4038</v>
      </c>
      <c r="B435" t="s">
        <v>4039</v>
      </c>
      <c r="E435" t="s">
        <v>4034</v>
      </c>
      <c r="F435" t="s">
        <v>1227</v>
      </c>
      <c r="G435" t="s">
        <v>1001</v>
      </c>
      <c r="H435">
        <v>16800</v>
      </c>
      <c r="I435">
        <v>17640</v>
      </c>
      <c r="J435" t="s">
        <v>3862</v>
      </c>
      <c r="K435">
        <v>1</v>
      </c>
      <c r="L435" t="s">
        <v>2945</v>
      </c>
      <c r="M435" s="19">
        <v>46262</v>
      </c>
      <c r="N435" t="s">
        <v>4035</v>
      </c>
    </row>
    <row r="436" spans="1:15" x14ac:dyDescent="0.3">
      <c r="A436" t="s">
        <v>4040</v>
      </c>
      <c r="B436" t="s">
        <v>4041</v>
      </c>
      <c r="E436" t="s">
        <v>4034</v>
      </c>
      <c r="F436" t="s">
        <v>1227</v>
      </c>
      <c r="G436" t="s">
        <v>1001</v>
      </c>
      <c r="H436">
        <v>17550</v>
      </c>
      <c r="I436">
        <v>18427.5</v>
      </c>
      <c r="J436" t="s">
        <v>3862</v>
      </c>
      <c r="K436">
        <v>1</v>
      </c>
      <c r="L436" t="s">
        <v>2945</v>
      </c>
      <c r="M436" s="19">
        <v>46262</v>
      </c>
      <c r="N436" t="s">
        <v>4035</v>
      </c>
    </row>
    <row r="437" spans="1:15" x14ac:dyDescent="0.3">
      <c r="A437" t="s">
        <v>4042</v>
      </c>
      <c r="B437" t="s">
        <v>4043</v>
      </c>
      <c r="E437" t="s">
        <v>4034</v>
      </c>
      <c r="F437" t="s">
        <v>214</v>
      </c>
      <c r="G437" t="s">
        <v>1001</v>
      </c>
      <c r="H437">
        <v>35400</v>
      </c>
      <c r="I437">
        <v>37170</v>
      </c>
      <c r="J437" t="s">
        <v>3862</v>
      </c>
      <c r="K437">
        <v>1</v>
      </c>
      <c r="L437" t="s">
        <v>2945</v>
      </c>
      <c r="M437" s="19">
        <v>46262</v>
      </c>
      <c r="N437" t="s">
        <v>4035</v>
      </c>
    </row>
    <row r="438" spans="1:15" x14ac:dyDescent="0.3">
      <c r="A438" t="s">
        <v>4044</v>
      </c>
      <c r="B438" t="s">
        <v>4045</v>
      </c>
      <c r="E438" t="s">
        <v>4034</v>
      </c>
      <c r="F438" t="s">
        <v>214</v>
      </c>
      <c r="G438" t="s">
        <v>1001</v>
      </c>
      <c r="H438">
        <v>31710</v>
      </c>
      <c r="I438">
        <v>33295.5</v>
      </c>
      <c r="J438" t="s">
        <v>3862</v>
      </c>
      <c r="K438">
        <v>1</v>
      </c>
      <c r="L438" t="s">
        <v>2945</v>
      </c>
      <c r="M438" s="19">
        <v>46262</v>
      </c>
      <c r="N438" t="s">
        <v>4035</v>
      </c>
    </row>
    <row r="439" spans="1:15" x14ac:dyDescent="0.3">
      <c r="A439" t="s">
        <v>4046</v>
      </c>
      <c r="B439" t="s">
        <v>4047</v>
      </c>
      <c r="E439" t="s">
        <v>4034</v>
      </c>
      <c r="F439" t="s">
        <v>214</v>
      </c>
      <c r="G439" t="s">
        <v>1001</v>
      </c>
      <c r="H439">
        <v>30700</v>
      </c>
      <c r="I439">
        <v>32235</v>
      </c>
      <c r="J439" t="s">
        <v>3862</v>
      </c>
      <c r="K439">
        <v>1</v>
      </c>
      <c r="L439" t="s">
        <v>2945</v>
      </c>
      <c r="M439" s="19">
        <v>46262</v>
      </c>
      <c r="N439" t="s">
        <v>4035</v>
      </c>
    </row>
    <row r="440" spans="1:15" x14ac:dyDescent="0.3">
      <c r="A440" t="s">
        <v>4048</v>
      </c>
      <c r="B440" t="s">
        <v>4049</v>
      </c>
      <c r="C440" t="s">
        <v>4033</v>
      </c>
      <c r="E440" t="s">
        <v>4034</v>
      </c>
      <c r="F440" t="s">
        <v>214</v>
      </c>
      <c r="G440" t="s">
        <v>1001</v>
      </c>
      <c r="H440">
        <v>32600</v>
      </c>
      <c r="I440">
        <v>34230</v>
      </c>
      <c r="J440" t="s">
        <v>3862</v>
      </c>
      <c r="K440">
        <v>1</v>
      </c>
      <c r="L440" t="s">
        <v>2945</v>
      </c>
      <c r="M440" s="19">
        <v>46262</v>
      </c>
      <c r="N440" t="s">
        <v>4035</v>
      </c>
    </row>
    <row r="441" spans="1:15" x14ac:dyDescent="0.3">
      <c r="A441" t="s">
        <v>4050</v>
      </c>
      <c r="B441" t="s">
        <v>1004</v>
      </c>
      <c r="E441" t="s">
        <v>4034</v>
      </c>
      <c r="F441" t="s">
        <v>1227</v>
      </c>
      <c r="G441" t="s">
        <v>1001</v>
      </c>
      <c r="H441">
        <v>1260</v>
      </c>
      <c r="I441">
        <v>1323</v>
      </c>
      <c r="J441" t="s">
        <v>3862</v>
      </c>
      <c r="K441">
        <v>1</v>
      </c>
      <c r="L441" t="s">
        <v>2945</v>
      </c>
      <c r="M441" s="19">
        <v>46262</v>
      </c>
      <c r="N441" t="s">
        <v>4035</v>
      </c>
    </row>
    <row r="442" spans="1:15" x14ac:dyDescent="0.3">
      <c r="A442" t="s">
        <v>4051</v>
      </c>
      <c r="B442" t="s">
        <v>4052</v>
      </c>
      <c r="E442" t="s">
        <v>4034</v>
      </c>
      <c r="F442" t="s">
        <v>1227</v>
      </c>
      <c r="G442" t="s">
        <v>1001</v>
      </c>
      <c r="H442">
        <v>1580</v>
      </c>
      <c r="I442">
        <v>1659</v>
      </c>
      <c r="J442" t="s">
        <v>3862</v>
      </c>
      <c r="K442">
        <v>1</v>
      </c>
      <c r="L442" t="s">
        <v>2945</v>
      </c>
      <c r="M442" s="19">
        <v>46262</v>
      </c>
      <c r="N442" t="s">
        <v>4035</v>
      </c>
    </row>
    <row r="443" spans="1:15" x14ac:dyDescent="0.3">
      <c r="A443" t="s">
        <v>4053</v>
      </c>
      <c r="B443" t="s">
        <v>4054</v>
      </c>
      <c r="E443" t="s">
        <v>4055</v>
      </c>
      <c r="F443" t="s">
        <v>214</v>
      </c>
      <c r="G443" t="s">
        <v>1306</v>
      </c>
      <c r="H443">
        <v>2762.81</v>
      </c>
      <c r="I443">
        <v>2762.81</v>
      </c>
      <c r="J443" t="s">
        <v>3862</v>
      </c>
      <c r="K443">
        <v>1</v>
      </c>
      <c r="L443" t="s">
        <v>2945</v>
      </c>
      <c r="M443" s="19">
        <v>46262</v>
      </c>
      <c r="N443" t="s">
        <v>4056</v>
      </c>
      <c r="O443" t="s">
        <v>4057</v>
      </c>
    </row>
    <row r="444" spans="1:15" x14ac:dyDescent="0.3">
      <c r="A444" t="s">
        <v>4058</v>
      </c>
      <c r="B444" t="s">
        <v>4059</v>
      </c>
      <c r="E444" t="s">
        <v>4055</v>
      </c>
      <c r="F444" t="s">
        <v>214</v>
      </c>
      <c r="G444" t="s">
        <v>1306</v>
      </c>
      <c r="H444">
        <v>3461.69</v>
      </c>
      <c r="I444">
        <v>3461.69</v>
      </c>
      <c r="J444" t="s">
        <v>3862</v>
      </c>
      <c r="K444">
        <v>1</v>
      </c>
      <c r="L444" t="s">
        <v>2945</v>
      </c>
      <c r="M444" s="19">
        <v>46262</v>
      </c>
      <c r="N444" t="s">
        <v>4056</v>
      </c>
      <c r="O444" t="s">
        <v>4057</v>
      </c>
    </row>
    <row r="445" spans="1:15" x14ac:dyDescent="0.3">
      <c r="A445" t="s">
        <v>4060</v>
      </c>
      <c r="B445" t="s">
        <v>4061</v>
      </c>
      <c r="E445" t="s">
        <v>4055</v>
      </c>
      <c r="F445" t="s">
        <v>214</v>
      </c>
      <c r="G445" t="s">
        <v>1306</v>
      </c>
      <c r="H445">
        <v>3298.21</v>
      </c>
      <c r="I445">
        <v>3298.21</v>
      </c>
      <c r="J445" t="s">
        <v>3862</v>
      </c>
      <c r="K445">
        <v>1</v>
      </c>
      <c r="L445" t="s">
        <v>2945</v>
      </c>
      <c r="M445" s="19">
        <v>46262</v>
      </c>
      <c r="N445" t="s">
        <v>4056</v>
      </c>
      <c r="O445" t="s">
        <v>4057</v>
      </c>
    </row>
    <row r="446" spans="1:15" x14ac:dyDescent="0.3">
      <c r="A446" t="s">
        <v>4062</v>
      </c>
      <c r="B446" t="s">
        <v>4063</v>
      </c>
      <c r="E446" t="s">
        <v>4055</v>
      </c>
      <c r="F446" t="s">
        <v>214</v>
      </c>
      <c r="G446" t="s">
        <v>1306</v>
      </c>
      <c r="H446">
        <v>3567.95</v>
      </c>
      <c r="I446">
        <v>3567.95</v>
      </c>
      <c r="J446" t="s">
        <v>3862</v>
      </c>
      <c r="K446">
        <v>1</v>
      </c>
      <c r="L446" t="s">
        <v>2945</v>
      </c>
      <c r="M446" s="19">
        <v>46262</v>
      </c>
      <c r="N446" t="s">
        <v>4056</v>
      </c>
      <c r="O446" t="s">
        <v>4057</v>
      </c>
    </row>
    <row r="447" spans="1:15" x14ac:dyDescent="0.3">
      <c r="A447" t="s">
        <v>4064</v>
      </c>
      <c r="B447" t="s">
        <v>4065</v>
      </c>
      <c r="E447" t="s">
        <v>4055</v>
      </c>
      <c r="F447" t="s">
        <v>214</v>
      </c>
      <c r="G447" t="s">
        <v>1306</v>
      </c>
      <c r="H447">
        <v>3012.12</v>
      </c>
      <c r="I447">
        <v>3012.12</v>
      </c>
      <c r="J447" t="s">
        <v>3862</v>
      </c>
      <c r="K447">
        <v>1</v>
      </c>
      <c r="L447" t="s">
        <v>2945</v>
      </c>
      <c r="M447" s="19">
        <v>46262</v>
      </c>
      <c r="N447" t="s">
        <v>4056</v>
      </c>
      <c r="O447" t="s">
        <v>4057</v>
      </c>
    </row>
    <row r="448" spans="1:15" x14ac:dyDescent="0.3">
      <c r="A448" t="s">
        <v>4066</v>
      </c>
      <c r="B448" t="s">
        <v>4067</v>
      </c>
      <c r="E448" t="s">
        <v>4055</v>
      </c>
      <c r="F448" t="s">
        <v>214</v>
      </c>
      <c r="G448" t="s">
        <v>1306</v>
      </c>
      <c r="H448">
        <v>3298.21</v>
      </c>
      <c r="I448">
        <v>3298.21</v>
      </c>
      <c r="J448" t="s">
        <v>3862</v>
      </c>
      <c r="K448">
        <v>1</v>
      </c>
      <c r="L448" t="s">
        <v>2945</v>
      </c>
      <c r="M448" s="19">
        <v>46262</v>
      </c>
      <c r="N448" t="s">
        <v>4056</v>
      </c>
      <c r="O448" t="s">
        <v>4057</v>
      </c>
    </row>
    <row r="449" spans="1:15" x14ac:dyDescent="0.3">
      <c r="A449" t="s">
        <v>4068</v>
      </c>
      <c r="B449" t="s">
        <v>4069</v>
      </c>
      <c r="E449" t="s">
        <v>4055</v>
      </c>
      <c r="F449" t="s">
        <v>214</v>
      </c>
      <c r="G449" t="s">
        <v>1306</v>
      </c>
      <c r="H449">
        <v>3012.12</v>
      </c>
      <c r="I449">
        <v>3012.12</v>
      </c>
      <c r="J449" t="s">
        <v>3862</v>
      </c>
      <c r="K449">
        <v>1</v>
      </c>
      <c r="L449" t="s">
        <v>2945</v>
      </c>
      <c r="M449" s="19">
        <v>46262</v>
      </c>
      <c r="N449" t="s">
        <v>4056</v>
      </c>
      <c r="O449" t="s">
        <v>4057</v>
      </c>
    </row>
    <row r="450" spans="1:15" x14ac:dyDescent="0.3">
      <c r="A450" t="s">
        <v>4070</v>
      </c>
      <c r="B450" t="s">
        <v>4071</v>
      </c>
      <c r="E450" t="s">
        <v>4072</v>
      </c>
      <c r="F450" t="s">
        <v>214</v>
      </c>
      <c r="G450" t="s">
        <v>1306</v>
      </c>
      <c r="H450">
        <v>1269.5</v>
      </c>
      <c r="I450">
        <v>1269.5</v>
      </c>
      <c r="J450" t="s">
        <v>3862</v>
      </c>
      <c r="K450">
        <v>1</v>
      </c>
      <c r="L450" t="s">
        <v>2945</v>
      </c>
      <c r="M450" s="19">
        <v>46262</v>
      </c>
      <c r="N450" t="s">
        <v>4073</v>
      </c>
      <c r="O450" t="s">
        <v>4057</v>
      </c>
    </row>
    <row r="451" spans="1:15" x14ac:dyDescent="0.3">
      <c r="A451" t="s">
        <v>4074</v>
      </c>
      <c r="B451" t="s">
        <v>4075</v>
      </c>
      <c r="D451" t="s">
        <v>4076</v>
      </c>
      <c r="E451" t="s">
        <v>4077</v>
      </c>
      <c r="F451" t="s">
        <v>214</v>
      </c>
      <c r="G451" t="s">
        <v>1318</v>
      </c>
      <c r="H451">
        <v>37.909999999999997</v>
      </c>
      <c r="I451">
        <v>37.909999999999997</v>
      </c>
      <c r="J451" t="s">
        <v>4078</v>
      </c>
      <c r="K451">
        <v>1</v>
      </c>
      <c r="L451" t="s">
        <v>2945</v>
      </c>
      <c r="M451" s="19">
        <v>46262</v>
      </c>
      <c r="N451" t="s">
        <v>4079</v>
      </c>
    </row>
    <row r="452" spans="1:15" x14ac:dyDescent="0.3">
      <c r="A452" t="s">
        <v>4080</v>
      </c>
      <c r="B452" t="s">
        <v>4081</v>
      </c>
      <c r="D452" t="s">
        <v>4076</v>
      </c>
      <c r="E452" t="s">
        <v>4077</v>
      </c>
      <c r="F452" t="s">
        <v>214</v>
      </c>
      <c r="G452" t="s">
        <v>1318</v>
      </c>
      <c r="H452">
        <v>37.909999999999997</v>
      </c>
      <c r="I452">
        <v>37.909999999999997</v>
      </c>
      <c r="J452" t="s">
        <v>4078</v>
      </c>
      <c r="K452">
        <v>1</v>
      </c>
      <c r="L452" t="s">
        <v>2945</v>
      </c>
      <c r="M452" s="19">
        <v>46262</v>
      </c>
      <c r="N452" t="s">
        <v>4079</v>
      </c>
    </row>
    <row r="453" spans="1:15" x14ac:dyDescent="0.3">
      <c r="A453" t="s">
        <v>4082</v>
      </c>
      <c r="B453" t="s">
        <v>4083</v>
      </c>
      <c r="D453" t="s">
        <v>4076</v>
      </c>
      <c r="E453" t="s">
        <v>4077</v>
      </c>
      <c r="F453" t="s">
        <v>214</v>
      </c>
      <c r="G453" t="s">
        <v>1318</v>
      </c>
      <c r="H453">
        <v>37.909999999999997</v>
      </c>
      <c r="I453">
        <v>37.909999999999997</v>
      </c>
      <c r="J453" t="s">
        <v>4078</v>
      </c>
      <c r="K453">
        <v>1</v>
      </c>
      <c r="L453" t="s">
        <v>2945</v>
      </c>
      <c r="M453" s="19">
        <v>46262</v>
      </c>
      <c r="N453" t="s">
        <v>4079</v>
      </c>
    </row>
    <row r="454" spans="1:15" x14ac:dyDescent="0.3">
      <c r="A454" t="s">
        <v>4084</v>
      </c>
      <c r="B454" t="s">
        <v>4085</v>
      </c>
      <c r="D454" t="s">
        <v>4076</v>
      </c>
      <c r="E454" t="s">
        <v>4077</v>
      </c>
      <c r="F454" t="s">
        <v>214</v>
      </c>
      <c r="G454" t="s">
        <v>1318</v>
      </c>
      <c r="H454">
        <v>37.909999999999997</v>
      </c>
      <c r="I454">
        <v>37.909999999999997</v>
      </c>
      <c r="J454" t="s">
        <v>4078</v>
      </c>
      <c r="K454">
        <v>1</v>
      </c>
      <c r="L454" t="s">
        <v>2945</v>
      </c>
      <c r="M454" s="19">
        <v>46262</v>
      </c>
      <c r="N454" t="s">
        <v>4079</v>
      </c>
    </row>
    <row r="455" spans="1:15" x14ac:dyDescent="0.3">
      <c r="A455" t="s">
        <v>4086</v>
      </c>
      <c r="B455" t="s">
        <v>4087</v>
      </c>
      <c r="E455" t="s">
        <v>4088</v>
      </c>
      <c r="F455" t="s">
        <v>214</v>
      </c>
      <c r="G455" t="s">
        <v>1318</v>
      </c>
      <c r="H455">
        <v>3876.37</v>
      </c>
      <c r="I455">
        <v>3876.37</v>
      </c>
      <c r="J455" t="s">
        <v>3862</v>
      </c>
      <c r="K455">
        <v>1</v>
      </c>
      <c r="L455" t="s">
        <v>2945</v>
      </c>
      <c r="M455" s="19">
        <v>46262</v>
      </c>
      <c r="N455" t="s">
        <v>4089</v>
      </c>
    </row>
    <row r="456" spans="1:15" x14ac:dyDescent="0.3">
      <c r="A456" t="s">
        <v>4090</v>
      </c>
      <c r="B456" t="s">
        <v>1205</v>
      </c>
      <c r="E456" t="s">
        <v>4091</v>
      </c>
      <c r="F456" t="s">
        <v>1227</v>
      </c>
      <c r="G456" t="s">
        <v>1159</v>
      </c>
      <c r="H456">
        <v>15947.9</v>
      </c>
      <c r="I456">
        <v>15947.9</v>
      </c>
      <c r="J456" t="s">
        <v>3862</v>
      </c>
      <c r="K456">
        <v>1</v>
      </c>
      <c r="L456" t="s">
        <v>2945</v>
      </c>
      <c r="M456" s="19">
        <v>46262</v>
      </c>
      <c r="N456" t="s">
        <v>4092</v>
      </c>
    </row>
    <row r="457" spans="1:15" x14ac:dyDescent="0.3">
      <c r="A457" t="s">
        <v>4093</v>
      </c>
      <c r="B457" t="s">
        <v>4094</v>
      </c>
      <c r="E457" t="s">
        <v>4091</v>
      </c>
      <c r="F457" t="s">
        <v>1227</v>
      </c>
      <c r="G457" t="s">
        <v>1159</v>
      </c>
      <c r="H457">
        <v>9988.7000000000007</v>
      </c>
      <c r="I457">
        <v>9988.7000000000007</v>
      </c>
      <c r="J457" t="s">
        <v>3862</v>
      </c>
      <c r="K457">
        <v>1</v>
      </c>
      <c r="L457" t="s">
        <v>2945</v>
      </c>
      <c r="M457" s="19">
        <v>46262</v>
      </c>
      <c r="N457" t="s">
        <v>4092</v>
      </c>
    </row>
    <row r="458" spans="1:15" x14ac:dyDescent="0.3">
      <c r="A458" t="s">
        <v>4095</v>
      </c>
      <c r="B458" t="s">
        <v>4096</v>
      </c>
      <c r="E458" t="s">
        <v>4091</v>
      </c>
      <c r="F458" t="s">
        <v>1227</v>
      </c>
      <c r="G458" t="s">
        <v>1159</v>
      </c>
      <c r="H458">
        <v>9988.7000000000007</v>
      </c>
      <c r="I458">
        <v>9988.7000000000007</v>
      </c>
      <c r="J458" t="s">
        <v>3862</v>
      </c>
      <c r="K458">
        <v>1</v>
      </c>
      <c r="L458" t="s">
        <v>2945</v>
      </c>
      <c r="M458" s="19">
        <v>46262</v>
      </c>
      <c r="N458" t="s">
        <v>4092</v>
      </c>
    </row>
    <row r="459" spans="1:15" x14ac:dyDescent="0.3">
      <c r="A459" t="s">
        <v>4097</v>
      </c>
      <c r="B459" t="s">
        <v>1208</v>
      </c>
      <c r="E459" t="s">
        <v>4091</v>
      </c>
      <c r="F459" t="s">
        <v>1227</v>
      </c>
      <c r="G459" t="s">
        <v>1159</v>
      </c>
      <c r="H459">
        <v>9988.7000000000007</v>
      </c>
      <c r="I459">
        <v>9988.7000000000007</v>
      </c>
      <c r="J459" t="s">
        <v>3862</v>
      </c>
      <c r="K459">
        <v>1</v>
      </c>
      <c r="L459" t="s">
        <v>2945</v>
      </c>
      <c r="M459" s="19">
        <v>46262</v>
      </c>
      <c r="N459" t="s">
        <v>4092</v>
      </c>
    </row>
    <row r="460" spans="1:15" x14ac:dyDescent="0.3">
      <c r="A460" t="s">
        <v>4098</v>
      </c>
      <c r="B460" t="s">
        <v>4099</v>
      </c>
      <c r="E460" t="s">
        <v>4091</v>
      </c>
      <c r="F460" t="s">
        <v>1227</v>
      </c>
      <c r="G460" t="s">
        <v>1159</v>
      </c>
      <c r="H460">
        <v>3473.2</v>
      </c>
      <c r="I460">
        <v>3473.2</v>
      </c>
      <c r="J460" t="s">
        <v>3862</v>
      </c>
      <c r="K460">
        <v>1</v>
      </c>
      <c r="L460" t="s">
        <v>2945</v>
      </c>
      <c r="M460" s="19">
        <v>46262</v>
      </c>
      <c r="N460" t="s">
        <v>4092</v>
      </c>
    </row>
    <row r="461" spans="1:15" x14ac:dyDescent="0.3">
      <c r="A461" t="s">
        <v>4100</v>
      </c>
      <c r="B461" t="s">
        <v>4101</v>
      </c>
      <c r="C461" t="s">
        <v>4102</v>
      </c>
      <c r="D461" t="s">
        <v>4103</v>
      </c>
      <c r="E461" t="s">
        <v>4104</v>
      </c>
      <c r="F461" t="s">
        <v>2867</v>
      </c>
      <c r="G461" t="s">
        <v>1849</v>
      </c>
      <c r="H461">
        <v>399</v>
      </c>
      <c r="I461">
        <v>399</v>
      </c>
      <c r="J461" t="s">
        <v>3862</v>
      </c>
      <c r="K461">
        <v>1</v>
      </c>
      <c r="L461" t="s">
        <v>2945</v>
      </c>
      <c r="M461" s="19">
        <v>46262</v>
      </c>
      <c r="N461" t="s">
        <v>4105</v>
      </c>
      <c r="O461" t="s">
        <v>4106</v>
      </c>
    </row>
    <row r="462" spans="1:15" x14ac:dyDescent="0.3">
      <c r="A462" t="s">
        <v>4107</v>
      </c>
      <c r="B462" t="s">
        <v>4108</v>
      </c>
      <c r="C462" t="s">
        <v>4109</v>
      </c>
      <c r="D462" t="s">
        <v>4103</v>
      </c>
      <c r="E462" t="s">
        <v>4104</v>
      </c>
      <c r="F462" t="s">
        <v>2867</v>
      </c>
      <c r="G462" t="s">
        <v>1849</v>
      </c>
      <c r="H462">
        <v>491</v>
      </c>
      <c r="I462">
        <v>491</v>
      </c>
      <c r="J462" t="s">
        <v>3862</v>
      </c>
      <c r="K462">
        <v>1</v>
      </c>
      <c r="L462" t="s">
        <v>2945</v>
      </c>
      <c r="M462" s="19">
        <v>46262</v>
      </c>
      <c r="N462" t="s">
        <v>4105</v>
      </c>
      <c r="O462" t="s">
        <v>4106</v>
      </c>
    </row>
    <row r="463" spans="1:15" x14ac:dyDescent="0.3">
      <c r="A463" t="s">
        <v>4110</v>
      </c>
      <c r="B463" t="s">
        <v>4111</v>
      </c>
      <c r="C463" t="s">
        <v>4112</v>
      </c>
      <c r="D463" t="s">
        <v>4103</v>
      </c>
      <c r="E463" t="s">
        <v>4104</v>
      </c>
      <c r="F463" t="s">
        <v>1227</v>
      </c>
      <c r="G463" t="s">
        <v>1849</v>
      </c>
      <c r="H463">
        <v>9250</v>
      </c>
      <c r="I463">
        <v>9250</v>
      </c>
      <c r="J463" t="s">
        <v>3862</v>
      </c>
      <c r="K463">
        <v>1</v>
      </c>
      <c r="L463" t="s">
        <v>2945</v>
      </c>
      <c r="M463" s="19">
        <v>46262</v>
      </c>
      <c r="N463" t="s">
        <v>4105</v>
      </c>
      <c r="O463" t="s">
        <v>4106</v>
      </c>
    </row>
    <row r="464" spans="1:15" x14ac:dyDescent="0.3">
      <c r="A464" t="s">
        <v>4113</v>
      </c>
      <c r="B464" t="s">
        <v>4114</v>
      </c>
      <c r="C464" t="s">
        <v>4115</v>
      </c>
      <c r="D464" t="s">
        <v>4103</v>
      </c>
      <c r="E464" t="s">
        <v>4104</v>
      </c>
      <c r="F464" t="s">
        <v>1227</v>
      </c>
      <c r="G464" t="s">
        <v>1849</v>
      </c>
      <c r="H464">
        <v>9460</v>
      </c>
      <c r="I464">
        <v>9460</v>
      </c>
      <c r="J464" t="s">
        <v>3862</v>
      </c>
      <c r="K464">
        <v>1</v>
      </c>
      <c r="L464" t="s">
        <v>2945</v>
      </c>
      <c r="M464" s="19">
        <v>46262</v>
      </c>
      <c r="N464" t="s">
        <v>4105</v>
      </c>
      <c r="O464" t="s">
        <v>4106</v>
      </c>
    </row>
    <row r="465" spans="1:15" x14ac:dyDescent="0.3">
      <c r="A465" t="s">
        <v>4116</v>
      </c>
      <c r="B465" t="s">
        <v>4117</v>
      </c>
      <c r="C465" t="s">
        <v>4118</v>
      </c>
      <c r="D465" t="s">
        <v>4103</v>
      </c>
      <c r="E465" t="s">
        <v>4104</v>
      </c>
      <c r="F465" t="s">
        <v>1227</v>
      </c>
      <c r="G465" t="s">
        <v>1849</v>
      </c>
      <c r="H465">
        <v>9660</v>
      </c>
      <c r="I465">
        <v>9660</v>
      </c>
      <c r="J465" t="s">
        <v>3862</v>
      </c>
      <c r="K465">
        <v>1</v>
      </c>
      <c r="L465" t="s">
        <v>2945</v>
      </c>
      <c r="M465" s="19">
        <v>46262</v>
      </c>
      <c r="N465" t="s">
        <v>4105</v>
      </c>
      <c r="O465" t="s">
        <v>4106</v>
      </c>
    </row>
    <row r="466" spans="1:15" x14ac:dyDescent="0.3">
      <c r="A466" t="s">
        <v>4119</v>
      </c>
      <c r="B466" t="s">
        <v>4120</v>
      </c>
      <c r="C466" t="s">
        <v>4121</v>
      </c>
      <c r="D466" t="s">
        <v>4103</v>
      </c>
      <c r="E466" t="s">
        <v>4104</v>
      </c>
      <c r="F466" t="s">
        <v>1227</v>
      </c>
      <c r="G466" t="s">
        <v>1849</v>
      </c>
      <c r="H466">
        <v>5459</v>
      </c>
      <c r="I466">
        <v>5459</v>
      </c>
      <c r="J466" t="s">
        <v>3862</v>
      </c>
      <c r="K466">
        <v>1</v>
      </c>
      <c r="L466" t="s">
        <v>2945</v>
      </c>
      <c r="M466" s="19">
        <v>46262</v>
      </c>
      <c r="N466" t="s">
        <v>4105</v>
      </c>
      <c r="O466" t="s">
        <v>4106</v>
      </c>
    </row>
    <row r="467" spans="1:15" x14ac:dyDescent="0.3">
      <c r="A467" t="s">
        <v>4122</v>
      </c>
      <c r="B467" t="s">
        <v>4123</v>
      </c>
      <c r="C467" t="s">
        <v>4124</v>
      </c>
      <c r="D467" t="s">
        <v>4103</v>
      </c>
      <c r="E467" t="s">
        <v>4104</v>
      </c>
      <c r="F467" t="s">
        <v>1227</v>
      </c>
      <c r="G467" t="s">
        <v>1849</v>
      </c>
      <c r="H467">
        <v>6384</v>
      </c>
      <c r="I467">
        <v>6384</v>
      </c>
      <c r="J467" t="s">
        <v>3862</v>
      </c>
      <c r="K467">
        <v>1</v>
      </c>
      <c r="L467" t="s">
        <v>2945</v>
      </c>
      <c r="M467" s="19">
        <v>46262</v>
      </c>
      <c r="N467" t="s">
        <v>4105</v>
      </c>
      <c r="O467" t="s">
        <v>4106</v>
      </c>
    </row>
    <row r="468" spans="1:15" x14ac:dyDescent="0.3">
      <c r="A468" t="s">
        <v>4125</v>
      </c>
      <c r="B468" t="s">
        <v>4126</v>
      </c>
      <c r="C468" t="s">
        <v>4127</v>
      </c>
      <c r="D468" t="s">
        <v>4103</v>
      </c>
      <c r="E468" t="s">
        <v>4104</v>
      </c>
      <c r="F468" t="s">
        <v>1227</v>
      </c>
      <c r="G468" t="s">
        <v>1849</v>
      </c>
      <c r="H468">
        <v>8234</v>
      </c>
      <c r="I468">
        <v>8234</v>
      </c>
      <c r="J468" t="s">
        <v>3862</v>
      </c>
      <c r="K468">
        <v>1</v>
      </c>
      <c r="L468" t="s">
        <v>2945</v>
      </c>
      <c r="M468" s="19">
        <v>46262</v>
      </c>
      <c r="N468" t="s">
        <v>4105</v>
      </c>
      <c r="O468" t="s">
        <v>4106</v>
      </c>
    </row>
    <row r="469" spans="1:15" x14ac:dyDescent="0.3">
      <c r="A469" t="s">
        <v>4128</v>
      </c>
      <c r="B469" t="s">
        <v>4129</v>
      </c>
      <c r="C469" t="s">
        <v>4130</v>
      </c>
      <c r="D469" t="s">
        <v>4103</v>
      </c>
      <c r="E469" t="s">
        <v>4104</v>
      </c>
      <c r="F469" t="s">
        <v>1227</v>
      </c>
      <c r="G469" t="s">
        <v>1849</v>
      </c>
      <c r="H469">
        <v>9159</v>
      </c>
      <c r="I469">
        <v>9159</v>
      </c>
      <c r="J469" t="s">
        <v>3862</v>
      </c>
      <c r="K469">
        <v>1</v>
      </c>
      <c r="L469" t="s">
        <v>2945</v>
      </c>
      <c r="M469" s="19">
        <v>46262</v>
      </c>
      <c r="N469" t="s">
        <v>4105</v>
      </c>
      <c r="O469" t="s">
        <v>4106</v>
      </c>
    </row>
    <row r="470" spans="1:15" x14ac:dyDescent="0.3">
      <c r="A470" t="s">
        <v>4131</v>
      </c>
      <c r="B470" t="s">
        <v>4132</v>
      </c>
      <c r="C470" t="s">
        <v>4133</v>
      </c>
      <c r="D470" t="s">
        <v>4103</v>
      </c>
      <c r="E470" t="s">
        <v>4104</v>
      </c>
      <c r="F470" t="s">
        <v>1227</v>
      </c>
      <c r="G470" t="s">
        <v>1849</v>
      </c>
      <c r="H470">
        <v>11009</v>
      </c>
      <c r="I470">
        <v>11009</v>
      </c>
      <c r="J470" t="s">
        <v>3862</v>
      </c>
      <c r="K470">
        <v>1</v>
      </c>
      <c r="L470" t="s">
        <v>2945</v>
      </c>
      <c r="M470" s="19">
        <v>46262</v>
      </c>
      <c r="N470" t="s">
        <v>4105</v>
      </c>
      <c r="O470" t="s">
        <v>4106</v>
      </c>
    </row>
    <row r="471" spans="1:15" x14ac:dyDescent="0.3">
      <c r="A471" t="s">
        <v>4134</v>
      </c>
      <c r="B471" t="s">
        <v>4135</v>
      </c>
      <c r="C471" t="s">
        <v>4136</v>
      </c>
      <c r="D471" t="s">
        <v>4103</v>
      </c>
      <c r="E471" t="s">
        <v>4104</v>
      </c>
      <c r="F471" t="s">
        <v>1227</v>
      </c>
      <c r="G471" t="s">
        <v>1849</v>
      </c>
      <c r="H471">
        <v>11934</v>
      </c>
      <c r="I471">
        <v>11934</v>
      </c>
      <c r="J471" t="s">
        <v>3862</v>
      </c>
      <c r="K471">
        <v>1</v>
      </c>
      <c r="L471" t="s">
        <v>2945</v>
      </c>
      <c r="M471" s="19">
        <v>46262</v>
      </c>
      <c r="N471" t="s">
        <v>4105</v>
      </c>
      <c r="O471" t="s">
        <v>4106</v>
      </c>
    </row>
    <row r="472" spans="1:15" x14ac:dyDescent="0.3">
      <c r="A472" t="s">
        <v>4137</v>
      </c>
      <c r="B472" t="s">
        <v>4138</v>
      </c>
      <c r="C472" t="s">
        <v>4139</v>
      </c>
      <c r="D472" t="s">
        <v>4103</v>
      </c>
      <c r="E472" t="s">
        <v>4104</v>
      </c>
      <c r="F472" t="s">
        <v>1227</v>
      </c>
      <c r="G472" t="s">
        <v>1849</v>
      </c>
      <c r="H472">
        <v>12859</v>
      </c>
      <c r="I472">
        <v>12859</v>
      </c>
      <c r="J472" t="s">
        <v>3862</v>
      </c>
      <c r="K472">
        <v>1</v>
      </c>
      <c r="L472" t="s">
        <v>2945</v>
      </c>
      <c r="M472" s="19">
        <v>46262</v>
      </c>
      <c r="N472" t="s">
        <v>4105</v>
      </c>
      <c r="O472" t="s">
        <v>4106</v>
      </c>
    </row>
    <row r="473" spans="1:15" x14ac:dyDescent="0.3">
      <c r="A473" t="s">
        <v>4140</v>
      </c>
      <c r="B473" t="s">
        <v>4141</v>
      </c>
      <c r="C473" t="s">
        <v>4142</v>
      </c>
      <c r="D473" t="s">
        <v>4103</v>
      </c>
      <c r="E473" t="s">
        <v>4104</v>
      </c>
      <c r="F473" t="s">
        <v>1227</v>
      </c>
      <c r="G473" t="s">
        <v>1849</v>
      </c>
      <c r="H473">
        <v>13784</v>
      </c>
      <c r="I473">
        <v>13784</v>
      </c>
      <c r="J473" t="s">
        <v>3862</v>
      </c>
      <c r="K473">
        <v>1</v>
      </c>
      <c r="L473" t="s">
        <v>2945</v>
      </c>
      <c r="M473" s="19">
        <v>46262</v>
      </c>
      <c r="N473" t="s">
        <v>4105</v>
      </c>
      <c r="O473" t="s">
        <v>4106</v>
      </c>
    </row>
    <row r="474" spans="1:15" x14ac:dyDescent="0.3">
      <c r="A474" t="s">
        <v>4143</v>
      </c>
      <c r="B474" t="s">
        <v>4144</v>
      </c>
      <c r="C474" t="s">
        <v>4145</v>
      </c>
      <c r="D474" t="s">
        <v>4103</v>
      </c>
      <c r="E474" t="s">
        <v>4104</v>
      </c>
      <c r="F474" t="s">
        <v>1227</v>
      </c>
      <c r="G474" t="s">
        <v>1849</v>
      </c>
      <c r="H474">
        <v>14709</v>
      </c>
      <c r="I474">
        <v>14709</v>
      </c>
      <c r="J474" t="s">
        <v>3862</v>
      </c>
      <c r="K474">
        <v>1</v>
      </c>
      <c r="L474" t="s">
        <v>2945</v>
      </c>
      <c r="M474" s="19">
        <v>46262</v>
      </c>
      <c r="N474" t="s">
        <v>4105</v>
      </c>
      <c r="O474" t="s">
        <v>4106</v>
      </c>
    </row>
    <row r="475" spans="1:15" x14ac:dyDescent="0.3">
      <c r="A475" t="s">
        <v>4146</v>
      </c>
      <c r="B475" t="s">
        <v>4147</v>
      </c>
      <c r="C475" t="s">
        <v>4148</v>
      </c>
      <c r="D475" t="s">
        <v>4103</v>
      </c>
      <c r="E475" t="s">
        <v>4104</v>
      </c>
      <c r="F475" t="s">
        <v>1227</v>
      </c>
      <c r="G475" t="s">
        <v>1849</v>
      </c>
      <c r="H475">
        <v>5543</v>
      </c>
      <c r="I475">
        <v>5543</v>
      </c>
      <c r="J475" t="s">
        <v>3862</v>
      </c>
      <c r="K475">
        <v>1</v>
      </c>
      <c r="L475" t="s">
        <v>2945</v>
      </c>
      <c r="M475" s="19">
        <v>46262</v>
      </c>
      <c r="N475" t="s">
        <v>4105</v>
      </c>
      <c r="O475" t="s">
        <v>4106</v>
      </c>
    </row>
    <row r="476" spans="1:15" x14ac:dyDescent="0.3">
      <c r="A476" t="s">
        <v>4149</v>
      </c>
      <c r="B476" t="s">
        <v>4150</v>
      </c>
      <c r="C476" t="s">
        <v>4151</v>
      </c>
      <c r="D476" t="s">
        <v>4103</v>
      </c>
      <c r="E476" t="s">
        <v>4104</v>
      </c>
      <c r="F476" t="s">
        <v>1227</v>
      </c>
      <c r="G476" t="s">
        <v>1849</v>
      </c>
      <c r="H476">
        <v>6489</v>
      </c>
      <c r="I476">
        <v>6489</v>
      </c>
      <c r="J476" t="s">
        <v>3862</v>
      </c>
      <c r="K476">
        <v>1</v>
      </c>
      <c r="L476" t="s">
        <v>2945</v>
      </c>
      <c r="M476" s="19">
        <v>46262</v>
      </c>
      <c r="N476" t="s">
        <v>4105</v>
      </c>
      <c r="O476" t="s">
        <v>4106</v>
      </c>
    </row>
    <row r="477" spans="1:15" x14ac:dyDescent="0.3">
      <c r="A477" t="s">
        <v>4152</v>
      </c>
      <c r="B477" t="s">
        <v>4153</v>
      </c>
      <c r="C477" t="s">
        <v>4154</v>
      </c>
      <c r="D477" t="s">
        <v>4103</v>
      </c>
      <c r="E477" t="s">
        <v>4104</v>
      </c>
      <c r="F477" t="s">
        <v>1227</v>
      </c>
      <c r="G477" t="s">
        <v>1849</v>
      </c>
      <c r="H477">
        <v>7435</v>
      </c>
      <c r="I477">
        <v>7435</v>
      </c>
      <c r="J477" t="s">
        <v>3862</v>
      </c>
      <c r="K477">
        <v>1</v>
      </c>
      <c r="L477" t="s">
        <v>2945</v>
      </c>
      <c r="M477" s="19">
        <v>46262</v>
      </c>
      <c r="N477" t="s">
        <v>4105</v>
      </c>
      <c r="O477" t="s">
        <v>4106</v>
      </c>
    </row>
    <row r="478" spans="1:15" x14ac:dyDescent="0.3">
      <c r="A478" t="s">
        <v>4155</v>
      </c>
      <c r="B478" t="s">
        <v>4156</v>
      </c>
      <c r="C478" t="s">
        <v>4157</v>
      </c>
      <c r="D478" t="s">
        <v>4103</v>
      </c>
      <c r="E478" t="s">
        <v>4104</v>
      </c>
      <c r="F478" t="s">
        <v>1227</v>
      </c>
      <c r="G478" t="s">
        <v>1849</v>
      </c>
      <c r="H478">
        <v>8381</v>
      </c>
      <c r="I478">
        <v>8381</v>
      </c>
      <c r="J478" t="s">
        <v>3862</v>
      </c>
      <c r="K478">
        <v>1</v>
      </c>
      <c r="L478" t="s">
        <v>2945</v>
      </c>
      <c r="M478" s="19">
        <v>46262</v>
      </c>
      <c r="N478" t="s">
        <v>4105</v>
      </c>
      <c r="O478" t="s">
        <v>4106</v>
      </c>
    </row>
    <row r="479" spans="1:15" x14ac:dyDescent="0.3">
      <c r="A479" t="s">
        <v>4158</v>
      </c>
      <c r="B479" t="s">
        <v>4159</v>
      </c>
      <c r="C479" t="s">
        <v>4160</v>
      </c>
      <c r="D479" t="s">
        <v>4103</v>
      </c>
      <c r="E479" t="s">
        <v>4104</v>
      </c>
      <c r="F479" t="s">
        <v>1227</v>
      </c>
      <c r="G479" t="s">
        <v>1849</v>
      </c>
      <c r="H479">
        <v>9327</v>
      </c>
      <c r="I479">
        <v>9327</v>
      </c>
      <c r="J479" t="s">
        <v>3862</v>
      </c>
      <c r="K479">
        <v>1</v>
      </c>
      <c r="L479" t="s">
        <v>2945</v>
      </c>
      <c r="M479" s="19">
        <v>46262</v>
      </c>
      <c r="N479" t="s">
        <v>4105</v>
      </c>
      <c r="O479" t="s">
        <v>4106</v>
      </c>
    </row>
    <row r="480" spans="1:15" x14ac:dyDescent="0.3">
      <c r="A480" t="s">
        <v>4161</v>
      </c>
      <c r="B480" t="s">
        <v>4162</v>
      </c>
      <c r="C480" t="s">
        <v>4163</v>
      </c>
      <c r="D480" t="s">
        <v>4103</v>
      </c>
      <c r="E480" t="s">
        <v>4104</v>
      </c>
      <c r="F480" t="s">
        <v>1227</v>
      </c>
      <c r="G480" t="s">
        <v>1849</v>
      </c>
      <c r="H480">
        <v>10273</v>
      </c>
      <c r="I480">
        <v>10273</v>
      </c>
      <c r="J480" t="s">
        <v>3862</v>
      </c>
      <c r="K480">
        <v>1</v>
      </c>
      <c r="L480" t="s">
        <v>2945</v>
      </c>
      <c r="M480" s="19">
        <v>46262</v>
      </c>
      <c r="N480" t="s">
        <v>4105</v>
      </c>
      <c r="O480" t="s">
        <v>4106</v>
      </c>
    </row>
    <row r="481" spans="1:15" x14ac:dyDescent="0.3">
      <c r="A481" t="s">
        <v>4164</v>
      </c>
      <c r="B481" t="s">
        <v>4165</v>
      </c>
      <c r="C481" t="s">
        <v>4166</v>
      </c>
      <c r="D481" t="s">
        <v>4103</v>
      </c>
      <c r="E481" t="s">
        <v>4104</v>
      </c>
      <c r="F481" t="s">
        <v>1227</v>
      </c>
      <c r="G481" t="s">
        <v>1849</v>
      </c>
      <c r="H481">
        <v>11219</v>
      </c>
      <c r="I481">
        <v>11219</v>
      </c>
      <c r="J481" t="s">
        <v>3862</v>
      </c>
      <c r="K481">
        <v>1</v>
      </c>
      <c r="L481" t="s">
        <v>2945</v>
      </c>
      <c r="M481" s="19">
        <v>46262</v>
      </c>
      <c r="N481" t="s">
        <v>4105</v>
      </c>
      <c r="O481" t="s">
        <v>4106</v>
      </c>
    </row>
    <row r="482" spans="1:15" x14ac:dyDescent="0.3">
      <c r="A482" t="s">
        <v>4167</v>
      </c>
      <c r="B482" t="s">
        <v>4168</v>
      </c>
      <c r="C482" t="s">
        <v>4169</v>
      </c>
      <c r="D482" t="s">
        <v>4103</v>
      </c>
      <c r="E482" t="s">
        <v>4104</v>
      </c>
      <c r="F482" t="s">
        <v>1227</v>
      </c>
      <c r="G482" t="s">
        <v>1849</v>
      </c>
      <c r="H482">
        <v>12165</v>
      </c>
      <c r="I482">
        <v>12165</v>
      </c>
      <c r="J482" t="s">
        <v>3862</v>
      </c>
      <c r="K482">
        <v>1</v>
      </c>
      <c r="L482" t="s">
        <v>2945</v>
      </c>
      <c r="M482" s="19">
        <v>46262</v>
      </c>
      <c r="N482" t="s">
        <v>4105</v>
      </c>
      <c r="O482" t="s">
        <v>4106</v>
      </c>
    </row>
    <row r="483" spans="1:15" x14ac:dyDescent="0.3">
      <c r="A483" t="s">
        <v>4170</v>
      </c>
      <c r="B483" t="s">
        <v>4171</v>
      </c>
      <c r="C483" t="s">
        <v>4172</v>
      </c>
      <c r="D483" t="s">
        <v>4103</v>
      </c>
      <c r="E483" t="s">
        <v>4104</v>
      </c>
      <c r="F483" t="s">
        <v>1227</v>
      </c>
      <c r="G483" t="s">
        <v>1849</v>
      </c>
      <c r="H483">
        <v>13111</v>
      </c>
      <c r="I483">
        <v>13111</v>
      </c>
      <c r="J483" t="s">
        <v>3862</v>
      </c>
      <c r="K483">
        <v>1</v>
      </c>
      <c r="L483" t="s">
        <v>2945</v>
      </c>
      <c r="M483" s="19">
        <v>46262</v>
      </c>
      <c r="N483" t="s">
        <v>4105</v>
      </c>
      <c r="O483" t="s">
        <v>4106</v>
      </c>
    </row>
    <row r="484" spans="1:15" x14ac:dyDescent="0.3">
      <c r="A484" t="s">
        <v>4173</v>
      </c>
      <c r="B484" t="s">
        <v>4174</v>
      </c>
      <c r="C484" t="s">
        <v>4175</v>
      </c>
      <c r="D484" t="s">
        <v>4103</v>
      </c>
      <c r="E484" t="s">
        <v>4104</v>
      </c>
      <c r="F484" t="s">
        <v>1227</v>
      </c>
      <c r="G484" t="s">
        <v>1849</v>
      </c>
      <c r="H484">
        <v>14057</v>
      </c>
      <c r="I484">
        <v>14057</v>
      </c>
      <c r="J484" t="s">
        <v>3862</v>
      </c>
      <c r="K484">
        <v>1</v>
      </c>
      <c r="L484" t="s">
        <v>2945</v>
      </c>
      <c r="M484" s="19">
        <v>46262</v>
      </c>
      <c r="N484" t="s">
        <v>4105</v>
      </c>
      <c r="O484" t="s">
        <v>4106</v>
      </c>
    </row>
    <row r="485" spans="1:15" x14ac:dyDescent="0.3">
      <c r="A485" t="s">
        <v>4176</v>
      </c>
      <c r="B485" t="s">
        <v>4177</v>
      </c>
      <c r="C485" t="s">
        <v>4178</v>
      </c>
      <c r="D485" t="s">
        <v>4103</v>
      </c>
      <c r="E485" t="s">
        <v>4104</v>
      </c>
      <c r="F485" t="s">
        <v>1227</v>
      </c>
      <c r="G485" t="s">
        <v>1849</v>
      </c>
      <c r="H485">
        <v>15003</v>
      </c>
      <c r="I485">
        <v>15003</v>
      </c>
      <c r="J485" t="s">
        <v>3862</v>
      </c>
      <c r="K485">
        <v>1</v>
      </c>
      <c r="L485" t="s">
        <v>2945</v>
      </c>
      <c r="M485" s="19">
        <v>46262</v>
      </c>
      <c r="N485" t="s">
        <v>4105</v>
      </c>
      <c r="O485" t="s">
        <v>4106</v>
      </c>
    </row>
    <row r="486" spans="1:15" x14ac:dyDescent="0.3">
      <c r="A486" t="s">
        <v>4179</v>
      </c>
      <c r="B486" t="s">
        <v>4180</v>
      </c>
      <c r="C486" t="s">
        <v>4181</v>
      </c>
      <c r="D486" t="s">
        <v>4103</v>
      </c>
      <c r="E486" t="s">
        <v>4104</v>
      </c>
      <c r="F486" t="s">
        <v>1227</v>
      </c>
      <c r="G486" t="s">
        <v>1849</v>
      </c>
      <c r="H486">
        <v>5623</v>
      </c>
      <c r="I486">
        <v>5623</v>
      </c>
      <c r="J486" t="s">
        <v>3862</v>
      </c>
      <c r="K486">
        <v>1</v>
      </c>
      <c r="L486" t="s">
        <v>2945</v>
      </c>
      <c r="M486" s="19">
        <v>46262</v>
      </c>
      <c r="N486" t="s">
        <v>4105</v>
      </c>
      <c r="O486" t="s">
        <v>4106</v>
      </c>
    </row>
    <row r="487" spans="1:15" x14ac:dyDescent="0.3">
      <c r="A487" t="s">
        <v>4182</v>
      </c>
      <c r="B487" t="s">
        <v>4183</v>
      </c>
      <c r="C487" t="s">
        <v>4184</v>
      </c>
      <c r="D487" t="s">
        <v>4103</v>
      </c>
      <c r="E487" t="s">
        <v>4104</v>
      </c>
      <c r="F487" t="s">
        <v>1227</v>
      </c>
      <c r="G487" t="s">
        <v>1849</v>
      </c>
      <c r="H487">
        <v>6589</v>
      </c>
      <c r="I487">
        <v>6589</v>
      </c>
      <c r="J487" t="s">
        <v>3862</v>
      </c>
      <c r="K487">
        <v>1</v>
      </c>
      <c r="L487" t="s">
        <v>2945</v>
      </c>
      <c r="M487" s="19">
        <v>46262</v>
      </c>
      <c r="N487" t="s">
        <v>4105</v>
      </c>
      <c r="O487" t="s">
        <v>4106</v>
      </c>
    </row>
    <row r="488" spans="1:15" x14ac:dyDescent="0.3">
      <c r="A488" t="s">
        <v>4185</v>
      </c>
      <c r="B488" t="s">
        <v>4186</v>
      </c>
      <c r="C488" t="s">
        <v>4187</v>
      </c>
      <c r="D488" t="s">
        <v>4103</v>
      </c>
      <c r="E488" t="s">
        <v>4104</v>
      </c>
      <c r="F488" t="s">
        <v>1227</v>
      </c>
      <c r="G488" t="s">
        <v>1849</v>
      </c>
      <c r="H488">
        <v>7555</v>
      </c>
      <c r="I488">
        <v>7555</v>
      </c>
      <c r="J488" t="s">
        <v>3862</v>
      </c>
      <c r="K488">
        <v>1</v>
      </c>
      <c r="L488" t="s">
        <v>2945</v>
      </c>
      <c r="M488" s="19">
        <v>46262</v>
      </c>
      <c r="N488" t="s">
        <v>4105</v>
      </c>
      <c r="O488" t="s">
        <v>4106</v>
      </c>
    </row>
    <row r="489" spans="1:15" x14ac:dyDescent="0.3">
      <c r="A489" t="s">
        <v>4188</v>
      </c>
      <c r="B489" t="s">
        <v>4189</v>
      </c>
      <c r="C489" t="s">
        <v>4190</v>
      </c>
      <c r="D489" t="s">
        <v>4103</v>
      </c>
      <c r="E489" t="s">
        <v>4104</v>
      </c>
      <c r="F489" t="s">
        <v>1227</v>
      </c>
      <c r="G489" t="s">
        <v>1849</v>
      </c>
      <c r="H489">
        <v>8521</v>
      </c>
      <c r="I489">
        <v>8521</v>
      </c>
      <c r="J489" t="s">
        <v>3862</v>
      </c>
      <c r="K489">
        <v>1</v>
      </c>
      <c r="L489" t="s">
        <v>2945</v>
      </c>
      <c r="M489" s="19">
        <v>46262</v>
      </c>
      <c r="N489" t="s">
        <v>4105</v>
      </c>
      <c r="O489" t="s">
        <v>4106</v>
      </c>
    </row>
    <row r="490" spans="1:15" x14ac:dyDescent="0.3">
      <c r="A490" t="s">
        <v>4191</v>
      </c>
      <c r="B490" t="s">
        <v>4192</v>
      </c>
      <c r="C490" t="s">
        <v>4193</v>
      </c>
      <c r="D490" t="s">
        <v>4103</v>
      </c>
      <c r="E490" t="s">
        <v>4104</v>
      </c>
      <c r="F490" t="s">
        <v>1227</v>
      </c>
      <c r="G490" t="s">
        <v>1849</v>
      </c>
      <c r="H490">
        <v>9487</v>
      </c>
      <c r="I490">
        <v>9487</v>
      </c>
      <c r="J490" t="s">
        <v>3862</v>
      </c>
      <c r="K490">
        <v>1</v>
      </c>
      <c r="L490" t="s">
        <v>2945</v>
      </c>
      <c r="M490" s="19">
        <v>46262</v>
      </c>
      <c r="N490" t="s">
        <v>4105</v>
      </c>
      <c r="O490" t="s">
        <v>4106</v>
      </c>
    </row>
    <row r="491" spans="1:15" x14ac:dyDescent="0.3">
      <c r="A491" t="s">
        <v>4194</v>
      </c>
      <c r="B491" t="s">
        <v>4195</v>
      </c>
      <c r="C491" t="s">
        <v>4196</v>
      </c>
      <c r="D491" t="s">
        <v>4103</v>
      </c>
      <c r="E491" t="s">
        <v>4104</v>
      </c>
      <c r="F491" t="s">
        <v>1227</v>
      </c>
      <c r="G491" t="s">
        <v>1849</v>
      </c>
      <c r="H491">
        <v>10453</v>
      </c>
      <c r="I491">
        <v>10453</v>
      </c>
      <c r="J491" t="s">
        <v>3862</v>
      </c>
      <c r="K491">
        <v>1</v>
      </c>
      <c r="L491" t="s">
        <v>2945</v>
      </c>
      <c r="M491" s="19">
        <v>46262</v>
      </c>
      <c r="N491" t="s">
        <v>4105</v>
      </c>
      <c r="O491" t="s">
        <v>4106</v>
      </c>
    </row>
    <row r="492" spans="1:15" x14ac:dyDescent="0.3">
      <c r="A492" t="s">
        <v>4197</v>
      </c>
      <c r="B492" t="s">
        <v>4198</v>
      </c>
      <c r="C492" t="s">
        <v>4199</v>
      </c>
      <c r="D492" t="s">
        <v>4103</v>
      </c>
      <c r="E492" t="s">
        <v>4104</v>
      </c>
      <c r="F492" t="s">
        <v>1227</v>
      </c>
      <c r="G492" t="s">
        <v>1849</v>
      </c>
      <c r="H492">
        <v>11419</v>
      </c>
      <c r="I492">
        <v>11419</v>
      </c>
      <c r="J492" t="s">
        <v>3862</v>
      </c>
      <c r="K492">
        <v>1</v>
      </c>
      <c r="L492" t="s">
        <v>2945</v>
      </c>
      <c r="M492" s="19">
        <v>46262</v>
      </c>
      <c r="N492" t="s">
        <v>4105</v>
      </c>
      <c r="O492" t="s">
        <v>4106</v>
      </c>
    </row>
    <row r="493" spans="1:15" x14ac:dyDescent="0.3">
      <c r="A493" t="s">
        <v>4200</v>
      </c>
      <c r="B493" t="s">
        <v>4201</v>
      </c>
      <c r="C493" t="s">
        <v>4202</v>
      </c>
      <c r="D493" t="s">
        <v>4103</v>
      </c>
      <c r="E493" t="s">
        <v>4104</v>
      </c>
      <c r="F493" t="s">
        <v>1227</v>
      </c>
      <c r="G493" t="s">
        <v>1849</v>
      </c>
      <c r="H493">
        <v>12385</v>
      </c>
      <c r="I493">
        <v>12385</v>
      </c>
      <c r="J493" t="s">
        <v>3862</v>
      </c>
      <c r="K493">
        <v>1</v>
      </c>
      <c r="L493" t="s">
        <v>2945</v>
      </c>
      <c r="M493" s="19">
        <v>46262</v>
      </c>
      <c r="N493" t="s">
        <v>4105</v>
      </c>
      <c r="O493" t="s">
        <v>4106</v>
      </c>
    </row>
    <row r="494" spans="1:15" x14ac:dyDescent="0.3">
      <c r="A494" t="s">
        <v>4203</v>
      </c>
      <c r="B494" t="s">
        <v>4204</v>
      </c>
      <c r="C494" t="s">
        <v>4205</v>
      </c>
      <c r="D494" t="s">
        <v>4103</v>
      </c>
      <c r="E494" t="s">
        <v>4104</v>
      </c>
      <c r="F494" t="s">
        <v>1227</v>
      </c>
      <c r="G494" t="s">
        <v>1849</v>
      </c>
      <c r="H494">
        <v>13351</v>
      </c>
      <c r="I494">
        <v>13351</v>
      </c>
      <c r="J494" t="s">
        <v>3862</v>
      </c>
      <c r="K494">
        <v>1</v>
      </c>
      <c r="L494" t="s">
        <v>2945</v>
      </c>
      <c r="M494" s="19">
        <v>46262</v>
      </c>
      <c r="N494" t="s">
        <v>4105</v>
      </c>
      <c r="O494" t="s">
        <v>4106</v>
      </c>
    </row>
    <row r="495" spans="1:15" x14ac:dyDescent="0.3">
      <c r="A495" t="s">
        <v>4206</v>
      </c>
      <c r="B495" t="s">
        <v>4207</v>
      </c>
      <c r="C495" t="s">
        <v>4208</v>
      </c>
      <c r="D495" t="s">
        <v>4103</v>
      </c>
      <c r="E495" t="s">
        <v>4104</v>
      </c>
      <c r="F495" t="s">
        <v>1227</v>
      </c>
      <c r="G495" t="s">
        <v>1849</v>
      </c>
      <c r="H495">
        <v>14317</v>
      </c>
      <c r="I495">
        <v>14317</v>
      </c>
      <c r="J495" t="s">
        <v>3862</v>
      </c>
      <c r="K495">
        <v>1</v>
      </c>
      <c r="L495" t="s">
        <v>2945</v>
      </c>
      <c r="M495" s="19">
        <v>46262</v>
      </c>
      <c r="N495" t="s">
        <v>4105</v>
      </c>
      <c r="O495" t="s">
        <v>4106</v>
      </c>
    </row>
    <row r="496" spans="1:15" x14ac:dyDescent="0.3">
      <c r="A496" t="s">
        <v>4209</v>
      </c>
      <c r="B496" t="s">
        <v>4210</v>
      </c>
      <c r="C496" t="s">
        <v>4211</v>
      </c>
      <c r="D496" t="s">
        <v>4103</v>
      </c>
      <c r="E496" t="s">
        <v>4104</v>
      </c>
      <c r="F496" t="s">
        <v>1227</v>
      </c>
      <c r="G496" t="s">
        <v>1849</v>
      </c>
      <c r="H496">
        <v>15283</v>
      </c>
      <c r="I496">
        <v>15283</v>
      </c>
      <c r="J496" t="s">
        <v>3862</v>
      </c>
      <c r="K496">
        <v>1</v>
      </c>
      <c r="L496" t="s">
        <v>2945</v>
      </c>
      <c r="M496" s="19">
        <v>46262</v>
      </c>
      <c r="N496" t="s">
        <v>4105</v>
      </c>
      <c r="O496" t="s">
        <v>4106</v>
      </c>
    </row>
    <row r="497" spans="1:15" x14ac:dyDescent="0.3">
      <c r="A497" t="s">
        <v>4212</v>
      </c>
      <c r="B497" t="s">
        <v>4213</v>
      </c>
      <c r="C497" t="s">
        <v>4214</v>
      </c>
      <c r="D497" t="s">
        <v>4103</v>
      </c>
      <c r="E497" t="s">
        <v>4104</v>
      </c>
      <c r="F497" t="s">
        <v>1227</v>
      </c>
      <c r="G497" t="s">
        <v>1849</v>
      </c>
      <c r="H497">
        <v>9460</v>
      </c>
      <c r="I497">
        <v>9460</v>
      </c>
      <c r="J497" t="s">
        <v>3862</v>
      </c>
      <c r="K497">
        <v>1</v>
      </c>
      <c r="L497" t="s">
        <v>2945</v>
      </c>
      <c r="M497" s="19">
        <v>46262</v>
      </c>
      <c r="N497" t="s">
        <v>4105</v>
      </c>
      <c r="O497" t="s">
        <v>4106</v>
      </c>
    </row>
    <row r="498" spans="1:15" x14ac:dyDescent="0.3">
      <c r="A498" t="s">
        <v>4215</v>
      </c>
      <c r="B498" t="s">
        <v>4216</v>
      </c>
      <c r="C498" t="s">
        <v>4217</v>
      </c>
      <c r="D498" t="s">
        <v>4103</v>
      </c>
      <c r="E498" t="s">
        <v>4104</v>
      </c>
      <c r="F498" t="s">
        <v>1227</v>
      </c>
      <c r="G498" t="s">
        <v>1849</v>
      </c>
      <c r="H498">
        <v>9660</v>
      </c>
      <c r="I498">
        <v>9660</v>
      </c>
      <c r="J498" t="s">
        <v>3862</v>
      </c>
      <c r="K498">
        <v>1</v>
      </c>
      <c r="L498" t="s">
        <v>2945</v>
      </c>
      <c r="M498" s="19">
        <v>46262</v>
      </c>
      <c r="N498" t="s">
        <v>4105</v>
      </c>
      <c r="O498" t="s">
        <v>4106</v>
      </c>
    </row>
    <row r="499" spans="1:15" x14ac:dyDescent="0.3">
      <c r="A499" t="s">
        <v>4218</v>
      </c>
      <c r="B499" t="s">
        <v>4219</v>
      </c>
      <c r="C499" t="s">
        <v>4220</v>
      </c>
      <c r="D499" t="s">
        <v>4103</v>
      </c>
      <c r="E499" t="s">
        <v>4104</v>
      </c>
      <c r="F499" t="s">
        <v>1227</v>
      </c>
      <c r="G499" t="s">
        <v>1849</v>
      </c>
      <c r="H499">
        <v>5543</v>
      </c>
      <c r="I499">
        <v>5543</v>
      </c>
      <c r="J499" t="s">
        <v>3862</v>
      </c>
      <c r="K499">
        <v>1</v>
      </c>
      <c r="L499" t="s">
        <v>2945</v>
      </c>
      <c r="M499" s="19">
        <v>46262</v>
      </c>
      <c r="N499" t="s">
        <v>4105</v>
      </c>
      <c r="O499" t="s">
        <v>4106</v>
      </c>
    </row>
    <row r="500" spans="1:15" x14ac:dyDescent="0.3">
      <c r="A500" t="s">
        <v>4221</v>
      </c>
      <c r="B500" t="s">
        <v>4222</v>
      </c>
      <c r="C500" t="s">
        <v>4223</v>
      </c>
      <c r="D500" t="s">
        <v>4103</v>
      </c>
      <c r="E500" t="s">
        <v>4104</v>
      </c>
      <c r="F500" t="s">
        <v>1227</v>
      </c>
      <c r="G500" t="s">
        <v>1849</v>
      </c>
      <c r="H500">
        <v>6489</v>
      </c>
      <c r="I500">
        <v>6489</v>
      </c>
      <c r="J500" t="s">
        <v>3862</v>
      </c>
      <c r="K500">
        <v>1</v>
      </c>
      <c r="L500" t="s">
        <v>2945</v>
      </c>
      <c r="M500" s="19">
        <v>46262</v>
      </c>
      <c r="N500" t="s">
        <v>4105</v>
      </c>
      <c r="O500" t="s">
        <v>4106</v>
      </c>
    </row>
    <row r="501" spans="1:15" x14ac:dyDescent="0.3">
      <c r="A501" t="s">
        <v>4224</v>
      </c>
      <c r="B501" t="s">
        <v>4225</v>
      </c>
      <c r="C501" t="s">
        <v>4226</v>
      </c>
      <c r="D501" t="s">
        <v>4103</v>
      </c>
      <c r="E501" t="s">
        <v>4104</v>
      </c>
      <c r="F501" t="s">
        <v>1227</v>
      </c>
      <c r="G501" t="s">
        <v>1849</v>
      </c>
      <c r="H501">
        <v>7435</v>
      </c>
      <c r="I501">
        <v>7435</v>
      </c>
      <c r="J501" t="s">
        <v>3862</v>
      </c>
      <c r="K501">
        <v>1</v>
      </c>
      <c r="L501" t="s">
        <v>2945</v>
      </c>
      <c r="M501" s="19">
        <v>46262</v>
      </c>
      <c r="N501" t="s">
        <v>4105</v>
      </c>
      <c r="O501" t="s">
        <v>4106</v>
      </c>
    </row>
    <row r="502" spans="1:15" x14ac:dyDescent="0.3">
      <c r="A502" t="s">
        <v>4227</v>
      </c>
      <c r="B502" t="s">
        <v>4228</v>
      </c>
      <c r="C502" t="s">
        <v>4229</v>
      </c>
      <c r="D502" t="s">
        <v>4103</v>
      </c>
      <c r="E502" t="s">
        <v>4104</v>
      </c>
      <c r="F502" t="s">
        <v>1227</v>
      </c>
      <c r="G502" t="s">
        <v>1849</v>
      </c>
      <c r="H502">
        <v>8381</v>
      </c>
      <c r="I502">
        <v>8381</v>
      </c>
      <c r="J502" t="s">
        <v>3862</v>
      </c>
      <c r="K502">
        <v>1</v>
      </c>
      <c r="L502" t="s">
        <v>2945</v>
      </c>
      <c r="M502" s="19">
        <v>46262</v>
      </c>
      <c r="N502" t="s">
        <v>4105</v>
      </c>
      <c r="O502" t="s">
        <v>4106</v>
      </c>
    </row>
    <row r="503" spans="1:15" x14ac:dyDescent="0.3">
      <c r="A503" t="s">
        <v>4230</v>
      </c>
      <c r="B503" t="s">
        <v>4231</v>
      </c>
      <c r="C503" t="s">
        <v>4232</v>
      </c>
      <c r="D503" t="s">
        <v>4103</v>
      </c>
      <c r="E503" t="s">
        <v>4104</v>
      </c>
      <c r="F503" t="s">
        <v>1227</v>
      </c>
      <c r="G503" t="s">
        <v>1849</v>
      </c>
      <c r="H503">
        <v>9327</v>
      </c>
      <c r="I503">
        <v>9327</v>
      </c>
      <c r="J503" t="s">
        <v>3862</v>
      </c>
      <c r="K503">
        <v>1</v>
      </c>
      <c r="L503" t="s">
        <v>2945</v>
      </c>
      <c r="M503" s="19">
        <v>46262</v>
      </c>
      <c r="N503" t="s">
        <v>4105</v>
      </c>
      <c r="O503" t="s">
        <v>4106</v>
      </c>
    </row>
    <row r="504" spans="1:15" x14ac:dyDescent="0.3">
      <c r="A504" t="s">
        <v>4233</v>
      </c>
      <c r="B504" t="s">
        <v>4234</v>
      </c>
      <c r="C504" t="s">
        <v>4235</v>
      </c>
      <c r="D504" t="s">
        <v>4103</v>
      </c>
      <c r="E504" t="s">
        <v>4104</v>
      </c>
      <c r="F504" t="s">
        <v>1227</v>
      </c>
      <c r="G504" t="s">
        <v>1849</v>
      </c>
      <c r="H504">
        <v>10273</v>
      </c>
      <c r="I504">
        <v>10273</v>
      </c>
      <c r="J504" t="s">
        <v>3862</v>
      </c>
      <c r="K504">
        <v>1</v>
      </c>
      <c r="L504" t="s">
        <v>2945</v>
      </c>
      <c r="M504" s="19">
        <v>46262</v>
      </c>
      <c r="N504" t="s">
        <v>4105</v>
      </c>
      <c r="O504" t="s">
        <v>4106</v>
      </c>
    </row>
    <row r="505" spans="1:15" x14ac:dyDescent="0.3">
      <c r="A505" t="s">
        <v>4236</v>
      </c>
      <c r="B505" t="s">
        <v>4237</v>
      </c>
      <c r="C505" t="s">
        <v>4238</v>
      </c>
      <c r="D505" t="s">
        <v>4103</v>
      </c>
      <c r="E505" t="s">
        <v>4104</v>
      </c>
      <c r="F505" t="s">
        <v>1227</v>
      </c>
      <c r="G505" t="s">
        <v>1849</v>
      </c>
      <c r="H505">
        <v>11219</v>
      </c>
      <c r="I505">
        <v>11219</v>
      </c>
      <c r="J505" t="s">
        <v>3862</v>
      </c>
      <c r="K505">
        <v>1</v>
      </c>
      <c r="L505" t="s">
        <v>2945</v>
      </c>
      <c r="M505" s="19">
        <v>46262</v>
      </c>
      <c r="N505" t="s">
        <v>4105</v>
      </c>
      <c r="O505" t="s">
        <v>4106</v>
      </c>
    </row>
    <row r="506" spans="1:15" x14ac:dyDescent="0.3">
      <c r="A506" t="s">
        <v>4239</v>
      </c>
      <c r="B506" t="s">
        <v>4240</v>
      </c>
      <c r="C506" t="s">
        <v>4241</v>
      </c>
      <c r="D506" t="s">
        <v>4103</v>
      </c>
      <c r="E506" t="s">
        <v>4104</v>
      </c>
      <c r="F506" t="s">
        <v>1227</v>
      </c>
      <c r="G506" t="s">
        <v>1849</v>
      </c>
      <c r="H506">
        <v>12165</v>
      </c>
      <c r="I506">
        <v>12165</v>
      </c>
      <c r="J506" t="s">
        <v>3862</v>
      </c>
      <c r="K506">
        <v>1</v>
      </c>
      <c r="L506" t="s">
        <v>2945</v>
      </c>
      <c r="M506" s="19">
        <v>46262</v>
      </c>
      <c r="N506" t="s">
        <v>4105</v>
      </c>
      <c r="O506" t="s">
        <v>4106</v>
      </c>
    </row>
    <row r="507" spans="1:15" x14ac:dyDescent="0.3">
      <c r="A507" t="s">
        <v>4242</v>
      </c>
      <c r="B507" t="s">
        <v>4243</v>
      </c>
      <c r="C507" t="s">
        <v>4244</v>
      </c>
      <c r="D507" t="s">
        <v>4103</v>
      </c>
      <c r="E507" t="s">
        <v>4104</v>
      </c>
      <c r="F507" t="s">
        <v>1227</v>
      </c>
      <c r="G507" t="s">
        <v>1849</v>
      </c>
      <c r="H507">
        <v>13111</v>
      </c>
      <c r="I507">
        <v>13111</v>
      </c>
      <c r="J507" t="s">
        <v>3862</v>
      </c>
      <c r="K507">
        <v>1</v>
      </c>
      <c r="L507" t="s">
        <v>2945</v>
      </c>
      <c r="M507" s="19">
        <v>46262</v>
      </c>
      <c r="N507" t="s">
        <v>4105</v>
      </c>
      <c r="O507" t="s">
        <v>4106</v>
      </c>
    </row>
    <row r="508" spans="1:15" x14ac:dyDescent="0.3">
      <c r="A508" t="s">
        <v>4245</v>
      </c>
      <c r="B508" t="s">
        <v>4246</v>
      </c>
      <c r="C508" t="s">
        <v>4247</v>
      </c>
      <c r="D508" t="s">
        <v>4103</v>
      </c>
      <c r="E508" t="s">
        <v>4104</v>
      </c>
      <c r="F508" t="s">
        <v>1227</v>
      </c>
      <c r="G508" t="s">
        <v>1849</v>
      </c>
      <c r="H508">
        <v>14057</v>
      </c>
      <c r="I508">
        <v>14057</v>
      </c>
      <c r="J508" t="s">
        <v>3862</v>
      </c>
      <c r="K508">
        <v>1</v>
      </c>
      <c r="L508" t="s">
        <v>2945</v>
      </c>
      <c r="M508" s="19">
        <v>46262</v>
      </c>
      <c r="N508" t="s">
        <v>4105</v>
      </c>
      <c r="O508" t="s">
        <v>4106</v>
      </c>
    </row>
    <row r="509" spans="1:15" x14ac:dyDescent="0.3">
      <c r="A509" t="s">
        <v>4248</v>
      </c>
      <c r="B509" t="s">
        <v>4249</v>
      </c>
      <c r="C509" t="s">
        <v>4250</v>
      </c>
      <c r="D509" t="s">
        <v>4103</v>
      </c>
      <c r="E509" t="s">
        <v>4104</v>
      </c>
      <c r="F509" t="s">
        <v>1227</v>
      </c>
      <c r="G509" t="s">
        <v>1849</v>
      </c>
      <c r="H509">
        <v>15003</v>
      </c>
      <c r="I509">
        <v>15003</v>
      </c>
      <c r="J509" t="s">
        <v>3862</v>
      </c>
      <c r="K509">
        <v>1</v>
      </c>
      <c r="L509" t="s">
        <v>2945</v>
      </c>
      <c r="M509" s="19">
        <v>46262</v>
      </c>
      <c r="N509" t="s">
        <v>4105</v>
      </c>
      <c r="O509" t="s">
        <v>4106</v>
      </c>
    </row>
    <row r="510" spans="1:15" x14ac:dyDescent="0.3">
      <c r="A510" t="s">
        <v>4251</v>
      </c>
      <c r="B510" t="s">
        <v>4252</v>
      </c>
      <c r="C510" t="s">
        <v>4253</v>
      </c>
      <c r="D510" t="s">
        <v>4103</v>
      </c>
      <c r="E510" t="s">
        <v>4104</v>
      </c>
      <c r="F510" t="s">
        <v>1227</v>
      </c>
      <c r="G510" t="s">
        <v>1849</v>
      </c>
      <c r="H510">
        <v>5623</v>
      </c>
      <c r="I510">
        <v>5623</v>
      </c>
      <c r="J510" t="s">
        <v>3862</v>
      </c>
      <c r="K510">
        <v>1</v>
      </c>
      <c r="L510" t="s">
        <v>2945</v>
      </c>
      <c r="M510" s="19">
        <v>46262</v>
      </c>
      <c r="N510" t="s">
        <v>4105</v>
      </c>
      <c r="O510" t="s">
        <v>4106</v>
      </c>
    </row>
    <row r="511" spans="1:15" x14ac:dyDescent="0.3">
      <c r="A511" t="s">
        <v>4254</v>
      </c>
      <c r="B511" t="s">
        <v>4255</v>
      </c>
      <c r="C511" t="s">
        <v>4256</v>
      </c>
      <c r="D511" t="s">
        <v>4103</v>
      </c>
      <c r="E511" t="s">
        <v>4104</v>
      </c>
      <c r="F511" t="s">
        <v>1227</v>
      </c>
      <c r="G511" t="s">
        <v>1849</v>
      </c>
      <c r="H511">
        <v>6589</v>
      </c>
      <c r="I511">
        <v>6589</v>
      </c>
      <c r="J511" t="s">
        <v>3862</v>
      </c>
      <c r="K511">
        <v>1</v>
      </c>
      <c r="L511" t="s">
        <v>2945</v>
      </c>
      <c r="M511" s="19">
        <v>46262</v>
      </c>
      <c r="N511" t="s">
        <v>4105</v>
      </c>
      <c r="O511" t="s">
        <v>4106</v>
      </c>
    </row>
    <row r="512" spans="1:15" x14ac:dyDescent="0.3">
      <c r="A512" t="s">
        <v>4257</v>
      </c>
      <c r="B512" t="s">
        <v>4258</v>
      </c>
      <c r="C512" t="s">
        <v>4259</v>
      </c>
      <c r="D512" t="s">
        <v>4103</v>
      </c>
      <c r="E512" t="s">
        <v>4104</v>
      </c>
      <c r="F512" t="s">
        <v>1227</v>
      </c>
      <c r="G512" t="s">
        <v>1849</v>
      </c>
      <c r="H512">
        <v>7555</v>
      </c>
      <c r="I512">
        <v>7555</v>
      </c>
      <c r="J512" t="s">
        <v>3862</v>
      </c>
      <c r="K512">
        <v>1</v>
      </c>
      <c r="L512" t="s">
        <v>2945</v>
      </c>
      <c r="M512" s="19">
        <v>46262</v>
      </c>
      <c r="N512" t="s">
        <v>4105</v>
      </c>
      <c r="O512" t="s">
        <v>4106</v>
      </c>
    </row>
    <row r="513" spans="1:15" x14ac:dyDescent="0.3">
      <c r="A513" t="s">
        <v>4260</v>
      </c>
      <c r="B513" t="s">
        <v>4261</v>
      </c>
      <c r="C513" t="s">
        <v>4262</v>
      </c>
      <c r="D513" t="s">
        <v>4103</v>
      </c>
      <c r="E513" t="s">
        <v>4104</v>
      </c>
      <c r="F513" t="s">
        <v>1227</v>
      </c>
      <c r="G513" t="s">
        <v>1849</v>
      </c>
      <c r="H513">
        <v>8521</v>
      </c>
      <c r="I513">
        <v>8521</v>
      </c>
      <c r="J513" t="s">
        <v>3862</v>
      </c>
      <c r="K513">
        <v>1</v>
      </c>
      <c r="L513" t="s">
        <v>2945</v>
      </c>
      <c r="M513" s="19">
        <v>46262</v>
      </c>
      <c r="N513" t="s">
        <v>4105</v>
      </c>
      <c r="O513" t="s">
        <v>4106</v>
      </c>
    </row>
    <row r="514" spans="1:15" x14ac:dyDescent="0.3">
      <c r="A514" t="s">
        <v>4263</v>
      </c>
      <c r="B514" t="s">
        <v>4264</v>
      </c>
      <c r="C514" t="s">
        <v>4265</v>
      </c>
      <c r="D514" t="s">
        <v>4103</v>
      </c>
      <c r="E514" t="s">
        <v>4104</v>
      </c>
      <c r="F514" t="s">
        <v>1227</v>
      </c>
      <c r="G514" t="s">
        <v>1849</v>
      </c>
      <c r="H514">
        <v>9487</v>
      </c>
      <c r="I514">
        <v>9487</v>
      </c>
      <c r="J514" t="s">
        <v>3862</v>
      </c>
      <c r="K514">
        <v>1</v>
      </c>
      <c r="L514" t="s">
        <v>2945</v>
      </c>
      <c r="M514" s="19">
        <v>46262</v>
      </c>
      <c r="N514" t="s">
        <v>4105</v>
      </c>
      <c r="O514" t="s">
        <v>4106</v>
      </c>
    </row>
    <row r="515" spans="1:15" x14ac:dyDescent="0.3">
      <c r="A515" t="s">
        <v>4266</v>
      </c>
      <c r="B515" t="s">
        <v>4267</v>
      </c>
      <c r="C515" t="s">
        <v>4268</v>
      </c>
      <c r="D515" t="s">
        <v>4103</v>
      </c>
      <c r="E515" t="s">
        <v>4104</v>
      </c>
      <c r="F515" t="s">
        <v>1227</v>
      </c>
      <c r="G515" t="s">
        <v>1849</v>
      </c>
      <c r="H515">
        <v>10453</v>
      </c>
      <c r="I515">
        <v>10453</v>
      </c>
      <c r="J515" t="s">
        <v>3862</v>
      </c>
      <c r="K515">
        <v>1</v>
      </c>
      <c r="L515" t="s">
        <v>2945</v>
      </c>
      <c r="M515" s="19">
        <v>46262</v>
      </c>
      <c r="N515" t="s">
        <v>4105</v>
      </c>
      <c r="O515" t="s">
        <v>4106</v>
      </c>
    </row>
    <row r="516" spans="1:15" x14ac:dyDescent="0.3">
      <c r="A516" t="s">
        <v>4269</v>
      </c>
      <c r="B516" t="s">
        <v>4270</v>
      </c>
      <c r="C516" t="s">
        <v>4271</v>
      </c>
      <c r="D516" t="s">
        <v>4103</v>
      </c>
      <c r="E516" t="s">
        <v>4104</v>
      </c>
      <c r="F516" t="s">
        <v>1227</v>
      </c>
      <c r="G516" t="s">
        <v>1849</v>
      </c>
      <c r="H516">
        <v>11419</v>
      </c>
      <c r="I516">
        <v>11419</v>
      </c>
      <c r="J516" t="s">
        <v>3862</v>
      </c>
      <c r="K516">
        <v>1</v>
      </c>
      <c r="L516" t="s">
        <v>2945</v>
      </c>
      <c r="M516" s="19">
        <v>46262</v>
      </c>
      <c r="N516" t="s">
        <v>4105</v>
      </c>
      <c r="O516" t="s">
        <v>4106</v>
      </c>
    </row>
    <row r="517" spans="1:15" x14ac:dyDescent="0.3">
      <c r="A517" t="s">
        <v>4272</v>
      </c>
      <c r="B517" t="s">
        <v>4273</v>
      </c>
      <c r="C517" t="s">
        <v>4274</v>
      </c>
      <c r="D517" t="s">
        <v>4103</v>
      </c>
      <c r="E517" t="s">
        <v>4104</v>
      </c>
      <c r="F517" t="s">
        <v>1227</v>
      </c>
      <c r="G517" t="s">
        <v>1849</v>
      </c>
      <c r="H517">
        <v>12385</v>
      </c>
      <c r="I517">
        <v>12385</v>
      </c>
      <c r="J517" t="s">
        <v>3862</v>
      </c>
      <c r="K517">
        <v>1</v>
      </c>
      <c r="L517" t="s">
        <v>2945</v>
      </c>
      <c r="M517" s="19">
        <v>46262</v>
      </c>
      <c r="N517" t="s">
        <v>4105</v>
      </c>
      <c r="O517" t="s">
        <v>4106</v>
      </c>
    </row>
    <row r="518" spans="1:15" x14ac:dyDescent="0.3">
      <c r="A518" t="s">
        <v>4275</v>
      </c>
      <c r="B518" t="s">
        <v>4276</v>
      </c>
      <c r="C518" t="s">
        <v>4277</v>
      </c>
      <c r="D518" t="s">
        <v>4103</v>
      </c>
      <c r="E518" t="s">
        <v>4104</v>
      </c>
      <c r="F518" t="s">
        <v>1227</v>
      </c>
      <c r="G518" t="s">
        <v>1849</v>
      </c>
      <c r="H518">
        <v>13351</v>
      </c>
      <c r="I518">
        <v>13351</v>
      </c>
      <c r="J518" t="s">
        <v>3862</v>
      </c>
      <c r="K518">
        <v>1</v>
      </c>
      <c r="L518" t="s">
        <v>2945</v>
      </c>
      <c r="M518" s="19">
        <v>46262</v>
      </c>
      <c r="N518" t="s">
        <v>4105</v>
      </c>
      <c r="O518" t="s">
        <v>4106</v>
      </c>
    </row>
    <row r="519" spans="1:15" x14ac:dyDescent="0.3">
      <c r="A519" t="s">
        <v>4278</v>
      </c>
      <c r="B519" t="s">
        <v>4279</v>
      </c>
      <c r="C519" t="s">
        <v>4280</v>
      </c>
      <c r="D519" t="s">
        <v>4103</v>
      </c>
      <c r="E519" t="s">
        <v>4104</v>
      </c>
      <c r="F519" t="s">
        <v>1227</v>
      </c>
      <c r="G519" t="s">
        <v>1849</v>
      </c>
      <c r="H519">
        <v>14317</v>
      </c>
      <c r="I519">
        <v>14317</v>
      </c>
      <c r="J519" t="s">
        <v>3862</v>
      </c>
      <c r="K519">
        <v>1</v>
      </c>
      <c r="L519" t="s">
        <v>2945</v>
      </c>
      <c r="M519" s="19">
        <v>46262</v>
      </c>
      <c r="N519" t="s">
        <v>4105</v>
      </c>
      <c r="O519" t="s">
        <v>4106</v>
      </c>
    </row>
    <row r="520" spans="1:15" x14ac:dyDescent="0.3">
      <c r="A520" t="s">
        <v>4281</v>
      </c>
      <c r="B520" t="s">
        <v>4282</v>
      </c>
      <c r="C520" t="s">
        <v>4283</v>
      </c>
      <c r="D520" t="s">
        <v>4103</v>
      </c>
      <c r="E520" t="s">
        <v>4104</v>
      </c>
      <c r="F520" t="s">
        <v>1227</v>
      </c>
      <c r="G520" t="s">
        <v>1849</v>
      </c>
      <c r="H520">
        <v>15283</v>
      </c>
      <c r="I520">
        <v>15283</v>
      </c>
      <c r="J520" t="s">
        <v>3862</v>
      </c>
      <c r="K520">
        <v>1</v>
      </c>
      <c r="L520" t="s">
        <v>2945</v>
      </c>
      <c r="M520" s="19">
        <v>46262</v>
      </c>
      <c r="N520" t="s">
        <v>4105</v>
      </c>
      <c r="O520" t="s">
        <v>4106</v>
      </c>
    </row>
    <row r="521" spans="1:15" x14ac:dyDescent="0.3">
      <c r="A521" t="s">
        <v>4284</v>
      </c>
      <c r="B521" t="s">
        <v>4285</v>
      </c>
      <c r="C521" t="s">
        <v>4286</v>
      </c>
      <c r="D521" t="s">
        <v>4103</v>
      </c>
      <c r="E521" t="s">
        <v>4104</v>
      </c>
      <c r="F521" t="s">
        <v>1227</v>
      </c>
      <c r="G521" t="s">
        <v>1849</v>
      </c>
      <c r="H521">
        <v>10570</v>
      </c>
      <c r="I521">
        <v>10570</v>
      </c>
      <c r="J521" t="s">
        <v>3862</v>
      </c>
      <c r="K521">
        <v>1</v>
      </c>
      <c r="L521" t="s">
        <v>2945</v>
      </c>
      <c r="M521" s="19">
        <v>46262</v>
      </c>
      <c r="N521" t="s">
        <v>4105</v>
      </c>
      <c r="O521" t="s">
        <v>4106</v>
      </c>
    </row>
    <row r="522" spans="1:15" x14ac:dyDescent="0.3">
      <c r="A522" t="s">
        <v>4287</v>
      </c>
      <c r="B522" t="s">
        <v>4288</v>
      </c>
      <c r="C522" t="s">
        <v>4289</v>
      </c>
      <c r="D522" t="s">
        <v>4103</v>
      </c>
      <c r="E522" t="s">
        <v>4104</v>
      </c>
      <c r="F522" t="s">
        <v>1227</v>
      </c>
      <c r="G522" t="s">
        <v>1849</v>
      </c>
      <c r="H522">
        <v>10780</v>
      </c>
      <c r="I522">
        <v>10780</v>
      </c>
      <c r="J522" t="s">
        <v>3862</v>
      </c>
      <c r="K522">
        <v>1</v>
      </c>
      <c r="L522" t="s">
        <v>2945</v>
      </c>
      <c r="M522" s="19">
        <v>46262</v>
      </c>
      <c r="N522" t="s">
        <v>4105</v>
      </c>
      <c r="O522" t="s">
        <v>4106</v>
      </c>
    </row>
    <row r="523" spans="1:15" x14ac:dyDescent="0.3">
      <c r="A523" t="s">
        <v>4290</v>
      </c>
      <c r="B523" t="s">
        <v>4291</v>
      </c>
      <c r="C523" t="s">
        <v>4292</v>
      </c>
      <c r="D523" t="s">
        <v>4103</v>
      </c>
      <c r="E523" t="s">
        <v>4104</v>
      </c>
      <c r="F523" t="s">
        <v>1227</v>
      </c>
      <c r="G523" t="s">
        <v>1849</v>
      </c>
      <c r="H523">
        <v>10980</v>
      </c>
      <c r="I523">
        <v>10980</v>
      </c>
      <c r="J523" t="s">
        <v>3862</v>
      </c>
      <c r="K523">
        <v>1</v>
      </c>
      <c r="L523" t="s">
        <v>2945</v>
      </c>
      <c r="M523" s="19">
        <v>46262</v>
      </c>
      <c r="N523" t="s">
        <v>4105</v>
      </c>
      <c r="O523" t="s">
        <v>4106</v>
      </c>
    </row>
    <row r="524" spans="1:15" x14ac:dyDescent="0.3">
      <c r="A524" t="s">
        <v>4293</v>
      </c>
      <c r="B524" t="s">
        <v>4294</v>
      </c>
      <c r="C524" t="s">
        <v>4295</v>
      </c>
      <c r="D524" t="s">
        <v>4103</v>
      </c>
      <c r="E524" t="s">
        <v>4104</v>
      </c>
      <c r="F524" t="s">
        <v>1227</v>
      </c>
      <c r="G524" t="s">
        <v>1849</v>
      </c>
      <c r="H524">
        <v>6272</v>
      </c>
      <c r="I524">
        <v>6272</v>
      </c>
      <c r="J524" t="s">
        <v>3862</v>
      </c>
      <c r="K524">
        <v>1</v>
      </c>
      <c r="L524" t="s">
        <v>2945</v>
      </c>
      <c r="M524" s="19">
        <v>46262</v>
      </c>
      <c r="N524" t="s">
        <v>4105</v>
      </c>
      <c r="O524" t="s">
        <v>4106</v>
      </c>
    </row>
    <row r="525" spans="1:15" x14ac:dyDescent="0.3">
      <c r="A525" t="s">
        <v>4296</v>
      </c>
      <c r="B525" t="s">
        <v>4297</v>
      </c>
      <c r="C525" t="s">
        <v>4298</v>
      </c>
      <c r="D525" t="s">
        <v>4103</v>
      </c>
      <c r="E525" t="s">
        <v>4104</v>
      </c>
      <c r="F525" t="s">
        <v>1227</v>
      </c>
      <c r="G525" t="s">
        <v>1849</v>
      </c>
      <c r="H525">
        <v>7329</v>
      </c>
      <c r="I525">
        <v>7329</v>
      </c>
      <c r="J525" t="s">
        <v>3862</v>
      </c>
      <c r="K525">
        <v>1</v>
      </c>
      <c r="L525" t="s">
        <v>2945</v>
      </c>
      <c r="M525" s="19">
        <v>46262</v>
      </c>
      <c r="N525" t="s">
        <v>4105</v>
      </c>
      <c r="O525" t="s">
        <v>4106</v>
      </c>
    </row>
    <row r="526" spans="1:15" x14ac:dyDescent="0.3">
      <c r="A526" t="s">
        <v>4299</v>
      </c>
      <c r="B526" t="s">
        <v>4300</v>
      </c>
      <c r="C526" t="s">
        <v>4301</v>
      </c>
      <c r="D526" t="s">
        <v>4103</v>
      </c>
      <c r="E526" t="s">
        <v>4104</v>
      </c>
      <c r="F526" t="s">
        <v>1227</v>
      </c>
      <c r="G526" t="s">
        <v>1849</v>
      </c>
      <c r="H526">
        <v>8386</v>
      </c>
      <c r="I526">
        <v>8386</v>
      </c>
      <c r="J526" t="s">
        <v>3862</v>
      </c>
      <c r="K526">
        <v>1</v>
      </c>
      <c r="L526" t="s">
        <v>2945</v>
      </c>
      <c r="M526" s="19">
        <v>46262</v>
      </c>
      <c r="N526" t="s">
        <v>4105</v>
      </c>
      <c r="O526" t="s">
        <v>4106</v>
      </c>
    </row>
    <row r="527" spans="1:15" x14ac:dyDescent="0.3">
      <c r="A527" t="s">
        <v>4302</v>
      </c>
      <c r="B527" t="s">
        <v>4303</v>
      </c>
      <c r="C527" t="s">
        <v>4304</v>
      </c>
      <c r="D527" t="s">
        <v>4103</v>
      </c>
      <c r="E527" t="s">
        <v>4104</v>
      </c>
      <c r="F527" t="s">
        <v>1227</v>
      </c>
      <c r="G527" t="s">
        <v>1849</v>
      </c>
      <c r="H527">
        <v>9443</v>
      </c>
      <c r="I527">
        <v>9443</v>
      </c>
      <c r="J527" t="s">
        <v>3862</v>
      </c>
      <c r="K527">
        <v>1</v>
      </c>
      <c r="L527" t="s">
        <v>2945</v>
      </c>
      <c r="M527" s="19">
        <v>46262</v>
      </c>
      <c r="N527" t="s">
        <v>4105</v>
      </c>
      <c r="O527" t="s">
        <v>4106</v>
      </c>
    </row>
    <row r="528" spans="1:15" x14ac:dyDescent="0.3">
      <c r="A528" t="s">
        <v>4305</v>
      </c>
      <c r="B528" t="s">
        <v>4306</v>
      </c>
      <c r="C528" t="s">
        <v>4307</v>
      </c>
      <c r="D528" t="s">
        <v>4103</v>
      </c>
      <c r="E528" t="s">
        <v>4104</v>
      </c>
      <c r="F528" t="s">
        <v>1227</v>
      </c>
      <c r="G528" t="s">
        <v>1849</v>
      </c>
      <c r="H528">
        <v>10500</v>
      </c>
      <c r="I528">
        <v>10500</v>
      </c>
      <c r="J528" t="s">
        <v>3862</v>
      </c>
      <c r="K528">
        <v>1</v>
      </c>
      <c r="L528" t="s">
        <v>2945</v>
      </c>
      <c r="M528" s="19">
        <v>46262</v>
      </c>
      <c r="N528" t="s">
        <v>4105</v>
      </c>
      <c r="O528" t="s">
        <v>4106</v>
      </c>
    </row>
    <row r="529" spans="1:15" x14ac:dyDescent="0.3">
      <c r="A529" t="s">
        <v>4308</v>
      </c>
      <c r="B529" t="s">
        <v>4309</v>
      </c>
      <c r="C529" t="s">
        <v>4310</v>
      </c>
      <c r="D529" t="s">
        <v>4103</v>
      </c>
      <c r="E529" t="s">
        <v>4104</v>
      </c>
      <c r="F529" t="s">
        <v>1227</v>
      </c>
      <c r="G529" t="s">
        <v>1849</v>
      </c>
      <c r="H529">
        <v>11557</v>
      </c>
      <c r="I529">
        <v>11557</v>
      </c>
      <c r="J529" t="s">
        <v>3862</v>
      </c>
      <c r="K529">
        <v>1</v>
      </c>
      <c r="L529" t="s">
        <v>2945</v>
      </c>
      <c r="M529" s="19">
        <v>46262</v>
      </c>
      <c r="N529" t="s">
        <v>4105</v>
      </c>
      <c r="O529" t="s">
        <v>4106</v>
      </c>
    </row>
    <row r="530" spans="1:15" x14ac:dyDescent="0.3">
      <c r="A530" t="s">
        <v>4311</v>
      </c>
      <c r="B530" t="s">
        <v>4312</v>
      </c>
      <c r="C530" t="s">
        <v>4313</v>
      </c>
      <c r="D530" t="s">
        <v>4103</v>
      </c>
      <c r="E530" t="s">
        <v>4104</v>
      </c>
      <c r="F530" t="s">
        <v>1227</v>
      </c>
      <c r="G530" t="s">
        <v>1849</v>
      </c>
      <c r="H530">
        <v>12614</v>
      </c>
      <c r="I530">
        <v>12614</v>
      </c>
      <c r="J530" t="s">
        <v>3862</v>
      </c>
      <c r="K530">
        <v>1</v>
      </c>
      <c r="L530" t="s">
        <v>2945</v>
      </c>
      <c r="M530" s="19">
        <v>46262</v>
      </c>
      <c r="N530" t="s">
        <v>4105</v>
      </c>
      <c r="O530" t="s">
        <v>4106</v>
      </c>
    </row>
    <row r="531" spans="1:15" x14ac:dyDescent="0.3">
      <c r="A531" t="s">
        <v>4314</v>
      </c>
      <c r="B531" t="s">
        <v>4315</v>
      </c>
      <c r="C531" t="s">
        <v>4316</v>
      </c>
      <c r="D531" t="s">
        <v>4103</v>
      </c>
      <c r="E531" t="s">
        <v>4104</v>
      </c>
      <c r="F531" t="s">
        <v>1227</v>
      </c>
      <c r="G531" t="s">
        <v>1849</v>
      </c>
      <c r="H531">
        <v>13671</v>
      </c>
      <c r="I531">
        <v>13671</v>
      </c>
      <c r="J531" t="s">
        <v>3862</v>
      </c>
      <c r="K531">
        <v>1</v>
      </c>
      <c r="L531" t="s">
        <v>2945</v>
      </c>
      <c r="M531" s="19">
        <v>46262</v>
      </c>
      <c r="N531" t="s">
        <v>4105</v>
      </c>
      <c r="O531" t="s">
        <v>4106</v>
      </c>
    </row>
    <row r="532" spans="1:15" x14ac:dyDescent="0.3">
      <c r="A532" t="s">
        <v>4317</v>
      </c>
      <c r="B532" t="s">
        <v>4318</v>
      </c>
      <c r="C532" t="s">
        <v>4319</v>
      </c>
      <c r="D532" t="s">
        <v>4103</v>
      </c>
      <c r="E532" t="s">
        <v>4104</v>
      </c>
      <c r="F532" t="s">
        <v>1227</v>
      </c>
      <c r="G532" t="s">
        <v>1849</v>
      </c>
      <c r="H532">
        <v>14728</v>
      </c>
      <c r="I532">
        <v>14728</v>
      </c>
      <c r="J532" t="s">
        <v>3862</v>
      </c>
      <c r="K532">
        <v>1</v>
      </c>
      <c r="L532" t="s">
        <v>2945</v>
      </c>
      <c r="M532" s="19">
        <v>46262</v>
      </c>
      <c r="N532" t="s">
        <v>4105</v>
      </c>
      <c r="O532" t="s">
        <v>4106</v>
      </c>
    </row>
    <row r="533" spans="1:15" x14ac:dyDescent="0.3">
      <c r="A533" t="s">
        <v>4320</v>
      </c>
      <c r="B533" t="s">
        <v>4321</v>
      </c>
      <c r="C533" t="s">
        <v>4322</v>
      </c>
      <c r="D533" t="s">
        <v>4103</v>
      </c>
      <c r="E533" t="s">
        <v>4104</v>
      </c>
      <c r="F533" t="s">
        <v>1227</v>
      </c>
      <c r="G533" t="s">
        <v>1849</v>
      </c>
      <c r="H533">
        <v>15785</v>
      </c>
      <c r="I533">
        <v>15785</v>
      </c>
      <c r="J533" t="s">
        <v>3862</v>
      </c>
      <c r="K533">
        <v>1</v>
      </c>
      <c r="L533" t="s">
        <v>2945</v>
      </c>
      <c r="M533" s="19">
        <v>46262</v>
      </c>
      <c r="N533" t="s">
        <v>4105</v>
      </c>
      <c r="O533" t="s">
        <v>4106</v>
      </c>
    </row>
    <row r="534" spans="1:15" x14ac:dyDescent="0.3">
      <c r="A534" t="s">
        <v>4323</v>
      </c>
      <c r="B534" t="s">
        <v>4324</v>
      </c>
      <c r="C534" t="s">
        <v>4325</v>
      </c>
      <c r="D534" t="s">
        <v>4103</v>
      </c>
      <c r="E534" t="s">
        <v>4104</v>
      </c>
      <c r="F534" t="s">
        <v>1227</v>
      </c>
      <c r="G534" t="s">
        <v>1849</v>
      </c>
      <c r="H534">
        <v>16842</v>
      </c>
      <c r="I534">
        <v>16842</v>
      </c>
      <c r="J534" t="s">
        <v>3862</v>
      </c>
      <c r="K534">
        <v>1</v>
      </c>
      <c r="L534" t="s">
        <v>2945</v>
      </c>
      <c r="M534" s="19">
        <v>46262</v>
      </c>
      <c r="N534" t="s">
        <v>4105</v>
      </c>
      <c r="O534" t="s">
        <v>4106</v>
      </c>
    </row>
    <row r="535" spans="1:15" x14ac:dyDescent="0.3">
      <c r="A535" t="s">
        <v>4326</v>
      </c>
      <c r="B535" t="s">
        <v>4327</v>
      </c>
      <c r="C535" t="s">
        <v>4328</v>
      </c>
      <c r="D535" t="s">
        <v>4103</v>
      </c>
      <c r="E535" t="s">
        <v>4104</v>
      </c>
      <c r="F535" t="s">
        <v>1227</v>
      </c>
      <c r="G535" t="s">
        <v>1849</v>
      </c>
      <c r="H535">
        <v>6356</v>
      </c>
      <c r="I535">
        <v>6356</v>
      </c>
      <c r="J535" t="s">
        <v>3862</v>
      </c>
      <c r="K535">
        <v>1</v>
      </c>
      <c r="L535" t="s">
        <v>2945</v>
      </c>
      <c r="M535" s="19">
        <v>46262</v>
      </c>
      <c r="N535" t="s">
        <v>4105</v>
      </c>
      <c r="O535" t="s">
        <v>4106</v>
      </c>
    </row>
    <row r="536" spans="1:15" x14ac:dyDescent="0.3">
      <c r="A536" t="s">
        <v>4329</v>
      </c>
      <c r="B536" t="s">
        <v>4330</v>
      </c>
      <c r="C536" t="s">
        <v>4331</v>
      </c>
      <c r="D536" t="s">
        <v>4103</v>
      </c>
      <c r="E536" t="s">
        <v>4104</v>
      </c>
      <c r="F536" t="s">
        <v>1227</v>
      </c>
      <c r="G536" t="s">
        <v>1849</v>
      </c>
      <c r="H536">
        <v>7434</v>
      </c>
      <c r="I536">
        <v>7434</v>
      </c>
      <c r="J536" t="s">
        <v>3862</v>
      </c>
      <c r="K536">
        <v>1</v>
      </c>
      <c r="L536" t="s">
        <v>2945</v>
      </c>
      <c r="M536" s="19">
        <v>46262</v>
      </c>
      <c r="N536" t="s">
        <v>4105</v>
      </c>
      <c r="O536" t="s">
        <v>4106</v>
      </c>
    </row>
    <row r="537" spans="1:15" x14ac:dyDescent="0.3">
      <c r="A537" t="s">
        <v>4332</v>
      </c>
      <c r="B537" t="s">
        <v>4333</v>
      </c>
      <c r="C537" t="s">
        <v>4334</v>
      </c>
      <c r="D537" t="s">
        <v>4103</v>
      </c>
      <c r="E537" t="s">
        <v>4104</v>
      </c>
      <c r="F537" t="s">
        <v>1227</v>
      </c>
      <c r="G537" t="s">
        <v>1849</v>
      </c>
      <c r="H537">
        <v>8512</v>
      </c>
      <c r="I537">
        <v>8512</v>
      </c>
      <c r="J537" t="s">
        <v>3862</v>
      </c>
      <c r="K537">
        <v>1</v>
      </c>
      <c r="L537" t="s">
        <v>2945</v>
      </c>
      <c r="M537" s="19">
        <v>46262</v>
      </c>
      <c r="N537" t="s">
        <v>4105</v>
      </c>
      <c r="O537" t="s">
        <v>4106</v>
      </c>
    </row>
    <row r="538" spans="1:15" x14ac:dyDescent="0.3">
      <c r="A538" t="s">
        <v>4335</v>
      </c>
      <c r="B538" t="s">
        <v>4336</v>
      </c>
      <c r="C538" t="s">
        <v>4337</v>
      </c>
      <c r="D538" t="s">
        <v>4103</v>
      </c>
      <c r="E538" t="s">
        <v>4104</v>
      </c>
      <c r="F538" t="s">
        <v>1227</v>
      </c>
      <c r="G538" t="s">
        <v>1849</v>
      </c>
      <c r="H538">
        <v>9590</v>
      </c>
      <c r="I538">
        <v>9590</v>
      </c>
      <c r="J538" t="s">
        <v>3862</v>
      </c>
      <c r="K538">
        <v>1</v>
      </c>
      <c r="L538" t="s">
        <v>2945</v>
      </c>
      <c r="M538" s="19">
        <v>46262</v>
      </c>
      <c r="N538" t="s">
        <v>4105</v>
      </c>
      <c r="O538" t="s">
        <v>4106</v>
      </c>
    </row>
    <row r="539" spans="1:15" x14ac:dyDescent="0.3">
      <c r="A539" t="s">
        <v>4338</v>
      </c>
      <c r="B539" t="s">
        <v>4339</v>
      </c>
      <c r="C539" t="s">
        <v>4340</v>
      </c>
      <c r="D539" t="s">
        <v>4103</v>
      </c>
      <c r="E539" t="s">
        <v>4104</v>
      </c>
      <c r="F539" t="s">
        <v>1227</v>
      </c>
      <c r="G539" t="s">
        <v>1849</v>
      </c>
      <c r="H539">
        <v>10668</v>
      </c>
      <c r="I539">
        <v>10668</v>
      </c>
      <c r="J539" t="s">
        <v>3862</v>
      </c>
      <c r="K539">
        <v>1</v>
      </c>
      <c r="L539" t="s">
        <v>2945</v>
      </c>
      <c r="M539" s="19">
        <v>46262</v>
      </c>
      <c r="N539" t="s">
        <v>4105</v>
      </c>
      <c r="O539" t="s">
        <v>4106</v>
      </c>
    </row>
    <row r="540" spans="1:15" x14ac:dyDescent="0.3">
      <c r="A540" t="s">
        <v>4341</v>
      </c>
      <c r="B540" t="s">
        <v>4342</v>
      </c>
      <c r="C540" t="s">
        <v>4343</v>
      </c>
      <c r="D540" t="s">
        <v>4103</v>
      </c>
      <c r="E540" t="s">
        <v>4104</v>
      </c>
      <c r="F540" t="s">
        <v>1227</v>
      </c>
      <c r="G540" t="s">
        <v>1849</v>
      </c>
      <c r="H540">
        <v>11746</v>
      </c>
      <c r="I540">
        <v>11746</v>
      </c>
      <c r="J540" t="s">
        <v>3862</v>
      </c>
      <c r="K540">
        <v>1</v>
      </c>
      <c r="L540" t="s">
        <v>2945</v>
      </c>
      <c r="M540" s="19">
        <v>46262</v>
      </c>
      <c r="N540" t="s">
        <v>4105</v>
      </c>
      <c r="O540" t="s">
        <v>4106</v>
      </c>
    </row>
    <row r="541" spans="1:15" x14ac:dyDescent="0.3">
      <c r="A541" t="s">
        <v>4344</v>
      </c>
      <c r="B541" t="s">
        <v>4345</v>
      </c>
      <c r="C541" t="s">
        <v>4346</v>
      </c>
      <c r="D541" t="s">
        <v>4103</v>
      </c>
      <c r="E541" t="s">
        <v>4104</v>
      </c>
      <c r="F541" t="s">
        <v>1227</v>
      </c>
      <c r="G541" t="s">
        <v>1849</v>
      </c>
      <c r="H541">
        <v>12824</v>
      </c>
      <c r="I541">
        <v>12824</v>
      </c>
      <c r="J541" t="s">
        <v>3862</v>
      </c>
      <c r="K541">
        <v>1</v>
      </c>
      <c r="L541" t="s">
        <v>2945</v>
      </c>
      <c r="M541" s="19">
        <v>46262</v>
      </c>
      <c r="N541" t="s">
        <v>4105</v>
      </c>
      <c r="O541" t="s">
        <v>4106</v>
      </c>
    </row>
    <row r="542" spans="1:15" x14ac:dyDescent="0.3">
      <c r="A542" t="s">
        <v>4347</v>
      </c>
      <c r="B542" t="s">
        <v>4348</v>
      </c>
      <c r="C542" t="s">
        <v>4349</v>
      </c>
      <c r="D542" t="s">
        <v>4103</v>
      </c>
      <c r="E542" t="s">
        <v>4104</v>
      </c>
      <c r="F542" t="s">
        <v>1227</v>
      </c>
      <c r="G542" t="s">
        <v>1849</v>
      </c>
      <c r="H542">
        <v>13902</v>
      </c>
      <c r="I542">
        <v>13902</v>
      </c>
      <c r="J542" t="s">
        <v>3862</v>
      </c>
      <c r="K542">
        <v>1</v>
      </c>
      <c r="L542" t="s">
        <v>2945</v>
      </c>
      <c r="M542" s="19">
        <v>46262</v>
      </c>
      <c r="N542" t="s">
        <v>4105</v>
      </c>
      <c r="O542" t="s">
        <v>4106</v>
      </c>
    </row>
    <row r="543" spans="1:15" x14ac:dyDescent="0.3">
      <c r="A543" t="s">
        <v>4350</v>
      </c>
      <c r="B543" t="s">
        <v>4351</v>
      </c>
      <c r="C543" t="s">
        <v>4352</v>
      </c>
      <c r="D543" t="s">
        <v>4103</v>
      </c>
      <c r="E543" t="s">
        <v>4104</v>
      </c>
      <c r="F543" t="s">
        <v>1227</v>
      </c>
      <c r="G543" t="s">
        <v>1849</v>
      </c>
      <c r="H543">
        <v>14980</v>
      </c>
      <c r="I543">
        <v>14980</v>
      </c>
      <c r="J543" t="s">
        <v>3862</v>
      </c>
      <c r="K543">
        <v>1</v>
      </c>
      <c r="L543" t="s">
        <v>2945</v>
      </c>
      <c r="M543" s="19">
        <v>46262</v>
      </c>
      <c r="N543" t="s">
        <v>4105</v>
      </c>
      <c r="O543" t="s">
        <v>4106</v>
      </c>
    </row>
    <row r="544" spans="1:15" x14ac:dyDescent="0.3">
      <c r="A544" t="s">
        <v>4353</v>
      </c>
      <c r="B544" t="s">
        <v>4354</v>
      </c>
      <c r="C544" t="s">
        <v>4355</v>
      </c>
      <c r="D544" t="s">
        <v>4103</v>
      </c>
      <c r="E544" t="s">
        <v>4104</v>
      </c>
      <c r="F544" t="s">
        <v>1227</v>
      </c>
      <c r="G544" t="s">
        <v>1849</v>
      </c>
      <c r="H544">
        <v>16058</v>
      </c>
      <c r="I544">
        <v>16058</v>
      </c>
      <c r="J544" t="s">
        <v>3862</v>
      </c>
      <c r="K544">
        <v>1</v>
      </c>
      <c r="L544" t="s">
        <v>2945</v>
      </c>
      <c r="M544" s="19">
        <v>46262</v>
      </c>
      <c r="N544" t="s">
        <v>4105</v>
      </c>
      <c r="O544" t="s">
        <v>4106</v>
      </c>
    </row>
    <row r="545" spans="1:15" x14ac:dyDescent="0.3">
      <c r="A545" t="s">
        <v>4356</v>
      </c>
      <c r="B545" t="s">
        <v>4357</v>
      </c>
      <c r="C545" t="s">
        <v>4358</v>
      </c>
      <c r="D545" t="s">
        <v>4103</v>
      </c>
      <c r="E545" t="s">
        <v>4104</v>
      </c>
      <c r="F545" t="s">
        <v>1227</v>
      </c>
      <c r="G545" t="s">
        <v>1849</v>
      </c>
      <c r="H545">
        <v>17136</v>
      </c>
      <c r="I545">
        <v>17136</v>
      </c>
      <c r="J545" t="s">
        <v>3862</v>
      </c>
      <c r="K545">
        <v>1</v>
      </c>
      <c r="L545" t="s">
        <v>2945</v>
      </c>
      <c r="M545" s="19">
        <v>46262</v>
      </c>
      <c r="N545" t="s">
        <v>4105</v>
      </c>
      <c r="O545" t="s">
        <v>4106</v>
      </c>
    </row>
    <row r="546" spans="1:15" x14ac:dyDescent="0.3">
      <c r="A546" t="s">
        <v>4359</v>
      </c>
      <c r="B546" t="s">
        <v>4360</v>
      </c>
      <c r="C546" t="s">
        <v>4361</v>
      </c>
      <c r="D546" t="s">
        <v>4103</v>
      </c>
      <c r="E546" t="s">
        <v>4104</v>
      </c>
      <c r="F546" t="s">
        <v>1227</v>
      </c>
      <c r="G546" t="s">
        <v>1849</v>
      </c>
      <c r="H546">
        <v>6436</v>
      </c>
      <c r="I546">
        <v>6436</v>
      </c>
      <c r="J546" t="s">
        <v>3862</v>
      </c>
      <c r="K546">
        <v>1</v>
      </c>
      <c r="L546" t="s">
        <v>2945</v>
      </c>
      <c r="M546" s="19">
        <v>46262</v>
      </c>
      <c r="N546" t="s">
        <v>4105</v>
      </c>
      <c r="O546" t="s">
        <v>4106</v>
      </c>
    </row>
    <row r="547" spans="1:15" x14ac:dyDescent="0.3">
      <c r="A547" t="s">
        <v>4362</v>
      </c>
      <c r="B547" t="s">
        <v>4363</v>
      </c>
      <c r="C547" t="s">
        <v>4364</v>
      </c>
      <c r="D547" t="s">
        <v>4103</v>
      </c>
      <c r="E547" t="s">
        <v>4104</v>
      </c>
      <c r="F547" t="s">
        <v>1227</v>
      </c>
      <c r="G547" t="s">
        <v>1849</v>
      </c>
      <c r="H547">
        <v>7534</v>
      </c>
      <c r="I547">
        <v>7534</v>
      </c>
      <c r="J547" t="s">
        <v>3862</v>
      </c>
      <c r="K547">
        <v>1</v>
      </c>
      <c r="L547" t="s">
        <v>2945</v>
      </c>
      <c r="M547" s="19">
        <v>46262</v>
      </c>
      <c r="N547" t="s">
        <v>4105</v>
      </c>
      <c r="O547" t="s">
        <v>4106</v>
      </c>
    </row>
    <row r="548" spans="1:15" x14ac:dyDescent="0.3">
      <c r="A548" t="s">
        <v>4365</v>
      </c>
      <c r="B548" t="s">
        <v>4366</v>
      </c>
      <c r="C548" t="s">
        <v>4367</v>
      </c>
      <c r="D548" t="s">
        <v>4103</v>
      </c>
      <c r="E548" t="s">
        <v>4104</v>
      </c>
      <c r="F548" t="s">
        <v>1227</v>
      </c>
      <c r="G548" t="s">
        <v>1849</v>
      </c>
      <c r="H548">
        <v>8632</v>
      </c>
      <c r="I548">
        <v>8632</v>
      </c>
      <c r="J548" t="s">
        <v>3862</v>
      </c>
      <c r="K548">
        <v>1</v>
      </c>
      <c r="L548" t="s">
        <v>2945</v>
      </c>
      <c r="M548" s="19">
        <v>46262</v>
      </c>
      <c r="N548" t="s">
        <v>4105</v>
      </c>
      <c r="O548" t="s">
        <v>4106</v>
      </c>
    </row>
    <row r="549" spans="1:15" x14ac:dyDescent="0.3">
      <c r="A549" t="s">
        <v>4368</v>
      </c>
      <c r="B549" t="s">
        <v>4369</v>
      </c>
      <c r="C549" t="s">
        <v>4370</v>
      </c>
      <c r="D549" t="s">
        <v>4103</v>
      </c>
      <c r="E549" t="s">
        <v>4104</v>
      </c>
      <c r="F549" t="s">
        <v>1227</v>
      </c>
      <c r="G549" t="s">
        <v>1849</v>
      </c>
      <c r="H549">
        <v>9730</v>
      </c>
      <c r="I549">
        <v>9730</v>
      </c>
      <c r="J549" t="s">
        <v>3862</v>
      </c>
      <c r="K549">
        <v>1</v>
      </c>
      <c r="L549" t="s">
        <v>2945</v>
      </c>
      <c r="M549" s="19">
        <v>46262</v>
      </c>
      <c r="N549" t="s">
        <v>4105</v>
      </c>
      <c r="O549" t="s">
        <v>4106</v>
      </c>
    </row>
    <row r="550" spans="1:15" x14ac:dyDescent="0.3">
      <c r="A550" t="s">
        <v>4371</v>
      </c>
      <c r="B550" t="s">
        <v>4372</v>
      </c>
      <c r="C550" t="s">
        <v>4373</v>
      </c>
      <c r="D550" t="s">
        <v>4103</v>
      </c>
      <c r="E550" t="s">
        <v>4104</v>
      </c>
      <c r="F550" t="s">
        <v>1227</v>
      </c>
      <c r="G550" t="s">
        <v>1849</v>
      </c>
      <c r="H550">
        <v>10828</v>
      </c>
      <c r="I550">
        <v>10828</v>
      </c>
      <c r="J550" t="s">
        <v>3862</v>
      </c>
      <c r="K550">
        <v>1</v>
      </c>
      <c r="L550" t="s">
        <v>2945</v>
      </c>
      <c r="M550" s="19">
        <v>46262</v>
      </c>
      <c r="N550" t="s">
        <v>4105</v>
      </c>
      <c r="O550" t="s">
        <v>4106</v>
      </c>
    </row>
    <row r="551" spans="1:15" x14ac:dyDescent="0.3">
      <c r="A551" t="s">
        <v>4374</v>
      </c>
      <c r="B551" t="s">
        <v>4375</v>
      </c>
      <c r="C551" t="s">
        <v>4376</v>
      </c>
      <c r="D551" t="s">
        <v>4103</v>
      </c>
      <c r="E551" t="s">
        <v>4104</v>
      </c>
      <c r="F551" t="s">
        <v>1227</v>
      </c>
      <c r="G551" t="s">
        <v>1849</v>
      </c>
      <c r="H551">
        <v>11926</v>
      </c>
      <c r="I551">
        <v>11926</v>
      </c>
      <c r="J551" t="s">
        <v>3862</v>
      </c>
      <c r="K551">
        <v>1</v>
      </c>
      <c r="L551" t="s">
        <v>2945</v>
      </c>
      <c r="M551" s="19">
        <v>46262</v>
      </c>
      <c r="N551" t="s">
        <v>4105</v>
      </c>
      <c r="O551" t="s">
        <v>4106</v>
      </c>
    </row>
    <row r="552" spans="1:15" x14ac:dyDescent="0.3">
      <c r="A552" t="s">
        <v>4377</v>
      </c>
      <c r="B552" t="s">
        <v>4378</v>
      </c>
      <c r="C552" t="s">
        <v>4379</v>
      </c>
      <c r="D552" t="s">
        <v>4103</v>
      </c>
      <c r="E552" t="s">
        <v>4104</v>
      </c>
      <c r="F552" t="s">
        <v>1227</v>
      </c>
      <c r="G552" t="s">
        <v>1849</v>
      </c>
      <c r="H552">
        <v>13024</v>
      </c>
      <c r="I552">
        <v>13024</v>
      </c>
      <c r="J552" t="s">
        <v>3862</v>
      </c>
      <c r="K552">
        <v>1</v>
      </c>
      <c r="L552" t="s">
        <v>2945</v>
      </c>
      <c r="M552" s="19">
        <v>46262</v>
      </c>
      <c r="N552" t="s">
        <v>4105</v>
      </c>
      <c r="O552" t="s">
        <v>4106</v>
      </c>
    </row>
    <row r="553" spans="1:15" x14ac:dyDescent="0.3">
      <c r="A553" t="s">
        <v>4380</v>
      </c>
      <c r="B553" t="s">
        <v>4381</v>
      </c>
      <c r="C553" t="s">
        <v>4382</v>
      </c>
      <c r="D553" t="s">
        <v>4103</v>
      </c>
      <c r="E553" t="s">
        <v>4104</v>
      </c>
      <c r="F553" t="s">
        <v>1227</v>
      </c>
      <c r="G553" t="s">
        <v>1849</v>
      </c>
      <c r="H553">
        <v>14122</v>
      </c>
      <c r="I553">
        <v>14122</v>
      </c>
      <c r="J553" t="s">
        <v>3862</v>
      </c>
      <c r="K553">
        <v>1</v>
      </c>
      <c r="L553" t="s">
        <v>2945</v>
      </c>
      <c r="M553" s="19">
        <v>46262</v>
      </c>
      <c r="N553" t="s">
        <v>4105</v>
      </c>
      <c r="O553" t="s">
        <v>4106</v>
      </c>
    </row>
    <row r="554" spans="1:15" x14ac:dyDescent="0.3">
      <c r="A554" t="s">
        <v>4383</v>
      </c>
      <c r="B554" t="s">
        <v>4384</v>
      </c>
      <c r="C554" t="s">
        <v>4385</v>
      </c>
      <c r="D554" t="s">
        <v>4103</v>
      </c>
      <c r="E554" t="s">
        <v>4104</v>
      </c>
      <c r="F554" t="s">
        <v>1227</v>
      </c>
      <c r="G554" t="s">
        <v>1849</v>
      </c>
      <c r="H554">
        <v>15220</v>
      </c>
      <c r="I554">
        <v>15220</v>
      </c>
      <c r="J554" t="s">
        <v>3862</v>
      </c>
      <c r="K554">
        <v>1</v>
      </c>
      <c r="L554" t="s">
        <v>2945</v>
      </c>
      <c r="M554" s="19">
        <v>46262</v>
      </c>
      <c r="N554" t="s">
        <v>4105</v>
      </c>
      <c r="O554" t="s">
        <v>4106</v>
      </c>
    </row>
    <row r="555" spans="1:15" x14ac:dyDescent="0.3">
      <c r="A555" t="s">
        <v>4386</v>
      </c>
      <c r="B555" t="s">
        <v>4387</v>
      </c>
      <c r="C555" t="s">
        <v>4388</v>
      </c>
      <c r="D555" t="s">
        <v>4103</v>
      </c>
      <c r="E555" t="s">
        <v>4104</v>
      </c>
      <c r="F555" t="s">
        <v>1227</v>
      </c>
      <c r="G555" t="s">
        <v>1849</v>
      </c>
      <c r="H555">
        <v>16318</v>
      </c>
      <c r="I555">
        <v>16318</v>
      </c>
      <c r="J555" t="s">
        <v>3862</v>
      </c>
      <c r="K555">
        <v>1</v>
      </c>
      <c r="L555" t="s">
        <v>2945</v>
      </c>
      <c r="M555" s="19">
        <v>46262</v>
      </c>
      <c r="N555" t="s">
        <v>4105</v>
      </c>
      <c r="O555" t="s">
        <v>4106</v>
      </c>
    </row>
    <row r="556" spans="1:15" x14ac:dyDescent="0.3">
      <c r="A556" t="s">
        <v>4389</v>
      </c>
      <c r="B556" t="s">
        <v>4390</v>
      </c>
      <c r="C556" t="s">
        <v>4391</v>
      </c>
      <c r="D556" t="s">
        <v>4103</v>
      </c>
      <c r="E556" t="s">
        <v>4104</v>
      </c>
      <c r="F556" t="s">
        <v>1227</v>
      </c>
      <c r="G556" t="s">
        <v>1849</v>
      </c>
      <c r="H556">
        <v>17416</v>
      </c>
      <c r="I556">
        <v>17416</v>
      </c>
      <c r="J556" t="s">
        <v>3862</v>
      </c>
      <c r="K556">
        <v>1</v>
      </c>
      <c r="L556" t="s">
        <v>2945</v>
      </c>
      <c r="M556" s="19">
        <v>46262</v>
      </c>
      <c r="N556" t="s">
        <v>4105</v>
      </c>
      <c r="O556" t="s">
        <v>4106</v>
      </c>
    </row>
    <row r="557" spans="1:15" x14ac:dyDescent="0.3">
      <c r="A557" t="s">
        <v>4392</v>
      </c>
      <c r="B557" t="s">
        <v>4393</v>
      </c>
      <c r="C557" t="s">
        <v>4394</v>
      </c>
      <c r="D557" t="s">
        <v>4103</v>
      </c>
      <c r="E557" t="s">
        <v>4104</v>
      </c>
      <c r="F557" t="s">
        <v>1227</v>
      </c>
      <c r="G557" t="s">
        <v>1849</v>
      </c>
      <c r="H557">
        <v>13420</v>
      </c>
      <c r="I557">
        <v>13420</v>
      </c>
      <c r="J557" t="s">
        <v>3862</v>
      </c>
      <c r="K557">
        <v>1</v>
      </c>
      <c r="L557" t="s">
        <v>2945</v>
      </c>
      <c r="M557" s="19">
        <v>46262</v>
      </c>
      <c r="N557" t="s">
        <v>4105</v>
      </c>
      <c r="O557" t="s">
        <v>4106</v>
      </c>
    </row>
    <row r="558" spans="1:15" x14ac:dyDescent="0.3">
      <c r="A558" t="s">
        <v>4395</v>
      </c>
      <c r="B558" t="s">
        <v>4396</v>
      </c>
      <c r="C558" t="s">
        <v>4397</v>
      </c>
      <c r="D558" t="s">
        <v>4103</v>
      </c>
      <c r="E558" t="s">
        <v>4104</v>
      </c>
      <c r="F558" t="s">
        <v>1227</v>
      </c>
      <c r="G558" t="s">
        <v>1849</v>
      </c>
      <c r="H558">
        <v>13620</v>
      </c>
      <c r="I558">
        <v>13620</v>
      </c>
      <c r="J558" t="s">
        <v>3862</v>
      </c>
      <c r="K558">
        <v>1</v>
      </c>
      <c r="L558" t="s">
        <v>2945</v>
      </c>
      <c r="M558" s="19">
        <v>46262</v>
      </c>
      <c r="N558" t="s">
        <v>4105</v>
      </c>
      <c r="O558" t="s">
        <v>4106</v>
      </c>
    </row>
    <row r="559" spans="1:15" x14ac:dyDescent="0.3">
      <c r="A559" t="s">
        <v>4398</v>
      </c>
      <c r="B559" t="s">
        <v>4399</v>
      </c>
      <c r="C559" t="s">
        <v>4400</v>
      </c>
      <c r="D559" t="s">
        <v>4103</v>
      </c>
      <c r="E559" t="s">
        <v>4104</v>
      </c>
      <c r="F559" t="s">
        <v>1227</v>
      </c>
      <c r="G559" t="s">
        <v>1849</v>
      </c>
      <c r="H559">
        <v>22370</v>
      </c>
      <c r="I559">
        <v>22370</v>
      </c>
      <c r="J559" t="s">
        <v>3862</v>
      </c>
      <c r="K559">
        <v>1</v>
      </c>
      <c r="L559" t="s">
        <v>2945</v>
      </c>
      <c r="M559" s="19">
        <v>46262</v>
      </c>
      <c r="N559" t="s">
        <v>4105</v>
      </c>
      <c r="O559" t="s">
        <v>4106</v>
      </c>
    </row>
    <row r="560" spans="1:15" x14ac:dyDescent="0.3">
      <c r="A560" t="s">
        <v>4401</v>
      </c>
      <c r="B560" t="s">
        <v>4402</v>
      </c>
      <c r="C560" t="s">
        <v>4403</v>
      </c>
      <c r="D560" t="s">
        <v>4103</v>
      </c>
      <c r="E560" t="s">
        <v>4104</v>
      </c>
      <c r="F560" t="s">
        <v>1227</v>
      </c>
      <c r="G560" t="s">
        <v>1849</v>
      </c>
      <c r="H560">
        <v>7412</v>
      </c>
      <c r="I560">
        <v>7412</v>
      </c>
      <c r="J560" t="s">
        <v>3862</v>
      </c>
      <c r="K560">
        <v>1</v>
      </c>
      <c r="L560" t="s">
        <v>2945</v>
      </c>
      <c r="M560" s="19">
        <v>46262</v>
      </c>
      <c r="N560" t="s">
        <v>4105</v>
      </c>
      <c r="O560" t="s">
        <v>4106</v>
      </c>
    </row>
    <row r="561" spans="1:15" x14ac:dyDescent="0.3">
      <c r="A561" t="s">
        <v>4404</v>
      </c>
      <c r="B561" t="s">
        <v>4405</v>
      </c>
      <c r="C561" t="s">
        <v>4406</v>
      </c>
      <c r="D561" t="s">
        <v>4103</v>
      </c>
      <c r="E561" t="s">
        <v>4104</v>
      </c>
      <c r="F561" t="s">
        <v>1227</v>
      </c>
      <c r="G561" t="s">
        <v>1849</v>
      </c>
      <c r="H561">
        <v>8754</v>
      </c>
      <c r="I561">
        <v>8754</v>
      </c>
      <c r="J561" t="s">
        <v>3862</v>
      </c>
      <c r="K561">
        <v>1</v>
      </c>
      <c r="L561" t="s">
        <v>2945</v>
      </c>
      <c r="M561" s="19">
        <v>46262</v>
      </c>
      <c r="N561" t="s">
        <v>4105</v>
      </c>
      <c r="O561" t="s">
        <v>4106</v>
      </c>
    </row>
    <row r="562" spans="1:15" x14ac:dyDescent="0.3">
      <c r="A562" t="s">
        <v>4407</v>
      </c>
      <c r="B562" t="s">
        <v>4408</v>
      </c>
      <c r="C562" t="s">
        <v>4409</v>
      </c>
      <c r="D562" t="s">
        <v>4103</v>
      </c>
      <c r="E562" t="s">
        <v>4104</v>
      </c>
      <c r="F562" t="s">
        <v>1227</v>
      </c>
      <c r="G562" t="s">
        <v>1849</v>
      </c>
      <c r="H562">
        <v>10096</v>
      </c>
      <c r="I562">
        <v>10096</v>
      </c>
      <c r="J562" t="s">
        <v>3862</v>
      </c>
      <c r="K562">
        <v>1</v>
      </c>
      <c r="L562" t="s">
        <v>2945</v>
      </c>
      <c r="M562" s="19">
        <v>46262</v>
      </c>
      <c r="N562" t="s">
        <v>4105</v>
      </c>
      <c r="O562" t="s">
        <v>4106</v>
      </c>
    </row>
    <row r="563" spans="1:15" x14ac:dyDescent="0.3">
      <c r="A563" t="s">
        <v>4410</v>
      </c>
      <c r="B563" t="s">
        <v>4411</v>
      </c>
      <c r="C563" t="s">
        <v>4412</v>
      </c>
      <c r="D563" t="s">
        <v>4103</v>
      </c>
      <c r="E563" t="s">
        <v>4104</v>
      </c>
      <c r="F563" t="s">
        <v>1227</v>
      </c>
      <c r="G563" t="s">
        <v>1849</v>
      </c>
      <c r="H563">
        <v>11438</v>
      </c>
      <c r="I563">
        <v>11438</v>
      </c>
      <c r="J563" t="s">
        <v>3862</v>
      </c>
      <c r="K563">
        <v>1</v>
      </c>
      <c r="L563" t="s">
        <v>2945</v>
      </c>
      <c r="M563" s="19">
        <v>46262</v>
      </c>
      <c r="N563" t="s">
        <v>4105</v>
      </c>
      <c r="O563" t="s">
        <v>4106</v>
      </c>
    </row>
    <row r="564" spans="1:15" x14ac:dyDescent="0.3">
      <c r="A564" t="s">
        <v>4413</v>
      </c>
      <c r="B564" t="s">
        <v>4414</v>
      </c>
      <c r="C564" t="s">
        <v>4415</v>
      </c>
      <c r="D564" t="s">
        <v>4103</v>
      </c>
      <c r="E564" t="s">
        <v>4104</v>
      </c>
      <c r="F564" t="s">
        <v>1227</v>
      </c>
      <c r="G564" t="s">
        <v>1849</v>
      </c>
      <c r="H564">
        <v>12780</v>
      </c>
      <c r="I564">
        <v>12780</v>
      </c>
      <c r="J564" t="s">
        <v>3862</v>
      </c>
      <c r="K564">
        <v>1</v>
      </c>
      <c r="L564" t="s">
        <v>2945</v>
      </c>
      <c r="M564" s="19">
        <v>46262</v>
      </c>
      <c r="N564" t="s">
        <v>4105</v>
      </c>
      <c r="O564" t="s">
        <v>4106</v>
      </c>
    </row>
    <row r="565" spans="1:15" x14ac:dyDescent="0.3">
      <c r="A565" t="s">
        <v>4416</v>
      </c>
      <c r="B565" t="s">
        <v>4417</v>
      </c>
      <c r="C565" t="s">
        <v>4418</v>
      </c>
      <c r="D565" t="s">
        <v>4103</v>
      </c>
      <c r="E565" t="s">
        <v>4104</v>
      </c>
      <c r="F565" t="s">
        <v>1227</v>
      </c>
      <c r="G565" t="s">
        <v>1849</v>
      </c>
      <c r="H565">
        <v>14122</v>
      </c>
      <c r="I565">
        <v>14122</v>
      </c>
      <c r="J565" t="s">
        <v>3862</v>
      </c>
      <c r="K565">
        <v>1</v>
      </c>
      <c r="L565" t="s">
        <v>2945</v>
      </c>
      <c r="M565" s="19">
        <v>46262</v>
      </c>
      <c r="N565" t="s">
        <v>4105</v>
      </c>
      <c r="O565" t="s">
        <v>4106</v>
      </c>
    </row>
    <row r="566" spans="1:15" x14ac:dyDescent="0.3">
      <c r="A566" t="s">
        <v>4419</v>
      </c>
      <c r="B566" t="s">
        <v>4420</v>
      </c>
      <c r="C566" t="s">
        <v>4421</v>
      </c>
      <c r="D566" t="s">
        <v>4103</v>
      </c>
      <c r="E566" t="s">
        <v>4104</v>
      </c>
      <c r="F566" t="s">
        <v>1227</v>
      </c>
      <c r="G566" t="s">
        <v>1849</v>
      </c>
      <c r="H566">
        <v>15464</v>
      </c>
      <c r="I566">
        <v>15464</v>
      </c>
      <c r="J566" t="s">
        <v>3862</v>
      </c>
      <c r="K566">
        <v>1</v>
      </c>
      <c r="L566" t="s">
        <v>2945</v>
      </c>
      <c r="M566" s="19">
        <v>46262</v>
      </c>
      <c r="N566" t="s">
        <v>4105</v>
      </c>
      <c r="O566" t="s">
        <v>4106</v>
      </c>
    </row>
    <row r="567" spans="1:15" x14ac:dyDescent="0.3">
      <c r="A567" t="s">
        <v>4422</v>
      </c>
      <c r="B567" t="s">
        <v>4423</v>
      </c>
      <c r="C567" t="s">
        <v>4424</v>
      </c>
      <c r="D567" t="s">
        <v>4103</v>
      </c>
      <c r="E567" t="s">
        <v>4104</v>
      </c>
      <c r="F567" t="s">
        <v>1227</v>
      </c>
      <c r="G567" t="s">
        <v>1849</v>
      </c>
      <c r="H567">
        <v>16806</v>
      </c>
      <c r="I567">
        <v>16806</v>
      </c>
      <c r="J567" t="s">
        <v>3862</v>
      </c>
      <c r="K567">
        <v>1</v>
      </c>
      <c r="L567" t="s">
        <v>2945</v>
      </c>
      <c r="M567" s="19">
        <v>46262</v>
      </c>
      <c r="N567" t="s">
        <v>4105</v>
      </c>
      <c r="O567" t="s">
        <v>4106</v>
      </c>
    </row>
    <row r="568" spans="1:15" x14ac:dyDescent="0.3">
      <c r="A568" t="s">
        <v>4425</v>
      </c>
      <c r="B568" t="s">
        <v>4426</v>
      </c>
      <c r="C568" t="s">
        <v>4427</v>
      </c>
      <c r="D568" t="s">
        <v>4103</v>
      </c>
      <c r="E568" t="s">
        <v>4104</v>
      </c>
      <c r="F568" t="s">
        <v>1227</v>
      </c>
      <c r="G568" t="s">
        <v>1849</v>
      </c>
      <c r="H568">
        <v>18148</v>
      </c>
      <c r="I568">
        <v>18148</v>
      </c>
      <c r="J568" t="s">
        <v>3862</v>
      </c>
      <c r="K568">
        <v>1</v>
      </c>
      <c r="L568" t="s">
        <v>2945</v>
      </c>
      <c r="M568" s="19">
        <v>46262</v>
      </c>
      <c r="N568" t="s">
        <v>4105</v>
      </c>
      <c r="O568" t="s">
        <v>4106</v>
      </c>
    </row>
    <row r="569" spans="1:15" x14ac:dyDescent="0.3">
      <c r="A569" t="s">
        <v>4428</v>
      </c>
      <c r="B569" t="s">
        <v>4429</v>
      </c>
      <c r="C569" t="s">
        <v>4430</v>
      </c>
      <c r="D569" t="s">
        <v>4103</v>
      </c>
      <c r="E569" t="s">
        <v>4104</v>
      </c>
      <c r="F569" t="s">
        <v>1227</v>
      </c>
      <c r="G569" t="s">
        <v>1849</v>
      </c>
      <c r="H569">
        <v>19490</v>
      </c>
      <c r="I569">
        <v>19490</v>
      </c>
      <c r="J569" t="s">
        <v>3862</v>
      </c>
      <c r="K569">
        <v>1</v>
      </c>
      <c r="L569" t="s">
        <v>2945</v>
      </c>
      <c r="M569" s="19">
        <v>46262</v>
      </c>
      <c r="N569" t="s">
        <v>4105</v>
      </c>
      <c r="O569" t="s">
        <v>4106</v>
      </c>
    </row>
    <row r="570" spans="1:15" x14ac:dyDescent="0.3">
      <c r="A570" t="s">
        <v>4431</v>
      </c>
      <c r="B570" t="s">
        <v>4432</v>
      </c>
      <c r="C570" t="s">
        <v>4433</v>
      </c>
      <c r="D570" t="s">
        <v>4103</v>
      </c>
      <c r="E570" t="s">
        <v>4104</v>
      </c>
      <c r="F570" t="s">
        <v>1227</v>
      </c>
      <c r="G570" t="s">
        <v>1849</v>
      </c>
      <c r="H570">
        <v>20832</v>
      </c>
      <c r="I570">
        <v>20832</v>
      </c>
      <c r="J570" t="s">
        <v>3862</v>
      </c>
      <c r="K570">
        <v>1</v>
      </c>
      <c r="L570" t="s">
        <v>2945</v>
      </c>
      <c r="M570" s="19">
        <v>46262</v>
      </c>
      <c r="N570" t="s">
        <v>4105</v>
      </c>
      <c r="O570" t="s">
        <v>4106</v>
      </c>
    </row>
    <row r="571" spans="1:15" x14ac:dyDescent="0.3">
      <c r="A571" t="s">
        <v>4434</v>
      </c>
      <c r="B571" t="s">
        <v>4435</v>
      </c>
      <c r="C571" t="s">
        <v>4436</v>
      </c>
      <c r="D571" t="s">
        <v>4103</v>
      </c>
      <c r="E571" t="s">
        <v>4104</v>
      </c>
      <c r="F571" t="s">
        <v>1227</v>
      </c>
      <c r="G571" t="s">
        <v>1849</v>
      </c>
      <c r="H571">
        <v>7492</v>
      </c>
      <c r="I571">
        <v>7492</v>
      </c>
      <c r="J571" t="s">
        <v>3862</v>
      </c>
      <c r="K571">
        <v>1</v>
      </c>
      <c r="L571" t="s">
        <v>2945</v>
      </c>
      <c r="M571" s="19">
        <v>46262</v>
      </c>
      <c r="N571" t="s">
        <v>4105</v>
      </c>
      <c r="O571" t="s">
        <v>4106</v>
      </c>
    </row>
    <row r="572" spans="1:15" x14ac:dyDescent="0.3">
      <c r="A572" t="s">
        <v>4437</v>
      </c>
      <c r="B572" t="s">
        <v>4438</v>
      </c>
      <c r="C572" t="s">
        <v>4439</v>
      </c>
      <c r="D572" t="s">
        <v>4103</v>
      </c>
      <c r="E572" t="s">
        <v>4104</v>
      </c>
      <c r="F572" t="s">
        <v>1227</v>
      </c>
      <c r="G572" t="s">
        <v>1849</v>
      </c>
      <c r="H572">
        <v>8854</v>
      </c>
      <c r="I572">
        <v>8854</v>
      </c>
      <c r="J572" t="s">
        <v>3862</v>
      </c>
      <c r="K572">
        <v>1</v>
      </c>
      <c r="L572" t="s">
        <v>2945</v>
      </c>
      <c r="M572" s="19">
        <v>46262</v>
      </c>
      <c r="N572" t="s">
        <v>4105</v>
      </c>
      <c r="O572" t="s">
        <v>4106</v>
      </c>
    </row>
    <row r="573" spans="1:15" x14ac:dyDescent="0.3">
      <c r="A573" t="s">
        <v>4440</v>
      </c>
      <c r="B573" t="s">
        <v>4441</v>
      </c>
      <c r="C573" t="s">
        <v>4442</v>
      </c>
      <c r="D573" t="s">
        <v>4103</v>
      </c>
      <c r="E573" t="s">
        <v>4104</v>
      </c>
      <c r="F573" t="s">
        <v>1227</v>
      </c>
      <c r="G573" t="s">
        <v>1849</v>
      </c>
      <c r="H573">
        <v>10216</v>
      </c>
      <c r="I573">
        <v>10216</v>
      </c>
      <c r="J573" t="s">
        <v>3862</v>
      </c>
      <c r="K573">
        <v>1</v>
      </c>
      <c r="L573" t="s">
        <v>2945</v>
      </c>
      <c r="M573" s="19">
        <v>46262</v>
      </c>
      <c r="N573" t="s">
        <v>4105</v>
      </c>
      <c r="O573" t="s">
        <v>4106</v>
      </c>
    </row>
    <row r="574" spans="1:15" x14ac:dyDescent="0.3">
      <c r="A574" t="s">
        <v>4443</v>
      </c>
      <c r="B574" t="s">
        <v>4444</v>
      </c>
      <c r="C574" t="s">
        <v>4445</v>
      </c>
      <c r="D574" t="s">
        <v>4103</v>
      </c>
      <c r="E574" t="s">
        <v>4104</v>
      </c>
      <c r="F574" t="s">
        <v>1227</v>
      </c>
      <c r="G574" t="s">
        <v>1849</v>
      </c>
      <c r="H574">
        <v>11578</v>
      </c>
      <c r="I574">
        <v>11578</v>
      </c>
      <c r="J574" t="s">
        <v>3862</v>
      </c>
      <c r="K574">
        <v>1</v>
      </c>
      <c r="L574" t="s">
        <v>2945</v>
      </c>
      <c r="M574" s="19">
        <v>46262</v>
      </c>
      <c r="N574" t="s">
        <v>4105</v>
      </c>
      <c r="O574" t="s">
        <v>4106</v>
      </c>
    </row>
    <row r="575" spans="1:15" x14ac:dyDescent="0.3">
      <c r="A575" t="s">
        <v>4446</v>
      </c>
      <c r="B575" t="s">
        <v>4447</v>
      </c>
      <c r="C575" t="s">
        <v>4448</v>
      </c>
      <c r="D575" t="s">
        <v>4103</v>
      </c>
      <c r="E575" t="s">
        <v>4104</v>
      </c>
      <c r="F575" t="s">
        <v>1227</v>
      </c>
      <c r="G575" t="s">
        <v>1849</v>
      </c>
      <c r="H575">
        <v>12940</v>
      </c>
      <c r="I575">
        <v>12940</v>
      </c>
      <c r="J575" t="s">
        <v>3862</v>
      </c>
      <c r="K575">
        <v>1</v>
      </c>
      <c r="L575" t="s">
        <v>2945</v>
      </c>
      <c r="M575" s="19">
        <v>46262</v>
      </c>
      <c r="N575" t="s">
        <v>4105</v>
      </c>
      <c r="O575" t="s">
        <v>4106</v>
      </c>
    </row>
    <row r="576" spans="1:15" x14ac:dyDescent="0.3">
      <c r="A576" t="s">
        <v>4449</v>
      </c>
      <c r="B576" t="s">
        <v>4450</v>
      </c>
      <c r="C576" t="s">
        <v>4451</v>
      </c>
      <c r="D576" t="s">
        <v>4103</v>
      </c>
      <c r="E576" t="s">
        <v>4104</v>
      </c>
      <c r="F576" t="s">
        <v>1227</v>
      </c>
      <c r="G576" t="s">
        <v>1849</v>
      </c>
      <c r="H576">
        <v>14302</v>
      </c>
      <c r="I576">
        <v>14302</v>
      </c>
      <c r="J576" t="s">
        <v>3862</v>
      </c>
      <c r="K576">
        <v>1</v>
      </c>
      <c r="L576" t="s">
        <v>2945</v>
      </c>
      <c r="M576" s="19">
        <v>46262</v>
      </c>
      <c r="N576" t="s">
        <v>4105</v>
      </c>
      <c r="O576" t="s">
        <v>4106</v>
      </c>
    </row>
    <row r="577" spans="1:15" x14ac:dyDescent="0.3">
      <c r="A577" t="s">
        <v>4452</v>
      </c>
      <c r="B577" t="s">
        <v>4453</v>
      </c>
      <c r="C577" t="s">
        <v>4454</v>
      </c>
      <c r="D577" t="s">
        <v>4103</v>
      </c>
      <c r="E577" t="s">
        <v>4104</v>
      </c>
      <c r="F577" t="s">
        <v>1227</v>
      </c>
      <c r="G577" t="s">
        <v>1849</v>
      </c>
      <c r="H577">
        <v>15664</v>
      </c>
      <c r="I577">
        <v>15664</v>
      </c>
      <c r="J577" t="s">
        <v>3862</v>
      </c>
      <c r="K577">
        <v>1</v>
      </c>
      <c r="L577" t="s">
        <v>2945</v>
      </c>
      <c r="M577" s="19">
        <v>46262</v>
      </c>
      <c r="N577" t="s">
        <v>4105</v>
      </c>
      <c r="O577" t="s">
        <v>4106</v>
      </c>
    </row>
    <row r="578" spans="1:15" x14ac:dyDescent="0.3">
      <c r="A578" t="s">
        <v>4455</v>
      </c>
      <c r="B578" t="s">
        <v>4456</v>
      </c>
      <c r="C578" t="s">
        <v>4457</v>
      </c>
      <c r="D578" t="s">
        <v>4103</v>
      </c>
      <c r="E578" t="s">
        <v>4104</v>
      </c>
      <c r="F578" t="s">
        <v>1227</v>
      </c>
      <c r="G578" t="s">
        <v>1849</v>
      </c>
      <c r="H578">
        <v>17026</v>
      </c>
      <c r="I578">
        <v>17026</v>
      </c>
      <c r="J578" t="s">
        <v>3862</v>
      </c>
      <c r="K578">
        <v>1</v>
      </c>
      <c r="L578" t="s">
        <v>2945</v>
      </c>
      <c r="M578" s="19">
        <v>46262</v>
      </c>
      <c r="N578" t="s">
        <v>4105</v>
      </c>
      <c r="O578" t="s">
        <v>4106</v>
      </c>
    </row>
    <row r="579" spans="1:15" x14ac:dyDescent="0.3">
      <c r="A579" t="s">
        <v>4458</v>
      </c>
      <c r="B579" t="s">
        <v>4459</v>
      </c>
      <c r="C579" t="s">
        <v>4460</v>
      </c>
      <c r="D579" t="s">
        <v>4103</v>
      </c>
      <c r="E579" t="s">
        <v>4104</v>
      </c>
      <c r="F579" t="s">
        <v>1227</v>
      </c>
      <c r="G579" t="s">
        <v>1849</v>
      </c>
      <c r="H579">
        <v>18388</v>
      </c>
      <c r="I579">
        <v>18388</v>
      </c>
      <c r="J579" t="s">
        <v>3862</v>
      </c>
      <c r="K579">
        <v>1</v>
      </c>
      <c r="L579" t="s">
        <v>2945</v>
      </c>
      <c r="M579" s="19">
        <v>46262</v>
      </c>
      <c r="N579" t="s">
        <v>4105</v>
      </c>
      <c r="O579" t="s">
        <v>4106</v>
      </c>
    </row>
    <row r="580" spans="1:15" x14ac:dyDescent="0.3">
      <c r="A580" t="s">
        <v>4461</v>
      </c>
      <c r="B580" t="s">
        <v>4462</v>
      </c>
      <c r="C580" t="s">
        <v>4463</v>
      </c>
      <c r="D580" t="s">
        <v>4103</v>
      </c>
      <c r="E580" t="s">
        <v>4104</v>
      </c>
      <c r="F580" t="s">
        <v>1227</v>
      </c>
      <c r="G580" t="s">
        <v>1849</v>
      </c>
      <c r="H580">
        <v>19750</v>
      </c>
      <c r="I580">
        <v>19750</v>
      </c>
      <c r="J580" t="s">
        <v>3862</v>
      </c>
      <c r="K580">
        <v>1</v>
      </c>
      <c r="L580" t="s">
        <v>2945</v>
      </c>
      <c r="M580" s="19">
        <v>46262</v>
      </c>
      <c r="N580" t="s">
        <v>4105</v>
      </c>
      <c r="O580" t="s">
        <v>4106</v>
      </c>
    </row>
    <row r="581" spans="1:15" x14ac:dyDescent="0.3">
      <c r="A581" t="s">
        <v>4464</v>
      </c>
      <c r="B581" t="s">
        <v>4465</v>
      </c>
      <c r="C581" t="s">
        <v>4466</v>
      </c>
      <c r="D581" t="s">
        <v>4103</v>
      </c>
      <c r="E581" t="s">
        <v>4104</v>
      </c>
      <c r="F581" t="s">
        <v>1227</v>
      </c>
      <c r="G581" t="s">
        <v>1849</v>
      </c>
      <c r="H581">
        <v>21112</v>
      </c>
      <c r="I581">
        <v>21112</v>
      </c>
      <c r="J581" t="s">
        <v>3862</v>
      </c>
      <c r="K581">
        <v>1</v>
      </c>
      <c r="L581" t="s">
        <v>2945</v>
      </c>
      <c r="M581" s="19">
        <v>46262</v>
      </c>
      <c r="N581" t="s">
        <v>4105</v>
      </c>
      <c r="O581" t="s">
        <v>4106</v>
      </c>
    </row>
    <row r="582" spans="1:15" x14ac:dyDescent="0.3">
      <c r="A582" t="s">
        <v>4467</v>
      </c>
      <c r="B582" t="s">
        <v>4468</v>
      </c>
      <c r="C582" t="s">
        <v>4469</v>
      </c>
      <c r="D582" t="s">
        <v>4103</v>
      </c>
      <c r="E582" t="s">
        <v>4104</v>
      </c>
      <c r="F582" t="s">
        <v>1227</v>
      </c>
      <c r="G582" t="s">
        <v>1849</v>
      </c>
      <c r="H582">
        <v>10992</v>
      </c>
      <c r="I582">
        <v>10992</v>
      </c>
      <c r="J582" t="s">
        <v>3862</v>
      </c>
      <c r="K582">
        <v>1</v>
      </c>
      <c r="L582" t="s">
        <v>2945</v>
      </c>
      <c r="M582" s="19">
        <v>46262</v>
      </c>
      <c r="N582" t="s">
        <v>4105</v>
      </c>
      <c r="O582" t="s">
        <v>4106</v>
      </c>
    </row>
    <row r="583" spans="1:15" x14ac:dyDescent="0.3">
      <c r="A583" t="s">
        <v>4470</v>
      </c>
      <c r="B583" t="s">
        <v>4471</v>
      </c>
      <c r="C583" t="s">
        <v>4472</v>
      </c>
      <c r="D583" t="s">
        <v>4103</v>
      </c>
      <c r="E583" t="s">
        <v>4104</v>
      </c>
      <c r="F583" t="s">
        <v>1227</v>
      </c>
      <c r="G583" t="s">
        <v>1849</v>
      </c>
      <c r="H583">
        <v>13229</v>
      </c>
      <c r="I583">
        <v>13229</v>
      </c>
      <c r="J583" t="s">
        <v>3862</v>
      </c>
      <c r="K583">
        <v>1</v>
      </c>
      <c r="L583" t="s">
        <v>2945</v>
      </c>
      <c r="M583" s="19">
        <v>46262</v>
      </c>
      <c r="N583" t="s">
        <v>4105</v>
      </c>
      <c r="O583" t="s">
        <v>4106</v>
      </c>
    </row>
    <row r="584" spans="1:15" x14ac:dyDescent="0.3">
      <c r="A584" t="s">
        <v>4473</v>
      </c>
      <c r="B584" t="s">
        <v>4474</v>
      </c>
      <c r="C584" t="s">
        <v>4475</v>
      </c>
      <c r="D584" t="s">
        <v>4103</v>
      </c>
      <c r="E584" t="s">
        <v>4104</v>
      </c>
      <c r="F584" t="s">
        <v>1227</v>
      </c>
      <c r="G584" t="s">
        <v>1849</v>
      </c>
      <c r="H584">
        <v>15466</v>
      </c>
      <c r="I584">
        <v>15466</v>
      </c>
      <c r="J584" t="s">
        <v>3862</v>
      </c>
      <c r="K584">
        <v>1</v>
      </c>
      <c r="L584" t="s">
        <v>2945</v>
      </c>
      <c r="M584" s="19">
        <v>46262</v>
      </c>
      <c r="N584" t="s">
        <v>4105</v>
      </c>
      <c r="O584" t="s">
        <v>4106</v>
      </c>
    </row>
    <row r="585" spans="1:15" x14ac:dyDescent="0.3">
      <c r="A585" t="s">
        <v>4476</v>
      </c>
      <c r="B585" t="s">
        <v>4477</v>
      </c>
      <c r="C585" t="s">
        <v>4478</v>
      </c>
      <c r="D585" t="s">
        <v>4103</v>
      </c>
      <c r="E585" t="s">
        <v>4104</v>
      </c>
      <c r="F585" t="s">
        <v>1227</v>
      </c>
      <c r="G585" t="s">
        <v>1849</v>
      </c>
      <c r="H585">
        <v>17703</v>
      </c>
      <c r="I585">
        <v>17703</v>
      </c>
      <c r="J585" t="s">
        <v>3862</v>
      </c>
      <c r="K585">
        <v>1</v>
      </c>
      <c r="L585" t="s">
        <v>2945</v>
      </c>
      <c r="M585" s="19">
        <v>46262</v>
      </c>
      <c r="N585" t="s">
        <v>4105</v>
      </c>
      <c r="O585" t="s">
        <v>4106</v>
      </c>
    </row>
    <row r="586" spans="1:15" x14ac:dyDescent="0.3">
      <c r="A586" t="s">
        <v>4479</v>
      </c>
      <c r="B586" t="s">
        <v>4480</v>
      </c>
      <c r="C586" t="s">
        <v>4481</v>
      </c>
      <c r="D586" t="s">
        <v>4103</v>
      </c>
      <c r="E586" t="s">
        <v>4104</v>
      </c>
      <c r="F586" t="s">
        <v>1227</v>
      </c>
      <c r="G586" t="s">
        <v>1849</v>
      </c>
      <c r="H586">
        <v>19940</v>
      </c>
      <c r="I586">
        <v>19940</v>
      </c>
      <c r="J586" t="s">
        <v>3862</v>
      </c>
      <c r="K586">
        <v>1</v>
      </c>
      <c r="L586" t="s">
        <v>2945</v>
      </c>
      <c r="M586" s="19">
        <v>46262</v>
      </c>
      <c r="N586" t="s">
        <v>4105</v>
      </c>
      <c r="O586" t="s">
        <v>4106</v>
      </c>
    </row>
    <row r="587" spans="1:15" x14ac:dyDescent="0.3">
      <c r="A587" t="s">
        <v>4482</v>
      </c>
      <c r="B587" t="s">
        <v>4483</v>
      </c>
      <c r="C587" t="s">
        <v>4484</v>
      </c>
      <c r="D587" t="s">
        <v>4103</v>
      </c>
      <c r="E587" t="s">
        <v>4104</v>
      </c>
      <c r="F587" t="s">
        <v>1227</v>
      </c>
      <c r="G587" t="s">
        <v>1849</v>
      </c>
      <c r="H587">
        <v>22177</v>
      </c>
      <c r="I587">
        <v>22177</v>
      </c>
      <c r="J587" t="s">
        <v>3862</v>
      </c>
      <c r="K587">
        <v>1</v>
      </c>
      <c r="L587" t="s">
        <v>2945</v>
      </c>
      <c r="M587" s="19">
        <v>46262</v>
      </c>
      <c r="N587" t="s">
        <v>4105</v>
      </c>
      <c r="O587" t="s">
        <v>4106</v>
      </c>
    </row>
    <row r="588" spans="1:15" x14ac:dyDescent="0.3">
      <c r="A588" t="s">
        <v>4485</v>
      </c>
      <c r="B588" t="s">
        <v>4486</v>
      </c>
      <c r="C588" t="s">
        <v>4487</v>
      </c>
      <c r="D588" t="s">
        <v>4103</v>
      </c>
      <c r="E588" t="s">
        <v>4104</v>
      </c>
      <c r="F588" t="s">
        <v>1227</v>
      </c>
      <c r="G588" t="s">
        <v>1849</v>
      </c>
      <c r="H588">
        <v>24414</v>
      </c>
      <c r="I588">
        <v>24414</v>
      </c>
      <c r="J588" t="s">
        <v>3862</v>
      </c>
      <c r="K588">
        <v>1</v>
      </c>
      <c r="L588" t="s">
        <v>2945</v>
      </c>
      <c r="M588" s="19">
        <v>46262</v>
      </c>
      <c r="N588" t="s">
        <v>4105</v>
      </c>
      <c r="O588" t="s">
        <v>4106</v>
      </c>
    </row>
    <row r="589" spans="1:15" x14ac:dyDescent="0.3">
      <c r="A589" t="s">
        <v>4488</v>
      </c>
      <c r="B589" t="s">
        <v>4489</v>
      </c>
      <c r="C589" t="s">
        <v>4490</v>
      </c>
      <c r="D589" t="s">
        <v>4103</v>
      </c>
      <c r="E589" t="s">
        <v>4104</v>
      </c>
      <c r="F589" t="s">
        <v>1227</v>
      </c>
      <c r="G589" t="s">
        <v>1849</v>
      </c>
      <c r="H589">
        <v>26651</v>
      </c>
      <c r="I589">
        <v>26651</v>
      </c>
      <c r="J589" t="s">
        <v>3862</v>
      </c>
      <c r="K589">
        <v>1</v>
      </c>
      <c r="L589" t="s">
        <v>2945</v>
      </c>
      <c r="M589" s="19">
        <v>46262</v>
      </c>
      <c r="N589" t="s">
        <v>4105</v>
      </c>
      <c r="O589" t="s">
        <v>4106</v>
      </c>
    </row>
    <row r="590" spans="1:15" x14ac:dyDescent="0.3">
      <c r="A590" t="s">
        <v>4491</v>
      </c>
      <c r="B590" t="s">
        <v>4492</v>
      </c>
      <c r="C590" t="s">
        <v>4493</v>
      </c>
      <c r="D590" t="s">
        <v>4103</v>
      </c>
      <c r="E590" t="s">
        <v>4104</v>
      </c>
      <c r="F590" t="s">
        <v>1227</v>
      </c>
      <c r="G590" t="s">
        <v>1849</v>
      </c>
      <c r="H590">
        <v>28888</v>
      </c>
      <c r="I590">
        <v>28888</v>
      </c>
      <c r="J590" t="s">
        <v>3862</v>
      </c>
      <c r="K590">
        <v>1</v>
      </c>
      <c r="L590" t="s">
        <v>2945</v>
      </c>
      <c r="M590" s="19">
        <v>46262</v>
      </c>
      <c r="N590" t="s">
        <v>4105</v>
      </c>
      <c r="O590" t="s">
        <v>4106</v>
      </c>
    </row>
    <row r="591" spans="1:15" x14ac:dyDescent="0.3">
      <c r="A591" t="s">
        <v>4494</v>
      </c>
      <c r="B591" t="s">
        <v>4495</v>
      </c>
      <c r="C591" t="s">
        <v>4496</v>
      </c>
      <c r="D591" t="s">
        <v>4103</v>
      </c>
      <c r="E591" t="s">
        <v>4104</v>
      </c>
      <c r="F591" t="s">
        <v>1227</v>
      </c>
      <c r="G591" t="s">
        <v>1849</v>
      </c>
      <c r="H591">
        <v>31125</v>
      </c>
      <c r="I591">
        <v>31125</v>
      </c>
      <c r="J591" t="s">
        <v>3862</v>
      </c>
      <c r="K591">
        <v>1</v>
      </c>
      <c r="L591" t="s">
        <v>2945</v>
      </c>
      <c r="M591" s="19">
        <v>46262</v>
      </c>
      <c r="N591" t="s">
        <v>4105</v>
      </c>
      <c r="O591" t="s">
        <v>4106</v>
      </c>
    </row>
    <row r="592" spans="1:15" x14ac:dyDescent="0.3">
      <c r="A592" t="s">
        <v>4497</v>
      </c>
      <c r="B592" t="s">
        <v>4498</v>
      </c>
      <c r="C592" t="s">
        <v>4499</v>
      </c>
      <c r="D592" t="s">
        <v>4103</v>
      </c>
      <c r="E592" t="s">
        <v>4104</v>
      </c>
      <c r="F592" t="s">
        <v>1227</v>
      </c>
      <c r="G592" t="s">
        <v>1849</v>
      </c>
      <c r="H592">
        <v>33362</v>
      </c>
      <c r="I592">
        <v>33362</v>
      </c>
      <c r="J592" t="s">
        <v>3862</v>
      </c>
      <c r="K592">
        <v>1</v>
      </c>
      <c r="L592" t="s">
        <v>2945</v>
      </c>
      <c r="M592" s="19">
        <v>46262</v>
      </c>
      <c r="N592" t="s">
        <v>4105</v>
      </c>
      <c r="O592" t="s">
        <v>4106</v>
      </c>
    </row>
    <row r="593" spans="1:15" x14ac:dyDescent="0.3">
      <c r="A593" t="s">
        <v>4500</v>
      </c>
      <c r="B593" t="s">
        <v>4501</v>
      </c>
      <c r="C593" t="s">
        <v>4502</v>
      </c>
      <c r="D593" t="s">
        <v>4103</v>
      </c>
      <c r="E593" t="s">
        <v>4104</v>
      </c>
      <c r="F593" t="s">
        <v>1227</v>
      </c>
      <c r="G593" t="s">
        <v>1849</v>
      </c>
      <c r="H593">
        <v>12830.5</v>
      </c>
      <c r="I593">
        <v>12830.5</v>
      </c>
      <c r="J593" t="s">
        <v>3862</v>
      </c>
      <c r="K593">
        <v>1</v>
      </c>
      <c r="L593" t="s">
        <v>2945</v>
      </c>
      <c r="M593" s="19">
        <v>46262</v>
      </c>
      <c r="N593" t="s">
        <v>4105</v>
      </c>
      <c r="O593" t="s">
        <v>4106</v>
      </c>
    </row>
    <row r="594" spans="1:15" x14ac:dyDescent="0.3">
      <c r="A594" t="s">
        <v>4503</v>
      </c>
      <c r="B594" t="s">
        <v>4504</v>
      </c>
      <c r="C594" t="s">
        <v>4505</v>
      </c>
      <c r="D594" t="s">
        <v>4103</v>
      </c>
      <c r="E594" t="s">
        <v>4104</v>
      </c>
      <c r="F594" t="s">
        <v>1227</v>
      </c>
      <c r="G594" t="s">
        <v>1849</v>
      </c>
      <c r="H594">
        <v>25332.7</v>
      </c>
      <c r="I594">
        <v>25332.7</v>
      </c>
      <c r="J594" t="s">
        <v>3862</v>
      </c>
      <c r="K594">
        <v>1</v>
      </c>
      <c r="L594" t="s">
        <v>2945</v>
      </c>
      <c r="M594" s="19">
        <v>46262</v>
      </c>
      <c r="N594" t="s">
        <v>4105</v>
      </c>
      <c r="O594" t="s">
        <v>4106</v>
      </c>
    </row>
    <row r="595" spans="1:15" x14ac:dyDescent="0.3">
      <c r="A595" t="s">
        <v>4506</v>
      </c>
      <c r="B595" t="s">
        <v>4507</v>
      </c>
      <c r="C595" t="s">
        <v>4508</v>
      </c>
      <c r="D595" t="s">
        <v>4103</v>
      </c>
      <c r="E595" t="s">
        <v>4104</v>
      </c>
      <c r="F595" t="s">
        <v>1227</v>
      </c>
      <c r="G595" t="s">
        <v>1849</v>
      </c>
      <c r="H595">
        <v>15302.8</v>
      </c>
      <c r="I595">
        <v>15302.8</v>
      </c>
      <c r="J595" t="s">
        <v>3862</v>
      </c>
      <c r="K595">
        <v>1</v>
      </c>
      <c r="L595" t="s">
        <v>2945</v>
      </c>
      <c r="M595" s="19">
        <v>46262</v>
      </c>
      <c r="N595" t="s">
        <v>4105</v>
      </c>
      <c r="O595" t="s">
        <v>4106</v>
      </c>
    </row>
    <row r="596" spans="1:15" x14ac:dyDescent="0.3">
      <c r="A596" t="s">
        <v>4509</v>
      </c>
      <c r="B596" t="s">
        <v>4510</v>
      </c>
      <c r="C596" t="s">
        <v>4511</v>
      </c>
      <c r="D596" t="s">
        <v>4103</v>
      </c>
      <c r="E596" t="s">
        <v>4104</v>
      </c>
      <c r="F596" t="s">
        <v>1227</v>
      </c>
      <c r="G596" t="s">
        <v>1849</v>
      </c>
      <c r="H596">
        <v>1187.5</v>
      </c>
      <c r="I596">
        <v>1187.5</v>
      </c>
      <c r="J596" t="s">
        <v>3862</v>
      </c>
      <c r="K596">
        <v>1</v>
      </c>
      <c r="L596" t="s">
        <v>2945</v>
      </c>
      <c r="M596" s="19">
        <v>46262</v>
      </c>
      <c r="N596" t="s">
        <v>4105</v>
      </c>
      <c r="O596" t="s">
        <v>4106</v>
      </c>
    </row>
    <row r="597" spans="1:15" x14ac:dyDescent="0.3">
      <c r="A597" t="s">
        <v>4512</v>
      </c>
      <c r="B597" t="s">
        <v>4513</v>
      </c>
      <c r="C597" t="s">
        <v>4514</v>
      </c>
      <c r="D597" t="s">
        <v>4103</v>
      </c>
      <c r="E597" t="s">
        <v>4104</v>
      </c>
      <c r="F597" t="s">
        <v>1227</v>
      </c>
      <c r="G597" t="s">
        <v>1849</v>
      </c>
      <c r="H597">
        <v>597</v>
      </c>
      <c r="I597">
        <v>597</v>
      </c>
      <c r="J597" t="s">
        <v>3862</v>
      </c>
      <c r="K597">
        <v>1</v>
      </c>
      <c r="L597" t="s">
        <v>2945</v>
      </c>
      <c r="M597" s="19">
        <v>46262</v>
      </c>
      <c r="N597" t="s">
        <v>4105</v>
      </c>
      <c r="O597" t="s">
        <v>4106</v>
      </c>
    </row>
    <row r="598" spans="1:15" x14ac:dyDescent="0.3">
      <c r="A598" t="s">
        <v>4515</v>
      </c>
      <c r="B598" t="s">
        <v>4516</v>
      </c>
      <c r="C598" t="s">
        <v>4517</v>
      </c>
      <c r="D598" t="s">
        <v>4103</v>
      </c>
      <c r="E598" t="s">
        <v>4104</v>
      </c>
      <c r="F598" t="s">
        <v>1227</v>
      </c>
      <c r="G598" t="s">
        <v>1855</v>
      </c>
      <c r="H598">
        <v>679</v>
      </c>
      <c r="I598">
        <v>679</v>
      </c>
      <c r="J598" t="s">
        <v>3862</v>
      </c>
      <c r="K598">
        <v>1</v>
      </c>
      <c r="L598" t="s">
        <v>2945</v>
      </c>
      <c r="M598" s="19">
        <v>46262</v>
      </c>
      <c r="N598" t="s">
        <v>4105</v>
      </c>
    </row>
    <row r="599" spans="1:15" x14ac:dyDescent="0.3">
      <c r="A599" t="s">
        <v>4518</v>
      </c>
      <c r="B599" t="s">
        <v>4519</v>
      </c>
      <c r="C599" t="s">
        <v>4520</v>
      </c>
      <c r="D599" t="s">
        <v>4103</v>
      </c>
      <c r="E599" t="s">
        <v>4104</v>
      </c>
      <c r="F599" t="s">
        <v>1227</v>
      </c>
      <c r="G599" t="s">
        <v>1855</v>
      </c>
      <c r="H599">
        <v>649</v>
      </c>
      <c r="I599">
        <v>649</v>
      </c>
      <c r="J599" t="s">
        <v>3862</v>
      </c>
      <c r="K599">
        <v>1</v>
      </c>
      <c r="L599" t="s">
        <v>2945</v>
      </c>
      <c r="M599" s="19">
        <v>46262</v>
      </c>
      <c r="N599" t="s">
        <v>4105</v>
      </c>
    </row>
    <row r="600" spans="1:15" x14ac:dyDescent="0.3">
      <c r="A600" t="s">
        <v>4521</v>
      </c>
      <c r="B600" t="s">
        <v>4522</v>
      </c>
      <c r="C600" t="s">
        <v>4523</v>
      </c>
      <c r="D600" t="s">
        <v>4103</v>
      </c>
      <c r="E600" t="s">
        <v>4104</v>
      </c>
      <c r="F600" t="s">
        <v>2867</v>
      </c>
      <c r="G600" t="s">
        <v>1855</v>
      </c>
      <c r="H600">
        <v>1231</v>
      </c>
      <c r="I600">
        <v>1231</v>
      </c>
      <c r="J600" t="s">
        <v>3862</v>
      </c>
      <c r="K600">
        <v>1</v>
      </c>
      <c r="L600" t="s">
        <v>2945</v>
      </c>
      <c r="M600" s="19">
        <v>46262</v>
      </c>
      <c r="N600" t="s">
        <v>4105</v>
      </c>
    </row>
    <row r="601" spans="1:15" x14ac:dyDescent="0.3">
      <c r="A601" t="s">
        <v>4524</v>
      </c>
      <c r="B601" t="s">
        <v>4525</v>
      </c>
      <c r="C601" t="s">
        <v>4526</v>
      </c>
      <c r="D601" t="s">
        <v>4103</v>
      </c>
      <c r="E601" t="s">
        <v>4104</v>
      </c>
      <c r="F601" t="s">
        <v>2867</v>
      </c>
      <c r="G601" t="s">
        <v>1855</v>
      </c>
      <c r="H601">
        <v>520</v>
      </c>
      <c r="I601">
        <v>520</v>
      </c>
      <c r="J601" t="s">
        <v>3862</v>
      </c>
      <c r="K601">
        <v>1</v>
      </c>
      <c r="L601" t="s">
        <v>2945</v>
      </c>
      <c r="M601" s="19">
        <v>46262</v>
      </c>
      <c r="N601" t="s">
        <v>4105</v>
      </c>
    </row>
    <row r="602" spans="1:15" x14ac:dyDescent="0.3">
      <c r="A602" t="s">
        <v>4527</v>
      </c>
      <c r="B602" t="s">
        <v>4528</v>
      </c>
      <c r="C602" t="s">
        <v>4529</v>
      </c>
      <c r="D602" t="s">
        <v>4103</v>
      </c>
      <c r="E602" t="s">
        <v>4104</v>
      </c>
      <c r="F602" t="s">
        <v>1227</v>
      </c>
      <c r="G602" t="s">
        <v>1855</v>
      </c>
      <c r="H602">
        <v>939</v>
      </c>
      <c r="I602">
        <v>939</v>
      </c>
      <c r="J602" t="s">
        <v>3862</v>
      </c>
      <c r="K602">
        <v>1</v>
      </c>
      <c r="L602" t="s">
        <v>2945</v>
      </c>
      <c r="M602" s="19">
        <v>46262</v>
      </c>
      <c r="N602" t="s">
        <v>4105</v>
      </c>
    </row>
    <row r="603" spans="1:15" x14ac:dyDescent="0.3">
      <c r="A603" t="s">
        <v>4530</v>
      </c>
      <c r="B603" t="s">
        <v>4531</v>
      </c>
      <c r="C603" t="s">
        <v>4532</v>
      </c>
      <c r="D603" t="s">
        <v>4103</v>
      </c>
      <c r="E603" t="s">
        <v>4104</v>
      </c>
      <c r="F603" t="s">
        <v>1227</v>
      </c>
      <c r="G603" t="s">
        <v>1855</v>
      </c>
      <c r="H603">
        <v>961</v>
      </c>
      <c r="I603">
        <v>961</v>
      </c>
      <c r="J603" t="s">
        <v>3862</v>
      </c>
      <c r="K603">
        <v>1</v>
      </c>
      <c r="L603" t="s">
        <v>2945</v>
      </c>
      <c r="M603" s="19">
        <v>46262</v>
      </c>
      <c r="N603" t="s">
        <v>4105</v>
      </c>
    </row>
    <row r="604" spans="1:15" x14ac:dyDescent="0.3">
      <c r="A604" t="s">
        <v>4533</v>
      </c>
      <c r="B604" t="s">
        <v>4534</v>
      </c>
      <c r="C604" t="s">
        <v>4535</v>
      </c>
      <c r="D604" t="s">
        <v>4103</v>
      </c>
      <c r="E604" t="s">
        <v>4104</v>
      </c>
      <c r="F604" t="s">
        <v>1227</v>
      </c>
      <c r="G604" t="s">
        <v>1855</v>
      </c>
      <c r="H604">
        <v>1374</v>
      </c>
      <c r="I604">
        <v>1374</v>
      </c>
      <c r="J604" t="s">
        <v>3862</v>
      </c>
      <c r="K604">
        <v>1</v>
      </c>
      <c r="L604" t="s">
        <v>2945</v>
      </c>
      <c r="M604" s="19">
        <v>46262</v>
      </c>
      <c r="N604" t="s">
        <v>4105</v>
      </c>
    </row>
    <row r="605" spans="1:15" x14ac:dyDescent="0.3">
      <c r="A605" t="s">
        <v>4536</v>
      </c>
      <c r="B605" t="s">
        <v>4537</v>
      </c>
      <c r="C605" t="s">
        <v>4538</v>
      </c>
      <c r="D605" t="s">
        <v>4103</v>
      </c>
      <c r="E605" t="s">
        <v>4104</v>
      </c>
      <c r="F605" t="s">
        <v>1227</v>
      </c>
      <c r="G605" t="s">
        <v>1855</v>
      </c>
      <c r="H605">
        <v>1317</v>
      </c>
      <c r="I605">
        <v>1317</v>
      </c>
      <c r="J605" t="s">
        <v>3862</v>
      </c>
      <c r="K605">
        <v>1</v>
      </c>
      <c r="L605" t="s">
        <v>2945</v>
      </c>
      <c r="M605" s="19">
        <v>46262</v>
      </c>
      <c r="N605" t="s">
        <v>4105</v>
      </c>
    </row>
    <row r="606" spans="1:15" x14ac:dyDescent="0.3">
      <c r="A606" t="s">
        <v>4539</v>
      </c>
      <c r="B606" t="s">
        <v>4540</v>
      </c>
      <c r="C606" t="s">
        <v>4541</v>
      </c>
      <c r="D606" t="s">
        <v>4103</v>
      </c>
      <c r="E606" t="s">
        <v>4104</v>
      </c>
      <c r="F606" t="s">
        <v>1227</v>
      </c>
      <c r="G606" t="s">
        <v>1855</v>
      </c>
      <c r="H606">
        <v>19.25</v>
      </c>
      <c r="I606">
        <v>19.25</v>
      </c>
      <c r="J606" t="s">
        <v>3862</v>
      </c>
      <c r="K606">
        <v>1</v>
      </c>
      <c r="L606" t="s">
        <v>2945</v>
      </c>
      <c r="M606" s="19">
        <v>46262</v>
      </c>
      <c r="N606" t="s">
        <v>4105</v>
      </c>
    </row>
    <row r="607" spans="1:15" x14ac:dyDescent="0.3">
      <c r="A607" t="s">
        <v>4542</v>
      </c>
      <c r="B607" t="s">
        <v>4543</v>
      </c>
      <c r="C607" t="s">
        <v>4544</v>
      </c>
      <c r="D607" t="s">
        <v>4103</v>
      </c>
      <c r="E607" t="s">
        <v>4104</v>
      </c>
      <c r="F607" t="s">
        <v>1227</v>
      </c>
      <c r="G607" t="s">
        <v>1855</v>
      </c>
      <c r="H607">
        <v>30.6</v>
      </c>
      <c r="I607">
        <v>30.6</v>
      </c>
      <c r="J607" t="s">
        <v>3862</v>
      </c>
      <c r="K607">
        <v>1</v>
      </c>
      <c r="L607" t="s">
        <v>2945</v>
      </c>
      <c r="M607" s="19">
        <v>46262</v>
      </c>
      <c r="N607" t="s">
        <v>4105</v>
      </c>
    </row>
    <row r="608" spans="1:15" x14ac:dyDescent="0.3">
      <c r="A608" t="s">
        <v>4545</v>
      </c>
      <c r="B608" t="s">
        <v>4546</v>
      </c>
      <c r="C608" t="s">
        <v>4547</v>
      </c>
      <c r="D608" t="s">
        <v>4103</v>
      </c>
      <c r="E608" t="s">
        <v>4104</v>
      </c>
      <c r="F608" t="s">
        <v>1227</v>
      </c>
      <c r="G608" t="s">
        <v>1855</v>
      </c>
      <c r="H608">
        <v>35.700000000000003</v>
      </c>
      <c r="I608">
        <v>35.700000000000003</v>
      </c>
      <c r="J608" t="s">
        <v>3862</v>
      </c>
      <c r="K608">
        <v>1</v>
      </c>
      <c r="L608" t="s">
        <v>2945</v>
      </c>
      <c r="M608" s="19">
        <v>46262</v>
      </c>
      <c r="N608" t="s">
        <v>4105</v>
      </c>
    </row>
    <row r="609" spans="1:14" x14ac:dyDescent="0.3">
      <c r="A609" t="s">
        <v>4548</v>
      </c>
      <c r="B609" t="s">
        <v>4549</v>
      </c>
      <c r="C609" t="s">
        <v>4550</v>
      </c>
      <c r="D609" t="s">
        <v>4103</v>
      </c>
      <c r="E609" t="s">
        <v>4104</v>
      </c>
      <c r="F609" t="s">
        <v>1227</v>
      </c>
      <c r="G609" t="s">
        <v>1855</v>
      </c>
      <c r="H609">
        <v>36</v>
      </c>
      <c r="I609">
        <v>36</v>
      </c>
      <c r="J609" t="s">
        <v>3862</v>
      </c>
      <c r="K609">
        <v>1</v>
      </c>
      <c r="L609" t="s">
        <v>2945</v>
      </c>
      <c r="M609" s="19">
        <v>46262</v>
      </c>
      <c r="N609" t="s">
        <v>4105</v>
      </c>
    </row>
    <row r="610" spans="1:14" x14ac:dyDescent="0.3">
      <c r="A610" t="s">
        <v>4551</v>
      </c>
      <c r="B610" t="s">
        <v>4552</v>
      </c>
      <c r="C610" t="s">
        <v>4553</v>
      </c>
      <c r="D610" t="s">
        <v>4103</v>
      </c>
      <c r="E610" t="s">
        <v>4104</v>
      </c>
      <c r="F610" t="s">
        <v>1227</v>
      </c>
      <c r="G610" t="s">
        <v>1855</v>
      </c>
      <c r="H610">
        <v>23.76</v>
      </c>
      <c r="I610">
        <v>23.76</v>
      </c>
      <c r="J610" t="s">
        <v>3862</v>
      </c>
      <c r="K610">
        <v>1</v>
      </c>
      <c r="L610" t="s">
        <v>2945</v>
      </c>
      <c r="M610" s="19">
        <v>46262</v>
      </c>
      <c r="N610" t="s">
        <v>4105</v>
      </c>
    </row>
    <row r="611" spans="1:14" x14ac:dyDescent="0.3">
      <c r="A611" t="s">
        <v>4554</v>
      </c>
      <c r="B611" t="s">
        <v>4555</v>
      </c>
      <c r="C611" t="s">
        <v>4556</v>
      </c>
      <c r="D611" t="s">
        <v>4103</v>
      </c>
      <c r="E611" t="s">
        <v>4104</v>
      </c>
      <c r="F611" t="s">
        <v>1227</v>
      </c>
      <c r="G611" t="s">
        <v>1855</v>
      </c>
      <c r="H611">
        <v>36.119999999999997</v>
      </c>
      <c r="I611">
        <v>36.119999999999997</v>
      </c>
      <c r="J611" t="s">
        <v>3862</v>
      </c>
      <c r="K611">
        <v>1</v>
      </c>
      <c r="L611" t="s">
        <v>2945</v>
      </c>
      <c r="M611" s="19">
        <v>46262</v>
      </c>
      <c r="N611" t="s">
        <v>4105</v>
      </c>
    </row>
    <row r="612" spans="1:14" x14ac:dyDescent="0.3">
      <c r="A612" t="s">
        <v>4557</v>
      </c>
      <c r="B612" t="s">
        <v>4558</v>
      </c>
      <c r="C612" t="s">
        <v>4559</v>
      </c>
      <c r="D612" t="s">
        <v>4103</v>
      </c>
      <c r="E612" t="s">
        <v>4104</v>
      </c>
      <c r="F612" t="s">
        <v>1227</v>
      </c>
      <c r="G612" t="s">
        <v>1855</v>
      </c>
      <c r="H612">
        <v>381.6</v>
      </c>
      <c r="I612">
        <v>381.6</v>
      </c>
      <c r="J612" t="s">
        <v>3862</v>
      </c>
      <c r="K612">
        <v>1</v>
      </c>
      <c r="L612" t="s">
        <v>2945</v>
      </c>
      <c r="M612" s="19">
        <v>46262</v>
      </c>
      <c r="N612" t="s">
        <v>4105</v>
      </c>
    </row>
    <row r="613" spans="1:14" x14ac:dyDescent="0.3">
      <c r="A613" t="s">
        <v>4560</v>
      </c>
      <c r="B613" t="s">
        <v>4561</v>
      </c>
      <c r="C613" t="s">
        <v>4562</v>
      </c>
      <c r="D613" t="s">
        <v>4563</v>
      </c>
      <c r="E613" t="s">
        <v>4564</v>
      </c>
      <c r="F613" t="s">
        <v>1227</v>
      </c>
      <c r="G613" t="s">
        <v>2348</v>
      </c>
      <c r="H613">
        <v>18872.599999999999</v>
      </c>
      <c r="I613">
        <v>19816.22</v>
      </c>
      <c r="J613" t="s">
        <v>3862</v>
      </c>
      <c r="K613">
        <v>1</v>
      </c>
      <c r="L613" t="s">
        <v>2945</v>
      </c>
      <c r="M613" s="19">
        <v>46262</v>
      </c>
      <c r="N613" t="s">
        <v>4565</v>
      </c>
    </row>
    <row r="614" spans="1:14" x14ac:dyDescent="0.3">
      <c r="A614" t="s">
        <v>4566</v>
      </c>
      <c r="B614" t="s">
        <v>4567</v>
      </c>
      <c r="C614" t="s">
        <v>4568</v>
      </c>
      <c r="D614" t="s">
        <v>4563</v>
      </c>
      <c r="E614" t="s">
        <v>4564</v>
      </c>
      <c r="F614" t="s">
        <v>1227</v>
      </c>
      <c r="G614" t="s">
        <v>2348</v>
      </c>
      <c r="H614">
        <v>18872.599999999999</v>
      </c>
      <c r="I614">
        <v>19816.22</v>
      </c>
      <c r="J614" t="s">
        <v>3862</v>
      </c>
      <c r="K614">
        <v>1</v>
      </c>
      <c r="L614" t="s">
        <v>2945</v>
      </c>
      <c r="M614" s="19">
        <v>46262</v>
      </c>
      <c r="N614" t="s">
        <v>4565</v>
      </c>
    </row>
    <row r="615" spans="1:14" x14ac:dyDescent="0.3">
      <c r="A615" t="s">
        <v>4569</v>
      </c>
      <c r="B615" t="s">
        <v>4570</v>
      </c>
      <c r="C615" t="s">
        <v>4571</v>
      </c>
      <c r="D615" t="s">
        <v>4563</v>
      </c>
      <c r="E615" t="s">
        <v>4564</v>
      </c>
      <c r="F615" t="s">
        <v>1227</v>
      </c>
      <c r="G615" t="s">
        <v>2348</v>
      </c>
      <c r="H615">
        <v>19389.509999999998</v>
      </c>
      <c r="I615">
        <v>20358.990000000002</v>
      </c>
      <c r="J615" t="s">
        <v>3862</v>
      </c>
      <c r="K615">
        <v>1</v>
      </c>
      <c r="L615" t="s">
        <v>2945</v>
      </c>
      <c r="M615" s="19">
        <v>46262</v>
      </c>
      <c r="N615" t="s">
        <v>4565</v>
      </c>
    </row>
    <row r="616" spans="1:14" x14ac:dyDescent="0.3">
      <c r="A616" t="s">
        <v>4572</v>
      </c>
      <c r="B616" t="s">
        <v>4573</v>
      </c>
      <c r="C616" t="s">
        <v>4574</v>
      </c>
      <c r="D616" t="s">
        <v>4563</v>
      </c>
      <c r="E616" t="s">
        <v>4564</v>
      </c>
      <c r="F616" t="s">
        <v>1227</v>
      </c>
      <c r="G616" t="s">
        <v>2348</v>
      </c>
      <c r="H616">
        <v>19389.509999999998</v>
      </c>
      <c r="I616">
        <v>20358.990000000002</v>
      </c>
      <c r="J616" t="s">
        <v>3862</v>
      </c>
      <c r="K616">
        <v>1</v>
      </c>
      <c r="L616" t="s">
        <v>2945</v>
      </c>
      <c r="M616" s="19">
        <v>46262</v>
      </c>
      <c r="N616" t="s">
        <v>4565</v>
      </c>
    </row>
    <row r="617" spans="1:14" x14ac:dyDescent="0.3">
      <c r="A617" t="s">
        <v>4575</v>
      </c>
      <c r="B617" t="s">
        <v>4576</v>
      </c>
      <c r="C617" t="s">
        <v>4577</v>
      </c>
      <c r="D617" t="s">
        <v>4563</v>
      </c>
      <c r="E617" t="s">
        <v>4564</v>
      </c>
      <c r="F617" t="s">
        <v>1227</v>
      </c>
      <c r="G617" t="s">
        <v>2348</v>
      </c>
      <c r="H617">
        <v>22991.85</v>
      </c>
      <c r="I617">
        <v>24141.439999999999</v>
      </c>
      <c r="J617" t="s">
        <v>3862</v>
      </c>
      <c r="K617">
        <v>1</v>
      </c>
      <c r="L617" t="s">
        <v>2945</v>
      </c>
      <c r="M617" s="19">
        <v>46262</v>
      </c>
      <c r="N617" t="s">
        <v>4565</v>
      </c>
    </row>
    <row r="618" spans="1:14" x14ac:dyDescent="0.3">
      <c r="A618" t="s">
        <v>4578</v>
      </c>
      <c r="B618" t="s">
        <v>4579</v>
      </c>
      <c r="C618" t="s">
        <v>4580</v>
      </c>
      <c r="D618" t="s">
        <v>4563</v>
      </c>
      <c r="E618" t="s">
        <v>4564</v>
      </c>
      <c r="F618" t="s">
        <v>1227</v>
      </c>
      <c r="G618" t="s">
        <v>2348</v>
      </c>
      <c r="H618">
        <v>22991.85</v>
      </c>
      <c r="I618">
        <v>24141.439999999999</v>
      </c>
      <c r="J618" t="s">
        <v>3862</v>
      </c>
      <c r="K618">
        <v>1</v>
      </c>
      <c r="L618" t="s">
        <v>2945</v>
      </c>
      <c r="M618" s="19">
        <v>46262</v>
      </c>
      <c r="N618" t="s">
        <v>4565</v>
      </c>
    </row>
    <row r="619" spans="1:14" x14ac:dyDescent="0.3">
      <c r="A619" t="s">
        <v>4581</v>
      </c>
      <c r="B619" t="s">
        <v>4582</v>
      </c>
      <c r="C619" t="s">
        <v>4583</v>
      </c>
      <c r="D619" t="s">
        <v>4563</v>
      </c>
      <c r="E619" t="s">
        <v>4564</v>
      </c>
      <c r="F619" t="s">
        <v>1227</v>
      </c>
      <c r="G619" t="s">
        <v>2348</v>
      </c>
      <c r="H619">
        <v>36547.879999999997</v>
      </c>
      <c r="I619">
        <v>38375.269999999997</v>
      </c>
      <c r="J619" t="s">
        <v>3862</v>
      </c>
      <c r="K619">
        <v>1</v>
      </c>
      <c r="L619" t="s">
        <v>2945</v>
      </c>
      <c r="M619" s="19">
        <v>46262</v>
      </c>
      <c r="N619" t="s">
        <v>4565</v>
      </c>
    </row>
    <row r="620" spans="1:14" x14ac:dyDescent="0.3">
      <c r="A620" t="s">
        <v>4584</v>
      </c>
      <c r="B620" t="s">
        <v>2614</v>
      </c>
      <c r="C620" t="s">
        <v>4585</v>
      </c>
      <c r="D620" t="s">
        <v>4563</v>
      </c>
      <c r="E620" t="s">
        <v>4564</v>
      </c>
      <c r="F620" t="s">
        <v>1227</v>
      </c>
      <c r="G620" t="s">
        <v>2348</v>
      </c>
      <c r="H620">
        <v>917.6</v>
      </c>
      <c r="I620">
        <v>963.47</v>
      </c>
      <c r="J620" t="s">
        <v>3862</v>
      </c>
      <c r="K620">
        <v>1</v>
      </c>
      <c r="L620" t="s">
        <v>2945</v>
      </c>
      <c r="M620" s="19">
        <v>46262</v>
      </c>
      <c r="N620" t="s">
        <v>4565</v>
      </c>
    </row>
    <row r="621" spans="1:14" x14ac:dyDescent="0.3">
      <c r="A621" t="s">
        <v>4586</v>
      </c>
      <c r="B621" t="s">
        <v>2514</v>
      </c>
      <c r="C621" t="s">
        <v>4587</v>
      </c>
      <c r="D621" t="s">
        <v>4563</v>
      </c>
      <c r="E621" t="s">
        <v>4564</v>
      </c>
      <c r="F621" t="s">
        <v>1227</v>
      </c>
      <c r="G621" t="s">
        <v>2348</v>
      </c>
      <c r="H621">
        <v>31982.58</v>
      </c>
      <c r="I621">
        <v>33581.71</v>
      </c>
      <c r="J621" t="s">
        <v>3862</v>
      </c>
      <c r="K621">
        <v>1</v>
      </c>
      <c r="L621" t="s">
        <v>2945</v>
      </c>
      <c r="M621" s="19">
        <v>46262</v>
      </c>
      <c r="N621" t="s">
        <v>4565</v>
      </c>
    </row>
    <row r="622" spans="1:14" x14ac:dyDescent="0.3">
      <c r="A622" t="s">
        <v>4588</v>
      </c>
      <c r="B622" t="s">
        <v>4589</v>
      </c>
      <c r="C622" t="s">
        <v>4590</v>
      </c>
      <c r="D622" t="s">
        <v>4563</v>
      </c>
      <c r="E622" t="s">
        <v>4564</v>
      </c>
      <c r="F622" t="s">
        <v>1227</v>
      </c>
      <c r="G622" t="s">
        <v>2348</v>
      </c>
      <c r="H622">
        <v>18185.580000000002</v>
      </c>
      <c r="I622">
        <v>19094.86</v>
      </c>
      <c r="J622" t="s">
        <v>3862</v>
      </c>
      <c r="K622">
        <v>1</v>
      </c>
      <c r="L622" t="s">
        <v>2945</v>
      </c>
      <c r="M622" s="19">
        <v>46262</v>
      </c>
      <c r="N622" t="s">
        <v>4565</v>
      </c>
    </row>
    <row r="623" spans="1:14" x14ac:dyDescent="0.3">
      <c r="A623" t="s">
        <v>4591</v>
      </c>
      <c r="B623" t="s">
        <v>4592</v>
      </c>
      <c r="C623" t="s">
        <v>4593</v>
      </c>
      <c r="D623" t="s">
        <v>4563</v>
      </c>
      <c r="E623" t="s">
        <v>4564</v>
      </c>
      <c r="F623" t="s">
        <v>1227</v>
      </c>
      <c r="G623" t="s">
        <v>2348</v>
      </c>
      <c r="H623">
        <v>35180.46</v>
      </c>
      <c r="I623">
        <v>36939.480000000003</v>
      </c>
      <c r="J623" t="s">
        <v>3862</v>
      </c>
      <c r="K623">
        <v>1</v>
      </c>
      <c r="L623" t="s">
        <v>2945</v>
      </c>
      <c r="M623" s="19">
        <v>46262</v>
      </c>
      <c r="N623" t="s">
        <v>4565</v>
      </c>
    </row>
    <row r="624" spans="1:14" x14ac:dyDescent="0.3">
      <c r="A624" t="s">
        <v>4594</v>
      </c>
      <c r="B624" t="s">
        <v>4595</v>
      </c>
      <c r="C624" t="s">
        <v>4596</v>
      </c>
      <c r="D624" t="s">
        <v>4563</v>
      </c>
      <c r="E624" t="s">
        <v>4564</v>
      </c>
      <c r="F624" t="s">
        <v>1227</v>
      </c>
      <c r="G624" t="s">
        <v>2348</v>
      </c>
      <c r="H624">
        <v>11498.76</v>
      </c>
      <c r="I624">
        <v>12073.7</v>
      </c>
      <c r="J624" t="s">
        <v>3862</v>
      </c>
      <c r="K624">
        <v>1</v>
      </c>
      <c r="L624" t="s">
        <v>2945</v>
      </c>
      <c r="M624" s="19">
        <v>46262</v>
      </c>
      <c r="N624" t="s">
        <v>4565</v>
      </c>
    </row>
    <row r="625" spans="1:14" x14ac:dyDescent="0.3">
      <c r="A625" t="s">
        <v>4597</v>
      </c>
      <c r="B625" t="s">
        <v>4598</v>
      </c>
      <c r="C625" t="s">
        <v>4599</v>
      </c>
      <c r="D625" t="s">
        <v>4563</v>
      </c>
      <c r="E625" t="s">
        <v>4564</v>
      </c>
      <c r="F625" t="s">
        <v>1227</v>
      </c>
      <c r="G625" t="s">
        <v>2348</v>
      </c>
      <c r="H625">
        <v>11499.03</v>
      </c>
      <c r="I625">
        <v>12073.98</v>
      </c>
      <c r="J625" t="s">
        <v>3862</v>
      </c>
      <c r="K625">
        <v>1</v>
      </c>
      <c r="L625" t="s">
        <v>2945</v>
      </c>
      <c r="M625" s="19">
        <v>46262</v>
      </c>
      <c r="N625" t="s">
        <v>4565</v>
      </c>
    </row>
    <row r="626" spans="1:14" x14ac:dyDescent="0.3">
      <c r="A626" t="s">
        <v>4600</v>
      </c>
      <c r="B626" t="s">
        <v>4601</v>
      </c>
      <c r="C626" t="s">
        <v>4602</v>
      </c>
      <c r="D626" t="s">
        <v>4563</v>
      </c>
      <c r="E626" t="s">
        <v>4564</v>
      </c>
      <c r="F626" t="s">
        <v>1227</v>
      </c>
      <c r="G626" t="s">
        <v>2348</v>
      </c>
      <c r="H626">
        <v>7396.39</v>
      </c>
      <c r="I626">
        <v>7766.21</v>
      </c>
      <c r="J626" t="s">
        <v>3862</v>
      </c>
      <c r="K626">
        <v>1</v>
      </c>
      <c r="L626" t="s">
        <v>2945</v>
      </c>
      <c r="M626" s="19">
        <v>46262</v>
      </c>
      <c r="N626" t="s">
        <v>4565</v>
      </c>
    </row>
    <row r="627" spans="1:14" x14ac:dyDescent="0.3">
      <c r="A627" t="s">
        <v>4603</v>
      </c>
      <c r="B627" t="s">
        <v>4604</v>
      </c>
      <c r="C627" t="s">
        <v>4605</v>
      </c>
      <c r="D627" t="s">
        <v>4563</v>
      </c>
      <c r="E627" t="s">
        <v>4564</v>
      </c>
      <c r="F627" t="s">
        <v>1227</v>
      </c>
      <c r="G627" t="s">
        <v>2348</v>
      </c>
      <c r="H627">
        <v>8124.56</v>
      </c>
      <c r="I627">
        <v>8530.7900000000009</v>
      </c>
      <c r="J627" t="s">
        <v>3862</v>
      </c>
      <c r="K627">
        <v>1</v>
      </c>
      <c r="L627" t="s">
        <v>2945</v>
      </c>
      <c r="M627" s="19">
        <v>46262</v>
      </c>
      <c r="N627" t="s">
        <v>4565</v>
      </c>
    </row>
    <row r="628" spans="1:14" x14ac:dyDescent="0.3">
      <c r="A628" t="s">
        <v>4606</v>
      </c>
      <c r="B628" t="s">
        <v>4607</v>
      </c>
      <c r="D628" t="s">
        <v>4608</v>
      </c>
      <c r="E628" t="s">
        <v>4609</v>
      </c>
      <c r="F628" t="s">
        <v>1227</v>
      </c>
      <c r="G628" t="s">
        <v>2348</v>
      </c>
      <c r="H628">
        <v>2543.92</v>
      </c>
      <c r="I628">
        <v>2671.12</v>
      </c>
      <c r="J628" t="s">
        <v>3862</v>
      </c>
      <c r="K628">
        <v>1</v>
      </c>
      <c r="L628" t="s">
        <v>2945</v>
      </c>
      <c r="M628" s="19">
        <v>46262</v>
      </c>
      <c r="N628" t="s">
        <v>4610</v>
      </c>
    </row>
    <row r="629" spans="1:14" x14ac:dyDescent="0.3">
      <c r="A629" t="s">
        <v>4611</v>
      </c>
      <c r="B629" t="s">
        <v>4612</v>
      </c>
      <c r="D629" t="s">
        <v>4608</v>
      </c>
      <c r="E629" t="s">
        <v>4609</v>
      </c>
      <c r="F629" t="s">
        <v>1227</v>
      </c>
      <c r="G629" t="s">
        <v>2348</v>
      </c>
      <c r="H629">
        <v>3258.9</v>
      </c>
      <c r="I629">
        <v>3421.85</v>
      </c>
      <c r="J629" t="s">
        <v>3862</v>
      </c>
      <c r="K629">
        <v>1</v>
      </c>
      <c r="L629" t="s">
        <v>2945</v>
      </c>
      <c r="M629" s="19">
        <v>46262</v>
      </c>
      <c r="N629" t="s">
        <v>4610</v>
      </c>
    </row>
    <row r="630" spans="1:14" x14ac:dyDescent="0.3">
      <c r="A630" t="s">
        <v>4613</v>
      </c>
      <c r="B630" t="s">
        <v>4614</v>
      </c>
      <c r="D630" t="s">
        <v>4608</v>
      </c>
      <c r="E630" t="s">
        <v>4609</v>
      </c>
      <c r="F630" t="s">
        <v>1227</v>
      </c>
      <c r="G630" t="s">
        <v>2348</v>
      </c>
      <c r="H630">
        <v>5031.45</v>
      </c>
      <c r="I630">
        <v>5283.02</v>
      </c>
      <c r="J630" t="s">
        <v>3862</v>
      </c>
      <c r="K630">
        <v>1</v>
      </c>
      <c r="L630" t="s">
        <v>2945</v>
      </c>
      <c r="M630" s="19">
        <v>46262</v>
      </c>
      <c r="N630" t="s">
        <v>4610</v>
      </c>
    </row>
    <row r="631" spans="1:14" x14ac:dyDescent="0.3">
      <c r="A631" t="s">
        <v>4615</v>
      </c>
      <c r="B631" t="s">
        <v>4616</v>
      </c>
      <c r="D631" t="s">
        <v>4608</v>
      </c>
      <c r="E631" t="s">
        <v>4609</v>
      </c>
      <c r="F631" t="s">
        <v>1227</v>
      </c>
      <c r="G631" t="s">
        <v>2348</v>
      </c>
      <c r="H631">
        <v>6573.6</v>
      </c>
      <c r="I631">
        <v>6902.28</v>
      </c>
      <c r="J631" t="s">
        <v>3862</v>
      </c>
      <c r="K631">
        <v>1</v>
      </c>
      <c r="L631" t="s">
        <v>2945</v>
      </c>
      <c r="M631" s="19">
        <v>46262</v>
      </c>
      <c r="N631" t="s">
        <v>4610</v>
      </c>
    </row>
    <row r="632" spans="1:14" x14ac:dyDescent="0.3">
      <c r="A632" t="s">
        <v>4617</v>
      </c>
      <c r="B632" t="s">
        <v>4618</v>
      </c>
      <c r="C632" t="s">
        <v>4619</v>
      </c>
      <c r="D632" t="s">
        <v>4563</v>
      </c>
      <c r="E632" t="s">
        <v>4564</v>
      </c>
      <c r="F632" t="s">
        <v>1227</v>
      </c>
      <c r="G632" t="s">
        <v>2348</v>
      </c>
      <c r="H632">
        <v>60805.08</v>
      </c>
      <c r="I632">
        <v>63845.33</v>
      </c>
      <c r="J632" t="s">
        <v>3862</v>
      </c>
      <c r="K632">
        <v>1</v>
      </c>
      <c r="L632" t="s">
        <v>2945</v>
      </c>
      <c r="M632" s="19">
        <v>46262</v>
      </c>
      <c r="N632" t="s">
        <v>4565</v>
      </c>
    </row>
    <row r="633" spans="1:14" x14ac:dyDescent="0.3">
      <c r="A633" t="s">
        <v>4620</v>
      </c>
      <c r="B633" t="s">
        <v>4621</v>
      </c>
      <c r="C633" t="s">
        <v>4622</v>
      </c>
      <c r="D633" t="s">
        <v>4563</v>
      </c>
      <c r="E633" t="s">
        <v>4564</v>
      </c>
      <c r="F633" t="s">
        <v>1227</v>
      </c>
      <c r="G633" t="s">
        <v>2348</v>
      </c>
      <c r="H633">
        <v>42521.22</v>
      </c>
      <c r="I633">
        <v>44647.28</v>
      </c>
      <c r="J633" t="s">
        <v>3862</v>
      </c>
      <c r="K633">
        <v>1</v>
      </c>
      <c r="L633" t="s">
        <v>2945</v>
      </c>
      <c r="M633" s="19">
        <v>46262</v>
      </c>
      <c r="N633" t="s">
        <v>4565</v>
      </c>
    </row>
    <row r="634" spans="1:14" x14ac:dyDescent="0.3">
      <c r="A634" t="s">
        <v>4623</v>
      </c>
      <c r="B634" t="s">
        <v>4624</v>
      </c>
      <c r="C634" t="s">
        <v>4625</v>
      </c>
      <c r="D634" t="s">
        <v>4563</v>
      </c>
      <c r="E634" t="s">
        <v>4564</v>
      </c>
      <c r="F634" t="s">
        <v>1227</v>
      </c>
      <c r="G634" t="s">
        <v>2348</v>
      </c>
      <c r="H634">
        <v>98037.13</v>
      </c>
      <c r="I634">
        <v>102938.99</v>
      </c>
      <c r="J634" t="s">
        <v>3862</v>
      </c>
      <c r="K634">
        <v>1</v>
      </c>
      <c r="L634" t="s">
        <v>2945</v>
      </c>
      <c r="M634" s="19">
        <v>46262</v>
      </c>
      <c r="N634" t="s">
        <v>4565</v>
      </c>
    </row>
    <row r="635" spans="1:14" x14ac:dyDescent="0.3">
      <c r="A635" t="s">
        <v>4626</v>
      </c>
      <c r="B635" t="s">
        <v>4627</v>
      </c>
      <c r="C635" t="s">
        <v>4628</v>
      </c>
      <c r="D635" t="s">
        <v>4563</v>
      </c>
      <c r="E635" t="s">
        <v>4564</v>
      </c>
      <c r="F635" t="s">
        <v>1227</v>
      </c>
      <c r="G635" t="s">
        <v>2348</v>
      </c>
      <c r="H635">
        <v>17008.419999999998</v>
      </c>
      <c r="I635">
        <v>17858.849999999999</v>
      </c>
      <c r="J635" t="s">
        <v>3862</v>
      </c>
      <c r="K635">
        <v>1</v>
      </c>
      <c r="L635" t="s">
        <v>2945</v>
      </c>
      <c r="M635" s="19">
        <v>46262</v>
      </c>
      <c r="N635" t="s">
        <v>4565</v>
      </c>
    </row>
    <row r="636" spans="1:14" x14ac:dyDescent="0.3">
      <c r="A636" t="s">
        <v>4629</v>
      </c>
      <c r="B636" t="s">
        <v>4630</v>
      </c>
      <c r="C636" t="s">
        <v>4631</v>
      </c>
      <c r="D636" t="s">
        <v>4563</v>
      </c>
      <c r="E636" t="s">
        <v>4564</v>
      </c>
      <c r="F636" t="s">
        <v>1227</v>
      </c>
      <c r="G636" t="s">
        <v>2348</v>
      </c>
      <c r="H636">
        <v>17008.419999999998</v>
      </c>
      <c r="I636">
        <v>17858.849999999999</v>
      </c>
      <c r="J636" t="s">
        <v>3862</v>
      </c>
      <c r="K636">
        <v>1</v>
      </c>
      <c r="L636" t="s">
        <v>2945</v>
      </c>
      <c r="M636" s="19">
        <v>46262</v>
      </c>
      <c r="N636" t="s">
        <v>4565</v>
      </c>
    </row>
    <row r="637" spans="1:14" x14ac:dyDescent="0.3">
      <c r="A637" t="s">
        <v>4632</v>
      </c>
      <c r="B637" t="s">
        <v>4633</v>
      </c>
      <c r="C637" t="s">
        <v>4634</v>
      </c>
      <c r="D637" t="s">
        <v>4563</v>
      </c>
      <c r="E637" t="s">
        <v>4564</v>
      </c>
      <c r="F637" t="s">
        <v>1227</v>
      </c>
      <c r="G637" t="s">
        <v>2348</v>
      </c>
      <c r="H637">
        <v>13244.18</v>
      </c>
      <c r="I637">
        <v>13906.38</v>
      </c>
      <c r="J637" t="s">
        <v>3862</v>
      </c>
      <c r="K637">
        <v>1</v>
      </c>
      <c r="L637" t="s">
        <v>2945</v>
      </c>
      <c r="M637" s="19">
        <v>46262</v>
      </c>
      <c r="N637" t="s">
        <v>4565</v>
      </c>
    </row>
    <row r="638" spans="1:14" x14ac:dyDescent="0.3">
      <c r="A638" t="s">
        <v>4635</v>
      </c>
      <c r="B638" t="s">
        <v>4636</v>
      </c>
      <c r="C638" t="s">
        <v>4637</v>
      </c>
      <c r="D638" t="s">
        <v>4563</v>
      </c>
      <c r="E638" t="s">
        <v>4564</v>
      </c>
      <c r="F638" t="s">
        <v>1227</v>
      </c>
      <c r="G638" t="s">
        <v>2348</v>
      </c>
      <c r="H638">
        <v>9132</v>
      </c>
      <c r="I638">
        <v>9588.6</v>
      </c>
      <c r="J638" t="s">
        <v>3862</v>
      </c>
      <c r="K638">
        <v>1</v>
      </c>
      <c r="L638" t="s">
        <v>2945</v>
      </c>
      <c r="M638" s="19">
        <v>46262</v>
      </c>
      <c r="N638" t="s">
        <v>4565</v>
      </c>
    </row>
    <row r="639" spans="1:14" x14ac:dyDescent="0.3">
      <c r="A639" t="s">
        <v>4638</v>
      </c>
      <c r="B639" t="s">
        <v>4639</v>
      </c>
      <c r="C639" t="s">
        <v>4640</v>
      </c>
      <c r="D639" t="s">
        <v>4563</v>
      </c>
      <c r="E639" t="s">
        <v>4564</v>
      </c>
      <c r="F639" t="s">
        <v>1227</v>
      </c>
      <c r="G639" t="s">
        <v>2348</v>
      </c>
      <c r="H639">
        <v>9132</v>
      </c>
      <c r="I639">
        <v>9588.6</v>
      </c>
      <c r="J639" t="s">
        <v>3862</v>
      </c>
      <c r="K639">
        <v>1</v>
      </c>
      <c r="L639" t="s">
        <v>2945</v>
      </c>
      <c r="M639" s="19">
        <v>46262</v>
      </c>
      <c r="N639" t="s">
        <v>4565</v>
      </c>
    </row>
    <row r="640" spans="1:14" x14ac:dyDescent="0.3">
      <c r="A640" t="s">
        <v>4641</v>
      </c>
      <c r="B640" t="s">
        <v>4642</v>
      </c>
      <c r="C640" t="s">
        <v>4643</v>
      </c>
      <c r="D640" t="s">
        <v>4563</v>
      </c>
      <c r="E640" t="s">
        <v>4564</v>
      </c>
      <c r="F640" t="s">
        <v>1227</v>
      </c>
      <c r="G640" t="s">
        <v>2348</v>
      </c>
      <c r="H640">
        <v>9132</v>
      </c>
      <c r="I640">
        <v>9588.6</v>
      </c>
      <c r="J640" t="s">
        <v>3862</v>
      </c>
      <c r="K640">
        <v>1</v>
      </c>
      <c r="L640" t="s">
        <v>2945</v>
      </c>
      <c r="M640" s="19">
        <v>46262</v>
      </c>
      <c r="N640" t="s">
        <v>4565</v>
      </c>
    </row>
    <row r="641" spans="1:14" x14ac:dyDescent="0.3">
      <c r="A641" t="s">
        <v>4644</v>
      </c>
      <c r="B641" t="s">
        <v>4645</v>
      </c>
      <c r="C641" t="s">
        <v>4646</v>
      </c>
      <c r="D641" t="s">
        <v>4563</v>
      </c>
      <c r="E641" t="s">
        <v>4564</v>
      </c>
      <c r="F641" t="s">
        <v>1227</v>
      </c>
      <c r="G641" t="s">
        <v>2348</v>
      </c>
      <c r="H641">
        <v>8143.07</v>
      </c>
      <c r="I641">
        <v>8550.2199999999993</v>
      </c>
      <c r="J641" t="s">
        <v>3862</v>
      </c>
      <c r="K641">
        <v>1</v>
      </c>
      <c r="L641" t="s">
        <v>2945</v>
      </c>
      <c r="M641" s="19">
        <v>46262</v>
      </c>
      <c r="N641" t="s">
        <v>4565</v>
      </c>
    </row>
    <row r="642" spans="1:14" x14ac:dyDescent="0.3">
      <c r="A642" t="s">
        <v>4647</v>
      </c>
      <c r="B642" t="s">
        <v>4648</v>
      </c>
      <c r="C642" t="s">
        <v>4649</v>
      </c>
      <c r="D642" t="s">
        <v>4563</v>
      </c>
      <c r="E642" t="s">
        <v>4564</v>
      </c>
      <c r="F642" t="s">
        <v>1227</v>
      </c>
      <c r="G642" t="s">
        <v>2348</v>
      </c>
      <c r="H642">
        <v>8143.07</v>
      </c>
      <c r="I642">
        <v>8550.2199999999993</v>
      </c>
      <c r="J642" t="s">
        <v>3862</v>
      </c>
      <c r="K642">
        <v>1</v>
      </c>
      <c r="L642" t="s">
        <v>2945</v>
      </c>
      <c r="M642" s="19">
        <v>46262</v>
      </c>
      <c r="N642" t="s">
        <v>4565</v>
      </c>
    </row>
    <row r="643" spans="1:14" x14ac:dyDescent="0.3">
      <c r="A643" t="s">
        <v>4650</v>
      </c>
      <c r="B643" t="s">
        <v>4651</v>
      </c>
      <c r="C643" t="s">
        <v>4652</v>
      </c>
      <c r="D643" t="s">
        <v>4563</v>
      </c>
      <c r="E643" t="s">
        <v>4564</v>
      </c>
      <c r="F643" t="s">
        <v>1227</v>
      </c>
      <c r="G643" t="s">
        <v>2348</v>
      </c>
      <c r="H643">
        <v>8576.82</v>
      </c>
      <c r="I643">
        <v>9005.66</v>
      </c>
      <c r="J643" t="s">
        <v>3862</v>
      </c>
      <c r="K643">
        <v>1</v>
      </c>
      <c r="L643" t="s">
        <v>2945</v>
      </c>
      <c r="M643" s="19">
        <v>46262</v>
      </c>
      <c r="N643" t="s">
        <v>4565</v>
      </c>
    </row>
    <row r="644" spans="1:14" x14ac:dyDescent="0.3">
      <c r="A644" t="s">
        <v>4653</v>
      </c>
      <c r="B644" t="s">
        <v>4654</v>
      </c>
      <c r="C644" t="s">
        <v>4655</v>
      </c>
      <c r="D644" t="s">
        <v>4563</v>
      </c>
      <c r="E644" t="s">
        <v>4564</v>
      </c>
      <c r="F644" t="s">
        <v>1227</v>
      </c>
      <c r="G644" t="s">
        <v>2348</v>
      </c>
      <c r="H644">
        <v>8576.82</v>
      </c>
      <c r="I644">
        <v>9005.66</v>
      </c>
      <c r="J644" t="s">
        <v>3862</v>
      </c>
      <c r="K644">
        <v>1</v>
      </c>
      <c r="L644" t="s">
        <v>2945</v>
      </c>
      <c r="M644" s="19">
        <v>46262</v>
      </c>
      <c r="N644" t="s">
        <v>4565</v>
      </c>
    </row>
    <row r="645" spans="1:14" x14ac:dyDescent="0.3">
      <c r="A645" t="s">
        <v>4656</v>
      </c>
      <c r="B645" t="s">
        <v>4657</v>
      </c>
      <c r="C645" t="s">
        <v>4658</v>
      </c>
      <c r="D645" t="s">
        <v>4563</v>
      </c>
      <c r="E645" t="s">
        <v>4564</v>
      </c>
      <c r="F645" t="s">
        <v>1227</v>
      </c>
      <c r="G645" t="s">
        <v>2348</v>
      </c>
      <c r="H645">
        <v>9660.74</v>
      </c>
      <c r="I645">
        <v>10143.77</v>
      </c>
      <c r="J645" t="s">
        <v>3862</v>
      </c>
      <c r="K645">
        <v>1</v>
      </c>
      <c r="L645" t="s">
        <v>2945</v>
      </c>
      <c r="M645" s="19">
        <v>46262</v>
      </c>
      <c r="N645" t="s">
        <v>4565</v>
      </c>
    </row>
    <row r="646" spans="1:14" x14ac:dyDescent="0.3">
      <c r="A646" t="s">
        <v>4659</v>
      </c>
      <c r="B646" t="s">
        <v>4660</v>
      </c>
      <c r="C646" t="s">
        <v>4661</v>
      </c>
      <c r="D646" t="s">
        <v>4563</v>
      </c>
      <c r="E646" t="s">
        <v>4564</v>
      </c>
      <c r="F646" t="s">
        <v>1227</v>
      </c>
      <c r="G646" t="s">
        <v>2348</v>
      </c>
      <c r="H646">
        <v>9660.74</v>
      </c>
      <c r="I646">
        <v>10143.77</v>
      </c>
      <c r="J646" t="s">
        <v>3862</v>
      </c>
      <c r="K646">
        <v>1</v>
      </c>
      <c r="L646" t="s">
        <v>2945</v>
      </c>
      <c r="M646" s="19">
        <v>46262</v>
      </c>
      <c r="N646" t="s">
        <v>4565</v>
      </c>
    </row>
    <row r="647" spans="1:14" x14ac:dyDescent="0.3">
      <c r="A647" t="s">
        <v>4662</v>
      </c>
      <c r="B647" t="s">
        <v>4663</v>
      </c>
      <c r="C647" t="s">
        <v>4664</v>
      </c>
      <c r="D647" t="s">
        <v>4563</v>
      </c>
      <c r="E647" t="s">
        <v>4564</v>
      </c>
      <c r="F647" t="s">
        <v>1227</v>
      </c>
      <c r="G647" t="s">
        <v>2348</v>
      </c>
      <c r="H647">
        <v>8349.16</v>
      </c>
      <c r="I647">
        <v>8766.6200000000008</v>
      </c>
      <c r="J647" t="s">
        <v>3862</v>
      </c>
      <c r="K647">
        <v>1</v>
      </c>
      <c r="L647" t="s">
        <v>2945</v>
      </c>
      <c r="M647" s="19">
        <v>46262</v>
      </c>
      <c r="N647" t="s">
        <v>4565</v>
      </c>
    </row>
    <row r="648" spans="1:14" x14ac:dyDescent="0.3">
      <c r="A648" t="s">
        <v>4665</v>
      </c>
      <c r="B648" t="s">
        <v>4666</v>
      </c>
      <c r="C648" t="s">
        <v>4667</v>
      </c>
      <c r="D648" t="s">
        <v>4563</v>
      </c>
      <c r="E648" t="s">
        <v>4564</v>
      </c>
      <c r="F648" t="s">
        <v>1227</v>
      </c>
      <c r="G648" t="s">
        <v>2348</v>
      </c>
      <c r="H648">
        <v>8349.16</v>
      </c>
      <c r="I648">
        <v>8766.6200000000008</v>
      </c>
      <c r="J648" t="s">
        <v>3862</v>
      </c>
      <c r="K648">
        <v>1</v>
      </c>
      <c r="L648" t="s">
        <v>2945</v>
      </c>
      <c r="M648" s="19">
        <v>46262</v>
      </c>
      <c r="N648" t="s">
        <v>4565</v>
      </c>
    </row>
    <row r="649" spans="1:14" x14ac:dyDescent="0.3">
      <c r="A649" t="s">
        <v>4668</v>
      </c>
      <c r="B649" t="s">
        <v>4669</v>
      </c>
      <c r="C649" t="s">
        <v>4670</v>
      </c>
      <c r="D649" t="s">
        <v>4563</v>
      </c>
      <c r="E649" t="s">
        <v>4564</v>
      </c>
      <c r="F649" t="s">
        <v>1227</v>
      </c>
      <c r="G649" t="s">
        <v>2348</v>
      </c>
      <c r="H649">
        <v>8553.0499999999993</v>
      </c>
      <c r="I649">
        <v>8980.7000000000007</v>
      </c>
      <c r="J649" t="s">
        <v>3862</v>
      </c>
      <c r="K649">
        <v>1</v>
      </c>
      <c r="L649" t="s">
        <v>2945</v>
      </c>
      <c r="M649" s="19">
        <v>46262</v>
      </c>
      <c r="N649" t="s">
        <v>4565</v>
      </c>
    </row>
    <row r="650" spans="1:14" x14ac:dyDescent="0.3">
      <c r="A650" t="s">
        <v>4671</v>
      </c>
      <c r="B650" t="s">
        <v>4672</v>
      </c>
      <c r="C650" t="s">
        <v>4673</v>
      </c>
      <c r="D650" t="s">
        <v>4563</v>
      </c>
      <c r="E650" t="s">
        <v>4564</v>
      </c>
      <c r="F650" t="s">
        <v>1227</v>
      </c>
      <c r="G650" t="s">
        <v>2348</v>
      </c>
      <c r="H650">
        <v>8553.0499999999993</v>
      </c>
      <c r="I650">
        <v>8980.7000000000007</v>
      </c>
      <c r="J650" t="s">
        <v>3862</v>
      </c>
      <c r="K650">
        <v>1</v>
      </c>
      <c r="L650" t="s">
        <v>2945</v>
      </c>
      <c r="M650" s="19">
        <v>46262</v>
      </c>
      <c r="N650" t="s">
        <v>4565</v>
      </c>
    </row>
    <row r="651" spans="1:14" x14ac:dyDescent="0.3">
      <c r="A651" t="s">
        <v>4674</v>
      </c>
      <c r="B651" t="s">
        <v>4675</v>
      </c>
      <c r="C651" t="s">
        <v>4676</v>
      </c>
      <c r="D651" t="s">
        <v>4563</v>
      </c>
      <c r="E651" t="s">
        <v>4564</v>
      </c>
      <c r="F651" t="s">
        <v>1227</v>
      </c>
      <c r="G651" t="s">
        <v>2348</v>
      </c>
      <c r="H651">
        <v>9520</v>
      </c>
      <c r="I651">
        <v>9996</v>
      </c>
      <c r="J651" t="s">
        <v>3862</v>
      </c>
      <c r="K651">
        <v>1</v>
      </c>
      <c r="L651" t="s">
        <v>2945</v>
      </c>
      <c r="M651" s="19">
        <v>46262</v>
      </c>
      <c r="N651" t="s">
        <v>4565</v>
      </c>
    </row>
    <row r="652" spans="1:14" x14ac:dyDescent="0.3">
      <c r="A652" t="s">
        <v>4677</v>
      </c>
      <c r="B652" t="s">
        <v>4678</v>
      </c>
      <c r="C652" t="s">
        <v>4679</v>
      </c>
      <c r="D652" t="s">
        <v>4563</v>
      </c>
      <c r="E652" t="s">
        <v>4564</v>
      </c>
      <c r="F652" t="s">
        <v>1227</v>
      </c>
      <c r="G652" t="s">
        <v>2348</v>
      </c>
      <c r="H652">
        <v>9520</v>
      </c>
      <c r="I652">
        <v>9996</v>
      </c>
      <c r="J652" t="s">
        <v>3862</v>
      </c>
      <c r="K652">
        <v>1</v>
      </c>
      <c r="L652" t="s">
        <v>2945</v>
      </c>
      <c r="M652" s="19">
        <v>46262</v>
      </c>
      <c r="N652" t="s">
        <v>4565</v>
      </c>
    </row>
    <row r="653" spans="1:14" x14ac:dyDescent="0.3">
      <c r="A653" t="s">
        <v>4680</v>
      </c>
      <c r="B653" t="s">
        <v>4681</v>
      </c>
      <c r="C653" t="s">
        <v>4682</v>
      </c>
      <c r="D653" t="s">
        <v>4563</v>
      </c>
      <c r="E653" t="s">
        <v>4564</v>
      </c>
      <c r="F653" t="s">
        <v>1227</v>
      </c>
      <c r="G653" t="s">
        <v>2348</v>
      </c>
      <c r="H653">
        <v>7351.16</v>
      </c>
      <c r="I653">
        <v>7718.71</v>
      </c>
      <c r="J653" t="s">
        <v>3862</v>
      </c>
      <c r="K653">
        <v>1</v>
      </c>
      <c r="L653" t="s">
        <v>2945</v>
      </c>
      <c r="M653" s="19">
        <v>46262</v>
      </c>
      <c r="N653" t="s">
        <v>4565</v>
      </c>
    </row>
    <row r="654" spans="1:14" x14ac:dyDescent="0.3">
      <c r="A654" t="s">
        <v>4683</v>
      </c>
      <c r="B654" t="s">
        <v>4684</v>
      </c>
      <c r="C654" t="s">
        <v>4685</v>
      </c>
      <c r="D654" t="s">
        <v>4563</v>
      </c>
      <c r="E654" t="s">
        <v>4564</v>
      </c>
      <c r="F654" t="s">
        <v>1227</v>
      </c>
      <c r="G654" t="s">
        <v>2348</v>
      </c>
      <c r="H654">
        <v>7351.16</v>
      </c>
      <c r="I654">
        <v>7718.71</v>
      </c>
      <c r="J654" t="s">
        <v>3862</v>
      </c>
      <c r="K654">
        <v>1</v>
      </c>
      <c r="L654" t="s">
        <v>2945</v>
      </c>
      <c r="M654" s="19">
        <v>46262</v>
      </c>
      <c r="N654" t="s">
        <v>4565</v>
      </c>
    </row>
    <row r="655" spans="1:14" x14ac:dyDescent="0.3">
      <c r="A655" t="s">
        <v>4686</v>
      </c>
      <c r="B655" t="s">
        <v>4687</v>
      </c>
      <c r="C655" t="s">
        <v>4688</v>
      </c>
      <c r="D655" t="s">
        <v>4563</v>
      </c>
      <c r="E655" t="s">
        <v>4564</v>
      </c>
      <c r="F655" t="s">
        <v>1227</v>
      </c>
      <c r="G655" t="s">
        <v>2348</v>
      </c>
      <c r="H655">
        <v>8576.82</v>
      </c>
      <c r="I655">
        <v>9005.66</v>
      </c>
      <c r="J655" t="s">
        <v>3862</v>
      </c>
      <c r="K655">
        <v>1</v>
      </c>
      <c r="L655" t="s">
        <v>2945</v>
      </c>
      <c r="M655" s="19">
        <v>46262</v>
      </c>
      <c r="N655" t="s">
        <v>4565</v>
      </c>
    </row>
    <row r="656" spans="1:14" x14ac:dyDescent="0.3">
      <c r="A656" t="s">
        <v>4689</v>
      </c>
      <c r="B656" t="s">
        <v>4690</v>
      </c>
      <c r="C656" t="s">
        <v>4691</v>
      </c>
      <c r="D656" t="s">
        <v>4563</v>
      </c>
      <c r="E656" t="s">
        <v>4564</v>
      </c>
      <c r="F656" t="s">
        <v>1227</v>
      </c>
      <c r="G656" t="s">
        <v>2348</v>
      </c>
      <c r="H656">
        <v>8576.82</v>
      </c>
      <c r="I656">
        <v>9005.66</v>
      </c>
      <c r="J656" t="s">
        <v>3862</v>
      </c>
      <c r="K656">
        <v>1</v>
      </c>
      <c r="L656" t="s">
        <v>2945</v>
      </c>
      <c r="M656" s="19">
        <v>46262</v>
      </c>
      <c r="N656" t="s">
        <v>4565</v>
      </c>
    </row>
    <row r="657" spans="1:14" x14ac:dyDescent="0.3">
      <c r="A657" t="s">
        <v>4692</v>
      </c>
      <c r="B657" t="s">
        <v>4693</v>
      </c>
      <c r="C657" t="s">
        <v>4694</v>
      </c>
      <c r="D657" t="s">
        <v>4563</v>
      </c>
      <c r="E657" t="s">
        <v>4564</v>
      </c>
      <c r="F657" t="s">
        <v>1227</v>
      </c>
      <c r="G657" t="s">
        <v>2348</v>
      </c>
      <c r="H657">
        <v>8576.82</v>
      </c>
      <c r="I657">
        <v>9005.66</v>
      </c>
      <c r="J657" t="s">
        <v>3862</v>
      </c>
      <c r="K657">
        <v>1</v>
      </c>
      <c r="L657" t="s">
        <v>2945</v>
      </c>
      <c r="M657" s="19">
        <v>46262</v>
      </c>
      <c r="N657" t="s">
        <v>4565</v>
      </c>
    </row>
    <row r="658" spans="1:14" x14ac:dyDescent="0.3">
      <c r="A658" t="s">
        <v>4695</v>
      </c>
      <c r="B658" t="s">
        <v>4696</v>
      </c>
      <c r="C658" t="s">
        <v>4697</v>
      </c>
      <c r="D658" t="s">
        <v>4563</v>
      </c>
      <c r="E658" t="s">
        <v>4564</v>
      </c>
      <c r="F658" t="s">
        <v>1227</v>
      </c>
      <c r="G658" t="s">
        <v>2348</v>
      </c>
      <c r="H658">
        <v>8576.82</v>
      </c>
      <c r="I658">
        <v>9005.66</v>
      </c>
      <c r="J658" t="s">
        <v>3862</v>
      </c>
      <c r="K658">
        <v>1</v>
      </c>
      <c r="L658" t="s">
        <v>2945</v>
      </c>
      <c r="M658" s="19">
        <v>46262</v>
      </c>
      <c r="N658" t="s">
        <v>4565</v>
      </c>
    </row>
    <row r="659" spans="1:14" x14ac:dyDescent="0.3">
      <c r="A659" t="s">
        <v>4698</v>
      </c>
      <c r="B659" t="s">
        <v>4699</v>
      </c>
      <c r="C659" t="s">
        <v>4700</v>
      </c>
      <c r="D659" t="s">
        <v>4563</v>
      </c>
      <c r="E659" t="s">
        <v>4564</v>
      </c>
      <c r="F659" t="s">
        <v>1227</v>
      </c>
      <c r="G659" t="s">
        <v>2348</v>
      </c>
      <c r="H659">
        <v>11101.86</v>
      </c>
      <c r="I659">
        <v>11656.95</v>
      </c>
      <c r="J659" t="s">
        <v>3862</v>
      </c>
      <c r="K659">
        <v>1</v>
      </c>
      <c r="L659" t="s">
        <v>2945</v>
      </c>
      <c r="M659" s="19">
        <v>46262</v>
      </c>
      <c r="N659" t="s">
        <v>4565</v>
      </c>
    </row>
    <row r="660" spans="1:14" x14ac:dyDescent="0.3">
      <c r="A660" t="s">
        <v>4701</v>
      </c>
      <c r="B660" t="s">
        <v>4702</v>
      </c>
      <c r="C660" t="s">
        <v>4703</v>
      </c>
      <c r="D660" t="s">
        <v>4563</v>
      </c>
      <c r="E660" t="s">
        <v>4564</v>
      </c>
      <c r="F660" t="s">
        <v>1227</v>
      </c>
      <c r="G660" t="s">
        <v>2348</v>
      </c>
      <c r="H660">
        <v>11101.86</v>
      </c>
      <c r="I660">
        <v>11656.95</v>
      </c>
      <c r="J660" t="s">
        <v>3862</v>
      </c>
      <c r="K660">
        <v>1</v>
      </c>
      <c r="L660" t="s">
        <v>2945</v>
      </c>
      <c r="M660" s="19">
        <v>46262</v>
      </c>
      <c r="N660" t="s">
        <v>4565</v>
      </c>
    </row>
    <row r="661" spans="1:14" x14ac:dyDescent="0.3">
      <c r="A661" t="s">
        <v>4704</v>
      </c>
      <c r="B661" t="s">
        <v>4705</v>
      </c>
      <c r="C661" t="s">
        <v>4706</v>
      </c>
      <c r="D661" t="s">
        <v>4563</v>
      </c>
      <c r="E661" t="s">
        <v>4564</v>
      </c>
      <c r="F661" t="s">
        <v>1227</v>
      </c>
      <c r="G661" t="s">
        <v>2348</v>
      </c>
      <c r="H661">
        <v>8576.82</v>
      </c>
      <c r="I661">
        <v>9005.66</v>
      </c>
      <c r="J661" t="s">
        <v>3862</v>
      </c>
      <c r="K661">
        <v>1</v>
      </c>
      <c r="L661" t="s">
        <v>2945</v>
      </c>
      <c r="M661" s="19">
        <v>46262</v>
      </c>
      <c r="N661" t="s">
        <v>4565</v>
      </c>
    </row>
    <row r="662" spans="1:14" x14ac:dyDescent="0.3">
      <c r="A662" t="s">
        <v>4707</v>
      </c>
      <c r="B662" t="s">
        <v>4708</v>
      </c>
      <c r="C662" t="s">
        <v>4709</v>
      </c>
      <c r="D662" t="s">
        <v>4563</v>
      </c>
      <c r="E662" t="s">
        <v>4564</v>
      </c>
      <c r="F662" t="s">
        <v>1227</v>
      </c>
      <c r="G662" t="s">
        <v>2348</v>
      </c>
      <c r="H662">
        <v>8576.82</v>
      </c>
      <c r="I662">
        <v>9005.66</v>
      </c>
      <c r="J662" t="s">
        <v>3862</v>
      </c>
      <c r="K662">
        <v>1</v>
      </c>
      <c r="L662" t="s">
        <v>2945</v>
      </c>
      <c r="M662" s="19">
        <v>46262</v>
      </c>
      <c r="N662" t="s">
        <v>4565</v>
      </c>
    </row>
    <row r="663" spans="1:14" x14ac:dyDescent="0.3">
      <c r="A663" t="s">
        <v>4710</v>
      </c>
      <c r="B663" t="s">
        <v>4711</v>
      </c>
      <c r="C663" t="s">
        <v>4712</v>
      </c>
      <c r="D663" t="s">
        <v>4563</v>
      </c>
      <c r="E663" t="s">
        <v>4564</v>
      </c>
      <c r="F663" t="s">
        <v>1227</v>
      </c>
      <c r="G663" t="s">
        <v>2348</v>
      </c>
      <c r="H663">
        <v>10312.790000000001</v>
      </c>
      <c r="I663">
        <v>10828.42</v>
      </c>
      <c r="J663" t="s">
        <v>3862</v>
      </c>
      <c r="K663">
        <v>1</v>
      </c>
      <c r="L663" t="s">
        <v>2945</v>
      </c>
      <c r="M663" s="19">
        <v>46262</v>
      </c>
      <c r="N663" t="s">
        <v>4565</v>
      </c>
    </row>
    <row r="664" spans="1:14" x14ac:dyDescent="0.3">
      <c r="A664" t="s">
        <v>4713</v>
      </c>
      <c r="B664" t="s">
        <v>4714</v>
      </c>
      <c r="C664" t="s">
        <v>4715</v>
      </c>
      <c r="D664" t="s">
        <v>4563</v>
      </c>
      <c r="E664" t="s">
        <v>4564</v>
      </c>
      <c r="F664" t="s">
        <v>1227</v>
      </c>
      <c r="G664" t="s">
        <v>2348</v>
      </c>
      <c r="H664">
        <v>6709.5</v>
      </c>
      <c r="I664">
        <v>7044.98</v>
      </c>
      <c r="J664" t="s">
        <v>3862</v>
      </c>
      <c r="K664">
        <v>1</v>
      </c>
      <c r="L664" t="s">
        <v>2945</v>
      </c>
      <c r="M664" s="19">
        <v>46262</v>
      </c>
      <c r="N664" t="s">
        <v>4565</v>
      </c>
    </row>
    <row r="665" spans="1:14" x14ac:dyDescent="0.3">
      <c r="A665" t="s">
        <v>4716</v>
      </c>
      <c r="B665" t="s">
        <v>4717</v>
      </c>
      <c r="C665" t="s">
        <v>4718</v>
      </c>
      <c r="D665" t="s">
        <v>4563</v>
      </c>
      <c r="E665" t="s">
        <v>4564</v>
      </c>
      <c r="F665" t="s">
        <v>1227</v>
      </c>
      <c r="G665" t="s">
        <v>2348</v>
      </c>
      <c r="H665">
        <v>6709.5</v>
      </c>
      <c r="I665">
        <v>7044.98</v>
      </c>
      <c r="J665" t="s">
        <v>3862</v>
      </c>
      <c r="K665">
        <v>1</v>
      </c>
      <c r="L665" t="s">
        <v>2945</v>
      </c>
      <c r="M665" s="19">
        <v>46262</v>
      </c>
      <c r="N665" t="s">
        <v>4565</v>
      </c>
    </row>
    <row r="666" spans="1:14" x14ac:dyDescent="0.3">
      <c r="A666" t="s">
        <v>4719</v>
      </c>
      <c r="B666" t="s">
        <v>4720</v>
      </c>
      <c r="C666" t="s">
        <v>4721</v>
      </c>
      <c r="D666" t="s">
        <v>4563</v>
      </c>
      <c r="E666" t="s">
        <v>4564</v>
      </c>
      <c r="F666" t="s">
        <v>1227</v>
      </c>
      <c r="G666" t="s">
        <v>2348</v>
      </c>
      <c r="H666">
        <v>1507.15</v>
      </c>
      <c r="I666">
        <v>1582.51</v>
      </c>
      <c r="J666" t="s">
        <v>3862</v>
      </c>
      <c r="K666">
        <v>1</v>
      </c>
      <c r="L666" t="s">
        <v>2945</v>
      </c>
      <c r="M666" s="19">
        <v>46262</v>
      </c>
      <c r="N666" t="s">
        <v>4565</v>
      </c>
    </row>
    <row r="667" spans="1:14" x14ac:dyDescent="0.3">
      <c r="A667" t="s">
        <v>4722</v>
      </c>
      <c r="B667" t="s">
        <v>4723</v>
      </c>
      <c r="C667" t="s">
        <v>4724</v>
      </c>
      <c r="D667" t="s">
        <v>4563</v>
      </c>
      <c r="E667" t="s">
        <v>4564</v>
      </c>
      <c r="F667" t="s">
        <v>1227</v>
      </c>
      <c r="G667" t="s">
        <v>2348</v>
      </c>
      <c r="H667">
        <v>887.36</v>
      </c>
      <c r="I667">
        <v>931.72</v>
      </c>
      <c r="J667" t="s">
        <v>3862</v>
      </c>
      <c r="K667">
        <v>1</v>
      </c>
      <c r="L667" t="s">
        <v>2945</v>
      </c>
      <c r="M667" s="19">
        <v>46262</v>
      </c>
      <c r="N667" t="s">
        <v>4565</v>
      </c>
    </row>
    <row r="668" spans="1:14" x14ac:dyDescent="0.3">
      <c r="A668" t="s">
        <v>4725</v>
      </c>
      <c r="B668" t="s">
        <v>4726</v>
      </c>
      <c r="C668" t="s">
        <v>4727</v>
      </c>
      <c r="D668" t="s">
        <v>4563</v>
      </c>
      <c r="E668" t="s">
        <v>4564</v>
      </c>
      <c r="F668" t="s">
        <v>1227</v>
      </c>
      <c r="G668" t="s">
        <v>2348</v>
      </c>
      <c r="H668">
        <v>660.56</v>
      </c>
      <c r="I668">
        <v>693.58</v>
      </c>
      <c r="J668" t="s">
        <v>3862</v>
      </c>
      <c r="K668">
        <v>1</v>
      </c>
      <c r="L668" t="s">
        <v>2945</v>
      </c>
      <c r="M668" s="19">
        <v>46262</v>
      </c>
      <c r="N668" t="s">
        <v>4565</v>
      </c>
    </row>
    <row r="669" spans="1:14" x14ac:dyDescent="0.3">
      <c r="A669" t="s">
        <v>4728</v>
      </c>
      <c r="B669" t="s">
        <v>4726</v>
      </c>
      <c r="C669" t="s">
        <v>4727</v>
      </c>
      <c r="D669" t="s">
        <v>4563</v>
      </c>
      <c r="E669" t="s">
        <v>4564</v>
      </c>
      <c r="F669" t="s">
        <v>1227</v>
      </c>
      <c r="G669" t="s">
        <v>2348</v>
      </c>
      <c r="H669">
        <v>660.56</v>
      </c>
      <c r="I669">
        <v>693.58</v>
      </c>
      <c r="J669" t="s">
        <v>3862</v>
      </c>
      <c r="K669">
        <v>1</v>
      </c>
      <c r="L669" t="s">
        <v>2945</v>
      </c>
      <c r="M669" s="19">
        <v>46262</v>
      </c>
      <c r="N669" t="s">
        <v>4565</v>
      </c>
    </row>
    <row r="670" spans="1:14" x14ac:dyDescent="0.3">
      <c r="A670" t="s">
        <v>4729</v>
      </c>
      <c r="B670" t="s">
        <v>4730</v>
      </c>
      <c r="C670" t="s">
        <v>4731</v>
      </c>
      <c r="D670" t="s">
        <v>4563</v>
      </c>
      <c r="E670" t="s">
        <v>4564</v>
      </c>
      <c r="F670" t="s">
        <v>1227</v>
      </c>
      <c r="G670" t="s">
        <v>2348</v>
      </c>
      <c r="H670">
        <v>2410.3200000000002</v>
      </c>
      <c r="I670">
        <v>2530.83</v>
      </c>
      <c r="J670" t="s">
        <v>3862</v>
      </c>
      <c r="K670">
        <v>1</v>
      </c>
      <c r="L670" t="s">
        <v>2945</v>
      </c>
      <c r="M670" s="19">
        <v>46262</v>
      </c>
      <c r="N670" t="s">
        <v>4565</v>
      </c>
    </row>
    <row r="671" spans="1:14" x14ac:dyDescent="0.3">
      <c r="A671" t="s">
        <v>4732</v>
      </c>
      <c r="B671" t="s">
        <v>4733</v>
      </c>
      <c r="C671" t="s">
        <v>4734</v>
      </c>
      <c r="D671" t="s">
        <v>4563</v>
      </c>
      <c r="E671" t="s">
        <v>4564</v>
      </c>
      <c r="F671" t="s">
        <v>1227</v>
      </c>
      <c r="G671" t="s">
        <v>2348</v>
      </c>
      <c r="H671">
        <v>6967.8</v>
      </c>
      <c r="I671">
        <v>7316.19</v>
      </c>
      <c r="J671" t="s">
        <v>3862</v>
      </c>
      <c r="K671">
        <v>1</v>
      </c>
      <c r="L671" t="s">
        <v>2945</v>
      </c>
      <c r="M671" s="19">
        <v>46262</v>
      </c>
      <c r="N671" t="s">
        <v>4565</v>
      </c>
    </row>
    <row r="672" spans="1:14" x14ac:dyDescent="0.3">
      <c r="A672" t="s">
        <v>4735</v>
      </c>
      <c r="B672" t="s">
        <v>4736</v>
      </c>
      <c r="C672" t="s">
        <v>4737</v>
      </c>
      <c r="D672" t="s">
        <v>4563</v>
      </c>
      <c r="E672" t="s">
        <v>4564</v>
      </c>
      <c r="F672" t="s">
        <v>1227</v>
      </c>
      <c r="G672" t="s">
        <v>2348</v>
      </c>
      <c r="H672">
        <v>616.14</v>
      </c>
      <c r="I672">
        <v>646.95000000000005</v>
      </c>
      <c r="J672" t="s">
        <v>3862</v>
      </c>
      <c r="K672">
        <v>1</v>
      </c>
      <c r="L672" t="s">
        <v>2945</v>
      </c>
      <c r="M672" s="19">
        <v>46262</v>
      </c>
      <c r="N672" t="s">
        <v>4565</v>
      </c>
    </row>
    <row r="673" spans="1:14" x14ac:dyDescent="0.3">
      <c r="A673" t="s">
        <v>4738</v>
      </c>
      <c r="B673" t="s">
        <v>4739</v>
      </c>
      <c r="C673" t="s">
        <v>4740</v>
      </c>
      <c r="D673" t="s">
        <v>4563</v>
      </c>
      <c r="E673" t="s">
        <v>4564</v>
      </c>
      <c r="F673" t="s">
        <v>1227</v>
      </c>
      <c r="G673" t="s">
        <v>2348</v>
      </c>
      <c r="H673">
        <v>7830.27</v>
      </c>
      <c r="I673">
        <v>8221.7800000000007</v>
      </c>
      <c r="J673" t="s">
        <v>3862</v>
      </c>
      <c r="K673">
        <v>1</v>
      </c>
      <c r="L673" t="s">
        <v>2945</v>
      </c>
      <c r="M673" s="19">
        <v>46262</v>
      </c>
      <c r="N673" t="s">
        <v>4565</v>
      </c>
    </row>
    <row r="674" spans="1:14" x14ac:dyDescent="0.3">
      <c r="A674" t="s">
        <v>4741</v>
      </c>
      <c r="B674" t="s">
        <v>4742</v>
      </c>
      <c r="C674" t="s">
        <v>4743</v>
      </c>
      <c r="D674" t="s">
        <v>4563</v>
      </c>
      <c r="E674" t="s">
        <v>4564</v>
      </c>
      <c r="F674" t="s">
        <v>1227</v>
      </c>
      <c r="G674" t="s">
        <v>2348</v>
      </c>
      <c r="H674">
        <v>8377.43</v>
      </c>
      <c r="I674">
        <v>8796.2999999999993</v>
      </c>
      <c r="J674" t="s">
        <v>3862</v>
      </c>
      <c r="K674">
        <v>1</v>
      </c>
      <c r="L674" t="s">
        <v>2945</v>
      </c>
      <c r="M674" s="19">
        <v>46262</v>
      </c>
      <c r="N674" t="s">
        <v>4565</v>
      </c>
    </row>
    <row r="675" spans="1:14" x14ac:dyDescent="0.3">
      <c r="A675" t="s">
        <v>4744</v>
      </c>
      <c r="B675" t="s">
        <v>4745</v>
      </c>
      <c r="C675" t="s">
        <v>4746</v>
      </c>
      <c r="D675" t="s">
        <v>4563</v>
      </c>
      <c r="E675" t="s">
        <v>4564</v>
      </c>
      <c r="F675" t="s">
        <v>1227</v>
      </c>
      <c r="G675" t="s">
        <v>2348</v>
      </c>
      <c r="H675">
        <v>8377.43</v>
      </c>
      <c r="I675">
        <v>8796.2999999999993</v>
      </c>
      <c r="J675" t="s">
        <v>3862</v>
      </c>
      <c r="K675">
        <v>1</v>
      </c>
      <c r="L675" t="s">
        <v>2945</v>
      </c>
      <c r="M675" s="19">
        <v>46262</v>
      </c>
      <c r="N675" t="s">
        <v>4565</v>
      </c>
    </row>
    <row r="676" spans="1:14" x14ac:dyDescent="0.3">
      <c r="A676" t="s">
        <v>4747</v>
      </c>
      <c r="B676" t="s">
        <v>4748</v>
      </c>
      <c r="C676" t="s">
        <v>4749</v>
      </c>
      <c r="D676" t="s">
        <v>4563</v>
      </c>
      <c r="E676" t="s">
        <v>4564</v>
      </c>
      <c r="F676" t="s">
        <v>1227</v>
      </c>
      <c r="G676" t="s">
        <v>2348</v>
      </c>
      <c r="H676">
        <v>3043.85</v>
      </c>
      <c r="I676">
        <v>3196.04</v>
      </c>
      <c r="J676" t="s">
        <v>3862</v>
      </c>
      <c r="K676">
        <v>1</v>
      </c>
      <c r="L676" t="s">
        <v>2945</v>
      </c>
      <c r="M676" s="19">
        <v>46262</v>
      </c>
      <c r="N676" t="s">
        <v>4565</v>
      </c>
    </row>
    <row r="677" spans="1:14" x14ac:dyDescent="0.3">
      <c r="A677" t="s">
        <v>4750</v>
      </c>
      <c r="B677" t="s">
        <v>4751</v>
      </c>
      <c r="C677" t="s">
        <v>4752</v>
      </c>
      <c r="D677" t="s">
        <v>4563</v>
      </c>
      <c r="E677" t="s">
        <v>4564</v>
      </c>
      <c r="F677" t="s">
        <v>1227</v>
      </c>
      <c r="G677" t="s">
        <v>2348</v>
      </c>
      <c r="H677">
        <v>3043.85</v>
      </c>
      <c r="I677">
        <v>3196.04</v>
      </c>
      <c r="J677" t="s">
        <v>3862</v>
      </c>
      <c r="K677">
        <v>1</v>
      </c>
      <c r="L677" t="s">
        <v>2945</v>
      </c>
      <c r="M677" s="19">
        <v>46262</v>
      </c>
      <c r="N677" t="s">
        <v>4565</v>
      </c>
    </row>
    <row r="678" spans="1:14" x14ac:dyDescent="0.3">
      <c r="A678" t="s">
        <v>4753</v>
      </c>
      <c r="B678" t="s">
        <v>4754</v>
      </c>
      <c r="C678" t="s">
        <v>4755</v>
      </c>
      <c r="D678" t="s">
        <v>4563</v>
      </c>
      <c r="E678" t="s">
        <v>4564</v>
      </c>
      <c r="F678" t="s">
        <v>1227</v>
      </c>
      <c r="G678" t="s">
        <v>2348</v>
      </c>
      <c r="H678">
        <v>35535.78</v>
      </c>
      <c r="I678">
        <v>37312.57</v>
      </c>
      <c r="J678" t="s">
        <v>3862</v>
      </c>
      <c r="K678">
        <v>1</v>
      </c>
      <c r="L678" t="s">
        <v>2945</v>
      </c>
      <c r="M678" s="19">
        <v>46262</v>
      </c>
      <c r="N678" t="s">
        <v>4565</v>
      </c>
    </row>
    <row r="679" spans="1:14" x14ac:dyDescent="0.3">
      <c r="A679" t="s">
        <v>4756</v>
      </c>
      <c r="B679" t="s">
        <v>4757</v>
      </c>
      <c r="C679" t="s">
        <v>4758</v>
      </c>
      <c r="D679" t="s">
        <v>4563</v>
      </c>
      <c r="E679" t="s">
        <v>4564</v>
      </c>
      <c r="F679" t="s">
        <v>1227</v>
      </c>
      <c r="G679" t="s">
        <v>2348</v>
      </c>
      <c r="H679">
        <v>35535.78</v>
      </c>
      <c r="I679">
        <v>37312.57</v>
      </c>
      <c r="J679" t="s">
        <v>3862</v>
      </c>
      <c r="K679">
        <v>1</v>
      </c>
      <c r="L679" t="s">
        <v>2945</v>
      </c>
      <c r="M679" s="19">
        <v>46262</v>
      </c>
      <c r="N679" t="s">
        <v>4565</v>
      </c>
    </row>
    <row r="680" spans="1:14" x14ac:dyDescent="0.3">
      <c r="A680" t="s">
        <v>4759</v>
      </c>
      <c r="B680" t="s">
        <v>4760</v>
      </c>
      <c r="C680" t="s">
        <v>4761</v>
      </c>
      <c r="D680" t="s">
        <v>4563</v>
      </c>
      <c r="E680" t="s">
        <v>4564</v>
      </c>
      <c r="F680" t="s">
        <v>1227</v>
      </c>
      <c r="G680" t="s">
        <v>2348</v>
      </c>
      <c r="H680">
        <v>35535.78</v>
      </c>
      <c r="I680">
        <v>37312.57</v>
      </c>
      <c r="J680" t="s">
        <v>3862</v>
      </c>
      <c r="K680">
        <v>1</v>
      </c>
      <c r="L680" t="s">
        <v>2945</v>
      </c>
      <c r="M680" s="19">
        <v>46262</v>
      </c>
      <c r="N680" t="s">
        <v>4565</v>
      </c>
    </row>
    <row r="681" spans="1:14" x14ac:dyDescent="0.3">
      <c r="A681" t="s">
        <v>4762</v>
      </c>
      <c r="B681" t="s">
        <v>4763</v>
      </c>
      <c r="C681" t="s">
        <v>4764</v>
      </c>
      <c r="D681" t="s">
        <v>4563</v>
      </c>
      <c r="E681" t="s">
        <v>4564</v>
      </c>
      <c r="F681" t="s">
        <v>1227</v>
      </c>
      <c r="G681" t="s">
        <v>2348</v>
      </c>
      <c r="H681">
        <v>35535.78</v>
      </c>
      <c r="I681">
        <v>37312.57</v>
      </c>
      <c r="J681" t="s">
        <v>3862</v>
      </c>
      <c r="K681">
        <v>1</v>
      </c>
      <c r="L681" t="s">
        <v>2945</v>
      </c>
      <c r="M681" s="19">
        <v>46262</v>
      </c>
      <c r="N681" t="s">
        <v>4565</v>
      </c>
    </row>
    <row r="682" spans="1:14" x14ac:dyDescent="0.3">
      <c r="A682" t="s">
        <v>4765</v>
      </c>
      <c r="B682" t="s">
        <v>4766</v>
      </c>
      <c r="C682" t="s">
        <v>4767</v>
      </c>
      <c r="D682" t="s">
        <v>4563</v>
      </c>
      <c r="E682" t="s">
        <v>4564</v>
      </c>
      <c r="F682" t="s">
        <v>1227</v>
      </c>
      <c r="G682" t="s">
        <v>2348</v>
      </c>
      <c r="H682">
        <v>39398.94</v>
      </c>
      <c r="I682">
        <v>41368.89</v>
      </c>
      <c r="J682" t="s">
        <v>3862</v>
      </c>
      <c r="K682">
        <v>1</v>
      </c>
      <c r="L682" t="s">
        <v>2945</v>
      </c>
      <c r="M682" s="19">
        <v>46262</v>
      </c>
      <c r="N682" t="s">
        <v>4565</v>
      </c>
    </row>
    <row r="683" spans="1:14" x14ac:dyDescent="0.3">
      <c r="A683" t="s">
        <v>4768</v>
      </c>
      <c r="B683" t="s">
        <v>4769</v>
      </c>
      <c r="C683" t="s">
        <v>4770</v>
      </c>
      <c r="D683" t="s">
        <v>4563</v>
      </c>
      <c r="E683" t="s">
        <v>4564</v>
      </c>
      <c r="F683" t="s">
        <v>1227</v>
      </c>
      <c r="G683" t="s">
        <v>2348</v>
      </c>
      <c r="H683">
        <v>39398.94</v>
      </c>
      <c r="I683">
        <v>41368.89</v>
      </c>
      <c r="J683" t="s">
        <v>3862</v>
      </c>
      <c r="K683">
        <v>1</v>
      </c>
      <c r="L683" t="s">
        <v>2945</v>
      </c>
      <c r="M683" s="19">
        <v>46262</v>
      </c>
      <c r="N683" t="s">
        <v>4565</v>
      </c>
    </row>
    <row r="684" spans="1:14" x14ac:dyDescent="0.3">
      <c r="A684" t="s">
        <v>4771</v>
      </c>
      <c r="B684" t="s">
        <v>4772</v>
      </c>
      <c r="C684" t="s">
        <v>4773</v>
      </c>
      <c r="D684" t="s">
        <v>4563</v>
      </c>
      <c r="E684" t="s">
        <v>4564</v>
      </c>
      <c r="F684" t="s">
        <v>1227</v>
      </c>
      <c r="G684" t="s">
        <v>2348</v>
      </c>
      <c r="H684">
        <v>39398.94</v>
      </c>
      <c r="I684">
        <v>41368.89</v>
      </c>
      <c r="J684" t="s">
        <v>3862</v>
      </c>
      <c r="K684">
        <v>1</v>
      </c>
      <c r="L684" t="s">
        <v>2945</v>
      </c>
      <c r="M684" s="19">
        <v>46262</v>
      </c>
      <c r="N684" t="s">
        <v>4565</v>
      </c>
    </row>
    <row r="685" spans="1:14" x14ac:dyDescent="0.3">
      <c r="A685" t="s">
        <v>4774</v>
      </c>
      <c r="B685" t="s">
        <v>4775</v>
      </c>
      <c r="C685" t="s">
        <v>4776</v>
      </c>
      <c r="D685" t="s">
        <v>4563</v>
      </c>
      <c r="E685" t="s">
        <v>4564</v>
      </c>
      <c r="F685" t="s">
        <v>1227</v>
      </c>
      <c r="G685" t="s">
        <v>2348</v>
      </c>
      <c r="H685">
        <v>39398.94</v>
      </c>
      <c r="I685">
        <v>41368.89</v>
      </c>
      <c r="J685" t="s">
        <v>3862</v>
      </c>
      <c r="K685">
        <v>1</v>
      </c>
      <c r="L685" t="s">
        <v>2945</v>
      </c>
      <c r="M685" s="19">
        <v>46262</v>
      </c>
      <c r="N685" t="s">
        <v>4565</v>
      </c>
    </row>
    <row r="686" spans="1:14" x14ac:dyDescent="0.3">
      <c r="A686" t="s">
        <v>4777</v>
      </c>
      <c r="B686" t="s">
        <v>4778</v>
      </c>
      <c r="C686" t="s">
        <v>4779</v>
      </c>
      <c r="D686" t="s">
        <v>4780</v>
      </c>
      <c r="E686" t="s">
        <v>4564</v>
      </c>
      <c r="F686" t="s">
        <v>1227</v>
      </c>
      <c r="G686" t="s">
        <v>2348</v>
      </c>
      <c r="H686">
        <v>2633.72</v>
      </c>
      <c r="I686">
        <v>2765.4</v>
      </c>
      <c r="J686" t="s">
        <v>3862</v>
      </c>
      <c r="K686">
        <v>1</v>
      </c>
      <c r="L686" t="s">
        <v>2945</v>
      </c>
      <c r="M686" s="19">
        <v>46262</v>
      </c>
      <c r="N686" t="s">
        <v>4565</v>
      </c>
    </row>
    <row r="687" spans="1:14" x14ac:dyDescent="0.3">
      <c r="A687" t="s">
        <v>4781</v>
      </c>
      <c r="B687" t="s">
        <v>2608</v>
      </c>
      <c r="C687" t="s">
        <v>4782</v>
      </c>
      <c r="D687" t="s">
        <v>4780</v>
      </c>
      <c r="E687" t="s">
        <v>4564</v>
      </c>
      <c r="F687" t="s">
        <v>1227</v>
      </c>
      <c r="G687" t="s">
        <v>2348</v>
      </c>
      <c r="H687">
        <v>4923.45</v>
      </c>
      <c r="I687">
        <v>5169.62</v>
      </c>
      <c r="J687" t="s">
        <v>3862</v>
      </c>
      <c r="K687">
        <v>1</v>
      </c>
      <c r="L687" t="s">
        <v>2945</v>
      </c>
      <c r="M687" s="19">
        <v>46262</v>
      </c>
      <c r="N687" t="s">
        <v>4565</v>
      </c>
    </row>
    <row r="688" spans="1:14" x14ac:dyDescent="0.3">
      <c r="A688" t="s">
        <v>4783</v>
      </c>
      <c r="B688" t="s">
        <v>2617</v>
      </c>
      <c r="C688" t="s">
        <v>4784</v>
      </c>
      <c r="D688" t="s">
        <v>4780</v>
      </c>
      <c r="E688" t="s">
        <v>4564</v>
      </c>
      <c r="F688" t="s">
        <v>1227</v>
      </c>
      <c r="G688" t="s">
        <v>2348</v>
      </c>
      <c r="H688">
        <v>3898.12</v>
      </c>
      <c r="I688">
        <v>4093.03</v>
      </c>
      <c r="J688" t="s">
        <v>3862</v>
      </c>
      <c r="K688">
        <v>1</v>
      </c>
      <c r="L688" t="s">
        <v>2945</v>
      </c>
      <c r="M688" s="19">
        <v>46262</v>
      </c>
      <c r="N688" t="s">
        <v>4565</v>
      </c>
    </row>
    <row r="689" spans="1:14" x14ac:dyDescent="0.3">
      <c r="A689" t="s">
        <v>4785</v>
      </c>
      <c r="B689" t="s">
        <v>2620</v>
      </c>
      <c r="C689" t="s">
        <v>4786</v>
      </c>
      <c r="D689" t="s">
        <v>4780</v>
      </c>
      <c r="E689" t="s">
        <v>4564</v>
      </c>
      <c r="F689" t="s">
        <v>1227</v>
      </c>
      <c r="G689" t="s">
        <v>2348</v>
      </c>
      <c r="H689">
        <v>2393.6799999999998</v>
      </c>
      <c r="I689">
        <v>2513.37</v>
      </c>
      <c r="J689" t="s">
        <v>3862</v>
      </c>
      <c r="K689">
        <v>1</v>
      </c>
      <c r="L689" t="s">
        <v>2945</v>
      </c>
      <c r="M689" s="19">
        <v>46262</v>
      </c>
      <c r="N689" t="s">
        <v>4565</v>
      </c>
    </row>
    <row r="690" spans="1:14" x14ac:dyDescent="0.3">
      <c r="A690" t="s">
        <v>4787</v>
      </c>
      <c r="B690" t="s">
        <v>2623</v>
      </c>
      <c r="C690" t="s">
        <v>4788</v>
      </c>
      <c r="D690" t="s">
        <v>4780</v>
      </c>
      <c r="E690" t="s">
        <v>4564</v>
      </c>
      <c r="F690" t="s">
        <v>1227</v>
      </c>
      <c r="G690" t="s">
        <v>2348</v>
      </c>
      <c r="H690">
        <v>3092.99</v>
      </c>
      <c r="I690">
        <v>3247.63</v>
      </c>
      <c r="J690" t="s">
        <v>3862</v>
      </c>
      <c r="K690">
        <v>1</v>
      </c>
      <c r="L690" t="s">
        <v>2945</v>
      </c>
      <c r="M690" s="19">
        <v>46262</v>
      </c>
      <c r="N690" t="s">
        <v>4565</v>
      </c>
    </row>
    <row r="691" spans="1:14" x14ac:dyDescent="0.3">
      <c r="A691" t="s">
        <v>4789</v>
      </c>
      <c r="B691" t="s">
        <v>2632</v>
      </c>
      <c r="C691" t="s">
        <v>4790</v>
      </c>
      <c r="D691" t="s">
        <v>4563</v>
      </c>
      <c r="E691" t="s">
        <v>4564</v>
      </c>
      <c r="F691" t="s">
        <v>1227</v>
      </c>
      <c r="G691" t="s">
        <v>2348</v>
      </c>
      <c r="H691">
        <v>243.81</v>
      </c>
      <c r="I691">
        <v>256</v>
      </c>
      <c r="J691" t="s">
        <v>3862</v>
      </c>
      <c r="K691">
        <v>1</v>
      </c>
      <c r="L691" t="s">
        <v>2945</v>
      </c>
      <c r="M691" s="19">
        <v>46262</v>
      </c>
      <c r="N691" t="s">
        <v>4565</v>
      </c>
    </row>
    <row r="692" spans="1:14" x14ac:dyDescent="0.3">
      <c r="A692" t="s">
        <v>4791</v>
      </c>
      <c r="B692" t="s">
        <v>2629</v>
      </c>
      <c r="C692" t="s">
        <v>4792</v>
      </c>
      <c r="D692" t="s">
        <v>4563</v>
      </c>
      <c r="E692" t="s">
        <v>4564</v>
      </c>
      <c r="F692" t="s">
        <v>1227</v>
      </c>
      <c r="G692" t="s">
        <v>2348</v>
      </c>
      <c r="H692">
        <v>1253.07</v>
      </c>
      <c r="I692">
        <v>1315.72</v>
      </c>
      <c r="J692" t="s">
        <v>3862</v>
      </c>
      <c r="K692">
        <v>1</v>
      </c>
      <c r="L692" t="s">
        <v>2945</v>
      </c>
      <c r="M692" s="19">
        <v>46262</v>
      </c>
      <c r="N692" t="s">
        <v>4565</v>
      </c>
    </row>
    <row r="693" spans="1:14" x14ac:dyDescent="0.3">
      <c r="A693" t="s">
        <v>4793</v>
      </c>
      <c r="B693" t="s">
        <v>4794</v>
      </c>
      <c r="C693" t="s">
        <v>4795</v>
      </c>
      <c r="D693" t="s">
        <v>4563</v>
      </c>
      <c r="E693" t="s">
        <v>4564</v>
      </c>
      <c r="F693" t="s">
        <v>1227</v>
      </c>
      <c r="G693" t="s">
        <v>2348</v>
      </c>
      <c r="H693">
        <v>24786.080000000002</v>
      </c>
      <c r="I693">
        <v>26025.38</v>
      </c>
      <c r="J693" t="s">
        <v>3862</v>
      </c>
      <c r="K693">
        <v>1</v>
      </c>
      <c r="L693" t="s">
        <v>2945</v>
      </c>
      <c r="M693" s="19">
        <v>46262</v>
      </c>
      <c r="N693" t="s">
        <v>4565</v>
      </c>
    </row>
    <row r="694" spans="1:14" x14ac:dyDescent="0.3">
      <c r="A694" t="s">
        <v>4796</v>
      </c>
      <c r="B694" t="s">
        <v>4797</v>
      </c>
      <c r="C694" t="s">
        <v>4798</v>
      </c>
      <c r="D694" t="s">
        <v>4563</v>
      </c>
      <c r="E694" t="s">
        <v>4564</v>
      </c>
      <c r="F694" t="s">
        <v>1227</v>
      </c>
      <c r="G694" t="s">
        <v>2348</v>
      </c>
      <c r="H694">
        <v>12249.81</v>
      </c>
      <c r="I694">
        <v>12862.31</v>
      </c>
      <c r="J694" t="s">
        <v>3862</v>
      </c>
      <c r="K694">
        <v>1</v>
      </c>
      <c r="L694" t="s">
        <v>2945</v>
      </c>
      <c r="M694" s="19">
        <v>46262</v>
      </c>
      <c r="N694" t="s">
        <v>4565</v>
      </c>
    </row>
    <row r="695" spans="1:14" x14ac:dyDescent="0.3">
      <c r="A695" t="s">
        <v>4799</v>
      </c>
      <c r="B695" t="s">
        <v>4800</v>
      </c>
      <c r="C695" t="s">
        <v>4801</v>
      </c>
      <c r="D695" t="s">
        <v>4563</v>
      </c>
      <c r="E695" t="s">
        <v>4564</v>
      </c>
      <c r="F695" t="s">
        <v>1227</v>
      </c>
      <c r="G695" t="s">
        <v>2348</v>
      </c>
      <c r="H695">
        <v>12249.81</v>
      </c>
      <c r="I695">
        <v>12862.31</v>
      </c>
      <c r="J695" t="s">
        <v>3862</v>
      </c>
      <c r="K695">
        <v>1</v>
      </c>
      <c r="L695" t="s">
        <v>2945</v>
      </c>
      <c r="M695" s="19">
        <v>46262</v>
      </c>
      <c r="N695" t="s">
        <v>4565</v>
      </c>
    </row>
    <row r="696" spans="1:14" x14ac:dyDescent="0.3">
      <c r="A696" t="s">
        <v>4802</v>
      </c>
      <c r="B696" t="s">
        <v>4803</v>
      </c>
      <c r="C696" t="s">
        <v>4804</v>
      </c>
      <c r="D696" t="s">
        <v>4563</v>
      </c>
      <c r="E696" t="s">
        <v>4564</v>
      </c>
      <c r="F696" t="s">
        <v>1227</v>
      </c>
      <c r="G696" t="s">
        <v>2348</v>
      </c>
      <c r="H696">
        <v>12249.81</v>
      </c>
      <c r="I696">
        <v>12862.31</v>
      </c>
      <c r="J696" t="s">
        <v>3862</v>
      </c>
      <c r="K696">
        <v>1</v>
      </c>
      <c r="L696" t="s">
        <v>2945</v>
      </c>
      <c r="M696" s="19">
        <v>46262</v>
      </c>
      <c r="N696" t="s">
        <v>4565</v>
      </c>
    </row>
    <row r="697" spans="1:14" x14ac:dyDescent="0.3">
      <c r="A697" t="s">
        <v>4805</v>
      </c>
      <c r="B697" t="s">
        <v>4806</v>
      </c>
      <c r="C697" t="s">
        <v>4807</v>
      </c>
      <c r="D697" t="s">
        <v>4563</v>
      </c>
      <c r="E697" t="s">
        <v>4564</v>
      </c>
      <c r="F697" t="s">
        <v>1227</v>
      </c>
      <c r="G697" t="s">
        <v>2348</v>
      </c>
      <c r="H697">
        <v>12010.01</v>
      </c>
      <c r="I697">
        <v>12610.51</v>
      </c>
      <c r="J697" t="s">
        <v>3862</v>
      </c>
      <c r="K697">
        <v>1</v>
      </c>
      <c r="L697" t="s">
        <v>2945</v>
      </c>
      <c r="M697" s="19">
        <v>46262</v>
      </c>
      <c r="N697" t="s">
        <v>4565</v>
      </c>
    </row>
    <row r="698" spans="1:14" x14ac:dyDescent="0.3">
      <c r="A698" t="s">
        <v>4808</v>
      </c>
      <c r="B698" t="s">
        <v>4809</v>
      </c>
      <c r="C698" t="s">
        <v>4810</v>
      </c>
      <c r="D698" t="s">
        <v>4563</v>
      </c>
      <c r="E698" t="s">
        <v>4564</v>
      </c>
      <c r="F698" t="s">
        <v>1227</v>
      </c>
      <c r="G698" t="s">
        <v>2348</v>
      </c>
      <c r="H698">
        <v>12010.01</v>
      </c>
      <c r="I698">
        <v>12610.51</v>
      </c>
      <c r="J698" t="s">
        <v>3862</v>
      </c>
      <c r="K698">
        <v>1</v>
      </c>
      <c r="L698" t="s">
        <v>2945</v>
      </c>
      <c r="M698" s="19">
        <v>46262</v>
      </c>
      <c r="N698" t="s">
        <v>4565</v>
      </c>
    </row>
    <row r="699" spans="1:14" x14ac:dyDescent="0.3">
      <c r="A699" t="s">
        <v>4811</v>
      </c>
      <c r="B699" t="s">
        <v>4812</v>
      </c>
      <c r="C699" t="s">
        <v>4813</v>
      </c>
      <c r="D699" t="s">
        <v>4563</v>
      </c>
      <c r="E699" t="s">
        <v>4564</v>
      </c>
      <c r="F699" t="s">
        <v>1227</v>
      </c>
      <c r="G699" t="s">
        <v>2348</v>
      </c>
      <c r="H699">
        <v>20668.46</v>
      </c>
      <c r="I699">
        <v>21701.89</v>
      </c>
      <c r="J699" t="s">
        <v>3862</v>
      </c>
      <c r="K699">
        <v>1</v>
      </c>
      <c r="L699" t="s">
        <v>2945</v>
      </c>
      <c r="M699" s="19">
        <v>46262</v>
      </c>
      <c r="N699" t="s">
        <v>4565</v>
      </c>
    </row>
    <row r="700" spans="1:14" x14ac:dyDescent="0.3">
      <c r="A700" t="s">
        <v>4814</v>
      </c>
      <c r="B700" t="s">
        <v>4815</v>
      </c>
      <c r="C700" t="s">
        <v>4816</v>
      </c>
      <c r="D700" t="s">
        <v>4563</v>
      </c>
      <c r="E700" t="s">
        <v>4564</v>
      </c>
      <c r="F700" t="s">
        <v>1227</v>
      </c>
      <c r="G700" t="s">
        <v>2348</v>
      </c>
      <c r="H700">
        <v>20668.46</v>
      </c>
      <c r="I700">
        <v>21701.89</v>
      </c>
      <c r="J700" t="s">
        <v>3862</v>
      </c>
      <c r="K700">
        <v>1</v>
      </c>
      <c r="L700" t="s">
        <v>2945</v>
      </c>
      <c r="M700" s="19">
        <v>46262</v>
      </c>
      <c r="N700" t="s">
        <v>4565</v>
      </c>
    </row>
    <row r="701" spans="1:14" x14ac:dyDescent="0.3">
      <c r="A701" t="s">
        <v>4817</v>
      </c>
      <c r="B701" t="s">
        <v>4818</v>
      </c>
      <c r="C701" t="s">
        <v>4819</v>
      </c>
      <c r="D701" t="s">
        <v>4563</v>
      </c>
      <c r="E701" t="s">
        <v>4564</v>
      </c>
      <c r="F701" t="s">
        <v>1227</v>
      </c>
      <c r="G701" t="s">
        <v>2348</v>
      </c>
      <c r="H701">
        <v>12249.64</v>
      </c>
      <c r="I701">
        <v>12862.12</v>
      </c>
      <c r="J701" t="s">
        <v>3862</v>
      </c>
      <c r="K701">
        <v>1</v>
      </c>
      <c r="L701" t="s">
        <v>2945</v>
      </c>
      <c r="M701" s="19">
        <v>46262</v>
      </c>
      <c r="N701" t="s">
        <v>4565</v>
      </c>
    </row>
    <row r="702" spans="1:14" x14ac:dyDescent="0.3">
      <c r="A702" t="s">
        <v>4820</v>
      </c>
      <c r="B702" t="s">
        <v>4821</v>
      </c>
      <c r="C702" t="s">
        <v>4822</v>
      </c>
      <c r="D702" t="s">
        <v>4563</v>
      </c>
      <c r="E702" t="s">
        <v>4564</v>
      </c>
      <c r="F702" t="s">
        <v>1227</v>
      </c>
      <c r="G702" t="s">
        <v>2348</v>
      </c>
      <c r="H702">
        <v>12249.64</v>
      </c>
      <c r="I702">
        <v>12862.12</v>
      </c>
      <c r="J702" t="s">
        <v>3862</v>
      </c>
      <c r="K702">
        <v>1</v>
      </c>
      <c r="L702" t="s">
        <v>2945</v>
      </c>
      <c r="M702" s="19">
        <v>46262</v>
      </c>
      <c r="N702" t="s">
        <v>4565</v>
      </c>
    </row>
    <row r="703" spans="1:14" x14ac:dyDescent="0.3">
      <c r="A703" t="s">
        <v>4823</v>
      </c>
      <c r="B703" t="s">
        <v>4824</v>
      </c>
      <c r="C703" t="s">
        <v>4825</v>
      </c>
      <c r="D703" t="s">
        <v>4563</v>
      </c>
      <c r="E703" t="s">
        <v>4564</v>
      </c>
      <c r="F703" t="s">
        <v>1227</v>
      </c>
      <c r="G703" t="s">
        <v>2348</v>
      </c>
      <c r="H703">
        <v>14234.54</v>
      </c>
      <c r="I703">
        <v>14946.26</v>
      </c>
      <c r="J703" t="s">
        <v>3862</v>
      </c>
      <c r="K703">
        <v>1</v>
      </c>
      <c r="L703" t="s">
        <v>2945</v>
      </c>
      <c r="M703" s="19">
        <v>46262</v>
      </c>
      <c r="N703" t="s">
        <v>4565</v>
      </c>
    </row>
    <row r="704" spans="1:14" x14ac:dyDescent="0.3">
      <c r="A704" t="s">
        <v>4826</v>
      </c>
      <c r="B704" t="s">
        <v>4827</v>
      </c>
      <c r="C704" t="s">
        <v>4828</v>
      </c>
      <c r="D704" t="s">
        <v>4563</v>
      </c>
      <c r="E704" t="s">
        <v>4564</v>
      </c>
      <c r="F704" t="s">
        <v>1227</v>
      </c>
      <c r="G704" t="s">
        <v>2348</v>
      </c>
      <c r="H704">
        <v>14234.54</v>
      </c>
      <c r="I704">
        <v>14946.26</v>
      </c>
      <c r="J704" t="s">
        <v>3862</v>
      </c>
      <c r="K704">
        <v>1</v>
      </c>
      <c r="L704" t="s">
        <v>2945</v>
      </c>
      <c r="M704" s="19">
        <v>46262</v>
      </c>
      <c r="N704" t="s">
        <v>4565</v>
      </c>
    </row>
    <row r="705" spans="1:14" x14ac:dyDescent="0.3">
      <c r="A705" t="s">
        <v>4829</v>
      </c>
      <c r="B705" t="s">
        <v>2686</v>
      </c>
      <c r="C705" t="s">
        <v>4830</v>
      </c>
      <c r="D705" t="s">
        <v>4563</v>
      </c>
      <c r="E705" t="s">
        <v>4564</v>
      </c>
      <c r="F705" t="s">
        <v>1227</v>
      </c>
      <c r="G705" t="s">
        <v>2348</v>
      </c>
      <c r="H705">
        <v>12010.01</v>
      </c>
      <c r="I705">
        <v>12610.51</v>
      </c>
      <c r="J705" t="s">
        <v>3862</v>
      </c>
      <c r="K705">
        <v>1</v>
      </c>
      <c r="L705" t="s">
        <v>2945</v>
      </c>
      <c r="M705" s="19">
        <v>46262</v>
      </c>
      <c r="N705" t="s">
        <v>4565</v>
      </c>
    </row>
    <row r="706" spans="1:14" x14ac:dyDescent="0.3">
      <c r="A706" t="s">
        <v>4831</v>
      </c>
      <c r="B706" t="s">
        <v>4832</v>
      </c>
      <c r="C706" t="s">
        <v>4833</v>
      </c>
      <c r="D706" t="s">
        <v>4563</v>
      </c>
      <c r="E706" t="s">
        <v>4564</v>
      </c>
      <c r="F706" t="s">
        <v>1227</v>
      </c>
      <c r="G706" t="s">
        <v>2348</v>
      </c>
      <c r="H706">
        <v>8931.92</v>
      </c>
      <c r="I706">
        <v>9378.52</v>
      </c>
      <c r="J706" t="s">
        <v>3862</v>
      </c>
      <c r="K706">
        <v>1</v>
      </c>
      <c r="L706" t="s">
        <v>2945</v>
      </c>
      <c r="M706" s="19">
        <v>46262</v>
      </c>
      <c r="N706" t="s">
        <v>4565</v>
      </c>
    </row>
    <row r="707" spans="1:14" x14ac:dyDescent="0.3">
      <c r="A707" t="s">
        <v>4834</v>
      </c>
      <c r="B707" t="s">
        <v>4835</v>
      </c>
      <c r="C707" t="s">
        <v>4836</v>
      </c>
      <c r="D707" t="s">
        <v>4563</v>
      </c>
      <c r="E707" t="s">
        <v>4564</v>
      </c>
      <c r="F707" t="s">
        <v>1227</v>
      </c>
      <c r="G707" t="s">
        <v>2348</v>
      </c>
      <c r="H707">
        <v>8931.92</v>
      </c>
      <c r="I707">
        <v>9378.52</v>
      </c>
      <c r="J707" t="s">
        <v>3862</v>
      </c>
      <c r="K707">
        <v>1</v>
      </c>
      <c r="L707" t="s">
        <v>2945</v>
      </c>
      <c r="M707" s="19">
        <v>46262</v>
      </c>
      <c r="N707" t="s">
        <v>4565</v>
      </c>
    </row>
    <row r="708" spans="1:14" x14ac:dyDescent="0.3">
      <c r="A708" t="s">
        <v>4837</v>
      </c>
      <c r="B708" t="s">
        <v>4838</v>
      </c>
      <c r="C708" t="s">
        <v>4839</v>
      </c>
      <c r="D708" t="s">
        <v>4563</v>
      </c>
      <c r="E708" t="s">
        <v>4564</v>
      </c>
      <c r="F708" t="s">
        <v>1227</v>
      </c>
      <c r="G708" t="s">
        <v>2348</v>
      </c>
      <c r="H708">
        <v>12249.81</v>
      </c>
      <c r="I708">
        <v>12862.31</v>
      </c>
      <c r="J708" t="s">
        <v>3862</v>
      </c>
      <c r="K708">
        <v>1</v>
      </c>
      <c r="L708" t="s">
        <v>2945</v>
      </c>
      <c r="M708" s="19">
        <v>46262</v>
      </c>
      <c r="N708" t="s">
        <v>4565</v>
      </c>
    </row>
    <row r="709" spans="1:14" x14ac:dyDescent="0.3">
      <c r="A709" t="s">
        <v>4840</v>
      </c>
      <c r="B709" t="s">
        <v>4841</v>
      </c>
      <c r="C709" t="s">
        <v>4842</v>
      </c>
      <c r="D709" t="s">
        <v>4563</v>
      </c>
      <c r="E709" t="s">
        <v>4564</v>
      </c>
      <c r="F709" t="s">
        <v>1227</v>
      </c>
      <c r="G709" t="s">
        <v>2348</v>
      </c>
      <c r="H709">
        <v>12249.81</v>
      </c>
      <c r="I709">
        <v>12862.31</v>
      </c>
      <c r="J709" t="s">
        <v>3862</v>
      </c>
      <c r="K709">
        <v>1</v>
      </c>
      <c r="L709" t="s">
        <v>2945</v>
      </c>
      <c r="M709" s="19">
        <v>46262</v>
      </c>
      <c r="N709" t="s">
        <v>4565</v>
      </c>
    </row>
    <row r="710" spans="1:14" x14ac:dyDescent="0.3">
      <c r="A710" t="s">
        <v>4843</v>
      </c>
      <c r="B710" t="s">
        <v>4844</v>
      </c>
      <c r="C710" t="s">
        <v>4845</v>
      </c>
      <c r="D710" t="s">
        <v>4563</v>
      </c>
      <c r="E710" t="s">
        <v>4564</v>
      </c>
      <c r="F710" t="s">
        <v>1227</v>
      </c>
      <c r="G710" t="s">
        <v>2348</v>
      </c>
      <c r="H710">
        <v>11040.68</v>
      </c>
      <c r="I710">
        <v>11592.71</v>
      </c>
      <c r="J710" t="s">
        <v>3862</v>
      </c>
      <c r="K710">
        <v>1</v>
      </c>
      <c r="L710" t="s">
        <v>2945</v>
      </c>
      <c r="M710" s="19">
        <v>46262</v>
      </c>
      <c r="N710" t="s">
        <v>4565</v>
      </c>
    </row>
    <row r="711" spans="1:14" x14ac:dyDescent="0.3">
      <c r="A711" t="s">
        <v>4846</v>
      </c>
      <c r="B711" t="s">
        <v>4847</v>
      </c>
      <c r="C711" t="s">
        <v>4848</v>
      </c>
      <c r="D711" t="s">
        <v>4563</v>
      </c>
      <c r="E711" t="s">
        <v>4564</v>
      </c>
      <c r="F711" t="s">
        <v>1227</v>
      </c>
      <c r="G711" t="s">
        <v>2348</v>
      </c>
      <c r="H711">
        <v>14234.54</v>
      </c>
      <c r="I711">
        <v>14946.26</v>
      </c>
      <c r="J711" t="s">
        <v>3862</v>
      </c>
      <c r="K711">
        <v>1</v>
      </c>
      <c r="L711" t="s">
        <v>2945</v>
      </c>
      <c r="M711" s="19">
        <v>46262</v>
      </c>
      <c r="N711" t="s">
        <v>4565</v>
      </c>
    </row>
    <row r="712" spans="1:14" x14ac:dyDescent="0.3">
      <c r="A712" t="s">
        <v>4849</v>
      </c>
      <c r="B712" t="s">
        <v>4850</v>
      </c>
      <c r="C712" t="s">
        <v>4851</v>
      </c>
      <c r="D712" t="s">
        <v>4563</v>
      </c>
      <c r="E712" t="s">
        <v>4564</v>
      </c>
      <c r="F712" t="s">
        <v>1227</v>
      </c>
      <c r="G712" t="s">
        <v>2348</v>
      </c>
      <c r="H712">
        <v>14234.54</v>
      </c>
      <c r="I712">
        <v>14946.26</v>
      </c>
      <c r="J712" t="s">
        <v>3862</v>
      </c>
      <c r="K712">
        <v>1</v>
      </c>
      <c r="L712" t="s">
        <v>2945</v>
      </c>
      <c r="M712" s="19">
        <v>46262</v>
      </c>
      <c r="N712" t="s">
        <v>4565</v>
      </c>
    </row>
    <row r="713" spans="1:14" x14ac:dyDescent="0.3">
      <c r="A713" t="s">
        <v>4852</v>
      </c>
      <c r="B713" t="s">
        <v>4853</v>
      </c>
      <c r="C713" t="s">
        <v>4854</v>
      </c>
      <c r="D713" t="s">
        <v>4563</v>
      </c>
      <c r="E713" t="s">
        <v>4564</v>
      </c>
      <c r="F713" t="s">
        <v>1227</v>
      </c>
      <c r="G713" t="s">
        <v>2348</v>
      </c>
      <c r="H713">
        <v>14291.24</v>
      </c>
      <c r="I713">
        <v>15005.8</v>
      </c>
      <c r="J713" t="s">
        <v>3862</v>
      </c>
      <c r="K713">
        <v>1</v>
      </c>
      <c r="L713" t="s">
        <v>2945</v>
      </c>
      <c r="M713" s="19">
        <v>46262</v>
      </c>
      <c r="N713" t="s">
        <v>4565</v>
      </c>
    </row>
    <row r="714" spans="1:14" x14ac:dyDescent="0.3">
      <c r="A714" t="s">
        <v>4855</v>
      </c>
      <c r="B714" t="s">
        <v>4856</v>
      </c>
      <c r="C714" t="s">
        <v>4857</v>
      </c>
      <c r="D714" t="s">
        <v>4563</v>
      </c>
      <c r="E714" t="s">
        <v>4564</v>
      </c>
      <c r="F714" t="s">
        <v>1227</v>
      </c>
      <c r="G714" t="s">
        <v>2348</v>
      </c>
      <c r="H714">
        <v>17052.53</v>
      </c>
      <c r="I714">
        <v>17905.150000000001</v>
      </c>
      <c r="J714" t="s">
        <v>3862</v>
      </c>
      <c r="K714">
        <v>1</v>
      </c>
      <c r="L714" t="s">
        <v>2945</v>
      </c>
      <c r="M714" s="19">
        <v>46262</v>
      </c>
      <c r="N714" t="s">
        <v>4565</v>
      </c>
    </row>
    <row r="715" spans="1:14" x14ac:dyDescent="0.3">
      <c r="A715" t="s">
        <v>4858</v>
      </c>
      <c r="B715" t="s">
        <v>2544</v>
      </c>
      <c r="C715" t="s">
        <v>4859</v>
      </c>
      <c r="D715" t="s">
        <v>4563</v>
      </c>
      <c r="E715" t="s">
        <v>4564</v>
      </c>
      <c r="F715" t="s">
        <v>1227</v>
      </c>
      <c r="G715" t="s">
        <v>2348</v>
      </c>
      <c r="H715">
        <v>17052.53</v>
      </c>
      <c r="I715">
        <v>17905.150000000001</v>
      </c>
      <c r="J715" t="s">
        <v>3862</v>
      </c>
      <c r="K715">
        <v>1</v>
      </c>
      <c r="L715" t="s">
        <v>2945</v>
      </c>
      <c r="M715" s="19">
        <v>46262</v>
      </c>
      <c r="N715" t="s">
        <v>4565</v>
      </c>
    </row>
    <row r="716" spans="1:14" x14ac:dyDescent="0.3">
      <c r="A716" t="s">
        <v>4860</v>
      </c>
      <c r="B716" t="s">
        <v>4861</v>
      </c>
      <c r="C716" t="s">
        <v>4862</v>
      </c>
      <c r="D716" t="s">
        <v>4563</v>
      </c>
      <c r="E716" t="s">
        <v>4564</v>
      </c>
      <c r="F716" t="s">
        <v>1227</v>
      </c>
      <c r="G716" t="s">
        <v>2348</v>
      </c>
      <c r="H716">
        <v>12298.83</v>
      </c>
      <c r="I716">
        <v>12913.77</v>
      </c>
      <c r="J716" t="s">
        <v>3862</v>
      </c>
      <c r="K716">
        <v>1</v>
      </c>
      <c r="L716" t="s">
        <v>2945</v>
      </c>
      <c r="M716" s="19">
        <v>46262</v>
      </c>
      <c r="N716" t="s">
        <v>4565</v>
      </c>
    </row>
    <row r="717" spans="1:14" x14ac:dyDescent="0.3">
      <c r="A717" t="s">
        <v>4863</v>
      </c>
      <c r="B717" t="s">
        <v>4864</v>
      </c>
      <c r="C717" t="s">
        <v>4865</v>
      </c>
      <c r="D717" t="s">
        <v>4563</v>
      </c>
      <c r="E717" t="s">
        <v>4564</v>
      </c>
      <c r="F717" t="s">
        <v>1227</v>
      </c>
      <c r="G717" t="s">
        <v>2348</v>
      </c>
      <c r="H717">
        <v>12109.4</v>
      </c>
      <c r="I717">
        <v>12714.87</v>
      </c>
      <c r="J717" t="s">
        <v>3862</v>
      </c>
      <c r="K717">
        <v>1</v>
      </c>
      <c r="L717" t="s">
        <v>2945</v>
      </c>
      <c r="M717" s="19">
        <v>46262</v>
      </c>
      <c r="N717" t="s">
        <v>4565</v>
      </c>
    </row>
    <row r="718" spans="1:14" x14ac:dyDescent="0.3">
      <c r="A718" t="s">
        <v>4866</v>
      </c>
      <c r="B718" t="s">
        <v>4867</v>
      </c>
      <c r="C718" t="s">
        <v>4868</v>
      </c>
      <c r="D718" t="s">
        <v>4563</v>
      </c>
      <c r="E718" t="s">
        <v>4564</v>
      </c>
      <c r="F718" t="s">
        <v>1227</v>
      </c>
      <c r="G718" t="s">
        <v>2348</v>
      </c>
      <c r="H718">
        <v>12109.4</v>
      </c>
      <c r="I718">
        <v>12714.87</v>
      </c>
      <c r="J718" t="s">
        <v>3862</v>
      </c>
      <c r="K718">
        <v>1</v>
      </c>
      <c r="L718" t="s">
        <v>2945</v>
      </c>
      <c r="M718" s="19">
        <v>46262</v>
      </c>
      <c r="N718" t="s">
        <v>4565</v>
      </c>
    </row>
    <row r="719" spans="1:14" x14ac:dyDescent="0.3">
      <c r="A719" t="s">
        <v>4869</v>
      </c>
      <c r="B719" t="s">
        <v>4870</v>
      </c>
      <c r="C719" t="s">
        <v>4871</v>
      </c>
      <c r="D719" t="s">
        <v>4563</v>
      </c>
      <c r="E719" t="s">
        <v>4564</v>
      </c>
      <c r="F719" t="s">
        <v>1227</v>
      </c>
      <c r="G719" t="s">
        <v>2348</v>
      </c>
      <c r="H719">
        <v>15465.87</v>
      </c>
      <c r="I719">
        <v>16239.16</v>
      </c>
      <c r="J719" t="s">
        <v>3862</v>
      </c>
      <c r="K719">
        <v>1</v>
      </c>
      <c r="L719" t="s">
        <v>2945</v>
      </c>
      <c r="M719" s="19">
        <v>46262</v>
      </c>
      <c r="N719" t="s">
        <v>4565</v>
      </c>
    </row>
    <row r="720" spans="1:14" x14ac:dyDescent="0.3">
      <c r="A720" t="s">
        <v>4872</v>
      </c>
      <c r="B720" t="s">
        <v>4873</v>
      </c>
      <c r="C720" t="s">
        <v>4874</v>
      </c>
      <c r="D720" t="s">
        <v>4563</v>
      </c>
      <c r="E720" t="s">
        <v>4564</v>
      </c>
      <c r="F720" t="s">
        <v>1227</v>
      </c>
      <c r="G720" t="s">
        <v>2348</v>
      </c>
      <c r="H720">
        <v>15465.87</v>
      </c>
      <c r="I720">
        <v>16239.16</v>
      </c>
      <c r="J720" t="s">
        <v>3862</v>
      </c>
      <c r="K720">
        <v>1</v>
      </c>
      <c r="L720" t="s">
        <v>2945</v>
      </c>
      <c r="M720" s="19">
        <v>46262</v>
      </c>
      <c r="N720" t="s">
        <v>4565</v>
      </c>
    </row>
    <row r="721" spans="1:14" x14ac:dyDescent="0.3">
      <c r="A721" t="s">
        <v>4875</v>
      </c>
      <c r="B721" t="s">
        <v>4876</v>
      </c>
      <c r="C721" t="s">
        <v>4877</v>
      </c>
      <c r="D721" t="s">
        <v>4563</v>
      </c>
      <c r="E721" t="s">
        <v>4564</v>
      </c>
      <c r="F721" t="s">
        <v>1227</v>
      </c>
      <c r="G721" t="s">
        <v>2348</v>
      </c>
      <c r="H721">
        <v>9216.59</v>
      </c>
      <c r="I721">
        <v>9677.41</v>
      </c>
      <c r="J721" t="s">
        <v>3862</v>
      </c>
      <c r="K721">
        <v>1</v>
      </c>
      <c r="L721" t="s">
        <v>2945</v>
      </c>
      <c r="M721" s="19">
        <v>46262</v>
      </c>
      <c r="N721" t="s">
        <v>4565</v>
      </c>
    </row>
    <row r="722" spans="1:14" x14ac:dyDescent="0.3">
      <c r="A722" t="s">
        <v>4878</v>
      </c>
      <c r="B722" t="s">
        <v>4879</v>
      </c>
      <c r="C722" t="s">
        <v>4880</v>
      </c>
      <c r="D722" t="s">
        <v>4563</v>
      </c>
      <c r="E722" t="s">
        <v>4564</v>
      </c>
      <c r="F722" t="s">
        <v>1227</v>
      </c>
      <c r="G722" t="s">
        <v>2348</v>
      </c>
      <c r="H722">
        <v>8053.29</v>
      </c>
      <c r="I722">
        <v>8455.9500000000007</v>
      </c>
      <c r="J722" t="s">
        <v>3862</v>
      </c>
      <c r="K722">
        <v>1</v>
      </c>
      <c r="L722" t="s">
        <v>2945</v>
      </c>
      <c r="M722" s="19">
        <v>46262</v>
      </c>
      <c r="N722" t="s">
        <v>4565</v>
      </c>
    </row>
    <row r="723" spans="1:14" x14ac:dyDescent="0.3">
      <c r="A723" t="s">
        <v>4881</v>
      </c>
      <c r="B723" t="s">
        <v>4882</v>
      </c>
      <c r="C723" t="s">
        <v>4883</v>
      </c>
      <c r="D723" t="s">
        <v>4563</v>
      </c>
      <c r="E723" t="s">
        <v>4564</v>
      </c>
      <c r="F723" t="s">
        <v>1227</v>
      </c>
      <c r="G723" t="s">
        <v>2348</v>
      </c>
      <c r="H723">
        <v>51398.55</v>
      </c>
      <c r="I723">
        <v>53968.480000000003</v>
      </c>
      <c r="J723" t="s">
        <v>3862</v>
      </c>
      <c r="K723">
        <v>1</v>
      </c>
      <c r="L723" t="s">
        <v>2945</v>
      </c>
      <c r="M723" s="19">
        <v>46262</v>
      </c>
      <c r="N723" t="s">
        <v>4565</v>
      </c>
    </row>
    <row r="724" spans="1:14" x14ac:dyDescent="0.3">
      <c r="A724" t="s">
        <v>4884</v>
      </c>
      <c r="B724" t="s">
        <v>4885</v>
      </c>
      <c r="C724" t="s">
        <v>4886</v>
      </c>
      <c r="D724" t="s">
        <v>4563</v>
      </c>
      <c r="E724" t="s">
        <v>4564</v>
      </c>
      <c r="F724" t="s">
        <v>1227</v>
      </c>
      <c r="G724" t="s">
        <v>2348</v>
      </c>
      <c r="H724">
        <v>51398.55</v>
      </c>
      <c r="I724">
        <v>53968.480000000003</v>
      </c>
      <c r="J724" t="s">
        <v>3862</v>
      </c>
      <c r="K724">
        <v>1</v>
      </c>
      <c r="L724" t="s">
        <v>2945</v>
      </c>
      <c r="M724" s="19">
        <v>46262</v>
      </c>
      <c r="N724" t="s">
        <v>4565</v>
      </c>
    </row>
    <row r="725" spans="1:14" x14ac:dyDescent="0.3">
      <c r="A725" t="s">
        <v>4887</v>
      </c>
      <c r="B725" t="s">
        <v>4888</v>
      </c>
      <c r="C725" t="s">
        <v>4889</v>
      </c>
      <c r="D725" t="s">
        <v>4563</v>
      </c>
      <c r="E725" t="s">
        <v>4564</v>
      </c>
      <c r="F725" t="s">
        <v>1227</v>
      </c>
      <c r="G725" t="s">
        <v>2348</v>
      </c>
      <c r="H725">
        <v>14291.24</v>
      </c>
      <c r="I725">
        <v>15005.8</v>
      </c>
      <c r="J725" t="s">
        <v>3862</v>
      </c>
      <c r="K725">
        <v>1</v>
      </c>
      <c r="L725" t="s">
        <v>2945</v>
      </c>
      <c r="M725" s="19">
        <v>46262</v>
      </c>
      <c r="N725" t="s">
        <v>4565</v>
      </c>
    </row>
    <row r="726" spans="1:14" x14ac:dyDescent="0.3">
      <c r="A726" t="s">
        <v>4890</v>
      </c>
      <c r="B726" t="s">
        <v>4891</v>
      </c>
      <c r="C726" t="s">
        <v>4892</v>
      </c>
      <c r="D726" t="s">
        <v>4563</v>
      </c>
      <c r="E726" t="s">
        <v>4564</v>
      </c>
      <c r="F726" t="s">
        <v>1227</v>
      </c>
      <c r="G726" t="s">
        <v>2348</v>
      </c>
      <c r="H726">
        <v>4515.84</v>
      </c>
      <c r="I726">
        <v>4741.63</v>
      </c>
      <c r="J726" t="s">
        <v>3862</v>
      </c>
      <c r="K726">
        <v>1</v>
      </c>
      <c r="L726" t="s">
        <v>2945</v>
      </c>
      <c r="M726" s="19">
        <v>46262</v>
      </c>
      <c r="N726" t="s">
        <v>4565</v>
      </c>
    </row>
    <row r="727" spans="1:14" x14ac:dyDescent="0.3">
      <c r="A727" t="s">
        <v>4893</v>
      </c>
      <c r="B727" t="s">
        <v>4894</v>
      </c>
      <c r="C727" t="s">
        <v>4895</v>
      </c>
      <c r="D727" t="s">
        <v>4563</v>
      </c>
      <c r="E727" t="s">
        <v>4564</v>
      </c>
      <c r="F727" t="s">
        <v>1227</v>
      </c>
      <c r="G727" t="s">
        <v>2348</v>
      </c>
      <c r="H727">
        <v>1257.8</v>
      </c>
      <c r="I727">
        <v>1320.68</v>
      </c>
      <c r="J727" t="s">
        <v>3862</v>
      </c>
      <c r="K727">
        <v>1</v>
      </c>
      <c r="L727" t="s">
        <v>2945</v>
      </c>
      <c r="M727" s="19">
        <v>46262</v>
      </c>
      <c r="N727" t="s">
        <v>4565</v>
      </c>
    </row>
    <row r="728" spans="1:14" x14ac:dyDescent="0.3">
      <c r="A728" t="s">
        <v>4896</v>
      </c>
      <c r="B728" t="s">
        <v>4897</v>
      </c>
      <c r="C728" t="s">
        <v>4898</v>
      </c>
      <c r="D728" t="s">
        <v>4563</v>
      </c>
      <c r="E728" t="s">
        <v>4564</v>
      </c>
      <c r="F728" t="s">
        <v>1227</v>
      </c>
      <c r="G728" t="s">
        <v>2348</v>
      </c>
      <c r="H728">
        <v>2580.48</v>
      </c>
      <c r="I728">
        <v>2709.5</v>
      </c>
      <c r="J728" t="s">
        <v>3862</v>
      </c>
      <c r="K728">
        <v>1</v>
      </c>
      <c r="L728" t="s">
        <v>2945</v>
      </c>
      <c r="M728" s="19">
        <v>46262</v>
      </c>
      <c r="N728" t="s">
        <v>4565</v>
      </c>
    </row>
    <row r="729" spans="1:14" x14ac:dyDescent="0.3">
      <c r="A729" t="s">
        <v>4899</v>
      </c>
      <c r="B729" t="s">
        <v>4900</v>
      </c>
      <c r="C729" t="s">
        <v>4901</v>
      </c>
      <c r="D729" t="s">
        <v>4563</v>
      </c>
      <c r="E729" t="s">
        <v>4564</v>
      </c>
      <c r="F729" t="s">
        <v>1227</v>
      </c>
      <c r="G729" t="s">
        <v>2348</v>
      </c>
      <c r="H729">
        <v>13953.87</v>
      </c>
      <c r="I729">
        <v>14651.56</v>
      </c>
      <c r="J729" t="s">
        <v>3862</v>
      </c>
      <c r="K729">
        <v>1</v>
      </c>
      <c r="L729" t="s">
        <v>2945</v>
      </c>
      <c r="M729" s="19">
        <v>46262</v>
      </c>
      <c r="N729" t="s">
        <v>4565</v>
      </c>
    </row>
    <row r="730" spans="1:14" x14ac:dyDescent="0.3">
      <c r="A730" t="s">
        <v>4902</v>
      </c>
      <c r="B730" t="s">
        <v>4903</v>
      </c>
      <c r="C730" t="s">
        <v>4904</v>
      </c>
      <c r="D730" t="s">
        <v>4563</v>
      </c>
      <c r="E730" t="s">
        <v>4564</v>
      </c>
      <c r="F730" t="s">
        <v>1227</v>
      </c>
      <c r="G730" t="s">
        <v>2348</v>
      </c>
      <c r="H730">
        <v>13953.87</v>
      </c>
      <c r="I730">
        <v>14651.56</v>
      </c>
      <c r="J730" t="s">
        <v>3862</v>
      </c>
      <c r="K730">
        <v>1</v>
      </c>
      <c r="L730" t="s">
        <v>2945</v>
      </c>
      <c r="M730" s="19">
        <v>46262</v>
      </c>
      <c r="N730" t="s">
        <v>4565</v>
      </c>
    </row>
    <row r="731" spans="1:14" x14ac:dyDescent="0.3">
      <c r="A731" t="s">
        <v>4905</v>
      </c>
      <c r="B731" t="s">
        <v>4906</v>
      </c>
      <c r="C731" t="s">
        <v>4907</v>
      </c>
      <c r="D731" t="s">
        <v>4563</v>
      </c>
      <c r="E731" t="s">
        <v>4564</v>
      </c>
      <c r="F731" t="s">
        <v>1227</v>
      </c>
      <c r="G731" t="s">
        <v>2348</v>
      </c>
      <c r="H731">
        <v>11723.57</v>
      </c>
      <c r="I731">
        <v>12309.74</v>
      </c>
      <c r="J731" t="s">
        <v>3862</v>
      </c>
      <c r="K731">
        <v>1</v>
      </c>
      <c r="L731" t="s">
        <v>2945</v>
      </c>
      <c r="M731" s="19">
        <v>46262</v>
      </c>
      <c r="N731" t="s">
        <v>4565</v>
      </c>
    </row>
    <row r="732" spans="1:14" x14ac:dyDescent="0.3">
      <c r="A732" t="s">
        <v>4908</v>
      </c>
      <c r="B732" t="s">
        <v>4909</v>
      </c>
      <c r="C732" t="s">
        <v>4910</v>
      </c>
      <c r="D732" t="s">
        <v>4563</v>
      </c>
      <c r="E732" t="s">
        <v>4564</v>
      </c>
      <c r="F732" t="s">
        <v>1227</v>
      </c>
      <c r="G732" t="s">
        <v>2348</v>
      </c>
      <c r="H732">
        <v>11723.57</v>
      </c>
      <c r="I732">
        <v>12309.74</v>
      </c>
      <c r="J732" t="s">
        <v>3862</v>
      </c>
      <c r="K732">
        <v>1</v>
      </c>
      <c r="L732" t="s">
        <v>2945</v>
      </c>
      <c r="M732" s="19">
        <v>46262</v>
      </c>
      <c r="N732" t="s">
        <v>4565</v>
      </c>
    </row>
    <row r="733" spans="1:14" x14ac:dyDescent="0.3">
      <c r="A733" t="s">
        <v>4911</v>
      </c>
      <c r="B733" t="s">
        <v>4912</v>
      </c>
      <c r="C733" t="s">
        <v>4913</v>
      </c>
      <c r="D733" t="s">
        <v>4563</v>
      </c>
      <c r="E733" t="s">
        <v>4564</v>
      </c>
      <c r="F733" t="s">
        <v>1227</v>
      </c>
      <c r="G733" t="s">
        <v>2348</v>
      </c>
      <c r="H733">
        <v>13953.87</v>
      </c>
      <c r="I733">
        <v>14651.56</v>
      </c>
      <c r="J733" t="s">
        <v>3862</v>
      </c>
      <c r="K733">
        <v>1</v>
      </c>
      <c r="L733" t="s">
        <v>2945</v>
      </c>
      <c r="M733" s="19">
        <v>46262</v>
      </c>
      <c r="N733" t="s">
        <v>4565</v>
      </c>
    </row>
    <row r="734" spans="1:14" x14ac:dyDescent="0.3">
      <c r="A734" t="s">
        <v>4914</v>
      </c>
      <c r="B734" t="s">
        <v>4915</v>
      </c>
      <c r="C734" t="s">
        <v>4916</v>
      </c>
      <c r="D734" t="s">
        <v>4563</v>
      </c>
      <c r="E734" t="s">
        <v>4564</v>
      </c>
      <c r="F734" t="s">
        <v>1227</v>
      </c>
      <c r="G734" t="s">
        <v>2348</v>
      </c>
      <c r="H734">
        <v>13953.87</v>
      </c>
      <c r="I734">
        <v>14651.56</v>
      </c>
      <c r="J734" t="s">
        <v>3862</v>
      </c>
      <c r="K734">
        <v>1</v>
      </c>
      <c r="L734" t="s">
        <v>2945</v>
      </c>
      <c r="M734" s="19">
        <v>46262</v>
      </c>
      <c r="N734" t="s">
        <v>4565</v>
      </c>
    </row>
    <row r="735" spans="1:14" x14ac:dyDescent="0.3">
      <c r="A735" t="s">
        <v>4917</v>
      </c>
      <c r="B735" t="s">
        <v>2529</v>
      </c>
      <c r="C735" t="s">
        <v>4918</v>
      </c>
      <c r="D735" t="s">
        <v>4563</v>
      </c>
      <c r="E735" t="s">
        <v>4564</v>
      </c>
      <c r="F735" t="s">
        <v>1227</v>
      </c>
      <c r="G735" t="s">
        <v>2348</v>
      </c>
      <c r="H735">
        <v>13953.87</v>
      </c>
      <c r="I735">
        <v>14651.56</v>
      </c>
      <c r="J735" t="s">
        <v>3862</v>
      </c>
      <c r="K735">
        <v>1</v>
      </c>
      <c r="L735" t="s">
        <v>2945</v>
      </c>
      <c r="M735" s="19">
        <v>46262</v>
      </c>
      <c r="N735" t="s">
        <v>4565</v>
      </c>
    </row>
    <row r="736" spans="1:14" x14ac:dyDescent="0.3">
      <c r="A736" t="s">
        <v>4919</v>
      </c>
      <c r="B736" t="s">
        <v>4920</v>
      </c>
      <c r="C736" t="s">
        <v>4921</v>
      </c>
      <c r="D736" t="s">
        <v>4563</v>
      </c>
      <c r="E736" t="s">
        <v>4564</v>
      </c>
      <c r="F736" t="s">
        <v>1227</v>
      </c>
      <c r="G736" t="s">
        <v>2348</v>
      </c>
      <c r="H736">
        <v>13953.87</v>
      </c>
      <c r="I736">
        <v>14651.56</v>
      </c>
      <c r="J736" t="s">
        <v>3862</v>
      </c>
      <c r="K736">
        <v>1</v>
      </c>
      <c r="L736" t="s">
        <v>2945</v>
      </c>
      <c r="M736" s="19">
        <v>46262</v>
      </c>
      <c r="N736" t="s">
        <v>4565</v>
      </c>
    </row>
    <row r="737" spans="1:14" x14ac:dyDescent="0.3">
      <c r="A737" t="s">
        <v>4922</v>
      </c>
      <c r="B737" t="s">
        <v>4923</v>
      </c>
      <c r="C737" t="s">
        <v>4924</v>
      </c>
      <c r="D737" t="s">
        <v>4563</v>
      </c>
      <c r="E737" t="s">
        <v>4564</v>
      </c>
      <c r="F737" t="s">
        <v>1227</v>
      </c>
      <c r="G737" t="s">
        <v>2348</v>
      </c>
      <c r="H737">
        <v>13953.87</v>
      </c>
      <c r="I737">
        <v>14651.56</v>
      </c>
      <c r="J737" t="s">
        <v>3862</v>
      </c>
      <c r="K737">
        <v>1</v>
      </c>
      <c r="L737" t="s">
        <v>2945</v>
      </c>
      <c r="M737" s="19">
        <v>46262</v>
      </c>
      <c r="N737" t="s">
        <v>4565</v>
      </c>
    </row>
    <row r="738" spans="1:14" x14ac:dyDescent="0.3">
      <c r="A738" t="s">
        <v>4925</v>
      </c>
      <c r="B738" t="s">
        <v>4926</v>
      </c>
      <c r="C738" t="s">
        <v>4927</v>
      </c>
      <c r="D738" t="s">
        <v>4563</v>
      </c>
      <c r="E738" t="s">
        <v>4564</v>
      </c>
      <c r="F738" t="s">
        <v>1227</v>
      </c>
      <c r="G738" t="s">
        <v>2348</v>
      </c>
      <c r="H738">
        <v>13953.87</v>
      </c>
      <c r="I738">
        <v>14651.56</v>
      </c>
      <c r="J738" t="s">
        <v>3862</v>
      </c>
      <c r="K738">
        <v>1</v>
      </c>
      <c r="L738" t="s">
        <v>2945</v>
      </c>
      <c r="M738" s="19">
        <v>46262</v>
      </c>
      <c r="N738" t="s">
        <v>4565</v>
      </c>
    </row>
    <row r="739" spans="1:14" x14ac:dyDescent="0.3">
      <c r="A739" t="s">
        <v>4928</v>
      </c>
      <c r="B739" t="s">
        <v>4929</v>
      </c>
      <c r="C739" t="s">
        <v>4930</v>
      </c>
      <c r="D739" t="s">
        <v>4563</v>
      </c>
      <c r="E739" t="s">
        <v>4564</v>
      </c>
      <c r="F739" t="s">
        <v>1227</v>
      </c>
      <c r="G739" t="s">
        <v>2348</v>
      </c>
      <c r="H739">
        <v>18379.310000000001</v>
      </c>
      <c r="I739">
        <v>19298.27</v>
      </c>
      <c r="J739" t="s">
        <v>3862</v>
      </c>
      <c r="K739">
        <v>1</v>
      </c>
      <c r="L739" t="s">
        <v>2945</v>
      </c>
      <c r="M739" s="19">
        <v>46262</v>
      </c>
      <c r="N739" t="s">
        <v>4565</v>
      </c>
    </row>
    <row r="740" spans="1:14" x14ac:dyDescent="0.3">
      <c r="A740" t="s">
        <v>4931</v>
      </c>
      <c r="B740" t="s">
        <v>4932</v>
      </c>
      <c r="C740" t="s">
        <v>4933</v>
      </c>
      <c r="D740" t="s">
        <v>4563</v>
      </c>
      <c r="E740" t="s">
        <v>4564</v>
      </c>
      <c r="F740" t="s">
        <v>1227</v>
      </c>
      <c r="G740" t="s">
        <v>2348</v>
      </c>
      <c r="H740">
        <v>18379.310000000001</v>
      </c>
      <c r="I740">
        <v>19298.27</v>
      </c>
      <c r="J740" t="s">
        <v>3862</v>
      </c>
      <c r="K740">
        <v>1</v>
      </c>
      <c r="L740" t="s">
        <v>2945</v>
      </c>
      <c r="M740" s="19">
        <v>46262</v>
      </c>
      <c r="N740" t="s">
        <v>4565</v>
      </c>
    </row>
    <row r="741" spans="1:14" x14ac:dyDescent="0.3">
      <c r="A741" t="s">
        <v>4934</v>
      </c>
      <c r="B741" t="s">
        <v>4935</v>
      </c>
      <c r="C741" t="s">
        <v>4936</v>
      </c>
      <c r="D741" t="s">
        <v>4563</v>
      </c>
      <c r="E741" t="s">
        <v>4564</v>
      </c>
      <c r="F741" t="s">
        <v>1227</v>
      </c>
      <c r="G741" t="s">
        <v>2348</v>
      </c>
      <c r="H741">
        <v>660.56</v>
      </c>
      <c r="I741">
        <v>693.58</v>
      </c>
      <c r="J741" t="s">
        <v>3862</v>
      </c>
      <c r="K741">
        <v>1</v>
      </c>
      <c r="L741" t="s">
        <v>2945</v>
      </c>
      <c r="M741" s="19">
        <v>46262</v>
      </c>
      <c r="N741" t="s">
        <v>4565</v>
      </c>
    </row>
    <row r="742" spans="1:14" x14ac:dyDescent="0.3">
      <c r="A742" t="s">
        <v>4937</v>
      </c>
      <c r="B742" t="s">
        <v>4935</v>
      </c>
      <c r="C742" t="s">
        <v>4936</v>
      </c>
      <c r="D742" t="s">
        <v>4563</v>
      </c>
      <c r="E742" t="s">
        <v>4564</v>
      </c>
      <c r="F742" t="s">
        <v>1227</v>
      </c>
      <c r="G742" t="s">
        <v>2348</v>
      </c>
      <c r="H742">
        <v>660.56</v>
      </c>
      <c r="I742">
        <v>693.58</v>
      </c>
      <c r="J742" t="s">
        <v>3862</v>
      </c>
      <c r="K742">
        <v>1</v>
      </c>
      <c r="L742" t="s">
        <v>2945</v>
      </c>
      <c r="M742" s="19">
        <v>46262</v>
      </c>
      <c r="N742" t="s">
        <v>4565</v>
      </c>
    </row>
    <row r="743" spans="1:14" x14ac:dyDescent="0.3">
      <c r="A743" t="s">
        <v>4938</v>
      </c>
      <c r="B743" t="s">
        <v>4939</v>
      </c>
      <c r="C743" t="s">
        <v>4940</v>
      </c>
      <c r="D743" t="s">
        <v>4563</v>
      </c>
      <c r="E743" t="s">
        <v>4564</v>
      </c>
      <c r="F743" t="s">
        <v>1227</v>
      </c>
      <c r="G743" t="s">
        <v>2348</v>
      </c>
      <c r="H743">
        <v>15962.94</v>
      </c>
      <c r="I743">
        <v>16761.09</v>
      </c>
      <c r="J743" t="s">
        <v>3862</v>
      </c>
      <c r="K743">
        <v>1</v>
      </c>
      <c r="L743" t="s">
        <v>2945</v>
      </c>
      <c r="M743" s="19">
        <v>46262</v>
      </c>
      <c r="N743" t="s">
        <v>4565</v>
      </c>
    </row>
    <row r="744" spans="1:14" x14ac:dyDescent="0.3">
      <c r="A744" t="s">
        <v>4941</v>
      </c>
      <c r="B744" t="s">
        <v>4942</v>
      </c>
      <c r="C744" t="s">
        <v>4943</v>
      </c>
      <c r="D744" t="s">
        <v>4563</v>
      </c>
      <c r="E744" t="s">
        <v>4564</v>
      </c>
      <c r="F744" t="s">
        <v>1227</v>
      </c>
      <c r="G744" t="s">
        <v>2348</v>
      </c>
      <c r="H744">
        <v>11467.51</v>
      </c>
      <c r="I744">
        <v>12040.89</v>
      </c>
      <c r="J744" t="s">
        <v>3862</v>
      </c>
      <c r="K744">
        <v>1</v>
      </c>
      <c r="L744" t="s">
        <v>2945</v>
      </c>
      <c r="M744" s="19">
        <v>46262</v>
      </c>
      <c r="N744" t="s">
        <v>4565</v>
      </c>
    </row>
    <row r="745" spans="1:14" x14ac:dyDescent="0.3">
      <c r="A745" t="s">
        <v>4944</v>
      </c>
      <c r="B745" t="s">
        <v>4945</v>
      </c>
      <c r="C745" t="s">
        <v>4946</v>
      </c>
      <c r="D745" t="s">
        <v>4563</v>
      </c>
      <c r="E745" t="s">
        <v>4564</v>
      </c>
      <c r="F745" t="s">
        <v>1227</v>
      </c>
      <c r="G745" t="s">
        <v>2348</v>
      </c>
      <c r="H745">
        <v>5145.53</v>
      </c>
      <c r="I745">
        <v>5402.8</v>
      </c>
      <c r="J745" t="s">
        <v>3862</v>
      </c>
      <c r="K745">
        <v>1</v>
      </c>
      <c r="L745" t="s">
        <v>2945</v>
      </c>
      <c r="M745" s="19">
        <v>46262</v>
      </c>
      <c r="N745" t="s">
        <v>4565</v>
      </c>
    </row>
    <row r="746" spans="1:14" x14ac:dyDescent="0.3">
      <c r="A746" t="s">
        <v>4947</v>
      </c>
      <c r="B746" t="s">
        <v>2494</v>
      </c>
      <c r="C746" t="s">
        <v>4948</v>
      </c>
      <c r="D746" t="s">
        <v>4563</v>
      </c>
      <c r="E746" t="s">
        <v>4564</v>
      </c>
      <c r="F746" t="s">
        <v>1227</v>
      </c>
      <c r="G746" t="s">
        <v>2348</v>
      </c>
      <c r="H746">
        <v>5145.53</v>
      </c>
      <c r="I746">
        <v>5402.8</v>
      </c>
      <c r="J746" t="s">
        <v>3862</v>
      </c>
      <c r="K746">
        <v>1</v>
      </c>
      <c r="L746" t="s">
        <v>2945</v>
      </c>
      <c r="M746" s="19">
        <v>46262</v>
      </c>
      <c r="N746" t="s">
        <v>4565</v>
      </c>
    </row>
    <row r="747" spans="1:14" x14ac:dyDescent="0.3">
      <c r="A747" t="s">
        <v>4949</v>
      </c>
      <c r="B747" t="s">
        <v>4950</v>
      </c>
      <c r="C747" t="s">
        <v>4951</v>
      </c>
      <c r="D747" t="s">
        <v>4563</v>
      </c>
      <c r="E747" t="s">
        <v>4564</v>
      </c>
      <c r="F747" t="s">
        <v>1227</v>
      </c>
      <c r="G747" t="s">
        <v>2348</v>
      </c>
      <c r="H747">
        <v>5958.23</v>
      </c>
      <c r="I747">
        <v>6256.14</v>
      </c>
      <c r="J747" t="s">
        <v>3862</v>
      </c>
      <c r="K747">
        <v>1</v>
      </c>
      <c r="L747" t="s">
        <v>2945</v>
      </c>
      <c r="M747" s="19">
        <v>46262</v>
      </c>
      <c r="N747" t="s">
        <v>4565</v>
      </c>
    </row>
    <row r="748" spans="1:14" x14ac:dyDescent="0.3">
      <c r="A748" t="s">
        <v>4952</v>
      </c>
      <c r="B748" t="s">
        <v>4953</v>
      </c>
      <c r="C748" t="s">
        <v>4954</v>
      </c>
      <c r="D748" t="s">
        <v>4563</v>
      </c>
      <c r="E748" t="s">
        <v>4564</v>
      </c>
      <c r="F748" t="s">
        <v>1227</v>
      </c>
      <c r="G748" t="s">
        <v>2348</v>
      </c>
      <c r="H748">
        <v>17396.509999999998</v>
      </c>
      <c r="I748">
        <v>18266.330000000002</v>
      </c>
      <c r="J748" t="s">
        <v>3862</v>
      </c>
      <c r="K748">
        <v>1</v>
      </c>
      <c r="L748" t="s">
        <v>2945</v>
      </c>
      <c r="M748" s="19">
        <v>46262</v>
      </c>
      <c r="N748" t="s">
        <v>4565</v>
      </c>
    </row>
    <row r="749" spans="1:14" x14ac:dyDescent="0.3">
      <c r="A749" t="s">
        <v>4955</v>
      </c>
      <c r="B749" t="s">
        <v>4956</v>
      </c>
      <c r="C749" t="s">
        <v>4957</v>
      </c>
      <c r="D749" t="s">
        <v>4563</v>
      </c>
      <c r="E749" t="s">
        <v>4564</v>
      </c>
      <c r="F749" t="s">
        <v>1227</v>
      </c>
      <c r="G749" t="s">
        <v>2348</v>
      </c>
      <c r="H749">
        <v>17393.669999999998</v>
      </c>
      <c r="I749">
        <v>18263.349999999999</v>
      </c>
      <c r="J749" t="s">
        <v>3862</v>
      </c>
      <c r="K749">
        <v>1</v>
      </c>
      <c r="L749" t="s">
        <v>2945</v>
      </c>
      <c r="M749" s="19">
        <v>46262</v>
      </c>
      <c r="N749" t="s">
        <v>4565</v>
      </c>
    </row>
    <row r="750" spans="1:14" x14ac:dyDescent="0.3">
      <c r="A750" t="s">
        <v>4958</v>
      </c>
      <c r="B750" t="s">
        <v>4959</v>
      </c>
      <c r="C750" t="s">
        <v>4960</v>
      </c>
      <c r="D750" t="s">
        <v>4563</v>
      </c>
      <c r="E750" t="s">
        <v>4564</v>
      </c>
      <c r="F750" t="s">
        <v>1227</v>
      </c>
      <c r="G750" t="s">
        <v>2348</v>
      </c>
      <c r="H750">
        <v>17393.669999999998</v>
      </c>
      <c r="I750">
        <v>18263.349999999999</v>
      </c>
      <c r="J750" t="s">
        <v>3862</v>
      </c>
      <c r="K750">
        <v>1</v>
      </c>
      <c r="L750" t="s">
        <v>2945</v>
      </c>
      <c r="M750" s="19">
        <v>46262</v>
      </c>
      <c r="N750" t="s">
        <v>4565</v>
      </c>
    </row>
    <row r="751" spans="1:14" x14ac:dyDescent="0.3">
      <c r="A751" t="s">
        <v>4961</v>
      </c>
      <c r="B751" t="s">
        <v>4962</v>
      </c>
      <c r="C751" t="s">
        <v>4963</v>
      </c>
      <c r="D751" t="s">
        <v>4563</v>
      </c>
      <c r="E751" t="s">
        <v>4564</v>
      </c>
      <c r="F751" t="s">
        <v>1227</v>
      </c>
      <c r="G751" t="s">
        <v>2348</v>
      </c>
      <c r="H751">
        <v>17393.669999999998</v>
      </c>
      <c r="I751">
        <v>18263.349999999999</v>
      </c>
      <c r="J751" t="s">
        <v>3862</v>
      </c>
      <c r="K751">
        <v>1</v>
      </c>
      <c r="L751" t="s">
        <v>2945</v>
      </c>
      <c r="M751" s="19">
        <v>46262</v>
      </c>
      <c r="N751" t="s">
        <v>4565</v>
      </c>
    </row>
    <row r="752" spans="1:14" x14ac:dyDescent="0.3">
      <c r="A752" t="s">
        <v>4964</v>
      </c>
      <c r="B752" t="s">
        <v>4965</v>
      </c>
      <c r="C752" t="s">
        <v>4966</v>
      </c>
      <c r="D752" t="s">
        <v>4563</v>
      </c>
      <c r="E752" t="s">
        <v>4564</v>
      </c>
      <c r="F752" t="s">
        <v>1227</v>
      </c>
      <c r="G752" t="s">
        <v>2348</v>
      </c>
      <c r="H752">
        <v>38701.370000000003</v>
      </c>
      <c r="I752">
        <v>40636.44</v>
      </c>
      <c r="J752" t="s">
        <v>3862</v>
      </c>
      <c r="K752">
        <v>1</v>
      </c>
      <c r="L752" t="s">
        <v>2945</v>
      </c>
      <c r="M752" s="19">
        <v>46262</v>
      </c>
      <c r="N752" t="s">
        <v>4565</v>
      </c>
    </row>
    <row r="753" spans="1:14" x14ac:dyDescent="0.3">
      <c r="A753" t="s">
        <v>4967</v>
      </c>
      <c r="B753" t="s">
        <v>4968</v>
      </c>
      <c r="D753" t="s">
        <v>4969</v>
      </c>
      <c r="E753" t="s">
        <v>4969</v>
      </c>
      <c r="F753" t="s">
        <v>1227</v>
      </c>
      <c r="G753" t="s">
        <v>2348</v>
      </c>
      <c r="H753">
        <v>26623.74</v>
      </c>
      <c r="I753">
        <v>27954.93</v>
      </c>
      <c r="J753" t="s">
        <v>3862</v>
      </c>
      <c r="K753">
        <v>1</v>
      </c>
      <c r="L753" t="s">
        <v>2945</v>
      </c>
      <c r="M753" s="19">
        <v>46262</v>
      </c>
      <c r="N753" t="s">
        <v>4970</v>
      </c>
    </row>
    <row r="754" spans="1:14" x14ac:dyDescent="0.3">
      <c r="A754" t="s">
        <v>4971</v>
      </c>
      <c r="B754" t="s">
        <v>4972</v>
      </c>
      <c r="D754" t="s">
        <v>4969</v>
      </c>
      <c r="E754" t="s">
        <v>4969</v>
      </c>
      <c r="F754" t="s">
        <v>1227</v>
      </c>
      <c r="G754" t="s">
        <v>2348</v>
      </c>
      <c r="H754">
        <v>30223.22</v>
      </c>
      <c r="I754">
        <v>31734.38</v>
      </c>
      <c r="J754" t="s">
        <v>3862</v>
      </c>
      <c r="K754">
        <v>1</v>
      </c>
      <c r="L754" t="s">
        <v>2945</v>
      </c>
      <c r="M754" s="19">
        <v>46262</v>
      </c>
      <c r="N754" t="s">
        <v>4970</v>
      </c>
    </row>
    <row r="755" spans="1:14" x14ac:dyDescent="0.3">
      <c r="A755" t="s">
        <v>4973</v>
      </c>
      <c r="B755" t="s">
        <v>4974</v>
      </c>
      <c r="D755" t="s">
        <v>4969</v>
      </c>
      <c r="E755" t="s">
        <v>4969</v>
      </c>
      <c r="F755" t="s">
        <v>1227</v>
      </c>
      <c r="G755" t="s">
        <v>2348</v>
      </c>
      <c r="H755">
        <v>59375.91</v>
      </c>
      <c r="I755">
        <v>62344.71</v>
      </c>
      <c r="J755" t="s">
        <v>3862</v>
      </c>
      <c r="K755">
        <v>1</v>
      </c>
      <c r="L755" t="s">
        <v>2945</v>
      </c>
      <c r="M755" s="19">
        <v>46262</v>
      </c>
      <c r="N755" t="s">
        <v>4970</v>
      </c>
    </row>
    <row r="756" spans="1:14" x14ac:dyDescent="0.3">
      <c r="A756" t="s">
        <v>4975</v>
      </c>
      <c r="B756" t="s">
        <v>4976</v>
      </c>
      <c r="D756" t="s">
        <v>4969</v>
      </c>
      <c r="E756" t="s">
        <v>4969</v>
      </c>
      <c r="F756" t="s">
        <v>1227</v>
      </c>
      <c r="G756" t="s">
        <v>2348</v>
      </c>
      <c r="H756">
        <v>79321.990000000005</v>
      </c>
      <c r="I756">
        <v>83288.09</v>
      </c>
      <c r="J756" t="s">
        <v>3862</v>
      </c>
      <c r="K756">
        <v>1</v>
      </c>
      <c r="L756" t="s">
        <v>2945</v>
      </c>
      <c r="M756" s="19">
        <v>46262</v>
      </c>
      <c r="N756" t="s">
        <v>4970</v>
      </c>
    </row>
    <row r="757" spans="1:14" x14ac:dyDescent="0.3">
      <c r="A757" t="s">
        <v>4977</v>
      </c>
      <c r="B757" t="s">
        <v>4978</v>
      </c>
      <c r="D757" t="s">
        <v>4969</v>
      </c>
      <c r="E757" t="s">
        <v>4969</v>
      </c>
      <c r="F757" t="s">
        <v>1227</v>
      </c>
      <c r="G757" t="s">
        <v>2348</v>
      </c>
      <c r="H757">
        <v>95957.6</v>
      </c>
      <c r="I757">
        <v>100755.48</v>
      </c>
      <c r="J757" t="s">
        <v>3862</v>
      </c>
      <c r="K757">
        <v>1</v>
      </c>
      <c r="L757" t="s">
        <v>2945</v>
      </c>
      <c r="M757" s="19">
        <v>46262</v>
      </c>
      <c r="N757" t="s">
        <v>4970</v>
      </c>
    </row>
    <row r="758" spans="1:14" x14ac:dyDescent="0.3">
      <c r="A758" t="s">
        <v>4979</v>
      </c>
      <c r="B758" t="s">
        <v>4980</v>
      </c>
      <c r="D758" t="s">
        <v>4969</v>
      </c>
      <c r="E758" t="s">
        <v>4969</v>
      </c>
      <c r="F758" t="s">
        <v>1227</v>
      </c>
      <c r="G758" t="s">
        <v>2348</v>
      </c>
      <c r="H758">
        <v>17459.189999999999</v>
      </c>
      <c r="I758">
        <v>18332.150000000001</v>
      </c>
      <c r="J758" t="s">
        <v>3862</v>
      </c>
      <c r="K758">
        <v>1</v>
      </c>
      <c r="L758" t="s">
        <v>2945</v>
      </c>
      <c r="M758" s="19">
        <v>46262</v>
      </c>
      <c r="N758" t="s">
        <v>4970</v>
      </c>
    </row>
    <row r="759" spans="1:14" x14ac:dyDescent="0.3">
      <c r="A759" t="s">
        <v>4981</v>
      </c>
      <c r="B759" t="s">
        <v>4982</v>
      </c>
      <c r="D759" t="s">
        <v>4969</v>
      </c>
      <c r="E759" t="s">
        <v>4969</v>
      </c>
      <c r="F759" t="s">
        <v>1227</v>
      </c>
      <c r="G759" t="s">
        <v>2348</v>
      </c>
      <c r="H759">
        <v>17459.189999999999</v>
      </c>
      <c r="I759">
        <v>18332.150000000001</v>
      </c>
      <c r="J759" t="s">
        <v>3862</v>
      </c>
      <c r="K759">
        <v>1</v>
      </c>
      <c r="L759" t="s">
        <v>2945</v>
      </c>
      <c r="M759" s="19">
        <v>46262</v>
      </c>
      <c r="N759" t="s">
        <v>4970</v>
      </c>
    </row>
    <row r="760" spans="1:14" x14ac:dyDescent="0.3">
      <c r="A760" t="s">
        <v>4983</v>
      </c>
      <c r="B760" t="s">
        <v>4984</v>
      </c>
      <c r="D760" t="s">
        <v>4780</v>
      </c>
      <c r="E760" t="s">
        <v>4564</v>
      </c>
      <c r="F760" t="s">
        <v>1227</v>
      </c>
      <c r="G760" t="s">
        <v>2348</v>
      </c>
      <c r="H760">
        <v>1034.78</v>
      </c>
      <c r="I760">
        <v>1086.51</v>
      </c>
      <c r="J760" t="s">
        <v>3862</v>
      </c>
      <c r="K760">
        <v>1</v>
      </c>
      <c r="L760" t="s">
        <v>2945</v>
      </c>
      <c r="M760" s="19">
        <v>46262</v>
      </c>
      <c r="N760" t="s">
        <v>4565</v>
      </c>
    </row>
    <row r="761" spans="1:14" x14ac:dyDescent="0.3">
      <c r="A761" t="s">
        <v>4985</v>
      </c>
      <c r="B761" t="s">
        <v>4986</v>
      </c>
      <c r="D761" t="s">
        <v>4780</v>
      </c>
      <c r="E761" t="s">
        <v>4564</v>
      </c>
      <c r="F761" t="s">
        <v>1227</v>
      </c>
      <c r="G761" t="s">
        <v>2348</v>
      </c>
      <c r="H761">
        <v>1034.78</v>
      </c>
      <c r="I761">
        <v>1086.51</v>
      </c>
      <c r="J761" t="s">
        <v>3862</v>
      </c>
      <c r="K761">
        <v>1</v>
      </c>
      <c r="L761" t="s">
        <v>2945</v>
      </c>
      <c r="M761" s="19">
        <v>46262</v>
      </c>
      <c r="N761" t="s">
        <v>4565</v>
      </c>
    </row>
    <row r="762" spans="1:14" x14ac:dyDescent="0.3">
      <c r="A762" t="s">
        <v>4987</v>
      </c>
      <c r="B762" t="s">
        <v>4988</v>
      </c>
      <c r="D762" t="s">
        <v>4780</v>
      </c>
      <c r="E762" t="s">
        <v>4564</v>
      </c>
      <c r="F762" t="s">
        <v>1227</v>
      </c>
      <c r="G762" t="s">
        <v>2348</v>
      </c>
      <c r="H762">
        <v>1552.16</v>
      </c>
      <c r="I762">
        <v>1629.77</v>
      </c>
      <c r="J762" t="s">
        <v>3862</v>
      </c>
      <c r="K762">
        <v>1</v>
      </c>
      <c r="L762" t="s">
        <v>2945</v>
      </c>
      <c r="M762" s="19">
        <v>46262</v>
      </c>
      <c r="N762" t="s">
        <v>4565</v>
      </c>
    </row>
    <row r="763" spans="1:14" x14ac:dyDescent="0.3">
      <c r="A763" t="s">
        <v>4989</v>
      </c>
      <c r="B763" t="s">
        <v>4990</v>
      </c>
      <c r="D763" t="s">
        <v>4780</v>
      </c>
      <c r="E763" t="s">
        <v>4564</v>
      </c>
      <c r="F763" t="s">
        <v>1227</v>
      </c>
      <c r="G763" t="s">
        <v>2348</v>
      </c>
      <c r="H763">
        <v>1034.78</v>
      </c>
      <c r="I763">
        <v>1086.51</v>
      </c>
      <c r="J763" t="s">
        <v>3862</v>
      </c>
      <c r="K763">
        <v>1</v>
      </c>
      <c r="L763" t="s">
        <v>2945</v>
      </c>
      <c r="M763" s="19">
        <v>46262</v>
      </c>
      <c r="N763" t="s">
        <v>4565</v>
      </c>
    </row>
    <row r="764" spans="1:14" x14ac:dyDescent="0.3">
      <c r="A764" t="s">
        <v>4991</v>
      </c>
      <c r="B764" t="s">
        <v>4992</v>
      </c>
      <c r="D764" t="s">
        <v>4780</v>
      </c>
      <c r="E764" t="s">
        <v>4564</v>
      </c>
      <c r="F764" t="s">
        <v>1227</v>
      </c>
      <c r="G764" t="s">
        <v>2348</v>
      </c>
      <c r="H764">
        <v>1034.78</v>
      </c>
      <c r="I764">
        <v>1086.51</v>
      </c>
      <c r="J764" t="s">
        <v>3862</v>
      </c>
      <c r="K764">
        <v>1</v>
      </c>
      <c r="L764" t="s">
        <v>2945</v>
      </c>
      <c r="M764" s="19">
        <v>46262</v>
      </c>
      <c r="N764" t="s">
        <v>4565</v>
      </c>
    </row>
    <row r="765" spans="1:14" x14ac:dyDescent="0.3">
      <c r="A765" t="s">
        <v>4993</v>
      </c>
      <c r="B765" t="s">
        <v>4994</v>
      </c>
      <c r="C765" t="s">
        <v>4995</v>
      </c>
      <c r="D765" t="s">
        <v>4563</v>
      </c>
      <c r="E765" t="s">
        <v>4564</v>
      </c>
      <c r="F765" t="s">
        <v>1227</v>
      </c>
      <c r="G765" t="s">
        <v>2348</v>
      </c>
      <c r="H765">
        <v>3433.18</v>
      </c>
      <c r="I765">
        <v>3604.84</v>
      </c>
      <c r="J765" t="s">
        <v>3862</v>
      </c>
      <c r="K765">
        <v>1</v>
      </c>
      <c r="L765" t="s">
        <v>2945</v>
      </c>
      <c r="M765" s="19">
        <v>46262</v>
      </c>
      <c r="N765" t="s">
        <v>4565</v>
      </c>
    </row>
    <row r="766" spans="1:14" x14ac:dyDescent="0.3">
      <c r="A766" t="s">
        <v>4996</v>
      </c>
      <c r="B766" t="s">
        <v>4997</v>
      </c>
      <c r="C766" t="s">
        <v>4998</v>
      </c>
      <c r="D766" t="s">
        <v>4563</v>
      </c>
      <c r="E766" t="s">
        <v>4564</v>
      </c>
      <c r="F766" t="s">
        <v>1227</v>
      </c>
      <c r="G766" t="s">
        <v>2348</v>
      </c>
      <c r="H766">
        <v>7937.06</v>
      </c>
      <c r="I766">
        <v>8333.91</v>
      </c>
      <c r="J766" t="s">
        <v>3862</v>
      </c>
      <c r="K766">
        <v>1</v>
      </c>
      <c r="L766" t="s">
        <v>2945</v>
      </c>
      <c r="M766" s="19">
        <v>46262</v>
      </c>
      <c r="N766" t="s">
        <v>4565</v>
      </c>
    </row>
    <row r="767" spans="1:14" x14ac:dyDescent="0.3">
      <c r="A767" t="s">
        <v>4999</v>
      </c>
      <c r="B767" t="s">
        <v>5000</v>
      </c>
      <c r="C767" t="s">
        <v>5001</v>
      </c>
      <c r="D767" t="s">
        <v>4563</v>
      </c>
      <c r="E767" t="s">
        <v>4564</v>
      </c>
      <c r="F767" t="s">
        <v>1227</v>
      </c>
      <c r="G767" t="s">
        <v>2348</v>
      </c>
      <c r="H767">
        <v>9710.82</v>
      </c>
      <c r="I767">
        <v>10196.36</v>
      </c>
      <c r="J767" t="s">
        <v>3862</v>
      </c>
      <c r="K767">
        <v>1</v>
      </c>
      <c r="L767" t="s">
        <v>2945</v>
      </c>
      <c r="M767" s="19">
        <v>46262</v>
      </c>
      <c r="N767" t="s">
        <v>4565</v>
      </c>
    </row>
    <row r="768" spans="1:14" x14ac:dyDescent="0.3">
      <c r="A768" t="s">
        <v>5002</v>
      </c>
      <c r="B768" t="s">
        <v>5003</v>
      </c>
      <c r="C768" t="s">
        <v>5004</v>
      </c>
      <c r="D768" t="s">
        <v>4563</v>
      </c>
      <c r="E768" t="s">
        <v>4564</v>
      </c>
      <c r="F768" t="s">
        <v>1227</v>
      </c>
      <c r="G768" t="s">
        <v>2348</v>
      </c>
      <c r="H768">
        <v>9734.44</v>
      </c>
      <c r="I768">
        <v>10221.17</v>
      </c>
      <c r="J768" t="s">
        <v>3862</v>
      </c>
      <c r="K768">
        <v>1</v>
      </c>
      <c r="L768" t="s">
        <v>2945</v>
      </c>
      <c r="M768" s="19">
        <v>46262</v>
      </c>
      <c r="N768" t="s">
        <v>4565</v>
      </c>
    </row>
    <row r="769" spans="1:14" x14ac:dyDescent="0.3">
      <c r="A769" t="s">
        <v>5005</v>
      </c>
      <c r="B769" t="s">
        <v>5006</v>
      </c>
      <c r="C769" t="s">
        <v>5007</v>
      </c>
      <c r="D769" t="s">
        <v>4563</v>
      </c>
      <c r="E769" t="s">
        <v>4564</v>
      </c>
      <c r="F769" t="s">
        <v>1227</v>
      </c>
      <c r="G769" t="s">
        <v>2348</v>
      </c>
      <c r="H769">
        <v>5013.6899999999996</v>
      </c>
      <c r="I769">
        <v>5264.37</v>
      </c>
      <c r="J769" t="s">
        <v>3862</v>
      </c>
      <c r="K769">
        <v>1</v>
      </c>
      <c r="L769" t="s">
        <v>2945</v>
      </c>
      <c r="M769" s="19">
        <v>46262</v>
      </c>
      <c r="N769" t="s">
        <v>4565</v>
      </c>
    </row>
    <row r="770" spans="1:14" x14ac:dyDescent="0.3">
      <c r="A770" t="s">
        <v>5008</v>
      </c>
      <c r="B770" t="s">
        <v>5009</v>
      </c>
      <c r="C770" t="s">
        <v>5010</v>
      </c>
      <c r="D770" t="s">
        <v>4563</v>
      </c>
      <c r="E770" t="s">
        <v>4564</v>
      </c>
      <c r="F770" t="s">
        <v>1227</v>
      </c>
      <c r="G770" t="s">
        <v>2348</v>
      </c>
      <c r="H770">
        <v>5286.2</v>
      </c>
      <c r="I770">
        <v>5550.51</v>
      </c>
      <c r="J770" t="s">
        <v>3862</v>
      </c>
      <c r="K770">
        <v>1</v>
      </c>
      <c r="L770" t="s">
        <v>2945</v>
      </c>
      <c r="M770" s="19">
        <v>46262</v>
      </c>
      <c r="N770" t="s">
        <v>4565</v>
      </c>
    </row>
    <row r="771" spans="1:14" x14ac:dyDescent="0.3">
      <c r="A771" t="s">
        <v>5011</v>
      </c>
      <c r="B771" t="s">
        <v>5012</v>
      </c>
      <c r="C771" t="s">
        <v>5013</v>
      </c>
      <c r="D771" t="s">
        <v>4563</v>
      </c>
      <c r="E771" t="s">
        <v>4564</v>
      </c>
      <c r="F771" t="s">
        <v>1227</v>
      </c>
      <c r="G771" t="s">
        <v>2348</v>
      </c>
      <c r="H771">
        <v>5817.78</v>
      </c>
      <c r="I771">
        <v>6108.67</v>
      </c>
      <c r="J771" t="s">
        <v>3862</v>
      </c>
      <c r="K771">
        <v>1</v>
      </c>
      <c r="L771" t="s">
        <v>2945</v>
      </c>
      <c r="M771" s="19">
        <v>46262</v>
      </c>
      <c r="N771" t="s">
        <v>4565</v>
      </c>
    </row>
    <row r="772" spans="1:14" x14ac:dyDescent="0.3">
      <c r="A772" t="s">
        <v>5014</v>
      </c>
      <c r="B772" t="s">
        <v>5015</v>
      </c>
      <c r="C772" t="s">
        <v>5016</v>
      </c>
      <c r="D772" t="s">
        <v>4563</v>
      </c>
      <c r="E772" t="s">
        <v>4564</v>
      </c>
      <c r="F772" t="s">
        <v>1227</v>
      </c>
      <c r="G772" t="s">
        <v>2348</v>
      </c>
      <c r="H772">
        <v>5817.78</v>
      </c>
      <c r="I772">
        <v>6108.67</v>
      </c>
      <c r="J772" t="s">
        <v>3862</v>
      </c>
      <c r="K772">
        <v>1</v>
      </c>
      <c r="L772" t="s">
        <v>2945</v>
      </c>
      <c r="M772" s="19">
        <v>46262</v>
      </c>
      <c r="N772" t="s">
        <v>4565</v>
      </c>
    </row>
    <row r="773" spans="1:14" x14ac:dyDescent="0.3">
      <c r="A773" t="s">
        <v>5017</v>
      </c>
      <c r="B773" t="s">
        <v>5018</v>
      </c>
      <c r="C773" t="s">
        <v>5019</v>
      </c>
      <c r="D773" t="s">
        <v>4563</v>
      </c>
      <c r="E773" t="s">
        <v>4564</v>
      </c>
      <c r="F773" t="s">
        <v>1227</v>
      </c>
      <c r="G773" t="s">
        <v>2348</v>
      </c>
      <c r="H773">
        <v>5257.68</v>
      </c>
      <c r="I773">
        <v>5520.56</v>
      </c>
      <c r="J773" t="s">
        <v>3862</v>
      </c>
      <c r="K773">
        <v>1</v>
      </c>
      <c r="L773" t="s">
        <v>2945</v>
      </c>
      <c r="M773" s="19">
        <v>46262</v>
      </c>
      <c r="N773" t="s">
        <v>4565</v>
      </c>
    </row>
    <row r="774" spans="1:14" x14ac:dyDescent="0.3">
      <c r="A774" t="s">
        <v>5020</v>
      </c>
      <c r="B774" t="s">
        <v>5021</v>
      </c>
      <c r="C774" t="s">
        <v>5022</v>
      </c>
      <c r="D774" t="s">
        <v>4563</v>
      </c>
      <c r="E774" t="s">
        <v>4564</v>
      </c>
      <c r="F774" t="s">
        <v>1227</v>
      </c>
      <c r="G774" t="s">
        <v>2348</v>
      </c>
      <c r="H774">
        <v>6505.38</v>
      </c>
      <c r="I774">
        <v>6830.65</v>
      </c>
      <c r="J774" t="s">
        <v>3862</v>
      </c>
      <c r="K774">
        <v>1</v>
      </c>
      <c r="L774" t="s">
        <v>2945</v>
      </c>
      <c r="M774" s="19">
        <v>46262</v>
      </c>
      <c r="N774" t="s">
        <v>4565</v>
      </c>
    </row>
    <row r="775" spans="1:14" x14ac:dyDescent="0.3">
      <c r="A775" t="s">
        <v>5023</v>
      </c>
      <c r="B775" t="s">
        <v>5024</v>
      </c>
      <c r="C775" t="s">
        <v>5022</v>
      </c>
      <c r="D775" t="s">
        <v>4563</v>
      </c>
      <c r="E775" t="s">
        <v>4564</v>
      </c>
      <c r="F775" t="s">
        <v>1227</v>
      </c>
      <c r="G775" t="s">
        <v>2348</v>
      </c>
      <c r="H775">
        <v>6505.38</v>
      </c>
      <c r="I775">
        <v>6830.65</v>
      </c>
      <c r="J775" t="s">
        <v>3862</v>
      </c>
      <c r="K775">
        <v>1</v>
      </c>
      <c r="L775" t="s">
        <v>2945</v>
      </c>
      <c r="M775" s="19">
        <v>46262</v>
      </c>
      <c r="N775" t="s">
        <v>4565</v>
      </c>
    </row>
    <row r="776" spans="1:14" x14ac:dyDescent="0.3">
      <c r="A776" t="s">
        <v>5025</v>
      </c>
      <c r="B776" t="s">
        <v>5026</v>
      </c>
      <c r="C776" t="s">
        <v>5027</v>
      </c>
      <c r="D776" t="s">
        <v>4563</v>
      </c>
      <c r="E776" t="s">
        <v>4564</v>
      </c>
      <c r="F776" t="s">
        <v>1227</v>
      </c>
      <c r="G776" t="s">
        <v>2348</v>
      </c>
      <c r="H776">
        <v>8103.38</v>
      </c>
      <c r="I776">
        <v>8508.5400000000009</v>
      </c>
      <c r="J776" t="s">
        <v>3862</v>
      </c>
      <c r="K776">
        <v>1</v>
      </c>
      <c r="L776" t="s">
        <v>2945</v>
      </c>
      <c r="M776" s="19">
        <v>46262</v>
      </c>
      <c r="N776" t="s">
        <v>4565</v>
      </c>
    </row>
    <row r="777" spans="1:14" x14ac:dyDescent="0.3">
      <c r="A777" t="s">
        <v>5028</v>
      </c>
      <c r="B777" t="s">
        <v>5029</v>
      </c>
      <c r="C777" t="s">
        <v>5030</v>
      </c>
      <c r="D777" t="s">
        <v>4563</v>
      </c>
      <c r="E777" t="s">
        <v>4564</v>
      </c>
      <c r="F777" t="s">
        <v>1227</v>
      </c>
      <c r="G777" t="s">
        <v>2348</v>
      </c>
      <c r="H777">
        <v>8103.38</v>
      </c>
      <c r="I777">
        <v>8508.5400000000009</v>
      </c>
      <c r="J777" t="s">
        <v>3862</v>
      </c>
      <c r="K777">
        <v>1</v>
      </c>
      <c r="L777" t="s">
        <v>2945</v>
      </c>
      <c r="M777" s="19">
        <v>46262</v>
      </c>
      <c r="N777" t="s">
        <v>4565</v>
      </c>
    </row>
    <row r="778" spans="1:14" x14ac:dyDescent="0.3">
      <c r="A778" t="s">
        <v>5031</v>
      </c>
      <c r="B778" t="s">
        <v>5032</v>
      </c>
      <c r="C778" t="s">
        <v>5033</v>
      </c>
      <c r="D778" t="s">
        <v>4563</v>
      </c>
      <c r="E778" t="s">
        <v>4564</v>
      </c>
      <c r="F778" t="s">
        <v>1227</v>
      </c>
      <c r="G778" t="s">
        <v>2348</v>
      </c>
      <c r="H778">
        <v>6505.38</v>
      </c>
      <c r="I778">
        <v>6830.65</v>
      </c>
      <c r="J778" t="s">
        <v>3862</v>
      </c>
      <c r="K778">
        <v>1</v>
      </c>
      <c r="L778" t="s">
        <v>2945</v>
      </c>
      <c r="M778" s="19">
        <v>46262</v>
      </c>
      <c r="N778" t="s">
        <v>4565</v>
      </c>
    </row>
    <row r="779" spans="1:14" x14ac:dyDescent="0.3">
      <c r="A779" t="s">
        <v>5034</v>
      </c>
      <c r="B779" t="s">
        <v>5035</v>
      </c>
      <c r="C779" t="s">
        <v>5036</v>
      </c>
      <c r="D779" t="s">
        <v>4563</v>
      </c>
      <c r="E779" t="s">
        <v>4564</v>
      </c>
      <c r="F779" t="s">
        <v>1227</v>
      </c>
      <c r="G779" t="s">
        <v>2348</v>
      </c>
      <c r="H779">
        <v>6505.38</v>
      </c>
      <c r="I779">
        <v>6830.65</v>
      </c>
      <c r="J779" t="s">
        <v>3862</v>
      </c>
      <c r="K779">
        <v>1</v>
      </c>
      <c r="L779" t="s">
        <v>2945</v>
      </c>
      <c r="M779" s="19">
        <v>46262</v>
      </c>
      <c r="N779" t="s">
        <v>4565</v>
      </c>
    </row>
    <row r="780" spans="1:14" x14ac:dyDescent="0.3">
      <c r="A780" t="s">
        <v>5037</v>
      </c>
      <c r="B780" t="s">
        <v>5038</v>
      </c>
      <c r="C780" t="s">
        <v>5039</v>
      </c>
      <c r="D780" t="s">
        <v>4563</v>
      </c>
      <c r="E780" t="s">
        <v>4564</v>
      </c>
      <c r="F780" t="s">
        <v>1227</v>
      </c>
      <c r="G780" t="s">
        <v>2348</v>
      </c>
      <c r="H780">
        <v>8383.09</v>
      </c>
      <c r="I780">
        <v>8802.25</v>
      </c>
      <c r="J780" t="s">
        <v>3862</v>
      </c>
      <c r="K780">
        <v>1</v>
      </c>
      <c r="L780" t="s">
        <v>2945</v>
      </c>
      <c r="M780" s="19">
        <v>46262</v>
      </c>
      <c r="N780" t="s">
        <v>4565</v>
      </c>
    </row>
    <row r="781" spans="1:14" x14ac:dyDescent="0.3">
      <c r="A781" t="s">
        <v>5040</v>
      </c>
      <c r="B781" t="s">
        <v>5041</v>
      </c>
      <c r="C781" t="s">
        <v>5042</v>
      </c>
      <c r="D781" t="s">
        <v>4563</v>
      </c>
      <c r="E781" t="s">
        <v>4564</v>
      </c>
      <c r="F781" t="s">
        <v>1227</v>
      </c>
      <c r="G781" t="s">
        <v>2348</v>
      </c>
      <c r="H781">
        <v>8383.09</v>
      </c>
      <c r="I781">
        <v>8802.25</v>
      </c>
      <c r="J781" t="s">
        <v>3862</v>
      </c>
      <c r="K781">
        <v>1</v>
      </c>
      <c r="L781" t="s">
        <v>2945</v>
      </c>
      <c r="M781" s="19">
        <v>46262</v>
      </c>
      <c r="N781" t="s">
        <v>4565</v>
      </c>
    </row>
    <row r="782" spans="1:14" x14ac:dyDescent="0.3">
      <c r="A782" t="s">
        <v>5043</v>
      </c>
      <c r="B782" t="s">
        <v>5044</v>
      </c>
      <c r="C782" t="s">
        <v>5045</v>
      </c>
      <c r="D782" t="s">
        <v>4563</v>
      </c>
      <c r="E782" t="s">
        <v>4564</v>
      </c>
      <c r="F782" t="s">
        <v>1227</v>
      </c>
      <c r="G782" t="s">
        <v>2348</v>
      </c>
      <c r="H782">
        <v>8103.38</v>
      </c>
      <c r="I782">
        <v>8508.5400000000009</v>
      </c>
      <c r="J782" t="s">
        <v>3862</v>
      </c>
      <c r="K782">
        <v>1</v>
      </c>
      <c r="L782" t="s">
        <v>2945</v>
      </c>
      <c r="M782" s="19">
        <v>46262</v>
      </c>
      <c r="N782" t="s">
        <v>4565</v>
      </c>
    </row>
    <row r="783" spans="1:14" x14ac:dyDescent="0.3">
      <c r="A783" t="s">
        <v>5046</v>
      </c>
      <c r="B783" t="s">
        <v>5047</v>
      </c>
      <c r="C783" t="s">
        <v>5048</v>
      </c>
      <c r="D783" t="s">
        <v>4563</v>
      </c>
      <c r="E783" t="s">
        <v>4564</v>
      </c>
      <c r="F783" t="s">
        <v>1227</v>
      </c>
      <c r="G783" t="s">
        <v>2348</v>
      </c>
      <c r="H783">
        <v>8103.38</v>
      </c>
      <c r="I783">
        <v>8508.5400000000009</v>
      </c>
      <c r="J783" t="s">
        <v>3862</v>
      </c>
      <c r="K783">
        <v>1</v>
      </c>
      <c r="L783" t="s">
        <v>2945</v>
      </c>
      <c r="M783" s="19">
        <v>46262</v>
      </c>
      <c r="N783" t="s">
        <v>4565</v>
      </c>
    </row>
    <row r="784" spans="1:14" x14ac:dyDescent="0.3">
      <c r="A784" t="s">
        <v>5049</v>
      </c>
      <c r="B784" t="s">
        <v>2508</v>
      </c>
      <c r="C784" t="s">
        <v>5050</v>
      </c>
      <c r="D784" t="s">
        <v>4563</v>
      </c>
      <c r="E784" t="s">
        <v>4564</v>
      </c>
      <c r="F784" t="s">
        <v>1227</v>
      </c>
      <c r="G784" t="s">
        <v>2348</v>
      </c>
      <c r="H784">
        <v>7143.26</v>
      </c>
      <c r="I784">
        <v>7500.42</v>
      </c>
      <c r="J784" t="s">
        <v>3862</v>
      </c>
      <c r="K784">
        <v>1</v>
      </c>
      <c r="L784" t="s">
        <v>2945</v>
      </c>
      <c r="M784" s="19">
        <v>46262</v>
      </c>
      <c r="N784" t="s">
        <v>4565</v>
      </c>
    </row>
    <row r="785" spans="1:14" x14ac:dyDescent="0.3">
      <c r="A785" t="s">
        <v>5051</v>
      </c>
      <c r="B785" t="s">
        <v>5052</v>
      </c>
      <c r="C785" t="s">
        <v>5053</v>
      </c>
      <c r="D785" t="s">
        <v>4563</v>
      </c>
      <c r="E785" t="s">
        <v>4564</v>
      </c>
      <c r="F785" t="s">
        <v>1227</v>
      </c>
      <c r="G785" t="s">
        <v>2348</v>
      </c>
      <c r="H785">
        <v>7143.26</v>
      </c>
      <c r="I785">
        <v>7500.42</v>
      </c>
      <c r="J785" t="s">
        <v>3862</v>
      </c>
      <c r="K785">
        <v>1</v>
      </c>
      <c r="L785" t="s">
        <v>2945</v>
      </c>
      <c r="M785" s="19">
        <v>46262</v>
      </c>
      <c r="N785" t="s">
        <v>4565</v>
      </c>
    </row>
    <row r="786" spans="1:14" x14ac:dyDescent="0.3">
      <c r="A786" t="s">
        <v>5054</v>
      </c>
      <c r="B786" t="s">
        <v>5055</v>
      </c>
      <c r="C786" t="s">
        <v>5056</v>
      </c>
      <c r="D786" t="s">
        <v>4563</v>
      </c>
      <c r="E786" t="s">
        <v>4564</v>
      </c>
      <c r="F786" t="s">
        <v>1227</v>
      </c>
      <c r="G786" t="s">
        <v>2348</v>
      </c>
      <c r="H786">
        <v>8103.38</v>
      </c>
      <c r="I786">
        <v>8508.5400000000009</v>
      </c>
      <c r="J786" t="s">
        <v>3862</v>
      </c>
      <c r="K786">
        <v>1</v>
      </c>
      <c r="L786" t="s">
        <v>2945</v>
      </c>
      <c r="M786" s="19">
        <v>46262</v>
      </c>
      <c r="N786" t="s">
        <v>4565</v>
      </c>
    </row>
    <row r="787" spans="1:14" x14ac:dyDescent="0.3">
      <c r="A787" t="s">
        <v>5057</v>
      </c>
      <c r="B787" t="s">
        <v>5058</v>
      </c>
      <c r="C787" t="s">
        <v>5059</v>
      </c>
      <c r="D787" t="s">
        <v>4563</v>
      </c>
      <c r="E787" t="s">
        <v>4564</v>
      </c>
      <c r="F787" t="s">
        <v>1227</v>
      </c>
      <c r="G787" t="s">
        <v>2348</v>
      </c>
      <c r="H787">
        <v>8103.38</v>
      </c>
      <c r="I787">
        <v>8508.5400000000009</v>
      </c>
      <c r="J787" t="s">
        <v>3862</v>
      </c>
      <c r="K787">
        <v>1</v>
      </c>
      <c r="L787" t="s">
        <v>2945</v>
      </c>
      <c r="M787" s="19">
        <v>46262</v>
      </c>
      <c r="N787" t="s">
        <v>4565</v>
      </c>
    </row>
    <row r="788" spans="1:14" x14ac:dyDescent="0.3">
      <c r="A788" t="s">
        <v>5060</v>
      </c>
      <c r="B788" t="s">
        <v>5061</v>
      </c>
      <c r="C788" t="s">
        <v>5062</v>
      </c>
      <c r="D788" t="s">
        <v>4563</v>
      </c>
      <c r="E788" t="s">
        <v>4564</v>
      </c>
      <c r="F788" t="s">
        <v>1227</v>
      </c>
      <c r="G788" t="s">
        <v>2348</v>
      </c>
      <c r="H788">
        <v>8103.38</v>
      </c>
      <c r="I788">
        <v>8508.5400000000009</v>
      </c>
      <c r="J788" t="s">
        <v>3862</v>
      </c>
      <c r="K788">
        <v>1</v>
      </c>
      <c r="L788" t="s">
        <v>2945</v>
      </c>
      <c r="M788" s="19">
        <v>46262</v>
      </c>
      <c r="N788" t="s">
        <v>4565</v>
      </c>
    </row>
    <row r="789" spans="1:14" x14ac:dyDescent="0.3">
      <c r="A789" t="s">
        <v>5063</v>
      </c>
      <c r="B789" t="s">
        <v>5064</v>
      </c>
      <c r="C789" t="s">
        <v>5065</v>
      </c>
      <c r="D789" t="s">
        <v>4563</v>
      </c>
      <c r="E789" t="s">
        <v>4564</v>
      </c>
      <c r="F789" t="s">
        <v>1227</v>
      </c>
      <c r="G789" t="s">
        <v>2348</v>
      </c>
      <c r="H789">
        <v>8103.38</v>
      </c>
      <c r="I789">
        <v>8508.5400000000009</v>
      </c>
      <c r="J789" t="s">
        <v>3862</v>
      </c>
      <c r="K789">
        <v>1</v>
      </c>
      <c r="L789" t="s">
        <v>2945</v>
      </c>
      <c r="M789" s="19">
        <v>46262</v>
      </c>
      <c r="N789" t="s">
        <v>4565</v>
      </c>
    </row>
    <row r="790" spans="1:14" x14ac:dyDescent="0.3">
      <c r="A790" t="s">
        <v>5066</v>
      </c>
      <c r="B790" t="s">
        <v>5067</v>
      </c>
      <c r="C790" t="s">
        <v>5068</v>
      </c>
      <c r="D790" t="s">
        <v>4563</v>
      </c>
      <c r="E790" t="s">
        <v>4564</v>
      </c>
      <c r="F790" t="s">
        <v>1227</v>
      </c>
      <c r="G790" t="s">
        <v>2348</v>
      </c>
      <c r="H790">
        <v>8103.38</v>
      </c>
      <c r="I790">
        <v>8508.5400000000009</v>
      </c>
      <c r="J790" t="s">
        <v>3862</v>
      </c>
      <c r="K790">
        <v>1</v>
      </c>
      <c r="L790" t="s">
        <v>2945</v>
      </c>
      <c r="M790" s="19">
        <v>46262</v>
      </c>
      <c r="N790" t="s">
        <v>4565</v>
      </c>
    </row>
    <row r="791" spans="1:14" x14ac:dyDescent="0.3">
      <c r="A791" t="s">
        <v>5069</v>
      </c>
      <c r="B791" t="s">
        <v>5070</v>
      </c>
      <c r="C791" t="s">
        <v>5071</v>
      </c>
      <c r="D791" t="s">
        <v>4563</v>
      </c>
      <c r="E791" t="s">
        <v>4564</v>
      </c>
      <c r="F791" t="s">
        <v>1227</v>
      </c>
      <c r="G791" t="s">
        <v>2348</v>
      </c>
      <c r="H791">
        <v>8103.38</v>
      </c>
      <c r="I791">
        <v>8508.5400000000009</v>
      </c>
      <c r="J791" t="s">
        <v>3862</v>
      </c>
      <c r="K791">
        <v>1</v>
      </c>
      <c r="L791" t="s">
        <v>2945</v>
      </c>
      <c r="M791" s="19">
        <v>46262</v>
      </c>
      <c r="N791" t="s">
        <v>4565</v>
      </c>
    </row>
    <row r="792" spans="1:14" x14ac:dyDescent="0.3">
      <c r="A792" t="s">
        <v>5072</v>
      </c>
      <c r="B792" t="s">
        <v>5073</v>
      </c>
      <c r="C792" t="s">
        <v>5074</v>
      </c>
      <c r="D792" t="s">
        <v>4563</v>
      </c>
      <c r="E792" t="s">
        <v>4564</v>
      </c>
      <c r="F792" t="s">
        <v>1227</v>
      </c>
      <c r="G792" t="s">
        <v>2348</v>
      </c>
      <c r="H792">
        <v>8103.38</v>
      </c>
      <c r="I792">
        <v>8508.5400000000009</v>
      </c>
      <c r="J792" t="s">
        <v>3862</v>
      </c>
      <c r="K792">
        <v>1</v>
      </c>
      <c r="L792" t="s">
        <v>2945</v>
      </c>
      <c r="M792" s="19">
        <v>46262</v>
      </c>
      <c r="N792" t="s">
        <v>4565</v>
      </c>
    </row>
    <row r="793" spans="1:14" x14ac:dyDescent="0.3">
      <c r="A793" t="s">
        <v>5075</v>
      </c>
      <c r="B793" t="s">
        <v>5076</v>
      </c>
      <c r="C793" t="s">
        <v>5077</v>
      </c>
      <c r="D793" t="s">
        <v>4563</v>
      </c>
      <c r="E793" t="s">
        <v>4564</v>
      </c>
      <c r="F793" t="s">
        <v>1227</v>
      </c>
      <c r="G793" t="s">
        <v>2348</v>
      </c>
      <c r="H793">
        <v>8103.38</v>
      </c>
      <c r="I793">
        <v>8508.5400000000009</v>
      </c>
      <c r="J793" t="s">
        <v>3862</v>
      </c>
      <c r="K793">
        <v>1</v>
      </c>
      <c r="L793" t="s">
        <v>2945</v>
      </c>
      <c r="M793" s="19">
        <v>46262</v>
      </c>
      <c r="N793" t="s">
        <v>4565</v>
      </c>
    </row>
    <row r="794" spans="1:14" x14ac:dyDescent="0.3">
      <c r="A794" t="s">
        <v>5078</v>
      </c>
      <c r="B794" t="s">
        <v>5079</v>
      </c>
      <c r="C794" t="s">
        <v>5080</v>
      </c>
      <c r="D794" t="s">
        <v>4563</v>
      </c>
      <c r="E794" t="s">
        <v>4564</v>
      </c>
      <c r="F794" t="s">
        <v>1227</v>
      </c>
      <c r="G794" t="s">
        <v>2348</v>
      </c>
      <c r="H794">
        <v>8103.38</v>
      </c>
      <c r="I794">
        <v>8508.5400000000009</v>
      </c>
      <c r="J794" t="s">
        <v>3862</v>
      </c>
      <c r="K794">
        <v>1</v>
      </c>
      <c r="L794" t="s">
        <v>2945</v>
      </c>
      <c r="M794" s="19">
        <v>46262</v>
      </c>
      <c r="N794" t="s">
        <v>4565</v>
      </c>
    </row>
    <row r="795" spans="1:14" x14ac:dyDescent="0.3">
      <c r="A795" t="s">
        <v>5081</v>
      </c>
      <c r="B795" t="s">
        <v>5082</v>
      </c>
      <c r="C795" t="s">
        <v>5083</v>
      </c>
      <c r="D795" t="s">
        <v>4563</v>
      </c>
      <c r="E795" t="s">
        <v>4564</v>
      </c>
      <c r="F795" t="s">
        <v>1227</v>
      </c>
      <c r="G795" t="s">
        <v>2348</v>
      </c>
      <c r="H795">
        <v>8103.38</v>
      </c>
      <c r="I795">
        <v>8508.5400000000009</v>
      </c>
      <c r="J795" t="s">
        <v>3862</v>
      </c>
      <c r="K795">
        <v>1</v>
      </c>
      <c r="L795" t="s">
        <v>2945</v>
      </c>
      <c r="M795" s="19">
        <v>46262</v>
      </c>
      <c r="N795" t="s">
        <v>4565</v>
      </c>
    </row>
    <row r="796" spans="1:14" x14ac:dyDescent="0.3">
      <c r="A796" t="s">
        <v>5084</v>
      </c>
      <c r="B796" t="s">
        <v>5085</v>
      </c>
      <c r="C796" t="s">
        <v>5086</v>
      </c>
      <c r="D796" t="s">
        <v>4563</v>
      </c>
      <c r="E796" t="s">
        <v>4564</v>
      </c>
      <c r="F796" t="s">
        <v>1227</v>
      </c>
      <c r="G796" t="s">
        <v>2348</v>
      </c>
      <c r="H796">
        <v>6090.53</v>
      </c>
      <c r="I796">
        <v>6395.05</v>
      </c>
      <c r="J796" t="s">
        <v>3862</v>
      </c>
      <c r="K796">
        <v>1</v>
      </c>
      <c r="L796" t="s">
        <v>2945</v>
      </c>
      <c r="M796" s="19">
        <v>46262</v>
      </c>
      <c r="N796" t="s">
        <v>4565</v>
      </c>
    </row>
    <row r="797" spans="1:14" x14ac:dyDescent="0.3">
      <c r="A797" t="s">
        <v>5087</v>
      </c>
      <c r="B797" t="s">
        <v>5088</v>
      </c>
      <c r="C797" t="s">
        <v>5089</v>
      </c>
      <c r="D797" t="s">
        <v>4563</v>
      </c>
      <c r="E797" t="s">
        <v>4564</v>
      </c>
      <c r="F797" t="s">
        <v>1227</v>
      </c>
      <c r="G797" t="s">
        <v>2348</v>
      </c>
      <c r="H797">
        <v>7004.34</v>
      </c>
      <c r="I797">
        <v>7354.56</v>
      </c>
      <c r="J797" t="s">
        <v>3862</v>
      </c>
      <c r="K797">
        <v>1</v>
      </c>
      <c r="L797" t="s">
        <v>2945</v>
      </c>
      <c r="M797" s="19">
        <v>46262</v>
      </c>
      <c r="N797" t="s">
        <v>4565</v>
      </c>
    </row>
    <row r="798" spans="1:14" x14ac:dyDescent="0.3">
      <c r="A798" t="s">
        <v>5090</v>
      </c>
      <c r="B798" t="s">
        <v>5091</v>
      </c>
      <c r="C798" t="s">
        <v>5092</v>
      </c>
      <c r="D798" t="s">
        <v>4563</v>
      </c>
      <c r="E798" t="s">
        <v>4564</v>
      </c>
      <c r="F798" t="s">
        <v>1227</v>
      </c>
      <c r="G798" t="s">
        <v>2348</v>
      </c>
      <c r="H798">
        <v>7004.34</v>
      </c>
      <c r="I798">
        <v>7354.56</v>
      </c>
      <c r="J798" t="s">
        <v>3862</v>
      </c>
      <c r="K798">
        <v>1</v>
      </c>
      <c r="L798" t="s">
        <v>2945</v>
      </c>
      <c r="M798" s="19">
        <v>46262</v>
      </c>
      <c r="N798" t="s">
        <v>4565</v>
      </c>
    </row>
    <row r="799" spans="1:14" x14ac:dyDescent="0.3">
      <c r="A799" t="s">
        <v>5093</v>
      </c>
      <c r="B799" t="s">
        <v>5094</v>
      </c>
      <c r="C799" t="s">
        <v>5095</v>
      </c>
      <c r="D799" t="s">
        <v>4563</v>
      </c>
      <c r="E799" t="s">
        <v>4564</v>
      </c>
      <c r="F799" t="s">
        <v>1227</v>
      </c>
      <c r="G799" t="s">
        <v>2348</v>
      </c>
      <c r="H799">
        <v>6090.53</v>
      </c>
      <c r="I799">
        <v>6395.05</v>
      </c>
      <c r="J799" t="s">
        <v>3862</v>
      </c>
      <c r="K799">
        <v>1</v>
      </c>
      <c r="L799" t="s">
        <v>2945</v>
      </c>
      <c r="M799" s="19">
        <v>46262</v>
      </c>
      <c r="N799" t="s">
        <v>4565</v>
      </c>
    </row>
    <row r="800" spans="1:14" x14ac:dyDescent="0.3">
      <c r="A800" t="s">
        <v>5096</v>
      </c>
      <c r="B800" t="s">
        <v>5097</v>
      </c>
      <c r="C800" t="s">
        <v>5098</v>
      </c>
      <c r="D800" t="s">
        <v>4563</v>
      </c>
      <c r="E800" t="s">
        <v>4564</v>
      </c>
      <c r="F800" t="s">
        <v>1227</v>
      </c>
      <c r="G800" t="s">
        <v>2348</v>
      </c>
      <c r="H800">
        <v>7072.38</v>
      </c>
      <c r="I800">
        <v>7426</v>
      </c>
      <c r="J800" t="s">
        <v>3862</v>
      </c>
      <c r="K800">
        <v>1</v>
      </c>
      <c r="L800" t="s">
        <v>2945</v>
      </c>
      <c r="M800" s="19">
        <v>46262</v>
      </c>
      <c r="N800" t="s">
        <v>4565</v>
      </c>
    </row>
    <row r="801" spans="1:14" x14ac:dyDescent="0.3">
      <c r="A801" t="s">
        <v>5099</v>
      </c>
      <c r="B801" t="s">
        <v>5100</v>
      </c>
      <c r="C801" t="s">
        <v>5101</v>
      </c>
      <c r="D801" t="s">
        <v>4563</v>
      </c>
      <c r="E801" t="s">
        <v>4564</v>
      </c>
      <c r="F801" t="s">
        <v>1227</v>
      </c>
      <c r="G801" t="s">
        <v>2348</v>
      </c>
      <c r="H801">
        <v>8133.62</v>
      </c>
      <c r="I801">
        <v>8540.2999999999993</v>
      </c>
      <c r="J801" t="s">
        <v>3862</v>
      </c>
      <c r="K801">
        <v>1</v>
      </c>
      <c r="L801" t="s">
        <v>2945</v>
      </c>
      <c r="M801" s="19">
        <v>46262</v>
      </c>
      <c r="N801" t="s">
        <v>4565</v>
      </c>
    </row>
    <row r="802" spans="1:14" x14ac:dyDescent="0.3">
      <c r="A802" t="s">
        <v>5102</v>
      </c>
      <c r="B802" t="s">
        <v>5103</v>
      </c>
      <c r="C802" t="s">
        <v>5104</v>
      </c>
      <c r="D802" t="s">
        <v>4563</v>
      </c>
      <c r="E802" t="s">
        <v>4564</v>
      </c>
      <c r="F802" t="s">
        <v>1227</v>
      </c>
      <c r="G802" t="s">
        <v>2348</v>
      </c>
      <c r="H802">
        <v>8133.62</v>
      </c>
      <c r="I802">
        <v>8540.2999999999993</v>
      </c>
      <c r="J802" t="s">
        <v>3862</v>
      </c>
      <c r="K802">
        <v>1</v>
      </c>
      <c r="L802" t="s">
        <v>2945</v>
      </c>
      <c r="M802" s="19">
        <v>46262</v>
      </c>
      <c r="N802" t="s">
        <v>4565</v>
      </c>
    </row>
    <row r="803" spans="1:14" x14ac:dyDescent="0.3">
      <c r="A803" t="s">
        <v>5105</v>
      </c>
      <c r="B803" t="s">
        <v>5106</v>
      </c>
      <c r="C803" t="s">
        <v>5107</v>
      </c>
      <c r="D803" t="s">
        <v>4563</v>
      </c>
      <c r="E803" t="s">
        <v>4564</v>
      </c>
      <c r="F803" t="s">
        <v>1227</v>
      </c>
      <c r="G803" t="s">
        <v>2348</v>
      </c>
      <c r="H803">
        <v>7072.38</v>
      </c>
      <c r="I803">
        <v>7426</v>
      </c>
      <c r="J803" t="s">
        <v>3862</v>
      </c>
      <c r="K803">
        <v>1</v>
      </c>
      <c r="L803" t="s">
        <v>2945</v>
      </c>
      <c r="M803" s="19">
        <v>46262</v>
      </c>
      <c r="N803" t="s">
        <v>4565</v>
      </c>
    </row>
    <row r="804" spans="1:14" x14ac:dyDescent="0.3">
      <c r="A804" t="s">
        <v>5108</v>
      </c>
      <c r="B804" t="s">
        <v>5109</v>
      </c>
      <c r="C804" t="s">
        <v>5110</v>
      </c>
      <c r="D804" t="s">
        <v>4563</v>
      </c>
      <c r="E804" t="s">
        <v>4564</v>
      </c>
      <c r="F804" t="s">
        <v>1227</v>
      </c>
      <c r="G804" t="s">
        <v>2348</v>
      </c>
      <c r="H804">
        <v>7072.38</v>
      </c>
      <c r="I804">
        <v>7426</v>
      </c>
      <c r="J804" t="s">
        <v>3862</v>
      </c>
      <c r="K804">
        <v>1</v>
      </c>
      <c r="L804" t="s">
        <v>2945</v>
      </c>
      <c r="M804" s="19">
        <v>46262</v>
      </c>
      <c r="N804" t="s">
        <v>4565</v>
      </c>
    </row>
    <row r="805" spans="1:14" x14ac:dyDescent="0.3">
      <c r="A805" t="s">
        <v>5111</v>
      </c>
      <c r="B805" t="s">
        <v>5112</v>
      </c>
      <c r="C805" t="s">
        <v>5113</v>
      </c>
      <c r="D805" t="s">
        <v>4563</v>
      </c>
      <c r="E805" t="s">
        <v>4564</v>
      </c>
      <c r="F805" t="s">
        <v>1227</v>
      </c>
      <c r="G805" t="s">
        <v>2348</v>
      </c>
      <c r="H805">
        <v>7072.38</v>
      </c>
      <c r="I805">
        <v>7426</v>
      </c>
      <c r="J805" t="s">
        <v>3862</v>
      </c>
      <c r="K805">
        <v>1</v>
      </c>
      <c r="L805" t="s">
        <v>2945</v>
      </c>
      <c r="M805" s="19">
        <v>46262</v>
      </c>
      <c r="N805" t="s">
        <v>4565</v>
      </c>
    </row>
    <row r="806" spans="1:14" x14ac:dyDescent="0.3">
      <c r="A806" t="s">
        <v>5114</v>
      </c>
      <c r="B806" t="s">
        <v>5115</v>
      </c>
      <c r="C806" t="s">
        <v>5116</v>
      </c>
      <c r="D806" t="s">
        <v>4563</v>
      </c>
      <c r="E806" t="s">
        <v>4564</v>
      </c>
      <c r="F806" t="s">
        <v>1227</v>
      </c>
      <c r="G806" t="s">
        <v>2348</v>
      </c>
      <c r="H806">
        <v>7072.38</v>
      </c>
      <c r="I806">
        <v>7426</v>
      </c>
      <c r="J806" t="s">
        <v>3862</v>
      </c>
      <c r="K806">
        <v>1</v>
      </c>
      <c r="L806" t="s">
        <v>2945</v>
      </c>
      <c r="M806" s="19">
        <v>46262</v>
      </c>
      <c r="N806" t="s">
        <v>4565</v>
      </c>
    </row>
    <row r="807" spans="1:14" x14ac:dyDescent="0.3">
      <c r="A807" t="s">
        <v>5117</v>
      </c>
      <c r="B807" t="s">
        <v>5118</v>
      </c>
      <c r="C807" t="s">
        <v>5119</v>
      </c>
      <c r="D807" t="s">
        <v>4563</v>
      </c>
      <c r="E807" t="s">
        <v>4564</v>
      </c>
      <c r="F807" t="s">
        <v>1227</v>
      </c>
      <c r="G807" t="s">
        <v>2348</v>
      </c>
      <c r="H807">
        <v>7072.38</v>
      </c>
      <c r="I807">
        <v>7426</v>
      </c>
      <c r="J807" t="s">
        <v>3862</v>
      </c>
      <c r="K807">
        <v>1</v>
      </c>
      <c r="L807" t="s">
        <v>2945</v>
      </c>
      <c r="M807" s="19">
        <v>46262</v>
      </c>
      <c r="N807" t="s">
        <v>4565</v>
      </c>
    </row>
    <row r="808" spans="1:14" x14ac:dyDescent="0.3">
      <c r="A808" t="s">
        <v>5120</v>
      </c>
      <c r="B808" t="s">
        <v>5121</v>
      </c>
      <c r="C808" t="s">
        <v>5122</v>
      </c>
      <c r="D808" t="s">
        <v>4563</v>
      </c>
      <c r="E808" t="s">
        <v>4564</v>
      </c>
      <c r="F808" t="s">
        <v>1227</v>
      </c>
      <c r="G808" t="s">
        <v>2348</v>
      </c>
      <c r="H808">
        <v>7072.38</v>
      </c>
      <c r="I808">
        <v>7426</v>
      </c>
      <c r="J808" t="s">
        <v>3862</v>
      </c>
      <c r="K808">
        <v>1</v>
      </c>
      <c r="L808" t="s">
        <v>2945</v>
      </c>
      <c r="M808" s="19">
        <v>46262</v>
      </c>
      <c r="N808" t="s">
        <v>4565</v>
      </c>
    </row>
    <row r="809" spans="1:14" x14ac:dyDescent="0.3">
      <c r="A809" t="s">
        <v>5123</v>
      </c>
      <c r="B809" t="s">
        <v>5124</v>
      </c>
      <c r="C809" t="s">
        <v>5125</v>
      </c>
      <c r="D809" t="s">
        <v>4563</v>
      </c>
      <c r="E809" t="s">
        <v>4564</v>
      </c>
      <c r="F809" t="s">
        <v>1227</v>
      </c>
      <c r="G809" t="s">
        <v>2348</v>
      </c>
      <c r="H809">
        <v>7072.38</v>
      </c>
      <c r="I809">
        <v>7426</v>
      </c>
      <c r="J809" t="s">
        <v>3862</v>
      </c>
      <c r="K809">
        <v>1</v>
      </c>
      <c r="L809" t="s">
        <v>2945</v>
      </c>
      <c r="M809" s="19">
        <v>46262</v>
      </c>
      <c r="N809" t="s">
        <v>4565</v>
      </c>
    </row>
    <row r="810" spans="1:14" x14ac:dyDescent="0.3">
      <c r="A810" t="s">
        <v>5126</v>
      </c>
      <c r="B810" t="s">
        <v>5127</v>
      </c>
      <c r="C810" t="s">
        <v>5128</v>
      </c>
      <c r="D810" t="s">
        <v>4563</v>
      </c>
      <c r="E810" t="s">
        <v>4564</v>
      </c>
      <c r="F810" t="s">
        <v>1227</v>
      </c>
      <c r="G810" t="s">
        <v>2348</v>
      </c>
      <c r="H810">
        <v>7072.38</v>
      </c>
      <c r="I810">
        <v>7426</v>
      </c>
      <c r="J810" t="s">
        <v>3862</v>
      </c>
      <c r="K810">
        <v>1</v>
      </c>
      <c r="L810" t="s">
        <v>2945</v>
      </c>
      <c r="M810" s="19">
        <v>46262</v>
      </c>
      <c r="N810" t="s">
        <v>4565</v>
      </c>
    </row>
    <row r="811" spans="1:14" x14ac:dyDescent="0.3">
      <c r="A811" t="s">
        <v>5129</v>
      </c>
      <c r="B811" t="s">
        <v>5130</v>
      </c>
      <c r="C811" t="s">
        <v>5131</v>
      </c>
      <c r="D811" t="s">
        <v>4563</v>
      </c>
      <c r="E811" t="s">
        <v>4564</v>
      </c>
      <c r="F811" t="s">
        <v>1227</v>
      </c>
      <c r="G811" t="s">
        <v>2348</v>
      </c>
      <c r="H811">
        <v>7072.38</v>
      </c>
      <c r="I811">
        <v>7426</v>
      </c>
      <c r="J811" t="s">
        <v>3862</v>
      </c>
      <c r="K811">
        <v>1</v>
      </c>
      <c r="L811" t="s">
        <v>2945</v>
      </c>
      <c r="M811" s="19">
        <v>46262</v>
      </c>
      <c r="N811" t="s">
        <v>4565</v>
      </c>
    </row>
    <row r="812" spans="1:14" x14ac:dyDescent="0.3">
      <c r="A812" t="s">
        <v>5132</v>
      </c>
      <c r="B812" t="s">
        <v>5133</v>
      </c>
      <c r="C812" t="s">
        <v>5134</v>
      </c>
      <c r="D812" t="s">
        <v>4563</v>
      </c>
      <c r="E812" t="s">
        <v>4564</v>
      </c>
      <c r="F812" t="s">
        <v>1227</v>
      </c>
      <c r="G812" t="s">
        <v>2348</v>
      </c>
      <c r="H812">
        <v>5063.12</v>
      </c>
      <c r="I812">
        <v>5316.28</v>
      </c>
      <c r="J812" t="s">
        <v>3862</v>
      </c>
      <c r="K812">
        <v>1</v>
      </c>
      <c r="L812" t="s">
        <v>2945</v>
      </c>
      <c r="M812" s="19">
        <v>46262</v>
      </c>
      <c r="N812" t="s">
        <v>4565</v>
      </c>
    </row>
    <row r="813" spans="1:14" x14ac:dyDescent="0.3">
      <c r="A813" t="s">
        <v>5135</v>
      </c>
      <c r="B813" t="s">
        <v>5136</v>
      </c>
      <c r="C813" t="s">
        <v>5137</v>
      </c>
      <c r="D813" t="s">
        <v>4563</v>
      </c>
      <c r="E813" t="s">
        <v>4564</v>
      </c>
      <c r="F813" t="s">
        <v>1227</v>
      </c>
      <c r="G813" t="s">
        <v>2348</v>
      </c>
      <c r="H813">
        <v>5465.18</v>
      </c>
      <c r="I813">
        <v>5738.44</v>
      </c>
      <c r="J813" t="s">
        <v>3862</v>
      </c>
      <c r="K813">
        <v>1</v>
      </c>
      <c r="L813" t="s">
        <v>2945</v>
      </c>
      <c r="M813" s="19">
        <v>46262</v>
      </c>
      <c r="N813" t="s">
        <v>4565</v>
      </c>
    </row>
    <row r="814" spans="1:14" x14ac:dyDescent="0.3">
      <c r="A814" t="s">
        <v>5138</v>
      </c>
      <c r="B814" t="s">
        <v>5139</v>
      </c>
      <c r="C814" t="s">
        <v>5140</v>
      </c>
      <c r="D814" t="s">
        <v>4563</v>
      </c>
      <c r="E814" t="s">
        <v>4564</v>
      </c>
      <c r="F814" t="s">
        <v>1227</v>
      </c>
      <c r="G814" t="s">
        <v>2348</v>
      </c>
      <c r="H814">
        <v>7827.44</v>
      </c>
      <c r="I814">
        <v>8218.81</v>
      </c>
      <c r="J814" t="s">
        <v>3862</v>
      </c>
      <c r="K814">
        <v>1</v>
      </c>
      <c r="L814" t="s">
        <v>2945</v>
      </c>
      <c r="M814" s="19">
        <v>46262</v>
      </c>
      <c r="N814" t="s">
        <v>4565</v>
      </c>
    </row>
    <row r="815" spans="1:14" x14ac:dyDescent="0.3">
      <c r="A815" t="s">
        <v>5141</v>
      </c>
      <c r="B815" t="s">
        <v>5142</v>
      </c>
      <c r="C815" t="s">
        <v>5143</v>
      </c>
      <c r="D815" t="s">
        <v>4563</v>
      </c>
      <c r="E815" t="s">
        <v>4564</v>
      </c>
      <c r="F815" t="s">
        <v>1227</v>
      </c>
      <c r="G815" t="s">
        <v>2348</v>
      </c>
      <c r="H815">
        <v>35442.22</v>
      </c>
      <c r="I815">
        <v>37214.339999999997</v>
      </c>
      <c r="J815" t="s">
        <v>3862</v>
      </c>
      <c r="K815">
        <v>1</v>
      </c>
      <c r="L815" t="s">
        <v>2945</v>
      </c>
      <c r="M815" s="19">
        <v>46262</v>
      </c>
      <c r="N815" t="s">
        <v>4565</v>
      </c>
    </row>
    <row r="816" spans="1:14" x14ac:dyDescent="0.3">
      <c r="A816" t="s">
        <v>5144</v>
      </c>
      <c r="B816" t="s">
        <v>5145</v>
      </c>
      <c r="C816" t="s">
        <v>5146</v>
      </c>
      <c r="D816" t="s">
        <v>4563</v>
      </c>
      <c r="E816" t="s">
        <v>4564</v>
      </c>
      <c r="F816" t="s">
        <v>1227</v>
      </c>
      <c r="G816" t="s">
        <v>2348</v>
      </c>
      <c r="H816">
        <v>35442.22</v>
      </c>
      <c r="I816">
        <v>37214.339999999997</v>
      </c>
      <c r="J816" t="s">
        <v>3862</v>
      </c>
      <c r="K816">
        <v>1</v>
      </c>
      <c r="L816" t="s">
        <v>2945</v>
      </c>
      <c r="M816" s="19">
        <v>46262</v>
      </c>
      <c r="N816" t="s">
        <v>4565</v>
      </c>
    </row>
    <row r="817" spans="1:14" x14ac:dyDescent="0.3">
      <c r="A817" t="s">
        <v>5147</v>
      </c>
      <c r="B817" t="s">
        <v>5148</v>
      </c>
      <c r="C817" t="s">
        <v>5149</v>
      </c>
      <c r="D817" t="s">
        <v>4563</v>
      </c>
      <c r="E817" t="s">
        <v>4564</v>
      </c>
      <c r="F817" t="s">
        <v>1227</v>
      </c>
      <c r="G817" t="s">
        <v>2348</v>
      </c>
      <c r="H817">
        <v>25462.080000000002</v>
      </c>
      <c r="I817">
        <v>26735.18</v>
      </c>
      <c r="J817" t="s">
        <v>3862</v>
      </c>
      <c r="K817">
        <v>1</v>
      </c>
      <c r="L817" t="s">
        <v>2945</v>
      </c>
      <c r="M817" s="19">
        <v>46262</v>
      </c>
      <c r="N817" t="s">
        <v>4565</v>
      </c>
    </row>
    <row r="818" spans="1:14" x14ac:dyDescent="0.3">
      <c r="A818" t="s">
        <v>5150</v>
      </c>
      <c r="B818" t="s">
        <v>5151</v>
      </c>
      <c r="C818" t="s">
        <v>5152</v>
      </c>
      <c r="D818" t="s">
        <v>4563</v>
      </c>
      <c r="E818" t="s">
        <v>4564</v>
      </c>
      <c r="F818" t="s">
        <v>1227</v>
      </c>
      <c r="G818" t="s">
        <v>2348</v>
      </c>
      <c r="H818">
        <v>25462.080000000002</v>
      </c>
      <c r="I818">
        <v>26735.18</v>
      </c>
      <c r="J818" t="s">
        <v>3862</v>
      </c>
      <c r="K818">
        <v>1</v>
      </c>
      <c r="L818" t="s">
        <v>2945</v>
      </c>
      <c r="M818" s="19">
        <v>46262</v>
      </c>
      <c r="N818" t="s">
        <v>4565</v>
      </c>
    </row>
    <row r="819" spans="1:14" x14ac:dyDescent="0.3">
      <c r="A819" t="s">
        <v>5153</v>
      </c>
      <c r="B819" t="s">
        <v>5154</v>
      </c>
      <c r="C819" t="s">
        <v>5155</v>
      </c>
      <c r="D819" t="s">
        <v>4563</v>
      </c>
      <c r="E819" t="s">
        <v>4564</v>
      </c>
      <c r="F819" t="s">
        <v>1227</v>
      </c>
      <c r="G819" t="s">
        <v>2348</v>
      </c>
      <c r="H819">
        <v>14921.04</v>
      </c>
      <c r="I819">
        <v>15667.09</v>
      </c>
      <c r="J819" t="s">
        <v>3862</v>
      </c>
      <c r="K819">
        <v>1</v>
      </c>
      <c r="L819" t="s">
        <v>2945</v>
      </c>
      <c r="M819" s="19">
        <v>46262</v>
      </c>
      <c r="N819" t="s">
        <v>4565</v>
      </c>
    </row>
    <row r="820" spans="1:14" x14ac:dyDescent="0.3">
      <c r="A820" t="s">
        <v>5156</v>
      </c>
      <c r="B820" t="s">
        <v>5157</v>
      </c>
      <c r="C820" t="s">
        <v>5158</v>
      </c>
      <c r="D820" t="s">
        <v>4563</v>
      </c>
      <c r="E820" t="s">
        <v>4564</v>
      </c>
      <c r="F820" t="s">
        <v>1227</v>
      </c>
      <c r="G820" t="s">
        <v>2348</v>
      </c>
      <c r="H820">
        <v>9664.6200000000008</v>
      </c>
      <c r="I820">
        <v>10147.85</v>
      </c>
      <c r="J820" t="s">
        <v>3862</v>
      </c>
      <c r="K820">
        <v>1</v>
      </c>
      <c r="L820" t="s">
        <v>2945</v>
      </c>
      <c r="M820" s="19">
        <v>46262</v>
      </c>
      <c r="N820" t="s">
        <v>4565</v>
      </c>
    </row>
    <row r="821" spans="1:14" x14ac:dyDescent="0.3">
      <c r="A821" t="s">
        <v>5159</v>
      </c>
      <c r="B821" t="s">
        <v>5160</v>
      </c>
      <c r="C821" t="s">
        <v>5161</v>
      </c>
      <c r="D821" t="s">
        <v>4563</v>
      </c>
      <c r="E821" t="s">
        <v>4564</v>
      </c>
      <c r="F821" t="s">
        <v>1227</v>
      </c>
      <c r="G821" t="s">
        <v>2348</v>
      </c>
      <c r="H821">
        <v>9664.6200000000008</v>
      </c>
      <c r="I821">
        <v>10147.85</v>
      </c>
      <c r="J821" t="s">
        <v>3862</v>
      </c>
      <c r="K821">
        <v>1</v>
      </c>
      <c r="L821" t="s">
        <v>2945</v>
      </c>
      <c r="M821" s="19">
        <v>46262</v>
      </c>
      <c r="N821" t="s">
        <v>4565</v>
      </c>
    </row>
    <row r="822" spans="1:14" x14ac:dyDescent="0.3">
      <c r="A822" t="s">
        <v>5162</v>
      </c>
      <c r="B822" t="s">
        <v>5163</v>
      </c>
      <c r="C822" t="s">
        <v>5164</v>
      </c>
      <c r="D822" t="s">
        <v>4563</v>
      </c>
      <c r="E822" t="s">
        <v>4564</v>
      </c>
      <c r="F822" t="s">
        <v>1227</v>
      </c>
      <c r="G822" t="s">
        <v>2348</v>
      </c>
      <c r="H822">
        <v>9664.6200000000008</v>
      </c>
      <c r="I822">
        <v>10147.85</v>
      </c>
      <c r="J822" t="s">
        <v>3862</v>
      </c>
      <c r="K822">
        <v>1</v>
      </c>
      <c r="L822" t="s">
        <v>2945</v>
      </c>
      <c r="M822" s="19">
        <v>46262</v>
      </c>
      <c r="N822" t="s">
        <v>4565</v>
      </c>
    </row>
    <row r="823" spans="1:14" x14ac:dyDescent="0.3">
      <c r="A823" t="s">
        <v>5165</v>
      </c>
      <c r="B823" t="s">
        <v>5163</v>
      </c>
      <c r="C823" t="s">
        <v>5166</v>
      </c>
      <c r="D823" t="s">
        <v>4563</v>
      </c>
      <c r="E823" t="s">
        <v>4564</v>
      </c>
      <c r="F823" t="s">
        <v>1227</v>
      </c>
      <c r="G823" t="s">
        <v>2348</v>
      </c>
      <c r="H823">
        <v>9664.6200000000008</v>
      </c>
      <c r="I823">
        <v>10147.85</v>
      </c>
      <c r="J823" t="s">
        <v>3862</v>
      </c>
      <c r="K823">
        <v>1</v>
      </c>
      <c r="L823" t="s">
        <v>2945</v>
      </c>
      <c r="M823" s="19">
        <v>46262</v>
      </c>
      <c r="N823" t="s">
        <v>4565</v>
      </c>
    </row>
    <row r="824" spans="1:14" x14ac:dyDescent="0.3">
      <c r="A824" t="s">
        <v>5167</v>
      </c>
      <c r="B824" t="s">
        <v>5168</v>
      </c>
      <c r="C824" t="s">
        <v>5169</v>
      </c>
      <c r="D824" t="s">
        <v>4563</v>
      </c>
      <c r="E824" t="s">
        <v>4564</v>
      </c>
      <c r="F824" t="s">
        <v>1227</v>
      </c>
      <c r="G824" t="s">
        <v>2348</v>
      </c>
      <c r="H824">
        <v>9664.6200000000008</v>
      </c>
      <c r="I824">
        <v>10147.85</v>
      </c>
      <c r="J824" t="s">
        <v>3862</v>
      </c>
      <c r="K824">
        <v>1</v>
      </c>
      <c r="L824" t="s">
        <v>2945</v>
      </c>
      <c r="M824" s="19">
        <v>46262</v>
      </c>
      <c r="N824" t="s">
        <v>4565</v>
      </c>
    </row>
    <row r="825" spans="1:14" x14ac:dyDescent="0.3">
      <c r="A825" t="s">
        <v>5170</v>
      </c>
      <c r="B825" t="s">
        <v>5168</v>
      </c>
      <c r="C825" t="s">
        <v>5171</v>
      </c>
      <c r="D825" t="s">
        <v>4563</v>
      </c>
      <c r="E825" t="s">
        <v>4564</v>
      </c>
      <c r="F825" t="s">
        <v>1227</v>
      </c>
      <c r="G825" t="s">
        <v>2348</v>
      </c>
      <c r="H825">
        <v>9664.6200000000008</v>
      </c>
      <c r="I825">
        <v>10147.85</v>
      </c>
      <c r="J825" t="s">
        <v>3862</v>
      </c>
      <c r="K825">
        <v>1</v>
      </c>
      <c r="L825" t="s">
        <v>2945</v>
      </c>
      <c r="M825" s="19">
        <v>46262</v>
      </c>
      <c r="N825" t="s">
        <v>4565</v>
      </c>
    </row>
    <row r="826" spans="1:14" x14ac:dyDescent="0.3">
      <c r="A826" t="s">
        <v>5172</v>
      </c>
      <c r="B826" t="s">
        <v>5173</v>
      </c>
      <c r="C826" t="s">
        <v>5174</v>
      </c>
      <c r="D826" t="s">
        <v>4563</v>
      </c>
      <c r="E826" t="s">
        <v>4564</v>
      </c>
      <c r="F826" t="s">
        <v>1227</v>
      </c>
      <c r="G826" t="s">
        <v>2348</v>
      </c>
      <c r="H826">
        <v>8997.76</v>
      </c>
      <c r="I826">
        <v>9447.65</v>
      </c>
      <c r="J826" t="s">
        <v>3862</v>
      </c>
      <c r="K826">
        <v>1</v>
      </c>
      <c r="L826" t="s">
        <v>2945</v>
      </c>
      <c r="M826" s="19">
        <v>46262</v>
      </c>
      <c r="N826" t="s">
        <v>4565</v>
      </c>
    </row>
    <row r="827" spans="1:14" x14ac:dyDescent="0.3">
      <c r="A827" t="s">
        <v>5175</v>
      </c>
      <c r="B827" t="s">
        <v>5176</v>
      </c>
      <c r="C827" t="s">
        <v>5177</v>
      </c>
      <c r="D827" t="s">
        <v>4563</v>
      </c>
      <c r="E827" t="s">
        <v>4564</v>
      </c>
      <c r="F827" t="s">
        <v>1227</v>
      </c>
      <c r="G827" t="s">
        <v>2348</v>
      </c>
      <c r="H827">
        <v>8997.76</v>
      </c>
      <c r="I827">
        <v>9447.65</v>
      </c>
      <c r="J827" t="s">
        <v>3862</v>
      </c>
      <c r="K827">
        <v>1</v>
      </c>
      <c r="L827" t="s">
        <v>2945</v>
      </c>
      <c r="M827" s="19">
        <v>46262</v>
      </c>
      <c r="N827" t="s">
        <v>4565</v>
      </c>
    </row>
    <row r="828" spans="1:14" x14ac:dyDescent="0.3">
      <c r="A828" t="s">
        <v>5178</v>
      </c>
      <c r="B828" t="s">
        <v>2547</v>
      </c>
      <c r="C828" t="s">
        <v>5179</v>
      </c>
      <c r="D828" t="s">
        <v>4563</v>
      </c>
      <c r="E828" t="s">
        <v>4564</v>
      </c>
      <c r="F828" t="s">
        <v>1227</v>
      </c>
      <c r="G828" t="s">
        <v>2348</v>
      </c>
      <c r="H828">
        <v>7918.38</v>
      </c>
      <c r="I828">
        <v>8314.2900000000009</v>
      </c>
      <c r="J828" t="s">
        <v>3862</v>
      </c>
      <c r="K828">
        <v>1</v>
      </c>
      <c r="L828" t="s">
        <v>2945</v>
      </c>
      <c r="M828" s="19">
        <v>46262</v>
      </c>
      <c r="N828" t="s">
        <v>4565</v>
      </c>
    </row>
    <row r="829" spans="1:14" x14ac:dyDescent="0.3">
      <c r="A829" t="s">
        <v>5180</v>
      </c>
      <c r="B829" t="s">
        <v>2565</v>
      </c>
      <c r="C829" t="s">
        <v>5181</v>
      </c>
      <c r="D829" t="s">
        <v>4563</v>
      </c>
      <c r="E829" t="s">
        <v>4564</v>
      </c>
      <c r="F829" t="s">
        <v>1227</v>
      </c>
      <c r="G829" t="s">
        <v>2348</v>
      </c>
      <c r="H829">
        <v>10784.34</v>
      </c>
      <c r="I829">
        <v>11323.56</v>
      </c>
      <c r="J829" t="s">
        <v>3862</v>
      </c>
      <c r="K829">
        <v>1</v>
      </c>
      <c r="L829" t="s">
        <v>2945</v>
      </c>
      <c r="M829" s="19">
        <v>46262</v>
      </c>
      <c r="N829" t="s">
        <v>4565</v>
      </c>
    </row>
    <row r="830" spans="1:14" x14ac:dyDescent="0.3">
      <c r="A830" t="s">
        <v>5182</v>
      </c>
      <c r="B830" t="s">
        <v>5183</v>
      </c>
      <c r="C830" t="s">
        <v>5184</v>
      </c>
      <c r="D830" t="s">
        <v>4563</v>
      </c>
      <c r="E830" t="s">
        <v>4564</v>
      </c>
      <c r="F830" t="s">
        <v>1227</v>
      </c>
      <c r="G830" t="s">
        <v>2348</v>
      </c>
      <c r="H830">
        <v>10784.34</v>
      </c>
      <c r="I830">
        <v>11323.56</v>
      </c>
      <c r="J830" t="s">
        <v>3862</v>
      </c>
      <c r="K830">
        <v>1</v>
      </c>
      <c r="L830" t="s">
        <v>2945</v>
      </c>
      <c r="M830" s="19">
        <v>46262</v>
      </c>
      <c r="N830" t="s">
        <v>4565</v>
      </c>
    </row>
    <row r="831" spans="1:14" x14ac:dyDescent="0.3">
      <c r="A831" t="s">
        <v>5185</v>
      </c>
      <c r="B831" t="s">
        <v>5186</v>
      </c>
      <c r="C831" t="s">
        <v>5187</v>
      </c>
      <c r="D831" t="s">
        <v>4563</v>
      </c>
      <c r="E831" t="s">
        <v>4564</v>
      </c>
      <c r="F831" t="s">
        <v>1227</v>
      </c>
      <c r="G831" t="s">
        <v>2348</v>
      </c>
      <c r="H831">
        <v>6774.89</v>
      </c>
      <c r="I831">
        <v>7113.64</v>
      </c>
      <c r="J831" t="s">
        <v>3862</v>
      </c>
      <c r="K831">
        <v>1</v>
      </c>
      <c r="L831" t="s">
        <v>2945</v>
      </c>
      <c r="M831" s="19">
        <v>46262</v>
      </c>
      <c r="N831" t="s">
        <v>4565</v>
      </c>
    </row>
    <row r="832" spans="1:14" x14ac:dyDescent="0.3">
      <c r="A832" t="s">
        <v>5188</v>
      </c>
      <c r="B832" t="s">
        <v>5189</v>
      </c>
      <c r="C832" t="s">
        <v>5190</v>
      </c>
      <c r="D832" t="s">
        <v>4563</v>
      </c>
      <c r="E832" t="s">
        <v>4564</v>
      </c>
      <c r="F832" t="s">
        <v>1227</v>
      </c>
      <c r="G832" t="s">
        <v>2348</v>
      </c>
      <c r="H832">
        <v>6774.89</v>
      </c>
      <c r="I832">
        <v>7113.64</v>
      </c>
      <c r="J832" t="s">
        <v>3862</v>
      </c>
      <c r="K832">
        <v>1</v>
      </c>
      <c r="L832" t="s">
        <v>2945</v>
      </c>
      <c r="M832" s="19">
        <v>46262</v>
      </c>
      <c r="N832" t="s">
        <v>4565</v>
      </c>
    </row>
    <row r="833" spans="1:14" x14ac:dyDescent="0.3">
      <c r="A833" t="s">
        <v>5191</v>
      </c>
      <c r="B833" t="s">
        <v>5192</v>
      </c>
      <c r="C833" t="s">
        <v>5193</v>
      </c>
      <c r="D833" t="s">
        <v>4563</v>
      </c>
      <c r="E833" t="s">
        <v>4564</v>
      </c>
      <c r="F833" t="s">
        <v>1227</v>
      </c>
      <c r="G833" t="s">
        <v>2348</v>
      </c>
      <c r="H833">
        <v>13453.15</v>
      </c>
      <c r="I833">
        <v>14125.8</v>
      </c>
      <c r="J833" t="s">
        <v>3862</v>
      </c>
      <c r="K833">
        <v>1</v>
      </c>
      <c r="L833" t="s">
        <v>2945</v>
      </c>
      <c r="M833" s="19">
        <v>46262</v>
      </c>
      <c r="N833" t="s">
        <v>4565</v>
      </c>
    </row>
    <row r="834" spans="1:14" x14ac:dyDescent="0.3">
      <c r="A834" t="s">
        <v>5194</v>
      </c>
      <c r="B834" t="s">
        <v>5195</v>
      </c>
      <c r="C834" t="s">
        <v>5196</v>
      </c>
      <c r="D834" t="s">
        <v>4563</v>
      </c>
      <c r="E834" t="s">
        <v>4564</v>
      </c>
      <c r="F834" t="s">
        <v>1227</v>
      </c>
      <c r="G834" t="s">
        <v>2348</v>
      </c>
      <c r="H834">
        <v>13453.15</v>
      </c>
      <c r="I834">
        <v>14125.8</v>
      </c>
      <c r="J834" t="s">
        <v>3862</v>
      </c>
      <c r="K834">
        <v>1</v>
      </c>
      <c r="L834" t="s">
        <v>2945</v>
      </c>
      <c r="M834" s="19">
        <v>46262</v>
      </c>
      <c r="N834" t="s">
        <v>4565</v>
      </c>
    </row>
    <row r="835" spans="1:14" x14ac:dyDescent="0.3">
      <c r="A835" t="s">
        <v>5197</v>
      </c>
      <c r="B835" t="s">
        <v>5198</v>
      </c>
      <c r="C835" t="s">
        <v>5199</v>
      </c>
      <c r="D835" t="s">
        <v>4563</v>
      </c>
      <c r="E835" t="s">
        <v>4564</v>
      </c>
      <c r="F835" t="s">
        <v>1227</v>
      </c>
      <c r="G835" t="s">
        <v>2348</v>
      </c>
      <c r="H835">
        <v>9201.4699999999993</v>
      </c>
      <c r="I835">
        <v>9661.5400000000009</v>
      </c>
      <c r="J835" t="s">
        <v>3862</v>
      </c>
      <c r="K835">
        <v>1</v>
      </c>
      <c r="L835" t="s">
        <v>2945</v>
      </c>
      <c r="M835" s="19">
        <v>46262</v>
      </c>
      <c r="N835" t="s">
        <v>4565</v>
      </c>
    </row>
    <row r="836" spans="1:14" x14ac:dyDescent="0.3">
      <c r="A836" t="s">
        <v>5200</v>
      </c>
      <c r="B836" t="s">
        <v>5201</v>
      </c>
      <c r="C836" t="s">
        <v>5202</v>
      </c>
      <c r="D836" t="s">
        <v>4563</v>
      </c>
      <c r="E836" t="s">
        <v>4564</v>
      </c>
      <c r="F836" t="s">
        <v>1227</v>
      </c>
      <c r="G836" t="s">
        <v>2348</v>
      </c>
      <c r="H836">
        <v>1437.35</v>
      </c>
      <c r="I836">
        <v>1509.21</v>
      </c>
      <c r="J836" t="s">
        <v>3862</v>
      </c>
      <c r="K836">
        <v>1</v>
      </c>
      <c r="L836" t="s">
        <v>2945</v>
      </c>
      <c r="M836" s="19">
        <v>46262</v>
      </c>
      <c r="N836" t="s">
        <v>4565</v>
      </c>
    </row>
    <row r="837" spans="1:14" x14ac:dyDescent="0.3">
      <c r="A837" t="s">
        <v>5203</v>
      </c>
      <c r="B837" t="s">
        <v>2550</v>
      </c>
      <c r="C837" t="s">
        <v>5204</v>
      </c>
      <c r="D837" t="s">
        <v>4563</v>
      </c>
      <c r="E837" t="s">
        <v>4564</v>
      </c>
      <c r="F837" t="s">
        <v>1227</v>
      </c>
      <c r="G837" t="s">
        <v>2348</v>
      </c>
      <c r="H837">
        <v>660.56</v>
      </c>
      <c r="I837">
        <v>693.58</v>
      </c>
      <c r="J837" t="s">
        <v>3862</v>
      </c>
      <c r="K837">
        <v>1</v>
      </c>
      <c r="L837" t="s">
        <v>2945</v>
      </c>
      <c r="M837" s="19">
        <v>46262</v>
      </c>
      <c r="N837" t="s">
        <v>4565</v>
      </c>
    </row>
    <row r="838" spans="1:14" x14ac:dyDescent="0.3">
      <c r="A838" t="s">
        <v>5205</v>
      </c>
      <c r="B838" t="s">
        <v>2550</v>
      </c>
      <c r="C838" t="s">
        <v>5204</v>
      </c>
      <c r="D838" t="s">
        <v>4563</v>
      </c>
      <c r="E838" t="s">
        <v>4564</v>
      </c>
      <c r="F838" t="s">
        <v>1227</v>
      </c>
      <c r="G838" t="s">
        <v>2348</v>
      </c>
      <c r="H838">
        <v>660.56</v>
      </c>
      <c r="I838">
        <v>693.58</v>
      </c>
      <c r="J838" t="s">
        <v>3862</v>
      </c>
      <c r="K838">
        <v>1</v>
      </c>
      <c r="L838" t="s">
        <v>2945</v>
      </c>
      <c r="M838" s="19">
        <v>46262</v>
      </c>
      <c r="N838" t="s">
        <v>4565</v>
      </c>
    </row>
    <row r="839" spans="1:14" x14ac:dyDescent="0.3">
      <c r="A839" t="s">
        <v>5206</v>
      </c>
      <c r="B839" t="s">
        <v>5207</v>
      </c>
      <c r="C839" t="s">
        <v>5208</v>
      </c>
      <c r="D839" t="s">
        <v>4563</v>
      </c>
      <c r="E839" t="s">
        <v>4564</v>
      </c>
      <c r="F839" t="s">
        <v>1227</v>
      </c>
      <c r="G839" t="s">
        <v>2348</v>
      </c>
      <c r="H839">
        <v>32428.62</v>
      </c>
      <c r="I839">
        <v>34050.050000000003</v>
      </c>
      <c r="J839" t="s">
        <v>3862</v>
      </c>
      <c r="K839">
        <v>1</v>
      </c>
      <c r="L839" t="s">
        <v>2945</v>
      </c>
      <c r="M839" s="19">
        <v>46262</v>
      </c>
      <c r="N839" t="s">
        <v>4565</v>
      </c>
    </row>
    <row r="840" spans="1:14" x14ac:dyDescent="0.3">
      <c r="A840" t="s">
        <v>5209</v>
      </c>
      <c r="B840" t="s">
        <v>5210</v>
      </c>
      <c r="C840" t="s">
        <v>5211</v>
      </c>
      <c r="D840" t="s">
        <v>4563</v>
      </c>
      <c r="E840" t="s">
        <v>4564</v>
      </c>
      <c r="F840" t="s">
        <v>1227</v>
      </c>
      <c r="G840" t="s">
        <v>2348</v>
      </c>
      <c r="H840">
        <v>32428.62</v>
      </c>
      <c r="I840">
        <v>34050.050000000003</v>
      </c>
      <c r="J840" t="s">
        <v>3862</v>
      </c>
      <c r="K840">
        <v>1</v>
      </c>
      <c r="L840" t="s">
        <v>2945</v>
      </c>
      <c r="M840" s="19">
        <v>46262</v>
      </c>
      <c r="N840" t="s">
        <v>4565</v>
      </c>
    </row>
    <row r="841" spans="1:14" x14ac:dyDescent="0.3">
      <c r="A841" t="s">
        <v>5212</v>
      </c>
      <c r="B841" t="s">
        <v>5213</v>
      </c>
      <c r="C841" t="s">
        <v>5214</v>
      </c>
      <c r="D841" t="s">
        <v>4563</v>
      </c>
      <c r="E841" t="s">
        <v>4564</v>
      </c>
      <c r="F841" t="s">
        <v>1227</v>
      </c>
      <c r="G841" t="s">
        <v>2348</v>
      </c>
      <c r="H841">
        <v>32953.1</v>
      </c>
      <c r="I841">
        <v>34600.75</v>
      </c>
      <c r="J841" t="s">
        <v>3862</v>
      </c>
      <c r="K841">
        <v>1</v>
      </c>
      <c r="L841" t="s">
        <v>2945</v>
      </c>
      <c r="M841" s="19">
        <v>46262</v>
      </c>
      <c r="N841" t="s">
        <v>4565</v>
      </c>
    </row>
    <row r="842" spans="1:14" x14ac:dyDescent="0.3">
      <c r="A842" t="s">
        <v>5215</v>
      </c>
      <c r="B842" t="s">
        <v>5216</v>
      </c>
      <c r="C842" t="s">
        <v>5217</v>
      </c>
      <c r="D842" t="s">
        <v>4563</v>
      </c>
      <c r="E842" t="s">
        <v>4564</v>
      </c>
      <c r="F842" t="s">
        <v>1227</v>
      </c>
      <c r="G842" t="s">
        <v>2348</v>
      </c>
      <c r="H842">
        <v>32953.1</v>
      </c>
      <c r="I842">
        <v>34600.75</v>
      </c>
      <c r="J842" t="s">
        <v>3862</v>
      </c>
      <c r="K842">
        <v>1</v>
      </c>
      <c r="L842" t="s">
        <v>2945</v>
      </c>
      <c r="M842" s="19">
        <v>46262</v>
      </c>
      <c r="N842" t="s">
        <v>4565</v>
      </c>
    </row>
    <row r="843" spans="1:14" x14ac:dyDescent="0.3">
      <c r="A843" t="s">
        <v>5218</v>
      </c>
      <c r="B843" t="s">
        <v>5219</v>
      </c>
      <c r="C843" t="s">
        <v>5220</v>
      </c>
      <c r="D843" t="s">
        <v>4563</v>
      </c>
      <c r="E843" t="s">
        <v>4564</v>
      </c>
      <c r="F843" t="s">
        <v>1227</v>
      </c>
      <c r="G843" t="s">
        <v>2348</v>
      </c>
      <c r="H843">
        <v>32428.62</v>
      </c>
      <c r="I843">
        <v>34050.050000000003</v>
      </c>
      <c r="J843" t="s">
        <v>3862</v>
      </c>
      <c r="K843">
        <v>1</v>
      </c>
      <c r="L843" t="s">
        <v>2945</v>
      </c>
      <c r="M843" s="19">
        <v>46262</v>
      </c>
      <c r="N843" t="s">
        <v>4565</v>
      </c>
    </row>
    <row r="844" spans="1:14" x14ac:dyDescent="0.3">
      <c r="A844" t="s">
        <v>5221</v>
      </c>
      <c r="B844" t="s">
        <v>5222</v>
      </c>
      <c r="C844" t="s">
        <v>5223</v>
      </c>
      <c r="D844" t="s">
        <v>4563</v>
      </c>
      <c r="E844" t="s">
        <v>4564</v>
      </c>
      <c r="F844" t="s">
        <v>1227</v>
      </c>
      <c r="G844" t="s">
        <v>2348</v>
      </c>
      <c r="H844">
        <v>32428.62</v>
      </c>
      <c r="I844">
        <v>34050.050000000003</v>
      </c>
      <c r="J844" t="s">
        <v>3862</v>
      </c>
      <c r="K844">
        <v>1</v>
      </c>
      <c r="L844" t="s">
        <v>2945</v>
      </c>
      <c r="M844" s="19">
        <v>46262</v>
      </c>
      <c r="N844" t="s">
        <v>4565</v>
      </c>
    </row>
    <row r="845" spans="1:14" x14ac:dyDescent="0.3">
      <c r="A845" t="s">
        <v>5224</v>
      </c>
      <c r="B845" t="s">
        <v>5225</v>
      </c>
      <c r="C845" t="s">
        <v>5226</v>
      </c>
      <c r="D845" t="s">
        <v>4563</v>
      </c>
      <c r="E845" t="s">
        <v>4564</v>
      </c>
      <c r="F845" t="s">
        <v>1227</v>
      </c>
      <c r="G845" t="s">
        <v>2348</v>
      </c>
      <c r="H845">
        <v>33572.07</v>
      </c>
      <c r="I845">
        <v>35250.67</v>
      </c>
      <c r="J845" t="s">
        <v>3862</v>
      </c>
      <c r="K845">
        <v>1</v>
      </c>
      <c r="L845" t="s">
        <v>2945</v>
      </c>
      <c r="M845" s="19">
        <v>46262</v>
      </c>
      <c r="N845" t="s">
        <v>4565</v>
      </c>
    </row>
    <row r="846" spans="1:14" x14ac:dyDescent="0.3">
      <c r="A846" t="s">
        <v>5227</v>
      </c>
      <c r="B846" t="s">
        <v>5228</v>
      </c>
      <c r="C846" t="s">
        <v>5229</v>
      </c>
      <c r="D846" t="s">
        <v>4563</v>
      </c>
      <c r="E846" t="s">
        <v>4564</v>
      </c>
      <c r="F846" t="s">
        <v>1227</v>
      </c>
      <c r="G846" t="s">
        <v>2348</v>
      </c>
      <c r="H846">
        <v>33572.07</v>
      </c>
      <c r="I846">
        <v>35250.67</v>
      </c>
      <c r="J846" t="s">
        <v>3862</v>
      </c>
      <c r="K846">
        <v>1</v>
      </c>
      <c r="L846" t="s">
        <v>2945</v>
      </c>
      <c r="M846" s="19">
        <v>46262</v>
      </c>
      <c r="N846" t="s">
        <v>4565</v>
      </c>
    </row>
    <row r="847" spans="1:14" x14ac:dyDescent="0.3">
      <c r="A847" t="s">
        <v>5230</v>
      </c>
      <c r="B847" t="s">
        <v>5231</v>
      </c>
      <c r="C847" t="s">
        <v>5232</v>
      </c>
      <c r="D847" t="s">
        <v>4563</v>
      </c>
      <c r="E847" t="s">
        <v>4564</v>
      </c>
      <c r="F847" t="s">
        <v>1227</v>
      </c>
      <c r="G847" t="s">
        <v>2348</v>
      </c>
      <c r="H847">
        <v>33572.07</v>
      </c>
      <c r="I847">
        <v>35250.67</v>
      </c>
      <c r="J847" t="s">
        <v>3862</v>
      </c>
      <c r="K847">
        <v>1</v>
      </c>
      <c r="L847" t="s">
        <v>2945</v>
      </c>
      <c r="M847" s="19">
        <v>46262</v>
      </c>
      <c r="N847" t="s">
        <v>4565</v>
      </c>
    </row>
    <row r="848" spans="1:14" x14ac:dyDescent="0.3">
      <c r="A848" t="s">
        <v>5233</v>
      </c>
      <c r="B848" t="s">
        <v>5234</v>
      </c>
      <c r="C848" t="s">
        <v>5235</v>
      </c>
      <c r="D848" t="s">
        <v>4563</v>
      </c>
      <c r="E848" t="s">
        <v>4564</v>
      </c>
      <c r="F848" t="s">
        <v>1227</v>
      </c>
      <c r="G848" t="s">
        <v>2348</v>
      </c>
      <c r="H848">
        <v>33572.07</v>
      </c>
      <c r="I848">
        <v>35250.67</v>
      </c>
      <c r="J848" t="s">
        <v>3862</v>
      </c>
      <c r="K848">
        <v>1</v>
      </c>
      <c r="L848" t="s">
        <v>2945</v>
      </c>
      <c r="M848" s="19">
        <v>46262</v>
      </c>
      <c r="N848" t="s">
        <v>4565</v>
      </c>
    </row>
    <row r="849" spans="1:14" x14ac:dyDescent="0.3">
      <c r="A849" t="s">
        <v>5236</v>
      </c>
      <c r="B849" t="s">
        <v>5237</v>
      </c>
      <c r="C849" t="s">
        <v>5238</v>
      </c>
      <c r="D849" t="s">
        <v>4563</v>
      </c>
      <c r="E849" t="s">
        <v>4564</v>
      </c>
      <c r="F849" t="s">
        <v>1227</v>
      </c>
      <c r="G849" t="s">
        <v>2348</v>
      </c>
      <c r="H849">
        <v>50478.12</v>
      </c>
      <c r="I849">
        <v>53002.03</v>
      </c>
      <c r="J849" t="s">
        <v>3862</v>
      </c>
      <c r="K849">
        <v>1</v>
      </c>
      <c r="L849" t="s">
        <v>2945</v>
      </c>
      <c r="M849" s="19">
        <v>46262</v>
      </c>
      <c r="N849" t="s">
        <v>4565</v>
      </c>
    </row>
    <row r="850" spans="1:14" x14ac:dyDescent="0.3">
      <c r="A850" t="s">
        <v>5239</v>
      </c>
      <c r="B850" t="s">
        <v>5240</v>
      </c>
      <c r="C850" t="s">
        <v>5241</v>
      </c>
      <c r="D850" t="s">
        <v>4563</v>
      </c>
      <c r="E850" t="s">
        <v>4564</v>
      </c>
      <c r="F850" t="s">
        <v>1227</v>
      </c>
      <c r="G850" t="s">
        <v>2348</v>
      </c>
      <c r="H850">
        <v>50478.12</v>
      </c>
      <c r="I850">
        <v>53002.03</v>
      </c>
      <c r="J850" t="s">
        <v>3862</v>
      </c>
      <c r="K850">
        <v>1</v>
      </c>
      <c r="L850" t="s">
        <v>2945</v>
      </c>
      <c r="M850" s="19">
        <v>46262</v>
      </c>
      <c r="N850" t="s">
        <v>4565</v>
      </c>
    </row>
    <row r="851" spans="1:14" x14ac:dyDescent="0.3">
      <c r="A851" t="s">
        <v>5242</v>
      </c>
      <c r="B851" t="s">
        <v>2523</v>
      </c>
      <c r="C851" t="s">
        <v>5243</v>
      </c>
      <c r="D851" t="s">
        <v>4563</v>
      </c>
      <c r="E851" t="s">
        <v>4564</v>
      </c>
      <c r="F851" t="s">
        <v>1227</v>
      </c>
      <c r="G851" t="s">
        <v>2348</v>
      </c>
      <c r="H851">
        <v>25106.76</v>
      </c>
      <c r="I851">
        <v>26362.1</v>
      </c>
      <c r="J851" t="s">
        <v>3862</v>
      </c>
      <c r="K851">
        <v>1</v>
      </c>
      <c r="L851" t="s">
        <v>2945</v>
      </c>
      <c r="M851" s="19">
        <v>46262</v>
      </c>
      <c r="N851" t="s">
        <v>4565</v>
      </c>
    </row>
    <row r="852" spans="1:14" x14ac:dyDescent="0.3">
      <c r="A852" t="s">
        <v>5244</v>
      </c>
      <c r="B852" t="s">
        <v>5245</v>
      </c>
      <c r="C852" t="s">
        <v>5246</v>
      </c>
      <c r="D852" t="s">
        <v>4563</v>
      </c>
      <c r="E852" t="s">
        <v>4564</v>
      </c>
      <c r="F852" t="s">
        <v>1227</v>
      </c>
      <c r="G852" t="s">
        <v>2348</v>
      </c>
      <c r="H852">
        <v>25106.76</v>
      </c>
      <c r="I852">
        <v>26362.1</v>
      </c>
      <c r="J852" t="s">
        <v>3862</v>
      </c>
      <c r="K852">
        <v>1</v>
      </c>
      <c r="L852" t="s">
        <v>2945</v>
      </c>
      <c r="M852" s="19">
        <v>46262</v>
      </c>
      <c r="N852" t="s">
        <v>4565</v>
      </c>
    </row>
    <row r="853" spans="1:14" x14ac:dyDescent="0.3">
      <c r="A853" t="s">
        <v>5247</v>
      </c>
      <c r="B853" t="s">
        <v>5248</v>
      </c>
      <c r="C853" t="s">
        <v>5249</v>
      </c>
      <c r="D853" t="s">
        <v>4563</v>
      </c>
      <c r="E853" t="s">
        <v>4564</v>
      </c>
      <c r="F853" t="s">
        <v>1227</v>
      </c>
      <c r="G853" t="s">
        <v>2348</v>
      </c>
      <c r="H853">
        <v>25106.76</v>
      </c>
      <c r="I853">
        <v>26362.1</v>
      </c>
      <c r="J853" t="s">
        <v>3862</v>
      </c>
      <c r="K853">
        <v>1</v>
      </c>
      <c r="L853" t="s">
        <v>2945</v>
      </c>
      <c r="M853" s="19">
        <v>46262</v>
      </c>
      <c r="N853" t="s">
        <v>4565</v>
      </c>
    </row>
    <row r="854" spans="1:14" x14ac:dyDescent="0.3">
      <c r="A854" t="s">
        <v>5250</v>
      </c>
      <c r="B854" t="s">
        <v>5251</v>
      </c>
      <c r="C854" t="s">
        <v>5252</v>
      </c>
      <c r="D854" t="s">
        <v>4563</v>
      </c>
      <c r="E854" t="s">
        <v>4564</v>
      </c>
      <c r="F854" t="s">
        <v>1227</v>
      </c>
      <c r="G854" t="s">
        <v>2348</v>
      </c>
      <c r="H854">
        <v>27785.84</v>
      </c>
      <c r="I854">
        <v>29175.13</v>
      </c>
      <c r="J854" t="s">
        <v>3862</v>
      </c>
      <c r="K854">
        <v>1</v>
      </c>
      <c r="L854" t="s">
        <v>2945</v>
      </c>
      <c r="M854" s="19">
        <v>46262</v>
      </c>
      <c r="N854" t="s">
        <v>4565</v>
      </c>
    </row>
    <row r="855" spans="1:14" x14ac:dyDescent="0.3">
      <c r="A855" t="s">
        <v>5253</v>
      </c>
      <c r="B855" t="s">
        <v>5254</v>
      </c>
      <c r="C855" t="s">
        <v>5255</v>
      </c>
      <c r="D855" t="s">
        <v>4563</v>
      </c>
      <c r="E855" t="s">
        <v>4564</v>
      </c>
      <c r="F855" t="s">
        <v>1227</v>
      </c>
      <c r="G855" t="s">
        <v>2348</v>
      </c>
      <c r="H855">
        <v>25398.76</v>
      </c>
      <c r="I855">
        <v>26668.7</v>
      </c>
      <c r="J855" t="s">
        <v>3862</v>
      </c>
      <c r="K855">
        <v>1</v>
      </c>
      <c r="L855" t="s">
        <v>2945</v>
      </c>
      <c r="M855" s="19">
        <v>46262</v>
      </c>
      <c r="N855" t="s">
        <v>4565</v>
      </c>
    </row>
    <row r="856" spans="1:14" x14ac:dyDescent="0.3">
      <c r="A856" t="s">
        <v>5256</v>
      </c>
      <c r="B856" t="s">
        <v>5257</v>
      </c>
      <c r="C856" t="s">
        <v>5258</v>
      </c>
      <c r="D856" t="s">
        <v>4563</v>
      </c>
      <c r="E856" t="s">
        <v>4564</v>
      </c>
      <c r="F856" t="s">
        <v>1227</v>
      </c>
      <c r="G856" t="s">
        <v>2348</v>
      </c>
      <c r="H856">
        <v>25398.76</v>
      </c>
      <c r="I856">
        <v>26668.7</v>
      </c>
      <c r="J856" t="s">
        <v>3862</v>
      </c>
      <c r="K856">
        <v>1</v>
      </c>
      <c r="L856" t="s">
        <v>2945</v>
      </c>
      <c r="M856" s="19">
        <v>46262</v>
      </c>
      <c r="N856" t="s">
        <v>4565</v>
      </c>
    </row>
    <row r="857" spans="1:14" x14ac:dyDescent="0.3">
      <c r="A857" t="s">
        <v>5259</v>
      </c>
      <c r="B857" t="s">
        <v>5260</v>
      </c>
      <c r="C857" t="s">
        <v>5261</v>
      </c>
      <c r="D857" t="s">
        <v>4563</v>
      </c>
      <c r="E857" t="s">
        <v>4564</v>
      </c>
      <c r="F857" t="s">
        <v>1227</v>
      </c>
      <c r="G857" t="s">
        <v>2348</v>
      </c>
      <c r="H857">
        <v>28767.69</v>
      </c>
      <c r="I857">
        <v>30206.07</v>
      </c>
      <c r="J857" t="s">
        <v>3862</v>
      </c>
      <c r="K857">
        <v>1</v>
      </c>
      <c r="L857" t="s">
        <v>2945</v>
      </c>
      <c r="M857" s="19">
        <v>46262</v>
      </c>
      <c r="N857" t="s">
        <v>4565</v>
      </c>
    </row>
    <row r="858" spans="1:14" x14ac:dyDescent="0.3">
      <c r="A858" t="s">
        <v>5262</v>
      </c>
      <c r="B858" t="s">
        <v>5263</v>
      </c>
      <c r="C858" t="s">
        <v>5264</v>
      </c>
      <c r="D858" t="s">
        <v>4563</v>
      </c>
      <c r="E858" t="s">
        <v>4564</v>
      </c>
      <c r="F858" t="s">
        <v>1227</v>
      </c>
      <c r="G858" t="s">
        <v>2348</v>
      </c>
      <c r="H858">
        <v>28767.69</v>
      </c>
      <c r="I858">
        <v>30206.07</v>
      </c>
      <c r="J858" t="s">
        <v>3862</v>
      </c>
      <c r="K858">
        <v>1</v>
      </c>
      <c r="L858" t="s">
        <v>2945</v>
      </c>
      <c r="M858" s="19">
        <v>46262</v>
      </c>
      <c r="N858" t="s">
        <v>4565</v>
      </c>
    </row>
    <row r="859" spans="1:14" x14ac:dyDescent="0.3">
      <c r="A859" t="s">
        <v>5265</v>
      </c>
      <c r="B859" t="s">
        <v>5266</v>
      </c>
      <c r="C859" t="s">
        <v>5267</v>
      </c>
      <c r="D859" t="s">
        <v>4563</v>
      </c>
      <c r="E859" t="s">
        <v>4564</v>
      </c>
      <c r="F859" t="s">
        <v>1227</v>
      </c>
      <c r="G859" t="s">
        <v>2348</v>
      </c>
      <c r="H859">
        <v>32428.62</v>
      </c>
      <c r="I859">
        <v>34050.050000000003</v>
      </c>
      <c r="J859" t="s">
        <v>3862</v>
      </c>
      <c r="K859">
        <v>1</v>
      </c>
      <c r="L859" t="s">
        <v>2945</v>
      </c>
      <c r="M859" s="19">
        <v>46262</v>
      </c>
      <c r="N859" t="s">
        <v>4565</v>
      </c>
    </row>
    <row r="860" spans="1:14" x14ac:dyDescent="0.3">
      <c r="A860" t="s">
        <v>5268</v>
      </c>
      <c r="B860" t="s">
        <v>5269</v>
      </c>
      <c r="C860" t="s">
        <v>5270</v>
      </c>
      <c r="D860" t="s">
        <v>4563</v>
      </c>
      <c r="E860" t="s">
        <v>4564</v>
      </c>
      <c r="F860" t="s">
        <v>1227</v>
      </c>
      <c r="G860" t="s">
        <v>2348</v>
      </c>
      <c r="H860">
        <v>32428.62</v>
      </c>
      <c r="I860">
        <v>34050.050000000003</v>
      </c>
      <c r="J860" t="s">
        <v>3862</v>
      </c>
      <c r="K860">
        <v>1</v>
      </c>
      <c r="L860" t="s">
        <v>2945</v>
      </c>
      <c r="M860" s="19">
        <v>46262</v>
      </c>
      <c r="N860" t="s">
        <v>4565</v>
      </c>
    </row>
    <row r="861" spans="1:14" x14ac:dyDescent="0.3">
      <c r="A861" t="s">
        <v>5271</v>
      </c>
      <c r="B861" t="s">
        <v>5272</v>
      </c>
      <c r="C861" t="s">
        <v>5273</v>
      </c>
      <c r="D861" t="s">
        <v>4563</v>
      </c>
      <c r="E861" t="s">
        <v>4564</v>
      </c>
      <c r="F861" t="s">
        <v>1227</v>
      </c>
      <c r="G861" t="s">
        <v>2348</v>
      </c>
      <c r="H861">
        <v>32428.62</v>
      </c>
      <c r="I861">
        <v>34050.050000000003</v>
      </c>
      <c r="J861" t="s">
        <v>3862</v>
      </c>
      <c r="K861">
        <v>1</v>
      </c>
      <c r="L861" t="s">
        <v>2945</v>
      </c>
      <c r="M861" s="19">
        <v>46262</v>
      </c>
      <c r="N861" t="s">
        <v>4565</v>
      </c>
    </row>
    <row r="862" spans="1:14" x14ac:dyDescent="0.3">
      <c r="A862" t="s">
        <v>5274</v>
      </c>
      <c r="B862" t="s">
        <v>5275</v>
      </c>
      <c r="C862" t="s">
        <v>5276</v>
      </c>
      <c r="D862" t="s">
        <v>4563</v>
      </c>
      <c r="E862" t="s">
        <v>4564</v>
      </c>
      <c r="F862" t="s">
        <v>1227</v>
      </c>
      <c r="G862" t="s">
        <v>2348</v>
      </c>
      <c r="H862">
        <v>32428.62</v>
      </c>
      <c r="I862">
        <v>34050.050000000003</v>
      </c>
      <c r="J862" t="s">
        <v>3862</v>
      </c>
      <c r="K862">
        <v>1</v>
      </c>
      <c r="L862" t="s">
        <v>2945</v>
      </c>
      <c r="M862" s="19">
        <v>46262</v>
      </c>
      <c r="N862" t="s">
        <v>4565</v>
      </c>
    </row>
    <row r="863" spans="1:14" x14ac:dyDescent="0.3">
      <c r="A863" t="s">
        <v>5277</v>
      </c>
      <c r="B863" t="s">
        <v>5278</v>
      </c>
      <c r="C863" t="s">
        <v>5279</v>
      </c>
      <c r="D863" t="s">
        <v>4563</v>
      </c>
      <c r="E863" t="s">
        <v>4564</v>
      </c>
      <c r="F863" t="s">
        <v>1227</v>
      </c>
      <c r="G863" t="s">
        <v>2348</v>
      </c>
      <c r="H863">
        <v>33572.07</v>
      </c>
      <c r="I863">
        <v>35250.67</v>
      </c>
      <c r="J863" t="s">
        <v>3862</v>
      </c>
      <c r="K863">
        <v>1</v>
      </c>
      <c r="L863" t="s">
        <v>2945</v>
      </c>
      <c r="M863" s="19">
        <v>46262</v>
      </c>
      <c r="N863" t="s">
        <v>4565</v>
      </c>
    </row>
    <row r="864" spans="1:14" x14ac:dyDescent="0.3">
      <c r="A864" t="s">
        <v>5280</v>
      </c>
      <c r="B864" t="s">
        <v>5281</v>
      </c>
      <c r="C864" t="s">
        <v>5282</v>
      </c>
      <c r="D864" t="s">
        <v>4563</v>
      </c>
      <c r="E864" t="s">
        <v>4564</v>
      </c>
      <c r="F864" t="s">
        <v>1227</v>
      </c>
      <c r="G864" t="s">
        <v>2348</v>
      </c>
      <c r="H864">
        <v>33572.07</v>
      </c>
      <c r="I864">
        <v>35250.67</v>
      </c>
      <c r="J864" t="s">
        <v>3862</v>
      </c>
      <c r="K864">
        <v>1</v>
      </c>
      <c r="L864" t="s">
        <v>2945</v>
      </c>
      <c r="M864" s="19">
        <v>46262</v>
      </c>
      <c r="N864" t="s">
        <v>4565</v>
      </c>
    </row>
    <row r="865" spans="1:14" x14ac:dyDescent="0.3">
      <c r="A865" t="s">
        <v>5283</v>
      </c>
      <c r="B865" t="s">
        <v>5284</v>
      </c>
      <c r="C865" t="s">
        <v>5285</v>
      </c>
      <c r="D865" t="s">
        <v>4563</v>
      </c>
      <c r="E865" t="s">
        <v>4564</v>
      </c>
      <c r="F865" t="s">
        <v>1227</v>
      </c>
      <c r="G865" t="s">
        <v>2348</v>
      </c>
      <c r="H865">
        <v>33572.07</v>
      </c>
      <c r="I865">
        <v>35250.67</v>
      </c>
      <c r="J865" t="s">
        <v>3862</v>
      </c>
      <c r="K865">
        <v>1</v>
      </c>
      <c r="L865" t="s">
        <v>2945</v>
      </c>
      <c r="M865" s="19">
        <v>46262</v>
      </c>
      <c r="N865" t="s">
        <v>4565</v>
      </c>
    </row>
    <row r="866" spans="1:14" x14ac:dyDescent="0.3">
      <c r="A866" t="s">
        <v>5286</v>
      </c>
      <c r="B866" t="s">
        <v>5287</v>
      </c>
      <c r="C866" t="s">
        <v>5288</v>
      </c>
      <c r="D866" t="s">
        <v>4563</v>
      </c>
      <c r="E866" t="s">
        <v>4564</v>
      </c>
      <c r="F866" t="s">
        <v>1227</v>
      </c>
      <c r="G866" t="s">
        <v>2348</v>
      </c>
      <c r="H866">
        <v>33572.07</v>
      </c>
      <c r="I866">
        <v>35250.67</v>
      </c>
      <c r="J866" t="s">
        <v>3862</v>
      </c>
      <c r="K866">
        <v>1</v>
      </c>
      <c r="L866" t="s">
        <v>2945</v>
      </c>
      <c r="M866" s="19">
        <v>46262</v>
      </c>
      <c r="N866" t="s">
        <v>4565</v>
      </c>
    </row>
    <row r="867" spans="1:14" x14ac:dyDescent="0.3">
      <c r="A867" t="s">
        <v>5289</v>
      </c>
      <c r="B867" t="s">
        <v>5290</v>
      </c>
      <c r="C867" t="s">
        <v>5291</v>
      </c>
      <c r="D867" t="s">
        <v>4563</v>
      </c>
      <c r="E867" t="s">
        <v>4564</v>
      </c>
      <c r="F867" t="s">
        <v>1227</v>
      </c>
      <c r="G867" t="s">
        <v>2348</v>
      </c>
      <c r="H867">
        <v>32428.62</v>
      </c>
      <c r="I867">
        <v>34050.050000000003</v>
      </c>
      <c r="J867" t="s">
        <v>3862</v>
      </c>
      <c r="K867">
        <v>1</v>
      </c>
      <c r="L867" t="s">
        <v>2945</v>
      </c>
      <c r="M867" s="19">
        <v>46262</v>
      </c>
      <c r="N867" t="s">
        <v>4565</v>
      </c>
    </row>
    <row r="868" spans="1:14" x14ac:dyDescent="0.3">
      <c r="A868" t="s">
        <v>5292</v>
      </c>
      <c r="B868" t="s">
        <v>5293</v>
      </c>
      <c r="C868" t="s">
        <v>5294</v>
      </c>
      <c r="D868" t="s">
        <v>4563</v>
      </c>
      <c r="E868" t="s">
        <v>4564</v>
      </c>
      <c r="F868" t="s">
        <v>1227</v>
      </c>
      <c r="G868" t="s">
        <v>2348</v>
      </c>
      <c r="H868">
        <v>32428.62</v>
      </c>
      <c r="I868">
        <v>34050.050000000003</v>
      </c>
      <c r="J868" t="s">
        <v>3862</v>
      </c>
      <c r="K868">
        <v>1</v>
      </c>
      <c r="L868" t="s">
        <v>2945</v>
      </c>
      <c r="M868" s="19">
        <v>46262</v>
      </c>
      <c r="N868" t="s">
        <v>4565</v>
      </c>
    </row>
    <row r="869" spans="1:14" x14ac:dyDescent="0.3">
      <c r="A869" t="s">
        <v>5295</v>
      </c>
      <c r="B869" t="s">
        <v>5296</v>
      </c>
      <c r="C869" t="s">
        <v>5297</v>
      </c>
      <c r="D869" t="s">
        <v>4563</v>
      </c>
      <c r="E869" t="s">
        <v>4564</v>
      </c>
      <c r="F869" t="s">
        <v>1227</v>
      </c>
      <c r="G869" t="s">
        <v>2348</v>
      </c>
      <c r="H869">
        <v>31427.87</v>
      </c>
      <c r="I869">
        <v>32999.26</v>
      </c>
      <c r="J869" t="s">
        <v>3862</v>
      </c>
      <c r="K869">
        <v>1</v>
      </c>
      <c r="L869" t="s">
        <v>2945</v>
      </c>
      <c r="M869" s="19">
        <v>46262</v>
      </c>
      <c r="N869" t="s">
        <v>4565</v>
      </c>
    </row>
    <row r="870" spans="1:14" x14ac:dyDescent="0.3">
      <c r="A870" t="s">
        <v>5298</v>
      </c>
      <c r="B870" t="s">
        <v>5299</v>
      </c>
      <c r="C870" t="s">
        <v>5300</v>
      </c>
      <c r="D870" t="s">
        <v>4563</v>
      </c>
      <c r="E870" t="s">
        <v>4564</v>
      </c>
      <c r="F870" t="s">
        <v>1227</v>
      </c>
      <c r="G870" t="s">
        <v>2348</v>
      </c>
      <c r="H870">
        <v>32428.62</v>
      </c>
      <c r="I870">
        <v>34050.050000000003</v>
      </c>
      <c r="J870" t="s">
        <v>3862</v>
      </c>
      <c r="K870">
        <v>1</v>
      </c>
      <c r="L870" t="s">
        <v>2945</v>
      </c>
      <c r="M870" s="19">
        <v>46262</v>
      </c>
      <c r="N870" t="s">
        <v>4565</v>
      </c>
    </row>
    <row r="871" spans="1:14" x14ac:dyDescent="0.3">
      <c r="A871" t="s">
        <v>5301</v>
      </c>
      <c r="B871" t="s">
        <v>5302</v>
      </c>
      <c r="C871" t="s">
        <v>5303</v>
      </c>
      <c r="D871" t="s">
        <v>4563</v>
      </c>
      <c r="E871" t="s">
        <v>4564</v>
      </c>
      <c r="F871" t="s">
        <v>1227</v>
      </c>
      <c r="G871" t="s">
        <v>2348</v>
      </c>
      <c r="H871">
        <v>32428.62</v>
      </c>
      <c r="I871">
        <v>34050.050000000003</v>
      </c>
      <c r="J871" t="s">
        <v>3862</v>
      </c>
      <c r="K871">
        <v>1</v>
      </c>
      <c r="L871" t="s">
        <v>2945</v>
      </c>
      <c r="M871" s="19">
        <v>46262</v>
      </c>
      <c r="N871" t="s">
        <v>4565</v>
      </c>
    </row>
    <row r="872" spans="1:14" x14ac:dyDescent="0.3">
      <c r="A872" t="s">
        <v>5304</v>
      </c>
      <c r="B872" t="s">
        <v>5305</v>
      </c>
      <c r="C872" t="s">
        <v>5306</v>
      </c>
      <c r="D872" t="s">
        <v>4563</v>
      </c>
      <c r="E872" t="s">
        <v>4564</v>
      </c>
      <c r="F872" t="s">
        <v>1227</v>
      </c>
      <c r="G872" t="s">
        <v>2348</v>
      </c>
      <c r="H872">
        <v>32428.62</v>
      </c>
      <c r="I872">
        <v>34050.050000000003</v>
      </c>
      <c r="J872" t="s">
        <v>3862</v>
      </c>
      <c r="K872">
        <v>1</v>
      </c>
      <c r="L872" t="s">
        <v>2945</v>
      </c>
      <c r="M872" s="19">
        <v>46262</v>
      </c>
      <c r="N872" t="s">
        <v>4565</v>
      </c>
    </row>
    <row r="873" spans="1:14" x14ac:dyDescent="0.3">
      <c r="A873" t="s">
        <v>5307</v>
      </c>
      <c r="B873" t="s">
        <v>5308</v>
      </c>
      <c r="C873" t="s">
        <v>5309</v>
      </c>
      <c r="D873" t="s">
        <v>4563</v>
      </c>
      <c r="E873" t="s">
        <v>4564</v>
      </c>
      <c r="F873" t="s">
        <v>1227</v>
      </c>
      <c r="G873" t="s">
        <v>2348</v>
      </c>
      <c r="H873">
        <v>32428.62</v>
      </c>
      <c r="I873">
        <v>34050.050000000003</v>
      </c>
      <c r="J873" t="s">
        <v>3862</v>
      </c>
      <c r="K873">
        <v>1</v>
      </c>
      <c r="L873" t="s">
        <v>2945</v>
      </c>
      <c r="M873" s="19">
        <v>46262</v>
      </c>
      <c r="N873" t="s">
        <v>4565</v>
      </c>
    </row>
    <row r="874" spans="1:14" x14ac:dyDescent="0.3">
      <c r="A874" t="s">
        <v>5310</v>
      </c>
      <c r="B874" t="s">
        <v>5311</v>
      </c>
      <c r="C874" t="s">
        <v>5312</v>
      </c>
      <c r="D874" t="s">
        <v>4563</v>
      </c>
      <c r="E874" t="s">
        <v>4564</v>
      </c>
      <c r="F874" t="s">
        <v>1227</v>
      </c>
      <c r="G874" t="s">
        <v>2348</v>
      </c>
      <c r="H874">
        <v>33572.07</v>
      </c>
      <c r="I874">
        <v>35250.67</v>
      </c>
      <c r="J874" t="s">
        <v>3862</v>
      </c>
      <c r="K874">
        <v>1</v>
      </c>
      <c r="L874" t="s">
        <v>2945</v>
      </c>
      <c r="M874" s="19">
        <v>46262</v>
      </c>
      <c r="N874" t="s">
        <v>4565</v>
      </c>
    </row>
    <row r="875" spans="1:14" x14ac:dyDescent="0.3">
      <c r="A875" t="s">
        <v>5313</v>
      </c>
      <c r="B875" t="s">
        <v>5314</v>
      </c>
      <c r="C875" t="s">
        <v>5315</v>
      </c>
      <c r="D875" t="s">
        <v>4563</v>
      </c>
      <c r="E875" t="s">
        <v>4564</v>
      </c>
      <c r="F875" t="s">
        <v>1227</v>
      </c>
      <c r="G875" t="s">
        <v>2348</v>
      </c>
      <c r="H875">
        <v>33572.07</v>
      </c>
      <c r="I875">
        <v>35250.67</v>
      </c>
      <c r="J875" t="s">
        <v>3862</v>
      </c>
      <c r="K875">
        <v>1</v>
      </c>
      <c r="L875" t="s">
        <v>2945</v>
      </c>
      <c r="M875" s="19">
        <v>46262</v>
      </c>
      <c r="N875" t="s">
        <v>4565</v>
      </c>
    </row>
    <row r="876" spans="1:14" x14ac:dyDescent="0.3">
      <c r="A876" t="s">
        <v>5316</v>
      </c>
      <c r="B876" t="s">
        <v>5317</v>
      </c>
      <c r="C876" t="s">
        <v>5318</v>
      </c>
      <c r="D876" t="s">
        <v>4563</v>
      </c>
      <c r="E876" t="s">
        <v>4564</v>
      </c>
      <c r="F876" t="s">
        <v>1227</v>
      </c>
      <c r="G876" t="s">
        <v>2348</v>
      </c>
      <c r="H876">
        <v>33572.07</v>
      </c>
      <c r="I876">
        <v>35250.67</v>
      </c>
      <c r="J876" t="s">
        <v>3862</v>
      </c>
      <c r="K876">
        <v>1</v>
      </c>
      <c r="L876" t="s">
        <v>2945</v>
      </c>
      <c r="M876" s="19">
        <v>46262</v>
      </c>
      <c r="N876" t="s">
        <v>4565</v>
      </c>
    </row>
    <row r="877" spans="1:14" x14ac:dyDescent="0.3">
      <c r="A877" t="s">
        <v>5319</v>
      </c>
      <c r="B877" t="s">
        <v>5317</v>
      </c>
      <c r="C877" t="s">
        <v>5318</v>
      </c>
      <c r="D877" t="s">
        <v>4563</v>
      </c>
      <c r="E877" t="s">
        <v>4564</v>
      </c>
      <c r="F877" t="s">
        <v>1227</v>
      </c>
      <c r="G877" t="s">
        <v>2348</v>
      </c>
      <c r="H877">
        <v>38708.15</v>
      </c>
      <c r="I877">
        <v>40643.550000000003</v>
      </c>
      <c r="J877" t="s">
        <v>3862</v>
      </c>
      <c r="K877">
        <v>1</v>
      </c>
      <c r="L877" t="s">
        <v>2945</v>
      </c>
      <c r="M877" s="19">
        <v>46262</v>
      </c>
      <c r="N877" t="s">
        <v>4565</v>
      </c>
    </row>
    <row r="878" spans="1:14" x14ac:dyDescent="0.3">
      <c r="A878" t="s">
        <v>5320</v>
      </c>
      <c r="B878" t="s">
        <v>5321</v>
      </c>
      <c r="C878" t="s">
        <v>5322</v>
      </c>
      <c r="D878" t="s">
        <v>4563</v>
      </c>
      <c r="E878" t="s">
        <v>4564</v>
      </c>
      <c r="F878" t="s">
        <v>1227</v>
      </c>
      <c r="G878" t="s">
        <v>2348</v>
      </c>
      <c r="H878">
        <v>33572.07</v>
      </c>
      <c r="I878">
        <v>35250.67</v>
      </c>
      <c r="J878" t="s">
        <v>3862</v>
      </c>
      <c r="K878">
        <v>1</v>
      </c>
      <c r="L878" t="s">
        <v>2945</v>
      </c>
      <c r="M878" s="19">
        <v>46262</v>
      </c>
      <c r="N878" t="s">
        <v>4565</v>
      </c>
    </row>
    <row r="879" spans="1:14" x14ac:dyDescent="0.3">
      <c r="A879" t="s">
        <v>5323</v>
      </c>
      <c r="B879" t="s">
        <v>5321</v>
      </c>
      <c r="C879" t="s">
        <v>5322</v>
      </c>
      <c r="D879" t="s">
        <v>4563</v>
      </c>
      <c r="E879" t="s">
        <v>4564</v>
      </c>
      <c r="F879" t="s">
        <v>1227</v>
      </c>
      <c r="G879" t="s">
        <v>2348</v>
      </c>
      <c r="H879">
        <v>38708.15</v>
      </c>
      <c r="I879">
        <v>40643.550000000003</v>
      </c>
      <c r="J879" t="s">
        <v>3862</v>
      </c>
      <c r="K879">
        <v>1</v>
      </c>
      <c r="L879" t="s">
        <v>2945</v>
      </c>
      <c r="M879" s="19">
        <v>46262</v>
      </c>
      <c r="N879" t="s">
        <v>4565</v>
      </c>
    </row>
    <row r="880" spans="1:14" x14ac:dyDescent="0.3">
      <c r="A880" t="s">
        <v>5324</v>
      </c>
      <c r="B880" t="s">
        <v>5325</v>
      </c>
      <c r="D880" t="s">
        <v>5326</v>
      </c>
      <c r="E880" t="s">
        <v>5327</v>
      </c>
      <c r="F880" t="s">
        <v>1227</v>
      </c>
      <c r="G880" t="s">
        <v>2348</v>
      </c>
      <c r="H880">
        <v>348</v>
      </c>
      <c r="I880">
        <v>379.32</v>
      </c>
      <c r="J880" t="s">
        <v>3862</v>
      </c>
      <c r="K880">
        <v>1</v>
      </c>
      <c r="L880" t="s">
        <v>2945</v>
      </c>
      <c r="M880" s="19">
        <v>46262</v>
      </c>
      <c r="N880" t="s">
        <v>4610</v>
      </c>
    </row>
    <row r="881" spans="1:14" x14ac:dyDescent="0.3">
      <c r="A881" t="s">
        <v>5328</v>
      </c>
      <c r="B881" t="s">
        <v>5329</v>
      </c>
      <c r="D881" t="s">
        <v>5326</v>
      </c>
      <c r="E881" t="s">
        <v>5327</v>
      </c>
      <c r="F881" t="s">
        <v>1227</v>
      </c>
      <c r="G881" t="s">
        <v>2348</v>
      </c>
      <c r="H881">
        <v>465</v>
      </c>
      <c r="I881">
        <v>506.85</v>
      </c>
      <c r="J881" t="s">
        <v>3862</v>
      </c>
      <c r="K881">
        <v>1</v>
      </c>
      <c r="L881" t="s">
        <v>2945</v>
      </c>
      <c r="M881" s="19">
        <v>46262</v>
      </c>
      <c r="N881" t="s">
        <v>4610</v>
      </c>
    </row>
    <row r="882" spans="1:14" x14ac:dyDescent="0.3">
      <c r="A882" t="s">
        <v>5330</v>
      </c>
      <c r="B882" t="s">
        <v>5331</v>
      </c>
      <c r="D882" t="s">
        <v>5326</v>
      </c>
      <c r="E882" t="s">
        <v>5327</v>
      </c>
      <c r="F882" t="s">
        <v>1227</v>
      </c>
      <c r="G882" t="s">
        <v>2348</v>
      </c>
      <c r="H882">
        <v>465</v>
      </c>
      <c r="I882">
        <v>506.85</v>
      </c>
      <c r="J882" t="s">
        <v>3862</v>
      </c>
      <c r="K882">
        <v>1</v>
      </c>
      <c r="L882" t="s">
        <v>2945</v>
      </c>
      <c r="M882" s="19">
        <v>46262</v>
      </c>
      <c r="N882" t="s">
        <v>4610</v>
      </c>
    </row>
    <row r="883" spans="1:14" x14ac:dyDescent="0.3">
      <c r="A883" t="s">
        <v>5332</v>
      </c>
      <c r="B883" t="s">
        <v>5333</v>
      </c>
      <c r="D883" t="s">
        <v>5326</v>
      </c>
      <c r="E883" t="s">
        <v>5327</v>
      </c>
      <c r="F883" t="s">
        <v>1227</v>
      </c>
      <c r="G883" t="s">
        <v>2348</v>
      </c>
      <c r="H883">
        <v>89</v>
      </c>
      <c r="I883">
        <v>97.01</v>
      </c>
      <c r="J883" t="s">
        <v>3862</v>
      </c>
      <c r="K883">
        <v>1</v>
      </c>
      <c r="L883" t="s">
        <v>2945</v>
      </c>
      <c r="M883" s="19">
        <v>46262</v>
      </c>
      <c r="N883" t="s">
        <v>4610</v>
      </c>
    </row>
    <row r="884" spans="1:14" x14ac:dyDescent="0.3">
      <c r="A884" t="s">
        <v>5334</v>
      </c>
      <c r="B884" t="s">
        <v>5335</v>
      </c>
      <c r="D884" t="s">
        <v>5326</v>
      </c>
      <c r="E884" t="s">
        <v>5327</v>
      </c>
      <c r="F884" t="s">
        <v>1227</v>
      </c>
      <c r="G884" t="s">
        <v>2348</v>
      </c>
      <c r="H884">
        <v>1560</v>
      </c>
      <c r="I884">
        <v>1700.4</v>
      </c>
      <c r="J884" t="s">
        <v>3862</v>
      </c>
      <c r="K884">
        <v>1</v>
      </c>
      <c r="L884" t="s">
        <v>2945</v>
      </c>
      <c r="M884" s="19">
        <v>46262</v>
      </c>
      <c r="N884" t="s">
        <v>4610</v>
      </c>
    </row>
    <row r="885" spans="1:14" x14ac:dyDescent="0.3">
      <c r="A885" t="s">
        <v>5336</v>
      </c>
      <c r="B885" t="s">
        <v>5337</v>
      </c>
      <c r="D885" t="s">
        <v>5326</v>
      </c>
      <c r="E885" t="s">
        <v>5327</v>
      </c>
      <c r="F885" t="s">
        <v>1227</v>
      </c>
      <c r="G885" t="s">
        <v>2348</v>
      </c>
      <c r="H885">
        <v>2340</v>
      </c>
      <c r="I885">
        <v>2550.6</v>
      </c>
      <c r="J885" t="s">
        <v>3862</v>
      </c>
      <c r="K885">
        <v>1</v>
      </c>
      <c r="L885" t="s">
        <v>2945</v>
      </c>
      <c r="M885" s="19">
        <v>46262</v>
      </c>
      <c r="N885" t="s">
        <v>4610</v>
      </c>
    </row>
    <row r="886" spans="1:14" x14ac:dyDescent="0.3">
      <c r="A886" t="s">
        <v>5338</v>
      </c>
      <c r="B886" t="s">
        <v>5339</v>
      </c>
      <c r="D886" t="s">
        <v>5326</v>
      </c>
      <c r="E886" t="s">
        <v>5327</v>
      </c>
      <c r="F886" t="s">
        <v>1227</v>
      </c>
      <c r="G886" t="s">
        <v>2348</v>
      </c>
      <c r="H886">
        <v>3120</v>
      </c>
      <c r="I886">
        <v>3400.8</v>
      </c>
      <c r="J886" t="s">
        <v>3862</v>
      </c>
      <c r="K886">
        <v>1</v>
      </c>
      <c r="L886" t="s">
        <v>2945</v>
      </c>
      <c r="M886" s="19">
        <v>46262</v>
      </c>
      <c r="N886" t="s">
        <v>4610</v>
      </c>
    </row>
    <row r="887" spans="1:14" x14ac:dyDescent="0.3">
      <c r="A887" t="s">
        <v>5340</v>
      </c>
      <c r="B887" t="s">
        <v>5341</v>
      </c>
      <c r="D887" t="s">
        <v>5326</v>
      </c>
      <c r="E887" t="s">
        <v>5327</v>
      </c>
      <c r="F887" t="s">
        <v>1227</v>
      </c>
      <c r="G887" t="s">
        <v>2348</v>
      </c>
      <c r="H887">
        <v>3900</v>
      </c>
      <c r="I887">
        <v>4251</v>
      </c>
      <c r="J887" t="s">
        <v>3862</v>
      </c>
      <c r="K887">
        <v>1</v>
      </c>
      <c r="L887" t="s">
        <v>2945</v>
      </c>
      <c r="M887" s="19">
        <v>46262</v>
      </c>
      <c r="N887" t="s">
        <v>4610</v>
      </c>
    </row>
    <row r="888" spans="1:14" x14ac:dyDescent="0.3">
      <c r="A888" t="s">
        <v>5342</v>
      </c>
      <c r="B888" t="s">
        <v>5343</v>
      </c>
      <c r="D888" t="s">
        <v>5326</v>
      </c>
      <c r="E888" t="s">
        <v>5327</v>
      </c>
      <c r="F888" t="s">
        <v>1227</v>
      </c>
      <c r="G888" t="s">
        <v>2348</v>
      </c>
      <c r="H888">
        <v>4680</v>
      </c>
      <c r="I888">
        <v>5101.2</v>
      </c>
      <c r="J888" t="s">
        <v>3862</v>
      </c>
      <c r="K888">
        <v>1</v>
      </c>
      <c r="L888" t="s">
        <v>2945</v>
      </c>
      <c r="M888" s="19">
        <v>46262</v>
      </c>
      <c r="N888" t="s">
        <v>4610</v>
      </c>
    </row>
    <row r="889" spans="1:14" x14ac:dyDescent="0.3">
      <c r="A889" t="s">
        <v>5344</v>
      </c>
      <c r="B889" t="s">
        <v>5345</v>
      </c>
      <c r="C889" t="s">
        <v>5346</v>
      </c>
      <c r="D889" t="s">
        <v>4563</v>
      </c>
      <c r="E889" t="s">
        <v>4564</v>
      </c>
      <c r="F889" t="s">
        <v>1227</v>
      </c>
      <c r="G889" t="s">
        <v>2348</v>
      </c>
      <c r="H889">
        <v>12093.16</v>
      </c>
      <c r="I889">
        <v>12697.82</v>
      </c>
      <c r="J889" t="s">
        <v>3862</v>
      </c>
      <c r="K889">
        <v>1</v>
      </c>
      <c r="L889" t="s">
        <v>2945</v>
      </c>
      <c r="M889" s="19">
        <v>46262</v>
      </c>
      <c r="N889" t="s">
        <v>4565</v>
      </c>
    </row>
    <row r="890" spans="1:14" x14ac:dyDescent="0.3">
      <c r="A890" t="s">
        <v>5347</v>
      </c>
      <c r="B890" t="s">
        <v>5348</v>
      </c>
      <c r="C890" t="s">
        <v>5349</v>
      </c>
      <c r="D890" t="s">
        <v>4563</v>
      </c>
      <c r="E890" t="s">
        <v>4564</v>
      </c>
      <c r="F890" t="s">
        <v>1227</v>
      </c>
      <c r="G890" t="s">
        <v>2348</v>
      </c>
      <c r="H890">
        <v>28961.42</v>
      </c>
      <c r="I890">
        <v>30409.49</v>
      </c>
      <c r="J890" t="s">
        <v>3862</v>
      </c>
      <c r="K890">
        <v>1</v>
      </c>
      <c r="L890" t="s">
        <v>2945</v>
      </c>
      <c r="M890" s="19">
        <v>46262</v>
      </c>
      <c r="N890" t="s">
        <v>4565</v>
      </c>
    </row>
    <row r="891" spans="1:14" x14ac:dyDescent="0.3">
      <c r="A891" t="s">
        <v>5350</v>
      </c>
      <c r="B891" t="s">
        <v>5351</v>
      </c>
      <c r="C891" t="s">
        <v>5352</v>
      </c>
      <c r="D891" t="s">
        <v>4563</v>
      </c>
      <c r="E891" t="s">
        <v>4564</v>
      </c>
      <c r="F891" t="s">
        <v>1227</v>
      </c>
      <c r="G891" t="s">
        <v>2348</v>
      </c>
      <c r="H891">
        <v>23427.5</v>
      </c>
      <c r="I891">
        <v>24598.87</v>
      </c>
      <c r="J891" t="s">
        <v>3862</v>
      </c>
      <c r="K891">
        <v>1</v>
      </c>
      <c r="L891" t="s">
        <v>2945</v>
      </c>
      <c r="M891" s="19">
        <v>46262</v>
      </c>
      <c r="N891" t="s">
        <v>4565</v>
      </c>
    </row>
    <row r="892" spans="1:14" x14ac:dyDescent="0.3">
      <c r="A892" t="s">
        <v>5353</v>
      </c>
      <c r="B892" t="s">
        <v>5354</v>
      </c>
      <c r="C892" t="s">
        <v>5355</v>
      </c>
      <c r="D892" t="s">
        <v>4563</v>
      </c>
      <c r="E892" t="s">
        <v>4564</v>
      </c>
      <c r="F892" t="s">
        <v>1227</v>
      </c>
      <c r="G892" t="s">
        <v>2348</v>
      </c>
      <c r="H892">
        <v>2808.54</v>
      </c>
      <c r="I892">
        <v>2948.97</v>
      </c>
      <c r="J892" t="s">
        <v>3862</v>
      </c>
      <c r="K892">
        <v>1</v>
      </c>
      <c r="L892" t="s">
        <v>2945</v>
      </c>
      <c r="M892" s="19">
        <v>46262</v>
      </c>
      <c r="N892" t="s">
        <v>4565</v>
      </c>
    </row>
    <row r="893" spans="1:14" x14ac:dyDescent="0.3">
      <c r="A893" t="s">
        <v>5356</v>
      </c>
      <c r="B893" t="s">
        <v>5357</v>
      </c>
      <c r="C893" t="s">
        <v>5358</v>
      </c>
      <c r="D893" t="s">
        <v>4563</v>
      </c>
      <c r="E893" t="s">
        <v>4564</v>
      </c>
      <c r="F893" t="s">
        <v>1227</v>
      </c>
      <c r="G893" t="s">
        <v>2348</v>
      </c>
      <c r="H893">
        <v>2808.54</v>
      </c>
      <c r="I893">
        <v>2948.97</v>
      </c>
      <c r="J893" t="s">
        <v>3862</v>
      </c>
      <c r="K893">
        <v>1</v>
      </c>
      <c r="L893" t="s">
        <v>2945</v>
      </c>
      <c r="M893" s="19">
        <v>46262</v>
      </c>
      <c r="N893" t="s">
        <v>4565</v>
      </c>
    </row>
    <row r="894" spans="1:14" x14ac:dyDescent="0.3">
      <c r="A894" t="s">
        <v>5359</v>
      </c>
      <c r="B894" t="s">
        <v>5360</v>
      </c>
      <c r="C894" t="s">
        <v>5361</v>
      </c>
      <c r="D894" t="s">
        <v>4608</v>
      </c>
      <c r="E894" t="s">
        <v>4609</v>
      </c>
      <c r="F894" t="s">
        <v>1227</v>
      </c>
      <c r="G894" t="s">
        <v>2348</v>
      </c>
      <c r="H894">
        <v>126.68</v>
      </c>
      <c r="I894">
        <v>133.01</v>
      </c>
      <c r="J894" t="s">
        <v>3862</v>
      </c>
      <c r="K894">
        <v>1</v>
      </c>
      <c r="L894" t="s">
        <v>2945</v>
      </c>
      <c r="M894" s="19">
        <v>46262</v>
      </c>
      <c r="N894" t="s">
        <v>4610</v>
      </c>
    </row>
    <row r="895" spans="1:14" x14ac:dyDescent="0.3">
      <c r="A895" t="s">
        <v>5362</v>
      </c>
      <c r="B895" t="s">
        <v>5363</v>
      </c>
      <c r="D895" t="s">
        <v>4780</v>
      </c>
      <c r="E895" t="s">
        <v>4564</v>
      </c>
      <c r="F895" t="s">
        <v>1227</v>
      </c>
      <c r="G895" t="s">
        <v>2348</v>
      </c>
      <c r="H895">
        <v>40.64</v>
      </c>
      <c r="I895">
        <v>42.67</v>
      </c>
      <c r="J895" t="s">
        <v>3862</v>
      </c>
      <c r="K895">
        <v>1</v>
      </c>
      <c r="L895" t="s">
        <v>2945</v>
      </c>
      <c r="M895" s="19">
        <v>46262</v>
      </c>
      <c r="N895" t="s">
        <v>4565</v>
      </c>
    </row>
    <row r="896" spans="1:14" x14ac:dyDescent="0.3">
      <c r="A896" t="s">
        <v>5364</v>
      </c>
      <c r="B896" t="s">
        <v>2456</v>
      </c>
      <c r="C896" t="s">
        <v>5365</v>
      </c>
      <c r="D896" t="s">
        <v>4608</v>
      </c>
      <c r="E896" t="s">
        <v>4609</v>
      </c>
      <c r="F896" t="s">
        <v>1227</v>
      </c>
      <c r="G896" t="s">
        <v>2348</v>
      </c>
      <c r="H896">
        <v>343.82</v>
      </c>
      <c r="I896">
        <v>361.01</v>
      </c>
      <c r="J896" t="s">
        <v>3862</v>
      </c>
      <c r="K896">
        <v>1</v>
      </c>
      <c r="L896" t="s">
        <v>2945</v>
      </c>
      <c r="M896" s="19">
        <v>46262</v>
      </c>
      <c r="N896" t="s">
        <v>4610</v>
      </c>
    </row>
    <row r="897" spans="1:14" x14ac:dyDescent="0.3">
      <c r="A897" t="s">
        <v>5366</v>
      </c>
      <c r="B897" t="s">
        <v>5367</v>
      </c>
      <c r="D897" t="s">
        <v>5326</v>
      </c>
      <c r="E897" t="s">
        <v>5327</v>
      </c>
      <c r="F897" t="s">
        <v>1227</v>
      </c>
      <c r="G897" t="s">
        <v>2348</v>
      </c>
      <c r="H897">
        <v>279</v>
      </c>
      <c r="I897">
        <v>304.11</v>
      </c>
      <c r="J897" t="s">
        <v>3862</v>
      </c>
      <c r="K897">
        <v>1</v>
      </c>
      <c r="L897" t="s">
        <v>2945</v>
      </c>
      <c r="M897" s="19">
        <v>46262</v>
      </c>
      <c r="N897" t="s">
        <v>4610</v>
      </c>
    </row>
    <row r="898" spans="1:14" x14ac:dyDescent="0.3">
      <c r="A898" t="s">
        <v>5368</v>
      </c>
      <c r="B898" t="s">
        <v>5369</v>
      </c>
      <c r="D898" t="s">
        <v>4780</v>
      </c>
      <c r="E898" t="s">
        <v>4564</v>
      </c>
      <c r="F898" t="s">
        <v>1227</v>
      </c>
      <c r="G898" t="s">
        <v>2348</v>
      </c>
      <c r="H898">
        <v>469.67</v>
      </c>
      <c r="I898">
        <v>493.15</v>
      </c>
      <c r="J898" t="s">
        <v>3862</v>
      </c>
      <c r="K898">
        <v>1</v>
      </c>
      <c r="L898" t="s">
        <v>2945</v>
      </c>
      <c r="M898" s="19">
        <v>46262</v>
      </c>
      <c r="N898" t="s">
        <v>4565</v>
      </c>
    </row>
    <row r="899" spans="1:14" x14ac:dyDescent="0.3">
      <c r="A899" t="s">
        <v>5370</v>
      </c>
      <c r="B899" t="s">
        <v>5371</v>
      </c>
      <c r="D899" t="s">
        <v>5326</v>
      </c>
      <c r="E899" t="s">
        <v>5327</v>
      </c>
      <c r="F899" t="s">
        <v>1227</v>
      </c>
      <c r="G899" t="s">
        <v>2348</v>
      </c>
      <c r="H899">
        <v>490</v>
      </c>
      <c r="I899">
        <v>534.1</v>
      </c>
      <c r="J899" t="s">
        <v>3862</v>
      </c>
      <c r="K899">
        <v>1</v>
      </c>
      <c r="L899" t="s">
        <v>2945</v>
      </c>
      <c r="M899" s="19">
        <v>46262</v>
      </c>
      <c r="N899" t="s">
        <v>4610</v>
      </c>
    </row>
    <row r="900" spans="1:14" x14ac:dyDescent="0.3">
      <c r="A900" t="s">
        <v>5372</v>
      </c>
      <c r="B900" t="s">
        <v>2453</v>
      </c>
      <c r="C900" t="s">
        <v>5373</v>
      </c>
      <c r="D900" t="s">
        <v>4608</v>
      </c>
      <c r="E900" t="s">
        <v>4609</v>
      </c>
      <c r="F900" t="s">
        <v>1227</v>
      </c>
      <c r="G900" t="s">
        <v>2348</v>
      </c>
      <c r="H900">
        <v>343.46</v>
      </c>
      <c r="I900">
        <v>360.63</v>
      </c>
      <c r="J900" t="s">
        <v>3862</v>
      </c>
      <c r="K900">
        <v>1</v>
      </c>
      <c r="L900" t="s">
        <v>2945</v>
      </c>
      <c r="M900" s="19">
        <v>46262</v>
      </c>
      <c r="N900" t="s">
        <v>4610</v>
      </c>
    </row>
    <row r="901" spans="1:14" x14ac:dyDescent="0.3">
      <c r="A901" t="s">
        <v>5374</v>
      </c>
      <c r="B901" t="s">
        <v>5375</v>
      </c>
      <c r="C901" t="s">
        <v>5376</v>
      </c>
      <c r="D901" t="s">
        <v>4608</v>
      </c>
      <c r="E901" t="s">
        <v>4609</v>
      </c>
      <c r="F901" t="s">
        <v>1227</v>
      </c>
      <c r="G901" t="s">
        <v>2348</v>
      </c>
      <c r="H901">
        <v>398.12</v>
      </c>
      <c r="I901">
        <v>418.03</v>
      </c>
      <c r="J901" t="s">
        <v>3862</v>
      </c>
      <c r="K901">
        <v>1</v>
      </c>
      <c r="L901" t="s">
        <v>2945</v>
      </c>
      <c r="M901" s="19">
        <v>46262</v>
      </c>
      <c r="N901" t="s">
        <v>4610</v>
      </c>
    </row>
    <row r="902" spans="1:14" x14ac:dyDescent="0.3">
      <c r="A902" t="s">
        <v>5377</v>
      </c>
      <c r="B902" t="s">
        <v>5378</v>
      </c>
      <c r="C902" t="s">
        <v>5379</v>
      </c>
      <c r="D902" t="s">
        <v>4608</v>
      </c>
      <c r="E902" t="s">
        <v>4609</v>
      </c>
      <c r="F902" t="s">
        <v>1227</v>
      </c>
      <c r="G902" t="s">
        <v>2348</v>
      </c>
      <c r="H902">
        <v>585.1</v>
      </c>
      <c r="I902">
        <v>614.36</v>
      </c>
      <c r="J902" t="s">
        <v>3862</v>
      </c>
      <c r="K902">
        <v>1</v>
      </c>
      <c r="L902" t="s">
        <v>2945</v>
      </c>
      <c r="M902" s="19">
        <v>46262</v>
      </c>
      <c r="N902" t="s">
        <v>4610</v>
      </c>
    </row>
    <row r="903" spans="1:14" x14ac:dyDescent="0.3">
      <c r="A903" t="s">
        <v>5380</v>
      </c>
      <c r="B903" t="s">
        <v>2435</v>
      </c>
      <c r="C903" t="s">
        <v>5381</v>
      </c>
      <c r="D903" t="s">
        <v>4608</v>
      </c>
      <c r="E903" t="s">
        <v>4609</v>
      </c>
      <c r="F903" t="s">
        <v>1227</v>
      </c>
      <c r="G903" t="s">
        <v>2348</v>
      </c>
      <c r="H903">
        <v>343.82</v>
      </c>
      <c r="I903">
        <v>361.01</v>
      </c>
      <c r="J903" t="s">
        <v>3862</v>
      </c>
      <c r="K903">
        <v>1</v>
      </c>
      <c r="L903" t="s">
        <v>2945</v>
      </c>
      <c r="M903" s="19">
        <v>46262</v>
      </c>
      <c r="N903" t="s">
        <v>4610</v>
      </c>
    </row>
    <row r="904" spans="1:14" x14ac:dyDescent="0.3">
      <c r="A904" t="s">
        <v>5382</v>
      </c>
      <c r="B904" t="s">
        <v>5383</v>
      </c>
      <c r="D904" t="s">
        <v>4969</v>
      </c>
      <c r="E904" t="s">
        <v>4969</v>
      </c>
      <c r="F904" t="s">
        <v>1227</v>
      </c>
      <c r="G904" t="s">
        <v>2348</v>
      </c>
      <c r="H904">
        <v>2876.27</v>
      </c>
      <c r="I904">
        <v>3020.08</v>
      </c>
      <c r="J904" t="s">
        <v>3862</v>
      </c>
      <c r="K904">
        <v>1</v>
      </c>
      <c r="L904" t="s">
        <v>2945</v>
      </c>
      <c r="M904" s="19">
        <v>46262</v>
      </c>
      <c r="N904" t="s">
        <v>4970</v>
      </c>
    </row>
    <row r="905" spans="1:14" x14ac:dyDescent="0.3">
      <c r="A905" t="s">
        <v>5384</v>
      </c>
      <c r="B905" t="s">
        <v>5385</v>
      </c>
      <c r="C905" t="s">
        <v>5386</v>
      </c>
      <c r="D905" t="s">
        <v>4608</v>
      </c>
      <c r="E905" t="s">
        <v>4609</v>
      </c>
      <c r="F905" t="s">
        <v>1227</v>
      </c>
      <c r="G905" t="s">
        <v>2348</v>
      </c>
      <c r="H905">
        <v>3504.6</v>
      </c>
      <c r="I905">
        <v>3679.83</v>
      </c>
      <c r="J905" t="s">
        <v>3862</v>
      </c>
      <c r="K905">
        <v>1</v>
      </c>
      <c r="L905" t="s">
        <v>2945</v>
      </c>
      <c r="M905" s="19">
        <v>46262</v>
      </c>
      <c r="N905" t="s">
        <v>4610</v>
      </c>
    </row>
    <row r="906" spans="1:14" x14ac:dyDescent="0.3">
      <c r="A906" t="s">
        <v>5387</v>
      </c>
      <c r="B906" t="s">
        <v>5388</v>
      </c>
      <c r="D906" t="s">
        <v>5326</v>
      </c>
      <c r="E906" t="s">
        <v>5327</v>
      </c>
      <c r="F906" t="s">
        <v>1227</v>
      </c>
      <c r="G906" t="s">
        <v>2348</v>
      </c>
      <c r="H906">
        <v>2975</v>
      </c>
      <c r="I906">
        <v>3242.75</v>
      </c>
      <c r="J906" t="s">
        <v>3862</v>
      </c>
      <c r="K906">
        <v>1</v>
      </c>
      <c r="L906" t="s">
        <v>2945</v>
      </c>
      <c r="M906" s="19">
        <v>46262</v>
      </c>
      <c r="N906" t="s">
        <v>4610</v>
      </c>
    </row>
    <row r="907" spans="1:14" x14ac:dyDescent="0.3">
      <c r="A907" t="s">
        <v>5389</v>
      </c>
      <c r="B907" t="s">
        <v>5390</v>
      </c>
      <c r="D907" t="s">
        <v>5326</v>
      </c>
      <c r="E907" t="s">
        <v>5327</v>
      </c>
      <c r="F907" t="s">
        <v>1227</v>
      </c>
      <c r="G907" t="s">
        <v>2348</v>
      </c>
      <c r="H907">
        <v>4240</v>
      </c>
      <c r="I907">
        <v>4621.6000000000004</v>
      </c>
      <c r="J907" t="s">
        <v>3862</v>
      </c>
      <c r="K907">
        <v>1</v>
      </c>
      <c r="L907" t="s">
        <v>2945</v>
      </c>
      <c r="M907" s="19">
        <v>46262</v>
      </c>
      <c r="N907" t="s">
        <v>4610</v>
      </c>
    </row>
    <row r="908" spans="1:14" x14ac:dyDescent="0.3">
      <c r="A908" t="s">
        <v>5391</v>
      </c>
      <c r="B908" t="s">
        <v>5392</v>
      </c>
      <c r="D908" t="s">
        <v>5326</v>
      </c>
      <c r="E908" t="s">
        <v>5327</v>
      </c>
      <c r="F908" t="s">
        <v>1227</v>
      </c>
      <c r="G908" t="s">
        <v>2348</v>
      </c>
      <c r="H908">
        <v>5685</v>
      </c>
      <c r="I908">
        <v>6196.65</v>
      </c>
      <c r="J908" t="s">
        <v>3862</v>
      </c>
      <c r="K908">
        <v>1</v>
      </c>
      <c r="L908" t="s">
        <v>2945</v>
      </c>
      <c r="M908" s="19">
        <v>46262</v>
      </c>
      <c r="N908" t="s">
        <v>4610</v>
      </c>
    </row>
    <row r="909" spans="1:14" x14ac:dyDescent="0.3">
      <c r="A909" t="s">
        <v>5393</v>
      </c>
      <c r="B909" t="s">
        <v>5394</v>
      </c>
      <c r="D909" t="s">
        <v>5326</v>
      </c>
      <c r="E909" t="s">
        <v>5327</v>
      </c>
      <c r="F909" t="s">
        <v>1227</v>
      </c>
      <c r="G909" t="s">
        <v>2348</v>
      </c>
      <c r="H909">
        <v>8395</v>
      </c>
      <c r="I909">
        <v>9150.5499999999993</v>
      </c>
      <c r="J909" t="s">
        <v>3862</v>
      </c>
      <c r="K909">
        <v>1</v>
      </c>
      <c r="L909" t="s">
        <v>2945</v>
      </c>
      <c r="M909" s="19">
        <v>46262</v>
      </c>
      <c r="N909" t="s">
        <v>4610</v>
      </c>
    </row>
    <row r="910" spans="1:14" x14ac:dyDescent="0.3">
      <c r="A910" t="s">
        <v>5395</v>
      </c>
      <c r="B910" t="s">
        <v>5396</v>
      </c>
      <c r="D910" t="s">
        <v>5326</v>
      </c>
      <c r="E910" t="s">
        <v>5327</v>
      </c>
      <c r="F910" t="s">
        <v>1227</v>
      </c>
      <c r="G910" t="s">
        <v>2348</v>
      </c>
      <c r="H910">
        <v>3728</v>
      </c>
      <c r="I910">
        <v>4063.52</v>
      </c>
      <c r="J910" t="s">
        <v>3862</v>
      </c>
      <c r="K910">
        <v>1</v>
      </c>
      <c r="L910" t="s">
        <v>2945</v>
      </c>
      <c r="M910" s="19">
        <v>46262</v>
      </c>
      <c r="N910" t="s">
        <v>4610</v>
      </c>
    </row>
    <row r="911" spans="1:14" x14ac:dyDescent="0.3">
      <c r="A911" t="s">
        <v>5397</v>
      </c>
      <c r="B911" t="s">
        <v>5398</v>
      </c>
      <c r="D911" t="s">
        <v>4780</v>
      </c>
      <c r="E911" t="s">
        <v>4564</v>
      </c>
      <c r="F911" t="s">
        <v>1227</v>
      </c>
      <c r="G911" t="s">
        <v>2348</v>
      </c>
      <c r="H911">
        <v>380.83</v>
      </c>
      <c r="I911">
        <v>399.88</v>
      </c>
      <c r="J911" t="s">
        <v>3862</v>
      </c>
      <c r="K911">
        <v>1</v>
      </c>
      <c r="L911" t="s">
        <v>2945</v>
      </c>
      <c r="M911" s="19">
        <v>46262</v>
      </c>
      <c r="N911" t="s">
        <v>4565</v>
      </c>
    </row>
    <row r="912" spans="1:14" x14ac:dyDescent="0.3">
      <c r="A912" t="s">
        <v>5399</v>
      </c>
      <c r="B912" t="s">
        <v>5400</v>
      </c>
      <c r="D912" t="s">
        <v>4780</v>
      </c>
      <c r="E912" t="s">
        <v>4564</v>
      </c>
      <c r="F912" t="s">
        <v>1227</v>
      </c>
      <c r="G912" t="s">
        <v>2348</v>
      </c>
      <c r="H912">
        <v>621.80999999999995</v>
      </c>
      <c r="I912">
        <v>652.9</v>
      </c>
      <c r="J912" t="s">
        <v>3862</v>
      </c>
      <c r="K912">
        <v>1</v>
      </c>
      <c r="L912" t="s">
        <v>2945</v>
      </c>
      <c r="M912" s="19">
        <v>46262</v>
      </c>
      <c r="N912" t="s">
        <v>4565</v>
      </c>
    </row>
    <row r="913" spans="1:14" x14ac:dyDescent="0.3">
      <c r="A913" t="s">
        <v>5401</v>
      </c>
      <c r="B913" t="s">
        <v>5402</v>
      </c>
      <c r="D913" t="s">
        <v>4780</v>
      </c>
      <c r="E913" t="s">
        <v>4564</v>
      </c>
      <c r="F913" t="s">
        <v>1227</v>
      </c>
      <c r="G913" t="s">
        <v>2348</v>
      </c>
      <c r="H913">
        <v>621.80999999999995</v>
      </c>
      <c r="I913">
        <v>652.9</v>
      </c>
      <c r="J913" t="s">
        <v>3862</v>
      </c>
      <c r="K913">
        <v>1</v>
      </c>
      <c r="L913" t="s">
        <v>2945</v>
      </c>
      <c r="M913" s="19">
        <v>46262</v>
      </c>
      <c r="N913" t="s">
        <v>4565</v>
      </c>
    </row>
    <row r="914" spans="1:14" x14ac:dyDescent="0.3">
      <c r="A914" t="s">
        <v>5403</v>
      </c>
      <c r="B914" t="s">
        <v>5404</v>
      </c>
      <c r="D914" t="s">
        <v>4780</v>
      </c>
      <c r="E914" t="s">
        <v>4564</v>
      </c>
      <c r="F914" t="s">
        <v>1227</v>
      </c>
      <c r="G914" t="s">
        <v>2348</v>
      </c>
      <c r="H914">
        <v>388.39</v>
      </c>
      <c r="I914">
        <v>407.81</v>
      </c>
      <c r="J914" t="s">
        <v>3862</v>
      </c>
      <c r="K914">
        <v>1</v>
      </c>
      <c r="L914" t="s">
        <v>2945</v>
      </c>
      <c r="M914" s="19">
        <v>46262</v>
      </c>
      <c r="N914" t="s">
        <v>4565</v>
      </c>
    </row>
    <row r="915" spans="1:14" x14ac:dyDescent="0.3">
      <c r="A915" t="s">
        <v>5405</v>
      </c>
      <c r="B915" t="s">
        <v>5406</v>
      </c>
      <c r="D915" t="s">
        <v>4780</v>
      </c>
      <c r="E915" t="s">
        <v>4564</v>
      </c>
      <c r="F915" t="s">
        <v>1227</v>
      </c>
      <c r="G915" t="s">
        <v>2348</v>
      </c>
      <c r="H915">
        <v>388.39</v>
      </c>
      <c r="I915">
        <v>407.81</v>
      </c>
      <c r="J915" t="s">
        <v>3862</v>
      </c>
      <c r="K915">
        <v>1</v>
      </c>
      <c r="L915" t="s">
        <v>2945</v>
      </c>
      <c r="M915" s="19">
        <v>46262</v>
      </c>
      <c r="N915" t="s">
        <v>4565</v>
      </c>
    </row>
    <row r="916" spans="1:14" x14ac:dyDescent="0.3">
      <c r="A916" t="s">
        <v>5407</v>
      </c>
      <c r="B916" t="s">
        <v>5408</v>
      </c>
      <c r="C916" t="s">
        <v>5409</v>
      </c>
      <c r="D916" t="s">
        <v>4563</v>
      </c>
      <c r="E916" t="s">
        <v>4564</v>
      </c>
      <c r="F916" t="s">
        <v>1227</v>
      </c>
      <c r="G916" t="s">
        <v>2348</v>
      </c>
      <c r="H916">
        <v>41035.68</v>
      </c>
      <c r="I916">
        <v>43087.46</v>
      </c>
      <c r="J916" t="s">
        <v>3862</v>
      </c>
      <c r="K916">
        <v>1</v>
      </c>
      <c r="L916" t="s">
        <v>2945</v>
      </c>
      <c r="M916" s="19">
        <v>46262</v>
      </c>
      <c r="N916" t="s">
        <v>4565</v>
      </c>
    </row>
    <row r="917" spans="1:14" x14ac:dyDescent="0.3">
      <c r="A917" t="s">
        <v>5410</v>
      </c>
      <c r="B917" t="s">
        <v>5411</v>
      </c>
      <c r="C917" t="s">
        <v>5412</v>
      </c>
      <c r="D917" t="s">
        <v>4608</v>
      </c>
      <c r="E917" t="s">
        <v>4609</v>
      </c>
      <c r="F917" t="s">
        <v>1227</v>
      </c>
      <c r="G917" t="s">
        <v>2348</v>
      </c>
      <c r="H917">
        <v>1806.92</v>
      </c>
      <c r="I917">
        <v>1897.27</v>
      </c>
      <c r="J917" t="s">
        <v>3862</v>
      </c>
      <c r="K917">
        <v>1</v>
      </c>
      <c r="L917" t="s">
        <v>2945</v>
      </c>
      <c r="M917" s="19">
        <v>46262</v>
      </c>
      <c r="N917" t="s">
        <v>4610</v>
      </c>
    </row>
    <row r="918" spans="1:14" x14ac:dyDescent="0.3">
      <c r="A918" t="s">
        <v>5413</v>
      </c>
      <c r="B918" t="s">
        <v>5414</v>
      </c>
      <c r="C918" t="s">
        <v>5415</v>
      </c>
      <c r="D918" t="s">
        <v>4608</v>
      </c>
      <c r="E918" t="s">
        <v>4609</v>
      </c>
      <c r="F918" t="s">
        <v>1227</v>
      </c>
      <c r="G918" t="s">
        <v>2348</v>
      </c>
      <c r="H918">
        <v>3709.68</v>
      </c>
      <c r="I918">
        <v>3895.16</v>
      </c>
      <c r="J918" t="s">
        <v>3862</v>
      </c>
      <c r="K918">
        <v>1</v>
      </c>
      <c r="L918" t="s">
        <v>2945</v>
      </c>
      <c r="M918" s="19">
        <v>46262</v>
      </c>
      <c r="N918" t="s">
        <v>4610</v>
      </c>
    </row>
    <row r="919" spans="1:14" x14ac:dyDescent="0.3">
      <c r="A919" t="s">
        <v>5416</v>
      </c>
      <c r="B919" t="s">
        <v>5414</v>
      </c>
      <c r="C919" t="s">
        <v>5415</v>
      </c>
      <c r="D919" t="s">
        <v>4608</v>
      </c>
      <c r="E919" t="s">
        <v>4609</v>
      </c>
      <c r="F919" t="s">
        <v>1227</v>
      </c>
      <c r="G919" t="s">
        <v>2348</v>
      </c>
      <c r="H919">
        <v>3709.68</v>
      </c>
      <c r="I919">
        <v>3895.16</v>
      </c>
      <c r="J919" t="s">
        <v>3862</v>
      </c>
      <c r="K919">
        <v>1</v>
      </c>
      <c r="L919" t="s">
        <v>2945</v>
      </c>
      <c r="M919" s="19">
        <v>46262</v>
      </c>
      <c r="N919" t="s">
        <v>4610</v>
      </c>
    </row>
    <row r="920" spans="1:14" x14ac:dyDescent="0.3">
      <c r="A920" t="s">
        <v>5417</v>
      </c>
      <c r="B920" t="s">
        <v>5418</v>
      </c>
      <c r="C920" t="s">
        <v>5419</v>
      </c>
      <c r="D920" t="s">
        <v>4608</v>
      </c>
      <c r="E920" t="s">
        <v>4609</v>
      </c>
      <c r="F920" t="s">
        <v>1227</v>
      </c>
      <c r="G920" t="s">
        <v>2348</v>
      </c>
      <c r="H920">
        <v>5386.6</v>
      </c>
      <c r="I920">
        <v>5655.93</v>
      </c>
      <c r="J920" t="s">
        <v>3862</v>
      </c>
      <c r="K920">
        <v>1</v>
      </c>
      <c r="L920" t="s">
        <v>2945</v>
      </c>
      <c r="M920" s="19">
        <v>46262</v>
      </c>
      <c r="N920" t="s">
        <v>4610</v>
      </c>
    </row>
    <row r="921" spans="1:14" x14ac:dyDescent="0.3">
      <c r="A921" t="s">
        <v>5420</v>
      </c>
      <c r="B921" t="s">
        <v>5418</v>
      </c>
      <c r="C921" t="s">
        <v>5419</v>
      </c>
      <c r="D921" t="s">
        <v>4608</v>
      </c>
      <c r="E921" t="s">
        <v>4609</v>
      </c>
      <c r="F921" t="s">
        <v>1227</v>
      </c>
      <c r="G921" t="s">
        <v>2348</v>
      </c>
      <c r="H921">
        <v>5386.6</v>
      </c>
      <c r="I921">
        <v>5655.93</v>
      </c>
      <c r="J921" t="s">
        <v>3862</v>
      </c>
      <c r="K921">
        <v>1</v>
      </c>
      <c r="L921" t="s">
        <v>2945</v>
      </c>
      <c r="M921" s="19">
        <v>46262</v>
      </c>
      <c r="N921" t="s">
        <v>4610</v>
      </c>
    </row>
    <row r="922" spans="1:14" x14ac:dyDescent="0.3">
      <c r="A922" t="s">
        <v>5421</v>
      </c>
      <c r="B922" t="s">
        <v>5422</v>
      </c>
      <c r="D922" t="s">
        <v>4780</v>
      </c>
      <c r="E922" t="s">
        <v>4564</v>
      </c>
      <c r="F922" t="s">
        <v>1227</v>
      </c>
      <c r="G922" t="s">
        <v>2348</v>
      </c>
      <c r="H922">
        <v>223.02</v>
      </c>
      <c r="I922">
        <v>234.17</v>
      </c>
      <c r="J922" t="s">
        <v>3862</v>
      </c>
      <c r="K922">
        <v>1</v>
      </c>
      <c r="L922" t="s">
        <v>2945</v>
      </c>
      <c r="M922" s="19">
        <v>46262</v>
      </c>
      <c r="N922" t="s">
        <v>4565</v>
      </c>
    </row>
    <row r="923" spans="1:14" x14ac:dyDescent="0.3">
      <c r="A923" t="s">
        <v>5423</v>
      </c>
      <c r="B923" t="s">
        <v>5424</v>
      </c>
      <c r="D923" t="s">
        <v>4780</v>
      </c>
      <c r="E923" t="s">
        <v>4564</v>
      </c>
      <c r="F923" t="s">
        <v>1227</v>
      </c>
      <c r="G923" t="s">
        <v>2348</v>
      </c>
      <c r="H923">
        <v>1507.28</v>
      </c>
      <c r="I923">
        <v>1582.64</v>
      </c>
      <c r="J923" t="s">
        <v>3862</v>
      </c>
      <c r="K923">
        <v>1</v>
      </c>
      <c r="L923" t="s">
        <v>2945</v>
      </c>
      <c r="M923" s="19">
        <v>46262</v>
      </c>
      <c r="N923" t="s">
        <v>4565</v>
      </c>
    </row>
    <row r="924" spans="1:14" x14ac:dyDescent="0.3">
      <c r="A924" t="s">
        <v>5425</v>
      </c>
      <c r="B924" t="s">
        <v>5426</v>
      </c>
      <c r="D924" t="s">
        <v>4780</v>
      </c>
      <c r="E924" t="s">
        <v>4564</v>
      </c>
      <c r="F924" t="s">
        <v>1227</v>
      </c>
      <c r="G924" t="s">
        <v>2348</v>
      </c>
      <c r="H924">
        <v>3014.55</v>
      </c>
      <c r="I924">
        <v>3165.28</v>
      </c>
      <c r="J924" t="s">
        <v>3862</v>
      </c>
      <c r="K924">
        <v>1</v>
      </c>
      <c r="L924" t="s">
        <v>2945</v>
      </c>
      <c r="M924" s="19">
        <v>46262</v>
      </c>
      <c r="N924" t="s">
        <v>4565</v>
      </c>
    </row>
    <row r="925" spans="1:14" x14ac:dyDescent="0.3">
      <c r="A925" t="s">
        <v>5427</v>
      </c>
      <c r="B925" t="s">
        <v>5428</v>
      </c>
      <c r="D925" t="s">
        <v>4780</v>
      </c>
      <c r="E925" t="s">
        <v>4564</v>
      </c>
      <c r="F925" t="s">
        <v>1227</v>
      </c>
      <c r="G925" t="s">
        <v>2348</v>
      </c>
      <c r="H925">
        <v>4521.82</v>
      </c>
      <c r="I925">
        <v>4747.92</v>
      </c>
      <c r="J925" t="s">
        <v>3862</v>
      </c>
      <c r="K925">
        <v>1</v>
      </c>
      <c r="L925" t="s">
        <v>2945</v>
      </c>
      <c r="M925" s="19">
        <v>46262</v>
      </c>
      <c r="N925" t="s">
        <v>4565</v>
      </c>
    </row>
    <row r="926" spans="1:14" x14ac:dyDescent="0.3">
      <c r="A926" t="s">
        <v>5429</v>
      </c>
      <c r="B926" t="s">
        <v>5430</v>
      </c>
      <c r="C926" t="s">
        <v>5431</v>
      </c>
      <c r="D926" t="s">
        <v>4563</v>
      </c>
      <c r="E926" t="s">
        <v>4564</v>
      </c>
      <c r="F926" t="s">
        <v>1227</v>
      </c>
      <c r="G926" t="s">
        <v>2344</v>
      </c>
      <c r="H926">
        <v>24049.31</v>
      </c>
      <c r="I926">
        <v>25251.77</v>
      </c>
      <c r="J926" t="s">
        <v>3862</v>
      </c>
      <c r="K926">
        <v>1</v>
      </c>
      <c r="L926" t="s">
        <v>2945</v>
      </c>
      <c r="M926" s="19">
        <v>46262</v>
      </c>
      <c r="N926" t="s">
        <v>4565</v>
      </c>
    </row>
    <row r="927" spans="1:14" x14ac:dyDescent="0.3">
      <c r="A927" t="s">
        <v>5432</v>
      </c>
      <c r="B927" t="s">
        <v>5433</v>
      </c>
      <c r="C927" t="s">
        <v>5434</v>
      </c>
      <c r="D927" t="s">
        <v>4563</v>
      </c>
      <c r="E927" t="s">
        <v>4564</v>
      </c>
      <c r="F927" t="s">
        <v>1227</v>
      </c>
      <c r="G927" t="s">
        <v>2344</v>
      </c>
      <c r="H927">
        <v>17362.490000000002</v>
      </c>
      <c r="I927">
        <v>18230.61</v>
      </c>
      <c r="J927" t="s">
        <v>3862</v>
      </c>
      <c r="K927">
        <v>1</v>
      </c>
      <c r="L927" t="s">
        <v>2945</v>
      </c>
      <c r="M927" s="19">
        <v>46262</v>
      </c>
      <c r="N927" t="s">
        <v>4565</v>
      </c>
    </row>
    <row r="928" spans="1:14" x14ac:dyDescent="0.3">
      <c r="A928" t="s">
        <v>5435</v>
      </c>
      <c r="B928" t="s">
        <v>5436</v>
      </c>
      <c r="C928" t="s">
        <v>5437</v>
      </c>
      <c r="D928" t="s">
        <v>4563</v>
      </c>
      <c r="E928" t="s">
        <v>4564</v>
      </c>
      <c r="F928" t="s">
        <v>1227</v>
      </c>
      <c r="G928" t="s">
        <v>2344</v>
      </c>
      <c r="H928">
        <v>14995.71</v>
      </c>
      <c r="I928">
        <v>15745.5</v>
      </c>
      <c r="J928" t="s">
        <v>3862</v>
      </c>
      <c r="K928">
        <v>1</v>
      </c>
      <c r="L928" t="s">
        <v>2945</v>
      </c>
      <c r="M928" s="19">
        <v>46262</v>
      </c>
      <c r="N928" t="s">
        <v>4565</v>
      </c>
    </row>
    <row r="929" spans="1:14" x14ac:dyDescent="0.3">
      <c r="A929" t="s">
        <v>5438</v>
      </c>
      <c r="B929" t="s">
        <v>5439</v>
      </c>
      <c r="C929" t="s">
        <v>5440</v>
      </c>
      <c r="D929" t="s">
        <v>4563</v>
      </c>
      <c r="E929" t="s">
        <v>4564</v>
      </c>
      <c r="F929" t="s">
        <v>1227</v>
      </c>
      <c r="G929" t="s">
        <v>2344</v>
      </c>
      <c r="H929">
        <v>14995.71</v>
      </c>
      <c r="I929">
        <v>15745.5</v>
      </c>
      <c r="J929" t="s">
        <v>3862</v>
      </c>
      <c r="K929">
        <v>1</v>
      </c>
      <c r="L929" t="s">
        <v>2945</v>
      </c>
      <c r="M929" s="19">
        <v>46262</v>
      </c>
      <c r="N929" t="s">
        <v>4565</v>
      </c>
    </row>
    <row r="930" spans="1:14" x14ac:dyDescent="0.3">
      <c r="A930" t="s">
        <v>5441</v>
      </c>
      <c r="B930" t="s">
        <v>5442</v>
      </c>
      <c r="C930" t="s">
        <v>5443</v>
      </c>
      <c r="D930" t="s">
        <v>4563</v>
      </c>
      <c r="E930" t="s">
        <v>4564</v>
      </c>
      <c r="F930" t="s">
        <v>1227</v>
      </c>
      <c r="G930" t="s">
        <v>2344</v>
      </c>
      <c r="H930">
        <v>14995.71</v>
      </c>
      <c r="I930">
        <v>15745.5</v>
      </c>
      <c r="J930" t="s">
        <v>3862</v>
      </c>
      <c r="K930">
        <v>1</v>
      </c>
      <c r="L930" t="s">
        <v>2945</v>
      </c>
      <c r="M930" s="19">
        <v>46262</v>
      </c>
      <c r="N930" t="s">
        <v>4565</v>
      </c>
    </row>
    <row r="931" spans="1:14" x14ac:dyDescent="0.3">
      <c r="A931" t="s">
        <v>5444</v>
      </c>
      <c r="B931" t="s">
        <v>5445</v>
      </c>
      <c r="C931" t="s">
        <v>5446</v>
      </c>
      <c r="D931" t="s">
        <v>4563</v>
      </c>
      <c r="E931" t="s">
        <v>4564</v>
      </c>
      <c r="F931" t="s">
        <v>1227</v>
      </c>
      <c r="G931" t="s">
        <v>2344</v>
      </c>
      <c r="H931">
        <v>14440.55</v>
      </c>
      <c r="I931">
        <v>15162.57</v>
      </c>
      <c r="J931" t="s">
        <v>3862</v>
      </c>
      <c r="K931">
        <v>1</v>
      </c>
      <c r="L931" t="s">
        <v>2945</v>
      </c>
      <c r="M931" s="19">
        <v>46262</v>
      </c>
      <c r="N931" t="s">
        <v>4565</v>
      </c>
    </row>
    <row r="932" spans="1:14" x14ac:dyDescent="0.3">
      <c r="A932" t="s">
        <v>5447</v>
      </c>
      <c r="B932" t="s">
        <v>5448</v>
      </c>
      <c r="C932" t="s">
        <v>5449</v>
      </c>
      <c r="D932" t="s">
        <v>4563</v>
      </c>
      <c r="E932" t="s">
        <v>4564</v>
      </c>
      <c r="F932" t="s">
        <v>1227</v>
      </c>
      <c r="G932" t="s">
        <v>2344</v>
      </c>
      <c r="H932">
        <v>15524.46</v>
      </c>
      <c r="I932">
        <v>16300.68</v>
      </c>
      <c r="J932" t="s">
        <v>3862</v>
      </c>
      <c r="K932">
        <v>1</v>
      </c>
      <c r="L932" t="s">
        <v>2945</v>
      </c>
      <c r="M932" s="19">
        <v>46262</v>
      </c>
      <c r="N932" t="s">
        <v>4565</v>
      </c>
    </row>
    <row r="933" spans="1:14" x14ac:dyDescent="0.3">
      <c r="A933" t="s">
        <v>5450</v>
      </c>
      <c r="B933" t="s">
        <v>5451</v>
      </c>
      <c r="C933" t="s">
        <v>5452</v>
      </c>
      <c r="D933" t="s">
        <v>4563</v>
      </c>
      <c r="E933" t="s">
        <v>4564</v>
      </c>
      <c r="F933" t="s">
        <v>1227</v>
      </c>
      <c r="G933" t="s">
        <v>2344</v>
      </c>
      <c r="H933">
        <v>15524.46</v>
      </c>
      <c r="I933">
        <v>16300.68</v>
      </c>
      <c r="J933" t="s">
        <v>3862</v>
      </c>
      <c r="K933">
        <v>1</v>
      </c>
      <c r="L933" t="s">
        <v>2945</v>
      </c>
      <c r="M933" s="19">
        <v>46262</v>
      </c>
      <c r="N933" t="s">
        <v>4565</v>
      </c>
    </row>
    <row r="934" spans="1:14" x14ac:dyDescent="0.3">
      <c r="A934" t="s">
        <v>5453</v>
      </c>
      <c r="B934" t="s">
        <v>5454</v>
      </c>
      <c r="C934" t="s">
        <v>5455</v>
      </c>
      <c r="D934" t="s">
        <v>4563</v>
      </c>
      <c r="E934" t="s">
        <v>4564</v>
      </c>
      <c r="F934" t="s">
        <v>1227</v>
      </c>
      <c r="G934" t="s">
        <v>2344</v>
      </c>
      <c r="H934">
        <v>14416.77</v>
      </c>
      <c r="I934">
        <v>15137.61</v>
      </c>
      <c r="J934" t="s">
        <v>3862</v>
      </c>
      <c r="K934">
        <v>1</v>
      </c>
      <c r="L934" t="s">
        <v>2945</v>
      </c>
      <c r="M934" s="19">
        <v>46262</v>
      </c>
      <c r="N934" t="s">
        <v>4565</v>
      </c>
    </row>
    <row r="935" spans="1:14" x14ac:dyDescent="0.3">
      <c r="A935" t="s">
        <v>5456</v>
      </c>
      <c r="B935" t="s">
        <v>5457</v>
      </c>
      <c r="C935" t="s">
        <v>5458</v>
      </c>
      <c r="D935" t="s">
        <v>4563</v>
      </c>
      <c r="E935" t="s">
        <v>4564</v>
      </c>
      <c r="F935" t="s">
        <v>1227</v>
      </c>
      <c r="G935" t="s">
        <v>2344</v>
      </c>
      <c r="H935">
        <v>14416.77</v>
      </c>
      <c r="I935">
        <v>15137.61</v>
      </c>
      <c r="J935" t="s">
        <v>3862</v>
      </c>
      <c r="K935">
        <v>1</v>
      </c>
      <c r="L935" t="s">
        <v>2945</v>
      </c>
      <c r="M935" s="19">
        <v>46262</v>
      </c>
      <c r="N935" t="s">
        <v>4565</v>
      </c>
    </row>
    <row r="936" spans="1:14" x14ac:dyDescent="0.3">
      <c r="A936" t="s">
        <v>5459</v>
      </c>
      <c r="B936" t="s">
        <v>5460</v>
      </c>
      <c r="C936" t="s">
        <v>5461</v>
      </c>
      <c r="D936" t="s">
        <v>4563</v>
      </c>
      <c r="E936" t="s">
        <v>4564</v>
      </c>
      <c r="F936" t="s">
        <v>1227</v>
      </c>
      <c r="G936" t="s">
        <v>2344</v>
      </c>
      <c r="H936">
        <v>15383.73</v>
      </c>
      <c r="I936">
        <v>16152.91</v>
      </c>
      <c r="J936" t="s">
        <v>3862</v>
      </c>
      <c r="K936">
        <v>1</v>
      </c>
      <c r="L936" t="s">
        <v>2945</v>
      </c>
      <c r="M936" s="19">
        <v>46262</v>
      </c>
      <c r="N936" t="s">
        <v>4565</v>
      </c>
    </row>
    <row r="937" spans="1:14" x14ac:dyDescent="0.3">
      <c r="A937" t="s">
        <v>5462</v>
      </c>
      <c r="B937" t="s">
        <v>5463</v>
      </c>
      <c r="C937" t="s">
        <v>5464</v>
      </c>
      <c r="D937" t="s">
        <v>4563</v>
      </c>
      <c r="E937" t="s">
        <v>4564</v>
      </c>
      <c r="F937" t="s">
        <v>1227</v>
      </c>
      <c r="G937" t="s">
        <v>2344</v>
      </c>
      <c r="H937">
        <v>15383.73</v>
      </c>
      <c r="I937">
        <v>16152.91</v>
      </c>
      <c r="J937" t="s">
        <v>3862</v>
      </c>
      <c r="K937">
        <v>1</v>
      </c>
      <c r="L937" t="s">
        <v>2945</v>
      </c>
      <c r="M937" s="19">
        <v>46262</v>
      </c>
      <c r="N937" t="s">
        <v>4565</v>
      </c>
    </row>
    <row r="938" spans="1:14" x14ac:dyDescent="0.3">
      <c r="A938" t="s">
        <v>5465</v>
      </c>
      <c r="B938" t="s">
        <v>5466</v>
      </c>
      <c r="C938" t="s">
        <v>5467</v>
      </c>
      <c r="D938" t="s">
        <v>4563</v>
      </c>
      <c r="E938" t="s">
        <v>4564</v>
      </c>
      <c r="F938" t="s">
        <v>1227</v>
      </c>
      <c r="G938" t="s">
        <v>2344</v>
      </c>
      <c r="H938">
        <v>13214.88</v>
      </c>
      <c r="I938">
        <v>13875.62</v>
      </c>
      <c r="J938" t="s">
        <v>3862</v>
      </c>
      <c r="K938">
        <v>1</v>
      </c>
      <c r="L938" t="s">
        <v>2945</v>
      </c>
      <c r="M938" s="19">
        <v>46262</v>
      </c>
      <c r="N938" t="s">
        <v>4565</v>
      </c>
    </row>
    <row r="939" spans="1:14" x14ac:dyDescent="0.3">
      <c r="A939" t="s">
        <v>5468</v>
      </c>
      <c r="B939" t="s">
        <v>5469</v>
      </c>
      <c r="C939" t="s">
        <v>5470</v>
      </c>
      <c r="D939" t="s">
        <v>4563</v>
      </c>
      <c r="E939" t="s">
        <v>4564</v>
      </c>
      <c r="F939" t="s">
        <v>1227</v>
      </c>
      <c r="G939" t="s">
        <v>2344</v>
      </c>
      <c r="H939">
        <v>13214.88</v>
      </c>
      <c r="I939">
        <v>13875.62</v>
      </c>
      <c r="J939" t="s">
        <v>3862</v>
      </c>
      <c r="K939">
        <v>1</v>
      </c>
      <c r="L939" t="s">
        <v>2945</v>
      </c>
      <c r="M939" s="19">
        <v>46262</v>
      </c>
      <c r="N939" t="s">
        <v>4565</v>
      </c>
    </row>
    <row r="940" spans="1:14" x14ac:dyDescent="0.3">
      <c r="A940" t="s">
        <v>5471</v>
      </c>
      <c r="B940" t="s">
        <v>5472</v>
      </c>
      <c r="C940" t="s">
        <v>5473</v>
      </c>
      <c r="D940" t="s">
        <v>4563</v>
      </c>
      <c r="E940" t="s">
        <v>4564</v>
      </c>
      <c r="F940" t="s">
        <v>1227</v>
      </c>
      <c r="G940" t="s">
        <v>2344</v>
      </c>
      <c r="H940">
        <v>14440.55</v>
      </c>
      <c r="I940">
        <v>15162.57</v>
      </c>
      <c r="J940" t="s">
        <v>3862</v>
      </c>
      <c r="K940">
        <v>1</v>
      </c>
      <c r="L940" t="s">
        <v>2945</v>
      </c>
      <c r="M940" s="19">
        <v>46262</v>
      </c>
      <c r="N940" t="s">
        <v>4565</v>
      </c>
    </row>
    <row r="941" spans="1:14" x14ac:dyDescent="0.3">
      <c r="A941" t="s">
        <v>5474</v>
      </c>
      <c r="B941" t="s">
        <v>5475</v>
      </c>
      <c r="C941" t="s">
        <v>5476</v>
      </c>
      <c r="D941" t="s">
        <v>4563</v>
      </c>
      <c r="E941" t="s">
        <v>4564</v>
      </c>
      <c r="F941" t="s">
        <v>1227</v>
      </c>
      <c r="G941" t="s">
        <v>2344</v>
      </c>
      <c r="H941">
        <v>14440.55</v>
      </c>
      <c r="I941">
        <v>15162.57</v>
      </c>
      <c r="J941" t="s">
        <v>3862</v>
      </c>
      <c r="K941">
        <v>1</v>
      </c>
      <c r="L941" t="s">
        <v>2945</v>
      </c>
      <c r="M941" s="19">
        <v>46262</v>
      </c>
      <c r="N941" t="s">
        <v>4565</v>
      </c>
    </row>
    <row r="942" spans="1:14" x14ac:dyDescent="0.3">
      <c r="A942" t="s">
        <v>5477</v>
      </c>
      <c r="B942" t="s">
        <v>5478</v>
      </c>
      <c r="C942" t="s">
        <v>5479</v>
      </c>
      <c r="D942" t="s">
        <v>4563</v>
      </c>
      <c r="E942" t="s">
        <v>4564</v>
      </c>
      <c r="F942" t="s">
        <v>1227</v>
      </c>
      <c r="G942" t="s">
        <v>2344</v>
      </c>
      <c r="H942">
        <v>16965.59</v>
      </c>
      <c r="I942">
        <v>17813.86</v>
      </c>
      <c r="J942" t="s">
        <v>3862</v>
      </c>
      <c r="K942">
        <v>1</v>
      </c>
      <c r="L942" t="s">
        <v>2945</v>
      </c>
      <c r="M942" s="19">
        <v>46262</v>
      </c>
      <c r="N942" t="s">
        <v>4565</v>
      </c>
    </row>
    <row r="943" spans="1:14" x14ac:dyDescent="0.3">
      <c r="A943" t="s">
        <v>5480</v>
      </c>
      <c r="B943" t="s">
        <v>5481</v>
      </c>
      <c r="C943" t="s">
        <v>5482</v>
      </c>
      <c r="D943" t="s">
        <v>4563</v>
      </c>
      <c r="E943" t="s">
        <v>4564</v>
      </c>
      <c r="F943" t="s">
        <v>1227</v>
      </c>
      <c r="G943" t="s">
        <v>2344</v>
      </c>
      <c r="H943">
        <v>16965.59</v>
      </c>
      <c r="I943">
        <v>17813.86</v>
      </c>
      <c r="J943" t="s">
        <v>3862</v>
      </c>
      <c r="K943">
        <v>1</v>
      </c>
      <c r="L943" t="s">
        <v>2945</v>
      </c>
      <c r="M943" s="19">
        <v>46262</v>
      </c>
      <c r="N943" t="s">
        <v>4565</v>
      </c>
    </row>
    <row r="944" spans="1:14" x14ac:dyDescent="0.3">
      <c r="A944" t="s">
        <v>5483</v>
      </c>
      <c r="B944" t="s">
        <v>5484</v>
      </c>
      <c r="C944" t="s">
        <v>5485</v>
      </c>
      <c r="D944" t="s">
        <v>4563</v>
      </c>
      <c r="E944" t="s">
        <v>4564</v>
      </c>
      <c r="F944" t="s">
        <v>1227</v>
      </c>
      <c r="G944" t="s">
        <v>2344</v>
      </c>
      <c r="H944">
        <v>14440.55</v>
      </c>
      <c r="I944">
        <v>15162.57</v>
      </c>
      <c r="J944" t="s">
        <v>3862</v>
      </c>
      <c r="K944">
        <v>1</v>
      </c>
      <c r="L944" t="s">
        <v>2945</v>
      </c>
      <c r="M944" s="19">
        <v>46262</v>
      </c>
      <c r="N944" t="s">
        <v>4565</v>
      </c>
    </row>
    <row r="945" spans="1:14" x14ac:dyDescent="0.3">
      <c r="A945" t="s">
        <v>5486</v>
      </c>
      <c r="B945" t="s">
        <v>5487</v>
      </c>
      <c r="C945" t="s">
        <v>5488</v>
      </c>
      <c r="D945" t="s">
        <v>4563</v>
      </c>
      <c r="E945" t="s">
        <v>4564</v>
      </c>
      <c r="F945" t="s">
        <v>1227</v>
      </c>
      <c r="G945" t="s">
        <v>2344</v>
      </c>
      <c r="H945">
        <v>14440.55</v>
      </c>
      <c r="I945">
        <v>15162.57</v>
      </c>
      <c r="J945" t="s">
        <v>3862</v>
      </c>
      <c r="K945">
        <v>1</v>
      </c>
      <c r="L945" t="s">
        <v>2945</v>
      </c>
      <c r="M945" s="19">
        <v>46262</v>
      </c>
      <c r="N945" t="s">
        <v>4565</v>
      </c>
    </row>
    <row r="946" spans="1:14" x14ac:dyDescent="0.3">
      <c r="A946" t="s">
        <v>5489</v>
      </c>
      <c r="B946" t="s">
        <v>5490</v>
      </c>
      <c r="C946" t="s">
        <v>5491</v>
      </c>
      <c r="D946" t="s">
        <v>4563</v>
      </c>
      <c r="E946" t="s">
        <v>4564</v>
      </c>
      <c r="F946" t="s">
        <v>1227</v>
      </c>
      <c r="G946" t="s">
        <v>2344</v>
      </c>
      <c r="H946">
        <v>13833.86</v>
      </c>
      <c r="I946">
        <v>14525.55</v>
      </c>
      <c r="J946" t="s">
        <v>3862</v>
      </c>
      <c r="K946">
        <v>1</v>
      </c>
      <c r="L946" t="s">
        <v>2945</v>
      </c>
      <c r="M946" s="19">
        <v>46262</v>
      </c>
      <c r="N946" t="s">
        <v>4565</v>
      </c>
    </row>
    <row r="947" spans="1:14" x14ac:dyDescent="0.3">
      <c r="A947" t="s">
        <v>5492</v>
      </c>
      <c r="B947" t="s">
        <v>5493</v>
      </c>
      <c r="C947" t="s">
        <v>5494</v>
      </c>
      <c r="D947" t="s">
        <v>4563</v>
      </c>
      <c r="E947" t="s">
        <v>4564</v>
      </c>
      <c r="F947" t="s">
        <v>1227</v>
      </c>
      <c r="G947" t="s">
        <v>2344</v>
      </c>
      <c r="H947">
        <v>10911.91</v>
      </c>
      <c r="I947">
        <v>11457.51</v>
      </c>
      <c r="J947" t="s">
        <v>3862</v>
      </c>
      <c r="K947">
        <v>1</v>
      </c>
      <c r="L947" t="s">
        <v>2945</v>
      </c>
      <c r="M947" s="19">
        <v>46262</v>
      </c>
      <c r="N947" t="s">
        <v>4565</v>
      </c>
    </row>
    <row r="948" spans="1:14" x14ac:dyDescent="0.3">
      <c r="A948" t="s">
        <v>5495</v>
      </c>
      <c r="B948" t="s">
        <v>5493</v>
      </c>
      <c r="C948" t="s">
        <v>5494</v>
      </c>
      <c r="D948" t="s">
        <v>4563</v>
      </c>
      <c r="E948" t="s">
        <v>4564</v>
      </c>
      <c r="F948" t="s">
        <v>1227</v>
      </c>
      <c r="G948" t="s">
        <v>2344</v>
      </c>
      <c r="H948">
        <v>10911.91</v>
      </c>
      <c r="I948">
        <v>11457.51</v>
      </c>
      <c r="J948" t="s">
        <v>3862</v>
      </c>
      <c r="K948">
        <v>1</v>
      </c>
      <c r="L948" t="s">
        <v>2945</v>
      </c>
      <c r="M948" s="19">
        <v>46262</v>
      </c>
      <c r="N948" t="s">
        <v>4565</v>
      </c>
    </row>
    <row r="949" spans="1:14" x14ac:dyDescent="0.3">
      <c r="A949" t="s">
        <v>5496</v>
      </c>
      <c r="B949" t="s">
        <v>5497</v>
      </c>
      <c r="C949" t="s">
        <v>5498</v>
      </c>
      <c r="D949" t="s">
        <v>4563</v>
      </c>
      <c r="E949" t="s">
        <v>4564</v>
      </c>
      <c r="F949" t="s">
        <v>1227</v>
      </c>
      <c r="G949" t="s">
        <v>2344</v>
      </c>
      <c r="H949">
        <v>10911.91</v>
      </c>
      <c r="I949">
        <v>11457.51</v>
      </c>
      <c r="J949" t="s">
        <v>3862</v>
      </c>
      <c r="K949">
        <v>1</v>
      </c>
      <c r="L949" t="s">
        <v>2945</v>
      </c>
      <c r="M949" s="19">
        <v>46262</v>
      </c>
      <c r="N949" t="s">
        <v>4565</v>
      </c>
    </row>
    <row r="950" spans="1:14" x14ac:dyDescent="0.3">
      <c r="A950" t="s">
        <v>5499</v>
      </c>
      <c r="B950" t="s">
        <v>5500</v>
      </c>
      <c r="C950" t="s">
        <v>5501</v>
      </c>
      <c r="D950" t="s">
        <v>4563</v>
      </c>
      <c r="E950" t="s">
        <v>4564</v>
      </c>
      <c r="F950" t="s">
        <v>1227</v>
      </c>
      <c r="G950" t="s">
        <v>2344</v>
      </c>
      <c r="H950">
        <v>10911.91</v>
      </c>
      <c r="I950">
        <v>11457.51</v>
      </c>
      <c r="J950" t="s">
        <v>3862</v>
      </c>
      <c r="K950">
        <v>1</v>
      </c>
      <c r="L950" t="s">
        <v>2945</v>
      </c>
      <c r="M950" s="19">
        <v>46262</v>
      </c>
      <c r="N950" t="s">
        <v>4565</v>
      </c>
    </row>
    <row r="951" spans="1:14" x14ac:dyDescent="0.3">
      <c r="A951" t="s">
        <v>5502</v>
      </c>
      <c r="B951" t="s">
        <v>5503</v>
      </c>
      <c r="C951" t="s">
        <v>5504</v>
      </c>
      <c r="D951" t="s">
        <v>4563</v>
      </c>
      <c r="E951" t="s">
        <v>4564</v>
      </c>
      <c r="F951" t="s">
        <v>1227</v>
      </c>
      <c r="G951" t="s">
        <v>2344</v>
      </c>
      <c r="H951">
        <v>10911.91</v>
      </c>
      <c r="I951">
        <v>11457.51</v>
      </c>
      <c r="J951" t="s">
        <v>3862</v>
      </c>
      <c r="K951">
        <v>1</v>
      </c>
      <c r="L951" t="s">
        <v>2945</v>
      </c>
      <c r="M951" s="19">
        <v>46262</v>
      </c>
      <c r="N951" t="s">
        <v>4565</v>
      </c>
    </row>
    <row r="952" spans="1:14" x14ac:dyDescent="0.3">
      <c r="A952" t="s">
        <v>5505</v>
      </c>
      <c r="B952" t="s">
        <v>5506</v>
      </c>
      <c r="C952" t="s">
        <v>5507</v>
      </c>
      <c r="D952" t="s">
        <v>4563</v>
      </c>
      <c r="E952" t="s">
        <v>4564</v>
      </c>
      <c r="F952" t="s">
        <v>1227</v>
      </c>
      <c r="G952" t="s">
        <v>2344</v>
      </c>
      <c r="H952">
        <v>10911.91</v>
      </c>
      <c r="I952">
        <v>11457.51</v>
      </c>
      <c r="J952" t="s">
        <v>3862</v>
      </c>
      <c r="K952">
        <v>1</v>
      </c>
      <c r="L952" t="s">
        <v>2945</v>
      </c>
      <c r="M952" s="19">
        <v>46262</v>
      </c>
      <c r="N952" t="s">
        <v>4565</v>
      </c>
    </row>
    <row r="953" spans="1:14" x14ac:dyDescent="0.3">
      <c r="A953" t="s">
        <v>5508</v>
      </c>
      <c r="B953" t="s">
        <v>5509</v>
      </c>
      <c r="C953" t="s">
        <v>5510</v>
      </c>
      <c r="D953" t="s">
        <v>4563</v>
      </c>
      <c r="E953" t="s">
        <v>4564</v>
      </c>
      <c r="F953" t="s">
        <v>1227</v>
      </c>
      <c r="G953" t="s">
        <v>2344</v>
      </c>
      <c r="H953">
        <v>10911.91</v>
      </c>
      <c r="I953">
        <v>11457.51</v>
      </c>
      <c r="J953" t="s">
        <v>3862</v>
      </c>
      <c r="K953">
        <v>1</v>
      </c>
      <c r="L953" t="s">
        <v>2945</v>
      </c>
      <c r="M953" s="19">
        <v>46262</v>
      </c>
      <c r="N953" t="s">
        <v>4565</v>
      </c>
    </row>
    <row r="954" spans="1:14" x14ac:dyDescent="0.3">
      <c r="A954" t="s">
        <v>5511</v>
      </c>
      <c r="B954" t="s">
        <v>5512</v>
      </c>
      <c r="C954" t="s">
        <v>5513</v>
      </c>
      <c r="D954" t="s">
        <v>4563</v>
      </c>
      <c r="E954" t="s">
        <v>4564</v>
      </c>
      <c r="F954" t="s">
        <v>1227</v>
      </c>
      <c r="G954" t="s">
        <v>2344</v>
      </c>
      <c r="H954">
        <v>10911.91</v>
      </c>
      <c r="I954">
        <v>11457.51</v>
      </c>
      <c r="J954" t="s">
        <v>3862</v>
      </c>
      <c r="K954">
        <v>1</v>
      </c>
      <c r="L954" t="s">
        <v>2945</v>
      </c>
      <c r="M954" s="19">
        <v>46262</v>
      </c>
      <c r="N954" t="s">
        <v>4565</v>
      </c>
    </row>
    <row r="955" spans="1:14" x14ac:dyDescent="0.3">
      <c r="A955" t="s">
        <v>5514</v>
      </c>
      <c r="B955" t="s">
        <v>5515</v>
      </c>
      <c r="C955" t="s">
        <v>5516</v>
      </c>
      <c r="D955" t="s">
        <v>4563</v>
      </c>
      <c r="E955" t="s">
        <v>4564</v>
      </c>
      <c r="F955" t="s">
        <v>1227</v>
      </c>
      <c r="G955" t="s">
        <v>2344</v>
      </c>
      <c r="H955">
        <v>11016.81</v>
      </c>
      <c r="I955">
        <v>11567.65</v>
      </c>
      <c r="J955" t="s">
        <v>3862</v>
      </c>
      <c r="K955">
        <v>1</v>
      </c>
      <c r="L955" t="s">
        <v>2945</v>
      </c>
      <c r="M955" s="19">
        <v>46262</v>
      </c>
      <c r="N955" t="s">
        <v>4565</v>
      </c>
    </row>
    <row r="956" spans="1:14" x14ac:dyDescent="0.3">
      <c r="A956" t="s">
        <v>5517</v>
      </c>
      <c r="B956" t="s">
        <v>5518</v>
      </c>
      <c r="C956" t="s">
        <v>5519</v>
      </c>
      <c r="D956" t="s">
        <v>4563</v>
      </c>
      <c r="E956" t="s">
        <v>4564</v>
      </c>
      <c r="F956" t="s">
        <v>1227</v>
      </c>
      <c r="G956" t="s">
        <v>2344</v>
      </c>
      <c r="H956">
        <v>11016.81</v>
      </c>
      <c r="I956">
        <v>11567.65</v>
      </c>
      <c r="J956" t="s">
        <v>3862</v>
      </c>
      <c r="K956">
        <v>1</v>
      </c>
      <c r="L956" t="s">
        <v>2945</v>
      </c>
      <c r="M956" s="19">
        <v>46262</v>
      </c>
      <c r="N956" t="s">
        <v>4565</v>
      </c>
    </row>
    <row r="957" spans="1:14" x14ac:dyDescent="0.3">
      <c r="A957" t="s">
        <v>5520</v>
      </c>
      <c r="B957" t="s">
        <v>5521</v>
      </c>
      <c r="C957" t="s">
        <v>5522</v>
      </c>
      <c r="D957" t="s">
        <v>4563</v>
      </c>
      <c r="E957" t="s">
        <v>4564</v>
      </c>
      <c r="F957" t="s">
        <v>1227</v>
      </c>
      <c r="G957" t="s">
        <v>2344</v>
      </c>
      <c r="H957">
        <v>10189.94</v>
      </c>
      <c r="I957">
        <v>10699.43</v>
      </c>
      <c r="J957" t="s">
        <v>3862</v>
      </c>
      <c r="K957">
        <v>1</v>
      </c>
      <c r="L957" t="s">
        <v>2945</v>
      </c>
      <c r="M957" s="19">
        <v>46262</v>
      </c>
      <c r="N957" t="s">
        <v>4565</v>
      </c>
    </row>
    <row r="958" spans="1:14" x14ac:dyDescent="0.3">
      <c r="A958" t="s">
        <v>5523</v>
      </c>
      <c r="B958" t="s">
        <v>5524</v>
      </c>
      <c r="C958" t="s">
        <v>5525</v>
      </c>
      <c r="D958" t="s">
        <v>4563</v>
      </c>
      <c r="E958" t="s">
        <v>4564</v>
      </c>
      <c r="F958" t="s">
        <v>1227</v>
      </c>
      <c r="G958" t="s">
        <v>2344</v>
      </c>
      <c r="H958">
        <v>10189.94</v>
      </c>
      <c r="I958">
        <v>10699.43</v>
      </c>
      <c r="J958" t="s">
        <v>3862</v>
      </c>
      <c r="K958">
        <v>1</v>
      </c>
      <c r="L958" t="s">
        <v>2945</v>
      </c>
      <c r="M958" s="19">
        <v>46262</v>
      </c>
      <c r="N958" t="s">
        <v>4565</v>
      </c>
    </row>
    <row r="959" spans="1:14" x14ac:dyDescent="0.3">
      <c r="A959" t="s">
        <v>5526</v>
      </c>
      <c r="B959" t="s">
        <v>5527</v>
      </c>
      <c r="C959" t="s">
        <v>5528</v>
      </c>
      <c r="D959" t="s">
        <v>4563</v>
      </c>
      <c r="E959" t="s">
        <v>4564</v>
      </c>
      <c r="F959" t="s">
        <v>1227</v>
      </c>
      <c r="G959" t="s">
        <v>2344</v>
      </c>
      <c r="H959">
        <v>10189.94</v>
      </c>
      <c r="I959">
        <v>10699.43</v>
      </c>
      <c r="J959" t="s">
        <v>3862</v>
      </c>
      <c r="K959">
        <v>1</v>
      </c>
      <c r="L959" t="s">
        <v>2945</v>
      </c>
      <c r="M959" s="19">
        <v>46262</v>
      </c>
      <c r="N959" t="s">
        <v>4565</v>
      </c>
    </row>
    <row r="960" spans="1:14" x14ac:dyDescent="0.3">
      <c r="A960" t="s">
        <v>5529</v>
      </c>
      <c r="B960" t="s">
        <v>5530</v>
      </c>
      <c r="C960" t="s">
        <v>5531</v>
      </c>
      <c r="D960" t="s">
        <v>4563</v>
      </c>
      <c r="E960" t="s">
        <v>4564</v>
      </c>
      <c r="F960" t="s">
        <v>1227</v>
      </c>
      <c r="G960" t="s">
        <v>2344</v>
      </c>
      <c r="H960">
        <v>10189.94</v>
      </c>
      <c r="I960">
        <v>10699.43</v>
      </c>
      <c r="J960" t="s">
        <v>3862</v>
      </c>
      <c r="K960">
        <v>1</v>
      </c>
      <c r="L960" t="s">
        <v>2945</v>
      </c>
      <c r="M960" s="19">
        <v>46262</v>
      </c>
      <c r="N960" t="s">
        <v>4565</v>
      </c>
    </row>
    <row r="961" spans="1:14" x14ac:dyDescent="0.3">
      <c r="A961" t="s">
        <v>5532</v>
      </c>
      <c r="B961" t="s">
        <v>5533</v>
      </c>
      <c r="C961" t="s">
        <v>5534</v>
      </c>
      <c r="D961" t="s">
        <v>4563</v>
      </c>
      <c r="E961" t="s">
        <v>4564</v>
      </c>
      <c r="F961" t="s">
        <v>1227</v>
      </c>
      <c r="G961" t="s">
        <v>2344</v>
      </c>
      <c r="H961">
        <v>10189.94</v>
      </c>
      <c r="I961">
        <v>10699.43</v>
      </c>
      <c r="J961" t="s">
        <v>3862</v>
      </c>
      <c r="K961">
        <v>1</v>
      </c>
      <c r="L961" t="s">
        <v>2945</v>
      </c>
      <c r="M961" s="19">
        <v>46262</v>
      </c>
      <c r="N961" t="s">
        <v>4565</v>
      </c>
    </row>
    <row r="962" spans="1:14" x14ac:dyDescent="0.3">
      <c r="A962" t="s">
        <v>5535</v>
      </c>
      <c r="B962" t="s">
        <v>5536</v>
      </c>
      <c r="C962" t="s">
        <v>5537</v>
      </c>
      <c r="D962" t="s">
        <v>4563</v>
      </c>
      <c r="E962" t="s">
        <v>4564</v>
      </c>
      <c r="F962" t="s">
        <v>1227</v>
      </c>
      <c r="G962" t="s">
        <v>2344</v>
      </c>
      <c r="H962">
        <v>10189.94</v>
      </c>
      <c r="I962">
        <v>10699.43</v>
      </c>
      <c r="J962" t="s">
        <v>3862</v>
      </c>
      <c r="K962">
        <v>1</v>
      </c>
      <c r="L962" t="s">
        <v>2945</v>
      </c>
      <c r="M962" s="19">
        <v>46262</v>
      </c>
      <c r="N962" t="s">
        <v>4565</v>
      </c>
    </row>
    <row r="963" spans="1:14" x14ac:dyDescent="0.3">
      <c r="A963" t="s">
        <v>5538</v>
      </c>
      <c r="B963" t="s">
        <v>5539</v>
      </c>
      <c r="C963" t="s">
        <v>5540</v>
      </c>
      <c r="D963" t="s">
        <v>4563</v>
      </c>
      <c r="E963" t="s">
        <v>4564</v>
      </c>
      <c r="F963" t="s">
        <v>1227</v>
      </c>
      <c r="G963" t="s">
        <v>2344</v>
      </c>
      <c r="H963">
        <v>40671.86</v>
      </c>
      <c r="I963">
        <v>42705.45</v>
      </c>
      <c r="J963" t="s">
        <v>3862</v>
      </c>
      <c r="K963">
        <v>1</v>
      </c>
      <c r="L963" t="s">
        <v>2945</v>
      </c>
      <c r="M963" s="19">
        <v>46262</v>
      </c>
      <c r="N963" t="s">
        <v>4565</v>
      </c>
    </row>
    <row r="964" spans="1:14" x14ac:dyDescent="0.3">
      <c r="A964" t="s">
        <v>5541</v>
      </c>
      <c r="B964" t="s">
        <v>5542</v>
      </c>
      <c r="C964" t="s">
        <v>5543</v>
      </c>
      <c r="D964" t="s">
        <v>4563</v>
      </c>
      <c r="E964" t="s">
        <v>4564</v>
      </c>
      <c r="F964" t="s">
        <v>1227</v>
      </c>
      <c r="G964" t="s">
        <v>2344</v>
      </c>
      <c r="H964">
        <v>40671.86</v>
      </c>
      <c r="I964">
        <v>42705.45</v>
      </c>
      <c r="J964" t="s">
        <v>3862</v>
      </c>
      <c r="K964">
        <v>1</v>
      </c>
      <c r="L964" t="s">
        <v>2945</v>
      </c>
      <c r="M964" s="19">
        <v>46262</v>
      </c>
      <c r="N964" t="s">
        <v>4565</v>
      </c>
    </row>
    <row r="965" spans="1:14" x14ac:dyDescent="0.3">
      <c r="A965" t="s">
        <v>5544</v>
      </c>
      <c r="B965" t="s">
        <v>5545</v>
      </c>
      <c r="C965" t="s">
        <v>5546</v>
      </c>
      <c r="D965" t="s">
        <v>4780</v>
      </c>
      <c r="E965" t="s">
        <v>4564</v>
      </c>
      <c r="F965" t="s">
        <v>1227</v>
      </c>
      <c r="G965" t="s">
        <v>2344</v>
      </c>
      <c r="H965">
        <v>7769.79</v>
      </c>
      <c r="I965">
        <v>8158.28</v>
      </c>
      <c r="J965" t="s">
        <v>3862</v>
      </c>
      <c r="K965">
        <v>1</v>
      </c>
      <c r="L965" t="s">
        <v>2945</v>
      </c>
      <c r="M965" s="19">
        <v>46262</v>
      </c>
      <c r="N965" t="s">
        <v>4565</v>
      </c>
    </row>
    <row r="966" spans="1:14" x14ac:dyDescent="0.3">
      <c r="A966" t="s">
        <v>5547</v>
      </c>
      <c r="B966" t="s">
        <v>2611</v>
      </c>
      <c r="C966" t="s">
        <v>5548</v>
      </c>
      <c r="D966" t="s">
        <v>4780</v>
      </c>
      <c r="E966" t="s">
        <v>4564</v>
      </c>
      <c r="F966" t="s">
        <v>1227</v>
      </c>
      <c r="G966" t="s">
        <v>2344</v>
      </c>
      <c r="H966">
        <v>10059.52</v>
      </c>
      <c r="I966">
        <v>10562.5</v>
      </c>
      <c r="J966" t="s">
        <v>3862</v>
      </c>
      <c r="K966">
        <v>1</v>
      </c>
      <c r="L966" t="s">
        <v>2945</v>
      </c>
      <c r="M966" s="19">
        <v>46262</v>
      </c>
      <c r="N966" t="s">
        <v>4565</v>
      </c>
    </row>
    <row r="967" spans="1:14" x14ac:dyDescent="0.3">
      <c r="A967" t="s">
        <v>5549</v>
      </c>
      <c r="B967" t="s">
        <v>5550</v>
      </c>
      <c r="C967" t="s">
        <v>5551</v>
      </c>
      <c r="D967" t="s">
        <v>4563</v>
      </c>
      <c r="E967" t="s">
        <v>4564</v>
      </c>
      <c r="F967" t="s">
        <v>1227</v>
      </c>
      <c r="G967" t="s">
        <v>2344</v>
      </c>
      <c r="H967">
        <v>17385.89</v>
      </c>
      <c r="I967">
        <v>18255.18</v>
      </c>
      <c r="J967" t="s">
        <v>3862</v>
      </c>
      <c r="K967">
        <v>1</v>
      </c>
      <c r="L967" t="s">
        <v>2945</v>
      </c>
      <c r="M967" s="19">
        <v>46262</v>
      </c>
      <c r="N967" t="s">
        <v>4565</v>
      </c>
    </row>
    <row r="968" spans="1:14" x14ac:dyDescent="0.3">
      <c r="A968" t="s">
        <v>5552</v>
      </c>
      <c r="B968" t="s">
        <v>5553</v>
      </c>
      <c r="C968" t="s">
        <v>5554</v>
      </c>
      <c r="D968" t="s">
        <v>4563</v>
      </c>
      <c r="E968" t="s">
        <v>4564</v>
      </c>
      <c r="F968" t="s">
        <v>1227</v>
      </c>
      <c r="G968" t="s">
        <v>2344</v>
      </c>
      <c r="H968">
        <v>17385.89</v>
      </c>
      <c r="I968">
        <v>18255.18</v>
      </c>
      <c r="J968" t="s">
        <v>3862</v>
      </c>
      <c r="K968">
        <v>1</v>
      </c>
      <c r="L968" t="s">
        <v>2945</v>
      </c>
      <c r="M968" s="19">
        <v>46262</v>
      </c>
      <c r="N968" t="s">
        <v>4565</v>
      </c>
    </row>
    <row r="969" spans="1:14" x14ac:dyDescent="0.3">
      <c r="A969" t="s">
        <v>5555</v>
      </c>
      <c r="B969" t="s">
        <v>5556</v>
      </c>
      <c r="C969" t="s">
        <v>5557</v>
      </c>
      <c r="D969" t="s">
        <v>4563</v>
      </c>
      <c r="E969" t="s">
        <v>4564</v>
      </c>
      <c r="F969" t="s">
        <v>1227</v>
      </c>
      <c r="G969" t="s">
        <v>2344</v>
      </c>
      <c r="H969">
        <v>17385.89</v>
      </c>
      <c r="I969">
        <v>18255.18</v>
      </c>
      <c r="J969" t="s">
        <v>3862</v>
      </c>
      <c r="K969">
        <v>1</v>
      </c>
      <c r="L969" t="s">
        <v>2945</v>
      </c>
      <c r="M969" s="19">
        <v>46262</v>
      </c>
      <c r="N969" t="s">
        <v>4565</v>
      </c>
    </row>
    <row r="970" spans="1:14" x14ac:dyDescent="0.3">
      <c r="A970" t="s">
        <v>5558</v>
      </c>
      <c r="B970" t="s">
        <v>5559</v>
      </c>
      <c r="C970" t="s">
        <v>5560</v>
      </c>
      <c r="D970" t="s">
        <v>4563</v>
      </c>
      <c r="E970" t="s">
        <v>4564</v>
      </c>
      <c r="F970" t="s">
        <v>1227</v>
      </c>
      <c r="G970" t="s">
        <v>2344</v>
      </c>
      <c r="H970">
        <v>25803.23</v>
      </c>
      <c r="I970">
        <v>27093.39</v>
      </c>
      <c r="J970" t="s">
        <v>3862</v>
      </c>
      <c r="K970">
        <v>1</v>
      </c>
      <c r="L970" t="s">
        <v>2945</v>
      </c>
      <c r="M970" s="19">
        <v>46262</v>
      </c>
      <c r="N970" t="s">
        <v>4565</v>
      </c>
    </row>
    <row r="971" spans="1:14" x14ac:dyDescent="0.3">
      <c r="A971" t="s">
        <v>5561</v>
      </c>
      <c r="B971" t="s">
        <v>5562</v>
      </c>
      <c r="C971" t="s">
        <v>5563</v>
      </c>
      <c r="D971" t="s">
        <v>4563</v>
      </c>
      <c r="E971" t="s">
        <v>4564</v>
      </c>
      <c r="F971" t="s">
        <v>1227</v>
      </c>
      <c r="G971" t="s">
        <v>2344</v>
      </c>
      <c r="H971">
        <v>25803.23</v>
      </c>
      <c r="I971">
        <v>27093.39</v>
      </c>
      <c r="J971" t="s">
        <v>3862</v>
      </c>
      <c r="K971">
        <v>1</v>
      </c>
      <c r="L971" t="s">
        <v>2945</v>
      </c>
      <c r="M971" s="19">
        <v>46262</v>
      </c>
      <c r="N971" t="s">
        <v>4565</v>
      </c>
    </row>
    <row r="972" spans="1:14" x14ac:dyDescent="0.3">
      <c r="A972" t="s">
        <v>5564</v>
      </c>
      <c r="B972" t="s">
        <v>5565</v>
      </c>
      <c r="C972" t="s">
        <v>5566</v>
      </c>
      <c r="D972" t="s">
        <v>4563</v>
      </c>
      <c r="E972" t="s">
        <v>4564</v>
      </c>
      <c r="F972" t="s">
        <v>1227</v>
      </c>
      <c r="G972" t="s">
        <v>2344</v>
      </c>
      <c r="H972">
        <v>17385.89</v>
      </c>
      <c r="I972">
        <v>18255.18</v>
      </c>
      <c r="J972" t="s">
        <v>3862</v>
      </c>
      <c r="K972">
        <v>1</v>
      </c>
      <c r="L972" t="s">
        <v>2945</v>
      </c>
      <c r="M972" s="19">
        <v>46262</v>
      </c>
      <c r="N972" t="s">
        <v>4565</v>
      </c>
    </row>
    <row r="973" spans="1:14" x14ac:dyDescent="0.3">
      <c r="A973" t="s">
        <v>5567</v>
      </c>
      <c r="B973" t="s">
        <v>5568</v>
      </c>
      <c r="C973" t="s">
        <v>5569</v>
      </c>
      <c r="D973" t="s">
        <v>4563</v>
      </c>
      <c r="E973" t="s">
        <v>4564</v>
      </c>
      <c r="F973" t="s">
        <v>1227</v>
      </c>
      <c r="G973" t="s">
        <v>2344</v>
      </c>
      <c r="H973">
        <v>17385.89</v>
      </c>
      <c r="I973">
        <v>18255.18</v>
      </c>
      <c r="J973" t="s">
        <v>3862</v>
      </c>
      <c r="K973">
        <v>1</v>
      </c>
      <c r="L973" t="s">
        <v>2945</v>
      </c>
      <c r="M973" s="19">
        <v>46262</v>
      </c>
      <c r="N973" t="s">
        <v>4565</v>
      </c>
    </row>
    <row r="974" spans="1:14" x14ac:dyDescent="0.3">
      <c r="A974" t="s">
        <v>5570</v>
      </c>
      <c r="B974" t="s">
        <v>5571</v>
      </c>
      <c r="C974" t="s">
        <v>5572</v>
      </c>
      <c r="D974" t="s">
        <v>4563</v>
      </c>
      <c r="E974" t="s">
        <v>4564</v>
      </c>
      <c r="F974" t="s">
        <v>1227</v>
      </c>
      <c r="G974" t="s">
        <v>2344</v>
      </c>
      <c r="H974">
        <v>19370.61</v>
      </c>
      <c r="I974">
        <v>20339.14</v>
      </c>
      <c r="J974" t="s">
        <v>3862</v>
      </c>
      <c r="K974">
        <v>1</v>
      </c>
      <c r="L974" t="s">
        <v>2945</v>
      </c>
      <c r="M974" s="19">
        <v>46262</v>
      </c>
      <c r="N974" t="s">
        <v>4565</v>
      </c>
    </row>
    <row r="975" spans="1:14" x14ac:dyDescent="0.3">
      <c r="A975" t="s">
        <v>5573</v>
      </c>
      <c r="B975" t="s">
        <v>5574</v>
      </c>
      <c r="C975" t="s">
        <v>5575</v>
      </c>
      <c r="D975" t="s">
        <v>4563</v>
      </c>
      <c r="E975" t="s">
        <v>4564</v>
      </c>
      <c r="F975" t="s">
        <v>1227</v>
      </c>
      <c r="G975" t="s">
        <v>2344</v>
      </c>
      <c r="H975">
        <v>19370.61</v>
      </c>
      <c r="I975">
        <v>20339.14</v>
      </c>
      <c r="J975" t="s">
        <v>3862</v>
      </c>
      <c r="K975">
        <v>1</v>
      </c>
      <c r="L975" t="s">
        <v>2945</v>
      </c>
      <c r="M975" s="19">
        <v>46262</v>
      </c>
      <c r="N975" t="s">
        <v>4565</v>
      </c>
    </row>
    <row r="976" spans="1:14" x14ac:dyDescent="0.3">
      <c r="A976" t="s">
        <v>5576</v>
      </c>
      <c r="B976" t="s">
        <v>5577</v>
      </c>
      <c r="C976" t="s">
        <v>5578</v>
      </c>
      <c r="D976" t="s">
        <v>4563</v>
      </c>
      <c r="E976" t="s">
        <v>4564</v>
      </c>
      <c r="F976" t="s">
        <v>1227</v>
      </c>
      <c r="G976" t="s">
        <v>2344</v>
      </c>
      <c r="H976">
        <v>17146.080000000002</v>
      </c>
      <c r="I976">
        <v>18003.38</v>
      </c>
      <c r="J976" t="s">
        <v>3862</v>
      </c>
      <c r="K976">
        <v>1</v>
      </c>
      <c r="L976" t="s">
        <v>2945</v>
      </c>
      <c r="M976" s="19">
        <v>46262</v>
      </c>
      <c r="N976" t="s">
        <v>4565</v>
      </c>
    </row>
    <row r="977" spans="1:14" x14ac:dyDescent="0.3">
      <c r="A977" t="s">
        <v>5579</v>
      </c>
      <c r="B977" t="s">
        <v>5580</v>
      </c>
      <c r="C977" t="s">
        <v>5581</v>
      </c>
      <c r="D977" t="s">
        <v>4563</v>
      </c>
      <c r="E977" t="s">
        <v>4564</v>
      </c>
      <c r="F977" t="s">
        <v>1227</v>
      </c>
      <c r="G977" t="s">
        <v>2344</v>
      </c>
      <c r="H977">
        <v>17434.900000000001</v>
      </c>
      <c r="I977">
        <v>18306.650000000001</v>
      </c>
      <c r="J977" t="s">
        <v>3862</v>
      </c>
      <c r="K977">
        <v>1</v>
      </c>
      <c r="L977" t="s">
        <v>2945</v>
      </c>
      <c r="M977" s="19">
        <v>46262</v>
      </c>
      <c r="N977" t="s">
        <v>4565</v>
      </c>
    </row>
    <row r="978" spans="1:14" x14ac:dyDescent="0.3">
      <c r="A978" t="s">
        <v>5582</v>
      </c>
      <c r="B978" t="s">
        <v>5583</v>
      </c>
      <c r="C978" t="s">
        <v>5584</v>
      </c>
      <c r="D978" t="s">
        <v>4563</v>
      </c>
      <c r="E978" t="s">
        <v>4564</v>
      </c>
      <c r="F978" t="s">
        <v>1227</v>
      </c>
      <c r="G978" t="s">
        <v>2344</v>
      </c>
      <c r="H978">
        <v>20601.95</v>
      </c>
      <c r="I978">
        <v>21632.04</v>
      </c>
      <c r="J978" t="s">
        <v>3862</v>
      </c>
      <c r="K978">
        <v>1</v>
      </c>
      <c r="L978" t="s">
        <v>2945</v>
      </c>
      <c r="M978" s="19">
        <v>46262</v>
      </c>
      <c r="N978" t="s">
        <v>4565</v>
      </c>
    </row>
    <row r="979" spans="1:14" x14ac:dyDescent="0.3">
      <c r="A979" t="s">
        <v>5585</v>
      </c>
      <c r="B979" t="s">
        <v>5586</v>
      </c>
      <c r="C979" t="s">
        <v>5587</v>
      </c>
      <c r="D979" t="s">
        <v>4563</v>
      </c>
      <c r="E979" t="s">
        <v>4564</v>
      </c>
      <c r="F979" t="s">
        <v>1227</v>
      </c>
      <c r="G979" t="s">
        <v>2344</v>
      </c>
      <c r="H979">
        <v>20601.95</v>
      </c>
      <c r="I979">
        <v>21632.04</v>
      </c>
      <c r="J979" t="s">
        <v>3862</v>
      </c>
      <c r="K979">
        <v>1</v>
      </c>
      <c r="L979" t="s">
        <v>2945</v>
      </c>
      <c r="M979" s="19">
        <v>46262</v>
      </c>
      <c r="N979" t="s">
        <v>4565</v>
      </c>
    </row>
    <row r="980" spans="1:14" x14ac:dyDescent="0.3">
      <c r="A980" t="s">
        <v>5588</v>
      </c>
      <c r="B980" t="s">
        <v>5589</v>
      </c>
      <c r="C980" t="s">
        <v>5590</v>
      </c>
      <c r="D980" t="s">
        <v>4563</v>
      </c>
      <c r="E980" t="s">
        <v>4564</v>
      </c>
      <c r="F980" t="s">
        <v>1227</v>
      </c>
      <c r="G980" t="s">
        <v>2344</v>
      </c>
      <c r="H980">
        <v>19427.310000000001</v>
      </c>
      <c r="I980">
        <v>20398.68</v>
      </c>
      <c r="J980" t="s">
        <v>3862</v>
      </c>
      <c r="K980">
        <v>1</v>
      </c>
      <c r="L980" t="s">
        <v>2945</v>
      </c>
      <c r="M980" s="19">
        <v>46262</v>
      </c>
      <c r="N980" t="s">
        <v>4565</v>
      </c>
    </row>
    <row r="981" spans="1:14" x14ac:dyDescent="0.3">
      <c r="A981" t="s">
        <v>5591</v>
      </c>
      <c r="B981" t="s">
        <v>5592</v>
      </c>
      <c r="C981" t="s">
        <v>5593</v>
      </c>
      <c r="D981" t="s">
        <v>4563</v>
      </c>
      <c r="E981" t="s">
        <v>4564</v>
      </c>
      <c r="F981" t="s">
        <v>1227</v>
      </c>
      <c r="G981" t="s">
        <v>2344</v>
      </c>
      <c r="H981">
        <v>19089.95</v>
      </c>
      <c r="I981">
        <v>20044.439999999999</v>
      </c>
      <c r="J981" t="s">
        <v>3862</v>
      </c>
      <c r="K981">
        <v>1</v>
      </c>
      <c r="L981" t="s">
        <v>2945</v>
      </c>
      <c r="M981" s="19">
        <v>46262</v>
      </c>
      <c r="N981" t="s">
        <v>4565</v>
      </c>
    </row>
    <row r="982" spans="1:14" x14ac:dyDescent="0.3">
      <c r="A982" t="s">
        <v>5594</v>
      </c>
      <c r="B982" t="s">
        <v>5595</v>
      </c>
      <c r="C982" t="s">
        <v>5596</v>
      </c>
      <c r="D982" t="s">
        <v>4563</v>
      </c>
      <c r="E982" t="s">
        <v>4564</v>
      </c>
      <c r="F982" t="s">
        <v>1227</v>
      </c>
      <c r="G982" t="s">
        <v>2344</v>
      </c>
      <c r="H982">
        <v>19089.95</v>
      </c>
      <c r="I982">
        <v>20044.439999999999</v>
      </c>
      <c r="J982" t="s">
        <v>3862</v>
      </c>
      <c r="K982">
        <v>1</v>
      </c>
      <c r="L982" t="s">
        <v>2945</v>
      </c>
      <c r="M982" s="19">
        <v>46262</v>
      </c>
      <c r="N982" t="s">
        <v>4565</v>
      </c>
    </row>
    <row r="983" spans="1:14" x14ac:dyDescent="0.3">
      <c r="A983" t="s">
        <v>5597</v>
      </c>
      <c r="B983" t="s">
        <v>5598</v>
      </c>
      <c r="C983" t="s">
        <v>5599</v>
      </c>
      <c r="D983" t="s">
        <v>4563</v>
      </c>
      <c r="E983" t="s">
        <v>4564</v>
      </c>
      <c r="F983" t="s">
        <v>1227</v>
      </c>
      <c r="G983" t="s">
        <v>2344</v>
      </c>
      <c r="H983">
        <v>19089.95</v>
      </c>
      <c r="I983">
        <v>20044.439999999999</v>
      </c>
      <c r="J983" t="s">
        <v>3862</v>
      </c>
      <c r="K983">
        <v>1</v>
      </c>
      <c r="L983" t="s">
        <v>2945</v>
      </c>
      <c r="M983" s="19">
        <v>46262</v>
      </c>
      <c r="N983" t="s">
        <v>4565</v>
      </c>
    </row>
    <row r="984" spans="1:14" x14ac:dyDescent="0.3">
      <c r="A984" t="s">
        <v>5600</v>
      </c>
      <c r="B984" t="s">
        <v>5601</v>
      </c>
      <c r="C984" t="s">
        <v>5602</v>
      </c>
      <c r="D984" t="s">
        <v>4563</v>
      </c>
      <c r="E984" t="s">
        <v>4564</v>
      </c>
      <c r="F984" t="s">
        <v>1227</v>
      </c>
      <c r="G984" t="s">
        <v>2344</v>
      </c>
      <c r="H984">
        <v>19089.95</v>
      </c>
      <c r="I984">
        <v>20044.439999999999</v>
      </c>
      <c r="J984" t="s">
        <v>3862</v>
      </c>
      <c r="K984">
        <v>1</v>
      </c>
      <c r="L984" t="s">
        <v>2945</v>
      </c>
      <c r="M984" s="19">
        <v>46262</v>
      </c>
      <c r="N984" t="s">
        <v>4565</v>
      </c>
    </row>
    <row r="985" spans="1:14" x14ac:dyDescent="0.3">
      <c r="A985" t="s">
        <v>5603</v>
      </c>
      <c r="B985" t="s">
        <v>5604</v>
      </c>
      <c r="C985" t="s">
        <v>5605</v>
      </c>
      <c r="D985" t="s">
        <v>4563</v>
      </c>
      <c r="E985" t="s">
        <v>4564</v>
      </c>
      <c r="F985" t="s">
        <v>1227</v>
      </c>
      <c r="G985" t="s">
        <v>2344</v>
      </c>
      <c r="H985">
        <v>22250.03</v>
      </c>
      <c r="I985">
        <v>23362.53</v>
      </c>
      <c r="J985" t="s">
        <v>3862</v>
      </c>
      <c r="K985">
        <v>1</v>
      </c>
      <c r="L985" t="s">
        <v>2945</v>
      </c>
      <c r="M985" s="19">
        <v>46262</v>
      </c>
      <c r="N985" t="s">
        <v>4565</v>
      </c>
    </row>
    <row r="986" spans="1:14" x14ac:dyDescent="0.3">
      <c r="A986" t="s">
        <v>5606</v>
      </c>
      <c r="B986" t="s">
        <v>5607</v>
      </c>
      <c r="C986" t="s">
        <v>5608</v>
      </c>
      <c r="D986" t="s">
        <v>4563</v>
      </c>
      <c r="E986" t="s">
        <v>4564</v>
      </c>
      <c r="F986" t="s">
        <v>1227</v>
      </c>
      <c r="G986" t="s">
        <v>2344</v>
      </c>
      <c r="H986">
        <v>22250.03</v>
      </c>
      <c r="I986">
        <v>23362.53</v>
      </c>
      <c r="J986" t="s">
        <v>3862</v>
      </c>
      <c r="K986">
        <v>1</v>
      </c>
      <c r="L986" t="s">
        <v>2945</v>
      </c>
      <c r="M986" s="19">
        <v>46262</v>
      </c>
      <c r="N986" t="s">
        <v>4565</v>
      </c>
    </row>
    <row r="987" spans="1:14" x14ac:dyDescent="0.3">
      <c r="A987" t="s">
        <v>5609</v>
      </c>
      <c r="B987" t="s">
        <v>5610</v>
      </c>
      <c r="C987" t="s">
        <v>5611</v>
      </c>
      <c r="D987" t="s">
        <v>4563</v>
      </c>
      <c r="E987" t="s">
        <v>4564</v>
      </c>
      <c r="F987" t="s">
        <v>1227</v>
      </c>
      <c r="G987" t="s">
        <v>2344</v>
      </c>
      <c r="H987">
        <v>10281.6</v>
      </c>
      <c r="I987">
        <v>10795.68</v>
      </c>
      <c r="J987" t="s">
        <v>3862</v>
      </c>
      <c r="K987">
        <v>1</v>
      </c>
      <c r="L987" t="s">
        <v>2945</v>
      </c>
      <c r="M987" s="19">
        <v>46262</v>
      </c>
      <c r="N987" t="s">
        <v>4565</v>
      </c>
    </row>
    <row r="988" spans="1:14" x14ac:dyDescent="0.3">
      <c r="A988" t="s">
        <v>5612</v>
      </c>
      <c r="B988" t="s">
        <v>5613</v>
      </c>
      <c r="C988" t="s">
        <v>5614</v>
      </c>
      <c r="D988" t="s">
        <v>4563</v>
      </c>
      <c r="E988" t="s">
        <v>4564</v>
      </c>
      <c r="F988" t="s">
        <v>1227</v>
      </c>
      <c r="G988" t="s">
        <v>2344</v>
      </c>
      <c r="H988">
        <v>10281.6</v>
      </c>
      <c r="I988">
        <v>10795.68</v>
      </c>
      <c r="J988" t="s">
        <v>3862</v>
      </c>
      <c r="K988">
        <v>1</v>
      </c>
      <c r="L988" t="s">
        <v>2945</v>
      </c>
      <c r="M988" s="19">
        <v>46262</v>
      </c>
      <c r="N988" t="s">
        <v>4565</v>
      </c>
    </row>
    <row r="989" spans="1:14" x14ac:dyDescent="0.3">
      <c r="A989" t="s">
        <v>5615</v>
      </c>
      <c r="B989" t="s">
        <v>5616</v>
      </c>
      <c r="C989" t="s">
        <v>5617</v>
      </c>
      <c r="D989" t="s">
        <v>4563</v>
      </c>
      <c r="E989" t="s">
        <v>4564</v>
      </c>
      <c r="F989" t="s">
        <v>1227</v>
      </c>
      <c r="G989" t="s">
        <v>2344</v>
      </c>
      <c r="H989">
        <v>19274.22</v>
      </c>
      <c r="I989">
        <v>20237.93</v>
      </c>
      <c r="J989" t="s">
        <v>3862</v>
      </c>
      <c r="K989">
        <v>1</v>
      </c>
      <c r="L989" t="s">
        <v>2945</v>
      </c>
      <c r="M989" s="19">
        <v>46262</v>
      </c>
      <c r="N989" t="s">
        <v>4565</v>
      </c>
    </row>
    <row r="990" spans="1:14" x14ac:dyDescent="0.3">
      <c r="A990" t="s">
        <v>5618</v>
      </c>
      <c r="B990" t="s">
        <v>5619</v>
      </c>
      <c r="C990" t="s">
        <v>5620</v>
      </c>
      <c r="D990" t="s">
        <v>4563</v>
      </c>
      <c r="E990" t="s">
        <v>4564</v>
      </c>
      <c r="F990" t="s">
        <v>1227</v>
      </c>
      <c r="G990" t="s">
        <v>2344</v>
      </c>
      <c r="H990">
        <v>19274.22</v>
      </c>
      <c r="I990">
        <v>20237.93</v>
      </c>
      <c r="J990" t="s">
        <v>3862</v>
      </c>
      <c r="K990">
        <v>1</v>
      </c>
      <c r="L990" t="s">
        <v>2945</v>
      </c>
      <c r="M990" s="19">
        <v>46262</v>
      </c>
      <c r="N990" t="s">
        <v>4565</v>
      </c>
    </row>
    <row r="991" spans="1:14" x14ac:dyDescent="0.3">
      <c r="A991" t="s">
        <v>5621</v>
      </c>
      <c r="B991" t="s">
        <v>5622</v>
      </c>
      <c r="C991" t="s">
        <v>5623</v>
      </c>
      <c r="D991" t="s">
        <v>4563</v>
      </c>
      <c r="E991" t="s">
        <v>4564</v>
      </c>
      <c r="F991" t="s">
        <v>1227</v>
      </c>
      <c r="G991" t="s">
        <v>2344</v>
      </c>
      <c r="H991">
        <v>22532.58</v>
      </c>
      <c r="I991">
        <v>23659.21</v>
      </c>
      <c r="J991" t="s">
        <v>3862</v>
      </c>
      <c r="K991">
        <v>1</v>
      </c>
      <c r="L991" t="s">
        <v>2945</v>
      </c>
      <c r="M991" s="19">
        <v>46262</v>
      </c>
      <c r="N991" t="s">
        <v>4565</v>
      </c>
    </row>
    <row r="992" spans="1:14" x14ac:dyDescent="0.3">
      <c r="A992" t="s">
        <v>5624</v>
      </c>
      <c r="B992" t="s">
        <v>5625</v>
      </c>
      <c r="C992" t="s">
        <v>5626</v>
      </c>
      <c r="D992" t="s">
        <v>4563</v>
      </c>
      <c r="E992" t="s">
        <v>4564</v>
      </c>
      <c r="F992" t="s">
        <v>1227</v>
      </c>
      <c r="G992" t="s">
        <v>2344</v>
      </c>
      <c r="H992">
        <v>22529.75</v>
      </c>
      <c r="I992">
        <v>23656.23</v>
      </c>
      <c r="J992" t="s">
        <v>3862</v>
      </c>
      <c r="K992">
        <v>1</v>
      </c>
      <c r="L992" t="s">
        <v>2945</v>
      </c>
      <c r="M992" s="19">
        <v>46262</v>
      </c>
      <c r="N992" t="s">
        <v>4565</v>
      </c>
    </row>
    <row r="993" spans="1:14" x14ac:dyDescent="0.3">
      <c r="A993" t="s">
        <v>5627</v>
      </c>
      <c r="B993" t="s">
        <v>5628</v>
      </c>
      <c r="C993" t="s">
        <v>5629</v>
      </c>
      <c r="D993" t="s">
        <v>4563</v>
      </c>
      <c r="E993" t="s">
        <v>4564</v>
      </c>
      <c r="F993" t="s">
        <v>1227</v>
      </c>
      <c r="G993" t="s">
        <v>2344</v>
      </c>
      <c r="H993">
        <v>11121.4</v>
      </c>
      <c r="I993">
        <v>11677.47</v>
      </c>
      <c r="J993" t="s">
        <v>3862</v>
      </c>
      <c r="K993">
        <v>1</v>
      </c>
      <c r="L993" t="s">
        <v>2945</v>
      </c>
      <c r="M993" s="19">
        <v>46262</v>
      </c>
      <c r="N993" t="s">
        <v>4565</v>
      </c>
    </row>
    <row r="994" spans="1:14" x14ac:dyDescent="0.3">
      <c r="A994" t="s">
        <v>5630</v>
      </c>
      <c r="B994" t="s">
        <v>5631</v>
      </c>
      <c r="C994" t="s">
        <v>5632</v>
      </c>
      <c r="D994" t="s">
        <v>4563</v>
      </c>
      <c r="E994" t="s">
        <v>4564</v>
      </c>
      <c r="F994" t="s">
        <v>1227</v>
      </c>
      <c r="G994" t="s">
        <v>2344</v>
      </c>
      <c r="H994">
        <v>13967.1</v>
      </c>
      <c r="I994">
        <v>14665.46</v>
      </c>
      <c r="J994" t="s">
        <v>3862</v>
      </c>
      <c r="K994">
        <v>1</v>
      </c>
      <c r="L994" t="s">
        <v>2945</v>
      </c>
      <c r="M994" s="19">
        <v>46262</v>
      </c>
      <c r="N994" t="s">
        <v>4565</v>
      </c>
    </row>
    <row r="995" spans="1:14" x14ac:dyDescent="0.3">
      <c r="A995" t="s">
        <v>5633</v>
      </c>
      <c r="B995" t="s">
        <v>5634</v>
      </c>
      <c r="C995" t="s">
        <v>5635</v>
      </c>
      <c r="D995" t="s">
        <v>4563</v>
      </c>
      <c r="E995" t="s">
        <v>4564</v>
      </c>
      <c r="F995" t="s">
        <v>1227</v>
      </c>
      <c r="G995" t="s">
        <v>2344</v>
      </c>
      <c r="H995">
        <v>13967.1</v>
      </c>
      <c r="I995">
        <v>14665.46</v>
      </c>
      <c r="J995" t="s">
        <v>3862</v>
      </c>
      <c r="K995">
        <v>1</v>
      </c>
      <c r="L995" t="s">
        <v>2945</v>
      </c>
      <c r="M995" s="19">
        <v>46262</v>
      </c>
      <c r="N995" t="s">
        <v>4565</v>
      </c>
    </row>
    <row r="996" spans="1:14" x14ac:dyDescent="0.3">
      <c r="A996" t="s">
        <v>5636</v>
      </c>
      <c r="B996" t="s">
        <v>5637</v>
      </c>
      <c r="C996" t="s">
        <v>5638</v>
      </c>
      <c r="D996" t="s">
        <v>4563</v>
      </c>
      <c r="E996" t="s">
        <v>4564</v>
      </c>
      <c r="F996" t="s">
        <v>1227</v>
      </c>
      <c r="G996" t="s">
        <v>2344</v>
      </c>
      <c r="H996">
        <v>13967.1</v>
      </c>
      <c r="I996">
        <v>14665.46</v>
      </c>
      <c r="J996" t="s">
        <v>3862</v>
      </c>
      <c r="K996">
        <v>1</v>
      </c>
      <c r="L996" t="s">
        <v>2945</v>
      </c>
      <c r="M996" s="19">
        <v>46262</v>
      </c>
      <c r="N996" t="s">
        <v>4565</v>
      </c>
    </row>
    <row r="997" spans="1:14" x14ac:dyDescent="0.3">
      <c r="A997" t="s">
        <v>5639</v>
      </c>
      <c r="B997" t="s">
        <v>5640</v>
      </c>
      <c r="C997" t="s">
        <v>5641</v>
      </c>
      <c r="D997" t="s">
        <v>4563</v>
      </c>
      <c r="E997" t="s">
        <v>4564</v>
      </c>
      <c r="F997" t="s">
        <v>1227</v>
      </c>
      <c r="G997" t="s">
        <v>2344</v>
      </c>
      <c r="H997">
        <v>13967.1</v>
      </c>
      <c r="I997">
        <v>14665.46</v>
      </c>
      <c r="J997" t="s">
        <v>3862</v>
      </c>
      <c r="K997">
        <v>1</v>
      </c>
      <c r="L997" t="s">
        <v>2945</v>
      </c>
      <c r="M997" s="19">
        <v>46262</v>
      </c>
      <c r="N997" t="s">
        <v>4565</v>
      </c>
    </row>
    <row r="998" spans="1:14" x14ac:dyDescent="0.3">
      <c r="A998" t="s">
        <v>5642</v>
      </c>
      <c r="B998" t="s">
        <v>5643</v>
      </c>
      <c r="C998" t="s">
        <v>5644</v>
      </c>
      <c r="D998" t="s">
        <v>4563</v>
      </c>
      <c r="E998" t="s">
        <v>4564</v>
      </c>
      <c r="F998" t="s">
        <v>1227</v>
      </c>
      <c r="G998" t="s">
        <v>2344</v>
      </c>
      <c r="H998">
        <v>13967.1</v>
      </c>
      <c r="I998">
        <v>14665.46</v>
      </c>
      <c r="J998" t="s">
        <v>3862</v>
      </c>
      <c r="K998">
        <v>1</v>
      </c>
      <c r="L998" t="s">
        <v>2945</v>
      </c>
      <c r="M998" s="19">
        <v>46262</v>
      </c>
      <c r="N998" t="s">
        <v>4565</v>
      </c>
    </row>
    <row r="999" spans="1:14" x14ac:dyDescent="0.3">
      <c r="A999" t="s">
        <v>5645</v>
      </c>
      <c r="B999" t="s">
        <v>5646</v>
      </c>
      <c r="C999" t="s">
        <v>5647</v>
      </c>
      <c r="D999" t="s">
        <v>4563</v>
      </c>
      <c r="E999" t="s">
        <v>4564</v>
      </c>
      <c r="F999" t="s">
        <v>1227</v>
      </c>
      <c r="G999" t="s">
        <v>2344</v>
      </c>
      <c r="H999">
        <v>13967.1</v>
      </c>
      <c r="I999">
        <v>14665.46</v>
      </c>
      <c r="J999" t="s">
        <v>3862</v>
      </c>
      <c r="K999">
        <v>1</v>
      </c>
      <c r="L999" t="s">
        <v>2945</v>
      </c>
      <c r="M999" s="19">
        <v>46262</v>
      </c>
      <c r="N999" t="s">
        <v>4565</v>
      </c>
    </row>
    <row r="1000" spans="1:14" x14ac:dyDescent="0.3">
      <c r="A1000" t="s">
        <v>5648</v>
      </c>
      <c r="B1000" t="s">
        <v>5649</v>
      </c>
      <c r="C1000" t="s">
        <v>5650</v>
      </c>
      <c r="D1000" t="s">
        <v>4563</v>
      </c>
      <c r="E1000" t="s">
        <v>4564</v>
      </c>
      <c r="F1000" t="s">
        <v>1227</v>
      </c>
      <c r="G1000" t="s">
        <v>2344</v>
      </c>
      <c r="H1000">
        <v>13967.1</v>
      </c>
      <c r="I1000">
        <v>14665.46</v>
      </c>
      <c r="J1000" t="s">
        <v>3862</v>
      </c>
      <c r="K1000">
        <v>1</v>
      </c>
      <c r="L1000" t="s">
        <v>2945</v>
      </c>
      <c r="M1000" s="19">
        <v>46262</v>
      </c>
      <c r="N1000" t="s">
        <v>4565</v>
      </c>
    </row>
    <row r="1001" spans="1:14" x14ac:dyDescent="0.3">
      <c r="A1001" t="s">
        <v>5651</v>
      </c>
      <c r="B1001" t="s">
        <v>5652</v>
      </c>
      <c r="C1001" t="s">
        <v>5653</v>
      </c>
      <c r="D1001" t="s">
        <v>4563</v>
      </c>
      <c r="E1001" t="s">
        <v>4564</v>
      </c>
      <c r="F1001" t="s">
        <v>1227</v>
      </c>
      <c r="G1001" t="s">
        <v>2344</v>
      </c>
      <c r="H1001">
        <v>13967.1</v>
      </c>
      <c r="I1001">
        <v>14665.46</v>
      </c>
      <c r="J1001" t="s">
        <v>3862</v>
      </c>
      <c r="K1001">
        <v>1</v>
      </c>
      <c r="L1001" t="s">
        <v>2945</v>
      </c>
      <c r="M1001" s="19">
        <v>46262</v>
      </c>
      <c r="N1001" t="s">
        <v>4565</v>
      </c>
    </row>
    <row r="1002" spans="1:14" x14ac:dyDescent="0.3">
      <c r="A1002" t="s">
        <v>5654</v>
      </c>
      <c r="B1002" t="s">
        <v>5655</v>
      </c>
      <c r="C1002" t="s">
        <v>5656</v>
      </c>
      <c r="D1002" t="s">
        <v>4563</v>
      </c>
      <c r="E1002" t="s">
        <v>4564</v>
      </c>
      <c r="F1002" t="s">
        <v>1227</v>
      </c>
      <c r="G1002" t="s">
        <v>2344</v>
      </c>
      <c r="H1002">
        <v>13967.1</v>
      </c>
      <c r="I1002">
        <v>14665.46</v>
      </c>
      <c r="J1002" t="s">
        <v>3862</v>
      </c>
      <c r="K1002">
        <v>1</v>
      </c>
      <c r="L1002" t="s">
        <v>2945</v>
      </c>
      <c r="M1002" s="19">
        <v>46262</v>
      </c>
      <c r="N1002" t="s">
        <v>4565</v>
      </c>
    </row>
    <row r="1003" spans="1:14" x14ac:dyDescent="0.3">
      <c r="A1003" t="s">
        <v>5657</v>
      </c>
      <c r="B1003" t="s">
        <v>5658</v>
      </c>
      <c r="C1003" t="s">
        <v>5659</v>
      </c>
      <c r="D1003" t="s">
        <v>4563</v>
      </c>
      <c r="E1003" t="s">
        <v>4564</v>
      </c>
      <c r="F1003" t="s">
        <v>1227</v>
      </c>
      <c r="G1003" t="s">
        <v>2344</v>
      </c>
      <c r="H1003">
        <v>13967.1</v>
      </c>
      <c r="I1003">
        <v>14665.46</v>
      </c>
      <c r="J1003" t="s">
        <v>3862</v>
      </c>
      <c r="K1003">
        <v>1</v>
      </c>
      <c r="L1003" t="s">
        <v>2945</v>
      </c>
      <c r="M1003" s="19">
        <v>46262</v>
      </c>
      <c r="N1003" t="s">
        <v>4565</v>
      </c>
    </row>
    <row r="1004" spans="1:14" x14ac:dyDescent="0.3">
      <c r="A1004" t="s">
        <v>5660</v>
      </c>
      <c r="B1004" t="s">
        <v>5661</v>
      </c>
      <c r="C1004" t="s">
        <v>5662</v>
      </c>
      <c r="D1004" t="s">
        <v>4563</v>
      </c>
      <c r="E1004" t="s">
        <v>4564</v>
      </c>
      <c r="F1004" t="s">
        <v>1227</v>
      </c>
      <c r="G1004" t="s">
        <v>2344</v>
      </c>
      <c r="H1004">
        <v>13967.1</v>
      </c>
      <c r="I1004">
        <v>14665.46</v>
      </c>
      <c r="J1004" t="s">
        <v>3862</v>
      </c>
      <c r="K1004">
        <v>1</v>
      </c>
      <c r="L1004" t="s">
        <v>2945</v>
      </c>
      <c r="M1004" s="19">
        <v>46262</v>
      </c>
      <c r="N1004" t="s">
        <v>4565</v>
      </c>
    </row>
    <row r="1005" spans="1:14" x14ac:dyDescent="0.3">
      <c r="A1005" t="s">
        <v>5663</v>
      </c>
      <c r="B1005" t="s">
        <v>5664</v>
      </c>
      <c r="C1005" t="s">
        <v>5665</v>
      </c>
      <c r="D1005" t="s">
        <v>4563</v>
      </c>
      <c r="E1005" t="s">
        <v>4564</v>
      </c>
      <c r="F1005" t="s">
        <v>1227</v>
      </c>
      <c r="G1005" t="s">
        <v>2344</v>
      </c>
      <c r="H1005">
        <v>13967.1</v>
      </c>
      <c r="I1005">
        <v>14665.46</v>
      </c>
      <c r="J1005" t="s">
        <v>3862</v>
      </c>
      <c r="K1005">
        <v>1</v>
      </c>
      <c r="L1005" t="s">
        <v>2945</v>
      </c>
      <c r="M1005" s="19">
        <v>46262</v>
      </c>
      <c r="N1005" t="s">
        <v>4565</v>
      </c>
    </row>
    <row r="1006" spans="1:14" x14ac:dyDescent="0.3">
      <c r="A1006" t="s">
        <v>5666</v>
      </c>
      <c r="B1006" t="s">
        <v>5667</v>
      </c>
      <c r="C1006" t="s">
        <v>5668</v>
      </c>
      <c r="D1006" t="s">
        <v>4563</v>
      </c>
      <c r="E1006" t="s">
        <v>4564</v>
      </c>
      <c r="F1006" t="s">
        <v>1227</v>
      </c>
      <c r="G1006" t="s">
        <v>2344</v>
      </c>
      <c r="H1006">
        <v>11954.25</v>
      </c>
      <c r="I1006">
        <v>12551.96</v>
      </c>
      <c r="J1006" t="s">
        <v>3862</v>
      </c>
      <c r="K1006">
        <v>1</v>
      </c>
      <c r="L1006" t="s">
        <v>2945</v>
      </c>
      <c r="M1006" s="19">
        <v>46262</v>
      </c>
      <c r="N1006" t="s">
        <v>4565</v>
      </c>
    </row>
    <row r="1007" spans="1:14" x14ac:dyDescent="0.3">
      <c r="A1007" t="s">
        <v>5669</v>
      </c>
      <c r="B1007" t="s">
        <v>5670</v>
      </c>
      <c r="C1007" t="s">
        <v>5671</v>
      </c>
      <c r="D1007" t="s">
        <v>4563</v>
      </c>
      <c r="E1007" t="s">
        <v>4564</v>
      </c>
      <c r="F1007" t="s">
        <v>1227</v>
      </c>
      <c r="G1007" t="s">
        <v>2344</v>
      </c>
      <c r="H1007">
        <v>11954.25</v>
      </c>
      <c r="I1007">
        <v>12551.96</v>
      </c>
      <c r="J1007" t="s">
        <v>3862</v>
      </c>
      <c r="K1007">
        <v>1</v>
      </c>
      <c r="L1007" t="s">
        <v>2945</v>
      </c>
      <c r="M1007" s="19">
        <v>46262</v>
      </c>
      <c r="N1007" t="s">
        <v>4565</v>
      </c>
    </row>
    <row r="1008" spans="1:14" x14ac:dyDescent="0.3">
      <c r="A1008" t="s">
        <v>5672</v>
      </c>
      <c r="B1008" t="s">
        <v>5673</v>
      </c>
      <c r="C1008" t="s">
        <v>5674</v>
      </c>
      <c r="D1008" t="s">
        <v>4563</v>
      </c>
      <c r="E1008" t="s">
        <v>4564</v>
      </c>
      <c r="F1008" t="s">
        <v>1227</v>
      </c>
      <c r="G1008" t="s">
        <v>2344</v>
      </c>
      <c r="H1008">
        <v>12936.11</v>
      </c>
      <c r="I1008">
        <v>13582.91</v>
      </c>
      <c r="J1008" t="s">
        <v>3862</v>
      </c>
      <c r="K1008">
        <v>1</v>
      </c>
      <c r="L1008" t="s">
        <v>2945</v>
      </c>
      <c r="M1008" s="19">
        <v>46262</v>
      </c>
      <c r="N1008" t="s">
        <v>4565</v>
      </c>
    </row>
    <row r="1009" spans="1:14" x14ac:dyDescent="0.3">
      <c r="A1009" t="s">
        <v>5675</v>
      </c>
      <c r="B1009" t="s">
        <v>5676</v>
      </c>
      <c r="C1009" t="s">
        <v>5677</v>
      </c>
      <c r="D1009" t="s">
        <v>4563</v>
      </c>
      <c r="E1009" t="s">
        <v>4564</v>
      </c>
      <c r="F1009" t="s">
        <v>1227</v>
      </c>
      <c r="G1009" t="s">
        <v>2344</v>
      </c>
      <c r="H1009">
        <v>12936.11</v>
      </c>
      <c r="I1009">
        <v>13582.91</v>
      </c>
      <c r="J1009" t="s">
        <v>3862</v>
      </c>
      <c r="K1009">
        <v>1</v>
      </c>
      <c r="L1009" t="s">
        <v>2945</v>
      </c>
      <c r="M1009" s="19">
        <v>46262</v>
      </c>
      <c r="N1009" t="s">
        <v>4565</v>
      </c>
    </row>
    <row r="1010" spans="1:14" x14ac:dyDescent="0.3">
      <c r="A1010" t="s">
        <v>5678</v>
      </c>
      <c r="B1010" t="s">
        <v>5679</v>
      </c>
      <c r="C1010" t="s">
        <v>5680</v>
      </c>
      <c r="D1010" t="s">
        <v>4563</v>
      </c>
      <c r="E1010" t="s">
        <v>4564</v>
      </c>
      <c r="F1010" t="s">
        <v>1227</v>
      </c>
      <c r="G1010" t="s">
        <v>2344</v>
      </c>
      <c r="H1010">
        <v>12936.11</v>
      </c>
      <c r="I1010">
        <v>13582.91</v>
      </c>
      <c r="J1010" t="s">
        <v>3862</v>
      </c>
      <c r="K1010">
        <v>1</v>
      </c>
      <c r="L1010" t="s">
        <v>2945</v>
      </c>
      <c r="M1010" s="19">
        <v>46262</v>
      </c>
      <c r="N1010" t="s">
        <v>4565</v>
      </c>
    </row>
    <row r="1011" spans="1:14" x14ac:dyDescent="0.3">
      <c r="A1011" t="s">
        <v>5681</v>
      </c>
      <c r="B1011" t="s">
        <v>5682</v>
      </c>
      <c r="C1011" t="s">
        <v>5683</v>
      </c>
      <c r="D1011" t="s">
        <v>4563</v>
      </c>
      <c r="E1011" t="s">
        <v>4564</v>
      </c>
      <c r="F1011" t="s">
        <v>1227</v>
      </c>
      <c r="G1011" t="s">
        <v>2344</v>
      </c>
      <c r="H1011">
        <v>12936.11</v>
      </c>
      <c r="I1011">
        <v>13582.91</v>
      </c>
      <c r="J1011" t="s">
        <v>3862</v>
      </c>
      <c r="K1011">
        <v>1</v>
      </c>
      <c r="L1011" t="s">
        <v>2945</v>
      </c>
      <c r="M1011" s="19">
        <v>46262</v>
      </c>
      <c r="N1011" t="s">
        <v>4565</v>
      </c>
    </row>
    <row r="1012" spans="1:14" x14ac:dyDescent="0.3">
      <c r="A1012" t="s">
        <v>5684</v>
      </c>
      <c r="B1012" t="s">
        <v>5685</v>
      </c>
      <c r="C1012" t="s">
        <v>5686</v>
      </c>
      <c r="D1012" t="s">
        <v>4563</v>
      </c>
      <c r="E1012" t="s">
        <v>4564</v>
      </c>
      <c r="F1012" t="s">
        <v>1227</v>
      </c>
      <c r="G1012" t="s">
        <v>2344</v>
      </c>
      <c r="H1012">
        <v>12936.11</v>
      </c>
      <c r="I1012">
        <v>13582.91</v>
      </c>
      <c r="J1012" t="s">
        <v>3862</v>
      </c>
      <c r="K1012">
        <v>1</v>
      </c>
      <c r="L1012" t="s">
        <v>2945</v>
      </c>
      <c r="M1012" s="19">
        <v>46262</v>
      </c>
      <c r="N1012" t="s">
        <v>4565</v>
      </c>
    </row>
    <row r="1013" spans="1:14" x14ac:dyDescent="0.3">
      <c r="A1013" t="s">
        <v>5687</v>
      </c>
      <c r="B1013" t="s">
        <v>5688</v>
      </c>
      <c r="C1013" t="s">
        <v>5689</v>
      </c>
      <c r="D1013" t="s">
        <v>4563</v>
      </c>
      <c r="E1013" t="s">
        <v>4564</v>
      </c>
      <c r="F1013" t="s">
        <v>1227</v>
      </c>
      <c r="G1013" t="s">
        <v>2344</v>
      </c>
      <c r="H1013">
        <v>12936.11</v>
      </c>
      <c r="I1013">
        <v>13582.91</v>
      </c>
      <c r="J1013" t="s">
        <v>3862</v>
      </c>
      <c r="K1013">
        <v>1</v>
      </c>
      <c r="L1013" t="s">
        <v>2945</v>
      </c>
      <c r="M1013" s="19">
        <v>46262</v>
      </c>
      <c r="N1013" t="s">
        <v>4565</v>
      </c>
    </row>
    <row r="1014" spans="1:14" x14ac:dyDescent="0.3">
      <c r="A1014" t="s">
        <v>5690</v>
      </c>
      <c r="B1014" t="s">
        <v>5691</v>
      </c>
      <c r="C1014" t="s">
        <v>5692</v>
      </c>
      <c r="D1014" t="s">
        <v>4563</v>
      </c>
      <c r="E1014" t="s">
        <v>4564</v>
      </c>
      <c r="F1014" t="s">
        <v>1227</v>
      </c>
      <c r="G1014" t="s">
        <v>2344</v>
      </c>
      <c r="H1014">
        <v>13691.16</v>
      </c>
      <c r="I1014">
        <v>14375.72</v>
      </c>
      <c r="J1014" t="s">
        <v>3862</v>
      </c>
      <c r="K1014">
        <v>1</v>
      </c>
      <c r="L1014" t="s">
        <v>2945</v>
      </c>
      <c r="M1014" s="19">
        <v>46262</v>
      </c>
      <c r="N1014" t="s">
        <v>4565</v>
      </c>
    </row>
    <row r="1015" spans="1:14" x14ac:dyDescent="0.3">
      <c r="A1015" t="s">
        <v>5693</v>
      </c>
      <c r="B1015" t="s">
        <v>5694</v>
      </c>
      <c r="C1015" t="s">
        <v>5695</v>
      </c>
      <c r="D1015" t="s">
        <v>4563</v>
      </c>
      <c r="E1015" t="s">
        <v>4564</v>
      </c>
      <c r="F1015" t="s">
        <v>1227</v>
      </c>
      <c r="G1015" t="s">
        <v>2344</v>
      </c>
      <c r="H1015">
        <v>30598.15</v>
      </c>
      <c r="I1015">
        <v>32128.06</v>
      </c>
      <c r="J1015" t="s">
        <v>3862</v>
      </c>
      <c r="K1015">
        <v>1</v>
      </c>
      <c r="L1015" t="s">
        <v>2945</v>
      </c>
      <c r="M1015" s="19">
        <v>46262</v>
      </c>
      <c r="N1015" t="s">
        <v>4565</v>
      </c>
    </row>
    <row r="1016" spans="1:14" x14ac:dyDescent="0.3">
      <c r="A1016" t="s">
        <v>5696</v>
      </c>
      <c r="B1016" t="s">
        <v>5697</v>
      </c>
      <c r="C1016" t="s">
        <v>5698</v>
      </c>
      <c r="D1016" t="s">
        <v>4563</v>
      </c>
      <c r="E1016" t="s">
        <v>4564</v>
      </c>
      <c r="F1016" t="s">
        <v>1227</v>
      </c>
      <c r="G1016" t="s">
        <v>2344</v>
      </c>
      <c r="H1016">
        <v>30598.15</v>
      </c>
      <c r="I1016">
        <v>32128.06</v>
      </c>
      <c r="J1016" t="s">
        <v>3862</v>
      </c>
      <c r="K1016">
        <v>1</v>
      </c>
      <c r="L1016" t="s">
        <v>2945</v>
      </c>
      <c r="M1016" s="19">
        <v>46262</v>
      </c>
      <c r="N1016" t="s">
        <v>4565</v>
      </c>
    </row>
    <row r="1017" spans="1:14" x14ac:dyDescent="0.3">
      <c r="A1017" t="s">
        <v>5699</v>
      </c>
      <c r="B1017" t="s">
        <v>5700</v>
      </c>
      <c r="C1017" t="s">
        <v>5701</v>
      </c>
      <c r="D1017" t="s">
        <v>4563</v>
      </c>
      <c r="E1017" t="s">
        <v>4564</v>
      </c>
      <c r="F1017" t="s">
        <v>1227</v>
      </c>
      <c r="G1017" t="s">
        <v>2344</v>
      </c>
      <c r="H1017">
        <v>37564.69</v>
      </c>
      <c r="I1017">
        <v>39442.93</v>
      </c>
      <c r="J1017" t="s">
        <v>3862</v>
      </c>
      <c r="K1017">
        <v>1</v>
      </c>
      <c r="L1017" t="s">
        <v>2945</v>
      </c>
      <c r="M1017" s="19">
        <v>46262</v>
      </c>
      <c r="N1017" t="s">
        <v>4565</v>
      </c>
    </row>
    <row r="1018" spans="1:14" x14ac:dyDescent="0.3">
      <c r="A1018" t="s">
        <v>5702</v>
      </c>
      <c r="B1018" t="s">
        <v>5703</v>
      </c>
      <c r="C1018" t="s">
        <v>5704</v>
      </c>
      <c r="D1018" t="s">
        <v>4563</v>
      </c>
      <c r="E1018" t="s">
        <v>4564</v>
      </c>
      <c r="F1018" t="s">
        <v>1227</v>
      </c>
      <c r="G1018" t="s">
        <v>2344</v>
      </c>
      <c r="H1018">
        <v>37564.69</v>
      </c>
      <c r="I1018">
        <v>39442.93</v>
      </c>
      <c r="J1018" t="s">
        <v>3862</v>
      </c>
      <c r="K1018">
        <v>1</v>
      </c>
      <c r="L1018" t="s">
        <v>2945</v>
      </c>
      <c r="M1018" s="19">
        <v>46262</v>
      </c>
      <c r="N1018" t="s">
        <v>4565</v>
      </c>
    </row>
    <row r="1019" spans="1:14" x14ac:dyDescent="0.3">
      <c r="A1019" t="s">
        <v>5705</v>
      </c>
      <c r="B1019" t="s">
        <v>5706</v>
      </c>
      <c r="C1019" t="s">
        <v>5707</v>
      </c>
      <c r="D1019" t="s">
        <v>4563</v>
      </c>
      <c r="E1019" t="s">
        <v>4564</v>
      </c>
      <c r="F1019" t="s">
        <v>1227</v>
      </c>
      <c r="G1019" t="s">
        <v>2344</v>
      </c>
      <c r="H1019">
        <v>38708.15</v>
      </c>
      <c r="I1019">
        <v>40643.550000000003</v>
      </c>
      <c r="J1019" t="s">
        <v>3862</v>
      </c>
      <c r="K1019">
        <v>1</v>
      </c>
      <c r="L1019" t="s">
        <v>2945</v>
      </c>
      <c r="M1019" s="19">
        <v>46262</v>
      </c>
      <c r="N1019" t="s">
        <v>4565</v>
      </c>
    </row>
    <row r="1020" spans="1:14" x14ac:dyDescent="0.3">
      <c r="A1020" t="s">
        <v>5708</v>
      </c>
      <c r="B1020" t="s">
        <v>5709</v>
      </c>
      <c r="C1020" t="s">
        <v>5710</v>
      </c>
      <c r="D1020" t="s">
        <v>4563</v>
      </c>
      <c r="E1020" t="s">
        <v>4564</v>
      </c>
      <c r="F1020" t="s">
        <v>1227</v>
      </c>
      <c r="G1020" t="s">
        <v>2344</v>
      </c>
      <c r="H1020">
        <v>38708.15</v>
      </c>
      <c r="I1020">
        <v>40643.550000000003</v>
      </c>
      <c r="J1020" t="s">
        <v>3862</v>
      </c>
      <c r="K1020">
        <v>1</v>
      </c>
      <c r="L1020" t="s">
        <v>2945</v>
      </c>
      <c r="M1020" s="19">
        <v>46262</v>
      </c>
      <c r="N1020" t="s">
        <v>4565</v>
      </c>
    </row>
    <row r="1021" spans="1:14" x14ac:dyDescent="0.3">
      <c r="A1021" t="s">
        <v>5711</v>
      </c>
      <c r="B1021" t="s">
        <v>5712</v>
      </c>
      <c r="C1021" t="s">
        <v>5713</v>
      </c>
      <c r="D1021" t="s">
        <v>4563</v>
      </c>
      <c r="E1021" t="s">
        <v>4564</v>
      </c>
      <c r="F1021" t="s">
        <v>1227</v>
      </c>
      <c r="G1021" t="s">
        <v>2344</v>
      </c>
      <c r="H1021">
        <v>38708.15</v>
      </c>
      <c r="I1021">
        <v>40643.550000000003</v>
      </c>
      <c r="J1021" t="s">
        <v>3862</v>
      </c>
      <c r="K1021">
        <v>1</v>
      </c>
      <c r="L1021" t="s">
        <v>2945</v>
      </c>
      <c r="M1021" s="19">
        <v>46262</v>
      </c>
      <c r="N1021" t="s">
        <v>4565</v>
      </c>
    </row>
    <row r="1022" spans="1:14" x14ac:dyDescent="0.3">
      <c r="A1022" t="s">
        <v>5714</v>
      </c>
      <c r="B1022" t="s">
        <v>5715</v>
      </c>
      <c r="C1022" t="s">
        <v>5716</v>
      </c>
      <c r="D1022" t="s">
        <v>4563</v>
      </c>
      <c r="E1022" t="s">
        <v>4564</v>
      </c>
      <c r="F1022" t="s">
        <v>1227</v>
      </c>
      <c r="G1022" t="s">
        <v>2344</v>
      </c>
      <c r="H1022">
        <v>38708.15</v>
      </c>
      <c r="I1022">
        <v>40643.550000000003</v>
      </c>
      <c r="J1022" t="s">
        <v>3862</v>
      </c>
      <c r="K1022">
        <v>1</v>
      </c>
      <c r="L1022" t="s">
        <v>2945</v>
      </c>
      <c r="M1022" s="19">
        <v>46262</v>
      </c>
      <c r="N1022" t="s">
        <v>4565</v>
      </c>
    </row>
    <row r="1023" spans="1:14" x14ac:dyDescent="0.3">
      <c r="A1023" t="s">
        <v>5717</v>
      </c>
      <c r="B1023" t="s">
        <v>5718</v>
      </c>
      <c r="C1023" t="s">
        <v>5719</v>
      </c>
      <c r="D1023" t="s">
        <v>4563</v>
      </c>
      <c r="E1023" t="s">
        <v>4564</v>
      </c>
      <c r="F1023" t="s">
        <v>1227</v>
      </c>
      <c r="G1023" t="s">
        <v>2344</v>
      </c>
      <c r="H1023">
        <v>37564.69</v>
      </c>
      <c r="I1023">
        <v>39442.93</v>
      </c>
      <c r="J1023" t="s">
        <v>3862</v>
      </c>
      <c r="K1023">
        <v>1</v>
      </c>
      <c r="L1023" t="s">
        <v>2945</v>
      </c>
      <c r="M1023" s="19">
        <v>46262</v>
      </c>
      <c r="N1023" t="s">
        <v>4565</v>
      </c>
    </row>
    <row r="1024" spans="1:14" x14ac:dyDescent="0.3">
      <c r="A1024" t="s">
        <v>5720</v>
      </c>
      <c r="B1024" t="s">
        <v>5721</v>
      </c>
      <c r="C1024" t="s">
        <v>5722</v>
      </c>
      <c r="D1024" t="s">
        <v>4563</v>
      </c>
      <c r="E1024" t="s">
        <v>4564</v>
      </c>
      <c r="F1024" t="s">
        <v>1227</v>
      </c>
      <c r="G1024" t="s">
        <v>2344</v>
      </c>
      <c r="H1024">
        <v>37564.69</v>
      </c>
      <c r="I1024">
        <v>39442.93</v>
      </c>
      <c r="J1024" t="s">
        <v>3862</v>
      </c>
      <c r="K1024">
        <v>1</v>
      </c>
      <c r="L1024" t="s">
        <v>2945</v>
      </c>
      <c r="M1024" s="19">
        <v>46262</v>
      </c>
      <c r="N1024" t="s">
        <v>4565</v>
      </c>
    </row>
    <row r="1025" spans="1:14" x14ac:dyDescent="0.3">
      <c r="A1025" t="s">
        <v>5723</v>
      </c>
      <c r="B1025" t="s">
        <v>5724</v>
      </c>
      <c r="C1025" t="s">
        <v>5725</v>
      </c>
      <c r="D1025" t="s">
        <v>4563</v>
      </c>
      <c r="E1025" t="s">
        <v>4564</v>
      </c>
      <c r="F1025" t="s">
        <v>1227</v>
      </c>
      <c r="G1025" t="s">
        <v>2344</v>
      </c>
      <c r="H1025">
        <v>37564.69</v>
      </c>
      <c r="I1025">
        <v>39442.93</v>
      </c>
      <c r="J1025" t="s">
        <v>3862</v>
      </c>
      <c r="K1025">
        <v>1</v>
      </c>
      <c r="L1025" t="s">
        <v>2945</v>
      </c>
      <c r="M1025" s="19">
        <v>46262</v>
      </c>
      <c r="N1025" t="s">
        <v>4565</v>
      </c>
    </row>
    <row r="1026" spans="1:14" x14ac:dyDescent="0.3">
      <c r="A1026" t="s">
        <v>5726</v>
      </c>
      <c r="B1026" t="s">
        <v>5727</v>
      </c>
      <c r="C1026" t="s">
        <v>5728</v>
      </c>
      <c r="D1026" t="s">
        <v>4563</v>
      </c>
      <c r="E1026" t="s">
        <v>4564</v>
      </c>
      <c r="F1026" t="s">
        <v>1227</v>
      </c>
      <c r="G1026" t="s">
        <v>2344</v>
      </c>
      <c r="H1026">
        <v>37564.69</v>
      </c>
      <c r="I1026">
        <v>39442.93</v>
      </c>
      <c r="J1026" t="s">
        <v>3862</v>
      </c>
      <c r="K1026">
        <v>1</v>
      </c>
      <c r="L1026" t="s">
        <v>2945</v>
      </c>
      <c r="M1026" s="19">
        <v>46262</v>
      </c>
      <c r="N1026" t="s">
        <v>4565</v>
      </c>
    </row>
    <row r="1027" spans="1:14" x14ac:dyDescent="0.3">
      <c r="A1027" t="s">
        <v>5729</v>
      </c>
      <c r="B1027" t="s">
        <v>5730</v>
      </c>
      <c r="C1027" t="s">
        <v>5731</v>
      </c>
      <c r="D1027" t="s">
        <v>4563</v>
      </c>
      <c r="E1027" t="s">
        <v>4564</v>
      </c>
      <c r="F1027" t="s">
        <v>1227</v>
      </c>
      <c r="G1027" t="s">
        <v>2344</v>
      </c>
      <c r="H1027">
        <v>38708.15</v>
      </c>
      <c r="I1027">
        <v>40643.550000000003</v>
      </c>
      <c r="J1027" t="s">
        <v>3862</v>
      </c>
      <c r="K1027">
        <v>1</v>
      </c>
      <c r="L1027" t="s">
        <v>2945</v>
      </c>
      <c r="M1027" s="19">
        <v>46262</v>
      </c>
      <c r="N1027" t="s">
        <v>4565</v>
      </c>
    </row>
    <row r="1028" spans="1:14" x14ac:dyDescent="0.3">
      <c r="A1028" t="s">
        <v>5732</v>
      </c>
      <c r="B1028" t="s">
        <v>5733</v>
      </c>
      <c r="C1028" t="s">
        <v>5734</v>
      </c>
      <c r="D1028" t="s">
        <v>4563</v>
      </c>
      <c r="E1028" t="s">
        <v>4564</v>
      </c>
      <c r="F1028" t="s">
        <v>1227</v>
      </c>
      <c r="G1028" t="s">
        <v>2344</v>
      </c>
      <c r="H1028">
        <v>38708.15</v>
      </c>
      <c r="I1028">
        <v>40643.550000000003</v>
      </c>
      <c r="J1028" t="s">
        <v>3862</v>
      </c>
      <c r="K1028">
        <v>1</v>
      </c>
      <c r="L1028" t="s">
        <v>2945</v>
      </c>
      <c r="M1028" s="19">
        <v>46262</v>
      </c>
      <c r="N1028" t="s">
        <v>4565</v>
      </c>
    </row>
    <row r="1029" spans="1:14" x14ac:dyDescent="0.3">
      <c r="A1029" t="s">
        <v>5735</v>
      </c>
      <c r="B1029" t="s">
        <v>5736</v>
      </c>
      <c r="C1029" t="s">
        <v>5737</v>
      </c>
      <c r="D1029" t="s">
        <v>4563</v>
      </c>
      <c r="E1029" t="s">
        <v>4564</v>
      </c>
      <c r="F1029" t="s">
        <v>1227</v>
      </c>
      <c r="G1029" t="s">
        <v>2344</v>
      </c>
      <c r="H1029">
        <v>38708.15</v>
      </c>
      <c r="I1029">
        <v>40643.550000000003</v>
      </c>
      <c r="J1029" t="s">
        <v>3862</v>
      </c>
      <c r="K1029">
        <v>1</v>
      </c>
      <c r="L1029" t="s">
        <v>2945</v>
      </c>
      <c r="M1029" s="19">
        <v>46262</v>
      </c>
      <c r="N1029" t="s">
        <v>4565</v>
      </c>
    </row>
    <row r="1030" spans="1:14" x14ac:dyDescent="0.3">
      <c r="A1030" t="s">
        <v>5738</v>
      </c>
      <c r="B1030" t="s">
        <v>5739</v>
      </c>
      <c r="C1030" t="s">
        <v>5740</v>
      </c>
      <c r="D1030" t="s">
        <v>4563</v>
      </c>
      <c r="E1030" t="s">
        <v>4564</v>
      </c>
      <c r="F1030" t="s">
        <v>1227</v>
      </c>
      <c r="G1030" t="s">
        <v>2344</v>
      </c>
      <c r="H1030">
        <v>38708.15</v>
      </c>
      <c r="I1030">
        <v>40643.550000000003</v>
      </c>
      <c r="J1030" t="s">
        <v>3862</v>
      </c>
      <c r="K1030">
        <v>1</v>
      </c>
      <c r="L1030" t="s">
        <v>2945</v>
      </c>
      <c r="M1030" s="19">
        <v>46262</v>
      </c>
      <c r="N1030" t="s">
        <v>4565</v>
      </c>
    </row>
    <row r="1031" spans="1:14" x14ac:dyDescent="0.3">
      <c r="A1031" t="s">
        <v>5741</v>
      </c>
      <c r="B1031" t="s">
        <v>5742</v>
      </c>
      <c r="C1031" t="s">
        <v>5743</v>
      </c>
      <c r="D1031" t="s">
        <v>4563</v>
      </c>
      <c r="E1031" t="s">
        <v>4564</v>
      </c>
      <c r="F1031" t="s">
        <v>1227</v>
      </c>
      <c r="G1031" t="s">
        <v>2344</v>
      </c>
      <c r="H1031">
        <v>37564.69</v>
      </c>
      <c r="I1031">
        <v>39442.93</v>
      </c>
      <c r="J1031" t="s">
        <v>3862</v>
      </c>
      <c r="K1031">
        <v>1</v>
      </c>
      <c r="L1031" t="s">
        <v>2945</v>
      </c>
      <c r="M1031" s="19">
        <v>46262</v>
      </c>
      <c r="N1031" t="s">
        <v>4565</v>
      </c>
    </row>
    <row r="1032" spans="1:14" x14ac:dyDescent="0.3">
      <c r="A1032" t="s">
        <v>5744</v>
      </c>
      <c r="B1032" t="s">
        <v>5745</v>
      </c>
      <c r="C1032" t="s">
        <v>5746</v>
      </c>
      <c r="D1032" t="s">
        <v>4563</v>
      </c>
      <c r="E1032" t="s">
        <v>4564</v>
      </c>
      <c r="F1032" t="s">
        <v>1227</v>
      </c>
      <c r="G1032" t="s">
        <v>2344</v>
      </c>
      <c r="H1032">
        <v>37564.69</v>
      </c>
      <c r="I1032">
        <v>39442.93</v>
      </c>
      <c r="J1032" t="s">
        <v>3862</v>
      </c>
      <c r="K1032">
        <v>1</v>
      </c>
      <c r="L1032" t="s">
        <v>2945</v>
      </c>
      <c r="M1032" s="19">
        <v>46262</v>
      </c>
      <c r="N1032" t="s">
        <v>4565</v>
      </c>
    </row>
    <row r="1033" spans="1:14" x14ac:dyDescent="0.3">
      <c r="A1033" t="s">
        <v>5747</v>
      </c>
      <c r="B1033" t="s">
        <v>5748</v>
      </c>
      <c r="C1033" t="s">
        <v>5749</v>
      </c>
      <c r="D1033" t="s">
        <v>4563</v>
      </c>
      <c r="E1033" t="s">
        <v>4564</v>
      </c>
      <c r="F1033" t="s">
        <v>1227</v>
      </c>
      <c r="G1033" t="s">
        <v>2344</v>
      </c>
      <c r="H1033">
        <v>38708.15</v>
      </c>
      <c r="I1033">
        <v>40643.550000000003</v>
      </c>
      <c r="J1033" t="s">
        <v>3862</v>
      </c>
      <c r="K1033">
        <v>1</v>
      </c>
      <c r="L1033" t="s">
        <v>2945</v>
      </c>
      <c r="M1033" s="19">
        <v>46262</v>
      </c>
      <c r="N1033" t="s">
        <v>4565</v>
      </c>
    </row>
    <row r="1034" spans="1:14" x14ac:dyDescent="0.3">
      <c r="A1034" t="s">
        <v>5750</v>
      </c>
      <c r="B1034" t="s">
        <v>5751</v>
      </c>
      <c r="C1034" t="s">
        <v>5752</v>
      </c>
      <c r="D1034" t="s">
        <v>4563</v>
      </c>
      <c r="E1034" t="s">
        <v>4564</v>
      </c>
      <c r="F1034" t="s">
        <v>1227</v>
      </c>
      <c r="G1034" t="s">
        <v>2344</v>
      </c>
      <c r="H1034">
        <v>38708.15</v>
      </c>
      <c r="I1034">
        <v>40643.550000000003</v>
      </c>
      <c r="J1034" t="s">
        <v>3862</v>
      </c>
      <c r="K1034">
        <v>1</v>
      </c>
      <c r="L1034" t="s">
        <v>2945</v>
      </c>
      <c r="M1034" s="19">
        <v>46262</v>
      </c>
      <c r="N1034" t="s">
        <v>4565</v>
      </c>
    </row>
    <row r="1035" spans="1:14" x14ac:dyDescent="0.3">
      <c r="A1035" t="s">
        <v>5753</v>
      </c>
      <c r="B1035" t="s">
        <v>5754</v>
      </c>
      <c r="C1035" t="s">
        <v>5755</v>
      </c>
      <c r="D1035" t="s">
        <v>4563</v>
      </c>
      <c r="E1035" t="s">
        <v>4564</v>
      </c>
      <c r="F1035" t="s">
        <v>1227</v>
      </c>
      <c r="G1035" t="s">
        <v>2344</v>
      </c>
      <c r="H1035">
        <v>8924.58</v>
      </c>
      <c r="I1035">
        <v>9370.81</v>
      </c>
      <c r="J1035" t="s">
        <v>3862</v>
      </c>
      <c r="K1035">
        <v>1</v>
      </c>
      <c r="L1035" t="s">
        <v>2945</v>
      </c>
      <c r="M1035" s="19">
        <v>46262</v>
      </c>
      <c r="N1035" t="s">
        <v>4565</v>
      </c>
    </row>
    <row r="1036" spans="1:14" x14ac:dyDescent="0.3">
      <c r="A1036" t="s">
        <v>5756</v>
      </c>
      <c r="B1036" t="s">
        <v>5757</v>
      </c>
      <c r="D1036" t="s">
        <v>2942</v>
      </c>
      <c r="E1036" t="s">
        <v>2943</v>
      </c>
      <c r="F1036" t="s">
        <v>1227</v>
      </c>
      <c r="G1036" t="s">
        <v>2078</v>
      </c>
      <c r="H1036">
        <v>761</v>
      </c>
      <c r="I1036">
        <v>799.05</v>
      </c>
      <c r="J1036" t="s">
        <v>2944</v>
      </c>
      <c r="K1036">
        <v>1</v>
      </c>
      <c r="L1036" t="s">
        <v>2945</v>
      </c>
      <c r="M1036" s="19">
        <v>46262</v>
      </c>
      <c r="N1036" t="s">
        <v>5758</v>
      </c>
    </row>
    <row r="1037" spans="1:14" x14ac:dyDescent="0.3">
      <c r="A1037" t="s">
        <v>5759</v>
      </c>
      <c r="B1037" t="s">
        <v>5760</v>
      </c>
      <c r="D1037" t="s">
        <v>2952</v>
      </c>
      <c r="E1037" t="s">
        <v>2953</v>
      </c>
      <c r="F1037" t="s">
        <v>1227</v>
      </c>
      <c r="G1037" t="s">
        <v>2078</v>
      </c>
      <c r="H1037">
        <v>932</v>
      </c>
      <c r="I1037">
        <v>978.6</v>
      </c>
      <c r="J1037" t="s">
        <v>2944</v>
      </c>
      <c r="K1037">
        <v>1</v>
      </c>
      <c r="L1037" t="s">
        <v>2945</v>
      </c>
      <c r="M1037" s="19">
        <v>46262</v>
      </c>
      <c r="N1037" t="s">
        <v>5758</v>
      </c>
    </row>
    <row r="1038" spans="1:14" x14ac:dyDescent="0.3">
      <c r="A1038" t="s">
        <v>5761</v>
      </c>
      <c r="B1038" t="s">
        <v>5762</v>
      </c>
      <c r="D1038" t="s">
        <v>2942</v>
      </c>
      <c r="E1038" t="s">
        <v>2943</v>
      </c>
      <c r="F1038" t="s">
        <v>1227</v>
      </c>
      <c r="G1038" t="s">
        <v>2078</v>
      </c>
      <c r="H1038">
        <v>853</v>
      </c>
      <c r="I1038">
        <v>895.65</v>
      </c>
      <c r="J1038" t="s">
        <v>2944</v>
      </c>
      <c r="K1038">
        <v>1</v>
      </c>
      <c r="L1038" t="s">
        <v>2945</v>
      </c>
      <c r="M1038" s="19">
        <v>46262</v>
      </c>
      <c r="N1038" t="s">
        <v>5758</v>
      </c>
    </row>
    <row r="1039" spans="1:14" x14ac:dyDescent="0.3">
      <c r="A1039" t="s">
        <v>5763</v>
      </c>
      <c r="B1039" t="s">
        <v>5764</v>
      </c>
      <c r="D1039" t="s">
        <v>2952</v>
      </c>
      <c r="E1039" t="s">
        <v>2953</v>
      </c>
      <c r="F1039" t="s">
        <v>1227</v>
      </c>
      <c r="G1039" t="s">
        <v>2078</v>
      </c>
      <c r="H1039">
        <v>1193</v>
      </c>
      <c r="I1039">
        <v>1252.6500000000001</v>
      </c>
      <c r="J1039" t="s">
        <v>2944</v>
      </c>
      <c r="K1039">
        <v>1</v>
      </c>
      <c r="L1039" t="s">
        <v>2945</v>
      </c>
      <c r="M1039" s="19">
        <v>46262</v>
      </c>
      <c r="N1039" t="s">
        <v>5758</v>
      </c>
    </row>
    <row r="1040" spans="1:14" x14ac:dyDescent="0.3">
      <c r="A1040" t="s">
        <v>5765</v>
      </c>
      <c r="B1040" t="s">
        <v>5766</v>
      </c>
      <c r="D1040" t="s">
        <v>2952</v>
      </c>
      <c r="E1040" t="s">
        <v>2953</v>
      </c>
      <c r="F1040" t="s">
        <v>1227</v>
      </c>
      <c r="G1040" t="s">
        <v>2078</v>
      </c>
      <c r="H1040">
        <v>757</v>
      </c>
      <c r="I1040">
        <v>794.85</v>
      </c>
      <c r="J1040" t="s">
        <v>2944</v>
      </c>
      <c r="K1040">
        <v>1</v>
      </c>
      <c r="L1040" t="s">
        <v>2945</v>
      </c>
      <c r="M1040" s="19">
        <v>46262</v>
      </c>
      <c r="N1040" t="s">
        <v>5758</v>
      </c>
    </row>
    <row r="1041" spans="1:14" x14ac:dyDescent="0.3">
      <c r="A1041" t="s">
        <v>5767</v>
      </c>
      <c r="B1041" t="s">
        <v>5768</v>
      </c>
      <c r="D1041" t="s">
        <v>2942</v>
      </c>
      <c r="E1041" t="s">
        <v>2943</v>
      </c>
      <c r="F1041" t="s">
        <v>1227</v>
      </c>
      <c r="G1041" t="s">
        <v>2078</v>
      </c>
      <c r="H1041">
        <v>1154</v>
      </c>
      <c r="I1041">
        <v>1211.7</v>
      </c>
      <c r="J1041" t="s">
        <v>2944</v>
      </c>
      <c r="K1041">
        <v>1</v>
      </c>
      <c r="L1041" t="s">
        <v>2945</v>
      </c>
      <c r="M1041" s="19">
        <v>46262</v>
      </c>
      <c r="N1041" t="s">
        <v>5758</v>
      </c>
    </row>
    <row r="1042" spans="1:14" x14ac:dyDescent="0.3">
      <c r="A1042" t="s">
        <v>5769</v>
      </c>
      <c r="B1042" t="s">
        <v>5770</v>
      </c>
      <c r="D1042" t="s">
        <v>2952</v>
      </c>
      <c r="E1042" t="s">
        <v>2953</v>
      </c>
      <c r="F1042" t="s">
        <v>1227</v>
      </c>
      <c r="G1042" t="s">
        <v>2078</v>
      </c>
      <c r="H1042">
        <v>1778</v>
      </c>
      <c r="I1042">
        <v>1866.9</v>
      </c>
      <c r="J1042" t="s">
        <v>2944</v>
      </c>
      <c r="K1042">
        <v>1</v>
      </c>
      <c r="L1042" t="s">
        <v>2945</v>
      </c>
      <c r="M1042" s="19">
        <v>46262</v>
      </c>
      <c r="N1042" t="s">
        <v>5758</v>
      </c>
    </row>
    <row r="1043" spans="1:14" x14ac:dyDescent="0.3">
      <c r="A1043" t="s">
        <v>5771</v>
      </c>
      <c r="B1043" t="s">
        <v>5772</v>
      </c>
      <c r="D1043" t="s">
        <v>2952</v>
      </c>
      <c r="E1043" t="s">
        <v>2953</v>
      </c>
      <c r="F1043" t="s">
        <v>1227</v>
      </c>
      <c r="G1043" t="s">
        <v>2078</v>
      </c>
      <c r="H1043">
        <v>1091</v>
      </c>
      <c r="I1043">
        <v>1145.55</v>
      </c>
      <c r="J1043" t="s">
        <v>2944</v>
      </c>
      <c r="K1043">
        <v>1</v>
      </c>
      <c r="L1043" t="s">
        <v>2945</v>
      </c>
      <c r="M1043" s="19">
        <v>46262</v>
      </c>
      <c r="N1043" t="s">
        <v>5758</v>
      </c>
    </row>
    <row r="1044" spans="1:14" x14ac:dyDescent="0.3">
      <c r="A1044" t="s">
        <v>5773</v>
      </c>
      <c r="B1044" t="s">
        <v>5774</v>
      </c>
      <c r="D1044" t="s">
        <v>2942</v>
      </c>
      <c r="E1044" t="s">
        <v>2943</v>
      </c>
      <c r="F1044" t="s">
        <v>1227</v>
      </c>
      <c r="G1044" t="s">
        <v>2078</v>
      </c>
      <c r="H1044">
        <v>1388</v>
      </c>
      <c r="I1044">
        <v>1457.4</v>
      </c>
      <c r="J1044" t="s">
        <v>2944</v>
      </c>
      <c r="K1044">
        <v>1</v>
      </c>
      <c r="L1044" t="s">
        <v>2945</v>
      </c>
      <c r="M1044" s="19">
        <v>46262</v>
      </c>
      <c r="N1044" t="s">
        <v>5758</v>
      </c>
    </row>
    <row r="1045" spans="1:14" x14ac:dyDescent="0.3">
      <c r="A1045" t="s">
        <v>5775</v>
      </c>
      <c r="B1045" t="s">
        <v>5776</v>
      </c>
      <c r="D1045" t="s">
        <v>2952</v>
      </c>
      <c r="E1045" t="s">
        <v>2953</v>
      </c>
      <c r="F1045" t="s">
        <v>1227</v>
      </c>
      <c r="G1045" t="s">
        <v>2078</v>
      </c>
      <c r="H1045">
        <v>1964</v>
      </c>
      <c r="I1045">
        <v>2062.1999999999998</v>
      </c>
      <c r="J1045" t="s">
        <v>2944</v>
      </c>
      <c r="K1045">
        <v>1</v>
      </c>
      <c r="L1045" t="s">
        <v>2945</v>
      </c>
      <c r="M1045" s="19">
        <v>46262</v>
      </c>
      <c r="N1045" t="s">
        <v>5758</v>
      </c>
    </row>
    <row r="1046" spans="1:14" x14ac:dyDescent="0.3">
      <c r="A1046" t="s">
        <v>5777</v>
      </c>
      <c r="B1046" t="s">
        <v>5778</v>
      </c>
      <c r="D1046" t="s">
        <v>2952</v>
      </c>
      <c r="E1046" t="s">
        <v>2953</v>
      </c>
      <c r="F1046" t="s">
        <v>1227</v>
      </c>
      <c r="G1046" t="s">
        <v>2078</v>
      </c>
      <c r="H1046">
        <v>1332</v>
      </c>
      <c r="I1046">
        <v>1398.6</v>
      </c>
      <c r="J1046" t="s">
        <v>2944</v>
      </c>
      <c r="K1046">
        <v>1</v>
      </c>
      <c r="L1046" t="s">
        <v>2945</v>
      </c>
      <c r="M1046" s="19">
        <v>46262</v>
      </c>
      <c r="N1046" t="s">
        <v>5758</v>
      </c>
    </row>
    <row r="1047" spans="1:14" x14ac:dyDescent="0.3">
      <c r="A1047" t="s">
        <v>5779</v>
      </c>
      <c r="B1047" t="s">
        <v>5780</v>
      </c>
      <c r="D1047" t="s">
        <v>2942</v>
      </c>
      <c r="E1047" t="s">
        <v>2943</v>
      </c>
      <c r="F1047" t="s">
        <v>1227</v>
      </c>
      <c r="G1047" t="s">
        <v>2078</v>
      </c>
      <c r="H1047">
        <v>1623</v>
      </c>
      <c r="I1047">
        <v>1704.15</v>
      </c>
      <c r="J1047" t="s">
        <v>2944</v>
      </c>
      <c r="K1047">
        <v>1</v>
      </c>
      <c r="L1047" t="s">
        <v>2945</v>
      </c>
      <c r="M1047" s="19">
        <v>46262</v>
      </c>
      <c r="N1047" t="s">
        <v>5758</v>
      </c>
    </row>
    <row r="1048" spans="1:14" x14ac:dyDescent="0.3">
      <c r="A1048" t="s">
        <v>5781</v>
      </c>
      <c r="B1048" t="s">
        <v>5782</v>
      </c>
      <c r="D1048" t="s">
        <v>2952</v>
      </c>
      <c r="E1048" t="s">
        <v>2953</v>
      </c>
      <c r="F1048" t="s">
        <v>1227</v>
      </c>
      <c r="G1048" t="s">
        <v>2078</v>
      </c>
      <c r="H1048">
        <v>2470</v>
      </c>
      <c r="I1048">
        <v>2593.5</v>
      </c>
      <c r="J1048" t="s">
        <v>2944</v>
      </c>
      <c r="K1048">
        <v>1</v>
      </c>
      <c r="L1048" t="s">
        <v>2945</v>
      </c>
      <c r="M1048" s="19">
        <v>46262</v>
      </c>
      <c r="N1048" t="s">
        <v>5758</v>
      </c>
    </row>
    <row r="1049" spans="1:14" x14ac:dyDescent="0.3">
      <c r="A1049" t="s">
        <v>5783</v>
      </c>
      <c r="B1049" t="s">
        <v>5784</v>
      </c>
      <c r="D1049" t="s">
        <v>2952</v>
      </c>
      <c r="E1049" t="s">
        <v>2953</v>
      </c>
      <c r="F1049" t="s">
        <v>1227</v>
      </c>
      <c r="G1049" t="s">
        <v>2078</v>
      </c>
      <c r="H1049">
        <v>1543</v>
      </c>
      <c r="I1049">
        <v>1620.15</v>
      </c>
      <c r="J1049" t="s">
        <v>2944</v>
      </c>
      <c r="K1049">
        <v>1</v>
      </c>
      <c r="L1049" t="s">
        <v>2945</v>
      </c>
      <c r="M1049" s="19">
        <v>46262</v>
      </c>
      <c r="N1049" t="s">
        <v>5758</v>
      </c>
    </row>
    <row r="1050" spans="1:14" x14ac:dyDescent="0.3">
      <c r="A1050" t="s">
        <v>5785</v>
      </c>
      <c r="B1050" t="s">
        <v>5786</v>
      </c>
      <c r="D1050" t="s">
        <v>2942</v>
      </c>
      <c r="E1050" t="s">
        <v>2943</v>
      </c>
      <c r="F1050" t="s">
        <v>1227</v>
      </c>
      <c r="G1050" t="s">
        <v>2078</v>
      </c>
      <c r="H1050">
        <v>761</v>
      </c>
      <c r="I1050">
        <v>799.05</v>
      </c>
      <c r="J1050" t="s">
        <v>2944</v>
      </c>
      <c r="K1050">
        <v>1</v>
      </c>
      <c r="L1050" t="s">
        <v>2945</v>
      </c>
      <c r="M1050" s="19">
        <v>46262</v>
      </c>
      <c r="N1050" t="s">
        <v>5758</v>
      </c>
    </row>
    <row r="1051" spans="1:14" x14ac:dyDescent="0.3">
      <c r="A1051" t="s">
        <v>5787</v>
      </c>
      <c r="B1051" t="s">
        <v>5788</v>
      </c>
      <c r="D1051" t="s">
        <v>2952</v>
      </c>
      <c r="E1051" t="s">
        <v>2953</v>
      </c>
      <c r="F1051" t="s">
        <v>1227</v>
      </c>
      <c r="G1051" t="s">
        <v>2078</v>
      </c>
      <c r="H1051">
        <v>537</v>
      </c>
      <c r="I1051">
        <v>563.85</v>
      </c>
      <c r="J1051" t="s">
        <v>2944</v>
      </c>
      <c r="K1051">
        <v>1</v>
      </c>
      <c r="L1051" t="s">
        <v>2945</v>
      </c>
      <c r="M1051" s="19">
        <v>46262</v>
      </c>
      <c r="N1051" t="s">
        <v>5758</v>
      </c>
    </row>
    <row r="1052" spans="1:14" x14ac:dyDescent="0.3">
      <c r="A1052" t="s">
        <v>5789</v>
      </c>
      <c r="B1052" t="s">
        <v>5790</v>
      </c>
      <c r="D1052" t="s">
        <v>2952</v>
      </c>
      <c r="E1052" t="s">
        <v>2953</v>
      </c>
      <c r="F1052" t="s">
        <v>1227</v>
      </c>
      <c r="G1052" t="s">
        <v>2078</v>
      </c>
      <c r="H1052">
        <v>611</v>
      </c>
      <c r="I1052">
        <v>641.54999999999995</v>
      </c>
      <c r="J1052" t="s">
        <v>2944</v>
      </c>
      <c r="K1052">
        <v>1</v>
      </c>
      <c r="L1052" t="s">
        <v>2945</v>
      </c>
      <c r="M1052" s="19">
        <v>46262</v>
      </c>
      <c r="N1052" t="s">
        <v>5758</v>
      </c>
    </row>
    <row r="1053" spans="1:14" x14ac:dyDescent="0.3">
      <c r="A1053" t="s">
        <v>5791</v>
      </c>
      <c r="B1053" t="s">
        <v>5792</v>
      </c>
      <c r="D1053" t="s">
        <v>2942</v>
      </c>
      <c r="E1053" t="s">
        <v>2943</v>
      </c>
      <c r="F1053" t="s">
        <v>1227</v>
      </c>
      <c r="G1053" t="s">
        <v>2078</v>
      </c>
      <c r="H1053">
        <v>970</v>
      </c>
      <c r="I1053">
        <v>1018.5</v>
      </c>
      <c r="J1053" t="s">
        <v>2944</v>
      </c>
      <c r="K1053">
        <v>1</v>
      </c>
      <c r="L1053" t="s">
        <v>2945</v>
      </c>
      <c r="M1053" s="19">
        <v>46262</v>
      </c>
      <c r="N1053" t="s">
        <v>5758</v>
      </c>
    </row>
    <row r="1054" spans="1:14" x14ac:dyDescent="0.3">
      <c r="A1054" t="s">
        <v>5793</v>
      </c>
      <c r="B1054" t="s">
        <v>5794</v>
      </c>
      <c r="D1054" t="s">
        <v>2952</v>
      </c>
      <c r="E1054" t="s">
        <v>2953</v>
      </c>
      <c r="F1054" t="s">
        <v>1227</v>
      </c>
      <c r="G1054" t="s">
        <v>2078</v>
      </c>
      <c r="H1054">
        <v>587</v>
      </c>
      <c r="I1054">
        <v>616.35</v>
      </c>
      <c r="J1054" t="s">
        <v>2944</v>
      </c>
      <c r="K1054">
        <v>1</v>
      </c>
      <c r="L1054" t="s">
        <v>2945</v>
      </c>
      <c r="M1054" s="19">
        <v>46262</v>
      </c>
      <c r="N1054" t="s">
        <v>5758</v>
      </c>
    </row>
    <row r="1055" spans="1:14" x14ac:dyDescent="0.3">
      <c r="A1055" t="s">
        <v>5795</v>
      </c>
      <c r="B1055" t="s">
        <v>5796</v>
      </c>
      <c r="D1055" t="s">
        <v>2952</v>
      </c>
      <c r="E1055" t="s">
        <v>2953</v>
      </c>
      <c r="F1055" t="s">
        <v>1227</v>
      </c>
      <c r="G1055" t="s">
        <v>2078</v>
      </c>
      <c r="H1055">
        <v>851</v>
      </c>
      <c r="I1055">
        <v>893.55</v>
      </c>
      <c r="J1055" t="s">
        <v>2944</v>
      </c>
      <c r="K1055">
        <v>1</v>
      </c>
      <c r="L1055" t="s">
        <v>2945</v>
      </c>
      <c r="M1055" s="19">
        <v>46262</v>
      </c>
      <c r="N1055" t="s">
        <v>5758</v>
      </c>
    </row>
    <row r="1056" spans="1:14" x14ac:dyDescent="0.3">
      <c r="A1056" t="s">
        <v>5797</v>
      </c>
      <c r="B1056" t="s">
        <v>5798</v>
      </c>
      <c r="D1056" t="s">
        <v>2942</v>
      </c>
      <c r="E1056" t="s">
        <v>2943</v>
      </c>
      <c r="F1056" t="s">
        <v>1227</v>
      </c>
      <c r="G1056" t="s">
        <v>2078</v>
      </c>
      <c r="H1056">
        <v>759</v>
      </c>
      <c r="I1056">
        <v>796.95</v>
      </c>
      <c r="J1056" t="s">
        <v>2944</v>
      </c>
      <c r="K1056">
        <v>1</v>
      </c>
      <c r="L1056" t="s">
        <v>2945</v>
      </c>
      <c r="M1056" s="19">
        <v>46262</v>
      </c>
      <c r="N1056" t="s">
        <v>5758</v>
      </c>
    </row>
    <row r="1057" spans="1:14" x14ac:dyDescent="0.3">
      <c r="A1057" t="s">
        <v>5799</v>
      </c>
      <c r="B1057" t="s">
        <v>5800</v>
      </c>
      <c r="D1057" t="s">
        <v>2952</v>
      </c>
      <c r="E1057" t="s">
        <v>2953</v>
      </c>
      <c r="F1057" t="s">
        <v>1227</v>
      </c>
      <c r="G1057" t="s">
        <v>2078</v>
      </c>
      <c r="H1057">
        <v>1207</v>
      </c>
      <c r="I1057">
        <v>1267.3499999999999</v>
      </c>
      <c r="J1057" t="s">
        <v>2944</v>
      </c>
      <c r="K1057">
        <v>1</v>
      </c>
      <c r="L1057" t="s">
        <v>2945</v>
      </c>
      <c r="M1057" s="19">
        <v>46262</v>
      </c>
      <c r="N1057" t="s">
        <v>5758</v>
      </c>
    </row>
    <row r="1058" spans="1:14" x14ac:dyDescent="0.3">
      <c r="A1058" t="s">
        <v>5801</v>
      </c>
      <c r="B1058" t="s">
        <v>5802</v>
      </c>
      <c r="D1058" t="s">
        <v>2952</v>
      </c>
      <c r="E1058" t="s">
        <v>2953</v>
      </c>
      <c r="F1058" t="s">
        <v>1227</v>
      </c>
      <c r="G1058" t="s">
        <v>2078</v>
      </c>
      <c r="H1058">
        <v>769</v>
      </c>
      <c r="I1058">
        <v>807.45</v>
      </c>
      <c r="J1058" t="s">
        <v>2944</v>
      </c>
      <c r="K1058">
        <v>1</v>
      </c>
      <c r="L1058" t="s">
        <v>2945</v>
      </c>
      <c r="M1058" s="19">
        <v>46262</v>
      </c>
      <c r="N1058" t="s">
        <v>5758</v>
      </c>
    </row>
    <row r="1059" spans="1:14" x14ac:dyDescent="0.3">
      <c r="A1059" t="s">
        <v>5803</v>
      </c>
      <c r="B1059" t="s">
        <v>5804</v>
      </c>
      <c r="D1059" t="s">
        <v>2942</v>
      </c>
      <c r="E1059" t="s">
        <v>2943</v>
      </c>
      <c r="F1059" t="s">
        <v>1227</v>
      </c>
      <c r="G1059" t="s">
        <v>2078</v>
      </c>
      <c r="H1059">
        <v>759</v>
      </c>
      <c r="I1059">
        <v>796.95</v>
      </c>
      <c r="J1059" t="s">
        <v>2944</v>
      </c>
      <c r="K1059">
        <v>1</v>
      </c>
      <c r="L1059" t="s">
        <v>2945</v>
      </c>
      <c r="M1059" s="19">
        <v>46262</v>
      </c>
      <c r="N1059" t="s">
        <v>5758</v>
      </c>
    </row>
    <row r="1060" spans="1:14" x14ac:dyDescent="0.3">
      <c r="A1060" t="s">
        <v>5805</v>
      </c>
      <c r="B1060" t="s">
        <v>5806</v>
      </c>
      <c r="D1060" t="s">
        <v>2952</v>
      </c>
      <c r="E1060" t="s">
        <v>2953</v>
      </c>
      <c r="F1060" t="s">
        <v>1227</v>
      </c>
      <c r="G1060" t="s">
        <v>2078</v>
      </c>
      <c r="H1060">
        <v>1207</v>
      </c>
      <c r="I1060">
        <v>1267.3499999999999</v>
      </c>
      <c r="J1060" t="s">
        <v>2944</v>
      </c>
      <c r="K1060">
        <v>1</v>
      </c>
      <c r="L1060" t="s">
        <v>2945</v>
      </c>
      <c r="M1060" s="19">
        <v>46262</v>
      </c>
      <c r="N1060" t="s">
        <v>5758</v>
      </c>
    </row>
    <row r="1061" spans="1:14" x14ac:dyDescent="0.3">
      <c r="A1061" t="s">
        <v>5807</v>
      </c>
      <c r="B1061" t="s">
        <v>5808</v>
      </c>
      <c r="D1061" t="s">
        <v>2952</v>
      </c>
      <c r="E1061" t="s">
        <v>2953</v>
      </c>
      <c r="F1061" t="s">
        <v>1227</v>
      </c>
      <c r="G1061" t="s">
        <v>2078</v>
      </c>
      <c r="H1061">
        <v>769</v>
      </c>
      <c r="I1061">
        <v>807.45</v>
      </c>
      <c r="J1061" t="s">
        <v>2944</v>
      </c>
      <c r="K1061">
        <v>1</v>
      </c>
      <c r="L1061" t="s">
        <v>2945</v>
      </c>
      <c r="M1061" s="19">
        <v>46262</v>
      </c>
      <c r="N1061" t="s">
        <v>5758</v>
      </c>
    </row>
    <row r="1062" spans="1:14" x14ac:dyDescent="0.3">
      <c r="A1062" t="s">
        <v>5809</v>
      </c>
      <c r="B1062" t="s">
        <v>5810</v>
      </c>
      <c r="D1062" t="s">
        <v>2942</v>
      </c>
      <c r="E1062" t="s">
        <v>2943</v>
      </c>
      <c r="F1062" t="s">
        <v>1227</v>
      </c>
      <c r="G1062" t="s">
        <v>2078</v>
      </c>
      <c r="H1062">
        <v>1026</v>
      </c>
      <c r="I1062">
        <v>1077.3</v>
      </c>
      <c r="J1062" t="s">
        <v>2944</v>
      </c>
      <c r="K1062">
        <v>1</v>
      </c>
      <c r="L1062" t="s">
        <v>2945</v>
      </c>
      <c r="M1062" s="19">
        <v>46262</v>
      </c>
      <c r="N1062" t="s">
        <v>5758</v>
      </c>
    </row>
    <row r="1063" spans="1:14" x14ac:dyDescent="0.3">
      <c r="A1063" t="s">
        <v>5811</v>
      </c>
      <c r="B1063" t="s">
        <v>5812</v>
      </c>
      <c r="D1063" t="s">
        <v>2952</v>
      </c>
      <c r="E1063" t="s">
        <v>2953</v>
      </c>
      <c r="F1063" t="s">
        <v>1227</v>
      </c>
      <c r="G1063" t="s">
        <v>2078</v>
      </c>
      <c r="H1063">
        <v>1819</v>
      </c>
      <c r="I1063">
        <v>1909.95</v>
      </c>
      <c r="J1063" t="s">
        <v>2944</v>
      </c>
      <c r="K1063">
        <v>1</v>
      </c>
      <c r="L1063" t="s">
        <v>2945</v>
      </c>
      <c r="M1063" s="19">
        <v>46262</v>
      </c>
      <c r="N1063" t="s">
        <v>5758</v>
      </c>
    </row>
    <row r="1064" spans="1:14" x14ac:dyDescent="0.3">
      <c r="A1064" t="s">
        <v>5813</v>
      </c>
      <c r="B1064" t="s">
        <v>5814</v>
      </c>
      <c r="D1064" t="s">
        <v>2952</v>
      </c>
      <c r="E1064" t="s">
        <v>2953</v>
      </c>
      <c r="F1064" t="s">
        <v>1227</v>
      </c>
      <c r="G1064" t="s">
        <v>2078</v>
      </c>
      <c r="H1064">
        <v>1064</v>
      </c>
      <c r="I1064">
        <v>1117.2</v>
      </c>
      <c r="J1064" t="s">
        <v>2944</v>
      </c>
      <c r="K1064">
        <v>1</v>
      </c>
      <c r="L1064" t="s">
        <v>2945</v>
      </c>
      <c r="M1064" s="19">
        <v>46262</v>
      </c>
      <c r="N1064" t="s">
        <v>5758</v>
      </c>
    </row>
    <row r="1065" spans="1:14" x14ac:dyDescent="0.3">
      <c r="A1065" t="s">
        <v>5815</v>
      </c>
      <c r="B1065" t="s">
        <v>5816</v>
      </c>
      <c r="D1065" t="s">
        <v>2942</v>
      </c>
      <c r="E1065" t="s">
        <v>2943</v>
      </c>
      <c r="F1065" t="s">
        <v>1227</v>
      </c>
      <c r="G1065" t="s">
        <v>2078</v>
      </c>
      <c r="H1065">
        <v>1160</v>
      </c>
      <c r="I1065">
        <v>1218</v>
      </c>
      <c r="J1065" t="s">
        <v>2944</v>
      </c>
      <c r="K1065">
        <v>1</v>
      </c>
      <c r="L1065" t="s">
        <v>2945</v>
      </c>
      <c r="M1065" s="19">
        <v>46262</v>
      </c>
      <c r="N1065" t="s">
        <v>5758</v>
      </c>
    </row>
    <row r="1066" spans="1:14" x14ac:dyDescent="0.3">
      <c r="A1066" t="s">
        <v>5817</v>
      </c>
      <c r="B1066" t="s">
        <v>5818</v>
      </c>
      <c r="D1066" t="s">
        <v>2952</v>
      </c>
      <c r="E1066" t="s">
        <v>2953</v>
      </c>
      <c r="F1066" t="s">
        <v>1227</v>
      </c>
      <c r="G1066" t="s">
        <v>2078</v>
      </c>
      <c r="H1066">
        <v>2004</v>
      </c>
      <c r="I1066">
        <v>2104.1999999999998</v>
      </c>
      <c r="J1066" t="s">
        <v>2944</v>
      </c>
      <c r="K1066">
        <v>1</v>
      </c>
      <c r="L1066" t="s">
        <v>2945</v>
      </c>
      <c r="M1066" s="19">
        <v>46262</v>
      </c>
      <c r="N1066" t="s">
        <v>5758</v>
      </c>
    </row>
    <row r="1067" spans="1:14" x14ac:dyDescent="0.3">
      <c r="A1067" t="s">
        <v>5819</v>
      </c>
      <c r="B1067" t="s">
        <v>5820</v>
      </c>
      <c r="D1067" t="s">
        <v>2952</v>
      </c>
      <c r="E1067" t="s">
        <v>2953</v>
      </c>
      <c r="F1067" t="s">
        <v>1227</v>
      </c>
      <c r="G1067" t="s">
        <v>2078</v>
      </c>
      <c r="H1067">
        <v>1215</v>
      </c>
      <c r="I1067">
        <v>1275.75</v>
      </c>
      <c r="J1067" t="s">
        <v>2944</v>
      </c>
      <c r="K1067">
        <v>1</v>
      </c>
      <c r="L1067" t="s">
        <v>2945</v>
      </c>
      <c r="M1067" s="19">
        <v>46262</v>
      </c>
      <c r="N1067" t="s">
        <v>5758</v>
      </c>
    </row>
    <row r="1068" spans="1:14" x14ac:dyDescent="0.3">
      <c r="A1068" t="s">
        <v>5821</v>
      </c>
      <c r="B1068" t="s">
        <v>5822</v>
      </c>
      <c r="D1068" t="s">
        <v>2942</v>
      </c>
      <c r="E1068" t="s">
        <v>2943</v>
      </c>
      <c r="F1068" t="s">
        <v>1227</v>
      </c>
      <c r="G1068" t="s">
        <v>2078</v>
      </c>
      <c r="H1068">
        <v>1350</v>
      </c>
      <c r="I1068">
        <v>1417.5</v>
      </c>
      <c r="J1068" t="s">
        <v>2944</v>
      </c>
      <c r="K1068">
        <v>1</v>
      </c>
      <c r="L1068" t="s">
        <v>2945</v>
      </c>
      <c r="M1068" s="19">
        <v>46262</v>
      </c>
      <c r="N1068" t="s">
        <v>5758</v>
      </c>
    </row>
    <row r="1069" spans="1:14" x14ac:dyDescent="0.3">
      <c r="A1069" t="s">
        <v>5823</v>
      </c>
      <c r="B1069" t="s">
        <v>5824</v>
      </c>
      <c r="D1069" t="s">
        <v>2952</v>
      </c>
      <c r="E1069" t="s">
        <v>2953</v>
      </c>
      <c r="F1069" t="s">
        <v>1227</v>
      </c>
      <c r="G1069" t="s">
        <v>2078</v>
      </c>
      <c r="H1069">
        <v>2516</v>
      </c>
      <c r="I1069">
        <v>2641.8</v>
      </c>
      <c r="J1069" t="s">
        <v>2944</v>
      </c>
      <c r="K1069">
        <v>1</v>
      </c>
      <c r="L1069" t="s">
        <v>2945</v>
      </c>
      <c r="M1069" s="19">
        <v>46262</v>
      </c>
      <c r="N1069" t="s">
        <v>5758</v>
      </c>
    </row>
    <row r="1070" spans="1:14" x14ac:dyDescent="0.3">
      <c r="A1070" t="s">
        <v>5825</v>
      </c>
      <c r="B1070" t="s">
        <v>5826</v>
      </c>
      <c r="D1070" t="s">
        <v>2952</v>
      </c>
      <c r="E1070" t="s">
        <v>2953</v>
      </c>
      <c r="F1070" t="s">
        <v>1227</v>
      </c>
      <c r="G1070" t="s">
        <v>2078</v>
      </c>
      <c r="H1070">
        <v>1554</v>
      </c>
      <c r="I1070">
        <v>1631.7</v>
      </c>
      <c r="J1070" t="s">
        <v>2944</v>
      </c>
      <c r="K1070">
        <v>1</v>
      </c>
      <c r="L1070" t="s">
        <v>2945</v>
      </c>
      <c r="M1070" s="19">
        <v>46262</v>
      </c>
      <c r="N1070" t="s">
        <v>5758</v>
      </c>
    </row>
    <row r="1071" spans="1:14" x14ac:dyDescent="0.3">
      <c r="A1071" t="s">
        <v>5827</v>
      </c>
      <c r="B1071" t="s">
        <v>5828</v>
      </c>
      <c r="D1071" t="s">
        <v>2942</v>
      </c>
      <c r="E1071" t="s">
        <v>2943</v>
      </c>
      <c r="F1071" t="s">
        <v>1227</v>
      </c>
      <c r="G1071" t="s">
        <v>2078</v>
      </c>
      <c r="H1071">
        <v>630</v>
      </c>
      <c r="I1071">
        <v>661.5</v>
      </c>
      <c r="J1071" t="s">
        <v>2944</v>
      </c>
      <c r="K1071">
        <v>1</v>
      </c>
      <c r="L1071" t="s">
        <v>2945</v>
      </c>
      <c r="M1071" s="19">
        <v>46262</v>
      </c>
      <c r="N1071" t="s">
        <v>5758</v>
      </c>
    </row>
    <row r="1072" spans="1:14" x14ac:dyDescent="0.3">
      <c r="A1072" t="s">
        <v>5829</v>
      </c>
      <c r="B1072" t="s">
        <v>5830</v>
      </c>
      <c r="D1072" t="s">
        <v>2942</v>
      </c>
      <c r="E1072" t="s">
        <v>2943</v>
      </c>
      <c r="F1072" t="s">
        <v>1227</v>
      </c>
      <c r="G1072" t="s">
        <v>2078</v>
      </c>
      <c r="H1072">
        <v>920</v>
      </c>
      <c r="I1072">
        <v>966</v>
      </c>
      <c r="J1072" t="s">
        <v>2944</v>
      </c>
      <c r="K1072">
        <v>1</v>
      </c>
      <c r="L1072" t="s">
        <v>2945</v>
      </c>
      <c r="M1072" s="19">
        <v>46262</v>
      </c>
      <c r="N1072" t="s">
        <v>5758</v>
      </c>
    </row>
    <row r="1073" spans="1:14" x14ac:dyDescent="0.3">
      <c r="A1073" t="s">
        <v>5831</v>
      </c>
      <c r="B1073" t="s">
        <v>5832</v>
      </c>
      <c r="D1073" t="s">
        <v>2942</v>
      </c>
      <c r="E1073" t="s">
        <v>2943</v>
      </c>
      <c r="F1073" t="s">
        <v>1227</v>
      </c>
      <c r="G1073" t="s">
        <v>2078</v>
      </c>
      <c r="H1073">
        <v>1150</v>
      </c>
      <c r="I1073">
        <v>1207.5</v>
      </c>
      <c r="J1073" t="s">
        <v>2944</v>
      </c>
      <c r="K1073">
        <v>1</v>
      </c>
      <c r="L1073" t="s">
        <v>2945</v>
      </c>
      <c r="M1073" s="19">
        <v>46262</v>
      </c>
      <c r="N1073" t="s">
        <v>5758</v>
      </c>
    </row>
    <row r="1074" spans="1:14" x14ac:dyDescent="0.3">
      <c r="A1074" t="s">
        <v>5833</v>
      </c>
      <c r="B1074" t="s">
        <v>5834</v>
      </c>
      <c r="D1074" t="s">
        <v>2942</v>
      </c>
      <c r="E1074" t="s">
        <v>2943</v>
      </c>
      <c r="F1074" t="s">
        <v>1227</v>
      </c>
      <c r="G1074" t="s">
        <v>2078</v>
      </c>
      <c r="H1074">
        <v>1458</v>
      </c>
      <c r="I1074">
        <v>1530.9</v>
      </c>
      <c r="J1074" t="s">
        <v>2944</v>
      </c>
      <c r="K1074">
        <v>1</v>
      </c>
      <c r="L1074" t="s">
        <v>2945</v>
      </c>
      <c r="M1074" s="19">
        <v>46262</v>
      </c>
      <c r="N1074" t="s">
        <v>5758</v>
      </c>
    </row>
    <row r="1075" spans="1:14" x14ac:dyDescent="0.3">
      <c r="A1075" t="s">
        <v>5835</v>
      </c>
      <c r="B1075" t="s">
        <v>5836</v>
      </c>
      <c r="D1075" t="s">
        <v>2942</v>
      </c>
      <c r="E1075" t="s">
        <v>2943</v>
      </c>
      <c r="F1075" t="s">
        <v>1227</v>
      </c>
      <c r="G1075" t="s">
        <v>2078</v>
      </c>
      <c r="H1075">
        <v>1747</v>
      </c>
      <c r="I1075">
        <v>1834.35</v>
      </c>
      <c r="J1075" t="s">
        <v>2944</v>
      </c>
      <c r="K1075">
        <v>1</v>
      </c>
      <c r="L1075" t="s">
        <v>2945</v>
      </c>
      <c r="M1075" s="19">
        <v>46262</v>
      </c>
      <c r="N1075" t="s">
        <v>5758</v>
      </c>
    </row>
    <row r="1076" spans="1:14" x14ac:dyDescent="0.3">
      <c r="A1076" t="s">
        <v>5837</v>
      </c>
      <c r="B1076" t="s">
        <v>5838</v>
      </c>
      <c r="D1076" t="s">
        <v>2942</v>
      </c>
      <c r="E1076" t="s">
        <v>2943</v>
      </c>
      <c r="F1076" t="s">
        <v>1227</v>
      </c>
      <c r="G1076" t="s">
        <v>2078</v>
      </c>
      <c r="H1076">
        <v>1277</v>
      </c>
      <c r="I1076">
        <v>1340.85</v>
      </c>
      <c r="J1076" t="s">
        <v>2944</v>
      </c>
      <c r="K1076">
        <v>1</v>
      </c>
      <c r="L1076" t="s">
        <v>2945</v>
      </c>
      <c r="M1076" s="19">
        <v>46262</v>
      </c>
      <c r="N1076" t="s">
        <v>5758</v>
      </c>
    </row>
    <row r="1077" spans="1:14" x14ac:dyDescent="0.3">
      <c r="A1077" t="s">
        <v>5839</v>
      </c>
      <c r="B1077" t="s">
        <v>5840</v>
      </c>
      <c r="D1077" t="s">
        <v>2952</v>
      </c>
      <c r="E1077" t="s">
        <v>2953</v>
      </c>
      <c r="F1077" t="s">
        <v>1227</v>
      </c>
      <c r="G1077" t="s">
        <v>2078</v>
      </c>
      <c r="H1077">
        <v>1049</v>
      </c>
      <c r="I1077">
        <v>1101.45</v>
      </c>
      <c r="J1077" t="s">
        <v>2944</v>
      </c>
      <c r="K1077">
        <v>1</v>
      </c>
      <c r="L1077" t="s">
        <v>2945</v>
      </c>
      <c r="M1077" s="19">
        <v>46262</v>
      </c>
      <c r="N1077" t="s">
        <v>5758</v>
      </c>
    </row>
    <row r="1078" spans="1:14" x14ac:dyDescent="0.3">
      <c r="A1078" t="s">
        <v>5841</v>
      </c>
      <c r="B1078" t="s">
        <v>5842</v>
      </c>
      <c r="D1078" t="s">
        <v>2952</v>
      </c>
      <c r="E1078" t="s">
        <v>2953</v>
      </c>
      <c r="F1078" t="s">
        <v>1227</v>
      </c>
      <c r="G1078" t="s">
        <v>2078</v>
      </c>
      <c r="H1078">
        <v>1110</v>
      </c>
      <c r="I1078">
        <v>1165.5</v>
      </c>
      <c r="J1078" t="s">
        <v>2944</v>
      </c>
      <c r="K1078">
        <v>1</v>
      </c>
      <c r="L1078" t="s">
        <v>2945</v>
      </c>
      <c r="M1078" s="19">
        <v>46262</v>
      </c>
      <c r="N1078" t="s">
        <v>5758</v>
      </c>
    </row>
    <row r="1079" spans="1:14" x14ac:dyDescent="0.3">
      <c r="A1079" t="s">
        <v>5843</v>
      </c>
      <c r="B1079" t="s">
        <v>5844</v>
      </c>
      <c r="D1079" t="s">
        <v>2952</v>
      </c>
      <c r="E1079" t="s">
        <v>2953</v>
      </c>
      <c r="F1079" t="s">
        <v>1227</v>
      </c>
      <c r="G1079" t="s">
        <v>2078</v>
      </c>
      <c r="H1079">
        <v>1216</v>
      </c>
      <c r="I1079">
        <v>1276.8</v>
      </c>
      <c r="J1079" t="s">
        <v>2944</v>
      </c>
      <c r="K1079">
        <v>1</v>
      </c>
      <c r="L1079" t="s">
        <v>2945</v>
      </c>
      <c r="M1079" s="19">
        <v>46262</v>
      </c>
      <c r="N1079" t="s">
        <v>5758</v>
      </c>
    </row>
    <row r="1080" spans="1:14" x14ac:dyDescent="0.3">
      <c r="A1080" t="s">
        <v>5845</v>
      </c>
      <c r="B1080" t="s">
        <v>5846</v>
      </c>
      <c r="D1080" t="s">
        <v>2952</v>
      </c>
      <c r="E1080" t="s">
        <v>2953</v>
      </c>
      <c r="F1080" t="s">
        <v>1227</v>
      </c>
      <c r="G1080" t="s">
        <v>2078</v>
      </c>
      <c r="H1080">
        <v>2137</v>
      </c>
      <c r="I1080">
        <v>2243.85</v>
      </c>
      <c r="J1080" t="s">
        <v>2944</v>
      </c>
      <c r="K1080">
        <v>1</v>
      </c>
      <c r="L1080" t="s">
        <v>2945</v>
      </c>
      <c r="M1080" s="19">
        <v>46262</v>
      </c>
      <c r="N1080" t="s">
        <v>5758</v>
      </c>
    </row>
    <row r="1081" spans="1:14" x14ac:dyDescent="0.3">
      <c r="A1081" t="s">
        <v>5847</v>
      </c>
      <c r="B1081" t="s">
        <v>5848</v>
      </c>
      <c r="D1081" t="s">
        <v>2952</v>
      </c>
      <c r="E1081" t="s">
        <v>2953</v>
      </c>
      <c r="F1081" t="s">
        <v>1227</v>
      </c>
      <c r="G1081" t="s">
        <v>2078</v>
      </c>
      <c r="H1081">
        <v>2199</v>
      </c>
      <c r="I1081">
        <v>2308.9499999999998</v>
      </c>
      <c r="J1081" t="s">
        <v>2944</v>
      </c>
      <c r="K1081">
        <v>1</v>
      </c>
      <c r="L1081" t="s">
        <v>2945</v>
      </c>
      <c r="M1081" s="19">
        <v>46262</v>
      </c>
      <c r="N1081" t="s">
        <v>5758</v>
      </c>
    </row>
    <row r="1082" spans="1:14" x14ac:dyDescent="0.3">
      <c r="A1082" t="s">
        <v>5849</v>
      </c>
      <c r="B1082" t="s">
        <v>5850</v>
      </c>
      <c r="D1082" t="s">
        <v>2942</v>
      </c>
      <c r="E1082" t="s">
        <v>2943</v>
      </c>
      <c r="F1082" t="s">
        <v>1227</v>
      </c>
      <c r="G1082" t="s">
        <v>2078</v>
      </c>
      <c r="H1082">
        <v>309</v>
      </c>
      <c r="I1082">
        <v>324.45</v>
      </c>
      <c r="J1082" t="s">
        <v>2944</v>
      </c>
      <c r="K1082">
        <v>1</v>
      </c>
      <c r="L1082" t="s">
        <v>2945</v>
      </c>
      <c r="M1082" s="19">
        <v>46262</v>
      </c>
      <c r="N1082" t="s">
        <v>5758</v>
      </c>
    </row>
    <row r="1083" spans="1:14" x14ac:dyDescent="0.3">
      <c r="A1083" t="s">
        <v>5851</v>
      </c>
      <c r="B1083" t="s">
        <v>5852</v>
      </c>
      <c r="D1083" t="s">
        <v>2942</v>
      </c>
      <c r="E1083" t="s">
        <v>2943</v>
      </c>
      <c r="F1083" t="s">
        <v>1227</v>
      </c>
      <c r="G1083" t="s">
        <v>2078</v>
      </c>
      <c r="H1083">
        <v>315</v>
      </c>
      <c r="I1083">
        <v>330.75</v>
      </c>
      <c r="J1083" t="s">
        <v>2944</v>
      </c>
      <c r="K1083">
        <v>1</v>
      </c>
      <c r="L1083" t="s">
        <v>2945</v>
      </c>
      <c r="M1083" s="19">
        <v>46262</v>
      </c>
      <c r="N1083" t="s">
        <v>5758</v>
      </c>
    </row>
    <row r="1084" spans="1:14" x14ac:dyDescent="0.3">
      <c r="A1084" t="s">
        <v>5853</v>
      </c>
      <c r="B1084" t="s">
        <v>5854</v>
      </c>
      <c r="D1084" t="s">
        <v>2942</v>
      </c>
      <c r="E1084" t="s">
        <v>2943</v>
      </c>
      <c r="F1084" t="s">
        <v>1227</v>
      </c>
      <c r="G1084" t="s">
        <v>2078</v>
      </c>
      <c r="H1084">
        <v>367</v>
      </c>
      <c r="I1084">
        <v>385.35</v>
      </c>
      <c r="J1084" t="s">
        <v>2944</v>
      </c>
      <c r="K1084">
        <v>1</v>
      </c>
      <c r="L1084" t="s">
        <v>2945</v>
      </c>
      <c r="M1084" s="19">
        <v>46262</v>
      </c>
      <c r="N1084" t="s">
        <v>5758</v>
      </c>
    </row>
    <row r="1085" spans="1:14" x14ac:dyDescent="0.3">
      <c r="A1085" t="s">
        <v>5855</v>
      </c>
      <c r="B1085" t="s">
        <v>5856</v>
      </c>
      <c r="D1085" t="s">
        <v>2942</v>
      </c>
      <c r="E1085" t="s">
        <v>2943</v>
      </c>
      <c r="F1085" t="s">
        <v>1227</v>
      </c>
      <c r="G1085" t="s">
        <v>2078</v>
      </c>
      <c r="H1085">
        <v>406</v>
      </c>
      <c r="I1085">
        <v>426.3</v>
      </c>
      <c r="J1085" t="s">
        <v>2944</v>
      </c>
      <c r="K1085">
        <v>1</v>
      </c>
      <c r="L1085" t="s">
        <v>2945</v>
      </c>
      <c r="M1085" s="19">
        <v>46262</v>
      </c>
      <c r="N1085" t="s">
        <v>5758</v>
      </c>
    </row>
    <row r="1086" spans="1:14" x14ac:dyDescent="0.3">
      <c r="A1086" t="s">
        <v>5857</v>
      </c>
      <c r="B1086" t="s">
        <v>5858</v>
      </c>
      <c r="D1086" t="s">
        <v>2952</v>
      </c>
      <c r="E1086" t="s">
        <v>2953</v>
      </c>
      <c r="F1086" t="s">
        <v>1227</v>
      </c>
      <c r="G1086" t="s">
        <v>2078</v>
      </c>
      <c r="H1086">
        <v>295</v>
      </c>
      <c r="I1086">
        <v>309.75</v>
      </c>
      <c r="J1086" t="s">
        <v>2944</v>
      </c>
      <c r="K1086">
        <v>1</v>
      </c>
      <c r="L1086" t="s">
        <v>2945</v>
      </c>
      <c r="M1086" s="19">
        <v>46262</v>
      </c>
      <c r="N1086" t="s">
        <v>5758</v>
      </c>
    </row>
    <row r="1087" spans="1:14" x14ac:dyDescent="0.3">
      <c r="A1087" t="s">
        <v>5859</v>
      </c>
      <c r="B1087" t="s">
        <v>5860</v>
      </c>
      <c r="D1087" t="s">
        <v>2952</v>
      </c>
      <c r="E1087" t="s">
        <v>2953</v>
      </c>
      <c r="F1087" t="s">
        <v>1227</v>
      </c>
      <c r="G1087" t="s">
        <v>2078</v>
      </c>
      <c r="H1087">
        <v>323</v>
      </c>
      <c r="I1087">
        <v>339.15</v>
      </c>
      <c r="J1087" t="s">
        <v>2944</v>
      </c>
      <c r="K1087">
        <v>1</v>
      </c>
      <c r="L1087" t="s">
        <v>2945</v>
      </c>
      <c r="M1087" s="19">
        <v>46262</v>
      </c>
      <c r="N1087" t="s">
        <v>5758</v>
      </c>
    </row>
    <row r="1088" spans="1:14" x14ac:dyDescent="0.3">
      <c r="A1088" t="s">
        <v>5861</v>
      </c>
      <c r="B1088" t="s">
        <v>5862</v>
      </c>
      <c r="D1088" t="s">
        <v>2952</v>
      </c>
      <c r="E1088" t="s">
        <v>2953</v>
      </c>
      <c r="F1088" t="s">
        <v>1227</v>
      </c>
      <c r="G1088" t="s">
        <v>2078</v>
      </c>
      <c r="H1088">
        <v>375</v>
      </c>
      <c r="I1088">
        <v>393.75</v>
      </c>
      <c r="J1088" t="s">
        <v>2944</v>
      </c>
      <c r="K1088">
        <v>1</v>
      </c>
      <c r="L1088" t="s">
        <v>2945</v>
      </c>
      <c r="M1088" s="19">
        <v>46262</v>
      </c>
      <c r="N1088" t="s">
        <v>5758</v>
      </c>
    </row>
    <row r="1089" spans="1:14" x14ac:dyDescent="0.3">
      <c r="A1089" t="s">
        <v>5863</v>
      </c>
      <c r="B1089" t="s">
        <v>5864</v>
      </c>
      <c r="D1089" t="s">
        <v>2952</v>
      </c>
      <c r="E1089" t="s">
        <v>2953</v>
      </c>
      <c r="F1089" t="s">
        <v>1227</v>
      </c>
      <c r="G1089" t="s">
        <v>2078</v>
      </c>
      <c r="H1089">
        <v>403</v>
      </c>
      <c r="I1089">
        <v>423.15</v>
      </c>
      <c r="J1089" t="s">
        <v>2944</v>
      </c>
      <c r="K1089">
        <v>1</v>
      </c>
      <c r="L1089" t="s">
        <v>2945</v>
      </c>
      <c r="M1089" s="19">
        <v>46262</v>
      </c>
      <c r="N1089" t="s">
        <v>5758</v>
      </c>
    </row>
    <row r="1090" spans="1:14" x14ac:dyDescent="0.3">
      <c r="A1090" t="s">
        <v>5865</v>
      </c>
      <c r="B1090" t="s">
        <v>5866</v>
      </c>
      <c r="D1090" t="s">
        <v>2942</v>
      </c>
      <c r="E1090" t="s">
        <v>2943</v>
      </c>
      <c r="F1090" t="s">
        <v>1227</v>
      </c>
      <c r="G1090" t="s">
        <v>2078</v>
      </c>
      <c r="H1090">
        <v>318</v>
      </c>
      <c r="I1090">
        <v>333.9</v>
      </c>
      <c r="J1090" t="s">
        <v>2944</v>
      </c>
      <c r="K1090">
        <v>1</v>
      </c>
      <c r="L1090" t="s">
        <v>2945</v>
      </c>
      <c r="M1090" s="19">
        <v>46262</v>
      </c>
      <c r="N1090" t="s">
        <v>5758</v>
      </c>
    </row>
    <row r="1091" spans="1:14" x14ac:dyDescent="0.3">
      <c r="A1091" t="s">
        <v>5867</v>
      </c>
      <c r="B1091" t="s">
        <v>5866</v>
      </c>
      <c r="D1091" t="s">
        <v>2942</v>
      </c>
      <c r="E1091" t="s">
        <v>2943</v>
      </c>
      <c r="F1091" t="s">
        <v>1227</v>
      </c>
      <c r="G1091" t="s">
        <v>2078</v>
      </c>
      <c r="H1091">
        <v>318</v>
      </c>
      <c r="I1091">
        <v>333.9</v>
      </c>
      <c r="J1091" t="s">
        <v>2944</v>
      </c>
      <c r="K1091">
        <v>1</v>
      </c>
      <c r="L1091" t="s">
        <v>2945</v>
      </c>
      <c r="M1091" s="19">
        <v>46262</v>
      </c>
      <c r="N1091" t="s">
        <v>5758</v>
      </c>
    </row>
    <row r="1092" spans="1:14" x14ac:dyDescent="0.3">
      <c r="A1092" t="s">
        <v>5868</v>
      </c>
      <c r="B1092" t="s">
        <v>5866</v>
      </c>
      <c r="D1092" t="s">
        <v>2942</v>
      </c>
      <c r="E1092" t="s">
        <v>2943</v>
      </c>
      <c r="F1092" t="s">
        <v>1227</v>
      </c>
      <c r="G1092" t="s">
        <v>2078</v>
      </c>
      <c r="H1092">
        <v>318</v>
      </c>
      <c r="I1092">
        <v>333.9</v>
      </c>
      <c r="J1092" t="s">
        <v>2944</v>
      </c>
      <c r="K1092">
        <v>1</v>
      </c>
      <c r="L1092" t="s">
        <v>2945</v>
      </c>
      <c r="M1092" s="19">
        <v>46262</v>
      </c>
      <c r="N1092" t="s">
        <v>5758</v>
      </c>
    </row>
    <row r="1093" spans="1:14" x14ac:dyDescent="0.3">
      <c r="A1093" t="s">
        <v>5869</v>
      </c>
      <c r="B1093" t="s">
        <v>5870</v>
      </c>
      <c r="D1093" t="s">
        <v>2942</v>
      </c>
      <c r="E1093" t="s">
        <v>2943</v>
      </c>
      <c r="F1093" t="s">
        <v>1227</v>
      </c>
      <c r="G1093" t="s">
        <v>2078</v>
      </c>
      <c r="H1093">
        <v>329</v>
      </c>
      <c r="I1093">
        <v>345.45</v>
      </c>
      <c r="J1093" t="s">
        <v>2944</v>
      </c>
      <c r="K1093">
        <v>1</v>
      </c>
      <c r="L1093" t="s">
        <v>2945</v>
      </c>
      <c r="M1093" s="19">
        <v>46262</v>
      </c>
      <c r="N1093" t="s">
        <v>5758</v>
      </c>
    </row>
    <row r="1094" spans="1:14" x14ac:dyDescent="0.3">
      <c r="A1094" t="s">
        <v>5871</v>
      </c>
      <c r="B1094" t="s">
        <v>5872</v>
      </c>
      <c r="D1094" t="s">
        <v>2942</v>
      </c>
      <c r="E1094" t="s">
        <v>2943</v>
      </c>
      <c r="F1094" t="s">
        <v>1227</v>
      </c>
      <c r="G1094" t="s">
        <v>2078</v>
      </c>
      <c r="H1094">
        <v>338</v>
      </c>
      <c r="I1094">
        <v>354.9</v>
      </c>
      <c r="J1094" t="s">
        <v>2944</v>
      </c>
      <c r="K1094">
        <v>1</v>
      </c>
      <c r="L1094" t="s">
        <v>2945</v>
      </c>
      <c r="M1094" s="19">
        <v>46262</v>
      </c>
      <c r="N1094" t="s">
        <v>5758</v>
      </c>
    </row>
    <row r="1095" spans="1:14" x14ac:dyDescent="0.3">
      <c r="A1095" t="s">
        <v>5873</v>
      </c>
      <c r="B1095" t="s">
        <v>5874</v>
      </c>
      <c r="D1095" t="s">
        <v>2942</v>
      </c>
      <c r="E1095" t="s">
        <v>2943</v>
      </c>
      <c r="F1095" t="s">
        <v>1227</v>
      </c>
      <c r="G1095" t="s">
        <v>2078</v>
      </c>
      <c r="H1095">
        <v>475</v>
      </c>
      <c r="I1095">
        <v>498.75</v>
      </c>
      <c r="J1095" t="s">
        <v>2944</v>
      </c>
      <c r="K1095">
        <v>1</v>
      </c>
      <c r="L1095" t="s">
        <v>2945</v>
      </c>
      <c r="M1095" s="19">
        <v>46262</v>
      </c>
      <c r="N1095" t="s">
        <v>5758</v>
      </c>
    </row>
    <row r="1096" spans="1:14" x14ac:dyDescent="0.3">
      <c r="A1096" t="s">
        <v>5875</v>
      </c>
      <c r="B1096" t="s">
        <v>5876</v>
      </c>
      <c r="D1096" t="s">
        <v>2952</v>
      </c>
      <c r="E1096" t="s">
        <v>2953</v>
      </c>
      <c r="F1096" t="s">
        <v>1227</v>
      </c>
      <c r="G1096" t="s">
        <v>2078</v>
      </c>
      <c r="H1096">
        <v>321</v>
      </c>
      <c r="I1096">
        <v>337.05</v>
      </c>
      <c r="J1096" t="s">
        <v>2944</v>
      </c>
      <c r="K1096">
        <v>1</v>
      </c>
      <c r="L1096" t="s">
        <v>2945</v>
      </c>
      <c r="M1096" s="19">
        <v>46262</v>
      </c>
      <c r="N1096" t="s">
        <v>5758</v>
      </c>
    </row>
    <row r="1097" spans="1:14" x14ac:dyDescent="0.3">
      <c r="A1097" t="s">
        <v>5877</v>
      </c>
      <c r="B1097" t="s">
        <v>5876</v>
      </c>
      <c r="D1097" t="s">
        <v>2952</v>
      </c>
      <c r="E1097" t="s">
        <v>2953</v>
      </c>
      <c r="F1097" t="s">
        <v>1227</v>
      </c>
      <c r="G1097" t="s">
        <v>2078</v>
      </c>
      <c r="H1097">
        <v>321</v>
      </c>
      <c r="I1097">
        <v>337.05</v>
      </c>
      <c r="J1097" t="s">
        <v>2944</v>
      </c>
      <c r="K1097">
        <v>1</v>
      </c>
      <c r="L1097" t="s">
        <v>2945</v>
      </c>
      <c r="M1097" s="19">
        <v>46262</v>
      </c>
      <c r="N1097" t="s">
        <v>5758</v>
      </c>
    </row>
    <row r="1098" spans="1:14" x14ac:dyDescent="0.3">
      <c r="A1098" t="s">
        <v>5878</v>
      </c>
      <c r="B1098" t="s">
        <v>5879</v>
      </c>
      <c r="D1098" t="s">
        <v>2952</v>
      </c>
      <c r="E1098" t="s">
        <v>2953</v>
      </c>
      <c r="F1098" t="s">
        <v>1227</v>
      </c>
      <c r="G1098" t="s">
        <v>2078</v>
      </c>
      <c r="H1098">
        <v>329</v>
      </c>
      <c r="I1098">
        <v>345.45</v>
      </c>
      <c r="J1098" t="s">
        <v>2944</v>
      </c>
      <c r="K1098">
        <v>1</v>
      </c>
      <c r="L1098" t="s">
        <v>2945</v>
      </c>
      <c r="M1098" s="19">
        <v>46262</v>
      </c>
      <c r="N1098" t="s">
        <v>5758</v>
      </c>
    </row>
    <row r="1099" spans="1:14" x14ac:dyDescent="0.3">
      <c r="A1099" t="s">
        <v>5880</v>
      </c>
      <c r="B1099" t="s">
        <v>5881</v>
      </c>
      <c r="D1099" t="s">
        <v>2952</v>
      </c>
      <c r="E1099" t="s">
        <v>2953</v>
      </c>
      <c r="F1099" t="s">
        <v>1227</v>
      </c>
      <c r="G1099" t="s">
        <v>2078</v>
      </c>
      <c r="H1099">
        <v>339</v>
      </c>
      <c r="I1099">
        <v>355.95</v>
      </c>
      <c r="J1099" t="s">
        <v>2944</v>
      </c>
      <c r="K1099">
        <v>1</v>
      </c>
      <c r="L1099" t="s">
        <v>2945</v>
      </c>
      <c r="M1099" s="19">
        <v>46262</v>
      </c>
      <c r="N1099" t="s">
        <v>5758</v>
      </c>
    </row>
    <row r="1100" spans="1:14" x14ac:dyDescent="0.3">
      <c r="A1100" t="s">
        <v>5882</v>
      </c>
      <c r="B1100" t="s">
        <v>5883</v>
      </c>
      <c r="D1100" t="s">
        <v>2952</v>
      </c>
      <c r="E1100" t="s">
        <v>2953</v>
      </c>
      <c r="F1100" t="s">
        <v>1227</v>
      </c>
      <c r="G1100" t="s">
        <v>2078</v>
      </c>
      <c r="H1100">
        <v>377</v>
      </c>
      <c r="I1100">
        <v>395.85</v>
      </c>
      <c r="J1100" t="s">
        <v>2944</v>
      </c>
      <c r="K1100">
        <v>1</v>
      </c>
      <c r="L1100" t="s">
        <v>2945</v>
      </c>
      <c r="M1100" s="19">
        <v>46262</v>
      </c>
      <c r="N1100" t="s">
        <v>5758</v>
      </c>
    </row>
    <row r="1101" spans="1:14" x14ac:dyDescent="0.3">
      <c r="A1101" t="s">
        <v>5884</v>
      </c>
      <c r="B1101" t="s">
        <v>5885</v>
      </c>
      <c r="D1101" t="s">
        <v>2942</v>
      </c>
      <c r="E1101" t="s">
        <v>2943</v>
      </c>
      <c r="F1101" t="s">
        <v>1227</v>
      </c>
      <c r="G1101" t="s">
        <v>2078</v>
      </c>
      <c r="H1101">
        <v>408</v>
      </c>
      <c r="I1101">
        <v>428.4</v>
      </c>
      <c r="J1101" t="s">
        <v>2944</v>
      </c>
      <c r="K1101">
        <v>1</v>
      </c>
      <c r="L1101" t="s">
        <v>2945</v>
      </c>
      <c r="M1101" s="19">
        <v>46262</v>
      </c>
      <c r="N1101" t="s">
        <v>5758</v>
      </c>
    </row>
    <row r="1102" spans="1:14" x14ac:dyDescent="0.3">
      <c r="A1102" t="s">
        <v>5886</v>
      </c>
      <c r="B1102" t="s">
        <v>5885</v>
      </c>
      <c r="D1102" t="s">
        <v>2942</v>
      </c>
      <c r="E1102" t="s">
        <v>2943</v>
      </c>
      <c r="F1102" t="s">
        <v>1227</v>
      </c>
      <c r="G1102" t="s">
        <v>2078</v>
      </c>
      <c r="H1102">
        <v>408</v>
      </c>
      <c r="I1102">
        <v>428.4</v>
      </c>
      <c r="J1102" t="s">
        <v>2944</v>
      </c>
      <c r="K1102">
        <v>1</v>
      </c>
      <c r="L1102" t="s">
        <v>2945</v>
      </c>
      <c r="M1102" s="19">
        <v>46262</v>
      </c>
      <c r="N1102" t="s">
        <v>5758</v>
      </c>
    </row>
    <row r="1103" spans="1:14" x14ac:dyDescent="0.3">
      <c r="A1103" t="s">
        <v>5887</v>
      </c>
      <c r="B1103" t="s">
        <v>5888</v>
      </c>
      <c r="D1103" t="s">
        <v>2942</v>
      </c>
      <c r="E1103" t="s">
        <v>2943</v>
      </c>
      <c r="F1103" t="s">
        <v>1227</v>
      </c>
      <c r="G1103" t="s">
        <v>2078</v>
      </c>
      <c r="H1103">
        <v>430</v>
      </c>
      <c r="I1103">
        <v>451.5</v>
      </c>
      <c r="J1103" t="s">
        <v>2944</v>
      </c>
      <c r="K1103">
        <v>1</v>
      </c>
      <c r="L1103" t="s">
        <v>2945</v>
      </c>
      <c r="M1103" s="19">
        <v>46262</v>
      </c>
      <c r="N1103" t="s">
        <v>5758</v>
      </c>
    </row>
    <row r="1104" spans="1:14" x14ac:dyDescent="0.3">
      <c r="A1104" t="s">
        <v>5889</v>
      </c>
      <c r="B1104" t="s">
        <v>5890</v>
      </c>
      <c r="D1104" t="s">
        <v>2942</v>
      </c>
      <c r="E1104" t="s">
        <v>2943</v>
      </c>
      <c r="F1104" t="s">
        <v>1227</v>
      </c>
      <c r="G1104" t="s">
        <v>2078</v>
      </c>
      <c r="H1104">
        <v>478</v>
      </c>
      <c r="I1104">
        <v>501.9</v>
      </c>
      <c r="J1104" t="s">
        <v>2944</v>
      </c>
      <c r="K1104">
        <v>1</v>
      </c>
      <c r="L1104" t="s">
        <v>2945</v>
      </c>
      <c r="M1104" s="19">
        <v>46262</v>
      </c>
      <c r="N1104" t="s">
        <v>5758</v>
      </c>
    </row>
    <row r="1105" spans="1:14" x14ac:dyDescent="0.3">
      <c r="A1105" t="s">
        <v>5891</v>
      </c>
      <c r="B1105" t="s">
        <v>5892</v>
      </c>
      <c r="D1105" t="s">
        <v>2942</v>
      </c>
      <c r="E1105" t="s">
        <v>2943</v>
      </c>
      <c r="F1105" t="s">
        <v>1227</v>
      </c>
      <c r="G1105" t="s">
        <v>2078</v>
      </c>
      <c r="H1105">
        <v>156</v>
      </c>
      <c r="I1105">
        <v>163.80000000000001</v>
      </c>
      <c r="J1105" t="s">
        <v>2944</v>
      </c>
      <c r="K1105">
        <v>1</v>
      </c>
      <c r="L1105" t="s">
        <v>2945</v>
      </c>
      <c r="M1105" s="19">
        <v>46262</v>
      </c>
      <c r="N1105" t="s">
        <v>5758</v>
      </c>
    </row>
    <row r="1106" spans="1:14" x14ac:dyDescent="0.3">
      <c r="A1106" t="s">
        <v>5893</v>
      </c>
      <c r="B1106" t="s">
        <v>5892</v>
      </c>
      <c r="D1106" t="s">
        <v>2942</v>
      </c>
      <c r="E1106" t="s">
        <v>2943</v>
      </c>
      <c r="F1106" t="s">
        <v>1227</v>
      </c>
      <c r="G1106" t="s">
        <v>2078</v>
      </c>
      <c r="H1106">
        <v>156</v>
      </c>
      <c r="I1106">
        <v>163.80000000000001</v>
      </c>
      <c r="J1106" t="s">
        <v>2944</v>
      </c>
      <c r="K1106">
        <v>1</v>
      </c>
      <c r="L1106" t="s">
        <v>2945</v>
      </c>
      <c r="M1106" s="19">
        <v>46262</v>
      </c>
      <c r="N1106" t="s">
        <v>5758</v>
      </c>
    </row>
    <row r="1107" spans="1:14" x14ac:dyDescent="0.3">
      <c r="A1107" t="s">
        <v>5894</v>
      </c>
      <c r="B1107" t="s">
        <v>5895</v>
      </c>
      <c r="D1107" t="s">
        <v>2942</v>
      </c>
      <c r="E1107" t="s">
        <v>2943</v>
      </c>
      <c r="F1107" t="s">
        <v>1227</v>
      </c>
      <c r="G1107" t="s">
        <v>2078</v>
      </c>
      <c r="H1107">
        <v>164</v>
      </c>
      <c r="I1107">
        <v>172.2</v>
      </c>
      <c r="J1107" t="s">
        <v>2944</v>
      </c>
      <c r="K1107">
        <v>1</v>
      </c>
      <c r="L1107" t="s">
        <v>2945</v>
      </c>
      <c r="M1107" s="19">
        <v>46262</v>
      </c>
      <c r="N1107" t="s">
        <v>5758</v>
      </c>
    </row>
    <row r="1108" spans="1:14" x14ac:dyDescent="0.3">
      <c r="A1108" t="s">
        <v>5896</v>
      </c>
      <c r="B1108" t="s">
        <v>5897</v>
      </c>
      <c r="D1108" t="s">
        <v>2942</v>
      </c>
      <c r="E1108" t="s">
        <v>2943</v>
      </c>
      <c r="F1108" t="s">
        <v>1227</v>
      </c>
      <c r="G1108" t="s">
        <v>2078</v>
      </c>
      <c r="H1108">
        <v>176</v>
      </c>
      <c r="I1108">
        <v>184.8</v>
      </c>
      <c r="J1108" t="s">
        <v>2944</v>
      </c>
      <c r="K1108">
        <v>1</v>
      </c>
      <c r="L1108" t="s">
        <v>2945</v>
      </c>
      <c r="M1108" s="19">
        <v>46262</v>
      </c>
      <c r="N1108" t="s">
        <v>5758</v>
      </c>
    </row>
    <row r="1109" spans="1:14" x14ac:dyDescent="0.3">
      <c r="A1109" t="s">
        <v>5898</v>
      </c>
      <c r="B1109" t="s">
        <v>5899</v>
      </c>
      <c r="D1109" t="s">
        <v>2942</v>
      </c>
      <c r="E1109" t="s">
        <v>2943</v>
      </c>
      <c r="F1109" t="s">
        <v>1227</v>
      </c>
      <c r="G1109" t="s">
        <v>2078</v>
      </c>
      <c r="H1109">
        <v>211</v>
      </c>
      <c r="I1109">
        <v>221.55</v>
      </c>
      <c r="J1109" t="s">
        <v>2944</v>
      </c>
      <c r="K1109">
        <v>1</v>
      </c>
      <c r="L1109" t="s">
        <v>2945</v>
      </c>
      <c r="M1109" s="19">
        <v>46262</v>
      </c>
      <c r="N1109" t="s">
        <v>5758</v>
      </c>
    </row>
    <row r="1110" spans="1:14" x14ac:dyDescent="0.3">
      <c r="A1110" t="s">
        <v>5900</v>
      </c>
      <c r="B1110" t="s">
        <v>5901</v>
      </c>
      <c r="D1110" t="s">
        <v>2942</v>
      </c>
      <c r="E1110" t="s">
        <v>2943</v>
      </c>
      <c r="F1110" t="s">
        <v>1227</v>
      </c>
      <c r="G1110" t="s">
        <v>2078</v>
      </c>
      <c r="H1110">
        <v>276</v>
      </c>
      <c r="I1110">
        <v>289.8</v>
      </c>
      <c r="J1110" t="s">
        <v>2944</v>
      </c>
      <c r="K1110">
        <v>1</v>
      </c>
      <c r="L1110" t="s">
        <v>2945</v>
      </c>
      <c r="M1110" s="19">
        <v>46262</v>
      </c>
      <c r="N1110" t="s">
        <v>5758</v>
      </c>
    </row>
    <row r="1111" spans="1:14" x14ac:dyDescent="0.3">
      <c r="A1111" t="s">
        <v>5902</v>
      </c>
      <c r="B1111" t="s">
        <v>5903</v>
      </c>
      <c r="D1111" t="s">
        <v>2952</v>
      </c>
      <c r="E1111" t="s">
        <v>2953</v>
      </c>
      <c r="F1111" t="s">
        <v>1227</v>
      </c>
      <c r="G1111" t="s">
        <v>2078</v>
      </c>
      <c r="H1111">
        <v>123</v>
      </c>
      <c r="I1111">
        <v>129.15</v>
      </c>
      <c r="J1111" t="s">
        <v>2944</v>
      </c>
      <c r="K1111">
        <v>1</v>
      </c>
      <c r="L1111" t="s">
        <v>2945</v>
      </c>
      <c r="M1111" s="19">
        <v>46262</v>
      </c>
      <c r="N1111" t="s">
        <v>5758</v>
      </c>
    </row>
    <row r="1112" spans="1:14" x14ac:dyDescent="0.3">
      <c r="A1112" t="s">
        <v>5904</v>
      </c>
      <c r="B1112" t="s">
        <v>5905</v>
      </c>
      <c r="D1112" t="s">
        <v>2952</v>
      </c>
      <c r="E1112" t="s">
        <v>2953</v>
      </c>
      <c r="F1112" t="s">
        <v>1227</v>
      </c>
      <c r="G1112" t="s">
        <v>2078</v>
      </c>
      <c r="H1112">
        <v>136</v>
      </c>
      <c r="I1112">
        <v>142.80000000000001</v>
      </c>
      <c r="J1112" t="s">
        <v>2944</v>
      </c>
      <c r="K1112">
        <v>1</v>
      </c>
      <c r="L1112" t="s">
        <v>2945</v>
      </c>
      <c r="M1112" s="19">
        <v>46262</v>
      </c>
      <c r="N1112" t="s">
        <v>5758</v>
      </c>
    </row>
    <row r="1113" spans="1:14" x14ac:dyDescent="0.3">
      <c r="A1113" t="s">
        <v>5906</v>
      </c>
      <c r="B1113" t="s">
        <v>5907</v>
      </c>
      <c r="D1113" t="s">
        <v>2952</v>
      </c>
      <c r="E1113" t="s">
        <v>2953</v>
      </c>
      <c r="F1113" t="s">
        <v>1227</v>
      </c>
      <c r="G1113" t="s">
        <v>2078</v>
      </c>
      <c r="H1113">
        <v>164</v>
      </c>
      <c r="I1113">
        <v>172.2</v>
      </c>
      <c r="J1113" t="s">
        <v>2944</v>
      </c>
      <c r="K1113">
        <v>1</v>
      </c>
      <c r="L1113" t="s">
        <v>2945</v>
      </c>
      <c r="M1113" s="19">
        <v>46262</v>
      </c>
      <c r="N1113" t="s">
        <v>5758</v>
      </c>
    </row>
    <row r="1114" spans="1:14" x14ac:dyDescent="0.3">
      <c r="A1114" t="s">
        <v>5908</v>
      </c>
      <c r="B1114" t="s">
        <v>5909</v>
      </c>
      <c r="D1114" t="s">
        <v>2952</v>
      </c>
      <c r="E1114" t="s">
        <v>2953</v>
      </c>
      <c r="F1114" t="s">
        <v>1227</v>
      </c>
      <c r="G1114" t="s">
        <v>2078</v>
      </c>
      <c r="H1114">
        <v>226</v>
      </c>
      <c r="I1114">
        <v>237.3</v>
      </c>
      <c r="J1114" t="s">
        <v>2944</v>
      </c>
      <c r="K1114">
        <v>1</v>
      </c>
      <c r="L1114" t="s">
        <v>2945</v>
      </c>
      <c r="M1114" s="19">
        <v>46262</v>
      </c>
      <c r="N1114" t="s">
        <v>5758</v>
      </c>
    </row>
    <row r="1115" spans="1:14" x14ac:dyDescent="0.3">
      <c r="A1115" t="s">
        <v>5910</v>
      </c>
      <c r="B1115" t="s">
        <v>5911</v>
      </c>
      <c r="D1115" t="s">
        <v>2952</v>
      </c>
      <c r="E1115" t="s">
        <v>2953</v>
      </c>
      <c r="F1115" t="s">
        <v>1227</v>
      </c>
      <c r="G1115" t="s">
        <v>2078</v>
      </c>
      <c r="H1115">
        <v>272</v>
      </c>
      <c r="I1115">
        <v>285.60000000000002</v>
      </c>
      <c r="J1115" t="s">
        <v>2944</v>
      </c>
      <c r="K1115">
        <v>1</v>
      </c>
      <c r="L1115" t="s">
        <v>2945</v>
      </c>
      <c r="M1115" s="19">
        <v>46262</v>
      </c>
      <c r="N1115" t="s">
        <v>5758</v>
      </c>
    </row>
    <row r="1116" spans="1:14" x14ac:dyDescent="0.3">
      <c r="A1116" t="s">
        <v>5912</v>
      </c>
      <c r="B1116" t="s">
        <v>5911</v>
      </c>
      <c r="D1116" t="s">
        <v>2952</v>
      </c>
      <c r="E1116" t="s">
        <v>2953</v>
      </c>
      <c r="F1116" t="s">
        <v>1227</v>
      </c>
      <c r="G1116" t="s">
        <v>2078</v>
      </c>
      <c r="H1116">
        <v>272</v>
      </c>
      <c r="I1116">
        <v>285.60000000000002</v>
      </c>
      <c r="J1116" t="s">
        <v>2944</v>
      </c>
      <c r="K1116">
        <v>1</v>
      </c>
      <c r="L1116" t="s">
        <v>2945</v>
      </c>
      <c r="M1116" s="19">
        <v>46262</v>
      </c>
      <c r="N1116" t="s">
        <v>5758</v>
      </c>
    </row>
    <row r="1117" spans="1:14" x14ac:dyDescent="0.3">
      <c r="A1117" t="s">
        <v>5913</v>
      </c>
      <c r="B1117" t="s">
        <v>5914</v>
      </c>
      <c r="D1117" t="s">
        <v>2942</v>
      </c>
      <c r="E1117" t="s">
        <v>2943</v>
      </c>
      <c r="F1117" t="s">
        <v>1227</v>
      </c>
      <c r="G1117" t="s">
        <v>2078</v>
      </c>
      <c r="H1117">
        <v>655</v>
      </c>
      <c r="I1117">
        <v>687.75</v>
      </c>
      <c r="J1117" t="s">
        <v>2944</v>
      </c>
      <c r="K1117">
        <v>1</v>
      </c>
      <c r="L1117" t="s">
        <v>2945</v>
      </c>
      <c r="M1117" s="19">
        <v>46262</v>
      </c>
      <c r="N1117" t="s">
        <v>5758</v>
      </c>
    </row>
    <row r="1118" spans="1:14" x14ac:dyDescent="0.3">
      <c r="A1118" t="s">
        <v>5915</v>
      </c>
      <c r="B1118" t="s">
        <v>5916</v>
      </c>
      <c r="D1118" t="s">
        <v>2952</v>
      </c>
      <c r="E1118" t="s">
        <v>2953</v>
      </c>
      <c r="F1118" t="s">
        <v>1227</v>
      </c>
      <c r="G1118" t="s">
        <v>2078</v>
      </c>
      <c r="H1118">
        <v>909</v>
      </c>
      <c r="I1118">
        <v>954.45</v>
      </c>
      <c r="J1118" t="s">
        <v>2944</v>
      </c>
      <c r="K1118">
        <v>1</v>
      </c>
      <c r="L1118" t="s">
        <v>2945</v>
      </c>
      <c r="M1118" s="19">
        <v>46262</v>
      </c>
      <c r="N1118" t="s">
        <v>5758</v>
      </c>
    </row>
    <row r="1119" spans="1:14" x14ac:dyDescent="0.3">
      <c r="A1119" t="s">
        <v>5917</v>
      </c>
      <c r="B1119" t="s">
        <v>5918</v>
      </c>
      <c r="D1119" t="s">
        <v>2942</v>
      </c>
      <c r="E1119" t="s">
        <v>2943</v>
      </c>
      <c r="F1119" t="s">
        <v>1227</v>
      </c>
      <c r="G1119" t="s">
        <v>2078</v>
      </c>
      <c r="H1119">
        <v>767</v>
      </c>
      <c r="I1119">
        <v>805.35</v>
      </c>
      <c r="J1119" t="s">
        <v>2944</v>
      </c>
      <c r="K1119">
        <v>1</v>
      </c>
      <c r="L1119" t="s">
        <v>2945</v>
      </c>
      <c r="M1119" s="19">
        <v>46262</v>
      </c>
      <c r="N1119" t="s">
        <v>5758</v>
      </c>
    </row>
    <row r="1120" spans="1:14" x14ac:dyDescent="0.3">
      <c r="A1120" t="s">
        <v>5919</v>
      </c>
      <c r="B1120" t="s">
        <v>5920</v>
      </c>
      <c r="D1120" t="s">
        <v>2952</v>
      </c>
      <c r="E1120" t="s">
        <v>2953</v>
      </c>
      <c r="F1120" t="s">
        <v>1227</v>
      </c>
      <c r="G1120" t="s">
        <v>2078</v>
      </c>
      <c r="H1120">
        <v>1165</v>
      </c>
      <c r="I1120">
        <v>1223.25</v>
      </c>
      <c r="J1120" t="s">
        <v>2944</v>
      </c>
      <c r="K1120">
        <v>1</v>
      </c>
      <c r="L1120" t="s">
        <v>2945</v>
      </c>
      <c r="M1120" s="19">
        <v>46262</v>
      </c>
      <c r="N1120" t="s">
        <v>5758</v>
      </c>
    </row>
    <row r="1121" spans="1:14" x14ac:dyDescent="0.3">
      <c r="A1121" t="s">
        <v>5921</v>
      </c>
      <c r="B1121" t="s">
        <v>5922</v>
      </c>
      <c r="D1121" t="s">
        <v>2952</v>
      </c>
      <c r="E1121" t="s">
        <v>2953</v>
      </c>
      <c r="F1121" t="s">
        <v>1227</v>
      </c>
      <c r="G1121" t="s">
        <v>2078</v>
      </c>
      <c r="H1121">
        <v>748</v>
      </c>
      <c r="I1121">
        <v>785.4</v>
      </c>
      <c r="J1121" t="s">
        <v>2944</v>
      </c>
      <c r="K1121">
        <v>1</v>
      </c>
      <c r="L1121" t="s">
        <v>2945</v>
      </c>
      <c r="M1121" s="19">
        <v>46262</v>
      </c>
      <c r="N1121" t="s">
        <v>5758</v>
      </c>
    </row>
    <row r="1122" spans="1:14" x14ac:dyDescent="0.3">
      <c r="A1122" t="s">
        <v>5923</v>
      </c>
      <c r="B1122" t="s">
        <v>5924</v>
      </c>
      <c r="D1122" t="s">
        <v>2942</v>
      </c>
      <c r="E1122" t="s">
        <v>2943</v>
      </c>
      <c r="F1122" t="s">
        <v>1227</v>
      </c>
      <c r="G1122" t="s">
        <v>2078</v>
      </c>
      <c r="H1122">
        <v>1037</v>
      </c>
      <c r="I1122">
        <v>1088.8499999999999</v>
      </c>
      <c r="J1122" t="s">
        <v>2944</v>
      </c>
      <c r="K1122">
        <v>1</v>
      </c>
      <c r="L1122" t="s">
        <v>2945</v>
      </c>
      <c r="M1122" s="19">
        <v>46262</v>
      </c>
      <c r="N1122" t="s">
        <v>5758</v>
      </c>
    </row>
    <row r="1123" spans="1:14" x14ac:dyDescent="0.3">
      <c r="A1123" t="s">
        <v>5925</v>
      </c>
      <c r="B1123" t="s">
        <v>5926</v>
      </c>
      <c r="D1123" t="s">
        <v>2952</v>
      </c>
      <c r="E1123" t="s">
        <v>2953</v>
      </c>
      <c r="F1123" t="s">
        <v>1227</v>
      </c>
      <c r="G1123" t="s">
        <v>2078</v>
      </c>
      <c r="H1123">
        <v>1783</v>
      </c>
      <c r="I1123">
        <v>1872.15</v>
      </c>
      <c r="J1123" t="s">
        <v>2944</v>
      </c>
      <c r="K1123">
        <v>1</v>
      </c>
      <c r="L1123" t="s">
        <v>2945</v>
      </c>
      <c r="M1123" s="19">
        <v>46262</v>
      </c>
      <c r="N1123" t="s">
        <v>5758</v>
      </c>
    </row>
    <row r="1124" spans="1:14" x14ac:dyDescent="0.3">
      <c r="A1124" t="s">
        <v>5927</v>
      </c>
      <c r="B1124" t="s">
        <v>5928</v>
      </c>
      <c r="D1124" t="s">
        <v>2952</v>
      </c>
      <c r="E1124" t="s">
        <v>2953</v>
      </c>
      <c r="F1124" t="s">
        <v>1227</v>
      </c>
      <c r="G1124" t="s">
        <v>2078</v>
      </c>
      <c r="H1124">
        <v>1079</v>
      </c>
      <c r="I1124">
        <v>1132.95</v>
      </c>
      <c r="J1124" t="s">
        <v>2944</v>
      </c>
      <c r="K1124">
        <v>1</v>
      </c>
      <c r="L1124" t="s">
        <v>2945</v>
      </c>
      <c r="M1124" s="19">
        <v>46262</v>
      </c>
      <c r="N1124" t="s">
        <v>5758</v>
      </c>
    </row>
    <row r="1125" spans="1:14" x14ac:dyDescent="0.3">
      <c r="A1125" t="s">
        <v>5929</v>
      </c>
      <c r="B1125" t="s">
        <v>5930</v>
      </c>
      <c r="D1125" t="s">
        <v>2942</v>
      </c>
      <c r="E1125" t="s">
        <v>2943</v>
      </c>
      <c r="F1125" t="s">
        <v>1227</v>
      </c>
      <c r="G1125" t="s">
        <v>2078</v>
      </c>
      <c r="H1125">
        <v>1258</v>
      </c>
      <c r="I1125">
        <v>1320.9</v>
      </c>
      <c r="J1125" t="s">
        <v>2944</v>
      </c>
      <c r="K1125">
        <v>1</v>
      </c>
      <c r="L1125" t="s">
        <v>2945</v>
      </c>
      <c r="M1125" s="19">
        <v>46262</v>
      </c>
      <c r="N1125" t="s">
        <v>5758</v>
      </c>
    </row>
    <row r="1126" spans="1:14" x14ac:dyDescent="0.3">
      <c r="A1126" t="s">
        <v>5931</v>
      </c>
      <c r="B1126" t="s">
        <v>5932</v>
      </c>
      <c r="D1126" t="s">
        <v>2952</v>
      </c>
      <c r="E1126" t="s">
        <v>2953</v>
      </c>
      <c r="F1126" t="s">
        <v>1227</v>
      </c>
      <c r="G1126" t="s">
        <v>2078</v>
      </c>
      <c r="H1126">
        <v>1939</v>
      </c>
      <c r="I1126">
        <v>2035.95</v>
      </c>
      <c r="J1126" t="s">
        <v>2944</v>
      </c>
      <c r="K1126">
        <v>1</v>
      </c>
      <c r="L1126" t="s">
        <v>2945</v>
      </c>
      <c r="M1126" s="19">
        <v>46262</v>
      </c>
      <c r="N1126" t="s">
        <v>5758</v>
      </c>
    </row>
    <row r="1127" spans="1:14" x14ac:dyDescent="0.3">
      <c r="A1127" t="s">
        <v>5933</v>
      </c>
      <c r="B1127" t="s">
        <v>5934</v>
      </c>
      <c r="D1127" t="s">
        <v>2952</v>
      </c>
      <c r="E1127" t="s">
        <v>2953</v>
      </c>
      <c r="F1127" t="s">
        <v>1227</v>
      </c>
      <c r="G1127" t="s">
        <v>2078</v>
      </c>
      <c r="H1127">
        <v>1313</v>
      </c>
      <c r="I1127">
        <v>1378.65</v>
      </c>
      <c r="J1127" t="s">
        <v>2944</v>
      </c>
      <c r="K1127">
        <v>1</v>
      </c>
      <c r="L1127" t="s">
        <v>2945</v>
      </c>
      <c r="M1127" s="19">
        <v>46262</v>
      </c>
      <c r="N1127" t="s">
        <v>5758</v>
      </c>
    </row>
    <row r="1128" spans="1:14" x14ac:dyDescent="0.3">
      <c r="A1128" t="s">
        <v>5935</v>
      </c>
      <c r="B1128" t="s">
        <v>5936</v>
      </c>
      <c r="D1128" t="s">
        <v>2942</v>
      </c>
      <c r="E1128" t="s">
        <v>2943</v>
      </c>
      <c r="F1128" t="s">
        <v>1227</v>
      </c>
      <c r="G1128" t="s">
        <v>2078</v>
      </c>
      <c r="H1128">
        <v>1385</v>
      </c>
      <c r="I1128">
        <v>1454.25</v>
      </c>
      <c r="J1128" t="s">
        <v>2944</v>
      </c>
      <c r="K1128">
        <v>1</v>
      </c>
      <c r="L1128" t="s">
        <v>2945</v>
      </c>
      <c r="M1128" s="19">
        <v>46262</v>
      </c>
      <c r="N1128" t="s">
        <v>5758</v>
      </c>
    </row>
    <row r="1129" spans="1:14" x14ac:dyDescent="0.3">
      <c r="A1129" t="s">
        <v>5937</v>
      </c>
      <c r="B1129" t="s">
        <v>5938</v>
      </c>
      <c r="D1129" t="s">
        <v>2952</v>
      </c>
      <c r="E1129" t="s">
        <v>2953</v>
      </c>
      <c r="F1129" t="s">
        <v>1227</v>
      </c>
      <c r="G1129" t="s">
        <v>2078</v>
      </c>
      <c r="H1129">
        <v>2473</v>
      </c>
      <c r="I1129">
        <v>2596.65</v>
      </c>
      <c r="J1129" t="s">
        <v>2944</v>
      </c>
      <c r="K1129">
        <v>1</v>
      </c>
      <c r="L1129" t="s">
        <v>2945</v>
      </c>
      <c r="M1129" s="19">
        <v>46262</v>
      </c>
      <c r="N1129" t="s">
        <v>5758</v>
      </c>
    </row>
    <row r="1130" spans="1:14" x14ac:dyDescent="0.3">
      <c r="A1130" t="s">
        <v>5939</v>
      </c>
      <c r="B1130" t="s">
        <v>5940</v>
      </c>
      <c r="D1130" t="s">
        <v>2952</v>
      </c>
      <c r="E1130" t="s">
        <v>2953</v>
      </c>
      <c r="F1130" t="s">
        <v>1227</v>
      </c>
      <c r="G1130" t="s">
        <v>2078</v>
      </c>
      <c r="H1130">
        <v>1505</v>
      </c>
      <c r="I1130">
        <v>1580.25</v>
      </c>
      <c r="J1130" t="s">
        <v>2944</v>
      </c>
      <c r="K1130">
        <v>1</v>
      </c>
      <c r="L1130" t="s">
        <v>2945</v>
      </c>
      <c r="M1130" s="19">
        <v>46262</v>
      </c>
      <c r="N1130" t="s">
        <v>5758</v>
      </c>
    </row>
    <row r="1131" spans="1:14" x14ac:dyDescent="0.3">
      <c r="A1131" t="s">
        <v>5941</v>
      </c>
      <c r="B1131" t="s">
        <v>5942</v>
      </c>
      <c r="D1131" t="s">
        <v>2942</v>
      </c>
      <c r="E1131" t="s">
        <v>2943</v>
      </c>
      <c r="F1131" t="s">
        <v>1227</v>
      </c>
      <c r="G1131" t="s">
        <v>2078</v>
      </c>
      <c r="H1131">
        <v>363</v>
      </c>
      <c r="I1131">
        <v>381.15</v>
      </c>
      <c r="J1131" t="s">
        <v>2944</v>
      </c>
      <c r="K1131">
        <v>1</v>
      </c>
      <c r="L1131" t="s">
        <v>2945</v>
      </c>
      <c r="M1131" s="19">
        <v>46262</v>
      </c>
      <c r="N1131" t="s">
        <v>5758</v>
      </c>
    </row>
    <row r="1132" spans="1:14" x14ac:dyDescent="0.3">
      <c r="A1132" t="s">
        <v>5943</v>
      </c>
      <c r="B1132" t="s">
        <v>5944</v>
      </c>
      <c r="D1132" t="s">
        <v>2942</v>
      </c>
      <c r="E1132" t="s">
        <v>2943</v>
      </c>
      <c r="F1132" t="s">
        <v>1227</v>
      </c>
      <c r="G1132" t="s">
        <v>2078</v>
      </c>
      <c r="H1132">
        <v>292</v>
      </c>
      <c r="I1132">
        <v>306.60000000000002</v>
      </c>
      <c r="J1132" t="s">
        <v>2944</v>
      </c>
      <c r="K1132">
        <v>1</v>
      </c>
      <c r="L1132" t="s">
        <v>2945</v>
      </c>
      <c r="M1132" s="19">
        <v>46262</v>
      </c>
      <c r="N1132" t="s">
        <v>5758</v>
      </c>
    </row>
    <row r="1133" spans="1:14" x14ac:dyDescent="0.3">
      <c r="A1133" t="s">
        <v>5945</v>
      </c>
      <c r="B1133" t="s">
        <v>5946</v>
      </c>
      <c r="D1133" t="s">
        <v>2952</v>
      </c>
      <c r="E1133" t="s">
        <v>2953</v>
      </c>
      <c r="F1133" t="s">
        <v>1227</v>
      </c>
      <c r="G1133" t="s">
        <v>2078</v>
      </c>
      <c r="H1133">
        <v>313</v>
      </c>
      <c r="I1133">
        <v>328.65</v>
      </c>
      <c r="J1133" t="s">
        <v>2944</v>
      </c>
      <c r="K1133">
        <v>1</v>
      </c>
      <c r="L1133" t="s">
        <v>2945</v>
      </c>
      <c r="M1133" s="19">
        <v>46262</v>
      </c>
      <c r="N1133" t="s">
        <v>5758</v>
      </c>
    </row>
    <row r="1134" spans="1:14" x14ac:dyDescent="0.3">
      <c r="A1134" t="s">
        <v>5947</v>
      </c>
      <c r="B1134" t="s">
        <v>5948</v>
      </c>
      <c r="D1134" t="s">
        <v>2952</v>
      </c>
      <c r="E1134" t="s">
        <v>2953</v>
      </c>
      <c r="F1134" t="s">
        <v>1227</v>
      </c>
      <c r="G1134" t="s">
        <v>2078</v>
      </c>
      <c r="H1134">
        <v>426</v>
      </c>
      <c r="I1134">
        <v>447.3</v>
      </c>
      <c r="J1134" t="s">
        <v>2944</v>
      </c>
      <c r="K1134">
        <v>1</v>
      </c>
      <c r="L1134" t="s">
        <v>2945</v>
      </c>
      <c r="M1134" s="19">
        <v>46262</v>
      </c>
      <c r="N1134" t="s">
        <v>5758</v>
      </c>
    </row>
    <row r="1135" spans="1:14" x14ac:dyDescent="0.3">
      <c r="A1135" t="s">
        <v>5949</v>
      </c>
      <c r="B1135" t="s">
        <v>5950</v>
      </c>
      <c r="D1135" t="s">
        <v>2942</v>
      </c>
      <c r="E1135" t="s">
        <v>2943</v>
      </c>
      <c r="F1135" t="s">
        <v>1227</v>
      </c>
      <c r="G1135" t="s">
        <v>2078</v>
      </c>
      <c r="H1135">
        <v>556</v>
      </c>
      <c r="I1135">
        <v>583.79999999999995</v>
      </c>
      <c r="J1135" t="s">
        <v>2944</v>
      </c>
      <c r="K1135">
        <v>1</v>
      </c>
      <c r="L1135" t="s">
        <v>2945</v>
      </c>
      <c r="M1135" s="19">
        <v>46262</v>
      </c>
      <c r="N1135" t="s">
        <v>5758</v>
      </c>
    </row>
    <row r="1136" spans="1:14" x14ac:dyDescent="0.3">
      <c r="A1136" t="s">
        <v>5951</v>
      </c>
      <c r="B1136" t="s">
        <v>5952</v>
      </c>
      <c r="D1136" t="s">
        <v>2942</v>
      </c>
      <c r="E1136" t="s">
        <v>2943</v>
      </c>
      <c r="F1136" t="s">
        <v>1227</v>
      </c>
      <c r="G1136" t="s">
        <v>2078</v>
      </c>
      <c r="H1136">
        <v>478</v>
      </c>
      <c r="I1136">
        <v>501.9</v>
      </c>
      <c r="J1136" t="s">
        <v>2944</v>
      </c>
      <c r="K1136">
        <v>1</v>
      </c>
      <c r="L1136" t="s">
        <v>2945</v>
      </c>
      <c r="M1136" s="19">
        <v>46262</v>
      </c>
      <c r="N1136" t="s">
        <v>5758</v>
      </c>
    </row>
    <row r="1137" spans="1:15" x14ac:dyDescent="0.3">
      <c r="A1137" t="s">
        <v>5953</v>
      </c>
      <c r="B1137" t="s">
        <v>5954</v>
      </c>
      <c r="D1137" t="s">
        <v>2952</v>
      </c>
      <c r="E1137" t="s">
        <v>2953</v>
      </c>
      <c r="F1137" t="s">
        <v>1227</v>
      </c>
      <c r="G1137" t="s">
        <v>2078</v>
      </c>
      <c r="H1137">
        <v>498</v>
      </c>
      <c r="I1137">
        <v>522.9</v>
      </c>
      <c r="J1137" t="s">
        <v>2944</v>
      </c>
      <c r="K1137">
        <v>1</v>
      </c>
      <c r="L1137" t="s">
        <v>2945</v>
      </c>
      <c r="M1137" s="19">
        <v>46262</v>
      </c>
      <c r="N1137" t="s">
        <v>5758</v>
      </c>
    </row>
    <row r="1138" spans="1:15" x14ac:dyDescent="0.3">
      <c r="A1138" t="s">
        <v>5955</v>
      </c>
      <c r="B1138" t="s">
        <v>5956</v>
      </c>
      <c r="D1138" t="s">
        <v>2952</v>
      </c>
      <c r="E1138" t="s">
        <v>2953</v>
      </c>
      <c r="F1138" t="s">
        <v>1227</v>
      </c>
      <c r="G1138" t="s">
        <v>2078</v>
      </c>
      <c r="H1138">
        <v>708</v>
      </c>
      <c r="I1138">
        <v>743.4</v>
      </c>
      <c r="J1138" t="s">
        <v>2944</v>
      </c>
      <c r="K1138">
        <v>1</v>
      </c>
      <c r="L1138" t="s">
        <v>2945</v>
      </c>
      <c r="M1138" s="19">
        <v>46262</v>
      </c>
      <c r="N1138" t="s">
        <v>5758</v>
      </c>
    </row>
    <row r="1139" spans="1:15" x14ac:dyDescent="0.3">
      <c r="A1139" t="s">
        <v>5957</v>
      </c>
      <c r="B1139" t="s">
        <v>5958</v>
      </c>
      <c r="D1139" t="s">
        <v>2942</v>
      </c>
      <c r="E1139" t="s">
        <v>2943</v>
      </c>
      <c r="F1139" t="s">
        <v>1227</v>
      </c>
      <c r="G1139" t="s">
        <v>2078</v>
      </c>
      <c r="H1139">
        <v>696</v>
      </c>
      <c r="I1139">
        <v>730.8</v>
      </c>
      <c r="J1139" t="s">
        <v>2944</v>
      </c>
      <c r="K1139">
        <v>1</v>
      </c>
      <c r="L1139" t="s">
        <v>2945</v>
      </c>
      <c r="M1139" s="19">
        <v>46262</v>
      </c>
      <c r="N1139" t="s">
        <v>5758</v>
      </c>
    </row>
    <row r="1140" spans="1:15" x14ac:dyDescent="0.3">
      <c r="A1140" t="s">
        <v>5959</v>
      </c>
      <c r="B1140" t="s">
        <v>5960</v>
      </c>
      <c r="D1140" t="s">
        <v>2942</v>
      </c>
      <c r="E1140" t="s">
        <v>2943</v>
      </c>
      <c r="F1140" t="s">
        <v>1227</v>
      </c>
      <c r="G1140" t="s">
        <v>2078</v>
      </c>
      <c r="H1140">
        <v>1360</v>
      </c>
      <c r="I1140">
        <v>1428</v>
      </c>
      <c r="J1140" t="s">
        <v>2944</v>
      </c>
      <c r="K1140">
        <v>1</v>
      </c>
      <c r="L1140" t="s">
        <v>2945</v>
      </c>
      <c r="M1140" s="19">
        <v>46262</v>
      </c>
      <c r="N1140" t="s">
        <v>5758</v>
      </c>
    </row>
    <row r="1141" spans="1:15" x14ac:dyDescent="0.3">
      <c r="A1141" t="s">
        <v>5961</v>
      </c>
      <c r="B1141" t="s">
        <v>5962</v>
      </c>
      <c r="D1141" t="s">
        <v>2942</v>
      </c>
      <c r="E1141" t="s">
        <v>2943</v>
      </c>
      <c r="F1141" t="s">
        <v>1227</v>
      </c>
      <c r="G1141" t="s">
        <v>2078</v>
      </c>
      <c r="H1141">
        <v>635</v>
      </c>
      <c r="I1141">
        <v>666.75</v>
      </c>
      <c r="J1141" t="s">
        <v>2944</v>
      </c>
      <c r="K1141">
        <v>1</v>
      </c>
      <c r="L1141" t="s">
        <v>2945</v>
      </c>
      <c r="M1141" s="19">
        <v>46262</v>
      </c>
      <c r="N1141" t="s">
        <v>5758</v>
      </c>
    </row>
    <row r="1142" spans="1:15" x14ac:dyDescent="0.3">
      <c r="A1142" t="s">
        <v>5963</v>
      </c>
      <c r="B1142" t="s">
        <v>5964</v>
      </c>
      <c r="D1142" t="s">
        <v>2952</v>
      </c>
      <c r="E1142" t="s">
        <v>2953</v>
      </c>
      <c r="F1142" t="s">
        <v>1227</v>
      </c>
      <c r="G1142" t="s">
        <v>2078</v>
      </c>
      <c r="H1142">
        <v>668</v>
      </c>
      <c r="I1142">
        <v>701.4</v>
      </c>
      <c r="J1142" t="s">
        <v>2944</v>
      </c>
      <c r="K1142">
        <v>1</v>
      </c>
      <c r="L1142" t="s">
        <v>2945</v>
      </c>
      <c r="M1142" s="19">
        <v>46262</v>
      </c>
      <c r="N1142" t="s">
        <v>5758</v>
      </c>
    </row>
    <row r="1143" spans="1:15" x14ac:dyDescent="0.3">
      <c r="A1143" t="s">
        <v>5965</v>
      </c>
      <c r="B1143" t="s">
        <v>5966</v>
      </c>
      <c r="D1143" t="s">
        <v>2952</v>
      </c>
      <c r="E1143" t="s">
        <v>2953</v>
      </c>
      <c r="F1143" t="s">
        <v>1227</v>
      </c>
      <c r="G1143" t="s">
        <v>2078</v>
      </c>
      <c r="H1143">
        <v>860</v>
      </c>
      <c r="I1143">
        <v>903</v>
      </c>
      <c r="J1143" t="s">
        <v>2944</v>
      </c>
      <c r="K1143">
        <v>1</v>
      </c>
      <c r="L1143" t="s">
        <v>2945</v>
      </c>
      <c r="M1143" s="19">
        <v>46262</v>
      </c>
      <c r="N1143" t="s">
        <v>5758</v>
      </c>
    </row>
    <row r="1144" spans="1:15" x14ac:dyDescent="0.3">
      <c r="A1144" t="s">
        <v>5967</v>
      </c>
      <c r="B1144" t="s">
        <v>5968</v>
      </c>
      <c r="D1144" t="s">
        <v>2942</v>
      </c>
      <c r="E1144" t="s">
        <v>2943</v>
      </c>
      <c r="F1144" t="s">
        <v>1227</v>
      </c>
      <c r="G1144" t="s">
        <v>2078</v>
      </c>
      <c r="H1144">
        <v>292</v>
      </c>
      <c r="I1144">
        <v>306.60000000000002</v>
      </c>
      <c r="J1144" t="s">
        <v>2944</v>
      </c>
      <c r="K1144">
        <v>1</v>
      </c>
      <c r="L1144" t="s">
        <v>2945</v>
      </c>
      <c r="M1144" s="19">
        <v>46262</v>
      </c>
      <c r="N1144" t="s">
        <v>5758</v>
      </c>
    </row>
    <row r="1145" spans="1:15" x14ac:dyDescent="0.3">
      <c r="A1145" t="s">
        <v>5969</v>
      </c>
      <c r="B1145" t="s">
        <v>5970</v>
      </c>
      <c r="D1145" t="s">
        <v>2942</v>
      </c>
      <c r="E1145" t="s">
        <v>2943</v>
      </c>
      <c r="F1145" t="s">
        <v>1227</v>
      </c>
      <c r="G1145" t="s">
        <v>2078</v>
      </c>
      <c r="H1145">
        <v>209</v>
      </c>
      <c r="I1145">
        <v>219.45</v>
      </c>
      <c r="J1145" t="s">
        <v>2944</v>
      </c>
      <c r="K1145">
        <v>1</v>
      </c>
      <c r="L1145" t="s">
        <v>2945</v>
      </c>
      <c r="M1145" s="19">
        <v>46262</v>
      </c>
      <c r="N1145" t="s">
        <v>5758</v>
      </c>
    </row>
    <row r="1146" spans="1:15" x14ac:dyDescent="0.3">
      <c r="A1146" t="s">
        <v>5971</v>
      </c>
      <c r="B1146" t="s">
        <v>5972</v>
      </c>
      <c r="D1146" t="s">
        <v>2952</v>
      </c>
      <c r="E1146" t="s">
        <v>2953</v>
      </c>
      <c r="F1146" t="s">
        <v>1227</v>
      </c>
      <c r="G1146" t="s">
        <v>2078</v>
      </c>
      <c r="H1146">
        <v>228</v>
      </c>
      <c r="I1146">
        <v>239.4</v>
      </c>
      <c r="J1146" t="s">
        <v>2944</v>
      </c>
      <c r="K1146">
        <v>1</v>
      </c>
      <c r="L1146" t="s">
        <v>2945</v>
      </c>
      <c r="M1146" s="19">
        <v>46262</v>
      </c>
      <c r="N1146" t="s">
        <v>5758</v>
      </c>
    </row>
    <row r="1147" spans="1:15" x14ac:dyDescent="0.3">
      <c r="A1147" t="s">
        <v>5973</v>
      </c>
      <c r="B1147" t="s">
        <v>5974</v>
      </c>
      <c r="D1147" t="s">
        <v>2952</v>
      </c>
      <c r="E1147" t="s">
        <v>2953</v>
      </c>
      <c r="F1147" t="s">
        <v>1227</v>
      </c>
      <c r="G1147" t="s">
        <v>2078</v>
      </c>
      <c r="H1147">
        <v>327</v>
      </c>
      <c r="I1147">
        <v>343.35</v>
      </c>
      <c r="J1147" t="s">
        <v>2944</v>
      </c>
      <c r="K1147">
        <v>1</v>
      </c>
      <c r="L1147" t="s">
        <v>2945</v>
      </c>
      <c r="M1147" s="19">
        <v>46262</v>
      </c>
      <c r="N1147" t="s">
        <v>5758</v>
      </c>
    </row>
    <row r="1148" spans="1:15" x14ac:dyDescent="0.3">
      <c r="A1148" t="s">
        <v>5975</v>
      </c>
      <c r="B1148" t="s">
        <v>5976</v>
      </c>
      <c r="D1148" t="s">
        <v>2942</v>
      </c>
      <c r="E1148" t="s">
        <v>2943</v>
      </c>
      <c r="F1148" t="s">
        <v>1227</v>
      </c>
      <c r="G1148" t="s">
        <v>2078</v>
      </c>
      <c r="H1148">
        <v>316</v>
      </c>
      <c r="I1148">
        <v>331.8</v>
      </c>
      <c r="J1148" t="s">
        <v>2944</v>
      </c>
      <c r="K1148">
        <v>1</v>
      </c>
      <c r="L1148" t="s">
        <v>2945</v>
      </c>
      <c r="M1148" s="19">
        <v>46262</v>
      </c>
      <c r="N1148" t="s">
        <v>5758</v>
      </c>
    </row>
    <row r="1149" spans="1:15" x14ac:dyDescent="0.3">
      <c r="A1149" t="s">
        <v>5977</v>
      </c>
      <c r="B1149" t="s">
        <v>5978</v>
      </c>
      <c r="D1149" t="s">
        <v>2942</v>
      </c>
      <c r="E1149" t="s">
        <v>2943</v>
      </c>
      <c r="F1149" t="s">
        <v>1227</v>
      </c>
      <c r="G1149" t="s">
        <v>2078</v>
      </c>
      <c r="H1149">
        <v>231</v>
      </c>
      <c r="I1149">
        <v>242.55</v>
      </c>
      <c r="J1149" t="s">
        <v>2944</v>
      </c>
      <c r="K1149">
        <v>1</v>
      </c>
      <c r="L1149" t="s">
        <v>2945</v>
      </c>
      <c r="M1149" s="19">
        <v>46262</v>
      </c>
      <c r="N1149" t="s">
        <v>5758</v>
      </c>
    </row>
    <row r="1150" spans="1:15" x14ac:dyDescent="0.3">
      <c r="A1150" t="s">
        <v>5979</v>
      </c>
      <c r="B1150" t="s">
        <v>5980</v>
      </c>
      <c r="D1150" t="s">
        <v>2952</v>
      </c>
      <c r="E1150" t="s">
        <v>2953</v>
      </c>
      <c r="F1150" t="s">
        <v>1227</v>
      </c>
      <c r="G1150" t="s">
        <v>2078</v>
      </c>
      <c r="H1150">
        <v>254</v>
      </c>
      <c r="I1150">
        <v>266.7</v>
      </c>
      <c r="J1150" t="s">
        <v>2944</v>
      </c>
      <c r="K1150">
        <v>1</v>
      </c>
      <c r="L1150" t="s">
        <v>2945</v>
      </c>
      <c r="M1150" s="19">
        <v>46262</v>
      </c>
      <c r="N1150" t="s">
        <v>5758</v>
      </c>
    </row>
    <row r="1151" spans="1:15" x14ac:dyDescent="0.3">
      <c r="A1151" t="s">
        <v>5981</v>
      </c>
      <c r="B1151" t="s">
        <v>5982</v>
      </c>
      <c r="D1151" t="s">
        <v>2952</v>
      </c>
      <c r="E1151" t="s">
        <v>2953</v>
      </c>
      <c r="F1151" t="s">
        <v>1227</v>
      </c>
      <c r="G1151" t="s">
        <v>2078</v>
      </c>
      <c r="H1151">
        <v>345</v>
      </c>
      <c r="I1151">
        <v>362.25</v>
      </c>
      <c r="J1151" t="s">
        <v>2944</v>
      </c>
      <c r="K1151">
        <v>1</v>
      </c>
      <c r="L1151" t="s">
        <v>2945</v>
      </c>
      <c r="M1151" s="19">
        <v>46262</v>
      </c>
      <c r="N1151" t="s">
        <v>5758</v>
      </c>
    </row>
    <row r="1152" spans="1:15" x14ac:dyDescent="0.3">
      <c r="A1152" t="s">
        <v>5983</v>
      </c>
      <c r="B1152" t="s">
        <v>5984</v>
      </c>
      <c r="E1152" t="s">
        <v>4055</v>
      </c>
      <c r="F1152" t="s">
        <v>214</v>
      </c>
      <c r="G1152" t="s">
        <v>1037</v>
      </c>
      <c r="H1152">
        <v>1524</v>
      </c>
      <c r="I1152">
        <v>1524</v>
      </c>
      <c r="J1152" t="s">
        <v>3862</v>
      </c>
      <c r="K1152">
        <v>1</v>
      </c>
      <c r="L1152" t="s">
        <v>2945</v>
      </c>
      <c r="M1152" s="19">
        <v>46262</v>
      </c>
      <c r="N1152" t="s">
        <v>5985</v>
      </c>
      <c r="O1152" t="s">
        <v>4057</v>
      </c>
    </row>
    <row r="1153" spans="1:15" x14ac:dyDescent="0.3">
      <c r="A1153" t="s">
        <v>5986</v>
      </c>
      <c r="B1153" t="s">
        <v>5987</v>
      </c>
      <c r="C1153" t="s">
        <v>5988</v>
      </c>
      <c r="E1153" t="s">
        <v>4055</v>
      </c>
      <c r="F1153" t="s">
        <v>214</v>
      </c>
      <c r="G1153" t="s">
        <v>1037</v>
      </c>
      <c r="H1153">
        <v>1054</v>
      </c>
      <c r="I1153">
        <v>1054</v>
      </c>
      <c r="J1153" t="s">
        <v>3862</v>
      </c>
      <c r="K1153">
        <v>1</v>
      </c>
      <c r="L1153" t="s">
        <v>2945</v>
      </c>
      <c r="M1153" s="19">
        <v>46262</v>
      </c>
      <c r="N1153" t="s">
        <v>5985</v>
      </c>
      <c r="O1153" t="s">
        <v>4057</v>
      </c>
    </row>
    <row r="1154" spans="1:15" x14ac:dyDescent="0.3">
      <c r="A1154" t="s">
        <v>5989</v>
      </c>
      <c r="B1154" t="s">
        <v>5990</v>
      </c>
      <c r="C1154" t="s">
        <v>5991</v>
      </c>
      <c r="E1154" t="s">
        <v>4055</v>
      </c>
      <c r="F1154" t="s">
        <v>214</v>
      </c>
      <c r="G1154" t="s">
        <v>1037</v>
      </c>
      <c r="H1154">
        <v>994</v>
      </c>
      <c r="I1154">
        <v>994</v>
      </c>
      <c r="J1154" t="s">
        <v>3862</v>
      </c>
      <c r="K1154">
        <v>1</v>
      </c>
      <c r="L1154" t="s">
        <v>2945</v>
      </c>
      <c r="M1154" s="19">
        <v>46262</v>
      </c>
      <c r="N1154" t="s">
        <v>5985</v>
      </c>
      <c r="O1154" t="s">
        <v>4057</v>
      </c>
    </row>
    <row r="1155" spans="1:15" x14ac:dyDescent="0.3">
      <c r="A1155" t="s">
        <v>5992</v>
      </c>
      <c r="B1155" t="s">
        <v>5993</v>
      </c>
      <c r="C1155" t="s">
        <v>5994</v>
      </c>
      <c r="D1155" t="s">
        <v>5995</v>
      </c>
      <c r="E1155" t="s">
        <v>5996</v>
      </c>
      <c r="F1155" t="s">
        <v>1227</v>
      </c>
      <c r="G1155" t="s">
        <v>1736</v>
      </c>
      <c r="H1155">
        <v>4300</v>
      </c>
      <c r="I1155">
        <v>4515</v>
      </c>
      <c r="J1155" t="s">
        <v>3862</v>
      </c>
      <c r="K1155">
        <v>1</v>
      </c>
      <c r="L1155" t="s">
        <v>2945</v>
      </c>
      <c r="M1155" s="19">
        <v>46262</v>
      </c>
      <c r="N1155" t="s">
        <v>5997</v>
      </c>
    </row>
    <row r="1156" spans="1:15" x14ac:dyDescent="0.3">
      <c r="A1156" t="s">
        <v>5998</v>
      </c>
      <c r="B1156" t="s">
        <v>5999</v>
      </c>
      <c r="C1156" t="s">
        <v>6000</v>
      </c>
      <c r="D1156" t="s">
        <v>6001</v>
      </c>
      <c r="E1156" t="s">
        <v>5996</v>
      </c>
      <c r="F1156" t="s">
        <v>1227</v>
      </c>
      <c r="G1156" t="s">
        <v>1736</v>
      </c>
      <c r="H1156">
        <v>7890</v>
      </c>
      <c r="I1156">
        <v>8284.5</v>
      </c>
      <c r="J1156" t="s">
        <v>3862</v>
      </c>
      <c r="K1156">
        <v>1</v>
      </c>
      <c r="L1156" t="s">
        <v>2945</v>
      </c>
      <c r="M1156" s="19">
        <v>46262</v>
      </c>
      <c r="N1156" t="s">
        <v>5997</v>
      </c>
    </row>
    <row r="1157" spans="1:15" x14ac:dyDescent="0.3">
      <c r="A1157" t="s">
        <v>6002</v>
      </c>
      <c r="B1157" t="s">
        <v>6003</v>
      </c>
      <c r="C1157" t="s">
        <v>6004</v>
      </c>
      <c r="D1157" t="s">
        <v>5995</v>
      </c>
      <c r="E1157" t="s">
        <v>5996</v>
      </c>
      <c r="F1157" t="s">
        <v>1227</v>
      </c>
      <c r="G1157" t="s">
        <v>1736</v>
      </c>
      <c r="H1157">
        <v>13200</v>
      </c>
      <c r="I1157">
        <v>13860</v>
      </c>
      <c r="J1157" t="s">
        <v>3862</v>
      </c>
      <c r="K1157">
        <v>1</v>
      </c>
      <c r="L1157" t="s">
        <v>2945</v>
      </c>
      <c r="M1157" s="19">
        <v>46262</v>
      </c>
      <c r="N1157" t="s">
        <v>5997</v>
      </c>
    </row>
    <row r="1158" spans="1:15" x14ac:dyDescent="0.3">
      <c r="A1158" t="s">
        <v>6005</v>
      </c>
      <c r="B1158" t="s">
        <v>6006</v>
      </c>
      <c r="C1158" t="s">
        <v>6007</v>
      </c>
      <c r="D1158" t="s">
        <v>6008</v>
      </c>
      <c r="E1158" t="s">
        <v>5996</v>
      </c>
      <c r="F1158" t="s">
        <v>1227</v>
      </c>
      <c r="G1158" t="s">
        <v>1736</v>
      </c>
      <c r="H1158">
        <v>980</v>
      </c>
      <c r="I1158">
        <v>1029</v>
      </c>
      <c r="J1158" t="s">
        <v>3862</v>
      </c>
      <c r="K1158">
        <v>1</v>
      </c>
      <c r="L1158" t="s">
        <v>2945</v>
      </c>
      <c r="M1158" s="19">
        <v>46262</v>
      </c>
      <c r="N1158" t="s">
        <v>5997</v>
      </c>
    </row>
    <row r="1159" spans="1:15" x14ac:dyDescent="0.3">
      <c r="A1159" t="s">
        <v>6009</v>
      </c>
      <c r="B1159" t="s">
        <v>6010</v>
      </c>
      <c r="C1159" t="s">
        <v>6011</v>
      </c>
      <c r="D1159" t="s">
        <v>6012</v>
      </c>
      <c r="E1159" t="s">
        <v>5996</v>
      </c>
      <c r="F1159" t="s">
        <v>1227</v>
      </c>
      <c r="G1159" t="s">
        <v>1736</v>
      </c>
      <c r="H1159">
        <v>16730</v>
      </c>
      <c r="I1159">
        <v>17566.5</v>
      </c>
      <c r="J1159" t="s">
        <v>3862</v>
      </c>
      <c r="K1159">
        <v>1</v>
      </c>
      <c r="L1159" t="s">
        <v>2945</v>
      </c>
      <c r="M1159" s="19">
        <v>46262</v>
      </c>
      <c r="N1159" t="s">
        <v>5997</v>
      </c>
    </row>
    <row r="1160" spans="1:15" x14ac:dyDescent="0.3">
      <c r="A1160" t="s">
        <v>6013</v>
      </c>
      <c r="B1160" t="s">
        <v>6014</v>
      </c>
      <c r="C1160" t="s">
        <v>6015</v>
      </c>
      <c r="D1160" t="s">
        <v>5995</v>
      </c>
      <c r="E1160" t="s">
        <v>5996</v>
      </c>
      <c r="F1160" t="s">
        <v>1227</v>
      </c>
      <c r="G1160" t="s">
        <v>1736</v>
      </c>
      <c r="H1160">
        <v>1820</v>
      </c>
      <c r="I1160">
        <v>1911</v>
      </c>
      <c r="J1160" t="s">
        <v>3862</v>
      </c>
      <c r="K1160">
        <v>1</v>
      </c>
      <c r="L1160" t="s">
        <v>2945</v>
      </c>
      <c r="M1160" s="19">
        <v>46262</v>
      </c>
      <c r="N1160" t="s">
        <v>5997</v>
      </c>
    </row>
    <row r="1161" spans="1:15" x14ac:dyDescent="0.3">
      <c r="A1161" t="s">
        <v>6016</v>
      </c>
      <c r="B1161" t="s">
        <v>6017</v>
      </c>
      <c r="C1161" t="s">
        <v>6018</v>
      </c>
      <c r="D1161" t="s">
        <v>6019</v>
      </c>
      <c r="E1161" t="s">
        <v>5996</v>
      </c>
      <c r="F1161" t="s">
        <v>1227</v>
      </c>
      <c r="G1161" t="s">
        <v>1736</v>
      </c>
      <c r="H1161">
        <v>26300</v>
      </c>
      <c r="I1161">
        <v>27615</v>
      </c>
      <c r="J1161" t="s">
        <v>3862</v>
      </c>
      <c r="K1161">
        <v>1</v>
      </c>
      <c r="L1161" t="s">
        <v>2945</v>
      </c>
      <c r="M1161" s="19">
        <v>46262</v>
      </c>
      <c r="N1161" t="s">
        <v>5997</v>
      </c>
    </row>
    <row r="1162" spans="1:15" x14ac:dyDescent="0.3">
      <c r="A1162" t="s">
        <v>6020</v>
      </c>
      <c r="B1162" t="s">
        <v>6021</v>
      </c>
      <c r="C1162" t="s">
        <v>6022</v>
      </c>
      <c r="D1162" t="s">
        <v>6023</v>
      </c>
      <c r="E1162" t="s">
        <v>5996</v>
      </c>
      <c r="F1162" t="s">
        <v>1227</v>
      </c>
      <c r="G1162" t="s">
        <v>1736</v>
      </c>
      <c r="H1162">
        <v>11520</v>
      </c>
      <c r="I1162">
        <v>12096</v>
      </c>
      <c r="J1162" t="s">
        <v>3862</v>
      </c>
      <c r="K1162">
        <v>1</v>
      </c>
      <c r="L1162" t="s">
        <v>2945</v>
      </c>
      <c r="M1162" s="19">
        <v>46262</v>
      </c>
      <c r="N1162" t="s">
        <v>5997</v>
      </c>
    </row>
    <row r="1163" spans="1:15" x14ac:dyDescent="0.3">
      <c r="A1163" t="s">
        <v>6024</v>
      </c>
      <c r="B1163" t="s">
        <v>6025</v>
      </c>
      <c r="C1163" t="s">
        <v>6026</v>
      </c>
      <c r="D1163" t="s">
        <v>6027</v>
      </c>
      <c r="E1163" t="s">
        <v>5996</v>
      </c>
      <c r="F1163" t="s">
        <v>1227</v>
      </c>
      <c r="G1163" t="s">
        <v>1736</v>
      </c>
      <c r="H1163">
        <v>8900</v>
      </c>
      <c r="I1163">
        <v>9345</v>
      </c>
      <c r="J1163" t="s">
        <v>3862</v>
      </c>
      <c r="K1163">
        <v>1</v>
      </c>
      <c r="L1163" t="s">
        <v>2945</v>
      </c>
      <c r="M1163" s="19">
        <v>46262</v>
      </c>
      <c r="N1163" t="s">
        <v>5997</v>
      </c>
    </row>
    <row r="1164" spans="1:15" x14ac:dyDescent="0.3">
      <c r="A1164" t="s">
        <v>6028</v>
      </c>
      <c r="B1164" t="s">
        <v>6029</v>
      </c>
      <c r="C1164" t="s">
        <v>6030</v>
      </c>
      <c r="D1164" t="s">
        <v>6030</v>
      </c>
      <c r="E1164" t="s">
        <v>5996</v>
      </c>
      <c r="F1164" t="s">
        <v>1227</v>
      </c>
      <c r="G1164" t="s">
        <v>1736</v>
      </c>
      <c r="H1164">
        <v>21870</v>
      </c>
      <c r="I1164">
        <v>22963.5</v>
      </c>
      <c r="J1164" t="s">
        <v>3862</v>
      </c>
      <c r="K1164">
        <v>1</v>
      </c>
      <c r="L1164" t="s">
        <v>2945</v>
      </c>
      <c r="M1164" s="19">
        <v>46262</v>
      </c>
      <c r="N1164" t="s">
        <v>5997</v>
      </c>
    </row>
    <row r="1165" spans="1:15" x14ac:dyDescent="0.3">
      <c r="A1165" t="s">
        <v>6031</v>
      </c>
      <c r="B1165" t="s">
        <v>6032</v>
      </c>
      <c r="C1165" t="s">
        <v>6033</v>
      </c>
      <c r="D1165" t="s">
        <v>6034</v>
      </c>
      <c r="E1165" t="s">
        <v>5996</v>
      </c>
      <c r="F1165" t="s">
        <v>1227</v>
      </c>
      <c r="G1165" t="s">
        <v>1736</v>
      </c>
      <c r="H1165">
        <v>4150</v>
      </c>
      <c r="I1165">
        <v>4357.5</v>
      </c>
      <c r="J1165" t="s">
        <v>3862</v>
      </c>
      <c r="K1165">
        <v>1</v>
      </c>
      <c r="L1165" t="s">
        <v>2945</v>
      </c>
      <c r="M1165" s="19">
        <v>46262</v>
      </c>
      <c r="N1165" t="s">
        <v>5997</v>
      </c>
    </row>
    <row r="1166" spans="1:15" x14ac:dyDescent="0.3">
      <c r="A1166" t="s">
        <v>6035</v>
      </c>
      <c r="B1166" t="s">
        <v>6036</v>
      </c>
      <c r="C1166" t="s">
        <v>6037</v>
      </c>
      <c r="D1166" t="s">
        <v>6038</v>
      </c>
      <c r="E1166" t="s">
        <v>5996</v>
      </c>
      <c r="F1166" t="s">
        <v>1227</v>
      </c>
      <c r="G1166" t="s">
        <v>1736</v>
      </c>
      <c r="H1166">
        <v>10390</v>
      </c>
      <c r="I1166">
        <v>10909.5</v>
      </c>
      <c r="J1166" t="s">
        <v>3862</v>
      </c>
      <c r="K1166">
        <v>1</v>
      </c>
      <c r="L1166" t="s">
        <v>2945</v>
      </c>
      <c r="M1166" s="19">
        <v>46262</v>
      </c>
      <c r="N1166" t="s">
        <v>5997</v>
      </c>
    </row>
    <row r="1167" spans="1:15" x14ac:dyDescent="0.3">
      <c r="A1167" t="s">
        <v>6039</v>
      </c>
      <c r="B1167" t="s">
        <v>6040</v>
      </c>
      <c r="C1167" t="s">
        <v>6041</v>
      </c>
      <c r="D1167" t="s">
        <v>6042</v>
      </c>
      <c r="E1167" t="s">
        <v>5996</v>
      </c>
      <c r="F1167" t="s">
        <v>1227</v>
      </c>
      <c r="G1167" t="s">
        <v>1736</v>
      </c>
      <c r="H1167">
        <v>6900</v>
      </c>
      <c r="I1167">
        <v>7245</v>
      </c>
      <c r="J1167" t="s">
        <v>3862</v>
      </c>
      <c r="K1167">
        <v>1</v>
      </c>
      <c r="L1167" t="s">
        <v>2945</v>
      </c>
      <c r="M1167" s="19">
        <v>46262</v>
      </c>
      <c r="N1167" t="s">
        <v>5997</v>
      </c>
    </row>
    <row r="1168" spans="1:15" x14ac:dyDescent="0.3">
      <c r="A1168" t="s">
        <v>6043</v>
      </c>
      <c r="B1168" t="s">
        <v>6044</v>
      </c>
      <c r="C1168" t="s">
        <v>6045</v>
      </c>
      <c r="D1168" t="s">
        <v>6034</v>
      </c>
      <c r="E1168" t="s">
        <v>5996</v>
      </c>
      <c r="F1168" t="s">
        <v>1227</v>
      </c>
      <c r="G1168" t="s">
        <v>1747</v>
      </c>
      <c r="H1168">
        <v>19600</v>
      </c>
      <c r="I1168">
        <v>20580</v>
      </c>
      <c r="J1168" t="s">
        <v>3862</v>
      </c>
      <c r="K1168">
        <v>1</v>
      </c>
      <c r="L1168" t="s">
        <v>2945</v>
      </c>
      <c r="M1168" s="19">
        <v>46262</v>
      </c>
      <c r="N1168" t="s">
        <v>5997</v>
      </c>
    </row>
    <row r="1169" spans="1:14" x14ac:dyDescent="0.3">
      <c r="A1169" t="s">
        <v>6046</v>
      </c>
      <c r="B1169" t="s">
        <v>6047</v>
      </c>
      <c r="C1169" t="s">
        <v>6048</v>
      </c>
      <c r="D1169" t="s">
        <v>6008</v>
      </c>
      <c r="E1169" t="s">
        <v>5996</v>
      </c>
      <c r="F1169" t="s">
        <v>1227</v>
      </c>
      <c r="G1169" t="s">
        <v>1747</v>
      </c>
      <c r="H1169">
        <v>1290</v>
      </c>
      <c r="I1169">
        <v>1354.5</v>
      </c>
      <c r="J1169" t="s">
        <v>3862</v>
      </c>
      <c r="K1169">
        <v>1</v>
      </c>
      <c r="L1169" t="s">
        <v>2945</v>
      </c>
      <c r="M1169" s="19">
        <v>46262</v>
      </c>
      <c r="N1169" t="s">
        <v>5997</v>
      </c>
    </row>
    <row r="1170" spans="1:14" x14ac:dyDescent="0.3">
      <c r="A1170" t="s">
        <v>6049</v>
      </c>
      <c r="B1170" t="s">
        <v>6050</v>
      </c>
      <c r="C1170" t="s">
        <v>6051</v>
      </c>
      <c r="D1170" t="s">
        <v>6052</v>
      </c>
      <c r="E1170" t="s">
        <v>5996</v>
      </c>
      <c r="F1170" t="s">
        <v>1227</v>
      </c>
      <c r="G1170" t="s">
        <v>1747</v>
      </c>
      <c r="H1170">
        <v>26190</v>
      </c>
      <c r="I1170">
        <v>27499.5</v>
      </c>
      <c r="J1170" t="s">
        <v>3862</v>
      </c>
      <c r="K1170">
        <v>1</v>
      </c>
      <c r="L1170" t="s">
        <v>2945</v>
      </c>
      <c r="M1170" s="19">
        <v>46262</v>
      </c>
      <c r="N1170" t="s">
        <v>5997</v>
      </c>
    </row>
    <row r="1171" spans="1:14" x14ac:dyDescent="0.3">
      <c r="A1171" t="s">
        <v>6053</v>
      </c>
      <c r="B1171" t="s">
        <v>6054</v>
      </c>
      <c r="C1171" t="s">
        <v>6055</v>
      </c>
      <c r="D1171" t="s">
        <v>6056</v>
      </c>
      <c r="E1171" t="s">
        <v>5996</v>
      </c>
      <c r="F1171" t="s">
        <v>1227</v>
      </c>
      <c r="G1171" t="s">
        <v>1747</v>
      </c>
      <c r="H1171">
        <v>3070</v>
      </c>
      <c r="I1171">
        <v>3223.5</v>
      </c>
      <c r="J1171" t="s">
        <v>3862</v>
      </c>
      <c r="K1171">
        <v>1</v>
      </c>
      <c r="L1171" t="s">
        <v>2945</v>
      </c>
      <c r="M1171" s="19">
        <v>46262</v>
      </c>
      <c r="N1171" t="s">
        <v>5997</v>
      </c>
    </row>
    <row r="1172" spans="1:14" x14ac:dyDescent="0.3">
      <c r="A1172" t="s">
        <v>6057</v>
      </c>
      <c r="B1172" t="s">
        <v>6058</v>
      </c>
      <c r="C1172" t="s">
        <v>6059</v>
      </c>
      <c r="D1172" t="s">
        <v>6060</v>
      </c>
      <c r="E1172" t="s">
        <v>5996</v>
      </c>
      <c r="F1172" t="s">
        <v>1227</v>
      </c>
      <c r="G1172" t="s">
        <v>1747</v>
      </c>
      <c r="H1172">
        <v>410</v>
      </c>
      <c r="I1172">
        <v>430.5</v>
      </c>
      <c r="J1172" t="s">
        <v>3862</v>
      </c>
      <c r="K1172">
        <v>1</v>
      </c>
      <c r="L1172" t="s">
        <v>2945</v>
      </c>
      <c r="M1172" s="19">
        <v>46262</v>
      </c>
      <c r="N1172" t="s">
        <v>5997</v>
      </c>
    </row>
    <row r="1173" spans="1:14" x14ac:dyDescent="0.3">
      <c r="A1173" t="s">
        <v>6061</v>
      </c>
      <c r="B1173" t="s">
        <v>6062</v>
      </c>
      <c r="C1173" t="s">
        <v>6063</v>
      </c>
      <c r="D1173" t="s">
        <v>6064</v>
      </c>
      <c r="E1173" t="s">
        <v>5996</v>
      </c>
      <c r="F1173" t="s">
        <v>1227</v>
      </c>
      <c r="G1173" t="s">
        <v>1747</v>
      </c>
      <c r="H1173">
        <v>11540</v>
      </c>
      <c r="I1173">
        <v>12117</v>
      </c>
      <c r="J1173" t="s">
        <v>3862</v>
      </c>
      <c r="K1173">
        <v>1</v>
      </c>
      <c r="L1173" t="s">
        <v>2945</v>
      </c>
      <c r="M1173" s="19">
        <v>46262</v>
      </c>
      <c r="N1173" t="s">
        <v>5997</v>
      </c>
    </row>
    <row r="1174" spans="1:14" x14ac:dyDescent="0.3">
      <c r="A1174" t="s">
        <v>6065</v>
      </c>
      <c r="B1174" t="s">
        <v>6066</v>
      </c>
      <c r="C1174" t="s">
        <v>6067</v>
      </c>
      <c r="D1174" t="s">
        <v>6068</v>
      </c>
      <c r="E1174" t="s">
        <v>5996</v>
      </c>
      <c r="F1174" t="s">
        <v>1227</v>
      </c>
      <c r="G1174" t="s">
        <v>1747</v>
      </c>
      <c r="H1174">
        <v>5900</v>
      </c>
      <c r="I1174">
        <v>6195</v>
      </c>
      <c r="J1174" t="s">
        <v>3862</v>
      </c>
      <c r="K1174">
        <v>1</v>
      </c>
      <c r="L1174" t="s">
        <v>2945</v>
      </c>
      <c r="M1174" s="19">
        <v>46262</v>
      </c>
      <c r="N1174" t="s">
        <v>5997</v>
      </c>
    </row>
    <row r="1175" spans="1:14" x14ac:dyDescent="0.3">
      <c r="A1175" t="s">
        <v>6069</v>
      </c>
      <c r="B1175" t="s">
        <v>6070</v>
      </c>
      <c r="C1175" t="s">
        <v>6071</v>
      </c>
      <c r="D1175" t="s">
        <v>6072</v>
      </c>
      <c r="E1175" t="s">
        <v>5996</v>
      </c>
      <c r="F1175" t="s">
        <v>1227</v>
      </c>
      <c r="G1175" t="s">
        <v>1747</v>
      </c>
      <c r="H1175">
        <v>39960</v>
      </c>
      <c r="I1175">
        <v>41958</v>
      </c>
      <c r="J1175" t="s">
        <v>3862</v>
      </c>
      <c r="K1175">
        <v>1</v>
      </c>
      <c r="L1175" t="s">
        <v>2945</v>
      </c>
      <c r="M1175" s="19">
        <v>46262</v>
      </c>
      <c r="N1175" t="s">
        <v>5997</v>
      </c>
    </row>
    <row r="1176" spans="1:14" x14ac:dyDescent="0.3">
      <c r="A1176" t="s">
        <v>6073</v>
      </c>
      <c r="B1176" t="s">
        <v>6074</v>
      </c>
      <c r="D1176" t="s">
        <v>6064</v>
      </c>
      <c r="E1176" t="s">
        <v>5996</v>
      </c>
      <c r="F1176" t="s">
        <v>1227</v>
      </c>
      <c r="G1176" t="s">
        <v>1747</v>
      </c>
      <c r="H1176">
        <v>10900</v>
      </c>
      <c r="I1176">
        <v>11445</v>
      </c>
      <c r="J1176" t="s">
        <v>3862</v>
      </c>
      <c r="K1176">
        <v>1</v>
      </c>
      <c r="L1176" t="s">
        <v>2945</v>
      </c>
      <c r="M1176" s="19">
        <v>46262</v>
      </c>
      <c r="N1176" t="s">
        <v>5997</v>
      </c>
    </row>
    <row r="1177" spans="1:14" x14ac:dyDescent="0.3">
      <c r="A1177" t="s">
        <v>6075</v>
      </c>
      <c r="B1177" t="s">
        <v>6076</v>
      </c>
      <c r="C1177" t="s">
        <v>6077</v>
      </c>
      <c r="D1177" t="s">
        <v>6078</v>
      </c>
      <c r="E1177" t="s">
        <v>5996</v>
      </c>
      <c r="F1177" t="s">
        <v>1227</v>
      </c>
      <c r="G1177" t="s">
        <v>1747</v>
      </c>
      <c r="H1177">
        <v>14760</v>
      </c>
      <c r="I1177">
        <v>15498</v>
      </c>
      <c r="J1177" t="s">
        <v>3862</v>
      </c>
      <c r="K1177">
        <v>1</v>
      </c>
      <c r="L1177" t="s">
        <v>2945</v>
      </c>
      <c r="M1177" s="19">
        <v>46262</v>
      </c>
      <c r="N1177" t="s">
        <v>5997</v>
      </c>
    </row>
    <row r="1178" spans="1:14" x14ac:dyDescent="0.3">
      <c r="A1178" t="s">
        <v>6079</v>
      </c>
      <c r="B1178" t="s">
        <v>6080</v>
      </c>
      <c r="C1178" t="s">
        <v>6081</v>
      </c>
      <c r="D1178" t="s">
        <v>5995</v>
      </c>
      <c r="E1178" t="s">
        <v>5996</v>
      </c>
      <c r="F1178" t="s">
        <v>1227</v>
      </c>
      <c r="G1178" t="s">
        <v>1747</v>
      </c>
      <c r="H1178">
        <v>30600</v>
      </c>
      <c r="I1178">
        <v>32130</v>
      </c>
      <c r="J1178" t="s">
        <v>3862</v>
      </c>
      <c r="K1178">
        <v>1</v>
      </c>
      <c r="L1178" t="s">
        <v>2945</v>
      </c>
      <c r="M1178" s="19">
        <v>46262</v>
      </c>
      <c r="N1178" t="s">
        <v>5997</v>
      </c>
    </row>
    <row r="1179" spans="1:14" x14ac:dyDescent="0.3">
      <c r="A1179" t="s">
        <v>6082</v>
      </c>
      <c r="B1179" t="s">
        <v>6083</v>
      </c>
      <c r="C1179" t="s">
        <v>6084</v>
      </c>
      <c r="D1179" t="s">
        <v>6019</v>
      </c>
      <c r="E1179" t="s">
        <v>5996</v>
      </c>
      <c r="F1179" t="s">
        <v>1227</v>
      </c>
      <c r="G1179" t="s">
        <v>1747</v>
      </c>
      <c r="H1179">
        <v>11880</v>
      </c>
      <c r="I1179">
        <v>12474</v>
      </c>
      <c r="J1179" t="s">
        <v>3862</v>
      </c>
      <c r="K1179">
        <v>1</v>
      </c>
      <c r="L1179" t="s">
        <v>2945</v>
      </c>
      <c r="M1179" s="19">
        <v>46262</v>
      </c>
      <c r="N1179" t="s">
        <v>5997</v>
      </c>
    </row>
    <row r="1180" spans="1:14" x14ac:dyDescent="0.3">
      <c r="A1180" t="s">
        <v>6085</v>
      </c>
      <c r="B1180" t="s">
        <v>6086</v>
      </c>
      <c r="C1180" t="s">
        <v>6087</v>
      </c>
      <c r="D1180" t="s">
        <v>6019</v>
      </c>
      <c r="E1180" t="s">
        <v>5996</v>
      </c>
      <c r="F1180" t="s">
        <v>1227</v>
      </c>
      <c r="G1180" t="s">
        <v>1747</v>
      </c>
      <c r="H1180">
        <v>13080</v>
      </c>
      <c r="I1180">
        <v>13734</v>
      </c>
      <c r="J1180" t="s">
        <v>3862</v>
      </c>
      <c r="K1180">
        <v>1</v>
      </c>
      <c r="L1180" t="s">
        <v>2945</v>
      </c>
      <c r="M1180" s="19">
        <v>46262</v>
      </c>
      <c r="N1180" t="s">
        <v>5997</v>
      </c>
    </row>
    <row r="1181" spans="1:14" x14ac:dyDescent="0.3">
      <c r="A1181" t="s">
        <v>6088</v>
      </c>
      <c r="B1181" t="s">
        <v>6089</v>
      </c>
      <c r="C1181" t="s">
        <v>6090</v>
      </c>
      <c r="D1181" t="s">
        <v>6064</v>
      </c>
      <c r="E1181" t="s">
        <v>5996</v>
      </c>
      <c r="F1181" t="s">
        <v>1227</v>
      </c>
      <c r="G1181" t="s">
        <v>1732</v>
      </c>
      <c r="H1181">
        <v>22360</v>
      </c>
      <c r="I1181">
        <v>23478</v>
      </c>
      <c r="J1181" t="s">
        <v>3862</v>
      </c>
      <c r="K1181">
        <v>1</v>
      </c>
      <c r="L1181" t="s">
        <v>2945</v>
      </c>
      <c r="M1181" s="19">
        <v>46262</v>
      </c>
      <c r="N1181" t="s">
        <v>5997</v>
      </c>
    </row>
    <row r="1182" spans="1:14" x14ac:dyDescent="0.3">
      <c r="A1182" t="s">
        <v>6091</v>
      </c>
      <c r="B1182" t="s">
        <v>6092</v>
      </c>
      <c r="C1182" t="s">
        <v>6093</v>
      </c>
      <c r="D1182" t="s">
        <v>6094</v>
      </c>
      <c r="E1182" t="s">
        <v>5996</v>
      </c>
      <c r="F1182" t="s">
        <v>1227</v>
      </c>
      <c r="G1182" t="s">
        <v>1732</v>
      </c>
      <c r="H1182">
        <v>28030</v>
      </c>
      <c r="I1182">
        <v>29431.5</v>
      </c>
      <c r="J1182" t="s">
        <v>3862</v>
      </c>
      <c r="K1182">
        <v>1</v>
      </c>
      <c r="L1182" t="s">
        <v>2945</v>
      </c>
      <c r="M1182" s="19">
        <v>46262</v>
      </c>
      <c r="N1182" t="s">
        <v>5997</v>
      </c>
    </row>
    <row r="1183" spans="1:14" x14ac:dyDescent="0.3">
      <c r="A1183" t="s">
        <v>6095</v>
      </c>
      <c r="B1183" t="s">
        <v>6096</v>
      </c>
      <c r="C1183" t="s">
        <v>6097</v>
      </c>
      <c r="D1183" t="s">
        <v>6098</v>
      </c>
      <c r="E1183" t="s">
        <v>5996</v>
      </c>
      <c r="F1183" t="s">
        <v>1227</v>
      </c>
      <c r="G1183" t="s">
        <v>1732</v>
      </c>
      <c r="H1183">
        <v>14890</v>
      </c>
      <c r="I1183">
        <v>15634.5</v>
      </c>
      <c r="J1183" t="s">
        <v>3862</v>
      </c>
      <c r="K1183">
        <v>1</v>
      </c>
      <c r="L1183" t="s">
        <v>2945</v>
      </c>
      <c r="M1183" s="19">
        <v>46262</v>
      </c>
      <c r="N1183" t="s">
        <v>5997</v>
      </c>
    </row>
    <row r="1184" spans="1:14" x14ac:dyDescent="0.3">
      <c r="A1184" t="s">
        <v>6099</v>
      </c>
      <c r="B1184" t="s">
        <v>6100</v>
      </c>
      <c r="C1184" t="s">
        <v>6101</v>
      </c>
      <c r="D1184" t="s">
        <v>6102</v>
      </c>
      <c r="E1184" t="s">
        <v>5996</v>
      </c>
      <c r="F1184" t="s">
        <v>1227</v>
      </c>
      <c r="G1184" t="s">
        <v>1732</v>
      </c>
      <c r="H1184">
        <v>13126</v>
      </c>
      <c r="I1184">
        <v>13782.3</v>
      </c>
      <c r="J1184" t="s">
        <v>3862</v>
      </c>
      <c r="K1184">
        <v>1</v>
      </c>
      <c r="L1184" t="s">
        <v>2945</v>
      </c>
      <c r="M1184" s="19">
        <v>46262</v>
      </c>
      <c r="N1184" t="s">
        <v>5997</v>
      </c>
    </row>
    <row r="1185" spans="1:14" x14ac:dyDescent="0.3">
      <c r="A1185" t="s">
        <v>6103</v>
      </c>
      <c r="B1185" t="s">
        <v>6104</v>
      </c>
      <c r="D1185" t="s">
        <v>6034</v>
      </c>
      <c r="E1185" t="s">
        <v>5996</v>
      </c>
      <c r="F1185" t="s">
        <v>1227</v>
      </c>
      <c r="G1185" t="s">
        <v>1732</v>
      </c>
      <c r="H1185">
        <v>28160</v>
      </c>
      <c r="I1185">
        <v>29568</v>
      </c>
      <c r="J1185" t="s">
        <v>3862</v>
      </c>
      <c r="K1185">
        <v>1</v>
      </c>
      <c r="L1185" t="s">
        <v>2945</v>
      </c>
      <c r="M1185" s="19">
        <v>46262</v>
      </c>
      <c r="N1185" t="s">
        <v>5997</v>
      </c>
    </row>
    <row r="1186" spans="1:14" x14ac:dyDescent="0.3">
      <c r="A1186" t="s">
        <v>6105</v>
      </c>
      <c r="B1186" t="s">
        <v>6106</v>
      </c>
      <c r="C1186" t="s">
        <v>6107</v>
      </c>
      <c r="D1186" t="s">
        <v>6102</v>
      </c>
      <c r="E1186" t="s">
        <v>5996</v>
      </c>
      <c r="F1186" t="s">
        <v>1227</v>
      </c>
      <c r="G1186" t="s">
        <v>1732</v>
      </c>
      <c r="H1186">
        <v>7930</v>
      </c>
      <c r="I1186">
        <v>8326.5</v>
      </c>
      <c r="J1186" t="s">
        <v>3862</v>
      </c>
      <c r="K1186">
        <v>1</v>
      </c>
      <c r="L1186" t="s">
        <v>2945</v>
      </c>
      <c r="M1186" s="19">
        <v>46262</v>
      </c>
      <c r="N1186" t="s">
        <v>5997</v>
      </c>
    </row>
    <row r="1187" spans="1:14" x14ac:dyDescent="0.3">
      <c r="A1187" t="s">
        <v>6108</v>
      </c>
      <c r="B1187" t="s">
        <v>6109</v>
      </c>
      <c r="C1187" t="s">
        <v>6110</v>
      </c>
      <c r="E1187" t="s">
        <v>5996</v>
      </c>
      <c r="F1187" t="s">
        <v>1227</v>
      </c>
      <c r="G1187" t="s">
        <v>1732</v>
      </c>
      <c r="H1187">
        <v>19390</v>
      </c>
      <c r="I1187">
        <v>20359.5</v>
      </c>
      <c r="J1187" t="s">
        <v>3862</v>
      </c>
      <c r="K1187">
        <v>1</v>
      </c>
      <c r="L1187" t="s">
        <v>2945</v>
      </c>
      <c r="M1187" s="19">
        <v>46262</v>
      </c>
      <c r="N1187" t="s">
        <v>5997</v>
      </c>
    </row>
    <row r="1188" spans="1:14" x14ac:dyDescent="0.3">
      <c r="A1188" t="s">
        <v>6111</v>
      </c>
      <c r="B1188" t="s">
        <v>6112</v>
      </c>
      <c r="C1188" t="s">
        <v>6113</v>
      </c>
      <c r="D1188" t="s">
        <v>6042</v>
      </c>
      <c r="E1188" t="s">
        <v>5996</v>
      </c>
      <c r="F1188" t="s">
        <v>1227</v>
      </c>
      <c r="G1188" t="s">
        <v>1732</v>
      </c>
      <c r="H1188">
        <v>12180</v>
      </c>
      <c r="I1188">
        <v>12789</v>
      </c>
      <c r="J1188" t="s">
        <v>3862</v>
      </c>
      <c r="K1188">
        <v>1</v>
      </c>
      <c r="L1188" t="s">
        <v>2945</v>
      </c>
      <c r="M1188" s="19">
        <v>46262</v>
      </c>
      <c r="N1188" t="s">
        <v>5997</v>
      </c>
    </row>
    <row r="1189" spans="1:14" x14ac:dyDescent="0.3">
      <c r="A1189" t="s">
        <v>6114</v>
      </c>
      <c r="B1189" t="s">
        <v>6115</v>
      </c>
      <c r="E1189" t="s">
        <v>6116</v>
      </c>
      <c r="F1189" t="s">
        <v>1227</v>
      </c>
      <c r="G1189" t="s">
        <v>997</v>
      </c>
      <c r="H1189">
        <v>1.1000000000000001</v>
      </c>
      <c r="I1189">
        <v>1.1000000000000001</v>
      </c>
      <c r="J1189" t="s">
        <v>3862</v>
      </c>
      <c r="K1189">
        <v>1</v>
      </c>
      <c r="L1189" t="s">
        <v>2945</v>
      </c>
      <c r="M1189" s="19">
        <v>46262</v>
      </c>
      <c r="N1189" t="s">
        <v>6117</v>
      </c>
    </row>
    <row r="1190" spans="1:14" x14ac:dyDescent="0.3">
      <c r="A1190" t="s">
        <v>6118</v>
      </c>
      <c r="B1190" t="s">
        <v>6119</v>
      </c>
      <c r="E1190" t="s">
        <v>6116</v>
      </c>
      <c r="F1190" t="s">
        <v>1227</v>
      </c>
      <c r="G1190" t="s">
        <v>997</v>
      </c>
      <c r="H1190">
        <v>7.9</v>
      </c>
      <c r="I1190">
        <v>7.9</v>
      </c>
      <c r="J1190" t="s">
        <v>3862</v>
      </c>
      <c r="K1190">
        <v>1</v>
      </c>
      <c r="L1190" t="s">
        <v>2945</v>
      </c>
      <c r="M1190" s="19">
        <v>46262</v>
      </c>
      <c r="N1190" t="s">
        <v>6117</v>
      </c>
    </row>
    <row r="1191" spans="1:14" x14ac:dyDescent="0.3">
      <c r="A1191" t="s">
        <v>6120</v>
      </c>
      <c r="B1191" t="s">
        <v>6121</v>
      </c>
      <c r="E1191" t="s">
        <v>6116</v>
      </c>
      <c r="F1191" t="s">
        <v>1227</v>
      </c>
      <c r="G1191" t="s">
        <v>997</v>
      </c>
      <c r="H1191">
        <v>620</v>
      </c>
      <c r="I1191">
        <v>620</v>
      </c>
      <c r="J1191" t="s">
        <v>3862</v>
      </c>
      <c r="K1191">
        <v>1</v>
      </c>
      <c r="L1191" t="s">
        <v>2945</v>
      </c>
      <c r="M1191" s="19">
        <v>46262</v>
      </c>
      <c r="N1191" t="s">
        <v>6117</v>
      </c>
    </row>
    <row r="1192" spans="1:14" x14ac:dyDescent="0.3">
      <c r="A1192" t="s">
        <v>6122</v>
      </c>
      <c r="B1192" t="s">
        <v>6123</v>
      </c>
      <c r="E1192" t="s">
        <v>6116</v>
      </c>
      <c r="F1192" t="s">
        <v>1227</v>
      </c>
      <c r="G1192" t="s">
        <v>997</v>
      </c>
      <c r="H1192">
        <v>2050</v>
      </c>
      <c r="I1192">
        <v>2050</v>
      </c>
      <c r="J1192" t="s">
        <v>3862</v>
      </c>
      <c r="K1192">
        <v>1</v>
      </c>
      <c r="L1192" t="s">
        <v>2945</v>
      </c>
      <c r="M1192" s="19">
        <v>46262</v>
      </c>
      <c r="N1192" t="s">
        <v>6117</v>
      </c>
    </row>
    <row r="1193" spans="1:14" x14ac:dyDescent="0.3">
      <c r="A1193" t="s">
        <v>6124</v>
      </c>
      <c r="B1193" t="s">
        <v>6125</v>
      </c>
      <c r="E1193" t="s">
        <v>6116</v>
      </c>
      <c r="F1193" t="s">
        <v>1227</v>
      </c>
      <c r="G1193" t="s">
        <v>997</v>
      </c>
      <c r="H1193">
        <v>1.75</v>
      </c>
      <c r="I1193">
        <v>1.75</v>
      </c>
      <c r="J1193" t="s">
        <v>3862</v>
      </c>
      <c r="K1193">
        <v>1</v>
      </c>
      <c r="L1193" t="s">
        <v>2945</v>
      </c>
      <c r="M1193" s="19">
        <v>46262</v>
      </c>
      <c r="N1193" t="s">
        <v>6117</v>
      </c>
    </row>
    <row r="1194" spans="1:14" x14ac:dyDescent="0.3">
      <c r="A1194" t="s">
        <v>6126</v>
      </c>
      <c r="B1194" t="s">
        <v>6127</v>
      </c>
      <c r="E1194" t="s">
        <v>6116</v>
      </c>
      <c r="F1194" t="s">
        <v>1227</v>
      </c>
      <c r="G1194" t="s">
        <v>997</v>
      </c>
      <c r="H1194">
        <v>130</v>
      </c>
      <c r="I1194">
        <v>130</v>
      </c>
      <c r="J1194" t="s">
        <v>3862</v>
      </c>
      <c r="K1194">
        <v>1</v>
      </c>
      <c r="L1194" t="s">
        <v>2945</v>
      </c>
      <c r="M1194" s="19">
        <v>46262</v>
      </c>
      <c r="N1194" t="s">
        <v>6117</v>
      </c>
    </row>
    <row r="1195" spans="1:14" x14ac:dyDescent="0.3">
      <c r="A1195" t="s">
        <v>6128</v>
      </c>
      <c r="B1195" t="s">
        <v>6129</v>
      </c>
      <c r="E1195" t="s">
        <v>6116</v>
      </c>
      <c r="F1195" t="s">
        <v>1227</v>
      </c>
      <c r="G1195" t="s">
        <v>997</v>
      </c>
      <c r="H1195">
        <v>828</v>
      </c>
      <c r="I1195">
        <v>828</v>
      </c>
      <c r="J1195" t="s">
        <v>3862</v>
      </c>
      <c r="K1195">
        <v>1</v>
      </c>
      <c r="L1195" t="s">
        <v>2945</v>
      </c>
      <c r="M1195" s="19">
        <v>46262</v>
      </c>
      <c r="N1195" t="s">
        <v>6117</v>
      </c>
    </row>
    <row r="1196" spans="1:14" x14ac:dyDescent="0.3">
      <c r="A1196" t="s">
        <v>6130</v>
      </c>
      <c r="B1196" t="s">
        <v>6131</v>
      </c>
      <c r="E1196" t="s">
        <v>6116</v>
      </c>
      <c r="F1196" t="s">
        <v>1227</v>
      </c>
      <c r="G1196" t="s">
        <v>997</v>
      </c>
      <c r="H1196">
        <v>3650</v>
      </c>
      <c r="I1196">
        <v>3650</v>
      </c>
      <c r="J1196" t="s">
        <v>3862</v>
      </c>
      <c r="K1196">
        <v>1</v>
      </c>
      <c r="L1196" t="s">
        <v>2945</v>
      </c>
      <c r="M1196" s="19">
        <v>46262</v>
      </c>
      <c r="N1196" t="s">
        <v>6117</v>
      </c>
    </row>
    <row r="1197" spans="1:14" x14ac:dyDescent="0.3">
      <c r="A1197" t="s">
        <v>6132</v>
      </c>
      <c r="B1197" t="s">
        <v>6133</v>
      </c>
      <c r="E1197" t="s">
        <v>6116</v>
      </c>
      <c r="F1197" t="s">
        <v>1227</v>
      </c>
      <c r="G1197" t="s">
        <v>997</v>
      </c>
      <c r="H1197">
        <v>127.5</v>
      </c>
      <c r="I1197">
        <v>127.5</v>
      </c>
      <c r="J1197" t="s">
        <v>3862</v>
      </c>
      <c r="K1197">
        <v>1</v>
      </c>
      <c r="L1197" t="s">
        <v>2945</v>
      </c>
      <c r="M1197" s="19">
        <v>46262</v>
      </c>
      <c r="N1197" t="s">
        <v>6117</v>
      </c>
    </row>
    <row r="1198" spans="1:14" x14ac:dyDescent="0.3">
      <c r="A1198" t="s">
        <v>6134</v>
      </c>
      <c r="B1198" t="s">
        <v>6135</v>
      </c>
      <c r="D1198" t="s">
        <v>6136</v>
      </c>
      <c r="E1198" t="s">
        <v>6137</v>
      </c>
      <c r="F1198" t="s">
        <v>461</v>
      </c>
      <c r="G1198" t="s">
        <v>2396</v>
      </c>
      <c r="H1198">
        <v>466.03</v>
      </c>
      <c r="I1198">
        <v>532.30999999999995</v>
      </c>
      <c r="J1198" t="s">
        <v>3862</v>
      </c>
      <c r="K1198">
        <v>1</v>
      </c>
      <c r="L1198" t="s">
        <v>2945</v>
      </c>
      <c r="M1198" s="19">
        <v>46262</v>
      </c>
      <c r="N1198" t="s">
        <v>6138</v>
      </c>
    </row>
    <row r="1199" spans="1:14" x14ac:dyDescent="0.3">
      <c r="A1199" t="s">
        <v>6139</v>
      </c>
      <c r="B1199" t="s">
        <v>6140</v>
      </c>
      <c r="D1199" t="s">
        <v>6136</v>
      </c>
      <c r="E1199" t="s">
        <v>6137</v>
      </c>
      <c r="F1199" t="s">
        <v>461</v>
      </c>
      <c r="G1199" t="s">
        <v>2396</v>
      </c>
      <c r="H1199">
        <v>326.22000000000003</v>
      </c>
      <c r="I1199">
        <v>385.51</v>
      </c>
      <c r="J1199" t="s">
        <v>3862</v>
      </c>
      <c r="K1199">
        <v>1</v>
      </c>
      <c r="L1199" t="s">
        <v>2945</v>
      </c>
      <c r="M1199" s="19">
        <v>46262</v>
      </c>
      <c r="N1199" t="s">
        <v>6138</v>
      </c>
    </row>
    <row r="1200" spans="1:14" x14ac:dyDescent="0.3">
      <c r="A1200" t="s">
        <v>6141</v>
      </c>
      <c r="B1200" t="s">
        <v>6142</v>
      </c>
      <c r="D1200" t="s">
        <v>6136</v>
      </c>
      <c r="E1200" t="s">
        <v>6137</v>
      </c>
      <c r="F1200" t="s">
        <v>461</v>
      </c>
      <c r="G1200" t="s">
        <v>2390</v>
      </c>
      <c r="H1200">
        <v>4733.8900000000003</v>
      </c>
      <c r="I1200">
        <v>4970.58</v>
      </c>
      <c r="J1200" t="s">
        <v>3862</v>
      </c>
      <c r="K1200">
        <v>1</v>
      </c>
      <c r="L1200" t="s">
        <v>2945</v>
      </c>
      <c r="M1200" s="19">
        <v>46262</v>
      </c>
      <c r="N1200" t="s">
        <v>6138</v>
      </c>
    </row>
    <row r="1201" spans="1:14" x14ac:dyDescent="0.3">
      <c r="A1201" t="s">
        <v>6143</v>
      </c>
      <c r="B1201" t="s">
        <v>6144</v>
      </c>
      <c r="D1201" t="s">
        <v>6136</v>
      </c>
      <c r="E1201" t="s">
        <v>6137</v>
      </c>
      <c r="F1201" t="s">
        <v>461</v>
      </c>
      <c r="G1201" t="s">
        <v>2390</v>
      </c>
      <c r="H1201">
        <v>41.95</v>
      </c>
      <c r="I1201">
        <v>44.05</v>
      </c>
      <c r="J1201" t="s">
        <v>3862</v>
      </c>
      <c r="K1201">
        <v>1</v>
      </c>
      <c r="L1201" t="s">
        <v>2945</v>
      </c>
      <c r="M1201" s="19">
        <v>46262</v>
      </c>
      <c r="N1201" t="s">
        <v>6138</v>
      </c>
    </row>
    <row r="1202" spans="1:14" x14ac:dyDescent="0.3">
      <c r="A1202" t="s">
        <v>6145</v>
      </c>
      <c r="B1202" t="s">
        <v>6146</v>
      </c>
      <c r="D1202" t="s">
        <v>6136</v>
      </c>
      <c r="E1202" t="s">
        <v>6137</v>
      </c>
      <c r="F1202" t="s">
        <v>461</v>
      </c>
      <c r="G1202" t="s">
        <v>2390</v>
      </c>
      <c r="H1202">
        <v>93.21</v>
      </c>
      <c r="I1202">
        <v>97.87</v>
      </c>
      <c r="J1202" t="s">
        <v>3862</v>
      </c>
      <c r="K1202">
        <v>1</v>
      </c>
      <c r="L1202" t="s">
        <v>2945</v>
      </c>
      <c r="M1202" s="19">
        <v>46262</v>
      </c>
      <c r="N1202" t="s">
        <v>6138</v>
      </c>
    </row>
    <row r="1203" spans="1:14" x14ac:dyDescent="0.3">
      <c r="A1203" t="s">
        <v>6147</v>
      </c>
      <c r="B1203" t="s">
        <v>6148</v>
      </c>
      <c r="D1203" t="s">
        <v>6136</v>
      </c>
      <c r="E1203" t="s">
        <v>6137</v>
      </c>
      <c r="F1203" t="s">
        <v>461</v>
      </c>
      <c r="G1203" t="s">
        <v>2390</v>
      </c>
      <c r="H1203">
        <v>121.18</v>
      </c>
      <c r="I1203">
        <v>127.24</v>
      </c>
      <c r="J1203" t="s">
        <v>3862</v>
      </c>
      <c r="K1203">
        <v>1</v>
      </c>
      <c r="L1203" t="s">
        <v>2945</v>
      </c>
      <c r="M1203" s="19">
        <v>46262</v>
      </c>
      <c r="N1203" t="s">
        <v>6138</v>
      </c>
    </row>
    <row r="1204" spans="1:14" x14ac:dyDescent="0.3">
      <c r="A1204" t="s">
        <v>6149</v>
      </c>
      <c r="B1204" t="s">
        <v>6150</v>
      </c>
      <c r="D1204" t="s">
        <v>6136</v>
      </c>
      <c r="E1204" t="s">
        <v>6137</v>
      </c>
      <c r="F1204" t="s">
        <v>461</v>
      </c>
      <c r="G1204" t="s">
        <v>2390</v>
      </c>
      <c r="H1204">
        <v>205.06</v>
      </c>
      <c r="I1204">
        <v>215.31</v>
      </c>
      <c r="J1204" t="s">
        <v>3862</v>
      </c>
      <c r="K1204">
        <v>1</v>
      </c>
      <c r="L1204" t="s">
        <v>2945</v>
      </c>
      <c r="M1204" s="19">
        <v>46262</v>
      </c>
      <c r="N1204" t="s">
        <v>6138</v>
      </c>
    </row>
    <row r="1205" spans="1:14" x14ac:dyDescent="0.3">
      <c r="A1205" t="s">
        <v>6151</v>
      </c>
      <c r="B1205" t="s">
        <v>6152</v>
      </c>
      <c r="D1205" t="s">
        <v>6136</v>
      </c>
      <c r="E1205" t="s">
        <v>6137</v>
      </c>
      <c r="F1205" t="s">
        <v>461</v>
      </c>
      <c r="G1205" t="s">
        <v>2390</v>
      </c>
      <c r="H1205">
        <v>195.73</v>
      </c>
      <c r="I1205">
        <v>205.52</v>
      </c>
      <c r="J1205" t="s">
        <v>3862</v>
      </c>
      <c r="K1205">
        <v>1</v>
      </c>
      <c r="L1205" t="s">
        <v>2945</v>
      </c>
      <c r="M1205" s="19">
        <v>46262</v>
      </c>
      <c r="N1205" t="s">
        <v>6138</v>
      </c>
    </row>
    <row r="1206" spans="1:14" x14ac:dyDescent="0.3">
      <c r="A1206" t="s">
        <v>6153</v>
      </c>
      <c r="B1206" t="s">
        <v>6154</v>
      </c>
      <c r="D1206" t="s">
        <v>6136</v>
      </c>
      <c r="E1206" t="s">
        <v>6137</v>
      </c>
      <c r="F1206" t="s">
        <v>461</v>
      </c>
      <c r="G1206" t="s">
        <v>2390</v>
      </c>
      <c r="H1206">
        <v>264.24</v>
      </c>
      <c r="I1206">
        <v>277.45</v>
      </c>
      <c r="J1206" t="s">
        <v>3862</v>
      </c>
      <c r="K1206">
        <v>1</v>
      </c>
      <c r="L1206" t="s">
        <v>2945</v>
      </c>
      <c r="M1206" s="19">
        <v>46262</v>
      </c>
      <c r="N1206" t="s">
        <v>6138</v>
      </c>
    </row>
    <row r="1207" spans="1:14" x14ac:dyDescent="0.3">
      <c r="A1207" t="s">
        <v>6155</v>
      </c>
      <c r="B1207" t="s">
        <v>6156</v>
      </c>
      <c r="D1207" t="s">
        <v>6136</v>
      </c>
      <c r="E1207" t="s">
        <v>6137</v>
      </c>
      <c r="F1207" t="s">
        <v>461</v>
      </c>
      <c r="G1207" t="s">
        <v>2390</v>
      </c>
      <c r="H1207">
        <v>316.91000000000003</v>
      </c>
      <c r="I1207">
        <v>375.74</v>
      </c>
      <c r="J1207" t="s">
        <v>3862</v>
      </c>
      <c r="K1207">
        <v>1</v>
      </c>
      <c r="L1207" t="s">
        <v>2945</v>
      </c>
      <c r="M1207" s="19">
        <v>46262</v>
      </c>
      <c r="N1207" t="s">
        <v>6138</v>
      </c>
    </row>
    <row r="1208" spans="1:14" x14ac:dyDescent="0.3">
      <c r="A1208" t="s">
        <v>6157</v>
      </c>
      <c r="B1208" t="s">
        <v>6158</v>
      </c>
      <c r="D1208" t="s">
        <v>6136</v>
      </c>
      <c r="E1208" t="s">
        <v>6137</v>
      </c>
      <c r="F1208" t="s">
        <v>461</v>
      </c>
      <c r="G1208" t="s">
        <v>2390</v>
      </c>
      <c r="H1208">
        <v>411.51</v>
      </c>
      <c r="I1208">
        <v>474.99</v>
      </c>
      <c r="J1208" t="s">
        <v>3862</v>
      </c>
      <c r="K1208">
        <v>1</v>
      </c>
      <c r="L1208" t="s">
        <v>2945</v>
      </c>
      <c r="M1208" s="19">
        <v>46262</v>
      </c>
      <c r="N1208" t="s">
        <v>6138</v>
      </c>
    </row>
    <row r="1209" spans="1:14" x14ac:dyDescent="0.3">
      <c r="A1209" t="s">
        <v>6159</v>
      </c>
      <c r="B1209" t="s">
        <v>6160</v>
      </c>
      <c r="D1209" t="s">
        <v>6161</v>
      </c>
      <c r="E1209" t="s">
        <v>6162</v>
      </c>
      <c r="F1209" t="s">
        <v>461</v>
      </c>
      <c r="G1209" t="s">
        <v>2153</v>
      </c>
      <c r="H1209">
        <v>179001</v>
      </c>
      <c r="I1209">
        <v>187951.05</v>
      </c>
      <c r="J1209" t="s">
        <v>3862</v>
      </c>
      <c r="K1209">
        <v>1</v>
      </c>
      <c r="L1209" t="s">
        <v>2945</v>
      </c>
      <c r="M1209" s="19">
        <v>46262</v>
      </c>
      <c r="N1209" t="s">
        <v>6163</v>
      </c>
    </row>
    <row r="1210" spans="1:14" x14ac:dyDescent="0.3">
      <c r="A1210" t="s">
        <v>6164</v>
      </c>
      <c r="B1210" t="s">
        <v>6165</v>
      </c>
      <c r="D1210" t="s">
        <v>6161</v>
      </c>
      <c r="E1210" t="s">
        <v>6162</v>
      </c>
      <c r="F1210" t="s">
        <v>461</v>
      </c>
      <c r="G1210" t="s">
        <v>2153</v>
      </c>
      <c r="H1210">
        <v>118102</v>
      </c>
      <c r="I1210">
        <v>124007.1</v>
      </c>
      <c r="J1210" t="s">
        <v>3862</v>
      </c>
      <c r="K1210">
        <v>1</v>
      </c>
      <c r="L1210" t="s">
        <v>2945</v>
      </c>
      <c r="M1210" s="19">
        <v>46262</v>
      </c>
      <c r="N1210" t="s">
        <v>6163</v>
      </c>
    </row>
    <row r="1211" spans="1:14" x14ac:dyDescent="0.3">
      <c r="A1211" t="s">
        <v>6166</v>
      </c>
      <c r="B1211" t="s">
        <v>6167</v>
      </c>
      <c r="D1211" t="s">
        <v>6161</v>
      </c>
      <c r="E1211" t="s">
        <v>6162</v>
      </c>
      <c r="F1211" t="s">
        <v>461</v>
      </c>
      <c r="G1211" t="s">
        <v>2153</v>
      </c>
      <c r="H1211">
        <v>296290</v>
      </c>
      <c r="I1211">
        <v>311104.5</v>
      </c>
      <c r="J1211" t="s">
        <v>3862</v>
      </c>
      <c r="K1211">
        <v>1</v>
      </c>
      <c r="L1211" t="s">
        <v>2945</v>
      </c>
      <c r="M1211" s="19">
        <v>46262</v>
      </c>
      <c r="N1211" t="s">
        <v>6163</v>
      </c>
    </row>
    <row r="1212" spans="1:14" x14ac:dyDescent="0.3">
      <c r="A1212" t="s">
        <v>6168</v>
      </c>
      <c r="B1212" t="s">
        <v>6169</v>
      </c>
      <c r="D1212" t="s">
        <v>6161</v>
      </c>
      <c r="E1212" t="s">
        <v>6162</v>
      </c>
      <c r="F1212" t="s">
        <v>461</v>
      </c>
      <c r="G1212" t="s">
        <v>2153</v>
      </c>
      <c r="H1212">
        <v>21624</v>
      </c>
      <c r="I1212">
        <v>22705.200000000001</v>
      </c>
      <c r="J1212" t="s">
        <v>3862</v>
      </c>
      <c r="K1212">
        <v>1</v>
      </c>
      <c r="L1212" t="s">
        <v>2945</v>
      </c>
      <c r="M1212" s="19">
        <v>46262</v>
      </c>
      <c r="N1212" t="s">
        <v>6163</v>
      </c>
    </row>
    <row r="1213" spans="1:14" x14ac:dyDescent="0.3">
      <c r="A1213" t="s">
        <v>6170</v>
      </c>
      <c r="B1213" t="s">
        <v>6171</v>
      </c>
      <c r="D1213" t="s">
        <v>6161</v>
      </c>
      <c r="E1213" t="s">
        <v>6162</v>
      </c>
      <c r="F1213" t="s">
        <v>461</v>
      </c>
      <c r="G1213" t="s">
        <v>2153</v>
      </c>
      <c r="H1213">
        <v>59758</v>
      </c>
      <c r="I1213">
        <v>62745.9</v>
      </c>
      <c r="J1213" t="s">
        <v>3862</v>
      </c>
      <c r="K1213">
        <v>1</v>
      </c>
      <c r="L1213" t="s">
        <v>2945</v>
      </c>
      <c r="M1213" s="19">
        <v>46262</v>
      </c>
      <c r="N1213" t="s">
        <v>6163</v>
      </c>
    </row>
    <row r="1214" spans="1:14" x14ac:dyDescent="0.3">
      <c r="A1214" t="s">
        <v>6172</v>
      </c>
      <c r="B1214" t="s">
        <v>6173</v>
      </c>
      <c r="D1214" t="s">
        <v>6161</v>
      </c>
      <c r="E1214" t="s">
        <v>6162</v>
      </c>
      <c r="F1214" t="s">
        <v>461</v>
      </c>
      <c r="G1214" t="s">
        <v>2153</v>
      </c>
      <c r="H1214">
        <v>130317</v>
      </c>
      <c r="I1214">
        <v>136832.85</v>
      </c>
      <c r="J1214" t="s">
        <v>3862</v>
      </c>
      <c r="K1214">
        <v>1</v>
      </c>
      <c r="L1214" t="s">
        <v>2945</v>
      </c>
      <c r="M1214" s="19">
        <v>46262</v>
      </c>
      <c r="N1214" t="s">
        <v>6163</v>
      </c>
    </row>
    <row r="1215" spans="1:14" x14ac:dyDescent="0.3">
      <c r="A1215" t="s">
        <v>6174</v>
      </c>
      <c r="B1215" t="s">
        <v>6175</v>
      </c>
      <c r="D1215" t="s">
        <v>6161</v>
      </c>
      <c r="E1215" t="s">
        <v>6162</v>
      </c>
      <c r="F1215" t="s">
        <v>461</v>
      </c>
      <c r="G1215" t="s">
        <v>2153</v>
      </c>
      <c r="H1215">
        <v>23804</v>
      </c>
      <c r="I1215">
        <v>24994.2</v>
      </c>
      <c r="J1215" t="s">
        <v>3862</v>
      </c>
      <c r="K1215">
        <v>1</v>
      </c>
      <c r="L1215" t="s">
        <v>2945</v>
      </c>
      <c r="M1215" s="19">
        <v>46262</v>
      </c>
      <c r="N1215" t="s">
        <v>6163</v>
      </c>
    </row>
    <row r="1216" spans="1:14" x14ac:dyDescent="0.3">
      <c r="A1216" t="s">
        <v>6176</v>
      </c>
      <c r="B1216" t="s">
        <v>6177</v>
      </c>
      <c r="D1216" t="s">
        <v>6161</v>
      </c>
      <c r="E1216" t="s">
        <v>6162</v>
      </c>
      <c r="F1216" t="s">
        <v>461</v>
      </c>
      <c r="G1216" t="s">
        <v>2153</v>
      </c>
      <c r="H1216">
        <v>21494</v>
      </c>
      <c r="I1216">
        <v>22568.7</v>
      </c>
      <c r="J1216" t="s">
        <v>3862</v>
      </c>
      <c r="K1216">
        <v>1</v>
      </c>
      <c r="L1216" t="s">
        <v>2945</v>
      </c>
      <c r="M1216" s="19">
        <v>46262</v>
      </c>
      <c r="N1216" t="s">
        <v>6163</v>
      </c>
    </row>
    <row r="1217" spans="1:14" x14ac:dyDescent="0.3">
      <c r="A1217" t="s">
        <v>6178</v>
      </c>
      <c r="B1217" t="s">
        <v>6179</v>
      </c>
      <c r="D1217" t="s">
        <v>6161</v>
      </c>
      <c r="E1217" t="s">
        <v>6162</v>
      </c>
      <c r="F1217" t="s">
        <v>461</v>
      </c>
      <c r="G1217" t="s">
        <v>2153</v>
      </c>
      <c r="H1217">
        <v>11448</v>
      </c>
      <c r="I1217">
        <v>12020.4</v>
      </c>
      <c r="J1217" t="s">
        <v>3862</v>
      </c>
      <c r="K1217">
        <v>1</v>
      </c>
      <c r="L1217" t="s">
        <v>2945</v>
      </c>
      <c r="M1217" s="19">
        <v>46262</v>
      </c>
      <c r="N1217" t="s">
        <v>6163</v>
      </c>
    </row>
    <row r="1218" spans="1:14" x14ac:dyDescent="0.3">
      <c r="A1218" t="s">
        <v>6180</v>
      </c>
      <c r="B1218" t="s">
        <v>6181</v>
      </c>
      <c r="D1218" t="s">
        <v>6161</v>
      </c>
      <c r="E1218" t="s">
        <v>6162</v>
      </c>
      <c r="F1218" t="s">
        <v>461</v>
      </c>
      <c r="G1218" t="s">
        <v>2153</v>
      </c>
      <c r="H1218">
        <v>332273</v>
      </c>
      <c r="I1218">
        <v>348886.65</v>
      </c>
      <c r="J1218" t="s">
        <v>3862</v>
      </c>
      <c r="K1218">
        <v>1</v>
      </c>
      <c r="L1218" t="s">
        <v>2945</v>
      </c>
      <c r="M1218" s="19">
        <v>46262</v>
      </c>
      <c r="N1218" t="s">
        <v>6163</v>
      </c>
    </row>
    <row r="1219" spans="1:14" x14ac:dyDescent="0.3">
      <c r="A1219" t="s">
        <v>6182</v>
      </c>
      <c r="B1219" t="s">
        <v>6183</v>
      </c>
      <c r="D1219" t="s">
        <v>6161</v>
      </c>
      <c r="E1219" t="s">
        <v>6162</v>
      </c>
      <c r="F1219" t="s">
        <v>461</v>
      </c>
      <c r="G1219" t="s">
        <v>2153</v>
      </c>
      <c r="H1219">
        <v>332016</v>
      </c>
      <c r="I1219">
        <v>348616.8</v>
      </c>
      <c r="J1219" t="s">
        <v>3862</v>
      </c>
      <c r="K1219">
        <v>1</v>
      </c>
      <c r="L1219" t="s">
        <v>2945</v>
      </c>
      <c r="M1219" s="19">
        <v>46262</v>
      </c>
      <c r="N1219" t="s">
        <v>6163</v>
      </c>
    </row>
  </sheetData>
  <autoFilter ref="A1:O121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G7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7" ht="115.2" x14ac:dyDescent="0.3">
      <c r="A1" s="3" t="s">
        <v>6184</v>
      </c>
      <c r="B1" s="3"/>
      <c r="C1" s="3"/>
      <c r="D1" s="3"/>
      <c r="E1" s="3"/>
      <c r="F1" s="3"/>
      <c r="G1" s="3"/>
    </row>
    <row r="3" spans="1:7" x14ac:dyDescent="0.3">
      <c r="A3" t="s">
        <v>6185</v>
      </c>
    </row>
    <row r="4" spans="1:7" x14ac:dyDescent="0.3">
      <c r="A4" t="s">
        <v>6186</v>
      </c>
    </row>
    <row r="6" spans="1:7" x14ac:dyDescent="0.3">
      <c r="A6" t="s">
        <v>6187</v>
      </c>
    </row>
    <row r="7" spans="1:7" x14ac:dyDescent="0.3">
      <c r="A7" t="s">
        <v>6188</v>
      </c>
    </row>
    <row r="8" spans="1:7" x14ac:dyDescent="0.3">
      <c r="A8" t="s">
        <v>6189</v>
      </c>
    </row>
    <row r="9" spans="1:7" x14ac:dyDescent="0.3">
      <c r="A9" t="s">
        <v>6190</v>
      </c>
    </row>
    <row r="10" spans="1:7" x14ac:dyDescent="0.3">
      <c r="A10" t="s">
        <v>6191</v>
      </c>
    </row>
    <row r="12" spans="1:7" x14ac:dyDescent="0.3">
      <c r="A12" t="s">
        <v>6192</v>
      </c>
    </row>
    <row r="13" spans="1:7" x14ac:dyDescent="0.3">
      <c r="A13" t="s">
        <v>6193</v>
      </c>
    </row>
    <row r="14" spans="1:7" x14ac:dyDescent="0.3">
      <c r="A14" t="s">
        <v>6194</v>
      </c>
    </row>
    <row r="15" spans="1:7" x14ac:dyDescent="0.3">
      <c r="A15" t="s">
        <v>6195</v>
      </c>
    </row>
    <row r="17" spans="1:7" x14ac:dyDescent="0.3">
      <c r="A17" t="s">
        <v>6196</v>
      </c>
      <c r="B17" t="s">
        <v>134</v>
      </c>
      <c r="C17" t="s">
        <v>6197</v>
      </c>
      <c r="D17" t="s">
        <v>6198</v>
      </c>
      <c r="E17" t="s">
        <v>6199</v>
      </c>
      <c r="F17" t="s">
        <v>6200</v>
      </c>
      <c r="G17" t="s">
        <v>211</v>
      </c>
    </row>
    <row r="18" spans="1:7" x14ac:dyDescent="0.3">
      <c r="A18" t="s">
        <v>2101</v>
      </c>
      <c r="B18" t="s">
        <v>6201</v>
      </c>
      <c r="C18" t="s">
        <v>154</v>
      </c>
      <c r="D18" t="s">
        <v>6202</v>
      </c>
      <c r="E18" t="s">
        <v>1227</v>
      </c>
      <c r="F18" t="s">
        <v>2100</v>
      </c>
      <c r="G18" t="s">
        <v>6203</v>
      </c>
    </row>
    <row r="19" spans="1:7" x14ac:dyDescent="0.3">
      <c r="A19" t="s">
        <v>2146</v>
      </c>
      <c r="B19" t="s">
        <v>6204</v>
      </c>
      <c r="C19" t="s">
        <v>154</v>
      </c>
      <c r="D19" t="s">
        <v>6205</v>
      </c>
      <c r="E19" t="s">
        <v>1227</v>
      </c>
      <c r="F19" t="s">
        <v>6206</v>
      </c>
      <c r="G19" t="s">
        <v>6203</v>
      </c>
    </row>
    <row r="20" spans="1:7" x14ac:dyDescent="0.3">
      <c r="A20" t="s">
        <v>1712</v>
      </c>
      <c r="B20" t="s">
        <v>6207</v>
      </c>
      <c r="C20" t="s">
        <v>6208</v>
      </c>
      <c r="D20" t="s">
        <v>6209</v>
      </c>
      <c r="E20" t="s">
        <v>1227</v>
      </c>
      <c r="F20" t="s">
        <v>1763</v>
      </c>
    </row>
    <row r="21" spans="1:7" x14ac:dyDescent="0.3">
      <c r="A21" t="s">
        <v>1299</v>
      </c>
      <c r="B21" t="s">
        <v>6210</v>
      </c>
      <c r="C21" t="s">
        <v>6211</v>
      </c>
      <c r="D21" t="s">
        <v>6212</v>
      </c>
      <c r="E21" t="s">
        <v>214</v>
      </c>
      <c r="F21" t="s">
        <v>6213</v>
      </c>
      <c r="G21" t="s">
        <v>6214</v>
      </c>
    </row>
    <row r="22" spans="1:7" x14ac:dyDescent="0.3">
      <c r="A22" t="s">
        <v>1411</v>
      </c>
      <c r="B22" t="s">
        <v>6215</v>
      </c>
      <c r="C22" t="s">
        <v>6211</v>
      </c>
      <c r="D22" t="s">
        <v>6216</v>
      </c>
      <c r="E22" t="s">
        <v>1227</v>
      </c>
      <c r="F22" t="s">
        <v>6217</v>
      </c>
    </row>
    <row r="23" spans="1:7" x14ac:dyDescent="0.3">
      <c r="A23" t="s">
        <v>2014</v>
      </c>
      <c r="B23" t="s">
        <v>6218</v>
      </c>
      <c r="C23" t="s">
        <v>152</v>
      </c>
      <c r="D23" t="s">
        <v>6219</v>
      </c>
      <c r="E23" t="s">
        <v>1227</v>
      </c>
      <c r="F23" t="s">
        <v>2013</v>
      </c>
    </row>
    <row r="24" spans="1:7" x14ac:dyDescent="0.3">
      <c r="A24" t="s">
        <v>2027</v>
      </c>
      <c r="B24" t="s">
        <v>6220</v>
      </c>
      <c r="C24" t="s">
        <v>152</v>
      </c>
      <c r="D24" t="s">
        <v>6221</v>
      </c>
      <c r="E24" t="s">
        <v>214</v>
      </c>
      <c r="F24" t="s">
        <v>6222</v>
      </c>
    </row>
    <row r="25" spans="1:7" x14ac:dyDescent="0.3">
      <c r="A25" t="s">
        <v>2041</v>
      </c>
      <c r="B25" t="s">
        <v>6223</v>
      </c>
      <c r="C25" t="s">
        <v>152</v>
      </c>
      <c r="D25" t="s">
        <v>6224</v>
      </c>
      <c r="E25" t="s">
        <v>1227</v>
      </c>
      <c r="F25" t="s">
        <v>2040</v>
      </c>
    </row>
    <row r="26" spans="1:7" x14ac:dyDescent="0.3">
      <c r="A26" t="s">
        <v>894</v>
      </c>
      <c r="B26" t="s">
        <v>6225</v>
      </c>
      <c r="C26" t="s">
        <v>6226</v>
      </c>
      <c r="D26" t="s">
        <v>6227</v>
      </c>
      <c r="E26" t="s">
        <v>214</v>
      </c>
      <c r="F26" t="s">
        <v>900</v>
      </c>
    </row>
    <row r="27" spans="1:7" x14ac:dyDescent="0.3">
      <c r="A27" t="s">
        <v>1081</v>
      </c>
      <c r="B27" t="s">
        <v>6228</v>
      </c>
      <c r="C27" t="s">
        <v>6229</v>
      </c>
      <c r="D27" t="s">
        <v>6230</v>
      </c>
      <c r="E27" t="s">
        <v>1227</v>
      </c>
      <c r="F27" t="s">
        <v>1080</v>
      </c>
      <c r="G27" t="s">
        <v>6231</v>
      </c>
    </row>
    <row r="28" spans="1:7" x14ac:dyDescent="0.3">
      <c r="A28" t="s">
        <v>1071</v>
      </c>
      <c r="B28" t="s">
        <v>6232</v>
      </c>
      <c r="C28" t="s">
        <v>6229</v>
      </c>
      <c r="D28" t="s">
        <v>6233</v>
      </c>
      <c r="E28" t="s">
        <v>1227</v>
      </c>
      <c r="F28" t="s">
        <v>6234</v>
      </c>
    </row>
    <row r="29" spans="1:7" x14ac:dyDescent="0.3">
      <c r="A29" t="s">
        <v>1093</v>
      </c>
      <c r="B29" t="s">
        <v>6235</v>
      </c>
      <c r="C29" t="s">
        <v>6236</v>
      </c>
      <c r="D29" t="s">
        <v>6237</v>
      </c>
      <c r="E29" t="s">
        <v>1227</v>
      </c>
      <c r="F29" t="s">
        <v>1387</v>
      </c>
    </row>
    <row r="30" spans="1:7" x14ac:dyDescent="0.3">
      <c r="A30" t="s">
        <v>1119</v>
      </c>
      <c r="B30" t="s">
        <v>6238</v>
      </c>
      <c r="C30" t="s">
        <v>6229</v>
      </c>
      <c r="D30" t="s">
        <v>6239</v>
      </c>
      <c r="E30" t="s">
        <v>1227</v>
      </c>
      <c r="F30" t="s">
        <v>1118</v>
      </c>
    </row>
    <row r="31" spans="1:7" x14ac:dyDescent="0.3">
      <c r="A31" t="s">
        <v>1107</v>
      </c>
      <c r="B31" t="s">
        <v>6240</v>
      </c>
      <c r="C31" t="s">
        <v>6229</v>
      </c>
      <c r="D31" t="s">
        <v>6241</v>
      </c>
      <c r="E31" t="s">
        <v>1227</v>
      </c>
      <c r="F31" t="s">
        <v>1106</v>
      </c>
    </row>
    <row r="32" spans="1:7" x14ac:dyDescent="0.3">
      <c r="A32" t="s">
        <v>1097</v>
      </c>
      <c r="B32" t="s">
        <v>6242</v>
      </c>
      <c r="C32" t="s">
        <v>6229</v>
      </c>
      <c r="D32" t="s">
        <v>6243</v>
      </c>
      <c r="E32" t="s">
        <v>1227</v>
      </c>
      <c r="F32" t="s">
        <v>1096</v>
      </c>
    </row>
    <row r="33" spans="1:7" x14ac:dyDescent="0.3">
      <c r="A33" t="s">
        <v>1133</v>
      </c>
      <c r="B33" t="s">
        <v>6244</v>
      </c>
      <c r="C33" t="s">
        <v>6245</v>
      </c>
      <c r="D33" t="s">
        <v>6246</v>
      </c>
      <c r="E33" t="s">
        <v>214</v>
      </c>
      <c r="F33" t="s">
        <v>6247</v>
      </c>
    </row>
    <row r="34" spans="1:7" x14ac:dyDescent="0.3">
      <c r="A34" t="s">
        <v>1986</v>
      </c>
      <c r="B34" t="s">
        <v>6248</v>
      </c>
      <c r="C34" t="s">
        <v>6249</v>
      </c>
      <c r="D34" t="s">
        <v>6250</v>
      </c>
      <c r="E34" t="s">
        <v>1227</v>
      </c>
      <c r="F34" t="s">
        <v>1989</v>
      </c>
    </row>
    <row r="35" spans="1:7" x14ac:dyDescent="0.3">
      <c r="A35" t="s">
        <v>912</v>
      </c>
      <c r="B35" t="s">
        <v>6251</v>
      </c>
      <c r="C35" t="s">
        <v>6252</v>
      </c>
      <c r="D35" t="s">
        <v>6253</v>
      </c>
      <c r="E35" t="s">
        <v>214</v>
      </c>
      <c r="F35" t="s">
        <v>6254</v>
      </c>
    </row>
    <row r="36" spans="1:7" x14ac:dyDescent="0.3">
      <c r="A36" t="s">
        <v>2411</v>
      </c>
      <c r="B36" t="s">
        <v>6255</v>
      </c>
      <c r="C36" t="s">
        <v>6256</v>
      </c>
      <c r="D36" t="s">
        <v>6257</v>
      </c>
      <c r="E36" t="s">
        <v>518</v>
      </c>
      <c r="F36" t="s">
        <v>2704</v>
      </c>
    </row>
    <row r="37" spans="1:7" x14ac:dyDescent="0.3">
      <c r="A37" t="s">
        <v>2071</v>
      </c>
      <c r="B37" t="s">
        <v>6258</v>
      </c>
      <c r="C37" t="s">
        <v>152</v>
      </c>
      <c r="D37" t="s">
        <v>6259</v>
      </c>
      <c r="E37" t="s">
        <v>1227</v>
      </c>
      <c r="F37" t="s">
        <v>6260</v>
      </c>
    </row>
    <row r="38" spans="1:7" x14ac:dyDescent="0.3">
      <c r="A38" t="s">
        <v>874</v>
      </c>
      <c r="B38" t="s">
        <v>6261</v>
      </c>
      <c r="C38" t="s">
        <v>6226</v>
      </c>
      <c r="D38" t="s">
        <v>6262</v>
      </c>
      <c r="E38" t="s">
        <v>214</v>
      </c>
      <c r="F38" t="s">
        <v>6263</v>
      </c>
    </row>
    <row r="39" spans="1:7" x14ac:dyDescent="0.3">
      <c r="A39" t="s">
        <v>2371</v>
      </c>
      <c r="B39" t="s">
        <v>6264</v>
      </c>
      <c r="C39" t="s">
        <v>6256</v>
      </c>
      <c r="D39" t="s">
        <v>6265</v>
      </c>
      <c r="E39" t="s">
        <v>518</v>
      </c>
      <c r="F39" t="s">
        <v>2370</v>
      </c>
    </row>
    <row r="40" spans="1:7" x14ac:dyDescent="0.3">
      <c r="A40" t="s">
        <v>1026</v>
      </c>
      <c r="B40" t="s">
        <v>6266</v>
      </c>
      <c r="C40" t="s">
        <v>6267</v>
      </c>
      <c r="D40" t="s">
        <v>6268</v>
      </c>
      <c r="E40" t="s">
        <v>6269</v>
      </c>
      <c r="F40" t="s">
        <v>1129</v>
      </c>
      <c r="G40" t="s">
        <v>6270</v>
      </c>
    </row>
    <row r="41" spans="1:7" x14ac:dyDescent="0.3">
      <c r="A41" t="s">
        <v>2378</v>
      </c>
      <c r="B41" t="s">
        <v>6271</v>
      </c>
      <c r="C41" t="s">
        <v>6256</v>
      </c>
      <c r="D41" t="s">
        <v>6272</v>
      </c>
      <c r="E41" t="s">
        <v>518</v>
      </c>
      <c r="F41" t="s">
        <v>2377</v>
      </c>
    </row>
    <row r="42" spans="1:7" x14ac:dyDescent="0.3">
      <c r="A42" t="s">
        <v>2740</v>
      </c>
      <c r="B42" t="s">
        <v>6273</v>
      </c>
      <c r="C42" t="s">
        <v>6256</v>
      </c>
      <c r="D42" t="s">
        <v>6274</v>
      </c>
      <c r="E42" t="s">
        <v>1227</v>
      </c>
      <c r="F42" t="s">
        <v>6275</v>
      </c>
    </row>
    <row r="43" spans="1:7" x14ac:dyDescent="0.3">
      <c r="A43" t="s">
        <v>2836</v>
      </c>
      <c r="B43" t="s">
        <v>6276</v>
      </c>
      <c r="C43" t="s">
        <v>6277</v>
      </c>
      <c r="D43" t="s">
        <v>6278</v>
      </c>
      <c r="E43" t="s">
        <v>1227</v>
      </c>
      <c r="F43" t="s">
        <v>2835</v>
      </c>
    </row>
    <row r="44" spans="1:7" x14ac:dyDescent="0.3">
      <c r="A44" t="s">
        <v>2793</v>
      </c>
      <c r="B44" t="s">
        <v>6279</v>
      </c>
      <c r="C44" t="s">
        <v>6256</v>
      </c>
      <c r="D44" t="s">
        <v>6280</v>
      </c>
      <c r="E44" t="s">
        <v>6281</v>
      </c>
      <c r="F44" t="s">
        <v>6282</v>
      </c>
    </row>
    <row r="45" spans="1:7" x14ac:dyDescent="0.3">
      <c r="A45" t="s">
        <v>1030</v>
      </c>
      <c r="B45" t="s">
        <v>6283</v>
      </c>
      <c r="C45" t="s">
        <v>6226</v>
      </c>
      <c r="D45" t="s">
        <v>6284</v>
      </c>
      <c r="E45" t="s">
        <v>214</v>
      </c>
      <c r="F45" t="s">
        <v>1061</v>
      </c>
    </row>
    <row r="46" spans="1:7" x14ac:dyDescent="0.3">
      <c r="A46" t="s">
        <v>6285</v>
      </c>
      <c r="B46" t="s">
        <v>6286</v>
      </c>
      <c r="C46" t="s">
        <v>6287</v>
      </c>
      <c r="D46" t="s">
        <v>6288</v>
      </c>
      <c r="E46" t="s">
        <v>6269</v>
      </c>
      <c r="F46" t="s">
        <v>2067</v>
      </c>
    </row>
    <row r="47" spans="1:7" x14ac:dyDescent="0.3">
      <c r="A47" t="s">
        <v>1126</v>
      </c>
      <c r="B47" t="s">
        <v>6289</v>
      </c>
      <c r="C47" t="s">
        <v>6245</v>
      </c>
      <c r="D47" t="s">
        <v>6290</v>
      </c>
      <c r="E47" t="s">
        <v>214</v>
      </c>
      <c r="F47" t="s">
        <v>1125</v>
      </c>
    </row>
    <row r="48" spans="1:7" x14ac:dyDescent="0.3">
      <c r="A48" t="s">
        <v>1970</v>
      </c>
      <c r="B48" t="s">
        <v>6291</v>
      </c>
      <c r="C48" t="s">
        <v>6292</v>
      </c>
      <c r="D48" t="s">
        <v>6293</v>
      </c>
      <c r="E48" t="s">
        <v>1227</v>
      </c>
      <c r="F48" t="s">
        <v>2086</v>
      </c>
    </row>
    <row r="49" spans="1:7" x14ac:dyDescent="0.3">
      <c r="A49" t="s">
        <v>984</v>
      </c>
      <c r="B49" t="s">
        <v>6294</v>
      </c>
      <c r="C49" t="s">
        <v>6226</v>
      </c>
      <c r="D49" t="s">
        <v>6295</v>
      </c>
      <c r="E49" t="s">
        <v>214</v>
      </c>
      <c r="F49" t="s">
        <v>993</v>
      </c>
    </row>
    <row r="50" spans="1:7" x14ac:dyDescent="0.3">
      <c r="A50" t="s">
        <v>1001</v>
      </c>
      <c r="B50" t="s">
        <v>6296</v>
      </c>
      <c r="C50" t="s">
        <v>6226</v>
      </c>
      <c r="D50" t="s">
        <v>6297</v>
      </c>
      <c r="E50" t="s">
        <v>214</v>
      </c>
      <c r="F50" t="s">
        <v>6298</v>
      </c>
    </row>
    <row r="51" spans="1:7" x14ac:dyDescent="0.3">
      <c r="A51" t="s">
        <v>1147</v>
      </c>
      <c r="B51" t="s">
        <v>6299</v>
      </c>
      <c r="C51" t="s">
        <v>6300</v>
      </c>
      <c r="D51" t="s">
        <v>6301</v>
      </c>
      <c r="E51" t="s">
        <v>214</v>
      </c>
      <c r="F51" t="s">
        <v>6302</v>
      </c>
    </row>
    <row r="52" spans="1:7" x14ac:dyDescent="0.3">
      <c r="A52" t="s">
        <v>1310</v>
      </c>
      <c r="B52" t="s">
        <v>6303</v>
      </c>
      <c r="C52" t="s">
        <v>6304</v>
      </c>
      <c r="D52" t="s">
        <v>6305</v>
      </c>
      <c r="E52" t="s">
        <v>518</v>
      </c>
      <c r="F52" t="s">
        <v>1309</v>
      </c>
    </row>
    <row r="53" spans="1:7" x14ac:dyDescent="0.3">
      <c r="A53" t="s">
        <v>1140</v>
      </c>
      <c r="B53" t="s">
        <v>6306</v>
      </c>
      <c r="C53" t="s">
        <v>6245</v>
      </c>
      <c r="D53" t="s">
        <v>6307</v>
      </c>
      <c r="E53" t="s">
        <v>518</v>
      </c>
      <c r="F53" t="s">
        <v>1139</v>
      </c>
    </row>
    <row r="54" spans="1:7" x14ac:dyDescent="0.3">
      <c r="A54" t="s">
        <v>1372</v>
      </c>
      <c r="B54" t="s">
        <v>6308</v>
      </c>
      <c r="C54" t="s">
        <v>6304</v>
      </c>
      <c r="D54" t="s">
        <v>6309</v>
      </c>
      <c r="E54" t="s">
        <v>214</v>
      </c>
      <c r="F54" t="s">
        <v>6310</v>
      </c>
    </row>
    <row r="55" spans="1:7" x14ac:dyDescent="0.3">
      <c r="A55" t="s">
        <v>1306</v>
      </c>
      <c r="B55" t="s">
        <v>6311</v>
      </c>
      <c r="C55" t="s">
        <v>6304</v>
      </c>
      <c r="D55" t="s">
        <v>6312</v>
      </c>
      <c r="E55" t="s">
        <v>214</v>
      </c>
      <c r="F55" t="s">
        <v>1305</v>
      </c>
      <c r="G55" t="s">
        <v>6313</v>
      </c>
    </row>
    <row r="56" spans="1:7" x14ac:dyDescent="0.3">
      <c r="A56" t="s">
        <v>1318</v>
      </c>
      <c r="B56" t="s">
        <v>6314</v>
      </c>
      <c r="C56" t="s">
        <v>6304</v>
      </c>
      <c r="D56" t="s">
        <v>6315</v>
      </c>
      <c r="E56" t="s">
        <v>214</v>
      </c>
      <c r="F56" t="s">
        <v>1317</v>
      </c>
      <c r="G56" t="s">
        <v>6316</v>
      </c>
    </row>
    <row r="57" spans="1:7" x14ac:dyDescent="0.3">
      <c r="A57" t="s">
        <v>1271</v>
      </c>
      <c r="B57" t="s">
        <v>6317</v>
      </c>
      <c r="C57" t="s">
        <v>6304</v>
      </c>
      <c r="D57" t="s">
        <v>6318</v>
      </c>
      <c r="E57" t="s">
        <v>214</v>
      </c>
      <c r="F57" t="s">
        <v>6319</v>
      </c>
    </row>
    <row r="58" spans="1:7" x14ac:dyDescent="0.3">
      <c r="A58" t="s">
        <v>1159</v>
      </c>
      <c r="B58" t="s">
        <v>6320</v>
      </c>
      <c r="C58" t="s">
        <v>6321</v>
      </c>
      <c r="D58" t="s">
        <v>6322</v>
      </c>
      <c r="E58" t="s">
        <v>214</v>
      </c>
      <c r="F58" t="s">
        <v>1174</v>
      </c>
    </row>
    <row r="59" spans="1:7" x14ac:dyDescent="0.3">
      <c r="A59" t="s">
        <v>1849</v>
      </c>
      <c r="B59" t="s">
        <v>6323</v>
      </c>
      <c r="C59" t="s">
        <v>150</v>
      </c>
      <c r="D59" t="s">
        <v>6324</v>
      </c>
      <c r="E59" t="s">
        <v>6325</v>
      </c>
      <c r="F59" t="s">
        <v>1847</v>
      </c>
    </row>
    <row r="60" spans="1:7" x14ac:dyDescent="0.3">
      <c r="A60" t="s">
        <v>1855</v>
      </c>
      <c r="B60" t="s">
        <v>6326</v>
      </c>
      <c r="C60" t="s">
        <v>150</v>
      </c>
      <c r="D60" t="s">
        <v>6327</v>
      </c>
      <c r="E60" t="s">
        <v>289</v>
      </c>
      <c r="F60" t="s">
        <v>1854</v>
      </c>
    </row>
    <row r="61" spans="1:7" x14ac:dyDescent="0.3">
      <c r="A61" t="s">
        <v>2348</v>
      </c>
      <c r="B61" t="s">
        <v>6328</v>
      </c>
      <c r="C61" t="s">
        <v>6256</v>
      </c>
      <c r="D61" t="s">
        <v>6329</v>
      </c>
      <c r="E61" t="s">
        <v>1227</v>
      </c>
      <c r="F61" t="s">
        <v>2459</v>
      </c>
      <c r="G61" t="s">
        <v>6330</v>
      </c>
    </row>
    <row r="62" spans="1:7" x14ac:dyDescent="0.3">
      <c r="A62" t="s">
        <v>2344</v>
      </c>
      <c r="B62" t="s">
        <v>6331</v>
      </c>
      <c r="C62" t="s">
        <v>6256</v>
      </c>
      <c r="D62" t="s">
        <v>6332</v>
      </c>
      <c r="E62" t="s">
        <v>1227</v>
      </c>
      <c r="F62" t="s">
        <v>2343</v>
      </c>
    </row>
    <row r="63" spans="1:7" x14ac:dyDescent="0.3">
      <c r="A63" t="s">
        <v>2078</v>
      </c>
      <c r="B63" t="s">
        <v>6333</v>
      </c>
      <c r="C63" t="s">
        <v>154</v>
      </c>
      <c r="D63" t="s">
        <v>6334</v>
      </c>
      <c r="E63" t="s">
        <v>1227</v>
      </c>
      <c r="F63" t="s">
        <v>2077</v>
      </c>
      <c r="G63" t="s">
        <v>6203</v>
      </c>
    </row>
    <row r="64" spans="1:7" x14ac:dyDescent="0.3">
      <c r="A64" t="s">
        <v>1037</v>
      </c>
      <c r="B64" t="s">
        <v>6335</v>
      </c>
      <c r="C64" t="s">
        <v>6226</v>
      </c>
      <c r="D64" t="s">
        <v>6336</v>
      </c>
      <c r="E64" t="s">
        <v>214</v>
      </c>
      <c r="F64" t="s">
        <v>1040</v>
      </c>
    </row>
    <row r="65" spans="1:7" x14ac:dyDescent="0.3">
      <c r="A65" t="s">
        <v>1800</v>
      </c>
      <c r="B65" t="s">
        <v>6337</v>
      </c>
      <c r="C65" t="s">
        <v>6338</v>
      </c>
      <c r="D65" t="s">
        <v>6339</v>
      </c>
      <c r="E65" t="s">
        <v>1227</v>
      </c>
      <c r="F65" t="s">
        <v>1799</v>
      </c>
    </row>
    <row r="66" spans="1:7" x14ac:dyDescent="0.3">
      <c r="A66" t="s">
        <v>1736</v>
      </c>
      <c r="B66" t="s">
        <v>6340</v>
      </c>
      <c r="C66" t="s">
        <v>6338</v>
      </c>
      <c r="D66" t="s">
        <v>6341</v>
      </c>
      <c r="E66" t="s">
        <v>1227</v>
      </c>
      <c r="F66" t="s">
        <v>1735</v>
      </c>
    </row>
    <row r="67" spans="1:7" x14ac:dyDescent="0.3">
      <c r="A67" t="s">
        <v>1747</v>
      </c>
      <c r="B67" t="s">
        <v>6342</v>
      </c>
      <c r="C67" t="s">
        <v>6338</v>
      </c>
      <c r="D67" t="s">
        <v>6343</v>
      </c>
      <c r="E67" t="s">
        <v>1227</v>
      </c>
      <c r="F67" t="s">
        <v>1746</v>
      </c>
    </row>
    <row r="68" spans="1:7" x14ac:dyDescent="0.3">
      <c r="A68" t="s">
        <v>1732</v>
      </c>
      <c r="B68" t="s">
        <v>6344</v>
      </c>
      <c r="C68" t="s">
        <v>6338</v>
      </c>
      <c r="D68" t="s">
        <v>6345</v>
      </c>
      <c r="E68" t="s">
        <v>1227</v>
      </c>
      <c r="F68" t="s">
        <v>1731</v>
      </c>
    </row>
    <row r="69" spans="1:7" x14ac:dyDescent="0.3">
      <c r="A69" t="s">
        <v>1716</v>
      </c>
      <c r="B69" t="s">
        <v>6346</v>
      </c>
      <c r="C69" t="s">
        <v>6208</v>
      </c>
      <c r="D69" t="s">
        <v>6347</v>
      </c>
      <c r="E69" t="s">
        <v>518</v>
      </c>
      <c r="F69" t="s">
        <v>1760</v>
      </c>
    </row>
    <row r="70" spans="1:7" x14ac:dyDescent="0.3">
      <c r="A70" t="s">
        <v>2352</v>
      </c>
      <c r="B70" t="s">
        <v>6348</v>
      </c>
      <c r="C70" t="s">
        <v>6256</v>
      </c>
      <c r="D70" t="s">
        <v>6349</v>
      </c>
      <c r="E70" t="s">
        <v>518</v>
      </c>
      <c r="F70" t="s">
        <v>2351</v>
      </c>
    </row>
    <row r="71" spans="1:7" x14ac:dyDescent="0.3">
      <c r="A71" t="s">
        <v>997</v>
      </c>
      <c r="B71" t="s">
        <v>6117</v>
      </c>
      <c r="C71" t="s">
        <v>6304</v>
      </c>
      <c r="D71" t="s">
        <v>6350</v>
      </c>
      <c r="E71" t="s">
        <v>214</v>
      </c>
      <c r="F71" t="s">
        <v>996</v>
      </c>
    </row>
    <row r="72" spans="1:7" x14ac:dyDescent="0.3">
      <c r="A72" t="s">
        <v>6351</v>
      </c>
      <c r="B72" t="s">
        <v>6352</v>
      </c>
      <c r="C72" t="s">
        <v>154</v>
      </c>
      <c r="D72" t="s">
        <v>6353</v>
      </c>
      <c r="E72" t="s">
        <v>518</v>
      </c>
      <c r="F72" t="s">
        <v>6354</v>
      </c>
    </row>
    <row r="73" spans="1:7" x14ac:dyDescent="0.3">
      <c r="A73" t="s">
        <v>2047</v>
      </c>
      <c r="B73" t="s">
        <v>6355</v>
      </c>
      <c r="C73" t="s">
        <v>152</v>
      </c>
      <c r="D73" t="s">
        <v>6356</v>
      </c>
      <c r="E73" t="s">
        <v>1227</v>
      </c>
      <c r="F73" t="s">
        <v>2046</v>
      </c>
    </row>
    <row r="74" spans="1:7" x14ac:dyDescent="0.3">
      <c r="A74" t="s">
        <v>2193</v>
      </c>
      <c r="B74" t="s">
        <v>6357</v>
      </c>
      <c r="C74" t="s">
        <v>6256</v>
      </c>
      <c r="D74" t="s">
        <v>6358</v>
      </c>
      <c r="E74" t="s">
        <v>1227</v>
      </c>
      <c r="F74" t="s">
        <v>2192</v>
      </c>
      <c r="G74" t="s">
        <v>6359</v>
      </c>
    </row>
    <row r="75" spans="1:7" x14ac:dyDescent="0.3">
      <c r="A75" t="s">
        <v>2396</v>
      </c>
      <c r="B75" t="s">
        <v>6360</v>
      </c>
      <c r="C75" t="s">
        <v>6256</v>
      </c>
      <c r="D75" t="s">
        <v>6361</v>
      </c>
      <c r="E75" t="s">
        <v>1227</v>
      </c>
      <c r="F75" t="s">
        <v>2395</v>
      </c>
    </row>
    <row r="76" spans="1:7" x14ac:dyDescent="0.3">
      <c r="A76" t="s">
        <v>2390</v>
      </c>
      <c r="B76" t="s">
        <v>6362</v>
      </c>
      <c r="C76" t="s">
        <v>6256</v>
      </c>
      <c r="D76" t="s">
        <v>6363</v>
      </c>
      <c r="E76" t="s">
        <v>1227</v>
      </c>
      <c r="F76" t="s">
        <v>2389</v>
      </c>
    </row>
    <row r="77" spans="1:7" x14ac:dyDescent="0.3">
      <c r="A77" t="s">
        <v>2153</v>
      </c>
      <c r="B77" t="s">
        <v>6364</v>
      </c>
      <c r="C77" t="s">
        <v>6256</v>
      </c>
      <c r="D77" t="s">
        <v>6365</v>
      </c>
      <c r="E77" t="s">
        <v>1227</v>
      </c>
      <c r="F77" t="s">
        <v>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27</vt:i4>
      </vt:variant>
    </vt:vector>
  </HeadingPairs>
  <TitlesOfParts>
    <vt:vector size="36" baseType="lpstr">
      <vt:lpstr>О шаблоне</vt:lpstr>
      <vt:lpstr>Параметры</vt:lpstr>
      <vt:lpstr>Конструктор</vt:lpstr>
      <vt:lpstr>Смета</vt:lpstr>
      <vt:lpstr>Свод+ТЭП</vt:lpstr>
      <vt:lpstr>Контроль</vt:lpstr>
      <vt:lpstr>Работы</vt:lpstr>
      <vt:lpstr>Материалы</vt:lpstr>
      <vt:lpstr>Группы</vt:lpstr>
      <vt:lpstr>S_общая</vt:lpstr>
      <vt:lpstr>S_поверхность</vt:lpstr>
      <vt:lpstr>S_пол</vt:lpstr>
      <vt:lpstr>S_потолок</vt:lpstr>
      <vt:lpstr>S_проёмы</vt:lpstr>
      <vt:lpstr>S_стены</vt:lpstr>
      <vt:lpstr>S_фасад</vt:lpstr>
      <vt:lpstr>Адрес</vt:lpstr>
      <vt:lpstr>ДатаЦен</vt:lpstr>
      <vt:lpstr>ДисконтТендер</vt:lpstr>
      <vt:lpstr>КодыРабот</vt:lpstr>
      <vt:lpstr>КонтЛицо</vt:lpstr>
      <vt:lpstr>КонтТел</vt:lpstr>
      <vt:lpstr>КурсEUR</vt:lpstr>
      <vt:lpstr>КурсUSD</vt:lpstr>
      <vt:lpstr>Периметр_пола</vt:lpstr>
      <vt:lpstr>Подрядчик</vt:lpstr>
      <vt:lpstr>ПроцРезерв</vt:lpstr>
      <vt:lpstr>ПроцТакелаж</vt:lpstr>
      <vt:lpstr>ПроцТранспорт</vt:lpstr>
      <vt:lpstr>РежимЦены</vt:lpstr>
      <vt:lpstr>Реквизиты</vt:lpstr>
      <vt:lpstr>Срок</vt:lpstr>
      <vt:lpstr>СтавкаНДС</vt:lpstr>
      <vt:lpstr>ФорматОбъекта</vt:lpstr>
      <vt:lpstr>ЭлАдрес</vt:lpstr>
      <vt:lpstr>ЮрАдрес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2026-08-31T08:34:25Z</dcterms:created>
  <dcterms:modified xsi:type="dcterms:W3CDTF">2026-08-31T08:57:01Z</dcterms:modified>
</cp:coreProperties>
</file>