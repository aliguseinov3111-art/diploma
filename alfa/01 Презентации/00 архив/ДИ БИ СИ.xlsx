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презентации\"/>
    </mc:Choice>
  </mc:AlternateContent>
  <xr:revisionPtr revIDLastSave="0" documentId="13_ncr:1_{F8B519D4-F8C5-42CA-819A-6824E5F8064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BC" sheetId="1" r:id="rId1"/>
  </sheets>
  <definedNames>
    <definedName name="_xlnm._FilterDatabase" localSheetId="0" hidden="1">DBC!$B$2:$I$30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<sst xmlns="http://schemas.openxmlformats.org/spreadsheetml/2006/main" count="204" uniqueCount="130">
  <si>
    <t>ЗАКАЗЧИК</t>
  </si>
  <si>
    <t>ПРОЕКТ</t>
  </si>
  <si>
    <t>ПАРАМЕТРЫ ПРОЕКТА</t>
  </si>
  <si>
    <t>СРОКИ РЕАЛИЗАЦИИ</t>
  </si>
  <si>
    <t>РОЛЬ В ПРОЕКТЕ</t>
  </si>
  <si>
    <t>Газпром-Лахта</t>
  </si>
  <si>
    <t>Охта-Центр — ОДЦ в г. Санкт-Петербург</t>
  </si>
  <si>
    <t>166 505,35 м²</t>
  </si>
  <si>
    <t>2024–2028</t>
  </si>
  <si>
    <t>Выполнение функций Строительного контроля</t>
  </si>
  <si>
    <t>JetBrains (2019–2023), СТД «Петрович» (2024–н.в.)</t>
  </si>
  <si>
    <t>БЦ Space — БЦ класса Prime, СПб</t>
  </si>
  <si>
    <t>~85 000 м²</t>
  </si>
  <si>
    <t>2019–2023</t>
  </si>
  <si>
    <t>С СТД «Петрович»: разработка эскизного проекта и проектной документации, согласование АГО, сбор согласований по проекту. С JetBrains: управление проектом, выполнение функций технического заказчика, управление стоимостью, строительный контроль</t>
  </si>
  <si>
    <t>ООО «Аэропорт Геленджик»</t>
  </si>
  <si>
    <t>Офисно-административное здание в Геленджике (модернизация инфраструктуры аэропорта)</t>
  </si>
  <si>
    <t>6 000 м²</t>
  </si>
  <si>
    <t>2022–2025</t>
  </si>
  <si>
    <t>Управление проектом, выполнение функций технического заказчика, управление стоимостью, строительный контроль</t>
  </si>
  <si>
    <t>УГМК</t>
  </si>
  <si>
    <t>Музейный комплекс «Мир в огне» — МФК в г. Верхняя Пышма (музей, офисно-деловая часть, фудкорт, гостиница на 120 номеров)</t>
  </si>
  <si>
    <t>&gt; 42 000 м²</t>
  </si>
  <si>
    <t>2023–2027</t>
  </si>
  <si>
    <t>Разработка проектной и тендерной документации, согласование АГО, управление проектом, выполнение функций технического заказчика, выполнение функций строительного контроля</t>
  </si>
  <si>
    <t>Аэропорт Геленджик — новый аэровокзальный комплекс севернее существующего перрона и вспомогательные здания</t>
  </si>
  <si>
    <t>16 500 м²</t>
  </si>
  <si>
    <t>2018–2022</t>
  </si>
  <si>
    <t>Управление проектом, выполнение функций технического заказчика, получение ИРД и ТУ, строительный контроль</t>
  </si>
  <si>
    <t>ТД «Вега»</t>
  </si>
  <si>
    <t>Бирюзовая Катунь — гостинично-туристический комплекс на ОЭЗ ТРТ «Бирюзовая Катунь» (Алтай): гостиницы 5*/4*/3*, ресторан на горе, канатная дорога, сервисный центр</t>
  </si>
  <si>
    <t>~60 000 м²</t>
  </si>
  <si>
    <t>—</t>
  </si>
  <si>
    <t>Винный город — торгово-развлекательный центр, Краснодарский край, г. Геленджик, ул. Туристическая, 25</t>
  </si>
  <si>
    <t>22 000 м²</t>
  </si>
  <si>
    <t>2022–2024</t>
  </si>
  <si>
    <t>Выполнение функций технического заказчика, управление стоимостью, строительный контроль</t>
  </si>
  <si>
    <t>Высокотехнологичный многофункциональный медицинский центр, г. Санкт-Петербург</t>
  </si>
  <si>
    <t>135 000 м²</t>
  </si>
  <si>
    <t>2019–2024</t>
  </si>
  <si>
    <t>Дельфины — комплекс премиум-апартаментов «Красная поляна «ДЕЛЬФИНЫ»</t>
  </si>
  <si>
    <t>48 364 м²</t>
  </si>
  <si>
    <t>2024–2026</t>
  </si>
  <si>
    <t>Конфиденциально</t>
  </si>
  <si>
    <t>Завод шампанских вин, Республика Крым</t>
  </si>
  <si>
    <t>~39 000 м²</t>
  </si>
  <si>
    <t>2024–2027</t>
  </si>
  <si>
    <t>Завод марочных вин, Республика Крым</t>
  </si>
  <si>
    <t>~18 000 м²</t>
  </si>
  <si>
    <t>ООО «Воздушные Ворота Северной Столицы»</t>
  </si>
  <si>
    <t>Аэропорт Пулково — вторая очередь развития</t>
  </si>
  <si>
    <t>~160 000 м²</t>
  </si>
  <si>
    <t>2023–2028</t>
  </si>
  <si>
    <t>Управление проектом, получение ИРД и ТУ, выполнение функций технического заказчика, строительный контроль</t>
  </si>
  <si>
    <t>Vos'hod Development</t>
  </si>
  <si>
    <t>Клубный дом класса deluxe, Брюсов пер., Москва (менее 1 км от Кремля)</t>
  </si>
  <si>
    <t>&gt; 7 500 м²</t>
  </si>
  <si>
    <t>2021</t>
  </si>
  <si>
    <t>Управление проектом, управление стоимостью, управление проектированием и получение согласований, организация конкурса на выбор генерального подрядчика, выполнение функций технического заказчика</t>
  </si>
  <si>
    <t>БФ «Новый дом»</t>
  </si>
  <si>
    <t>Точка будущего — образовательный комплекс, г. Якутск</t>
  </si>
  <si>
    <t>&gt; 65 000 м²</t>
  </si>
  <si>
    <t>2022–н.в.</t>
  </si>
  <si>
    <t>Выполнение функций технического заказчика, строительный контроль</t>
  </si>
  <si>
    <t>АО «Международный аэропорт Хабаровск»</t>
  </si>
  <si>
    <t>Cosmos Hotel Хабаровск — гостинично-деловой комплекс под управлением Cosmos Hotel Group</t>
  </si>
  <si>
    <t>8 170 м², 150 номеров</t>
  </si>
  <si>
    <t>2024–2025</t>
  </si>
  <si>
    <t>Разработка проектной документации, разработка рабочей документации, разработка дизайна интерьеров</t>
  </si>
  <si>
    <t>Аэропорт Хабаровск — новый аэровокзальный комплекс, Терминал МВЛ</t>
  </si>
  <si>
    <t>20 000 м²</t>
  </si>
  <si>
    <t>2020–2024</t>
  </si>
  <si>
    <t>Генеральный подрядчик; генеральный проектировщик (обследование строительных конструкций, разработка проектной и тендерной документации, прохождение Главгосэкспертизы); технический заказчик; строительный контроль</t>
  </si>
  <si>
    <t>Аэропорт Хабаровск — новый аэровокзальный комплекс, Терминал ВВЛ</t>
  </si>
  <si>
    <t>25 000 м²</t>
  </si>
  <si>
    <t>2017–2019</t>
  </si>
  <si>
    <t>Управление проектом (организация выбора и оценки генподрядчика, управление затратами и изменениями, value engineering), технический заказчик, строительный контроль</t>
  </si>
  <si>
    <t>Международный аэропорт Краснодар — строительство аэровокзального комплекса и объектов служебно-технической территории</t>
  </si>
  <si>
    <t>83 000 м² (АВК, 10 телетрапов, 5 этажей), 120 000 м² общая площадь</t>
  </si>
  <si>
    <t>2023–2025</t>
  </si>
  <si>
    <t>Технический консультант инвестора, финансово-технический надзор для банка, строительный контроль</t>
  </si>
  <si>
    <t>ООО «Международный аэропорт Симферополь»</t>
  </si>
  <si>
    <t>Аэропорт Симферополь</t>
  </si>
  <si>
    <t>110 000 м², 6,5 млн пассажиров в год</t>
  </si>
  <si>
    <t>2015–2018</t>
  </si>
  <si>
    <t>Управление проектом, сопровождение международного архитектурного конкурса, выполнение функций технического заказчика, строительный контроль</t>
  </si>
  <si>
    <t>ООО «Международный аэропорт «Симферополь»</t>
  </si>
  <si>
    <t>Аэропорт Бельбек — новый аэровокзальный комплекс</t>
  </si>
  <si>
    <t>2019–2020</t>
  </si>
  <si>
    <t>Генеральный проектировщик (инженерные изыскания, стадия «Проект», прохождение экспертизы, подготовка тендерной документации), управление проектом и функции технического заказчика на предстроительной стадии</t>
  </si>
  <si>
    <t>Ingka Group (ранее IKEA Group)</t>
  </si>
  <si>
    <t>Расширение и реконструкция СТРЦ МЕГА Теплый Стан, г. Москва</t>
  </si>
  <si>
    <t>&gt; 400 000 м²</t>
  </si>
  <si>
    <t>Расширение и реконструкция СТРЦ МЕГА Адыгея, Краснодарский край</t>
  </si>
  <si>
    <t>&gt; 300 000 м²</t>
  </si>
  <si>
    <t>2020–2025</t>
  </si>
  <si>
    <t>Customer Fulfilment Project — расширение и модернизация складских зон и зон выдачи товаров IKEA (Белая Дача, Екатеринбург, Омск, Новосибирск, Ростов-на-Дону, Адыгея)</t>
  </si>
  <si>
    <t>4 подпроекта, каждый &lt; 20 000 м²</t>
  </si>
  <si>
    <t>2021–2022</t>
  </si>
  <si>
    <t>Управление проектом, управление стоимостью, управление проектированием, выполнение функций технического заказчика, строительный контроль</t>
  </si>
  <si>
    <t>JetBrains</t>
  </si>
  <si>
    <t>Паркинг JetBrains — многоуровневый паркинг для БЦ класса А+, благоустройство Парка 300-летия Санкт-Петербурга</t>
  </si>
  <si>
    <t>4 000 м² (паркинг)</t>
  </si>
  <si>
    <t>Выполнение инженерных изысканий, разработка проектной, тендерной и рабочей документации, согласование АГО, выполнение функций технического заказчика</t>
  </si>
  <si>
    <t>СколТех</t>
  </si>
  <si>
    <t>Лаборатория наук о жизни; Центр фотоники и квантовых материалов</t>
  </si>
  <si>
    <t>1 840 м² и 740 м²</t>
  </si>
  <si>
    <t>2024</t>
  </si>
  <si>
    <t>Разработка рабочей документации, создание сводной BIM-модели кампуса «Сколтеха», прохождение экспертизы в ИЦ «Сколково»</t>
  </si>
  <si>
    <t>Grand Hotel Europe</t>
  </si>
  <si>
    <t>Реконструкция здания гостиницы Grand Hotel Europe, г. Санкт-Петербург (объект культурного наследия)</t>
  </si>
  <si>
    <t>Объект культурного наследия</t>
  </si>
  <si>
    <t>2012–2014</t>
  </si>
  <si>
    <t>Управление проектом, управление стоимостью, строительный контроль</t>
  </si>
  <si>
    <t>АО «Торговый Дом «ЦВУМ», группа Fosun</t>
  </si>
  <si>
    <t>МФЦ Воздвиженка Центр (расположен на месте бывшего здания «Военторга»)</t>
  </si>
  <si>
    <t>&gt; 85 000 м²</t>
  </si>
  <si>
    <t>2018–2021</t>
  </si>
  <si>
    <t>Управление затратами проекта: подготовка бюджета строительства, проведение тендеров на подрядные работы, контроль затрат в ходе строительства</t>
  </si>
  <si>
    <t>ООО «Лига прав»</t>
  </si>
  <si>
    <t>Дом Наркомфина — реставрация и приспособление объекта культурного наследия для современного использования</t>
  </si>
  <si>
    <t>2018</t>
  </si>
  <si>
    <t>Подготовка бюджета строительства, управление стоимостью в ходе строительства</t>
  </si>
  <si>
    <t>ОРГАНИЗАЦИЯ</t>
  </si>
  <si>
    <t>ДИ БИ СИ</t>
  </si>
  <si>
    <t>№, п/п</t>
  </si>
  <si>
    <t>-</t>
  </si>
  <si>
    <t>ТЗ</t>
  </si>
  <si>
    <t>УК</t>
  </si>
  <si>
    <t>УК и 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</si>
</sst>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0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77734375" customWidth="1"/>
    <col min="3" max="3" width="15.77734375" customWidth="1"/>
    <col min="4" max="4" width="30" customWidth="1"/>
    <col min="5" max="5" width="45" customWidth="1"/>
    <col min="6" max="6" width="22" customWidth="1"/>
    <col min="7" max="7" width="16" customWidth="1"/>
    <col min="8" max="8" width="55" customWidth="1"/>
  </cols>
  <sheetData>
    <row r="2" spans="2:9" ht="30" customHeight="1" x14ac:dyDescent="0.3">
      <c r="B2" s="1" t="s">
        <v>125</v>
      </c>
      <c r="C2" s="1" t="s">
        <v>123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4</v>
      </c>
    </row>
    <row r="3" spans="2:9" x14ac:dyDescent="0.3">
      <c r="B3" s="2">
        <v>1</v>
      </c>
      <c r="C3" s="3" t="s">
        <v>124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2" t="s">
        <v>126</v>
      </c>
    </row>
    <row r="4" spans="2:9" ht="72" x14ac:dyDescent="0.3">
      <c r="B4" s="2">
        <f t="shared" ref="B4:B30" si="0">B3+1</f>
        <v>2</v>
      </c>
      <c r="C4" s="3" t="s">
        <v>124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2" t="s">
        <v>129</v>
      </c>
    </row>
    <row r="5" spans="2:9" ht="28.8" x14ac:dyDescent="0.3">
      <c r="B5" s="2">
        <f t="shared" si="0"/>
        <v>3</v>
      </c>
      <c r="C5" s="3" t="s">
        <v>124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2" t="s">
        <v>129</v>
      </c>
    </row>
    <row r="6" spans="2:9" ht="57.6" x14ac:dyDescent="0.3">
      <c r="B6" s="2">
        <f t="shared" si="0"/>
        <v>4</v>
      </c>
      <c r="C6" s="3" t="s">
        <v>124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2" t="s">
        <v>129</v>
      </c>
    </row>
    <row r="7" spans="2:9" ht="43.2" x14ac:dyDescent="0.3">
      <c r="B7" s="2">
        <f t="shared" si="0"/>
        <v>5</v>
      </c>
      <c r="C7" s="3" t="s">
        <v>124</v>
      </c>
      <c r="D7" s="3" t="s">
        <v>15</v>
      </c>
      <c r="E7" s="3" t="s">
        <v>25</v>
      </c>
      <c r="F7" s="3" t="s">
        <v>26</v>
      </c>
      <c r="G7" s="3" t="s">
        <v>27</v>
      </c>
      <c r="H7" s="3" t="s">
        <v>28</v>
      </c>
      <c r="I7" s="2" t="s">
        <v>129</v>
      </c>
    </row>
    <row r="8" spans="2:9" ht="57.6" x14ac:dyDescent="0.3">
      <c r="B8" s="2">
        <f t="shared" si="0"/>
        <v>6</v>
      </c>
      <c r="C8" s="3" t="s">
        <v>124</v>
      </c>
      <c r="D8" s="3" t="s">
        <v>29</v>
      </c>
      <c r="E8" s="3" t="s">
        <v>30</v>
      </c>
      <c r="F8" s="3" t="s">
        <v>31</v>
      </c>
      <c r="G8" s="3" t="s">
        <v>8</v>
      </c>
      <c r="H8" s="3" t="s">
        <v>19</v>
      </c>
      <c r="I8" s="2" t="s">
        <v>129</v>
      </c>
    </row>
    <row r="9" spans="2:9" ht="43.2" x14ac:dyDescent="0.3">
      <c r="B9" s="2">
        <f t="shared" si="0"/>
        <v>7</v>
      </c>
      <c r="C9" s="3" t="s">
        <v>124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36</v>
      </c>
      <c r="I9" s="2" t="s">
        <v>127</v>
      </c>
    </row>
    <row r="10" spans="2:9" ht="28.8" x14ac:dyDescent="0.3">
      <c r="B10" s="2">
        <f t="shared" si="0"/>
        <v>8</v>
      </c>
      <c r="C10" s="3" t="s">
        <v>124</v>
      </c>
      <c r="D10" s="3" t="s">
        <v>32</v>
      </c>
      <c r="E10" s="3" t="s">
        <v>37</v>
      </c>
      <c r="F10" s="3" t="s">
        <v>38</v>
      </c>
      <c r="G10" s="3" t="s">
        <v>39</v>
      </c>
      <c r="H10" s="3" t="s">
        <v>19</v>
      </c>
      <c r="I10" s="2" t="s">
        <v>129</v>
      </c>
    </row>
    <row r="11" spans="2:9" ht="28.8" x14ac:dyDescent="0.3">
      <c r="B11" s="2">
        <f t="shared" si="0"/>
        <v>9</v>
      </c>
      <c r="C11" s="3" t="s">
        <v>124</v>
      </c>
      <c r="D11" s="3" t="s">
        <v>29</v>
      </c>
      <c r="E11" s="3" t="s">
        <v>40</v>
      </c>
      <c r="F11" s="3" t="s">
        <v>41</v>
      </c>
      <c r="G11" s="3" t="s">
        <v>42</v>
      </c>
      <c r="H11" s="3" t="s">
        <v>19</v>
      </c>
      <c r="I11" s="2" t="s">
        <v>129</v>
      </c>
    </row>
    <row r="12" spans="2:9" ht="28.8" x14ac:dyDescent="0.3">
      <c r="B12" s="2">
        <f t="shared" si="0"/>
        <v>10</v>
      </c>
      <c r="C12" s="3" t="s">
        <v>124</v>
      </c>
      <c r="D12" s="3" t="s">
        <v>43</v>
      </c>
      <c r="E12" s="3" t="s">
        <v>44</v>
      </c>
      <c r="F12" s="3" t="s">
        <v>45</v>
      </c>
      <c r="G12" s="3" t="s">
        <v>46</v>
      </c>
      <c r="H12" s="3" t="s">
        <v>19</v>
      </c>
      <c r="I12" s="2" t="s">
        <v>129</v>
      </c>
    </row>
    <row r="13" spans="2:9" ht="28.8" x14ac:dyDescent="0.3">
      <c r="B13" s="2">
        <f t="shared" si="0"/>
        <v>11</v>
      </c>
      <c r="C13" s="3" t="s">
        <v>124</v>
      </c>
      <c r="D13" s="3" t="s">
        <v>43</v>
      </c>
      <c r="E13" s="3" t="s">
        <v>47</v>
      </c>
      <c r="F13" s="3" t="s">
        <v>48</v>
      </c>
      <c r="G13" s="3" t="s">
        <v>46</v>
      </c>
      <c r="H13" s="3" t="s">
        <v>19</v>
      </c>
      <c r="I13" s="2" t="s">
        <v>129</v>
      </c>
    </row>
    <row r="14" spans="2:9" ht="28.8" x14ac:dyDescent="0.3">
      <c r="B14" s="2">
        <f t="shared" si="0"/>
        <v>12</v>
      </c>
      <c r="C14" s="3" t="s">
        <v>124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2" t="s">
        <v>129</v>
      </c>
    </row>
    <row r="15" spans="2:9" ht="57.6" x14ac:dyDescent="0.3">
      <c r="B15" s="2">
        <f t="shared" si="0"/>
        <v>13</v>
      </c>
      <c r="C15" s="3" t="s">
        <v>124</v>
      </c>
      <c r="D15" s="3" t="s">
        <v>54</v>
      </c>
      <c r="E15" s="3" t="s">
        <v>55</v>
      </c>
      <c r="F15" s="3" t="s">
        <v>56</v>
      </c>
      <c r="G15" s="3" t="s">
        <v>57</v>
      </c>
      <c r="H15" s="3" t="s">
        <v>58</v>
      </c>
      <c r="I15" s="2" t="s">
        <v>129</v>
      </c>
    </row>
    <row r="16" spans="2:9" ht="28.8" x14ac:dyDescent="0.3">
      <c r="B16" s="2">
        <f t="shared" si="0"/>
        <v>14</v>
      </c>
      <c r="C16" s="3" t="s">
        <v>124</v>
      </c>
      <c r="D16" s="3" t="s">
        <v>59</v>
      </c>
      <c r="E16" s="3" t="s">
        <v>60</v>
      </c>
      <c r="F16" s="3" t="s">
        <v>61</v>
      </c>
      <c r="G16" s="3" t="s">
        <v>62</v>
      </c>
      <c r="H16" s="3" t="s">
        <v>63</v>
      </c>
      <c r="I16" s="2" t="s">
        <v>127</v>
      </c>
    </row>
    <row r="17" spans="2:9" ht="28.8" x14ac:dyDescent="0.3">
      <c r="B17" s="2">
        <f t="shared" si="0"/>
        <v>15</v>
      </c>
      <c r="C17" s="3" t="s">
        <v>124</v>
      </c>
      <c r="D17" s="3" t="s">
        <v>64</v>
      </c>
      <c r="E17" s="3" t="s">
        <v>65</v>
      </c>
      <c r="F17" s="3" t="s">
        <v>66</v>
      </c>
      <c r="G17" s="3" t="s">
        <v>67</v>
      </c>
      <c r="H17" s="3" t="s">
        <v>68</v>
      </c>
      <c r="I17" s="2" t="s">
        <v>126</v>
      </c>
    </row>
    <row r="18" spans="2:9" ht="72" x14ac:dyDescent="0.3">
      <c r="B18" s="2">
        <f t="shared" si="0"/>
        <v>16</v>
      </c>
      <c r="C18" s="3" t="s">
        <v>124</v>
      </c>
      <c r="D18" s="3" t="s">
        <v>64</v>
      </c>
      <c r="E18" s="3" t="s">
        <v>69</v>
      </c>
      <c r="F18" s="3" t="s">
        <v>70</v>
      </c>
      <c r="G18" s="3" t="s">
        <v>71</v>
      </c>
      <c r="H18" s="3" t="s">
        <v>72</v>
      </c>
      <c r="I18" s="2" t="s">
        <v>127</v>
      </c>
    </row>
    <row r="19" spans="2:9" ht="43.2" x14ac:dyDescent="0.3">
      <c r="B19" s="2">
        <f t="shared" si="0"/>
        <v>17</v>
      </c>
      <c r="C19" s="3" t="s">
        <v>124</v>
      </c>
      <c r="D19" s="3" t="s">
        <v>64</v>
      </c>
      <c r="E19" s="3" t="s">
        <v>73</v>
      </c>
      <c r="F19" s="3" t="s">
        <v>74</v>
      </c>
      <c r="G19" s="3" t="s">
        <v>75</v>
      </c>
      <c r="H19" s="3" t="s">
        <v>76</v>
      </c>
      <c r="I19" s="2" t="s">
        <v>129</v>
      </c>
    </row>
    <row r="20" spans="2:9" ht="57.6" x14ac:dyDescent="0.3">
      <c r="B20" s="2">
        <f t="shared" si="0"/>
        <v>18</v>
      </c>
      <c r="C20" s="3" t="s">
        <v>124</v>
      </c>
      <c r="D20" s="3" t="s">
        <v>32</v>
      </c>
      <c r="E20" s="3" t="s">
        <v>77</v>
      </c>
      <c r="F20" s="3" t="s">
        <v>78</v>
      </c>
      <c r="G20" s="3" t="s">
        <v>79</v>
      </c>
      <c r="H20" s="3" t="s">
        <v>80</v>
      </c>
      <c r="I20" s="2" t="s">
        <v>126</v>
      </c>
    </row>
    <row r="21" spans="2:9" ht="43.2" x14ac:dyDescent="0.3">
      <c r="B21" s="2">
        <f t="shared" si="0"/>
        <v>19</v>
      </c>
      <c r="C21" s="3" t="s">
        <v>124</v>
      </c>
      <c r="D21" s="3" t="s">
        <v>81</v>
      </c>
      <c r="E21" s="3" t="s">
        <v>82</v>
      </c>
      <c r="F21" s="3" t="s">
        <v>83</v>
      </c>
      <c r="G21" s="3" t="s">
        <v>84</v>
      </c>
      <c r="H21" s="3" t="s">
        <v>85</v>
      </c>
      <c r="I21" s="2" t="s">
        <v>129</v>
      </c>
    </row>
    <row r="22" spans="2:9" ht="57.6" x14ac:dyDescent="0.3">
      <c r="B22" s="2">
        <f t="shared" si="0"/>
        <v>20</v>
      </c>
      <c r="C22" s="3" t="s">
        <v>124</v>
      </c>
      <c r="D22" s="3" t="s">
        <v>86</v>
      </c>
      <c r="E22" s="3" t="s">
        <v>87</v>
      </c>
      <c r="F22" s="3" t="s">
        <v>32</v>
      </c>
      <c r="G22" s="3" t="s">
        <v>88</v>
      </c>
      <c r="H22" s="3" t="s">
        <v>89</v>
      </c>
      <c r="I22" s="2" t="s">
        <v>129</v>
      </c>
    </row>
    <row r="23" spans="2:9" ht="28.8" x14ac:dyDescent="0.3">
      <c r="B23" s="2">
        <f t="shared" si="0"/>
        <v>21</v>
      </c>
      <c r="C23" s="3" t="s">
        <v>124</v>
      </c>
      <c r="D23" s="3" t="s">
        <v>90</v>
      </c>
      <c r="E23" s="3" t="s">
        <v>91</v>
      </c>
      <c r="F23" s="3" t="s">
        <v>92</v>
      </c>
      <c r="G23" s="3" t="s">
        <v>39</v>
      </c>
      <c r="H23" s="3" t="s">
        <v>19</v>
      </c>
      <c r="I23" s="2" t="s">
        <v>129</v>
      </c>
    </row>
    <row r="24" spans="2:9" ht="28.8" x14ac:dyDescent="0.3">
      <c r="B24" s="2">
        <f t="shared" si="0"/>
        <v>22</v>
      </c>
      <c r="C24" s="3" t="s">
        <v>124</v>
      </c>
      <c r="D24" s="3" t="s">
        <v>90</v>
      </c>
      <c r="E24" s="3" t="s">
        <v>93</v>
      </c>
      <c r="F24" s="3" t="s">
        <v>94</v>
      </c>
      <c r="G24" s="3" t="s">
        <v>95</v>
      </c>
      <c r="H24" s="3" t="s">
        <v>19</v>
      </c>
      <c r="I24" s="2" t="s">
        <v>129</v>
      </c>
    </row>
    <row r="25" spans="2:9" ht="57.6" x14ac:dyDescent="0.3">
      <c r="B25" s="2">
        <f t="shared" si="0"/>
        <v>23</v>
      </c>
      <c r="C25" s="3" t="s">
        <v>124</v>
      </c>
      <c r="D25" s="3" t="s">
        <v>90</v>
      </c>
      <c r="E25" s="3" t="s">
        <v>96</v>
      </c>
      <c r="F25" s="3" t="s">
        <v>97</v>
      </c>
      <c r="G25" s="3" t="s">
        <v>98</v>
      </c>
      <c r="H25" s="3" t="s">
        <v>99</v>
      </c>
      <c r="I25" s="2" t="s">
        <v>129</v>
      </c>
    </row>
    <row r="26" spans="2:9" ht="57.6" x14ac:dyDescent="0.3">
      <c r="B26" s="2">
        <f t="shared" si="0"/>
        <v>24</v>
      </c>
      <c r="C26" s="3" t="s">
        <v>124</v>
      </c>
      <c r="D26" s="3" t="s">
        <v>100</v>
      </c>
      <c r="E26" s="3" t="s">
        <v>101</v>
      </c>
      <c r="F26" s="3" t="s">
        <v>102</v>
      </c>
      <c r="G26" s="3" t="s">
        <v>98</v>
      </c>
      <c r="H26" s="3" t="s">
        <v>103</v>
      </c>
      <c r="I26" s="2" t="s">
        <v>127</v>
      </c>
    </row>
    <row r="27" spans="2:9" ht="43.2" x14ac:dyDescent="0.3">
      <c r="B27" s="2">
        <f t="shared" si="0"/>
        <v>25</v>
      </c>
      <c r="C27" s="3" t="s">
        <v>124</v>
      </c>
      <c r="D27" s="3" t="s">
        <v>104</v>
      </c>
      <c r="E27" s="3" t="s">
        <v>105</v>
      </c>
      <c r="F27" s="3" t="s">
        <v>106</v>
      </c>
      <c r="G27" s="3" t="s">
        <v>107</v>
      </c>
      <c r="H27" s="3" t="s">
        <v>108</v>
      </c>
      <c r="I27" s="2" t="s">
        <v>126</v>
      </c>
    </row>
    <row r="28" spans="2:9" ht="43.2" x14ac:dyDescent="0.3">
      <c r="B28" s="2">
        <f t="shared" si="0"/>
        <v>26</v>
      </c>
      <c r="C28" s="3" t="s">
        <v>124</v>
      </c>
      <c r="D28" s="3" t="s">
        <v>109</v>
      </c>
      <c r="E28" s="3" t="s">
        <v>110</v>
      </c>
      <c r="F28" s="3" t="s">
        <v>111</v>
      </c>
      <c r="G28" s="3" t="s">
        <v>112</v>
      </c>
      <c r="H28" s="3" t="s">
        <v>113</v>
      </c>
      <c r="I28" s="2" t="s">
        <v>128</v>
      </c>
    </row>
    <row r="29" spans="2:9" ht="43.2" x14ac:dyDescent="0.3">
      <c r="B29" s="2">
        <f t="shared" si="0"/>
        <v>27</v>
      </c>
      <c r="C29" s="3" t="s">
        <v>124</v>
      </c>
      <c r="D29" s="3" t="s">
        <v>114</v>
      </c>
      <c r="E29" s="3" t="s">
        <v>115</v>
      </c>
      <c r="F29" s="3" t="s">
        <v>116</v>
      </c>
      <c r="G29" s="3" t="s">
        <v>117</v>
      </c>
      <c r="H29" s="3" t="s">
        <v>118</v>
      </c>
      <c r="I29" s="2" t="s">
        <v>126</v>
      </c>
    </row>
    <row r="30" spans="2:9" ht="43.2" x14ac:dyDescent="0.3">
      <c r="B30" s="2">
        <f t="shared" si="0"/>
        <v>28</v>
      </c>
      <c r="C30" s="3" t="s">
        <v>124</v>
      </c>
      <c r="D30" s="3" t="s">
        <v>119</v>
      </c>
      <c r="E30" s="3" t="s">
        <v>120</v>
      </c>
      <c r="F30" s="3" t="s">
        <v>74</v>
      </c>
      <c r="G30" s="3" t="s">
        <v>121</v>
      </c>
      <c r="H30" s="3" t="s">
        <v>122</v>
      </c>
      <c r="I30" s="2" t="s">
        <v>126</v>
      </c>
    </row>
  </sheetData>
  <autoFilter ref="B2:I30" xr:uid="{4E1B7A99-D3D7-42A9-851A-B6653FF261F4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2026-08-19T06:26:17Z</dcterms:created>
  <dcterms:modified xsi:type="dcterms:W3CDTF">2026-08-19T07:18:18Z</dcterms:modified>
</cp:coreProperties>
</file>