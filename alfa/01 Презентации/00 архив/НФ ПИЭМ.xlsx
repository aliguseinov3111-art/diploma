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D:\diploma\alfa\презентации\"/>
    </mc:Choice>
  </mc:AlternateContent>
  <xr:revisionPtr revIDLastSave="0" documentId="13_ncr:1_{FD0F8651-DD2A-4B6B-AA20-EE930CE8FBB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NF PM" sheetId="1" r:id="rId1"/>
  </sheets>
  <definedNames>
    <definedName name="_xlnm._FilterDatabase" localSheetId="0" hidden="1">'NF PM'!$B$2:$I$20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" i="1" l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<sst xmlns="http://schemas.openxmlformats.org/spreadsheetml/2006/main" count="134" uniqueCount="84">
  <si>
    <t>ЗАКАЗЧИК</t>
  </si>
  <si>
    <t>ПРОЕКТ</t>
  </si>
  <si>
    <t>ПАРАМЕТРЫ ПРОЕКТА</t>
  </si>
  <si>
    <t>СРОКИ РЕАЛИЗАЦИИ</t>
  </si>
  <si>
    <t>РОЛЬ В ПРОЕКТЕ</t>
  </si>
  <si>
    <t>АО «КРУНИТ» (контактное лицо: Чепикова Елизавета)</t>
  </si>
  <si>
    <t>Научно-производственный комплекс «КРУНИТ», класс А, Москва, Нагорная ул., 3А — строительство научно-производственного комплекса</t>
  </si>
  <si>
    <t>16 000 м²</t>
  </si>
  <si>
    <t>2018–2019 (100%)</t>
  </si>
  <si>
    <t>Анализ проектно-сметной документации; строительный контроль; ввод в эксплуатацию; предэксплуатация</t>
  </si>
  <si>
    <t>ООО «Ланит-Интеграция» (контактное лицо: Эльдар Сираев, руководитель проекта)</t>
  </si>
  <si>
    <t>МФК «Лахта Центр» (фаза 1), г. Санкт-Петербург, Лахтинский проспект, д. 2, к. 3, литера А — обустройство офисных помещений</t>
  </si>
  <si>
    <t>66 700 м²</t>
  </si>
  <si>
    <t>09.2022–01.2024</t>
  </si>
  <si>
    <t>Анализ проектной/рабочей документации; строительный контроль (качество, объёмы, сроки)</t>
  </si>
  <si>
    <t>«САНДОНИЯ ЛИМИТЕД» (контактное лицо: Коцарев Алексей, руководитель проекта)</t>
  </si>
  <si>
    <t>Торгово-развлекательный комплекс «Одипарк», МО, р-н Одинцовский, с. Юдино — строительство торгово-развлекательного комплекса</t>
  </si>
  <si>
    <t>32 500 м²</t>
  </si>
  <si>
    <t>03.2023–02.2025</t>
  </si>
  <si>
    <t>Строительный контроль; разработка эскизного проекта, получение ТУ, оформление ИРД, ввод объекта в эксплуатацию</t>
  </si>
  <si>
    <t>Религиозная организация «ФХУ Русской Православной Церкви (Московский патриархат)» (контактное лицо: Пилишин Сергей Сергеевич, председатель управления)</t>
  </si>
  <si>
    <t>Медиацентр телеканала «СПАС», г. Москва, Мичуринский проспект, д. 8/29 — реконструкция здания для церковно-общественных мероприятий</t>
  </si>
  <si>
    <t>9 400 м²</t>
  </si>
  <si>
    <t>11.2023 – н.в., 25%</t>
  </si>
  <si>
    <t>Функции Технического заказчика</t>
  </si>
  <si>
    <t>ООО «ИНТЕРСЕРЧ СОЛЮШНС»</t>
  </si>
  <si>
    <t>Офисные помещения компании «Яндекс», г. Санкт-Петербург, БЦ «М22» — обустройство офисных помещений</t>
  </si>
  <si>
    <t>9 000 м²</t>
  </si>
  <si>
    <t>03.2025–12.2025, 40%</t>
  </si>
  <si>
    <t>Функции Технического заказчика, включая строительный контроль</t>
  </si>
  <si>
    <t>Конфиденциально</t>
  </si>
  <si>
    <t>ЖК с МФК в районе «Мневники», г. Москва, ул. Мневники, вл. 6 — строительство ЖК с МФК</t>
  </si>
  <si>
    <t>64 650 м²</t>
  </si>
  <si>
    <t>01.2025–01.2028, 15%</t>
  </si>
  <si>
    <t>Функции Технического заказчика на всех этапах проектирования и строительства, включая строительный контроль</t>
  </si>
  <si>
    <t>Номерной фонд класса «люкс» в гостинице с МФК, г. Москва, ул. Большая Внуковская, 8 — отделка помещений МФК и номерного фонда</t>
  </si>
  <si>
    <t>33 000 м²</t>
  </si>
  <si>
    <t>08.2024 – н.в., 60%</t>
  </si>
  <si>
    <t>Функции Технического заказчика, вкл. строительный контроль</t>
  </si>
  <si>
    <t>АО «Альфа-Банк» (контактное лицо: Андрей Грузденко, начальник управления департамента строительства)</t>
  </si>
  <si>
    <t>Административные помещения для АО «Альфа-Банк», г. Москва, пр-т Андропова, д. 18, корп. 6 — обустройство офисных помещений</t>
  </si>
  <si>
    <t>21 196 м²</t>
  </si>
  <si>
    <t>04.2024 – н.в., 90%</t>
  </si>
  <si>
    <t>Анализ проектной документации, приёмка КС-2 и КС-3, строительный контроль. Передача объекта в эксплуатацию</t>
  </si>
  <si>
    <t>ООО «Управляющая компания «ВК»</t>
  </si>
  <si>
    <t>Офисные помещения в Доме Зингер, г. Санкт-Петербург, Невский пр-кт, 28 — реновация штаб-квартиры компании</t>
  </si>
  <si>
    <t>2 600 м²</t>
  </si>
  <si>
    <t>08.2023–12.2023</t>
  </si>
  <si>
    <t>Строительный контроль</t>
  </si>
  <si>
    <t>Ассоциация «НП «РТС»</t>
  </si>
  <si>
    <t>Офисные помещения в БЦ «Меркурий Тауэр», Москва-Сити — обустройство офисных помещений</t>
  </si>
  <si>
    <t>4 200 м²</t>
  </si>
  <si>
    <t>08.2021–02.2022</t>
  </si>
  <si>
    <t>Управление проектом; управление затратами; строительный контроль</t>
  </si>
  <si>
    <t>Офисные помещения в Центральном офисе компании «Альфа-Банк», г. Москва, ул. Каланчевская, д. 27 — обустройство офисных помещений</t>
  </si>
  <si>
    <t>5 700 м²</t>
  </si>
  <si>
    <t>05.2020–2021</t>
  </si>
  <si>
    <t>Офисные помещения для компании «Альфа-Банк», г. Москва, ул. Маши Порываевой, д. 7, стр. Е — обустройство офисных помещений</t>
  </si>
  <si>
    <t>3 770 м²</t>
  </si>
  <si>
    <t>07.2020–11.2020</t>
  </si>
  <si>
    <t>Офисные помещения для компании «Альфа-Банк», г. Екатеринбург, ул. Горького, д. 7-А — обустройство офисных помещений</t>
  </si>
  <si>
    <t>10 550 м²</t>
  </si>
  <si>
    <t>08.2022–02.2023</t>
  </si>
  <si>
    <t>Офисные помещения для компании «Альфа-Банк», г. Барнаул, пр. Ленина, д. 106 — обустройство офисных помещений</t>
  </si>
  <si>
    <t>5 230 м²</t>
  </si>
  <si>
    <t>Офисные помещения для компании «Альфа-Банк», г. Ульяновск, ул. Герасимова, д. 10, стр. 4 — обустройство офисных помещений</t>
  </si>
  <si>
    <t>6 000 м²</t>
  </si>
  <si>
    <t>12.2022–11.2023, 04–10.2024</t>
  </si>
  <si>
    <t>Офисные помещения АО «Альфа-Банк», г. Новосибирск — обустройство офисных помещений</t>
  </si>
  <si>
    <t>5 900 м²</t>
  </si>
  <si>
    <t>01.2025–08.2025, 95%</t>
  </si>
  <si>
    <t>Офисные помещения АО «Альфа-Банк», г. Москва, ул. Каланчевская, д. 29 — обустройство офисных помещений</t>
  </si>
  <si>
    <t>7 832 м²</t>
  </si>
  <si>
    <t>03.2025–10.2025, 55%</t>
  </si>
  <si>
    <t>ООО «Пивоваренная компания «Балтика»</t>
  </si>
  <si>
    <t>Офисные и общественные помещения пивоваренной компании «Балтика», г. Санкт-Петербург — реновация офисных и общественных помещений</t>
  </si>
  <si>
    <t>10 000 м²</t>
  </si>
  <si>
    <t>Управление проектом отделки, вкл. строительный контроль</t>
  </si>
  <si>
    <t>НФ ПИЭМ</t>
  </si>
  <si>
    <t>ОРГАНИЗАЦИЯ</t>
  </si>
  <si>
    <t>№, п/п</t>
  </si>
  <si>
    <t>-</t>
  </si>
  <si>
    <t>ТЗ</t>
  </si>
  <si>
    <t>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</si>
</sst>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0"/>
  <sheetViews>
    <sheetView showGridLines="0" tabSelected="1" workbookViewId="0">
      <pane ySplit="2" topLeftCell="A3" activePane="bottomLeft" state="frozen"/>
      <selection pane="bottomLeft"/>
    </sheetView>
  </sheetViews>
  <sheetFormatPr defaultRowHeight="14.4" x14ac:dyDescent="0.3"/>
  <cols>
    <col min="1" max="1" width="1.77734375" customWidth="1"/>
    <col min="3" max="3" width="15.77734375" customWidth="1"/>
    <col min="4" max="4" width="40" customWidth="1"/>
    <col min="5" max="5" width="55" customWidth="1"/>
    <col min="6" max="6" width="16" customWidth="1"/>
    <col min="7" max="7" width="22" customWidth="1"/>
    <col min="8" max="8" width="50" customWidth="1"/>
  </cols>
  <sheetData>
    <row r="2" spans="2:9" ht="30" customHeight="1" x14ac:dyDescent="0.3">
      <c r="B2" s="1" t="s">
        <v>80</v>
      </c>
      <c r="C2" s="1" t="s">
        <v>79</v>
      </c>
      <c r="D2" s="1" t="s">
        <v>0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4</v>
      </c>
    </row>
    <row r="3" spans="2:9" ht="43.2" x14ac:dyDescent="0.3">
      <c r="B3" s="2">
        <v>1</v>
      </c>
      <c r="C3" s="3" t="s">
        <v>78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2" t="s">
        <v>81</v>
      </c>
    </row>
    <row r="4" spans="2:9" ht="43.2" x14ac:dyDescent="0.3">
      <c r="B4" s="2">
        <f t="shared" ref="B4:B20" si="0">B3+1</f>
        <v>2</v>
      </c>
      <c r="C4" s="3" t="s">
        <v>78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2" t="s">
        <v>81</v>
      </c>
    </row>
    <row r="5" spans="2:9" ht="43.2" x14ac:dyDescent="0.3">
      <c r="B5" s="2">
        <f t="shared" si="0"/>
        <v>3</v>
      </c>
      <c r="C5" s="3" t="s">
        <v>78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2" t="s">
        <v>81</v>
      </c>
    </row>
    <row r="6" spans="2:9" ht="72" x14ac:dyDescent="0.3">
      <c r="B6" s="2">
        <f t="shared" si="0"/>
        <v>4</v>
      </c>
      <c r="C6" s="3" t="s">
        <v>78</v>
      </c>
      <c r="D6" s="3" t="s">
        <v>20</v>
      </c>
      <c r="E6" s="3" t="s">
        <v>21</v>
      </c>
      <c r="F6" s="3" t="s">
        <v>22</v>
      </c>
      <c r="G6" s="3" t="s">
        <v>23</v>
      </c>
      <c r="H6" s="3" t="s">
        <v>24</v>
      </c>
      <c r="I6" s="2" t="s">
        <v>82</v>
      </c>
    </row>
    <row r="7" spans="2:9" ht="28.8" x14ac:dyDescent="0.3">
      <c r="B7" s="2">
        <f t="shared" si="0"/>
        <v>5</v>
      </c>
      <c r="C7" s="3" t="s">
        <v>78</v>
      </c>
      <c r="D7" s="3" t="s">
        <v>25</v>
      </c>
      <c r="E7" s="3" t="s">
        <v>26</v>
      </c>
      <c r="F7" s="3" t="s">
        <v>27</v>
      </c>
      <c r="G7" s="3" t="s">
        <v>28</v>
      </c>
      <c r="H7" s="3" t="s">
        <v>29</v>
      </c>
      <c r="I7" s="2" t="s">
        <v>82</v>
      </c>
    </row>
    <row r="8" spans="2:9" ht="43.2" x14ac:dyDescent="0.3">
      <c r="B8" s="2">
        <f t="shared" si="0"/>
        <v>6</v>
      </c>
      <c r="C8" s="3" t="s">
        <v>78</v>
      </c>
      <c r="D8" s="3" t="s">
        <v>30</v>
      </c>
      <c r="E8" s="3" t="s">
        <v>31</v>
      </c>
      <c r="F8" s="3" t="s">
        <v>32</v>
      </c>
      <c r="G8" s="3" t="s">
        <v>33</v>
      </c>
      <c r="H8" s="3" t="s">
        <v>34</v>
      </c>
      <c r="I8" s="2" t="s">
        <v>82</v>
      </c>
    </row>
    <row r="9" spans="2:9" ht="43.2" x14ac:dyDescent="0.3">
      <c r="B9" s="2">
        <f t="shared" si="0"/>
        <v>7</v>
      </c>
      <c r="C9" s="3" t="s">
        <v>78</v>
      </c>
      <c r="D9" s="3" t="s">
        <v>30</v>
      </c>
      <c r="E9" s="3" t="s">
        <v>35</v>
      </c>
      <c r="F9" s="3" t="s">
        <v>36</v>
      </c>
      <c r="G9" s="3" t="s">
        <v>37</v>
      </c>
      <c r="H9" s="3" t="s">
        <v>38</v>
      </c>
      <c r="I9" s="2" t="s">
        <v>82</v>
      </c>
    </row>
    <row r="10" spans="2:9" ht="43.2" x14ac:dyDescent="0.3">
      <c r="B10" s="2">
        <f t="shared" si="0"/>
        <v>8</v>
      </c>
      <c r="C10" s="3" t="s">
        <v>78</v>
      </c>
      <c r="D10" s="3" t="s">
        <v>39</v>
      </c>
      <c r="E10" s="3" t="s">
        <v>40</v>
      </c>
      <c r="F10" s="3" t="s">
        <v>41</v>
      </c>
      <c r="G10" s="3" t="s">
        <v>42</v>
      </c>
      <c r="H10" s="3" t="s">
        <v>43</v>
      </c>
      <c r="I10" s="2" t="s">
        <v>81</v>
      </c>
    </row>
    <row r="11" spans="2:9" ht="28.8" x14ac:dyDescent="0.3">
      <c r="B11" s="2">
        <f t="shared" si="0"/>
        <v>9</v>
      </c>
      <c r="C11" s="3" t="s">
        <v>78</v>
      </c>
      <c r="D11" s="3" t="s">
        <v>44</v>
      </c>
      <c r="E11" s="3" t="s">
        <v>45</v>
      </c>
      <c r="F11" s="3" t="s">
        <v>46</v>
      </c>
      <c r="G11" s="3" t="s">
        <v>47</v>
      </c>
      <c r="H11" s="3" t="s">
        <v>48</v>
      </c>
      <c r="I11" s="2" t="s">
        <v>81</v>
      </c>
    </row>
    <row r="12" spans="2:9" ht="28.8" x14ac:dyDescent="0.3">
      <c r="B12" s="2">
        <f t="shared" si="0"/>
        <v>10</v>
      </c>
      <c r="C12" s="3" t="s">
        <v>78</v>
      </c>
      <c r="D12" s="3" t="s">
        <v>49</v>
      </c>
      <c r="E12" s="3" t="s">
        <v>50</v>
      </c>
      <c r="F12" s="3" t="s">
        <v>51</v>
      </c>
      <c r="G12" s="3" t="s">
        <v>52</v>
      </c>
      <c r="H12" s="3" t="s">
        <v>53</v>
      </c>
      <c r="I12" s="2" t="s">
        <v>83</v>
      </c>
    </row>
    <row r="13" spans="2:9" ht="43.2" x14ac:dyDescent="0.3">
      <c r="B13" s="2">
        <f t="shared" si="0"/>
        <v>11</v>
      </c>
      <c r="C13" s="3" t="s">
        <v>78</v>
      </c>
      <c r="D13" s="3" t="s">
        <v>39</v>
      </c>
      <c r="E13" s="3" t="s">
        <v>54</v>
      </c>
      <c r="F13" s="3" t="s">
        <v>55</v>
      </c>
      <c r="G13" s="3" t="s">
        <v>56</v>
      </c>
      <c r="H13" s="3" t="s">
        <v>43</v>
      </c>
      <c r="I13" s="2" t="s">
        <v>81</v>
      </c>
    </row>
    <row r="14" spans="2:9" ht="43.2" x14ac:dyDescent="0.3">
      <c r="B14" s="2">
        <f t="shared" si="0"/>
        <v>12</v>
      </c>
      <c r="C14" s="3" t="s">
        <v>78</v>
      </c>
      <c r="D14" s="3" t="s">
        <v>39</v>
      </c>
      <c r="E14" s="3" t="s">
        <v>57</v>
      </c>
      <c r="F14" s="3" t="s">
        <v>58</v>
      </c>
      <c r="G14" s="3" t="s">
        <v>59</v>
      </c>
      <c r="H14" s="3" t="s">
        <v>43</v>
      </c>
      <c r="I14" s="2" t="s">
        <v>81</v>
      </c>
    </row>
    <row r="15" spans="2:9" ht="43.2" x14ac:dyDescent="0.3">
      <c r="B15" s="2">
        <f t="shared" si="0"/>
        <v>13</v>
      </c>
      <c r="C15" s="3" t="s">
        <v>78</v>
      </c>
      <c r="D15" s="3" t="s">
        <v>39</v>
      </c>
      <c r="E15" s="3" t="s">
        <v>60</v>
      </c>
      <c r="F15" s="3" t="s">
        <v>61</v>
      </c>
      <c r="G15" s="3" t="s">
        <v>62</v>
      </c>
      <c r="H15" s="3" t="s">
        <v>43</v>
      </c>
      <c r="I15" s="2" t="s">
        <v>81</v>
      </c>
    </row>
    <row r="16" spans="2:9" ht="43.2" x14ac:dyDescent="0.3">
      <c r="B16" s="2">
        <f t="shared" si="0"/>
        <v>14</v>
      </c>
      <c r="C16" s="3" t="s">
        <v>78</v>
      </c>
      <c r="D16" s="3" t="s">
        <v>39</v>
      </c>
      <c r="E16" s="3" t="s">
        <v>63</v>
      </c>
      <c r="F16" s="3" t="s">
        <v>64</v>
      </c>
      <c r="G16" s="3" t="s">
        <v>62</v>
      </c>
      <c r="H16" s="3" t="s">
        <v>43</v>
      </c>
      <c r="I16" s="2" t="s">
        <v>81</v>
      </c>
    </row>
    <row r="17" spans="2:9" ht="43.2" x14ac:dyDescent="0.3">
      <c r="B17" s="2">
        <f t="shared" si="0"/>
        <v>15</v>
      </c>
      <c r="C17" s="3" t="s">
        <v>78</v>
      </c>
      <c r="D17" s="3" t="s">
        <v>39</v>
      </c>
      <c r="E17" s="3" t="s">
        <v>65</v>
      </c>
      <c r="F17" s="3" t="s">
        <v>66</v>
      </c>
      <c r="G17" s="3" t="s">
        <v>67</v>
      </c>
      <c r="H17" s="3" t="s">
        <v>43</v>
      </c>
      <c r="I17" s="2" t="s">
        <v>81</v>
      </c>
    </row>
    <row r="18" spans="2:9" ht="43.2" x14ac:dyDescent="0.3">
      <c r="B18" s="2">
        <f t="shared" si="0"/>
        <v>16</v>
      </c>
      <c r="C18" s="3" t="s">
        <v>78</v>
      </c>
      <c r="D18" s="3" t="s">
        <v>39</v>
      </c>
      <c r="E18" s="3" t="s">
        <v>68</v>
      </c>
      <c r="F18" s="3" t="s">
        <v>69</v>
      </c>
      <c r="G18" s="3" t="s">
        <v>70</v>
      </c>
      <c r="H18" s="3" t="s">
        <v>43</v>
      </c>
      <c r="I18" s="2" t="s">
        <v>81</v>
      </c>
    </row>
    <row r="19" spans="2:9" ht="43.2" x14ac:dyDescent="0.3">
      <c r="B19" s="2">
        <f t="shared" si="0"/>
        <v>17</v>
      </c>
      <c r="C19" s="3" t="s">
        <v>78</v>
      </c>
      <c r="D19" s="3" t="s">
        <v>39</v>
      </c>
      <c r="E19" s="3" t="s">
        <v>71</v>
      </c>
      <c r="F19" s="3" t="s">
        <v>72</v>
      </c>
      <c r="G19" s="3" t="s">
        <v>73</v>
      </c>
      <c r="H19" s="3" t="s">
        <v>43</v>
      </c>
      <c r="I19" s="2" t="s">
        <v>81</v>
      </c>
    </row>
    <row r="20" spans="2:9" ht="43.2" x14ac:dyDescent="0.3">
      <c r="B20" s="2">
        <f t="shared" si="0"/>
        <v>18</v>
      </c>
      <c r="C20" s="3" t="s">
        <v>78</v>
      </c>
      <c r="D20" s="3" t="s">
        <v>74</v>
      </c>
      <c r="E20" s="3" t="s">
        <v>75</v>
      </c>
      <c r="F20" s="3" t="s">
        <v>76</v>
      </c>
      <c r="G20" s="3" t="s">
        <v>28</v>
      </c>
      <c r="H20" s="3" t="s">
        <v>77</v>
      </c>
      <c r="I20" s="2" t="s">
        <v>83</v>
      </c>
    </row>
  </sheetData>
  <autoFilter ref="B2:I20" xr:uid="{3F80247B-62E1-4544-86AF-CD3BF517F30A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NF 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</cp:lastModifiedBy>
  <dcterms:created xsi:type="dcterms:W3CDTF">2026-08-19T06:33:26Z</dcterms:created>
  <dcterms:modified xsi:type="dcterms:W3CDTF">2026-08-19T07:19:18Z</dcterms:modified>
</cp:coreProperties>
</file>