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_m3a2u\Downloads\"/>
    </mc:Choice>
  </mc:AlternateContent>
  <xr:revisionPtr revIDLastSave="0" documentId="8_{0302D512-4F9F-4814-BE72-CFFB5B619A3D}" xr6:coauthVersionLast="36" xr6:coauthVersionMax="36" xr10:uidLastSave="{00000000-0000-0000-0000-000000000000}"/>
  <bookViews>
    <workbookView xWindow="0" yWindow="0" windowWidth="28800" windowHeight="13905" firstSheet="1" activeTab="1" xr2:uid="{00000000-000D-0000-FFFF-FFFF00000000}"/>
  </bookViews>
  <sheets>
    <sheet name="СВОД_АНКЕТА СООТВЕТСТВИЯ" sheetId="5" state="hidden" r:id="rId1"/>
    <sheet name="СВОД_АНКЕТА (ДОП. ДАННЫЕ)" sheetId="6" r:id="rId2"/>
    <sheet name="СПЕКТРУМ ХОЛДИНГ_АС" sheetId="7" state="hidden" r:id="rId3"/>
    <sheet name="СПЕКТРУМ ХОЛДИНГ_ДД" sheetId="9" r:id="rId4"/>
    <sheet name="DBC_АС" sheetId="8" state="hidden" r:id="rId5"/>
    <sheet name="DBC_ДД" sheetId="10" r:id="rId6"/>
    <sheet name="Nikoliers_АС" sheetId="11" state="hidden" r:id="rId7"/>
    <sheet name="Nikoliers_ДД" sheetId="12" r:id="rId8"/>
    <sheet name="CORE XP_АС" sheetId="13" state="hidden" r:id="rId9"/>
    <sheet name="CORE XP_ДД" sheetId="14" r:id="rId10"/>
    <sheet name="CMWР_АС" sheetId="15" state="hidden" r:id="rId11"/>
    <sheet name="CMWР_ДД" sheetId="16" r:id="rId12"/>
    <sheet name="Восход_АС" sheetId="19" state="hidden" r:id="rId13"/>
    <sheet name="Восход_ДД" sheetId="20" r:id="rId14"/>
    <sheet name="NFrank_АС" sheetId="17" state="hidden" r:id="rId15"/>
    <sheet name="NFrank_ДД" sheetId="18" r:id="rId16"/>
    <sheet name="СР Девелопиент_АС" sheetId="21" state="hidden" r:id="rId17"/>
    <sheet name="СР Девелопиент_ДД" sheetId="22" r:id="rId18"/>
    <sheet name="ИК Элемент_АС" sheetId="3" state="hidden" r:id="rId19"/>
    <sheet name="ИК Элемент_ДД" sheetId="4" r:id="rId20"/>
    <sheet name="ИЭС Инжиниринг_АС" sheetId="23" state="hidden" r:id="rId21"/>
    <sheet name="ИЭС Инжиниринг_ДД" sheetId="24" r:id="rId22"/>
    <sheet name="Ирбис_АС" sheetId="25" state="hidden" r:id="rId23"/>
    <sheet name="Ирбис_ДД" sheetId="26" r:id="rId24"/>
    <sheet name="АКРОН_АС" sheetId="27" state="hidden" r:id="rId25"/>
    <sheet name="АКРОН_ДД" sheetId="28" r:id="rId26"/>
    <sheet name="ПМК_АС" sheetId="29" state="hidden" r:id="rId27"/>
    <sheet name="РИТМ ПРОЕКТ_АС" sheetId="31" state="hidden" r:id="rId28"/>
    <sheet name="РИТМ ПРОЕКТ_ДД" sheetId="30" r:id="rId29"/>
    <sheet name="Эс Эй Риччи ПМ_АС" sheetId="32" state="hidden" r:id="rId30"/>
    <sheet name="Эс Эй Риччи ПМ_ДД" sheetId="33" r:id="rId31"/>
    <sheet name="Стройконтроль_АС" sheetId="34" state="hidden" r:id="rId32"/>
    <sheet name="Стройконтроль_ДД" sheetId="35" r:id="rId3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6" l="1"/>
  <c r="C40" i="6"/>
  <c r="C41" i="6"/>
  <c r="C42" i="6"/>
  <c r="C43" i="6"/>
  <c r="C44" i="6"/>
  <c r="C45" i="6"/>
  <c r="C46" i="6"/>
  <c r="C47" i="6"/>
  <c r="C48" i="6"/>
  <c r="C49" i="6"/>
  <c r="C50" i="6"/>
  <c r="C51" i="6"/>
  <c r="C52" i="6"/>
  <c r="C53" i="6"/>
  <c r="CN31" i="6"/>
  <c r="CM31" i="6"/>
  <c r="CI32" i="6" s="1"/>
  <c r="BV31" i="6"/>
  <c r="BU31" i="6"/>
  <c r="BT31" i="6"/>
  <c r="BS31" i="6"/>
  <c r="BR31" i="6"/>
  <c r="BQ31" i="6"/>
  <c r="BD31" i="6"/>
  <c r="BC31" i="6"/>
  <c r="BB31" i="6"/>
  <c r="BA31" i="6"/>
  <c r="AZ31" i="6"/>
  <c r="AY31" i="6"/>
  <c r="AY32" i="6" l="1"/>
  <c r="CM6" i="6"/>
  <c r="CN6" i="6"/>
  <c r="CM7" i="6"/>
  <c r="CN7" i="6"/>
  <c r="CC6" i="6"/>
  <c r="CD6" i="6"/>
  <c r="CE6" i="6"/>
  <c r="CF6" i="6"/>
  <c r="CG6" i="6"/>
  <c r="CH6" i="6"/>
  <c r="CC7" i="6"/>
  <c r="CD7" i="6"/>
  <c r="CE7" i="6"/>
  <c r="CF7" i="6"/>
  <c r="CG7" i="6"/>
  <c r="CH7" i="6"/>
  <c r="CD4" i="6"/>
  <c r="CD31" i="6" s="1"/>
  <c r="CE4" i="6"/>
  <c r="CE31" i="6" s="1"/>
  <c r="CF4" i="6"/>
  <c r="CF31" i="6" s="1"/>
  <c r="CG4" i="6"/>
  <c r="CG31" i="6" s="1"/>
  <c r="CH4" i="6"/>
  <c r="CH31" i="6" s="1"/>
  <c r="CC4" i="6"/>
  <c r="CC31" i="6" s="1"/>
  <c r="BW5" i="6"/>
  <c r="BX5" i="6"/>
  <c r="BY5" i="6"/>
  <c r="BZ5" i="6"/>
  <c r="CA5" i="6"/>
  <c r="CB5" i="6"/>
  <c r="BW6" i="6"/>
  <c r="BX6" i="6"/>
  <c r="BY6" i="6"/>
  <c r="BZ6" i="6"/>
  <c r="CA6" i="6"/>
  <c r="CB6" i="6"/>
  <c r="BW7" i="6"/>
  <c r="BX7" i="6"/>
  <c r="BY7" i="6"/>
  <c r="BZ7" i="6"/>
  <c r="CA7" i="6"/>
  <c r="CB7" i="6"/>
  <c r="BX4" i="6"/>
  <c r="BX31" i="6" s="1"/>
  <c r="BY4" i="6"/>
  <c r="BY31" i="6" s="1"/>
  <c r="BZ4" i="6"/>
  <c r="BZ31" i="6" s="1"/>
  <c r="CA4" i="6"/>
  <c r="CA31" i="6" s="1"/>
  <c r="CB4" i="6"/>
  <c r="CB31" i="6" s="1"/>
  <c r="BW4" i="6"/>
  <c r="BW31" i="6" s="1"/>
  <c r="BE5" i="6"/>
  <c r="BF5" i="6"/>
  <c r="BG5" i="6"/>
  <c r="BH5" i="6"/>
  <c r="BI5" i="6"/>
  <c r="BJ5" i="6"/>
  <c r="BE6" i="6"/>
  <c r="BF6" i="6"/>
  <c r="BG6" i="6"/>
  <c r="BH6" i="6"/>
  <c r="BI6" i="6"/>
  <c r="BJ6" i="6"/>
  <c r="BE7" i="6"/>
  <c r="BF4" i="6"/>
  <c r="BF31" i="6" s="1"/>
  <c r="BG4" i="6"/>
  <c r="BG31" i="6" s="1"/>
  <c r="BH4" i="6"/>
  <c r="BH31" i="6" s="1"/>
  <c r="BI4" i="6"/>
  <c r="BI31" i="6" s="1"/>
  <c r="BJ4" i="6"/>
  <c r="BJ31" i="6" s="1"/>
  <c r="BE4" i="6"/>
  <c r="BE31" i="6" s="1"/>
  <c r="BE32" i="6" s="1"/>
  <c r="BK5" i="6"/>
  <c r="BL5" i="6"/>
  <c r="BM5" i="6"/>
  <c r="BN5" i="6"/>
  <c r="BO5" i="6"/>
  <c r="BP5" i="6"/>
  <c r="BK6" i="6"/>
  <c r="BL6" i="6"/>
  <c r="BM6" i="6"/>
  <c r="BN6" i="6"/>
  <c r="BO6" i="6"/>
  <c r="BP6" i="6"/>
  <c r="BK7" i="6"/>
  <c r="BL7" i="6"/>
  <c r="BM7" i="6"/>
  <c r="BN7" i="6"/>
  <c r="BO7" i="6"/>
  <c r="BP7" i="6"/>
  <c r="BL4" i="6"/>
  <c r="BL31" i="6" s="1"/>
  <c r="BM4" i="6"/>
  <c r="BM31" i="6" s="1"/>
  <c r="BN4" i="6"/>
  <c r="BN31" i="6" s="1"/>
  <c r="BO4" i="6"/>
  <c r="BO31" i="6" s="1"/>
  <c r="BP4" i="6"/>
  <c r="BP31" i="6" s="1"/>
  <c r="BK4" i="6"/>
  <c r="BK31" i="6" s="1"/>
  <c r="AS6" i="6"/>
  <c r="AT6" i="6"/>
  <c r="AU6" i="6"/>
  <c r="AV6" i="6"/>
  <c r="AW6" i="6"/>
  <c r="AX6" i="6"/>
  <c r="AS7" i="6"/>
  <c r="AT7" i="6"/>
  <c r="AU7" i="6"/>
  <c r="AV7" i="6"/>
  <c r="AW7" i="6"/>
  <c r="AX7" i="6"/>
  <c r="AT4" i="6"/>
  <c r="AT31" i="6" s="1"/>
  <c r="AU4" i="6"/>
  <c r="AU31" i="6" s="1"/>
  <c r="AV4" i="6"/>
  <c r="AV31" i="6" s="1"/>
  <c r="AW4" i="6"/>
  <c r="AW31" i="6" s="1"/>
  <c r="AX4" i="6"/>
  <c r="AX31" i="6" s="1"/>
  <c r="AS4" i="6"/>
  <c r="AS31" i="6" s="1"/>
  <c r="AM5" i="6"/>
  <c r="AN5" i="6"/>
  <c r="AO5" i="6"/>
  <c r="AP5" i="6"/>
  <c r="AQ5" i="6"/>
  <c r="AR5" i="6"/>
  <c r="AM6" i="6"/>
  <c r="AN6" i="6"/>
  <c r="AO6" i="6"/>
  <c r="AP6" i="6"/>
  <c r="AQ6" i="6"/>
  <c r="AR6" i="6"/>
  <c r="AM7" i="6"/>
  <c r="AN7" i="6"/>
  <c r="AO7" i="6"/>
  <c r="AP7" i="6"/>
  <c r="AQ7" i="6"/>
  <c r="AR7" i="6"/>
  <c r="AN4" i="6"/>
  <c r="AN31" i="6" s="1"/>
  <c r="AO4" i="6"/>
  <c r="AO31" i="6" s="1"/>
  <c r="AP4" i="6"/>
  <c r="AP31" i="6" s="1"/>
  <c r="AQ4" i="6"/>
  <c r="AQ31" i="6" s="1"/>
  <c r="AR4" i="6"/>
  <c r="AR31" i="6" s="1"/>
  <c r="AM4" i="6"/>
  <c r="AM31" i="6" s="1"/>
  <c r="AG7" i="6"/>
  <c r="AH7" i="6"/>
  <c r="AI7" i="6"/>
  <c r="AJ7" i="6"/>
  <c r="AK7" i="6"/>
  <c r="AL7" i="6"/>
  <c r="AH4" i="6"/>
  <c r="AH31" i="6" s="1"/>
  <c r="AI4" i="6"/>
  <c r="AI31" i="6" s="1"/>
  <c r="AJ4" i="6"/>
  <c r="AJ31" i="6" s="1"/>
  <c r="AK4" i="6"/>
  <c r="AK31" i="6" s="1"/>
  <c r="AL4" i="6"/>
  <c r="AL31" i="6" s="1"/>
  <c r="AG4" i="6"/>
  <c r="AG31" i="6" s="1"/>
  <c r="AA6" i="6"/>
  <c r="AB6" i="6"/>
  <c r="AC6" i="6"/>
  <c r="AD6" i="6"/>
  <c r="AE6" i="6"/>
  <c r="AF6" i="6"/>
  <c r="AA7" i="6"/>
  <c r="AB7" i="6"/>
  <c r="AC7" i="6"/>
  <c r="AD7" i="6"/>
  <c r="AE7" i="6"/>
  <c r="AB4" i="6"/>
  <c r="AB31" i="6" s="1"/>
  <c r="AC4" i="6"/>
  <c r="AC31" i="6" s="1"/>
  <c r="AD4" i="6"/>
  <c r="AD31" i="6" s="1"/>
  <c r="AE4" i="6"/>
  <c r="AE31" i="6" s="1"/>
  <c r="AF4" i="6"/>
  <c r="AF31" i="6" s="1"/>
  <c r="AA4" i="6"/>
  <c r="AA31" i="6" s="1"/>
  <c r="U5" i="6"/>
  <c r="V5" i="6"/>
  <c r="W5" i="6"/>
  <c r="X5" i="6"/>
  <c r="Y5" i="6"/>
  <c r="Z5" i="6"/>
  <c r="U6" i="6"/>
  <c r="V6" i="6"/>
  <c r="W6" i="6"/>
  <c r="X6" i="6"/>
  <c r="Y6" i="6"/>
  <c r="Z6" i="6"/>
  <c r="U7" i="6"/>
  <c r="V7" i="6"/>
  <c r="W7" i="6"/>
  <c r="X7" i="6"/>
  <c r="Y7" i="6"/>
  <c r="Z7" i="6"/>
  <c r="V4" i="6"/>
  <c r="V31" i="6" s="1"/>
  <c r="W4" i="6"/>
  <c r="W31" i="6" s="1"/>
  <c r="X4" i="6"/>
  <c r="X31" i="6" s="1"/>
  <c r="Y4" i="6"/>
  <c r="Y31" i="6" s="1"/>
  <c r="Z4" i="6"/>
  <c r="Z31" i="6" s="1"/>
  <c r="U4" i="6"/>
  <c r="U31" i="6" s="1"/>
  <c r="O5" i="6"/>
  <c r="P5" i="6"/>
  <c r="Q5" i="6"/>
  <c r="R5" i="6"/>
  <c r="S5" i="6"/>
  <c r="T5" i="6"/>
  <c r="O6" i="6"/>
  <c r="O7" i="6"/>
  <c r="P4" i="6"/>
  <c r="Q4" i="6"/>
  <c r="R4" i="6"/>
  <c r="S4" i="6"/>
  <c r="T4" i="6"/>
  <c r="T31" i="6" s="1"/>
  <c r="O32" i="6" s="1"/>
  <c r="O4" i="6"/>
  <c r="I6" i="6"/>
  <c r="J6" i="6"/>
  <c r="K6" i="6"/>
  <c r="L6" i="6"/>
  <c r="M6" i="6"/>
  <c r="N6" i="6"/>
  <c r="I7" i="6"/>
  <c r="J7" i="6"/>
  <c r="K7" i="6"/>
  <c r="L7" i="6"/>
  <c r="M7" i="6"/>
  <c r="N7" i="6"/>
  <c r="J4" i="6"/>
  <c r="J31" i="6" s="1"/>
  <c r="K4" i="6"/>
  <c r="K31" i="6" s="1"/>
  <c r="L4" i="6"/>
  <c r="L31" i="6" s="1"/>
  <c r="M4" i="6"/>
  <c r="M31" i="6" s="1"/>
  <c r="N4" i="6"/>
  <c r="N31" i="6" s="1"/>
  <c r="I4" i="6"/>
  <c r="I31" i="6" s="1"/>
  <c r="C5" i="6"/>
  <c r="D5" i="6"/>
  <c r="E5" i="6"/>
  <c r="F5" i="6"/>
  <c r="G5" i="6"/>
  <c r="H5" i="6"/>
  <c r="C6" i="6"/>
  <c r="D6" i="6"/>
  <c r="E6" i="6"/>
  <c r="F6" i="6"/>
  <c r="G6" i="6"/>
  <c r="H6" i="6"/>
  <c r="C7" i="6"/>
  <c r="D7" i="6"/>
  <c r="E7" i="6"/>
  <c r="F7" i="6"/>
  <c r="G7" i="6"/>
  <c r="H7" i="6"/>
  <c r="D4" i="6"/>
  <c r="D31" i="6" s="1"/>
  <c r="E4" i="6"/>
  <c r="E31" i="6" s="1"/>
  <c r="F4" i="6"/>
  <c r="F31" i="6" s="1"/>
  <c r="G4" i="6"/>
  <c r="G31" i="6" s="1"/>
  <c r="H4" i="6"/>
  <c r="H31" i="6" s="1"/>
  <c r="C4" i="6"/>
  <c r="C31" i="6" s="1"/>
  <c r="R5" i="5"/>
  <c r="R6" i="5"/>
  <c r="R7" i="5"/>
  <c r="R8" i="5"/>
  <c r="R9" i="5"/>
  <c r="R4" i="5"/>
  <c r="Q5" i="5"/>
  <c r="Q6" i="5"/>
  <c r="Q7" i="5"/>
  <c r="Q8" i="5"/>
  <c r="Q9" i="5"/>
  <c r="Q4" i="5"/>
  <c r="P5" i="5"/>
  <c r="P6" i="5"/>
  <c r="P7" i="5"/>
  <c r="P8" i="5"/>
  <c r="P9" i="5"/>
  <c r="N5" i="5"/>
  <c r="N6" i="5"/>
  <c r="N7" i="5"/>
  <c r="N8" i="5"/>
  <c r="N9" i="5"/>
  <c r="M4" i="5"/>
  <c r="M5" i="5"/>
  <c r="M6" i="5"/>
  <c r="M7" i="5"/>
  <c r="M8" i="5"/>
  <c r="M9" i="5"/>
  <c r="K5" i="5"/>
  <c r="K6" i="5"/>
  <c r="K7" i="5"/>
  <c r="K8" i="5"/>
  <c r="K9" i="5"/>
  <c r="J5" i="5"/>
  <c r="J6" i="5"/>
  <c r="J7" i="5"/>
  <c r="J8" i="5"/>
  <c r="J9" i="5"/>
  <c r="J4" i="5"/>
  <c r="I4" i="5"/>
  <c r="I5" i="5"/>
  <c r="I6" i="5"/>
  <c r="I7" i="5"/>
  <c r="I8" i="5"/>
  <c r="I9" i="5"/>
  <c r="H5" i="5"/>
  <c r="H6" i="5"/>
  <c r="H7" i="5"/>
  <c r="H8" i="5"/>
  <c r="H9" i="5"/>
  <c r="H4" i="5"/>
  <c r="G5" i="5"/>
  <c r="G6" i="5"/>
  <c r="G7" i="5"/>
  <c r="G8" i="5"/>
  <c r="G9" i="5"/>
  <c r="G4" i="5"/>
  <c r="F5" i="5"/>
  <c r="F6" i="5"/>
  <c r="F7" i="5"/>
  <c r="F8" i="5"/>
  <c r="F9" i="5"/>
  <c r="F4" i="5"/>
  <c r="E5" i="5"/>
  <c r="E6" i="5"/>
  <c r="E7" i="5"/>
  <c r="E8" i="5"/>
  <c r="E9" i="5"/>
  <c r="D5" i="5"/>
  <c r="D6" i="5"/>
  <c r="D7" i="5"/>
  <c r="D8" i="5"/>
  <c r="D9" i="5"/>
  <c r="C5" i="5"/>
  <c r="C6" i="5"/>
  <c r="C7" i="5"/>
  <c r="C8" i="5"/>
  <c r="C9" i="5"/>
  <c r="F16" i="28"/>
  <c r="E16" i="28"/>
  <c r="D16" i="28"/>
  <c r="C16" i="28"/>
  <c r="AA32" i="6" l="1"/>
  <c r="BW32" i="6"/>
  <c r="C32" i="6"/>
  <c r="I32" i="6"/>
  <c r="U32" i="6"/>
  <c r="CC32" i="6"/>
  <c r="AG32" i="6"/>
  <c r="AM32" i="6"/>
  <c r="BK32" i="6"/>
  <c r="AS32" i="6"/>
</calcChain>
</file>

<file path=xl/sharedStrings.xml><?xml version="1.0" encoding="utf-8"?>
<sst xmlns="http://schemas.openxmlformats.org/spreadsheetml/2006/main" count="1245" uniqueCount="294">
  <si>
    <t>ЗАКУПОЧНАЯ ПРОЦЕДУРА</t>
  </si>
  <si>
    <t>Предварительный квалификационный отбор (ПКО) по выбору Управляющей компании/ Технического заказчика для управления проектом по реконструкции комплекса офисных зданий:
г. Москва, адресу ул. Маши Порываевой, 34</t>
  </si>
  <si>
    <t>Полное юридическое наименование участника</t>
  </si>
  <si>
    <t xml:space="preserve">ИНН  участника </t>
  </si>
  <si>
    <t xml:space="preserve">Форма налогообложения участника, % НДС </t>
  </si>
  <si>
    <t xml:space="preserve">Контактное лицо </t>
  </si>
  <si>
    <t>Телефон</t>
  </si>
  <si>
    <t>Электронная почта</t>
  </si>
  <si>
    <t xml:space="preserve">ЗАПОЛНЯТЬ ТОЛЬКО ЖЕЛТЫЕ ЯЧЕЙКИ! </t>
  </si>
  <si>
    <t>№</t>
  </si>
  <si>
    <t>Требования к участнику</t>
  </si>
  <si>
    <t>Дата создания компании</t>
  </si>
  <si>
    <t>Опыт управления аналогичными проектами по объему и сложности работ в Москве и/или СПб.</t>
  </si>
  <si>
    <t xml:space="preserve">Подтвердить
</t>
  </si>
  <si>
    <t>Отсутствие проблемной налоговой и/или кредитной задолженности.</t>
  </si>
  <si>
    <t xml:space="preserve">Отсутствие судебных споров в качестве ответчика. </t>
  </si>
  <si>
    <r>
      <t xml:space="preserve">Соответствие требованиям
 </t>
    </r>
    <r>
      <rPr>
        <b/>
        <sz val="10"/>
        <rFont val="Calibri"/>
        <family val="2"/>
        <charset val="204"/>
        <scheme val="minor"/>
      </rPr>
      <t>(ответ поставщика)</t>
    </r>
  </si>
  <si>
    <t xml:space="preserve">Подтвердить 
(Резюме на команду приложить отдельным файлом, форма заполнения - свободная)
</t>
  </si>
  <si>
    <t>Готовность предоставить Резюме на каждого члена команды проекта</t>
  </si>
  <si>
    <t xml:space="preserve">Готовность выделить на проект не менее 10 членов команды  соответствующего  профиля </t>
  </si>
  <si>
    <t>Образец заполнения</t>
  </si>
  <si>
    <t>да</t>
  </si>
  <si>
    <t>125,34 / 22%</t>
  </si>
  <si>
    <t xml:space="preserve">Примечание к заполнению / 
Комментарий поставщика (если необходимо)
</t>
  </si>
  <si>
    <r>
      <rPr>
        <b/>
        <sz val="10"/>
        <rFont val="Calibri"/>
        <family val="2"/>
        <charset val="204"/>
        <scheme val="minor"/>
      </rPr>
      <t>Годовой оборот компании</t>
    </r>
    <r>
      <rPr>
        <sz val="10"/>
        <rFont val="Calibri"/>
        <family val="2"/>
        <scheme val="minor"/>
      </rPr>
      <t xml:space="preserve"> (юр. лицо участника тендера) </t>
    </r>
    <r>
      <rPr>
        <b/>
        <sz val="10"/>
        <rFont val="Calibri"/>
        <family val="2"/>
        <charset val="204"/>
        <scheme val="minor"/>
      </rPr>
      <t>не менее 500  млн руб.</t>
    </r>
  </si>
  <si>
    <r>
      <rPr>
        <b/>
        <sz val="10"/>
        <rFont val="Calibri"/>
        <family val="2"/>
        <charset val="204"/>
        <scheme val="minor"/>
      </rPr>
      <t xml:space="preserve">Годовой оборот Группы компаний </t>
    </r>
    <r>
      <rPr>
        <sz val="10"/>
        <rFont val="Calibri"/>
        <family val="2"/>
        <scheme val="minor"/>
      </rPr>
      <t xml:space="preserve">(если юр. лицо участника тендера входит в группу компаний),  </t>
    </r>
    <r>
      <rPr>
        <b/>
        <sz val="10"/>
        <rFont val="Calibri"/>
        <family val="2"/>
        <charset val="204"/>
        <scheme val="minor"/>
      </rPr>
      <t>млн руб.</t>
    </r>
  </si>
  <si>
    <r>
      <rPr>
        <b/>
        <sz val="10"/>
        <color theme="1"/>
        <rFont val="Calibri"/>
        <family val="2"/>
        <charset val="204"/>
        <scheme val="minor"/>
      </rPr>
      <t>Доля выручки от  управления проектами</t>
    </r>
    <r>
      <rPr>
        <sz val="10"/>
        <color theme="1"/>
        <rFont val="Calibri"/>
        <family val="2"/>
        <scheme val="minor"/>
      </rPr>
      <t xml:space="preserve"> (алогичными  по объему и сложности работ) </t>
    </r>
    <r>
      <rPr>
        <b/>
        <sz val="10"/>
        <color theme="1"/>
        <rFont val="Calibri"/>
        <family val="2"/>
        <charset val="204"/>
        <scheme val="minor"/>
      </rPr>
      <t>по отношению к общей выручке  Участника за год</t>
    </r>
    <r>
      <rPr>
        <sz val="10"/>
        <color theme="1"/>
        <rFont val="Calibri"/>
        <family val="2"/>
        <scheme val="minor"/>
      </rPr>
      <t xml:space="preserve">   (в абсолютном (млн. руб.) и относительном (%)  выражении)</t>
    </r>
  </si>
  <si>
    <t>1.  Образовательный комплекс "Рога и копыта" / строительство  (Мск, 45 350 м2,  Тех. Заказчик, Строительный контроль) 
2. Здание Музея невозможных наук/ реставрацяи и ревитализация  (Спб, 28 500 м2, Управляющая компания)
…</t>
  </si>
  <si>
    <r>
      <rPr>
        <b/>
        <sz val="10"/>
        <color theme="1"/>
        <rFont val="Calibri"/>
        <family val="2"/>
        <charset val="204"/>
        <scheme val="minor"/>
      </rPr>
      <t>Проекты компании</t>
    </r>
    <r>
      <rPr>
        <sz val="10"/>
        <color theme="1"/>
        <rFont val="Calibri"/>
        <family val="2"/>
        <scheme val="minor"/>
      </rPr>
      <t xml:space="preserve"> за последние 5 лет </t>
    </r>
    <r>
      <rPr>
        <b/>
        <sz val="10"/>
        <color theme="1"/>
        <rFont val="Calibri"/>
        <family val="2"/>
        <charset val="204"/>
        <scheme val="minor"/>
      </rPr>
      <t xml:space="preserve"> с аналогичным составом и объемом работ</t>
    </r>
    <r>
      <rPr>
        <sz val="10"/>
        <color theme="1"/>
        <rFont val="Calibri"/>
        <family val="2"/>
        <scheme val="minor"/>
      </rPr>
      <t xml:space="preserve"> (</t>
    </r>
    <r>
      <rPr>
        <b/>
        <sz val="10"/>
        <color rgb="FFFF0000"/>
        <rFont val="Calibri"/>
        <family val="2"/>
        <charset val="204"/>
        <scheme val="minor"/>
      </rPr>
      <t>обязательно указать какие работы велись на объекте, какой  была  роль  Участника</t>
    </r>
    <r>
      <rPr>
        <sz val="10"/>
        <color theme="1"/>
        <rFont val="Calibri"/>
        <family val="2"/>
        <scheme val="minor"/>
      </rPr>
      <t>)</t>
    </r>
  </si>
  <si>
    <t xml:space="preserve">Общество с ограниченной ответственностью «Инжиниринговая компания «Элемент» </t>
  </si>
  <si>
    <t>ОСН, 20%</t>
  </si>
  <si>
    <t xml:space="preserve">Руководитель отдела по сопровождению клиентов Отзыв Никита Александрович
</t>
  </si>
  <si>
    <t xml:space="preserve">Otzyv.N@ikelement.ru  </t>
  </si>
  <si>
    <t>7 (916) 646-18-00, 7 (495) 532-92-92, доб.208</t>
  </si>
  <si>
    <t>ДА</t>
  </si>
  <si>
    <t xml:space="preserve">03.02.2014 </t>
  </si>
  <si>
    <t>НЕТ</t>
  </si>
  <si>
    <t>Руководитель отдела по сопровождению клиентов Отзыв Никита Александрович</t>
  </si>
  <si>
    <t>61 043 840, 23%</t>
  </si>
  <si>
    <t>93 062 160, 36%</t>
  </si>
  <si>
    <t>159 765 660, 34%</t>
  </si>
  <si>
    <t>230 651 070, 39%</t>
  </si>
  <si>
    <t>410 022 060, 42%</t>
  </si>
  <si>
    <t xml:space="preserve">1. Функции технического заказчика при проведении проектных и изыскательских работ на объекте, расположенном по адресу: г. Москва, вн. мун. о. Чертанов Южное, ш. Варшавское, влад. 150Б/1, ФудХолл, 3500 м2
2. Услуги   по осуществлению строительного контроля объекта капитального строительства: Общедоступная взлетно-посадочная полоса и площадка для вертолетов с общественным терминалом, инфраструктурными зданиями и сооружениями, расположенная по адресу: Республика Крым, с. Уромное, ООО "СБ Девелопмент", 14 000 м2.
3. Услуги по проведению строительного контроля за  строительством/ремонтом газопроводов высокого давления и нефтепродуктопроводов, Российская Федерация, Московская область, городской округ Солнечногорск, рабочий посёлок Ржавки, микрорайон № 2, строение 20, вблизи МТРК «Зеленопарк», АШАН.
4. Оказание услуг по строительному контролю при  капитальном ремонте объектов  подведомственных Москомспорту Учреждений, направленных на развитие объектов спортивной инфраструктуры, 36 объектов споривного назначения, 38 800 м2.
</t>
  </si>
  <si>
    <t>1. Услуги по выполнению функций технического заказчика по проектированию и капитальному ремонту Объекта: помещения общей площадью 19 668,4 кв. м в зданиях по адресу: г. Москва, ул. Знаменка, д. 7, стр. 3, д. 9, стр. 3, Бизнес-центр.
2. Осуществление функций Технического заказчика, направленные на исполнение Заказчиком функций Технического заказчика на объекте "Гостиничный комплекс «Radisson Blu Resort &amp; Congress Center, Sochi», 43 186 кв.м, 508 номеров.
3. Работы по осуществлению функций технического заказчика и строительного контроля в отношении объекта: «Автоматизированный складской комплекс для хранения мороженой рыбопродукции и морепродуктов», по адресу: Мурманская обл., МО с.п. Междуречье Кольского р-на, с. Минькино, 6000 м2.
4. Услуги строительного контроля за строительством объектов капитального строительства «Черногорский горно-обогатительный комбинат (ГОК). Очередь I. Вскрытие и отработка запасов Черногорского месторождения», Площадь застройки: 282 000 м2.
5. Осуществление строительного контроля за выполнением Подрядчиком отделочных работ на объекте: «Жилой комплекс с дошкольными образовательными учреждениями, школой, надземными паркингами, инженерными сетями и объектами инженерной инфраструктуры, по адресу: г. Москва, НАО, п. Московский, дер. Картмазово уч.16/1, 165 778,8 м2.
6. функций технического заказчика на период выполнения проектно-изыскательских работ и разработать Проектную и Рабочую документацию по Объекту: «Реконструкция АТТК Тойота, расположенного по адресу: г. Москва, с/п Сосенское, 2 887 м2.</t>
  </si>
  <si>
    <t>0,0%</t>
  </si>
  <si>
    <t xml:space="preserve">1. Услуги Технического эксперта при проведении строительно-монтажных работ по объекту: "Развитие инфраструктуры железнодорожного транспорта общего пользования на станции Людиново-1 Московской железной дороги" 
2. Услуги   по осуществлению строительного контроля объекта капитального строительства, в помещениях, расположенных по адресу: г. Москва, ул. Большая Молчановка, д. 21А, подвальный, 1, 2, 3 этажи, ООО СТЗ,7 000 м2
3. Услуги Технического эксперта при проведении строительно-монтажных работ по объекту: "Соединительный железнодорожный путь необщего пользования от станции Людиново-1 Московской железной дороги до границы Площадки ОЭЗ ППТ "Калуга". 
</t>
  </si>
  <si>
    <t xml:space="preserve">1. Функции строительного контроля технического заказчика Объекта " Деревянные частные виллы-шале с Термальным центром, расположенные на территории Всесезонного курорта «Манжерок», 15 511 м2.
2. Функции строительного контроля за выполнением Проектных работ и строительно-монтажных работ по переоборудованию Объекта и переустройству инженерных систем Объекта "Ситуационного центра SCS, расположенные в здании ПАО Сбербанк, Москва, 2040 м2.
3. Оказание услуг по строительному контролю при выполнении работ на подведомственных Москомспорту Учреждениях, направленных на развитие объектов спортивной инфраструктуры, 39 500 м2.
4. Функции строительного контроля и технического заказчика при реконструкции Объекта: «Городской детский парк имени Щорса» , г. Луганск, 3,5 Га.
5. Осуществление строительного контроля за выполнением строительно-монтажных работ на объекте «Реконструкция объектов морского терминала «Сероглазка» в административных границах Петропавловск-Камчатского морского порта», мощностью 25 тысяч тонн единовременного хранения и пропускной способностью для рефрижераторных грузов – свыше 300 тысяч тонн в год.
6. Управление проектом и выполнение функций технического заказчика и строительного контроля по проекту: «Многофункциональный гостиничный кмоплекс", г. Владивосток, ул. Державина, д. 17», 14 900 м2.
7. Управление проектом и выполнение функций технического заказчика и строительного контроля по проекту:«Многофункциональный гостиничный кмоплекс", г. Калининград, 12 797 м2.
8. Управление проектом и выполнение функций технического заказчика и строительного контроля по проекту:«Многофункциональный гостиничный кмоплекс", г. Кемерово, 17 558 м2.
</t>
  </si>
  <si>
    <t>1. Услуги по осуществлению функций технического заказчика при проектировании объета ПАО НПО "Наука": Испытательный комплекс 2, Владимирская область, 5187,0 м²
2. Оказание услуг по строительному контролю при выполнение строительно-монтажных работ в недостроенном Жилом комплексе «Сказочный лес», расположенном по адресу: г. Москва, Лосиноостровская ул., вл45к1, 1 корпус - 35535 кв.м.; 2 корпус - 35 674 кв.м.; 3 корпус - 33 307 кв.м.; 4 корпус - 33 653 кв.м., ДДОУ - 2 902 кв.м.
3. Функции технического заказчика и проведение строительного контроля при Реализации первого и второго этапа строительства первой очереди Проекта "Комплексный туристический проект «Новый Шерегеш», 446 номеров, Кемеровская область, 51 000 м2.
4. Услуги по строительному контролю за выполнением работ, в рамках реализации проекта: «Горнодобывающее и перерабатывающее предприятие на базе золоторудного месторождения Хангалас, 5 100 м2.
5. Функции Технического заказчика в части экологического сопровождения Объектов ООПТ «Воробьевы горы», 2 500 м2.
6. Управление проектом и выполнение функций технического заказчика по проекту: «Многофункциональный комплекс, по адресу: Кабардино-Балкарская Республика, Эльбрусский р-н, 39 000 м2.
7.Услуги по осуществлению функций Технического заказчика и строительного контроля  строительства ЦОД, Пермь,  Площадка включает 2 объекта: 1) здание бывшего цеха (износ 72%) площадью 1471 м2.; 2) земельный участок площадью 1,7 Га.
8. Услуги строительного контроля  по организации приемки Объектов и МОП с выполненной Отделкой, комплекс зданий гостиничного типа «Студенческий квартал», включающий в себя 9 корпусов (№№ 1-9) по адресу: г. Москва, Территория инновационного центра «Сколково», 13 212 м2.</t>
  </si>
  <si>
    <t>Указать дату создания компании, если входит в группу компаний или была переименована- указать!</t>
  </si>
  <si>
    <t>Общество с ограниченной ответственностью «Спектрум-Холдинг»</t>
  </si>
  <si>
    <t xml:space="preserve">Наталия Винниченко
Менеджер по развитию бизнеса 
</t>
  </si>
  <si>
    <t xml:space="preserve">T: +7 (495) 981-6888 | M: +7(926)717-07-94 </t>
  </si>
  <si>
    <t xml:space="preserve"> E: vinnichenko@spgr.ru</t>
  </si>
  <si>
    <t>13 мая 2002 года</t>
  </si>
  <si>
    <t xml:space="preserve">Приложена 2. Справка о перечне и объемах выполнения основных Проектов
</t>
  </si>
  <si>
    <t xml:space="preserve">Подтвердить 
(Резюме на команду готовы предоставить по дополнительному запросу). Пока предоставили штатное расписание и количество сотрудников НОПРИЗ и НОСТРОЙ
</t>
  </si>
  <si>
    <t xml:space="preserve">Приложение информационное письмо об отсутствии кредитов и спрвка ИФНС
</t>
  </si>
  <si>
    <t xml:space="preserve">Приложена справка Судебные споры СХ на 04.07.2025. 
</t>
  </si>
  <si>
    <t xml:space="preserve">Наталия Винниченко
Менеджер по развитию бизнеса </t>
  </si>
  <si>
    <t>356,66 </t>
  </si>
  <si>
    <t>547,01 </t>
  </si>
  <si>
    <t> 660,88</t>
  </si>
  <si>
    <t> 890,05</t>
  </si>
  <si>
    <t>1203,26 </t>
  </si>
  <si>
    <t>Приложена "2. Справка о перечне и объемах выполнения основных Проектов"</t>
  </si>
  <si>
    <t>Общество с ограниченной ответсвенность "Ди Би Си Констракшн"</t>
  </si>
  <si>
    <t>Общая система налогообложения, 20%</t>
  </si>
  <si>
    <t>Харитонов Владимир Дмитриевич</t>
  </si>
  <si>
    <t xml:space="preserve">8(963)628-94-25 
</t>
  </si>
  <si>
    <t xml:space="preserve">Vladimir.Haritonov@dbc.ru </t>
  </si>
  <si>
    <t>2011 г.</t>
  </si>
  <si>
    <t>-</t>
  </si>
  <si>
    <t>Прилагается</t>
  </si>
  <si>
    <t xml:space="preserve">Подтверждаем
</t>
  </si>
  <si>
    <t>Отсуствует</t>
  </si>
  <si>
    <t xml:space="preserve">1 судебный спор на текущий момент с поставщиком.  В справке подробно прилагается. </t>
  </si>
  <si>
    <t xml:space="preserve">8(963)628-94-25 </t>
  </si>
  <si>
    <t xml:space="preserve"> СТРЦ "МЕГА Теплый стан" / Управление проектом, Технический заказчик, Строительный контроль, Москва, 400 000 м2.</t>
  </si>
  <si>
    <t>Аэровокзальный комплекс Аэропорта "Геленджик" / Управление проектом, Технический заказчик, Строительный контроль, г. Геленджик, 16 700 м2.</t>
  </si>
  <si>
    <t>ТРЦ "Винный Город" / Управление проектом, Технический заказчик, Строительный контроль,
 г. Геленджик, 22 000 м2.</t>
  </si>
  <si>
    <t>Офис JetBrains / Строительный контроль, г. Санкт-Петербург, 37 700 м2.</t>
  </si>
  <si>
    <t>Мультифункциональный комплекс «Мир в огне» / Управление проектом, Технический заказчик, Строительный контроль,
 г. Верхняя Пышма, 42 500 м2.</t>
  </si>
  <si>
    <t>Многофункциональный центр "Охта"/ Строительный контроль, г. Санкт-Петербург, 165 000 м3.</t>
  </si>
  <si>
    <t>ООО "Николиерс Управление Строительством"</t>
  </si>
  <si>
    <t>НДС</t>
  </si>
  <si>
    <t>Эрген Виктория_Специалист по работе с тендерами</t>
  </si>
  <si>
    <t>victoria.ergen@nikoliers.ru</t>
  </si>
  <si>
    <t>нет</t>
  </si>
  <si>
    <t>будет направлено позднее</t>
  </si>
  <si>
    <t>Референц лист в приложении к анкете</t>
  </si>
  <si>
    <t>Общество с ограниченной ответственностью «КОР ЭКС ПИ»</t>
  </si>
  <si>
    <t>Общая система налогооблажения, 20% НДС</t>
  </si>
  <si>
    <t xml:space="preserve">Каплун Михаил Всеволодович </t>
  </si>
  <si>
    <t>7 495 258 39 90</t>
  </si>
  <si>
    <t>michael.kaplun@core-xp.ru</t>
  </si>
  <si>
    <t>С 08.11.2005 по 10.01.2007 - ООО "Эн Джи Холдинг"
С 11.01.2007 по 11.04.2022 - ООО "Си Би Ричард Эллис", 2022-по настоящее время - ООО "КОР ЭКС ПИ"</t>
  </si>
  <si>
    <t>187174/8,15%</t>
  </si>
  <si>
    <t>162021/11,70%</t>
  </si>
  <si>
    <t>201021/11,90%</t>
  </si>
  <si>
    <t>237113/14,49%</t>
  </si>
  <si>
    <t>206651/11,08%</t>
  </si>
  <si>
    <t>346835/13,79%</t>
  </si>
  <si>
    <r>
      <t>1.</t>
    </r>
    <r>
      <rPr>
        <b/>
        <sz val="10"/>
        <color rgb="FFFF0000"/>
        <rFont val="Calibri"/>
        <family val="2"/>
        <charset val="204"/>
        <scheme val="minor"/>
      </rPr>
      <t>Револют</t>
    </r>
    <r>
      <rPr>
        <sz val="10"/>
        <color rgb="FFFF0000"/>
        <rFont val="Calibri"/>
        <family val="2"/>
        <scheme val="minor"/>
      </rPr>
      <t>, г.Спб, 2000 кв.м, Услуги по управлению проектом внутренней отделки помещений. 2.</t>
    </r>
    <r>
      <rPr>
        <b/>
        <sz val="10"/>
        <color rgb="FFFF0000"/>
        <rFont val="Calibri"/>
        <family val="2"/>
        <charset val="204"/>
        <scheme val="minor"/>
      </rPr>
      <t>Хоневелл</t>
    </r>
    <r>
      <rPr>
        <sz val="10"/>
        <color rgb="FFFF0000"/>
        <rFont val="Calibri"/>
        <family val="2"/>
        <scheme val="minor"/>
      </rPr>
      <t xml:space="preserve"> ,г.Мск, управление проектом внутренней отделки, Консультант  3.</t>
    </r>
    <r>
      <rPr>
        <b/>
        <sz val="10"/>
        <color rgb="FFFF0000"/>
        <rFont val="Calibri"/>
        <family val="2"/>
        <charset val="204"/>
        <scheme val="minor"/>
      </rPr>
      <t>Озон</t>
    </r>
    <r>
      <rPr>
        <sz val="10"/>
        <color rgb="FFFF0000"/>
        <rFont val="Calibri"/>
        <family val="2"/>
        <scheme val="minor"/>
      </rPr>
      <t>, г. Мск, офис, Строительный контроль за полным комплексом строительно-монтажных работ по ремонту, в том числе капитальному 4.</t>
    </r>
    <r>
      <rPr>
        <b/>
        <sz val="10"/>
        <color rgb="FFFF0000"/>
        <rFont val="Calibri"/>
        <family val="2"/>
        <charset val="204"/>
        <scheme val="minor"/>
      </rPr>
      <t>INNIO</t>
    </r>
    <r>
      <rPr>
        <sz val="10"/>
        <color rgb="FFFF0000"/>
        <rFont val="Calibri"/>
        <family val="2"/>
        <scheme val="minor"/>
      </rPr>
      <t>, г.Мск, 2 271,4 кв.м , Генеральный подрядчик  5.</t>
    </r>
    <r>
      <rPr>
        <b/>
        <sz val="10"/>
        <color rgb="FFFF0000"/>
        <rFont val="Calibri"/>
        <family val="2"/>
        <charset val="204"/>
        <scheme val="minor"/>
      </rPr>
      <t>Porshe Russland</t>
    </r>
    <r>
      <rPr>
        <sz val="10"/>
        <color rgb="FFFF0000"/>
        <rFont val="Calibri"/>
        <family val="2"/>
        <scheme val="minor"/>
      </rPr>
      <t xml:space="preserve"> , г.Мск, 7500 кв., управление проектом реконструкции  6.</t>
    </r>
    <r>
      <rPr>
        <b/>
        <sz val="10"/>
        <color rgb="FFFF0000"/>
        <rFont val="Calibri"/>
        <family val="2"/>
        <charset val="204"/>
        <scheme val="minor"/>
      </rPr>
      <t>AstraZeneca</t>
    </r>
    <r>
      <rPr>
        <sz val="10"/>
        <color rgb="FFFF0000"/>
        <rFont val="Calibri"/>
        <family val="2"/>
        <scheme val="minor"/>
      </rPr>
      <t xml:space="preserve"> , г.Мск, 2509 кв. м, Управление проектом внутренней отделки </t>
    </r>
  </si>
  <si>
    <r>
      <t xml:space="preserve">1.Офис </t>
    </r>
    <r>
      <rPr>
        <b/>
        <sz val="10"/>
        <color rgb="FFFF0000"/>
        <rFont val="Calibri"/>
        <family val="2"/>
        <charset val="204"/>
        <scheme val="minor"/>
      </rPr>
      <t>Такеда</t>
    </r>
    <r>
      <rPr>
        <sz val="10"/>
        <color rgb="FFFF0000"/>
        <rFont val="Calibri"/>
        <family val="2"/>
        <scheme val="minor"/>
      </rPr>
      <t xml:space="preserve">, г.Мск, 4 800 кв.м, Услуги по управлению проектом переоборудования и косметического ремонта помещений, 2.Офис </t>
    </r>
    <r>
      <rPr>
        <b/>
        <sz val="10"/>
        <color rgb="FFFF0000"/>
        <rFont val="Calibri"/>
        <family val="2"/>
        <charset val="204"/>
        <scheme val="minor"/>
      </rPr>
      <t>Альфа-Банк</t>
    </r>
    <r>
      <rPr>
        <sz val="10"/>
        <color rgb="FFFF0000"/>
        <rFont val="Calibri"/>
        <family val="2"/>
        <scheme val="minor"/>
      </rPr>
      <t xml:space="preserve">, г.Екатеренбург, 10 546,10 кв.м, Консультант , 3. </t>
    </r>
    <r>
      <rPr>
        <b/>
        <sz val="10"/>
        <color rgb="FFFF0000"/>
        <rFont val="Calibri"/>
        <family val="2"/>
        <charset val="204"/>
        <scheme val="minor"/>
      </rPr>
      <t xml:space="preserve">Hasbro </t>
    </r>
    <r>
      <rPr>
        <sz val="10"/>
        <color rgb="FFFF0000"/>
        <rFont val="Calibri"/>
        <family val="2"/>
        <scheme val="minor"/>
      </rPr>
      <t xml:space="preserve">, г. Мск, 1000 кв.м, управление проектом внутренней отделки, 4. </t>
    </r>
    <r>
      <rPr>
        <b/>
        <sz val="10"/>
        <color rgb="FFFF0000"/>
        <rFont val="Calibri"/>
        <family val="2"/>
        <charset val="204"/>
        <scheme val="minor"/>
      </rPr>
      <t>АО "ОДК"</t>
    </r>
    <r>
      <rPr>
        <sz val="10"/>
        <color rgb="FFFF0000"/>
        <rFont val="Calibri"/>
        <family val="2"/>
        <scheme val="minor"/>
      </rPr>
      <t>, г.Мск, 6 369кв.м, Технический заказчик, 5.</t>
    </r>
    <r>
      <rPr>
        <b/>
        <sz val="10"/>
        <color rgb="FFFF0000"/>
        <rFont val="Calibri"/>
        <family val="2"/>
        <charset val="204"/>
        <scheme val="minor"/>
      </rPr>
      <t>Росбанк</t>
    </r>
    <r>
      <rPr>
        <sz val="10"/>
        <color rgb="FFFF0000"/>
        <rFont val="Calibri"/>
        <family val="2"/>
        <scheme val="minor"/>
      </rPr>
      <t xml:space="preserve">, гМск, управление проектом внутренней отделки, </t>
    </r>
  </si>
  <si>
    <r>
      <t xml:space="preserve">1. офис </t>
    </r>
    <r>
      <rPr>
        <b/>
        <sz val="10"/>
        <color rgb="FFFF0000"/>
        <rFont val="Calibri"/>
        <family val="2"/>
        <charset val="204"/>
        <scheme val="minor"/>
      </rPr>
      <t>Action Development</t>
    </r>
    <r>
      <rPr>
        <sz val="10"/>
        <color rgb="FFFF0000"/>
        <rFont val="Calibri"/>
        <family val="2"/>
        <scheme val="minor"/>
      </rPr>
      <t xml:space="preserve">, г.Мск, 23 917 кв.м, управление проектом внутренней отделки, 2.офис </t>
    </r>
    <r>
      <rPr>
        <b/>
        <sz val="10"/>
        <color rgb="FFFF0000"/>
        <rFont val="Calibri"/>
        <family val="2"/>
        <charset val="204"/>
        <scheme val="minor"/>
      </rPr>
      <t>IQVIA</t>
    </r>
    <r>
      <rPr>
        <sz val="10"/>
        <color rgb="FFFF0000"/>
        <rFont val="Calibri"/>
        <family val="2"/>
        <scheme val="minor"/>
      </rPr>
      <t xml:space="preserve">, г.Мск, 1500 кв ., управление проектом внутренней отделки, 3. Офис </t>
    </r>
    <r>
      <rPr>
        <b/>
        <sz val="10"/>
        <color rgb="FFFF0000"/>
        <rFont val="Calibri"/>
        <family val="2"/>
        <charset val="204"/>
        <scheme val="minor"/>
      </rPr>
      <t>Deutsche Bank</t>
    </r>
    <r>
      <rPr>
        <sz val="10"/>
        <color rgb="FFFF0000"/>
        <rFont val="Calibri"/>
        <family val="2"/>
        <scheme val="minor"/>
      </rPr>
      <t xml:space="preserve">, г.Мск, 2197,68 кв. м, услуги по техническому аудиту, 4. Офис </t>
    </r>
    <r>
      <rPr>
        <b/>
        <sz val="10"/>
        <color rgb="FFFF0000"/>
        <rFont val="Calibri"/>
        <family val="2"/>
        <charset val="204"/>
        <scheme val="minor"/>
      </rPr>
      <t>British Petroleum Russia</t>
    </r>
    <r>
      <rPr>
        <sz val="10"/>
        <color rgb="FFFF0000"/>
        <rFont val="Calibri"/>
        <family val="2"/>
        <scheme val="minor"/>
      </rPr>
      <t xml:space="preserve">, г.Мск, 1 720 кв. м, Строительный контроль 5.Офис </t>
    </r>
    <r>
      <rPr>
        <b/>
        <sz val="10"/>
        <color rgb="FFFF0000"/>
        <rFont val="Calibri"/>
        <family val="2"/>
        <charset val="204"/>
        <scheme val="minor"/>
      </rPr>
      <t>Viartis</t>
    </r>
    <r>
      <rPr>
        <sz val="10"/>
        <color rgb="FFFF0000"/>
        <rFont val="Calibri"/>
        <family val="2"/>
        <scheme val="minor"/>
      </rPr>
      <t xml:space="preserve"> , г.Мск, 1113 кв.м</t>
    </r>
  </si>
  <si>
    <r>
      <t xml:space="preserve">1.офис </t>
    </r>
    <r>
      <rPr>
        <b/>
        <sz val="10"/>
        <color rgb="FFFF0000"/>
        <rFont val="Calibri"/>
        <family val="2"/>
        <charset val="204"/>
        <scheme val="minor"/>
      </rPr>
      <t>Velkom</t>
    </r>
    <r>
      <rPr>
        <sz val="10"/>
        <color rgb="FFFF0000"/>
        <rFont val="Calibri"/>
        <family val="2"/>
        <scheme val="minor"/>
      </rPr>
      <t xml:space="preserve">, г.Истра, мск.обл, 21 406 кв.м, Технический заказчик, 2.офис </t>
    </r>
    <r>
      <rPr>
        <b/>
        <sz val="10"/>
        <color rgb="FFFF0000"/>
        <rFont val="Calibri"/>
        <family val="2"/>
        <charset val="204"/>
        <scheme val="minor"/>
      </rPr>
      <t>Яндекс.Такси</t>
    </r>
    <r>
      <rPr>
        <sz val="10"/>
        <color rgb="FFFF0000"/>
        <rFont val="Calibri"/>
        <family val="2"/>
        <scheme val="minor"/>
      </rPr>
      <t xml:space="preserve">, г.Мск, 6 600 кв.м, Технический заказчик, 3.офис </t>
    </r>
    <r>
      <rPr>
        <b/>
        <sz val="10"/>
        <color rgb="FFFF0000"/>
        <rFont val="Calibri"/>
        <family val="2"/>
        <charset val="204"/>
        <scheme val="minor"/>
      </rPr>
      <t>Райффайзенбанк</t>
    </r>
    <r>
      <rPr>
        <sz val="10"/>
        <color rgb="FFFF0000"/>
        <rFont val="Calibri"/>
        <family val="2"/>
        <scheme val="minor"/>
      </rPr>
      <t xml:space="preserve">, г.Мск, 34 000 кв.м, Консультант , 4. офис </t>
    </r>
    <r>
      <rPr>
        <b/>
        <sz val="10"/>
        <color rgb="FFFF0000"/>
        <rFont val="Calibri"/>
        <family val="2"/>
        <charset val="204"/>
        <scheme val="minor"/>
      </rPr>
      <t xml:space="preserve">Porsche Russland </t>
    </r>
    <r>
      <rPr>
        <sz val="10"/>
        <color rgb="FFFF0000"/>
        <rFont val="Calibri"/>
        <family val="2"/>
        <scheme val="minor"/>
      </rPr>
      <t xml:space="preserve">, г.Мск, 8 610 кв.м, Технический заказчик </t>
    </r>
  </si>
  <si>
    <r>
      <t>1.</t>
    </r>
    <r>
      <rPr>
        <b/>
        <sz val="10"/>
        <color rgb="FFFF0000"/>
        <rFont val="Calibri"/>
        <family val="2"/>
        <charset val="204"/>
        <scheme val="minor"/>
      </rPr>
      <t xml:space="preserve"> АО «Райффайзенбанк»,</t>
    </r>
    <r>
      <rPr>
        <sz val="10"/>
        <color rgb="FFFF0000"/>
        <rFont val="Calibri"/>
        <family val="2"/>
        <scheme val="minor"/>
      </rPr>
      <t xml:space="preserve">  (Мск, 6 000 кв.м, Технический заказчик, Строительный контроль) 2.</t>
    </r>
    <r>
      <rPr>
        <b/>
        <sz val="10"/>
        <color rgb="FFFF0000"/>
        <rFont val="Calibri"/>
        <family val="2"/>
        <charset val="204"/>
        <scheme val="minor"/>
      </rPr>
      <t>Административный офис ПАО «МТС»</t>
    </r>
    <r>
      <rPr>
        <sz val="10"/>
        <color rgb="FFFF0000"/>
        <rFont val="Calibri"/>
        <family val="2"/>
        <scheme val="minor"/>
      </rPr>
      <t xml:space="preserve"> (Мск, 35 852 кв.м, Технический заказчик) 3. </t>
    </r>
    <r>
      <rPr>
        <b/>
        <sz val="10"/>
        <color rgb="FFFF0000"/>
        <rFont val="Calibri"/>
        <family val="2"/>
        <charset val="204"/>
        <scheme val="minor"/>
      </rPr>
      <t>ИТМС</t>
    </r>
    <r>
      <rPr>
        <sz val="10"/>
        <color rgb="FFFF0000"/>
        <rFont val="Calibri"/>
        <family val="2"/>
        <scheme val="minor"/>
      </rPr>
      <t xml:space="preserve">(BAT), г.Мск, 4 430 кв.м, услуги по управлению проектом внутренней отделки, </t>
    </r>
  </si>
  <si>
    <r>
      <t xml:space="preserve">1.Офисное помещение ООО "Грэйс Пропертис"(KEPT), (Мск, 10 423 кв.м, Технический заказчик) 2.Офис ООО "Каргилл", (Мск, 1 506 кв.м, технический заказчик) , 3.офис </t>
    </r>
    <r>
      <rPr>
        <b/>
        <sz val="10"/>
        <color rgb="FFFF0000"/>
        <rFont val="Calibri"/>
        <family val="2"/>
        <charset val="204"/>
        <scheme val="minor"/>
      </rPr>
      <t xml:space="preserve">Итерсерч Солюшнс(Яндекс) </t>
    </r>
    <r>
      <rPr>
        <sz val="10"/>
        <color rgb="FFFF0000"/>
        <rFont val="Calibri"/>
        <family val="2"/>
        <scheme val="minor"/>
      </rPr>
      <t xml:space="preserve">,(г.Мск, 3 600 кв.м, Технический заказчик ), 4.Центр подготовки национальной сборной команды по футболу, </t>
    </r>
    <r>
      <rPr>
        <b/>
        <sz val="10"/>
        <color rgb="FFFF0000"/>
        <rFont val="Calibri"/>
        <family val="2"/>
        <charset val="204"/>
        <scheme val="minor"/>
      </rPr>
      <t>Российский футбольный союз,</t>
    </r>
    <r>
      <rPr>
        <sz val="10"/>
        <color rgb="FFFF0000"/>
        <rFont val="Calibri"/>
        <family val="2"/>
        <scheme val="minor"/>
      </rPr>
      <t xml:space="preserve"> г.Мск, Технический заказчик 30 000 кв.м, </t>
    </r>
  </si>
  <si>
    <t xml:space="preserve">Общество с ограниченной ответственностью «Комонвелс Партнершип» </t>
  </si>
  <si>
    <t>Старший директор, Руководитель направления отделки помещений Департамента Управление строительными проектами, Болотников Павел Андреевич</t>
  </si>
  <si>
    <t>Т: +7 495 797 9600, М: +7 916 702 6551</t>
  </si>
  <si>
    <t>reception@cmwp.ru, pavel.bolotnikov@cmwp.ru, pavel.yakimchuk@cmwp.ru.</t>
  </si>
  <si>
    <t>27.12.2004 - ООО "Кушман энд Вэйкфилд". С 28 июня 2022 - ООО "Комонвелс"</t>
  </si>
  <si>
    <t xml:space="preserve">Корпоративный университет НЛМК / строительство  (Липецк, 11 000 м2,  Тех.Заказчик/Строительный контроль) </t>
  </si>
  <si>
    <t>Московский офис компании ОТЭКО / внутренняя отделка помещений  (Москва, 9 000 м2,  Тех.Заказчик/Строительный контроль)</t>
  </si>
  <si>
    <t>Центральный офис компании Nestle по региону СНГ / внутренняя отделка помещений  (Москва, 10 000 м2, Тех.Заказчик/Строительный контроль)</t>
  </si>
  <si>
    <t>Бизнес-центр ООО ЭКТО, Москва, 18 000 м2, Технический заказчик, стройконтроль)</t>
  </si>
  <si>
    <t>ТЦ на Новой Риге ООО ЭКТО/ Московская область, р-н Красногорский, 16 000-22 000 м2 Технический заказчик, стройконтроль)</t>
  </si>
  <si>
    <t>ОБЩЕСТВО С ОГРАНИЧЕННОЙ ОТВЕТСТВЕННОСТЬЮ "ВОСХОД"</t>
  </si>
  <si>
    <t>Лавринов Григорий Геннадьевич</t>
  </si>
  <si>
    <t>8 985 171 22 95</t>
  </si>
  <si>
    <t>lavrinov.g.g@voshodmoscow.ru</t>
  </si>
  <si>
    <t xml:space="preserve">Дело № А43-27419/2015. Несмотря на то, что ООО "Восход" было включено заявителем в состав ответчиков по спору об оспаривании сделок в рамках дела о банкротстве ООО "Консорциум", данное лицо, как было установлено вступившими в силу судебными актами по делу №А43-30328/2022, не является стороной оспариваемых сделок. Таким образом, в рамках рассмотрения спора ООО "Восход" не может быть понуждено к возврату какого-либо имущества или выплате каких-либо денежных средств, поскольку ООО "Восход" по оспариваемым сделкам никакого имущества не приобрело.
</t>
  </si>
  <si>
    <t xml:space="preserve"> - </t>
  </si>
  <si>
    <t>1. Жилой комплекс элитного класса, строительство Armani Casa Moscow Residences
г. Москва, пер. Старомонетный, 19 (10 400м2, Заказчик-Девелопер)</t>
  </si>
  <si>
    <t xml:space="preserve">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t>
  </si>
  <si>
    <t xml:space="preserve">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3. AHEAD
г. Москва, ул. Василисы Кожиной, 25 (25 000м2, заказчик-девелопер) 
4. Cheval Court
г. Санкт-Петербург, пл. Конюшенная, 2 (7 400 м2, заказчик-девелопер), </t>
  </si>
  <si>
    <t>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3. AHEAD
г. Москва, ул. Василисы Кожиной, 25 (25 000м2, заказчик-девелопер) 
4. Cheval Court
г. Санкт-Петербург, пл. Конюшенная, 2 (7 400 м2, заказчик-девелопер),
5. Nobu Restaurant, Hotel&amp; Residences
ОАЭ, Рас-Аль-Хайм (80 000м2);</t>
  </si>
  <si>
    <t>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3. AHEAD
г. Москва, ул. Василисы Кожиной, 25 (25 000м2, заказчик-девелопер) 
4. Cheval Court
г. Санкт-Петербург, пл. Конюшенная, 2 (7 400 м2, заказчик-девелопер), 
5. Nobu Restaurant, Hotel&amp; Residences
ОАЭ, Рас-Аль-Хайм (80 000м2); 
6. Центральный Телеграф
г. Москва, ул. Тверская, 7 (76 500м2,FEE-DEVELOPER).</t>
  </si>
  <si>
    <t>Общество с ограниченной ответственностью "НФ Проперти Менеджмент"</t>
  </si>
  <si>
    <t>ОСНО, 20%</t>
  </si>
  <si>
    <t>Аношин Алексей Владимирович</t>
  </si>
  <si>
    <t xml:space="preserve"> Alexey.Anoshin@nfpm.expert </t>
  </si>
  <si>
    <t>2013 г. (ООО "Найт Фрэнк ПИЭМ"), 
2022 г. (ООО "НФ Проперти Менеджмент")</t>
  </si>
  <si>
    <t>29,55/13,3%</t>
  </si>
  <si>
    <t>50,56/17%</t>
  </si>
  <si>
    <t>105,49/23,7%</t>
  </si>
  <si>
    <t>110,56/18,06%</t>
  </si>
  <si>
    <t>196,63/22,22%</t>
  </si>
  <si>
    <t>388,68/33,05%</t>
  </si>
  <si>
    <t>1. Научно-производственный комплекс «КРУНИТ» / строительство (Мск,  16 000 м2, Строительный контроль)</t>
  </si>
  <si>
    <t>1. Офисные помещения для компании «Альфа-Банк» / отделка офисных помещений (Мск, 3 770 м2, строительный контроль)</t>
  </si>
  <si>
    <t>1. Офисные помещения ПАО «СПБ Биржа» (управление проектом отделки, Мск, 4200 м2)
2. Офисные помещения для компании «Альфа-Банк»  (Мск, 3 770 м2, строительный контроль)</t>
  </si>
  <si>
    <t xml:space="preserve">1. МФК «ЛАХТА ЦЕНТР» (фаза 1) / отделка офисных помещений (Спб, 66 700 м2, строительный контроль)                                            2. Офисные помещения для компании «Альфа-Банк» / отделка офисных помещений (Екб, 10 550 м2, строительный контроль)                            3. Офисные помещения для компании «Альфа-Банк» / отделка офисных помещений (Барнаул, 5 230 м2, строительный контроль)                         4. Офисные помещения для компании «Альфа-Банк» / отделка офисных помещений (Ульяновск, 6 000 м2, строительный контроль) </t>
  </si>
  <si>
    <t>1. Торгово-развлекательный комплекс «Одинцовопарк» / строительство (Московская обл., 32 500 м2,  Технический заказчик)                                     2. Медиацентр "СПАС" / строительство (Мск, 9 400 м2, Технический заказчик)
3. Дом Зингер/ реновация помещений штаб-квартиры компании (Спб, 2 600 м2, управление проектом, строительный контроль)
4. Производственные помещения для биофарм.компании/новое кап.строительство (МО, 18 000 м2)</t>
  </si>
  <si>
    <t xml:space="preserve">1. Номерной фонд класса «люкс» в гостинице с МФК / строительство (Мск, 33 000 м2, тех. заказчик)                          2. Административные помещения для АО «Альфа-Банк» / отделка офисных помещений (Мск, 21 100 м2, строительный контроль)
3. ЖК «G3 Театральный»/ новое кап.строительство (МО, 85 000 м2, строительный контроль
</t>
  </si>
  <si>
    <t>1. Офисные помещения в БЦ М22/отделка офисных помещений (Спб, 9 000 м2, Технический заказчик, включая строительный контроль)
2. ЖК с МФК/ Москва, 64 650 м2 , Технический заказчик на всех этапах проектирования и строительства, включая строительный контроль
3. 3. Распределительный центр для компании "КОМУС" (Спб, 40 000 м2, Технический заказчик)</t>
  </si>
  <si>
    <t xml:space="preserve">Общество с ограниченной ответственностью 
«СР. ДЕВЕЛОПМЕНТ» </t>
  </si>
  <si>
    <t>ОСН, 20 %НДС</t>
  </si>
  <si>
    <t>Пичугина Светлана Леонидовна, менеджер по развитию бизнеса, 
 +7 (915) 378-21-29, s.pichugina@severindevelopment.ru</t>
  </si>
  <si>
    <t xml:space="preserve">+7(495) 545-44-01 </t>
  </si>
  <si>
    <t>info@severindevelopment.ru</t>
  </si>
  <si>
    <t>565,8/
49,9%
(по группе компаний)</t>
  </si>
  <si>
    <t>636,293/33%
(по группе компаний)</t>
  </si>
  <si>
    <t> 1 083 /82% 
(по группе компаний)</t>
  </si>
  <si>
    <t> 1 501,07 /92% 
(по группе компаний)</t>
  </si>
  <si>
    <t> 1 287,85 / 55%
(по группе компаний)</t>
  </si>
  <si>
    <t>1 959,56 / 64%
(по группе компаний)</t>
  </si>
  <si>
    <t>1. Офисный комплекс класса "А",  г. Москва, 
18 500 кв. м
Технический заказчик
2.Реконструкция и ремонт башни «Евразия», г. Москва, 
193 400 кв. м. Технический зказчик, строительный контроль</t>
  </si>
  <si>
    <t>Общественно-деловой центр «I-CITY» с паркингом,
адрес: Москва, ТПУ «СИТИ», 85 000 кв. м
Технический заказчик</t>
  </si>
  <si>
    <t>Многофункциональный офисный комплекс «Центр международной торговли», 3-я очередь строительства ЦМТ", г. Москва, 101 592,1 кв. м
Технический заказчик</t>
  </si>
  <si>
    <t>Реконструкция телевизионного комплекса НТВ по адресу: г. Москва, ул. Новомосковская, вл. 18-22
Технический заказчик</t>
  </si>
  <si>
    <t>Многофункциональный гостиничный комплекс с конгресс-центром по ул.Сибгата Хакима.  г.Казань, 300 000 кв. м. Технический заказчик</t>
  </si>
  <si>
    <t>Международный многофункциональный общественный центр на территории «Золотая миля», Амурская область, г. Благовещенск. Площадь застройки: 
10 500 кв. м
Технический заказчик</t>
  </si>
  <si>
    <t>Общество с ограниченной ответственностью «Инжиниринговая корпорация «ИРБИС»</t>
  </si>
  <si>
    <t>УСН (7%)</t>
  </si>
  <si>
    <t xml:space="preserve">Коммерческий директор
Почекутова Инна Дмитриевна
</t>
  </si>
  <si>
    <t>тел. 8 (911) 930 30 91</t>
  </si>
  <si>
    <t>pochekutova@irbiscompany.ru</t>
  </si>
  <si>
    <t>Дата создания компании,</t>
  </si>
  <si>
    <t>Опыт управления аналогичными проектами по объему и сложности работ в Москве и/или СПб</t>
  </si>
  <si>
    <t xml:space="preserve">да
</t>
  </si>
  <si>
    <t>Отсутствие проблемной налоговой и/или кредитной задолженности</t>
  </si>
  <si>
    <t>Отсутствие судебных споров в качестве ответчика</t>
  </si>
  <si>
    <t>37,44/48%</t>
  </si>
  <si>
    <t>71,5/75%</t>
  </si>
  <si>
    <t>117,97/71%</t>
  </si>
  <si>
    <t>135,26/58%</t>
  </si>
  <si>
    <t>128,22/42%</t>
  </si>
  <si>
    <t>240,75/60%</t>
  </si>
  <si>
    <t>Референс лист прилагается</t>
  </si>
  <si>
    <t>Общество с ограниченной ответственностью «АКРОН Девелопмент»</t>
  </si>
  <si>
    <t>ОСН, НДС 20%</t>
  </si>
  <si>
    <t>Тодощук Алексей Юрьевич</t>
  </si>
  <si>
    <t>8.903.755.25.53</t>
  </si>
  <si>
    <t>a.todoschuk@akron-development.ru</t>
  </si>
  <si>
    <r>
      <t xml:space="preserve">Соответствие требованиям
 </t>
    </r>
    <r>
      <rPr>
        <b/>
        <sz val="10"/>
        <rFont val="Arial Narrow"/>
        <family val="2"/>
        <charset val="204"/>
      </rPr>
      <t>(ответ поставщика)</t>
    </r>
  </si>
  <si>
    <t>Дата создания 30.03.2009</t>
  </si>
  <si>
    <t xml:space="preserve">см презентационные материалы 
</t>
  </si>
  <si>
    <t xml:space="preserve">Подтверждаем формирование компанды проекта с численным составом до  15  чел и более при необходимости
</t>
  </si>
  <si>
    <r>
      <rPr>
        <b/>
        <sz val="10"/>
        <rFont val="Arial Narrow"/>
        <family val="2"/>
        <charset val="204"/>
      </rPr>
      <t>Годовой оборот компании</t>
    </r>
    <r>
      <rPr>
        <sz val="10"/>
        <rFont val="Arial Narrow"/>
        <family val="2"/>
        <charset val="204"/>
      </rPr>
      <t xml:space="preserve"> (юр. лицо участника тендера) </t>
    </r>
    <r>
      <rPr>
        <b/>
        <sz val="10"/>
        <rFont val="Arial Narrow"/>
        <family val="2"/>
        <charset val="204"/>
      </rPr>
      <t>не менее 500  млн руб.</t>
    </r>
  </si>
  <si>
    <r>
      <rPr>
        <b/>
        <sz val="10"/>
        <rFont val="Arial Narrow"/>
        <family val="2"/>
        <charset val="204"/>
      </rPr>
      <t xml:space="preserve">Годовой оборот Группы компаний </t>
    </r>
    <r>
      <rPr>
        <sz val="10"/>
        <rFont val="Arial Narrow"/>
        <family val="2"/>
        <charset val="204"/>
      </rPr>
      <t xml:space="preserve">(если юр. лицо участника тендера входит в группу компаний),  </t>
    </r>
    <r>
      <rPr>
        <b/>
        <sz val="10"/>
        <rFont val="Arial Narrow"/>
        <family val="2"/>
        <charset val="204"/>
      </rPr>
      <t>млн руб.</t>
    </r>
  </si>
  <si>
    <r>
      <rPr>
        <b/>
        <sz val="10"/>
        <rFont val="Arial Narrow"/>
        <family val="2"/>
        <charset val="204"/>
      </rPr>
      <t>Доля выручки от  управления проектами</t>
    </r>
    <r>
      <rPr>
        <sz val="10"/>
        <rFont val="Arial Narrow"/>
        <family val="2"/>
        <charset val="204"/>
      </rPr>
      <t xml:space="preserve"> (алогичными  по объему и сложности работ) </t>
    </r>
    <r>
      <rPr>
        <b/>
        <sz val="10"/>
        <rFont val="Arial Narrow"/>
        <family val="2"/>
        <charset val="204"/>
      </rPr>
      <t>по отношению к общей выручке  Участника за год</t>
    </r>
    <r>
      <rPr>
        <sz val="10"/>
        <rFont val="Arial Narrow"/>
        <family val="2"/>
        <charset val="204"/>
      </rPr>
      <t xml:space="preserve">   (в абсолютном (млн. руб.) и относительном (%)  выражении)</t>
    </r>
  </si>
  <si>
    <t>18,228 (100%)</t>
  </si>
  <si>
    <t>68,112 (100%)</t>
  </si>
  <si>
    <t>68,4 (100%)</t>
  </si>
  <si>
    <t>48,6 (100%)</t>
  </si>
  <si>
    <t>68 (58%)</t>
  </si>
  <si>
    <t>88 (30%)</t>
  </si>
  <si>
    <r>
      <rPr>
        <b/>
        <sz val="10"/>
        <rFont val="Arial Narrow"/>
        <family val="2"/>
        <charset val="204"/>
      </rPr>
      <t>Проекты компании</t>
    </r>
    <r>
      <rPr>
        <sz val="10"/>
        <rFont val="Arial Narrow"/>
        <family val="2"/>
        <charset val="204"/>
      </rPr>
      <t xml:space="preserve"> за последние 5 лет </t>
    </r>
    <r>
      <rPr>
        <b/>
        <sz val="10"/>
        <rFont val="Arial Narrow"/>
        <family val="2"/>
        <charset val="204"/>
      </rPr>
      <t xml:space="preserve"> с аналогичным составом и объемом работ</t>
    </r>
    <r>
      <rPr>
        <sz val="10"/>
        <rFont val="Arial Narrow"/>
        <family val="2"/>
        <charset val="204"/>
      </rPr>
      <t xml:space="preserve"> (</t>
    </r>
    <r>
      <rPr>
        <b/>
        <sz val="10"/>
        <rFont val="Arial Narrow"/>
        <family val="2"/>
        <charset val="204"/>
      </rPr>
      <t>обязательно указать какие работы велись на объекте, какой  была  роль  Участника</t>
    </r>
    <r>
      <rPr>
        <sz val="10"/>
        <rFont val="Arial Narrow"/>
        <family val="2"/>
        <charset val="204"/>
      </rPr>
      <t>)</t>
    </r>
  </si>
  <si>
    <t>1. Функция финтехэксперта (Проект БЦ Poklonka Place 143 тыс м2);                                                                             2. Функция стройконтроль (Проект ЖК Мильфей 65 тыс м2)</t>
  </si>
  <si>
    <t>1. Функция Техзаказчика и строительный контроль. Реконструкция и модернизация внутренних инженерных систем, кап ремонт фасада, комплекс общестроительных работ  (БЦ Poklonka Place 143 тыс м2)</t>
  </si>
  <si>
    <t>1. Функция Техзаказчика и строительный контроль. Реконструкция и модернизация внутренних инженерных систем, кап ремонт фасада, комплекс общестроительных работ (БЦ Poklonka Place 143 тыс м2)</t>
  </si>
  <si>
    <t>1. Функция Техзаказчика и строительный контроль. Реконструкция и модернизация внутренних инженерных систем  (БЦ Poklonka Place 143 тыс м2) 2. Выполнение функции Технического заказчика нового строительства корпуса (Poklonka II 40 тыс м2) разработка архитектурной концепции, согласование ТЭП, внесение изменений ПЗЗ, заключение договора на Генпроектирование.</t>
  </si>
  <si>
    <t>1. Функция Техзаказчика и строительный контроль. Реконструкция и модернизация внутренних инженерных систем  (БЦ Poklonka Place 143 тыс м2);  2. Выполнение функции Технического заказчика нового строительства корпуса (Poklonka II 40 тыс м2) разработка архитектурной концепции, согласование ТЭП, внесение изменений ПЗЗ, заключение договора на Генпроектирование; 3. Функция Технического заказчика предстроительный этап, формирование ТЭО и Бизнес Плана Проекта Гостиничного комплекса 5*  Крым  (ЗУ 7 га,  ТЭП 25 000 м2)</t>
  </si>
  <si>
    <t>ООО "РИТМ Проект"</t>
  </si>
  <si>
    <t>Руслан Мазгутов</t>
  </si>
  <si>
    <t>+7 903 165 0260</t>
  </si>
  <si>
    <t>Ruslan.Mazgutov@ritm-project.ru</t>
  </si>
  <si>
    <t xml:space="preserve">2022, до 2022 входило в компанию ООО "Джонс Лэнг ЛаСаль", в данный момент входит в группу компаний ООО "Ай Би Си РиалЭстейт" </t>
  </si>
  <si>
    <t>Судебный спор (первая инстанция): 
истец- ООО «Титон», основание – взыскание задолженности.</t>
  </si>
  <si>
    <t>78,49/60%</t>
  </si>
  <si>
    <t>80,42/50%</t>
  </si>
  <si>
    <t>106,96/71%</t>
  </si>
  <si>
    <t>29,99/50%</t>
  </si>
  <si>
    <t>42,32/68%</t>
  </si>
  <si>
    <t>39,19/58%</t>
  </si>
  <si>
    <t>1.Строительство и отделка здания Гольф клуба / сироительство (МО 6 500 м2, Тех Заказчик, Строительный контроль)
2. «ARTPLAY» Центр дизайна / реконструкция (СПБ 44 763 м2, Тех Заказчик, Строительный контроль)
3. Заводы по производству автомобильных комплектующих / строительство (Тольятти 14 500 м2, Тех Заказчик, Строительный контроль)</t>
  </si>
  <si>
    <t>1. Строительство и отделка здания Гольф клуба / сироительство (МО 6 500 м2, Тех Заказчик, Строительный контроль)
2. «ARTPLAY» Центр дизайна / реконструкция (СПБ 44 763 м2, Тех Заказчик, Строительный контроль)
3. Заводы по производству автомобильных комплектующих / строительство (Тольятти 14 500 м2, Тех Заказчик, Строительный контроль)
4. Многофункциональный комплекс TALAN TOWERS, строительство / (Астана 120 000 м2, Тех консультант)Астана, Казахстан</t>
  </si>
  <si>
    <t>1. «Партнерский центр ООО «Феникс Контакт Рус»» / строительство (МО 22 458 м2, Тех Заказчик, Строительный контроль)
2. Офисы, R&amp;D центры компании Huawei / отделка (Мск, Минск, Новосибирск ... 88 500 м2, Тех Заказчик, Строительный контроль)
3. Строительство и оснащение складского комплекса / строительство (Н. Новгород, Самара, Мск. 51 000 м2 Тех Заказчик, Строительный контроль)</t>
  </si>
  <si>
    <t>1. Федеральный Распределительный центр / строительство 
(МО 109 000 м2, Тех Заказчик, Строительный контроль)
2. Офисы, R&amp;D центры компании Huawei / отделка (Мск, СПБ  88 500 м2, Тех Заказчик, Строительный контроль)</t>
  </si>
  <si>
    <t xml:space="preserve">1. Федеральный Распределительный центр / строительство 
(МО 109 000 м2, Тех Заказчик, Строительный контроль)
2. Офисы, R&amp;D центры компании Huawei / отделка (Мск, СПБ  88 500 м2, Тех Заказчик, Строительный контроль)
3. Офис компании Яндекс / отделка (Ереван, 6000 м2, Тех Заказчик, Строительный контроль) </t>
  </si>
  <si>
    <t xml:space="preserve">ООО «Эс Эй Риччи ПМ» </t>
  </si>
  <si>
    <t>ОСН 20%</t>
  </si>
  <si>
    <t>Кубрава Руслан Ярославович</t>
  </si>
  <si>
    <t xml:space="preserve">7 (495) 241-22-71 </t>
  </si>
  <si>
    <t>info@riccipm.ru</t>
  </si>
  <si>
    <t xml:space="preserve">Общество с ограниченной ответственностью "Эс Эй Риччи ПМ" </t>
  </si>
  <si>
    <t>ОСНО, НДС 20 %</t>
  </si>
  <si>
    <t>7 (495)241-22-71</t>
  </si>
  <si>
    <t>не применимо</t>
  </si>
  <si>
    <t xml:space="preserve">не применимо </t>
  </si>
  <si>
    <t>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t>
  </si>
  <si>
    <t>ПОЛНЫЙ ПЕРЕЧЕНЬ ПРОЕКТОВ ПРЕДСТАВЛЕН В ОТДЕЛЬНОЙ СПРАВКЕ
1.Банк Зенит (Москва, комплексное управление проектированием, строительством и обустройством, строительный контроль, управление переездом, 11 000 кв. м);
2. ПАО «Банк ВТБ» (ООО «Ланит –Интеграция» Москва,  Башня Евразия, Управление проектированием и строительством, 70 000 кв.м.)</t>
  </si>
  <si>
    <t>ПОЛНЫЙ ПЕРЕЧЕНЬ ПРОЕКТОВ ПРЕДСТАВЛЕН В ОТДЕЛЬНОЙ СПРАВКЕ
ПАО «Банк ВТБ» (ООО «Ланит –Интеграция» Башня Восток, Москва,  Управление проектированием и строительством, 8000 кв.м.)</t>
  </si>
  <si>
    <t>ПОЛНЫЙ ПЕРЕЧЕНЬ ПРОЕКТОВ ПРЕДСТАВЛЕН В ОТДЕЛЬНОЙ СПРАВКЕ
СитиМобил (Москва, комплексное управление проектированием, строительством и обустройством, строительный контроль, управление переездом, 9 655 кв. м</t>
  </si>
  <si>
    <t>ПОЛНЫЙ ПЕРЕЧЕНЬ ПРОЕКТОВ ПРЕДСТАВЛЕН В ОТДЕЛЬНОЙ СПРАВКЕ
WinLine (ООО "Нацилнальный коневодческий союз, Москва, Комплексное управление проектированием,строительством и обустройством, строительный контроль, 2300 кв.м</t>
  </si>
  <si>
    <t>ПОЛНЫЙ ПЕРЕЧЕНЬ ПРОЕКТОВ ПРЕДСТАВЛЕН В ОТДЕЛЬНОЙ СПРАВКЕ
Деметра Холдинг (Москва, комплексное управление проектированием,строительством и обустройством, строительный контроль, 8630 кв.м,</t>
  </si>
  <si>
    <t>ПОЛНЫЙ ПЕРЕЧЕНЬ ПРОЕКТОВ ПРЕДСТАВЛЕН В ОТДЕЛЬНОЙ СПРАВКЕ
1. Газпром (ООО "Ланит Интеграция", Лахта-Центр, г. Санкт-Петербург 59 000 кв. м.-  управление проектом);
2.ТС Интеграция (Москва, Комплексное управление проектированием, строительством и обустройством, строительный контроль, оптимизация стоимости, 9 000 кв. м)
3. УК Уральская сталь (Москва, Разработка стратегии организации рабочего пространства, комплексное управление проектированием, строительством и обустройством, строительный контроль, управление переездом, 3678 кв.м .)
4. Газпромбанк (г. Москва, Озерковская наб. дом 24,1-5 этажи, Комплексное управление проектированием,строительством и обустройством, строительный контроль, 6565 кв.м.)</t>
  </si>
  <si>
    <t>Общество с ограниченной ответственностью "Стройконтроль"</t>
  </si>
  <si>
    <t>УСН 5 %</t>
  </si>
  <si>
    <t xml:space="preserve">Чаусовский Александр Владимирович </t>
  </si>
  <si>
    <t>info@stroictrl.ru</t>
  </si>
  <si>
    <t>70,00 р</t>
  </si>
  <si>
    <t>153,00р.</t>
  </si>
  <si>
    <t>98,67/67%</t>
  </si>
  <si>
    <t>115,48/73%</t>
  </si>
  <si>
    <t>1. Объект образования ( 17 790,0 м2, Тех.Заказчик, Строительный контроль)                   2. Объект образования (18 974,2 м2) Тех. Заказчик, Строительный контроль)</t>
  </si>
  <si>
    <t>1. Объект образования (166 708,57 м3) Тех.Заказчик, Строительный контроль)                  2. Объект образования (78 922 м3) Тех.Заказчик, Строительный контроль)                  3. Объект образования (77 842,0 м3) Тех.Заказчик, Строительный контроль)</t>
  </si>
  <si>
    <t>Спектрум-Холдинг</t>
  </si>
  <si>
    <t>Ди Би Си Констракшн</t>
  </si>
  <si>
    <t>Николиерс Управление Строительством</t>
  </si>
  <si>
    <t>КОР ЭКС ПИ</t>
  </si>
  <si>
    <t>Комонвелс Партнершип</t>
  </si>
  <si>
    <t>Восход</t>
  </si>
  <si>
    <t>НФ Проперти Менеджмент</t>
  </si>
  <si>
    <t>СР. ДЕВЕЛОПМЕНТ</t>
  </si>
  <si>
    <t xml:space="preserve">Инжиниринговая компания «Элемент» </t>
  </si>
  <si>
    <t>2014</t>
  </si>
  <si>
    <t>ИЭС Инжиниринг и Консалтинг</t>
  </si>
  <si>
    <t>Инжиниринговая корпорация «ИРБИС»</t>
  </si>
  <si>
    <t>ПМК</t>
  </si>
  <si>
    <t>АКРОН Девелопмент</t>
  </si>
  <si>
    <t>Эс Эй Риччи ПМ</t>
  </si>
  <si>
    <t>Стройконтроль</t>
  </si>
  <si>
    <t>РИТМ Проект (JLL)</t>
  </si>
  <si>
    <t>коментарий к п.6 Анкеты</t>
  </si>
  <si>
    <t>Дело № А43-27419/2015. Несмотря на то, что ООО "Восход" было включено заявителем в состав ответчиков по спору об оспаривании сделок в рамках дела о банкротстве ООО "Консорциум", данное лицо, как было установлено вступившими в силу</t>
  </si>
  <si>
    <t>н/д</t>
  </si>
  <si>
    <t>Судебный спор (первая инстанция): истец- ООО «Титон», основание – взыскание задолженности.</t>
  </si>
  <si>
    <t>6.1.</t>
  </si>
  <si>
    <t>Х</t>
  </si>
  <si>
    <t>Н/Д</t>
  </si>
  <si>
    <t>57,63 / 27%</t>
  </si>
  <si>
    <t>31,15 / 20%</t>
  </si>
  <si>
    <t>14,67 / 6%</t>
  </si>
  <si>
    <t>43,53 / 10%</t>
  </si>
  <si>
    <t>29,61 / 5%</t>
  </si>
  <si>
    <t>247,64 / 29%</t>
  </si>
  <si>
    <t>Р172. Предоставление услуг Консультанта по Управлению Проектом (PMC) по обустройству Парусового, Северо-Парусового и Семаковского месторождений», а также разработка ТЭО вариантов обустройства месторождений</t>
  </si>
  <si>
    <t>Р172. Предоставление услуг Консультанта по Управлению Проектом (PMC) по обустройству Парусового, Северо-Парусового и Семаковского месторождений», а также разработка ТЭО вариантов обустройства месторождений.14092. Выполнение услуг консультанта по управлению проектом (PMC) на строительство газохимического комплекса в Ненецком автономном округе РФ</t>
  </si>
  <si>
    <t>14092. Выполнение услуг консультанта по управлению проектом (PMC) на строительство газохимического комплекса в Ненецком автономном округе РФ.А0029 Консультационные услуги по управлению проектом (услуги РМС) от лица Заказчика при строительстве «Находкинского Завода минеральных удобрений» проекта по производству метанола мощностью 5400 тонн в сутки (1,8 млн. тонн в год) в Козьмино, Дальний Восток России</t>
  </si>
  <si>
    <t>А0029 Консультационные услуги по управлению проектом (услуги РМС) от лица Заказчика при строительстве «Находкинского Завода минеральных удобрений» проекта по производству метанола мощностью 5400 тонн в сутки (1,8 млн. тонн в год) в Козьмино, Дальний Восток России</t>
  </si>
  <si>
    <t>ИТОГО</t>
  </si>
  <si>
    <t>Участник</t>
  </si>
  <si>
    <t>21 млрд</t>
  </si>
  <si>
    <t>6 млрд</t>
  </si>
  <si>
    <t>57 млрд</t>
  </si>
  <si>
    <t>3 млрд</t>
  </si>
  <si>
    <t>2 млрд</t>
  </si>
  <si>
    <t>1 млрд</t>
  </si>
  <si>
    <t>11 млрд</t>
  </si>
  <si>
    <t>0 млрд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</si>
</sst>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43" formatCode="_-* #,##0.00\ _₽_-;\-* #,##0.00\ _₽_-;_-* &quot;-&quot;??\ _₽_-;_-@_-"/>
    <numFmt numFmtId="164" formatCode="#,##0.00&quot;р.&quot;"/>
  </numFmts>
  <fonts count="4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0"/>
      <color theme="1"/>
      <name val="Calibri"/>
      <family val="2"/>
      <charset val="204"/>
      <scheme val="minor"/>
    </font>
    <font>
      <b/>
      <sz val="10"/>
      <color theme="1"/>
      <name val="Calibri"/>
      <family val="2"/>
      <charset val="204"/>
      <scheme val="minor"/>
    </font>
    <font>
      <b/>
      <sz val="11"/>
      <color rgb="FFFF0000"/>
      <name val="Calibri"/>
      <family val="2"/>
      <charset val="204"/>
      <scheme val="minor"/>
    </font>
    <font>
      <b/>
      <sz val="11"/>
      <name val="Calibri"/>
      <family val="2"/>
      <charset val="204"/>
      <scheme val="minor"/>
    </font>
    <font>
      <sz val="10"/>
      <name val="Calibri"/>
      <family val="2"/>
      <scheme val="minor"/>
    </font>
    <font>
      <sz val="10"/>
      <color rgb="FFFF0000"/>
      <name val="Calibri"/>
      <family val="2"/>
      <scheme val="minor"/>
    </font>
    <font>
      <sz val="10"/>
      <color theme="1"/>
      <name val="Calibri"/>
      <family val="2"/>
      <scheme val="minor"/>
    </font>
    <font>
      <b/>
      <sz val="10"/>
      <name val="Calibri"/>
      <family val="2"/>
      <charset val="204"/>
      <scheme val="minor"/>
    </font>
    <font>
      <b/>
      <sz val="10"/>
      <color rgb="FFFF0000"/>
      <name val="Calibri"/>
      <family val="2"/>
      <charset val="204"/>
      <scheme val="minor"/>
    </font>
    <font>
      <b/>
      <sz val="11"/>
      <color theme="0" tint="-0.499984740745262"/>
      <name val="Calibri"/>
      <family val="2"/>
      <scheme val="minor"/>
    </font>
    <font>
      <sz val="11"/>
      <color theme="0" tint="-0.499984740745262"/>
      <name val="Calibri"/>
      <family val="2"/>
      <scheme val="minor"/>
    </font>
    <font>
      <sz val="10"/>
      <color theme="0" tint="-0.499984740745262"/>
      <name val="Calibri"/>
      <family val="2"/>
      <scheme val="minor"/>
    </font>
    <font>
      <sz val="10"/>
      <name val="Calibri"/>
      <family val="2"/>
      <charset val="204"/>
      <scheme val="minor"/>
    </font>
    <font>
      <u/>
      <sz val="11"/>
      <color theme="10"/>
      <name val="Calibri"/>
      <family val="2"/>
      <scheme val="minor"/>
    </font>
    <font>
      <sz val="8"/>
      <color rgb="FFFF0000"/>
      <name val="Calibri"/>
      <family val="2"/>
      <scheme val="minor"/>
    </font>
    <font>
      <sz val="11"/>
      <color theme="1"/>
      <name val="Calibri"/>
      <family val="2"/>
      <scheme val="minor"/>
    </font>
    <font>
      <sz val="10"/>
      <name val="Calibri"/>
      <family val="2"/>
    </font>
    <font>
      <b/>
      <u/>
      <sz val="11"/>
      <color theme="1"/>
      <name val="Calibri"/>
      <family val="2"/>
      <charset val="204"/>
      <scheme val="minor"/>
    </font>
    <font>
      <sz val="11"/>
      <name val="Calibri"/>
      <family val="2"/>
      <charset val="204"/>
      <scheme val="minor"/>
    </font>
    <font>
      <sz val="10"/>
      <color rgb="FF000000"/>
      <name val="Arial"/>
      <family val="2"/>
      <charset val="204"/>
    </font>
    <font>
      <sz val="8"/>
      <name val="Calibri"/>
      <family val="2"/>
      <scheme val="minor"/>
    </font>
    <font>
      <b/>
      <sz val="11"/>
      <color theme="1"/>
      <name val="Calibri"/>
      <family val="2"/>
      <scheme val="minor"/>
    </font>
    <font>
      <sz val="11"/>
      <color theme="1"/>
      <name val="Arial Narrow"/>
      <family val="2"/>
      <charset val="204"/>
    </font>
    <font>
      <b/>
      <sz val="11"/>
      <color theme="1"/>
      <name val="Arial Narrow"/>
      <family val="2"/>
      <charset val="204"/>
    </font>
    <font>
      <b/>
      <sz val="10"/>
      <color theme="1"/>
      <name val="Arial Narrow"/>
      <family val="2"/>
      <charset val="204"/>
    </font>
    <font>
      <u/>
      <sz val="11"/>
      <color theme="10"/>
      <name val="Arial Narrow"/>
      <family val="2"/>
      <charset val="204"/>
    </font>
    <font>
      <b/>
      <sz val="11"/>
      <color rgb="FFFF0000"/>
      <name val="Arial Narrow"/>
      <family val="2"/>
      <charset val="204"/>
    </font>
    <font>
      <b/>
      <sz val="11"/>
      <name val="Arial Narrow"/>
      <family val="2"/>
      <charset val="204"/>
    </font>
    <font>
      <b/>
      <sz val="10"/>
      <name val="Arial Narrow"/>
      <family val="2"/>
      <charset val="204"/>
    </font>
    <font>
      <b/>
      <sz val="11"/>
      <color theme="0" tint="-0.499984740745262"/>
      <name val="Arial Narrow"/>
      <family val="2"/>
      <charset val="204"/>
    </font>
    <font>
      <sz val="10"/>
      <name val="Arial Narrow"/>
      <family val="2"/>
      <charset val="204"/>
    </font>
    <font>
      <sz val="10"/>
      <color theme="0" tint="-0.499984740745262"/>
      <name val="Arial Narrow"/>
      <family val="2"/>
      <charset val="204"/>
    </font>
    <font>
      <sz val="11"/>
      <color theme="0" tint="-0.499984740745262"/>
      <name val="Arial Narrow"/>
      <family val="2"/>
      <charset val="204"/>
    </font>
    <font>
      <sz val="10"/>
      <color theme="1"/>
      <name val="Arial Narrow"/>
      <family val="2"/>
      <charset val="204"/>
    </font>
    <font>
      <sz val="9"/>
      <color theme="1"/>
      <name val="Calibri"/>
      <family val="2"/>
      <charset val="204"/>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s>
  <cellStyleXfs count="4">
    <xf numFmtId="0" fontId="0" fillId="0" borderId="0"/>
    <xf numFmtId="0" fontId="18" fillId="0" borderId="0" applyNumberFormat="0" applyFill="0" applyBorder="0" applyAlignment="0" applyProtection="0"/>
    <xf numFmtId="9" fontId="20" fillId="0" borderId="0" applyFont="0" applyFill="0" applyBorder="0" applyAlignment="0" applyProtection="0"/>
    <xf numFmtId="43" fontId="20" fillId="0" borderId="0" applyFont="0" applyFill="0" applyBorder="0" applyAlignment="0" applyProtection="0"/>
  </cellStyleXfs>
  <cellXfs count="388">
    <xf numFmtId="0" fontId="0" fillId="0" borderId="0" xfId="0"/>
    <xf numFmtId="0" fontId="0" fillId="0" borderId="0" xfId="0" applyAlignment="1">
      <alignment wrapText="1"/>
    </xf>
    <xf numFmtId="3" fontId="9" fillId="0" borderId="1" xfId="0" applyNumberFormat="1"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3" fontId="9" fillId="0" borderId="2" xfId="0" applyNumberFormat="1" applyFont="1" applyFill="1" applyBorder="1" applyAlignment="1">
      <alignment horizontal="center" vertical="center" wrapText="1"/>
    </xf>
    <xf numFmtId="164" fontId="9" fillId="3" borderId="2" xfId="0" applyNumberFormat="1" applyFont="1" applyFill="1" applyBorder="1" applyAlignment="1">
      <alignment vertical="center" wrapText="1"/>
    </xf>
    <xf numFmtId="164" fontId="8" fillId="4" borderId="9" xfId="0" applyNumberFormat="1"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indent="10"/>
    </xf>
    <xf numFmtId="164" fontId="8" fillId="4" borderId="10" xfId="0" applyNumberFormat="1" applyFont="1" applyFill="1" applyBorder="1" applyAlignment="1">
      <alignment horizontal="center" vertical="center" wrapText="1"/>
    </xf>
    <xf numFmtId="164" fontId="8" fillId="4" borderId="11" xfId="0" applyNumberFormat="1"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0" fontId="8" fillId="4" borderId="10" xfId="0" applyNumberFormat="1" applyFont="1" applyFill="1" applyBorder="1" applyAlignment="1">
      <alignment horizontal="center" vertical="center" wrapText="1"/>
    </xf>
    <xf numFmtId="0" fontId="0" fillId="0" borderId="0" xfId="0" applyAlignment="1">
      <alignment horizontal="center"/>
    </xf>
    <xf numFmtId="164" fontId="14" fillId="4" borderId="19" xfId="0" applyNumberFormat="1" applyFont="1" applyFill="1" applyBorder="1" applyAlignment="1">
      <alignment horizontal="center" vertical="center" wrapText="1"/>
    </xf>
    <xf numFmtId="0" fontId="15" fillId="0" borderId="20" xfId="0" applyFont="1" applyBorder="1" applyAlignment="1">
      <alignment horizontal="center"/>
    </xf>
    <xf numFmtId="0" fontId="15" fillId="0" borderId="21" xfId="0" applyFont="1" applyBorder="1" applyAlignment="1">
      <alignment horizontal="center"/>
    </xf>
    <xf numFmtId="0" fontId="15" fillId="0" borderId="20" xfId="0" applyFont="1" applyBorder="1" applyAlignment="1">
      <alignment horizontal="center" wrapText="1"/>
    </xf>
    <xf numFmtId="4" fontId="15" fillId="0" borderId="20" xfId="0" applyNumberFormat="1" applyFont="1" applyBorder="1" applyAlignment="1">
      <alignment horizontal="center" wrapText="1"/>
    </xf>
    <xf numFmtId="0" fontId="15" fillId="0" borderId="21" xfId="0" applyFont="1" applyBorder="1" applyAlignment="1">
      <alignment horizontal="left" wrapText="1"/>
    </xf>
    <xf numFmtId="3" fontId="9" fillId="0" borderId="12" xfId="0" applyNumberFormat="1" applyFont="1" applyFill="1" applyBorder="1" applyAlignment="1">
      <alignment horizontal="center" vertical="center" wrapText="1"/>
    </xf>
    <xf numFmtId="3" fontId="9" fillId="0" borderId="3" xfId="0" applyNumberFormat="1" applyFont="1" applyFill="1" applyBorder="1" applyAlignment="1">
      <alignment horizontal="center" vertical="center" wrapText="1"/>
    </xf>
    <xf numFmtId="164" fontId="9" fillId="2" borderId="4" xfId="0" applyNumberFormat="1" applyFont="1" applyFill="1" applyBorder="1" applyAlignment="1">
      <alignment horizontal="center" vertical="center" wrapText="1"/>
    </xf>
    <xf numFmtId="3" fontId="9" fillId="0" borderId="5" xfId="0" applyNumberFormat="1" applyFont="1" applyFill="1" applyBorder="1" applyAlignment="1">
      <alignment horizontal="center" vertical="center" wrapText="1"/>
    </xf>
    <xf numFmtId="0" fontId="11" fillId="0" borderId="6" xfId="0" applyFont="1" applyBorder="1" applyAlignment="1">
      <alignment vertical="center" wrapText="1"/>
    </xf>
    <xf numFmtId="164" fontId="9" fillId="2" borderId="7" xfId="0" applyNumberFormat="1" applyFont="1" applyFill="1" applyBorder="1" applyAlignment="1">
      <alignment horizontal="center" vertical="center" wrapText="1"/>
    </xf>
    <xf numFmtId="164" fontId="17" fillId="0" borderId="1" xfId="0" applyNumberFormat="1" applyFont="1" applyFill="1" applyBorder="1" applyAlignment="1">
      <alignment vertical="center" wrapText="1"/>
    </xf>
    <xf numFmtId="0" fontId="5" fillId="0" borderId="1" xfId="0" applyFont="1" applyBorder="1" applyAlignment="1">
      <alignment horizontal="left" vertical="center" wrapText="1"/>
    </xf>
    <xf numFmtId="49" fontId="9" fillId="2" borderId="8"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4" fontId="10"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19" fillId="2" borderId="1" xfId="0" applyNumberFormat="1" applyFont="1" applyFill="1" applyBorder="1" applyAlignment="1">
      <alignment horizontal="left" vertical="top" wrapText="1"/>
    </xf>
    <xf numFmtId="164" fontId="9" fillId="2" borderId="8" xfId="0" applyNumberFormat="1"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indent="10"/>
    </xf>
    <xf numFmtId="0" fontId="9" fillId="0" borderId="1" xfId="0" applyFont="1" applyBorder="1" applyAlignment="1">
      <alignment horizontal="left" vertical="center" wrapText="1"/>
    </xf>
    <xf numFmtId="164" fontId="9" fillId="2" borderId="1" xfId="0" applyNumberFormat="1" applyFont="1" applyFill="1" applyBorder="1" applyAlignment="1">
      <alignment horizontal="center" vertical="center" wrapText="1"/>
    </xf>
    <xf numFmtId="0" fontId="21" fillId="2" borderId="31" xfId="0" applyFont="1" applyFill="1" applyBorder="1" applyAlignment="1">
      <alignment horizontal="center" vertical="center" wrapText="1"/>
    </xf>
    <xf numFmtId="164" fontId="8" fillId="4" borderId="33" xfId="0" applyNumberFormat="1" applyFont="1" applyFill="1" applyBorder="1" applyAlignment="1">
      <alignment horizontal="center" vertical="center" wrapText="1"/>
    </xf>
    <xf numFmtId="3" fontId="9" fillId="0" borderId="12" xfId="0" applyNumberFormat="1" applyFont="1" applyBorder="1" applyAlignment="1">
      <alignment horizontal="center" vertical="center" wrapText="1"/>
    </xf>
    <xf numFmtId="164" fontId="23" fillId="2" borderId="1" xfId="0" applyNumberFormat="1" applyFont="1" applyFill="1" applyBorder="1" applyAlignment="1">
      <alignment horizontal="left" vertical="center" wrapText="1"/>
    </xf>
    <xf numFmtId="3" fontId="9" fillId="0" borderId="3"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0" fontId="8" fillId="4" borderId="10" xfId="0" applyFont="1" applyFill="1" applyBorder="1" applyAlignment="1">
      <alignment horizontal="center" vertical="center" wrapText="1"/>
    </xf>
    <xf numFmtId="3" fontId="9" fillId="0" borderId="2" xfId="0" applyNumberFormat="1" applyFont="1" applyBorder="1" applyAlignment="1">
      <alignment horizontal="center" vertical="center" wrapText="1"/>
    </xf>
    <xf numFmtId="164" fontId="17" fillId="0" borderId="1" xfId="0" applyNumberFormat="1" applyFont="1" applyBorder="1" applyAlignment="1">
      <alignment vertical="center" wrapText="1"/>
    </xf>
    <xf numFmtId="3" fontId="9" fillId="0" borderId="1" xfId="0" applyNumberFormat="1" applyFont="1" applyBorder="1" applyAlignment="1">
      <alignment horizontal="center" vertical="center" wrapText="1"/>
    </xf>
    <xf numFmtId="164" fontId="10" fillId="2" borderId="1" xfId="0" applyNumberFormat="1" applyFont="1" applyFill="1" applyBorder="1" applyAlignment="1">
      <alignment vertical="center" wrapText="1"/>
    </xf>
    <xf numFmtId="164" fontId="10" fillId="2" borderId="1" xfId="0" applyNumberFormat="1" applyFont="1" applyFill="1" applyBorder="1" applyAlignment="1">
      <alignment horizontal="left" vertical="center" wrapText="1"/>
    </xf>
    <xf numFmtId="164" fontId="9" fillId="2" borderId="2" xfId="0" applyNumberFormat="1" applyFont="1" applyFill="1" applyBorder="1" applyAlignment="1">
      <alignment vertical="center" wrapText="1"/>
    </xf>
    <xf numFmtId="164" fontId="10" fillId="0" borderId="1" xfId="0" applyNumberFormat="1" applyFont="1" applyBorder="1" applyAlignment="1">
      <alignment horizontal="center" vertical="center" wrapText="1"/>
    </xf>
    <xf numFmtId="9" fontId="10" fillId="2" borderId="1" xfId="0" applyNumberFormat="1" applyFont="1" applyFill="1" applyBorder="1" applyAlignment="1">
      <alignment horizontal="center" vertical="center" wrapText="1"/>
    </xf>
    <xf numFmtId="0" fontId="24" fillId="0" borderId="0" xfId="0" applyFont="1" applyAlignment="1">
      <alignment horizontal="left" vertical="center" indent="1"/>
    </xf>
    <xf numFmtId="164" fontId="8" fillId="4" borderId="38" xfId="0" applyNumberFormat="1" applyFont="1" applyFill="1" applyBorder="1" applyAlignment="1">
      <alignment horizontal="center" vertical="center" wrapText="1"/>
    </xf>
    <xf numFmtId="49" fontId="9" fillId="2" borderId="16" xfId="0" applyNumberFormat="1" applyFont="1" applyFill="1" applyBorder="1" applyAlignment="1">
      <alignment horizontal="center" vertical="center" wrapText="1"/>
    </xf>
    <xf numFmtId="164" fontId="25" fillId="2" borderId="1" xfId="0" applyNumberFormat="1" applyFont="1" applyFill="1" applyBorder="1" applyAlignment="1">
      <alignment horizontal="left" vertical="top" wrapText="1"/>
    </xf>
    <xf numFmtId="0" fontId="0" fillId="0" borderId="0" xfId="0"/>
    <xf numFmtId="0" fontId="0" fillId="0" borderId="0" xfId="0" applyAlignment="1">
      <alignment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164" fontId="9" fillId="3" borderId="2" xfId="0" applyNumberFormat="1" applyFont="1" applyFill="1" applyBorder="1" applyAlignment="1">
      <alignment vertical="center" wrapText="1"/>
    </xf>
    <xf numFmtId="164" fontId="8" fillId="4" borderId="9" xfId="0" applyNumberFormat="1"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indent="10"/>
    </xf>
    <xf numFmtId="164" fontId="8" fillId="4" borderId="10" xfId="0" applyNumberFormat="1" applyFont="1" applyFill="1" applyBorder="1" applyAlignment="1">
      <alignment horizontal="center" vertical="center" wrapText="1"/>
    </xf>
    <xf numFmtId="164" fontId="8" fillId="4" borderId="11" xfId="0" applyNumberFormat="1" applyFont="1" applyFill="1" applyBorder="1" applyAlignment="1">
      <alignment horizontal="center" vertical="center" wrapText="1"/>
    </xf>
    <xf numFmtId="0" fontId="0" fillId="0" borderId="0" xfId="0" applyAlignment="1">
      <alignment horizontal="center"/>
    </xf>
    <xf numFmtId="164" fontId="14" fillId="4" borderId="19" xfId="0" applyNumberFormat="1" applyFont="1" applyFill="1" applyBorder="1" applyAlignment="1">
      <alignment horizontal="center" vertical="center" wrapText="1"/>
    </xf>
    <xf numFmtId="0" fontId="15" fillId="0" borderId="20" xfId="0" applyFont="1" applyBorder="1" applyAlignment="1">
      <alignment horizontal="center"/>
    </xf>
    <xf numFmtId="0" fontId="15" fillId="0" borderId="21" xfId="0" applyFont="1" applyBorder="1" applyAlignment="1">
      <alignment horizontal="center"/>
    </xf>
    <xf numFmtId="3" fontId="9" fillId="0" borderId="12" xfId="0" applyNumberFormat="1" applyFont="1" applyBorder="1" applyAlignment="1">
      <alignment horizontal="center" vertical="center" wrapText="1"/>
    </xf>
    <xf numFmtId="164" fontId="9" fillId="2" borderId="8" xfId="0" applyNumberFormat="1" applyFont="1" applyFill="1" applyBorder="1" applyAlignment="1">
      <alignment horizontal="center" vertical="center" wrapText="1"/>
    </xf>
    <xf numFmtId="3" fontId="9" fillId="0" borderId="3" xfId="0" applyNumberFormat="1" applyFont="1" applyBorder="1" applyAlignment="1">
      <alignment horizontal="center" vertical="center" wrapText="1"/>
    </xf>
    <xf numFmtId="164" fontId="9" fillId="2" borderId="4" xfId="0" applyNumberFormat="1" applyFont="1" applyFill="1" applyBorder="1" applyAlignment="1">
      <alignment horizontal="center" vertical="center" wrapText="1"/>
    </xf>
    <xf numFmtId="3" fontId="9" fillId="0" borderId="5" xfId="0" applyNumberFormat="1" applyFont="1" applyBorder="1" applyAlignment="1">
      <alignment horizontal="center" vertical="center" wrapText="1"/>
    </xf>
    <xf numFmtId="0" fontId="11" fillId="0" borderId="6" xfId="0" applyFont="1" applyBorder="1" applyAlignment="1">
      <alignment vertical="center" wrapText="1"/>
    </xf>
    <xf numFmtId="164" fontId="9" fillId="2" borderId="7" xfId="0" applyNumberFormat="1" applyFont="1" applyFill="1" applyBorder="1" applyAlignment="1">
      <alignment horizontal="center" vertical="center" wrapText="1"/>
    </xf>
    <xf numFmtId="0" fontId="0" fillId="0" borderId="0" xfId="0"/>
    <xf numFmtId="0" fontId="0" fillId="0" borderId="0" xfId="0" applyAlignment="1">
      <alignment wrapText="1"/>
    </xf>
    <xf numFmtId="3" fontId="9"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vertical="center" wrapText="1"/>
    </xf>
    <xf numFmtId="3" fontId="9" fillId="0" borderId="2" xfId="0" applyNumberFormat="1" applyFont="1" applyBorder="1" applyAlignment="1">
      <alignment horizontal="center" vertical="center" wrapText="1"/>
    </xf>
    <xf numFmtId="164" fontId="9" fillId="3" borderId="2" xfId="0" applyNumberFormat="1" applyFont="1" applyFill="1" applyBorder="1" applyAlignment="1">
      <alignment vertical="center" wrapText="1"/>
    </xf>
    <xf numFmtId="164" fontId="8" fillId="4" borderId="9" xfId="0" applyNumberFormat="1"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indent="10"/>
    </xf>
    <xf numFmtId="164" fontId="8" fillId="4" borderId="10" xfId="0" applyNumberFormat="1" applyFont="1" applyFill="1" applyBorder="1" applyAlignment="1">
      <alignment horizontal="center" vertical="center" wrapText="1"/>
    </xf>
    <xf numFmtId="164" fontId="8" fillId="4" borderId="11" xfId="0" applyNumberFormat="1" applyFont="1" applyFill="1" applyBorder="1" applyAlignment="1">
      <alignment horizontal="center" vertical="center" wrapText="1"/>
    </xf>
    <xf numFmtId="0" fontId="8" fillId="4" borderId="10" xfId="0" applyFont="1" applyFill="1" applyBorder="1" applyAlignment="1">
      <alignment horizontal="center" vertical="center" wrapText="1"/>
    </xf>
    <xf numFmtId="0" fontId="0" fillId="0" borderId="0" xfId="0" applyAlignment="1">
      <alignment horizontal="center"/>
    </xf>
    <xf numFmtId="164" fontId="14" fillId="4" borderId="19" xfId="0" applyNumberFormat="1" applyFont="1" applyFill="1" applyBorder="1" applyAlignment="1">
      <alignment horizontal="center" vertical="center" wrapText="1"/>
    </xf>
    <xf numFmtId="0" fontId="15" fillId="0" borderId="20" xfId="0" applyFont="1" applyBorder="1" applyAlignment="1">
      <alignment horizontal="center"/>
    </xf>
    <xf numFmtId="0" fontId="15" fillId="0" borderId="21" xfId="0" applyFont="1" applyBorder="1" applyAlignment="1">
      <alignment horizontal="center"/>
    </xf>
    <xf numFmtId="0" fontId="15" fillId="0" borderId="20" xfId="0" applyFont="1" applyBorder="1" applyAlignment="1">
      <alignment horizontal="center" wrapText="1"/>
    </xf>
    <xf numFmtId="4" fontId="15" fillId="0" borderId="20" xfId="0" applyNumberFormat="1" applyFont="1" applyBorder="1" applyAlignment="1">
      <alignment horizontal="center" wrapText="1"/>
    </xf>
    <xf numFmtId="164" fontId="9" fillId="2" borderId="4" xfId="0" applyNumberFormat="1" applyFont="1" applyFill="1" applyBorder="1" applyAlignment="1">
      <alignment horizontal="center" vertical="center" wrapText="1"/>
    </xf>
    <xf numFmtId="0" fontId="11" fillId="0" borderId="6" xfId="0" applyFont="1" applyBorder="1" applyAlignment="1">
      <alignment vertical="center" wrapText="1"/>
    </xf>
    <xf numFmtId="164" fontId="9" fillId="2" borderId="7" xfId="0" applyNumberFormat="1" applyFont="1" applyFill="1" applyBorder="1" applyAlignment="1">
      <alignment horizontal="center" vertical="center" wrapText="1"/>
    </xf>
    <xf numFmtId="164" fontId="17" fillId="0" borderId="1" xfId="0" applyNumberFormat="1" applyFont="1" applyBorder="1" applyAlignment="1">
      <alignment vertical="center" wrapText="1"/>
    </xf>
    <xf numFmtId="0" fontId="5" fillId="0" borderId="1" xfId="0" applyFont="1" applyBorder="1" applyAlignment="1">
      <alignment horizontal="left" vertical="center" wrapText="1"/>
    </xf>
    <xf numFmtId="49" fontId="10" fillId="2" borderId="1" xfId="0" applyNumberFormat="1" applyFont="1" applyFill="1" applyBorder="1" applyAlignment="1">
      <alignment horizontal="center" vertical="center" wrapText="1"/>
    </xf>
    <xf numFmtId="2" fontId="10" fillId="2" borderId="1" xfId="0" applyNumberFormat="1" applyFont="1" applyFill="1" applyBorder="1" applyAlignment="1">
      <alignment horizontal="center" vertical="center" wrapText="1"/>
    </xf>
    <xf numFmtId="4" fontId="10" fillId="2" borderId="1" xfId="0" applyNumberFormat="1" applyFont="1" applyFill="1" applyBorder="1" applyAlignment="1">
      <alignment horizontal="center" vertical="center" wrapText="1"/>
    </xf>
    <xf numFmtId="9" fontId="10" fillId="2" borderId="1" xfId="2" applyFont="1" applyFill="1" applyBorder="1" applyAlignment="1">
      <alignment horizontal="center" vertical="center" wrapText="1"/>
    </xf>
    <xf numFmtId="49" fontId="26" fillId="4" borderId="19" xfId="0" applyNumberFormat="1" applyFont="1" applyFill="1" applyBorder="1" applyAlignment="1">
      <alignment horizontal="center" vertical="center" wrapText="1"/>
    </xf>
    <xf numFmtId="0" fontId="5" fillId="0" borderId="21" xfId="0" applyFont="1" applyBorder="1" applyAlignment="1">
      <alignment horizontal="left" vertical="center" wrapText="1"/>
    </xf>
    <xf numFmtId="0" fontId="9" fillId="2" borderId="1" xfId="0" applyNumberFormat="1" applyFont="1" applyFill="1" applyBorder="1" applyAlignment="1">
      <alignment horizontal="center" vertical="center" wrapText="1"/>
    </xf>
    <xf numFmtId="4" fontId="9" fillId="2" borderId="1" xfId="0" applyNumberFormat="1"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left" vertical="center" indent="10"/>
    </xf>
    <xf numFmtId="43" fontId="9" fillId="2" borderId="1" xfId="3" applyFont="1" applyFill="1" applyBorder="1" applyAlignment="1">
      <alignment vertical="center" wrapText="1"/>
    </xf>
    <xf numFmtId="43" fontId="9" fillId="2" borderId="1" xfId="3" applyFont="1" applyFill="1" applyBorder="1" applyAlignment="1">
      <alignment horizontal="center" vertical="center" wrapText="1"/>
    </xf>
    <xf numFmtId="0" fontId="27" fillId="3" borderId="0" xfId="0" applyFont="1" applyFill="1"/>
    <xf numFmtId="0" fontId="27" fillId="0" borderId="0" xfId="0" applyFont="1" applyAlignment="1">
      <alignment wrapText="1"/>
    </xf>
    <xf numFmtId="0" fontId="27" fillId="0" borderId="0" xfId="0" applyFont="1"/>
    <xf numFmtId="164" fontId="32" fillId="4" borderId="9" xfId="0" applyNumberFormat="1" applyFont="1" applyFill="1" applyBorder="1" applyAlignment="1">
      <alignment horizontal="center" vertical="center" wrapText="1"/>
    </xf>
    <xf numFmtId="164" fontId="32" fillId="4" borderId="10" xfId="0" applyNumberFormat="1" applyFont="1" applyFill="1" applyBorder="1" applyAlignment="1">
      <alignment horizontal="center" vertical="center" wrapText="1"/>
    </xf>
    <xf numFmtId="164" fontId="32" fillId="4" borderId="11" xfId="0" applyNumberFormat="1" applyFont="1" applyFill="1" applyBorder="1" applyAlignment="1">
      <alignment horizontal="center" vertical="center" wrapText="1"/>
    </xf>
    <xf numFmtId="164" fontId="34" fillId="4" borderId="19" xfId="0" applyNumberFormat="1" applyFont="1" applyFill="1" applyBorder="1" applyAlignment="1">
      <alignment horizontal="center" vertical="center" wrapText="1"/>
    </xf>
    <xf numFmtId="3" fontId="35" fillId="0" borderId="12" xfId="0" applyNumberFormat="1" applyFont="1" applyBorder="1" applyAlignment="1">
      <alignment horizontal="center" vertical="center" wrapText="1"/>
    </xf>
    <xf numFmtId="164" fontId="35" fillId="3" borderId="2" xfId="0" applyNumberFormat="1" applyFont="1" applyFill="1" applyBorder="1" applyAlignment="1">
      <alignment vertical="center" wrapText="1"/>
    </xf>
    <xf numFmtId="164" fontId="35" fillId="5" borderId="8" xfId="0" applyNumberFormat="1" applyFont="1" applyFill="1" applyBorder="1" applyAlignment="1">
      <alignment horizontal="center" vertical="center" wrapText="1"/>
    </xf>
    <xf numFmtId="0" fontId="37" fillId="0" borderId="20" xfId="0" applyFont="1" applyBorder="1" applyAlignment="1">
      <alignment horizontal="center"/>
    </xf>
    <xf numFmtId="0" fontId="27" fillId="0" borderId="0" xfId="0" applyFont="1" applyAlignment="1">
      <alignment vertical="center"/>
    </xf>
    <xf numFmtId="3" fontId="35" fillId="0" borderId="3" xfId="0" applyNumberFormat="1" applyFont="1" applyBorder="1" applyAlignment="1">
      <alignment horizontal="center" vertical="center" wrapText="1"/>
    </xf>
    <xf numFmtId="0" fontId="38" fillId="0" borderId="1" xfId="0" applyFont="1" applyBorder="1" applyAlignment="1">
      <alignment horizontal="left" vertical="center" wrapText="1"/>
    </xf>
    <xf numFmtId="164" fontId="35" fillId="5" borderId="4" xfId="0" applyNumberFormat="1" applyFont="1" applyFill="1" applyBorder="1" applyAlignment="1">
      <alignment horizontal="center" vertical="center" wrapText="1"/>
    </xf>
    <xf numFmtId="0" fontId="27" fillId="0" borderId="0" xfId="0" applyFont="1" applyAlignment="1">
      <alignment horizontal="left" vertical="center" indent="10"/>
    </xf>
    <xf numFmtId="0" fontId="38" fillId="0" borderId="1" xfId="0" applyFont="1" applyBorder="1" applyAlignment="1">
      <alignment vertical="center" wrapText="1"/>
    </xf>
    <xf numFmtId="3" fontId="35" fillId="0" borderId="5" xfId="0" applyNumberFormat="1" applyFont="1" applyBorder="1" applyAlignment="1">
      <alignment horizontal="center" vertical="center" wrapText="1"/>
    </xf>
    <xf numFmtId="0" fontId="38" fillId="0" borderId="6" xfId="0" applyFont="1" applyBorder="1" applyAlignment="1">
      <alignment vertical="center" wrapText="1"/>
    </xf>
    <xf numFmtId="164" fontId="35" fillId="5" borderId="7" xfId="0" applyNumberFormat="1" applyFont="1" applyFill="1" applyBorder="1" applyAlignment="1">
      <alignment horizontal="center" vertical="center" wrapText="1"/>
    </xf>
    <xf numFmtId="0" fontId="37" fillId="0" borderId="21" xfId="0" applyFont="1" applyBorder="1" applyAlignment="1">
      <alignment horizontal="center"/>
    </xf>
    <xf numFmtId="0" fontId="27" fillId="0" borderId="0" xfId="0" applyFont="1" applyAlignment="1">
      <alignment horizontal="center"/>
    </xf>
    <xf numFmtId="0" fontId="27" fillId="3" borderId="0" xfId="0" applyFont="1" applyFill="1" applyAlignment="1">
      <alignment wrapText="1"/>
    </xf>
    <xf numFmtId="0" fontId="32" fillId="4" borderId="10" xfId="0" applyFont="1" applyFill="1" applyBorder="1" applyAlignment="1">
      <alignment horizontal="center" vertical="center" wrapText="1"/>
    </xf>
    <xf numFmtId="3" fontId="35" fillId="0" borderId="2" xfId="0" applyNumberFormat="1" applyFont="1" applyBorder="1" applyAlignment="1">
      <alignment horizontal="center" vertical="center" wrapText="1"/>
    </xf>
    <xf numFmtId="164" fontId="35" fillId="0" borderId="1" xfId="0" applyNumberFormat="1" applyFont="1" applyBorder="1" applyAlignment="1">
      <alignment vertical="center" wrapText="1"/>
    </xf>
    <xf numFmtId="164" fontId="35" fillId="5" borderId="1" xfId="0" applyNumberFormat="1" applyFont="1" applyFill="1" applyBorder="1" applyAlignment="1">
      <alignment horizontal="center" vertical="center" wrapText="1"/>
    </xf>
    <xf numFmtId="0" fontId="37" fillId="0" borderId="20" xfId="0" applyFont="1" applyBorder="1" applyAlignment="1">
      <alignment horizontal="center" wrapText="1"/>
    </xf>
    <xf numFmtId="3" fontId="35" fillId="0" borderId="1" xfId="0" applyNumberFormat="1" applyFont="1" applyBorder="1" applyAlignment="1">
      <alignment horizontal="center" vertical="center" wrapText="1"/>
    </xf>
    <xf numFmtId="4" fontId="37" fillId="0" borderId="20" xfId="0" applyNumberFormat="1" applyFont="1" applyBorder="1" applyAlignment="1">
      <alignment horizontal="center" wrapText="1"/>
    </xf>
    <xf numFmtId="0" fontId="35" fillId="0" borderId="1" xfId="0" applyFont="1" applyBorder="1" applyAlignment="1">
      <alignment horizontal="left" vertical="center" wrapText="1"/>
    </xf>
    <xf numFmtId="0" fontId="37" fillId="0" borderId="21" xfId="0" applyFont="1" applyBorder="1" applyAlignment="1">
      <alignment horizontal="left" wrapText="1"/>
    </xf>
    <xf numFmtId="0" fontId="9" fillId="2" borderId="8" xfId="0" applyFont="1" applyFill="1" applyBorder="1" applyAlignment="1">
      <alignment horizontal="center" vertical="center" wrapText="1"/>
    </xf>
    <xf numFmtId="0" fontId="2" fillId="3" borderId="1" xfId="0" applyFont="1" applyFill="1" applyBorder="1" applyAlignment="1">
      <alignment horizontal="center" vertical="center"/>
    </xf>
    <xf numFmtId="164" fontId="9"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8" fillId="7" borderId="1" xfId="0" applyFont="1" applyFill="1" applyBorder="1" applyAlignment="1">
      <alignment horizontal="center" vertical="top" wrapText="1"/>
    </xf>
    <xf numFmtId="0" fontId="2" fillId="6" borderId="1" xfId="0" applyFont="1" applyFill="1" applyBorder="1" applyAlignment="1">
      <alignment horizontal="center" vertical="center"/>
    </xf>
    <xf numFmtId="49" fontId="0" fillId="0" borderId="1" xfId="0" applyNumberFormat="1" applyBorder="1" applyAlignment="1">
      <alignment horizontal="center"/>
    </xf>
    <xf numFmtId="0" fontId="0" fillId="0" borderId="1" xfId="0" applyBorder="1" applyAlignment="1">
      <alignment horizontal="center"/>
    </xf>
    <xf numFmtId="49" fontId="0" fillId="6" borderId="1" xfId="0" applyNumberFormat="1" applyFill="1" applyBorder="1" applyAlignment="1">
      <alignment horizontal="center"/>
    </xf>
    <xf numFmtId="0" fontId="39" fillId="3" borderId="1" xfId="0" applyFont="1" applyFill="1" applyBorder="1" applyAlignment="1">
      <alignment horizontal="center" vertical="center" wrapText="1"/>
    </xf>
    <xf numFmtId="0" fontId="0" fillId="6" borderId="1" xfId="0" applyFill="1" applyBorder="1" applyAlignment="1">
      <alignment horizontal="center"/>
    </xf>
    <xf numFmtId="0" fontId="2" fillId="0" borderId="1" xfId="0" applyFont="1" applyBorder="1" applyAlignment="1">
      <alignment horizontal="center" vertical="center"/>
    </xf>
    <xf numFmtId="3" fontId="9" fillId="0" borderId="48" xfId="0" applyNumberFormat="1" applyFont="1" applyFill="1" applyBorder="1" applyAlignment="1">
      <alignment horizontal="center" vertical="center" wrapText="1"/>
    </xf>
    <xf numFmtId="0" fontId="11" fillId="0" borderId="49" xfId="0" applyFont="1" applyBorder="1" applyAlignment="1">
      <alignment vertical="center" wrapText="1"/>
    </xf>
    <xf numFmtId="0" fontId="11" fillId="0" borderId="1" xfId="0" applyFont="1" applyFill="1" applyBorder="1" applyAlignment="1">
      <alignment horizontal="left" vertical="center" wrapText="1"/>
    </xf>
    <xf numFmtId="0" fontId="7" fillId="0" borderId="0" xfId="0" applyFont="1" applyBorder="1" applyAlignment="1">
      <alignment wrapText="1"/>
    </xf>
    <xf numFmtId="0" fontId="8" fillId="4" borderId="52" xfId="0" applyNumberFormat="1" applyFont="1" applyFill="1" applyBorder="1" applyAlignment="1">
      <alignment horizontal="center" vertical="center" wrapText="1"/>
    </xf>
    <xf numFmtId="0" fontId="8" fillId="4" borderId="9" xfId="0" applyNumberFormat="1" applyFont="1" applyFill="1" applyBorder="1" applyAlignment="1">
      <alignment horizontal="center" vertical="center" wrapText="1"/>
    </xf>
    <xf numFmtId="0" fontId="8" fillId="4" borderId="11" xfId="0" applyNumberFormat="1" applyFont="1" applyFill="1" applyBorder="1" applyAlignment="1">
      <alignment horizontal="center" vertical="center" wrapText="1"/>
    </xf>
    <xf numFmtId="3" fontId="9" fillId="3" borderId="2" xfId="0" applyNumberFormat="1" applyFont="1" applyFill="1" applyBorder="1" applyAlignment="1">
      <alignment horizontal="center" vertical="center" wrapText="1"/>
    </xf>
    <xf numFmtId="164" fontId="17" fillId="3" borderId="32" xfId="0" applyNumberFormat="1" applyFont="1" applyFill="1" applyBorder="1" applyAlignment="1">
      <alignment vertical="center" wrapText="1"/>
    </xf>
    <xf numFmtId="0" fontId="0" fillId="3" borderId="0" xfId="0" applyFill="1"/>
    <xf numFmtId="3" fontId="9" fillId="3" borderId="1" xfId="0" applyNumberFormat="1" applyFont="1" applyFill="1" applyBorder="1" applyAlignment="1">
      <alignment horizontal="center" vertical="center" wrapText="1"/>
    </xf>
    <xf numFmtId="0" fontId="5" fillId="3" borderId="32" xfId="0" applyFont="1" applyFill="1" applyBorder="1" applyAlignment="1">
      <alignment horizontal="left" vertical="center" wrapText="1"/>
    </xf>
    <xf numFmtId="164" fontId="9" fillId="3" borderId="3" xfId="0" applyNumberFormat="1" applyFont="1" applyFill="1" applyBorder="1" applyAlignment="1">
      <alignment horizontal="center" vertical="center" wrapText="1"/>
    </xf>
    <xf numFmtId="0" fontId="8" fillId="4" borderId="1" xfId="0" applyNumberFormat="1" applyFont="1" applyFill="1" applyBorder="1" applyAlignment="1">
      <alignment horizontal="center" vertical="center" wrapText="1"/>
    </xf>
    <xf numFmtId="0" fontId="8" fillId="4" borderId="3" xfId="0" applyNumberFormat="1" applyFont="1" applyFill="1" applyBorder="1" applyAlignment="1">
      <alignment horizontal="center" vertical="center" wrapText="1"/>
    </xf>
    <xf numFmtId="0" fontId="8" fillId="4" borderId="4" xfId="0" applyNumberFormat="1" applyFont="1" applyFill="1" applyBorder="1" applyAlignment="1">
      <alignment horizontal="center" vertical="center" wrapText="1"/>
    </xf>
    <xf numFmtId="164" fontId="9" fillId="3" borderId="4" xfId="0" applyNumberFormat="1" applyFont="1" applyFill="1" applyBorder="1" applyAlignment="1">
      <alignment horizontal="center" vertical="center" wrapText="1"/>
    </xf>
    <xf numFmtId="164" fontId="9" fillId="3" borderId="5" xfId="0" applyNumberFormat="1" applyFont="1" applyFill="1" applyBorder="1" applyAlignment="1">
      <alignment horizontal="center" vertical="center" wrapText="1"/>
    </xf>
    <xf numFmtId="164" fontId="9" fillId="3" borderId="50" xfId="0" applyNumberFormat="1" applyFont="1" applyFill="1" applyBorder="1" applyAlignment="1">
      <alignment horizontal="center" vertical="center" wrapText="1"/>
    </xf>
    <xf numFmtId="164" fontId="9" fillId="3" borderId="50" xfId="0" applyNumberFormat="1" applyFont="1" applyFill="1" applyBorder="1" applyAlignment="1">
      <alignment horizontal="center" vertical="top" wrapText="1"/>
    </xf>
    <xf numFmtId="164" fontId="9" fillId="3" borderId="5" xfId="0" applyNumberFormat="1" applyFont="1" applyFill="1" applyBorder="1" applyAlignment="1">
      <alignment horizontal="center" vertical="top" wrapText="1"/>
    </xf>
    <xf numFmtId="164" fontId="9" fillId="3" borderId="6" xfId="0" applyNumberFormat="1" applyFont="1" applyFill="1" applyBorder="1" applyAlignment="1">
      <alignment horizontal="center" vertical="top" wrapText="1"/>
    </xf>
    <xf numFmtId="164" fontId="9" fillId="3" borderId="7" xfId="0" applyNumberFormat="1" applyFont="1" applyFill="1" applyBorder="1" applyAlignment="1">
      <alignment horizontal="center" vertical="top" wrapText="1"/>
    </xf>
    <xf numFmtId="164" fontId="9" fillId="6" borderId="4" xfId="0" applyNumberFormat="1" applyFont="1" applyFill="1" applyBorder="1" applyAlignment="1">
      <alignment horizontal="center" vertical="center" wrapText="1"/>
    </xf>
    <xf numFmtId="0" fontId="8" fillId="4" borderId="38" xfId="0" applyNumberFormat="1" applyFont="1" applyFill="1" applyBorder="1" applyAlignment="1">
      <alignment horizontal="center" vertical="center" wrapText="1"/>
    </xf>
    <xf numFmtId="164" fontId="9" fillId="3" borderId="13" xfId="0" applyNumberFormat="1" applyFont="1" applyFill="1" applyBorder="1" applyAlignment="1">
      <alignment horizontal="center" vertical="center" wrapText="1"/>
    </xf>
    <xf numFmtId="164" fontId="9" fillId="3" borderId="14" xfId="0" applyNumberFormat="1" applyFont="1" applyFill="1" applyBorder="1" applyAlignment="1">
      <alignment horizontal="center" vertical="center" wrapText="1"/>
    </xf>
    <xf numFmtId="164" fontId="9" fillId="3" borderId="51" xfId="0" applyNumberFormat="1" applyFont="1" applyFill="1" applyBorder="1" applyAlignment="1">
      <alignment horizontal="center" vertical="top" wrapText="1"/>
    </xf>
    <xf numFmtId="164" fontId="9" fillId="3" borderId="30" xfId="0" applyNumberFormat="1" applyFont="1" applyFill="1" applyBorder="1" applyAlignment="1">
      <alignment horizontal="center" vertical="top" wrapText="1"/>
    </xf>
    <xf numFmtId="9" fontId="9" fillId="3" borderId="50" xfId="0" applyNumberFormat="1" applyFont="1" applyFill="1" applyBorder="1" applyAlignment="1">
      <alignment horizontal="center" vertical="center" wrapText="1"/>
    </xf>
    <xf numFmtId="164" fontId="9" fillId="6" borderId="50" xfId="0" applyNumberFormat="1" applyFont="1" applyFill="1" applyBorder="1" applyAlignment="1">
      <alignment horizontal="center" vertical="top" wrapText="1"/>
    </xf>
    <xf numFmtId="164" fontId="9" fillId="6" borderId="1" xfId="0" applyNumberFormat="1" applyFont="1" applyFill="1" applyBorder="1" applyAlignment="1">
      <alignment horizontal="center" vertical="center" wrapText="1"/>
    </xf>
    <xf numFmtId="164" fontId="9" fillId="6" borderId="3" xfId="0" applyNumberFormat="1" applyFont="1" applyFill="1" applyBorder="1" applyAlignment="1">
      <alignment horizontal="center" vertical="center" wrapText="1"/>
    </xf>
    <xf numFmtId="9" fontId="9" fillId="3" borderId="3" xfId="0" applyNumberFormat="1" applyFont="1" applyFill="1" applyBorder="1" applyAlignment="1">
      <alignment horizontal="center" vertical="center" wrapText="1"/>
    </xf>
    <xf numFmtId="9" fontId="9" fillId="3" borderId="14" xfId="0" applyNumberFormat="1" applyFont="1" applyFill="1" applyBorder="1" applyAlignment="1">
      <alignment horizontal="center" vertical="center" wrapText="1"/>
    </xf>
    <xf numFmtId="164" fontId="9" fillId="6" borderId="30" xfId="0" applyNumberFormat="1" applyFont="1" applyFill="1" applyBorder="1" applyAlignment="1">
      <alignment horizontal="center" vertical="top" wrapText="1"/>
    </xf>
    <xf numFmtId="164" fontId="9" fillId="3" borderId="51" xfId="0" applyNumberFormat="1" applyFont="1" applyFill="1" applyBorder="1" applyAlignment="1">
      <alignment horizontal="left" vertical="top" wrapText="1"/>
    </xf>
    <xf numFmtId="164" fontId="9" fillId="3" borderId="27" xfId="0" applyNumberFormat="1" applyFont="1" applyFill="1" applyBorder="1" applyAlignment="1">
      <alignment horizontal="center" vertical="center" wrapText="1"/>
    </xf>
    <xf numFmtId="164" fontId="9" fillId="3" borderId="29" xfId="0" applyNumberFormat="1" applyFont="1" applyFill="1" applyBorder="1" applyAlignment="1">
      <alignment horizontal="left" vertical="top" wrapText="1"/>
    </xf>
    <xf numFmtId="0" fontId="8" fillId="4" borderId="47" xfId="0" applyNumberFormat="1" applyFont="1" applyFill="1" applyBorder="1" applyAlignment="1">
      <alignment horizontal="center" vertical="center" wrapText="1"/>
    </xf>
    <xf numFmtId="0" fontId="8" fillId="4" borderId="46" xfId="0" applyNumberFormat="1" applyFont="1" applyFill="1" applyBorder="1" applyAlignment="1">
      <alignment horizontal="center" vertical="center" wrapText="1"/>
    </xf>
    <xf numFmtId="0" fontId="9" fillId="3" borderId="3" xfId="0" applyFont="1" applyFill="1" applyBorder="1" applyAlignment="1">
      <alignment horizontal="center"/>
    </xf>
    <xf numFmtId="0" fontId="9" fillId="0" borderId="1" xfId="0" applyFont="1" applyBorder="1" applyAlignment="1">
      <alignment horizontal="center"/>
    </xf>
    <xf numFmtId="0" fontId="9" fillId="3" borderId="3" xfId="0" applyFont="1" applyFill="1" applyBorder="1" applyAlignment="1">
      <alignment horizontal="center" vertical="center"/>
    </xf>
    <xf numFmtId="0" fontId="9" fillId="0" borderId="1" xfId="0" applyFont="1" applyBorder="1" applyAlignment="1">
      <alignment horizontal="center" vertical="center"/>
    </xf>
    <xf numFmtId="0" fontId="9" fillId="3" borderId="1" xfId="0" applyFont="1" applyFill="1" applyBorder="1" applyAlignment="1">
      <alignment horizontal="center"/>
    </xf>
    <xf numFmtId="164" fontId="9" fillId="6" borderId="50" xfId="0" applyNumberFormat="1" applyFont="1" applyFill="1" applyBorder="1" applyAlignment="1">
      <alignment horizontal="center" vertical="center" wrapText="1"/>
    </xf>
    <xf numFmtId="0" fontId="8" fillId="4" borderId="53" xfId="0" applyNumberFormat="1" applyFont="1" applyFill="1" applyBorder="1" applyAlignment="1">
      <alignment horizontal="center" vertical="center" wrapText="1"/>
    </xf>
    <xf numFmtId="0" fontId="9" fillId="0" borderId="32" xfId="0" applyFont="1" applyBorder="1" applyAlignment="1">
      <alignment horizontal="center"/>
    </xf>
    <xf numFmtId="0" fontId="9" fillId="3" borderId="32" xfId="0" applyFont="1" applyFill="1" applyBorder="1" applyAlignment="1">
      <alignment horizontal="center"/>
    </xf>
    <xf numFmtId="0" fontId="9" fillId="0" borderId="32" xfId="0" applyFont="1" applyBorder="1" applyAlignment="1">
      <alignment horizontal="center" vertical="center"/>
    </xf>
    <xf numFmtId="164" fontId="9" fillId="3" borderId="39" xfId="0" applyNumberFormat="1" applyFont="1" applyFill="1" applyBorder="1" applyAlignment="1">
      <alignment horizontal="center" vertical="top" wrapText="1"/>
    </xf>
    <xf numFmtId="43" fontId="9" fillId="0" borderId="1" xfId="0" applyNumberFormat="1" applyFont="1" applyBorder="1" applyAlignment="1">
      <alignment horizontal="center"/>
    </xf>
    <xf numFmtId="43" fontId="9" fillId="0" borderId="1" xfId="0" applyNumberFormat="1" applyFont="1" applyBorder="1" applyAlignment="1"/>
    <xf numFmtId="43" fontId="9" fillId="0" borderId="3" xfId="0" applyNumberFormat="1" applyFont="1" applyBorder="1" applyAlignment="1"/>
    <xf numFmtId="43" fontId="9" fillId="0" borderId="4" xfId="0" applyNumberFormat="1" applyFont="1" applyBorder="1" applyAlignment="1"/>
    <xf numFmtId="43" fontId="9" fillId="0" borderId="3" xfId="0" applyNumberFormat="1" applyFont="1" applyBorder="1" applyAlignment="1">
      <alignment horizontal="center"/>
    </xf>
    <xf numFmtId="43" fontId="9" fillId="0" borderId="4" xfId="0" applyNumberFormat="1" applyFont="1" applyBorder="1" applyAlignment="1">
      <alignment horizontal="center"/>
    </xf>
    <xf numFmtId="164" fontId="9" fillId="6" borderId="14" xfId="0" applyNumberFormat="1" applyFont="1" applyFill="1" applyBorder="1" applyAlignment="1">
      <alignment horizontal="center" vertical="center" wrapText="1"/>
    </xf>
    <xf numFmtId="164" fontId="9" fillId="3" borderId="51" xfId="0" applyNumberFormat="1" applyFont="1" applyFill="1" applyBorder="1" applyAlignment="1">
      <alignment horizontal="center" vertical="center" wrapText="1"/>
    </xf>
    <xf numFmtId="164" fontId="9" fillId="3" borderId="30" xfId="0" applyNumberFormat="1" applyFont="1" applyFill="1" applyBorder="1" applyAlignment="1">
      <alignment horizontal="center" vertical="center" wrapText="1"/>
    </xf>
    <xf numFmtId="164" fontId="9" fillId="6" borderId="3" xfId="0" applyNumberFormat="1" applyFont="1" applyFill="1" applyBorder="1" applyAlignment="1">
      <alignment horizontal="center" vertical="top" wrapText="1"/>
    </xf>
    <xf numFmtId="164" fontId="9" fillId="6" borderId="14" xfId="0" applyNumberFormat="1" applyFont="1" applyFill="1" applyBorder="1" applyAlignment="1">
      <alignment horizontal="center" vertical="top" wrapText="1"/>
    </xf>
    <xf numFmtId="164" fontId="9" fillId="3" borderId="3" xfId="0" applyNumberFormat="1" applyFont="1" applyFill="1" applyBorder="1" applyAlignment="1">
      <alignment horizontal="center" vertical="top" wrapText="1"/>
    </xf>
    <xf numFmtId="164" fontId="9" fillId="3" borderId="14" xfId="0" applyNumberFormat="1" applyFont="1" applyFill="1" applyBorder="1" applyAlignment="1">
      <alignment horizontal="center" vertical="top" wrapText="1"/>
    </xf>
    <xf numFmtId="0" fontId="7" fillId="0" borderId="15" xfId="0" applyFont="1" applyBorder="1" applyAlignment="1">
      <alignment horizontal="center" wrapText="1"/>
    </xf>
    <xf numFmtId="164" fontId="8" fillId="4" borderId="1" xfId="0" applyNumberFormat="1" applyFont="1" applyFill="1" applyBorder="1" applyAlignment="1">
      <alignment horizontal="center" vertical="center" wrapText="1"/>
    </xf>
    <xf numFmtId="0" fontId="8" fillId="7" borderId="24" xfId="0" applyFont="1" applyFill="1" applyBorder="1" applyAlignment="1">
      <alignment horizontal="center" vertical="top" wrapText="1"/>
    </xf>
    <xf numFmtId="0" fontId="8" fillId="7" borderId="25" xfId="0" applyFont="1" applyFill="1" applyBorder="1" applyAlignment="1">
      <alignment horizontal="center" vertical="top" wrapText="1"/>
    </xf>
    <xf numFmtId="0" fontId="8" fillId="7" borderId="26" xfId="0" applyFont="1" applyFill="1" applyBorder="1" applyAlignment="1">
      <alignment horizontal="center" vertical="top" wrapText="1"/>
    </xf>
    <xf numFmtId="164" fontId="9" fillId="6" borderId="13" xfId="0" applyNumberFormat="1" applyFont="1" applyFill="1" applyBorder="1" applyAlignment="1">
      <alignment horizontal="center" vertical="center" wrapText="1"/>
    </xf>
    <xf numFmtId="164" fontId="9" fillId="6" borderId="27" xfId="0" applyNumberFormat="1" applyFont="1" applyFill="1" applyBorder="1" applyAlignment="1">
      <alignment horizontal="center" vertical="center" wrapText="1"/>
    </xf>
    <xf numFmtId="0" fontId="8" fillId="7" borderId="35" xfId="0" applyFont="1" applyFill="1" applyBorder="1" applyAlignment="1">
      <alignment horizontal="center" vertical="top" wrapText="1"/>
    </xf>
    <xf numFmtId="0" fontId="8" fillId="7" borderId="36" xfId="0" applyFont="1" applyFill="1" applyBorder="1" applyAlignment="1">
      <alignment horizontal="center" vertical="top" wrapText="1"/>
    </xf>
    <xf numFmtId="0" fontId="8" fillId="7" borderId="37" xfId="0" applyFont="1" applyFill="1" applyBorder="1" applyAlignment="1">
      <alignment horizontal="center" vertical="top" wrapText="1"/>
    </xf>
    <xf numFmtId="43" fontId="9" fillId="0" borderId="28" xfId="0" applyNumberFormat="1" applyFont="1" applyBorder="1" applyAlignment="1">
      <alignment horizontal="center" vertical="center"/>
    </xf>
    <xf numFmtId="43" fontId="9" fillId="0" borderId="29" xfId="0" applyNumberFormat="1" applyFont="1" applyBorder="1" applyAlignment="1">
      <alignment horizontal="center" vertical="center"/>
    </xf>
    <xf numFmtId="43" fontId="9" fillId="0" borderId="30" xfId="0" applyNumberFormat="1" applyFont="1" applyBorder="1" applyAlignment="1">
      <alignment horizontal="center" vertical="center"/>
    </xf>
    <xf numFmtId="0" fontId="8" fillId="7" borderId="43" xfId="0" applyFont="1" applyFill="1" applyBorder="1" applyAlignment="1">
      <alignment horizontal="center" vertical="top" wrapText="1"/>
    </xf>
    <xf numFmtId="0" fontId="8" fillId="7" borderId="45" xfId="0" applyFont="1" applyFill="1" applyBorder="1" applyAlignment="1">
      <alignment horizontal="center" vertical="top" wrapText="1"/>
    </xf>
    <xf numFmtId="0" fontId="8" fillId="7" borderId="44" xfId="0" applyFont="1" applyFill="1" applyBorder="1" applyAlignment="1">
      <alignment horizontal="center" vertical="top" wrapText="1"/>
    </xf>
    <xf numFmtId="0" fontId="4" fillId="4" borderId="9"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10" xfId="0" applyFont="1" applyFill="1" applyBorder="1" applyAlignment="1">
      <alignment horizontal="center" wrapText="1"/>
    </xf>
    <xf numFmtId="0" fontId="4" fillId="4" borderId="11" xfId="0" applyFont="1" applyFill="1" applyBorder="1" applyAlignment="1">
      <alignment horizontal="center" wrapText="1"/>
    </xf>
    <xf numFmtId="0" fontId="6" fillId="0" borderId="12" xfId="0" applyFont="1" applyBorder="1" applyAlignment="1">
      <alignment horizontal="left" wrapText="1"/>
    </xf>
    <xf numFmtId="0" fontId="6" fillId="0" borderId="8" xfId="0" applyFont="1" applyBorder="1" applyAlignment="1">
      <alignment horizontal="left" wrapText="1"/>
    </xf>
    <xf numFmtId="0" fontId="4" fillId="2" borderId="2" xfId="0" applyFont="1" applyFill="1" applyBorder="1" applyAlignment="1">
      <alignment horizontal="center" wrapText="1"/>
    </xf>
    <xf numFmtId="0" fontId="4" fillId="2" borderId="8" xfId="0" applyFont="1" applyFill="1" applyBorder="1" applyAlignment="1">
      <alignment horizont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4" fillId="2" borderId="1" xfId="0" applyFont="1" applyFill="1" applyBorder="1" applyAlignment="1">
      <alignment horizontal="center" wrapText="1"/>
    </xf>
    <xf numFmtId="0" fontId="4" fillId="2" borderId="4" xfId="0" applyFont="1" applyFill="1" applyBorder="1" applyAlignment="1">
      <alignment horizontal="center" wrapText="1"/>
    </xf>
    <xf numFmtId="0" fontId="6" fillId="0" borderId="13" xfId="0" applyFont="1" applyBorder="1" applyAlignment="1">
      <alignment horizontal="left" wrapText="1"/>
    </xf>
    <xf numFmtId="0" fontId="6" fillId="0" borderId="14" xfId="0" applyFont="1" applyBorder="1" applyAlignment="1">
      <alignment horizontal="left" wrapText="1"/>
    </xf>
    <xf numFmtId="164" fontId="16" fillId="3" borderId="3" xfId="0" applyNumberFormat="1" applyFont="1" applyFill="1" applyBorder="1" applyAlignment="1">
      <alignment horizontal="center" vertical="center" wrapText="1"/>
    </xf>
    <xf numFmtId="164" fontId="16" fillId="3" borderId="4" xfId="0" applyNumberFormat="1" applyFont="1" applyFill="1" applyBorder="1" applyAlignment="1">
      <alignment horizontal="center" vertical="center" wrapText="1"/>
    </xf>
    <xf numFmtId="164" fontId="16" fillId="3" borderId="5" xfId="0" applyNumberFormat="1" applyFont="1" applyFill="1" applyBorder="1" applyAlignment="1">
      <alignment horizontal="center" vertical="center" wrapText="1"/>
    </xf>
    <xf numFmtId="164" fontId="16" fillId="3" borderId="7" xfId="0" applyNumberFormat="1" applyFont="1" applyFill="1" applyBorder="1" applyAlignment="1">
      <alignment horizontal="center" vertical="center" wrapText="1"/>
    </xf>
    <xf numFmtId="0" fontId="6" fillId="0" borderId="5" xfId="0" applyFont="1" applyBorder="1" applyAlignment="1">
      <alignment horizontal="left" wrapText="1"/>
    </xf>
    <xf numFmtId="0" fontId="6" fillId="0" borderId="7" xfId="0" applyFont="1" applyBorder="1" applyAlignment="1">
      <alignment horizontal="left" wrapText="1"/>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164" fontId="14" fillId="4" borderId="9" xfId="0" applyNumberFormat="1" applyFont="1" applyFill="1" applyBorder="1" applyAlignment="1">
      <alignment horizontal="center" vertical="center" wrapText="1"/>
    </xf>
    <xf numFmtId="164" fontId="14" fillId="4" borderId="11" xfId="0" applyNumberFormat="1" applyFont="1" applyFill="1" applyBorder="1" applyAlignment="1">
      <alignment horizontal="center" vertical="center" wrapText="1"/>
    </xf>
    <xf numFmtId="164" fontId="16" fillId="3" borderId="12" xfId="0" applyNumberFormat="1" applyFont="1" applyFill="1" applyBorder="1" applyAlignment="1">
      <alignment horizontal="center" vertical="center" wrapText="1"/>
    </xf>
    <xf numFmtId="164" fontId="16" fillId="3" borderId="8" xfId="0" applyNumberFormat="1" applyFont="1" applyFill="1" applyBorder="1" applyAlignment="1">
      <alignment horizontal="center" vertical="center" wrapText="1"/>
    </xf>
    <xf numFmtId="0" fontId="4" fillId="4" borderId="17" xfId="0" applyFont="1" applyFill="1" applyBorder="1" applyAlignment="1">
      <alignment horizontal="center" wrapText="1"/>
    </xf>
    <xf numFmtId="0" fontId="4" fillId="4" borderId="15" xfId="0" applyFont="1" applyFill="1" applyBorder="1" applyAlignment="1">
      <alignment horizontal="center" wrapText="1"/>
    </xf>
    <xf numFmtId="0" fontId="4" fillId="4" borderId="18" xfId="0" applyFont="1" applyFill="1" applyBorder="1" applyAlignment="1">
      <alignment horizontal="center" wrapText="1"/>
    </xf>
    <xf numFmtId="0" fontId="6" fillId="0" borderId="16" xfId="0" applyFont="1" applyBorder="1" applyAlignment="1">
      <alignment horizontal="left" wrapText="1"/>
    </xf>
    <xf numFmtId="0" fontId="4" fillId="2" borderId="16" xfId="0" applyFont="1" applyFill="1" applyBorder="1" applyAlignment="1">
      <alignment horizontal="center" wrapText="1"/>
    </xf>
    <xf numFmtId="0" fontId="4" fillId="2" borderId="22" xfId="0" applyFont="1" applyFill="1" applyBorder="1" applyAlignment="1">
      <alignment horizontal="center" wrapText="1"/>
    </xf>
    <xf numFmtId="0" fontId="0" fillId="0" borderId="22" xfId="0" applyBorder="1" applyAlignment="1">
      <alignment horizontal="center" wrapText="1"/>
    </xf>
    <xf numFmtId="0" fontId="0" fillId="0" borderId="23" xfId="0" applyBorder="1" applyAlignment="1">
      <alignment horizontal="center" wrapText="1"/>
    </xf>
    <xf numFmtId="0" fontId="4" fillId="2" borderId="13" xfId="0" applyFont="1" applyFill="1" applyBorder="1" applyAlignment="1">
      <alignment horizontal="center" wrapText="1"/>
    </xf>
    <xf numFmtId="0" fontId="4" fillId="2" borderId="27" xfId="0" applyFont="1" applyFill="1" applyBorder="1" applyAlignment="1">
      <alignment horizontal="center" wrapText="1"/>
    </xf>
    <xf numFmtId="0" fontId="0" fillId="0" borderId="27" xfId="0" applyBorder="1" applyAlignment="1">
      <alignment horizontal="center" wrapText="1"/>
    </xf>
    <xf numFmtId="0" fontId="0" fillId="0" borderId="14" xfId="0" applyBorder="1" applyAlignment="1">
      <alignment horizontal="center" wrapText="1"/>
    </xf>
    <xf numFmtId="0" fontId="4" fillId="2" borderId="28" xfId="0" applyFont="1" applyFill="1" applyBorder="1" applyAlignment="1">
      <alignment horizontal="center" wrapText="1"/>
    </xf>
    <xf numFmtId="0" fontId="4" fillId="2" borderId="29" xfId="0" applyFont="1" applyFill="1" applyBorder="1" applyAlignment="1">
      <alignment horizontal="center" wrapText="1"/>
    </xf>
    <xf numFmtId="0" fontId="0" fillId="0" borderId="29" xfId="0" applyBorder="1" applyAlignment="1">
      <alignment horizontal="center" wrapText="1"/>
    </xf>
    <xf numFmtId="0" fontId="0" fillId="0" borderId="30" xfId="0" applyBorder="1" applyAlignment="1">
      <alignment horizontal="center" wrapText="1"/>
    </xf>
    <xf numFmtId="0" fontId="7" fillId="0" borderId="0" xfId="0" applyFont="1" applyBorder="1" applyAlignment="1">
      <alignment horizontal="center" wrapText="1"/>
    </xf>
    <xf numFmtId="0" fontId="18" fillId="2" borderId="6" xfId="1" applyFill="1" applyBorder="1" applyAlignment="1">
      <alignment horizontal="center" wrapText="1"/>
    </xf>
    <xf numFmtId="0" fontId="22" fillId="2" borderId="6" xfId="1" applyFont="1" applyFill="1" applyBorder="1" applyAlignment="1">
      <alignment horizontal="center" wrapText="1"/>
    </xf>
    <xf numFmtId="14" fontId="16" fillId="3" borderId="12" xfId="0" applyNumberFormat="1" applyFont="1" applyFill="1" applyBorder="1" applyAlignment="1">
      <alignment horizontal="center" vertical="center" wrapText="1"/>
    </xf>
    <xf numFmtId="0" fontId="16" fillId="3" borderId="8" xfId="0" applyNumberFormat="1" applyFont="1" applyFill="1" applyBorder="1" applyAlignment="1">
      <alignment horizontal="center" vertical="center" wrapText="1"/>
    </xf>
    <xf numFmtId="0" fontId="4" fillId="2" borderId="23" xfId="0" applyFont="1" applyFill="1" applyBorder="1" applyAlignment="1">
      <alignment horizontal="center" wrapText="1"/>
    </xf>
    <xf numFmtId="0" fontId="4" fillId="2" borderId="14" xfId="0" applyFont="1" applyFill="1" applyBorder="1" applyAlignment="1">
      <alignment horizontal="center" wrapText="1"/>
    </xf>
    <xf numFmtId="0" fontId="22" fillId="2" borderId="28" xfId="1" applyFont="1" applyFill="1" applyBorder="1" applyAlignment="1">
      <alignment horizontal="center" wrapText="1"/>
    </xf>
    <xf numFmtId="0" fontId="22" fillId="2" borderId="29" xfId="1" applyFont="1" applyFill="1" applyBorder="1" applyAlignment="1">
      <alignment horizontal="center" wrapText="1"/>
    </xf>
    <xf numFmtId="0" fontId="22" fillId="2" borderId="30" xfId="1" applyFont="1" applyFill="1" applyBorder="1" applyAlignment="1">
      <alignment horizontal="center" wrapText="1"/>
    </xf>
    <xf numFmtId="164" fontId="10" fillId="2" borderId="32" xfId="0" applyNumberFormat="1" applyFont="1" applyFill="1" applyBorder="1" applyAlignment="1">
      <alignment horizontal="center" vertical="center" wrapText="1"/>
    </xf>
    <xf numFmtId="164" fontId="10" fillId="2" borderId="27" xfId="0" applyNumberFormat="1" applyFont="1" applyFill="1" applyBorder="1" applyAlignment="1">
      <alignment horizontal="center" vertical="center" wrapText="1"/>
    </xf>
    <xf numFmtId="164" fontId="10" fillId="2" borderId="14" xfId="0" applyNumberFormat="1" applyFont="1" applyFill="1" applyBorder="1" applyAlignment="1">
      <alignment horizontal="center" vertical="center" wrapText="1"/>
    </xf>
    <xf numFmtId="164" fontId="16" fillId="3" borderId="34" xfId="0" applyNumberFormat="1" applyFont="1" applyFill="1" applyBorder="1" applyAlignment="1">
      <alignment horizontal="center" vertical="center" wrapText="1"/>
    </xf>
    <xf numFmtId="0" fontId="4" fillId="2" borderId="32" xfId="0" applyFont="1" applyFill="1" applyBorder="1" applyAlignment="1">
      <alignment horizontal="center" wrapText="1"/>
    </xf>
    <xf numFmtId="0" fontId="18" fillId="2" borderId="28" xfId="1" applyFill="1" applyBorder="1" applyAlignment="1">
      <alignment horizontal="center" wrapText="1"/>
    </xf>
    <xf numFmtId="0" fontId="4" fillId="2" borderId="30" xfId="0" applyFont="1" applyFill="1" applyBorder="1" applyAlignment="1">
      <alignment horizontal="center" wrapText="1"/>
    </xf>
    <xf numFmtId="0" fontId="7" fillId="0" borderId="0" xfId="0" applyFont="1" applyAlignment="1">
      <alignment horizontal="center" wrapText="1"/>
    </xf>
    <xf numFmtId="9" fontId="4" fillId="2" borderId="1" xfId="0" applyNumberFormat="1" applyFont="1" applyFill="1" applyBorder="1" applyAlignment="1">
      <alignment horizontal="center" wrapText="1"/>
    </xf>
    <xf numFmtId="0" fontId="4" fillId="0" borderId="1" xfId="0" applyFont="1" applyBorder="1" applyAlignment="1">
      <alignment horizontal="center" wrapText="1"/>
    </xf>
    <xf numFmtId="0" fontId="4" fillId="0" borderId="4" xfId="0" applyFont="1" applyBorder="1" applyAlignment="1">
      <alignment horizontal="center" wrapText="1"/>
    </xf>
    <xf numFmtId="9" fontId="4" fillId="2" borderId="13" xfId="0" applyNumberFormat="1" applyFont="1" applyFill="1" applyBorder="1" applyAlignment="1">
      <alignment horizontal="center" wrapText="1"/>
    </xf>
    <xf numFmtId="9" fontId="4" fillId="2" borderId="27" xfId="0" applyNumberFormat="1" applyFont="1" applyFill="1" applyBorder="1" applyAlignment="1">
      <alignment horizontal="center" wrapText="1"/>
    </xf>
    <xf numFmtId="9" fontId="4" fillId="2" borderId="14" xfId="0" applyNumberFormat="1" applyFont="1" applyFill="1" applyBorder="1" applyAlignment="1">
      <alignment horizontal="center" wrapText="1"/>
    </xf>
    <xf numFmtId="0" fontId="4" fillId="4" borderId="24" xfId="0" applyFont="1" applyFill="1" applyBorder="1" applyAlignment="1">
      <alignment horizontal="center" wrapText="1"/>
    </xf>
    <xf numFmtId="0" fontId="4" fillId="4" borderId="25" xfId="0" applyFont="1" applyFill="1" applyBorder="1" applyAlignment="1">
      <alignment horizontal="center" wrapText="1"/>
    </xf>
    <xf numFmtId="0" fontId="4" fillId="4" borderId="26" xfId="0" applyFont="1" applyFill="1" applyBorder="1" applyAlignment="1">
      <alignment horizontal="center" wrapText="1"/>
    </xf>
    <xf numFmtId="0" fontId="4" fillId="2" borderId="35" xfId="0" applyFont="1" applyFill="1" applyBorder="1" applyAlignment="1">
      <alignment horizontal="center" wrapText="1"/>
    </xf>
    <xf numFmtId="0" fontId="4" fillId="2" borderId="36" xfId="0" applyFont="1" applyFill="1" applyBorder="1" applyAlignment="1">
      <alignment horizontal="center" wrapText="1"/>
    </xf>
    <xf numFmtId="0" fontId="4" fillId="2" borderId="37" xfId="0" applyFont="1" applyFill="1" applyBorder="1" applyAlignment="1">
      <alignment horizontal="center" wrapText="1"/>
    </xf>
    <xf numFmtId="164" fontId="9" fillId="3" borderId="5" xfId="0" applyNumberFormat="1" applyFont="1" applyFill="1" applyBorder="1" applyAlignment="1">
      <alignment horizontal="left" vertical="center" wrapText="1"/>
    </xf>
    <xf numFmtId="164" fontId="9" fillId="3" borderId="7" xfId="0" applyNumberFormat="1" applyFont="1" applyFill="1" applyBorder="1" applyAlignment="1">
      <alignment horizontal="left" vertical="center" wrapText="1"/>
    </xf>
    <xf numFmtId="0" fontId="6" fillId="0" borderId="32" xfId="0" applyFont="1" applyBorder="1" applyAlignment="1">
      <alignment horizontal="left" wrapText="1"/>
    </xf>
    <xf numFmtId="0" fontId="6" fillId="0" borderId="39" xfId="0" applyFont="1" applyBorder="1" applyAlignment="1">
      <alignment horizontal="left" wrapText="1"/>
    </xf>
    <xf numFmtId="0" fontId="6" fillId="0" borderId="27" xfId="0" applyFont="1" applyBorder="1" applyAlignment="1">
      <alignment horizontal="left" wrapText="1"/>
    </xf>
    <xf numFmtId="49" fontId="4" fillId="2" borderId="1" xfId="0" applyNumberFormat="1" applyFont="1" applyFill="1" applyBorder="1" applyAlignment="1">
      <alignment horizontal="center" wrapText="1"/>
    </xf>
    <xf numFmtId="49" fontId="4" fillId="2" borderId="4" xfId="0" applyNumberFormat="1" applyFont="1" applyFill="1" applyBorder="1" applyAlignment="1">
      <alignment horizontal="center" wrapText="1"/>
    </xf>
    <xf numFmtId="164" fontId="16" fillId="3" borderId="35" xfId="0" applyNumberFormat="1" applyFont="1" applyFill="1" applyBorder="1" applyAlignment="1">
      <alignment horizontal="center" vertical="center" wrapText="1"/>
    </xf>
    <xf numFmtId="164" fontId="16" fillId="3" borderId="37" xfId="0" applyNumberFormat="1"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2" borderId="40" xfId="0" applyFont="1" applyFill="1" applyBorder="1" applyAlignment="1">
      <alignment horizontal="center" wrapText="1"/>
    </xf>
    <xf numFmtId="0" fontId="4" fillId="2" borderId="41" xfId="0" applyFont="1" applyFill="1" applyBorder="1" applyAlignment="1">
      <alignment horizontal="center" wrapText="1"/>
    </xf>
    <xf numFmtId="0" fontId="4" fillId="2" borderId="42" xfId="0" applyFont="1" applyFill="1" applyBorder="1" applyAlignment="1">
      <alignment horizontal="center" wrapText="1"/>
    </xf>
    <xf numFmtId="0" fontId="4" fillId="2" borderId="31" xfId="0" applyFont="1" applyFill="1" applyBorder="1" applyAlignment="1">
      <alignment horizontal="center" wrapText="1"/>
    </xf>
    <xf numFmtId="49" fontId="16" fillId="3" borderId="12" xfId="0" applyNumberFormat="1" applyFont="1" applyFill="1" applyBorder="1" applyAlignment="1">
      <alignment horizontal="center" vertical="center" wrapText="1"/>
    </xf>
    <xf numFmtId="49" fontId="16" fillId="3" borderId="8" xfId="0" applyNumberFormat="1" applyFont="1" applyFill="1" applyBorder="1" applyAlignment="1">
      <alignment horizontal="center" vertical="center" wrapText="1"/>
    </xf>
    <xf numFmtId="0" fontId="6" fillId="0" borderId="9" xfId="0" applyFont="1" applyBorder="1" applyAlignment="1">
      <alignment horizontal="left" wrapText="1"/>
    </xf>
    <xf numFmtId="0" fontId="6" fillId="0" borderId="11" xfId="0" applyFont="1" applyBorder="1" applyAlignment="1">
      <alignment horizontal="left" wrapText="1"/>
    </xf>
    <xf numFmtId="0" fontId="4" fillId="2" borderId="24" xfId="0" applyFont="1" applyFill="1" applyBorder="1" applyAlignment="1">
      <alignment horizontal="center" wrapText="1"/>
    </xf>
    <xf numFmtId="0" fontId="4" fillId="2" borderId="25" xfId="0" applyFont="1" applyFill="1" applyBorder="1" applyAlignment="1">
      <alignment horizontal="center" wrapText="1"/>
    </xf>
    <xf numFmtId="0" fontId="0" fillId="0" borderId="25" xfId="0" applyBorder="1" applyAlignment="1">
      <alignment horizontal="center" wrapText="1"/>
    </xf>
    <xf numFmtId="0" fontId="0" fillId="0" borderId="26" xfId="0" applyBorder="1" applyAlignment="1">
      <alignment horizontal="center" wrapText="1"/>
    </xf>
    <xf numFmtId="0" fontId="16" fillId="3" borderId="12" xfId="0" applyFont="1" applyFill="1" applyBorder="1" applyAlignment="1">
      <alignment horizontal="center" vertical="center" wrapText="1"/>
    </xf>
    <xf numFmtId="0" fontId="16" fillId="3" borderId="8"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4" fillId="2" borderId="4" xfId="0" applyFont="1" applyFill="1" applyBorder="1" applyAlignment="1">
      <alignment horizontal="center" vertical="top" wrapText="1"/>
    </xf>
    <xf numFmtId="164" fontId="9" fillId="2" borderId="32" xfId="0" applyNumberFormat="1" applyFont="1" applyFill="1" applyBorder="1" applyAlignment="1">
      <alignment horizontal="center" vertical="center" wrapText="1"/>
    </xf>
    <xf numFmtId="164" fontId="9" fillId="2" borderId="27" xfId="0" applyNumberFormat="1" applyFont="1" applyFill="1" applyBorder="1" applyAlignment="1">
      <alignment horizontal="center" vertical="center" wrapText="1"/>
    </xf>
    <xf numFmtId="164" fontId="9" fillId="2" borderId="14" xfId="0" applyNumberFormat="1" applyFont="1" applyFill="1" applyBorder="1" applyAlignment="1">
      <alignment horizontal="center" vertical="center" wrapText="1"/>
    </xf>
    <xf numFmtId="0" fontId="4" fillId="2" borderId="13" xfId="0" applyFont="1" applyFill="1" applyBorder="1" applyAlignment="1">
      <alignment horizontal="center" vertical="top" wrapText="1"/>
    </xf>
    <xf numFmtId="0" fontId="4" fillId="2" borderId="27" xfId="0" applyFont="1" applyFill="1" applyBorder="1" applyAlignment="1">
      <alignment horizontal="center" vertical="top" wrapText="1"/>
    </xf>
    <xf numFmtId="0" fontId="4" fillId="2" borderId="14" xfId="0" applyFont="1" applyFill="1" applyBorder="1" applyAlignment="1">
      <alignment horizontal="center" vertical="top" wrapText="1"/>
    </xf>
    <xf numFmtId="164" fontId="36" fillId="3" borderId="3" xfId="0" applyNumberFormat="1" applyFont="1" applyFill="1" applyBorder="1" applyAlignment="1">
      <alignment horizontal="center" vertical="center" wrapText="1"/>
    </xf>
    <xf numFmtId="164" fontId="36" fillId="3" borderId="4" xfId="0" applyNumberFormat="1" applyFont="1" applyFill="1" applyBorder="1" applyAlignment="1">
      <alignment horizontal="center" vertical="center" wrapText="1"/>
    </xf>
    <xf numFmtId="164" fontId="36" fillId="3" borderId="5" xfId="0" applyNumberFormat="1" applyFont="1" applyFill="1" applyBorder="1" applyAlignment="1">
      <alignment horizontal="center" vertical="center" wrapText="1"/>
    </xf>
    <xf numFmtId="164" fontId="36" fillId="3" borderId="7" xfId="0" applyNumberFormat="1" applyFont="1" applyFill="1" applyBorder="1" applyAlignment="1">
      <alignment horizontal="center" vertical="center" wrapText="1"/>
    </xf>
    <xf numFmtId="0" fontId="29" fillId="0" borderId="5" xfId="0" applyFont="1" applyBorder="1" applyAlignment="1">
      <alignment horizontal="left" wrapText="1"/>
    </xf>
    <xf numFmtId="0" fontId="29" fillId="0" borderId="7" xfId="0" applyFont="1" applyBorder="1" applyAlignment="1">
      <alignment horizontal="left" wrapText="1"/>
    </xf>
    <xf numFmtId="0" fontId="30" fillId="5" borderId="6" xfId="1" applyFont="1" applyFill="1" applyBorder="1" applyAlignment="1">
      <alignment horizontal="center" wrapText="1"/>
    </xf>
    <xf numFmtId="0" fontId="28" fillId="5" borderId="6" xfId="0" applyFont="1" applyFill="1" applyBorder="1" applyAlignment="1">
      <alignment horizontal="center" wrapText="1"/>
    </xf>
    <xf numFmtId="0" fontId="28" fillId="5" borderId="7" xfId="0" applyFont="1" applyFill="1" applyBorder="1" applyAlignment="1">
      <alignment horizontal="center" wrapText="1"/>
    </xf>
    <xf numFmtId="0" fontId="31" fillId="0" borderId="15" xfId="0" applyFont="1" applyBorder="1" applyAlignment="1">
      <alignment horizontal="center" wrapText="1"/>
    </xf>
    <xf numFmtId="164" fontId="34" fillId="4" borderId="9" xfId="0" applyNumberFormat="1" applyFont="1" applyFill="1" applyBorder="1" applyAlignment="1">
      <alignment horizontal="center" vertical="center" wrapText="1"/>
    </xf>
    <xf numFmtId="164" fontId="34" fillId="4" borderId="11" xfId="0" applyNumberFormat="1" applyFont="1" applyFill="1" applyBorder="1" applyAlignment="1">
      <alignment horizontal="center" vertical="center" wrapText="1"/>
    </xf>
    <xf numFmtId="164" fontId="36" fillId="3" borderId="12" xfId="0" applyNumberFormat="1" applyFont="1" applyFill="1" applyBorder="1" applyAlignment="1">
      <alignment horizontal="center" vertical="center" wrapText="1"/>
    </xf>
    <xf numFmtId="164" fontId="36" fillId="3" borderId="8" xfId="0" applyNumberFormat="1" applyFont="1" applyFill="1" applyBorder="1" applyAlignment="1">
      <alignment horizontal="center" vertical="center" wrapText="1"/>
    </xf>
    <xf numFmtId="0" fontId="29" fillId="0" borderId="3" xfId="0" applyFont="1" applyBorder="1" applyAlignment="1">
      <alignment horizontal="left" wrapText="1"/>
    </xf>
    <xf numFmtId="0" fontId="29" fillId="0" borderId="4" xfId="0" applyFont="1" applyBorder="1" applyAlignment="1">
      <alignment horizontal="left" wrapText="1"/>
    </xf>
    <xf numFmtId="0" fontId="28" fillId="5" borderId="1" xfId="0" applyFont="1" applyFill="1" applyBorder="1" applyAlignment="1">
      <alignment horizontal="center" wrapText="1"/>
    </xf>
    <xf numFmtId="0" fontId="28" fillId="5" borderId="4" xfId="0" applyFont="1" applyFill="1" applyBorder="1" applyAlignment="1">
      <alignment horizontal="center" wrapText="1"/>
    </xf>
    <xf numFmtId="0" fontId="29" fillId="0" borderId="13" xfId="0" applyFont="1" applyBorder="1" applyAlignment="1">
      <alignment horizontal="left" wrapText="1"/>
    </xf>
    <xf numFmtId="0" fontId="29" fillId="0" borderId="14" xfId="0" applyFont="1" applyBorder="1" applyAlignment="1">
      <alignment horizontal="left" wrapText="1"/>
    </xf>
    <xf numFmtId="0" fontId="28" fillId="4" borderId="9" xfId="0" applyFont="1" applyFill="1" applyBorder="1" applyAlignment="1">
      <alignment horizontal="center" vertical="center" wrapText="1"/>
    </xf>
    <xf numFmtId="0" fontId="28" fillId="4" borderId="11" xfId="0" applyFont="1" applyFill="1" applyBorder="1" applyAlignment="1">
      <alignment horizontal="center" vertical="center" wrapText="1"/>
    </xf>
    <xf numFmtId="0" fontId="28" fillId="4" borderId="10" xfId="0" applyFont="1" applyFill="1" applyBorder="1" applyAlignment="1">
      <alignment horizontal="center" wrapText="1"/>
    </xf>
    <xf numFmtId="0" fontId="28" fillId="4" borderId="11" xfId="0" applyFont="1" applyFill="1" applyBorder="1" applyAlignment="1">
      <alignment horizontal="center" wrapText="1"/>
    </xf>
    <xf numFmtId="0" fontId="29" fillId="0" borderId="12" xfId="0" applyFont="1" applyBorder="1" applyAlignment="1">
      <alignment horizontal="left" wrapText="1"/>
    </xf>
    <xf numFmtId="0" fontId="29" fillId="0" borderId="8" xfId="0" applyFont="1" applyBorder="1" applyAlignment="1">
      <alignment horizontal="left" wrapText="1"/>
    </xf>
    <xf numFmtId="0" fontId="28" fillId="5" borderId="2" xfId="0" applyFont="1" applyFill="1" applyBorder="1" applyAlignment="1">
      <alignment horizontal="center" wrapText="1"/>
    </xf>
    <xf numFmtId="0" fontId="28" fillId="5" borderId="8" xfId="0" applyFont="1" applyFill="1" applyBorder="1" applyAlignment="1">
      <alignment horizontal="center" wrapText="1"/>
    </xf>
    <xf numFmtId="0" fontId="28" fillId="5" borderId="5" xfId="0" applyFont="1" applyFill="1" applyBorder="1" applyAlignment="1">
      <alignment horizontal="center" wrapText="1"/>
    </xf>
    <xf numFmtId="0" fontId="31" fillId="0" borderId="0" xfId="0" applyFont="1" applyAlignment="1">
      <alignment horizontal="center" wrapText="1"/>
    </xf>
    <xf numFmtId="0" fontId="28" fillId="5" borderId="3" xfId="0" applyFont="1" applyFill="1" applyBorder="1" applyAlignment="1">
      <alignment horizontal="center" wrapText="1"/>
    </xf>
    <xf numFmtId="0" fontId="28" fillId="4" borderId="17" xfId="0" applyFont="1" applyFill="1" applyBorder="1" applyAlignment="1">
      <alignment horizontal="center" wrapText="1"/>
    </xf>
    <xf numFmtId="0" fontId="28" fillId="4" borderId="15" xfId="0" applyFont="1" applyFill="1" applyBorder="1" applyAlignment="1">
      <alignment horizontal="center" wrapText="1"/>
    </xf>
    <xf numFmtId="0" fontId="28" fillId="4" borderId="18" xfId="0" applyFont="1" applyFill="1" applyBorder="1" applyAlignment="1">
      <alignment horizontal="center" wrapText="1"/>
    </xf>
    <xf numFmtId="0" fontId="29" fillId="0" borderId="43" xfId="0" applyFont="1" applyBorder="1" applyAlignment="1">
      <alignment horizontal="left" wrapText="1"/>
    </xf>
    <xf numFmtId="0" fontId="29" fillId="0" borderId="44" xfId="0" applyFont="1" applyBorder="1" applyAlignment="1">
      <alignment horizontal="left" wrapText="1"/>
    </xf>
    <xf numFmtId="0" fontId="28" fillId="5" borderId="43" xfId="0" applyFont="1" applyFill="1" applyBorder="1" applyAlignment="1">
      <alignment horizontal="center" wrapText="1"/>
    </xf>
    <xf numFmtId="0" fontId="28" fillId="5" borderId="45" xfId="0" applyFont="1" applyFill="1" applyBorder="1" applyAlignment="1">
      <alignment horizontal="center" wrapText="1"/>
    </xf>
    <xf numFmtId="0" fontId="28" fillId="5" borderId="44" xfId="0" applyFont="1" applyFill="1" applyBorder="1" applyAlignment="1">
      <alignment horizontal="center" wrapText="1"/>
    </xf>
    <xf numFmtId="0" fontId="18" fillId="2" borderId="6" xfId="1" applyFill="1" applyBorder="1" applyAlignment="1" applyProtection="1">
      <alignment horizontal="center" wrapText="1"/>
    </xf>
    <xf numFmtId="44" fontId="0" fillId="0" borderId="0" xfId="0" applyNumberFormat="1"/>
    <xf numFmtId="0" fontId="0" fillId="0" borderId="1" xfId="0" applyBorder="1" applyAlignment="1">
      <alignment vertical="center"/>
    </xf>
    <xf numFmtId="3" fontId="0" fillId="0" borderId="1" xfId="0" applyNumberFormat="1" applyBorder="1" applyAlignment="1">
      <alignment horizontal="center" vertical="center"/>
    </xf>
    <xf numFmtId="0" fontId="4" fillId="4" borderId="1" xfId="0" applyFont="1" applyFill="1" applyBorder="1" applyAlignment="1">
      <alignment horizontal="center" vertical="center"/>
    </xf>
  </cellXfs>
  <cellStyles count="4">
    <cellStyle name="Гиперссылка" xfId="1" builtinId="8"/>
    <cellStyle name="Обычный" xfId="0" builtinId="0"/>
    <cellStyle name="Процентный" xfId="2" builtinId="5"/>
    <cellStyle name="Финансовый"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13</xdr:col>
      <xdr:colOff>96369</xdr:colOff>
      <xdr:row>38</xdr:row>
      <xdr:rowOff>134352</xdr:rowOff>
    </xdr:to>
    <xdr:pic>
      <xdr:nvPicPr>
        <xdr:cNvPr id="2" name="Рисунок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190500"/>
          <a:ext cx="8021169" cy="71828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22</xdr:col>
      <xdr:colOff>220977</xdr:colOff>
      <xdr:row>47</xdr:row>
      <xdr:rowOff>10749</xdr:rowOff>
    </xdr:to>
    <xdr:pic>
      <xdr:nvPicPr>
        <xdr:cNvPr id="2" name="Рисунок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0" y="190500"/>
          <a:ext cx="13632177" cy="87737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0</xdr:row>
      <xdr:rowOff>57150</xdr:rowOff>
    </xdr:from>
    <xdr:to>
      <xdr:col>1</xdr:col>
      <xdr:colOff>200024</xdr:colOff>
      <xdr:row>3</xdr:row>
      <xdr:rowOff>92848</xdr:rowOff>
    </xdr:to>
    <xdr:pic>
      <xdr:nvPicPr>
        <xdr:cNvPr id="2" name="Рисунок 450493046">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49" y="57150"/>
          <a:ext cx="657225" cy="664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66675</xdr:rowOff>
    </xdr:from>
    <xdr:to>
      <xdr:col>1</xdr:col>
      <xdr:colOff>695325</xdr:colOff>
      <xdr:row>4</xdr:row>
      <xdr:rowOff>121423</xdr:rowOff>
    </xdr:to>
    <xdr:pic>
      <xdr:nvPicPr>
        <xdr:cNvPr id="2" name="Рисунок 450493046">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6675"/>
          <a:ext cx="942975" cy="8929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1</xdr:row>
      <xdr:rowOff>85917</xdr:rowOff>
    </xdr:from>
    <xdr:to>
      <xdr:col>17</xdr:col>
      <xdr:colOff>57153</xdr:colOff>
      <xdr:row>42</xdr:row>
      <xdr:rowOff>100304</xdr:rowOff>
    </xdr:to>
    <xdr:pic>
      <xdr:nvPicPr>
        <xdr:cNvPr id="2" name="Рисунок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rot="5400000">
          <a:off x="1297733" y="-1021315"/>
          <a:ext cx="7824887" cy="104203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Vladimir.Haritonov@dbc.r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Vladimir.Haritonov@dbc.ru"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mailto:victoria.ergen@nikoliers.r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victoria.ergen@nikoliers.ru"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michael.kaplun@core-xp.ru"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michael.kaplun@core-xp.ru"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lavrinov.g.g@voshodmoscow.ru"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lavrinov.g.g@voshodmoscow.ru"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info@severindevelopment.ru"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info@severindevelopment.ru"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Otzyv.N@ikelement.ru"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Otzyv.N@ikelement.ru" TargetMode="External"/><Relationship Id="rId1" Type="http://schemas.openxmlformats.org/officeDocument/2006/relationships/hyperlink" Target="mailto:Otzyv.N@ikelement.ru"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3.xml.rels><?xml version="1.0" encoding="UTF-8" standalone="yes"?>
<Relationships xmlns="http://schemas.openxmlformats.org/package/2006/relationships"><Relationship Id="rId1" Type="http://schemas.openxmlformats.org/officeDocument/2006/relationships/hyperlink" Target="mailto:pochekutova@irbiscompany.ru"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mailto:pochekutova@irbiscompany.ru"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a.todoschuk@akron-development.ru"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8.xml.rels><?xml version="1.0" encoding="UTF-8" standalone="yes"?>
<Relationships xmlns="http://schemas.openxmlformats.org/package/2006/relationships"><Relationship Id="rId1" Type="http://schemas.openxmlformats.org/officeDocument/2006/relationships/hyperlink" Target="mailto:Ruslan.Mazgutov@ritm-project.ru"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mailto:info@riccipm.ru"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mailto:info@riccipm.r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mailto:info@stroictrl.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D46D8-553D-443A-9492-265496221363}">
  <dimension ref="A1:R11"/>
  <sheetViews>
    <sheetView zoomScale="75" zoomScaleNormal="75" workbookViewId="0">
      <selection activeCell="F28" sqref="F28"/>
    </sheetView>
  </sheetViews>
  <sheetFormatPr defaultRowHeight="15" x14ac:dyDescent="0.25"/>
  <cols>
    <col min="1" max="1" width="7.7109375" customWidth="1"/>
    <col min="2" max="2" width="67.140625" customWidth="1"/>
    <col min="3" max="3" width="15.42578125" customWidth="1"/>
    <col min="4" max="4" width="19.7109375" customWidth="1"/>
    <col min="5" max="7" width="15.42578125" customWidth="1"/>
    <col min="8" max="8" width="28.42578125" customWidth="1"/>
    <col min="9" max="10" width="15.42578125" customWidth="1"/>
    <col min="11" max="11" width="17.85546875" customWidth="1"/>
    <col min="12" max="15" width="15.42578125" customWidth="1"/>
    <col min="16" max="16" width="21.28515625" customWidth="1"/>
    <col min="17" max="18" width="15.42578125" customWidth="1"/>
  </cols>
  <sheetData>
    <row r="1" spans="1:18" ht="15.75" customHeight="1" x14ac:dyDescent="0.25">
      <c r="A1" s="224"/>
      <c r="B1" s="224"/>
      <c r="C1" s="79"/>
      <c r="D1" s="79"/>
      <c r="E1" s="79"/>
      <c r="F1" s="79"/>
      <c r="G1" s="79"/>
      <c r="H1" s="79"/>
      <c r="I1" s="79"/>
      <c r="J1" s="79"/>
      <c r="K1" s="79"/>
    </row>
    <row r="2" spans="1:18" x14ac:dyDescent="0.25">
      <c r="A2" s="225" t="s">
        <v>9</v>
      </c>
      <c r="B2" s="225" t="s">
        <v>10</v>
      </c>
      <c r="C2" s="79"/>
    </row>
    <row r="3" spans="1:18" s="79" customFormat="1" ht="46.5" customHeight="1" x14ac:dyDescent="0.25">
      <c r="A3" s="225"/>
      <c r="B3" s="225"/>
      <c r="C3" s="151" t="s">
        <v>250</v>
      </c>
      <c r="D3" s="151" t="s">
        <v>251</v>
      </c>
      <c r="E3" s="151" t="s">
        <v>252</v>
      </c>
      <c r="F3" s="151" t="s">
        <v>253</v>
      </c>
      <c r="G3" s="151" t="s">
        <v>254</v>
      </c>
      <c r="H3" s="151" t="s">
        <v>255</v>
      </c>
      <c r="I3" s="151" t="s">
        <v>256</v>
      </c>
      <c r="J3" s="151" t="s">
        <v>257</v>
      </c>
      <c r="K3" s="151" t="s">
        <v>258</v>
      </c>
      <c r="L3" s="151" t="s">
        <v>260</v>
      </c>
      <c r="M3" s="151" t="s">
        <v>261</v>
      </c>
      <c r="N3" s="151" t="s">
        <v>263</v>
      </c>
      <c r="O3" s="151" t="s">
        <v>262</v>
      </c>
      <c r="P3" s="151" t="s">
        <v>266</v>
      </c>
      <c r="Q3" s="151" t="s">
        <v>264</v>
      </c>
      <c r="R3" s="151" t="s">
        <v>265</v>
      </c>
    </row>
    <row r="4" spans="1:18" ht="161.25" customHeight="1" x14ac:dyDescent="0.25">
      <c r="A4" s="21">
        <v>1</v>
      </c>
      <c r="B4" s="6" t="s">
        <v>11</v>
      </c>
      <c r="C4" s="148">
        <v>2002</v>
      </c>
      <c r="D4" s="148">
        <v>2011</v>
      </c>
      <c r="E4" s="148">
        <v>2023</v>
      </c>
      <c r="F4" s="150" t="str">
        <f>'CORE XP_АС'!C10</f>
        <v>С 08.11.2005 по 10.01.2007 - ООО "Эн Джи Холдинг"
С 11.01.2007 по 11.04.2022 - ООО "Си Би Ричард Эллис", 2022-по настоящее время - ООО "КОР ЭКС ПИ"</v>
      </c>
      <c r="G4" s="150" t="str">
        <f>CMWР_АС!C10</f>
        <v>27.12.2004 - ООО "Кушман энд Вэйкфилд". С 28 июня 2022 - ООО "Комонвелс"</v>
      </c>
      <c r="H4" s="148">
        <f>Восход_АС!C10</f>
        <v>2019</v>
      </c>
      <c r="I4" s="150" t="str">
        <f>NFrank_АС!D10</f>
        <v>2013 г. (ООО "Найт Фрэнк ПИЭМ"), 
2022 г. (ООО "НФ Проперти Менеджмент")</v>
      </c>
      <c r="J4" s="153" t="str">
        <f>'СР Девелопиент_АС'!C10</f>
        <v>ДА</v>
      </c>
      <c r="K4" s="153" t="s">
        <v>259</v>
      </c>
      <c r="L4" s="154">
        <v>2004</v>
      </c>
      <c r="M4" s="154">
        <f>Ирбис_АС!D10</f>
        <v>1993</v>
      </c>
      <c r="N4" s="154">
        <v>2009</v>
      </c>
      <c r="O4" s="154">
        <v>2001</v>
      </c>
      <c r="P4" s="150" t="s">
        <v>210</v>
      </c>
      <c r="Q4" s="154">
        <f>'Эс Эй Риччи ПМ_АС'!C10</f>
        <v>2012</v>
      </c>
      <c r="R4" s="154" t="str">
        <f>Стройконтроль_АС!C10</f>
        <v>ДА</v>
      </c>
    </row>
    <row r="5" spans="1:18" ht="31.5" customHeight="1" x14ac:dyDescent="0.25">
      <c r="A5" s="22">
        <v>2</v>
      </c>
      <c r="B5" s="3" t="s">
        <v>12</v>
      </c>
      <c r="C5" s="149" t="str">
        <f>'СПЕКТРУМ ХОЛДИНГ_АС'!C11</f>
        <v>ДА</v>
      </c>
      <c r="D5" s="158" t="str">
        <f>DBC_АС!C11</f>
        <v>ДА</v>
      </c>
      <c r="E5" s="154" t="str">
        <f>Nikoliers_АС!C11</f>
        <v>ДА</v>
      </c>
      <c r="F5" s="154" t="str">
        <f>'CORE XP_АС'!C11</f>
        <v>ДА</v>
      </c>
      <c r="G5" s="150" t="str">
        <f>CMWР_АС!C11</f>
        <v>ДА</v>
      </c>
      <c r="H5" s="153" t="str">
        <f>Восход_АС!C11</f>
        <v>ДА</v>
      </c>
      <c r="I5" s="154" t="str">
        <f>NFrank_АС!C11</f>
        <v>ДА</v>
      </c>
      <c r="J5" s="153" t="str">
        <f>'СР Девелопиент_АС'!C11</f>
        <v>ДА</v>
      </c>
      <c r="K5" s="153" t="str">
        <f>'ИК Элемент_АС'!C11</f>
        <v>ДА</v>
      </c>
      <c r="L5" s="153" t="s">
        <v>34</v>
      </c>
      <c r="M5" s="154" t="str">
        <f>Ирбис_АС!C11</f>
        <v>ДА</v>
      </c>
      <c r="N5" s="154" t="str">
        <f>АКРОН_АС!C15</f>
        <v>ДА</v>
      </c>
      <c r="O5" s="154" t="s">
        <v>34</v>
      </c>
      <c r="P5" s="154" t="str">
        <f>'РИТМ ПРОЕКТ_АС'!C11</f>
        <v>ДА</v>
      </c>
      <c r="Q5" s="154" t="str">
        <f>'Эс Эй Риччи ПМ_АС'!C11</f>
        <v>ДА</v>
      </c>
      <c r="R5" s="154" t="str">
        <f>Стройконтроль_АС!C11</f>
        <v>ДА</v>
      </c>
    </row>
    <row r="6" spans="1:18" ht="31.5" customHeight="1" x14ac:dyDescent="0.25">
      <c r="A6" s="22">
        <v>3</v>
      </c>
      <c r="B6" s="3" t="s">
        <v>18</v>
      </c>
      <c r="C6" s="149" t="str">
        <f>'СПЕКТРУМ ХОЛДИНГ_АС'!C12</f>
        <v>ДА</v>
      </c>
      <c r="D6" s="158" t="str">
        <f>DBC_АС!C12</f>
        <v>ДА</v>
      </c>
      <c r="E6" s="154" t="str">
        <f>Nikoliers_АС!C12</f>
        <v>ДА</v>
      </c>
      <c r="F6" s="154" t="str">
        <f>'CORE XP_АС'!C12</f>
        <v>ДА</v>
      </c>
      <c r="G6" s="150" t="str">
        <f>CMWР_АС!C12</f>
        <v>ДА</v>
      </c>
      <c r="H6" s="153" t="str">
        <f>Восход_АС!C12</f>
        <v>ДА</v>
      </c>
      <c r="I6" s="154" t="str">
        <f>NFrank_АС!C12</f>
        <v>ДА</v>
      </c>
      <c r="J6" s="153" t="str">
        <f>'СР Девелопиент_АС'!C12</f>
        <v>ДА</v>
      </c>
      <c r="K6" s="153" t="str">
        <f>'ИК Элемент_АС'!C12</f>
        <v>ДА</v>
      </c>
      <c r="L6" s="153" t="s">
        <v>34</v>
      </c>
      <c r="M6" s="154" t="str">
        <f>Ирбис_АС!C12</f>
        <v>ДА</v>
      </c>
      <c r="N6" s="154" t="str">
        <f>АКРОН_АС!C16</f>
        <v>ДА</v>
      </c>
      <c r="O6" s="154" t="s">
        <v>34</v>
      </c>
      <c r="P6" s="154" t="str">
        <f>'РИТМ ПРОЕКТ_АС'!C12</f>
        <v>ДА</v>
      </c>
      <c r="Q6" s="154" t="str">
        <f>'Эс Эй Риччи ПМ_АС'!C12</f>
        <v>ДА</v>
      </c>
      <c r="R6" s="154" t="str">
        <f>Стройконтроль_АС!C12</f>
        <v>ДА</v>
      </c>
    </row>
    <row r="7" spans="1:18" ht="31.5" customHeight="1" x14ac:dyDescent="0.25">
      <c r="A7" s="22">
        <v>4</v>
      </c>
      <c r="B7" s="3" t="s">
        <v>19</v>
      </c>
      <c r="C7" s="149" t="str">
        <f>'СПЕКТРУМ ХОЛДИНГ_АС'!C13</f>
        <v>ДА</v>
      </c>
      <c r="D7" s="158" t="str">
        <f>DBC_АС!C13</f>
        <v>ДА</v>
      </c>
      <c r="E7" s="154" t="str">
        <f>Nikoliers_АС!C13</f>
        <v>ДА</v>
      </c>
      <c r="F7" s="154" t="str">
        <f>'CORE XP_АС'!C13</f>
        <v>ДА</v>
      </c>
      <c r="G7" s="150" t="str">
        <f>CMWР_АС!C13</f>
        <v>ДА</v>
      </c>
      <c r="H7" s="153" t="str">
        <f>Восход_АС!C13</f>
        <v>ДА</v>
      </c>
      <c r="I7" s="154" t="str">
        <f>NFrank_АС!C13</f>
        <v>ДА</v>
      </c>
      <c r="J7" s="153" t="str">
        <f>'СР Девелопиент_АС'!C13</f>
        <v>ДА</v>
      </c>
      <c r="K7" s="153" t="str">
        <f>'ИК Элемент_АС'!C13</f>
        <v>ДА</v>
      </c>
      <c r="L7" s="153" t="s">
        <v>34</v>
      </c>
      <c r="M7" s="154" t="str">
        <f>Ирбис_АС!C13</f>
        <v>ДА</v>
      </c>
      <c r="N7" s="154" t="str">
        <f>АКРОН_АС!C17</f>
        <v>ДА</v>
      </c>
      <c r="O7" s="154" t="s">
        <v>34</v>
      </c>
      <c r="P7" s="154" t="str">
        <f>'РИТМ ПРОЕКТ_АС'!C13</f>
        <v>ДА</v>
      </c>
      <c r="Q7" s="154" t="str">
        <f>'Эс Эй Риччи ПМ_АС'!C13</f>
        <v>ДА</v>
      </c>
      <c r="R7" s="154" t="str">
        <f>Стройконтроль_АС!C13</f>
        <v>ДА</v>
      </c>
    </row>
    <row r="8" spans="1:18" ht="31.5" customHeight="1" x14ac:dyDescent="0.25">
      <c r="A8" s="22">
        <v>5</v>
      </c>
      <c r="B8" s="4" t="s">
        <v>14</v>
      </c>
      <c r="C8" s="149" t="str">
        <f>'СПЕКТРУМ ХОЛДИНГ_АС'!C14</f>
        <v>ДА</v>
      </c>
      <c r="D8" s="158" t="str">
        <f>DBC_АС!C14</f>
        <v>ДА</v>
      </c>
      <c r="E8" s="154" t="str">
        <f>Nikoliers_АС!C14</f>
        <v>ДА</v>
      </c>
      <c r="F8" s="154" t="str">
        <f>'CORE XP_АС'!C14</f>
        <v>ДА</v>
      </c>
      <c r="G8" s="150" t="str">
        <f>CMWР_АС!C14</f>
        <v>ДА</v>
      </c>
      <c r="H8" s="153" t="str">
        <f>Восход_АС!C14</f>
        <v>ДА</v>
      </c>
      <c r="I8" s="154" t="str">
        <f>NFrank_АС!C14</f>
        <v>ДА</v>
      </c>
      <c r="J8" s="153" t="str">
        <f>'СР Девелопиент_АС'!C14</f>
        <v>ДА</v>
      </c>
      <c r="K8" s="153" t="str">
        <f>'ИК Элемент_АС'!C14</f>
        <v>ДА</v>
      </c>
      <c r="L8" s="153" t="s">
        <v>34</v>
      </c>
      <c r="M8" s="154" t="str">
        <f>Ирбис_АС!C14</f>
        <v>ДА</v>
      </c>
      <c r="N8" s="154" t="str">
        <f>АКРОН_АС!C18</f>
        <v>ДА</v>
      </c>
      <c r="O8" s="154" t="s">
        <v>34</v>
      </c>
      <c r="P8" s="154" t="str">
        <f>'РИТМ ПРОЕКТ_АС'!C14</f>
        <v>ДА</v>
      </c>
      <c r="Q8" s="154" t="str">
        <f>'Эс Эй Риччи ПМ_АС'!C14</f>
        <v>ДА</v>
      </c>
      <c r="R8" s="154" t="str">
        <f>Стройконтроль_АС!C14</f>
        <v>ДА</v>
      </c>
    </row>
    <row r="9" spans="1:18" ht="31.5" customHeight="1" x14ac:dyDescent="0.25">
      <c r="A9" s="159">
        <v>6</v>
      </c>
      <c r="B9" s="160" t="s">
        <v>15</v>
      </c>
      <c r="C9" s="149" t="str">
        <f>'СПЕКТРУМ ХОЛДИНГ_АС'!C15</f>
        <v>ДА</v>
      </c>
      <c r="D9" s="152" t="str">
        <f>DBC_АС!C15</f>
        <v>НЕТ</v>
      </c>
      <c r="E9" s="154" t="str">
        <f>Nikoliers_АС!C15</f>
        <v>ДА</v>
      </c>
      <c r="F9" s="154" t="str">
        <f>'CORE XP_АС'!C15</f>
        <v>ДА</v>
      </c>
      <c r="G9" s="150" t="str">
        <f>CMWР_АС!C15</f>
        <v>ДА</v>
      </c>
      <c r="H9" s="155" t="str">
        <f>Восход_АС!C15</f>
        <v>НЕТ</v>
      </c>
      <c r="I9" s="154" t="str">
        <f>NFrank_АС!C15</f>
        <v>ДА</v>
      </c>
      <c r="J9" s="153" t="str">
        <f>'СР Девелопиент_АС'!C15</f>
        <v>ДА</v>
      </c>
      <c r="K9" s="155" t="str">
        <f>'ИК Элемент_АС'!C15</f>
        <v>НЕТ</v>
      </c>
      <c r="L9" s="153" t="s">
        <v>34</v>
      </c>
      <c r="M9" s="154" t="str">
        <f>Ирбис_АС!C15</f>
        <v>ДА</v>
      </c>
      <c r="N9" s="154" t="str">
        <f>АКРОН_АС!C19</f>
        <v>ДА</v>
      </c>
      <c r="O9" s="154" t="s">
        <v>34</v>
      </c>
      <c r="P9" s="157" t="str">
        <f>'РИТМ ПРОЕКТ_АС'!C15</f>
        <v>НЕТ</v>
      </c>
      <c r="Q9" s="154" t="str">
        <f>'Эс Эй Риччи ПМ_АС'!C15</f>
        <v>ДА</v>
      </c>
      <c r="R9" s="154" t="str">
        <f>Стройконтроль_АС!C15</f>
        <v>ДА</v>
      </c>
    </row>
    <row r="10" spans="1:18" ht="123.75" customHeight="1" x14ac:dyDescent="0.25">
      <c r="A10" s="2" t="s">
        <v>271</v>
      </c>
      <c r="B10" s="161" t="s">
        <v>267</v>
      </c>
      <c r="D10" s="156" t="s">
        <v>76</v>
      </c>
      <c r="H10" s="156" t="s">
        <v>268</v>
      </c>
      <c r="K10" s="154" t="s">
        <v>269</v>
      </c>
      <c r="N10" s="92"/>
      <c r="O10" s="92"/>
      <c r="P10" s="156" t="s">
        <v>270</v>
      </c>
    </row>
    <row r="11" spans="1:18" x14ac:dyDescent="0.25">
      <c r="P11" s="79"/>
    </row>
  </sheetData>
  <mergeCells count="3">
    <mergeCell ref="A1:B1"/>
    <mergeCell ref="B2:B3"/>
    <mergeCell ref="A2:A3"/>
  </mergeCells>
  <dataValidations count="1">
    <dataValidation type="list" allowBlank="1" showInputMessage="1" showErrorMessage="1" sqref="C5:C9" xr:uid="{E7F1ECD5-6A14-41DE-B9C2-038E62F09905}">
      <formula1>"ДА,НЕТ"</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8DCE8-D452-467A-80C7-80E7E06B70E9}">
  <dimension ref="A1:CN53"/>
  <sheetViews>
    <sheetView showGridLines="0" tabSelected="1" zoomScale="85" zoomScaleNormal="85" workbookViewId="0">
      <pane xSplit="2" ySplit="3" topLeftCell="C4" activePane="bottomRight" state="frozen"/>
      <selection pane="topRight" activeCell="C1" sqref="C1"/>
      <selection pane="bottomLeft" activeCell="A4" sqref="A4"/>
      <selection pane="bottomRight" activeCell="J54" sqref="J54"/>
    </sheetView>
  </sheetViews>
  <sheetFormatPr defaultRowHeight="15" x14ac:dyDescent="0.25"/>
  <cols>
    <col min="1" max="1" width="3.7109375" customWidth="1"/>
    <col min="2" max="2" width="56" customWidth="1"/>
    <col min="3" max="3" width="19.42578125" bestFit="1" customWidth="1"/>
    <col min="4" max="14" width="18.7109375" customWidth="1"/>
    <col min="15" max="15" width="19.42578125" bestFit="1" customWidth="1"/>
    <col min="16" max="19" width="18.7109375" customWidth="1"/>
    <col min="20" max="20" width="19.42578125" bestFit="1" customWidth="1"/>
    <col min="21" max="21" width="23.140625" bestFit="1" customWidth="1"/>
    <col min="22" max="26" width="22.140625" bestFit="1" customWidth="1"/>
    <col min="27" max="32" width="25.7109375" bestFit="1" customWidth="1"/>
    <col min="33" max="33" width="22.140625" bestFit="1" customWidth="1"/>
    <col min="34" max="34" width="19.42578125" bestFit="1" customWidth="1"/>
    <col min="35" max="38" width="20.42578125" bestFit="1" customWidth="1"/>
    <col min="39" max="39" width="18.42578125" bestFit="1" customWidth="1"/>
    <col min="40" max="43" width="16.7109375" bestFit="1" customWidth="1"/>
    <col min="44" max="44" width="18.42578125" bestFit="1" customWidth="1"/>
    <col min="45" max="45" width="25.7109375" bestFit="1" customWidth="1"/>
    <col min="46" max="50" width="24.140625" bestFit="1" customWidth="1"/>
    <col min="51" max="51" width="18.42578125" bestFit="1" customWidth="1"/>
    <col min="52" max="56" width="16.7109375" bestFit="1" customWidth="1"/>
    <col min="57" max="57" width="18.42578125" bestFit="1" customWidth="1"/>
    <col min="58" max="58" width="15.7109375" bestFit="1" customWidth="1"/>
    <col min="59" max="63" width="16.7109375" bestFit="1" customWidth="1"/>
    <col min="64" max="66" width="15.7109375" bestFit="1" customWidth="1"/>
    <col min="67" max="68" width="16.7109375" bestFit="1" customWidth="1"/>
    <col min="69" max="74" width="7.5703125" hidden="1" customWidth="1"/>
    <col min="75" max="77" width="16.7109375" bestFit="1" customWidth="1"/>
    <col min="78" max="80" width="15.7109375" bestFit="1" customWidth="1"/>
    <col min="81" max="86" width="23.140625" bestFit="1" customWidth="1"/>
    <col min="87" max="87" width="16.7109375" bestFit="1" customWidth="1"/>
    <col min="88" max="90" width="6.7109375" bestFit="1" customWidth="1"/>
    <col min="91" max="91" width="15.7109375" bestFit="1" customWidth="1"/>
    <col min="92" max="92" width="16.7109375" bestFit="1" customWidth="1"/>
  </cols>
  <sheetData>
    <row r="1" spans="1:92" s="79" customFormat="1" ht="15.75" thickBot="1" x14ac:dyDescent="0.3"/>
    <row r="2" spans="1:92" ht="15.75" customHeight="1" thickBot="1" x14ac:dyDescent="0.3">
      <c r="A2" s="162"/>
      <c r="B2" s="162"/>
      <c r="C2" s="237" t="s">
        <v>250</v>
      </c>
      <c r="D2" s="238"/>
      <c r="E2" s="238"/>
      <c r="F2" s="238"/>
      <c r="G2" s="238"/>
      <c r="H2" s="239"/>
      <c r="I2" s="227" t="s">
        <v>251</v>
      </c>
      <c r="J2" s="227"/>
      <c r="K2" s="227"/>
      <c r="L2" s="227"/>
      <c r="M2" s="227"/>
      <c r="N2" s="228"/>
      <c r="O2" s="226" t="s">
        <v>252</v>
      </c>
      <c r="P2" s="227"/>
      <c r="Q2" s="227"/>
      <c r="R2" s="227"/>
      <c r="S2" s="227"/>
      <c r="T2" s="227"/>
      <c r="U2" s="226" t="s">
        <v>253</v>
      </c>
      <c r="V2" s="227"/>
      <c r="W2" s="227"/>
      <c r="X2" s="227"/>
      <c r="Y2" s="227"/>
      <c r="Z2" s="228"/>
      <c r="AA2" s="226" t="s">
        <v>254</v>
      </c>
      <c r="AB2" s="227"/>
      <c r="AC2" s="227"/>
      <c r="AD2" s="227"/>
      <c r="AE2" s="227"/>
      <c r="AF2" s="228"/>
      <c r="AG2" s="226" t="s">
        <v>255</v>
      </c>
      <c r="AH2" s="227"/>
      <c r="AI2" s="227"/>
      <c r="AJ2" s="227"/>
      <c r="AK2" s="227"/>
      <c r="AL2" s="228"/>
      <c r="AM2" s="226" t="s">
        <v>256</v>
      </c>
      <c r="AN2" s="227"/>
      <c r="AO2" s="227"/>
      <c r="AP2" s="227"/>
      <c r="AQ2" s="227"/>
      <c r="AR2" s="228"/>
      <c r="AS2" s="226" t="s">
        <v>258</v>
      </c>
      <c r="AT2" s="227"/>
      <c r="AU2" s="227"/>
      <c r="AV2" s="227"/>
      <c r="AW2" s="227"/>
      <c r="AX2" s="227"/>
      <c r="AY2" s="226" t="s">
        <v>260</v>
      </c>
      <c r="AZ2" s="227"/>
      <c r="BA2" s="227"/>
      <c r="BB2" s="227"/>
      <c r="BC2" s="227"/>
      <c r="BD2" s="227"/>
      <c r="BE2" s="231" t="s">
        <v>261</v>
      </c>
      <c r="BF2" s="232"/>
      <c r="BG2" s="232"/>
      <c r="BH2" s="232"/>
      <c r="BI2" s="232"/>
      <c r="BJ2" s="233"/>
      <c r="BK2" s="226" t="s">
        <v>263</v>
      </c>
      <c r="BL2" s="227"/>
      <c r="BM2" s="227"/>
      <c r="BN2" s="227"/>
      <c r="BO2" s="227"/>
      <c r="BP2" s="228"/>
      <c r="BQ2" s="226" t="s">
        <v>262</v>
      </c>
      <c r="BR2" s="227"/>
      <c r="BS2" s="227"/>
      <c r="BT2" s="227"/>
      <c r="BU2" s="227"/>
      <c r="BV2" s="228"/>
      <c r="BW2" s="226" t="s">
        <v>266</v>
      </c>
      <c r="BX2" s="227"/>
      <c r="BY2" s="227"/>
      <c r="BZ2" s="227"/>
      <c r="CA2" s="227"/>
      <c r="CB2" s="228"/>
      <c r="CC2" s="226" t="s">
        <v>264</v>
      </c>
      <c r="CD2" s="227"/>
      <c r="CE2" s="227"/>
      <c r="CF2" s="227"/>
      <c r="CG2" s="227"/>
      <c r="CH2" s="228"/>
      <c r="CI2" s="226" t="s">
        <v>265</v>
      </c>
      <c r="CJ2" s="227"/>
      <c r="CK2" s="227"/>
      <c r="CL2" s="227"/>
      <c r="CM2" s="227"/>
      <c r="CN2" s="228"/>
    </row>
    <row r="3" spans="1:92" ht="15.75" thickBot="1" x14ac:dyDescent="0.3">
      <c r="A3" s="7" t="s">
        <v>9</v>
      </c>
      <c r="B3" s="55" t="s">
        <v>10</v>
      </c>
      <c r="C3" s="173">
        <v>2019</v>
      </c>
      <c r="D3" s="172">
        <v>2020</v>
      </c>
      <c r="E3" s="172">
        <v>2021</v>
      </c>
      <c r="F3" s="172">
        <v>2022</v>
      </c>
      <c r="G3" s="172">
        <v>2023</v>
      </c>
      <c r="H3" s="174">
        <v>2024</v>
      </c>
      <c r="I3" s="163">
        <v>2019</v>
      </c>
      <c r="J3" s="13">
        <v>2020</v>
      </c>
      <c r="K3" s="13">
        <v>2021</v>
      </c>
      <c r="L3" s="13">
        <v>2022</v>
      </c>
      <c r="M3" s="13">
        <v>2023</v>
      </c>
      <c r="N3" s="165">
        <v>2024</v>
      </c>
      <c r="O3" s="164">
        <v>2019</v>
      </c>
      <c r="P3" s="13">
        <v>2020</v>
      </c>
      <c r="Q3" s="13">
        <v>2021</v>
      </c>
      <c r="R3" s="13">
        <v>2022</v>
      </c>
      <c r="S3" s="13">
        <v>2023</v>
      </c>
      <c r="T3" s="183">
        <v>2024</v>
      </c>
      <c r="U3" s="164">
        <v>2019</v>
      </c>
      <c r="V3" s="13">
        <v>2020</v>
      </c>
      <c r="W3" s="13">
        <v>2021</v>
      </c>
      <c r="X3" s="13">
        <v>2022</v>
      </c>
      <c r="Y3" s="13">
        <v>2023</v>
      </c>
      <c r="Z3" s="165">
        <v>2024</v>
      </c>
      <c r="AA3" s="164">
        <v>2019</v>
      </c>
      <c r="AB3" s="13">
        <v>2020</v>
      </c>
      <c r="AC3" s="13">
        <v>2021</v>
      </c>
      <c r="AD3" s="13">
        <v>2022</v>
      </c>
      <c r="AE3" s="13">
        <v>2023</v>
      </c>
      <c r="AF3" s="165">
        <v>2024</v>
      </c>
      <c r="AG3" s="164">
        <v>2019</v>
      </c>
      <c r="AH3" s="13">
        <v>2020</v>
      </c>
      <c r="AI3" s="13">
        <v>2021</v>
      </c>
      <c r="AJ3" s="13">
        <v>2022</v>
      </c>
      <c r="AK3" s="13">
        <v>2023</v>
      </c>
      <c r="AL3" s="165">
        <v>2024</v>
      </c>
      <c r="AM3" s="164">
        <v>2019</v>
      </c>
      <c r="AN3" s="13">
        <v>2020</v>
      </c>
      <c r="AO3" s="13">
        <v>2021</v>
      </c>
      <c r="AP3" s="13">
        <v>2022</v>
      </c>
      <c r="AQ3" s="13">
        <v>2023</v>
      </c>
      <c r="AR3" s="165">
        <v>2024</v>
      </c>
      <c r="AS3" s="164">
        <v>2019</v>
      </c>
      <c r="AT3" s="13">
        <v>2020</v>
      </c>
      <c r="AU3" s="13">
        <v>2021</v>
      </c>
      <c r="AV3" s="13">
        <v>2022</v>
      </c>
      <c r="AW3" s="13">
        <v>2023</v>
      </c>
      <c r="AX3" s="183">
        <v>2024</v>
      </c>
      <c r="AY3" s="198">
        <v>2019</v>
      </c>
      <c r="AZ3" s="199">
        <v>2020</v>
      </c>
      <c r="BA3" s="199">
        <v>2021</v>
      </c>
      <c r="BB3" s="199">
        <v>2022</v>
      </c>
      <c r="BC3" s="199">
        <v>2023</v>
      </c>
      <c r="BD3" s="206">
        <v>2024</v>
      </c>
      <c r="BE3" s="164">
        <v>2019</v>
      </c>
      <c r="BF3" s="13">
        <v>2020</v>
      </c>
      <c r="BG3" s="13">
        <v>2021</v>
      </c>
      <c r="BH3" s="13">
        <v>2022</v>
      </c>
      <c r="BI3" s="13">
        <v>2023</v>
      </c>
      <c r="BJ3" s="165">
        <v>2024</v>
      </c>
      <c r="BK3" s="164">
        <v>2019</v>
      </c>
      <c r="BL3" s="13">
        <v>2020</v>
      </c>
      <c r="BM3" s="13">
        <v>2021</v>
      </c>
      <c r="BN3" s="13">
        <v>2022</v>
      </c>
      <c r="BO3" s="13">
        <v>2023</v>
      </c>
      <c r="BP3" s="165">
        <v>2024</v>
      </c>
      <c r="BQ3" s="164">
        <v>2019</v>
      </c>
      <c r="BR3" s="13">
        <v>2020</v>
      </c>
      <c r="BS3" s="13">
        <v>2021</v>
      </c>
      <c r="BT3" s="13">
        <v>2022</v>
      </c>
      <c r="BU3" s="13">
        <v>2023</v>
      </c>
      <c r="BV3" s="165">
        <v>2024</v>
      </c>
      <c r="BW3" s="164">
        <v>2019</v>
      </c>
      <c r="BX3" s="13">
        <v>2020</v>
      </c>
      <c r="BY3" s="13">
        <v>2021</v>
      </c>
      <c r="BZ3" s="13">
        <v>2022</v>
      </c>
      <c r="CA3" s="13">
        <v>2023</v>
      </c>
      <c r="CB3" s="165">
        <v>2024</v>
      </c>
      <c r="CC3" s="164">
        <v>2019</v>
      </c>
      <c r="CD3" s="13">
        <v>2020</v>
      </c>
      <c r="CE3" s="13">
        <v>2021</v>
      </c>
      <c r="CF3" s="13">
        <v>2022</v>
      </c>
      <c r="CG3" s="13">
        <v>2023</v>
      </c>
      <c r="CH3" s="165">
        <v>2024</v>
      </c>
      <c r="CI3" s="164">
        <v>2019</v>
      </c>
      <c r="CJ3" s="13">
        <v>2020</v>
      </c>
      <c r="CK3" s="13">
        <v>2021</v>
      </c>
      <c r="CL3" s="13">
        <v>2022</v>
      </c>
      <c r="CM3" s="13">
        <v>2023</v>
      </c>
      <c r="CN3" s="165">
        <v>2024</v>
      </c>
    </row>
    <row r="4" spans="1:92" s="168" customFormat="1" ht="24.75" customHeight="1" x14ac:dyDescent="0.25">
      <c r="A4" s="166">
        <v>1</v>
      </c>
      <c r="B4" s="167" t="s">
        <v>24</v>
      </c>
      <c r="C4" s="171">
        <f>'СПЕКТРУМ ХОЛДИНГ_ДД'!C10</f>
        <v>1375.55</v>
      </c>
      <c r="D4" s="149">
        <f>'СПЕКТРУМ ХОЛДИНГ_ДД'!D10</f>
        <v>1652.03</v>
      </c>
      <c r="E4" s="149">
        <f>'СПЕКТРУМ ХОЛДИНГ_ДД'!E10</f>
        <v>2331.0700000000002</v>
      </c>
      <c r="F4" s="149">
        <f>'СПЕКТРУМ ХОЛДИНГ_ДД'!F10</f>
        <v>3956</v>
      </c>
      <c r="G4" s="149">
        <f>'СПЕКТРУМ ХОЛДИНГ_ДД'!G10</f>
        <v>4219.1899999999996</v>
      </c>
      <c r="H4" s="175">
        <f>'СПЕКТРУМ ХОЛДИНГ_ДД'!H10</f>
        <v>7517.66</v>
      </c>
      <c r="I4" s="182">
        <f>DBC_ДД!C10</f>
        <v>247.41800000000001</v>
      </c>
      <c r="J4" s="182">
        <f>DBC_ДД!D10</f>
        <v>406.15100000000001</v>
      </c>
      <c r="K4" s="175">
        <f>DBC_ДД!E10</f>
        <v>551.93899999999996</v>
      </c>
      <c r="L4" s="175">
        <f>DBC_ДД!F10</f>
        <v>624.65599999999995</v>
      </c>
      <c r="M4" s="175">
        <f>DBC_ДД!G10</f>
        <v>709.26900000000001</v>
      </c>
      <c r="N4" s="175">
        <f>DBC_ДД!H10</f>
        <v>3599.7860000000001</v>
      </c>
      <c r="O4" s="171" t="str">
        <f>Nikoliers_ДД!C10</f>
        <v>нет</v>
      </c>
      <c r="P4" s="171" t="str">
        <f>Nikoliers_ДД!D10</f>
        <v>нет</v>
      </c>
      <c r="Q4" s="171" t="str">
        <f>Nikoliers_ДД!E10</f>
        <v>нет</v>
      </c>
      <c r="R4" s="171" t="str">
        <f>Nikoliers_ДД!F10</f>
        <v>нет</v>
      </c>
      <c r="S4" s="171" t="str">
        <f>Nikoliers_ДД!G10</f>
        <v>нет</v>
      </c>
      <c r="T4" s="184">
        <f>Nikoliers_ДД!H10</f>
        <v>57807</v>
      </c>
      <c r="U4" s="171">
        <f>'CORE XP_ДД'!C10</f>
        <v>2297378</v>
      </c>
      <c r="V4" s="177">
        <f>'CORE XP_ДД'!D10</f>
        <v>1384592</v>
      </c>
      <c r="W4" s="177">
        <f>'CORE XP_ДД'!E10</f>
        <v>1689445</v>
      </c>
      <c r="X4" s="177">
        <f>'CORE XP_ДД'!F10</f>
        <v>1636303</v>
      </c>
      <c r="Y4" s="177">
        <f>'CORE XP_ДД'!G10</f>
        <v>1865216</v>
      </c>
      <c r="Z4" s="185">
        <f>'CORE XP_ДД'!H10</f>
        <v>2515282</v>
      </c>
      <c r="AA4" s="171">
        <f>CMWР_ДД!C10</f>
        <v>2029548000</v>
      </c>
      <c r="AB4" s="177">
        <f>CMWР_ДД!D10</f>
        <v>1674788000</v>
      </c>
      <c r="AC4" s="177">
        <f>CMWР_ДД!E10</f>
        <v>2307303000</v>
      </c>
      <c r="AD4" s="177">
        <f>CMWР_ДД!F10</f>
        <v>1833589000</v>
      </c>
      <c r="AE4" s="177">
        <f>CMWР_ДД!G10</f>
        <v>1988761000</v>
      </c>
      <c r="AF4" s="185">
        <f>CMWР_ДД!H10</f>
        <v>1871577000</v>
      </c>
      <c r="AG4" s="171">
        <f>Восход_ДД!C10</f>
        <v>0</v>
      </c>
      <c r="AH4" s="149">
        <f>Восход_ДД!D10</f>
        <v>42500</v>
      </c>
      <c r="AI4" s="149">
        <f>Восход_ДД!E10</f>
        <v>802293</v>
      </c>
      <c r="AJ4" s="149">
        <f>Восход_ДД!F10</f>
        <v>652037</v>
      </c>
      <c r="AK4" s="149">
        <f>Восход_ДД!G10</f>
        <v>734606</v>
      </c>
      <c r="AL4" s="175">
        <f>Восход_ДД!H10</f>
        <v>450053</v>
      </c>
      <c r="AM4" s="191">
        <f>NFrank_ДД!C10</f>
        <v>221.56200000000001</v>
      </c>
      <c r="AN4" s="190">
        <f>NFrank_ДД!D10</f>
        <v>297.51900000000001</v>
      </c>
      <c r="AO4" s="190">
        <f>NFrank_ДД!E10</f>
        <v>445.12599999999998</v>
      </c>
      <c r="AP4" s="149">
        <f>NFrank_ДД!F10</f>
        <v>612.06200000000001</v>
      </c>
      <c r="AQ4" s="149">
        <f>NFrank_ДД!G10</f>
        <v>884.97900000000004</v>
      </c>
      <c r="AR4" s="175">
        <f>NFrank_ДД!H10</f>
        <v>1176.124</v>
      </c>
      <c r="AS4" s="171">
        <f>'ИК Элемент_ДД'!C10</f>
        <v>94079000</v>
      </c>
      <c r="AT4" s="177">
        <f>'ИК Элемент_ДД'!D10</f>
        <v>265408000</v>
      </c>
      <c r="AU4" s="177">
        <f>'ИК Элемент_ДД'!E10</f>
        <v>258506000</v>
      </c>
      <c r="AV4" s="177">
        <f>'ИК Элемент_ДД'!F10</f>
        <v>469899000</v>
      </c>
      <c r="AW4" s="177">
        <f>'ИК Элемент_ДД'!G10</f>
        <v>591413000</v>
      </c>
      <c r="AX4" s="196">
        <f>'ИК Элемент_ДД'!H10</f>
        <v>976243000</v>
      </c>
      <c r="AY4" s="191">
        <v>215.83</v>
      </c>
      <c r="AZ4" s="190">
        <v>156.88</v>
      </c>
      <c r="BA4" s="190">
        <v>262.86</v>
      </c>
      <c r="BB4" s="190">
        <v>427.81</v>
      </c>
      <c r="BC4" s="201">
        <v>612.91999999999996</v>
      </c>
      <c r="BD4" s="207">
        <v>865.58</v>
      </c>
      <c r="BE4" s="213">
        <f>Ирбис_ДД!C10</f>
        <v>77.27</v>
      </c>
      <c r="BF4" s="212">
        <f>Ирбис_ДД!D10</f>
        <v>94.93</v>
      </c>
      <c r="BG4" s="212">
        <f>Ирбис_ДД!E10</f>
        <v>165.05</v>
      </c>
      <c r="BH4" s="212">
        <f>Ирбис_ДД!F10</f>
        <v>258.66000000000003</v>
      </c>
      <c r="BI4" s="212">
        <f>Ирбис_ДД!G10</f>
        <v>304.22000000000003</v>
      </c>
      <c r="BJ4" s="214">
        <f>Ирбис_ДД!H10</f>
        <v>396.34</v>
      </c>
      <c r="BK4" s="191">
        <f>АКРОН_ДД!C16</f>
        <v>18.227999999999998</v>
      </c>
      <c r="BL4" s="205">
        <f>АКРОН_ДД!D16</f>
        <v>68.111999999999995</v>
      </c>
      <c r="BM4" s="205">
        <f>АКРОН_ДД!E16</f>
        <v>68.399999999999991</v>
      </c>
      <c r="BN4" s="205">
        <f>АКРОН_ДД!F16</f>
        <v>48.6</v>
      </c>
      <c r="BO4" s="205">
        <f>АКРОН_ДД!G16</f>
        <v>117.75</v>
      </c>
      <c r="BP4" s="217">
        <f>АКРОН_ДД!H16</f>
        <v>299.08999999999997</v>
      </c>
      <c r="BQ4" s="171" t="s">
        <v>273</v>
      </c>
      <c r="BR4" s="177" t="s">
        <v>273</v>
      </c>
      <c r="BS4" s="177" t="s">
        <v>273</v>
      </c>
      <c r="BT4" s="177" t="s">
        <v>273</v>
      </c>
      <c r="BU4" s="177" t="s">
        <v>273</v>
      </c>
      <c r="BV4" s="185" t="s">
        <v>273</v>
      </c>
      <c r="BW4" s="220">
        <f>'РИТМ ПРОЕКТ_ДД'!C10</f>
        <v>130.83000000000001</v>
      </c>
      <c r="BX4" s="189">
        <f>'РИТМ ПРОЕКТ_ДД'!D10</f>
        <v>160.83000000000001</v>
      </c>
      <c r="BY4" s="189">
        <f>'РИТМ ПРОЕКТ_ДД'!E10</f>
        <v>150.65</v>
      </c>
      <c r="BZ4" s="189">
        <f>'РИТМ ПРОЕКТ_ДД'!F10</f>
        <v>59.99</v>
      </c>
      <c r="CA4" s="189">
        <f>'РИТМ ПРОЕКТ_ДД'!G10</f>
        <v>62.23</v>
      </c>
      <c r="CB4" s="221">
        <f>'РИТМ ПРОЕКТ_ДД'!H10</f>
        <v>67.569999999999993</v>
      </c>
      <c r="CC4" s="171">
        <f>'Эс Эй Риччи ПМ_ДД'!C10</f>
        <v>27113174.199999999</v>
      </c>
      <c r="CD4" s="177">
        <f>'Эс Эй Риччи ПМ_ДД'!D10</f>
        <v>46839920</v>
      </c>
      <c r="CE4" s="177">
        <f>'Эс Эй Риччи ПМ_ДД'!E10</f>
        <v>49934413</v>
      </c>
      <c r="CF4" s="177">
        <f>'Эс Эй Риччи ПМ_ДД'!F10</f>
        <v>30847020.440000001</v>
      </c>
      <c r="CG4" s="177">
        <f>'Эс Эй Риччи ПМ_ДД'!G10</f>
        <v>50203017.75</v>
      </c>
      <c r="CH4" s="185">
        <f>'Эс Эй Риччи ПМ_ДД'!H10</f>
        <v>65412051.210000001</v>
      </c>
      <c r="CI4" s="171" t="s">
        <v>272</v>
      </c>
      <c r="CJ4" s="177" t="s">
        <v>272</v>
      </c>
      <c r="CK4" s="177" t="s">
        <v>272</v>
      </c>
      <c r="CL4" s="177" t="s">
        <v>272</v>
      </c>
      <c r="CM4" s="205">
        <v>70</v>
      </c>
      <c r="CN4" s="217">
        <v>153</v>
      </c>
    </row>
    <row r="5" spans="1:92" s="168" customFormat="1" ht="25.5" hidden="1" x14ac:dyDescent="0.25">
      <c r="A5" s="169">
        <v>2</v>
      </c>
      <c r="B5" s="167" t="s">
        <v>25</v>
      </c>
      <c r="C5" s="171">
        <f>'СПЕКТРУМ ХОЛДИНГ_ДД'!C11</f>
        <v>1655.3</v>
      </c>
      <c r="D5" s="149">
        <f>'СПЕКТРУМ ХОЛДИНГ_ДД'!D11</f>
        <v>1884.69</v>
      </c>
      <c r="E5" s="149">
        <f>'СПЕКТРУМ ХОЛДИНГ_ДД'!E11</f>
        <v>2561.34</v>
      </c>
      <c r="F5" s="149">
        <f>'СПЕКТРУМ ХОЛДИНГ_ДД'!F11</f>
        <v>4235.1499999999996</v>
      </c>
      <c r="G5" s="149">
        <f>'СПЕКТРУМ ХОЛДИНГ_ДД'!G11</f>
        <v>4647.93</v>
      </c>
      <c r="H5" s="175">
        <f>'СПЕКТРУМ ХОЛДИНГ_ДД'!H11</f>
        <v>7884.32</v>
      </c>
      <c r="I5" s="175" t="s">
        <v>272</v>
      </c>
      <c r="J5" s="175" t="s">
        <v>272</v>
      </c>
      <c r="K5" s="175" t="s">
        <v>272</v>
      </c>
      <c r="L5" s="175" t="s">
        <v>272</v>
      </c>
      <c r="M5" s="175" t="s">
        <v>272</v>
      </c>
      <c r="N5" s="175" t="s">
        <v>272</v>
      </c>
      <c r="O5" s="171">
        <f>Nikoliers_ДД!C11</f>
        <v>1611074</v>
      </c>
      <c r="P5" s="171">
        <f>Nikoliers_ДД!D11</f>
        <v>1632230</v>
      </c>
      <c r="Q5" s="171">
        <f>Nikoliers_ДД!E11</f>
        <v>1427034</v>
      </c>
      <c r="R5" s="171">
        <f>Nikoliers_ДД!F11</f>
        <v>1417502</v>
      </c>
      <c r="S5" s="171">
        <f>Nikoliers_ДД!G11</f>
        <v>1620219</v>
      </c>
      <c r="T5" s="184">
        <f>Nikoliers_ДД!H11</f>
        <v>2345936</v>
      </c>
      <c r="U5" s="171" t="str">
        <f>'CORE XP_ДД'!C11</f>
        <v>нет</v>
      </c>
      <c r="V5" s="177" t="str">
        <f>'CORE XP_ДД'!D11</f>
        <v>нет</v>
      </c>
      <c r="W5" s="177" t="str">
        <f>'CORE XP_ДД'!E11</f>
        <v>нет</v>
      </c>
      <c r="X5" s="177" t="str">
        <f>'CORE XP_ДД'!F11</f>
        <v>нет</v>
      </c>
      <c r="Y5" s="177" t="str">
        <f>'CORE XP_ДД'!G11</f>
        <v>нет</v>
      </c>
      <c r="Z5" s="185" t="str">
        <f>'CORE XP_ДД'!H11</f>
        <v>нет</v>
      </c>
      <c r="AA5" s="171" t="s">
        <v>272</v>
      </c>
      <c r="AB5" s="177" t="s">
        <v>272</v>
      </c>
      <c r="AC5" s="177" t="s">
        <v>272</v>
      </c>
      <c r="AD5" s="177" t="s">
        <v>272</v>
      </c>
      <c r="AE5" s="177" t="s">
        <v>272</v>
      </c>
      <c r="AF5" s="185" t="s">
        <v>272</v>
      </c>
      <c r="AG5" s="171" t="s">
        <v>272</v>
      </c>
      <c r="AH5" s="149" t="s">
        <v>272</v>
      </c>
      <c r="AI5" s="149" t="s">
        <v>272</v>
      </c>
      <c r="AJ5" s="149" t="s">
        <v>272</v>
      </c>
      <c r="AK5" s="149" t="s">
        <v>272</v>
      </c>
      <c r="AL5" s="175" t="s">
        <v>272</v>
      </c>
      <c r="AM5" s="171">
        <f>NFrank_ДД!C11</f>
        <v>1095.0320000000002</v>
      </c>
      <c r="AN5" s="149">
        <f>NFrank_ДД!D11</f>
        <v>1322.259</v>
      </c>
      <c r="AO5" s="149">
        <f>NFrank_ДД!E11</f>
        <v>2158.7259999999997</v>
      </c>
      <c r="AP5" s="149">
        <f>NFrank_ДД!F11</f>
        <v>2026.6120000000001</v>
      </c>
      <c r="AQ5" s="149">
        <f>NFrank_ДД!G11</f>
        <v>3252.6390000000001</v>
      </c>
      <c r="AR5" s="175">
        <f>NFrank_ДД!H11</f>
        <v>4161.5940000000001</v>
      </c>
      <c r="AS5" s="171" t="s">
        <v>272</v>
      </c>
      <c r="AT5" s="177" t="s">
        <v>272</v>
      </c>
      <c r="AU5" s="177" t="s">
        <v>272</v>
      </c>
      <c r="AV5" s="177" t="s">
        <v>272</v>
      </c>
      <c r="AW5" s="177" t="s">
        <v>272</v>
      </c>
      <c r="AX5" s="196" t="s">
        <v>272</v>
      </c>
      <c r="AY5" s="200" t="s">
        <v>272</v>
      </c>
      <c r="AZ5" s="204" t="s">
        <v>272</v>
      </c>
      <c r="BA5" s="204" t="s">
        <v>272</v>
      </c>
      <c r="BB5" s="204" t="s">
        <v>272</v>
      </c>
      <c r="BC5" s="204" t="s">
        <v>272</v>
      </c>
      <c r="BD5" s="208" t="s">
        <v>272</v>
      </c>
      <c r="BE5" s="213">
        <f>Ирбис_ДД!C11</f>
        <v>155.79</v>
      </c>
      <c r="BF5" s="212">
        <f>Ирбис_ДД!D11</f>
        <v>175.17</v>
      </c>
      <c r="BG5" s="212">
        <f>Ирбис_ДД!E11</f>
        <v>285.16000000000003</v>
      </c>
      <c r="BH5" s="212">
        <f>Ирбис_ДД!F11</f>
        <v>389.86</v>
      </c>
      <c r="BI5" s="212">
        <f>Ирбис_ДД!G11</f>
        <v>425.32</v>
      </c>
      <c r="BJ5" s="214">
        <f>Ирбис_ДД!H11</f>
        <v>608.86</v>
      </c>
      <c r="BK5" s="191">
        <f>АКРОН_ДД!C17</f>
        <v>18.227999999999998</v>
      </c>
      <c r="BL5" s="205">
        <f>АКРОН_ДД!D17</f>
        <v>68.111999999999995</v>
      </c>
      <c r="BM5" s="205">
        <f>АКРОН_ДД!E17</f>
        <v>68.399999999999991</v>
      </c>
      <c r="BN5" s="205">
        <f>АКРОН_ДД!F17</f>
        <v>48.6</v>
      </c>
      <c r="BO5" s="205">
        <f>АКРОН_ДД!G17</f>
        <v>117.75</v>
      </c>
      <c r="BP5" s="217">
        <f>АКРОН_ДД!H17</f>
        <v>299.08999999999997</v>
      </c>
      <c r="BQ5" s="171" t="s">
        <v>273</v>
      </c>
      <c r="BR5" s="177" t="s">
        <v>273</v>
      </c>
      <c r="BS5" s="177" t="s">
        <v>273</v>
      </c>
      <c r="BT5" s="177" t="s">
        <v>273</v>
      </c>
      <c r="BU5" s="177" t="s">
        <v>273</v>
      </c>
      <c r="BV5" s="185" t="s">
        <v>273</v>
      </c>
      <c r="BW5" s="222">
        <f>'РИТМ ПРОЕКТ_ДД'!C11</f>
        <v>972.62199999999996</v>
      </c>
      <c r="BX5" s="178">
        <f>'РИТМ ПРОЕКТ_ДД'!D11</f>
        <v>1093.9580000000001</v>
      </c>
      <c r="BY5" s="178">
        <f>'РИТМ ПРОЕКТ_ДД'!E11</f>
        <v>1258.2270000000001</v>
      </c>
      <c r="BZ5" s="178">
        <f>'РИТМ ПРОЕКТ_ДД'!F11</f>
        <v>645.56899999999996</v>
      </c>
      <c r="CA5" s="178">
        <f>'РИТМ ПРОЕКТ_ДД'!G11</f>
        <v>1043.329</v>
      </c>
      <c r="CB5" s="223">
        <f>'РИТМ ПРОЕКТ_ДД'!H11</f>
        <v>1040.7460000000001</v>
      </c>
      <c r="CC5" s="171" t="s">
        <v>272</v>
      </c>
      <c r="CD5" s="177" t="s">
        <v>272</v>
      </c>
      <c r="CE5" s="177" t="s">
        <v>272</v>
      </c>
      <c r="CF5" s="177" t="s">
        <v>272</v>
      </c>
      <c r="CG5" s="177" t="s">
        <v>272</v>
      </c>
      <c r="CH5" s="185" t="s">
        <v>272</v>
      </c>
      <c r="CI5" s="171" t="s">
        <v>272</v>
      </c>
      <c r="CJ5" s="177" t="s">
        <v>272</v>
      </c>
      <c r="CK5" s="177" t="s">
        <v>272</v>
      </c>
      <c r="CL5" s="177" t="s">
        <v>272</v>
      </c>
      <c r="CM5" s="177" t="s">
        <v>272</v>
      </c>
      <c r="CN5" s="185" t="s">
        <v>272</v>
      </c>
    </row>
    <row r="6" spans="1:92" s="168" customFormat="1" ht="135.75" hidden="1" customHeight="1" x14ac:dyDescent="0.25">
      <c r="A6" s="169">
        <v>3</v>
      </c>
      <c r="B6" s="170" t="s">
        <v>26</v>
      </c>
      <c r="C6" s="171">
        <f>'СПЕКТРУМ ХОЛДИНГ_ДД'!C12</f>
        <v>397.12</v>
      </c>
      <c r="D6" s="149" t="str">
        <f>'СПЕКТРУМ ХОЛДИНГ_ДД'!D12</f>
        <v>356,66 </v>
      </c>
      <c r="E6" s="149" t="str">
        <f>'СПЕКТРУМ ХОЛДИНГ_ДД'!E12</f>
        <v>547,01 </v>
      </c>
      <c r="F6" s="149" t="str">
        <f>'СПЕКТРУМ ХОЛДИНГ_ДД'!F12</f>
        <v> 660,88</v>
      </c>
      <c r="G6" s="149" t="str">
        <f>'СПЕКТРУМ ХОЛДИНГ_ДД'!G12</f>
        <v> 890,05</v>
      </c>
      <c r="H6" s="175" t="str">
        <f>'СПЕКТРУМ ХОЛДИНГ_ДД'!H12</f>
        <v>1203,26 </v>
      </c>
      <c r="I6" s="182">
        <f>DBC_ДД!C12</f>
        <v>247.41800000000001</v>
      </c>
      <c r="J6" s="182">
        <f>DBC_ДД!D12</f>
        <v>406.15100000000001</v>
      </c>
      <c r="K6" s="175">
        <f>DBC_ДД!E12</f>
        <v>551.93899999999996</v>
      </c>
      <c r="L6" s="175">
        <f>DBC_ДД!F12</f>
        <v>624.65599999999995</v>
      </c>
      <c r="M6" s="175">
        <f>DBC_ДД!G12</f>
        <v>570.41</v>
      </c>
      <c r="N6" s="175">
        <f>DBC_ДД!H12</f>
        <v>956.04</v>
      </c>
      <c r="O6" s="229" t="str">
        <f>Nikoliers_ДД!C12</f>
        <v>будет направлено позднее</v>
      </c>
      <c r="P6" s="230"/>
      <c r="Q6" s="230"/>
      <c r="R6" s="230"/>
      <c r="S6" s="230"/>
      <c r="T6" s="230"/>
      <c r="U6" s="171" t="str">
        <f>'CORE XP_ДД'!C12</f>
        <v>187174/8,15%</v>
      </c>
      <c r="V6" s="177" t="str">
        <f>'CORE XP_ДД'!D12</f>
        <v>162021/11,70%</v>
      </c>
      <c r="W6" s="177" t="str">
        <f>'CORE XP_ДД'!E12</f>
        <v>201021/11,90%</v>
      </c>
      <c r="X6" s="177" t="str">
        <f>'CORE XP_ДД'!F12</f>
        <v>237113/14,49%</v>
      </c>
      <c r="Y6" s="177" t="str">
        <f>'CORE XP_ДД'!G12</f>
        <v>206651/11,08%</v>
      </c>
      <c r="Z6" s="185" t="str">
        <f>'CORE XP_ДД'!H12</f>
        <v>346835/13,79%</v>
      </c>
      <c r="AA6" s="192">
        <f>CMWР_ДД!C12</f>
        <v>7.0000000000000007E-2</v>
      </c>
      <c r="AB6" s="188">
        <f>CMWР_ДД!D12</f>
        <v>7.0000000000000007E-2</v>
      </c>
      <c r="AC6" s="188">
        <f>CMWР_ДД!E12</f>
        <v>0.08</v>
      </c>
      <c r="AD6" s="188">
        <f>CMWР_ДД!F12</f>
        <v>0.08</v>
      </c>
      <c r="AE6" s="188">
        <f>CMWР_ДД!G12</f>
        <v>7.0000000000000007E-2</v>
      </c>
      <c r="AF6" s="193">
        <f>CMWР_ДД!H12</f>
        <v>0.1</v>
      </c>
      <c r="AG6" s="171" t="s">
        <v>273</v>
      </c>
      <c r="AH6" s="149" t="s">
        <v>273</v>
      </c>
      <c r="AI6" s="149" t="s">
        <v>273</v>
      </c>
      <c r="AJ6" s="149" t="s">
        <v>273</v>
      </c>
      <c r="AK6" s="149" t="s">
        <v>273</v>
      </c>
      <c r="AL6" s="175" t="s">
        <v>273</v>
      </c>
      <c r="AM6" s="171" t="str">
        <f>NFrank_ДД!C12</f>
        <v>29,55/13,3%</v>
      </c>
      <c r="AN6" s="149" t="str">
        <f>NFrank_ДД!D12</f>
        <v>50,56/17%</v>
      </c>
      <c r="AO6" s="149" t="str">
        <f>NFrank_ДД!E12</f>
        <v>105,49/23,7%</v>
      </c>
      <c r="AP6" s="149" t="str">
        <f>NFrank_ДД!F12</f>
        <v>110,56/18,06%</v>
      </c>
      <c r="AQ6" s="149" t="str">
        <f>NFrank_ДД!G12</f>
        <v>196,63/22,22%</v>
      </c>
      <c r="AR6" s="175" t="str">
        <f>NFrank_ДД!H12</f>
        <v>388,68/33,05%</v>
      </c>
      <c r="AS6" s="171" t="str">
        <f>'ИК Элемент_ДД'!C12</f>
        <v>0,0%</v>
      </c>
      <c r="AT6" s="177" t="str">
        <f>'ИК Элемент_ДД'!D12</f>
        <v>61 043 840, 23%</v>
      </c>
      <c r="AU6" s="177" t="str">
        <f>'ИК Элемент_ДД'!E12</f>
        <v>93 062 160, 36%</v>
      </c>
      <c r="AV6" s="177" t="str">
        <f>'ИК Элемент_ДД'!F12</f>
        <v>159 765 660, 34%</v>
      </c>
      <c r="AW6" s="177" t="str">
        <f>'ИК Элемент_ДД'!G12</f>
        <v>230 651 070, 39%</v>
      </c>
      <c r="AX6" s="196" t="str">
        <f>'ИК Элемент_ДД'!H12</f>
        <v>410 022 060, 42%</v>
      </c>
      <c r="AY6" s="202" t="s">
        <v>274</v>
      </c>
      <c r="AZ6" s="149" t="s">
        <v>275</v>
      </c>
      <c r="BA6" s="149" t="s">
        <v>276</v>
      </c>
      <c r="BB6" s="149" t="s">
        <v>277</v>
      </c>
      <c r="BC6" s="203" t="s">
        <v>278</v>
      </c>
      <c r="BD6" s="209" t="s">
        <v>279</v>
      </c>
      <c r="BE6" s="215" t="str">
        <f>Ирбис_ДД!C12</f>
        <v>37,44/48%</v>
      </c>
      <c r="BF6" s="211" t="str">
        <f>Ирбис_ДД!D12</f>
        <v>71,5/75%</v>
      </c>
      <c r="BG6" s="211" t="str">
        <f>Ирбис_ДД!E12</f>
        <v>117,97/71%</v>
      </c>
      <c r="BH6" s="211" t="str">
        <f>Ирбис_ДД!F12</f>
        <v>135,26/58%</v>
      </c>
      <c r="BI6" s="211" t="str">
        <f>Ирбис_ДД!G12</f>
        <v>128,22/42%</v>
      </c>
      <c r="BJ6" s="216" t="str">
        <f>Ирбис_ДД!H12</f>
        <v>240,75/60%</v>
      </c>
      <c r="BK6" s="171" t="str">
        <f>АКРОН_ДД!C18</f>
        <v>18,228 (100%)</v>
      </c>
      <c r="BL6" s="177" t="str">
        <f>АКРОН_ДД!D18</f>
        <v>68,112 (100%)</v>
      </c>
      <c r="BM6" s="177" t="str">
        <f>АКРОН_ДД!E18</f>
        <v>68,4 (100%)</v>
      </c>
      <c r="BN6" s="177" t="str">
        <f>АКРОН_ДД!F18</f>
        <v>48,6 (100%)</v>
      </c>
      <c r="BO6" s="177" t="str">
        <f>АКРОН_ДД!G18</f>
        <v>68 (58%)</v>
      </c>
      <c r="BP6" s="185" t="str">
        <f>АКРОН_ДД!H18</f>
        <v>88 (30%)</v>
      </c>
      <c r="BQ6" s="171" t="s">
        <v>273</v>
      </c>
      <c r="BR6" s="177" t="s">
        <v>273</v>
      </c>
      <c r="BS6" s="177" t="s">
        <v>273</v>
      </c>
      <c r="BT6" s="177" t="s">
        <v>273</v>
      </c>
      <c r="BU6" s="177" t="s">
        <v>273</v>
      </c>
      <c r="BV6" s="185" t="s">
        <v>273</v>
      </c>
      <c r="BW6" s="222" t="str">
        <f>'РИТМ ПРОЕКТ_ДД'!C12</f>
        <v>78,49/60%</v>
      </c>
      <c r="BX6" s="178" t="str">
        <f>'РИТМ ПРОЕКТ_ДД'!D12</f>
        <v>80,42/50%</v>
      </c>
      <c r="BY6" s="178" t="str">
        <f>'РИТМ ПРОЕКТ_ДД'!E12</f>
        <v>106,96/71%</v>
      </c>
      <c r="BZ6" s="178" t="str">
        <f>'РИТМ ПРОЕКТ_ДД'!F12</f>
        <v>29,99/50%</v>
      </c>
      <c r="CA6" s="178" t="str">
        <f>'РИТМ ПРОЕКТ_ДД'!G12</f>
        <v>42,32/68%</v>
      </c>
      <c r="CB6" s="223" t="str">
        <f>'РИТМ ПРОЕКТ_ДД'!H12</f>
        <v>39,19/58%</v>
      </c>
      <c r="CC6" s="171" t="str">
        <f>'Эс Эй Риччи ПМ_ДД'!C12</f>
        <v>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v>
      </c>
      <c r="CD6" s="177" t="str">
        <f>'Эс Эй Риччи ПМ_ДД'!D12</f>
        <v>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v>
      </c>
      <c r="CE6" s="177" t="str">
        <f>'Эс Эй Риччи ПМ_ДД'!E12</f>
        <v>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v>
      </c>
      <c r="CF6" s="177" t="str">
        <f>'Эс Эй Риччи ПМ_ДД'!F12</f>
        <v>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v>
      </c>
      <c r="CG6" s="177" t="str">
        <f>'Эс Эй Риччи ПМ_ДД'!G12</f>
        <v>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v>
      </c>
      <c r="CH6" s="185" t="str">
        <f>'Эс Эй Риччи ПМ_ДД'!H12</f>
        <v>компания специализируется на организации, координации и контроле работ по проектированию и строительству (услуги технического заказика, строительный контроль)</v>
      </c>
      <c r="CI6" s="171" t="s">
        <v>272</v>
      </c>
      <c r="CJ6" s="177" t="s">
        <v>272</v>
      </c>
      <c r="CK6" s="177" t="s">
        <v>272</v>
      </c>
      <c r="CL6" s="177" t="s">
        <v>272</v>
      </c>
      <c r="CM6" s="177" t="str">
        <f>Стройконтроль_ДД!G12</f>
        <v>98,67/67%</v>
      </c>
      <c r="CN6" s="185" t="str">
        <f>Стройконтроль_ДД!H12</f>
        <v>115,48/73%</v>
      </c>
    </row>
    <row r="7" spans="1:92" s="168" customFormat="1" ht="409.5" hidden="1" customHeight="1" thickBot="1" x14ac:dyDescent="0.3">
      <c r="A7" s="169">
        <v>5</v>
      </c>
      <c r="B7" s="170" t="s">
        <v>28</v>
      </c>
      <c r="C7" s="179" t="str">
        <f>'СПЕКТРУМ ХОЛДИНГ_ДД'!C13</f>
        <v>Приложена "2. Справка о перечне и объемах выполнения основных Проектов"</v>
      </c>
      <c r="D7" s="180" t="str">
        <f>'СПЕКТРУМ ХОЛДИНГ_ДД'!D13</f>
        <v>Приложена "2. Справка о перечне и объемах выполнения основных Проектов"</v>
      </c>
      <c r="E7" s="180" t="str">
        <f>'СПЕКТРУМ ХОЛДИНГ_ДД'!E13</f>
        <v>Приложена "2. Справка о перечне и объемах выполнения основных Проектов"</v>
      </c>
      <c r="F7" s="180" t="str">
        <f>'СПЕКТРУМ ХОЛДИНГ_ДД'!F13</f>
        <v>Приложена "2. Справка о перечне и объемах выполнения основных Проектов"</v>
      </c>
      <c r="G7" s="180" t="str">
        <f>'СПЕКТРУМ ХОЛДИНГ_ДД'!G13</f>
        <v>Приложена "2. Справка о перечне и объемах выполнения основных Проектов"</v>
      </c>
      <c r="H7" s="181" t="str">
        <f>'СПЕКТРУМ ХОЛДИНГ_ДД'!H13</f>
        <v>Приложена "2. Справка о перечне и объемах выполнения основных Проектов"</v>
      </c>
      <c r="I7" s="178" t="str">
        <f>DBC_ДД!C13</f>
        <v xml:space="preserve"> СТРЦ "МЕГА Теплый стан" / Управление проектом, Технический заказчик, Строительный контроль, Москва, 400 000 м2.</v>
      </c>
      <c r="J7" s="178" t="str">
        <f>DBC_ДД!D13</f>
        <v>Аэровокзальный комплекс Аэропорта "Геленджик" / Управление проектом, Технический заказчик, Строительный контроль, г. Геленджик, 16 700 м2.</v>
      </c>
      <c r="K7" s="178" t="str">
        <f>DBC_ДД!E13</f>
        <v>ТРЦ "Винный Город" / Управление проектом, Технический заказчик, Строительный контроль,
 г. Геленджик, 22 000 м2.</v>
      </c>
      <c r="L7" s="178" t="str">
        <f>DBC_ДД!F13</f>
        <v>Офис JetBrains / Строительный контроль, г. Санкт-Петербург, 37 700 м2.</v>
      </c>
      <c r="M7" s="178" t="str">
        <f>DBC_ДД!G13</f>
        <v>Мультифункциональный комплекс «Мир в огне» / Управление проектом, Технический заказчик, Строительный контроль,
 г. Верхняя Пышма, 42 500 м2.</v>
      </c>
      <c r="N7" s="178" t="str">
        <f>DBC_ДД!H13</f>
        <v>Многофункциональный центр "Охта"/ Строительный контроль, г. Санкт-Петербург, 165 000 м3.</v>
      </c>
      <c r="O7" s="229" t="str">
        <f>Nikoliers_ДД!C13</f>
        <v>Референц лист в приложении к анкете</v>
      </c>
      <c r="P7" s="230"/>
      <c r="Q7" s="230"/>
      <c r="R7" s="230"/>
      <c r="S7" s="230"/>
      <c r="T7" s="230"/>
      <c r="U7" s="179" t="str">
        <f>'CORE XP_ДД'!C13</f>
        <v xml:space="preserve">1.Револют, г.Спб, 2000 кв.м, Услуги по управлению проектом внутренней отделки помещений. 2.Хоневелл ,г.Мск, управление проектом внутренней отделки, Консультант  3.Озон, г. Мск, офис, Строительный контроль за полным комплексом строительно-монтажных работ по ремонту, в том числе капитальному 4.INNIO, г.Мск, 2 271,4 кв.м , Генеральный подрядчик  5.Porshe Russland , г.Мск, 7500 кв., управление проектом реконструкции  6.AstraZeneca , г.Мск, 2509 кв. м, Управление проектом внутренней отделки </v>
      </c>
      <c r="V7" s="186" t="str">
        <f>'CORE XP_ДД'!D13</f>
        <v xml:space="preserve">1.Офис Такеда, г.Мск, 4 800 кв.м, Услуги по управлению проектом переоборудования и косметического ремонта помещений, 2.Офис Альфа-Банк, г.Екатеренбург, 10 546,10 кв.м, Консультант , 3. Hasbro , г. Мск, 1000 кв.м, управление проектом внутренней отделки, 4. АО "ОДК", г.Мск, 6 369кв.м, Технический заказчик, 5.Росбанк, гМск, управление проектом внутренней отделки, </v>
      </c>
      <c r="W7" s="186" t="str">
        <f>'CORE XP_ДД'!E13</f>
        <v>1. офис Action Development, г.Мск, 23 917 кв.м, управление проектом внутренней отделки, 2.офис IQVIA, г.Мск, 1500 кв ., управление проектом внутренней отделки, 3. Офис Deutsche Bank, г.Мск, 2197,68 кв. м, услуги по техническому аудиту, 4. Офис British Petroleum Russia, г.Мск, 1 720 кв. м, Строительный контроль 5.Офис Viartis , г.Мск, 1113 кв.м</v>
      </c>
      <c r="X7" s="186" t="str">
        <f>'CORE XP_ДД'!F13</f>
        <v xml:space="preserve">1.офис Velkom, г.Истра, мск.обл, 21 406 кв.м, Технический заказчик, 2.офис Яндекс.Такси, г.Мск, 6 600 кв.м, Технический заказчик, 3.офис Райффайзенбанк, г.Мск, 34 000 кв.м, Консультант , 4. офис Porsche Russland , г.Мск, 8 610 кв.м, Технический заказчик </v>
      </c>
      <c r="Y7" s="186" t="str">
        <f>'CORE XP_ДД'!G13</f>
        <v xml:space="preserve">1. АО «Райффайзенбанк»,  (Мск, 6 000 кв.м, Технический заказчик, Строительный контроль) 2.Административный офис ПАО «МТС» (Мск, 35 852 кв.м, Технический заказчик) 3. ИТМС(BAT), г.Мск, 4 430 кв.м, услуги по управлению проектом внутренней отделки, </v>
      </c>
      <c r="Z7" s="187" t="str">
        <f>'CORE XP_ДД'!H13</f>
        <v xml:space="preserve">1.Офисное помещение ООО "Грэйс Пропертис"(KEPT), (Мск, 10 423 кв.м, Технический заказчик) 2.Офис ООО "Каргилл", (Мск, 1 506 кв.м, технический заказчик) , 3.офис Итерсерч Солюшнс(Яндекс) ,(г.Мск, 3 600 кв.м, Технический заказчик ), 4.Центр подготовки национальной сборной команды по футболу, Российский футбольный союз, г.Мск, Технический заказчик 30 000 кв.м, </v>
      </c>
      <c r="AA7" s="179" t="str">
        <f>CMWР_ДД!C13</f>
        <v xml:space="preserve">Корпоративный университет НЛМК / строительство  (Липецк, 11 000 м2,  Тех.Заказчик/Строительный контроль) </v>
      </c>
      <c r="AB7" s="186" t="str">
        <f>CMWР_ДД!D13</f>
        <v>Московский офис компании ОТЭКО / внутренняя отделка помещений  (Москва, 9 000 м2,  Тех.Заказчик/Строительный контроль)</v>
      </c>
      <c r="AC7" s="186" t="str">
        <f>CMWР_ДД!E13</f>
        <v>Центральный офис компании Nestle по региону СНГ / внутренняя отделка помещений  (Москва, 10 000 м2, Тех.Заказчик/Строительный контроль)</v>
      </c>
      <c r="AD7" s="186" t="str">
        <f>CMWР_ДД!F13</f>
        <v>Бизнес-центр ООО ЭКТО, Москва, 18 000 м2, Технический заказчик, стройконтроль)</v>
      </c>
      <c r="AE7" s="186" t="str">
        <f>CMWР_ДД!G13</f>
        <v>ТЦ на Новой Риге ООО ЭКТО/ Московская область, р-н Красногорский, 16 000-22 000 м2 Технический заказчик, стройконтроль)</v>
      </c>
      <c r="AF7" s="194"/>
      <c r="AG7" s="179" t="str">
        <f>Восход_ДД!C13</f>
        <v>1. Жилой комплекс элитного класса, строительство Armani Casa Moscow Residences
г. Москва, пер. Старомонетный, 19 (10 400м2, Заказчик-Девелопер)</v>
      </c>
      <c r="AH7" s="180" t="str">
        <f>Восход_ДД!D13</f>
        <v>1. Жилой комплекс элитного класса, строительство Armani Casa Moscow Residences
г. Москва, пер. Старомонетный, 19 (10 400м2, Заказчик-Девелопер)</v>
      </c>
      <c r="AI7" s="180" t="str">
        <f>Восход_ДД!E13</f>
        <v xml:space="preserve">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v>
      </c>
      <c r="AJ7" s="180" t="str">
        <f>Восход_ДД!F13</f>
        <v xml:space="preserve">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3. AHEAD
г. Москва, ул. Василисы Кожиной, 25 (25 000м2, заказчик-девелопер) 
4. Cheval Court
г. Санкт-Петербург, пл. Конюшенная, 2 (7 400 м2, заказчик-девелопер), </v>
      </c>
      <c r="AK7" s="180" t="str">
        <f>Восход_ДД!G13</f>
        <v>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3. AHEAD
г. Москва, ул. Василисы Кожиной, 25 (25 000м2, заказчик-девелопер) 
4. Cheval Court
г. Санкт-Петербург, пл. Конюшенная, 2 (7 400 м2, заказчик-девелопер),
5. Nobu Restaurant, Hotel&amp; Residences
ОАЭ, Рас-Аль-Хайм (80 000м2);</v>
      </c>
      <c r="AL7" s="181" t="str">
        <f>Восход_ДД!H13</f>
        <v>1. Жилой комплекс элитного класса, строительство Armani Casa Moscow Residences
г. Москва, пер. Старомонетный, 19 (10 400м2, Заказчик-Девелопер) 
2. Brusov
г. Москва, пер. Брюсов, 2 (8 700м2, Заказчик-Девелопер);
 3. AHEAD
г. Москва, ул. Василисы Кожиной, 25 (25 000м2, заказчик-девелопер) 
4. Cheval Court
г. Санкт-Петербург, пл. Конюшенная, 2 (7 400 м2, заказчик-девелопер), 
5. Nobu Restaurant, Hotel&amp; Residences
ОАЭ, Рас-Аль-Хайм (80 000м2); 
6. Центральный Телеграф
г. Москва, ул. Тверская, 7 (76 500м2,FEE-DEVELOPER).</v>
      </c>
      <c r="AM7" s="179" t="str">
        <f>NFrank_ДД!C13</f>
        <v>1. Научно-производственный комплекс «КРУНИТ» / строительство (Мск,  16 000 м2, Строительный контроль)</v>
      </c>
      <c r="AN7" s="180" t="str">
        <f>NFrank_ДД!D13</f>
        <v>1. Офисные помещения для компании «Альфа-Банк» / отделка офисных помещений (Мск, 3 770 м2, строительный контроль)</v>
      </c>
      <c r="AO7" s="180" t="str">
        <f>NFrank_ДД!E13</f>
        <v>1. Офисные помещения ПАО «СПБ Биржа» (управление проектом отделки, Мск, 4200 м2)
2. Офисные помещения для компании «Альфа-Банк»  (Мск, 3 770 м2, строительный контроль)</v>
      </c>
      <c r="AP7" s="180" t="str">
        <f>NFrank_ДД!F13</f>
        <v xml:space="preserve">1. МФК «ЛАХТА ЦЕНТР» (фаза 1) / отделка офисных помещений (Спб, 66 700 м2, строительный контроль)                                            2. Офисные помещения для компании «Альфа-Банк» / отделка офисных помещений (Екб, 10 550 м2, строительный контроль)                            3. Офисные помещения для компании «Альфа-Банк» / отделка офисных помещений (Барнаул, 5 230 м2, строительный контроль)                         4. Офисные помещения для компании «Альфа-Банк» / отделка офисных помещений (Ульяновск, 6 000 м2, строительный контроль) </v>
      </c>
      <c r="AQ7" s="180" t="str">
        <f>NFrank_ДД!G13</f>
        <v>1. Торгово-развлекательный комплекс «Одинцовопарк» / строительство (Московская обл., 32 500 м2,  Технический заказчик)                                     2. Медиацентр "СПАС" / строительство (Мск, 9 400 м2, Технический заказчик)
3. Дом Зингер/ реновация помещений штаб-квартиры компании (Спб, 2 600 м2, управление проектом, строительный контроль)
4. Производственные помещения для биофарм.компании/новое кап.строительство (МО, 18 000 м2)</v>
      </c>
      <c r="AR7" s="181" t="str">
        <f>NFrank_ДД!H13</f>
        <v xml:space="preserve">1. Номерной фонд класса «люкс» в гостинице с МФК / строительство (Мск, 33 000 м2, тех. заказчик)                          2. Административные помещения для АО «Альфа-Банк» / отделка офисных помещений (Мск, 21 100 м2, строительный контроль)
3. ЖК «G3 Театральный»/ новое кап.строительство (МО, 85 000 м2, строительный контроль
</v>
      </c>
      <c r="AS7" s="176">
        <f>'ИК Элемент_ДД'!C13</f>
        <v>0</v>
      </c>
      <c r="AT7" s="195" t="str">
        <f>'ИК Элемент_ДД'!D13</f>
        <v xml:space="preserve">1. Услуги Технического эксперта при проведении строительно-монтажных работ по объекту: "Развитие инфраструктуры железнодорожного транспорта общего пользования на станции Людиново-1 Московской железной дороги" 
2. Услуги   по осуществлению строительного контроля объекта капитального строительства, в помещениях, расположенных по адресу: г. Москва, ул. Большая Молчановка, д. 21А, подвальный, 1, 2, 3 этажи, ООО СТЗ,7 000 м2
3. Услуги Технического эксперта при проведении строительно-монтажных работ по объекту: "Соединительный железнодорожный путь необщего пользования от станции Людиново-1 Московской железной дороги до границы Площадки ОЭЗ ППТ "Калуга". 
</v>
      </c>
      <c r="AU7" s="195" t="str">
        <f>'ИК Элемент_ДД'!E13</f>
        <v xml:space="preserve">1. Функции технического заказчика при проведении проектных и изыскательских работ на объекте, расположенном по адресу: г. Москва, вн. мун. о. Чертанов Южное, ш. Варшавское, влад. 150Б/1, ФудХолл, 3500 м2
2. Услуги   по осуществлению строительного контроля объекта капитального строительства: Общедоступная взлетно-посадочная полоса и площадка для вертолетов с общественным терминалом, инфраструктурными зданиями и сооружениями, расположенная по адресу: Республика Крым, с. Уромное, ООО "СБ Девелопмент", 14 000 м2.
3. Услуги по проведению строительного контроля за  строительством/ремонтом газопроводов высокого давления и нефтепродуктопроводов, Российская Федерация, Московская область, городской округ Солнечногорск, рабочий посёлок Ржавки, микрорайон № 2, строение 20, вблизи МТРК «Зеленопарк», АШАН.
4. Оказание услуг по строительному контролю при  капитальном ремонте объектов  подведомственных Москомспорту Учреждений, направленных на развитие объектов спортивной инфраструктуры, 36 объектов споривного назначения, 38 800 м2.
</v>
      </c>
      <c r="AV7" s="195" t="str">
        <f>'ИК Элемент_ДД'!F13</f>
        <v>1. Услуги по выполнению функций технического заказчика по проектированию и капитальному ремонту Объекта: помещения общей площадью 19 668,4 кв. м в зданиях по адресу: г. Москва, ул. Знаменка, д. 7, стр. 3, д. 9, стр. 3, Бизнес-центр.
2. Осуществление функций Технического заказчика, направленные на исполнение Заказчиком функций Технического заказчика на объекте "Гостиничный комплекс «Radisson Blu Resort &amp; Congress Center, Sochi», 43 186 кв.м, 508 номеров.
3. Работы по осуществлению функций технического заказчика и строительного контроля в отношении объекта: «Автоматизированный складской комплекс для хранения мороженой рыбопродукции и морепродуктов», по адресу: Мурманская обл., МО с.п. Междуречье Кольского р-на, с. Минькино, 6000 м2.
4. Услуги строительного контроля за строительством объектов капитального строительства «Черногорский горно-обогатительный комбинат (ГОК). Очередь I. Вскрытие и отработка запасов Черногорского месторождения», Площадь застройки: 282 000 м2.
5. Осуществление строительного контроля за выполнением Подрядчиком отделочных работ на объекте: «Жилой комплекс с дошкольными образовательными учреждениями, школой, надземными паркингами, инженерными сетями и объектами инженерной инфраструктуры, по адресу: г. Москва, НАО, п. Московский, дер. Картмазово уч.16/1, 165 778,8 м2.
6. функций технического заказчика на период выполнения проектно-изыскательских работ и разработать Проектную и Рабочую документацию по Объекту: «Реконструкция АТТК Тойота, расположенного по адресу: г. Москва, с/п Сосенское, 2 887 м2.</v>
      </c>
      <c r="AW7" s="195" t="str">
        <f>'ИК Элемент_ДД'!G13</f>
        <v xml:space="preserve">1. Функции строительного контроля технического заказчика Объекта " Деревянные частные виллы-шале с Термальным центром, расположенные на территории Всесезонного курорта «Манжерок», 15 511 м2.
2. Функции строительного контроля за выполнением Проектных работ и строительно-монтажных работ по переоборудованию Объекта и переустройству инженерных систем Объекта "Ситуационного центра SCS, расположенные в здании ПАО Сбербанк, Москва, 2040 м2.
3. Оказание услуг по строительному контролю при выполнении работ на подведомственных Москомспорту Учреждениях, направленных на развитие объектов спортивной инфраструктуры, 39 500 м2.
4. Функции строительного контроля и технического заказчика при реконструкции Объекта: «Городской детский парк имени Щорса» , г. Луганск, 3,5 Га.
5. Осуществление строительного контроля за выполнением строительно-монтажных работ на объекте «Реконструкция объектов морского терминала «Сероглазка» в административных границах Петропавловск-Камчатского морского порта», мощностью 25 тысяч тонн единовременного хранения и пропускной способностью для рефрижераторных грузов – свыше 300 тысяч тонн в год.
6. Управление проектом и выполнение функций технического заказчика и строительного контроля по проекту: «Многофункциональный гостиничный кмоплекс", г. Владивосток, ул. Державина, д. 17», 14 900 м2.
7. Управление проектом и выполнение функций технического заказчика и строительного контроля по проекту:«Многофункциональный гостиничный кмоплекс", г. Калининград, 12 797 м2.
8. Управление проектом и выполнение функций технического заказчика и строительного контроля по проекту:«Многофункциональный гостиничный кмоплекс", г. Кемерово, 17 558 м2.
</v>
      </c>
      <c r="AX7" s="197" t="str">
        <f>'ИК Элемент_ДД'!H13</f>
        <v>1. Услуги по осуществлению функций технического заказчика при проектировании объета ПАО НПО "Наука": Испытательный комплекс 2, Владимирская область, 5187,0 м²
2. Оказание услуг по строительному контролю при выполнение строительно-монтажных работ в недостроенном Жилом комплексе «Сказочный лес», расположенном по адресу: г. Москва, Лосиноостровская ул., вл45к1, 1 корпус - 35535 кв.м.; 2 корпус - 35 674 кв.м.; 3 корпус - 33 307 кв.м.; 4 корпус - 33 653 кв.м., ДДОУ - 2 902 кв.м.
3. Функции технического заказчика и проведение строительного контроля при Реализации первого и второго этапа строительства первой очереди Проекта "Комплексный туристический проект «Новый Шерегеш», 446 номеров, Кемеровская область, 51 000 м2.
4. Услуги по строительному контролю за выполнением работ, в рамках реализации проекта: «Горнодобывающее и перерабатывающее предприятие на базе золоторудного месторождения Хангалас, 5 100 м2.
5. Функции Технического заказчика в части экологического сопровождения Объектов ООПТ «Воробьевы горы», 2 500 м2.
6. Управление проектом и выполнение функций технического заказчика по проекту: «Многофункциональный комплекс, по адресу: Кабардино-Балкарская Республика, Эльбрусский р-н, 39 000 м2.
7.Услуги по осуществлению функций Технического заказчика и строительного контроля  строительства ЦОД, Пермь,  Площадка включает 2 объекта: 1) здание бывшего цеха (износ 72%) площадью 1471 м2.; 2) земельный участок площадью 1,7 Га.
8. Услуги строительного контроля  по организации приемки Объектов и МОП с выполненной Отделкой, комплекс зданий гостиничного типа «Студенческий квартал», включающий в себя 9 корпусов (№№ 1-9) по адресу: г. Москва, Территория инновационного центра «Сколково», 13 212 м2.</v>
      </c>
      <c r="AY7" s="179" t="s">
        <v>280</v>
      </c>
      <c r="AZ7" s="180" t="s">
        <v>280</v>
      </c>
      <c r="BA7" s="180" t="s">
        <v>280</v>
      </c>
      <c r="BB7" s="180" t="s">
        <v>281</v>
      </c>
      <c r="BC7" s="180" t="s">
        <v>282</v>
      </c>
      <c r="BD7" s="210" t="s">
        <v>283</v>
      </c>
      <c r="BE7" s="234" t="str">
        <f>Ирбис_ДД!C13</f>
        <v>Референс лист прилагается</v>
      </c>
      <c r="BF7" s="235"/>
      <c r="BG7" s="235"/>
      <c r="BH7" s="235"/>
      <c r="BI7" s="235"/>
      <c r="BJ7" s="236"/>
      <c r="BK7" s="179" t="str">
        <f>АКРОН_ДД!C19</f>
        <v>1. Функция финтехэксперта (Проект БЦ Poklonka Place 143 тыс м2);                                                                             2. Функция стройконтроль (Проект ЖК Мильфей 65 тыс м2)</v>
      </c>
      <c r="BL7" s="186" t="str">
        <f>АКРОН_ДД!D19</f>
        <v>1. Функция Техзаказчика и строительный контроль. Реконструкция и модернизация внутренних инженерных систем, кап ремонт фасада, комплекс общестроительных работ  (БЦ Poklonka Place 143 тыс м2)</v>
      </c>
      <c r="BM7" s="186" t="str">
        <f>АКРОН_ДД!E19</f>
        <v>1. Функция Техзаказчика и строительный контроль. Реконструкция и модернизация внутренних инженерных систем, кап ремонт фасада, комплекс общестроительных работ (БЦ Poklonka Place 143 тыс м2)</v>
      </c>
      <c r="BN7" s="186" t="str">
        <f>АКРОН_ДД!F19</f>
        <v>1. Функция Техзаказчика и строительный контроль. Реконструкция и модернизация внутренних инженерных систем, кап ремонт фасада, комплекс общестроительных работ  (БЦ Poklonka Place 143 тыс м2)</v>
      </c>
      <c r="BO7" s="186" t="str">
        <f>АКРОН_ДД!G19</f>
        <v>1. Функция Техзаказчика и строительный контроль. Реконструкция и модернизация внутренних инженерных систем  (БЦ Poklonka Place 143 тыс м2) 2. Выполнение функции Технического заказчика нового строительства корпуса (Poklonka II 40 тыс м2) разработка архитектурной концепции, согласование ТЭП, внесение изменений ПЗЗ, заключение договора на Генпроектирование.</v>
      </c>
      <c r="BP7" s="187" t="str">
        <f>АКРОН_ДД!H19</f>
        <v>1. Функция Техзаказчика и строительный контроль. Реконструкция и модернизация внутренних инженерных систем  (БЦ Poklonka Place 143 тыс м2);  2. Выполнение функции Технического заказчика нового строительства корпуса (Poklonka II 40 тыс м2) разработка архитектурной концепции, согласование ТЭП, внесение изменений ПЗЗ, заключение договора на Генпроектирование; 3. Функция Технического заказчика предстроительный этап, формирование ТЭО и Бизнес Плана Проекта Гостиничного комплекса 5*  Крым  (ЗУ 7 га,  ТЭП 25 000 м2)</v>
      </c>
      <c r="BQ7" s="176" t="s">
        <v>273</v>
      </c>
      <c r="BR7" s="218" t="s">
        <v>273</v>
      </c>
      <c r="BS7" s="218" t="s">
        <v>273</v>
      </c>
      <c r="BT7" s="218" t="s">
        <v>273</v>
      </c>
      <c r="BU7" s="218" t="s">
        <v>273</v>
      </c>
      <c r="BV7" s="219" t="s">
        <v>273</v>
      </c>
      <c r="BW7" s="179" t="str">
        <f>'РИТМ ПРОЕКТ_ДД'!C13</f>
        <v>1.Строительство и отделка здания Гольф клуба / сироительство (МО 6 500 м2, Тех Заказчик, Строительный контроль)
2. «ARTPLAY» Центр дизайна / реконструкция (СПБ 44 763 м2, Тех Заказчик, Строительный контроль)
3. Заводы по производству автомобильных комплектующих / строительство (Тольятти 14 500 м2, Тех Заказчик, Строительный контроль)</v>
      </c>
      <c r="BX7" s="186" t="str">
        <f>'РИТМ ПРОЕКТ_ДД'!D13</f>
        <v>1. Строительство и отделка здания Гольф клуба / сироительство (МО 6 500 м2, Тех Заказчик, Строительный контроль)
2. «ARTPLAY» Центр дизайна / реконструкция (СПБ 44 763 м2, Тех Заказчик, Строительный контроль)
3. Заводы по производству автомобильных комплектующих / строительство (Тольятти 14 500 м2, Тех Заказчик, Строительный контроль)
4. Многофункциональный комплекс TALAN TOWERS, строительство / (Астана 120 000 м2, Тех консультант)Астана, Казахстан</v>
      </c>
      <c r="BY7" s="186" t="str">
        <f>'РИТМ ПРОЕКТ_ДД'!E13</f>
        <v>1. «Партнерский центр ООО «Феникс Контакт Рус»» / строительство (МО 22 458 м2, Тех Заказчик, Строительный контроль)
2. Офисы, R&amp;D центры компании Huawei / отделка (Мск, Минск, Новосибирск ... 88 500 м2, Тех Заказчик, Строительный контроль)
3. Строительство и оснащение складского комплекса / строительство (Н. Новгород, Самара, Мск. 51 000 м2 Тех Заказчик, Строительный контроль)</v>
      </c>
      <c r="BZ7" s="186" t="str">
        <f>'РИТМ ПРОЕКТ_ДД'!F13</f>
        <v>1. «Партнерский центр ООО «Феникс Контакт Рус»» / строительство (МО 22 458 м2, Тех Заказчик, Строительный контроль)
2. Офисы, R&amp;D центры компании Huawei / отделка (Мск, Минск, Новосибирск ... 88 500 м2, Тех Заказчик, Строительный контроль)
3. Строительство и оснащение складского комплекса / строительство (Н. Новгород, Самара, Мск. 51 000 м2 Тех Заказчик, Строительный контроль)</v>
      </c>
      <c r="CA7" s="186" t="str">
        <f>'РИТМ ПРОЕКТ_ДД'!G13</f>
        <v>1. Федеральный Распределительный центр / строительство 
(МО 109 000 м2, Тех Заказчик, Строительный контроль)
2. Офисы, R&amp;D центры компании Huawei / отделка (Мск, СПБ  88 500 м2, Тех Заказчик, Строительный контроль)</v>
      </c>
      <c r="CB7" s="187" t="str">
        <f>'РИТМ ПРОЕКТ_ДД'!H13</f>
        <v xml:space="preserve">1. Федеральный Распределительный центр / строительство 
(МО 109 000 м2, Тех Заказчик, Строительный контроль)
2. Офисы, R&amp;D центры компании Huawei / отделка (Мск, СПБ  88 500 м2, Тех Заказчик, Строительный контроль)
3. Офис компании Яндекс / отделка (Ереван, 6000 м2, Тех Заказчик, Строительный контроль) </v>
      </c>
      <c r="CC7" s="179" t="str">
        <f>'Эс Эй Риччи ПМ_ДД'!C13</f>
        <v>ПОЛНЫЙ ПЕРЕЧЕНЬ ПРОЕКТОВ ПРЕДСТАВЛЕН В ОТДЕЛЬНОЙ СПРАВКЕ
1.Банк Зенит (Москва, комплексное управление проектированием, строительством и обустройством, строительный контроль, управление переездом, 11 000 кв. м);
2. ПАО «Банк ВТБ» (ООО «Ланит –Интеграция» Москва,  Башня Евразия, Управление проектированием и строительством, 70 000 кв.м.)</v>
      </c>
      <c r="CD7" s="186" t="str">
        <f>'Эс Эй Риччи ПМ_ДД'!D13</f>
        <v>ПОЛНЫЙ ПЕРЕЧЕНЬ ПРОЕКТОВ ПРЕДСТАВЛЕН В ОТДЕЛЬНОЙ СПРАВКЕ
ПАО «Банк ВТБ» (ООО «Ланит –Интеграция» Башня Восток, Москва,  Управление проектированием и строительством, 8000 кв.м.)</v>
      </c>
      <c r="CE7" s="186" t="str">
        <f>'Эс Эй Риччи ПМ_ДД'!E13</f>
        <v>ПОЛНЫЙ ПЕРЕЧЕНЬ ПРОЕКТОВ ПРЕДСТАВЛЕН В ОТДЕЛЬНОЙ СПРАВКЕ
СитиМобил (Москва, комплексное управление проектированием, строительством и обустройством, строительный контроль, управление переездом, 9 655 кв. м</v>
      </c>
      <c r="CF7" s="186" t="str">
        <f>'Эс Эй Риччи ПМ_ДД'!F13</f>
        <v>ПОЛНЫЙ ПЕРЕЧЕНЬ ПРОЕКТОВ ПРЕДСТАВЛЕН В ОТДЕЛЬНОЙ СПРАВКЕ
WinLine (ООО "Нацилнальный коневодческий союз, Москва, Комплексное управление проектированием,строительством и обустройством, строительный контроль, 2300 кв.м</v>
      </c>
      <c r="CG7" s="186" t="str">
        <f>'Эс Эй Риччи ПМ_ДД'!G13</f>
        <v>ПОЛНЫЙ ПЕРЕЧЕНЬ ПРОЕКТОВ ПРЕДСТАВЛЕН В ОТДЕЛЬНОЙ СПРАВКЕ
Деметра Холдинг (Москва, комплексное управление проектированием,строительством и обустройством, строительный контроль, 8630 кв.м,</v>
      </c>
      <c r="CH7" s="187" t="str">
        <f>'Эс Эй Риччи ПМ_ДД'!H13</f>
        <v>ПОЛНЫЙ ПЕРЕЧЕНЬ ПРОЕКТОВ ПРЕДСТАВЛЕН В ОТДЕЛЬНОЙ СПРАВКЕ
1. Газпром (ООО "Ланит Интеграция", Лахта-Центр, г. Санкт-Петербург 59 000 кв. м.-  управление проектом);
2.ТС Интеграция (Москва, Комплексное управление проектированием, строительством и обустройством, строительный контроль, оптимизация стоимости, 9 000 кв. м)
3. УК Уральская сталь (Москва, Разработка стратегии организации рабочего пространства, комплексное управление проектированием, строительством и обустройством, строительный контроль, управление переездом, 3678 кв.м .)
4. Газпромбанк (г. Москва, Озерковская наб. дом 24,1-5 этажи, Комплексное управление проектированием,строительством и обустройством, строительный контроль, 6565 кв.м.)</v>
      </c>
      <c r="CI7" s="176" t="s">
        <v>272</v>
      </c>
      <c r="CJ7" s="218" t="s">
        <v>272</v>
      </c>
      <c r="CK7" s="218" t="s">
        <v>272</v>
      </c>
      <c r="CL7" s="218" t="s">
        <v>272</v>
      </c>
      <c r="CM7" s="186" t="str">
        <f>Стройконтроль_ДД!G13</f>
        <v>1. Объект образования ( 17 790,0 м2, Тех.Заказчик, Строительный контроль)                   2. Объект образования (18 974,2 м2) Тех. Заказчик, Строительный контроль)</v>
      </c>
      <c r="CN7" s="187" t="str">
        <f>Стройконтроль_ДД!H13</f>
        <v>1. Объект образования (166 708,57 м3) Тех.Заказчик, Строительный контроль)                  2. Объект образования (78 922 м3) Тех.Заказчик, Строительный контроль)                  3. Объект образования (77 842,0 м3) Тех.Заказчик, Строительный контроль)</v>
      </c>
    </row>
    <row r="8" spans="1:92" hidden="1" x14ac:dyDescent="0.25"/>
    <row r="9" spans="1:92" hidden="1" x14ac:dyDescent="0.25"/>
    <row r="10" spans="1:92" hidden="1" x14ac:dyDescent="0.25"/>
    <row r="11" spans="1:92" hidden="1" x14ac:dyDescent="0.25"/>
    <row r="12" spans="1:92" hidden="1" x14ac:dyDescent="0.25"/>
    <row r="13" spans="1:92" hidden="1" x14ac:dyDescent="0.25"/>
    <row r="14" spans="1:92" hidden="1" x14ac:dyDescent="0.25"/>
    <row r="15" spans="1:92" hidden="1" x14ac:dyDescent="0.25"/>
    <row r="16" spans="1:92" hidden="1" x14ac:dyDescent="0.25"/>
    <row r="17" spans="3:92" hidden="1" x14ac:dyDescent="0.25"/>
    <row r="18" spans="3:92" hidden="1" x14ac:dyDescent="0.25"/>
    <row r="19" spans="3:92" hidden="1" x14ac:dyDescent="0.25"/>
    <row r="20" spans="3:92" hidden="1" x14ac:dyDescent="0.25"/>
    <row r="21" spans="3:92" hidden="1" x14ac:dyDescent="0.25"/>
    <row r="22" spans="3:92" hidden="1" x14ac:dyDescent="0.25"/>
    <row r="23" spans="3:92" hidden="1" x14ac:dyDescent="0.25"/>
    <row r="24" spans="3:92" hidden="1" x14ac:dyDescent="0.25"/>
    <row r="25" spans="3:92" hidden="1" x14ac:dyDescent="0.25"/>
    <row r="26" spans="3:92" hidden="1" x14ac:dyDescent="0.25"/>
    <row r="27" spans="3:92" hidden="1" x14ac:dyDescent="0.25"/>
    <row r="28" spans="3:92" hidden="1" x14ac:dyDescent="0.25"/>
    <row r="29" spans="3:92" hidden="1" x14ac:dyDescent="0.25"/>
    <row r="30" spans="3:92" hidden="1" x14ac:dyDescent="0.25"/>
    <row r="31" spans="3:92" x14ac:dyDescent="0.25">
      <c r="C31" s="384">
        <f t="shared" ref="C31:AH31" si="0">C4*1000000</f>
        <v>1375550000</v>
      </c>
      <c r="D31" s="384">
        <f t="shared" si="0"/>
        <v>1652030000</v>
      </c>
      <c r="E31" s="384">
        <f t="shared" si="0"/>
        <v>2331070000</v>
      </c>
      <c r="F31" s="384">
        <f t="shared" si="0"/>
        <v>3956000000</v>
      </c>
      <c r="G31" s="384">
        <f t="shared" si="0"/>
        <v>4219189999.9999995</v>
      </c>
      <c r="H31" s="384">
        <f>H4*1000000</f>
        <v>7517660000</v>
      </c>
      <c r="I31" s="384">
        <f t="shared" ref="I31:BT31" si="1">I4*1000000</f>
        <v>247418000</v>
      </c>
      <c r="J31" s="384">
        <f t="shared" si="1"/>
        <v>406151000</v>
      </c>
      <c r="K31" s="384">
        <f t="shared" si="1"/>
        <v>551939000</v>
      </c>
      <c r="L31" s="384">
        <f t="shared" si="1"/>
        <v>624656000</v>
      </c>
      <c r="M31" s="384">
        <f t="shared" si="1"/>
        <v>709269000</v>
      </c>
      <c r="N31" s="384">
        <f t="shared" si="1"/>
        <v>3599786000</v>
      </c>
      <c r="O31" s="384">
        <v>0</v>
      </c>
      <c r="P31" s="384">
        <v>0</v>
      </c>
      <c r="Q31" s="384">
        <v>0</v>
      </c>
      <c r="R31" s="384">
        <v>0</v>
      </c>
      <c r="S31" s="384">
        <v>0</v>
      </c>
      <c r="T31" s="384">
        <f t="shared" si="1"/>
        <v>57807000000</v>
      </c>
      <c r="U31" s="384">
        <f t="shared" ref="U31:Z31" si="2">+U4*1000</f>
        <v>2297378000</v>
      </c>
      <c r="V31" s="384">
        <f t="shared" si="2"/>
        <v>1384592000</v>
      </c>
      <c r="W31" s="384">
        <f t="shared" si="2"/>
        <v>1689445000</v>
      </c>
      <c r="X31" s="384">
        <f t="shared" si="2"/>
        <v>1636303000</v>
      </c>
      <c r="Y31" s="384">
        <f t="shared" si="2"/>
        <v>1865216000</v>
      </c>
      <c r="Z31" s="384">
        <f t="shared" si="2"/>
        <v>2515282000</v>
      </c>
      <c r="AA31" s="384">
        <f>AA4</f>
        <v>2029548000</v>
      </c>
      <c r="AB31" s="384">
        <f t="shared" ref="AB31:AF31" si="3">AB4</f>
        <v>1674788000</v>
      </c>
      <c r="AC31" s="384">
        <f t="shared" si="3"/>
        <v>2307303000</v>
      </c>
      <c r="AD31" s="384">
        <f t="shared" si="3"/>
        <v>1833589000</v>
      </c>
      <c r="AE31" s="384">
        <f t="shared" si="3"/>
        <v>1988761000</v>
      </c>
      <c r="AF31" s="384">
        <f t="shared" si="3"/>
        <v>1871577000</v>
      </c>
      <c r="AG31" s="384">
        <f>AG4*1000</f>
        <v>0</v>
      </c>
      <c r="AH31" s="384">
        <f t="shared" ref="AH31:AL31" si="4">AH4*1000</f>
        <v>42500000</v>
      </c>
      <c r="AI31" s="384">
        <f t="shared" si="4"/>
        <v>802293000</v>
      </c>
      <c r="AJ31" s="384">
        <f t="shared" si="4"/>
        <v>652037000</v>
      </c>
      <c r="AK31" s="384">
        <f t="shared" si="4"/>
        <v>734606000</v>
      </c>
      <c r="AL31" s="384">
        <f t="shared" si="4"/>
        <v>450053000</v>
      </c>
      <c r="AM31" s="384">
        <f t="shared" si="1"/>
        <v>221562000</v>
      </c>
      <c r="AN31" s="384">
        <f t="shared" si="1"/>
        <v>297519000</v>
      </c>
      <c r="AO31" s="384">
        <f t="shared" si="1"/>
        <v>445126000</v>
      </c>
      <c r="AP31" s="384">
        <f t="shared" si="1"/>
        <v>612062000</v>
      </c>
      <c r="AQ31" s="384">
        <f t="shared" si="1"/>
        <v>884979000</v>
      </c>
      <c r="AR31" s="384">
        <f t="shared" si="1"/>
        <v>1176124000</v>
      </c>
      <c r="AS31" s="384">
        <f t="shared" ref="AS31:AX31" si="5">AS4</f>
        <v>94079000</v>
      </c>
      <c r="AT31" s="384">
        <f t="shared" si="5"/>
        <v>265408000</v>
      </c>
      <c r="AU31" s="384">
        <f t="shared" si="5"/>
        <v>258506000</v>
      </c>
      <c r="AV31" s="384">
        <f t="shared" si="5"/>
        <v>469899000</v>
      </c>
      <c r="AW31" s="384">
        <f t="shared" si="5"/>
        <v>591413000</v>
      </c>
      <c r="AX31" s="384">
        <f t="shared" si="5"/>
        <v>976243000</v>
      </c>
      <c r="AY31" s="384">
        <f t="shared" si="1"/>
        <v>215830000</v>
      </c>
      <c r="AZ31" s="384">
        <f t="shared" si="1"/>
        <v>156880000</v>
      </c>
      <c r="BA31" s="384">
        <f t="shared" si="1"/>
        <v>262860000</v>
      </c>
      <c r="BB31" s="384">
        <f t="shared" si="1"/>
        <v>427810000</v>
      </c>
      <c r="BC31" s="384">
        <f t="shared" si="1"/>
        <v>612920000</v>
      </c>
      <c r="BD31" s="384">
        <f t="shared" si="1"/>
        <v>865580000</v>
      </c>
      <c r="BE31" s="384">
        <f t="shared" si="1"/>
        <v>77270000</v>
      </c>
      <c r="BF31" s="384">
        <f t="shared" si="1"/>
        <v>94930000</v>
      </c>
      <c r="BG31" s="384">
        <f t="shared" si="1"/>
        <v>165050000</v>
      </c>
      <c r="BH31" s="384">
        <f t="shared" si="1"/>
        <v>258660000.00000003</v>
      </c>
      <c r="BI31" s="384">
        <f t="shared" si="1"/>
        <v>304220000</v>
      </c>
      <c r="BJ31" s="384">
        <f t="shared" si="1"/>
        <v>396340000</v>
      </c>
      <c r="BK31" s="384">
        <f t="shared" si="1"/>
        <v>18227999.999999996</v>
      </c>
      <c r="BL31" s="384">
        <f t="shared" si="1"/>
        <v>68112000</v>
      </c>
      <c r="BM31" s="384">
        <f t="shared" si="1"/>
        <v>68399999.999999985</v>
      </c>
      <c r="BN31" s="384">
        <f t="shared" si="1"/>
        <v>48600000</v>
      </c>
      <c r="BO31" s="384">
        <f t="shared" si="1"/>
        <v>117750000</v>
      </c>
      <c r="BP31" s="384">
        <f t="shared" si="1"/>
        <v>299090000</v>
      </c>
      <c r="BQ31" s="384" t="e">
        <f t="shared" si="1"/>
        <v>#VALUE!</v>
      </c>
      <c r="BR31" s="384" t="e">
        <f t="shared" si="1"/>
        <v>#VALUE!</v>
      </c>
      <c r="BS31" s="384" t="e">
        <f t="shared" si="1"/>
        <v>#VALUE!</v>
      </c>
      <c r="BT31" s="384" t="e">
        <f t="shared" si="1"/>
        <v>#VALUE!</v>
      </c>
      <c r="BU31" s="384" t="e">
        <f t="shared" ref="BU31:CN31" si="6">BU4*1000000</f>
        <v>#VALUE!</v>
      </c>
      <c r="BV31" s="384" t="e">
        <f t="shared" si="6"/>
        <v>#VALUE!</v>
      </c>
      <c r="BW31" s="384">
        <f t="shared" si="6"/>
        <v>130830000.00000001</v>
      </c>
      <c r="BX31" s="384">
        <f t="shared" si="6"/>
        <v>160830000</v>
      </c>
      <c r="BY31" s="384">
        <f t="shared" si="6"/>
        <v>150650000</v>
      </c>
      <c r="BZ31" s="384">
        <f t="shared" si="6"/>
        <v>59990000</v>
      </c>
      <c r="CA31" s="384">
        <f t="shared" si="6"/>
        <v>62230000</v>
      </c>
      <c r="CB31" s="384">
        <f t="shared" si="6"/>
        <v>67570000</v>
      </c>
      <c r="CC31" s="384">
        <f t="shared" ref="CC31:CH31" si="7">CC4</f>
        <v>27113174.199999999</v>
      </c>
      <c r="CD31" s="384">
        <f t="shared" si="7"/>
        <v>46839920</v>
      </c>
      <c r="CE31" s="384">
        <f t="shared" si="7"/>
        <v>49934413</v>
      </c>
      <c r="CF31" s="384">
        <f t="shared" si="7"/>
        <v>30847020.440000001</v>
      </c>
      <c r="CG31" s="384">
        <f t="shared" si="7"/>
        <v>50203017.75</v>
      </c>
      <c r="CH31" s="384">
        <f t="shared" si="7"/>
        <v>65412051.210000001</v>
      </c>
      <c r="CI31" s="384">
        <v>0</v>
      </c>
      <c r="CJ31" s="384">
        <v>0</v>
      </c>
      <c r="CK31" s="384">
        <v>0</v>
      </c>
      <c r="CL31" s="384">
        <v>0</v>
      </c>
      <c r="CM31" s="384">
        <f t="shared" si="6"/>
        <v>70000000</v>
      </c>
      <c r="CN31" s="384">
        <f t="shared" si="6"/>
        <v>153000000</v>
      </c>
    </row>
    <row r="32" spans="3:92" x14ac:dyDescent="0.25">
      <c r="C32" s="384">
        <f>SUM(C31:H31)</f>
        <v>21051500000</v>
      </c>
      <c r="I32" s="384">
        <f>SUM(I31:N31)</f>
        <v>6139219000</v>
      </c>
      <c r="O32" s="384">
        <f>SUM(O31:T31)</f>
        <v>57807000000</v>
      </c>
      <c r="U32" s="384">
        <f>SUM(U31:Z31)</f>
        <v>11388216000</v>
      </c>
      <c r="AA32" s="384">
        <f>SUM(AA31:AF31)</f>
        <v>11705566000</v>
      </c>
      <c r="AG32" s="384">
        <f>SUM(AG31:AL31)</f>
        <v>2681489000</v>
      </c>
      <c r="AM32" s="384">
        <f>SUM(AM31:AR31)</f>
        <v>3637372000</v>
      </c>
      <c r="AS32" s="384">
        <f>SUM(AS31:AX31)</f>
        <v>2655548000</v>
      </c>
      <c r="AY32" s="384">
        <f>SUM(AY31:BD31)</f>
        <v>2541880000</v>
      </c>
      <c r="BE32" s="384">
        <f>SUM(BE31:BJ31)</f>
        <v>1296470000</v>
      </c>
      <c r="BK32" s="384">
        <f>SUM(BK31:BP31)</f>
        <v>620180000</v>
      </c>
      <c r="BW32" s="384">
        <f>SUM(BW31:CB31)</f>
        <v>632100000</v>
      </c>
      <c r="CC32" s="384">
        <f>SUM(CC31:CH31)</f>
        <v>270349596.60000002</v>
      </c>
      <c r="CI32" s="384">
        <f>SUM(CI31:CN31)</f>
        <v>223000000</v>
      </c>
    </row>
    <row r="38" spans="2:70" x14ac:dyDescent="0.25">
      <c r="B38" s="387" t="s">
        <v>285</v>
      </c>
      <c r="C38" s="387" t="s">
        <v>284</v>
      </c>
      <c r="D38" s="387">
        <v>2024</v>
      </c>
      <c r="E38" s="387">
        <v>2023</v>
      </c>
      <c r="F38" s="387">
        <v>2022</v>
      </c>
      <c r="G38" s="387">
        <v>2021</v>
      </c>
      <c r="H38" s="387">
        <v>2020</v>
      </c>
      <c r="I38" s="387">
        <v>2019</v>
      </c>
    </row>
    <row r="39" spans="2:70" x14ac:dyDescent="0.25">
      <c r="B39" s="385" t="s">
        <v>250</v>
      </c>
      <c r="C39" s="386">
        <f t="shared" ref="C39:C53" si="8">SUM(D39:I39)</f>
        <v>21051.499999999996</v>
      </c>
      <c r="D39" s="386">
        <v>7517.66</v>
      </c>
      <c r="E39" s="386">
        <v>4219.1899999999996</v>
      </c>
      <c r="F39" s="386">
        <v>3956</v>
      </c>
      <c r="G39" s="386">
        <v>2331.0700000000002</v>
      </c>
      <c r="H39" s="386">
        <v>1652.03</v>
      </c>
      <c r="I39" s="386">
        <v>1375.55</v>
      </c>
      <c r="J39" t="s">
        <v>286</v>
      </c>
    </row>
    <row r="40" spans="2:70" x14ac:dyDescent="0.25">
      <c r="B40" s="385" t="s">
        <v>251</v>
      </c>
      <c r="C40" s="386">
        <f t="shared" si="8"/>
        <v>6139.2190000000001</v>
      </c>
      <c r="D40" s="386">
        <v>3599.7860000000001</v>
      </c>
      <c r="E40" s="386">
        <v>709.26900000000001</v>
      </c>
      <c r="F40" s="386">
        <v>624.65599999999995</v>
      </c>
      <c r="G40" s="386">
        <v>551.93899999999996</v>
      </c>
      <c r="H40" s="386">
        <v>406.15100000000001</v>
      </c>
      <c r="I40" s="386">
        <v>247.41800000000001</v>
      </c>
      <c r="J40" t="s">
        <v>287</v>
      </c>
    </row>
    <row r="41" spans="2:70" x14ac:dyDescent="0.25">
      <c r="B41" s="385" t="s">
        <v>252</v>
      </c>
      <c r="C41" s="386">
        <f t="shared" si="8"/>
        <v>57807</v>
      </c>
      <c r="D41" s="386">
        <v>57807</v>
      </c>
      <c r="E41" s="386" t="s">
        <v>88</v>
      </c>
      <c r="F41" s="386" t="s">
        <v>88</v>
      </c>
      <c r="G41" s="386" t="s">
        <v>88</v>
      </c>
      <c r="H41" s="386" t="s">
        <v>88</v>
      </c>
      <c r="I41" s="386" t="s">
        <v>88</v>
      </c>
      <c r="J41" s="79" t="s">
        <v>288</v>
      </c>
    </row>
    <row r="42" spans="2:70" x14ac:dyDescent="0.25">
      <c r="B42" s="385" t="s">
        <v>253</v>
      </c>
      <c r="C42" s="386">
        <f t="shared" si="8"/>
        <v>11388216</v>
      </c>
      <c r="D42" s="386">
        <v>2515282</v>
      </c>
      <c r="E42" s="386">
        <v>1865216</v>
      </c>
      <c r="F42" s="386">
        <v>1636303</v>
      </c>
      <c r="G42" s="386">
        <v>1689445</v>
      </c>
      <c r="H42" s="386">
        <v>1384592</v>
      </c>
      <c r="I42" s="386">
        <v>2297378</v>
      </c>
      <c r="J42" s="79" t="s">
        <v>292</v>
      </c>
    </row>
    <row r="43" spans="2:70" x14ac:dyDescent="0.25">
      <c r="B43" s="385" t="s">
        <v>254</v>
      </c>
      <c r="C43" s="386">
        <f t="shared" si="8"/>
        <v>11705566000</v>
      </c>
      <c r="D43" s="386">
        <v>1871577000</v>
      </c>
      <c r="E43" s="386">
        <v>1988761000</v>
      </c>
      <c r="F43" s="386">
        <v>1833589000</v>
      </c>
      <c r="G43" s="386">
        <v>2307303000</v>
      </c>
      <c r="H43" s="386">
        <v>1674788000</v>
      </c>
      <c r="I43" s="386">
        <v>2029548000</v>
      </c>
      <c r="J43" s="79" t="s">
        <v>292</v>
      </c>
      <c r="BQ43">
        <v>70</v>
      </c>
      <c r="BR43">
        <v>153</v>
      </c>
    </row>
    <row r="44" spans="2:70" x14ac:dyDescent="0.25">
      <c r="B44" s="385" t="s">
        <v>255</v>
      </c>
      <c r="C44" s="386">
        <f t="shared" si="8"/>
        <v>2681489</v>
      </c>
      <c r="D44" s="386">
        <v>450053</v>
      </c>
      <c r="E44" s="386">
        <v>734606</v>
      </c>
      <c r="F44" s="386">
        <v>652037</v>
      </c>
      <c r="G44" s="386">
        <v>802293</v>
      </c>
      <c r="H44" s="386">
        <v>42500</v>
      </c>
      <c r="I44" s="386">
        <v>0</v>
      </c>
      <c r="J44" s="79" t="s">
        <v>290</v>
      </c>
    </row>
    <row r="45" spans="2:70" x14ac:dyDescent="0.25">
      <c r="B45" s="385" t="s">
        <v>256</v>
      </c>
      <c r="C45" s="386">
        <f t="shared" si="8"/>
        <v>3637.3720000000003</v>
      </c>
      <c r="D45" s="386">
        <v>1176.124</v>
      </c>
      <c r="E45" s="386">
        <v>884.97900000000004</v>
      </c>
      <c r="F45" s="386">
        <v>612.06200000000001</v>
      </c>
      <c r="G45" s="386">
        <v>445.12599999999998</v>
      </c>
      <c r="H45" s="386">
        <v>297.51900000000001</v>
      </c>
      <c r="I45" s="386">
        <v>221.56200000000001</v>
      </c>
      <c r="J45" s="79" t="s">
        <v>289</v>
      </c>
    </row>
    <row r="46" spans="2:70" x14ac:dyDescent="0.25">
      <c r="B46" s="385" t="s">
        <v>258</v>
      </c>
      <c r="C46" s="386">
        <f t="shared" si="8"/>
        <v>2655548000</v>
      </c>
      <c r="D46" s="386">
        <v>976243000</v>
      </c>
      <c r="E46" s="386">
        <v>591413000</v>
      </c>
      <c r="F46" s="386">
        <v>469899000</v>
      </c>
      <c r="G46" s="386">
        <v>258506000</v>
      </c>
      <c r="H46" s="386">
        <v>265408000</v>
      </c>
      <c r="I46" s="386">
        <v>94079000</v>
      </c>
      <c r="J46" s="79" t="s">
        <v>290</v>
      </c>
    </row>
    <row r="47" spans="2:70" x14ac:dyDescent="0.25">
      <c r="B47" s="385" t="s">
        <v>260</v>
      </c>
      <c r="C47" s="386">
        <f t="shared" si="8"/>
        <v>2541.88</v>
      </c>
      <c r="D47" s="386">
        <v>865.58</v>
      </c>
      <c r="E47" s="386">
        <v>612.91999999999996</v>
      </c>
      <c r="F47" s="386">
        <v>427.81</v>
      </c>
      <c r="G47" s="386">
        <v>262.86</v>
      </c>
      <c r="H47" s="386">
        <v>156.88</v>
      </c>
      <c r="I47" s="386">
        <v>215.83</v>
      </c>
      <c r="J47" s="79" t="s">
        <v>290</v>
      </c>
    </row>
    <row r="48" spans="2:70" x14ac:dyDescent="0.25">
      <c r="B48" s="385" t="s">
        <v>261</v>
      </c>
      <c r="C48" s="386">
        <f t="shared" si="8"/>
        <v>1296.47</v>
      </c>
      <c r="D48" s="386">
        <v>396.34</v>
      </c>
      <c r="E48" s="386">
        <v>304.22000000000003</v>
      </c>
      <c r="F48" s="386">
        <v>258.66000000000003</v>
      </c>
      <c r="G48" s="386">
        <v>165.05</v>
      </c>
      <c r="H48" s="386">
        <v>94.93</v>
      </c>
      <c r="I48" s="386">
        <v>77.27</v>
      </c>
      <c r="J48" s="79" t="s">
        <v>291</v>
      </c>
    </row>
    <row r="49" spans="2:10" x14ac:dyDescent="0.25">
      <c r="B49" s="385" t="s">
        <v>263</v>
      </c>
      <c r="C49" s="386">
        <f t="shared" si="8"/>
        <v>620.17999999999995</v>
      </c>
      <c r="D49" s="386">
        <v>299.08999999999997</v>
      </c>
      <c r="E49" s="386">
        <v>117.75</v>
      </c>
      <c r="F49" s="386">
        <v>48.6</v>
      </c>
      <c r="G49" s="386">
        <v>68.399999999999991</v>
      </c>
      <c r="H49" s="386">
        <v>68.111999999999995</v>
      </c>
      <c r="I49" s="386">
        <v>18.227999999999998</v>
      </c>
      <c r="J49" s="79" t="s">
        <v>293</v>
      </c>
    </row>
    <row r="50" spans="2:10" x14ac:dyDescent="0.25">
      <c r="B50" s="385" t="s">
        <v>262</v>
      </c>
      <c r="C50" s="386">
        <f t="shared" si="8"/>
        <v>0</v>
      </c>
      <c r="D50" s="386" t="s">
        <v>273</v>
      </c>
      <c r="E50" s="386" t="s">
        <v>273</v>
      </c>
      <c r="F50" s="386" t="s">
        <v>273</v>
      </c>
      <c r="G50" s="386" t="s">
        <v>273</v>
      </c>
      <c r="H50" s="386" t="s">
        <v>273</v>
      </c>
      <c r="I50" s="386" t="s">
        <v>273</v>
      </c>
      <c r="J50" s="79" t="s">
        <v>293</v>
      </c>
    </row>
    <row r="51" spans="2:10" x14ac:dyDescent="0.25">
      <c r="B51" s="385" t="s">
        <v>266</v>
      </c>
      <c r="C51" s="386">
        <f t="shared" si="8"/>
        <v>632.1</v>
      </c>
      <c r="D51" s="386">
        <v>67.569999999999993</v>
      </c>
      <c r="E51" s="386">
        <v>62.23</v>
      </c>
      <c r="F51" s="386">
        <v>59.99</v>
      </c>
      <c r="G51" s="386">
        <v>150.65</v>
      </c>
      <c r="H51" s="386">
        <v>160.83000000000001</v>
      </c>
      <c r="I51" s="386">
        <v>130.83000000000001</v>
      </c>
      <c r="J51" s="79" t="s">
        <v>293</v>
      </c>
    </row>
    <row r="52" spans="2:10" x14ac:dyDescent="0.25">
      <c r="B52" s="385" t="s">
        <v>264</v>
      </c>
      <c r="C52" s="386">
        <f t="shared" si="8"/>
        <v>270349596.60000002</v>
      </c>
      <c r="D52" s="386">
        <v>65412051.210000001</v>
      </c>
      <c r="E52" s="386">
        <v>50203017.75</v>
      </c>
      <c r="F52" s="386">
        <v>30847020.440000001</v>
      </c>
      <c r="G52" s="386">
        <v>49934413</v>
      </c>
      <c r="H52" s="386">
        <v>46839920</v>
      </c>
      <c r="I52" s="386">
        <v>27113174.199999999</v>
      </c>
      <c r="J52" s="79" t="s">
        <v>293</v>
      </c>
    </row>
    <row r="53" spans="2:10" x14ac:dyDescent="0.25">
      <c r="B53" s="385" t="s">
        <v>265</v>
      </c>
      <c r="C53" s="386">
        <f t="shared" si="8"/>
        <v>223</v>
      </c>
      <c r="D53" s="386">
        <v>153</v>
      </c>
      <c r="E53" s="386">
        <v>70</v>
      </c>
      <c r="F53" s="386" t="s">
        <v>272</v>
      </c>
      <c r="G53" s="386" t="s">
        <v>272</v>
      </c>
      <c r="H53" s="386" t="s">
        <v>272</v>
      </c>
      <c r="I53" s="386" t="s">
        <v>272</v>
      </c>
      <c r="J53" s="79" t="s">
        <v>293</v>
      </c>
    </row>
  </sheetData>
  <mergeCells count="18">
    <mergeCell ref="C2:H2"/>
    <mergeCell ref="I2:N2"/>
    <mergeCell ref="O2:T2"/>
    <mergeCell ref="U2:Z2"/>
    <mergeCell ref="AA2:AF2"/>
    <mergeCell ref="AG2:AL2"/>
    <mergeCell ref="CI2:CN2"/>
    <mergeCell ref="O6:T6"/>
    <mergeCell ref="O7:T7"/>
    <mergeCell ref="BE2:BJ2"/>
    <mergeCell ref="BE7:BJ7"/>
    <mergeCell ref="BW2:CB2"/>
    <mergeCell ref="CC2:CH2"/>
    <mergeCell ref="AY2:BD2"/>
    <mergeCell ref="BK2:BP2"/>
    <mergeCell ref="BQ2:BV2"/>
    <mergeCell ref="AM2:AR2"/>
    <mergeCell ref="AS2:AX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851B8-309E-48EF-82CF-9586838D292A}">
  <dimension ref="A1:H16"/>
  <sheetViews>
    <sheetView workbookViewId="0">
      <selection activeCell="E33" sqref="E33"/>
    </sheetView>
  </sheetViews>
  <sheetFormatPr defaultRowHeight="15" x14ac:dyDescent="0.25"/>
  <cols>
    <col min="1" max="1" width="7.7109375" customWidth="1"/>
    <col min="2" max="2" width="67.140625" customWidth="1"/>
    <col min="3" max="4" width="19.28515625" customWidth="1"/>
    <col min="5" max="5" width="29.140625" customWidth="1"/>
    <col min="6" max="6" width="24.42578125" customWidth="1"/>
    <col min="7" max="7" width="14.28515625" customWidth="1"/>
    <col min="8" max="8" width="24.42578125" customWidth="1"/>
  </cols>
  <sheetData>
    <row r="1" spans="1:8" s="1" customFormat="1" ht="15.75" thickBot="1" x14ac:dyDescent="0.3">
      <c r="A1" s="240" t="s">
        <v>0</v>
      </c>
      <c r="B1" s="241"/>
      <c r="C1" s="242" t="s">
        <v>1</v>
      </c>
      <c r="D1" s="242"/>
      <c r="E1" s="243"/>
      <c r="G1"/>
      <c r="H1"/>
    </row>
    <row r="2" spans="1:8" x14ac:dyDescent="0.25">
      <c r="A2" s="244" t="s">
        <v>2</v>
      </c>
      <c r="B2" s="245"/>
      <c r="C2" s="246" t="s">
        <v>50</v>
      </c>
      <c r="D2" s="246"/>
      <c r="E2" s="247"/>
    </row>
    <row r="3" spans="1:8" x14ac:dyDescent="0.25">
      <c r="A3" s="248" t="s">
        <v>3</v>
      </c>
      <c r="B3" s="249"/>
      <c r="C3" s="250">
        <v>7708196924</v>
      </c>
      <c r="D3" s="250"/>
      <c r="E3" s="251"/>
    </row>
    <row r="4" spans="1:8" x14ac:dyDescent="0.25">
      <c r="A4" s="248" t="s">
        <v>4</v>
      </c>
      <c r="B4" s="249"/>
      <c r="C4" s="250">
        <v>20</v>
      </c>
      <c r="D4" s="250"/>
      <c r="E4" s="251"/>
    </row>
    <row r="5" spans="1:8" ht="66.95" customHeight="1" x14ac:dyDescent="0.25">
      <c r="A5" s="248" t="s">
        <v>5</v>
      </c>
      <c r="B5" s="249"/>
      <c r="C5" s="250" t="s">
        <v>51</v>
      </c>
      <c r="D5" s="250"/>
      <c r="E5" s="251"/>
    </row>
    <row r="6" spans="1:8" x14ac:dyDescent="0.25">
      <c r="A6" s="252" t="s">
        <v>6</v>
      </c>
      <c r="B6" s="253"/>
      <c r="C6" s="250" t="s">
        <v>52</v>
      </c>
      <c r="D6" s="250"/>
      <c r="E6" s="251"/>
    </row>
    <row r="7" spans="1:8" ht="15.75" thickBot="1" x14ac:dyDescent="0.3">
      <c r="A7" s="258" t="s">
        <v>7</v>
      </c>
      <c r="B7" s="259"/>
      <c r="C7" s="260" t="s">
        <v>53</v>
      </c>
      <c r="D7" s="260"/>
      <c r="E7" s="261"/>
    </row>
    <row r="8" spans="1:8" ht="15.75" thickBot="1" x14ac:dyDescent="0.3">
      <c r="A8" s="224" t="s">
        <v>8</v>
      </c>
      <c r="B8" s="224"/>
      <c r="C8" s="224"/>
      <c r="D8" s="224"/>
      <c r="E8" s="224"/>
    </row>
    <row r="9" spans="1:8" ht="45.75" thickBot="1" x14ac:dyDescent="0.3">
      <c r="A9" s="7" t="s">
        <v>9</v>
      </c>
      <c r="B9" s="10" t="s">
        <v>10</v>
      </c>
      <c r="C9" s="11" t="s">
        <v>16</v>
      </c>
      <c r="D9" s="262" t="s">
        <v>23</v>
      </c>
      <c r="E9" s="263"/>
      <c r="F9" s="15" t="s">
        <v>20</v>
      </c>
    </row>
    <row r="10" spans="1:8" ht="20.25" customHeight="1" x14ac:dyDescent="0.25">
      <c r="A10" s="21">
        <v>1</v>
      </c>
      <c r="B10" s="6" t="s">
        <v>11</v>
      </c>
      <c r="C10" s="34" t="s">
        <v>34</v>
      </c>
      <c r="D10" s="264" t="s">
        <v>54</v>
      </c>
      <c r="E10" s="265"/>
      <c r="F10" s="16">
        <v>2015</v>
      </c>
      <c r="H10" s="35"/>
    </row>
    <row r="11" spans="1:8" ht="43.5" customHeight="1" x14ac:dyDescent="0.25">
      <c r="A11" s="22">
        <v>2</v>
      </c>
      <c r="B11" s="3" t="s">
        <v>12</v>
      </c>
      <c r="C11" s="23" t="s">
        <v>34</v>
      </c>
      <c r="D11" s="254" t="s">
        <v>55</v>
      </c>
      <c r="E11" s="255"/>
      <c r="F11" s="16" t="s">
        <v>21</v>
      </c>
      <c r="H11" s="36"/>
    </row>
    <row r="12" spans="1:8" ht="42" customHeight="1" x14ac:dyDescent="0.25">
      <c r="A12" s="22">
        <v>3</v>
      </c>
      <c r="B12" s="37" t="s">
        <v>18</v>
      </c>
      <c r="C12" s="23" t="s">
        <v>34</v>
      </c>
      <c r="D12" s="254" t="s">
        <v>56</v>
      </c>
      <c r="E12" s="255"/>
      <c r="F12" s="16" t="s">
        <v>21</v>
      </c>
      <c r="H12" s="36"/>
    </row>
    <row r="13" spans="1:8" ht="25.5" x14ac:dyDescent="0.25">
      <c r="A13" s="22">
        <v>4</v>
      </c>
      <c r="B13" s="3" t="s">
        <v>19</v>
      </c>
      <c r="C13" s="23" t="s">
        <v>34</v>
      </c>
      <c r="D13" s="254" t="s">
        <v>13</v>
      </c>
      <c r="E13" s="255"/>
      <c r="F13" s="16" t="s">
        <v>21</v>
      </c>
      <c r="H13" s="36"/>
    </row>
    <row r="14" spans="1:8" x14ac:dyDescent="0.25">
      <c r="A14" s="22">
        <v>5</v>
      </c>
      <c r="B14" s="4" t="s">
        <v>14</v>
      </c>
      <c r="C14" s="23" t="s">
        <v>34</v>
      </c>
      <c r="D14" s="254" t="s">
        <v>57</v>
      </c>
      <c r="E14" s="255"/>
      <c r="F14" s="16" t="s">
        <v>21</v>
      </c>
      <c r="H14" s="35"/>
    </row>
    <row r="15" spans="1:8" ht="15.75" thickBot="1" x14ac:dyDescent="0.3">
      <c r="A15" s="24">
        <v>6</v>
      </c>
      <c r="B15" s="25" t="s">
        <v>15</v>
      </c>
      <c r="C15" s="26" t="s">
        <v>34</v>
      </c>
      <c r="D15" s="256" t="s">
        <v>58</v>
      </c>
      <c r="E15" s="257"/>
      <c r="F15" s="17" t="s">
        <v>21</v>
      </c>
    </row>
    <row r="16" spans="1:8" x14ac:dyDescent="0.25">
      <c r="F16" s="14"/>
    </row>
  </sheetData>
  <mergeCells count="22">
    <mergeCell ref="D12:E12"/>
    <mergeCell ref="D13:E13"/>
    <mergeCell ref="D14:E14"/>
    <mergeCell ref="D15:E15"/>
    <mergeCell ref="A7:B7"/>
    <mergeCell ref="C7:E7"/>
    <mergeCell ref="A8:E8"/>
    <mergeCell ref="D9:E9"/>
    <mergeCell ref="D10:E10"/>
    <mergeCell ref="D11:E11"/>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0:C15" xr:uid="{FC40EF43-D67A-48E3-91F1-151C958722AD}">
      <formula1>"ДА,НЕТ"</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08A3-C523-441C-898E-4419D1346F11}">
  <dimension ref="A1:I13"/>
  <sheetViews>
    <sheetView workbookViewId="0">
      <selection activeCell="C10" sqref="C10:H10"/>
    </sheetView>
  </sheetViews>
  <sheetFormatPr defaultRowHeight="15" x14ac:dyDescent="0.25"/>
  <cols>
    <col min="1" max="1" width="3.7109375" customWidth="1"/>
    <col min="2" max="2" width="66.5703125" customWidth="1"/>
    <col min="3" max="8" width="17" customWidth="1"/>
    <col min="9" max="9" width="55.7109375" style="1" customWidth="1"/>
  </cols>
  <sheetData>
    <row r="1" spans="1:9" s="1" customFormat="1" ht="15.75" thickBot="1" x14ac:dyDescent="0.3">
      <c r="A1" s="240" t="s">
        <v>0</v>
      </c>
      <c r="B1" s="241"/>
      <c r="C1" s="266" t="s">
        <v>1</v>
      </c>
      <c r="D1" s="267"/>
      <c r="E1" s="267"/>
      <c r="F1" s="267"/>
      <c r="G1" s="267"/>
      <c r="H1" s="268"/>
    </row>
    <row r="2" spans="1:9" ht="14.45" customHeight="1" x14ac:dyDescent="0.25">
      <c r="A2" s="244" t="s">
        <v>2</v>
      </c>
      <c r="B2" s="269"/>
      <c r="C2" s="270" t="s">
        <v>50</v>
      </c>
      <c r="D2" s="271"/>
      <c r="E2" s="271"/>
      <c r="F2" s="272"/>
      <c r="G2" s="272"/>
      <c r="H2" s="273"/>
    </row>
    <row r="3" spans="1:9" x14ac:dyDescent="0.25">
      <c r="A3" s="248" t="s">
        <v>3</v>
      </c>
      <c r="B3" s="249"/>
      <c r="C3" s="274">
        <v>7708196924</v>
      </c>
      <c r="D3" s="275"/>
      <c r="E3" s="275"/>
      <c r="F3" s="276"/>
      <c r="G3" s="276"/>
      <c r="H3" s="277"/>
    </row>
    <row r="4" spans="1:9" x14ac:dyDescent="0.25">
      <c r="A4" s="248" t="s">
        <v>4</v>
      </c>
      <c r="B4" s="249"/>
      <c r="C4" s="274">
        <v>20</v>
      </c>
      <c r="D4" s="275"/>
      <c r="E4" s="275"/>
      <c r="F4" s="276"/>
      <c r="G4" s="276"/>
      <c r="H4" s="277"/>
    </row>
    <row r="5" spans="1:9" ht="35.1" customHeight="1" x14ac:dyDescent="0.25">
      <c r="A5" s="248" t="s">
        <v>5</v>
      </c>
      <c r="B5" s="249"/>
      <c r="C5" s="274" t="s">
        <v>59</v>
      </c>
      <c r="D5" s="275"/>
      <c r="E5" s="275"/>
      <c r="F5" s="276"/>
      <c r="G5" s="276"/>
      <c r="H5" s="277"/>
    </row>
    <row r="6" spans="1:9" ht="14.45" customHeight="1" x14ac:dyDescent="0.25">
      <c r="A6" s="252" t="s">
        <v>6</v>
      </c>
      <c r="B6" s="253"/>
      <c r="C6" s="274" t="s">
        <v>52</v>
      </c>
      <c r="D6" s="275"/>
      <c r="E6" s="275"/>
      <c r="F6" s="276"/>
      <c r="G6" s="276"/>
      <c r="H6" s="277"/>
    </row>
    <row r="7" spans="1:9" ht="15.75" thickBot="1" x14ac:dyDescent="0.3">
      <c r="A7" s="258" t="s">
        <v>7</v>
      </c>
      <c r="B7" s="259"/>
      <c r="C7" s="278" t="s">
        <v>53</v>
      </c>
      <c r="D7" s="279"/>
      <c r="E7" s="279"/>
      <c r="F7" s="280"/>
      <c r="G7" s="280"/>
      <c r="H7" s="281"/>
    </row>
    <row r="8" spans="1:9" ht="15.75" thickBot="1" x14ac:dyDescent="0.3">
      <c r="A8" s="282" t="s">
        <v>8</v>
      </c>
      <c r="B8" s="282"/>
      <c r="C8" s="282"/>
    </row>
    <row r="9" spans="1:9" ht="15.75" thickBot="1" x14ac:dyDescent="0.3">
      <c r="A9" s="7" t="s">
        <v>9</v>
      </c>
      <c r="B9" s="10" t="s">
        <v>10</v>
      </c>
      <c r="C9" s="13">
        <v>2019</v>
      </c>
      <c r="D9" s="13">
        <v>2020</v>
      </c>
      <c r="E9" s="13">
        <v>2021</v>
      </c>
      <c r="F9" s="13">
        <v>2022</v>
      </c>
      <c r="G9" s="13">
        <v>2023</v>
      </c>
      <c r="H9" s="13">
        <v>2024</v>
      </c>
      <c r="I9" s="15" t="s">
        <v>20</v>
      </c>
    </row>
    <row r="10" spans="1:9" ht="25.5" x14ac:dyDescent="0.25">
      <c r="A10" s="5">
        <v>1</v>
      </c>
      <c r="B10" s="27" t="s">
        <v>24</v>
      </c>
      <c r="C10" s="38">
        <v>1375.55</v>
      </c>
      <c r="D10" s="38">
        <v>1652.03</v>
      </c>
      <c r="E10" s="38">
        <v>2331.0700000000002</v>
      </c>
      <c r="F10" s="38">
        <v>3956</v>
      </c>
      <c r="G10" s="38">
        <v>4219.1899999999996</v>
      </c>
      <c r="H10" s="38">
        <v>7517.66</v>
      </c>
      <c r="I10" s="18">
        <v>545.25</v>
      </c>
    </row>
    <row r="11" spans="1:9" ht="25.5" x14ac:dyDescent="0.25">
      <c r="A11" s="2">
        <v>2</v>
      </c>
      <c r="B11" s="27" t="s">
        <v>25</v>
      </c>
      <c r="C11" s="38">
        <v>1655.3</v>
      </c>
      <c r="D11" s="38">
        <v>1884.69</v>
      </c>
      <c r="E11" s="38">
        <v>2561.34</v>
      </c>
      <c r="F11" s="38">
        <v>4235.1499999999996</v>
      </c>
      <c r="G11" s="38">
        <v>4647.93</v>
      </c>
      <c r="H11" s="38">
        <v>7884.32</v>
      </c>
      <c r="I11" s="19">
        <v>5647.1</v>
      </c>
    </row>
    <row r="12" spans="1:9" ht="39" thickBot="1" x14ac:dyDescent="0.3">
      <c r="A12" s="2">
        <v>3</v>
      </c>
      <c r="B12" s="28" t="s">
        <v>26</v>
      </c>
      <c r="C12" s="38">
        <v>397.12</v>
      </c>
      <c r="D12" s="39" t="s">
        <v>60</v>
      </c>
      <c r="E12" s="39" t="s">
        <v>61</v>
      </c>
      <c r="F12" s="39" t="s">
        <v>62</v>
      </c>
      <c r="G12" s="39" t="s">
        <v>63</v>
      </c>
      <c r="H12" s="39" t="s">
        <v>64</v>
      </c>
      <c r="I12" s="18" t="s">
        <v>22</v>
      </c>
    </row>
    <row r="13" spans="1:9" ht="90.75" thickBot="1" x14ac:dyDescent="0.3">
      <c r="A13" s="2">
        <v>5</v>
      </c>
      <c r="B13" s="28" t="s">
        <v>28</v>
      </c>
      <c r="C13" s="38" t="s">
        <v>65</v>
      </c>
      <c r="D13" s="38" t="s">
        <v>65</v>
      </c>
      <c r="E13" s="38" t="s">
        <v>65</v>
      </c>
      <c r="F13" s="38" t="s">
        <v>65</v>
      </c>
      <c r="G13" s="38" t="s">
        <v>65</v>
      </c>
      <c r="H13" s="38" t="s">
        <v>65</v>
      </c>
      <c r="I13" s="20" t="s">
        <v>27</v>
      </c>
    </row>
  </sheetData>
  <mergeCells count="15">
    <mergeCell ref="A7:B7"/>
    <mergeCell ref="C7:H7"/>
    <mergeCell ref="A8:C8"/>
    <mergeCell ref="A4:B4"/>
    <mergeCell ref="C4:H4"/>
    <mergeCell ref="A5:B5"/>
    <mergeCell ref="C5:H5"/>
    <mergeCell ref="A6:B6"/>
    <mergeCell ref="C6:H6"/>
    <mergeCell ref="A1:B1"/>
    <mergeCell ref="C1:H1"/>
    <mergeCell ref="A2:B2"/>
    <mergeCell ref="C2:H2"/>
    <mergeCell ref="A3:B3"/>
    <mergeCell ref="C3:H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05B8-72B8-4302-BE55-00A126D39857}">
  <dimension ref="A1:G15"/>
  <sheetViews>
    <sheetView workbookViewId="0">
      <selection activeCell="E33" sqref="E33"/>
    </sheetView>
  </sheetViews>
  <sheetFormatPr defaultRowHeight="15" x14ac:dyDescent="0.25"/>
  <cols>
    <col min="1" max="1" width="7.7109375" customWidth="1"/>
    <col min="2" max="2" width="67.140625" customWidth="1"/>
    <col min="3" max="4" width="19.28515625" customWidth="1"/>
    <col min="5" max="5" width="29.140625" customWidth="1"/>
    <col min="6" max="6" width="14.28515625" customWidth="1"/>
    <col min="7" max="7" width="24.42578125" customWidth="1"/>
  </cols>
  <sheetData>
    <row r="1" spans="1:7" s="1" customFormat="1" ht="15.75" thickBot="1" x14ac:dyDescent="0.3">
      <c r="A1" s="240" t="s">
        <v>0</v>
      </c>
      <c r="B1" s="241"/>
      <c r="C1" s="242" t="s">
        <v>1</v>
      </c>
      <c r="D1" s="242"/>
      <c r="E1" s="243"/>
      <c r="F1"/>
      <c r="G1"/>
    </row>
    <row r="2" spans="1:7" x14ac:dyDescent="0.25">
      <c r="A2" s="244" t="s">
        <v>2</v>
      </c>
      <c r="B2" s="245"/>
      <c r="C2" s="246" t="s">
        <v>66</v>
      </c>
      <c r="D2" s="246"/>
      <c r="E2" s="247"/>
    </row>
    <row r="3" spans="1:7" x14ac:dyDescent="0.25">
      <c r="A3" s="248" t="s">
        <v>3</v>
      </c>
      <c r="B3" s="249"/>
      <c r="C3" s="250">
        <v>7734663357</v>
      </c>
      <c r="D3" s="250"/>
      <c r="E3" s="251"/>
    </row>
    <row r="4" spans="1:7" x14ac:dyDescent="0.25">
      <c r="A4" s="248" t="s">
        <v>4</v>
      </c>
      <c r="B4" s="249"/>
      <c r="C4" s="250" t="s">
        <v>67</v>
      </c>
      <c r="D4" s="250"/>
      <c r="E4" s="251"/>
    </row>
    <row r="5" spans="1:7" x14ac:dyDescent="0.25">
      <c r="A5" s="248" t="s">
        <v>5</v>
      </c>
      <c r="B5" s="249"/>
      <c r="C5" s="250" t="s">
        <v>68</v>
      </c>
      <c r="D5" s="250"/>
      <c r="E5" s="251"/>
    </row>
    <row r="6" spans="1:7" x14ac:dyDescent="0.25">
      <c r="A6" s="252" t="s">
        <v>6</v>
      </c>
      <c r="B6" s="253"/>
      <c r="C6" s="250" t="s">
        <v>69</v>
      </c>
      <c r="D6" s="250"/>
      <c r="E6" s="251"/>
    </row>
    <row r="7" spans="1:7" ht="15.75" thickBot="1" x14ac:dyDescent="0.3">
      <c r="A7" s="258" t="s">
        <v>7</v>
      </c>
      <c r="B7" s="259"/>
      <c r="C7" s="283" t="s">
        <v>70</v>
      </c>
      <c r="D7" s="260"/>
      <c r="E7" s="261"/>
    </row>
    <row r="8" spans="1:7" ht="15.75" thickBot="1" x14ac:dyDescent="0.3">
      <c r="A8" s="224" t="s">
        <v>8</v>
      </c>
      <c r="B8" s="224"/>
      <c r="C8" s="224"/>
      <c r="D8" s="224"/>
      <c r="E8" s="224"/>
    </row>
    <row r="9" spans="1:7" ht="45.75" thickBot="1" x14ac:dyDescent="0.3">
      <c r="A9" s="7" t="s">
        <v>9</v>
      </c>
      <c r="B9" s="10" t="s">
        <v>10</v>
      </c>
      <c r="C9" s="11" t="s">
        <v>16</v>
      </c>
      <c r="D9" s="262" t="s">
        <v>23</v>
      </c>
      <c r="E9" s="263"/>
    </row>
    <row r="10" spans="1:7" x14ac:dyDescent="0.25">
      <c r="A10" s="21">
        <v>1</v>
      </c>
      <c r="B10" s="6" t="s">
        <v>11</v>
      </c>
      <c r="C10" s="34" t="s">
        <v>34</v>
      </c>
      <c r="D10" s="264" t="s">
        <v>71</v>
      </c>
      <c r="E10" s="265"/>
      <c r="G10" s="35"/>
    </row>
    <row r="11" spans="1:7" ht="25.5" x14ac:dyDescent="0.25">
      <c r="A11" s="22">
        <v>2</v>
      </c>
      <c r="B11" s="3" t="s">
        <v>12</v>
      </c>
      <c r="C11" s="23" t="s">
        <v>34</v>
      </c>
      <c r="D11" s="254" t="s">
        <v>72</v>
      </c>
      <c r="E11" s="255"/>
      <c r="G11" s="36"/>
    </row>
    <row r="12" spans="1:7" x14ac:dyDescent="0.25">
      <c r="A12" s="22">
        <v>3</v>
      </c>
      <c r="B12" s="3" t="s">
        <v>18</v>
      </c>
      <c r="C12" s="23" t="s">
        <v>34</v>
      </c>
      <c r="D12" s="254" t="s">
        <v>73</v>
      </c>
      <c r="E12" s="255"/>
      <c r="G12" s="36"/>
    </row>
    <row r="13" spans="1:7" ht="25.5" x14ac:dyDescent="0.25">
      <c r="A13" s="22">
        <v>4</v>
      </c>
      <c r="B13" s="3" t="s">
        <v>19</v>
      </c>
      <c r="C13" s="23" t="s">
        <v>34</v>
      </c>
      <c r="D13" s="254" t="s">
        <v>74</v>
      </c>
      <c r="E13" s="255"/>
      <c r="G13" s="36"/>
    </row>
    <row r="14" spans="1:7" x14ac:dyDescent="0.25">
      <c r="A14" s="22">
        <v>5</v>
      </c>
      <c r="B14" s="4" t="s">
        <v>14</v>
      </c>
      <c r="C14" s="23" t="s">
        <v>34</v>
      </c>
      <c r="D14" s="254" t="s">
        <v>75</v>
      </c>
      <c r="E14" s="255"/>
      <c r="G14" s="35"/>
    </row>
    <row r="15" spans="1:7" ht="100.5" customHeight="1" thickBot="1" x14ac:dyDescent="0.3">
      <c r="A15" s="24">
        <v>6</v>
      </c>
      <c r="B15" s="25" t="s">
        <v>15</v>
      </c>
      <c r="C15" s="26" t="s">
        <v>36</v>
      </c>
      <c r="D15" s="256" t="s">
        <v>76</v>
      </c>
      <c r="E15" s="257"/>
    </row>
  </sheetData>
  <mergeCells count="22">
    <mergeCell ref="D12:E12"/>
    <mergeCell ref="D13:E13"/>
    <mergeCell ref="D14:E14"/>
    <mergeCell ref="D15:E15"/>
    <mergeCell ref="A7:B7"/>
    <mergeCell ref="C7:E7"/>
    <mergeCell ref="A8:E8"/>
    <mergeCell ref="D9:E9"/>
    <mergeCell ref="D10:E10"/>
    <mergeCell ref="D11:E11"/>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0:C15" xr:uid="{ACF9C314-F657-4ED8-9691-6174F0B681D7}">
      <formula1>"ДА,НЕТ"</formula1>
    </dataValidation>
  </dataValidations>
  <hyperlinks>
    <hyperlink ref="C7" r:id="rId1" xr:uid="{2B83448E-C249-4B40-A985-22D91976E0E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5FDE-EA08-46CC-95C2-EDCE7E4EE0F7}">
  <dimension ref="A1:H13"/>
  <sheetViews>
    <sheetView workbookViewId="0">
      <selection sqref="A1:XFD1048576"/>
    </sheetView>
  </sheetViews>
  <sheetFormatPr defaultRowHeight="15" x14ac:dyDescent="0.25"/>
  <cols>
    <col min="1" max="1" width="3.7109375" customWidth="1"/>
    <col min="2" max="2" width="66.5703125" customWidth="1"/>
    <col min="3" max="3" width="22.42578125" customWidth="1"/>
    <col min="4" max="4" width="23" customWidth="1"/>
    <col min="5" max="5" width="21.42578125" customWidth="1"/>
    <col min="6" max="6" width="17" customWidth="1"/>
    <col min="7" max="7" width="26.7109375" customWidth="1"/>
    <col min="8" max="8" width="17" customWidth="1"/>
  </cols>
  <sheetData>
    <row r="1" spans="1:8" s="1" customFormat="1" ht="15.75" thickBot="1" x14ac:dyDescent="0.3">
      <c r="A1" s="240" t="s">
        <v>0</v>
      </c>
      <c r="B1" s="241"/>
      <c r="C1" s="266" t="s">
        <v>1</v>
      </c>
      <c r="D1" s="267"/>
      <c r="E1" s="267"/>
      <c r="F1" s="267"/>
      <c r="G1" s="267"/>
      <c r="H1" s="268"/>
    </row>
    <row r="2" spans="1:8" x14ac:dyDescent="0.25">
      <c r="A2" s="244" t="s">
        <v>2</v>
      </c>
      <c r="B2" s="269"/>
      <c r="C2" s="250" t="s">
        <v>66</v>
      </c>
      <c r="D2" s="250"/>
      <c r="E2" s="250"/>
      <c r="F2" s="250"/>
      <c r="G2" s="250"/>
      <c r="H2" s="251"/>
    </row>
    <row r="3" spans="1:8" x14ac:dyDescent="0.25">
      <c r="A3" s="248" t="s">
        <v>3</v>
      </c>
      <c r="B3" s="249"/>
      <c r="C3" s="250">
        <v>7734663357</v>
      </c>
      <c r="D3" s="250"/>
      <c r="E3" s="250"/>
      <c r="F3" s="250"/>
      <c r="G3" s="250"/>
      <c r="H3" s="251"/>
    </row>
    <row r="4" spans="1:8" x14ac:dyDescent="0.25">
      <c r="A4" s="248" t="s">
        <v>4</v>
      </c>
      <c r="B4" s="249"/>
      <c r="C4" s="250" t="s">
        <v>67</v>
      </c>
      <c r="D4" s="250"/>
      <c r="E4" s="250"/>
      <c r="F4" s="250"/>
      <c r="G4" s="250"/>
      <c r="H4" s="251"/>
    </row>
    <row r="5" spans="1:8" x14ac:dyDescent="0.25">
      <c r="A5" s="248" t="s">
        <v>5</v>
      </c>
      <c r="B5" s="249"/>
      <c r="C5" s="250" t="s">
        <v>68</v>
      </c>
      <c r="D5" s="250"/>
      <c r="E5" s="250"/>
      <c r="F5" s="250"/>
      <c r="G5" s="250"/>
      <c r="H5" s="251"/>
    </row>
    <row r="6" spans="1:8" x14ac:dyDescent="0.25">
      <c r="A6" s="252" t="s">
        <v>6</v>
      </c>
      <c r="B6" s="253"/>
      <c r="C6" s="250" t="s">
        <v>77</v>
      </c>
      <c r="D6" s="250"/>
      <c r="E6" s="250"/>
      <c r="F6" s="250"/>
      <c r="G6" s="250"/>
      <c r="H6" s="251"/>
    </row>
    <row r="7" spans="1:8" ht="15.75" thickBot="1" x14ac:dyDescent="0.3">
      <c r="A7" s="258" t="s">
        <v>7</v>
      </c>
      <c r="B7" s="259"/>
      <c r="C7" s="283" t="s">
        <v>70</v>
      </c>
      <c r="D7" s="260"/>
      <c r="E7" s="260"/>
      <c r="F7" s="260"/>
      <c r="G7" s="260"/>
      <c r="H7" s="261"/>
    </row>
    <row r="8" spans="1:8" ht="15.75" thickBot="1" x14ac:dyDescent="0.3">
      <c r="A8" s="282" t="s">
        <v>8</v>
      </c>
      <c r="B8" s="282"/>
      <c r="C8" s="282"/>
    </row>
    <row r="9" spans="1:8" ht="15.75" thickBot="1" x14ac:dyDescent="0.3">
      <c r="A9" s="7" t="s">
        <v>9</v>
      </c>
      <c r="B9" s="10" t="s">
        <v>10</v>
      </c>
      <c r="C9" s="13">
        <v>2019</v>
      </c>
      <c r="D9" s="13">
        <v>2020</v>
      </c>
      <c r="E9" s="13">
        <v>2021</v>
      </c>
      <c r="F9" s="13">
        <v>2022</v>
      </c>
      <c r="G9" s="13">
        <v>2023</v>
      </c>
      <c r="H9" s="13">
        <v>2024</v>
      </c>
    </row>
    <row r="10" spans="1:8" ht="25.5" x14ac:dyDescent="0.25">
      <c r="A10" s="5">
        <v>1</v>
      </c>
      <c r="B10" s="27" t="s">
        <v>24</v>
      </c>
      <c r="C10" s="12">
        <v>247.41800000000001</v>
      </c>
      <c r="D10" s="12">
        <v>406.15100000000001</v>
      </c>
      <c r="E10" s="12">
        <v>551.93899999999996</v>
      </c>
      <c r="F10" s="12">
        <v>624.65599999999995</v>
      </c>
      <c r="G10" s="12">
        <v>709.26900000000001</v>
      </c>
      <c r="H10" s="12">
        <v>3599.7860000000001</v>
      </c>
    </row>
    <row r="11" spans="1:8" ht="25.5" x14ac:dyDescent="0.25">
      <c r="A11" s="2">
        <v>2</v>
      </c>
      <c r="B11" s="27" t="s">
        <v>25</v>
      </c>
      <c r="C11" s="12"/>
      <c r="D11" s="12"/>
      <c r="E11" s="12"/>
      <c r="F11" s="12"/>
      <c r="G11" s="12"/>
      <c r="H11" s="12"/>
    </row>
    <row r="12" spans="1:8" ht="38.25" x14ac:dyDescent="0.25">
      <c r="A12" s="2">
        <v>3</v>
      </c>
      <c r="B12" s="28" t="s">
        <v>26</v>
      </c>
      <c r="C12" s="12">
        <v>247.41800000000001</v>
      </c>
      <c r="D12" s="12">
        <v>406.15100000000001</v>
      </c>
      <c r="E12" s="12">
        <v>551.93899999999996</v>
      </c>
      <c r="F12" s="12">
        <v>624.65599999999995</v>
      </c>
      <c r="G12" s="12">
        <v>570.41</v>
      </c>
      <c r="H12" s="12">
        <v>956.04</v>
      </c>
    </row>
    <row r="13" spans="1:8" ht="89.25" x14ac:dyDescent="0.25">
      <c r="A13" s="2">
        <v>5</v>
      </c>
      <c r="B13" s="28" t="s">
        <v>28</v>
      </c>
      <c r="C13" s="12" t="s">
        <v>78</v>
      </c>
      <c r="D13" s="12" t="s">
        <v>79</v>
      </c>
      <c r="E13" s="12" t="s">
        <v>80</v>
      </c>
      <c r="F13" s="12" t="s">
        <v>81</v>
      </c>
      <c r="G13" s="12" t="s">
        <v>82</v>
      </c>
      <c r="H13" s="12" t="s">
        <v>83</v>
      </c>
    </row>
  </sheetData>
  <mergeCells count="15">
    <mergeCell ref="A7:B7"/>
    <mergeCell ref="C7:H7"/>
    <mergeCell ref="A8:C8"/>
    <mergeCell ref="A4:B4"/>
    <mergeCell ref="C4:H4"/>
    <mergeCell ref="A5:B5"/>
    <mergeCell ref="C5:H5"/>
    <mergeCell ref="A6:B6"/>
    <mergeCell ref="C6:H6"/>
    <mergeCell ref="A1:B1"/>
    <mergeCell ref="C1:H1"/>
    <mergeCell ref="A2:B2"/>
    <mergeCell ref="C2:H2"/>
    <mergeCell ref="A3:B3"/>
    <mergeCell ref="C3:H3"/>
  </mergeCells>
  <hyperlinks>
    <hyperlink ref="C7" r:id="rId1" xr:uid="{DEB700E2-1866-48E9-95AA-215A9FA16CD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26C7-4FA3-49CB-B8BB-A5DCDD4470FB}">
  <dimension ref="A1:H16"/>
  <sheetViews>
    <sheetView workbookViewId="0">
      <selection activeCell="E33" sqref="E33"/>
    </sheetView>
  </sheetViews>
  <sheetFormatPr defaultRowHeight="15" x14ac:dyDescent="0.25"/>
  <cols>
    <col min="1" max="1" width="7.7109375" customWidth="1"/>
    <col min="2" max="2" width="67.140625" customWidth="1"/>
    <col min="3" max="4" width="19.28515625" customWidth="1"/>
    <col min="5" max="5" width="29.140625" customWidth="1"/>
    <col min="6" max="6" width="24.42578125" customWidth="1"/>
    <col min="7" max="7" width="14.28515625" customWidth="1"/>
    <col min="8" max="8" width="24.42578125" customWidth="1"/>
  </cols>
  <sheetData>
    <row r="1" spans="1:8" s="1" customFormat="1" ht="15.75" thickBot="1" x14ac:dyDescent="0.3">
      <c r="A1" s="240" t="s">
        <v>0</v>
      </c>
      <c r="B1" s="241"/>
      <c r="C1" s="242" t="s">
        <v>1</v>
      </c>
      <c r="D1" s="242"/>
      <c r="E1" s="243"/>
      <c r="G1"/>
      <c r="H1"/>
    </row>
    <row r="2" spans="1:8" x14ac:dyDescent="0.25">
      <c r="A2" s="244" t="s">
        <v>2</v>
      </c>
      <c r="B2" s="245"/>
      <c r="C2" s="246" t="s">
        <v>84</v>
      </c>
      <c r="D2" s="246"/>
      <c r="E2" s="247"/>
    </row>
    <row r="3" spans="1:8" x14ac:dyDescent="0.25">
      <c r="A3" s="248" t="s">
        <v>3</v>
      </c>
      <c r="B3" s="249"/>
      <c r="C3" s="250">
        <v>9703145119</v>
      </c>
      <c r="D3" s="250"/>
      <c r="E3" s="251"/>
    </row>
    <row r="4" spans="1:8" x14ac:dyDescent="0.25">
      <c r="A4" s="248" t="s">
        <v>4</v>
      </c>
      <c r="B4" s="249"/>
      <c r="C4" s="250" t="s">
        <v>85</v>
      </c>
      <c r="D4" s="250"/>
      <c r="E4" s="251"/>
    </row>
    <row r="5" spans="1:8" x14ac:dyDescent="0.25">
      <c r="A5" s="248" t="s">
        <v>5</v>
      </c>
      <c r="B5" s="249"/>
      <c r="C5" s="250" t="s">
        <v>86</v>
      </c>
      <c r="D5" s="250"/>
      <c r="E5" s="251"/>
    </row>
    <row r="6" spans="1:8" x14ac:dyDescent="0.25">
      <c r="A6" s="252" t="s">
        <v>6</v>
      </c>
      <c r="B6" s="253"/>
      <c r="C6" s="250">
        <v>89165844345</v>
      </c>
      <c r="D6" s="250"/>
      <c r="E6" s="251"/>
    </row>
    <row r="7" spans="1:8" ht="15.75" thickBot="1" x14ac:dyDescent="0.3">
      <c r="A7" s="258" t="s">
        <v>7</v>
      </c>
      <c r="B7" s="259"/>
      <c r="C7" s="284" t="s">
        <v>87</v>
      </c>
      <c r="D7" s="260"/>
      <c r="E7" s="261"/>
    </row>
    <row r="8" spans="1:8" ht="15.75" thickBot="1" x14ac:dyDescent="0.3">
      <c r="A8" s="224" t="s">
        <v>8</v>
      </c>
      <c r="B8" s="224"/>
      <c r="C8" s="224"/>
      <c r="D8" s="224"/>
      <c r="E8" s="224"/>
    </row>
    <row r="9" spans="1:8" ht="45.75" thickBot="1" x14ac:dyDescent="0.3">
      <c r="A9" s="7" t="s">
        <v>9</v>
      </c>
      <c r="B9" s="10" t="s">
        <v>10</v>
      </c>
      <c r="C9" s="11" t="s">
        <v>16</v>
      </c>
      <c r="D9" s="262" t="s">
        <v>23</v>
      </c>
      <c r="E9" s="263"/>
      <c r="F9" s="15" t="s">
        <v>20</v>
      </c>
    </row>
    <row r="10" spans="1:8" x14ac:dyDescent="0.25">
      <c r="A10" s="21">
        <v>1</v>
      </c>
      <c r="B10" s="6" t="s">
        <v>11</v>
      </c>
      <c r="C10" s="34" t="s">
        <v>34</v>
      </c>
      <c r="D10" s="285">
        <v>45056</v>
      </c>
      <c r="E10" s="286"/>
      <c r="F10" s="16">
        <v>2015</v>
      </c>
      <c r="H10" s="35"/>
    </row>
    <row r="11" spans="1:8" ht="25.5" x14ac:dyDescent="0.25">
      <c r="A11" s="22">
        <v>2</v>
      </c>
      <c r="B11" s="3" t="s">
        <v>12</v>
      </c>
      <c r="C11" s="23" t="s">
        <v>34</v>
      </c>
      <c r="D11" s="254" t="s">
        <v>13</v>
      </c>
      <c r="E11" s="255"/>
      <c r="F11" s="16" t="s">
        <v>21</v>
      </c>
      <c r="H11" s="36"/>
    </row>
    <row r="12" spans="1:8" x14ac:dyDescent="0.25">
      <c r="A12" s="22">
        <v>3</v>
      </c>
      <c r="B12" s="3" t="s">
        <v>18</v>
      </c>
      <c r="C12" s="23" t="s">
        <v>34</v>
      </c>
      <c r="D12" s="254" t="s">
        <v>17</v>
      </c>
      <c r="E12" s="255"/>
      <c r="F12" s="16" t="s">
        <v>21</v>
      </c>
      <c r="H12" s="36"/>
    </row>
    <row r="13" spans="1:8" ht="25.5" x14ac:dyDescent="0.25">
      <c r="A13" s="22">
        <v>4</v>
      </c>
      <c r="B13" s="3" t="s">
        <v>19</v>
      </c>
      <c r="C13" s="23" t="s">
        <v>34</v>
      </c>
      <c r="D13" s="254" t="s">
        <v>13</v>
      </c>
      <c r="E13" s="255"/>
      <c r="F13" s="16" t="s">
        <v>21</v>
      </c>
      <c r="H13" s="36"/>
    </row>
    <row r="14" spans="1:8" x14ac:dyDescent="0.25">
      <c r="A14" s="22">
        <v>5</v>
      </c>
      <c r="B14" s="4" t="s">
        <v>14</v>
      </c>
      <c r="C14" s="23" t="s">
        <v>34</v>
      </c>
      <c r="D14" s="254" t="s">
        <v>13</v>
      </c>
      <c r="E14" s="255"/>
      <c r="F14" s="16" t="s">
        <v>21</v>
      </c>
      <c r="H14" s="35"/>
    </row>
    <row r="15" spans="1:8" ht="15.75" thickBot="1" x14ac:dyDescent="0.3">
      <c r="A15" s="24">
        <v>6</v>
      </c>
      <c r="B15" s="25" t="s">
        <v>15</v>
      </c>
      <c r="C15" s="26" t="s">
        <v>34</v>
      </c>
      <c r="D15" s="256" t="s">
        <v>13</v>
      </c>
      <c r="E15" s="257"/>
      <c r="F15" s="17" t="s">
        <v>21</v>
      </c>
    </row>
    <row r="16" spans="1:8" x14ac:dyDescent="0.25">
      <c r="F16" s="14"/>
    </row>
  </sheetData>
  <mergeCells count="22">
    <mergeCell ref="D12:E12"/>
    <mergeCell ref="D13:E13"/>
    <mergeCell ref="D14:E14"/>
    <mergeCell ref="D15:E15"/>
    <mergeCell ref="A7:B7"/>
    <mergeCell ref="C7:E7"/>
    <mergeCell ref="A8:E8"/>
    <mergeCell ref="D9:E9"/>
    <mergeCell ref="D10:E10"/>
    <mergeCell ref="D11:E11"/>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0:C15" xr:uid="{186AA4D0-15BB-467C-91A2-7C4F29C89947}">
      <formula1>"ДА,НЕТ"</formula1>
    </dataValidation>
  </dataValidations>
  <hyperlinks>
    <hyperlink ref="C7" r:id="rId1" xr:uid="{8CB9CC9A-CFF4-4ADD-8CC9-25473A0813D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DC47-4C2C-4D3F-AF44-8B5F2DBF39E0}">
  <dimension ref="A1:I13"/>
  <sheetViews>
    <sheetView workbookViewId="0">
      <selection activeCell="H30" sqref="H30"/>
    </sheetView>
  </sheetViews>
  <sheetFormatPr defaultRowHeight="15" x14ac:dyDescent="0.25"/>
  <cols>
    <col min="1" max="1" width="3.7109375" customWidth="1"/>
    <col min="2" max="2" width="66.5703125" customWidth="1"/>
    <col min="3" max="8" width="17" customWidth="1"/>
    <col min="9" max="9" width="55.7109375" style="1" customWidth="1"/>
  </cols>
  <sheetData>
    <row r="1" spans="1:9" s="1" customFormat="1" ht="15.75" thickBot="1" x14ac:dyDescent="0.3">
      <c r="A1" s="240" t="s">
        <v>0</v>
      </c>
      <c r="B1" s="241"/>
      <c r="C1" s="266" t="s">
        <v>1</v>
      </c>
      <c r="D1" s="267"/>
      <c r="E1" s="267"/>
      <c r="F1" s="267"/>
      <c r="G1" s="267"/>
      <c r="H1" s="268"/>
    </row>
    <row r="2" spans="1:9" ht="14.45" customHeight="1" x14ac:dyDescent="0.25">
      <c r="A2" s="244" t="s">
        <v>2</v>
      </c>
      <c r="B2" s="269"/>
      <c r="C2" s="270" t="s">
        <v>84</v>
      </c>
      <c r="D2" s="271"/>
      <c r="E2" s="271"/>
      <c r="F2" s="271"/>
      <c r="G2" s="271"/>
      <c r="H2" s="287"/>
    </row>
    <row r="3" spans="1:9" x14ac:dyDescent="0.25">
      <c r="A3" s="248" t="s">
        <v>3</v>
      </c>
      <c r="B3" s="249"/>
      <c r="C3" s="274">
        <v>9703145119</v>
      </c>
      <c r="D3" s="275"/>
      <c r="E3" s="275"/>
      <c r="F3" s="275"/>
      <c r="G3" s="275"/>
      <c r="H3" s="288"/>
    </row>
    <row r="4" spans="1:9" x14ac:dyDescent="0.25">
      <c r="A4" s="248" t="s">
        <v>4</v>
      </c>
      <c r="B4" s="249"/>
      <c r="C4" s="274" t="s">
        <v>85</v>
      </c>
      <c r="D4" s="275"/>
      <c r="E4" s="275"/>
      <c r="F4" s="275"/>
      <c r="G4" s="275"/>
      <c r="H4" s="288"/>
    </row>
    <row r="5" spans="1:9" ht="14.45" customHeight="1" x14ac:dyDescent="0.25">
      <c r="A5" s="248" t="s">
        <v>5</v>
      </c>
      <c r="B5" s="249"/>
      <c r="C5" s="274" t="s">
        <v>86</v>
      </c>
      <c r="D5" s="275"/>
      <c r="E5" s="275"/>
      <c r="F5" s="275"/>
      <c r="G5" s="275"/>
      <c r="H5" s="288"/>
    </row>
    <row r="6" spans="1:9" x14ac:dyDescent="0.25">
      <c r="A6" s="252" t="s">
        <v>6</v>
      </c>
      <c r="B6" s="253"/>
      <c r="C6" s="274">
        <v>89165844345</v>
      </c>
      <c r="D6" s="275"/>
      <c r="E6" s="275"/>
      <c r="F6" s="275"/>
      <c r="G6" s="275"/>
      <c r="H6" s="288"/>
    </row>
    <row r="7" spans="1:9" ht="15.75" thickBot="1" x14ac:dyDescent="0.3">
      <c r="A7" s="258" t="s">
        <v>7</v>
      </c>
      <c r="B7" s="259"/>
      <c r="C7" s="289" t="s">
        <v>87</v>
      </c>
      <c r="D7" s="290"/>
      <c r="E7" s="290"/>
      <c r="F7" s="290"/>
      <c r="G7" s="290"/>
      <c r="H7" s="291"/>
    </row>
    <row r="8" spans="1:9" ht="15.75" thickBot="1" x14ac:dyDescent="0.3">
      <c r="A8" s="282" t="s">
        <v>8</v>
      </c>
      <c r="B8" s="282"/>
      <c r="C8" s="282"/>
    </row>
    <row r="9" spans="1:9" ht="15.75" thickBot="1" x14ac:dyDescent="0.3">
      <c r="A9" s="7" t="s">
        <v>9</v>
      </c>
      <c r="B9" s="10" t="s">
        <v>10</v>
      </c>
      <c r="C9" s="13">
        <v>2019</v>
      </c>
      <c r="D9" s="13">
        <v>2020</v>
      </c>
      <c r="E9" s="13">
        <v>2021</v>
      </c>
      <c r="F9" s="13">
        <v>2022</v>
      </c>
      <c r="G9" s="13">
        <v>2023</v>
      </c>
      <c r="H9" s="13">
        <v>2024</v>
      </c>
      <c r="I9" s="15" t="s">
        <v>20</v>
      </c>
    </row>
    <row r="10" spans="1:9" ht="25.5" x14ac:dyDescent="0.25">
      <c r="A10" s="5">
        <v>1</v>
      </c>
      <c r="B10" s="27" t="s">
        <v>24</v>
      </c>
      <c r="C10" s="12" t="s">
        <v>88</v>
      </c>
      <c r="D10" s="12" t="s">
        <v>88</v>
      </c>
      <c r="E10" s="12" t="s">
        <v>88</v>
      </c>
      <c r="F10" s="12" t="s">
        <v>88</v>
      </c>
      <c r="G10" s="12" t="s">
        <v>88</v>
      </c>
      <c r="H10" s="12">
        <v>57807</v>
      </c>
      <c r="I10" s="18">
        <v>545.25</v>
      </c>
    </row>
    <row r="11" spans="1:9" ht="25.5" x14ac:dyDescent="0.25">
      <c r="A11" s="2">
        <v>2</v>
      </c>
      <c r="B11" s="27" t="s">
        <v>25</v>
      </c>
      <c r="C11" s="12">
        <v>1611074</v>
      </c>
      <c r="D11" s="12">
        <v>1632230</v>
      </c>
      <c r="E11" s="12">
        <v>1427034</v>
      </c>
      <c r="F11" s="12">
        <v>1417502</v>
      </c>
      <c r="G11" s="12">
        <v>1620219</v>
      </c>
      <c r="H11" s="12">
        <v>2345936</v>
      </c>
      <c r="I11" s="19">
        <v>5647.1</v>
      </c>
    </row>
    <row r="12" spans="1:9" ht="38.25" x14ac:dyDescent="0.25">
      <c r="A12" s="2">
        <v>3</v>
      </c>
      <c r="B12" s="28" t="s">
        <v>26</v>
      </c>
      <c r="C12" s="292" t="s">
        <v>89</v>
      </c>
      <c r="D12" s="293"/>
      <c r="E12" s="293"/>
      <c r="F12" s="293"/>
      <c r="G12" s="293"/>
      <c r="H12" s="294"/>
      <c r="I12" s="18" t="s">
        <v>22</v>
      </c>
    </row>
    <row r="13" spans="1:9" ht="90.75" thickBot="1" x14ac:dyDescent="0.3">
      <c r="A13" s="2">
        <v>5</v>
      </c>
      <c r="B13" s="28" t="s">
        <v>28</v>
      </c>
      <c r="C13" s="292" t="s">
        <v>90</v>
      </c>
      <c r="D13" s="293"/>
      <c r="E13" s="293"/>
      <c r="F13" s="293"/>
      <c r="G13" s="293"/>
      <c r="H13" s="294"/>
      <c r="I13" s="20" t="s">
        <v>27</v>
      </c>
    </row>
  </sheetData>
  <mergeCells count="17">
    <mergeCell ref="A7:B7"/>
    <mergeCell ref="C7:H7"/>
    <mergeCell ref="A8:C8"/>
    <mergeCell ref="C12:H12"/>
    <mergeCell ref="C13:H13"/>
    <mergeCell ref="A4:B4"/>
    <mergeCell ref="C4:H4"/>
    <mergeCell ref="A5:B5"/>
    <mergeCell ref="C5:H5"/>
    <mergeCell ref="A6:B6"/>
    <mergeCell ref="C6:H6"/>
    <mergeCell ref="A1:B1"/>
    <mergeCell ref="C1:H1"/>
    <mergeCell ref="A2:B2"/>
    <mergeCell ref="C2:H2"/>
    <mergeCell ref="A3:B3"/>
    <mergeCell ref="C3:H3"/>
  </mergeCells>
  <hyperlinks>
    <hyperlink ref="C7" r:id="rId1" xr:uid="{232372C4-F9CB-4F35-B4F2-FCFAF676A34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93456-D022-4459-8676-B09D8737002A}">
  <dimension ref="A1:H16"/>
  <sheetViews>
    <sheetView workbookViewId="0">
      <selection activeCell="E33" sqref="E33"/>
    </sheetView>
  </sheetViews>
  <sheetFormatPr defaultRowHeight="15" x14ac:dyDescent="0.25"/>
  <cols>
    <col min="1" max="1" width="7.7109375" customWidth="1"/>
    <col min="2" max="2" width="67.140625" customWidth="1"/>
    <col min="3" max="4" width="19.28515625" customWidth="1"/>
    <col min="5" max="5" width="29.140625" customWidth="1"/>
    <col min="6" max="6" width="24.42578125" customWidth="1"/>
    <col min="7" max="7" width="14.28515625" customWidth="1"/>
    <col min="8" max="8" width="24.42578125" customWidth="1"/>
  </cols>
  <sheetData>
    <row r="1" spans="1:8" s="1" customFormat="1" ht="15.75" thickBot="1" x14ac:dyDescent="0.3">
      <c r="A1" s="240" t="s">
        <v>0</v>
      </c>
      <c r="B1" s="241"/>
      <c r="C1" s="242" t="s">
        <v>1</v>
      </c>
      <c r="D1" s="242"/>
      <c r="E1" s="243"/>
      <c r="G1"/>
      <c r="H1"/>
    </row>
    <row r="2" spans="1:8" x14ac:dyDescent="0.25">
      <c r="A2" s="244" t="s">
        <v>2</v>
      </c>
      <c r="B2" s="245"/>
      <c r="C2" s="246" t="s">
        <v>91</v>
      </c>
      <c r="D2" s="246"/>
      <c r="E2" s="247"/>
    </row>
    <row r="3" spans="1:8" x14ac:dyDescent="0.25">
      <c r="A3" s="248" t="s">
        <v>3</v>
      </c>
      <c r="B3" s="249"/>
      <c r="C3" s="250">
        <v>7714624720</v>
      </c>
      <c r="D3" s="250"/>
      <c r="E3" s="251"/>
    </row>
    <row r="4" spans="1:8" x14ac:dyDescent="0.25">
      <c r="A4" s="248" t="s">
        <v>4</v>
      </c>
      <c r="B4" s="249"/>
      <c r="C4" s="250" t="s">
        <v>92</v>
      </c>
      <c r="D4" s="250"/>
      <c r="E4" s="251"/>
    </row>
    <row r="5" spans="1:8" x14ac:dyDescent="0.25">
      <c r="A5" s="248" t="s">
        <v>5</v>
      </c>
      <c r="B5" s="249"/>
      <c r="C5" s="250" t="s">
        <v>93</v>
      </c>
      <c r="D5" s="250"/>
      <c r="E5" s="251"/>
    </row>
    <row r="6" spans="1:8" x14ac:dyDescent="0.25">
      <c r="A6" s="252" t="s">
        <v>6</v>
      </c>
      <c r="B6" s="253"/>
      <c r="C6" s="250" t="s">
        <v>94</v>
      </c>
      <c r="D6" s="250"/>
      <c r="E6" s="251"/>
    </row>
    <row r="7" spans="1:8" ht="15.75" thickBot="1" x14ac:dyDescent="0.3">
      <c r="A7" s="258" t="s">
        <v>7</v>
      </c>
      <c r="B7" s="259"/>
      <c r="C7" s="283" t="s">
        <v>95</v>
      </c>
      <c r="D7" s="260"/>
      <c r="E7" s="261"/>
    </row>
    <row r="8" spans="1:8" ht="15.75" thickBot="1" x14ac:dyDescent="0.3">
      <c r="A8" s="224" t="s">
        <v>8</v>
      </c>
      <c r="B8" s="224"/>
      <c r="C8" s="224"/>
      <c r="D8" s="224"/>
      <c r="E8" s="224"/>
    </row>
    <row r="9" spans="1:8" ht="45.75" thickBot="1" x14ac:dyDescent="0.3">
      <c r="A9" s="7" t="s">
        <v>9</v>
      </c>
      <c r="B9" s="10" t="s">
        <v>10</v>
      </c>
      <c r="C9" s="40" t="s">
        <v>16</v>
      </c>
      <c r="D9" s="262" t="s">
        <v>23</v>
      </c>
      <c r="E9" s="263"/>
      <c r="F9" s="15" t="s">
        <v>20</v>
      </c>
    </row>
    <row r="10" spans="1:8" ht="135" x14ac:dyDescent="0.25">
      <c r="A10" s="41">
        <v>1</v>
      </c>
      <c r="B10" s="6" t="s">
        <v>11</v>
      </c>
      <c r="C10" s="42" t="s">
        <v>96</v>
      </c>
      <c r="D10" s="295" t="s">
        <v>49</v>
      </c>
      <c r="E10" s="265"/>
      <c r="F10" s="16">
        <v>2015</v>
      </c>
      <c r="H10" s="35"/>
    </row>
    <row r="11" spans="1:8" ht="25.5" x14ac:dyDescent="0.25">
      <c r="A11" s="43">
        <v>2</v>
      </c>
      <c r="B11" s="3" t="s">
        <v>12</v>
      </c>
      <c r="C11" s="34" t="s">
        <v>34</v>
      </c>
      <c r="D11" s="254" t="s">
        <v>13</v>
      </c>
      <c r="E11" s="255"/>
      <c r="F11" s="16" t="s">
        <v>21</v>
      </c>
      <c r="H11" s="36"/>
    </row>
    <row r="12" spans="1:8" x14ac:dyDescent="0.25">
      <c r="A12" s="43">
        <v>3</v>
      </c>
      <c r="B12" s="3" t="s">
        <v>18</v>
      </c>
      <c r="C12" s="23" t="s">
        <v>34</v>
      </c>
      <c r="D12" s="254" t="s">
        <v>17</v>
      </c>
      <c r="E12" s="255"/>
      <c r="F12" s="16" t="s">
        <v>21</v>
      </c>
      <c r="H12" s="36"/>
    </row>
    <row r="13" spans="1:8" ht="25.5" x14ac:dyDescent="0.25">
      <c r="A13" s="43">
        <v>4</v>
      </c>
      <c r="B13" s="3" t="s">
        <v>19</v>
      </c>
      <c r="C13" s="23" t="s">
        <v>34</v>
      </c>
      <c r="D13" s="254" t="s">
        <v>13</v>
      </c>
      <c r="E13" s="255"/>
      <c r="F13" s="16" t="s">
        <v>21</v>
      </c>
      <c r="H13" s="36"/>
    </row>
    <row r="14" spans="1:8" x14ac:dyDescent="0.25">
      <c r="A14" s="43">
        <v>5</v>
      </c>
      <c r="B14" s="4" t="s">
        <v>14</v>
      </c>
      <c r="C14" s="23" t="s">
        <v>34</v>
      </c>
      <c r="D14" s="254" t="s">
        <v>13</v>
      </c>
      <c r="E14" s="255"/>
      <c r="F14" s="16" t="s">
        <v>21</v>
      </c>
      <c r="H14" s="35"/>
    </row>
    <row r="15" spans="1:8" ht="15.75" thickBot="1" x14ac:dyDescent="0.3">
      <c r="A15" s="44">
        <v>6</v>
      </c>
      <c r="B15" s="25" t="s">
        <v>15</v>
      </c>
      <c r="C15" s="23" t="s">
        <v>34</v>
      </c>
      <c r="D15" s="256" t="s">
        <v>13</v>
      </c>
      <c r="E15" s="257"/>
      <c r="F15" s="17" t="s">
        <v>21</v>
      </c>
    </row>
    <row r="16" spans="1:8" x14ac:dyDescent="0.25">
      <c r="F16" s="14"/>
    </row>
  </sheetData>
  <mergeCells count="22">
    <mergeCell ref="D12:E12"/>
    <mergeCell ref="D13:E13"/>
    <mergeCell ref="D14:E14"/>
    <mergeCell ref="D15:E15"/>
    <mergeCell ref="A7:B7"/>
    <mergeCell ref="C7:E7"/>
    <mergeCell ref="A8:E8"/>
    <mergeCell ref="D9:E9"/>
    <mergeCell ref="D10:E10"/>
    <mergeCell ref="D11:E11"/>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1:C15" xr:uid="{6837090B-10D8-4D60-8925-4F9DE352A84F}">
      <formula1>"ДА,НЕТ"</formula1>
    </dataValidation>
  </dataValidations>
  <hyperlinks>
    <hyperlink ref="C7" r:id="rId1" xr:uid="{CFEE9924-9368-406C-A33B-FDFC997B071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E4A4-3F92-4B40-973F-379B5914BFCF}">
  <dimension ref="A1:I13"/>
  <sheetViews>
    <sheetView workbookViewId="0">
      <selection activeCell="D17" sqref="D17"/>
    </sheetView>
  </sheetViews>
  <sheetFormatPr defaultRowHeight="15" x14ac:dyDescent="0.25"/>
  <cols>
    <col min="1" max="1" width="3.7109375" customWidth="1"/>
    <col min="2" max="2" width="66.5703125" customWidth="1"/>
    <col min="3" max="3" width="23.28515625" customWidth="1"/>
    <col min="4" max="4" width="25.7109375" customWidth="1"/>
    <col min="5" max="5" width="26" customWidth="1"/>
    <col min="6" max="6" width="23.5703125" customWidth="1"/>
    <col min="7" max="7" width="27.5703125" customWidth="1"/>
    <col min="8" max="8" width="21.85546875" customWidth="1"/>
    <col min="9" max="9" width="55.7109375" style="1" customWidth="1"/>
  </cols>
  <sheetData>
    <row r="1" spans="1:9" s="1" customFormat="1" ht="15.75" thickBot="1" x14ac:dyDescent="0.3">
      <c r="A1" s="240" t="s">
        <v>0</v>
      </c>
      <c r="B1" s="241"/>
      <c r="C1" s="266" t="s">
        <v>1</v>
      </c>
      <c r="D1" s="267"/>
      <c r="E1" s="267"/>
      <c r="F1" s="267"/>
      <c r="G1" s="267"/>
      <c r="H1" s="268"/>
    </row>
    <row r="2" spans="1:9" ht="14.45" customHeight="1" x14ac:dyDescent="0.25">
      <c r="A2" s="244" t="s">
        <v>2</v>
      </c>
      <c r="B2" s="269"/>
      <c r="C2" s="296" t="s">
        <v>91</v>
      </c>
      <c r="D2" s="275"/>
      <c r="E2" s="275"/>
      <c r="F2" s="275"/>
      <c r="G2" s="275"/>
      <c r="H2" s="288"/>
    </row>
    <row r="3" spans="1:9" x14ac:dyDescent="0.25">
      <c r="A3" s="248" t="s">
        <v>3</v>
      </c>
      <c r="B3" s="249"/>
      <c r="C3" s="274">
        <v>7714624720</v>
      </c>
      <c r="D3" s="275"/>
      <c r="E3" s="275"/>
      <c r="F3" s="275"/>
      <c r="G3" s="275"/>
      <c r="H3" s="288"/>
    </row>
    <row r="4" spans="1:9" ht="14.45" customHeight="1" x14ac:dyDescent="0.25">
      <c r="A4" s="248" t="s">
        <v>4</v>
      </c>
      <c r="B4" s="249"/>
      <c r="C4" s="274" t="s">
        <v>92</v>
      </c>
      <c r="D4" s="275"/>
      <c r="E4" s="275"/>
      <c r="F4" s="275"/>
      <c r="G4" s="275"/>
      <c r="H4" s="288"/>
    </row>
    <row r="5" spans="1:9" ht="14.45" customHeight="1" x14ac:dyDescent="0.25">
      <c r="A5" s="248" t="s">
        <v>5</v>
      </c>
      <c r="B5" s="249"/>
      <c r="C5" s="274" t="s">
        <v>93</v>
      </c>
      <c r="D5" s="275"/>
      <c r="E5" s="275"/>
      <c r="F5" s="275"/>
      <c r="G5" s="275"/>
      <c r="H5" s="288"/>
    </row>
    <row r="6" spans="1:9" x14ac:dyDescent="0.25">
      <c r="A6" s="252" t="s">
        <v>6</v>
      </c>
      <c r="B6" s="253"/>
      <c r="C6" s="274" t="s">
        <v>94</v>
      </c>
      <c r="D6" s="275"/>
      <c r="E6" s="275"/>
      <c r="F6" s="275"/>
      <c r="G6" s="275"/>
      <c r="H6" s="288"/>
    </row>
    <row r="7" spans="1:9" ht="15.75" thickBot="1" x14ac:dyDescent="0.3">
      <c r="A7" s="258" t="s">
        <v>7</v>
      </c>
      <c r="B7" s="259"/>
      <c r="C7" s="297" t="s">
        <v>95</v>
      </c>
      <c r="D7" s="279"/>
      <c r="E7" s="279"/>
      <c r="F7" s="279"/>
      <c r="G7" s="279"/>
      <c r="H7" s="298"/>
    </row>
    <row r="8" spans="1:9" ht="15.75" thickBot="1" x14ac:dyDescent="0.3">
      <c r="A8" s="299" t="s">
        <v>8</v>
      </c>
      <c r="B8" s="299"/>
      <c r="C8" s="299"/>
    </row>
    <row r="9" spans="1:9" ht="15.75" thickBot="1" x14ac:dyDescent="0.3">
      <c r="A9" s="7" t="s">
        <v>9</v>
      </c>
      <c r="B9" s="10" t="s">
        <v>10</v>
      </c>
      <c r="C9" s="45">
        <v>2019</v>
      </c>
      <c r="D9" s="45">
        <v>2020</v>
      </c>
      <c r="E9" s="45">
        <v>2021</v>
      </c>
      <c r="F9" s="45">
        <v>2022</v>
      </c>
      <c r="G9" s="45">
        <v>2023</v>
      </c>
      <c r="H9" s="45">
        <v>2024</v>
      </c>
      <c r="I9" s="15" t="s">
        <v>20</v>
      </c>
    </row>
    <row r="10" spans="1:9" ht="25.5" x14ac:dyDescent="0.25">
      <c r="A10" s="46">
        <v>1</v>
      </c>
      <c r="B10" s="47" t="s">
        <v>24</v>
      </c>
      <c r="C10" s="12">
        <v>2297378</v>
      </c>
      <c r="D10" s="12">
        <v>1384592</v>
      </c>
      <c r="E10" s="12">
        <v>1689445</v>
      </c>
      <c r="F10" s="12">
        <v>1636303</v>
      </c>
      <c r="G10" s="12">
        <v>1865216</v>
      </c>
      <c r="H10" s="12">
        <v>2515282</v>
      </c>
      <c r="I10" s="18">
        <v>545.25</v>
      </c>
    </row>
    <row r="11" spans="1:9" ht="25.5" x14ac:dyDescent="0.25">
      <c r="A11" s="48">
        <v>2</v>
      </c>
      <c r="B11" s="47" t="s">
        <v>25</v>
      </c>
      <c r="C11" s="12" t="s">
        <v>88</v>
      </c>
      <c r="D11" s="12" t="s">
        <v>88</v>
      </c>
      <c r="E11" s="12" t="s">
        <v>88</v>
      </c>
      <c r="F11" s="12" t="s">
        <v>88</v>
      </c>
      <c r="G11" s="12" t="s">
        <v>88</v>
      </c>
      <c r="H11" s="12" t="s">
        <v>88</v>
      </c>
      <c r="I11" s="19">
        <v>5647.1</v>
      </c>
    </row>
    <row r="12" spans="1:9" ht="38.25" x14ac:dyDescent="0.25">
      <c r="A12" s="48">
        <v>3</v>
      </c>
      <c r="B12" s="28" t="s">
        <v>26</v>
      </c>
      <c r="C12" s="12" t="s">
        <v>97</v>
      </c>
      <c r="D12" s="12" t="s">
        <v>98</v>
      </c>
      <c r="E12" s="12" t="s">
        <v>99</v>
      </c>
      <c r="F12" s="12" t="s">
        <v>100</v>
      </c>
      <c r="G12" s="12" t="s">
        <v>101</v>
      </c>
      <c r="H12" s="12" t="s">
        <v>102</v>
      </c>
      <c r="I12" s="18" t="s">
        <v>22</v>
      </c>
    </row>
    <row r="13" spans="1:9" ht="306.75" thickBot="1" x14ac:dyDescent="0.3">
      <c r="A13" s="48">
        <v>5</v>
      </c>
      <c r="B13" s="28" t="s">
        <v>28</v>
      </c>
      <c r="C13" s="49" t="s">
        <v>103</v>
      </c>
      <c r="D13" s="50" t="s">
        <v>104</v>
      </c>
      <c r="E13" s="50" t="s">
        <v>105</v>
      </c>
      <c r="F13" s="50" t="s">
        <v>106</v>
      </c>
      <c r="G13" s="50" t="s">
        <v>107</v>
      </c>
      <c r="H13" s="50" t="s">
        <v>108</v>
      </c>
      <c r="I13" s="20" t="s">
        <v>27</v>
      </c>
    </row>
  </sheetData>
  <mergeCells count="15">
    <mergeCell ref="A7:B7"/>
    <mergeCell ref="C7:H7"/>
    <mergeCell ref="A8:C8"/>
    <mergeCell ref="A4:B4"/>
    <mergeCell ref="C4:H4"/>
    <mergeCell ref="A5:B5"/>
    <mergeCell ref="C5:H5"/>
    <mergeCell ref="A6:B6"/>
    <mergeCell ref="C6:H6"/>
    <mergeCell ref="A1:B1"/>
    <mergeCell ref="C1:H1"/>
    <mergeCell ref="A2:B2"/>
    <mergeCell ref="C2:H2"/>
    <mergeCell ref="A3:B3"/>
    <mergeCell ref="C3:H3"/>
  </mergeCells>
  <hyperlinks>
    <hyperlink ref="C7" r:id="rId1" xr:uid="{C78E031F-2397-4BE0-BFE2-1F584AF5822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7032-612C-4ABD-B778-837A08BAEE75}">
  <dimension ref="A1:H16"/>
  <sheetViews>
    <sheetView workbookViewId="0">
      <selection activeCell="E33" sqref="E33"/>
    </sheetView>
  </sheetViews>
  <sheetFormatPr defaultRowHeight="15" x14ac:dyDescent="0.25"/>
  <cols>
    <col min="1" max="1" width="7.7109375" customWidth="1"/>
    <col min="2" max="2" width="67.140625" customWidth="1"/>
    <col min="3" max="3" width="29.28515625" customWidth="1"/>
    <col min="4" max="4" width="19.28515625" customWidth="1"/>
    <col min="5" max="5" width="29.140625" customWidth="1"/>
    <col min="6" max="6" width="24.42578125" customWidth="1"/>
    <col min="7" max="7" width="14.28515625" customWidth="1"/>
    <col min="8" max="8" width="24.42578125" customWidth="1"/>
  </cols>
  <sheetData>
    <row r="1" spans="1:8" s="1" customFormat="1" ht="15.75" thickBot="1" x14ac:dyDescent="0.3">
      <c r="A1" s="240" t="s">
        <v>0</v>
      </c>
      <c r="B1" s="241"/>
      <c r="C1" s="242" t="s">
        <v>1</v>
      </c>
      <c r="D1" s="242"/>
      <c r="E1" s="243"/>
      <c r="G1"/>
      <c r="H1"/>
    </row>
    <row r="2" spans="1:8" x14ac:dyDescent="0.25">
      <c r="A2" s="244" t="s">
        <v>2</v>
      </c>
      <c r="B2" s="245"/>
      <c r="C2" s="246" t="s">
        <v>109</v>
      </c>
      <c r="D2" s="246"/>
      <c r="E2" s="247"/>
    </row>
    <row r="3" spans="1:8" x14ac:dyDescent="0.25">
      <c r="A3" s="248" t="s">
        <v>3</v>
      </c>
      <c r="B3" s="249"/>
      <c r="C3" s="250">
        <v>7705637585</v>
      </c>
      <c r="D3" s="250"/>
      <c r="E3" s="251"/>
    </row>
    <row r="4" spans="1:8" x14ac:dyDescent="0.25">
      <c r="A4" s="248" t="s">
        <v>4</v>
      </c>
      <c r="B4" s="249"/>
      <c r="C4" s="300">
        <v>0.2</v>
      </c>
      <c r="D4" s="250"/>
      <c r="E4" s="251"/>
    </row>
    <row r="5" spans="1:8" ht="43.5" customHeight="1" x14ac:dyDescent="0.25">
      <c r="A5" s="248" t="s">
        <v>5</v>
      </c>
      <c r="B5" s="249"/>
      <c r="C5" s="250" t="s">
        <v>110</v>
      </c>
      <c r="D5" s="250"/>
      <c r="E5" s="251"/>
    </row>
    <row r="6" spans="1:8" x14ac:dyDescent="0.25">
      <c r="A6" s="252" t="s">
        <v>6</v>
      </c>
      <c r="B6" s="253"/>
      <c r="C6" s="250" t="s">
        <v>111</v>
      </c>
      <c r="D6" s="250"/>
      <c r="E6" s="251"/>
    </row>
    <row r="7" spans="1:8" ht="15.75" thickBot="1" x14ac:dyDescent="0.3">
      <c r="A7" s="258" t="s">
        <v>7</v>
      </c>
      <c r="B7" s="259"/>
      <c r="C7" s="250" t="s">
        <v>112</v>
      </c>
      <c r="D7" s="250"/>
      <c r="E7" s="251"/>
      <c r="F7" s="301"/>
      <c r="G7" s="301"/>
      <c r="H7" s="302"/>
    </row>
    <row r="8" spans="1:8" ht="15.75" thickBot="1" x14ac:dyDescent="0.3">
      <c r="A8" s="224" t="s">
        <v>8</v>
      </c>
      <c r="B8" s="224"/>
      <c r="C8" s="224"/>
      <c r="D8" s="224"/>
      <c r="E8" s="224"/>
    </row>
    <row r="9" spans="1:8" ht="30.75" thickBot="1" x14ac:dyDescent="0.3">
      <c r="A9" s="7" t="s">
        <v>9</v>
      </c>
      <c r="B9" s="10" t="s">
        <v>10</v>
      </c>
      <c r="C9" s="11" t="s">
        <v>16</v>
      </c>
      <c r="D9" s="262" t="s">
        <v>23</v>
      </c>
      <c r="E9" s="263"/>
      <c r="F9" s="15" t="s">
        <v>20</v>
      </c>
    </row>
    <row r="10" spans="1:8" ht="38.25" x14ac:dyDescent="0.25">
      <c r="A10" s="41">
        <v>1</v>
      </c>
      <c r="B10" s="6" t="s">
        <v>11</v>
      </c>
      <c r="C10" s="51" t="s">
        <v>113</v>
      </c>
      <c r="D10" s="264" t="s">
        <v>49</v>
      </c>
      <c r="E10" s="265"/>
      <c r="F10" s="16">
        <v>2015</v>
      </c>
      <c r="H10" s="35"/>
    </row>
    <row r="11" spans="1:8" ht="25.5" x14ac:dyDescent="0.25">
      <c r="A11" s="43">
        <v>2</v>
      </c>
      <c r="B11" s="3" t="s">
        <v>12</v>
      </c>
      <c r="C11" s="23" t="s">
        <v>34</v>
      </c>
      <c r="D11" s="254" t="s">
        <v>13</v>
      </c>
      <c r="E11" s="255"/>
      <c r="F11" s="16" t="s">
        <v>21</v>
      </c>
      <c r="H11" s="36"/>
    </row>
    <row r="12" spans="1:8" x14ac:dyDescent="0.25">
      <c r="A12" s="43">
        <v>3</v>
      </c>
      <c r="B12" s="3" t="s">
        <v>18</v>
      </c>
      <c r="C12" s="23" t="s">
        <v>34</v>
      </c>
      <c r="D12" s="254" t="s">
        <v>17</v>
      </c>
      <c r="E12" s="255"/>
      <c r="F12" s="16" t="s">
        <v>21</v>
      </c>
      <c r="H12" s="36"/>
    </row>
    <row r="13" spans="1:8" ht="25.5" x14ac:dyDescent="0.25">
      <c r="A13" s="43">
        <v>4</v>
      </c>
      <c r="B13" s="3" t="s">
        <v>19</v>
      </c>
      <c r="C13" s="23" t="s">
        <v>34</v>
      </c>
      <c r="D13" s="254" t="s">
        <v>13</v>
      </c>
      <c r="E13" s="255"/>
      <c r="F13" s="16" t="s">
        <v>21</v>
      </c>
      <c r="H13" s="36"/>
    </row>
    <row r="14" spans="1:8" x14ac:dyDescent="0.25">
      <c r="A14" s="43">
        <v>5</v>
      </c>
      <c r="B14" s="4" t="s">
        <v>14</v>
      </c>
      <c r="C14" s="23" t="s">
        <v>34</v>
      </c>
      <c r="D14" s="254" t="s">
        <v>13</v>
      </c>
      <c r="E14" s="255"/>
      <c r="F14" s="16" t="s">
        <v>21</v>
      </c>
      <c r="H14" s="35"/>
    </row>
    <row r="15" spans="1:8" ht="15.75" thickBot="1" x14ac:dyDescent="0.3">
      <c r="A15" s="44">
        <v>6</v>
      </c>
      <c r="B15" s="25" t="s">
        <v>15</v>
      </c>
      <c r="C15" s="26" t="s">
        <v>34</v>
      </c>
      <c r="D15" s="256" t="s">
        <v>13</v>
      </c>
      <c r="E15" s="257"/>
      <c r="F15" s="17" t="s">
        <v>21</v>
      </c>
    </row>
    <row r="16" spans="1:8" x14ac:dyDescent="0.25">
      <c r="F16" s="14"/>
    </row>
  </sheetData>
  <mergeCells count="23">
    <mergeCell ref="D13:E13"/>
    <mergeCell ref="D14:E14"/>
    <mergeCell ref="D15:E15"/>
    <mergeCell ref="F7:H7"/>
    <mergeCell ref="A8:E8"/>
    <mergeCell ref="D9:E9"/>
    <mergeCell ref="D11:E11"/>
    <mergeCell ref="D12:E12"/>
    <mergeCell ref="D10:E10"/>
    <mergeCell ref="A7:B7"/>
    <mergeCell ref="C7:E7"/>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1:C15" xr:uid="{07ACAFAC-2EED-45EC-86D1-D4655C93105B}">
      <formula1>"ДА,НЕТ"</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BDDED-A4B3-40D9-AF8F-5BE5E7A6626A}">
  <dimension ref="A1:I19"/>
  <sheetViews>
    <sheetView workbookViewId="0">
      <selection activeCell="E11" sqref="E11"/>
    </sheetView>
  </sheetViews>
  <sheetFormatPr defaultRowHeight="15" x14ac:dyDescent="0.25"/>
  <cols>
    <col min="1" max="1" width="3.7109375" customWidth="1"/>
    <col min="2" max="2" width="66.5703125" customWidth="1"/>
    <col min="3" max="8" width="17" customWidth="1"/>
    <col min="9" max="9" width="55.7109375" style="1" customWidth="1"/>
  </cols>
  <sheetData>
    <row r="1" spans="1:9" s="1" customFormat="1" ht="15.75" thickBot="1" x14ac:dyDescent="0.3">
      <c r="A1" s="240" t="s">
        <v>0</v>
      </c>
      <c r="B1" s="241"/>
      <c r="C1" s="266" t="s">
        <v>1</v>
      </c>
      <c r="D1" s="267"/>
      <c r="E1" s="267"/>
      <c r="F1" s="267"/>
      <c r="G1" s="267"/>
      <c r="H1" s="268"/>
    </row>
    <row r="2" spans="1:9" ht="14.45" customHeight="1" x14ac:dyDescent="0.25">
      <c r="A2" s="244" t="s">
        <v>2</v>
      </c>
      <c r="B2" s="269"/>
      <c r="C2" s="270" t="s">
        <v>109</v>
      </c>
      <c r="D2" s="271"/>
      <c r="E2" s="271"/>
      <c r="F2" s="271"/>
      <c r="G2" s="271"/>
      <c r="H2" s="287"/>
    </row>
    <row r="3" spans="1:9" x14ac:dyDescent="0.25">
      <c r="A3" s="248" t="s">
        <v>3</v>
      </c>
      <c r="B3" s="249"/>
      <c r="C3" s="274">
        <v>7705637585</v>
      </c>
      <c r="D3" s="275"/>
      <c r="E3" s="275"/>
      <c r="F3" s="275"/>
      <c r="G3" s="275"/>
      <c r="H3" s="288"/>
    </row>
    <row r="4" spans="1:9" x14ac:dyDescent="0.25">
      <c r="A4" s="248" t="s">
        <v>4</v>
      </c>
      <c r="B4" s="249"/>
      <c r="C4" s="303">
        <v>0.2</v>
      </c>
      <c r="D4" s="304"/>
      <c r="E4" s="304"/>
      <c r="F4" s="304"/>
      <c r="G4" s="304"/>
      <c r="H4" s="305"/>
    </row>
    <row r="5" spans="1:9" ht="14.45" customHeight="1" x14ac:dyDescent="0.25">
      <c r="A5" s="248" t="s">
        <v>5</v>
      </c>
      <c r="B5" s="249"/>
      <c r="C5" s="274" t="s">
        <v>110</v>
      </c>
      <c r="D5" s="275"/>
      <c r="E5" s="275"/>
      <c r="F5" s="275"/>
      <c r="G5" s="275"/>
      <c r="H5" s="288"/>
    </row>
    <row r="6" spans="1:9" ht="14.45" customHeight="1" x14ac:dyDescent="0.25">
      <c r="A6" s="252" t="s">
        <v>6</v>
      </c>
      <c r="B6" s="253"/>
      <c r="C6" s="274" t="s">
        <v>111</v>
      </c>
      <c r="D6" s="275"/>
      <c r="E6" s="275"/>
      <c r="F6" s="275"/>
      <c r="G6" s="275"/>
      <c r="H6" s="288"/>
    </row>
    <row r="7" spans="1:9" ht="15.75" thickBot="1" x14ac:dyDescent="0.3">
      <c r="A7" s="258" t="s">
        <v>7</v>
      </c>
      <c r="B7" s="259"/>
      <c r="C7" s="274" t="s">
        <v>112</v>
      </c>
      <c r="D7" s="275"/>
      <c r="E7" s="275"/>
      <c r="F7" s="275"/>
      <c r="G7" s="275"/>
      <c r="H7" s="288"/>
    </row>
    <row r="8" spans="1:9" ht="15.75" thickBot="1" x14ac:dyDescent="0.3">
      <c r="A8" s="299" t="s">
        <v>8</v>
      </c>
      <c r="B8" s="299"/>
      <c r="C8" s="299"/>
    </row>
    <row r="9" spans="1:9" ht="15.75" thickBot="1" x14ac:dyDescent="0.3">
      <c r="A9" s="7" t="s">
        <v>9</v>
      </c>
      <c r="B9" s="10" t="s">
        <v>10</v>
      </c>
      <c r="C9" s="45">
        <v>2019</v>
      </c>
      <c r="D9" s="45">
        <v>2020</v>
      </c>
      <c r="E9" s="45">
        <v>2021</v>
      </c>
      <c r="F9" s="45">
        <v>2022</v>
      </c>
      <c r="G9" s="45">
        <v>2023</v>
      </c>
      <c r="H9" s="45">
        <v>2024</v>
      </c>
      <c r="I9" s="15" t="s">
        <v>20</v>
      </c>
    </row>
    <row r="10" spans="1:9" ht="25.5" x14ac:dyDescent="0.25">
      <c r="A10" s="46">
        <v>1</v>
      </c>
      <c r="B10" s="47" t="s">
        <v>24</v>
      </c>
      <c r="C10" s="12">
        <v>2029548000</v>
      </c>
      <c r="D10" s="12">
        <v>1674788000</v>
      </c>
      <c r="E10" s="12">
        <v>2307303000</v>
      </c>
      <c r="F10" s="12">
        <v>1833589000</v>
      </c>
      <c r="G10" s="12">
        <v>1988761000</v>
      </c>
      <c r="H10" s="12">
        <v>1871577000</v>
      </c>
      <c r="I10" s="18">
        <v>545.25</v>
      </c>
    </row>
    <row r="11" spans="1:9" ht="25.5" x14ac:dyDescent="0.25">
      <c r="A11" s="48">
        <v>2</v>
      </c>
      <c r="B11" s="47" t="s">
        <v>25</v>
      </c>
      <c r="C11" s="52"/>
      <c r="D11" s="52"/>
      <c r="E11" s="52"/>
      <c r="F11" s="52"/>
      <c r="G11" s="52"/>
      <c r="H11" s="52"/>
      <c r="I11" s="19">
        <v>5647.1</v>
      </c>
    </row>
    <row r="12" spans="1:9" ht="38.25" x14ac:dyDescent="0.25">
      <c r="A12" s="48">
        <v>3</v>
      </c>
      <c r="B12" s="28" t="s">
        <v>26</v>
      </c>
      <c r="C12" s="53">
        <v>7.0000000000000007E-2</v>
      </c>
      <c r="D12" s="53">
        <v>7.0000000000000007E-2</v>
      </c>
      <c r="E12" s="53">
        <v>0.08</v>
      </c>
      <c r="F12" s="53">
        <v>0.08</v>
      </c>
      <c r="G12" s="53">
        <v>7.0000000000000007E-2</v>
      </c>
      <c r="H12" s="53">
        <v>0.1</v>
      </c>
      <c r="I12" s="18" t="s">
        <v>22</v>
      </c>
    </row>
    <row r="13" spans="1:9" ht="115.5" thickBot="1" x14ac:dyDescent="0.3">
      <c r="A13" s="48">
        <v>5</v>
      </c>
      <c r="B13" s="28" t="s">
        <v>28</v>
      </c>
      <c r="C13" s="12" t="s">
        <v>114</v>
      </c>
      <c r="D13" s="12" t="s">
        <v>115</v>
      </c>
      <c r="E13" s="12" t="s">
        <v>116</v>
      </c>
      <c r="F13" s="12" t="s">
        <v>117</v>
      </c>
      <c r="G13" s="12" t="s">
        <v>118</v>
      </c>
      <c r="H13" s="12"/>
      <c r="I13" s="20" t="s">
        <v>27</v>
      </c>
    </row>
    <row r="17" spans="3:3" x14ac:dyDescent="0.25">
      <c r="C17" s="54"/>
    </row>
    <row r="18" spans="3:3" x14ac:dyDescent="0.25">
      <c r="C18" s="54"/>
    </row>
    <row r="19" spans="3:3" x14ac:dyDescent="0.25">
      <c r="C19" s="54"/>
    </row>
  </sheetData>
  <mergeCells count="15">
    <mergeCell ref="A7:B7"/>
    <mergeCell ref="C7:H7"/>
    <mergeCell ref="A8:C8"/>
    <mergeCell ref="A4:B4"/>
    <mergeCell ref="C4:H4"/>
    <mergeCell ref="A5:B5"/>
    <mergeCell ref="C5:H5"/>
    <mergeCell ref="A6:B6"/>
    <mergeCell ref="C6:H6"/>
    <mergeCell ref="A1:B1"/>
    <mergeCell ref="C1:H1"/>
    <mergeCell ref="A2:B2"/>
    <mergeCell ref="C2:H2"/>
    <mergeCell ref="A3:B3"/>
    <mergeCell ref="C3:H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7F7C1-6519-482C-BE78-E6F88EDBD843}">
  <dimension ref="A1:H16"/>
  <sheetViews>
    <sheetView workbookViewId="0">
      <selection activeCell="E33" sqref="E33"/>
    </sheetView>
  </sheetViews>
  <sheetFormatPr defaultRowHeight="15" x14ac:dyDescent="0.25"/>
  <cols>
    <col min="1" max="1" width="7.7109375" customWidth="1"/>
    <col min="2" max="2" width="67.140625" customWidth="1"/>
    <col min="3" max="5" width="27.85546875" customWidth="1"/>
    <col min="6" max="6" width="24.42578125" customWidth="1"/>
    <col min="7" max="7" width="14.28515625" customWidth="1"/>
    <col min="8" max="8" width="24.42578125" customWidth="1"/>
  </cols>
  <sheetData>
    <row r="1" spans="1:8" s="1" customFormat="1" ht="15.75" thickBot="1" x14ac:dyDescent="0.3">
      <c r="A1" s="240" t="s">
        <v>0</v>
      </c>
      <c r="B1" s="241"/>
      <c r="C1" s="306" t="s">
        <v>1</v>
      </c>
      <c r="D1" s="307"/>
      <c r="E1" s="308"/>
      <c r="G1"/>
      <c r="H1"/>
    </row>
    <row r="2" spans="1:8" ht="15" customHeight="1" x14ac:dyDescent="0.25">
      <c r="A2" s="244" t="s">
        <v>2</v>
      </c>
      <c r="B2" s="245"/>
      <c r="C2" s="309" t="s">
        <v>119</v>
      </c>
      <c r="D2" s="310"/>
      <c r="E2" s="311"/>
    </row>
    <row r="3" spans="1:8" x14ac:dyDescent="0.25">
      <c r="A3" s="248" t="s">
        <v>3</v>
      </c>
      <c r="B3" s="249"/>
      <c r="C3" s="274">
        <v>9709040916</v>
      </c>
      <c r="D3" s="275"/>
      <c r="E3" s="288"/>
    </row>
    <row r="4" spans="1:8" x14ac:dyDescent="0.25">
      <c r="A4" s="248" t="s">
        <v>4</v>
      </c>
      <c r="B4" s="249"/>
      <c r="C4" s="274">
        <v>20</v>
      </c>
      <c r="D4" s="275"/>
      <c r="E4" s="288"/>
    </row>
    <row r="5" spans="1:8" x14ac:dyDescent="0.25">
      <c r="A5" s="248" t="s">
        <v>5</v>
      </c>
      <c r="B5" s="249"/>
      <c r="C5" s="274" t="s">
        <v>120</v>
      </c>
      <c r="D5" s="275"/>
      <c r="E5" s="288"/>
    </row>
    <row r="6" spans="1:8" x14ac:dyDescent="0.25">
      <c r="A6" s="252" t="s">
        <v>6</v>
      </c>
      <c r="B6" s="253"/>
      <c r="C6" s="274" t="s">
        <v>121</v>
      </c>
      <c r="D6" s="275"/>
      <c r="E6" s="288"/>
    </row>
    <row r="7" spans="1:8" ht="15.75" thickBot="1" x14ac:dyDescent="0.3">
      <c r="A7" s="258" t="s">
        <v>7</v>
      </c>
      <c r="B7" s="259"/>
      <c r="C7" s="297" t="s">
        <v>122</v>
      </c>
      <c r="D7" s="279"/>
      <c r="E7" s="298"/>
    </row>
    <row r="8" spans="1:8" ht="15.75" thickBot="1" x14ac:dyDescent="0.3">
      <c r="A8" s="224" t="s">
        <v>8</v>
      </c>
      <c r="B8" s="224"/>
      <c r="C8" s="224"/>
      <c r="D8" s="224"/>
      <c r="E8" s="224"/>
    </row>
    <row r="9" spans="1:8" ht="15.75" thickBot="1" x14ac:dyDescent="0.3">
      <c r="A9" s="7" t="s">
        <v>9</v>
      </c>
      <c r="B9" s="10" t="s">
        <v>10</v>
      </c>
      <c r="C9" s="55"/>
      <c r="D9" s="262" t="s">
        <v>23</v>
      </c>
      <c r="E9" s="263"/>
      <c r="F9" s="15" t="s">
        <v>20</v>
      </c>
    </row>
    <row r="10" spans="1:8" x14ac:dyDescent="0.25">
      <c r="A10" s="21">
        <v>1</v>
      </c>
      <c r="B10" s="6" t="s">
        <v>11</v>
      </c>
      <c r="C10" s="56">
        <v>2019</v>
      </c>
      <c r="D10" s="264" t="s">
        <v>49</v>
      </c>
      <c r="E10" s="265"/>
      <c r="F10" s="16">
        <v>2015</v>
      </c>
      <c r="H10" s="35"/>
    </row>
    <row r="11" spans="1:8" ht="25.5" x14ac:dyDescent="0.25">
      <c r="A11" s="22">
        <v>2</v>
      </c>
      <c r="B11" s="3" t="s">
        <v>12</v>
      </c>
      <c r="C11" s="23" t="s">
        <v>34</v>
      </c>
      <c r="D11" s="254" t="s">
        <v>13</v>
      </c>
      <c r="E11" s="255"/>
      <c r="F11" s="16" t="s">
        <v>21</v>
      </c>
      <c r="H11" s="36"/>
    </row>
    <row r="12" spans="1:8" x14ac:dyDescent="0.25">
      <c r="A12" s="22">
        <v>3</v>
      </c>
      <c r="B12" s="3" t="s">
        <v>18</v>
      </c>
      <c r="C12" s="23" t="s">
        <v>34</v>
      </c>
      <c r="D12" s="254" t="s">
        <v>17</v>
      </c>
      <c r="E12" s="255"/>
      <c r="F12" s="16" t="s">
        <v>21</v>
      </c>
      <c r="H12" s="36"/>
    </row>
    <row r="13" spans="1:8" ht="25.5" x14ac:dyDescent="0.25">
      <c r="A13" s="22">
        <v>4</v>
      </c>
      <c r="B13" s="3" t="s">
        <v>19</v>
      </c>
      <c r="C13" s="23" t="s">
        <v>34</v>
      </c>
      <c r="D13" s="254" t="s">
        <v>13</v>
      </c>
      <c r="E13" s="255"/>
      <c r="F13" s="16" t="s">
        <v>21</v>
      </c>
      <c r="H13" s="36"/>
    </row>
    <row r="14" spans="1:8" x14ac:dyDescent="0.25">
      <c r="A14" s="22">
        <v>5</v>
      </c>
      <c r="B14" s="4" t="s">
        <v>14</v>
      </c>
      <c r="C14" s="23" t="s">
        <v>34</v>
      </c>
      <c r="D14" s="254" t="s">
        <v>13</v>
      </c>
      <c r="E14" s="255"/>
      <c r="F14" s="16" t="s">
        <v>21</v>
      </c>
      <c r="H14" s="35"/>
    </row>
    <row r="15" spans="1:8" ht="84.75" customHeight="1" thickBot="1" x14ac:dyDescent="0.3">
      <c r="A15" s="24">
        <v>6</v>
      </c>
      <c r="B15" s="25" t="s">
        <v>15</v>
      </c>
      <c r="C15" s="26" t="s">
        <v>36</v>
      </c>
      <c r="D15" s="312" t="s">
        <v>123</v>
      </c>
      <c r="E15" s="313"/>
      <c r="F15" s="17" t="s">
        <v>21</v>
      </c>
    </row>
    <row r="16" spans="1:8" x14ac:dyDescent="0.25">
      <c r="F16" s="14"/>
    </row>
  </sheetData>
  <mergeCells count="22">
    <mergeCell ref="D12:E12"/>
    <mergeCell ref="D13:E13"/>
    <mergeCell ref="D14:E14"/>
    <mergeCell ref="D15:E15"/>
    <mergeCell ref="A7:B7"/>
    <mergeCell ref="C7:E7"/>
    <mergeCell ref="A8:E8"/>
    <mergeCell ref="D9:E9"/>
    <mergeCell ref="D10:E10"/>
    <mergeCell ref="D11:E11"/>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1:C15" xr:uid="{55BF1319-07F1-4942-BC2B-4B03F033BAB5}">
      <formula1>"ДА,НЕТ"</formula1>
    </dataValidation>
  </dataValidations>
  <hyperlinks>
    <hyperlink ref="C7" r:id="rId1" xr:uid="{4C124B80-4012-49FE-B16F-DDC3001D9AA8}"/>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2C21-DA1E-48BF-B8E9-8849F4871461}">
  <dimension ref="A1:I13"/>
  <sheetViews>
    <sheetView workbookViewId="0">
      <selection activeCell="F13" sqref="F13"/>
    </sheetView>
  </sheetViews>
  <sheetFormatPr defaultRowHeight="15" x14ac:dyDescent="0.25"/>
  <cols>
    <col min="1" max="1" width="3.7109375" customWidth="1"/>
    <col min="2" max="2" width="66.5703125" customWidth="1"/>
    <col min="3" max="8" width="28.28515625" customWidth="1"/>
    <col min="9" max="9" width="55.7109375" style="1" customWidth="1"/>
  </cols>
  <sheetData>
    <row r="1" spans="1:9" s="1" customFormat="1" ht="15.75" thickBot="1" x14ac:dyDescent="0.3">
      <c r="A1" s="240" t="s">
        <v>0</v>
      </c>
      <c r="B1" s="241"/>
      <c r="C1" s="266" t="s">
        <v>1</v>
      </c>
      <c r="D1" s="267"/>
      <c r="E1" s="267"/>
      <c r="F1" s="267"/>
      <c r="G1" s="267"/>
      <c r="H1" s="268"/>
    </row>
    <row r="2" spans="1:9" x14ac:dyDescent="0.25">
      <c r="A2" s="244" t="s">
        <v>2</v>
      </c>
      <c r="B2" s="269"/>
      <c r="C2" s="309" t="s">
        <v>119</v>
      </c>
      <c r="D2" s="310"/>
      <c r="E2" s="311"/>
      <c r="F2" s="309"/>
      <c r="G2" s="310"/>
      <c r="H2" s="311"/>
    </row>
    <row r="3" spans="1:9" x14ac:dyDescent="0.25">
      <c r="A3" s="248" t="s">
        <v>3</v>
      </c>
      <c r="B3" s="249"/>
      <c r="C3" s="274">
        <v>9709040916</v>
      </c>
      <c r="D3" s="275"/>
      <c r="E3" s="288"/>
      <c r="F3" s="274"/>
      <c r="G3" s="275"/>
      <c r="H3" s="288"/>
    </row>
    <row r="4" spans="1:9" x14ac:dyDescent="0.25">
      <c r="A4" s="248" t="s">
        <v>4</v>
      </c>
      <c r="B4" s="249"/>
      <c r="C4" s="274">
        <v>20</v>
      </c>
      <c r="D4" s="275"/>
      <c r="E4" s="288"/>
      <c r="F4" s="274"/>
      <c r="G4" s="275"/>
      <c r="H4" s="288"/>
    </row>
    <row r="5" spans="1:9" x14ac:dyDescent="0.25">
      <c r="A5" s="248" t="s">
        <v>5</v>
      </c>
      <c r="B5" s="249"/>
      <c r="C5" s="274" t="s">
        <v>120</v>
      </c>
      <c r="D5" s="275"/>
      <c r="E5" s="288"/>
      <c r="F5" s="274"/>
      <c r="G5" s="275"/>
      <c r="H5" s="288"/>
    </row>
    <row r="6" spans="1:9" x14ac:dyDescent="0.25">
      <c r="A6" s="252" t="s">
        <v>6</v>
      </c>
      <c r="B6" s="253"/>
      <c r="C6" s="274" t="s">
        <v>121</v>
      </c>
      <c r="D6" s="275"/>
      <c r="E6" s="288"/>
      <c r="F6" s="274"/>
      <c r="G6" s="275"/>
      <c r="H6" s="288"/>
    </row>
    <row r="7" spans="1:9" ht="15.75" thickBot="1" x14ac:dyDescent="0.3">
      <c r="A7" s="258" t="s">
        <v>7</v>
      </c>
      <c r="B7" s="259"/>
      <c r="C7" s="297" t="s">
        <v>122</v>
      </c>
      <c r="D7" s="279"/>
      <c r="E7" s="298"/>
      <c r="F7" s="297"/>
      <c r="G7" s="279"/>
      <c r="H7" s="298"/>
    </row>
    <row r="8" spans="1:9" ht="15.75" thickBot="1" x14ac:dyDescent="0.3">
      <c r="A8" s="282" t="s">
        <v>8</v>
      </c>
      <c r="B8" s="282"/>
      <c r="C8" s="282"/>
    </row>
    <row r="9" spans="1:9" ht="15.75" thickBot="1" x14ac:dyDescent="0.3">
      <c r="A9" s="7" t="s">
        <v>9</v>
      </c>
      <c r="B9" s="10" t="s">
        <v>10</v>
      </c>
      <c r="C9" s="13">
        <v>2019</v>
      </c>
      <c r="D9" s="13">
        <v>2020</v>
      </c>
      <c r="E9" s="13">
        <v>2021</v>
      </c>
      <c r="F9" s="13">
        <v>2022</v>
      </c>
      <c r="G9" s="13">
        <v>2023</v>
      </c>
      <c r="H9" s="13">
        <v>2024</v>
      </c>
      <c r="I9" s="15" t="s">
        <v>20</v>
      </c>
    </row>
    <row r="10" spans="1:9" ht="25.5" x14ac:dyDescent="0.25">
      <c r="A10" s="5">
        <v>1</v>
      </c>
      <c r="B10" s="27" t="s">
        <v>24</v>
      </c>
      <c r="C10" s="38">
        <v>0</v>
      </c>
      <c r="D10" s="38">
        <v>42500</v>
      </c>
      <c r="E10" s="38">
        <v>802293</v>
      </c>
      <c r="F10" s="38">
        <v>652037</v>
      </c>
      <c r="G10" s="38">
        <v>734606</v>
      </c>
      <c r="H10" s="38">
        <v>450053</v>
      </c>
      <c r="I10" s="18">
        <v>545.25</v>
      </c>
    </row>
    <row r="11" spans="1:9" ht="25.5" x14ac:dyDescent="0.25">
      <c r="A11" s="2">
        <v>2</v>
      </c>
      <c r="B11" s="27" t="s">
        <v>25</v>
      </c>
      <c r="C11" s="38" t="s">
        <v>124</v>
      </c>
      <c r="D11" s="38" t="s">
        <v>124</v>
      </c>
      <c r="E11" s="38" t="s">
        <v>124</v>
      </c>
      <c r="F11" s="38" t="s">
        <v>124</v>
      </c>
      <c r="G11" s="38" t="s">
        <v>124</v>
      </c>
      <c r="H11" s="38" t="s">
        <v>124</v>
      </c>
      <c r="I11" s="19">
        <v>5647.1</v>
      </c>
    </row>
    <row r="12" spans="1:9" ht="38.25" x14ac:dyDescent="0.25">
      <c r="A12" s="2">
        <v>3</v>
      </c>
      <c r="B12" s="28" t="s">
        <v>26</v>
      </c>
      <c r="C12" s="12"/>
      <c r="D12" s="12"/>
      <c r="E12" s="12"/>
      <c r="F12" s="12"/>
      <c r="G12" s="12"/>
      <c r="H12" s="12"/>
      <c r="I12" s="18" t="s">
        <v>22</v>
      </c>
    </row>
    <row r="13" spans="1:9" ht="270.75" thickBot="1" x14ac:dyDescent="0.3">
      <c r="A13" s="2">
        <v>5</v>
      </c>
      <c r="B13" s="28" t="s">
        <v>28</v>
      </c>
      <c r="C13" s="57" t="s">
        <v>125</v>
      </c>
      <c r="D13" s="57" t="s">
        <v>125</v>
      </c>
      <c r="E13" s="57" t="s">
        <v>126</v>
      </c>
      <c r="F13" s="57" t="s">
        <v>127</v>
      </c>
      <c r="G13" s="57" t="s">
        <v>128</v>
      </c>
      <c r="H13" s="57" t="s">
        <v>129</v>
      </c>
      <c r="I13" s="20" t="s">
        <v>27</v>
      </c>
    </row>
  </sheetData>
  <mergeCells count="21">
    <mergeCell ref="A8:C8"/>
    <mergeCell ref="A6:B6"/>
    <mergeCell ref="C6:E6"/>
    <mergeCell ref="F6:H6"/>
    <mergeCell ref="A7:B7"/>
    <mergeCell ref="C7:E7"/>
    <mergeCell ref="F7:H7"/>
    <mergeCell ref="A4:B4"/>
    <mergeCell ref="C4:E4"/>
    <mergeCell ref="F4:H4"/>
    <mergeCell ref="A5:B5"/>
    <mergeCell ref="C5:E5"/>
    <mergeCell ref="F5:H5"/>
    <mergeCell ref="A3:B3"/>
    <mergeCell ref="C3:E3"/>
    <mergeCell ref="F3:H3"/>
    <mergeCell ref="A1:B1"/>
    <mergeCell ref="C1:H1"/>
    <mergeCell ref="A2:B2"/>
    <mergeCell ref="C2:E2"/>
    <mergeCell ref="F2:H2"/>
  </mergeCells>
  <hyperlinks>
    <hyperlink ref="C7" r:id="rId1" xr:uid="{6B292891-6659-431D-9C78-EA8BC8F7EC6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14028-B66E-463F-84DC-A5240078DF76}">
  <dimension ref="A1:H16"/>
  <sheetViews>
    <sheetView workbookViewId="0">
      <selection activeCell="E33" sqref="E33"/>
    </sheetView>
  </sheetViews>
  <sheetFormatPr defaultRowHeight="15" x14ac:dyDescent="0.25"/>
  <cols>
    <col min="2" max="2" width="46.5703125" customWidth="1"/>
    <col min="5" max="5" width="31.140625" customWidth="1"/>
  </cols>
  <sheetData>
    <row r="1" spans="1:8" ht="15.75" thickBot="1" x14ac:dyDescent="0.3">
      <c r="A1" s="240" t="s">
        <v>0</v>
      </c>
      <c r="B1" s="241"/>
      <c r="C1" s="242" t="s">
        <v>1</v>
      </c>
      <c r="D1" s="242"/>
      <c r="E1" s="243"/>
      <c r="F1" s="59"/>
      <c r="G1" s="58"/>
      <c r="H1" s="58"/>
    </row>
    <row r="2" spans="1:8" x14ac:dyDescent="0.25">
      <c r="A2" s="244" t="s">
        <v>2</v>
      </c>
      <c r="B2" s="245"/>
      <c r="C2" s="246" t="s">
        <v>130</v>
      </c>
      <c r="D2" s="246"/>
      <c r="E2" s="247"/>
      <c r="F2" s="58"/>
      <c r="G2" s="58"/>
      <c r="H2" s="58"/>
    </row>
    <row r="3" spans="1:8" x14ac:dyDescent="0.25">
      <c r="A3" s="248" t="s">
        <v>3</v>
      </c>
      <c r="B3" s="249"/>
      <c r="C3" s="250">
        <v>7726718355</v>
      </c>
      <c r="D3" s="250"/>
      <c r="E3" s="251"/>
      <c r="F3" s="58"/>
      <c r="G3" s="58"/>
      <c r="H3" s="58"/>
    </row>
    <row r="4" spans="1:8" x14ac:dyDescent="0.25">
      <c r="A4" s="248" t="s">
        <v>4</v>
      </c>
      <c r="B4" s="249"/>
      <c r="C4" s="250" t="s">
        <v>131</v>
      </c>
      <c r="D4" s="250"/>
      <c r="E4" s="251"/>
      <c r="F4" s="58"/>
      <c r="G4" s="58"/>
      <c r="H4" s="58"/>
    </row>
    <row r="5" spans="1:8" x14ac:dyDescent="0.25">
      <c r="A5" s="248" t="s">
        <v>5</v>
      </c>
      <c r="B5" s="249"/>
      <c r="C5" s="250" t="s">
        <v>132</v>
      </c>
      <c r="D5" s="250"/>
      <c r="E5" s="251"/>
      <c r="F5" s="58"/>
      <c r="G5" s="58"/>
      <c r="H5" s="58"/>
    </row>
    <row r="6" spans="1:8" x14ac:dyDescent="0.25">
      <c r="A6" s="252" t="s">
        <v>6</v>
      </c>
      <c r="B6" s="253"/>
      <c r="C6" s="250">
        <v>79037243124</v>
      </c>
      <c r="D6" s="250"/>
      <c r="E6" s="251"/>
      <c r="F6" s="58"/>
      <c r="G6" s="58"/>
      <c r="H6" s="58"/>
    </row>
    <row r="7" spans="1:8" ht="15.75" thickBot="1" x14ac:dyDescent="0.3">
      <c r="A7" s="258" t="s">
        <v>7</v>
      </c>
      <c r="B7" s="259"/>
      <c r="C7" s="260" t="s">
        <v>133</v>
      </c>
      <c r="D7" s="260"/>
      <c r="E7" s="261"/>
      <c r="F7" s="58"/>
      <c r="G7" s="58"/>
      <c r="H7" s="58"/>
    </row>
    <row r="8" spans="1:8" ht="15.75" thickBot="1" x14ac:dyDescent="0.3">
      <c r="A8" s="224" t="s">
        <v>8</v>
      </c>
      <c r="B8" s="224"/>
      <c r="C8" s="224"/>
      <c r="D8" s="224"/>
      <c r="E8" s="224"/>
      <c r="F8" s="58"/>
      <c r="G8" s="58"/>
      <c r="H8" s="58"/>
    </row>
    <row r="9" spans="1:8" ht="101.25" thickBot="1" x14ac:dyDescent="0.3">
      <c r="A9" s="63" t="s">
        <v>9</v>
      </c>
      <c r="B9" s="66" t="s">
        <v>10</v>
      </c>
      <c r="C9" s="67" t="s">
        <v>16</v>
      </c>
      <c r="D9" s="262" t="s">
        <v>23</v>
      </c>
      <c r="E9" s="263"/>
      <c r="F9" s="69" t="s">
        <v>20</v>
      </c>
      <c r="G9" s="58"/>
      <c r="H9" s="58"/>
    </row>
    <row r="10" spans="1:8" ht="36.75" customHeight="1" x14ac:dyDescent="0.25">
      <c r="A10" s="72">
        <v>1</v>
      </c>
      <c r="B10" s="62" t="s">
        <v>11</v>
      </c>
      <c r="C10" s="73" t="s">
        <v>34</v>
      </c>
      <c r="D10" s="264" t="s">
        <v>134</v>
      </c>
      <c r="E10" s="265"/>
      <c r="F10" s="70">
        <v>2015</v>
      </c>
      <c r="G10" s="58"/>
      <c r="H10" s="64"/>
    </row>
    <row r="11" spans="1:8" ht="36.75" customHeight="1" x14ac:dyDescent="0.25">
      <c r="A11" s="74">
        <v>2</v>
      </c>
      <c r="B11" s="60" t="s">
        <v>12</v>
      </c>
      <c r="C11" s="75" t="s">
        <v>34</v>
      </c>
      <c r="D11" s="254" t="s">
        <v>13</v>
      </c>
      <c r="E11" s="255"/>
      <c r="F11" s="70" t="s">
        <v>21</v>
      </c>
      <c r="G11" s="58"/>
      <c r="H11" s="65"/>
    </row>
    <row r="12" spans="1:8" ht="36.75" customHeight="1" x14ac:dyDescent="0.25">
      <c r="A12" s="74">
        <v>3</v>
      </c>
      <c r="B12" s="60" t="s">
        <v>18</v>
      </c>
      <c r="C12" s="75" t="s">
        <v>34</v>
      </c>
      <c r="D12" s="254" t="s">
        <v>17</v>
      </c>
      <c r="E12" s="255"/>
      <c r="F12" s="70" t="s">
        <v>21</v>
      </c>
      <c r="G12" s="58"/>
      <c r="H12" s="65"/>
    </row>
    <row r="13" spans="1:8" ht="36.75" customHeight="1" x14ac:dyDescent="0.25">
      <c r="A13" s="74">
        <v>4</v>
      </c>
      <c r="B13" s="60" t="s">
        <v>19</v>
      </c>
      <c r="C13" s="75" t="s">
        <v>34</v>
      </c>
      <c r="D13" s="254" t="s">
        <v>13</v>
      </c>
      <c r="E13" s="255"/>
      <c r="F13" s="70" t="s">
        <v>21</v>
      </c>
      <c r="G13" s="58"/>
      <c r="H13" s="65"/>
    </row>
    <row r="14" spans="1:8" ht="36.75" customHeight="1" x14ac:dyDescent="0.25">
      <c r="A14" s="74">
        <v>5</v>
      </c>
      <c r="B14" s="61" t="s">
        <v>14</v>
      </c>
      <c r="C14" s="75" t="s">
        <v>34</v>
      </c>
      <c r="D14" s="254" t="s">
        <v>13</v>
      </c>
      <c r="E14" s="255"/>
      <c r="F14" s="70" t="s">
        <v>21</v>
      </c>
      <c r="G14" s="58"/>
      <c r="H14" s="64"/>
    </row>
    <row r="15" spans="1:8" ht="36.75" customHeight="1" thickBot="1" x14ac:dyDescent="0.3">
      <c r="A15" s="76">
        <v>6</v>
      </c>
      <c r="B15" s="77" t="s">
        <v>15</v>
      </c>
      <c r="C15" s="78" t="s">
        <v>34</v>
      </c>
      <c r="D15" s="256" t="s">
        <v>13</v>
      </c>
      <c r="E15" s="257"/>
      <c r="F15" s="71" t="s">
        <v>21</v>
      </c>
      <c r="G15" s="58"/>
      <c r="H15" s="58"/>
    </row>
    <row r="16" spans="1:8" x14ac:dyDescent="0.25">
      <c r="A16" s="58"/>
      <c r="B16" s="58"/>
      <c r="C16" s="58"/>
      <c r="D16" s="58"/>
      <c r="E16" s="58"/>
      <c r="F16" s="68"/>
      <c r="G16" s="58"/>
      <c r="H16" s="58"/>
    </row>
  </sheetData>
  <mergeCells count="22">
    <mergeCell ref="D14:E14"/>
    <mergeCell ref="D15:E15"/>
    <mergeCell ref="D11:E11"/>
    <mergeCell ref="D12:E12"/>
    <mergeCell ref="D13:E13"/>
    <mergeCell ref="A7:B7"/>
    <mergeCell ref="C7:E7"/>
    <mergeCell ref="A8:E8"/>
    <mergeCell ref="D9:E9"/>
    <mergeCell ref="D10:E10"/>
    <mergeCell ref="A6:B6"/>
    <mergeCell ref="C6:E6"/>
    <mergeCell ref="A1:B1"/>
    <mergeCell ref="C1:E1"/>
    <mergeCell ref="A2:B2"/>
    <mergeCell ref="C2:E2"/>
    <mergeCell ref="A3:B3"/>
    <mergeCell ref="C3:E3"/>
    <mergeCell ref="A4:B4"/>
    <mergeCell ref="C4:E4"/>
    <mergeCell ref="A5:B5"/>
    <mergeCell ref="C5:E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AC4A-8968-4992-9487-2F97383345D1}">
  <dimension ref="A1:I13"/>
  <sheetViews>
    <sheetView workbookViewId="0">
      <selection activeCell="F17" sqref="F17"/>
    </sheetView>
  </sheetViews>
  <sheetFormatPr defaultRowHeight="15" x14ac:dyDescent="0.25"/>
  <cols>
    <col min="2" max="2" width="46" customWidth="1"/>
    <col min="3" max="8" width="23.42578125" customWidth="1"/>
    <col min="9" max="9" width="38" customWidth="1"/>
  </cols>
  <sheetData>
    <row r="1" spans="1:9" ht="15.75" thickBot="1" x14ac:dyDescent="0.3">
      <c r="A1" s="240" t="s">
        <v>0</v>
      </c>
      <c r="B1" s="241"/>
      <c r="C1" s="306" t="s">
        <v>1</v>
      </c>
      <c r="D1" s="307"/>
      <c r="E1" s="307"/>
      <c r="F1" s="307"/>
      <c r="G1" s="307"/>
      <c r="H1" s="308"/>
      <c r="I1" s="80"/>
    </row>
    <row r="2" spans="1:9" x14ac:dyDescent="0.25">
      <c r="A2" s="244" t="s">
        <v>2</v>
      </c>
      <c r="B2" s="269"/>
      <c r="C2" s="309" t="s">
        <v>130</v>
      </c>
      <c r="D2" s="310"/>
      <c r="E2" s="310"/>
      <c r="F2" s="310"/>
      <c r="G2" s="310"/>
      <c r="H2" s="311"/>
      <c r="I2" s="79"/>
    </row>
    <row r="3" spans="1:9" x14ac:dyDescent="0.25">
      <c r="A3" s="248" t="s">
        <v>3</v>
      </c>
      <c r="B3" s="314"/>
      <c r="C3" s="274">
        <v>7726718355</v>
      </c>
      <c r="D3" s="275"/>
      <c r="E3" s="275"/>
      <c r="F3" s="275"/>
      <c r="G3" s="275"/>
      <c r="H3" s="288"/>
      <c r="I3" s="79"/>
    </row>
    <row r="4" spans="1:9" x14ac:dyDescent="0.25">
      <c r="A4" s="248" t="s">
        <v>4</v>
      </c>
      <c r="B4" s="314"/>
      <c r="C4" s="274" t="s">
        <v>131</v>
      </c>
      <c r="D4" s="275"/>
      <c r="E4" s="275"/>
      <c r="F4" s="275"/>
      <c r="G4" s="275"/>
      <c r="H4" s="288"/>
      <c r="I4" s="79"/>
    </row>
    <row r="5" spans="1:9" x14ac:dyDescent="0.25">
      <c r="A5" s="248" t="s">
        <v>5</v>
      </c>
      <c r="B5" s="314"/>
      <c r="C5" s="274" t="s">
        <v>132</v>
      </c>
      <c r="D5" s="275"/>
      <c r="E5" s="275"/>
      <c r="F5" s="275"/>
      <c r="G5" s="275"/>
      <c r="H5" s="288"/>
      <c r="I5" s="79"/>
    </row>
    <row r="6" spans="1:9" x14ac:dyDescent="0.25">
      <c r="A6" s="252" t="s">
        <v>6</v>
      </c>
      <c r="B6" s="316"/>
      <c r="C6" s="274">
        <v>79037243124</v>
      </c>
      <c r="D6" s="275"/>
      <c r="E6" s="275"/>
      <c r="F6" s="275"/>
      <c r="G6" s="275"/>
      <c r="H6" s="288"/>
      <c r="I6" s="79"/>
    </row>
    <row r="7" spans="1:9" ht="15.75" thickBot="1" x14ac:dyDescent="0.3">
      <c r="A7" s="258" t="s">
        <v>7</v>
      </c>
      <c r="B7" s="315"/>
      <c r="C7" s="278" t="s">
        <v>133</v>
      </c>
      <c r="D7" s="279"/>
      <c r="E7" s="279"/>
      <c r="F7" s="279"/>
      <c r="G7" s="279"/>
      <c r="H7" s="298"/>
      <c r="I7" s="79"/>
    </row>
    <row r="8" spans="1:9" ht="15.75" thickBot="1" x14ac:dyDescent="0.3">
      <c r="A8" s="299" t="s">
        <v>8</v>
      </c>
      <c r="B8" s="299"/>
      <c r="C8" s="299"/>
      <c r="D8" s="79"/>
      <c r="E8" s="79"/>
      <c r="F8" s="79"/>
      <c r="G8" s="79"/>
      <c r="H8" s="79"/>
      <c r="I8" s="79"/>
    </row>
    <row r="9" spans="1:9" ht="15.75" thickBot="1" x14ac:dyDescent="0.3">
      <c r="A9" s="86" t="s">
        <v>9</v>
      </c>
      <c r="B9" s="89" t="s">
        <v>10</v>
      </c>
      <c r="C9" s="91">
        <v>2019</v>
      </c>
      <c r="D9" s="91">
        <v>2020</v>
      </c>
      <c r="E9" s="91">
        <v>2021</v>
      </c>
      <c r="F9" s="91">
        <v>2022</v>
      </c>
      <c r="G9" s="91">
        <v>2023</v>
      </c>
      <c r="H9" s="91">
        <v>2024</v>
      </c>
      <c r="I9" s="107">
        <v>2025</v>
      </c>
    </row>
    <row r="10" spans="1:9" ht="43.5" customHeight="1" x14ac:dyDescent="0.25">
      <c r="A10" s="84">
        <v>1</v>
      </c>
      <c r="B10" s="101" t="s">
        <v>24</v>
      </c>
      <c r="C10" s="104">
        <v>221.56200000000001</v>
      </c>
      <c r="D10" s="104">
        <v>297.51900000000001</v>
      </c>
      <c r="E10" s="104">
        <v>445.12599999999998</v>
      </c>
      <c r="F10" s="104">
        <v>612.06200000000001</v>
      </c>
      <c r="G10" s="104">
        <v>884.97900000000004</v>
      </c>
      <c r="H10" s="104">
        <v>1176.124</v>
      </c>
      <c r="I10" s="96"/>
    </row>
    <row r="11" spans="1:9" ht="43.5" customHeight="1" x14ac:dyDescent="0.25">
      <c r="A11" s="81">
        <v>2</v>
      </c>
      <c r="B11" s="101" t="s">
        <v>25</v>
      </c>
      <c r="C11" s="105">
        <v>1095.0320000000002</v>
      </c>
      <c r="D11" s="105">
        <v>1322.259</v>
      </c>
      <c r="E11" s="105">
        <v>2158.7259999999997</v>
      </c>
      <c r="F11" s="105">
        <v>2026.6120000000001</v>
      </c>
      <c r="G11" s="105">
        <v>3252.6390000000001</v>
      </c>
      <c r="H11" s="105">
        <v>4161.5940000000001</v>
      </c>
      <c r="I11" s="97"/>
    </row>
    <row r="12" spans="1:9" ht="52.5" customHeight="1" x14ac:dyDescent="0.25">
      <c r="A12" s="81">
        <v>3</v>
      </c>
      <c r="B12" s="102" t="s">
        <v>26</v>
      </c>
      <c r="C12" s="103" t="s">
        <v>135</v>
      </c>
      <c r="D12" s="103" t="s">
        <v>136</v>
      </c>
      <c r="E12" s="103" t="s">
        <v>137</v>
      </c>
      <c r="F12" s="103" t="s">
        <v>138</v>
      </c>
      <c r="G12" s="103" t="s">
        <v>139</v>
      </c>
      <c r="H12" s="106" t="s">
        <v>140</v>
      </c>
      <c r="I12" s="96"/>
    </row>
    <row r="13" spans="1:9" ht="250.5" customHeight="1" thickBot="1" x14ac:dyDescent="0.3">
      <c r="A13" s="81">
        <v>5</v>
      </c>
      <c r="B13" s="102" t="s">
        <v>28</v>
      </c>
      <c r="C13" s="103" t="s">
        <v>141</v>
      </c>
      <c r="D13" s="103" t="s">
        <v>142</v>
      </c>
      <c r="E13" s="103" t="s">
        <v>143</v>
      </c>
      <c r="F13" s="103" t="s">
        <v>144</v>
      </c>
      <c r="G13" s="103" t="s">
        <v>145</v>
      </c>
      <c r="H13" s="103" t="s">
        <v>146</v>
      </c>
      <c r="I13" s="108" t="s">
        <v>147</v>
      </c>
    </row>
  </sheetData>
  <mergeCells count="15">
    <mergeCell ref="C6:H6"/>
    <mergeCell ref="A7:B7"/>
    <mergeCell ref="A8:C8"/>
    <mergeCell ref="C7:H7"/>
    <mergeCell ref="A4:B4"/>
    <mergeCell ref="A5:B5"/>
    <mergeCell ref="A6:B6"/>
    <mergeCell ref="C4:H4"/>
    <mergeCell ref="C5:H5"/>
    <mergeCell ref="A1:B1"/>
    <mergeCell ref="A2:B2"/>
    <mergeCell ref="A3:B3"/>
    <mergeCell ref="C1:H1"/>
    <mergeCell ref="C2:H2"/>
    <mergeCell ref="C3:H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96E8-23B3-4954-AEDE-1CF18941EC75}">
  <dimension ref="A1:H16"/>
  <sheetViews>
    <sheetView workbookViewId="0">
      <selection activeCell="H26" sqref="H26"/>
    </sheetView>
  </sheetViews>
  <sheetFormatPr defaultRowHeight="15" x14ac:dyDescent="0.25"/>
  <cols>
    <col min="1" max="1" width="7.7109375" style="79" customWidth="1"/>
    <col min="2" max="2" width="67.140625" style="79" customWidth="1"/>
    <col min="3" max="4" width="19.28515625" style="79" customWidth="1"/>
    <col min="5" max="5" width="29.140625" style="79" customWidth="1"/>
    <col min="6" max="6" width="24.42578125" style="79" customWidth="1"/>
    <col min="7" max="7" width="14.28515625" style="79" customWidth="1"/>
    <col min="8" max="8" width="24.42578125" style="79" customWidth="1"/>
    <col min="9" max="16384" width="9.140625" style="79"/>
  </cols>
  <sheetData>
    <row r="1" spans="1:8" s="80" customFormat="1" ht="15.75" thickBot="1" x14ac:dyDescent="0.3">
      <c r="A1" s="240" t="s">
        <v>0</v>
      </c>
      <c r="B1" s="241"/>
      <c r="C1" s="242" t="s">
        <v>1</v>
      </c>
      <c r="D1" s="242"/>
      <c r="E1" s="243"/>
      <c r="G1" s="79"/>
      <c r="H1" s="79"/>
    </row>
    <row r="2" spans="1:8" ht="39" customHeight="1" x14ac:dyDescent="0.25">
      <c r="A2" s="244" t="s">
        <v>2</v>
      </c>
      <c r="B2" s="245"/>
      <c r="C2" s="246" t="s">
        <v>148</v>
      </c>
      <c r="D2" s="246"/>
      <c r="E2" s="247"/>
    </row>
    <row r="3" spans="1:8" x14ac:dyDescent="0.25">
      <c r="A3" s="248" t="s">
        <v>3</v>
      </c>
      <c r="B3" s="249"/>
      <c r="C3" s="250">
        <v>7709759231</v>
      </c>
      <c r="D3" s="250"/>
      <c r="E3" s="251"/>
    </row>
    <row r="4" spans="1:8" x14ac:dyDescent="0.25">
      <c r="A4" s="248" t="s">
        <v>4</v>
      </c>
      <c r="B4" s="249"/>
      <c r="C4" s="250" t="s">
        <v>149</v>
      </c>
      <c r="D4" s="250"/>
      <c r="E4" s="251"/>
    </row>
    <row r="5" spans="1:8" ht="35.25" customHeight="1" x14ac:dyDescent="0.25">
      <c r="A5" s="248" t="s">
        <v>5</v>
      </c>
      <c r="B5" s="249"/>
      <c r="C5" s="250" t="s">
        <v>150</v>
      </c>
      <c r="D5" s="250"/>
      <c r="E5" s="251"/>
    </row>
    <row r="6" spans="1:8" x14ac:dyDescent="0.25">
      <c r="A6" s="252" t="s">
        <v>6</v>
      </c>
      <c r="B6" s="253"/>
      <c r="C6" s="317" t="s">
        <v>151</v>
      </c>
      <c r="D6" s="317"/>
      <c r="E6" s="318"/>
    </row>
    <row r="7" spans="1:8" ht="15.75" thickBot="1" x14ac:dyDescent="0.3">
      <c r="A7" s="258" t="s">
        <v>7</v>
      </c>
      <c r="B7" s="259"/>
      <c r="C7" s="283" t="s">
        <v>152</v>
      </c>
      <c r="D7" s="260"/>
      <c r="E7" s="261"/>
    </row>
    <row r="8" spans="1:8" ht="15.75" thickBot="1" x14ac:dyDescent="0.3">
      <c r="A8" s="224" t="s">
        <v>8</v>
      </c>
      <c r="B8" s="224"/>
      <c r="C8" s="224"/>
      <c r="D8" s="224"/>
      <c r="E8" s="224"/>
    </row>
    <row r="9" spans="1:8" ht="45.75" thickBot="1" x14ac:dyDescent="0.3">
      <c r="A9" s="86" t="s">
        <v>9</v>
      </c>
      <c r="B9" s="89" t="s">
        <v>10</v>
      </c>
      <c r="C9" s="90" t="s">
        <v>16</v>
      </c>
      <c r="D9" s="262" t="s">
        <v>23</v>
      </c>
      <c r="E9" s="263"/>
      <c r="F9" s="93" t="s">
        <v>20</v>
      </c>
    </row>
    <row r="10" spans="1:8" ht="48" customHeight="1" x14ac:dyDescent="0.25">
      <c r="A10" s="21">
        <v>1</v>
      </c>
      <c r="B10" s="85" t="s">
        <v>11</v>
      </c>
      <c r="C10" s="29" t="s">
        <v>34</v>
      </c>
      <c r="D10" s="319" t="s">
        <v>49</v>
      </c>
      <c r="E10" s="320"/>
      <c r="F10" s="94">
        <v>2015</v>
      </c>
      <c r="H10" s="87"/>
    </row>
    <row r="11" spans="1:8" ht="25.5" x14ac:dyDescent="0.25">
      <c r="A11" s="22">
        <v>2</v>
      </c>
      <c r="B11" s="82" t="s">
        <v>12</v>
      </c>
      <c r="C11" s="98" t="s">
        <v>34</v>
      </c>
      <c r="D11" s="254" t="s">
        <v>13</v>
      </c>
      <c r="E11" s="255"/>
      <c r="F11" s="94" t="s">
        <v>21</v>
      </c>
      <c r="H11" s="88"/>
    </row>
    <row r="12" spans="1:8" x14ac:dyDescent="0.25">
      <c r="A12" s="22">
        <v>3</v>
      </c>
      <c r="B12" s="82" t="s">
        <v>18</v>
      </c>
      <c r="C12" s="98" t="s">
        <v>34</v>
      </c>
      <c r="D12" s="254" t="s">
        <v>17</v>
      </c>
      <c r="E12" s="255"/>
      <c r="F12" s="94" t="s">
        <v>21</v>
      </c>
      <c r="H12" s="88"/>
    </row>
    <row r="13" spans="1:8" ht="25.5" x14ac:dyDescent="0.25">
      <c r="A13" s="22">
        <v>4</v>
      </c>
      <c r="B13" s="82" t="s">
        <v>19</v>
      </c>
      <c r="C13" s="98" t="s">
        <v>34</v>
      </c>
      <c r="D13" s="254" t="s">
        <v>13</v>
      </c>
      <c r="E13" s="255"/>
      <c r="F13" s="94" t="s">
        <v>21</v>
      </c>
      <c r="H13" s="88"/>
    </row>
    <row r="14" spans="1:8" x14ac:dyDescent="0.25">
      <c r="A14" s="22">
        <v>5</v>
      </c>
      <c r="B14" s="83" t="s">
        <v>14</v>
      </c>
      <c r="C14" s="98" t="s">
        <v>34</v>
      </c>
      <c r="D14" s="254" t="s">
        <v>13</v>
      </c>
      <c r="E14" s="255"/>
      <c r="F14" s="94" t="s">
        <v>21</v>
      </c>
      <c r="H14" s="87"/>
    </row>
    <row r="15" spans="1:8" ht="15.75" thickBot="1" x14ac:dyDescent="0.3">
      <c r="A15" s="24">
        <v>6</v>
      </c>
      <c r="B15" s="99" t="s">
        <v>15</v>
      </c>
      <c r="C15" s="100" t="s">
        <v>34</v>
      </c>
      <c r="D15" s="256" t="s">
        <v>13</v>
      </c>
      <c r="E15" s="257"/>
      <c r="F15" s="95" t="s">
        <v>21</v>
      </c>
    </row>
    <row r="16" spans="1:8" x14ac:dyDescent="0.25">
      <c r="F16" s="92"/>
    </row>
  </sheetData>
  <mergeCells count="22">
    <mergeCell ref="D12:E12"/>
    <mergeCell ref="D13:E13"/>
    <mergeCell ref="D14:E14"/>
    <mergeCell ref="D15:E15"/>
    <mergeCell ref="A7:B7"/>
    <mergeCell ref="C7:E7"/>
    <mergeCell ref="A8:E8"/>
    <mergeCell ref="D9:E9"/>
    <mergeCell ref="D10:E10"/>
    <mergeCell ref="D11:E11"/>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0:C15" xr:uid="{0B705031-942C-4FA5-916C-0F4851BDBCEA}">
      <formula1>"ДА,НЕТ"</formula1>
    </dataValidation>
  </dataValidations>
  <hyperlinks>
    <hyperlink ref="C7" r:id="rId1" xr:uid="{E397C5E4-057E-4FC8-95DD-0974A5D0327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3488-9368-4117-B8BD-D7F8BF5D6649}">
  <dimension ref="A1:I13"/>
  <sheetViews>
    <sheetView workbookViewId="0">
      <selection sqref="A1:XFD1048576"/>
    </sheetView>
  </sheetViews>
  <sheetFormatPr defaultRowHeight="15" x14ac:dyDescent="0.25"/>
  <cols>
    <col min="1" max="1" width="3.7109375" style="79" customWidth="1"/>
    <col min="2" max="2" width="66.5703125" style="79" customWidth="1"/>
    <col min="3" max="8" width="17" style="79" customWidth="1"/>
    <col min="9" max="9" width="55.7109375" style="80" customWidth="1"/>
    <col min="10" max="16384" width="9.140625" style="79"/>
  </cols>
  <sheetData>
    <row r="1" spans="1:9" s="80" customFormat="1" ht="15.75" thickBot="1" x14ac:dyDescent="0.3">
      <c r="A1" s="240" t="s">
        <v>0</v>
      </c>
      <c r="B1" s="321"/>
      <c r="C1" s="306" t="s">
        <v>1</v>
      </c>
      <c r="D1" s="307"/>
      <c r="E1" s="307"/>
      <c r="F1" s="307"/>
      <c r="G1" s="307"/>
      <c r="H1" s="308"/>
    </row>
    <row r="2" spans="1:9" ht="15" customHeight="1" x14ac:dyDescent="0.25">
      <c r="A2" s="244" t="s">
        <v>2</v>
      </c>
      <c r="B2" s="269"/>
      <c r="C2" s="322" t="s">
        <v>148</v>
      </c>
      <c r="D2" s="271"/>
      <c r="E2" s="271"/>
      <c r="F2" s="271"/>
      <c r="G2" s="271"/>
      <c r="H2" s="287"/>
    </row>
    <row r="3" spans="1:9" x14ac:dyDescent="0.25">
      <c r="A3" s="248" t="s">
        <v>3</v>
      </c>
      <c r="B3" s="314"/>
      <c r="C3" s="322">
        <v>7709759231</v>
      </c>
      <c r="D3" s="271"/>
      <c r="E3" s="271"/>
      <c r="F3" s="271"/>
      <c r="G3" s="271"/>
      <c r="H3" s="287"/>
    </row>
    <row r="4" spans="1:9" x14ac:dyDescent="0.25">
      <c r="A4" s="248" t="s">
        <v>4</v>
      </c>
      <c r="B4" s="314"/>
      <c r="C4" s="322" t="s">
        <v>149</v>
      </c>
      <c r="D4" s="271"/>
      <c r="E4" s="271"/>
      <c r="F4" s="271"/>
      <c r="G4" s="271"/>
      <c r="H4" s="287"/>
    </row>
    <row r="5" spans="1:9" ht="34.5" customHeight="1" x14ac:dyDescent="0.25">
      <c r="A5" s="248" t="s">
        <v>5</v>
      </c>
      <c r="B5" s="314"/>
      <c r="C5" s="322" t="s">
        <v>150</v>
      </c>
      <c r="D5" s="271"/>
      <c r="E5" s="271"/>
      <c r="F5" s="271"/>
      <c r="G5" s="271"/>
      <c r="H5" s="287"/>
    </row>
    <row r="6" spans="1:9" ht="15" customHeight="1" x14ac:dyDescent="0.25">
      <c r="A6" s="252" t="s">
        <v>6</v>
      </c>
      <c r="B6" s="316"/>
      <c r="C6" s="322" t="s">
        <v>151</v>
      </c>
      <c r="D6" s="271"/>
      <c r="E6" s="271"/>
      <c r="F6" s="271"/>
      <c r="G6" s="271"/>
      <c r="H6" s="287"/>
    </row>
    <row r="7" spans="1:9" ht="15.75" thickBot="1" x14ac:dyDescent="0.3">
      <c r="A7" s="258" t="s">
        <v>7</v>
      </c>
      <c r="B7" s="315"/>
      <c r="C7" s="323" t="s">
        <v>152</v>
      </c>
      <c r="D7" s="324"/>
      <c r="E7" s="324"/>
      <c r="F7" s="324"/>
      <c r="G7" s="324"/>
      <c r="H7" s="325"/>
    </row>
    <row r="8" spans="1:9" ht="15.75" thickBot="1" x14ac:dyDescent="0.3">
      <c r="A8" s="282" t="s">
        <v>8</v>
      </c>
      <c r="B8" s="282"/>
      <c r="C8" s="282"/>
    </row>
    <row r="9" spans="1:9" ht="15.75" thickBot="1" x14ac:dyDescent="0.3">
      <c r="A9" s="86" t="s">
        <v>9</v>
      </c>
      <c r="B9" s="89" t="s">
        <v>10</v>
      </c>
      <c r="C9" s="13">
        <v>2019</v>
      </c>
      <c r="D9" s="13">
        <v>2020</v>
      </c>
      <c r="E9" s="13">
        <v>2021</v>
      </c>
      <c r="F9" s="13">
        <v>2022</v>
      </c>
      <c r="G9" s="13">
        <v>2023</v>
      </c>
      <c r="H9" s="13">
        <v>2024</v>
      </c>
      <c r="I9" s="93" t="s">
        <v>20</v>
      </c>
    </row>
    <row r="10" spans="1:9" ht="25.5" x14ac:dyDescent="0.25">
      <c r="A10" s="5">
        <v>1</v>
      </c>
      <c r="B10" s="27" t="s">
        <v>24</v>
      </c>
      <c r="C10" s="109">
        <v>104.22</v>
      </c>
      <c r="D10" s="109">
        <v>251.86</v>
      </c>
      <c r="E10" s="110">
        <v>2646.28</v>
      </c>
      <c r="F10" s="109">
        <v>519.14</v>
      </c>
      <c r="G10" s="110">
        <v>1668.54</v>
      </c>
      <c r="H10" s="110">
        <v>1940.26</v>
      </c>
      <c r="I10" s="96">
        <v>545.25</v>
      </c>
    </row>
    <row r="11" spans="1:9" ht="25.5" x14ac:dyDescent="0.25">
      <c r="A11" s="2">
        <v>2</v>
      </c>
      <c r="B11" s="27" t="s">
        <v>25</v>
      </c>
      <c r="C11" s="110">
        <v>1133.8900000000001</v>
      </c>
      <c r="D11" s="110">
        <v>1911.088</v>
      </c>
      <c r="E11" s="110">
        <v>1320.73</v>
      </c>
      <c r="F11" s="110">
        <v>1631.6</v>
      </c>
      <c r="G11" s="110">
        <v>2341.5500000000002</v>
      </c>
      <c r="H11" s="110">
        <v>3061.82</v>
      </c>
      <c r="I11" s="97">
        <v>5647.1</v>
      </c>
    </row>
    <row r="12" spans="1:9" ht="51" x14ac:dyDescent="0.25">
      <c r="A12" s="2">
        <v>3</v>
      </c>
      <c r="B12" s="102" t="s">
        <v>26</v>
      </c>
      <c r="C12" s="109" t="s">
        <v>153</v>
      </c>
      <c r="D12" s="109" t="s">
        <v>154</v>
      </c>
      <c r="E12" s="109" t="s">
        <v>155</v>
      </c>
      <c r="F12" s="109" t="s">
        <v>156</v>
      </c>
      <c r="G12" s="109" t="s">
        <v>157</v>
      </c>
      <c r="H12" s="109" t="s">
        <v>158</v>
      </c>
      <c r="I12" s="96" t="s">
        <v>22</v>
      </c>
    </row>
    <row r="13" spans="1:9" ht="192" thickBot="1" x14ac:dyDescent="0.3">
      <c r="A13" s="2">
        <v>5</v>
      </c>
      <c r="B13" s="102" t="s">
        <v>28</v>
      </c>
      <c r="C13" s="38" t="s">
        <v>159</v>
      </c>
      <c r="D13" s="39" t="s">
        <v>160</v>
      </c>
      <c r="E13" s="38" t="s">
        <v>161</v>
      </c>
      <c r="F13" s="38" t="s">
        <v>162</v>
      </c>
      <c r="G13" s="38" t="s">
        <v>163</v>
      </c>
      <c r="H13" s="38" t="s">
        <v>164</v>
      </c>
      <c r="I13" s="20" t="s">
        <v>27</v>
      </c>
    </row>
  </sheetData>
  <mergeCells count="15">
    <mergeCell ref="A7:B7"/>
    <mergeCell ref="C7:H7"/>
    <mergeCell ref="A8:C8"/>
    <mergeCell ref="A4:B4"/>
    <mergeCell ref="C4:H4"/>
    <mergeCell ref="A5:B5"/>
    <mergeCell ref="C5:H5"/>
    <mergeCell ref="A6:B6"/>
    <mergeCell ref="C6:H6"/>
    <mergeCell ref="A1:B1"/>
    <mergeCell ref="C1:H1"/>
    <mergeCell ref="A2:B2"/>
    <mergeCell ref="C2:H2"/>
    <mergeCell ref="A3:B3"/>
    <mergeCell ref="C3:H3"/>
  </mergeCells>
  <hyperlinks>
    <hyperlink ref="C7" r:id="rId1" xr:uid="{E6C31F11-7B92-4713-9CF8-F90D8AA8703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6643D-3569-424E-B45D-4C4F5AADC010}">
  <dimension ref="A1:H16"/>
  <sheetViews>
    <sheetView workbookViewId="0">
      <selection activeCell="H26" sqref="H26"/>
    </sheetView>
  </sheetViews>
  <sheetFormatPr defaultRowHeight="15" x14ac:dyDescent="0.25"/>
  <cols>
    <col min="1" max="1" width="7.7109375" customWidth="1"/>
    <col min="2" max="2" width="67.140625" customWidth="1"/>
    <col min="3" max="4" width="19.28515625" customWidth="1"/>
    <col min="5" max="5" width="29.140625" customWidth="1"/>
    <col min="6" max="6" width="24.42578125" customWidth="1"/>
    <col min="7" max="7" width="14.28515625" customWidth="1"/>
    <col min="8" max="8" width="24.42578125" customWidth="1"/>
  </cols>
  <sheetData>
    <row r="1" spans="1:8" s="1" customFormat="1" ht="72" customHeight="1" thickBot="1" x14ac:dyDescent="0.3">
      <c r="A1" s="240" t="s">
        <v>0</v>
      </c>
      <c r="B1" s="241"/>
      <c r="C1" s="242" t="s">
        <v>1</v>
      </c>
      <c r="D1" s="242"/>
      <c r="E1" s="243"/>
      <c r="G1"/>
      <c r="H1"/>
    </row>
    <row r="2" spans="1:8" ht="27" customHeight="1" x14ac:dyDescent="0.25">
      <c r="A2" s="244" t="s">
        <v>2</v>
      </c>
      <c r="B2" s="245"/>
      <c r="C2" s="246" t="s">
        <v>29</v>
      </c>
      <c r="D2" s="246"/>
      <c r="E2" s="247"/>
    </row>
    <row r="3" spans="1:8" x14ac:dyDescent="0.25">
      <c r="A3" s="248" t="s">
        <v>3</v>
      </c>
      <c r="B3" s="249"/>
      <c r="C3" s="250">
        <v>5029182024</v>
      </c>
      <c r="D3" s="250"/>
      <c r="E3" s="251"/>
    </row>
    <row r="4" spans="1:8" x14ac:dyDescent="0.25">
      <c r="A4" s="248" t="s">
        <v>4</v>
      </c>
      <c r="B4" s="249"/>
      <c r="C4" s="250" t="s">
        <v>30</v>
      </c>
      <c r="D4" s="250"/>
      <c r="E4" s="251"/>
    </row>
    <row r="5" spans="1:8" ht="44.25" customHeight="1" x14ac:dyDescent="0.25">
      <c r="A5" s="248" t="s">
        <v>5</v>
      </c>
      <c r="B5" s="249"/>
      <c r="C5" s="250" t="s">
        <v>37</v>
      </c>
      <c r="D5" s="250"/>
      <c r="E5" s="251"/>
    </row>
    <row r="6" spans="1:8" x14ac:dyDescent="0.25">
      <c r="A6" s="252" t="s">
        <v>6</v>
      </c>
      <c r="B6" s="253"/>
      <c r="C6" s="250" t="s">
        <v>33</v>
      </c>
      <c r="D6" s="250"/>
      <c r="E6" s="251"/>
    </row>
    <row r="7" spans="1:8" ht="15.75" thickBot="1" x14ac:dyDescent="0.3">
      <c r="A7" s="258" t="s">
        <v>7</v>
      </c>
      <c r="B7" s="259"/>
      <c r="C7" s="283" t="s">
        <v>32</v>
      </c>
      <c r="D7" s="260"/>
      <c r="E7" s="261"/>
    </row>
    <row r="8" spans="1:8" ht="15.75" thickBot="1" x14ac:dyDescent="0.3">
      <c r="A8" s="224" t="s">
        <v>8</v>
      </c>
      <c r="B8" s="224"/>
      <c r="C8" s="224"/>
      <c r="D8" s="224"/>
      <c r="E8" s="224"/>
    </row>
    <row r="9" spans="1:8" ht="76.5" customHeight="1" thickBot="1" x14ac:dyDescent="0.3">
      <c r="A9" s="7" t="s">
        <v>9</v>
      </c>
      <c r="B9" s="10" t="s">
        <v>10</v>
      </c>
      <c r="C9" s="11" t="s">
        <v>16</v>
      </c>
      <c r="D9" s="262" t="s">
        <v>23</v>
      </c>
      <c r="E9" s="263"/>
      <c r="F9" s="15" t="s">
        <v>20</v>
      </c>
    </row>
    <row r="10" spans="1:8" ht="36.75" customHeight="1" x14ac:dyDescent="0.25">
      <c r="A10" s="21">
        <v>1</v>
      </c>
      <c r="B10" s="6" t="s">
        <v>11</v>
      </c>
      <c r="C10" s="29" t="s">
        <v>34</v>
      </c>
      <c r="D10" s="326" t="s">
        <v>35</v>
      </c>
      <c r="E10" s="327"/>
      <c r="F10" s="16">
        <v>2015</v>
      </c>
      <c r="H10" s="8"/>
    </row>
    <row r="11" spans="1:8" ht="24" customHeight="1" x14ac:dyDescent="0.25">
      <c r="A11" s="22">
        <v>2</v>
      </c>
      <c r="B11" s="3" t="s">
        <v>12</v>
      </c>
      <c r="C11" s="23" t="s">
        <v>34</v>
      </c>
      <c r="D11" s="254" t="s">
        <v>13</v>
      </c>
      <c r="E11" s="255"/>
      <c r="F11" s="16" t="s">
        <v>21</v>
      </c>
      <c r="H11" s="9"/>
    </row>
    <row r="12" spans="1:8" ht="47.25" customHeight="1" x14ac:dyDescent="0.25">
      <c r="A12" s="22">
        <v>3</v>
      </c>
      <c r="B12" s="3" t="s">
        <v>18</v>
      </c>
      <c r="C12" s="23" t="s">
        <v>34</v>
      </c>
      <c r="D12" s="254" t="s">
        <v>17</v>
      </c>
      <c r="E12" s="255"/>
      <c r="F12" s="16" t="s">
        <v>21</v>
      </c>
      <c r="H12" s="9"/>
    </row>
    <row r="13" spans="1:8" ht="37.5" customHeight="1" x14ac:dyDescent="0.25">
      <c r="A13" s="22">
        <v>4</v>
      </c>
      <c r="B13" s="3" t="s">
        <v>19</v>
      </c>
      <c r="C13" s="23" t="s">
        <v>34</v>
      </c>
      <c r="D13" s="254" t="s">
        <v>13</v>
      </c>
      <c r="E13" s="255"/>
      <c r="F13" s="16" t="s">
        <v>21</v>
      </c>
      <c r="H13" s="9"/>
    </row>
    <row r="14" spans="1:8" ht="24" customHeight="1" x14ac:dyDescent="0.25">
      <c r="A14" s="22">
        <v>5</v>
      </c>
      <c r="B14" s="4" t="s">
        <v>14</v>
      </c>
      <c r="C14" s="23" t="s">
        <v>34</v>
      </c>
      <c r="D14" s="254" t="s">
        <v>13</v>
      </c>
      <c r="E14" s="255"/>
      <c r="F14" s="16" t="s">
        <v>21</v>
      </c>
      <c r="H14" s="8"/>
    </row>
    <row r="15" spans="1:8" ht="24" customHeight="1" thickBot="1" x14ac:dyDescent="0.3">
      <c r="A15" s="24">
        <v>6</v>
      </c>
      <c r="B15" s="25" t="s">
        <v>15</v>
      </c>
      <c r="C15" s="26" t="s">
        <v>36</v>
      </c>
      <c r="D15" s="256" t="s">
        <v>13</v>
      </c>
      <c r="E15" s="257"/>
      <c r="F15" s="17" t="s">
        <v>21</v>
      </c>
    </row>
    <row r="16" spans="1:8" x14ac:dyDescent="0.25">
      <c r="F16" s="14"/>
    </row>
  </sheetData>
  <mergeCells count="22">
    <mergeCell ref="D14:E14"/>
    <mergeCell ref="D15:E15"/>
    <mergeCell ref="D11:E11"/>
    <mergeCell ref="D12:E12"/>
    <mergeCell ref="D13:E13"/>
    <mergeCell ref="A7:B7"/>
    <mergeCell ref="C7:E7"/>
    <mergeCell ref="A8:E8"/>
    <mergeCell ref="D9:E9"/>
    <mergeCell ref="D10:E10"/>
    <mergeCell ref="A4:B4"/>
    <mergeCell ref="C4:E4"/>
    <mergeCell ref="A5:B5"/>
    <mergeCell ref="C5:E5"/>
    <mergeCell ref="A6:B6"/>
    <mergeCell ref="C6:E6"/>
    <mergeCell ref="A1:B1"/>
    <mergeCell ref="C1:E1"/>
    <mergeCell ref="A2:B2"/>
    <mergeCell ref="C2:E2"/>
    <mergeCell ref="A3:B3"/>
    <mergeCell ref="C3:E3"/>
  </mergeCells>
  <dataValidations count="1">
    <dataValidation type="list" allowBlank="1" showInputMessage="1" showErrorMessage="1" sqref="C10:C15" xr:uid="{BEA4B0FE-CE66-45BF-A560-B741E45DF634}">
      <formula1>"ДА,НЕТ"</formula1>
    </dataValidation>
  </dataValidations>
  <hyperlinks>
    <hyperlink ref="C7" r:id="rId1" xr:uid="{47C3247F-B800-467A-9BEA-E4BAC08CBB13}"/>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E7E5-953F-4434-8372-A4B5A9BAAA6A}">
  <dimension ref="A1:I13"/>
  <sheetViews>
    <sheetView topLeftCell="B1" workbookViewId="0">
      <selection activeCell="H26" sqref="H26"/>
    </sheetView>
  </sheetViews>
  <sheetFormatPr defaultRowHeight="15" x14ac:dyDescent="0.25"/>
  <cols>
    <col min="1" max="1" width="3.7109375" customWidth="1"/>
    <col min="2" max="2" width="66.5703125" customWidth="1"/>
    <col min="3" max="3" width="43.28515625" customWidth="1"/>
    <col min="4" max="8" width="42.7109375" customWidth="1"/>
    <col min="9" max="9" width="55.7109375" style="1" customWidth="1"/>
  </cols>
  <sheetData>
    <row r="1" spans="1:9" s="1" customFormat="1" ht="72" customHeight="1" thickBot="1" x14ac:dyDescent="0.3">
      <c r="A1" s="240" t="s">
        <v>0</v>
      </c>
      <c r="B1" s="241"/>
      <c r="C1" s="266" t="s">
        <v>1</v>
      </c>
      <c r="D1" s="267"/>
      <c r="E1" s="267"/>
      <c r="F1" s="267"/>
      <c r="G1" s="267"/>
      <c r="H1" s="268"/>
    </row>
    <row r="2" spans="1:9" ht="29.25" customHeight="1" thickBot="1" x14ac:dyDescent="0.3">
      <c r="A2" s="328" t="s">
        <v>2</v>
      </c>
      <c r="B2" s="329"/>
      <c r="C2" s="330" t="s">
        <v>29</v>
      </c>
      <c r="D2" s="331"/>
      <c r="E2" s="331"/>
      <c r="F2" s="332"/>
      <c r="G2" s="332"/>
      <c r="H2" s="333"/>
    </row>
    <row r="3" spans="1:9" x14ac:dyDescent="0.25">
      <c r="A3" s="244" t="s">
        <v>3</v>
      </c>
      <c r="B3" s="245"/>
      <c r="C3" s="270">
        <v>5029182024</v>
      </c>
      <c r="D3" s="271"/>
      <c r="E3" s="271"/>
      <c r="F3" s="272">
        <v>5029182024</v>
      </c>
      <c r="G3" s="272"/>
      <c r="H3" s="273"/>
    </row>
    <row r="4" spans="1:9" x14ac:dyDescent="0.25">
      <c r="A4" s="248" t="s">
        <v>4</v>
      </c>
      <c r="B4" s="249"/>
      <c r="C4" s="270" t="s">
        <v>30</v>
      </c>
      <c r="D4" s="271"/>
      <c r="E4" s="271"/>
      <c r="F4" s="272" t="s">
        <v>30</v>
      </c>
      <c r="G4" s="272"/>
      <c r="H4" s="273"/>
    </row>
    <row r="5" spans="1:9" ht="15" customHeight="1" x14ac:dyDescent="0.25">
      <c r="A5" s="248" t="s">
        <v>5</v>
      </c>
      <c r="B5" s="249"/>
      <c r="C5" s="270" t="s">
        <v>37</v>
      </c>
      <c r="D5" s="271"/>
      <c r="E5" s="271"/>
      <c r="F5" s="272" t="s">
        <v>31</v>
      </c>
      <c r="G5" s="272"/>
      <c r="H5" s="273"/>
    </row>
    <row r="6" spans="1:9" ht="15" customHeight="1" x14ac:dyDescent="0.25">
      <c r="A6" s="252" t="s">
        <v>6</v>
      </c>
      <c r="B6" s="253"/>
      <c r="C6" s="270" t="s">
        <v>33</v>
      </c>
      <c r="D6" s="271"/>
      <c r="E6" s="271"/>
      <c r="F6" s="272" t="s">
        <v>33</v>
      </c>
      <c r="G6" s="272"/>
      <c r="H6" s="273"/>
    </row>
    <row r="7" spans="1:9" ht="15.75" customHeight="1" thickBot="1" x14ac:dyDescent="0.3">
      <c r="A7" s="258" t="s">
        <v>7</v>
      </c>
      <c r="B7" s="259"/>
      <c r="C7" s="270" t="s">
        <v>32</v>
      </c>
      <c r="D7" s="271"/>
      <c r="E7" s="271"/>
      <c r="F7" s="272" t="s">
        <v>32</v>
      </c>
      <c r="G7" s="272"/>
      <c r="H7" s="273"/>
    </row>
    <row r="8" spans="1:9" ht="15.75" thickBot="1" x14ac:dyDescent="0.3">
      <c r="A8" s="282" t="s">
        <v>8</v>
      </c>
      <c r="B8" s="282"/>
      <c r="C8" s="282"/>
    </row>
    <row r="9" spans="1:9" ht="76.5" customHeight="1" thickBot="1" x14ac:dyDescent="0.3">
      <c r="A9" s="7" t="s">
        <v>9</v>
      </c>
      <c r="B9" s="10" t="s">
        <v>10</v>
      </c>
      <c r="C9" s="13">
        <v>2019</v>
      </c>
      <c r="D9" s="13">
        <v>2020</v>
      </c>
      <c r="E9" s="13">
        <v>2021</v>
      </c>
      <c r="F9" s="13">
        <v>2022</v>
      </c>
      <c r="G9" s="13">
        <v>2023</v>
      </c>
      <c r="H9" s="13">
        <v>2024</v>
      </c>
      <c r="I9" s="15" t="s">
        <v>20</v>
      </c>
    </row>
    <row r="10" spans="1:9" ht="30.75" customHeight="1" x14ac:dyDescent="0.25">
      <c r="A10" s="5">
        <v>1</v>
      </c>
      <c r="B10" s="27" t="s">
        <v>24</v>
      </c>
      <c r="C10" s="31">
        <v>94079000</v>
      </c>
      <c r="D10" s="31">
        <v>265408000</v>
      </c>
      <c r="E10" s="31">
        <v>258506000</v>
      </c>
      <c r="F10" s="31">
        <v>469899000</v>
      </c>
      <c r="G10" s="31">
        <v>591413000</v>
      </c>
      <c r="H10" s="31">
        <v>976243000</v>
      </c>
      <c r="I10" s="18">
        <v>545.25</v>
      </c>
    </row>
    <row r="11" spans="1:9" ht="30.75" customHeight="1" x14ac:dyDescent="0.25">
      <c r="A11" s="2">
        <v>2</v>
      </c>
      <c r="B11" s="27" t="s">
        <v>25</v>
      </c>
      <c r="C11" s="12"/>
      <c r="D11" s="12"/>
      <c r="E11" s="12"/>
      <c r="F11" s="12"/>
      <c r="G11" s="12"/>
      <c r="H11" s="12"/>
      <c r="I11" s="19">
        <v>5647.1</v>
      </c>
    </row>
    <row r="12" spans="1:9" ht="41.25" customHeight="1" x14ac:dyDescent="0.25">
      <c r="A12" s="2">
        <v>3</v>
      </c>
      <c r="B12" s="28" t="s">
        <v>26</v>
      </c>
      <c r="C12" s="30" t="s">
        <v>45</v>
      </c>
      <c r="D12" s="30" t="s">
        <v>38</v>
      </c>
      <c r="E12" s="30" t="s">
        <v>39</v>
      </c>
      <c r="F12" s="30" t="s">
        <v>40</v>
      </c>
      <c r="G12" s="30" t="s">
        <v>41</v>
      </c>
      <c r="H12" s="30" t="s">
        <v>42</v>
      </c>
      <c r="I12" s="18" t="s">
        <v>22</v>
      </c>
    </row>
    <row r="13" spans="1:9" ht="409.5" customHeight="1" thickBot="1" x14ac:dyDescent="0.3">
      <c r="A13" s="2">
        <v>5</v>
      </c>
      <c r="B13" s="28" t="s">
        <v>28</v>
      </c>
      <c r="C13" s="32"/>
      <c r="D13" s="33" t="s">
        <v>46</v>
      </c>
      <c r="E13" s="33" t="s">
        <v>43</v>
      </c>
      <c r="F13" s="33" t="s">
        <v>44</v>
      </c>
      <c r="G13" s="33" t="s">
        <v>47</v>
      </c>
      <c r="H13" s="33" t="s">
        <v>48</v>
      </c>
      <c r="I13" s="20" t="s">
        <v>27</v>
      </c>
    </row>
  </sheetData>
  <mergeCells count="15">
    <mergeCell ref="A8:C8"/>
    <mergeCell ref="C7:H7"/>
    <mergeCell ref="A4:B4"/>
    <mergeCell ref="A5:B5"/>
    <mergeCell ref="A6:B6"/>
    <mergeCell ref="C4:H4"/>
    <mergeCell ref="C5:H5"/>
    <mergeCell ref="A1:B1"/>
    <mergeCell ref="A2:B2"/>
    <mergeCell ref="A3:B3"/>
    <mergeCell ref="C6:H6"/>
    <mergeCell ref="A7:B7"/>
    <mergeCell ref="C1:H1"/>
    <mergeCell ref="C2:H2"/>
    <mergeCell ref="C3:H3"/>
  </mergeCells>
  <hyperlinks>
    <hyperlink ref="C7" r:id="rId1" xr:uid="{ECC65458-C99D-4B86-8E27-238053E31326}"/>
    <hyperlink ref="F7" r:id="rId2" xr:uid="{D55441D7-1708-4E16-828A-73A8373470F1}"/>
  </hyperlinks>
  <pageMargins left="0.7" right="0.7" top="0.75" bottom="0.75" header="0.3" footer="0.3"/>
  <pageSetup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5ABA-C4A0-4B3F-AB48-6E061A1C1B72}">
  <dimension ref="A1"/>
  <sheetViews>
    <sheetView workbookViewId="0">
      <selection activeCell="H26" sqref="H26"/>
    </sheetView>
  </sheetViews>
  <sheetFormatPr defaultRowHeight="15" x14ac:dyDescent="0.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7B41-A0D7-4BB9-B081-2BF9FF37ED4F}">
  <dimension ref="A1"/>
  <sheetViews>
    <sheetView workbookViewId="0">
      <selection activeCell="H26" sqref="H26"/>
    </sheetView>
  </sheetViews>
  <sheetFormatPr defaultRowHeight="15" x14ac:dyDescent="0.25"/>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7A76-47E2-4972-B1AC-D47A9241A379}">
  <dimension ref="A1:H16"/>
  <sheetViews>
    <sheetView workbookViewId="0">
      <selection activeCell="H26" sqref="H26"/>
    </sheetView>
  </sheetViews>
  <sheetFormatPr defaultRowHeight="15" x14ac:dyDescent="0.25"/>
  <cols>
    <col min="1" max="1" width="7.7109375" style="79" customWidth="1"/>
    <col min="2" max="2" width="67.140625" style="79" customWidth="1"/>
    <col min="3" max="4" width="19.28515625" style="79" customWidth="1"/>
    <col min="5" max="5" width="29.140625" style="79" customWidth="1"/>
    <col min="6" max="6" width="24.42578125" style="79" customWidth="1"/>
    <col min="7" max="7" width="14.28515625" style="79" customWidth="1"/>
    <col min="8" max="8" width="24.42578125" style="79" customWidth="1"/>
    <col min="9" max="16384" width="9.140625" style="79"/>
  </cols>
  <sheetData>
    <row r="1" spans="1:8" s="80" customFormat="1" ht="15.75" thickBot="1" x14ac:dyDescent="0.3">
      <c r="A1" s="240" t="s">
        <v>0</v>
      </c>
      <c r="B1" s="241"/>
      <c r="C1" s="242" t="s">
        <v>1</v>
      </c>
      <c r="D1" s="242"/>
      <c r="E1" s="243"/>
      <c r="G1" s="79"/>
      <c r="H1" s="79"/>
    </row>
    <row r="2" spans="1:8" ht="35.25" customHeight="1" x14ac:dyDescent="0.25">
      <c r="A2" s="244" t="s">
        <v>2</v>
      </c>
      <c r="B2" s="245"/>
      <c r="C2" s="246" t="s">
        <v>165</v>
      </c>
      <c r="D2" s="246"/>
      <c r="E2" s="247"/>
    </row>
    <row r="3" spans="1:8" x14ac:dyDescent="0.25">
      <c r="A3" s="248" t="s">
        <v>3</v>
      </c>
      <c r="B3" s="249"/>
      <c r="C3" s="250">
        <v>7814800739</v>
      </c>
      <c r="D3" s="250"/>
      <c r="E3" s="251"/>
    </row>
    <row r="4" spans="1:8" x14ac:dyDescent="0.25">
      <c r="A4" s="248" t="s">
        <v>4</v>
      </c>
      <c r="B4" s="249"/>
      <c r="C4" s="250" t="s">
        <v>166</v>
      </c>
      <c r="D4" s="250"/>
      <c r="E4" s="251"/>
    </row>
    <row r="5" spans="1:8" ht="40.5" customHeight="1" x14ac:dyDescent="0.25">
      <c r="A5" s="248" t="s">
        <v>5</v>
      </c>
      <c r="B5" s="249"/>
      <c r="C5" s="336" t="s">
        <v>167</v>
      </c>
      <c r="D5" s="336"/>
      <c r="E5" s="337"/>
    </row>
    <row r="6" spans="1:8" x14ac:dyDescent="0.25">
      <c r="A6" s="252" t="s">
        <v>6</v>
      </c>
      <c r="B6" s="253"/>
      <c r="C6" s="250" t="s">
        <v>168</v>
      </c>
      <c r="D6" s="250"/>
      <c r="E6" s="251"/>
    </row>
    <row r="7" spans="1:8" ht="15.75" thickBot="1" x14ac:dyDescent="0.3">
      <c r="A7" s="258" t="s">
        <v>7</v>
      </c>
      <c r="B7" s="259"/>
      <c r="C7" s="283" t="s">
        <v>169</v>
      </c>
      <c r="D7" s="260"/>
      <c r="E7" s="261"/>
    </row>
    <row r="8" spans="1:8" ht="15.75" thickBot="1" x14ac:dyDescent="0.3">
      <c r="A8" s="224" t="s">
        <v>8</v>
      </c>
      <c r="B8" s="224"/>
      <c r="C8" s="224"/>
      <c r="D8" s="224"/>
      <c r="E8" s="224"/>
    </row>
    <row r="9" spans="1:8" ht="45.75" thickBot="1" x14ac:dyDescent="0.3">
      <c r="A9" s="86" t="s">
        <v>9</v>
      </c>
      <c r="B9" s="89" t="s">
        <v>10</v>
      </c>
      <c r="C9" s="90" t="s">
        <v>16</v>
      </c>
      <c r="D9" s="262" t="s">
        <v>23</v>
      </c>
      <c r="E9" s="263"/>
      <c r="F9" s="93" t="s">
        <v>20</v>
      </c>
    </row>
    <row r="10" spans="1:8" x14ac:dyDescent="0.25">
      <c r="A10" s="72">
        <v>1</v>
      </c>
      <c r="B10" s="85" t="s">
        <v>170</v>
      </c>
      <c r="C10" s="73" t="s">
        <v>34</v>
      </c>
      <c r="D10" s="334">
        <v>1993</v>
      </c>
      <c r="E10" s="335"/>
      <c r="F10" s="94">
        <v>2015</v>
      </c>
      <c r="H10" s="111"/>
    </row>
    <row r="11" spans="1:8" ht="25.5" x14ac:dyDescent="0.25">
      <c r="A11" s="74">
        <v>2</v>
      </c>
      <c r="B11" s="82" t="s">
        <v>171</v>
      </c>
      <c r="C11" s="98" t="s">
        <v>34</v>
      </c>
      <c r="D11" s="254" t="s">
        <v>172</v>
      </c>
      <c r="E11" s="255"/>
      <c r="F11" s="94" t="s">
        <v>21</v>
      </c>
      <c r="H11" s="112"/>
    </row>
    <row r="12" spans="1:8" x14ac:dyDescent="0.25">
      <c r="A12" s="74">
        <v>3</v>
      </c>
      <c r="B12" s="82" t="s">
        <v>18</v>
      </c>
      <c r="C12" s="98" t="s">
        <v>34</v>
      </c>
      <c r="D12" s="254" t="s">
        <v>172</v>
      </c>
      <c r="E12" s="255"/>
      <c r="F12" s="94" t="s">
        <v>21</v>
      </c>
      <c r="H12" s="112"/>
    </row>
    <row r="13" spans="1:8" ht="25.5" x14ac:dyDescent="0.25">
      <c r="A13" s="74">
        <v>4</v>
      </c>
      <c r="B13" s="82" t="s">
        <v>19</v>
      </c>
      <c r="C13" s="98" t="s">
        <v>34</v>
      </c>
      <c r="D13" s="254" t="s">
        <v>172</v>
      </c>
      <c r="E13" s="255"/>
      <c r="F13" s="94" t="s">
        <v>21</v>
      </c>
      <c r="H13" s="112"/>
    </row>
    <row r="14" spans="1:8" x14ac:dyDescent="0.25">
      <c r="A14" s="74">
        <v>5</v>
      </c>
      <c r="B14" s="83" t="s">
        <v>173</v>
      </c>
      <c r="C14" s="98" t="s">
        <v>34</v>
      </c>
      <c r="D14" s="254" t="s">
        <v>172</v>
      </c>
      <c r="E14" s="255"/>
      <c r="F14" s="94" t="s">
        <v>21</v>
      </c>
      <c r="H14" s="111"/>
    </row>
    <row r="15" spans="1:8" ht="15.75" thickBot="1" x14ac:dyDescent="0.3">
      <c r="A15" s="76">
        <v>6</v>
      </c>
      <c r="B15" s="99" t="s">
        <v>174</v>
      </c>
      <c r="C15" s="100" t="s">
        <v>34</v>
      </c>
      <c r="D15" s="254" t="s">
        <v>172</v>
      </c>
      <c r="E15" s="255"/>
      <c r="F15" s="95" t="s">
        <v>21</v>
      </c>
    </row>
    <row r="16" spans="1:8" x14ac:dyDescent="0.25">
      <c r="F16" s="92"/>
    </row>
  </sheetData>
  <mergeCells count="22">
    <mergeCell ref="A1:B1"/>
    <mergeCell ref="C1:E1"/>
    <mergeCell ref="A2:B2"/>
    <mergeCell ref="C2:E2"/>
    <mergeCell ref="A3:B3"/>
    <mergeCell ref="C3:E3"/>
    <mergeCell ref="A4:B4"/>
    <mergeCell ref="C4:E4"/>
    <mergeCell ref="A5:B5"/>
    <mergeCell ref="C5:E5"/>
    <mergeCell ref="A6:B6"/>
    <mergeCell ref="C6:E6"/>
    <mergeCell ref="D12:E12"/>
    <mergeCell ref="D13:E13"/>
    <mergeCell ref="D14:E14"/>
    <mergeCell ref="D15:E15"/>
    <mergeCell ref="A7:B7"/>
    <mergeCell ref="C7:E7"/>
    <mergeCell ref="A8:E8"/>
    <mergeCell ref="D9:E9"/>
    <mergeCell ref="D10:E10"/>
    <mergeCell ref="D11:E11"/>
  </mergeCells>
  <dataValidations count="1">
    <dataValidation type="list" allowBlank="1" showInputMessage="1" showErrorMessage="1" sqref="C10:C15" xr:uid="{79584D51-49BC-49E9-8458-556378B23D55}">
      <formula1>"ДА,НЕТ"</formula1>
    </dataValidation>
  </dataValidations>
  <hyperlinks>
    <hyperlink ref="C7" r:id="rId1" xr:uid="{D31CCDF1-9061-45E1-80F8-AEB9B447AA35}"/>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4B30-DD25-4235-A699-6100D9B2B088}">
  <dimension ref="A1:I13"/>
  <sheetViews>
    <sheetView workbookViewId="0">
      <selection activeCell="H26" sqref="H26"/>
    </sheetView>
  </sheetViews>
  <sheetFormatPr defaultRowHeight="15" x14ac:dyDescent="0.25"/>
  <cols>
    <col min="1" max="1" width="3.7109375" style="79" customWidth="1"/>
    <col min="2" max="2" width="52" style="79" customWidth="1"/>
    <col min="3" max="3" width="11.85546875" style="79" customWidth="1"/>
    <col min="4" max="4" width="10.42578125" style="79" customWidth="1"/>
    <col min="5" max="5" width="11.140625" style="79" customWidth="1"/>
    <col min="6" max="6" width="10.28515625" style="79" customWidth="1"/>
    <col min="7" max="7" width="9.7109375" style="79" customWidth="1"/>
    <col min="8" max="8" width="11.140625" style="79" customWidth="1"/>
    <col min="9" max="9" width="9.85546875" style="80" customWidth="1"/>
    <col min="10" max="16384" width="9.140625" style="79"/>
  </cols>
  <sheetData>
    <row r="1" spans="1:9" s="80" customFormat="1" ht="15.75" thickBot="1" x14ac:dyDescent="0.3">
      <c r="A1" s="240" t="s">
        <v>0</v>
      </c>
      <c r="B1" s="241"/>
      <c r="C1" s="266" t="s">
        <v>1</v>
      </c>
      <c r="D1" s="267"/>
      <c r="E1" s="267"/>
      <c r="F1" s="267"/>
      <c r="G1" s="267"/>
      <c r="H1" s="268"/>
    </row>
    <row r="2" spans="1:9" ht="30.75" customHeight="1" x14ac:dyDescent="0.25">
      <c r="A2" s="244" t="s">
        <v>2</v>
      </c>
      <c r="B2" s="269"/>
      <c r="C2" s="250" t="s">
        <v>165</v>
      </c>
      <c r="D2" s="250"/>
      <c r="E2" s="250"/>
      <c r="F2" s="250"/>
      <c r="G2" s="250"/>
      <c r="H2" s="251"/>
    </row>
    <row r="3" spans="1:9" ht="19.5" customHeight="1" x14ac:dyDescent="0.25">
      <c r="A3" s="248" t="s">
        <v>3</v>
      </c>
      <c r="B3" s="249"/>
      <c r="C3" s="250">
        <v>7814800739</v>
      </c>
      <c r="D3" s="250"/>
      <c r="E3" s="250"/>
      <c r="F3" s="250"/>
      <c r="G3" s="250"/>
      <c r="H3" s="251"/>
    </row>
    <row r="4" spans="1:9" x14ac:dyDescent="0.25">
      <c r="A4" s="248" t="s">
        <v>4</v>
      </c>
      <c r="B4" s="249"/>
      <c r="C4" s="250" t="s">
        <v>166</v>
      </c>
      <c r="D4" s="250"/>
      <c r="E4" s="250"/>
      <c r="F4" s="250"/>
      <c r="G4" s="250"/>
      <c r="H4" s="251"/>
    </row>
    <row r="5" spans="1:9" ht="38.25" customHeight="1" x14ac:dyDescent="0.25">
      <c r="A5" s="248" t="s">
        <v>5</v>
      </c>
      <c r="B5" s="249"/>
      <c r="C5" s="341" t="s">
        <v>167</v>
      </c>
      <c r="D5" s="342"/>
      <c r="E5" s="342"/>
      <c r="F5" s="342"/>
      <c r="G5" s="342"/>
      <c r="H5" s="343"/>
    </row>
    <row r="6" spans="1:9" ht="15" customHeight="1" x14ac:dyDescent="0.25">
      <c r="A6" s="252" t="s">
        <v>6</v>
      </c>
      <c r="B6" s="253"/>
      <c r="C6" s="274" t="s">
        <v>168</v>
      </c>
      <c r="D6" s="275"/>
      <c r="E6" s="275"/>
      <c r="F6" s="275"/>
      <c r="G6" s="275"/>
      <c r="H6" s="288"/>
    </row>
    <row r="7" spans="1:9" ht="15.75" thickBot="1" x14ac:dyDescent="0.3">
      <c r="A7" s="258" t="s">
        <v>7</v>
      </c>
      <c r="B7" s="259"/>
      <c r="C7" s="274" t="s">
        <v>169</v>
      </c>
      <c r="D7" s="275"/>
      <c r="E7" s="275"/>
      <c r="F7" s="275"/>
      <c r="G7" s="275"/>
      <c r="H7" s="288"/>
    </row>
    <row r="8" spans="1:9" ht="15.75" thickBot="1" x14ac:dyDescent="0.3">
      <c r="A8" s="299" t="s">
        <v>8</v>
      </c>
      <c r="B8" s="299"/>
      <c r="C8" s="299"/>
    </row>
    <row r="9" spans="1:9" ht="45.75" thickBot="1" x14ac:dyDescent="0.3">
      <c r="A9" s="86" t="s">
        <v>9</v>
      </c>
      <c r="B9" s="89" t="s">
        <v>10</v>
      </c>
      <c r="C9" s="91">
        <v>2019</v>
      </c>
      <c r="D9" s="91">
        <v>2020</v>
      </c>
      <c r="E9" s="91">
        <v>2021</v>
      </c>
      <c r="F9" s="91">
        <v>2022</v>
      </c>
      <c r="G9" s="91">
        <v>2023</v>
      </c>
      <c r="H9" s="91">
        <v>2024</v>
      </c>
      <c r="I9" s="93" t="s">
        <v>20</v>
      </c>
    </row>
    <row r="10" spans="1:9" ht="25.5" x14ac:dyDescent="0.25">
      <c r="A10" s="84">
        <v>1</v>
      </c>
      <c r="B10" s="101" t="s">
        <v>24</v>
      </c>
      <c r="C10" s="113">
        <v>77.27</v>
      </c>
      <c r="D10" s="113">
        <v>94.93</v>
      </c>
      <c r="E10" s="113">
        <v>165.05</v>
      </c>
      <c r="F10" s="113">
        <v>258.66000000000003</v>
      </c>
      <c r="G10" s="113">
        <v>304.22000000000003</v>
      </c>
      <c r="H10" s="113">
        <v>396.34</v>
      </c>
      <c r="I10" s="96">
        <v>545.25</v>
      </c>
    </row>
    <row r="11" spans="1:9" ht="25.5" x14ac:dyDescent="0.25">
      <c r="A11" s="81">
        <v>2</v>
      </c>
      <c r="B11" s="101" t="s">
        <v>25</v>
      </c>
      <c r="C11" s="114">
        <v>155.79</v>
      </c>
      <c r="D11" s="114">
        <v>175.17</v>
      </c>
      <c r="E11" s="114">
        <v>285.16000000000003</v>
      </c>
      <c r="F11" s="114">
        <v>389.86</v>
      </c>
      <c r="G11" s="114">
        <v>425.32</v>
      </c>
      <c r="H11" s="114">
        <v>608.86</v>
      </c>
      <c r="I11" s="97">
        <v>5647.1</v>
      </c>
    </row>
    <row r="12" spans="1:9" ht="51" x14ac:dyDescent="0.25">
      <c r="A12" s="81">
        <v>3</v>
      </c>
      <c r="B12" s="102" t="s">
        <v>26</v>
      </c>
      <c r="C12" s="38" t="s">
        <v>175</v>
      </c>
      <c r="D12" s="38" t="s">
        <v>176</v>
      </c>
      <c r="E12" s="38" t="s">
        <v>177</v>
      </c>
      <c r="F12" s="38" t="s">
        <v>178</v>
      </c>
      <c r="G12" s="38" t="s">
        <v>179</v>
      </c>
      <c r="H12" s="38" t="s">
        <v>180</v>
      </c>
      <c r="I12" s="96" t="s">
        <v>22</v>
      </c>
    </row>
    <row r="13" spans="1:9" ht="409.6" thickBot="1" x14ac:dyDescent="0.3">
      <c r="A13" s="81">
        <v>5</v>
      </c>
      <c r="B13" s="102" t="s">
        <v>28</v>
      </c>
      <c r="C13" s="338" t="s">
        <v>181</v>
      </c>
      <c r="D13" s="339"/>
      <c r="E13" s="339"/>
      <c r="F13" s="339"/>
      <c r="G13" s="339"/>
      <c r="H13" s="340"/>
      <c r="I13" s="20" t="s">
        <v>27</v>
      </c>
    </row>
  </sheetData>
  <mergeCells count="16">
    <mergeCell ref="A1:B1"/>
    <mergeCell ref="C1:H1"/>
    <mergeCell ref="A2:B2"/>
    <mergeCell ref="C2:H2"/>
    <mergeCell ref="A3:B3"/>
    <mergeCell ref="C3:H3"/>
    <mergeCell ref="A7:B7"/>
    <mergeCell ref="C7:H7"/>
    <mergeCell ref="A8:C8"/>
    <mergeCell ref="C13:H13"/>
    <mergeCell ref="A4:B4"/>
    <mergeCell ref="C4:H4"/>
    <mergeCell ref="A5:B5"/>
    <mergeCell ref="C5:H5"/>
    <mergeCell ref="A6:B6"/>
    <mergeCell ref="C6:H6"/>
  </mergeCells>
  <hyperlinks>
    <hyperlink ref="C7" r:id="rId1" xr:uid="{205C01EB-FFC2-4BCF-AE92-E60419169FC5}"/>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EFE1-8C5F-46C3-AC3F-6C14900E6509}">
  <dimension ref="A1:H20"/>
  <sheetViews>
    <sheetView workbookViewId="0">
      <selection activeCell="H26" sqref="H26"/>
    </sheetView>
  </sheetViews>
  <sheetFormatPr defaultRowHeight="16.5" x14ac:dyDescent="0.3"/>
  <cols>
    <col min="1" max="1" width="7.7109375" style="117" customWidth="1"/>
    <col min="2" max="2" width="67.140625" style="117" customWidth="1"/>
    <col min="3" max="4" width="19.28515625" style="117" customWidth="1"/>
    <col min="5" max="5" width="29.140625" style="117" customWidth="1"/>
    <col min="6" max="6" width="24.42578125" style="117" customWidth="1"/>
    <col min="7" max="7" width="14.28515625" style="117" customWidth="1"/>
    <col min="8" max="8" width="24.42578125" style="117" customWidth="1"/>
    <col min="9" max="16384" width="9.140625" style="117"/>
  </cols>
  <sheetData>
    <row r="1" spans="1:8" s="115" customFormat="1" x14ac:dyDescent="0.3"/>
    <row r="2" spans="1:8" s="115" customFormat="1" x14ac:dyDescent="0.3"/>
    <row r="3" spans="1:8" s="115" customFormat="1" x14ac:dyDescent="0.3"/>
    <row r="4" spans="1:8" s="115" customFormat="1" ht="17.25" thickBot="1" x14ac:dyDescent="0.35"/>
    <row r="5" spans="1:8" s="116" customFormat="1" ht="17.25" thickBot="1" x14ac:dyDescent="0.35">
      <c r="A5" s="364" t="s">
        <v>0</v>
      </c>
      <c r="B5" s="365"/>
      <c r="C5" s="366" t="s">
        <v>1</v>
      </c>
      <c r="D5" s="366"/>
      <c r="E5" s="367"/>
      <c r="G5" s="117"/>
      <c r="H5" s="117"/>
    </row>
    <row r="6" spans="1:8" x14ac:dyDescent="0.3">
      <c r="A6" s="368" t="s">
        <v>2</v>
      </c>
      <c r="B6" s="369"/>
      <c r="C6" s="370" t="s">
        <v>182</v>
      </c>
      <c r="D6" s="370"/>
      <c r="E6" s="371"/>
    </row>
    <row r="7" spans="1:8" x14ac:dyDescent="0.3">
      <c r="A7" s="358" t="s">
        <v>3</v>
      </c>
      <c r="B7" s="359"/>
      <c r="C7" s="360">
        <v>7705884898</v>
      </c>
      <c r="D7" s="360"/>
      <c r="E7" s="361"/>
    </row>
    <row r="8" spans="1:8" x14ac:dyDescent="0.3">
      <c r="A8" s="358" t="s">
        <v>4</v>
      </c>
      <c r="B8" s="359"/>
      <c r="C8" s="360" t="s">
        <v>183</v>
      </c>
      <c r="D8" s="360"/>
      <c r="E8" s="361"/>
    </row>
    <row r="9" spans="1:8" x14ac:dyDescent="0.3">
      <c r="A9" s="358" t="s">
        <v>5</v>
      </c>
      <c r="B9" s="359"/>
      <c r="C9" s="360" t="s">
        <v>184</v>
      </c>
      <c r="D9" s="360"/>
      <c r="E9" s="361"/>
    </row>
    <row r="10" spans="1:8" x14ac:dyDescent="0.3">
      <c r="A10" s="362" t="s">
        <v>6</v>
      </c>
      <c r="B10" s="363"/>
      <c r="C10" s="360" t="s">
        <v>185</v>
      </c>
      <c r="D10" s="360"/>
      <c r="E10" s="361"/>
    </row>
    <row r="11" spans="1:8" ht="17.25" thickBot="1" x14ac:dyDescent="0.35">
      <c r="A11" s="348" t="s">
        <v>7</v>
      </c>
      <c r="B11" s="349"/>
      <c r="C11" s="350" t="s">
        <v>186</v>
      </c>
      <c r="D11" s="351"/>
      <c r="E11" s="352"/>
    </row>
    <row r="12" spans="1:8" ht="17.25" thickBot="1" x14ac:dyDescent="0.35">
      <c r="A12" s="353"/>
      <c r="B12" s="353"/>
      <c r="C12" s="353"/>
      <c r="D12" s="353"/>
      <c r="E12" s="353"/>
    </row>
    <row r="13" spans="1:8" ht="50.25" thickBot="1" x14ac:dyDescent="0.35">
      <c r="A13" s="118" t="s">
        <v>9</v>
      </c>
      <c r="B13" s="119" t="s">
        <v>10</v>
      </c>
      <c r="C13" s="120" t="s">
        <v>187</v>
      </c>
      <c r="D13" s="354" t="s">
        <v>23</v>
      </c>
      <c r="E13" s="355"/>
      <c r="F13" s="121" t="s">
        <v>20</v>
      </c>
    </row>
    <row r="14" spans="1:8" x14ac:dyDescent="0.3">
      <c r="A14" s="122">
        <v>1</v>
      </c>
      <c r="B14" s="123" t="s">
        <v>11</v>
      </c>
      <c r="C14" s="124" t="s">
        <v>34</v>
      </c>
      <c r="D14" s="356" t="s">
        <v>188</v>
      </c>
      <c r="E14" s="357"/>
      <c r="F14" s="125">
        <v>2015</v>
      </c>
      <c r="H14" s="126"/>
    </row>
    <row r="15" spans="1:8" ht="25.5" x14ac:dyDescent="0.3">
      <c r="A15" s="127">
        <v>2</v>
      </c>
      <c r="B15" s="128" t="s">
        <v>12</v>
      </c>
      <c r="C15" s="129" t="s">
        <v>34</v>
      </c>
      <c r="D15" s="344" t="s">
        <v>189</v>
      </c>
      <c r="E15" s="345"/>
      <c r="F15" s="125" t="s">
        <v>21</v>
      </c>
      <c r="H15" s="130"/>
    </row>
    <row r="16" spans="1:8" x14ac:dyDescent="0.3">
      <c r="A16" s="127">
        <v>3</v>
      </c>
      <c r="B16" s="128" t="s">
        <v>18</v>
      </c>
      <c r="C16" s="129" t="s">
        <v>34</v>
      </c>
      <c r="D16" s="344" t="s">
        <v>189</v>
      </c>
      <c r="E16" s="345"/>
      <c r="F16" s="125" t="s">
        <v>21</v>
      </c>
      <c r="H16" s="130"/>
    </row>
    <row r="17" spans="1:8" ht="25.5" x14ac:dyDescent="0.3">
      <c r="A17" s="127">
        <v>4</v>
      </c>
      <c r="B17" s="128" t="s">
        <v>19</v>
      </c>
      <c r="C17" s="129" t="s">
        <v>34</v>
      </c>
      <c r="D17" s="344" t="s">
        <v>190</v>
      </c>
      <c r="E17" s="345"/>
      <c r="F17" s="125" t="s">
        <v>21</v>
      </c>
      <c r="H17" s="130"/>
    </row>
    <row r="18" spans="1:8" x14ac:dyDescent="0.3">
      <c r="A18" s="127">
        <v>5</v>
      </c>
      <c r="B18" s="131" t="s">
        <v>14</v>
      </c>
      <c r="C18" s="129" t="s">
        <v>34</v>
      </c>
      <c r="D18" s="344" t="s">
        <v>74</v>
      </c>
      <c r="E18" s="345"/>
      <c r="F18" s="125" t="s">
        <v>21</v>
      </c>
      <c r="H18" s="126"/>
    </row>
    <row r="19" spans="1:8" ht="17.25" thickBot="1" x14ac:dyDescent="0.35">
      <c r="A19" s="132">
        <v>6</v>
      </c>
      <c r="B19" s="133" t="s">
        <v>15</v>
      </c>
      <c r="C19" s="134" t="s">
        <v>34</v>
      </c>
      <c r="D19" s="346" t="s">
        <v>74</v>
      </c>
      <c r="E19" s="347"/>
      <c r="F19" s="135" t="s">
        <v>21</v>
      </c>
    </row>
    <row r="20" spans="1:8" x14ac:dyDescent="0.3">
      <c r="F20" s="136"/>
    </row>
  </sheetData>
  <mergeCells count="22">
    <mergeCell ref="A5:B5"/>
    <mergeCell ref="C5:E5"/>
    <mergeCell ref="A6:B6"/>
    <mergeCell ref="C6:E6"/>
    <mergeCell ref="A7:B7"/>
    <mergeCell ref="C7:E7"/>
    <mergeCell ref="A8:B8"/>
    <mergeCell ref="C8:E8"/>
    <mergeCell ref="A9:B9"/>
    <mergeCell ref="C9:E9"/>
    <mergeCell ref="A10:B10"/>
    <mergeCell ref="C10:E10"/>
    <mergeCell ref="D16:E16"/>
    <mergeCell ref="D17:E17"/>
    <mergeCell ref="D18:E18"/>
    <mergeCell ref="D19:E19"/>
    <mergeCell ref="A11:B11"/>
    <mergeCell ref="C11:E11"/>
    <mergeCell ref="A12:E12"/>
    <mergeCell ref="D13:E13"/>
    <mergeCell ref="D14:E14"/>
    <mergeCell ref="D15:E15"/>
  </mergeCells>
  <dataValidations count="1">
    <dataValidation type="list" allowBlank="1" showInputMessage="1" showErrorMessage="1" sqref="C14:C19" xr:uid="{E71669AF-D7CC-4808-8DC0-02B6446BBED2}">
      <formula1>"ДА,НЕТ"</formula1>
    </dataValidation>
  </dataValidations>
  <hyperlinks>
    <hyperlink ref="C11" r:id="rId1" xr:uid="{06C18295-6FAE-4CAD-B31F-F550967B4D92}"/>
  </hyperlinks>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0E8E-3B2D-4C6B-90DC-01D1035E035A}">
  <dimension ref="A1:I19"/>
  <sheetViews>
    <sheetView workbookViewId="0">
      <selection sqref="A1:XFD1048576"/>
    </sheetView>
  </sheetViews>
  <sheetFormatPr defaultRowHeight="16.5" x14ac:dyDescent="0.3"/>
  <cols>
    <col min="1" max="1" width="3.7109375" style="117" customWidth="1"/>
    <col min="2" max="2" width="51.5703125" style="117" customWidth="1"/>
    <col min="3" max="3" width="30.5703125" style="117" customWidth="1"/>
    <col min="4" max="4" width="27.7109375" style="117" customWidth="1"/>
    <col min="5" max="5" width="28.7109375" style="117" customWidth="1"/>
    <col min="6" max="6" width="27" style="117" customWidth="1"/>
    <col min="7" max="7" width="29.42578125" style="117" customWidth="1"/>
    <col min="8" max="8" width="38.7109375" style="117" customWidth="1"/>
    <col min="9" max="9" width="55.7109375" style="116" customWidth="1"/>
    <col min="10" max="16384" width="9.140625" style="117"/>
  </cols>
  <sheetData>
    <row r="1" spans="1:9" s="115" customFormat="1" x14ac:dyDescent="0.3">
      <c r="I1" s="137"/>
    </row>
    <row r="2" spans="1:9" s="115" customFormat="1" x14ac:dyDescent="0.3">
      <c r="I2" s="137"/>
    </row>
    <row r="3" spans="1:9" s="115" customFormat="1" x14ac:dyDescent="0.3">
      <c r="I3" s="137"/>
    </row>
    <row r="4" spans="1:9" s="115" customFormat="1" x14ac:dyDescent="0.3">
      <c r="I4" s="137"/>
    </row>
    <row r="5" spans="1:9" s="115" customFormat="1" x14ac:dyDescent="0.3">
      <c r="I5" s="137"/>
    </row>
    <row r="6" spans="1:9" s="115" customFormat="1" ht="17.25" thickBot="1" x14ac:dyDescent="0.35">
      <c r="I6" s="137"/>
    </row>
    <row r="7" spans="1:9" s="116" customFormat="1" ht="17.25" thickBot="1" x14ac:dyDescent="0.35">
      <c r="A7" s="364" t="s">
        <v>0</v>
      </c>
      <c r="B7" s="365"/>
      <c r="C7" s="375" t="s">
        <v>1</v>
      </c>
      <c r="D7" s="376"/>
      <c r="E7" s="376"/>
      <c r="F7" s="376"/>
      <c r="G7" s="376"/>
      <c r="H7" s="377"/>
    </row>
    <row r="8" spans="1:9" x14ac:dyDescent="0.3">
      <c r="A8" s="378" t="s">
        <v>2</v>
      </c>
      <c r="B8" s="379"/>
      <c r="C8" s="380" t="s">
        <v>182</v>
      </c>
      <c r="D8" s="381"/>
      <c r="E8" s="381"/>
      <c r="F8" s="381"/>
      <c r="G8" s="381"/>
      <c r="H8" s="382"/>
    </row>
    <row r="9" spans="1:9" x14ac:dyDescent="0.3">
      <c r="A9" s="358" t="s">
        <v>3</v>
      </c>
      <c r="B9" s="359"/>
      <c r="C9" s="374">
        <v>7705884898</v>
      </c>
      <c r="D9" s="360"/>
      <c r="E9" s="360"/>
      <c r="F9" s="360"/>
      <c r="G9" s="360"/>
      <c r="H9" s="361"/>
    </row>
    <row r="10" spans="1:9" x14ac:dyDescent="0.3">
      <c r="A10" s="358" t="s">
        <v>4</v>
      </c>
      <c r="B10" s="359"/>
      <c r="C10" s="374" t="s">
        <v>183</v>
      </c>
      <c r="D10" s="360"/>
      <c r="E10" s="360"/>
      <c r="F10" s="360"/>
      <c r="G10" s="360"/>
      <c r="H10" s="361"/>
    </row>
    <row r="11" spans="1:9" x14ac:dyDescent="0.3">
      <c r="A11" s="358" t="s">
        <v>5</v>
      </c>
      <c r="B11" s="359"/>
      <c r="C11" s="374" t="s">
        <v>184</v>
      </c>
      <c r="D11" s="360"/>
      <c r="E11" s="360"/>
      <c r="F11" s="360"/>
      <c r="G11" s="360"/>
      <c r="H11" s="361"/>
    </row>
    <row r="12" spans="1:9" x14ac:dyDescent="0.3">
      <c r="A12" s="362" t="s">
        <v>6</v>
      </c>
      <c r="B12" s="363"/>
      <c r="C12" s="374" t="s">
        <v>185</v>
      </c>
      <c r="D12" s="360"/>
      <c r="E12" s="360"/>
      <c r="F12" s="360"/>
      <c r="G12" s="360"/>
      <c r="H12" s="361"/>
    </row>
    <row r="13" spans="1:9" ht="17.25" thickBot="1" x14ac:dyDescent="0.35">
      <c r="A13" s="348" t="s">
        <v>7</v>
      </c>
      <c r="B13" s="349"/>
      <c r="C13" s="372" t="s">
        <v>186</v>
      </c>
      <c r="D13" s="351"/>
      <c r="E13" s="351"/>
      <c r="F13" s="351"/>
      <c r="G13" s="351"/>
      <c r="H13" s="352"/>
    </row>
    <row r="14" spans="1:9" ht="17.25" thickBot="1" x14ac:dyDescent="0.35">
      <c r="A14" s="373"/>
      <c r="B14" s="373"/>
      <c r="C14" s="373"/>
    </row>
    <row r="15" spans="1:9" ht="17.25" thickBot="1" x14ac:dyDescent="0.35">
      <c r="A15" s="118" t="s">
        <v>9</v>
      </c>
      <c r="B15" s="119" t="s">
        <v>10</v>
      </c>
      <c r="C15" s="138">
        <v>2019</v>
      </c>
      <c r="D15" s="138">
        <v>2020</v>
      </c>
      <c r="E15" s="138">
        <v>2021</v>
      </c>
      <c r="F15" s="138">
        <v>2022</v>
      </c>
      <c r="G15" s="138">
        <v>2023</v>
      </c>
      <c r="H15" s="138">
        <v>2024</v>
      </c>
      <c r="I15" s="121" t="s">
        <v>20</v>
      </c>
    </row>
    <row r="16" spans="1:9" ht="25.5" x14ac:dyDescent="0.3">
      <c r="A16" s="139">
        <v>1</v>
      </c>
      <c r="B16" s="140" t="s">
        <v>191</v>
      </c>
      <c r="C16" s="141">
        <f>15.19*1.2</f>
        <v>18.227999999999998</v>
      </c>
      <c r="D16" s="141">
        <f>56.76*1.2</f>
        <v>68.111999999999995</v>
      </c>
      <c r="E16" s="141">
        <f>57*1.2</f>
        <v>68.399999999999991</v>
      </c>
      <c r="F16" s="141">
        <f>40.5*1.2</f>
        <v>48.6</v>
      </c>
      <c r="G16" s="141">
        <v>117.75</v>
      </c>
      <c r="H16" s="141">
        <v>299.08999999999997</v>
      </c>
      <c r="I16" s="142">
        <v>545.25</v>
      </c>
    </row>
    <row r="17" spans="1:9" ht="25.5" x14ac:dyDescent="0.3">
      <c r="A17" s="143">
        <v>2</v>
      </c>
      <c r="B17" s="140" t="s">
        <v>192</v>
      </c>
      <c r="C17" s="141">
        <v>18.227999999999998</v>
      </c>
      <c r="D17" s="141">
        <v>68.111999999999995</v>
      </c>
      <c r="E17" s="141">
        <v>68.399999999999991</v>
      </c>
      <c r="F17" s="141">
        <v>48.6</v>
      </c>
      <c r="G17" s="141">
        <v>117.75</v>
      </c>
      <c r="H17" s="141">
        <v>299.08999999999997</v>
      </c>
      <c r="I17" s="144">
        <v>5647.1</v>
      </c>
    </row>
    <row r="18" spans="1:9" ht="51" x14ac:dyDescent="0.3">
      <c r="A18" s="143">
        <v>3</v>
      </c>
      <c r="B18" s="145" t="s">
        <v>193</v>
      </c>
      <c r="C18" s="141" t="s">
        <v>194</v>
      </c>
      <c r="D18" s="141" t="s">
        <v>195</v>
      </c>
      <c r="E18" s="141" t="s">
        <v>196</v>
      </c>
      <c r="F18" s="141" t="s">
        <v>197</v>
      </c>
      <c r="G18" s="141" t="s">
        <v>198</v>
      </c>
      <c r="H18" s="141" t="s">
        <v>199</v>
      </c>
      <c r="I18" s="142" t="s">
        <v>22</v>
      </c>
    </row>
    <row r="19" spans="1:9" ht="166.5" thickBot="1" x14ac:dyDescent="0.35">
      <c r="A19" s="143">
        <v>5</v>
      </c>
      <c r="B19" s="145" t="s">
        <v>200</v>
      </c>
      <c r="C19" s="141" t="s">
        <v>201</v>
      </c>
      <c r="D19" s="141" t="s">
        <v>202</v>
      </c>
      <c r="E19" s="141" t="s">
        <v>203</v>
      </c>
      <c r="F19" s="141" t="s">
        <v>202</v>
      </c>
      <c r="G19" s="141" t="s">
        <v>204</v>
      </c>
      <c r="H19" s="141" t="s">
        <v>205</v>
      </c>
      <c r="I19" s="146" t="s">
        <v>27</v>
      </c>
    </row>
  </sheetData>
  <mergeCells count="15">
    <mergeCell ref="A7:B7"/>
    <mergeCell ref="C7:H7"/>
    <mergeCell ref="A8:B8"/>
    <mergeCell ref="C8:H8"/>
    <mergeCell ref="A9:B9"/>
    <mergeCell ref="C9:H9"/>
    <mergeCell ref="A13:B13"/>
    <mergeCell ref="C13:H13"/>
    <mergeCell ref="A14:C14"/>
    <mergeCell ref="A10:B10"/>
    <mergeCell ref="C10:H10"/>
    <mergeCell ref="A11:B11"/>
    <mergeCell ref="C11:H11"/>
    <mergeCell ref="A12:B12"/>
    <mergeCell ref="C12:H12"/>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C36D4-F3DA-4A26-9951-3A6DBB5329EC}">
  <dimension ref="A1"/>
  <sheetViews>
    <sheetView workbookViewId="0">
      <selection activeCell="H26" sqref="H26"/>
    </sheetView>
  </sheetViews>
  <sheetFormatPr defaultRowHeight="15" x14ac:dyDescent="0.25"/>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C6F7-BD45-4954-8F23-829B7B8389F5}">
  <dimension ref="A1:H16"/>
  <sheetViews>
    <sheetView workbookViewId="0">
      <selection activeCell="H26" sqref="H26"/>
    </sheetView>
  </sheetViews>
  <sheetFormatPr defaultRowHeight="15" x14ac:dyDescent="0.25"/>
  <cols>
    <col min="1" max="1" width="7.7109375" style="79" customWidth="1"/>
    <col min="2" max="2" width="67.140625" style="79" customWidth="1"/>
    <col min="3" max="4" width="19.28515625" style="79" customWidth="1"/>
    <col min="5" max="5" width="29.140625" style="79" customWidth="1"/>
    <col min="6" max="6" width="24.42578125" style="79" customWidth="1"/>
    <col min="7" max="7" width="14.28515625" style="79" customWidth="1"/>
    <col min="8" max="8" width="24.42578125" style="79" customWidth="1"/>
    <col min="9" max="16384" width="9.140625" style="79"/>
  </cols>
  <sheetData>
    <row r="1" spans="1:8" s="80" customFormat="1" ht="15.75" thickBot="1" x14ac:dyDescent="0.3">
      <c r="A1" s="240" t="s">
        <v>0</v>
      </c>
      <c r="B1" s="241"/>
      <c r="C1" s="242" t="s">
        <v>1</v>
      </c>
      <c r="D1" s="242"/>
      <c r="E1" s="243"/>
      <c r="G1" s="79"/>
      <c r="H1" s="79"/>
    </row>
    <row r="2" spans="1:8" x14ac:dyDescent="0.25">
      <c r="A2" s="244" t="s">
        <v>2</v>
      </c>
      <c r="B2" s="245"/>
      <c r="C2" s="246" t="s">
        <v>206</v>
      </c>
      <c r="D2" s="246"/>
      <c r="E2" s="247"/>
    </row>
    <row r="3" spans="1:8" x14ac:dyDescent="0.25">
      <c r="A3" s="248" t="s">
        <v>3</v>
      </c>
      <c r="B3" s="249"/>
      <c r="C3" s="250">
        <v>7743377440</v>
      </c>
      <c r="D3" s="250"/>
      <c r="E3" s="251"/>
    </row>
    <row r="4" spans="1:8" x14ac:dyDescent="0.25">
      <c r="A4" s="248" t="s">
        <v>4</v>
      </c>
      <c r="B4" s="249"/>
      <c r="C4" s="300">
        <v>0.2</v>
      </c>
      <c r="D4" s="250"/>
      <c r="E4" s="251"/>
    </row>
    <row r="5" spans="1:8" x14ac:dyDescent="0.25">
      <c r="A5" s="248" t="s">
        <v>5</v>
      </c>
      <c r="B5" s="249"/>
      <c r="C5" s="250" t="s">
        <v>207</v>
      </c>
      <c r="D5" s="250"/>
      <c r="E5" s="251"/>
    </row>
    <row r="6" spans="1:8" x14ac:dyDescent="0.25">
      <c r="A6" s="252" t="s">
        <v>6</v>
      </c>
      <c r="B6" s="253"/>
      <c r="C6" s="317" t="s">
        <v>208</v>
      </c>
      <c r="D6" s="317"/>
      <c r="E6" s="318"/>
    </row>
    <row r="7" spans="1:8" ht="15.75" thickBot="1" x14ac:dyDescent="0.3">
      <c r="A7" s="258" t="s">
        <v>7</v>
      </c>
      <c r="B7" s="259"/>
      <c r="C7" s="283" t="s">
        <v>209</v>
      </c>
      <c r="D7" s="260"/>
      <c r="E7" s="261"/>
    </row>
    <row r="8" spans="1:8" ht="15.75" thickBot="1" x14ac:dyDescent="0.3">
      <c r="A8" s="224" t="s">
        <v>8</v>
      </c>
      <c r="B8" s="224"/>
      <c r="C8" s="224"/>
      <c r="D8" s="224"/>
      <c r="E8" s="224"/>
    </row>
    <row r="9" spans="1:8" ht="45.75" thickBot="1" x14ac:dyDescent="0.3">
      <c r="A9" s="86" t="s">
        <v>9</v>
      </c>
      <c r="B9" s="89" t="s">
        <v>10</v>
      </c>
      <c r="C9" s="90" t="s">
        <v>16</v>
      </c>
      <c r="D9" s="262" t="s">
        <v>23</v>
      </c>
      <c r="E9" s="263"/>
      <c r="F9" s="93" t="s">
        <v>20</v>
      </c>
    </row>
    <row r="10" spans="1:8" x14ac:dyDescent="0.25">
      <c r="A10" s="21">
        <v>1</v>
      </c>
      <c r="B10" s="85" t="s">
        <v>11</v>
      </c>
      <c r="C10" s="73" t="s">
        <v>34</v>
      </c>
      <c r="D10" s="264" t="s">
        <v>210</v>
      </c>
      <c r="E10" s="265"/>
      <c r="F10" s="94">
        <v>2015</v>
      </c>
      <c r="H10" s="111"/>
    </row>
    <row r="11" spans="1:8" ht="25.5" x14ac:dyDescent="0.25">
      <c r="A11" s="22">
        <v>2</v>
      </c>
      <c r="B11" s="82" t="s">
        <v>12</v>
      </c>
      <c r="C11" s="98" t="s">
        <v>34</v>
      </c>
      <c r="D11" s="254" t="s">
        <v>13</v>
      </c>
      <c r="E11" s="255"/>
      <c r="F11" s="94" t="s">
        <v>21</v>
      </c>
      <c r="H11" s="112"/>
    </row>
    <row r="12" spans="1:8" x14ac:dyDescent="0.25">
      <c r="A12" s="22">
        <v>3</v>
      </c>
      <c r="B12" s="82" t="s">
        <v>18</v>
      </c>
      <c r="C12" s="98" t="s">
        <v>34</v>
      </c>
      <c r="D12" s="254" t="s">
        <v>17</v>
      </c>
      <c r="E12" s="255"/>
      <c r="F12" s="94" t="s">
        <v>21</v>
      </c>
      <c r="H12" s="112"/>
    </row>
    <row r="13" spans="1:8" ht="25.5" x14ac:dyDescent="0.25">
      <c r="A13" s="22">
        <v>4</v>
      </c>
      <c r="B13" s="82" t="s">
        <v>19</v>
      </c>
      <c r="C13" s="98" t="s">
        <v>34</v>
      </c>
      <c r="D13" s="254" t="s">
        <v>13</v>
      </c>
      <c r="E13" s="255"/>
      <c r="F13" s="94" t="s">
        <v>21</v>
      </c>
      <c r="H13" s="112"/>
    </row>
    <row r="14" spans="1:8" x14ac:dyDescent="0.25">
      <c r="A14" s="22">
        <v>5</v>
      </c>
      <c r="B14" s="83" t="s">
        <v>14</v>
      </c>
      <c r="C14" s="98" t="s">
        <v>34</v>
      </c>
      <c r="D14" s="254" t="s">
        <v>13</v>
      </c>
      <c r="E14" s="255"/>
      <c r="F14" s="94" t="s">
        <v>21</v>
      </c>
      <c r="H14" s="111"/>
    </row>
    <row r="15" spans="1:8" ht="55.5" customHeight="1" thickBot="1" x14ac:dyDescent="0.3">
      <c r="A15" s="24">
        <v>6</v>
      </c>
      <c r="B15" s="99" t="s">
        <v>15</v>
      </c>
      <c r="C15" s="100" t="s">
        <v>36</v>
      </c>
      <c r="D15" s="256" t="s">
        <v>211</v>
      </c>
      <c r="E15" s="257"/>
      <c r="F15" s="95" t="s">
        <v>21</v>
      </c>
    </row>
    <row r="16" spans="1:8" x14ac:dyDescent="0.25">
      <c r="F16" s="92"/>
    </row>
  </sheetData>
  <mergeCells count="22">
    <mergeCell ref="A1:B1"/>
    <mergeCell ref="C1:E1"/>
    <mergeCell ref="A2:B2"/>
    <mergeCell ref="C2:E2"/>
    <mergeCell ref="A3:B3"/>
    <mergeCell ref="C3:E3"/>
    <mergeCell ref="A4:B4"/>
    <mergeCell ref="C4:E4"/>
    <mergeCell ref="A5:B5"/>
    <mergeCell ref="C5:E5"/>
    <mergeCell ref="A6:B6"/>
    <mergeCell ref="C6:E6"/>
    <mergeCell ref="D12:E12"/>
    <mergeCell ref="D13:E13"/>
    <mergeCell ref="D14:E14"/>
    <mergeCell ref="D15:E15"/>
    <mergeCell ref="A7:B7"/>
    <mergeCell ref="C7:E7"/>
    <mergeCell ref="A8:E8"/>
    <mergeCell ref="D9:E9"/>
    <mergeCell ref="D10:E10"/>
    <mergeCell ref="D11:E11"/>
  </mergeCells>
  <dataValidations count="1">
    <dataValidation type="list" allowBlank="1" showInputMessage="1" showErrorMessage="1" sqref="C10:C15" xr:uid="{7A7CE6DB-CD28-4A18-90A9-99D5ABCFA595}">
      <formula1>"ДА,НЕТ"</formula1>
    </dataValidation>
  </dataValidations>
  <hyperlinks>
    <hyperlink ref="C7" r:id="rId1" xr:uid="{5044E6CB-3E28-4E01-9C07-FE961CA567B1}"/>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6852D-0671-48E6-ABF7-8BB594F87E37}">
  <dimension ref="A1:I17"/>
  <sheetViews>
    <sheetView workbookViewId="0">
      <selection activeCell="H26" sqref="H26"/>
    </sheetView>
  </sheetViews>
  <sheetFormatPr defaultRowHeight="15" x14ac:dyDescent="0.25"/>
  <cols>
    <col min="1" max="1" width="3.7109375" style="79" customWidth="1"/>
    <col min="2" max="2" width="66.5703125" style="79" customWidth="1"/>
    <col min="3" max="8" width="17" style="79" customWidth="1"/>
    <col min="9" max="9" width="55.7109375" style="80" customWidth="1"/>
    <col min="10" max="16384" width="9.140625" style="79"/>
  </cols>
  <sheetData>
    <row r="1" spans="1:9" s="80" customFormat="1" ht="15.75" thickBot="1" x14ac:dyDescent="0.3">
      <c r="A1" s="240" t="s">
        <v>0</v>
      </c>
      <c r="B1" s="241"/>
      <c r="C1" s="266" t="s">
        <v>1</v>
      </c>
      <c r="D1" s="267"/>
      <c r="E1" s="267"/>
      <c r="F1" s="267"/>
      <c r="G1" s="267"/>
      <c r="H1" s="268"/>
    </row>
    <row r="2" spans="1:9" ht="15" customHeight="1" x14ac:dyDescent="0.25">
      <c r="A2" s="248" t="s">
        <v>2</v>
      </c>
      <c r="B2" s="249"/>
      <c r="C2" s="296" t="s">
        <v>206</v>
      </c>
      <c r="D2" s="275"/>
      <c r="E2" s="275"/>
      <c r="F2" s="275" t="s">
        <v>206</v>
      </c>
      <c r="G2" s="275"/>
      <c r="H2" s="288"/>
    </row>
    <row r="3" spans="1:9" x14ac:dyDescent="0.25">
      <c r="A3" s="248" t="s">
        <v>3</v>
      </c>
      <c r="B3" s="249"/>
      <c r="C3" s="274">
        <v>7743377440</v>
      </c>
      <c r="D3" s="275"/>
      <c r="E3" s="275"/>
      <c r="F3" s="275">
        <v>7743377440</v>
      </c>
      <c r="G3" s="275"/>
      <c r="H3" s="288"/>
    </row>
    <row r="4" spans="1:9" x14ac:dyDescent="0.25">
      <c r="A4" s="248" t="s">
        <v>4</v>
      </c>
      <c r="B4" s="249"/>
      <c r="C4" s="303">
        <v>0.2</v>
      </c>
      <c r="D4" s="275"/>
      <c r="E4" s="275"/>
      <c r="F4" s="275">
        <v>0.2</v>
      </c>
      <c r="G4" s="275"/>
      <c r="H4" s="288"/>
    </row>
    <row r="5" spans="1:9" ht="15.75" customHeight="1" x14ac:dyDescent="0.25">
      <c r="A5" s="248" t="s">
        <v>5</v>
      </c>
      <c r="B5" s="249"/>
      <c r="C5" s="274" t="s">
        <v>207</v>
      </c>
      <c r="D5" s="275"/>
      <c r="E5" s="275"/>
      <c r="F5" s="275" t="s">
        <v>207</v>
      </c>
      <c r="G5" s="275"/>
      <c r="H5" s="288"/>
    </row>
    <row r="6" spans="1:9" x14ac:dyDescent="0.25">
      <c r="A6" s="252" t="s">
        <v>6</v>
      </c>
      <c r="B6" s="253"/>
      <c r="C6" s="274" t="s">
        <v>208</v>
      </c>
      <c r="D6" s="275"/>
      <c r="E6" s="275"/>
      <c r="F6" s="275" t="s">
        <v>208</v>
      </c>
      <c r="G6" s="275"/>
      <c r="H6" s="288"/>
    </row>
    <row r="7" spans="1:9" ht="15.75" thickBot="1" x14ac:dyDescent="0.3">
      <c r="A7" s="258" t="s">
        <v>7</v>
      </c>
      <c r="B7" s="259"/>
      <c r="C7" s="278" t="s">
        <v>209</v>
      </c>
      <c r="D7" s="279"/>
      <c r="E7" s="279"/>
      <c r="F7" s="279" t="s">
        <v>209</v>
      </c>
      <c r="G7" s="279"/>
      <c r="H7" s="298"/>
    </row>
    <row r="8" spans="1:9" ht="15.75" thickBot="1" x14ac:dyDescent="0.3">
      <c r="A8" s="282" t="s">
        <v>8</v>
      </c>
      <c r="B8" s="282"/>
      <c r="C8" s="282"/>
    </row>
    <row r="9" spans="1:9" ht="15.75" thickBot="1" x14ac:dyDescent="0.3">
      <c r="A9" s="86" t="s">
        <v>9</v>
      </c>
      <c r="B9" s="89" t="s">
        <v>10</v>
      </c>
      <c r="C9" s="13">
        <v>2019</v>
      </c>
      <c r="D9" s="13">
        <v>2020</v>
      </c>
      <c r="E9" s="13">
        <v>2021</v>
      </c>
      <c r="F9" s="13">
        <v>2022</v>
      </c>
      <c r="G9" s="13">
        <v>2023</v>
      </c>
      <c r="H9" s="13">
        <v>2024</v>
      </c>
      <c r="I9" s="93" t="s">
        <v>20</v>
      </c>
    </row>
    <row r="10" spans="1:9" ht="25.5" x14ac:dyDescent="0.25">
      <c r="A10" s="5">
        <v>1</v>
      </c>
      <c r="B10" s="27" t="s">
        <v>24</v>
      </c>
      <c r="C10" s="12">
        <v>130.83000000000001</v>
      </c>
      <c r="D10" s="12">
        <v>160.83000000000001</v>
      </c>
      <c r="E10" s="12">
        <v>150.65</v>
      </c>
      <c r="F10" s="12">
        <v>59.99</v>
      </c>
      <c r="G10" s="12">
        <v>62.23</v>
      </c>
      <c r="H10" s="12">
        <v>67.569999999999993</v>
      </c>
      <c r="I10" s="96">
        <v>545.25</v>
      </c>
    </row>
    <row r="11" spans="1:9" ht="25.5" x14ac:dyDescent="0.25">
      <c r="A11" s="2">
        <v>2</v>
      </c>
      <c r="B11" s="27" t="s">
        <v>25</v>
      </c>
      <c r="C11" s="12">
        <v>972.62199999999996</v>
      </c>
      <c r="D11" s="12">
        <v>1093.9580000000001</v>
      </c>
      <c r="E11" s="12">
        <v>1258.2270000000001</v>
      </c>
      <c r="F11" s="12">
        <v>645.56899999999996</v>
      </c>
      <c r="G11" s="12">
        <v>1043.329</v>
      </c>
      <c r="H11" s="12">
        <v>1040.7460000000001</v>
      </c>
      <c r="I11" s="97">
        <v>5647.1</v>
      </c>
    </row>
    <row r="12" spans="1:9" ht="38.25" x14ac:dyDescent="0.25">
      <c r="A12" s="2">
        <v>3</v>
      </c>
      <c r="B12" s="102" t="s">
        <v>26</v>
      </c>
      <c r="C12" s="12" t="s">
        <v>212</v>
      </c>
      <c r="D12" s="12" t="s">
        <v>213</v>
      </c>
      <c r="E12" s="12" t="s">
        <v>214</v>
      </c>
      <c r="F12" s="12" t="s">
        <v>215</v>
      </c>
      <c r="G12" s="12" t="s">
        <v>216</v>
      </c>
      <c r="H12" s="12" t="s">
        <v>217</v>
      </c>
      <c r="I12" s="96" t="s">
        <v>22</v>
      </c>
    </row>
    <row r="13" spans="1:9" ht="409.6" thickBot="1" x14ac:dyDescent="0.3">
      <c r="A13" s="2">
        <v>5</v>
      </c>
      <c r="B13" s="102" t="s">
        <v>28</v>
      </c>
      <c r="C13" s="12" t="s">
        <v>218</v>
      </c>
      <c r="D13" s="12" t="s">
        <v>219</v>
      </c>
      <c r="E13" s="12" t="s">
        <v>220</v>
      </c>
      <c r="F13" s="12" t="s">
        <v>220</v>
      </c>
      <c r="G13" s="12" t="s">
        <v>221</v>
      </c>
      <c r="H13" s="12" t="s">
        <v>222</v>
      </c>
      <c r="I13" s="20" t="s">
        <v>27</v>
      </c>
    </row>
    <row r="17" ht="4.5" customHeight="1" x14ac:dyDescent="0.25"/>
  </sheetData>
  <mergeCells count="15">
    <mergeCell ref="A1:B1"/>
    <mergeCell ref="C1:H1"/>
    <mergeCell ref="A2:B2"/>
    <mergeCell ref="C2:H2"/>
    <mergeCell ref="A3:B3"/>
    <mergeCell ref="C3:H3"/>
    <mergeCell ref="A7:B7"/>
    <mergeCell ref="C7:H7"/>
    <mergeCell ref="A8:C8"/>
    <mergeCell ref="A4:B4"/>
    <mergeCell ref="C4:H4"/>
    <mergeCell ref="A5:B5"/>
    <mergeCell ref="C5:H5"/>
    <mergeCell ref="A6:B6"/>
    <mergeCell ref="C6:H6"/>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498B-9A82-4AFB-993A-1C95DEF33E21}">
  <dimension ref="A1:H16"/>
  <sheetViews>
    <sheetView workbookViewId="0">
      <selection activeCell="H26" sqref="H26"/>
    </sheetView>
  </sheetViews>
  <sheetFormatPr defaultRowHeight="15" x14ac:dyDescent="0.25"/>
  <cols>
    <col min="1" max="1" width="7.85546875" style="79" customWidth="1"/>
    <col min="2" max="2" width="67.140625" style="79" customWidth="1"/>
    <col min="3" max="4" width="19.140625" style="79" customWidth="1"/>
    <col min="5" max="5" width="29.140625" style="79" customWidth="1"/>
    <col min="6" max="6" width="24.42578125" style="79" customWidth="1"/>
    <col min="7" max="7" width="14.140625" style="79" customWidth="1"/>
    <col min="8" max="8" width="24.42578125" style="79" customWidth="1"/>
    <col min="9" max="16384" width="9.140625" style="79"/>
  </cols>
  <sheetData>
    <row r="1" spans="1:8" s="80" customFormat="1" ht="15.75" thickBot="1" x14ac:dyDescent="0.3">
      <c r="A1" s="240" t="s">
        <v>0</v>
      </c>
      <c r="B1" s="241"/>
      <c r="C1" s="242" t="s">
        <v>1</v>
      </c>
      <c r="D1" s="242"/>
      <c r="E1" s="243"/>
      <c r="G1" s="79"/>
      <c r="H1" s="79"/>
    </row>
    <row r="2" spans="1:8" x14ac:dyDescent="0.25">
      <c r="A2" s="244" t="s">
        <v>2</v>
      </c>
      <c r="B2" s="245"/>
      <c r="C2" s="246" t="s">
        <v>223</v>
      </c>
      <c r="D2" s="246"/>
      <c r="E2" s="247"/>
    </row>
    <row r="3" spans="1:8" x14ac:dyDescent="0.25">
      <c r="A3" s="248" t="s">
        <v>3</v>
      </c>
      <c r="B3" s="249"/>
      <c r="C3" s="250">
        <v>7708768748</v>
      </c>
      <c r="D3" s="250"/>
      <c r="E3" s="251"/>
    </row>
    <row r="4" spans="1:8" x14ac:dyDescent="0.25">
      <c r="A4" s="248" t="s">
        <v>4</v>
      </c>
      <c r="B4" s="249"/>
      <c r="C4" s="250" t="s">
        <v>224</v>
      </c>
      <c r="D4" s="250"/>
      <c r="E4" s="251"/>
    </row>
    <row r="5" spans="1:8" x14ac:dyDescent="0.25">
      <c r="A5" s="248" t="s">
        <v>5</v>
      </c>
      <c r="B5" s="249"/>
      <c r="C5" s="250" t="s">
        <v>225</v>
      </c>
      <c r="D5" s="250"/>
      <c r="E5" s="251"/>
    </row>
    <row r="6" spans="1:8" x14ac:dyDescent="0.25">
      <c r="A6" s="252" t="s">
        <v>6</v>
      </c>
      <c r="B6" s="253"/>
      <c r="C6" s="250" t="s">
        <v>226</v>
      </c>
      <c r="D6" s="250"/>
      <c r="E6" s="251"/>
    </row>
    <row r="7" spans="1:8" ht="15.75" thickBot="1" x14ac:dyDescent="0.3">
      <c r="A7" s="258" t="s">
        <v>7</v>
      </c>
      <c r="B7" s="259"/>
      <c r="C7" s="383" t="s">
        <v>227</v>
      </c>
      <c r="D7" s="260"/>
      <c r="E7" s="261"/>
    </row>
    <row r="8" spans="1:8" ht="15.75" thickBot="1" x14ac:dyDescent="0.3">
      <c r="A8" s="224" t="s">
        <v>8</v>
      </c>
      <c r="B8" s="224"/>
      <c r="C8" s="224"/>
      <c r="D8" s="224"/>
      <c r="E8" s="224"/>
    </row>
    <row r="9" spans="1:8" ht="45.75" thickBot="1" x14ac:dyDescent="0.3">
      <c r="A9" s="86" t="s">
        <v>9</v>
      </c>
      <c r="B9" s="89" t="s">
        <v>10</v>
      </c>
      <c r="C9" s="90" t="s">
        <v>16</v>
      </c>
      <c r="D9" s="262" t="s">
        <v>23</v>
      </c>
      <c r="E9" s="263"/>
      <c r="F9" s="93" t="s">
        <v>20</v>
      </c>
    </row>
    <row r="10" spans="1:8" x14ac:dyDescent="0.25">
      <c r="A10" s="72">
        <v>1</v>
      </c>
      <c r="B10" s="85" t="s">
        <v>11</v>
      </c>
      <c r="C10" s="147">
        <v>2012</v>
      </c>
      <c r="D10" s="264" t="s">
        <v>49</v>
      </c>
      <c r="E10" s="265"/>
      <c r="F10" s="94">
        <v>2015</v>
      </c>
      <c r="H10" s="111"/>
    </row>
    <row r="11" spans="1:8" ht="25.5" x14ac:dyDescent="0.25">
      <c r="A11" s="74">
        <v>2</v>
      </c>
      <c r="B11" s="82" t="s">
        <v>12</v>
      </c>
      <c r="C11" s="98" t="s">
        <v>34</v>
      </c>
      <c r="D11" s="254" t="s">
        <v>13</v>
      </c>
      <c r="E11" s="255"/>
      <c r="F11" s="94" t="s">
        <v>21</v>
      </c>
      <c r="H11" s="112"/>
    </row>
    <row r="12" spans="1:8" x14ac:dyDescent="0.25">
      <c r="A12" s="74">
        <v>3</v>
      </c>
      <c r="B12" s="82" t="s">
        <v>18</v>
      </c>
      <c r="C12" s="98" t="s">
        <v>34</v>
      </c>
      <c r="D12" s="254" t="s">
        <v>17</v>
      </c>
      <c r="E12" s="255"/>
      <c r="F12" s="94" t="s">
        <v>21</v>
      </c>
      <c r="H12" s="112"/>
    </row>
    <row r="13" spans="1:8" ht="25.5" x14ac:dyDescent="0.25">
      <c r="A13" s="74">
        <v>4</v>
      </c>
      <c r="B13" s="82" t="s">
        <v>19</v>
      </c>
      <c r="C13" s="98" t="s">
        <v>34</v>
      </c>
      <c r="D13" s="254" t="s">
        <v>13</v>
      </c>
      <c r="E13" s="255"/>
      <c r="F13" s="94" t="s">
        <v>21</v>
      </c>
      <c r="H13" s="112"/>
    </row>
    <row r="14" spans="1:8" x14ac:dyDescent="0.25">
      <c r="A14" s="74">
        <v>5</v>
      </c>
      <c r="B14" s="83" t="s">
        <v>14</v>
      </c>
      <c r="C14" s="98" t="s">
        <v>34</v>
      </c>
      <c r="D14" s="254" t="s">
        <v>13</v>
      </c>
      <c r="E14" s="255"/>
      <c r="F14" s="94" t="s">
        <v>21</v>
      </c>
      <c r="H14" s="111"/>
    </row>
    <row r="15" spans="1:8" ht="15.75" thickBot="1" x14ac:dyDescent="0.3">
      <c r="A15" s="76">
        <v>6</v>
      </c>
      <c r="B15" s="99" t="s">
        <v>15</v>
      </c>
      <c r="C15" s="100" t="s">
        <v>34</v>
      </c>
      <c r="D15" s="256" t="s">
        <v>13</v>
      </c>
      <c r="E15" s="257"/>
      <c r="F15" s="95" t="s">
        <v>21</v>
      </c>
    </row>
    <row r="16" spans="1:8" x14ac:dyDescent="0.25">
      <c r="F16" s="92"/>
    </row>
  </sheetData>
  <mergeCells count="22">
    <mergeCell ref="A1:B1"/>
    <mergeCell ref="C1:E1"/>
    <mergeCell ref="A2:B2"/>
    <mergeCell ref="C2:E2"/>
    <mergeCell ref="A3:B3"/>
    <mergeCell ref="C3:E3"/>
    <mergeCell ref="A4:B4"/>
    <mergeCell ref="C4:E4"/>
    <mergeCell ref="A5:B5"/>
    <mergeCell ref="C5:E5"/>
    <mergeCell ref="A6:B6"/>
    <mergeCell ref="C6:E6"/>
    <mergeCell ref="D12:E12"/>
    <mergeCell ref="D13:E13"/>
    <mergeCell ref="D14:E14"/>
    <mergeCell ref="D15:E15"/>
    <mergeCell ref="A7:B7"/>
    <mergeCell ref="C7:E7"/>
    <mergeCell ref="A8:E8"/>
    <mergeCell ref="D9:E9"/>
    <mergeCell ref="D10:E10"/>
    <mergeCell ref="D11:E11"/>
  </mergeCells>
  <dataValidations count="1">
    <dataValidation type="list" allowBlank="1" showInputMessage="1" showErrorMessage="1" sqref="C11:C15" xr:uid="{B82EA61A-BBE5-47EE-8D44-092C2BCBD982}">
      <formula1>"ДА,НЕТ"</formula1>
    </dataValidation>
  </dataValidations>
  <hyperlinks>
    <hyperlink ref="C7" r:id="rId1" xr:uid="{0C60A0CF-60AD-4002-8A4C-0E7B267D8D8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84D1-8640-40B5-87DD-206CF5060B40}">
  <dimension ref="A1:I13"/>
  <sheetViews>
    <sheetView workbookViewId="0">
      <selection activeCell="H26" sqref="H26"/>
    </sheetView>
  </sheetViews>
  <sheetFormatPr defaultRowHeight="15" x14ac:dyDescent="0.25"/>
  <cols>
    <col min="1" max="1" width="3.85546875" style="79" customWidth="1"/>
    <col min="2" max="2" width="66.5703125" style="79" customWidth="1"/>
    <col min="3" max="4" width="32.140625" style="79" customWidth="1"/>
    <col min="5" max="5" width="36.42578125" style="79" customWidth="1"/>
    <col min="6" max="6" width="37.85546875" style="79" customWidth="1"/>
    <col min="7" max="7" width="35.7109375" style="79" customWidth="1"/>
    <col min="8" max="8" width="39.5703125" style="79" customWidth="1"/>
    <col min="9" max="9" width="55.85546875" style="80" customWidth="1"/>
    <col min="10" max="16384" width="9.140625" style="79"/>
  </cols>
  <sheetData>
    <row r="1" spans="1:9" s="80" customFormat="1" ht="15.75" thickBot="1" x14ac:dyDescent="0.3">
      <c r="A1" s="240" t="s">
        <v>0</v>
      </c>
      <c r="B1" s="241"/>
      <c r="C1" s="266" t="s">
        <v>1</v>
      </c>
      <c r="D1" s="267"/>
      <c r="E1" s="267"/>
      <c r="F1" s="267"/>
      <c r="G1" s="267"/>
      <c r="H1" s="268"/>
    </row>
    <row r="2" spans="1:9" x14ac:dyDescent="0.25">
      <c r="A2" s="244" t="s">
        <v>2</v>
      </c>
      <c r="B2" s="269"/>
      <c r="C2" s="250" t="s">
        <v>228</v>
      </c>
      <c r="D2" s="250"/>
      <c r="E2" s="250"/>
      <c r="F2" s="250"/>
      <c r="G2" s="250"/>
      <c r="H2" s="251"/>
    </row>
    <row r="3" spans="1:9" x14ac:dyDescent="0.25">
      <c r="A3" s="248" t="s">
        <v>3</v>
      </c>
      <c r="B3" s="249"/>
      <c r="C3" s="250">
        <v>7708768748</v>
      </c>
      <c r="D3" s="250"/>
      <c r="E3" s="250"/>
      <c r="F3" s="250"/>
      <c r="G3" s="250"/>
      <c r="H3" s="251"/>
    </row>
    <row r="4" spans="1:9" x14ac:dyDescent="0.25">
      <c r="A4" s="248" t="s">
        <v>4</v>
      </c>
      <c r="B4" s="249"/>
      <c r="C4" s="250" t="s">
        <v>229</v>
      </c>
      <c r="D4" s="250"/>
      <c r="E4" s="250"/>
      <c r="F4" s="250"/>
      <c r="G4" s="250"/>
      <c r="H4" s="251"/>
    </row>
    <row r="5" spans="1:9" x14ac:dyDescent="0.25">
      <c r="A5" s="248" t="s">
        <v>5</v>
      </c>
      <c r="B5" s="249"/>
      <c r="C5" s="250" t="s">
        <v>225</v>
      </c>
      <c r="D5" s="250"/>
      <c r="E5" s="250"/>
      <c r="F5" s="250"/>
      <c r="G5" s="250"/>
      <c r="H5" s="251"/>
    </row>
    <row r="6" spans="1:9" x14ac:dyDescent="0.25">
      <c r="A6" s="252" t="s">
        <v>6</v>
      </c>
      <c r="B6" s="253"/>
      <c r="C6" s="250" t="s">
        <v>230</v>
      </c>
      <c r="D6" s="250"/>
      <c r="E6" s="250"/>
      <c r="F6" s="250"/>
      <c r="G6" s="250"/>
      <c r="H6" s="251"/>
    </row>
    <row r="7" spans="1:9" ht="15.75" thickBot="1" x14ac:dyDescent="0.3">
      <c r="A7" s="258" t="s">
        <v>7</v>
      </c>
      <c r="B7" s="259"/>
      <c r="C7" s="383" t="s">
        <v>227</v>
      </c>
      <c r="D7" s="260"/>
      <c r="E7" s="260"/>
      <c r="F7" s="260"/>
      <c r="G7" s="260"/>
      <c r="H7" s="261"/>
    </row>
    <row r="8" spans="1:9" ht="15.75" thickBot="1" x14ac:dyDescent="0.3">
      <c r="A8" s="299" t="s">
        <v>8</v>
      </c>
      <c r="B8" s="299"/>
      <c r="C8" s="299"/>
    </row>
    <row r="9" spans="1:9" ht="15.75" thickBot="1" x14ac:dyDescent="0.3">
      <c r="A9" s="86" t="s">
        <v>9</v>
      </c>
      <c r="B9" s="89" t="s">
        <v>10</v>
      </c>
      <c r="C9" s="91">
        <v>2019</v>
      </c>
      <c r="D9" s="91">
        <v>2020</v>
      </c>
      <c r="E9" s="91">
        <v>2021</v>
      </c>
      <c r="F9" s="91">
        <v>2022</v>
      </c>
      <c r="G9" s="91">
        <v>2023</v>
      </c>
      <c r="H9" s="91">
        <v>2024</v>
      </c>
      <c r="I9" s="93" t="s">
        <v>20</v>
      </c>
    </row>
    <row r="10" spans="1:9" ht="25.5" x14ac:dyDescent="0.25">
      <c r="A10" s="84">
        <v>1</v>
      </c>
      <c r="B10" s="101" t="s">
        <v>24</v>
      </c>
      <c r="C10" s="12">
        <v>27113174.199999999</v>
      </c>
      <c r="D10" s="12">
        <v>46839920</v>
      </c>
      <c r="E10" s="12">
        <v>49934413</v>
      </c>
      <c r="F10" s="12">
        <v>30847020.440000001</v>
      </c>
      <c r="G10" s="12">
        <v>50203017.75</v>
      </c>
      <c r="H10" s="12">
        <v>65412051.210000001</v>
      </c>
      <c r="I10" s="96">
        <v>545.25</v>
      </c>
    </row>
    <row r="11" spans="1:9" ht="25.5" x14ac:dyDescent="0.25">
      <c r="A11" s="81">
        <v>2</v>
      </c>
      <c r="B11" s="101" t="s">
        <v>25</v>
      </c>
      <c r="C11" s="12" t="s">
        <v>231</v>
      </c>
      <c r="D11" s="12" t="s">
        <v>232</v>
      </c>
      <c r="E11" s="12" t="s">
        <v>232</v>
      </c>
      <c r="F11" s="12" t="s">
        <v>232</v>
      </c>
      <c r="G11" s="12" t="s">
        <v>232</v>
      </c>
      <c r="H11" s="12" t="s">
        <v>232</v>
      </c>
      <c r="I11" s="97">
        <v>5647.1</v>
      </c>
    </row>
    <row r="12" spans="1:9" ht="63.75" x14ac:dyDescent="0.25">
      <c r="A12" s="81">
        <v>3</v>
      </c>
      <c r="B12" s="102" t="s">
        <v>26</v>
      </c>
      <c r="C12" s="12" t="s">
        <v>233</v>
      </c>
      <c r="D12" s="12" t="s">
        <v>233</v>
      </c>
      <c r="E12" s="12" t="s">
        <v>233</v>
      </c>
      <c r="F12" s="12" t="s">
        <v>233</v>
      </c>
      <c r="G12" s="12" t="s">
        <v>233</v>
      </c>
      <c r="H12" s="12" t="s">
        <v>233</v>
      </c>
      <c r="I12" s="96" t="s">
        <v>22</v>
      </c>
    </row>
    <row r="13" spans="1:9" ht="294" thickBot="1" x14ac:dyDescent="0.3">
      <c r="A13" s="81">
        <v>5</v>
      </c>
      <c r="B13" s="102" t="s">
        <v>28</v>
      </c>
      <c r="C13" s="50" t="s">
        <v>234</v>
      </c>
      <c r="D13" s="50" t="s">
        <v>235</v>
      </c>
      <c r="E13" s="50" t="s">
        <v>236</v>
      </c>
      <c r="F13" s="50" t="s">
        <v>237</v>
      </c>
      <c r="G13" s="50" t="s">
        <v>238</v>
      </c>
      <c r="H13" s="50" t="s">
        <v>239</v>
      </c>
      <c r="I13" s="20" t="s">
        <v>27</v>
      </c>
    </row>
  </sheetData>
  <mergeCells count="15">
    <mergeCell ref="A1:B1"/>
    <mergeCell ref="C1:H1"/>
    <mergeCell ref="A2:B2"/>
    <mergeCell ref="C2:H2"/>
    <mergeCell ref="A3:B3"/>
    <mergeCell ref="C3:H3"/>
    <mergeCell ref="A7:B7"/>
    <mergeCell ref="C7:H7"/>
    <mergeCell ref="A8:C8"/>
    <mergeCell ref="A4:B4"/>
    <mergeCell ref="C4:H4"/>
    <mergeCell ref="A5:B5"/>
    <mergeCell ref="C5:H5"/>
    <mergeCell ref="A6:B6"/>
    <mergeCell ref="C6:H6"/>
  </mergeCells>
  <hyperlinks>
    <hyperlink ref="C7" r:id="rId1" xr:uid="{AC0C3C3A-CAE7-40B0-9368-6F2610263E45}"/>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5B97-4126-4365-AADE-266018FCED3A}">
  <dimension ref="A1:H16"/>
  <sheetViews>
    <sheetView workbookViewId="0">
      <selection activeCell="H26" sqref="H26"/>
    </sheetView>
  </sheetViews>
  <sheetFormatPr defaultRowHeight="15" x14ac:dyDescent="0.25"/>
  <cols>
    <col min="1" max="1" width="7.7109375" style="79" customWidth="1"/>
    <col min="2" max="2" width="67.140625" style="79" customWidth="1"/>
    <col min="3" max="4" width="19.28515625" style="79" customWidth="1"/>
    <col min="5" max="5" width="29.140625" style="79" customWidth="1"/>
    <col min="6" max="6" width="24.42578125" style="79" customWidth="1"/>
    <col min="7" max="7" width="14.28515625" style="79" customWidth="1"/>
    <col min="8" max="8" width="24.42578125" style="79" customWidth="1"/>
    <col min="9" max="16384" width="9.140625" style="79"/>
  </cols>
  <sheetData>
    <row r="1" spans="1:8" s="80" customFormat="1" ht="15.75" thickBot="1" x14ac:dyDescent="0.3">
      <c r="A1" s="240" t="s">
        <v>0</v>
      </c>
      <c r="B1" s="241"/>
      <c r="C1" s="242" t="s">
        <v>1</v>
      </c>
      <c r="D1" s="242"/>
      <c r="E1" s="243"/>
      <c r="G1" s="79"/>
      <c r="H1" s="79"/>
    </row>
    <row r="2" spans="1:8" x14ac:dyDescent="0.25">
      <c r="A2" s="244" t="s">
        <v>2</v>
      </c>
      <c r="B2" s="245"/>
      <c r="C2" s="246" t="s">
        <v>240</v>
      </c>
      <c r="D2" s="246"/>
      <c r="E2" s="247"/>
    </row>
    <row r="3" spans="1:8" x14ac:dyDescent="0.25">
      <c r="A3" s="248" t="s">
        <v>3</v>
      </c>
      <c r="B3" s="249"/>
      <c r="C3" s="250">
        <v>5262388414</v>
      </c>
      <c r="D3" s="250"/>
      <c r="E3" s="251"/>
    </row>
    <row r="4" spans="1:8" x14ac:dyDescent="0.25">
      <c r="A4" s="248" t="s">
        <v>4</v>
      </c>
      <c r="B4" s="249"/>
      <c r="C4" s="250" t="s">
        <v>241</v>
      </c>
      <c r="D4" s="250"/>
      <c r="E4" s="251"/>
    </row>
    <row r="5" spans="1:8" x14ac:dyDescent="0.25">
      <c r="A5" s="248" t="s">
        <v>5</v>
      </c>
      <c r="B5" s="249"/>
      <c r="C5" s="250" t="s">
        <v>242</v>
      </c>
      <c r="D5" s="250"/>
      <c r="E5" s="251"/>
    </row>
    <row r="6" spans="1:8" x14ac:dyDescent="0.25">
      <c r="A6" s="252" t="s">
        <v>6</v>
      </c>
      <c r="B6" s="253"/>
      <c r="C6" s="250">
        <v>79167386278</v>
      </c>
      <c r="D6" s="250"/>
      <c r="E6" s="251"/>
    </row>
    <row r="7" spans="1:8" ht="15.75" thickBot="1" x14ac:dyDescent="0.3">
      <c r="A7" s="258" t="s">
        <v>7</v>
      </c>
      <c r="B7" s="259"/>
      <c r="C7" s="283" t="s">
        <v>243</v>
      </c>
      <c r="D7" s="260"/>
      <c r="E7" s="261"/>
    </row>
    <row r="8" spans="1:8" ht="15.75" thickBot="1" x14ac:dyDescent="0.3">
      <c r="A8" s="224" t="s">
        <v>8</v>
      </c>
      <c r="B8" s="224"/>
      <c r="C8" s="224"/>
      <c r="D8" s="224"/>
      <c r="E8" s="224"/>
    </row>
    <row r="9" spans="1:8" ht="45.75" thickBot="1" x14ac:dyDescent="0.3">
      <c r="A9" s="86" t="s">
        <v>9</v>
      </c>
      <c r="B9" s="89" t="s">
        <v>10</v>
      </c>
      <c r="C9" s="90" t="s">
        <v>16</v>
      </c>
      <c r="D9" s="262" t="s">
        <v>23</v>
      </c>
      <c r="E9" s="263"/>
      <c r="F9" s="93" t="s">
        <v>20</v>
      </c>
    </row>
    <row r="10" spans="1:8" ht="77.25" customHeight="1" x14ac:dyDescent="0.25">
      <c r="A10" s="21">
        <v>1</v>
      </c>
      <c r="B10" s="85" t="s">
        <v>11</v>
      </c>
      <c r="C10" s="73" t="s">
        <v>34</v>
      </c>
      <c r="D10" s="264" t="s">
        <v>49</v>
      </c>
      <c r="E10" s="265"/>
      <c r="F10" s="94">
        <v>2015</v>
      </c>
      <c r="H10" s="111"/>
    </row>
    <row r="11" spans="1:8" ht="25.5" x14ac:dyDescent="0.25">
      <c r="A11" s="22">
        <v>2</v>
      </c>
      <c r="B11" s="82" t="s">
        <v>12</v>
      </c>
      <c r="C11" s="98" t="s">
        <v>34</v>
      </c>
      <c r="D11" s="254" t="s">
        <v>13</v>
      </c>
      <c r="E11" s="255"/>
      <c r="F11" s="94" t="s">
        <v>21</v>
      </c>
      <c r="H11" s="112"/>
    </row>
    <row r="12" spans="1:8" ht="33" customHeight="1" x14ac:dyDescent="0.25">
      <c r="A12" s="22">
        <v>3</v>
      </c>
      <c r="B12" s="82" t="s">
        <v>18</v>
      </c>
      <c r="C12" s="98" t="s">
        <v>34</v>
      </c>
      <c r="D12" s="254" t="s">
        <v>17</v>
      </c>
      <c r="E12" s="255"/>
      <c r="F12" s="94" t="s">
        <v>21</v>
      </c>
      <c r="H12" s="112"/>
    </row>
    <row r="13" spans="1:8" ht="25.5" x14ac:dyDescent="0.25">
      <c r="A13" s="22">
        <v>4</v>
      </c>
      <c r="B13" s="82" t="s">
        <v>19</v>
      </c>
      <c r="C13" s="98" t="s">
        <v>34</v>
      </c>
      <c r="D13" s="254" t="s">
        <v>13</v>
      </c>
      <c r="E13" s="255"/>
      <c r="F13" s="94" t="s">
        <v>21</v>
      </c>
      <c r="H13" s="112"/>
    </row>
    <row r="14" spans="1:8" x14ac:dyDescent="0.25">
      <c r="A14" s="22">
        <v>5</v>
      </c>
      <c r="B14" s="83" t="s">
        <v>14</v>
      </c>
      <c r="C14" s="98" t="s">
        <v>34</v>
      </c>
      <c r="D14" s="254" t="s">
        <v>13</v>
      </c>
      <c r="E14" s="255"/>
      <c r="F14" s="94" t="s">
        <v>21</v>
      </c>
      <c r="H14" s="111"/>
    </row>
    <row r="15" spans="1:8" ht="15.75" thickBot="1" x14ac:dyDescent="0.3">
      <c r="A15" s="24">
        <v>6</v>
      </c>
      <c r="B15" s="99" t="s">
        <v>15</v>
      </c>
      <c r="C15" s="100" t="s">
        <v>34</v>
      </c>
      <c r="D15" s="256" t="s">
        <v>13</v>
      </c>
      <c r="E15" s="257"/>
      <c r="F15" s="95" t="s">
        <v>21</v>
      </c>
    </row>
    <row r="16" spans="1:8" x14ac:dyDescent="0.25">
      <c r="F16" s="92"/>
    </row>
  </sheetData>
  <mergeCells count="22">
    <mergeCell ref="A1:B1"/>
    <mergeCell ref="C1:E1"/>
    <mergeCell ref="A2:B2"/>
    <mergeCell ref="C2:E2"/>
    <mergeCell ref="A3:B3"/>
    <mergeCell ref="C3:E3"/>
    <mergeCell ref="A4:B4"/>
    <mergeCell ref="C4:E4"/>
    <mergeCell ref="A5:B5"/>
    <mergeCell ref="C5:E5"/>
    <mergeCell ref="A6:B6"/>
    <mergeCell ref="C6:E6"/>
    <mergeCell ref="D12:E12"/>
    <mergeCell ref="D13:E13"/>
    <mergeCell ref="D14:E14"/>
    <mergeCell ref="D15:E15"/>
    <mergeCell ref="A7:B7"/>
    <mergeCell ref="C7:E7"/>
    <mergeCell ref="A8:E8"/>
    <mergeCell ref="D9:E9"/>
    <mergeCell ref="D10:E10"/>
    <mergeCell ref="D11:E11"/>
  </mergeCells>
  <dataValidations count="1">
    <dataValidation type="list" allowBlank="1" showInputMessage="1" showErrorMessage="1" sqref="C10:C15" xr:uid="{62DAB72E-7527-4791-AA1E-D8D4941AD72E}">
      <formula1>"ДА,НЕТ"</formula1>
    </dataValidation>
  </dataValidations>
  <hyperlinks>
    <hyperlink ref="C7" r:id="rId1" xr:uid="{3229DD48-F79C-4E85-A616-D0E9620EA231}"/>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1534E-B5E3-4A5B-B5AE-DEE35858B9A9}">
  <dimension ref="A1:I13"/>
  <sheetViews>
    <sheetView workbookViewId="0">
      <selection activeCell="H26" sqref="H26"/>
    </sheetView>
  </sheetViews>
  <sheetFormatPr defaultRowHeight="15" x14ac:dyDescent="0.25"/>
  <cols>
    <col min="1" max="1" width="3.7109375" style="79" customWidth="1"/>
    <col min="2" max="2" width="66.5703125" style="79" customWidth="1"/>
    <col min="3" max="8" width="17" style="79" customWidth="1"/>
    <col min="9" max="9" width="55.7109375" style="80" customWidth="1"/>
    <col min="10" max="16384" width="9.140625" style="79"/>
  </cols>
  <sheetData>
    <row r="1" spans="1:9" s="80" customFormat="1" ht="15.75" thickBot="1" x14ac:dyDescent="0.3">
      <c r="A1" s="240" t="s">
        <v>0</v>
      </c>
      <c r="B1" s="241"/>
      <c r="C1" s="266" t="s">
        <v>1</v>
      </c>
      <c r="D1" s="267"/>
      <c r="E1" s="267"/>
      <c r="F1" s="267"/>
      <c r="G1" s="267"/>
      <c r="H1" s="268"/>
    </row>
    <row r="2" spans="1:9" ht="15" customHeight="1" x14ac:dyDescent="0.25">
      <c r="A2" s="244" t="s">
        <v>2</v>
      </c>
      <c r="B2" s="269"/>
      <c r="C2" s="296" t="s">
        <v>240</v>
      </c>
      <c r="D2" s="275"/>
      <c r="E2" s="275"/>
      <c r="F2" s="275" t="s">
        <v>240</v>
      </c>
      <c r="G2" s="275"/>
      <c r="H2" s="288"/>
    </row>
    <row r="3" spans="1:9" x14ac:dyDescent="0.25">
      <c r="A3" s="248" t="s">
        <v>3</v>
      </c>
      <c r="B3" s="249"/>
      <c r="C3" s="250">
        <v>5262388414</v>
      </c>
      <c r="D3" s="250"/>
      <c r="E3" s="250"/>
      <c r="F3" s="250">
        <v>5262388414</v>
      </c>
      <c r="G3" s="250"/>
      <c r="H3" s="251"/>
    </row>
    <row r="4" spans="1:9" x14ac:dyDescent="0.25">
      <c r="A4" s="248" t="s">
        <v>4</v>
      </c>
      <c r="B4" s="249"/>
      <c r="C4" s="250" t="s">
        <v>241</v>
      </c>
      <c r="D4" s="250"/>
      <c r="E4" s="250"/>
      <c r="F4" s="250" t="s">
        <v>241</v>
      </c>
      <c r="G4" s="250"/>
      <c r="H4" s="251"/>
    </row>
    <row r="5" spans="1:9" x14ac:dyDescent="0.25">
      <c r="A5" s="248" t="s">
        <v>5</v>
      </c>
      <c r="B5" s="249"/>
      <c r="C5" s="250" t="s">
        <v>242</v>
      </c>
      <c r="D5" s="250"/>
      <c r="E5" s="250"/>
      <c r="F5" s="250" t="s">
        <v>242</v>
      </c>
      <c r="G5" s="250"/>
      <c r="H5" s="251"/>
    </row>
    <row r="6" spans="1:9" x14ac:dyDescent="0.25">
      <c r="A6" s="252" t="s">
        <v>6</v>
      </c>
      <c r="B6" s="253"/>
      <c r="C6" s="250">
        <v>79167386278</v>
      </c>
      <c r="D6" s="250"/>
      <c r="E6" s="250"/>
      <c r="F6" s="250">
        <v>79167386278</v>
      </c>
      <c r="G6" s="250"/>
      <c r="H6" s="251"/>
    </row>
    <row r="7" spans="1:9" ht="15.75" thickBot="1" x14ac:dyDescent="0.3">
      <c r="A7" s="258" t="s">
        <v>7</v>
      </c>
      <c r="B7" s="259"/>
      <c r="C7" s="260" t="s">
        <v>243</v>
      </c>
      <c r="D7" s="260"/>
      <c r="E7" s="260"/>
      <c r="F7" s="260" t="s">
        <v>243</v>
      </c>
      <c r="G7" s="260"/>
      <c r="H7" s="261"/>
    </row>
    <row r="8" spans="1:9" ht="15.75" thickBot="1" x14ac:dyDescent="0.3">
      <c r="A8" s="282" t="s">
        <v>8</v>
      </c>
      <c r="B8" s="282"/>
      <c r="C8" s="282"/>
    </row>
    <row r="9" spans="1:9" ht="15.75" thickBot="1" x14ac:dyDescent="0.3">
      <c r="A9" s="86" t="s">
        <v>9</v>
      </c>
      <c r="B9" s="89" t="s">
        <v>10</v>
      </c>
      <c r="C9" s="13">
        <v>2019</v>
      </c>
      <c r="D9" s="13">
        <v>2020</v>
      </c>
      <c r="E9" s="13">
        <v>2021</v>
      </c>
      <c r="F9" s="13">
        <v>2022</v>
      </c>
      <c r="G9" s="13">
        <v>2023</v>
      </c>
      <c r="H9" s="13">
        <v>2024</v>
      </c>
      <c r="I9" s="93" t="s">
        <v>20</v>
      </c>
    </row>
    <row r="10" spans="1:9" ht="25.5" x14ac:dyDescent="0.25">
      <c r="A10" s="5">
        <v>1</v>
      </c>
      <c r="B10" s="27" t="s">
        <v>24</v>
      </c>
      <c r="C10" s="12"/>
      <c r="D10" s="12"/>
      <c r="E10" s="12"/>
      <c r="F10" s="12"/>
      <c r="G10" s="12" t="s">
        <v>244</v>
      </c>
      <c r="H10" s="12" t="s">
        <v>245</v>
      </c>
      <c r="I10" s="96">
        <v>545.25</v>
      </c>
    </row>
    <row r="11" spans="1:9" ht="25.5" x14ac:dyDescent="0.25">
      <c r="A11" s="2">
        <v>2</v>
      </c>
      <c r="B11" s="27" t="s">
        <v>25</v>
      </c>
      <c r="C11" s="12"/>
      <c r="D11" s="12"/>
      <c r="E11" s="12"/>
      <c r="F11" s="12"/>
      <c r="G11" s="12"/>
      <c r="H11" s="12"/>
      <c r="I11" s="97">
        <v>5647.1</v>
      </c>
    </row>
    <row r="12" spans="1:9" ht="38.25" x14ac:dyDescent="0.25">
      <c r="A12" s="2">
        <v>3</v>
      </c>
      <c r="B12" s="102" t="s">
        <v>26</v>
      </c>
      <c r="C12" s="12"/>
      <c r="D12" s="12"/>
      <c r="E12" s="12"/>
      <c r="F12" s="12"/>
      <c r="G12" s="12" t="s">
        <v>246</v>
      </c>
      <c r="H12" s="12" t="s">
        <v>247</v>
      </c>
      <c r="I12" s="96" t="s">
        <v>22</v>
      </c>
    </row>
    <row r="13" spans="1:9" ht="230.25" thickBot="1" x14ac:dyDescent="0.3">
      <c r="A13" s="2">
        <v>5</v>
      </c>
      <c r="B13" s="102" t="s">
        <v>28</v>
      </c>
      <c r="C13" s="12"/>
      <c r="D13" s="12"/>
      <c r="E13" s="12"/>
      <c r="F13" s="12"/>
      <c r="G13" s="50" t="s">
        <v>248</v>
      </c>
      <c r="H13" s="50" t="s">
        <v>249</v>
      </c>
      <c r="I13" s="20" t="s">
        <v>27</v>
      </c>
    </row>
  </sheetData>
  <mergeCells count="15">
    <mergeCell ref="A1:B1"/>
    <mergeCell ref="C1:H1"/>
    <mergeCell ref="A2:B2"/>
    <mergeCell ref="C2:H2"/>
    <mergeCell ref="A3:B3"/>
    <mergeCell ref="C3:H3"/>
    <mergeCell ref="A7:B7"/>
    <mergeCell ref="C7:H7"/>
    <mergeCell ref="A8:C8"/>
    <mergeCell ref="A4:B4"/>
    <mergeCell ref="C4:H4"/>
    <mergeCell ref="A5:B5"/>
    <mergeCell ref="C5:H5"/>
    <mergeCell ref="A6:B6"/>
    <mergeCell ref="C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33</vt:i4>
      </vt:variant>
    </vt:vector>
  </HeadingPairs>
  <TitlesOfParts>
    <vt:vector size="33" baseType="lpstr">
      <vt:lpstr>СВОД_АНКЕТА СООТВЕТСТВИЯ</vt:lpstr>
      <vt:lpstr>СВОД_АНКЕТА (ДОП. ДАННЫЕ)</vt:lpstr>
      <vt:lpstr>СПЕКТРУМ ХОЛДИНГ_АС</vt:lpstr>
      <vt:lpstr>СПЕКТРУМ ХОЛДИНГ_ДД</vt:lpstr>
      <vt:lpstr>DBC_АС</vt:lpstr>
      <vt:lpstr>DBC_ДД</vt:lpstr>
      <vt:lpstr>Nikoliers_АС</vt:lpstr>
      <vt:lpstr>Nikoliers_ДД</vt:lpstr>
      <vt:lpstr>CORE XP_АС</vt:lpstr>
      <vt:lpstr>CORE XP_ДД</vt:lpstr>
      <vt:lpstr>CMWР_АС</vt:lpstr>
      <vt:lpstr>CMWР_ДД</vt:lpstr>
      <vt:lpstr>Восход_АС</vt:lpstr>
      <vt:lpstr>Восход_ДД</vt:lpstr>
      <vt:lpstr>NFrank_АС</vt:lpstr>
      <vt:lpstr>NFrank_ДД</vt:lpstr>
      <vt:lpstr>СР Девелопиент_АС</vt:lpstr>
      <vt:lpstr>СР Девелопиент_ДД</vt:lpstr>
      <vt:lpstr>ИК Элемент_АС</vt:lpstr>
      <vt:lpstr>ИК Элемент_ДД</vt:lpstr>
      <vt:lpstr>ИЭС Инжиниринг_АС</vt:lpstr>
      <vt:lpstr>ИЭС Инжиниринг_ДД</vt:lpstr>
      <vt:lpstr>Ирбис_АС</vt:lpstr>
      <vt:lpstr>Ирбис_ДД</vt:lpstr>
      <vt:lpstr>АКРОН_АС</vt:lpstr>
      <vt:lpstr>АКРОН_ДД</vt:lpstr>
      <vt:lpstr>ПМК_АС</vt:lpstr>
      <vt:lpstr>РИТМ ПРОЕКТ_АС</vt:lpstr>
      <vt:lpstr>РИТМ ПРОЕКТ_ДД</vt:lpstr>
      <vt:lpstr>Эс Эй Риччи ПМ_АС</vt:lpstr>
      <vt:lpstr>Эс Эй Риччи ПМ_ДД</vt:lpstr>
      <vt:lpstr>Стройконтроль_АС</vt:lpstr>
      <vt:lpstr>Стройконтроль_ДД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Кузнецова Елена Станиславовна</dc:creator>
  <cp:lastModifiedBy>Гусейнов Али Айдын Оглы</cp:lastModifiedBy>
  <dcterms:created xsi:type="dcterms:W3CDTF">2015-06-05T18:17:20Z</dcterms:created>
  <dcterms:modified xsi:type="dcterms:W3CDTF">2026-08-21T06:35:11Z</dcterms:modified>
</cp:coreProperties>
</file>