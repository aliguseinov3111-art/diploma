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iploma\alfa\презентации\"/>
    </mc:Choice>
  </mc:AlternateContent>
  <xr:revisionPtr revIDLastSave="0" documentId="13_ncr:1_{32571C23-1B69-41A0-BEF6-0605A283611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Nikoliers" sheetId="1" r:id="rId1"/>
  </sheets>
  <definedNames>
    <definedName name="_xlnm._FilterDatabase" localSheetId="0" hidden="1">Nikoliers!$B$2:$I$35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4" i="1" l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</calcChain>
</file>

<file path=xl/sharedStrings.xml><?xml version="1.0" encoding="utf-8"?>
<sst xmlns="http://schemas.openxmlformats.org/spreadsheetml/2006/main" count="239" uniqueCount="114">
  <si>
    <t>ЗАКАЗЧИК</t>
  </si>
  <si>
    <t>ПРОЕКТ</t>
  </si>
  <si>
    <t>ПАРАМЕТРЫ ПРОЕКТА</t>
  </si>
  <si>
    <t>СРОКИ РЕАЛИЗАЦИИ</t>
  </si>
  <si>
    <t>РОЛЬ В ПРОЕКТЕ</t>
  </si>
  <si>
    <t>—</t>
  </si>
  <si>
    <t>ЖК «ALIA 2», г. Москва</t>
  </si>
  <si>
    <t>136 000 м²</t>
  </si>
  <si>
    <t>Строительный контроль и управление строительством</t>
  </si>
  <si>
    <t>МФК с подземной автостоянкой «Искра Парк», г. Москва</t>
  </si>
  <si>
    <t>229 000 м²</t>
  </si>
  <si>
    <t>Строительный контроль, контроль проектирования, ввод в эксплуатацию</t>
  </si>
  <si>
    <t>Inmedico</t>
  </si>
  <si>
    <t>Детско-взрослая поликлиника Inmedico, г. Москва</t>
  </si>
  <si>
    <t>18 400 м²</t>
  </si>
  <si>
    <t>Технический заказчик, управление проектом, ввод в эксплуатацию</t>
  </si>
  <si>
    <t>Школа-лаборатория «Новый Взгляд», г. Москва</t>
  </si>
  <si>
    <t>18 036 м²</t>
  </si>
  <si>
    <t>Технический заказчик с функцией инжиниринга</t>
  </si>
  <si>
    <t>Инновационная школа «Сколка», Московская область</t>
  </si>
  <si>
    <t>15 598 м²</t>
  </si>
  <si>
    <t>Многофункциональный спортивный комплекс «Чкалов Арена», г. Москва (победитель конкурса «Лучший реализованный проект строительства объектов спортивного назначения»)</t>
  </si>
  <si>
    <t>32 773 м²</t>
  </si>
  <si>
    <t>Технический заказчик, техаудит, управление проектированием, строительный контроль</t>
  </si>
  <si>
    <t>Комус</t>
  </si>
  <si>
    <t>Производственно-складские комплексы «Комус», Московская область и Санкт-Петербург</t>
  </si>
  <si>
    <t>МО 13 026 м², СПб 26 000 м²</t>
  </si>
  <si>
    <t>Технический заказчик, управление проектом</t>
  </si>
  <si>
    <t>ТПД «Паритет»</t>
  </si>
  <si>
    <t>Завод по производству кабельной продукции ТПД «Паритет», г. Подольск</t>
  </si>
  <si>
    <t>29 181 м²</t>
  </si>
  <si>
    <t>Технический заказчик</t>
  </si>
  <si>
    <t>OZON</t>
  </si>
  <si>
    <t>Промышленно-логистический комплекс OZON, г. Тверь</t>
  </si>
  <si>
    <t>15 400 м²</t>
  </si>
  <si>
    <t>Технический аудит, технический надзор</t>
  </si>
  <si>
    <t>X5 Retail Group</t>
  </si>
  <si>
    <t>Мультитемпературный склад «Пятерочка», г. Великий Новгород</t>
  </si>
  <si>
    <t>22 000 м²</t>
  </si>
  <si>
    <t>Управление проектированием и строительством склада мультитемпературного хранения</t>
  </si>
  <si>
    <t>BILLA</t>
  </si>
  <si>
    <t>Складской комплекс BILLA, г. Москва</t>
  </si>
  <si>
    <t>Управление проектом реконструкции «холодного» склада, контроль СМР, ввод в эксплуатацию</t>
  </si>
  <si>
    <t>Банк «Открытие»</t>
  </si>
  <si>
    <t>БЦ «Легион I», ЦО банка «Открытие» «Дом Открытие», г. Москва</t>
  </si>
  <si>
    <t>44 815 м²</t>
  </si>
  <si>
    <t>Технический заказчик, техаудит, управление проектом, ввод в эксплуатацию</t>
  </si>
  <si>
    <t>Банк ВТБ (ПАО)</t>
  </si>
  <si>
    <t>Офис банка ВТБ (ПАО), комплекс «Федерация», башня «Восток», г. Москва</t>
  </si>
  <si>
    <t>8 681 м²</t>
  </si>
  <si>
    <t>Технический заказчик, ввод в эксплуатацию</t>
  </si>
  <si>
    <t>Московская биржа (MOEX)</t>
  </si>
  <si>
    <t>Офис MOEX (Московская биржа), г. Москва</t>
  </si>
  <si>
    <t>16 876 м²</t>
  </si>
  <si>
    <t>Технический заказчик, реконструкция зданий</t>
  </si>
  <si>
    <t>Samsung</t>
  </si>
  <si>
    <t>Головной офис Samsung, БЦ «Новинский Пассаж», г. Москва</t>
  </si>
  <si>
    <t>10 000 м²</t>
  </si>
  <si>
    <t>Технический аудит, управление проектом</t>
  </si>
  <si>
    <t>Офис энергетической компании, г. Санкт-Петербург</t>
  </si>
  <si>
    <t>3 500 м²</t>
  </si>
  <si>
    <t>Управление проектом, генподряд, генпроектирование</t>
  </si>
  <si>
    <t>EPAM Systems</t>
  </si>
  <si>
    <t>Два офиса компании EPAM SYSTEMS, г. Санкт-Петербург</t>
  </si>
  <si>
    <t>Управление проектом отделки офисных помещений, ввод в эксплуатацию</t>
  </si>
  <si>
    <t>Danone</t>
  </si>
  <si>
    <t>Офис DANONE, г. Москва</t>
  </si>
  <si>
    <t>6 000 м²</t>
  </si>
  <si>
    <t>Avito</t>
  </si>
  <si>
    <t>Офис AVITO, БЦ «СПБ Плаза», г. Санкт-Петербург (победитель Best Office Awards 2021, номинация «Гибкий офис»)</t>
  </si>
  <si>
    <t>1 840 м²</t>
  </si>
  <si>
    <t>Авторский комплекс апартаментов ROZA ROSSA, г. Москва</t>
  </si>
  <si>
    <t>25 920 м²</t>
  </si>
  <si>
    <t>Управление проектом, строительный контроль, СМР</t>
  </si>
  <si>
    <t>Клубный дом YARD ASTRVM на Крестовском острове, г. Санкт-Петербург</t>
  </si>
  <si>
    <t>20 000 м²</t>
  </si>
  <si>
    <t>Реконструкция исторического комплекса зданий под корпоративную резиденцию премиум-класса, Австрия</t>
  </si>
  <si>
    <t>990 м²</t>
  </si>
  <si>
    <t>Управление проектом, строительный контроль, подготовка комплекта проектно-сметной документации</t>
  </si>
  <si>
    <t>Частная резиденция, п. Николино</t>
  </si>
  <si>
    <t>1 180 м²</t>
  </si>
  <si>
    <t>Газпромбанк Инвест</t>
  </si>
  <si>
    <t>Комплекс зданий «Газпромбанк Инвест» на Саввинской наб. и Раушской наб., г. Москва</t>
  </si>
  <si>
    <t>32 200 м²</t>
  </si>
  <si>
    <t>Технический аудит</t>
  </si>
  <si>
    <t>Бизнес-центр, г. Тюмень</t>
  </si>
  <si>
    <t>22 430 м²</t>
  </si>
  <si>
    <t>Технико-экономический аудит</t>
  </si>
  <si>
    <t>Аэропорт Краснодара</t>
  </si>
  <si>
    <t>4 000 м²</t>
  </si>
  <si>
    <t>Разработка мастер-плана</t>
  </si>
  <si>
    <t>Казачий Хутор Алания, Республика Северная Осетия-Алания</t>
  </si>
  <si>
    <t>52 816 м²</t>
  </si>
  <si>
    <t>ТЦ «Невский», г. Санкт-Петербург</t>
  </si>
  <si>
    <t>91 000 м²</t>
  </si>
  <si>
    <t>Cosmos Hotel Group</t>
  </si>
  <si>
    <t>Сеть отелей Cosmos (Москва, Санкт-Петербург, Екатеринбург, Мурманск)</t>
  </si>
  <si>
    <t>260 000 м²</t>
  </si>
  <si>
    <t>Газпром</t>
  </si>
  <si>
    <t>ГТЦ «Газпром», г. Сочи</t>
  </si>
  <si>
    <t>82 740 м²</t>
  </si>
  <si>
    <t>Saviv</t>
  </si>
  <si>
    <t>Рестораны Saviv, Москва, Санкт-Петербург</t>
  </si>
  <si>
    <t>ZEN GARDEN — жилые резиденции премиального класса, г. Санкт-Петербург</t>
  </si>
  <si>
    <t>Историко-архитектурный комплекс «Морозовский городок», г. Тверь</t>
  </si>
  <si>
    <t>&gt; 30 га</t>
  </si>
  <si>
    <t>Разработка себестоимости жилых кварталов</t>
  </si>
  <si>
    <t>ОРГАНИЗАЦИЯ</t>
  </si>
  <si>
    <t>НИКОЛИЕРС</t>
  </si>
  <si>
    <t>№, п/п</t>
  </si>
  <si>
    <t>ТЗ</t>
  </si>
  <si>
    <t>-</t>
  </si>
  <si>
    <t>УК и ТЗ</t>
  </si>
  <si>
    <t>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</si>
</sst>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"/>
  <sheetViews>
    <sheetView showGridLines="0"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77734375" customWidth="1"/>
    <col min="3" max="3" width="15.77734375" customWidth="1"/>
    <col min="4" max="4" width="26" customWidth="1"/>
    <col min="5" max="5" width="50" customWidth="1"/>
    <col min="6" max="6" width="24" customWidth="1"/>
    <col min="7" max="7" width="16" customWidth="1"/>
    <col min="8" max="8" width="50" customWidth="1"/>
  </cols>
  <sheetData>
    <row r="2" spans="2:9" ht="30" customHeight="1" x14ac:dyDescent="0.3">
      <c r="B2" s="1" t="s">
        <v>109</v>
      </c>
      <c r="C2" s="1" t="s">
        <v>107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4</v>
      </c>
    </row>
    <row r="3" spans="2:9" x14ac:dyDescent="0.3">
      <c r="B3" s="2">
        <v>1</v>
      </c>
      <c r="C3" s="3" t="s">
        <v>108</v>
      </c>
      <c r="D3" s="3" t="s">
        <v>5</v>
      </c>
      <c r="E3" s="3" t="s">
        <v>6</v>
      </c>
      <c r="F3" s="3" t="s">
        <v>7</v>
      </c>
      <c r="G3" s="3" t="s">
        <v>5</v>
      </c>
      <c r="H3" s="3" t="s">
        <v>8</v>
      </c>
      <c r="I3" s="2" t="s">
        <v>111</v>
      </c>
    </row>
    <row r="4" spans="2:9" ht="28.8" x14ac:dyDescent="0.3">
      <c r="B4" s="2">
        <f>B3+1</f>
        <v>2</v>
      </c>
      <c r="C4" s="3" t="s">
        <v>108</v>
      </c>
      <c r="D4" s="3" t="s">
        <v>5</v>
      </c>
      <c r="E4" s="3" t="s">
        <v>9</v>
      </c>
      <c r="F4" s="3" t="s">
        <v>10</v>
      </c>
      <c r="G4" s="3" t="s">
        <v>5</v>
      </c>
      <c r="H4" s="3" t="s">
        <v>11</v>
      </c>
      <c r="I4" s="2" t="s">
        <v>111</v>
      </c>
    </row>
    <row r="5" spans="2:9" ht="28.8" x14ac:dyDescent="0.3">
      <c r="B5" s="2">
        <f t="shared" ref="B5:B35" si="0">B4+1</f>
        <v>3</v>
      </c>
      <c r="C5" s="3" t="s">
        <v>108</v>
      </c>
      <c r="D5" s="3" t="s">
        <v>12</v>
      </c>
      <c r="E5" s="3" t="s">
        <v>13</v>
      </c>
      <c r="F5" s="3" t="s">
        <v>14</v>
      </c>
      <c r="G5" s="3" t="s">
        <v>5</v>
      </c>
      <c r="H5" s="3" t="s">
        <v>15</v>
      </c>
      <c r="I5" s="2" t="s">
        <v>112</v>
      </c>
    </row>
    <row r="6" spans="2:9" x14ac:dyDescent="0.3">
      <c r="B6" s="2">
        <f t="shared" si="0"/>
        <v>4</v>
      </c>
      <c r="C6" s="3" t="s">
        <v>108</v>
      </c>
      <c r="D6" s="3" t="s">
        <v>5</v>
      </c>
      <c r="E6" s="3" t="s">
        <v>16</v>
      </c>
      <c r="F6" s="3" t="s">
        <v>17</v>
      </c>
      <c r="G6" s="3" t="s">
        <v>5</v>
      </c>
      <c r="H6" s="3" t="s">
        <v>18</v>
      </c>
      <c r="I6" s="2" t="s">
        <v>110</v>
      </c>
    </row>
    <row r="7" spans="2:9" x14ac:dyDescent="0.3">
      <c r="B7" s="2">
        <f t="shared" si="0"/>
        <v>5</v>
      </c>
      <c r="C7" s="3" t="s">
        <v>108</v>
      </c>
      <c r="D7" s="3" t="s">
        <v>5</v>
      </c>
      <c r="E7" s="3" t="s">
        <v>19</v>
      </c>
      <c r="F7" s="3" t="s">
        <v>20</v>
      </c>
      <c r="G7" s="3" t="s">
        <v>5</v>
      </c>
      <c r="H7" s="3" t="s">
        <v>18</v>
      </c>
      <c r="I7" s="2" t="s">
        <v>110</v>
      </c>
    </row>
    <row r="8" spans="2:9" ht="57.6" x14ac:dyDescent="0.3">
      <c r="B8" s="2">
        <f t="shared" si="0"/>
        <v>6</v>
      </c>
      <c r="C8" s="3" t="s">
        <v>108</v>
      </c>
      <c r="D8" s="3" t="s">
        <v>5</v>
      </c>
      <c r="E8" s="3" t="s">
        <v>21</v>
      </c>
      <c r="F8" s="3" t="s">
        <v>22</v>
      </c>
      <c r="G8" s="3" t="s">
        <v>5</v>
      </c>
      <c r="H8" s="3" t="s">
        <v>23</v>
      </c>
      <c r="I8" s="2" t="s">
        <v>110</v>
      </c>
    </row>
    <row r="9" spans="2:9" ht="28.8" x14ac:dyDescent="0.3">
      <c r="B9" s="2">
        <f t="shared" si="0"/>
        <v>7</v>
      </c>
      <c r="C9" s="3" t="s">
        <v>108</v>
      </c>
      <c r="D9" s="3" t="s">
        <v>24</v>
      </c>
      <c r="E9" s="3" t="s">
        <v>25</v>
      </c>
      <c r="F9" s="3" t="s">
        <v>26</v>
      </c>
      <c r="G9" s="3" t="s">
        <v>5</v>
      </c>
      <c r="H9" s="3" t="s">
        <v>27</v>
      </c>
      <c r="I9" s="2" t="s">
        <v>112</v>
      </c>
    </row>
    <row r="10" spans="2:9" ht="28.8" x14ac:dyDescent="0.3">
      <c r="B10" s="2">
        <f t="shared" si="0"/>
        <v>8</v>
      </c>
      <c r="C10" s="3" t="s">
        <v>108</v>
      </c>
      <c r="D10" s="3" t="s">
        <v>28</v>
      </c>
      <c r="E10" s="3" t="s">
        <v>29</v>
      </c>
      <c r="F10" s="3" t="s">
        <v>30</v>
      </c>
      <c r="G10" s="3" t="s">
        <v>5</v>
      </c>
      <c r="H10" s="3" t="s">
        <v>31</v>
      </c>
      <c r="I10" s="2" t="s">
        <v>110</v>
      </c>
    </row>
    <row r="11" spans="2:9" x14ac:dyDescent="0.3">
      <c r="B11" s="2">
        <f t="shared" si="0"/>
        <v>9</v>
      </c>
      <c r="C11" s="3" t="s">
        <v>108</v>
      </c>
      <c r="D11" s="3" t="s">
        <v>32</v>
      </c>
      <c r="E11" s="3" t="s">
        <v>33</v>
      </c>
      <c r="F11" s="3" t="s">
        <v>34</v>
      </c>
      <c r="G11" s="3" t="s">
        <v>5</v>
      </c>
      <c r="H11" s="3" t="s">
        <v>35</v>
      </c>
      <c r="I11" s="2" t="s">
        <v>111</v>
      </c>
    </row>
    <row r="12" spans="2:9" ht="28.8" x14ac:dyDescent="0.3">
      <c r="B12" s="2">
        <f t="shared" si="0"/>
        <v>10</v>
      </c>
      <c r="C12" s="3" t="s">
        <v>108</v>
      </c>
      <c r="D12" s="3" t="s">
        <v>36</v>
      </c>
      <c r="E12" s="3" t="s">
        <v>37</v>
      </c>
      <c r="F12" s="3" t="s">
        <v>38</v>
      </c>
      <c r="G12" s="3" t="s">
        <v>5</v>
      </c>
      <c r="H12" s="3" t="s">
        <v>39</v>
      </c>
      <c r="I12" s="2" t="s">
        <v>111</v>
      </c>
    </row>
    <row r="13" spans="2:9" ht="28.8" x14ac:dyDescent="0.3">
      <c r="B13" s="2">
        <f t="shared" si="0"/>
        <v>11</v>
      </c>
      <c r="C13" s="3" t="s">
        <v>108</v>
      </c>
      <c r="D13" s="3" t="s">
        <v>40</v>
      </c>
      <c r="E13" s="3" t="s">
        <v>41</v>
      </c>
      <c r="F13" s="3" t="s">
        <v>38</v>
      </c>
      <c r="G13" s="3" t="s">
        <v>5</v>
      </c>
      <c r="H13" s="3" t="s">
        <v>42</v>
      </c>
      <c r="I13" s="2" t="s">
        <v>113</v>
      </c>
    </row>
    <row r="14" spans="2:9" ht="28.8" x14ac:dyDescent="0.3">
      <c r="B14" s="2">
        <f t="shared" si="0"/>
        <v>12</v>
      </c>
      <c r="C14" s="3" t="s">
        <v>108</v>
      </c>
      <c r="D14" s="3" t="s">
        <v>43</v>
      </c>
      <c r="E14" s="3" t="s">
        <v>44</v>
      </c>
      <c r="F14" s="3" t="s">
        <v>45</v>
      </c>
      <c r="G14" s="3" t="s">
        <v>5</v>
      </c>
      <c r="H14" s="3" t="s">
        <v>46</v>
      </c>
      <c r="I14" s="2" t="s">
        <v>112</v>
      </c>
    </row>
    <row r="15" spans="2:9" ht="28.8" x14ac:dyDescent="0.3">
      <c r="B15" s="2">
        <f t="shared" si="0"/>
        <v>13</v>
      </c>
      <c r="C15" s="3" t="s">
        <v>108</v>
      </c>
      <c r="D15" s="3" t="s">
        <v>47</v>
      </c>
      <c r="E15" s="3" t="s">
        <v>48</v>
      </c>
      <c r="F15" s="3" t="s">
        <v>49</v>
      </c>
      <c r="G15" s="3" t="s">
        <v>5</v>
      </c>
      <c r="H15" s="3" t="s">
        <v>50</v>
      </c>
      <c r="I15" s="2" t="s">
        <v>110</v>
      </c>
    </row>
    <row r="16" spans="2:9" x14ac:dyDescent="0.3">
      <c r="B16" s="2">
        <f t="shared" si="0"/>
        <v>14</v>
      </c>
      <c r="C16" s="3" t="s">
        <v>108</v>
      </c>
      <c r="D16" s="3" t="s">
        <v>51</v>
      </c>
      <c r="E16" s="3" t="s">
        <v>52</v>
      </c>
      <c r="F16" s="3" t="s">
        <v>53</v>
      </c>
      <c r="G16" s="3" t="s">
        <v>5</v>
      </c>
      <c r="H16" s="3" t="s">
        <v>54</v>
      </c>
      <c r="I16" s="2" t="s">
        <v>110</v>
      </c>
    </row>
    <row r="17" spans="2:9" ht="28.8" x14ac:dyDescent="0.3">
      <c r="B17" s="2">
        <f t="shared" si="0"/>
        <v>15</v>
      </c>
      <c r="C17" s="3" t="s">
        <v>108</v>
      </c>
      <c r="D17" s="3" t="s">
        <v>55</v>
      </c>
      <c r="E17" s="3" t="s">
        <v>56</v>
      </c>
      <c r="F17" s="3" t="s">
        <v>57</v>
      </c>
      <c r="G17" s="3" t="s">
        <v>5</v>
      </c>
      <c r="H17" s="3" t="s">
        <v>58</v>
      </c>
      <c r="I17" s="2" t="s">
        <v>113</v>
      </c>
    </row>
    <row r="18" spans="2:9" x14ac:dyDescent="0.3">
      <c r="B18" s="2">
        <f t="shared" si="0"/>
        <v>16</v>
      </c>
      <c r="C18" s="3" t="s">
        <v>108</v>
      </c>
      <c r="D18" s="3" t="s">
        <v>5</v>
      </c>
      <c r="E18" s="3" t="s">
        <v>59</v>
      </c>
      <c r="F18" s="3" t="s">
        <v>60</v>
      </c>
      <c r="G18" s="3" t="s">
        <v>5</v>
      </c>
      <c r="H18" s="3" t="s">
        <v>61</v>
      </c>
      <c r="I18" s="2" t="s">
        <v>113</v>
      </c>
    </row>
    <row r="19" spans="2:9" ht="28.8" x14ac:dyDescent="0.3">
      <c r="B19" s="2">
        <f t="shared" si="0"/>
        <v>17</v>
      </c>
      <c r="C19" s="3" t="s">
        <v>108</v>
      </c>
      <c r="D19" s="3" t="s">
        <v>62</v>
      </c>
      <c r="E19" s="3" t="s">
        <v>63</v>
      </c>
      <c r="F19" s="3" t="s">
        <v>57</v>
      </c>
      <c r="G19" s="3" t="s">
        <v>5</v>
      </c>
      <c r="H19" s="3" t="s">
        <v>64</v>
      </c>
      <c r="I19" s="2" t="s">
        <v>113</v>
      </c>
    </row>
    <row r="20" spans="2:9" ht="28.8" x14ac:dyDescent="0.3">
      <c r="B20" s="2">
        <f t="shared" si="0"/>
        <v>18</v>
      </c>
      <c r="C20" s="3" t="s">
        <v>108</v>
      </c>
      <c r="D20" s="3" t="s">
        <v>65</v>
      </c>
      <c r="E20" s="3" t="s">
        <v>66</v>
      </c>
      <c r="F20" s="3" t="s">
        <v>67</v>
      </c>
      <c r="G20" s="3" t="s">
        <v>5</v>
      </c>
      <c r="H20" s="3" t="s">
        <v>64</v>
      </c>
      <c r="I20" s="2" t="s">
        <v>113</v>
      </c>
    </row>
    <row r="21" spans="2:9" ht="43.2" x14ac:dyDescent="0.3">
      <c r="B21" s="2">
        <f t="shared" si="0"/>
        <v>19</v>
      </c>
      <c r="C21" s="3" t="s">
        <v>108</v>
      </c>
      <c r="D21" s="3" t="s">
        <v>68</v>
      </c>
      <c r="E21" s="3" t="s">
        <v>69</v>
      </c>
      <c r="F21" s="3" t="s">
        <v>70</v>
      </c>
      <c r="G21" s="3" t="s">
        <v>5</v>
      </c>
      <c r="H21" s="3" t="s">
        <v>64</v>
      </c>
      <c r="I21" s="2" t="s">
        <v>113</v>
      </c>
    </row>
    <row r="22" spans="2:9" ht="28.8" x14ac:dyDescent="0.3">
      <c r="B22" s="2">
        <f t="shared" si="0"/>
        <v>20</v>
      </c>
      <c r="C22" s="3" t="s">
        <v>108</v>
      </c>
      <c r="D22" s="3" t="s">
        <v>5</v>
      </c>
      <c r="E22" s="3" t="s">
        <v>71</v>
      </c>
      <c r="F22" s="3" t="s">
        <v>72</v>
      </c>
      <c r="G22" s="3" t="s">
        <v>5</v>
      </c>
      <c r="H22" s="3" t="s">
        <v>73</v>
      </c>
      <c r="I22" s="2" t="s">
        <v>113</v>
      </c>
    </row>
    <row r="23" spans="2:9" ht="28.8" x14ac:dyDescent="0.3">
      <c r="B23" s="2">
        <f t="shared" si="0"/>
        <v>21</v>
      </c>
      <c r="C23" s="3" t="s">
        <v>108</v>
      </c>
      <c r="D23" s="3" t="s">
        <v>5</v>
      </c>
      <c r="E23" s="3" t="s">
        <v>74</v>
      </c>
      <c r="F23" s="3" t="s">
        <v>75</v>
      </c>
      <c r="G23" s="3" t="s">
        <v>5</v>
      </c>
      <c r="H23" s="3" t="s">
        <v>73</v>
      </c>
      <c r="I23" s="2" t="s">
        <v>113</v>
      </c>
    </row>
    <row r="24" spans="2:9" ht="43.2" x14ac:dyDescent="0.3">
      <c r="B24" s="2">
        <f t="shared" si="0"/>
        <v>22</v>
      </c>
      <c r="C24" s="3" t="s">
        <v>108</v>
      </c>
      <c r="D24" s="3" t="s">
        <v>5</v>
      </c>
      <c r="E24" s="3" t="s">
        <v>76</v>
      </c>
      <c r="F24" s="3" t="s">
        <v>77</v>
      </c>
      <c r="G24" s="3" t="s">
        <v>5</v>
      </c>
      <c r="H24" s="3" t="s">
        <v>78</v>
      </c>
      <c r="I24" s="2" t="s">
        <v>113</v>
      </c>
    </row>
    <row r="25" spans="2:9" x14ac:dyDescent="0.3">
      <c r="B25" s="2">
        <f t="shared" si="0"/>
        <v>23</v>
      </c>
      <c r="C25" s="3" t="s">
        <v>108</v>
      </c>
      <c r="D25" s="3" t="s">
        <v>5</v>
      </c>
      <c r="E25" s="3" t="s">
        <v>79</v>
      </c>
      <c r="F25" s="3" t="s">
        <v>80</v>
      </c>
      <c r="G25" s="3" t="s">
        <v>5</v>
      </c>
      <c r="H25" s="3" t="s">
        <v>31</v>
      </c>
      <c r="I25" s="2" t="s">
        <v>110</v>
      </c>
    </row>
    <row r="26" spans="2:9" ht="28.8" x14ac:dyDescent="0.3">
      <c r="B26" s="2">
        <f t="shared" si="0"/>
        <v>24</v>
      </c>
      <c r="C26" s="3" t="s">
        <v>108</v>
      </c>
      <c r="D26" s="3" t="s">
        <v>81</v>
      </c>
      <c r="E26" s="3" t="s">
        <v>82</v>
      </c>
      <c r="F26" s="3" t="s">
        <v>83</v>
      </c>
      <c r="G26" s="3" t="s">
        <v>5</v>
      </c>
      <c r="H26" s="3" t="s">
        <v>84</v>
      </c>
      <c r="I26" s="2" t="s">
        <v>111</v>
      </c>
    </row>
    <row r="27" spans="2:9" x14ac:dyDescent="0.3">
      <c r="B27" s="2">
        <f t="shared" si="0"/>
        <v>25</v>
      </c>
      <c r="C27" s="3" t="s">
        <v>108</v>
      </c>
      <c r="D27" s="3" t="s">
        <v>5</v>
      </c>
      <c r="E27" s="3" t="s">
        <v>85</v>
      </c>
      <c r="F27" s="3" t="s">
        <v>86</v>
      </c>
      <c r="G27" s="3" t="s">
        <v>5</v>
      </c>
      <c r="H27" s="3" t="s">
        <v>87</v>
      </c>
      <c r="I27" s="2" t="s">
        <v>111</v>
      </c>
    </row>
    <row r="28" spans="2:9" x14ac:dyDescent="0.3">
      <c r="B28" s="2">
        <f t="shared" si="0"/>
        <v>26</v>
      </c>
      <c r="C28" s="3" t="s">
        <v>108</v>
      </c>
      <c r="D28" s="3" t="s">
        <v>5</v>
      </c>
      <c r="E28" s="3" t="s">
        <v>88</v>
      </c>
      <c r="F28" s="3" t="s">
        <v>89</v>
      </c>
      <c r="G28" s="3" t="s">
        <v>5</v>
      </c>
      <c r="H28" s="3" t="s">
        <v>90</v>
      </c>
      <c r="I28" s="2" t="s">
        <v>111</v>
      </c>
    </row>
    <row r="29" spans="2:9" ht="28.8" x14ac:dyDescent="0.3">
      <c r="B29" s="2">
        <f t="shared" si="0"/>
        <v>27</v>
      </c>
      <c r="C29" s="3" t="s">
        <v>108</v>
      </c>
      <c r="D29" s="3" t="s">
        <v>5</v>
      </c>
      <c r="E29" s="3" t="s">
        <v>91</v>
      </c>
      <c r="F29" s="3" t="s">
        <v>92</v>
      </c>
      <c r="G29" s="3" t="s">
        <v>5</v>
      </c>
      <c r="H29" s="3" t="s">
        <v>87</v>
      </c>
      <c r="I29" s="2" t="s">
        <v>111</v>
      </c>
    </row>
    <row r="30" spans="2:9" x14ac:dyDescent="0.3">
      <c r="B30" s="2">
        <f t="shared" si="0"/>
        <v>28</v>
      </c>
      <c r="C30" s="3" t="s">
        <v>108</v>
      </c>
      <c r="D30" s="3" t="s">
        <v>5</v>
      </c>
      <c r="E30" s="3" t="s">
        <v>93</v>
      </c>
      <c r="F30" s="3" t="s">
        <v>94</v>
      </c>
      <c r="G30" s="3" t="s">
        <v>5</v>
      </c>
      <c r="H30" s="3" t="s">
        <v>84</v>
      </c>
      <c r="I30" s="2" t="s">
        <v>111</v>
      </c>
    </row>
    <row r="31" spans="2:9" ht="28.8" x14ac:dyDescent="0.3">
      <c r="B31" s="2">
        <f t="shared" si="0"/>
        <v>29</v>
      </c>
      <c r="C31" s="3" t="s">
        <v>108</v>
      </c>
      <c r="D31" s="3" t="s">
        <v>95</v>
      </c>
      <c r="E31" s="3" t="s">
        <v>96</v>
      </c>
      <c r="F31" s="3" t="s">
        <v>97</v>
      </c>
      <c r="G31" s="3" t="s">
        <v>5</v>
      </c>
      <c r="H31" s="3" t="s">
        <v>87</v>
      </c>
      <c r="I31" s="2" t="s">
        <v>111</v>
      </c>
    </row>
    <row r="32" spans="2:9" x14ac:dyDescent="0.3">
      <c r="B32" s="2">
        <f t="shared" si="0"/>
        <v>30</v>
      </c>
      <c r="C32" s="3" t="s">
        <v>108</v>
      </c>
      <c r="D32" s="3" t="s">
        <v>98</v>
      </c>
      <c r="E32" s="3" t="s">
        <v>99</v>
      </c>
      <c r="F32" s="3" t="s">
        <v>100</v>
      </c>
      <c r="G32" s="3" t="s">
        <v>5</v>
      </c>
      <c r="H32" s="3" t="s">
        <v>87</v>
      </c>
      <c r="I32" s="2" t="s">
        <v>111</v>
      </c>
    </row>
    <row r="33" spans="2:9" x14ac:dyDescent="0.3">
      <c r="B33" s="2">
        <f t="shared" si="0"/>
        <v>31</v>
      </c>
      <c r="C33" s="3" t="s">
        <v>108</v>
      </c>
      <c r="D33" s="3" t="s">
        <v>101</v>
      </c>
      <c r="E33" s="3" t="s">
        <v>102</v>
      </c>
      <c r="F33" s="3" t="s">
        <v>5</v>
      </c>
      <c r="G33" s="3" t="s">
        <v>5</v>
      </c>
      <c r="H33" s="3" t="s">
        <v>87</v>
      </c>
      <c r="I33" s="2" t="s">
        <v>111</v>
      </c>
    </row>
    <row r="34" spans="2:9" ht="28.8" x14ac:dyDescent="0.3">
      <c r="B34" s="2">
        <f t="shared" si="0"/>
        <v>32</v>
      </c>
      <c r="C34" s="3" t="s">
        <v>108</v>
      </c>
      <c r="D34" s="3" t="s">
        <v>5</v>
      </c>
      <c r="E34" s="3" t="s">
        <v>103</v>
      </c>
      <c r="F34" s="3" t="s">
        <v>75</v>
      </c>
      <c r="G34" s="3" t="s">
        <v>5</v>
      </c>
      <c r="H34" s="3" t="s">
        <v>87</v>
      </c>
      <c r="I34" s="2" t="s">
        <v>111</v>
      </c>
    </row>
    <row r="35" spans="2:9" ht="28.8" x14ac:dyDescent="0.3">
      <c r="B35" s="2">
        <f t="shared" si="0"/>
        <v>33</v>
      </c>
      <c r="C35" s="3" t="s">
        <v>108</v>
      </c>
      <c r="D35" s="3" t="s">
        <v>5</v>
      </c>
      <c r="E35" s="3" t="s">
        <v>104</v>
      </c>
      <c r="F35" s="3" t="s">
        <v>105</v>
      </c>
      <c r="G35" s="3" t="s">
        <v>5</v>
      </c>
      <c r="H35" s="3" t="s">
        <v>106</v>
      </c>
      <c r="I35" s="2" t="s">
        <v>111</v>
      </c>
    </row>
  </sheetData>
  <autoFilter ref="B2:I35" xr:uid="{0B2D7B32-80E3-4CE2-B7F9-09B4D07CD85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Nikoliers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2026-08-19T06:30:41Z</dcterms:created>
  <dcterms:modified xsi:type="dcterms:W3CDTF">2026-08-19T07:18:37Z</dcterms:modified>
</cp:coreProperties>
</file>