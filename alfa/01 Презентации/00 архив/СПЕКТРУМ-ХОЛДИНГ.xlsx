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76181706-6BE0-49CE-9496-FA85B6712AB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Спектрум" sheetId="1" r:id="rId1"/>
  </sheets>
  <definedNames>
    <definedName name="_xlnm._FilterDatabase" localSheetId="0" hidden="1">Спектрум!$B$2:$I$22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<sst xmlns="http://schemas.openxmlformats.org/spreadsheetml/2006/main" count="148" uniqueCount="105">
  <si>
    <t>ЗАКАЗЧИК</t>
  </si>
  <si>
    <t>ПРОЕКТ</t>
  </si>
  <si>
    <t>ПАРАМЕТРЫ ПРОЕКТА</t>
  </si>
  <si>
    <t>СРОКИ РЕАЛИЗАЦИИ</t>
  </si>
  <si>
    <t>РОЛЬ В ПРОЕКТЕ</t>
  </si>
  <si>
    <t>АО «АльфаСтрахование»</t>
  </si>
  <si>
    <t>«Парк Легенд» — офисный комплекс класса А, штаб-квартира АльфаСтрахование, Москва</t>
  </si>
  <si>
    <t>Башня А: 55 000 м²; Башня В: 27 000 м²</t>
  </si>
  <si>
    <t>16.11.2021–26.10.2022</t>
  </si>
  <si>
    <t>Башня А: услуга «инженер инвестора», управление строительством. Башня В: услуга «инженер инвестора», управление строительством, управление строительством на этапе отделочных работ, разработка ТЭП</t>
  </si>
  <si>
    <t>Газпром Лахта</t>
  </si>
  <si>
    <t>Комплекс зданий и сооружений в составе МФК «Лахта-Центр» (небоскрёб 462 м, стилобат и МФК), Санкт-Петербург</t>
  </si>
  <si>
    <t>171 835 м², 13 надземных этажей, 2 подземных</t>
  </si>
  <si>
    <t>15.04.2017–21.11.2024</t>
  </si>
  <si>
    <t>Строительный контроль на этапе СМР, строительный контроль на этапе отделочных работ</t>
  </si>
  <si>
    <t>АО «Телекомпания НТВ»</t>
  </si>
  <si>
    <t>Строительство телевизионного комплекса НТВ (6 эфирных студий), Москва</t>
  </si>
  <si>
    <t>97 тыс. м², 9 надземных этажей, 2 подземных</t>
  </si>
  <si>
    <t>15.02.2023–10.07.2025</t>
  </si>
  <si>
    <t>Технический заказчик, строительный контроль, финансово-технический аудит, финансово-технический мониторинг</t>
  </si>
  <si>
    <t>Ванке Москва, ООО «Бецкой»</t>
  </si>
  <si>
    <t>Воспитательный дом (XVIII в.) — многофункциональный комплекс на Москворецкой набережной, Москва (ОКН)</t>
  </si>
  <si>
    <t>4 670 м²</t>
  </si>
  <si>
    <t>08.04.2019–31.08.2019</t>
  </si>
  <si>
    <t>Управление строительством</t>
  </si>
  <si>
    <t>Миллхаус</t>
  </si>
  <si>
    <t>МФК «Новая Голландия», Санкт-Петербург</t>
  </si>
  <si>
    <t>72 000 м², 250 машиномест</t>
  </si>
  <si>
    <t>01.02.2013–30.04.2014</t>
  </si>
  <si>
    <t>Консультирование по вопросам консервации исторических зданий, разработка бюджета строительства, технический заказчик на этапе изысканий и обследований, генеральное проектирование, мастер-план, разработка стадии «Проект»</t>
  </si>
  <si>
    <t>Бизнес-парк «Сколково», Москва</t>
  </si>
  <si>
    <t>230 000 м²</t>
  </si>
  <si>
    <t>01.02.2013–30.11.2016</t>
  </si>
  <si>
    <t>Консультирование, сопровождение разработки рабочей документации, строительный контроль</t>
  </si>
  <si>
    <t>KR Properties</t>
  </si>
  <si>
    <t>Деловой центр «Красная Роза», Москва</t>
  </si>
  <si>
    <t>38 937 м²</t>
  </si>
  <si>
    <t>2006–2008</t>
  </si>
  <si>
    <t>АО «О2»</t>
  </si>
  <si>
    <t>ТРЦ «Небо», Москва</t>
  </si>
  <si>
    <t>50 000 м²</t>
  </si>
  <si>
    <t>01.08.2020–22.02.2022</t>
  </si>
  <si>
    <t>Технический заказчик</t>
  </si>
  <si>
    <t>Пионер</t>
  </si>
  <si>
    <t>Кинотеатр «Художественный» — реставрация и приспособление к современному использованию, Москва</t>
  </si>
  <si>
    <t>3 493 м²</t>
  </si>
  <si>
    <t>01.07.2017–30.06.2018</t>
  </si>
  <si>
    <t>Генеральный проектировщик, технический заказчик до получения разрешения на строительство, корректировка стадии «П» по изменениям в ходе строительства</t>
  </si>
  <si>
    <t>ООО «Запсибнефтехим»</t>
  </si>
  <si>
    <t>Концертный зал и Выставочный центр, г. Тобольск</t>
  </si>
  <si>
    <t>10 916 м², 2 надземных этажа, 1 подземный</t>
  </si>
  <si>
    <t>25.07.2022–31.12.2024</t>
  </si>
  <si>
    <t>Технический заказчик на этапе проектирования, сопровождение разработки архитектурной концепции иностранным архитектором</t>
  </si>
  <si>
    <t>Арена-Инжиниринг</t>
  </si>
  <si>
    <t>Многофункциональный спортивный комплекс «Арена-Омск», Омск</t>
  </si>
  <si>
    <t>64 250 м², пропускная способность 12 000 посетителей/сутки</t>
  </si>
  <si>
    <t>15.06.2020–02.10.2023</t>
  </si>
  <si>
    <t>МедИнвестГрупп</t>
  </si>
  <si>
    <t>Многофункциональный медицинский центр</t>
  </si>
  <si>
    <t>10 000 м²</t>
  </si>
  <si>
    <t>07.02.2023–30.06.2025</t>
  </si>
  <si>
    <t>Сопровождение разработки рабочей документации, строительный контроль</t>
  </si>
  <si>
    <t>Конфиденциально</t>
  </si>
  <si>
    <t>Специализированный медицинский онкоцентр</t>
  </si>
  <si>
    <t>70 000 м²</t>
  </si>
  <si>
    <t>07.07.2022–19.07.2024</t>
  </si>
  <si>
    <t>Сопровождение разработки проектной и рабочей документации, строительный контроль на этапе СМР</t>
  </si>
  <si>
    <t>Жилой комплекс «Сколково Парк для Жизни», Москва</t>
  </si>
  <si>
    <t>112 000 м²</t>
  </si>
  <si>
    <t>01.08.2010–30.06.2015</t>
  </si>
  <si>
    <t>Управление строительством, строительный контроль</t>
  </si>
  <si>
    <t>Meridian Development</t>
  </si>
  <si>
    <t>Жилой комплекс «Времена года», Москва</t>
  </si>
  <si>
    <t>250 000 м²</t>
  </si>
  <si>
    <t>Управление проектом, управление строительством</t>
  </si>
  <si>
    <t>ООО «Специализированный застройщик «Дельта Ком»</t>
  </si>
  <si>
    <t>ЖК Homecity, Москва</t>
  </si>
  <si>
    <t>139 180 м², 9 надземных этажей, 1 подземный, 789 машиномест</t>
  </si>
  <si>
    <t>01.11.2019–01.12.2022</t>
  </si>
  <si>
    <t>Технический заказчик, строительный контроль</t>
  </si>
  <si>
    <t>ООО «Уренгойаэроинвест»</t>
  </si>
  <si>
    <t>Объект 1 — новый аэровокзальный комплекс в аэропорту Новый Уренгой (ЯНАО); Объект 2 — реконструкция аэродрома аэропорта Новый Уренгой</t>
  </si>
  <si>
    <t>18 762 м², 4 надземных этажа, 300 машиномест, 840 пас/час, 3 телетрапа</t>
  </si>
  <si>
    <t>01.04.2019–10.04.2023</t>
  </si>
  <si>
    <t>Технический заказчик, строительный контроль,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</t>
  </si>
  <si>
    <t>АО «Аэропорт Толмачево»</t>
  </si>
  <si>
    <t>Реконструкция аэровокзального комплекса международных/внутренних воздушных линий аэропорта Новосибирск (Толмачево)</t>
  </si>
  <si>
    <t>55 939 м², 3 надземных этажа, 1 подземный, 1 450 машиномест, 1 844 пас/час, 6 телетрапов</t>
  </si>
  <si>
    <t>10.08.2020–01.07.2023</t>
  </si>
  <si>
    <t>Технический заказчик,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</t>
  </si>
  <si>
    <t>ООО «Меридиан Девелопмент»</t>
  </si>
  <si>
    <t>Международный аэропорт «Минеральные Воды», ВВЛ, г. Минеральные Воды</t>
  </si>
  <si>
    <t>9 314 м², пропускная способность 1 200 пас/час</t>
  </si>
  <si>
    <t>01.07.2017–10.04.2020</t>
  </si>
  <si>
    <t>Технический заказчик, сопровождение разработки РД генподрядчиком на этапе строительства (управление изменениями), управление строительством (бюджет, график, риски, изменения), финансово-технический мониторинг строительства (с отчётностью перед Сбербанком)</t>
  </si>
  <si>
    <t>АО «МАПК(Е)»</t>
  </si>
  <si>
    <t>Строительство нового аэровокзального комплекса в аэропорту Петропавловск-Камчатский (Елизово)</t>
  </si>
  <si>
    <t>48 000 м², 3 надземных этажа, 1 подземный, 799 машиномест, 1 145 пас/час, 4 телетрапа</t>
  </si>
  <si>
    <t>25.02.2021–10.01.2026</t>
  </si>
  <si>
    <t>СПЕКТРУМ-ХОЛДИНГ</t>
  </si>
  <si>
    <t>ОРГАНИЗАЦИЯ</t>
  </si>
  <si>
    <t>№, п/п</t>
  </si>
  <si>
    <t>-</t>
  </si>
  <si>
    <t>ТЗ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</si>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</sst>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2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3" max="3" width="15.77734375" customWidth="1"/>
    <col min="4" max="4" width="34" customWidth="1"/>
    <col min="5" max="5" width="50" customWidth="1"/>
    <col min="6" max="6" width="30" customWidth="1"/>
    <col min="7" max="7" width="20" customWidth="1"/>
    <col min="8" max="8" width="55" customWidth="1"/>
  </cols>
  <sheetData>
    <row r="2" spans="2:9" ht="30" customHeight="1" x14ac:dyDescent="0.3">
      <c r="B2" s="1" t="s">
        <v>101</v>
      </c>
      <c r="C2" s="1" t="s">
        <v>100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4</v>
      </c>
    </row>
    <row r="3" spans="2:9" ht="57.6" x14ac:dyDescent="0.3">
      <c r="B3" s="2">
        <v>1</v>
      </c>
      <c r="C3" s="3" t="s">
        <v>99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2" t="s">
        <v>104</v>
      </c>
    </row>
    <row r="4" spans="2:9" ht="43.2" x14ac:dyDescent="0.3">
      <c r="B4" s="2">
        <f t="shared" ref="B4:B22" si="0">B3+1</f>
        <v>2</v>
      </c>
      <c r="C4" s="3" t="s">
        <v>99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2" t="s">
        <v>102</v>
      </c>
    </row>
    <row r="5" spans="2:9" ht="28.8" x14ac:dyDescent="0.3">
      <c r="B5" s="2">
        <f t="shared" si="0"/>
        <v>3</v>
      </c>
      <c r="C5" s="3" t="s">
        <v>99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2" t="s">
        <v>103</v>
      </c>
    </row>
    <row r="6" spans="2:9" ht="43.2" x14ac:dyDescent="0.3">
      <c r="B6" s="2">
        <f t="shared" si="0"/>
        <v>4</v>
      </c>
      <c r="C6" s="3" t="s">
        <v>99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2" t="s">
        <v>102</v>
      </c>
    </row>
    <row r="7" spans="2:9" ht="57.6" x14ac:dyDescent="0.3">
      <c r="B7" s="2">
        <f t="shared" si="0"/>
        <v>5</v>
      </c>
      <c r="C7" s="3" t="s">
        <v>99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2" t="s">
        <v>102</v>
      </c>
    </row>
    <row r="8" spans="2:9" ht="28.8" x14ac:dyDescent="0.3">
      <c r="B8" s="2">
        <f t="shared" si="0"/>
        <v>6</v>
      </c>
      <c r="C8" s="3" t="s">
        <v>99</v>
      </c>
      <c r="D8" s="3" t="s">
        <v>25</v>
      </c>
      <c r="E8" s="3" t="s">
        <v>30</v>
      </c>
      <c r="F8" s="3" t="s">
        <v>31</v>
      </c>
      <c r="G8" s="3" t="s">
        <v>32</v>
      </c>
      <c r="H8" s="3" t="s">
        <v>33</v>
      </c>
      <c r="I8" s="2" t="s">
        <v>102</v>
      </c>
    </row>
    <row r="9" spans="2:9" ht="28.8" x14ac:dyDescent="0.3">
      <c r="B9" s="2">
        <f t="shared" si="0"/>
        <v>7</v>
      </c>
      <c r="C9" s="3" t="s">
        <v>99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102</v>
      </c>
      <c r="I9" s="2" t="s">
        <v>102</v>
      </c>
    </row>
    <row r="10" spans="2:9" ht="28.8" x14ac:dyDescent="0.3">
      <c r="B10" s="2">
        <f t="shared" si="0"/>
        <v>8</v>
      </c>
      <c r="C10" s="3" t="s">
        <v>99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2" t="s">
        <v>103</v>
      </c>
    </row>
    <row r="11" spans="2:9" ht="43.2" x14ac:dyDescent="0.3">
      <c r="B11" s="2">
        <f t="shared" si="0"/>
        <v>9</v>
      </c>
      <c r="C11" s="3" t="s">
        <v>99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47</v>
      </c>
      <c r="I11" s="2" t="s">
        <v>103</v>
      </c>
    </row>
    <row r="12" spans="2:9" ht="43.2" x14ac:dyDescent="0.3">
      <c r="B12" s="2">
        <f t="shared" si="0"/>
        <v>10</v>
      </c>
      <c r="C12" s="3" t="s">
        <v>99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52</v>
      </c>
      <c r="I12" s="2" t="s">
        <v>103</v>
      </c>
    </row>
    <row r="13" spans="2:9" ht="43.2" x14ac:dyDescent="0.3">
      <c r="B13" s="2">
        <f t="shared" si="0"/>
        <v>11</v>
      </c>
      <c r="C13" s="3" t="s">
        <v>99</v>
      </c>
      <c r="D13" s="3" t="s">
        <v>53</v>
      </c>
      <c r="E13" s="3" t="s">
        <v>54</v>
      </c>
      <c r="F13" s="3" t="s">
        <v>55</v>
      </c>
      <c r="G13" s="3" t="s">
        <v>56</v>
      </c>
      <c r="H13" s="3" t="s">
        <v>24</v>
      </c>
      <c r="I13" s="2" t="s">
        <v>102</v>
      </c>
    </row>
    <row r="14" spans="2:9" ht="28.8" x14ac:dyDescent="0.3">
      <c r="B14" s="2">
        <f t="shared" si="0"/>
        <v>12</v>
      </c>
      <c r="C14" s="3" t="s">
        <v>99</v>
      </c>
      <c r="D14" s="3" t="s">
        <v>57</v>
      </c>
      <c r="E14" s="3" t="s">
        <v>58</v>
      </c>
      <c r="F14" s="3" t="s">
        <v>59</v>
      </c>
      <c r="G14" s="3" t="s">
        <v>60</v>
      </c>
      <c r="H14" s="3" t="s">
        <v>61</v>
      </c>
      <c r="I14" s="2" t="s">
        <v>102</v>
      </c>
    </row>
    <row r="15" spans="2:9" ht="28.8" x14ac:dyDescent="0.3">
      <c r="B15" s="2">
        <f t="shared" si="0"/>
        <v>13</v>
      </c>
      <c r="C15" s="3" t="s">
        <v>99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66</v>
      </c>
      <c r="I15" s="2" t="s">
        <v>102</v>
      </c>
    </row>
    <row r="16" spans="2:9" ht="28.8" x14ac:dyDescent="0.3">
      <c r="B16" s="2">
        <f t="shared" si="0"/>
        <v>14</v>
      </c>
      <c r="C16" s="3" t="s">
        <v>99</v>
      </c>
      <c r="D16" s="3" t="s">
        <v>25</v>
      </c>
      <c r="E16" s="3" t="s">
        <v>67</v>
      </c>
      <c r="F16" s="3" t="s">
        <v>68</v>
      </c>
      <c r="G16" s="3" t="s">
        <v>69</v>
      </c>
      <c r="H16" s="3" t="s">
        <v>70</v>
      </c>
      <c r="I16" s="2" t="s">
        <v>102</v>
      </c>
    </row>
    <row r="17" spans="2:9" ht="28.8" x14ac:dyDescent="0.3">
      <c r="B17" s="2">
        <f t="shared" si="0"/>
        <v>15</v>
      </c>
      <c r="C17" s="3" t="s">
        <v>99</v>
      </c>
      <c r="D17" s="3" t="s">
        <v>71</v>
      </c>
      <c r="E17" s="3" t="s">
        <v>72</v>
      </c>
      <c r="F17" s="3" t="s">
        <v>73</v>
      </c>
      <c r="G17" s="3" t="s">
        <v>69</v>
      </c>
      <c r="H17" s="3" t="s">
        <v>74</v>
      </c>
      <c r="I17" s="2" t="s">
        <v>104</v>
      </c>
    </row>
    <row r="18" spans="2:9" ht="28.8" x14ac:dyDescent="0.3">
      <c r="B18" s="2">
        <f t="shared" si="0"/>
        <v>16</v>
      </c>
      <c r="C18" s="3" t="s">
        <v>99</v>
      </c>
      <c r="D18" s="3" t="s">
        <v>75</v>
      </c>
      <c r="E18" s="3" t="s">
        <v>76</v>
      </c>
      <c r="F18" s="3" t="s">
        <v>77</v>
      </c>
      <c r="G18" s="3" t="s">
        <v>78</v>
      </c>
      <c r="H18" s="3" t="s">
        <v>79</v>
      </c>
      <c r="I18" s="2" t="s">
        <v>103</v>
      </c>
    </row>
    <row r="19" spans="2:9" ht="57.6" x14ac:dyDescent="0.3">
      <c r="B19" s="2">
        <f t="shared" si="0"/>
        <v>17</v>
      </c>
      <c r="C19" s="3" t="s">
        <v>99</v>
      </c>
      <c r="D19" s="3" t="s">
        <v>80</v>
      </c>
      <c r="E19" s="3" t="s">
        <v>81</v>
      </c>
      <c r="F19" s="3" t="s">
        <v>82</v>
      </c>
      <c r="G19" s="3" t="s">
        <v>83</v>
      </c>
      <c r="H19" s="3" t="s">
        <v>84</v>
      </c>
      <c r="I19" s="2" t="s">
        <v>103</v>
      </c>
    </row>
    <row r="20" spans="2:9" ht="57.6" x14ac:dyDescent="0.3">
      <c r="B20" s="2">
        <f t="shared" si="0"/>
        <v>18</v>
      </c>
      <c r="C20" s="3" t="s">
        <v>99</v>
      </c>
      <c r="D20" s="3" t="s">
        <v>85</v>
      </c>
      <c r="E20" s="3" t="s">
        <v>86</v>
      </c>
      <c r="F20" s="3" t="s">
        <v>87</v>
      </c>
      <c r="G20" s="3" t="s">
        <v>88</v>
      </c>
      <c r="H20" s="3" t="s">
        <v>89</v>
      </c>
      <c r="I20" s="2" t="s">
        <v>103</v>
      </c>
    </row>
    <row r="21" spans="2:9" ht="72" x14ac:dyDescent="0.3">
      <c r="B21" s="2">
        <f t="shared" si="0"/>
        <v>19</v>
      </c>
      <c r="C21" s="3" t="s">
        <v>99</v>
      </c>
      <c r="D21" s="3" t="s">
        <v>90</v>
      </c>
      <c r="E21" s="3" t="s">
        <v>91</v>
      </c>
      <c r="F21" s="3" t="s">
        <v>92</v>
      </c>
      <c r="G21" s="3" t="s">
        <v>93</v>
      </c>
      <c r="H21" s="3" t="s">
        <v>94</v>
      </c>
      <c r="I21" s="2" t="s">
        <v>103</v>
      </c>
    </row>
    <row r="22" spans="2:9" ht="43.2" x14ac:dyDescent="0.3">
      <c r="B22" s="2">
        <f t="shared" si="0"/>
        <v>20</v>
      </c>
      <c r="C22" s="3" t="s">
        <v>99</v>
      </c>
      <c r="D22" s="3" t="s">
        <v>95</v>
      </c>
      <c r="E22" s="3" t="s">
        <v>96</v>
      </c>
      <c r="F22" s="3" t="s">
        <v>97</v>
      </c>
      <c r="G22" s="3" t="s">
        <v>98</v>
      </c>
      <c r="H22" s="3" t="s">
        <v>79</v>
      </c>
      <c r="I22" s="2" t="s">
        <v>103</v>
      </c>
    </row>
  </sheetData>
  <autoFilter ref="B2:I22" xr:uid="{B91AB902-2C95-42D1-816F-EB44E04EF88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Спектрум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2026-08-19T06:39:22Z</dcterms:created>
  <dcterms:modified xsi:type="dcterms:W3CDTF">2026-08-19T07:19:05Z</dcterms:modified>
</cp:coreProperties>
</file>