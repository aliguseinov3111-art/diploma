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Презентации\00 архив\"/>
    </mc:Choice>
  </mc:AlternateContent>
  <xr:revisionPtr revIDLastSave="0" documentId="13_ncr:1_{B5F10C8C-A9B9-40B5-8DCE-020CA77297A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Портфолио Severin Dev" sheetId="1" r:id="rId1"/>
  </sheets>
  <definedNames>
    <definedName name="_xlnm._FilterDatabase" localSheetId="0" hidden="1">'Портфолио Severin Dev'!$B$2:$I$60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" i="1"/>
  <c r="B5" i="1"/>
  <c r="B4" i="1"/>
</calcChain>
</file>

<file path=xl/sharedStrings.xml><?xml version="1.0" encoding="utf-8"?>
<sst xmlns="http://schemas.openxmlformats.org/spreadsheetml/2006/main" count="414" uniqueCount="223">
  <si>
    <t>ЗАКАЗЧИК</t>
  </si>
  <si>
    <t>ПРОЕКТ</t>
  </si>
  <si>
    <t>ПАРАМЕТРЫ ПРОЕКТА</t>
  </si>
  <si>
    <t>СРОКИ РЕАЛИЗАЦИИ</t>
  </si>
  <si>
    <t>РОЛЬ В ПРОЕКТЕ</t>
  </si>
  <si>
    <t>Банк ВТБ (ПАО)</t>
  </si>
  <si>
    <t>Многофункциональный деловой комплекс «Башня «Евразия», ММДЦ «Москва-Сити», г. Москва, Пресненская наб., 10/1</t>
  </si>
  <si>
    <t>193 400 м², высота 309 м, 72 надземных + 5 подземных этажей</t>
  </si>
  <si>
    <t>2019 – н.в.</t>
  </si>
  <si>
    <t>Управление строительством, технический заказчик, строительный контроль, разработка исполнительной BIM-модели</t>
  </si>
  <si>
    <t>MR Group</t>
  </si>
  <si>
    <t>iCITY — деловые небоскрёбы (БЦ в составе ТПУ «Сити»), г. Москва, Шмитовский проезд, 37</t>
  </si>
  <si>
    <t>220 000 м², высота 260 м, 2 башни (34 и 61 этаж)</t>
  </si>
  <si>
    <t>2020–2025</t>
  </si>
  <si>
    <t>Строительный контроль</t>
  </si>
  <si>
    <t>ПАО ЦМТ</t>
  </si>
  <si>
    <t>Центр Международной Торговли, 3-я очередь (небоскрёб по проекту С. Чобана), г. Москва, Краснопресненская наб., 12</t>
  </si>
  <si>
    <t>80 000 м², высота 200 м</t>
  </si>
  <si>
    <t>2021–2023</t>
  </si>
  <si>
    <t>Технический заказчик, управление проектированием</t>
  </si>
  <si>
    <t>ООО «Кравт Яр Парк»</t>
  </si>
  <si>
    <t>Многофункциональный гостиничный комплекс с конгресс-центром, г. Казань, ул. С. Хакима</t>
  </si>
  <si>
    <t>300 000 м²</t>
  </si>
  <si>
    <t>2023 – н.в.</t>
  </si>
  <si>
    <t>Технический заказчик, строительный контроль, управление проектированием, разработка укрупнённого бюджета на стадии «Концепция», разработка единичных расценок по видам работ, детализация бюджета на стадии ПД</t>
  </si>
  <si>
    <t>ООО «Мильдор КС» (ООО «АРПИ»)</t>
  </si>
  <si>
    <t>Международный многофункциональный общественный центр «Золотая миля», Амурская обл., г. Благовещенск</t>
  </si>
  <si>
    <t>10 500 м² площадь застройки (участок 32 952 м², номерной фонд 150 номеров)</t>
  </si>
  <si>
    <t>2024 – н.в.</t>
  </si>
  <si>
    <t>Генеральное проектирование, технический заказчик, разработка укрупнённого бюджета на стадии «Концепция»</t>
  </si>
  <si>
    <t>Банк ГПБ (АО)</t>
  </si>
  <si>
    <t>Офисный комплекс Газпромбанка, г. Москва, 1-й Добрынинский пер., д. 4/2</t>
  </si>
  <si>
    <t>14 300 м², 22 надземных + 4 подземных этажа</t>
  </si>
  <si>
    <t>2019 – по н.в.</t>
  </si>
  <si>
    <t>Управление проектом, управление проектированием, технический заказчик, строительный контроль</t>
  </si>
  <si>
    <t>АО «Телекомпания НТВ»</t>
  </si>
  <si>
    <t>Телевизионный комплекс «НТВ», г. Москва, СВАО, ул. Новомосковская, вл. 18-22</t>
  </si>
  <si>
    <t>70 000 м²</t>
  </si>
  <si>
    <t>2012–2013, 2016, 2021–2023</t>
  </si>
  <si>
    <t>Управление стоимостью проекта (в т.ч. предложения по оптимизации проектных решений), технический заказчик, управление проектированием</t>
  </si>
  <si>
    <t>Сатевис</t>
  </si>
  <si>
    <t>Офисный центр (ОКН) на территории БЦ «Красина, 3», г. Москва, ул. Красина</t>
  </si>
  <si>
    <t>1 509 м² (на месте доходного дома XX века, ~1500 м²)</t>
  </si>
  <si>
    <t>2023–2024</t>
  </si>
  <si>
    <t>Разработка укрупнённого бюджета на стадии «Концепция», разработка единичных расценок по видам работ, детализация бюджета на стадии ПД, технический заказчик, генподряд</t>
  </si>
  <si>
    <t>АНОО ВО «СКОЛТЕХ»</t>
  </si>
  <si>
    <t>Лабораторный комплекс «СКОЛТЕХ», г. Москва, Большой бульвар, 30с1, Инновационный центр «Сколково»</t>
  </si>
  <si>
    <t>28 314 м²</t>
  </si>
  <si>
    <t>Строительный контроль (перепланировка и внутренняя отделка), проектирование</t>
  </si>
  <si>
    <t>Рустарк</t>
  </si>
  <si>
    <t>Штаб-квартира компании Рустарк, г. Москва, Сколково</t>
  </si>
  <si>
    <t>15 000 м²</t>
  </si>
  <si>
    <t>2023 г.</t>
  </si>
  <si>
    <t>Генеральное проектирование: концепция, проектная документация, рабочая документация</t>
  </si>
  <si>
    <t>Бизнес-центр «Лотос», г. Москва, ул. Одесская</t>
  </si>
  <si>
    <t>151 920 м²</t>
  </si>
  <si>
    <t>2012–2014</t>
  </si>
  <si>
    <t>Технический заказчик, строительный контроль</t>
  </si>
  <si>
    <t>Панавто</t>
  </si>
  <si>
    <t>Дилерский центр «Мерседес-Бенц», г. Москва, ул. Магистральная</t>
  </si>
  <si>
    <t>18 600 м²</t>
  </si>
  <si>
    <t>2018–2021</t>
  </si>
  <si>
    <t>Многофункциональный торгово-деловой комплекс «Водный», г. Москва, Головинское шоссе</t>
  </si>
  <si>
    <t>166 300 м² (в т.ч. ТРЦ 50 530 м², офисы 61 570 м², автостоянка 54 200 м²)</t>
  </si>
  <si>
    <t>ДОНСТРОЙ</t>
  </si>
  <si>
    <t>Жилой комплекс «Клубный дом на Тишинке», г. Москва, Средний Тишинский пер., 5-7</t>
  </si>
  <si>
    <t>40 500 м², 18 этажей, 60 квартир</t>
  </si>
  <si>
    <t>2019–2021</t>
  </si>
  <si>
    <t>Управление строительством, технический заказчик, строительный контроль</t>
  </si>
  <si>
    <t>Жилой комплекс «Жизнь на Плющихе», г. Москва, Погодинская ул., вл. 2/3, стр. 1,2,3,4</t>
  </si>
  <si>
    <t>56 000 м², переменная этажность 4–13 этажей</t>
  </si>
  <si>
    <t>2016–2020</t>
  </si>
  <si>
    <t>Управление строительством, технический заказчик, строительный контроль (в т.ч. контроль отделочных работ 48 квартир при предпродажной подготовке)</t>
  </si>
  <si>
    <t>GHP Group</t>
  </si>
  <si>
    <t>Жилой комплекс ONE TRINITY PLACE, г. Санкт-Петербург (Петроградский р-н)</t>
  </si>
  <si>
    <t>32 571 м², 9 этажей</t>
  </si>
  <si>
    <t>2017–2019</t>
  </si>
  <si>
    <t>Специализированный застройщик «Фонченко» | ANT DEVELOPMENT</t>
  </si>
  <si>
    <t>Многофункциональный жилой комплекс Victory Park Residences, г. Москва, ул. Братьев Фонченко</t>
  </si>
  <si>
    <t>133 653 м²</t>
  </si>
  <si>
    <t>2020–2023</t>
  </si>
  <si>
    <t>ANT DEVELOPMENT</t>
  </si>
  <si>
    <t>Гостиница и апартаменты «Поклонная, 9», г. Москва, ул. Поклонная, вл. 9</t>
  </si>
  <si>
    <t>98 778 м², 32 этажа + 5 подземных уровней</t>
  </si>
  <si>
    <t>2019–2023</t>
  </si>
  <si>
    <t>Оптима Девелопмент</t>
  </si>
  <si>
    <t>Жилой комплекс PRIME PARK, г. Москва, Ленинградский пр-т</t>
  </si>
  <si>
    <t>457 000 м², 9 корпусов высотой от 4 до 42 этажей (до 150 м)</t>
  </si>
  <si>
    <t>2018 – н.в.</t>
  </si>
  <si>
    <t>Жилой комплекс «Река» (1-ая очередь, корпус 1), г. Москва, ул. Лобачевского</t>
  </si>
  <si>
    <t>35 263 м²</t>
  </si>
  <si>
    <t>Valartis Group</t>
  </si>
  <si>
    <t>Клубный дом Artisan («Арбат 39»), г. Москва, ул. Старый Арбат, д. 39-41</t>
  </si>
  <si>
    <t>11 500 м²</t>
  </si>
  <si>
    <t>2015–2017</t>
  </si>
  <si>
    <t>Не указана в источнике (только описание объекта)</t>
  </si>
  <si>
    <t>Клубный дом Turandot Residences, г. Москва, ул. Старый Арбат, д. 24-26</t>
  </si>
  <si>
    <t>27 000 м², 8 этажей, 35 апартаментов (110–335 м²)</t>
  </si>
  <si>
    <t>2014–2018</t>
  </si>
  <si>
    <t>ГК Пионер</t>
  </si>
  <si>
    <t>Клубный дом OPUS, г. Москва, ул. Дербеневская, вл. 1</t>
  </si>
  <si>
    <t>41 000 м², 188 квартир</t>
  </si>
  <si>
    <t>2022 г.</t>
  </si>
  <si>
    <t>Технический заказчик (до РНС)</t>
  </si>
  <si>
    <t>ООО «СЗ ДАНИАН» («СЗ Балчуг эстейт»)</t>
  </si>
  <si>
    <t>Клубный квартал «Садовническая, 69», о. Балчуг, г. Москва, ул. Садовническая, вл. 76/71</t>
  </si>
  <si>
    <t>площадь участка 0,8391 (в источнике указано «м²», вероятно опечатка вместо «га»), площадь в ГНС — 26 000 м², высотность 12–36,6 м</t>
  </si>
  <si>
    <t>2024–2027</t>
  </si>
  <si>
    <t>АО «СЗ «КИНОЦЕНТР»</t>
  </si>
  <si>
    <t>Апартаменты с культурно-досуговым комплексом SKY VIEW, г. Москва, ул. Дружинниковская, вл. 15</t>
  </si>
  <si>
    <t>85 000 м², 4 башни, 436 апартаментов (37,5 тыс. м²)</t>
  </si>
  <si>
    <t>Жилой комплекс SYMPHONY 34, г. Москва, 2-я Хуторская, 34</t>
  </si>
  <si>
    <t>164 740 м², высота 36–54 этажа (190 м)</t>
  </si>
  <si>
    <t>2021–2025</t>
  </si>
  <si>
    <t>Многофункциональный комплекс «Слава-2», г. Москва, ул. Бутырский Вал</t>
  </si>
  <si>
    <t>ЗУ 8 396 м², общая площадь здания 123 801 м², высота 179 м (38 надземных + 5 подземных этажей)</t>
  </si>
  <si>
    <t>Многофункциональный комплекс CITYZEN (Ситизен), очередь 1, г. Москва, ул. Вишневая, вл. 7</t>
  </si>
  <si>
    <t>149 428 м², 9 корпусов высотой от 10 до 48 этажей</t>
  </si>
  <si>
    <t>Многофункциональный комплекс «Символ» и благоустройство территории (на месте завода «Серп и Молот»), г. Москва, ул. Золоторожский Вал, вл. 11</t>
  </si>
  <si>
    <t>Очередь 1А ~130 тыс. м², 1Б ~190 тыс. м², 2Б ~90 тыс. м²</t>
  </si>
  <si>
    <t>2016–2023</t>
  </si>
  <si>
    <t>Технический заказчик, строительный контроль, финансово-строительный аудит и мониторинг</t>
  </si>
  <si>
    <t>Многофункциональный комплекс «Селигер Сити» и благоустройство территории, г. Москва, Ильменский проезд, вл. 14</t>
  </si>
  <si>
    <t>Очередь I 107 537 м², II 64 828 м², III 55 814 м², IV 67 602,24 м² (небоскрёбы до 127 м)</t>
  </si>
  <si>
    <t>2017 – н.в.</t>
  </si>
  <si>
    <t>Многофункциональный комплекс «Сердце Столицы» и благоустройство территории, г. Москва, ул. Шеногина, вл. 1, наб. Шелепихинская, вл. 34</t>
  </si>
  <si>
    <t>II очередь: 131 226 м² + 170 559 м²; III очередь: 94 261 м² + 78 652 м² (14 га, высота до 148 м)</t>
  </si>
  <si>
    <t>Многофункциональный комплекс «Савёловский Сити», г. Москва, ул. Новодмитровская, дом 2</t>
  </si>
  <si>
    <t>191 000 м², 6 зданий высотой от 19 до 46 этажей</t>
  </si>
  <si>
    <t>АО «НИИДАР-Недвижимость» (СЗ)</t>
  </si>
  <si>
    <t>Жилой комплекс бизнес-класса «Преображенская площадь», 1 этап, г. Москва, 1-я ул. Бухвостова, вл. 12/11</t>
  </si>
  <si>
    <t>88 149 м², 11 секций (6–17 этажей), паркинг на 354 машиноместа</t>
  </si>
  <si>
    <t>2022–2025</t>
  </si>
  <si>
    <t>ИНГРАД</t>
  </si>
  <si>
    <t>Жилой комплекс FORIVER, г. Москва, Симоновская наб.</t>
  </si>
  <si>
    <t>282 241 м², 11 корпусов на стилобате</t>
  </si>
  <si>
    <t>АО «СЗ «МБИ» (ЭТАЛОН)</t>
  </si>
  <si>
    <t>Жилой комплекс Nagatino i-Land (3-я очередь, 4 корпуса), г. Москва, пр-т Андропова, Даниловский р-н</t>
  </si>
  <si>
    <t>128 584 м², здания от 5 до 35 этажей, паркинг на 508 машиномест</t>
  </si>
  <si>
    <t>2025 – н.в.</t>
  </si>
  <si>
    <t>ООО «ВХД Менеджмент» (ГК Астерус)</t>
  </si>
  <si>
    <t>Жилой комплекс «ALIA» (блоки 13А и 13В), 4-я очередь, г. Москва, р-н Покровское-Стрешнево</t>
  </si>
  <si>
    <t>площадь застройки 6 606,99 м², строительный объём 498 986,2 м³, высотность до 150 м</t>
  </si>
  <si>
    <t>Жилой комплекс «PRIDE», г. Москва, ул. Полковая</t>
  </si>
  <si>
    <t>112 000 м², дома от 7 до 22 этажей</t>
  </si>
  <si>
    <t>Управление закупками / тендер по выбору генерального подрядчика, строительный контроль</t>
  </si>
  <si>
    <t>October Group</t>
  </si>
  <si>
    <t>Жилой комплекс «STORIES», г. Москва, ул. Мосфильмовская</t>
  </si>
  <si>
    <t>35 000 м², башня 99 м + дом 11 этажей</t>
  </si>
  <si>
    <t>Технический заказчик</t>
  </si>
  <si>
    <t>Жилой комплекс «Павелецкая Сити» (1 и 2 очереди), г. Москва, ул. Дубининская, д. 59-69</t>
  </si>
  <si>
    <t>1-я очередь 78 300 м², 2-я очередь 74 000 м²</t>
  </si>
  <si>
    <t>ООО «Левел-проект»</t>
  </si>
  <si>
    <t>Жилой комплекс «Павелецкая Сити» (4-я очередь), г. Москва, ул. Дубининская, з/у 69/1, вл. 69, стр. 2</t>
  </si>
  <si>
    <t>55 649 м², 3 башни (20–45 этажей)</t>
  </si>
  <si>
    <t>Жилой комплекс «Фили Град», г. Москва, Береговой проезд</t>
  </si>
  <si>
    <t>189 742 м² (6,28 га), 4 корпуса</t>
  </si>
  <si>
    <t>2013–2015</t>
  </si>
  <si>
    <t>Технический заказчик (технический надзор/строительный контроль: контроль РД, контроль объёмов/стоимости/качества работ, контроль соблюдения технологии строительства)</t>
  </si>
  <si>
    <t>Prime Life Development</t>
  </si>
  <si>
    <t>Жилой комплекс «1-й Нагатинский», г. Москва, ул. Нагатинская</t>
  </si>
  <si>
    <t>76 700 м² (квартал 13 га)</t>
  </si>
  <si>
    <t>Дон-Строй Инвест</t>
  </si>
  <si>
    <t>Жилой комплекс «Огни» (квартал 1, 2), г. Москва, р-н Раменки</t>
  </si>
  <si>
    <t>128 000 м² (кв.1: два 35-этажных корпуса + паркинг на 499 м/мест; кв.2: два 41-этажных корпуса)</t>
  </si>
  <si>
    <t>2019–2022</t>
  </si>
  <si>
    <t>Финансово-технический аудит</t>
  </si>
  <si>
    <t>Эталон-Инвест</t>
  </si>
  <si>
    <t>Жилой комплекс «Летний сад», г. Москва, Дмитровское шоссе</t>
  </si>
  <si>
    <t>283 385 м², 10 жилых домов + 1 корпус апартаментов</t>
  </si>
  <si>
    <t>С&amp;Т ИНВЕСТМЕНТС ЛИМИТЕД</t>
  </si>
  <si>
    <t>Жилой комплекс «Снегири Эко», г. Москва, ул. Минская, корп. 1-26</t>
  </si>
  <si>
    <t>77 680 м², 15 клубных домов, парк 3 га</t>
  </si>
  <si>
    <t>2017 г.</t>
  </si>
  <si>
    <t>Жилой комплекс «City Bay», г. Москва, Волоколамское ш.</t>
  </si>
  <si>
    <t>Этап 3 — 173 000 м² (итого по проекту 466 532 м²), высота до 175 м</t>
  </si>
  <si>
    <t>НАО «МАРС» (ГК «Baltchug Estate»)</t>
  </si>
  <si>
    <t>Жилой комплекс «Костомаровский, 3», г. Москва, Костомаровский пер., влд. 33</t>
  </si>
  <si>
    <t>участок 2,55 га, общая площадь 161 650 м², корпуса высотой 23–52 этажа + офисное здание 19 этажей</t>
  </si>
  <si>
    <t>ООО «Новинки»</t>
  </si>
  <si>
    <t>Жилой комплекс, Московская обл., Истринский р-н, Истра</t>
  </si>
  <si>
    <t>50 000 м²</t>
  </si>
  <si>
    <t>ООО «СЗ ФСК Юг»</t>
  </si>
  <si>
    <t>Жилой комплекс «1-й Бутовский», 1-ая очередь строительства, г. Москва, пос. Воскресенское</t>
  </si>
  <si>
    <t>площадь застройки 45 га, жилая застройка 449 449 м², общественная и социальная часть 348 489 м²</t>
  </si>
  <si>
    <t>ООО «СЗ ДАНИАН» (ГК «Baltchug Estate»)</t>
  </si>
  <si>
    <t>Жилой комплекс «Хорошёвский», г. Москва, 3-й Хорошёвский проезд, вл. 5</t>
  </si>
  <si>
    <t>участок 12 300 м², застройка 9 702 м², жилое здание 74 112 м²</t>
  </si>
  <si>
    <t>Жилой комплекс «Ясный», г. Москва, Каширское шоссе, 65</t>
  </si>
  <si>
    <t>185 900 м², 3 корпуса</t>
  </si>
  <si>
    <t>2015–2018</t>
  </si>
  <si>
    <t>PSN Group</t>
  </si>
  <si>
    <t>Жилой комплекс «Домашний», г. Москва, ул. Донецкая, вл. 30</t>
  </si>
  <si>
    <t>304 000 м² (27 га), высотки до 32 этажей и здания 6-9 этажей</t>
  </si>
  <si>
    <t>2015–2019</t>
  </si>
  <si>
    <t>Технический заказчик, строительный контроль (SEVERIN DEVELOPMENT, представляя интересы PSN Group, оказала комплекс услуг по управлению проектированием и строительством 1-й и 2-й очереди)</t>
  </si>
  <si>
    <t>Глоракс</t>
  </si>
  <si>
    <t>Жилой комплекс GloraX Заневский, г. Санкт-Петербург (Красногвардейский р-н)</t>
  </si>
  <si>
    <t>100 000 м²</t>
  </si>
  <si>
    <t>Жилой комплекс «VEER», г. Москва, ул. Верейская, 29</t>
  </si>
  <si>
    <t>174 433,3 м², башни 22, 46 и 59 этажей (макс. высота 196,3 м)</t>
  </si>
  <si>
    <t>Жилой комплекс KING &amp; SONS, г. Москва, муниципальный округ Раменки</t>
  </si>
  <si>
    <t>16 836,1 м², 117 резиденций</t>
  </si>
  <si>
    <t>Разработка детализированного бюджета проекта (по ведомостям объёмов работ стадии «П»), технический заказчик</t>
  </si>
  <si>
    <t>ООО «СЗ «Лайф Богородское»</t>
  </si>
  <si>
    <t>Многофункциональный жилой комплекс «Лайф Богородское», г. Москва, ВАО, муниципальный округ Богородское, Открытое шоссе</t>
  </si>
  <si>
    <t>179 875,70 м², 6 корпусов высотой от 24 до 43 этажей</t>
  </si>
  <si>
    <t>2024 г.</t>
  </si>
  <si>
    <t>Разработка укрупнённого бюджета проекта на стадии «Концепция»</t>
  </si>
  <si>
    <t>ООО «СОЮЗ»</t>
  </si>
  <si>
    <t>Жилой комплекс бизнес-класса, г. Москва, ЮАО, 5-й Донской проезд</t>
  </si>
  <si>
    <t>63 762,5 м², жилое здание 77 этажей</t>
  </si>
  <si>
    <t>Разработка детализированного бюджета проекта (по ведомостям объёмов работ стадии «П»)</t>
  </si>
  <si>
    <t>ООО «Мангазея»</t>
  </si>
  <si>
    <t>Жилые комплексы (исследование рыночной себестоимости строительства), г. Москва и Московская область</t>
  </si>
  <si>
    <t>не указана (услуга не привязана к одному объекту)</t>
  </si>
  <si>
    <t>Консультационные услуги по исследованию рыночной себестоимости строительства (актуальный рыночный диапазон затрат на м² общей площади с благоустройством, на основе объектов-аналогов)</t>
  </si>
  <si>
    <t>№, п/п</t>
  </si>
  <si>
    <t>ОРГАНИЗАЦИЯ</t>
  </si>
  <si>
    <t>СР.ДЕВЕЛОПМЕНТ</t>
  </si>
  <si>
    <t>ТЗ</t>
  </si>
  <si>
    <t>-</t>
  </si>
  <si>
    <t>УК и ТЗ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</si>
</sst>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0"/>
  <sheetViews>
    <sheetView showGridLines="0" tabSelected="1" zoomScale="90" zoomScaleNormal="90" workbookViewId="0">
      <pane ySplit="2" topLeftCell="A50" activePane="bottomLeft" state="frozen"/>
      <selection pane="bottomLeft" activeCell="B3" sqref="B3:I60"/>
    </sheetView>
  </sheetViews>
  <sheetFormatPr defaultRowHeight="14.4" x14ac:dyDescent="0.3"/>
  <cols>
    <col min="1" max="1" width="1.77734375" customWidth="1"/>
    <col min="3" max="3" width="17.77734375" customWidth="1"/>
    <col min="4" max="4" width="32" customWidth="1"/>
    <col min="5" max="5" width="55" customWidth="1"/>
    <col min="6" max="6" width="34" customWidth="1"/>
    <col min="7" max="7" width="18" customWidth="1"/>
    <col min="8" max="8" width="50" customWidth="1"/>
    <col min="9" max="9" width="9.21875" bestFit="1" customWidth="1"/>
  </cols>
  <sheetData>
    <row r="2" spans="2:9" ht="30" customHeight="1" x14ac:dyDescent="0.3">
      <c r="B2" s="1" t="s">
        <v>217</v>
      </c>
      <c r="C2" s="1" t="s">
        <v>218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4</v>
      </c>
    </row>
    <row r="3" spans="2:9" ht="43.2" x14ac:dyDescent="0.3">
      <c r="B3" s="3">
        <v>1</v>
      </c>
      <c r="C3" s="2" t="s">
        <v>219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220</v>
      </c>
    </row>
    <row r="4" spans="2:9" ht="28.8" x14ac:dyDescent="0.3">
      <c r="B4" s="3">
        <f>B3+1</f>
        <v>2</v>
      </c>
      <c r="C4" s="2" t="s">
        <v>219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3" t="s">
        <v>221</v>
      </c>
    </row>
    <row r="5" spans="2:9" ht="28.8" x14ac:dyDescent="0.3">
      <c r="B5" s="3">
        <f t="shared" ref="B5:B60" si="0">B4+1</f>
        <v>3</v>
      </c>
      <c r="C5" s="2" t="s">
        <v>219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3" t="s">
        <v>220</v>
      </c>
    </row>
    <row r="6" spans="2:9" ht="72" x14ac:dyDescent="0.3">
      <c r="B6" s="3">
        <f t="shared" si="0"/>
        <v>4</v>
      </c>
      <c r="C6" s="2" t="s">
        <v>219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3" t="s">
        <v>220</v>
      </c>
    </row>
    <row r="7" spans="2:9" ht="43.2" x14ac:dyDescent="0.3">
      <c r="B7" s="3">
        <f t="shared" si="0"/>
        <v>5</v>
      </c>
      <c r="C7" s="2" t="s">
        <v>219</v>
      </c>
      <c r="D7" s="2" t="s">
        <v>25</v>
      </c>
      <c r="E7" s="2" t="s">
        <v>26</v>
      </c>
      <c r="F7" s="2" t="s">
        <v>27</v>
      </c>
      <c r="G7" s="2" t="s">
        <v>28</v>
      </c>
      <c r="H7" s="2" t="s">
        <v>29</v>
      </c>
      <c r="I7" s="3" t="s">
        <v>220</v>
      </c>
    </row>
    <row r="8" spans="2:9" ht="28.8" x14ac:dyDescent="0.3">
      <c r="B8" s="3">
        <f t="shared" si="0"/>
        <v>6</v>
      </c>
      <c r="C8" s="2" t="s">
        <v>219</v>
      </c>
      <c r="D8" s="2" t="s">
        <v>30</v>
      </c>
      <c r="E8" s="2" t="s">
        <v>31</v>
      </c>
      <c r="F8" s="2" t="s">
        <v>32</v>
      </c>
      <c r="G8" s="2" t="s">
        <v>33</v>
      </c>
      <c r="H8" s="2" t="s">
        <v>34</v>
      </c>
      <c r="I8" s="3" t="s">
        <v>222</v>
      </c>
    </row>
    <row r="9" spans="2:9" ht="43.2" x14ac:dyDescent="0.3">
      <c r="B9" s="3">
        <f t="shared" si="0"/>
        <v>7</v>
      </c>
      <c r="C9" s="2" t="s">
        <v>219</v>
      </c>
      <c r="D9" s="2" t="s">
        <v>35</v>
      </c>
      <c r="E9" s="2" t="s">
        <v>36</v>
      </c>
      <c r="F9" s="2" t="s">
        <v>37</v>
      </c>
      <c r="G9" s="2" t="s">
        <v>38</v>
      </c>
      <c r="H9" s="2" t="s">
        <v>39</v>
      </c>
      <c r="I9" s="3" t="s">
        <v>220</v>
      </c>
    </row>
    <row r="10" spans="2:9" ht="57.6" x14ac:dyDescent="0.3">
      <c r="B10" s="3">
        <f t="shared" si="0"/>
        <v>8</v>
      </c>
      <c r="C10" s="2" t="s">
        <v>219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3" t="s">
        <v>220</v>
      </c>
    </row>
    <row r="11" spans="2:9" ht="28.8" x14ac:dyDescent="0.3">
      <c r="B11" s="3">
        <f t="shared" si="0"/>
        <v>9</v>
      </c>
      <c r="C11" s="2" t="s">
        <v>219</v>
      </c>
      <c r="D11" s="2" t="s">
        <v>45</v>
      </c>
      <c r="E11" s="2" t="s">
        <v>46</v>
      </c>
      <c r="F11" s="2" t="s">
        <v>47</v>
      </c>
      <c r="G11" s="2" t="s">
        <v>8</v>
      </c>
      <c r="H11" s="2" t="s">
        <v>48</v>
      </c>
      <c r="I11" s="3" t="s">
        <v>221</v>
      </c>
    </row>
    <row r="12" spans="2:9" ht="28.8" x14ac:dyDescent="0.3">
      <c r="B12" s="3">
        <f t="shared" si="0"/>
        <v>10</v>
      </c>
      <c r="C12" s="2" t="s">
        <v>219</v>
      </c>
      <c r="D12" s="2" t="s">
        <v>49</v>
      </c>
      <c r="E12" s="2" t="s">
        <v>50</v>
      </c>
      <c r="F12" s="2" t="s">
        <v>51</v>
      </c>
      <c r="G12" s="2" t="s">
        <v>52</v>
      </c>
      <c r="H12" s="2" t="s">
        <v>53</v>
      </c>
      <c r="I12" s="3" t="s">
        <v>221</v>
      </c>
    </row>
    <row r="13" spans="2:9" ht="28.8" x14ac:dyDescent="0.3">
      <c r="B13" s="3">
        <f t="shared" si="0"/>
        <v>11</v>
      </c>
      <c r="C13" s="2" t="s">
        <v>219</v>
      </c>
      <c r="D13" s="2" t="s">
        <v>10</v>
      </c>
      <c r="E13" s="2" t="s">
        <v>54</v>
      </c>
      <c r="F13" s="2" t="s">
        <v>55</v>
      </c>
      <c r="G13" s="2" t="s">
        <v>56</v>
      </c>
      <c r="H13" s="2" t="s">
        <v>57</v>
      </c>
      <c r="I13" s="3" t="s">
        <v>220</v>
      </c>
    </row>
    <row r="14" spans="2:9" ht="28.8" x14ac:dyDescent="0.3">
      <c r="B14" s="3">
        <f t="shared" si="0"/>
        <v>12</v>
      </c>
      <c r="C14" s="2" t="s">
        <v>219</v>
      </c>
      <c r="D14" s="2" t="s">
        <v>58</v>
      </c>
      <c r="E14" s="2" t="s">
        <v>59</v>
      </c>
      <c r="F14" s="2" t="s">
        <v>60</v>
      </c>
      <c r="G14" s="2" t="s">
        <v>61</v>
      </c>
      <c r="H14" s="2" t="s">
        <v>57</v>
      </c>
      <c r="I14" s="3" t="s">
        <v>220</v>
      </c>
    </row>
    <row r="15" spans="2:9" ht="43.2" x14ac:dyDescent="0.3">
      <c r="B15" s="3">
        <f t="shared" si="0"/>
        <v>13</v>
      </c>
      <c r="C15" s="2" t="s">
        <v>219</v>
      </c>
      <c r="D15" s="2" t="s">
        <v>10</v>
      </c>
      <c r="E15" s="2" t="s">
        <v>62</v>
      </c>
      <c r="F15" s="2" t="s">
        <v>63</v>
      </c>
      <c r="G15" s="2" t="s">
        <v>56</v>
      </c>
      <c r="H15" s="2" t="s">
        <v>14</v>
      </c>
      <c r="I15" s="3" t="s">
        <v>221</v>
      </c>
    </row>
    <row r="16" spans="2:9" ht="28.8" x14ac:dyDescent="0.3">
      <c r="B16" s="3">
        <f t="shared" si="0"/>
        <v>14</v>
      </c>
      <c r="C16" s="2" t="s">
        <v>219</v>
      </c>
      <c r="D16" s="2" t="s">
        <v>64</v>
      </c>
      <c r="E16" s="2" t="s">
        <v>65</v>
      </c>
      <c r="F16" s="2" t="s">
        <v>66</v>
      </c>
      <c r="G16" s="2" t="s">
        <v>67</v>
      </c>
      <c r="H16" s="2" t="s">
        <v>68</v>
      </c>
      <c r="I16" s="3" t="s">
        <v>220</v>
      </c>
    </row>
    <row r="17" spans="2:9" ht="43.2" x14ac:dyDescent="0.3">
      <c r="B17" s="3">
        <f t="shared" si="0"/>
        <v>15</v>
      </c>
      <c r="C17" s="2" t="s">
        <v>219</v>
      </c>
      <c r="D17" s="2" t="s">
        <v>64</v>
      </c>
      <c r="E17" s="2" t="s">
        <v>69</v>
      </c>
      <c r="F17" s="2" t="s">
        <v>70</v>
      </c>
      <c r="G17" s="2" t="s">
        <v>71</v>
      </c>
      <c r="H17" s="2" t="s">
        <v>72</v>
      </c>
      <c r="I17" s="3" t="s">
        <v>220</v>
      </c>
    </row>
    <row r="18" spans="2:9" ht="28.8" x14ac:dyDescent="0.3">
      <c r="B18" s="3">
        <f t="shared" si="0"/>
        <v>16</v>
      </c>
      <c r="C18" s="2" t="s">
        <v>219</v>
      </c>
      <c r="D18" s="2" t="s">
        <v>73</v>
      </c>
      <c r="E18" s="2" t="s">
        <v>74</v>
      </c>
      <c r="F18" s="2" t="s">
        <v>75</v>
      </c>
      <c r="G18" s="2" t="s">
        <v>76</v>
      </c>
      <c r="H18" s="2" t="s">
        <v>57</v>
      </c>
      <c r="I18" s="3" t="s">
        <v>220</v>
      </c>
    </row>
    <row r="19" spans="2:9" ht="28.8" x14ac:dyDescent="0.3">
      <c r="B19" s="3">
        <f t="shared" si="0"/>
        <v>17</v>
      </c>
      <c r="C19" s="2" t="s">
        <v>219</v>
      </c>
      <c r="D19" s="2" t="s">
        <v>77</v>
      </c>
      <c r="E19" s="2" t="s">
        <v>78</v>
      </c>
      <c r="F19" s="2" t="s">
        <v>79</v>
      </c>
      <c r="G19" s="2" t="s">
        <v>80</v>
      </c>
      <c r="H19" s="2" t="s">
        <v>57</v>
      </c>
      <c r="I19" s="3" t="s">
        <v>220</v>
      </c>
    </row>
    <row r="20" spans="2:9" ht="28.8" x14ac:dyDescent="0.3">
      <c r="B20" s="3">
        <f t="shared" si="0"/>
        <v>18</v>
      </c>
      <c r="C20" s="2" t="s">
        <v>219</v>
      </c>
      <c r="D20" s="2" t="s">
        <v>81</v>
      </c>
      <c r="E20" s="2" t="s">
        <v>82</v>
      </c>
      <c r="F20" s="2" t="s">
        <v>83</v>
      </c>
      <c r="G20" s="2" t="s">
        <v>84</v>
      </c>
      <c r="H20" s="2" t="s">
        <v>14</v>
      </c>
      <c r="I20" s="3" t="s">
        <v>221</v>
      </c>
    </row>
    <row r="21" spans="2:9" ht="28.8" x14ac:dyDescent="0.3">
      <c r="B21" s="3">
        <f t="shared" si="0"/>
        <v>19</v>
      </c>
      <c r="C21" s="2" t="s">
        <v>219</v>
      </c>
      <c r="D21" s="2" t="s">
        <v>85</v>
      </c>
      <c r="E21" s="2" t="s">
        <v>86</v>
      </c>
      <c r="F21" s="2" t="s">
        <v>87</v>
      </c>
      <c r="G21" s="2" t="s">
        <v>88</v>
      </c>
      <c r="H21" s="2" t="s">
        <v>14</v>
      </c>
      <c r="I21" s="3" t="s">
        <v>221</v>
      </c>
    </row>
    <row r="22" spans="2:9" ht="28.8" x14ac:dyDescent="0.3">
      <c r="B22" s="3">
        <f t="shared" si="0"/>
        <v>20</v>
      </c>
      <c r="C22" s="2" t="s">
        <v>219</v>
      </c>
      <c r="D22" s="2" t="s">
        <v>64</v>
      </c>
      <c r="E22" s="2" t="s">
        <v>89</v>
      </c>
      <c r="F22" s="2" t="s">
        <v>90</v>
      </c>
      <c r="G22" s="2" t="s">
        <v>67</v>
      </c>
      <c r="H22" s="2" t="s">
        <v>68</v>
      </c>
      <c r="I22" s="3" t="s">
        <v>220</v>
      </c>
    </row>
    <row r="23" spans="2:9" ht="28.8" x14ac:dyDescent="0.3">
      <c r="B23" s="3">
        <f t="shared" si="0"/>
        <v>21</v>
      </c>
      <c r="C23" s="2" t="s">
        <v>219</v>
      </c>
      <c r="D23" s="2" t="s">
        <v>91</v>
      </c>
      <c r="E23" s="2" t="s">
        <v>92</v>
      </c>
      <c r="F23" s="2" t="s">
        <v>93</v>
      </c>
      <c r="G23" s="2" t="s">
        <v>94</v>
      </c>
      <c r="H23" s="2" t="s">
        <v>95</v>
      </c>
      <c r="I23" s="3" t="s">
        <v>221</v>
      </c>
    </row>
    <row r="24" spans="2:9" ht="28.8" x14ac:dyDescent="0.3">
      <c r="B24" s="3">
        <f t="shared" si="0"/>
        <v>22</v>
      </c>
      <c r="C24" s="2" t="s">
        <v>219</v>
      </c>
      <c r="D24" s="2" t="s">
        <v>91</v>
      </c>
      <c r="E24" s="2" t="s">
        <v>96</v>
      </c>
      <c r="F24" s="2" t="s">
        <v>97</v>
      </c>
      <c r="G24" s="2" t="s">
        <v>98</v>
      </c>
      <c r="H24" s="2" t="s">
        <v>95</v>
      </c>
      <c r="I24" s="3" t="s">
        <v>221</v>
      </c>
    </row>
    <row r="25" spans="2:9" ht="28.8" x14ac:dyDescent="0.3">
      <c r="B25" s="3">
        <f t="shared" si="0"/>
        <v>23</v>
      </c>
      <c r="C25" s="2" t="s">
        <v>219</v>
      </c>
      <c r="D25" s="2" t="s">
        <v>99</v>
      </c>
      <c r="E25" s="2" t="s">
        <v>100</v>
      </c>
      <c r="F25" s="2" t="s">
        <v>101</v>
      </c>
      <c r="G25" s="2" t="s">
        <v>102</v>
      </c>
      <c r="H25" s="2" t="s">
        <v>103</v>
      </c>
      <c r="I25" s="3" t="s">
        <v>220</v>
      </c>
    </row>
    <row r="26" spans="2:9" ht="57.6" x14ac:dyDescent="0.3">
      <c r="B26" s="3">
        <f t="shared" si="0"/>
        <v>24</v>
      </c>
      <c r="C26" s="2" t="s">
        <v>219</v>
      </c>
      <c r="D26" s="2" t="s">
        <v>104</v>
      </c>
      <c r="E26" s="2" t="s">
        <v>105</v>
      </c>
      <c r="F26" s="2" t="s">
        <v>106</v>
      </c>
      <c r="G26" s="2" t="s">
        <v>107</v>
      </c>
      <c r="H26" s="2" t="s">
        <v>57</v>
      </c>
      <c r="I26" s="3" t="s">
        <v>220</v>
      </c>
    </row>
    <row r="27" spans="2:9" ht="28.8" x14ac:dyDescent="0.3">
      <c r="B27" s="3">
        <f t="shared" si="0"/>
        <v>25</v>
      </c>
      <c r="C27" s="2" t="s">
        <v>219</v>
      </c>
      <c r="D27" s="2" t="s">
        <v>108</v>
      </c>
      <c r="E27" s="2" t="s">
        <v>109</v>
      </c>
      <c r="F27" s="2" t="s">
        <v>110</v>
      </c>
      <c r="G27" s="2" t="s">
        <v>13</v>
      </c>
      <c r="H27" s="2" t="s">
        <v>57</v>
      </c>
      <c r="I27" s="3" t="s">
        <v>220</v>
      </c>
    </row>
    <row r="28" spans="2:9" ht="28.8" x14ac:dyDescent="0.3">
      <c r="B28" s="3">
        <f t="shared" si="0"/>
        <v>26</v>
      </c>
      <c r="C28" s="2" t="s">
        <v>219</v>
      </c>
      <c r="D28" s="2" t="s">
        <v>10</v>
      </c>
      <c r="E28" s="2" t="s">
        <v>111</v>
      </c>
      <c r="F28" s="2" t="s">
        <v>112</v>
      </c>
      <c r="G28" s="2" t="s">
        <v>113</v>
      </c>
      <c r="H28" s="2" t="s">
        <v>14</v>
      </c>
      <c r="I28" s="3" t="s">
        <v>221</v>
      </c>
    </row>
    <row r="29" spans="2:9" ht="43.2" x14ac:dyDescent="0.3">
      <c r="B29" s="3">
        <f t="shared" si="0"/>
        <v>27</v>
      </c>
      <c r="C29" s="2" t="s">
        <v>219</v>
      </c>
      <c r="D29" s="2" t="s">
        <v>10</v>
      </c>
      <c r="E29" s="2" t="s">
        <v>114</v>
      </c>
      <c r="F29" s="2" t="s">
        <v>115</v>
      </c>
      <c r="G29" s="2" t="s">
        <v>28</v>
      </c>
      <c r="H29" s="2" t="s">
        <v>14</v>
      </c>
      <c r="I29" s="3" t="s">
        <v>221</v>
      </c>
    </row>
    <row r="30" spans="2:9" ht="28.8" x14ac:dyDescent="0.3">
      <c r="B30" s="3">
        <f t="shared" si="0"/>
        <v>28</v>
      </c>
      <c r="C30" s="2" t="s">
        <v>219</v>
      </c>
      <c r="D30" s="2" t="s">
        <v>10</v>
      </c>
      <c r="E30" s="2" t="s">
        <v>116</v>
      </c>
      <c r="F30" s="2" t="s">
        <v>117</v>
      </c>
      <c r="G30" s="2" t="s">
        <v>23</v>
      </c>
      <c r="H30" s="2" t="s">
        <v>14</v>
      </c>
      <c r="I30" s="3" t="s">
        <v>221</v>
      </c>
    </row>
    <row r="31" spans="2:9" ht="43.2" x14ac:dyDescent="0.3">
      <c r="B31" s="3">
        <f t="shared" si="0"/>
        <v>29</v>
      </c>
      <c r="C31" s="2" t="s">
        <v>219</v>
      </c>
      <c r="D31" s="2" t="s">
        <v>64</v>
      </c>
      <c r="E31" s="2" t="s">
        <v>118</v>
      </c>
      <c r="F31" s="2" t="s">
        <v>119</v>
      </c>
      <c r="G31" s="2" t="s">
        <v>120</v>
      </c>
      <c r="H31" s="2" t="s">
        <v>121</v>
      </c>
      <c r="I31" s="3" t="s">
        <v>220</v>
      </c>
    </row>
    <row r="32" spans="2:9" ht="43.2" x14ac:dyDescent="0.3">
      <c r="B32" s="3">
        <f t="shared" si="0"/>
        <v>30</v>
      </c>
      <c r="C32" s="2" t="s">
        <v>219</v>
      </c>
      <c r="D32" s="2" t="s">
        <v>10</v>
      </c>
      <c r="E32" s="2" t="s">
        <v>122</v>
      </c>
      <c r="F32" s="2" t="s">
        <v>123</v>
      </c>
      <c r="G32" s="2" t="s">
        <v>124</v>
      </c>
      <c r="H32" s="2" t="s">
        <v>68</v>
      </c>
      <c r="I32" s="3" t="s">
        <v>220</v>
      </c>
    </row>
    <row r="33" spans="2:9" ht="43.2" x14ac:dyDescent="0.3">
      <c r="B33" s="3">
        <f t="shared" si="0"/>
        <v>31</v>
      </c>
      <c r="C33" s="2" t="s">
        <v>219</v>
      </c>
      <c r="D33" s="2" t="s">
        <v>64</v>
      </c>
      <c r="E33" s="2" t="s">
        <v>125</v>
      </c>
      <c r="F33" s="2" t="s">
        <v>126</v>
      </c>
      <c r="G33" s="2" t="s">
        <v>71</v>
      </c>
      <c r="H33" s="2" t="s">
        <v>68</v>
      </c>
      <c r="I33" s="3" t="s">
        <v>220</v>
      </c>
    </row>
    <row r="34" spans="2:9" ht="28.8" x14ac:dyDescent="0.3">
      <c r="B34" s="3">
        <f t="shared" si="0"/>
        <v>32</v>
      </c>
      <c r="C34" s="2" t="s">
        <v>219</v>
      </c>
      <c r="D34" s="2" t="s">
        <v>10</v>
      </c>
      <c r="E34" s="2" t="s">
        <v>127</v>
      </c>
      <c r="F34" s="2" t="s">
        <v>128</v>
      </c>
      <c r="G34" s="2" t="s">
        <v>98</v>
      </c>
      <c r="H34" s="2" t="s">
        <v>14</v>
      </c>
      <c r="I34" s="3" t="s">
        <v>221</v>
      </c>
    </row>
    <row r="35" spans="2:9" ht="28.8" x14ac:dyDescent="0.3">
      <c r="B35" s="3">
        <f t="shared" si="0"/>
        <v>33</v>
      </c>
      <c r="C35" s="2" t="s">
        <v>219</v>
      </c>
      <c r="D35" s="2" t="s">
        <v>129</v>
      </c>
      <c r="E35" s="2" t="s">
        <v>130</v>
      </c>
      <c r="F35" s="2" t="s">
        <v>131</v>
      </c>
      <c r="G35" s="2" t="s">
        <v>132</v>
      </c>
      <c r="H35" s="2" t="s">
        <v>57</v>
      </c>
      <c r="I35" s="3" t="s">
        <v>220</v>
      </c>
    </row>
    <row r="36" spans="2:9" ht="28.8" x14ac:dyDescent="0.3">
      <c r="B36" s="3">
        <f t="shared" si="0"/>
        <v>34</v>
      </c>
      <c r="C36" s="2" t="s">
        <v>219</v>
      </c>
      <c r="D36" s="2" t="s">
        <v>133</v>
      </c>
      <c r="E36" s="2" t="s">
        <v>134</v>
      </c>
      <c r="F36" s="2" t="s">
        <v>135</v>
      </c>
      <c r="G36" s="2" t="s">
        <v>113</v>
      </c>
      <c r="H36" s="2" t="s">
        <v>14</v>
      </c>
      <c r="I36" s="3" t="s">
        <v>221</v>
      </c>
    </row>
    <row r="37" spans="2:9" ht="28.8" x14ac:dyDescent="0.3">
      <c r="B37" s="3">
        <f t="shared" si="0"/>
        <v>35</v>
      </c>
      <c r="C37" s="2" t="s">
        <v>219</v>
      </c>
      <c r="D37" s="2" t="s">
        <v>136</v>
      </c>
      <c r="E37" s="2" t="s">
        <v>137</v>
      </c>
      <c r="F37" s="2" t="s">
        <v>138</v>
      </c>
      <c r="G37" s="2" t="s">
        <v>139</v>
      </c>
      <c r="H37" s="2" t="s">
        <v>14</v>
      </c>
      <c r="I37" s="3" t="s">
        <v>221</v>
      </c>
    </row>
    <row r="38" spans="2:9" ht="43.2" x14ac:dyDescent="0.3">
      <c r="B38" s="3">
        <f t="shared" si="0"/>
        <v>36</v>
      </c>
      <c r="C38" s="2" t="s">
        <v>219</v>
      </c>
      <c r="D38" s="2" t="s">
        <v>140</v>
      </c>
      <c r="E38" s="2" t="s">
        <v>141</v>
      </c>
      <c r="F38" s="2" t="s">
        <v>142</v>
      </c>
      <c r="G38" s="2" t="s">
        <v>28</v>
      </c>
      <c r="H38" s="2" t="s">
        <v>57</v>
      </c>
      <c r="I38" s="3" t="s">
        <v>220</v>
      </c>
    </row>
    <row r="39" spans="2:9" ht="28.8" x14ac:dyDescent="0.3">
      <c r="B39" s="3">
        <f t="shared" si="0"/>
        <v>37</v>
      </c>
      <c r="C39" s="2" t="s">
        <v>219</v>
      </c>
      <c r="D39" s="2" t="s">
        <v>99</v>
      </c>
      <c r="E39" s="2" t="s">
        <v>143</v>
      </c>
      <c r="F39" s="2" t="s">
        <v>144</v>
      </c>
      <c r="G39" s="2" t="s">
        <v>23</v>
      </c>
      <c r="H39" s="2" t="s">
        <v>145</v>
      </c>
      <c r="I39" s="3" t="s">
        <v>221</v>
      </c>
    </row>
    <row r="40" spans="2:9" ht="28.8" x14ac:dyDescent="0.3">
      <c r="B40" s="3">
        <f t="shared" si="0"/>
        <v>38</v>
      </c>
      <c r="C40" s="2" t="s">
        <v>219</v>
      </c>
      <c r="D40" s="2" t="s">
        <v>146</v>
      </c>
      <c r="E40" s="2" t="s">
        <v>147</v>
      </c>
      <c r="F40" s="2" t="s">
        <v>148</v>
      </c>
      <c r="G40" s="2" t="s">
        <v>23</v>
      </c>
      <c r="H40" s="2" t="s">
        <v>149</v>
      </c>
      <c r="I40" s="3" t="s">
        <v>220</v>
      </c>
    </row>
    <row r="41" spans="2:9" ht="28.8" x14ac:dyDescent="0.3">
      <c r="B41" s="3">
        <f t="shared" si="0"/>
        <v>39</v>
      </c>
      <c r="C41" s="2" t="s">
        <v>219</v>
      </c>
      <c r="D41" s="2" t="s">
        <v>10</v>
      </c>
      <c r="E41" s="2" t="s">
        <v>150</v>
      </c>
      <c r="F41" s="2" t="s">
        <v>151</v>
      </c>
      <c r="G41" s="2" t="s">
        <v>13</v>
      </c>
      <c r="H41" s="2" t="s">
        <v>57</v>
      </c>
      <c r="I41" s="3" t="s">
        <v>220</v>
      </c>
    </row>
    <row r="42" spans="2:9" ht="28.8" x14ac:dyDescent="0.3">
      <c r="B42" s="3">
        <f t="shared" si="0"/>
        <v>40</v>
      </c>
      <c r="C42" s="2" t="s">
        <v>219</v>
      </c>
      <c r="D42" s="2" t="s">
        <v>152</v>
      </c>
      <c r="E42" s="2" t="s">
        <v>153</v>
      </c>
      <c r="F42" s="2" t="s">
        <v>154</v>
      </c>
      <c r="G42" s="2" t="s">
        <v>28</v>
      </c>
      <c r="H42" s="2" t="s">
        <v>14</v>
      </c>
      <c r="I42" s="3" t="s">
        <v>221</v>
      </c>
    </row>
    <row r="43" spans="2:9" ht="57.6" x14ac:dyDescent="0.3">
      <c r="B43" s="3">
        <f t="shared" si="0"/>
        <v>41</v>
      </c>
      <c r="C43" s="2" t="s">
        <v>219</v>
      </c>
      <c r="D43" s="2" t="s">
        <v>10</v>
      </c>
      <c r="E43" s="2" t="s">
        <v>155</v>
      </c>
      <c r="F43" s="2" t="s">
        <v>156</v>
      </c>
      <c r="G43" s="2" t="s">
        <v>157</v>
      </c>
      <c r="H43" s="2" t="s">
        <v>158</v>
      </c>
      <c r="I43" s="3" t="s">
        <v>220</v>
      </c>
    </row>
    <row r="44" spans="2:9" ht="28.8" x14ac:dyDescent="0.3">
      <c r="B44" s="3">
        <f t="shared" si="0"/>
        <v>42</v>
      </c>
      <c r="C44" s="2" t="s">
        <v>219</v>
      </c>
      <c r="D44" s="2" t="s">
        <v>159</v>
      </c>
      <c r="E44" s="2" t="s">
        <v>160</v>
      </c>
      <c r="F44" s="2" t="s">
        <v>161</v>
      </c>
      <c r="G44" s="2" t="s">
        <v>132</v>
      </c>
      <c r="H44" s="2" t="s">
        <v>14</v>
      </c>
      <c r="I44" s="3" t="s">
        <v>221</v>
      </c>
    </row>
    <row r="45" spans="2:9" ht="43.2" x14ac:dyDescent="0.3">
      <c r="B45" s="3">
        <f t="shared" si="0"/>
        <v>43</v>
      </c>
      <c r="C45" s="2" t="s">
        <v>219</v>
      </c>
      <c r="D45" s="2" t="s">
        <v>162</v>
      </c>
      <c r="E45" s="2" t="s">
        <v>163</v>
      </c>
      <c r="F45" s="2" t="s">
        <v>164</v>
      </c>
      <c r="G45" s="2" t="s">
        <v>165</v>
      </c>
      <c r="H45" s="2" t="s">
        <v>166</v>
      </c>
      <c r="I45" s="3" t="s">
        <v>221</v>
      </c>
    </row>
    <row r="46" spans="2:9" ht="28.8" x14ac:dyDescent="0.3">
      <c r="B46" s="3">
        <f t="shared" si="0"/>
        <v>44</v>
      </c>
      <c r="C46" s="2" t="s">
        <v>219</v>
      </c>
      <c r="D46" s="2" t="s">
        <v>167</v>
      </c>
      <c r="E46" s="2" t="s">
        <v>168</v>
      </c>
      <c r="F46" s="2" t="s">
        <v>169</v>
      </c>
      <c r="G46" s="2" t="s">
        <v>71</v>
      </c>
      <c r="H46" s="2" t="s">
        <v>166</v>
      </c>
      <c r="I46" s="4" t="s">
        <v>221</v>
      </c>
    </row>
    <row r="47" spans="2:9" ht="28.8" x14ac:dyDescent="0.3">
      <c r="B47" s="3">
        <f t="shared" si="0"/>
        <v>45</v>
      </c>
      <c r="C47" s="2" t="s">
        <v>219</v>
      </c>
      <c r="D47" s="2" t="s">
        <v>170</v>
      </c>
      <c r="E47" s="2" t="s">
        <v>171</v>
      </c>
      <c r="F47" s="2" t="s">
        <v>172</v>
      </c>
      <c r="G47" s="2" t="s">
        <v>173</v>
      </c>
      <c r="H47" s="2" t="s">
        <v>166</v>
      </c>
      <c r="I47" s="3" t="s">
        <v>221</v>
      </c>
    </row>
    <row r="48" spans="2:9" ht="28.8" x14ac:dyDescent="0.3">
      <c r="B48" s="3">
        <f t="shared" si="0"/>
        <v>46</v>
      </c>
      <c r="C48" s="2" t="s">
        <v>219</v>
      </c>
      <c r="D48" s="2" t="s">
        <v>10</v>
      </c>
      <c r="E48" s="2" t="s">
        <v>174</v>
      </c>
      <c r="F48" s="2" t="s">
        <v>175</v>
      </c>
      <c r="G48" s="2" t="s">
        <v>23</v>
      </c>
      <c r="H48" s="2" t="s">
        <v>14</v>
      </c>
      <c r="I48" s="3" t="s">
        <v>221</v>
      </c>
    </row>
    <row r="49" spans="2:9" ht="43.2" x14ac:dyDescent="0.3">
      <c r="B49" s="3">
        <f t="shared" si="0"/>
        <v>47</v>
      </c>
      <c r="C49" s="2" t="s">
        <v>219</v>
      </c>
      <c r="D49" s="2" t="s">
        <v>176</v>
      </c>
      <c r="E49" s="2" t="s">
        <v>177</v>
      </c>
      <c r="F49" s="2" t="s">
        <v>178</v>
      </c>
      <c r="G49" s="2" t="s">
        <v>28</v>
      </c>
      <c r="H49" s="2" t="s">
        <v>57</v>
      </c>
      <c r="I49" s="3" t="s">
        <v>220</v>
      </c>
    </row>
    <row r="50" spans="2:9" ht="28.8" x14ac:dyDescent="0.3">
      <c r="B50" s="3">
        <f t="shared" si="0"/>
        <v>48</v>
      </c>
      <c r="C50" s="2" t="s">
        <v>219</v>
      </c>
      <c r="D50" s="2" t="s">
        <v>179</v>
      </c>
      <c r="E50" s="2" t="s">
        <v>180</v>
      </c>
      <c r="F50" s="2" t="s">
        <v>181</v>
      </c>
      <c r="G50" s="2" t="s">
        <v>28</v>
      </c>
      <c r="H50" s="2" t="s">
        <v>149</v>
      </c>
      <c r="I50" s="3" t="s">
        <v>220</v>
      </c>
    </row>
    <row r="51" spans="2:9" ht="43.2" x14ac:dyDescent="0.3">
      <c r="B51" s="3">
        <f t="shared" si="0"/>
        <v>49</v>
      </c>
      <c r="C51" s="2" t="s">
        <v>219</v>
      </c>
      <c r="D51" s="2" t="s">
        <v>182</v>
      </c>
      <c r="E51" s="2" t="s">
        <v>183</v>
      </c>
      <c r="F51" s="2" t="s">
        <v>184</v>
      </c>
      <c r="G51" s="2" t="s">
        <v>23</v>
      </c>
      <c r="H51" s="2" t="s">
        <v>57</v>
      </c>
      <c r="I51" s="3" t="s">
        <v>220</v>
      </c>
    </row>
    <row r="52" spans="2:9" ht="28.8" x14ac:dyDescent="0.3">
      <c r="B52" s="3">
        <f t="shared" si="0"/>
        <v>50</v>
      </c>
      <c r="C52" s="2" t="s">
        <v>219</v>
      </c>
      <c r="D52" s="2" t="s">
        <v>185</v>
      </c>
      <c r="E52" s="2" t="s">
        <v>186</v>
      </c>
      <c r="F52" s="2" t="s">
        <v>187</v>
      </c>
      <c r="G52" s="2" t="s">
        <v>28</v>
      </c>
      <c r="H52" s="2" t="s">
        <v>57</v>
      </c>
      <c r="I52" s="3" t="s">
        <v>220</v>
      </c>
    </row>
    <row r="53" spans="2:9" ht="28.8" x14ac:dyDescent="0.3">
      <c r="B53" s="3">
        <f t="shared" si="0"/>
        <v>51</v>
      </c>
      <c r="C53" s="2" t="s">
        <v>219</v>
      </c>
      <c r="D53" s="2" t="s">
        <v>10</v>
      </c>
      <c r="E53" s="2" t="s">
        <v>188</v>
      </c>
      <c r="F53" s="2" t="s">
        <v>189</v>
      </c>
      <c r="G53" s="2" t="s">
        <v>190</v>
      </c>
      <c r="H53" s="2" t="s">
        <v>14</v>
      </c>
      <c r="I53" s="3" t="s">
        <v>221</v>
      </c>
    </row>
    <row r="54" spans="2:9" ht="57.6" x14ac:dyDescent="0.3">
      <c r="B54" s="3">
        <f t="shared" si="0"/>
        <v>52</v>
      </c>
      <c r="C54" s="2" t="s">
        <v>219</v>
      </c>
      <c r="D54" s="2" t="s">
        <v>191</v>
      </c>
      <c r="E54" s="2" t="s">
        <v>192</v>
      </c>
      <c r="F54" s="2" t="s">
        <v>193</v>
      </c>
      <c r="G54" s="2" t="s">
        <v>194</v>
      </c>
      <c r="H54" s="2" t="s">
        <v>195</v>
      </c>
      <c r="I54" s="3" t="s">
        <v>220</v>
      </c>
    </row>
    <row r="55" spans="2:9" ht="28.8" x14ac:dyDescent="0.3">
      <c r="B55" s="3">
        <f t="shared" si="0"/>
        <v>53</v>
      </c>
      <c r="C55" s="2" t="s">
        <v>219</v>
      </c>
      <c r="D55" s="2" t="s">
        <v>196</v>
      </c>
      <c r="E55" s="2" t="s">
        <v>197</v>
      </c>
      <c r="F55" s="2" t="s">
        <v>198</v>
      </c>
      <c r="G55" s="2" t="s">
        <v>102</v>
      </c>
      <c r="H55" s="2" t="s">
        <v>149</v>
      </c>
      <c r="I55" s="3" t="s">
        <v>220</v>
      </c>
    </row>
    <row r="56" spans="2:9" ht="28.8" x14ac:dyDescent="0.3">
      <c r="B56" s="3">
        <f t="shared" si="0"/>
        <v>54</v>
      </c>
      <c r="C56" s="2" t="s">
        <v>219</v>
      </c>
      <c r="D56" s="2" t="s">
        <v>10</v>
      </c>
      <c r="E56" s="2" t="s">
        <v>199</v>
      </c>
      <c r="F56" s="2" t="s">
        <v>200</v>
      </c>
      <c r="G56" s="2" t="s">
        <v>28</v>
      </c>
      <c r="H56" s="2" t="s">
        <v>14</v>
      </c>
      <c r="I56" s="3" t="s">
        <v>221</v>
      </c>
    </row>
    <row r="57" spans="2:9" ht="43.2" x14ac:dyDescent="0.3">
      <c r="B57" s="3">
        <f t="shared" si="0"/>
        <v>55</v>
      </c>
      <c r="C57" s="2" t="s">
        <v>219</v>
      </c>
      <c r="D57" s="2" t="s">
        <v>146</v>
      </c>
      <c r="E57" s="2" t="s">
        <v>201</v>
      </c>
      <c r="F57" s="2" t="s">
        <v>202</v>
      </c>
      <c r="G57" s="2" t="s">
        <v>23</v>
      </c>
      <c r="H57" s="2" t="s">
        <v>203</v>
      </c>
      <c r="I57" s="3" t="s">
        <v>221</v>
      </c>
    </row>
    <row r="58" spans="2:9" ht="43.2" x14ac:dyDescent="0.3">
      <c r="B58" s="3">
        <f t="shared" si="0"/>
        <v>56</v>
      </c>
      <c r="C58" s="2" t="s">
        <v>219</v>
      </c>
      <c r="D58" s="2" t="s">
        <v>204</v>
      </c>
      <c r="E58" s="2" t="s">
        <v>205</v>
      </c>
      <c r="F58" s="2" t="s">
        <v>206</v>
      </c>
      <c r="G58" s="2" t="s">
        <v>207</v>
      </c>
      <c r="H58" s="2" t="s">
        <v>208</v>
      </c>
      <c r="I58" s="3" t="s">
        <v>221</v>
      </c>
    </row>
    <row r="59" spans="2:9" ht="28.8" x14ac:dyDescent="0.3">
      <c r="B59" s="3">
        <f t="shared" si="0"/>
        <v>57</v>
      </c>
      <c r="C59" s="2" t="s">
        <v>219</v>
      </c>
      <c r="D59" s="2" t="s">
        <v>209</v>
      </c>
      <c r="E59" s="2" t="s">
        <v>210</v>
      </c>
      <c r="F59" s="2" t="s">
        <v>211</v>
      </c>
      <c r="G59" s="2" t="s">
        <v>52</v>
      </c>
      <c r="H59" s="2" t="s">
        <v>212</v>
      </c>
      <c r="I59" s="3" t="s">
        <v>221</v>
      </c>
    </row>
    <row r="60" spans="2:9" ht="57.6" x14ac:dyDescent="0.3">
      <c r="B60" s="3">
        <f t="shared" si="0"/>
        <v>58</v>
      </c>
      <c r="C60" s="2" t="s">
        <v>219</v>
      </c>
      <c r="D60" s="2" t="s">
        <v>213</v>
      </c>
      <c r="E60" s="2" t="s">
        <v>214</v>
      </c>
      <c r="F60" s="2" t="s">
        <v>215</v>
      </c>
      <c r="G60" s="2" t="s">
        <v>207</v>
      </c>
      <c r="H60" s="2" t="s">
        <v>216</v>
      </c>
      <c r="I60" s="3" t="s">
        <v>221</v>
      </c>
    </row>
  </sheetData>
  <autoFilter ref="B2:I60" xr:uid="{24C73F1F-BECB-4AA4-B868-41B0F162D54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Портфолио Severin 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2026-08-20T11:25:08Z</dcterms:created>
  <dcterms:modified xsi:type="dcterms:W3CDTF">2026-08-20T11:38:04Z</dcterms:modified>
</cp:coreProperties>
</file>