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презентации\"/>
    </mc:Choice>
  </mc:AlternateContent>
  <xr:revisionPtr revIDLastSave="0" documentId="13_ncr:1_{E340024D-18AC-40CC-B423-F556B85A5C3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Commonwealth" sheetId="1" r:id="rId1"/>
  </sheets>
  <definedNames>
    <definedName name="_xlnm._FilterDatabase" localSheetId="0" hidden="1">Commonwealth!$B$2:$I$25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</calcChain>
</file>

<file path=xl/sharedStrings.xml><?xml version="1.0" encoding="utf-8"?>
<sst xmlns="http://schemas.openxmlformats.org/spreadsheetml/2006/main" count="169" uniqueCount="101">
  <si>
    <t>ЗАКАЗЧИК</t>
  </si>
  <si>
    <t>ПРОЕКТ</t>
  </si>
  <si>
    <t>ПАРАМЕТРЫ ПРОЕКТА</t>
  </si>
  <si>
    <t>СРОКИ РЕАЛИЗАЦИИ</t>
  </si>
  <si>
    <t>РОЛЬ В ПРОЕКТЕ</t>
  </si>
  <si>
    <t>NDA (конфиденциально)</t>
  </si>
  <si>
    <t>Бизнес-центр, ул. Шелепиха, г. Москва — новое строительство</t>
  </si>
  <si>
    <t>18 000 м² (в т.ч. подземная 5 000 м²), 15 эт. + 2 подземных</t>
  </si>
  <si>
    <t>20.04.2023–30.11.2025</t>
  </si>
  <si>
    <t>Технический заказчик, стройконтроль: сбор ИРД и согласований, управление проектированием (этап 1); управление строительством, работа с надзорными органами, контроль качества, ОТ и ТБ, исполнительная документация, строительный контроль (этап 2)</t>
  </si>
  <si>
    <t>ТЦ на Новой Риге — новое строительство торгово-сервисного объекта</t>
  </si>
  <si>
    <t>16 000–22 000 м² (уточняется проектом)</t>
  </si>
  <si>
    <t>начало 21.09.2021, план. завершение до 2026 г.</t>
  </si>
  <si>
    <t>Технический заказчик, стройконтроль: сбор ИРД и согласований, управление проектированием, управление строительством, работа с надзорными органами, контроль качества, ОТ и ТБ, исполнительная документация, строительный контроль</t>
  </si>
  <si>
    <t>Реставрация и приспособление объекта культурного наследия «Здание Центрального телеграфа, 1927 г., арх. Рерберг И.И.» с обустройством подземной автостоянки, г. Москва — под офисные помещения</t>
  </si>
  <si>
    <t>—</t>
  </si>
  <si>
    <t>02.07.2024–27.12.2024</t>
  </si>
  <si>
    <t>Техническое сопровождение: анализ исходно-разрешительной документации, анализ проектной документации и ТЭП, оценка электрической мощности, количества рабочих мест, несущей способности перекрытий, лифтов</t>
  </si>
  <si>
    <t>ТРЦ «Город Косино» — торгово-развлекательный центр</t>
  </si>
  <si>
    <t>более 212 108 м²</t>
  </si>
  <si>
    <t>декабрь 2022 – май 2023</t>
  </si>
  <si>
    <t>Техническое сопровождение: коммерческий анализ (деятельность, финансовое положение, сверка доходов по аренде) и техническое обследование (проектная документация, предписания надзорных органов, инженерное обеспечение, техсостояние, оценка затрат на устранение недостатков)</t>
  </si>
  <si>
    <t>Складской комплекс (арендуемые помещения в строениях №3, 4, 7)</t>
  </si>
  <si>
    <t>52 462,89 м² (в т.ч. холодильный склад 4 519,68 м²)</t>
  </si>
  <si>
    <t>15.11.2021–14.12.2021</t>
  </si>
  <si>
    <t>Финансово-технический аудит: анализ исходных данных, оценка зоны ответственности арендатора, визуальный осмотр объекта, дефектная ведомость, бюджетная оценка стоимости работ</t>
  </si>
  <si>
    <t>Строительство бизнес-центра — мастер-планирование территории</t>
  </si>
  <si>
    <t>15.12.2023 – май 2024</t>
  </si>
  <si>
    <t>Техническое сопровождение: сбор исходных данных, анализ наиболее эффективного использования участка, анализ градостроительного потенциала, разработка мастер-плана, коммерческой концепции территории, ТЗ на проектирование</t>
  </si>
  <si>
    <t>Бизнес-центр, г. Москва</t>
  </si>
  <si>
    <t>9 500 м² (расчетная площадь)</t>
  </si>
  <si>
    <t>10.06.2025–26.06.2028</t>
  </si>
  <si>
    <t>Техническое сопровождение: анализ правоустанавливающей и разрешительной документации, проектной/технической документации, инженерного обеспечения, техсостояния объекта, оценка соответствия требованиям заказчика и рисков</t>
  </si>
  <si>
    <t>Переезд офиса компании и развитие инфраструктуры региона, г. Ярославль</t>
  </si>
  <si>
    <t>05.12.2024–01.07.2025</t>
  </si>
  <si>
    <t>Техническое сопровождение: формирование требований к переезду и размещению сотрудников, определение ТЭП объектов, разработка сценариев размещения, критериев и приоритизации, схем девелопмента, плана мероприятий и предварительного бюджета</t>
  </si>
  <si>
    <t>NDA (конфиденциально) — 8 инвестиционных объектов в рамках Корпоративного договора</t>
  </si>
  <si>
    <t>Комплексное развитие горного курорта развлечений в Республике Адыгея, включая тематический парк развлечений</t>
  </si>
  <si>
    <t>8 объектов, суммарная площадь ~528 420 м², суммарная стоимость реализации ~122,9 млрд руб.</t>
  </si>
  <si>
    <t>30.10.2023 – примерно 31.12.2028</t>
  </si>
  <si>
    <t>Консультационные услуги по мониторингу финансовых и технических характеристик проекта: анализ документации и ТУ, оценка хода реализации, бюджета и ТЭП, оценка рисков, строительная и технологическая экспертиза, мониторинг хода реализации с выездами на площадку</t>
  </si>
  <si>
    <t>1) Многофункциональный центр гастрономического туризма (ресторанный комплекс и дегустационные залы); 2) общежитие для сотрудников курорта на 320 мест (4 корпуса)</t>
  </si>
  <si>
    <t>центр — 2 451 м² (участок 2 905 м²); общежития №1–4 — суммарная площадь застройки ~1 679 м²</t>
  </si>
  <si>
    <t>20.12.2023–15.05.2024</t>
  </si>
  <si>
    <t>Финансово-технический аудит: анализ документации, проверка ТУ и инженерных ресурсов, оценка сроков и бюджета, оценка оборудования и рисков, соблюдение экологических требований, проверка СМР и проектной документации, мониторинг с выездами на площадку, подготовка отчетов</t>
  </si>
  <si>
    <t>Завод по производству оконных ПВХ — организация производственного участка ламинации, Московская область, Раменский район</t>
  </si>
  <si>
    <t>10.01.2020 – до 01.08.2021</t>
  </si>
  <si>
    <t>Технический заказчик, управление проектом, стройконтроль: подготовка ИРД, тендеры на проектировщика и генподрядчика, сопровождение проектирования и экспертизы, получение разрешения на строительство, стройконтроль, получение ЗОС и разрешения на ввод в эксплуатацию, регистрация права собственности</t>
  </si>
  <si>
    <t>Складской комплекс, г. Домодедово, Московская обл. (форвардная сделка купли-продажи будущей вещи)</t>
  </si>
  <si>
    <t>05.06.2025–01.07.2025</t>
  </si>
  <si>
    <t>Финансово-технический аудит: проверка проектной документации, инженерных изысканий, экспертизы, ТУ, ИРД, рабочей и исполнительной документации по этапам строительства, ЗОС</t>
  </si>
  <si>
    <t>Бизнес-центр (NDA)</t>
  </si>
  <si>
    <t>NDA</t>
  </si>
  <si>
    <t>01.04.2025–01.07.2025</t>
  </si>
  <si>
    <t>Финансово-технический аудит: предварительный проектный, технический, ценовой и финансовый аудит, подготовка отчета по 1-му этапу</t>
  </si>
  <si>
    <t>Многофункциональный офисный центр, г. Обнинск, Калужская обл.</t>
  </si>
  <si>
    <t>площадь застройки 1 900 м², общая площадь здания 16 785 м² (полезная 16 151,42 м²), 16 этажей (1 подземный), 99 машиномест, класс энергоэффективности А++</t>
  </si>
  <si>
    <t>05.08.2024 – план. 2028 год</t>
  </si>
  <si>
    <t>Технический заказчик, стройконтроль: управление проектом на всех этапах — тендер на генподрядчика, разработка и утверждение рабочей документации, стройконтроль на стадии строительства и отделки, тендер на отделку, пуско-наладка и сдача-приемка объекта</t>
  </si>
  <si>
    <t>Офисные помещения, территория Сколково, г. Москва</t>
  </si>
  <si>
    <t>16 901,10 м²</t>
  </si>
  <si>
    <t>23.05.2022–31.10.2024</t>
  </si>
  <si>
    <t>Управление проектом, стройконтроль: контроль СМР на этапе завершения строительства, разработка и утверждение проектной документации по отделке, тендер на генподрядчика по отделке, организация СМР по отделке, пуско-наладка и сдача-приемка, стройконтроль отделочных работ</t>
  </si>
  <si>
    <t>Офисные помещения, г. Москва, ул. Воздвиженка</t>
  </si>
  <si>
    <t>8 695,9 м²</t>
  </si>
  <si>
    <t>07.11.2023–06.03.2024</t>
  </si>
  <si>
    <t>Услуги строительного контроля: представление интересов заказчика, координация участников проекта, проверка рабочей документации генподрядчика, контроль графика и качества работ, контроль стоимости (сметы/акты выполненных работ), участие в приемках и совещаниях, отчетность и управление рисками</t>
  </si>
  <si>
    <t>Здание управления комбинатом, г. Липецк — стратегия организации рабочего пространства и концепция интерьеров</t>
  </si>
  <si>
    <t>206,9 м² и 3 708,1 м²</t>
  </si>
  <si>
    <t>03.09.2024 – сентябрь 2025</t>
  </si>
  <si>
    <t>Разработка стратегии организации рабочего пространства и концепции/дизайн-проекта интерьеров: анализ исходных данных, интервью, фокус-группы, креативные сессии, разработка планировочных решений</t>
  </si>
  <si>
    <t>Офисные помещения в бизнес-центре «Остров», Санкт-Петербург, Средний пр. В.О.</t>
  </si>
  <si>
    <t>489,8 м² (в здании общей площадью 30 302,7 м²)</t>
  </si>
  <si>
    <t>01.05.2023–28.02.2025</t>
  </si>
  <si>
    <t>Анализ, консультирование и управление проектом в отношении офисных помещений: анализ вариантов размещения, консультации при заключении договора аренды (техаудит здания, бюджет, график), управление проектированием и закупками, управление проектом на стадии отделки и сдачи объекта в эксплуатацию</t>
  </si>
  <si>
    <t>Завод по производству подъемных кранов, Ташкент</t>
  </si>
  <si>
    <t>24 175 м²</t>
  </si>
  <si>
    <t>01.05.2024–30.04.2026</t>
  </si>
  <si>
    <t>Технический заказчик, стройконтроль: организация технического обслуживания и эксплуатации объекта, регламентные работы, осмотры, сезонная подготовка, текущий ремонт инженерных систем</t>
  </si>
  <si>
    <t>Частная резиденция — жилой дом в коттеджном посёлке с домом охраны, гаражом, прудом, пристанью, ангаром для лодок</t>
  </si>
  <si>
    <t>~2 500 м²</t>
  </si>
  <si>
    <t>01.11.2021–01.11.2022</t>
  </si>
  <si>
    <t>Технический заказчик, стройконтроль: предпроектная подготовка и проектирование, работа с надзорными органами, получение заключения о соответствии (ЗОС), контроль качества и организация строительства</t>
  </si>
  <si>
    <t>Аффилированное лицо ООО «CWP Advisors»</t>
  </si>
  <si>
    <t>Центр кратковременного хранения и распределения готовой продукции, Ташкент (Янгихаётский р-н, Бинокор МФЙ)</t>
  </si>
  <si>
    <t>100 000 м²</t>
  </si>
  <si>
    <t>01.08.2024–31.05.2026</t>
  </si>
  <si>
    <t>Технический надзор за СМР и ходом строительства: взаимодействие с госнадзором, проверка качества материалов и работ, проверка объёмов и стоимости работ, предписания генподрядчику (силами 6 специалистов); строительный контроль</t>
  </si>
  <si>
    <t>Бизнес-центр «Infinity», Ташкент — техническое обследование здания</t>
  </si>
  <si>
    <t>15.01.2025 – срок окончания не определён</t>
  </si>
  <si>
    <t>Техническое обследование: анализ документации, визуальный осмотр, техническая экспертиза конструкций (УЗК бетона), проверка инженерных систем и подключений, смета на ремонт, определение класса объекта, рекомендации и оценка рисков</t>
  </si>
  <si>
    <t>Бизнес-центр, г. Санкт-Петербург, ул. Инструментальная</t>
  </si>
  <si>
    <t>01.05.2021–10.05.2021</t>
  </si>
  <si>
    <t>Техническое сопровождение: получение и анализ документации, визуальное обследование объектов (оценка состояния, дефекты, соответствие нормам и требованиям заказчика, фотофиксация, рекомендации по доп. обследованиям)</t>
  </si>
  <si>
    <t>ОРГАНИЗАЦИЯ</t>
  </si>
  <si>
    <t>КОМОНВЕЛС</t>
  </si>
  <si>
    <t>№, п/п</t>
  </si>
  <si>
    <t>-</t>
  </si>
  <si>
    <t>УК и ТЗ</t>
  </si>
  <si>
    <t>ТЗ</t>
  </si>
  <si>
    <t>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</si>
</sst>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5"/>
  <sheetViews>
    <sheetView showGridLines="0"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.77734375" customWidth="1"/>
    <col min="2" max="2" width="8.77734375" customWidth="1"/>
    <col min="3" max="3" width="15.77734375" customWidth="1"/>
    <col min="4" max="4" width="30" customWidth="1"/>
    <col min="5" max="5" width="50" customWidth="1"/>
    <col min="6" max="6" width="26" customWidth="1"/>
    <col min="7" max="7" width="22" customWidth="1"/>
    <col min="8" max="8" width="55" customWidth="1"/>
  </cols>
  <sheetData>
    <row r="2" spans="2:9" ht="30" customHeight="1" x14ac:dyDescent="0.3">
      <c r="B2" s="3" t="s">
        <v>96</v>
      </c>
      <c r="C2" s="3" t="s">
        <v>94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4</v>
      </c>
    </row>
    <row r="3" spans="2:9" ht="72" x14ac:dyDescent="0.3">
      <c r="B3" s="1">
        <v>1</v>
      </c>
      <c r="C3" s="2" t="s">
        <v>95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1" t="s">
        <v>99</v>
      </c>
    </row>
    <row r="4" spans="2:9" ht="72" x14ac:dyDescent="0.3">
      <c r="B4" s="1">
        <f>B3+1</f>
        <v>2</v>
      </c>
      <c r="C4" s="2" t="s">
        <v>95</v>
      </c>
      <c r="D4" s="2" t="s">
        <v>5</v>
      </c>
      <c r="E4" s="2" t="s">
        <v>10</v>
      </c>
      <c r="F4" s="2" t="s">
        <v>11</v>
      </c>
      <c r="G4" s="2" t="s">
        <v>12</v>
      </c>
      <c r="H4" s="2" t="s">
        <v>13</v>
      </c>
      <c r="I4" s="1" t="s">
        <v>99</v>
      </c>
    </row>
    <row r="5" spans="2:9" ht="72" x14ac:dyDescent="0.3">
      <c r="B5" s="1">
        <f t="shared" ref="B5:B25" si="0">B4+1</f>
        <v>3</v>
      </c>
      <c r="C5" s="2" t="s">
        <v>95</v>
      </c>
      <c r="D5" s="2" t="s">
        <v>5</v>
      </c>
      <c r="E5" s="2" t="s">
        <v>14</v>
      </c>
      <c r="F5" s="2" t="s">
        <v>15</v>
      </c>
      <c r="G5" s="2" t="s">
        <v>16</v>
      </c>
      <c r="H5" s="2" t="s">
        <v>17</v>
      </c>
      <c r="I5" s="1" t="s">
        <v>97</v>
      </c>
    </row>
    <row r="6" spans="2:9" ht="86.4" x14ac:dyDescent="0.3">
      <c r="B6" s="1">
        <f t="shared" si="0"/>
        <v>4</v>
      </c>
      <c r="C6" s="2" t="s">
        <v>95</v>
      </c>
      <c r="D6" s="2" t="s">
        <v>5</v>
      </c>
      <c r="E6" s="2" t="s">
        <v>18</v>
      </c>
      <c r="F6" s="2" t="s">
        <v>19</v>
      </c>
      <c r="G6" s="2" t="s">
        <v>20</v>
      </c>
      <c r="H6" s="2" t="s">
        <v>21</v>
      </c>
      <c r="I6" s="1" t="s">
        <v>97</v>
      </c>
    </row>
    <row r="7" spans="2:9" ht="57.6" x14ac:dyDescent="0.3">
      <c r="B7" s="1">
        <f t="shared" si="0"/>
        <v>5</v>
      </c>
      <c r="C7" s="2" t="s">
        <v>95</v>
      </c>
      <c r="D7" s="2" t="s">
        <v>5</v>
      </c>
      <c r="E7" s="2" t="s">
        <v>22</v>
      </c>
      <c r="F7" s="2" t="s">
        <v>23</v>
      </c>
      <c r="G7" s="2" t="s">
        <v>24</v>
      </c>
      <c r="H7" s="2" t="s">
        <v>25</v>
      </c>
      <c r="I7" s="1" t="s">
        <v>97</v>
      </c>
    </row>
    <row r="8" spans="2:9" ht="72" x14ac:dyDescent="0.3">
      <c r="B8" s="1">
        <f t="shared" si="0"/>
        <v>6</v>
      </c>
      <c r="C8" s="2" t="s">
        <v>95</v>
      </c>
      <c r="D8" s="2" t="s">
        <v>5</v>
      </c>
      <c r="E8" s="2" t="s">
        <v>26</v>
      </c>
      <c r="F8" s="2" t="s">
        <v>15</v>
      </c>
      <c r="G8" s="2" t="s">
        <v>27</v>
      </c>
      <c r="H8" s="2" t="s">
        <v>28</v>
      </c>
      <c r="I8" s="1" t="s">
        <v>97</v>
      </c>
    </row>
    <row r="9" spans="2:9" ht="72" x14ac:dyDescent="0.3">
      <c r="B9" s="1">
        <f t="shared" si="0"/>
        <v>7</v>
      </c>
      <c r="C9" s="2" t="s">
        <v>95</v>
      </c>
      <c r="D9" s="2" t="s">
        <v>5</v>
      </c>
      <c r="E9" s="2" t="s">
        <v>29</v>
      </c>
      <c r="F9" s="2" t="s">
        <v>30</v>
      </c>
      <c r="G9" s="2" t="s">
        <v>31</v>
      </c>
      <c r="H9" s="2" t="s">
        <v>32</v>
      </c>
      <c r="I9" s="1" t="s">
        <v>97</v>
      </c>
    </row>
    <row r="10" spans="2:9" ht="72" x14ac:dyDescent="0.3">
      <c r="B10" s="1">
        <f t="shared" si="0"/>
        <v>8</v>
      </c>
      <c r="C10" s="2" t="s">
        <v>95</v>
      </c>
      <c r="D10" s="2" t="s">
        <v>5</v>
      </c>
      <c r="E10" s="2" t="s">
        <v>33</v>
      </c>
      <c r="F10" s="2" t="s">
        <v>15</v>
      </c>
      <c r="G10" s="2" t="s">
        <v>34</v>
      </c>
      <c r="H10" s="2" t="s">
        <v>35</v>
      </c>
      <c r="I10" s="1" t="s">
        <v>97</v>
      </c>
    </row>
    <row r="11" spans="2:9" ht="72" x14ac:dyDescent="0.3">
      <c r="B11" s="1">
        <f t="shared" si="0"/>
        <v>9</v>
      </c>
      <c r="C11" s="2" t="s">
        <v>95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40</v>
      </c>
      <c r="I11" s="1" t="s">
        <v>97</v>
      </c>
    </row>
    <row r="12" spans="2:9" ht="86.4" x14ac:dyDescent="0.3">
      <c r="B12" s="1">
        <f t="shared" si="0"/>
        <v>10</v>
      </c>
      <c r="C12" s="2" t="s">
        <v>95</v>
      </c>
      <c r="D12" s="2" t="s">
        <v>5</v>
      </c>
      <c r="E12" s="2" t="s">
        <v>41</v>
      </c>
      <c r="F12" s="2" t="s">
        <v>42</v>
      </c>
      <c r="G12" s="2" t="s">
        <v>43</v>
      </c>
      <c r="H12" s="2" t="s">
        <v>44</v>
      </c>
      <c r="I12" s="1" t="s">
        <v>97</v>
      </c>
    </row>
    <row r="13" spans="2:9" ht="86.4" x14ac:dyDescent="0.3">
      <c r="B13" s="1">
        <f t="shared" si="0"/>
        <v>11</v>
      </c>
      <c r="C13" s="2" t="s">
        <v>95</v>
      </c>
      <c r="D13" s="2" t="s">
        <v>5</v>
      </c>
      <c r="E13" s="2" t="s">
        <v>45</v>
      </c>
      <c r="F13" s="2" t="s">
        <v>15</v>
      </c>
      <c r="G13" s="2" t="s">
        <v>46</v>
      </c>
      <c r="H13" s="2" t="s">
        <v>47</v>
      </c>
      <c r="I13" s="1" t="s">
        <v>98</v>
      </c>
    </row>
    <row r="14" spans="2:9" ht="57.6" x14ac:dyDescent="0.3">
      <c r="B14" s="1">
        <f t="shared" si="0"/>
        <v>12</v>
      </c>
      <c r="C14" s="2" t="s">
        <v>95</v>
      </c>
      <c r="D14" s="2" t="s">
        <v>5</v>
      </c>
      <c r="E14" s="2" t="s">
        <v>48</v>
      </c>
      <c r="F14" s="2" t="s">
        <v>15</v>
      </c>
      <c r="G14" s="2" t="s">
        <v>49</v>
      </c>
      <c r="H14" s="2" t="s">
        <v>50</v>
      </c>
      <c r="I14" s="1" t="s">
        <v>97</v>
      </c>
    </row>
    <row r="15" spans="2:9" ht="43.2" x14ac:dyDescent="0.3">
      <c r="B15" s="1">
        <f t="shared" si="0"/>
        <v>13</v>
      </c>
      <c r="C15" s="2" t="s">
        <v>95</v>
      </c>
      <c r="D15" s="2" t="s">
        <v>5</v>
      </c>
      <c r="E15" s="2" t="s">
        <v>51</v>
      </c>
      <c r="F15" s="2" t="s">
        <v>52</v>
      </c>
      <c r="G15" s="2" t="s">
        <v>53</v>
      </c>
      <c r="H15" s="2" t="s">
        <v>54</v>
      </c>
      <c r="I15" s="1" t="s">
        <v>97</v>
      </c>
    </row>
    <row r="16" spans="2:9" ht="100.8" x14ac:dyDescent="0.3">
      <c r="B16" s="1">
        <f t="shared" si="0"/>
        <v>14</v>
      </c>
      <c r="C16" s="2" t="s">
        <v>95</v>
      </c>
      <c r="D16" s="2" t="s">
        <v>5</v>
      </c>
      <c r="E16" s="2" t="s">
        <v>55</v>
      </c>
      <c r="F16" s="2" t="s">
        <v>56</v>
      </c>
      <c r="G16" s="2" t="s">
        <v>57</v>
      </c>
      <c r="H16" s="2" t="s">
        <v>58</v>
      </c>
      <c r="I16" s="1" t="s">
        <v>99</v>
      </c>
    </row>
    <row r="17" spans="2:9" ht="86.4" x14ac:dyDescent="0.3">
      <c r="B17" s="1">
        <f t="shared" si="0"/>
        <v>15</v>
      </c>
      <c r="C17" s="2" t="s">
        <v>95</v>
      </c>
      <c r="D17" s="2" t="s">
        <v>5</v>
      </c>
      <c r="E17" s="2" t="s">
        <v>59</v>
      </c>
      <c r="F17" s="2" t="s">
        <v>60</v>
      </c>
      <c r="G17" s="2" t="s">
        <v>61</v>
      </c>
      <c r="H17" s="2" t="s">
        <v>62</v>
      </c>
      <c r="I17" s="1" t="s">
        <v>100</v>
      </c>
    </row>
    <row r="18" spans="2:9" ht="86.4" x14ac:dyDescent="0.3">
      <c r="B18" s="1">
        <f t="shared" si="0"/>
        <v>16</v>
      </c>
      <c r="C18" s="2" t="s">
        <v>95</v>
      </c>
      <c r="D18" s="2" t="s">
        <v>5</v>
      </c>
      <c r="E18" s="2" t="s">
        <v>63</v>
      </c>
      <c r="F18" s="2" t="s">
        <v>64</v>
      </c>
      <c r="G18" s="2" t="s">
        <v>65</v>
      </c>
      <c r="H18" s="2" t="s">
        <v>66</v>
      </c>
      <c r="I18" s="1" t="s">
        <v>97</v>
      </c>
    </row>
    <row r="19" spans="2:9" ht="57.6" x14ac:dyDescent="0.3">
      <c r="B19" s="1">
        <f t="shared" si="0"/>
        <v>17</v>
      </c>
      <c r="C19" s="2" t="s">
        <v>95</v>
      </c>
      <c r="D19" s="2" t="s">
        <v>5</v>
      </c>
      <c r="E19" s="2" t="s">
        <v>67</v>
      </c>
      <c r="F19" s="2" t="s">
        <v>68</v>
      </c>
      <c r="G19" s="2" t="s">
        <v>69</v>
      </c>
      <c r="H19" s="2" t="s">
        <v>70</v>
      </c>
      <c r="I19" s="1" t="s">
        <v>97</v>
      </c>
    </row>
    <row r="20" spans="2:9" ht="86.4" x14ac:dyDescent="0.3">
      <c r="B20" s="1">
        <f t="shared" si="0"/>
        <v>18</v>
      </c>
      <c r="C20" s="2" t="s">
        <v>95</v>
      </c>
      <c r="D20" s="2" t="s">
        <v>5</v>
      </c>
      <c r="E20" s="2" t="s">
        <v>71</v>
      </c>
      <c r="F20" s="2" t="s">
        <v>72</v>
      </c>
      <c r="G20" s="2" t="s">
        <v>73</v>
      </c>
      <c r="H20" s="2" t="s">
        <v>74</v>
      </c>
      <c r="I20" s="1" t="s">
        <v>100</v>
      </c>
    </row>
    <row r="21" spans="2:9" ht="57.6" x14ac:dyDescent="0.3">
      <c r="B21" s="1">
        <f t="shared" si="0"/>
        <v>19</v>
      </c>
      <c r="C21" s="2" t="s">
        <v>95</v>
      </c>
      <c r="D21" s="2" t="s">
        <v>5</v>
      </c>
      <c r="E21" s="2" t="s">
        <v>75</v>
      </c>
      <c r="F21" s="2" t="s">
        <v>76</v>
      </c>
      <c r="G21" s="2" t="s">
        <v>77</v>
      </c>
      <c r="H21" s="2" t="s">
        <v>78</v>
      </c>
      <c r="I21" s="1" t="s">
        <v>99</v>
      </c>
    </row>
    <row r="22" spans="2:9" ht="57.6" x14ac:dyDescent="0.3">
      <c r="B22" s="1">
        <f t="shared" si="0"/>
        <v>20</v>
      </c>
      <c r="C22" s="2" t="s">
        <v>95</v>
      </c>
      <c r="D22" s="2" t="s">
        <v>5</v>
      </c>
      <c r="E22" s="2" t="s">
        <v>79</v>
      </c>
      <c r="F22" s="2" t="s">
        <v>80</v>
      </c>
      <c r="G22" s="2" t="s">
        <v>81</v>
      </c>
      <c r="H22" s="2" t="s">
        <v>82</v>
      </c>
      <c r="I22" s="1" t="s">
        <v>99</v>
      </c>
    </row>
    <row r="23" spans="2:9" ht="72" x14ac:dyDescent="0.3">
      <c r="B23" s="1">
        <f t="shared" si="0"/>
        <v>21</v>
      </c>
      <c r="C23" s="2" t="s">
        <v>95</v>
      </c>
      <c r="D23" s="2" t="s">
        <v>83</v>
      </c>
      <c r="E23" s="2" t="s">
        <v>84</v>
      </c>
      <c r="F23" s="2" t="s">
        <v>85</v>
      </c>
      <c r="G23" s="2" t="s">
        <v>86</v>
      </c>
      <c r="H23" s="2" t="s">
        <v>87</v>
      </c>
      <c r="I23" s="1" t="s">
        <v>97</v>
      </c>
    </row>
    <row r="24" spans="2:9" ht="72" x14ac:dyDescent="0.3">
      <c r="B24" s="1">
        <f t="shared" si="0"/>
        <v>22</v>
      </c>
      <c r="C24" s="2" t="s">
        <v>95</v>
      </c>
      <c r="D24" s="2" t="s">
        <v>83</v>
      </c>
      <c r="E24" s="2" t="s">
        <v>88</v>
      </c>
      <c r="F24" s="2" t="s">
        <v>15</v>
      </c>
      <c r="G24" s="2" t="s">
        <v>89</v>
      </c>
      <c r="H24" s="2" t="s">
        <v>90</v>
      </c>
      <c r="I24" s="1" t="s">
        <v>97</v>
      </c>
    </row>
    <row r="25" spans="2:9" ht="72" x14ac:dyDescent="0.3">
      <c r="B25" s="1">
        <f t="shared" si="0"/>
        <v>23</v>
      </c>
      <c r="C25" s="2" t="s">
        <v>95</v>
      </c>
      <c r="D25" s="2" t="s">
        <v>5</v>
      </c>
      <c r="E25" s="2" t="s">
        <v>91</v>
      </c>
      <c r="F25" s="2" t="s">
        <v>52</v>
      </c>
      <c r="G25" s="2" t="s">
        <v>92</v>
      </c>
      <c r="H25" s="2" t="s">
        <v>93</v>
      </c>
      <c r="I25" s="1" t="s">
        <v>97</v>
      </c>
    </row>
  </sheetData>
  <autoFilter ref="B2:I25" xr:uid="{AD6E9074-E27C-4C05-BE3D-2EA0D28952F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Commonwealth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2026-08-19T06:36:40Z</dcterms:created>
  <dcterms:modified xsi:type="dcterms:W3CDTF">2026-08-19T07:18:51Z</dcterms:modified>
</cp:coreProperties>
</file>