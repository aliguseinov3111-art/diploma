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ploma\alfa\Презентации\"/>
    </mc:Choice>
  </mc:AlternateContent>
  <xr:revisionPtr revIDLastSave="0" documentId="13_ncr:1_{6C99364B-C688-4932-8D85-17468864CD97}" xr6:coauthVersionLast="45" xr6:coauthVersionMax="45" xr10:uidLastSave="{00000000-0000-0000-0000-000000000000}"/>
  <bookViews>
    <workbookView xWindow="-108" yWindow="-108" windowWidth="23256" windowHeight="12576" xr2:uid="{7DAA03CE-1ED5-47E6-8856-05D8D1319C0B}"/>
  </bookViews>
  <sheets>
    <sheet name="Лист 1" sheetId="1" r:id="rId1"/>
  </sheets>
  <definedNames>
    <definedName name="_xlnm._FilterDatabase" localSheetId="0" hidden="1">'Лист 1'!$B$2:$I$182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3" i="1" l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25" i="1" l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07" i="1" l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87" i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64" i="1"/>
  <c r="B65" i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sharedStrings.xml><?xml version="1.0" encoding="utf-8"?>
<sst xmlns="http://schemas.openxmlformats.org/spreadsheetml/2006/main" count="1373" uniqueCount="731">
  <si>
    <t>№, п/п</t>
  </si>
  <si>
    <t>ОРГАНИЗАЦИЯ</t>
  </si>
  <si>
    <t>ЗАКАЗЧИК</t>
  </si>
  <si>
    <t>ПРОЕКТ</t>
  </si>
  <si>
    <t>ПАРАМЕТРЫ ПРОЕКТА</t>
  </si>
  <si>
    <t>СРОКИ РЕАЛИЗАЦИИ</t>
  </si>
  <si>
    <t>РОЛЬ В ПРОЕКТЕ</t>
  </si>
  <si>
    <t>ДИ БИ СИ</t>
  </si>
  <si>
    <t>Газпром-Лахта</t>
  </si>
  <si>
    <t>Охта-Центр — ОДЦ в г. Санкт-Петербург</t>
  </si>
  <si>
    <t>166 505,35 м²</t>
  </si>
  <si>
    <t>2024–2028</t>
  </si>
  <si>
    <t>Выполнение функций Строительного контроля</t>
  </si>
  <si>
    <t>-</t>
  </si>
  <si>
    <t>JetBrains (2019–2023), СТД «Петрович» (2024–н.в.)</t>
  </si>
  <si>
    <t>БЦ Space — БЦ класса Prime, СПб</t>
  </si>
  <si>
    <t>~85 000 м²</t>
  </si>
  <si>
    <t>2019–2023</t>
  </si>
  <si>
    <t>С СТД «Петрович»: разработка эскизного проекта и проектной документации, согласование АГО, сбор согласований по проекту. С JetBrains: управление проектом, выполнение функций технического заказчика, управление стоимостью, строительный контроль</t>
  </si>
  <si>
    <t>УК и ТЗ</t>
  </si>
  <si>
    <t>ООО «Аэропорт Геленджик»</t>
  </si>
  <si>
    <t>Офисно-административное здание в Геленджике (модернизация инфраструктуры аэропорта)</t>
  </si>
  <si>
    <t>6 000 м²</t>
  </si>
  <si>
    <t>2022–2025</t>
  </si>
  <si>
    <t>Управление проектом, выполнение функций технического заказчика, управление стоимостью, строительный контроль</t>
  </si>
  <si>
    <t>УГМК</t>
  </si>
  <si>
    <t>Музейный комплекс «Мир в огне» — МФК в г. Верхняя Пышма (музей, офисно-деловая часть, фудкорт, гостиница на 120 номеров)</t>
  </si>
  <si>
    <t>&gt; 42 000 м²</t>
  </si>
  <si>
    <t>2023–2027</t>
  </si>
  <si>
    <t>Разработка проектной и тендерной документации, согласование АГО, управление проектом, выполнение функций технического заказчика, выполнение функций строительного контроля</t>
  </si>
  <si>
    <t>Аэропорт Геленджик — новый аэровокзальный комплекс севернее существующего перрона и вспомогательные здания</t>
  </si>
  <si>
    <t>16 500 м²</t>
  </si>
  <si>
    <t>2018–2022</t>
  </si>
  <si>
    <t>Управление проектом, выполнение функций технического заказчика, получение ИРД и ТУ, строительный контроль</t>
  </si>
  <si>
    <t>ТД «Вега»</t>
  </si>
  <si>
    <t>Бирюзовая Катунь — гостинично-туристический комплекс на ОЭЗ ТРТ «Бирюзовая Катунь» (Алтай): гостиницы 5*/4*/3*, ресторан на горе, канатная дорога, сервисный центр</t>
  </si>
  <si>
    <t>~60 000 м²</t>
  </si>
  <si>
    <t>—</t>
  </si>
  <si>
    <t>Винный город — торгово-развлекательный центр, Краснодарский край, г. Геленджик, ул. Туристическая, 25</t>
  </si>
  <si>
    <t>22 000 м²</t>
  </si>
  <si>
    <t>2022–2024</t>
  </si>
  <si>
    <t>Выполнение функций технического заказчика, управление стоимостью, строительный контроль</t>
  </si>
  <si>
    <t>ТЗ</t>
  </si>
  <si>
    <t>Высокотехнологичный многофункциональный медицинский центр, г. Санкт-Петербург</t>
  </si>
  <si>
    <t>135 000 м²</t>
  </si>
  <si>
    <t>2019–2024</t>
  </si>
  <si>
    <t>Дельфины — комплекс премиум-апартаментов «Красная поляна «ДЕЛЬФИНЫ»</t>
  </si>
  <si>
    <t>48 364 м²</t>
  </si>
  <si>
    <t>2024–2026</t>
  </si>
  <si>
    <t>Конфиденциально</t>
  </si>
  <si>
    <t>Завод шампанских вин, Республика Крым</t>
  </si>
  <si>
    <t>~39 000 м²</t>
  </si>
  <si>
    <t>2024–2027</t>
  </si>
  <si>
    <t>Завод марочных вин, Республика Крым</t>
  </si>
  <si>
    <t>~18 000 м²</t>
  </si>
  <si>
    <t>ООО «Воздушные Ворота Северной Столицы»</t>
  </si>
  <si>
    <t>Аэропорт Пулково — вторая очередь развития</t>
  </si>
  <si>
    <t>~160 000 м²</t>
  </si>
  <si>
    <t>2023–2028</t>
  </si>
  <si>
    <t>Управление проектом, получение ИРД и ТУ, выполнение функций технического заказчика, строительный контроль</t>
  </si>
  <si>
    <t>Vos'hod Development</t>
  </si>
  <si>
    <t>Клубный дом класса deluxe, Брюсов пер., Москва (менее 1 км от Кремля)</t>
  </si>
  <si>
    <t>&gt; 7 500 м²</t>
  </si>
  <si>
    <t>2021</t>
  </si>
  <si>
    <t>Управление проектом, управление стоимостью, управление проектированием и получение согласований, организация конкурса на выбор генерального подрядчика, выполнение функций технического заказчика</t>
  </si>
  <si>
    <t>БФ «Новый дом»</t>
  </si>
  <si>
    <t>Точка будущего — образовательный комплекс, г. Якутск</t>
  </si>
  <si>
    <t>&gt; 65 000 м²</t>
  </si>
  <si>
    <t>2022–н.в.</t>
  </si>
  <si>
    <t>Выполнение функций технического заказчика, строительный контроль</t>
  </si>
  <si>
    <t>АО «Международный аэропорт Хабаровск»</t>
  </si>
  <si>
    <t>Cosmos Hotel Хабаровск — гостинично-деловой комплекс под управлением Cosmos Hotel Group</t>
  </si>
  <si>
    <t>8 170 м², 150 номеров</t>
  </si>
  <si>
    <t>2024–2025</t>
  </si>
  <si>
    <t>Разработка проектной документации, разработка рабочей документации, разработка дизайна интерьеров</t>
  </si>
  <si>
    <t>Аэропорт Хабаровск — новый аэровокзальный комплекс, Терминал МВЛ</t>
  </si>
  <si>
    <t>20 000 м²</t>
  </si>
  <si>
    <t>2020–2024</t>
  </si>
  <si>
    <t>Генеральный подрядчик; генеральный проектировщик (обследование строительных конструкций, разработка проектной и тендерной документации, прохождение Главгосэкспертизы); технический заказчик; строительный контроль</t>
  </si>
  <si>
    <t>Аэропорт Хабаровск — новый аэровокзальный комплекс, Терминал ВВЛ</t>
  </si>
  <si>
    <t>25 000 м²</t>
  </si>
  <si>
    <t>2017–2019</t>
  </si>
  <si>
    <t>Управление проектом (организация выбора и оценки генподрядчика, управление затратами и изменениями, value engineering), технический заказчик, строительный контроль</t>
  </si>
  <si>
    <t>Международный аэропорт Краснодар — строительство аэровокзального комплекса и объектов служебно-технической территории</t>
  </si>
  <si>
    <t>83 000 м² (АВК, 10 телетрапов, 5 этажей), 120 000 м² общая площадь</t>
  </si>
  <si>
    <t>2023–2025</t>
  </si>
  <si>
    <t>Технический консультант инвестора, финансово-технический надзор для банка, строительный контроль</t>
  </si>
  <si>
    <t>ООО «Международный аэропорт Симферополь»</t>
  </si>
  <si>
    <t>Аэропорт Симферополь</t>
  </si>
  <si>
    <t>110 000 м², 6,5 млн пассажиров в год</t>
  </si>
  <si>
    <t>2015–2018</t>
  </si>
  <si>
    <t>Управление проектом, сопровождение международного архитектурного конкурса, выполнение функций технического заказчика, строительный контроль</t>
  </si>
  <si>
    <t>ООО «Международный аэропорт «Симферополь»</t>
  </si>
  <si>
    <t>Аэропорт Бельбек — новый аэровокзальный комплекс</t>
  </si>
  <si>
    <t>2019–2020</t>
  </si>
  <si>
    <t>Генеральный проектировщик (инженерные изыскания, стадия «Проект», прохождение экспертизы, подготовка тендерной документации), управление проектом и функции технического заказчика на предстроительной стадии</t>
  </si>
  <si>
    <t>Ingka Group (ранее IKEA Group)</t>
  </si>
  <si>
    <t>Расширение и реконструкция СТРЦ МЕГА Теплый Стан, г. Москва</t>
  </si>
  <si>
    <t>&gt; 400 000 м²</t>
  </si>
  <si>
    <t>Расширение и реконструкция СТРЦ МЕГА Адыгея, Краснодарский край</t>
  </si>
  <si>
    <t>&gt; 300 000 м²</t>
  </si>
  <si>
    <t>2020–2025</t>
  </si>
  <si>
    <t>Customer Fulfilment Project — расширение и модернизация складских зон и зон выдачи товаров IKEA (Белая Дача, Екатеринбург, Омск, Новосибирск, Ростов-на-Дону, Адыгея)</t>
  </si>
  <si>
    <t>4 подпроекта, каждый &lt; 20 000 м²</t>
  </si>
  <si>
    <t>2021–2022</t>
  </si>
  <si>
    <t>Управление проектом, управление стоимостью, управление проектированием, выполнение функций технического заказчика, строительный контроль</t>
  </si>
  <si>
    <t>JetBrains</t>
  </si>
  <si>
    <t>Паркинг JetBrains — многоуровневый паркинг для БЦ класса А+, благоустройство Парка 300-летия Санкт-Петербурга</t>
  </si>
  <si>
    <t>4 000 м² (паркинг)</t>
  </si>
  <si>
    <t>Выполнение инженерных изысканий, разработка проектной, тендерной и рабочей документации, согласование АГО, выполнение функций технического заказчика</t>
  </si>
  <si>
    <t>СколТех</t>
  </si>
  <si>
    <t>Лаборатория наук о жизни; Центр фотоники и квантовых материалов</t>
  </si>
  <si>
    <t>1 840 м² и 740 м²</t>
  </si>
  <si>
    <t>2024</t>
  </si>
  <si>
    <t>Разработка рабочей документации, создание сводной BIM-модели кампуса «Сколтеха», прохождение экспертизы в ИЦ «Сколково»</t>
  </si>
  <si>
    <t>Grand Hotel Europe</t>
  </si>
  <si>
    <t>Реконструкция здания гостиницы Grand Hotel Europe, г. Санкт-Петербург (объект культурного наследия)</t>
  </si>
  <si>
    <t>Объект культурного наследия</t>
  </si>
  <si>
    <t>2012–2014</t>
  </si>
  <si>
    <t>Управление проектом, управление стоимостью, строительный контроль</t>
  </si>
  <si>
    <t>УК</t>
  </si>
  <si>
    <t>АО «Торговый Дом «ЦВУМ», группа Fosun</t>
  </si>
  <si>
    <t>МФЦ Воздвиженка Центр (расположен на месте бывшего здания «Военторга»)</t>
  </si>
  <si>
    <t>&gt; 85 000 м²</t>
  </si>
  <si>
    <t>2018–2021</t>
  </si>
  <si>
    <t>Управление затратами проекта: подготовка бюджета строительства, проведение тендеров на подрядные работы, контроль затрат в ходе строительства</t>
  </si>
  <si>
    <t>ООО «Лига прав»</t>
  </si>
  <si>
    <t>Дом Наркомфина — реставрация и приспособление объекта культурного наследия для современного использования</t>
  </si>
  <si>
    <t>2018</t>
  </si>
  <si>
    <t>Подготовка бюджета строительства, управление стоимостью в ходе строительства</t>
  </si>
  <si>
    <t>НИКОЛИЕРС</t>
  </si>
  <si>
    <t>ЖК «ALIA 2», г. Москва</t>
  </si>
  <si>
    <t>136 000 м²</t>
  </si>
  <si>
    <t>Строительный контроль и управление строительством</t>
  </si>
  <si>
    <t>МФК с подземной автостоянкой «Искра Парк», г. Москва</t>
  </si>
  <si>
    <t>229 000 м²</t>
  </si>
  <si>
    <t>Строительный контроль, контроль проектирования, ввод в эксплуатацию</t>
  </si>
  <si>
    <t>Inmedico</t>
  </si>
  <si>
    <t>Детско-взрослая поликлиника Inmedico, г. Москва</t>
  </si>
  <si>
    <t>18 400 м²</t>
  </si>
  <si>
    <t>Технический заказчик, управление проектом, ввод в эксплуатацию</t>
  </si>
  <si>
    <t>Школа-лаборатория «Новый Взгляд», г. Москва</t>
  </si>
  <si>
    <t>18 036 м²</t>
  </si>
  <si>
    <t>Технический заказчик с функцией инжиниринга</t>
  </si>
  <si>
    <t>Инновационная школа «Сколка», Московская область</t>
  </si>
  <si>
    <t>15 598 м²</t>
  </si>
  <si>
    <t>Многофункциональный спортивный комплекс «Чкалов Арена», г. Москва (победитель конкурса «Лучший реализованный проект строительства объектов спортивного назначения»)</t>
  </si>
  <si>
    <t>32 773 м²</t>
  </si>
  <si>
    <t>Технический заказчик, техаудит, управление проектированием, строительный контроль</t>
  </si>
  <si>
    <t>Комус</t>
  </si>
  <si>
    <t>Производственно-складские комплексы «Комус», Московская область и Санкт-Петербург</t>
  </si>
  <si>
    <t>МО 13 026 м², СПб 26 000 м²</t>
  </si>
  <si>
    <t>Технический заказчик, управление проектом</t>
  </si>
  <si>
    <t>ТПД «Паритет»</t>
  </si>
  <si>
    <t>Завод по производству кабельной продукции ТПД «Паритет», г. Подольск</t>
  </si>
  <si>
    <t>29 181 м²</t>
  </si>
  <si>
    <t>Технический заказчик</t>
  </si>
  <si>
    <t>OZON</t>
  </si>
  <si>
    <t>Промышленно-логистический комплекс OZON, г. Тверь</t>
  </si>
  <si>
    <t>15 400 м²</t>
  </si>
  <si>
    <t>Технический аудит, технический надзор</t>
  </si>
  <si>
    <t>X5 Retail Group</t>
  </si>
  <si>
    <t>Мультитемпературный склад «Пятерочка», г. Великий Новгород</t>
  </si>
  <si>
    <t>Управление проектированием и строительством склада мультитемпературного хранения</t>
  </si>
  <si>
    <t>BILLA</t>
  </si>
  <si>
    <t>Складской комплекс BILLA, г. Москва</t>
  </si>
  <si>
    <t>Управление проектом реконструкции «холодного» склада, контроль СМР, ввод в эксплуатацию</t>
  </si>
  <si>
    <t>Банк «Открытие»</t>
  </si>
  <si>
    <t>БЦ «Легион I», ЦО банка «Открытие» «Дом Открытие», г. Москва</t>
  </si>
  <si>
    <t>44 815 м²</t>
  </si>
  <si>
    <t>Технический заказчик, техаудит, управление проектом, ввод в эксплуатацию</t>
  </si>
  <si>
    <t>Банк ВТБ (ПАО)</t>
  </si>
  <si>
    <t>Офис банка ВТБ (ПАО), комплекс «Федерация», башня «Восток», г. Москва</t>
  </si>
  <si>
    <t>8 681 м²</t>
  </si>
  <si>
    <t>Технический заказчик, ввод в эксплуатацию</t>
  </si>
  <si>
    <t>Московская биржа (MOEX)</t>
  </si>
  <si>
    <t>Офис MOEX (Московская биржа), г. Москва</t>
  </si>
  <si>
    <t>16 876 м²</t>
  </si>
  <si>
    <t>Технический заказчик, реконструкция зданий</t>
  </si>
  <si>
    <t>Samsung</t>
  </si>
  <si>
    <t>Головной офис Samsung, БЦ «Новинский Пассаж», г. Москва</t>
  </si>
  <si>
    <t>10 000 м²</t>
  </si>
  <si>
    <t>Технический аудит, управление проектом</t>
  </si>
  <si>
    <t>Офис энергетической компании, г. Санкт-Петербург</t>
  </si>
  <si>
    <t>3 500 м²</t>
  </si>
  <si>
    <t>Управление проектом, генподряд, генпроектирование</t>
  </si>
  <si>
    <t>EPAM Systems</t>
  </si>
  <si>
    <t>Два офиса компании EPAM SYSTEMS, г. Санкт-Петербург</t>
  </si>
  <si>
    <t>Управление проектом отделки офисных помещений, ввод в эксплуатацию</t>
  </si>
  <si>
    <t>Danone</t>
  </si>
  <si>
    <t>Офис DANONE, г. Москва</t>
  </si>
  <si>
    <t>Avito</t>
  </si>
  <si>
    <t>Офис AVITO, БЦ «СПБ Плаза», г. Санкт-Петербург (победитель Best Office Awards 2021, номинация «Гибкий офис»)</t>
  </si>
  <si>
    <t>1 840 м²</t>
  </si>
  <si>
    <t>Авторский комплекс апартаментов ROZA ROSSA, г. Москва</t>
  </si>
  <si>
    <t>25 920 м²</t>
  </si>
  <si>
    <t>Управление проектом, строительный контроль, СМР</t>
  </si>
  <si>
    <t>Клубный дом YARD ASTRVM на Крестовском острове, г. Санкт-Петербург</t>
  </si>
  <si>
    <t>Реконструкция исторического комплекса зданий под корпоративную резиденцию премиум-класса, Австрия</t>
  </si>
  <si>
    <t>990 м²</t>
  </si>
  <si>
    <t>Управление проектом, строительный контроль, подготовка комплекта проектно-сметной документации</t>
  </si>
  <si>
    <t>Частная резиденция, п. Николино</t>
  </si>
  <si>
    <t>1 180 м²</t>
  </si>
  <si>
    <t>Газпромбанк Инвест</t>
  </si>
  <si>
    <t>Комплекс зданий «Газпромбанк Инвест» на Саввинской наб. и Раушской наб., г. Москва</t>
  </si>
  <si>
    <t>32 200 м²</t>
  </si>
  <si>
    <t>Технический аудит</t>
  </si>
  <si>
    <t>Бизнес-центр, г. Тюмень</t>
  </si>
  <si>
    <t>22 430 м²</t>
  </si>
  <si>
    <t>Технико-экономический аудит</t>
  </si>
  <si>
    <t>Аэропорт Краснодара</t>
  </si>
  <si>
    <t>4 000 м²</t>
  </si>
  <si>
    <t>Разработка мастер-плана</t>
  </si>
  <si>
    <t>Казачий Хутор Алания, Республика Северная Осетия-Алания</t>
  </si>
  <si>
    <t>52 816 м²</t>
  </si>
  <si>
    <t>ТЦ «Невский», г. Санкт-Петербург</t>
  </si>
  <si>
    <t>91 000 м²</t>
  </si>
  <si>
    <t>Cosmos Hotel Group</t>
  </si>
  <si>
    <t>Сеть отелей Cosmos (Москва, Санкт-Петербург, Екатеринбург, Мурманск)</t>
  </si>
  <si>
    <t>260 000 м²</t>
  </si>
  <si>
    <t>Газпром</t>
  </si>
  <si>
    <t>ГТЦ «Газпром», г. Сочи</t>
  </si>
  <si>
    <t>82 740 м²</t>
  </si>
  <si>
    <t>Saviv</t>
  </si>
  <si>
    <t>Рестораны Saviv, Москва, Санкт-Петербург</t>
  </si>
  <si>
    <t>ZEN GARDEN — жилые резиденции премиального класса, г. Санкт-Петербург</t>
  </si>
  <si>
    <t>Историко-архитектурный комплекс «Морозовский городок», г. Тверь</t>
  </si>
  <si>
    <t>&gt; 30 га</t>
  </si>
  <si>
    <t>Разработка себестоимости жилых кварталов</t>
  </si>
  <si>
    <t>КОМОНВЕЛС</t>
  </si>
  <si>
    <t>NDA (конфиденциально)</t>
  </si>
  <si>
    <t>Бизнес-центр, ул. Шелепиха, г. Москва — новое строительство</t>
  </si>
  <si>
    <t>18 000 м² (в т.ч. подземная 5 000 м²), 15 эт. + 2 подземных</t>
  </si>
  <si>
    <t>20.04.2023–30.11.2025</t>
  </si>
  <si>
    <t>Технический заказчик, стройконтроль: сбор ИРД и согласований, управление проектированием (этап 1); управление строительством, работа с надзорными органами, контроль качества, ОТ и ТБ, исполнительная документация, строительный контроль (этап 2)</t>
  </si>
  <si>
    <t>ТЦ на Новой Риге — новое строительство торгово-сервисного объекта</t>
  </si>
  <si>
    <t>16 000–22 000 м² (уточняется проектом)</t>
  </si>
  <si>
    <t>начало 21.09.2021, план. завершение до 2026 г.</t>
  </si>
  <si>
    <t>Технический заказчик, стройконтроль: сбор ИРД и согласований, управление проектированием, управление строительством, работа с надзорными органами, контроль качества, ОТ и ТБ, исполнительная документация, строительный контроль</t>
  </si>
  <si>
    <t>Реставрация и приспособление объекта культурного наследия «Здание Центрального телеграфа, 1927 г., арх. Рерберг И.И.» с обустройством подземной автостоянки, г. Москва — под офисные помещения</t>
  </si>
  <si>
    <t>02.07.2024–27.12.2024</t>
  </si>
  <si>
    <t>Техническое сопровождение: анализ исходно-разрешительной документации, анализ проектной документации и ТЭП, оценка электрической мощности, количества рабочих мест, несущей способности перекрытий, лифтов</t>
  </si>
  <si>
    <t>ТРЦ «Город Косино» — торгово-развлекательный центр</t>
  </si>
  <si>
    <t>более 212 108 м²</t>
  </si>
  <si>
    <t>декабрь 2022 – май 2023</t>
  </si>
  <si>
    <t>Техническое сопровождение: коммерческий анализ (деятельность, финансовое положение, сверка доходов по аренде) и техническое обследование (проектная документация, предписания надзорных органов, инженерное обеспечение, техсостояние, оценка затрат на устранение недостатков)</t>
  </si>
  <si>
    <t>Складской комплекс (арендуемые помещения в строениях №3, 4, 7)</t>
  </si>
  <si>
    <t>52 462,89 м² (в т.ч. холодильный склад 4 519,68 м²)</t>
  </si>
  <si>
    <t>15.11.2021–14.12.2021</t>
  </si>
  <si>
    <t>Финансово-технический аудит: анализ исходных данных, оценка зоны ответственности арендатора, визуальный осмотр объекта, дефектная ведомость, бюджетная оценка стоимости работ</t>
  </si>
  <si>
    <t>Строительство бизнес-центра — мастер-планирование территории</t>
  </si>
  <si>
    <t>15.12.2023 – май 2024</t>
  </si>
  <si>
    <t>Техническое сопровождение: сбор исходных данных, анализ наиболее эффективного использования участка, анализ градостроительного потенциала, разработка мастер-плана, коммерческой концепции территории, ТЗ на проектирование</t>
  </si>
  <si>
    <t>Бизнес-центр, г. Москва</t>
  </si>
  <si>
    <t>9 500 м² (расчетная площадь)</t>
  </si>
  <si>
    <t>10.06.2025–26.06.2028</t>
  </si>
  <si>
    <t>Техническое сопровождение: анализ правоустанавливающей и разрешительной документации, проектной/технической документации, инженерного обеспечения, техсостояния объекта, оценка соответствия требованиям заказчика и рисков</t>
  </si>
  <si>
    <t>Переезд офиса компании и развитие инфраструктуры региона, г. Ярославль</t>
  </si>
  <si>
    <t>05.12.2024–01.07.2025</t>
  </si>
  <si>
    <t>Техническое сопровождение: формирование требований к переезду и размещению сотрудников, определение ТЭП объектов, разработка сценариев размещения, критериев и приоритизации, схем девелопмента, плана мероприятий и предварительного бюджета</t>
  </si>
  <si>
    <t>NDA (конфиденциально) — 8 инвестиционных объектов в рамках Корпоративного договора</t>
  </si>
  <si>
    <t>Комплексное развитие горного курорта развлечений в Республике Адыгея, включая тематический парк развлечений</t>
  </si>
  <si>
    <t>8 объектов, суммарная площадь ~528 420 м², суммарная стоимость реализации ~122,9 млрд руб.</t>
  </si>
  <si>
    <t>30.10.2023 – примерно 31.12.2028</t>
  </si>
  <si>
    <t>Консультационные услуги по мониторингу финансовых и технических характеристик проекта: анализ документации и ТУ, оценка хода реализации, бюджета и ТЭП, оценка рисков, строительная и технологическая экспертиза, мониторинг хода реализации с выездами на площадку</t>
  </si>
  <si>
    <t>1) Многофункциональный центр гастрономического туризма (ресторанный комплекс и дегустационные залы); 2) общежитие для сотрудников курорта на 320 мест (4 корпуса)</t>
  </si>
  <si>
    <t>центр — 2 451 м² (участок 2 905 м²); общежития №1–4 — суммарная площадь застройки ~1 679 м²</t>
  </si>
  <si>
    <t>20.12.2023–15.05.2024</t>
  </si>
  <si>
    <t>Финансово-технический аудит: анализ документации, проверка ТУ и инженерных ресурсов, оценка сроков и бюджета, оценка оборудования и рисков, соблюдение экологических требований, проверка СМР и проектной документации, мониторинг с выездами на площадку, подготовка отчетов</t>
  </si>
  <si>
    <t>Завод по производству оконных ПВХ — организация производственного участка ламинации, Московская область, Раменский район</t>
  </si>
  <si>
    <t>10.01.2020 – до 01.08.2021</t>
  </si>
  <si>
    <t>Технический заказчик, управление проектом, стройконтроль: подготовка ИРД, тендеры на проектировщика и генподрядчика, сопровождение проектирования и экспертизы, получение разрешения на строительство, стройконтроль, получение ЗОС и разрешения на ввод в эксплуатацию, регистрация права собственности</t>
  </si>
  <si>
    <t>Складской комплекс, г. Домодедово, Московская обл. (форвардная сделка купли-продажи будущей вещи)</t>
  </si>
  <si>
    <t>05.06.2025–01.07.2025</t>
  </si>
  <si>
    <t>Финансово-технический аудит: проверка проектной документации, инженерных изысканий, экспертизы, ТУ, ИРД, рабочей и исполнительной документации по этапам строительства, ЗОС</t>
  </si>
  <si>
    <t>Бизнес-центр (NDA)</t>
  </si>
  <si>
    <t>NDA</t>
  </si>
  <si>
    <t>01.04.2025–01.07.2025</t>
  </si>
  <si>
    <t>Финансово-технический аудит: предварительный проектный, технический, ценовой и финансовый аудит, подготовка отчета по 1-му этапу</t>
  </si>
  <si>
    <t>Многофункциональный офисный центр, г. Обнинск, Калужская обл.</t>
  </si>
  <si>
    <t>площадь застройки 1 900 м², общая площадь здания 16 785 м² (полезная 16 151,42 м²), 16 этажей (1 подземный), 99 машиномест, класс энергоэффективности А++</t>
  </si>
  <si>
    <t>05.08.2024 – план. 2028 год</t>
  </si>
  <si>
    <t>Технический заказчик, стройконтроль: управление проектом на всех этапах — тендер на генподрядчика, разработка и утверждение рабочей документации, стройконтроль на стадии строительства и отделки, тендер на отделку, пуско-наладка и сдача-приемка объекта</t>
  </si>
  <si>
    <t>Офисные помещения, территория Сколково, г. Москва</t>
  </si>
  <si>
    <t>16 901,10 м²</t>
  </si>
  <si>
    <t>23.05.2022–31.10.2024</t>
  </si>
  <si>
    <t>Управление проектом, стройконтроль: контроль СМР на этапе завершения строительства, разработка и утверждение проектной документации по отделке, тендер на генподрядчика по отделке, организация СМР по отделке, пуско-наладка и сдача-приемка, стройконтроль отделочных работ</t>
  </si>
  <si>
    <t>Офисные помещения, г. Москва, ул. Воздвиженка</t>
  </si>
  <si>
    <t>8 695,9 м²</t>
  </si>
  <si>
    <t>07.11.2023–06.03.2024</t>
  </si>
  <si>
    <t>Услуги строительного контроля: представление интересов заказчика, координация участников проекта, проверка рабочей документации генподрядчика, контроль графика и качества работ, контроль стоимости (сметы/акты выполненных работ), участие в приемках и совещаниях, отчетность и управление рисками</t>
  </si>
  <si>
    <t>Здание управления комбинатом, г. Липецк — стратегия организации рабочего пространства и концепция интерьеров</t>
  </si>
  <si>
    <t>206,9 м² и 3 708,1 м²</t>
  </si>
  <si>
    <t>03.09.2024 – сентябрь 2025</t>
  </si>
  <si>
    <t>Разработка стратегии организации рабочего пространства и концепции/дизайн-проекта интерьеров: анализ исходных данных, интервью, фокус-группы, креативные сессии, разработка планировочных решений</t>
  </si>
  <si>
    <t>Офисные помещения в бизнес-центре «Остров», Санкт-Петербург, Средний пр. В.О.</t>
  </si>
  <si>
    <t>489,8 м² (в здании общей площадью 30 302,7 м²)</t>
  </si>
  <si>
    <t>01.05.2023–28.02.2025</t>
  </si>
  <si>
    <t>Анализ, консультирование и управление проектом в отношении офисных помещений: анализ вариантов размещения, консультации при заключении договора аренды (техаудит здания, бюджет, график), управление проектированием и закупками, управление проектом на стадии отделки и сдачи объекта в эксплуатацию</t>
  </si>
  <si>
    <t>Завод по производству подъемных кранов, Ташкент</t>
  </si>
  <si>
    <t>24 175 м²</t>
  </si>
  <si>
    <t>01.05.2024–30.04.2026</t>
  </si>
  <si>
    <t>Технический заказчик, стройконтроль: организация технического обслуживания и эксплуатации объекта, регламентные работы, осмотры, сезонная подготовка, текущий ремонт инженерных систем</t>
  </si>
  <si>
    <t>Частная резиденция — жилой дом в коттеджном посёлке с домом охраны, гаражом, прудом, пристанью, ангаром для лодок</t>
  </si>
  <si>
    <t>~2 500 м²</t>
  </si>
  <si>
    <t>01.11.2021–01.11.2022</t>
  </si>
  <si>
    <t>Технический заказчик, стройконтроль: предпроектная подготовка и проектирование, работа с надзорными органами, получение заключения о соответствии (ЗОС), контроль качества и организация строительства</t>
  </si>
  <si>
    <t>Аффилированное лицо ООО «CWP Advisors»</t>
  </si>
  <si>
    <t>Центр кратковременного хранения и распределения готовой продукции, Ташкент (Янгихаётский р-н, Бинокор МФЙ)</t>
  </si>
  <si>
    <t>100 000 м²</t>
  </si>
  <si>
    <t>01.08.2024–31.05.2026</t>
  </si>
  <si>
    <t>Технический надзор за СМР и ходом строительства: взаимодействие с госнадзором, проверка качества материалов и работ, проверка объёмов и стоимости работ, предписания генподрядчику (силами 6 специалистов); строительный контроль</t>
  </si>
  <si>
    <t>Бизнес-центр «Infinity», Ташкент — техническое обследование здания</t>
  </si>
  <si>
    <t>15.01.2025 – срок окончания не определён</t>
  </si>
  <si>
    <t>Техническое обследование: анализ документации, визуальный осмотр, техническая экспертиза конструкций (УЗК бетона), проверка инженерных систем и подключений, смета на ремонт, определение класса объекта, рекомендации и оценка рисков</t>
  </si>
  <si>
    <t>Бизнес-центр, г. Санкт-Петербург, ул. Инструментальная</t>
  </si>
  <si>
    <t>01.05.2021–10.05.2021</t>
  </si>
  <si>
    <t>Техническое сопровождение: получение и анализ документации, визуальное обследование объектов (оценка состояния, дефекты, соответствие нормам и требованиям заказчика, фотофиксация, рекомендации по доп. обследованиям)</t>
  </si>
  <si>
    <t>СПЕКТРУМ-ХОЛДИНГ</t>
  </si>
  <si>
    <t>АО «АльфаСтрахование»</t>
  </si>
  <si>
    <t>«Парк Легенд» — офисный комплекс класса А, штаб-квартира АльфаСтрахование, Москва</t>
  </si>
  <si>
    <t>Башня А: 55 000 м²; Башня В: 27 000 м²</t>
  </si>
  <si>
    <t>16.11.2021–26.10.2022</t>
  </si>
  <si>
    <t>Башня А: услуга «инженер инвестора», управление строительством. Башня В: услуга «инженер инвестора», управление строительством, управление строительством на этапе отделочных работ, разработка ТЭП</t>
  </si>
  <si>
    <t>Газпром Лахта</t>
  </si>
  <si>
    <t>Комплекс зданий и сооружений в составе МФК «Лахта-Центр» (небоскрёб 462 м, стилобат и МФК), Санкт-Петербург</t>
  </si>
  <si>
    <t>171 835 м², 13 надземных этажей, 2 подземных</t>
  </si>
  <si>
    <t>15.04.2017–21.11.2024</t>
  </si>
  <si>
    <t>Строительный контроль на этапе СМР, строительный контроль на этапе отделочных работ</t>
  </si>
  <si>
    <t>АО «Телекомпания НТВ»</t>
  </si>
  <si>
    <t>Строительство телевизионного комплекса НТВ (6 эфирных студий), Москва</t>
  </si>
  <si>
    <t>97 тыс. м², 9 надземных этажей, 2 подземных</t>
  </si>
  <si>
    <t>15.02.2023–10.07.2025</t>
  </si>
  <si>
    <t>Технический заказчик, строительный контроль, финансово-технический аудит, финансово-технический мониторинг</t>
  </si>
  <si>
    <t>Ванке Москва, ООО «Бецкой»</t>
  </si>
  <si>
    <t>Воспитательный дом (XVIII в.) — многофункциональный комплекс на Москворецкой набережной, Москва (ОКН)</t>
  </si>
  <si>
    <t>4 670 м²</t>
  </si>
  <si>
    <t>08.04.2019–31.08.2019</t>
  </si>
  <si>
    <t>Управление строительством</t>
  </si>
  <si>
    <t>Миллхаус</t>
  </si>
  <si>
    <t>МФК «Новая Голландия», Санкт-Петербург</t>
  </si>
  <si>
    <t>72 000 м², 250 машиномест</t>
  </si>
  <si>
    <t>01.02.2013–30.04.2014</t>
  </si>
  <si>
    <t>Консультирование по вопросам консервации исторических зданий, разработка бюджета строительства, технический заказчик на этапе изысканий и обследований, генеральное проектирование, мастер-план, разработка стадии «Проект»</t>
  </si>
  <si>
    <t>Бизнес-парк «Сколково», Москва</t>
  </si>
  <si>
    <t>230 000 м²</t>
  </si>
  <si>
    <t>01.02.2013–30.11.2016</t>
  </si>
  <si>
    <t>Консультирование, сопровождение разработки рабочей документации, строительный контроль</t>
  </si>
  <si>
    <t>KR Properties</t>
  </si>
  <si>
    <t>Деловой центр «Красная Роза», Москва</t>
  </si>
  <si>
    <t>38 937 м²</t>
  </si>
  <si>
    <t>2006–2008</t>
  </si>
  <si>
    <t>АО «О2»</t>
  </si>
  <si>
    <t>ТРЦ «Небо», Москва</t>
  </si>
  <si>
    <t>50 000 м²</t>
  </si>
  <si>
    <t>01.08.2020–22.02.2022</t>
  </si>
  <si>
    <t>Пионер</t>
  </si>
  <si>
    <t>Кинотеатр «Художественный» — реставрация и приспособление к современному использованию, Москва</t>
  </si>
  <si>
    <t>3 493 м²</t>
  </si>
  <si>
    <t>01.07.2017–30.06.2018</t>
  </si>
  <si>
    <t>Генеральный проектировщик, технический заказчик до получения разрешения на строительство, корректировка стадии «П» по изменениям в ходе строительства</t>
  </si>
  <si>
    <t>ООО «Запсибнефтехим»</t>
  </si>
  <si>
    <t>Концертный зал и Выставочный центр, г. Тобольск</t>
  </si>
  <si>
    <t>10 916 м², 2 надземных этажа, 1 подземный</t>
  </si>
  <si>
    <t>25.07.2022–31.12.2024</t>
  </si>
  <si>
    <t>Технический заказчик на этапе проектирования, сопровождение разработки архитектурной концепции иностранным архитектором</t>
  </si>
  <si>
    <t>Арена-Инжиниринг</t>
  </si>
  <si>
    <t>Многофункциональный спортивный комплекс «Арена-Омск», Омск</t>
  </si>
  <si>
    <t>64 250 м², пропускная способность 12 000 посетителей/сутки</t>
  </si>
  <si>
    <t>15.06.2020–02.10.2023</t>
  </si>
  <si>
    <t>МедИнвестГрупп</t>
  </si>
  <si>
    <t>Многофункциональный медицинский центр</t>
  </si>
  <si>
    <t>07.02.2023–30.06.2025</t>
  </si>
  <si>
    <t>Сопровождение разработки рабочей документации, строительный контроль</t>
  </si>
  <si>
    <t>Специализированный медицинский онкоцентр</t>
  </si>
  <si>
    <t>70 000 м²</t>
  </si>
  <si>
    <t>07.07.2022–19.07.2024</t>
  </si>
  <si>
    <t>Сопровождение разработки проектной и рабочей документации, строительный контроль на этапе СМР</t>
  </si>
  <si>
    <t>Жилой комплекс «Сколково Парк для Жизни», Москва</t>
  </si>
  <si>
    <t>112 000 м²</t>
  </si>
  <si>
    <t>01.08.2010–30.06.2015</t>
  </si>
  <si>
    <t>Управление строительством, строительный контроль</t>
  </si>
  <si>
    <t>Meridian Development</t>
  </si>
  <si>
    <t>Жилой комплекс «Времена года», Москва</t>
  </si>
  <si>
    <t>250 000 м²</t>
  </si>
  <si>
    <t>Управление проектом, управление строительством</t>
  </si>
  <si>
    <t>ООО «Специализированный застройщик «Дельта Ком»</t>
  </si>
  <si>
    <t>ЖК Homecity, Москва</t>
  </si>
  <si>
    <t>139 180 м², 9 надземных этажей, 1 подземный, 789 машиномест</t>
  </si>
  <si>
    <t>01.11.2019–01.12.2022</t>
  </si>
  <si>
    <t>Технический заказчик, строительный контроль</t>
  </si>
  <si>
    <t>ООО «Уренгойаэроинвест»</t>
  </si>
  <si>
    <t>Объект 1 — новый аэровокзальный комплекс в аэропорту Новый Уренгой (ЯНАО); Объект 2 — реконструкция аэродрома аэропорта Новый Уренгой</t>
  </si>
  <si>
    <t>18 762 м², 4 надземных этажа, 300 машиномест, 840 пас/час, 3 телетрапа</t>
  </si>
  <si>
    <t>01.04.2019–10.04.2023</t>
  </si>
  <si>
    <t>Технический заказчик, строительный контроль, сопровождение разработки РД генподрядчиком на этапе строительства (управление изменениями), управление строительством (бюджет, график, риски, изменения)</t>
  </si>
  <si>
    <t>АО «Аэропорт Толмачево»</t>
  </si>
  <si>
    <t>Реконструкция аэровокзального комплекса международных/внутренних воздушных линий аэропорта Новосибирск (Толмачево)</t>
  </si>
  <si>
    <t>55 939 м², 3 надземных этажа, 1 подземный, 1 450 машиномест, 1 844 пас/час, 6 телетрапов</t>
  </si>
  <si>
    <t>10.08.2020–01.07.2023</t>
  </si>
  <si>
    <t>Технический заказчик, сопровождение разработки РД генподрядчиком на этапе строительства (управление изменениями), управление строительством (бюджет, график, риски, изменения)</t>
  </si>
  <si>
    <t>ООО «Меридиан Девелопмент»</t>
  </si>
  <si>
    <t>Международный аэропорт «Минеральные Воды», ВВЛ, г. Минеральные Воды</t>
  </si>
  <si>
    <t>9 314 м², пропускная способность 1 200 пас/час</t>
  </si>
  <si>
    <t>01.07.2017–10.04.2020</t>
  </si>
  <si>
    <t>Технический заказчик, сопровождение разработки РД генподрядчиком на этапе строительства (управление изменениями), управление строительством (бюджет, график, риски, изменения), финансово-технический мониторинг строительства (с отчётностью перед Сбербанком)</t>
  </si>
  <si>
    <t>АО «МАПК(Е)»</t>
  </si>
  <si>
    <t>Строительство нового аэровокзального комплекса в аэропорту Петропавловск-Камчатский (Елизово)</t>
  </si>
  <si>
    <t>48 000 м², 3 надземных этажа, 1 подземный, 799 машиномест, 1 145 пас/час, 4 телетрапа</t>
  </si>
  <si>
    <t>25.02.2021–10.01.2026</t>
  </si>
  <si>
    <t>НФ ПИЭМ</t>
  </si>
  <si>
    <t>АО «КРУНИТ» (контактное лицо: Чепикова Елизавета)</t>
  </si>
  <si>
    <t>Научно-производственный комплекс «КРУНИТ», класс А, Москва, Нагорная ул., 3А — строительство научно-производственного комплекса</t>
  </si>
  <si>
    <t>16 000 м²</t>
  </si>
  <si>
    <t>2018–2019 (100%)</t>
  </si>
  <si>
    <t>Анализ проектно-сметной документации; строительный контроль; ввод в эксплуатацию; предэксплуатация</t>
  </si>
  <si>
    <t>ООО «Ланит-Интеграция» (контактное лицо: Эльдар Сираев, руководитель проекта)</t>
  </si>
  <si>
    <t>МФК «Лахта Центр» (фаза 1), г. Санкт-Петербург, Лахтинский проспект, д. 2, к. 3, литера А — обустройство офисных помещений</t>
  </si>
  <si>
    <t>66 700 м²</t>
  </si>
  <si>
    <t>09.2022–01.2024</t>
  </si>
  <si>
    <t>Анализ проектной/рабочей документации; строительный контроль (качество, объёмы, сроки)</t>
  </si>
  <si>
    <t>«САНДОНИЯ ЛИМИТЕД» (контактное лицо: Коцарев Алексей, руководитель проекта)</t>
  </si>
  <si>
    <t>Торгово-развлекательный комплекс «Одипарк», МО, р-н Одинцовский, с. Юдино — строительство торгово-развлекательного комплекса</t>
  </si>
  <si>
    <t>32 500 м²</t>
  </si>
  <si>
    <t>03.2023–02.2025</t>
  </si>
  <si>
    <t>Строительный контроль; разработка эскизного проекта, получение ТУ, оформление ИРД, ввод объекта в эксплуатацию</t>
  </si>
  <si>
    <t>Религиозная организация «ФХУ Русской Православной Церкви (Московский патриархат)» (контактное лицо: Пилишин Сергей Сергеевич, председатель управления)</t>
  </si>
  <si>
    <t>Медиацентр телеканала «СПАС», г. Москва, Мичуринский проспект, д. 8/29 — реконструкция здания для церковно-общественных мероприятий</t>
  </si>
  <si>
    <t>9 400 м²</t>
  </si>
  <si>
    <t>11.2023 – н.в., 25%</t>
  </si>
  <si>
    <t>Функции Технического заказчика</t>
  </si>
  <si>
    <t>ООО «ИНТЕРСЕРЧ СОЛЮШНС»</t>
  </si>
  <si>
    <t>Офисные помещения компании «Яндекс», г. Санкт-Петербург, БЦ «М22» — обустройство офисных помещений</t>
  </si>
  <si>
    <t>9 000 м²</t>
  </si>
  <si>
    <t>03.2025–12.2025, 40%</t>
  </si>
  <si>
    <t>Функции Технического заказчика, включая строительный контроль</t>
  </si>
  <si>
    <t>ЖК с МФК в районе «Мневники», г. Москва, ул. Мневники, вл. 6 — строительство ЖК с МФК</t>
  </si>
  <si>
    <t>64 650 м²</t>
  </si>
  <si>
    <t>01.2025–01.2028, 15%</t>
  </si>
  <si>
    <t>Функции Технического заказчика на всех этапах проектирования и строительства, включая строительный контроль</t>
  </si>
  <si>
    <t>Номерной фонд класса «люкс» в гостинице с МФК, г. Москва, ул. Большая Внуковская, 8 — отделка помещений МФК и номерного фонда</t>
  </si>
  <si>
    <t>33 000 м²</t>
  </si>
  <si>
    <t>08.2024 – н.в., 60%</t>
  </si>
  <si>
    <t>Функции Технического заказчика, вкл. строительный контроль</t>
  </si>
  <si>
    <t>АО «Альфа-Банк» (контактное лицо: Андрей Грузденко, начальник управления департамента строительства)</t>
  </si>
  <si>
    <t>Административные помещения для АО «Альфа-Банк», г. Москва, пр-т Андропова, д. 18, корп. 6 — обустройство офисных помещений</t>
  </si>
  <si>
    <t>21 196 м²</t>
  </si>
  <si>
    <t>04.2024 – н.в., 90%</t>
  </si>
  <si>
    <t>Анализ проектной документации, приёмка КС-2 и КС-3, строительный контроль. Передача объекта в эксплуатацию</t>
  </si>
  <si>
    <t>ООО «Управляющая компания «ВК»</t>
  </si>
  <si>
    <t>Офисные помещения в Доме Зингер, г. Санкт-Петербург, Невский пр-кт, 28 — реновация штаб-квартиры компании</t>
  </si>
  <si>
    <t>2 600 м²</t>
  </si>
  <si>
    <t>08.2023–12.2023</t>
  </si>
  <si>
    <t>Строительный контроль</t>
  </si>
  <si>
    <t>Ассоциация «НП «РТС»</t>
  </si>
  <si>
    <t>Офисные помещения в БЦ «Меркурий Тауэр», Москва-Сити — обустройство офисных помещений</t>
  </si>
  <si>
    <t>4 200 м²</t>
  </si>
  <si>
    <t>08.2021–02.2022</t>
  </si>
  <si>
    <t>Управление проектом; управление затратами; строительный контроль</t>
  </si>
  <si>
    <t>Офисные помещения в Центральном офисе компании «Альфа-Банк», г. Москва, ул. Каланчевская, д. 27 — обустройство офисных помещений</t>
  </si>
  <si>
    <t>5 700 м²</t>
  </si>
  <si>
    <t>05.2020–2021</t>
  </si>
  <si>
    <t>Офисные помещения для компании «Альфа-Банк», г. Москва, ул. Маши Порываевой, д. 7, стр. Е — обустройство офисных помещений</t>
  </si>
  <si>
    <t>3 770 м²</t>
  </si>
  <si>
    <t>07.2020–11.2020</t>
  </si>
  <si>
    <t>Офисные помещения для компании «Альфа-Банк», г. Екатеринбург, ул. Горького, д. 7-А — обустройство офисных помещений</t>
  </si>
  <si>
    <t>10 550 м²</t>
  </si>
  <si>
    <t>08.2022–02.2023</t>
  </si>
  <si>
    <t>Офисные помещения для компании «Альфа-Банк», г. Барнаул, пр. Ленина, д. 106 — обустройство офисных помещений</t>
  </si>
  <si>
    <t>5 230 м²</t>
  </si>
  <si>
    <t>Офисные помещения для компании «Альфа-Банк», г. Ульяновск, ул. Герасимова, д. 10, стр. 4 — обустройство офисных помещений</t>
  </si>
  <si>
    <t>12.2022–11.2023, 04–10.2024</t>
  </si>
  <si>
    <t>Офисные помещения АО «Альфа-Банк», г. Новосибирск — обустройство офисных помещений</t>
  </si>
  <si>
    <t>5 900 м²</t>
  </si>
  <si>
    <t>01.2025–08.2025, 95%</t>
  </si>
  <si>
    <t>Офисные помещения АО «Альфа-Банк», г. Москва, ул. Каланчевская, д. 29 — обустройство офисных помещений</t>
  </si>
  <si>
    <t>7 832 м²</t>
  </si>
  <si>
    <t>03.2025–10.2025, 55%</t>
  </si>
  <si>
    <t>ООО «Пивоваренная компания «Балтика»</t>
  </si>
  <si>
    <t>Офисные и общественные помещения пивоваренной компании «Балтика», г. Санкт-Петербург — реновация офисных и общественных помещений</t>
  </si>
  <si>
    <t>Управление проектом отделки, вкл. строительный контроль</t>
  </si>
  <si>
    <t>СР.ДЕВЕЛОПМЕНТ</t>
  </si>
  <si>
    <t>Многофункциональный деловой комплекс «Башня «Евразия», ММДЦ «Москва-Сити», г. Москва, Пресненская наб., 10/1</t>
  </si>
  <si>
    <t>193 400 м², высота 309 м, 72 надземных + 5 подземных этажей</t>
  </si>
  <si>
    <t>2019 – н.в.</t>
  </si>
  <si>
    <t>Управление строительством, технический заказчик, строительный контроль, разработка исполнительной BIM-модели</t>
  </si>
  <si>
    <t>MR Group</t>
  </si>
  <si>
    <t>iCITY — деловые небоскрёбы (БЦ в составе ТПУ «Сити»), г. Москва, Шмитовский проезд, 37</t>
  </si>
  <si>
    <t>220 000 м², высота 260 м, 2 башни (34 и 61 этаж)</t>
  </si>
  <si>
    <t>ПАО ЦМТ</t>
  </si>
  <si>
    <t>Центр Международной Торговли, 3-я очередь (небоскрёб по проекту С. Чобана), г. Москва, Краснопресненская наб., 12</t>
  </si>
  <si>
    <t>80 000 м², высота 200 м</t>
  </si>
  <si>
    <t>2021–2023</t>
  </si>
  <si>
    <t>Технический заказчик, управление проектированием</t>
  </si>
  <si>
    <t>ООО «Кравт Яр Парк»</t>
  </si>
  <si>
    <t>Многофункциональный гостиничный комплекс с конгресс-центром, г. Казань, ул. С. Хакима</t>
  </si>
  <si>
    <t>300 000 м²</t>
  </si>
  <si>
    <t>2023 – н.в.</t>
  </si>
  <si>
    <t>Технический заказчик, строительный контроль, управление проектированием, разработка укрупнённого бюджета на стадии «Концепция», разработка единичных расценок по видам работ, детализация бюджета на стадии ПД</t>
  </si>
  <si>
    <t>ООО «Мильдор КС» (ООО «АРПИ»)</t>
  </si>
  <si>
    <t>Международный многофункциональный общественный центр «Золотая миля», Амурская обл., г. Благовещенск</t>
  </si>
  <si>
    <t>10 500 м² площадь застройки (участок 32 952 м², номерной фонд 150 номеров)</t>
  </si>
  <si>
    <t>2024 – н.в.</t>
  </si>
  <si>
    <t>Генеральное проектирование, технический заказчик, разработка укрупнённого бюджета на стадии «Концепция»</t>
  </si>
  <si>
    <t>Банк ГПБ (АО)</t>
  </si>
  <si>
    <t>Офисный комплекс Газпромбанка, г. Москва, 1-й Добрынинский пер., д. 4/2</t>
  </si>
  <si>
    <t>14 300 м², 22 надземных + 4 подземных этажа</t>
  </si>
  <si>
    <t>2019 – по н.в.</t>
  </si>
  <si>
    <t>Управление проектом, управление проектированием, технический заказчик, строительный контроль</t>
  </si>
  <si>
    <t>Телевизионный комплекс «НТВ», г. Москва, СВАО, ул. Новомосковская, вл. 18-22</t>
  </si>
  <si>
    <t>2012–2013, 2016, 2021–2023</t>
  </si>
  <si>
    <t>Управление стоимостью проекта (в т.ч. предложения по оптимизации проектных решений), технический заказчик, управление проектированием</t>
  </si>
  <si>
    <t>Сатевис</t>
  </si>
  <si>
    <t>Офисный центр (ОКН) на территории БЦ «Красина, 3», г. Москва, ул. Красина</t>
  </si>
  <si>
    <t>1 509 м² (на месте доходного дома XX века, ~1500 м²)</t>
  </si>
  <si>
    <t>2023–2024</t>
  </si>
  <si>
    <t>Разработка укрупнённого бюджета на стадии «Концепция», разработка единичных расценок по видам работ, детализация бюджета на стадии ПД, технический заказчик, генподряд</t>
  </si>
  <si>
    <t>АНОО ВО «СКОЛТЕХ»</t>
  </si>
  <si>
    <t>Лабораторный комплекс «СКОЛТЕХ», г. Москва, Большой бульвар, 30с1, Инновационный центр «Сколково»</t>
  </si>
  <si>
    <t>28 314 м²</t>
  </si>
  <si>
    <t>Строительный контроль (перепланировка и внутренняя отделка), проектирование</t>
  </si>
  <si>
    <t>Рустарк</t>
  </si>
  <si>
    <t>Штаб-квартира компании Рустарк, г. Москва, Сколково</t>
  </si>
  <si>
    <t>15 000 м²</t>
  </si>
  <si>
    <t>2023 г.</t>
  </si>
  <si>
    <t>Генеральное проектирование: концепция, проектная документация, рабочая документация</t>
  </si>
  <si>
    <t>Бизнес-центр «Лотос», г. Москва, ул. Одесская</t>
  </si>
  <si>
    <t>151 920 м²</t>
  </si>
  <si>
    <t>Панавто</t>
  </si>
  <si>
    <t>Дилерский центр «Мерседес-Бенц», г. Москва, ул. Магистральная</t>
  </si>
  <si>
    <t>18 600 м²</t>
  </si>
  <si>
    <t>Многофункциональный торгово-деловой комплекс «Водный», г. Москва, Головинское шоссе</t>
  </si>
  <si>
    <t>166 300 м² (в т.ч. ТРЦ 50 530 м², офисы 61 570 м², автостоянка 54 200 м²)</t>
  </si>
  <si>
    <t>ДОНСТРОЙ</t>
  </si>
  <si>
    <t>Жилой комплекс «Клубный дом на Тишинке», г. Москва, Средний Тишинский пер., 5-7</t>
  </si>
  <si>
    <t>40 500 м², 18 этажей, 60 квартир</t>
  </si>
  <si>
    <t>2019–2021</t>
  </si>
  <si>
    <t>Управление строительством, технический заказчик, строительный контроль</t>
  </si>
  <si>
    <t>Жилой комплекс «Жизнь на Плющихе», г. Москва, Погодинская ул., вл. 2/3, стр. 1,2,3,4</t>
  </si>
  <si>
    <t>56 000 м², переменная этажность 4–13 этажей</t>
  </si>
  <si>
    <t>2016–2020</t>
  </si>
  <si>
    <t>Управление строительством, технический заказчик, строительный контроль (в т.ч. контроль отделочных работ 48 квартир при предпродажной подготовке)</t>
  </si>
  <si>
    <t>GHP Group</t>
  </si>
  <si>
    <t>Жилой комплекс ONE TRINITY PLACE, г. Санкт-Петербург (Петроградский р-н)</t>
  </si>
  <si>
    <t>32 571 м², 9 этажей</t>
  </si>
  <si>
    <t>Специализированный застройщик «Фонченко» | ANT DEVELOPMENT</t>
  </si>
  <si>
    <t>Многофункциональный жилой комплекс Victory Park Residences, г. Москва, ул. Братьев Фонченко</t>
  </si>
  <si>
    <t>133 653 м²</t>
  </si>
  <si>
    <t>2020–2023</t>
  </si>
  <si>
    <t>ANT DEVELOPMENT</t>
  </si>
  <si>
    <t>Гостиница и апартаменты «Поклонная, 9», г. Москва, ул. Поклонная, вл. 9</t>
  </si>
  <si>
    <t>98 778 м², 32 этажа + 5 подземных уровней</t>
  </si>
  <si>
    <t>Оптима Девелопмент</t>
  </si>
  <si>
    <t>Жилой комплекс PRIME PARK, г. Москва, Ленинградский пр-т</t>
  </si>
  <si>
    <t>457 000 м², 9 корпусов высотой от 4 до 42 этажей (до 150 м)</t>
  </si>
  <si>
    <t>2018 – н.в.</t>
  </si>
  <si>
    <t>Жилой комплекс «Река» (1-ая очередь, корпус 1), г. Москва, ул. Лобачевского</t>
  </si>
  <si>
    <t>35 263 м²</t>
  </si>
  <si>
    <t>Valartis Group</t>
  </si>
  <si>
    <t>Клубный дом Artisan («Арбат 39»), г. Москва, ул. Старый Арбат, д. 39-41</t>
  </si>
  <si>
    <t>11 500 м²</t>
  </si>
  <si>
    <t>2015–2017</t>
  </si>
  <si>
    <t>Не указана в источнике (только описание объекта)</t>
  </si>
  <si>
    <t>Клубный дом Turandot Residences, г. Москва, ул. Старый Арбат, д. 24-26</t>
  </si>
  <si>
    <t>27 000 м², 8 этажей, 35 апартаментов (110–335 м²)</t>
  </si>
  <si>
    <t>2014–2018</t>
  </si>
  <si>
    <t>ГК Пионер</t>
  </si>
  <si>
    <t>Клубный дом OPUS, г. Москва, ул. Дербеневская, вл. 1</t>
  </si>
  <si>
    <t>41 000 м², 188 квартир</t>
  </si>
  <si>
    <t>2022 г.</t>
  </si>
  <si>
    <t>Технический заказчик (до РНС)</t>
  </si>
  <si>
    <t>ООО «СЗ ДАНИАН» («СЗ Балчуг эстейт»)</t>
  </si>
  <si>
    <t>Клубный квартал «Садовническая, 69», о. Балчуг, г. Москва, ул. Садовническая, вл. 76/71</t>
  </si>
  <si>
    <t>площадь участка 0,8391 (в источнике указано «м²», вероятно опечатка вместо «га»), площадь в ГНС — 26 000 м², высотность 12–36,6 м</t>
  </si>
  <si>
    <t>АО «СЗ «КИНОЦЕНТР»</t>
  </si>
  <si>
    <t>Апартаменты с культурно-досуговым комплексом SKY VIEW, г. Москва, ул. Дружинниковская, вл. 15</t>
  </si>
  <si>
    <t>85 000 м², 4 башни, 436 апартаментов (37,5 тыс. м²)</t>
  </si>
  <si>
    <t>Жилой комплекс SYMPHONY 34, г. Москва, 2-я Хуторская, 34</t>
  </si>
  <si>
    <t>164 740 м², высота 36–54 этажа (190 м)</t>
  </si>
  <si>
    <t>2021–2025</t>
  </si>
  <si>
    <t>Многофункциональный комплекс «Слава-2», г. Москва, ул. Бутырский Вал</t>
  </si>
  <si>
    <t>ЗУ 8 396 м², общая площадь здания 123 801 м², высота 179 м (38 надземных + 5 подземных этажей)</t>
  </si>
  <si>
    <t>Многофункциональный комплекс CITYZEN (Ситизен), очередь 1, г. Москва, ул. Вишневая, вл. 7</t>
  </si>
  <si>
    <t>149 428 м², 9 корпусов высотой от 10 до 48 этажей</t>
  </si>
  <si>
    <t>Многофункциональный комплекс «Символ» и благоустройство территории (на месте завода «Серп и Молот»), г. Москва, ул. Золоторожский Вал, вл. 11</t>
  </si>
  <si>
    <t>Очередь 1А ~130 тыс. м², 1Б ~190 тыс. м², 2Б ~90 тыс. м²</t>
  </si>
  <si>
    <t>2016–2023</t>
  </si>
  <si>
    <t>Технический заказчик, строительный контроль, финансово-строительный аудит и мониторинг</t>
  </si>
  <si>
    <t>Многофункциональный комплекс «Селигер Сити» и благоустройство территории, г. Москва, Ильменский проезд, вл. 14</t>
  </si>
  <si>
    <t>Очередь I 107 537 м², II 64 828 м², III 55 814 м², IV 67 602,24 м² (небоскрёбы до 127 м)</t>
  </si>
  <si>
    <t>2017 – н.в.</t>
  </si>
  <si>
    <t>Многофункциональный комплекс «Сердце Столицы» и благоустройство территории, г. Москва, ул. Шеногина, вл. 1, наб. Шелепихинская, вл. 34</t>
  </si>
  <si>
    <t>II очередь: 131 226 м² + 170 559 м²; III очередь: 94 261 м² + 78 652 м² (14 га, высота до 148 м)</t>
  </si>
  <si>
    <t>Многофункциональный комплекс «Савёловский Сити», г. Москва, ул. Новодмитровская, дом 2</t>
  </si>
  <si>
    <t>191 000 м², 6 зданий высотой от 19 до 46 этажей</t>
  </si>
  <si>
    <t>АО «НИИДАР-Недвижимость» (СЗ)</t>
  </si>
  <si>
    <t>Жилой комплекс бизнес-класса «Преображенская площадь», 1 этап, г. Москва, 1-я ул. Бухвостова, вл. 12/11</t>
  </si>
  <si>
    <t>88 149 м², 11 секций (6–17 этажей), паркинг на 354 машиноместа</t>
  </si>
  <si>
    <t>ИНГРАД</t>
  </si>
  <si>
    <t>Жилой комплекс FORIVER, г. Москва, Симоновская наб.</t>
  </si>
  <si>
    <t>282 241 м², 11 корпусов на стилобате</t>
  </si>
  <si>
    <t>АО «СЗ «МБИ» (ЭТАЛОН)</t>
  </si>
  <si>
    <t>Жилой комплекс Nagatino i-Land (3-я очередь, 4 корпуса), г. Москва, пр-т Андропова, Даниловский р-н</t>
  </si>
  <si>
    <t>128 584 м², здания от 5 до 35 этажей, паркинг на 508 машиномест</t>
  </si>
  <si>
    <t>2025 – н.в.</t>
  </si>
  <si>
    <t>ООО «ВХД Менеджмент» (ГК Астерус)</t>
  </si>
  <si>
    <t>Жилой комплекс «ALIA» (блоки 13А и 13В), 4-я очередь, г. Москва, р-н Покровское-Стрешнево</t>
  </si>
  <si>
    <t>площадь застройки 6 606,99 м², строительный объём 498 986,2 м³, высотность до 150 м</t>
  </si>
  <si>
    <t>Жилой комплекс «PRIDE», г. Москва, ул. Полковая</t>
  </si>
  <si>
    <t>112 000 м², дома от 7 до 22 этажей</t>
  </si>
  <si>
    <t>Управление закупками / тендер по выбору генерального подрядчика, строительный контроль</t>
  </si>
  <si>
    <t>October Group</t>
  </si>
  <si>
    <t>Жилой комплекс «STORIES», г. Москва, ул. Мосфильмовская</t>
  </si>
  <si>
    <t>35 000 м², башня 99 м + дом 11 этажей</t>
  </si>
  <si>
    <t>Жилой комплекс «Павелецкая Сити» (1 и 2 очереди), г. Москва, ул. Дубининская, д. 59-69</t>
  </si>
  <si>
    <t>1-я очередь 78 300 м², 2-я очередь 74 000 м²</t>
  </si>
  <si>
    <t>ООО «Левел-проект»</t>
  </si>
  <si>
    <t>Жилой комплекс «Павелецкая Сити» (4-я очередь), г. Москва, ул. Дубининская, з/у 69/1, вл. 69, стр. 2</t>
  </si>
  <si>
    <t>55 649 м², 3 башни (20–45 этажей)</t>
  </si>
  <si>
    <t>Жилой комплекс «Фили Град», г. Москва, Береговой проезд</t>
  </si>
  <si>
    <t>189 742 м² (6,28 га), 4 корпуса</t>
  </si>
  <si>
    <t>2013–2015</t>
  </si>
  <si>
    <t>Технический заказчик (технический надзор/строительный контроль: контроль РД, контроль объёмов/стоимости/качества работ, контроль соблюдения технологии строительства)</t>
  </si>
  <si>
    <t>Prime Life Development</t>
  </si>
  <si>
    <t>Жилой комплекс «1-й Нагатинский», г. Москва, ул. Нагатинская</t>
  </si>
  <si>
    <t>76 700 м² (квартал 13 га)</t>
  </si>
  <si>
    <t>Дон-Строй Инвест</t>
  </si>
  <si>
    <t>Жилой комплекс «Огни» (квартал 1, 2), г. Москва, р-н Раменки</t>
  </si>
  <si>
    <t>128 000 м² (кв.1: два 35-этажных корпуса + паркинг на 499 м/мест; кв.2: два 41-этажных корпуса)</t>
  </si>
  <si>
    <t>2019–2022</t>
  </si>
  <si>
    <t>Финансово-технический аудит</t>
  </si>
  <si>
    <t>Эталон-Инвест</t>
  </si>
  <si>
    <t>Жилой комплекс «Летний сад», г. Москва, Дмитровское шоссе</t>
  </si>
  <si>
    <t>283 385 м², 10 жилых домов + 1 корпус апартаментов</t>
  </si>
  <si>
    <t>С&amp;Т ИНВЕСТМЕНТС ЛИМИТЕД</t>
  </si>
  <si>
    <t>Жилой комплекс «Снегири Эко», г. Москва, ул. Минская, корп. 1-26</t>
  </si>
  <si>
    <t>77 680 м², 15 клубных домов, парк 3 га</t>
  </si>
  <si>
    <t>2017 г.</t>
  </si>
  <si>
    <t>Жилой комплекс «City Bay», г. Москва, Волоколамское ш.</t>
  </si>
  <si>
    <t>Этап 3 — 173 000 м² (итого по проекту 466 532 м²), высота до 175 м</t>
  </si>
  <si>
    <t>НАО «МАРС» (ГК «Baltchug Estate»)</t>
  </si>
  <si>
    <t>Жилой комплекс «Костомаровский, 3», г. Москва, Костомаровский пер., влд. 33</t>
  </si>
  <si>
    <t>участок 2,55 га, общая площадь 161 650 м², корпуса высотой 23–52 этажа + офисное здание 19 этажей</t>
  </si>
  <si>
    <t>ООО «Новинки»</t>
  </si>
  <si>
    <t>Жилой комплекс, Московская обл., Истринский р-н, Истра</t>
  </si>
  <si>
    <t>ООО «СЗ ФСК Юг»</t>
  </si>
  <si>
    <t>Жилой комплекс «1-й Бутовский», 1-ая очередь строительства, г. Москва, пос. Воскресенское</t>
  </si>
  <si>
    <t>площадь застройки 45 га, жилая застройка 449 449 м², общественная и социальная часть 348 489 м²</t>
  </si>
  <si>
    <t>ООО «СЗ ДАНИАН» (ГК «Baltchug Estate»)</t>
  </si>
  <si>
    <t>Жилой комплекс «Хорошёвский», г. Москва, 3-й Хорошёвский проезд, вл. 5</t>
  </si>
  <si>
    <t>участок 12 300 м², застройка 9 702 м², жилое здание 74 112 м²</t>
  </si>
  <si>
    <t>Жилой комплекс «Ясный», г. Москва, Каширское шоссе, 65</t>
  </si>
  <si>
    <t>185 900 м², 3 корпуса</t>
  </si>
  <si>
    <t>PSN Group</t>
  </si>
  <si>
    <t>Жилой комплекс «Домашний», г. Москва, ул. Донецкая, вл. 30</t>
  </si>
  <si>
    <t>304 000 м² (27 га), высотки до 32 этажей и здания 6-9 этажей</t>
  </si>
  <si>
    <t>2015–2019</t>
  </si>
  <si>
    <t>Технический заказчик, строительный контроль (SEVERIN DEVELOPMENT, представляя интересы PSN Group, оказала комплекс услуг по управлению проектированием и строительством 1-й и 2-й очереди)</t>
  </si>
  <si>
    <t>Глоракс</t>
  </si>
  <si>
    <t>Жилой комплекс GloraX Заневский, г. Санкт-Петербург (Красногвардейский р-н)</t>
  </si>
  <si>
    <t>Жилой комплекс «VEER», г. Москва, ул. Верейская, 29</t>
  </si>
  <si>
    <t>174 433,3 м², башни 22, 46 и 59 этажей (макс. высота 196,3 м)</t>
  </si>
  <si>
    <t>Жилой комплекс KING &amp; SONS, г. Москва, муниципальный округ Раменки</t>
  </si>
  <si>
    <t>16 836,1 м², 117 резиденций</t>
  </si>
  <si>
    <t>Разработка детализированного бюджета проекта (по ведомостям объёмов работ стадии «П»), технический заказчик</t>
  </si>
  <si>
    <t>ООО «СЗ «Лайф Богородское»</t>
  </si>
  <si>
    <t>Многофункциональный жилой комплекс «Лайф Богородское», г. Москва, ВАО, муниципальный округ Богородское, Открытое шоссе</t>
  </si>
  <si>
    <t>179 875,70 м², 6 корпусов высотой от 24 до 43 этажей</t>
  </si>
  <si>
    <t>2024 г.</t>
  </si>
  <si>
    <t>Разработка укрупнённого бюджета проекта на стадии «Концепция»</t>
  </si>
  <si>
    <t>ООО «СОЮЗ»</t>
  </si>
  <si>
    <t>Жилой комплекс бизнес-класса, г. Москва, ЮАО, 5-й Донской проезд</t>
  </si>
  <si>
    <t>63 762,5 м², жилое здание 77 этажей</t>
  </si>
  <si>
    <t>Разработка детализированного бюджета проекта (по ведомостям объёмов работ стадии «П»)</t>
  </si>
  <si>
    <t>ООО «Мангазея»</t>
  </si>
  <si>
    <t>Жилые комплексы (исследование рыночной себестоимости строительства), г. Москва и Московская область</t>
  </si>
  <si>
    <t>не указана (услуга не привязана к одному объекту)</t>
  </si>
  <si>
    <t>Консультационные услуги по исследованию рыночной себестоимости строительства (актуальный рыночный диапазон затрат на м² общей площади с благоустройством, на основе объектов-аналогов)</t>
  </si>
  <si>
    <t>КОР ЭКС ПИ</t>
  </si>
  <si>
    <t>Конфиденциальный клиент</t>
  </si>
  <si>
    <t>Строительство и отделка офисного здания класса А+ под продажу конечному покупателю, центр г. Москвы</t>
  </si>
  <si>
    <t>47 300 м²</t>
  </si>
  <si>
    <t>Управление проектом, стратегическое планирование, проведение тендеров, мониторинг работ, отчёты, управление финансами, ввод в эксплуатацию и сдача объекта</t>
  </si>
  <si>
    <t>Строительство и отделка офиса, центр г. Москвы</t>
  </si>
  <si>
    <t>56 000 м²</t>
  </si>
  <si>
    <t>2025–2027</t>
  </si>
  <si>
    <t>Реконструкция и отделка комплекса офисных зданий класса B+ под собственные нужды, г. Санкт-Петербург</t>
  </si>
  <si>
    <t>30 000 м²</t>
  </si>
  <si>
    <t>Управление проектом, подготовка графика и бюджета, разработка эскизного проекта, разработка концепции и 3D-визуализации, стратегическое планирование, проведение тендеров, строительный контроль, мониторинг работ, отчёты, управление финансами, ввод в эксплуатацию</t>
  </si>
  <si>
    <t>Российский Футбольный Союз</t>
  </si>
  <si>
    <t>Национальный центр по подготовке сборных команд России по футболу со штаб-квартирой РФС</t>
  </si>
  <si>
    <t>Функции технического заказчика, рассмотрение и согласование рабочей документации, управление и отслеживание затрат, рассмотрение и утверждение материалов/оборудования, отчётность о ходе проекта, организация и координация всех участников проекта</t>
  </si>
  <si>
    <t>Kept (КЭПТ, ex-KPMG)</t>
  </si>
  <si>
    <t>Строительство и отделка офисного помещения, центр г. Москвы</t>
  </si>
  <si>
    <t>Отделка комплекса офисных зданий класса А+ под собственные нужды, г. Санкт-Петербург</t>
  </si>
  <si>
    <t>Технический заказчик, строительный контроль, разработка эскизного проекта, разработка концепции и 3D-визуализации, стратегическое планирование, проведение тендеров, мониторинг работ, отчёты, управление финансами, ввод в эксплуатацию</t>
  </si>
  <si>
    <t>Не указан (заказчик реализует строительство ЖК)</t>
  </si>
  <si>
    <t>ЖК «Философский камень», г. Когалым</t>
  </si>
  <si>
    <t>71 050 м²</t>
  </si>
  <si>
    <t>Строительный контроль, проверка исполнительной документации на соответствие фактически выполненным работам, освидетельствование и оценка скрытых работ, участие в проверках соответствия проекту поступающего оборудования, проверка объёмов работ, визирование актов КС-2, КС-3, КС-11</t>
  </si>
  <si>
    <t>Ростелеком</t>
  </si>
  <si>
    <t>Отделка офисного здания класса А под собственные нужды, БЦ «Академик», г. Москва</t>
  </si>
  <si>
    <t>24 000 м²</t>
  </si>
  <si>
    <t>2021 г.</t>
  </si>
  <si>
    <t>Управление проектом и строительный контроль, консультирование по вопросам строительства, контроль проектных и строительных работ генподрядчика, регулярная отчётность о ходе проекта, участие в сдаче-приёмке объекта, ответственность за исполнительную документацию</t>
  </si>
  <si>
    <t>Yandex Go</t>
  </si>
  <si>
    <t>Отделка офисного здания класса А под собственные нужды, БЦ «Око», г. Москва</t>
  </si>
  <si>
    <t>Управление проектом, строительный контроль на площадке, рассмотрение и согласование рабочей документации, отчётность о ходе строительных работ, рассмотрение и утверждение накопительной ведомости и закрывающих документов, организация и координация участников проекта, введение в эксплуатацию</t>
  </si>
  <si>
    <t>Росбанк</t>
  </si>
  <si>
    <t>Отделка офисного здания класса А под собственные нужды, БЦ «Око II», г. Москва</t>
  </si>
  <si>
    <t>15 500 м²</t>
  </si>
  <si>
    <t>2020 г.</t>
  </si>
  <si>
    <t>Технический аудит исполнительной документации, функции технического заказчика, строительный контроль на площадке, составление ЧТЗ на разработку РД и проведение СМР/ПНР, проведение тендера по выбору генподрядчика, управление и отслеживание затрат, введение в эксплуатацию</t>
  </si>
  <si>
    <t>Т-Банк</t>
  </si>
  <si>
    <t>Центральный университет Т-Банка — реконструкция офисного здания с приспособлением под университет, г. Москва</t>
  </si>
  <si>
    <t>Технический заказчик, строительный контроль, контроль соблюдения проектных решений, ведение перечня замечаний и контроль их устранения, проверка объёмов выполненных работ/оборудования/материалов, контроль качества работ и стройматериалов</t>
  </si>
  <si>
    <t>Porsche</t>
  </si>
  <si>
    <t>Реконструкция автосалона под собственные нужды, г. Москва</t>
  </si>
  <si>
    <t>11 140 м²</t>
  </si>
  <si>
    <t>Полный объём услуг по управлению проектом, технический заказчик, технико-экономическое обоснование, разработка и утверждение графика и бюджета проекта, техническая проверка документации по мере строительства, разработка и утверждение концепции проекта, утверждение инвестиционного проекта, получение ИРД (проект продублирован дважды в исходной презентации)</t>
  </si>
  <si>
    <t>Росагролизинг</t>
  </si>
  <si>
    <t>Отделка офисного здания под собственные нужды, г. Москва</t>
  </si>
  <si>
    <t>7 000 м²</t>
  </si>
  <si>
    <t>Технический заказчик, подготовка графика и бюджета проекта, согласование тендерной и рабочей документации, выбор подрядчиков, координация проектирования, мониторинг отделочных работ и поставок мебели, участие в рабочих встречах и отчётность, приёмка работ</t>
  </si>
  <si>
    <t>Строительство и отделка офисного здания класса А+ под собственные нужды, г. Иркутск</t>
  </si>
  <si>
    <t>9 268 м²</t>
  </si>
  <si>
    <t>Технический заказчик на объекте капитального строительства, рассмотрение и согласование рабочей документации, управление и отслеживание затрат, рассмотрение и утверждение материалов/оборудования, строительный контроль, отчётность, организация и координация участников проекта</t>
  </si>
  <si>
    <t>Яндекс</t>
  </si>
  <si>
    <t>Отделка офисного здания класса А под собственные нужды, БЦ Neva Towers, г. Москва</t>
  </si>
  <si>
    <t>8 500 м²</t>
  </si>
  <si>
    <t>Управление проектом и строительный контроль, рассмотрение и согласование рабочей документации, управление и отслеживание затрат, отчётность о ходе строительных работ, составление и обновление бюджета и графика, участие в совещаниях с ведением протоколов, рассмотрение и согласование исполнительной документации, ввод в эксплуатацию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</si>
</sst>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A2FC-34AC-4440-9BE5-7025A2B9C0A7}">
  <dimension ref="B2:I197"/>
  <sheetViews>
    <sheetView showGridLines="0" tabSelected="1" zoomScale="80" zoomScaleNormal="8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77734375" customWidth="1"/>
    <col min="3" max="3" width="20.77734375" customWidth="1"/>
    <col min="4" max="4" width="30" customWidth="1"/>
    <col min="5" max="5" width="45" customWidth="1"/>
    <col min="6" max="6" width="22" customWidth="1"/>
    <col min="7" max="7" width="16" customWidth="1"/>
    <col min="8" max="8" width="55" customWidth="1"/>
  </cols>
  <sheetData>
    <row r="2" spans="2:9" ht="30" customHeigh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6</v>
      </c>
    </row>
    <row r="3" spans="2:9" x14ac:dyDescent="0.3">
      <c r="B3" s="2">
        <v>1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2" t="s">
        <v>13</v>
      </c>
    </row>
    <row r="4" spans="2:9" ht="72" x14ac:dyDescent="0.3">
      <c r="B4" s="2">
        <f t="shared" ref="B4:B31" si="0">B3+1</f>
        <v>2</v>
      </c>
      <c r="C4" s="3" t="s">
        <v>7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2" t="s">
        <v>19</v>
      </c>
    </row>
    <row r="5" spans="2:9" ht="28.8" x14ac:dyDescent="0.3">
      <c r="B5" s="2">
        <f t="shared" si="0"/>
        <v>3</v>
      </c>
      <c r="C5" s="3" t="s">
        <v>7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2" t="s">
        <v>19</v>
      </c>
    </row>
    <row r="6" spans="2:9" ht="57.6" x14ac:dyDescent="0.3">
      <c r="B6" s="2">
        <f t="shared" si="0"/>
        <v>4</v>
      </c>
      <c r="C6" s="3" t="s">
        <v>7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29</v>
      </c>
      <c r="I6" s="2" t="s">
        <v>19</v>
      </c>
    </row>
    <row r="7" spans="2:9" ht="43.2" x14ac:dyDescent="0.3">
      <c r="B7" s="2">
        <f t="shared" si="0"/>
        <v>5</v>
      </c>
      <c r="C7" s="3" t="s">
        <v>7</v>
      </c>
      <c r="D7" s="3" t="s">
        <v>20</v>
      </c>
      <c r="E7" s="3" t="s">
        <v>30</v>
      </c>
      <c r="F7" s="3" t="s">
        <v>31</v>
      </c>
      <c r="G7" s="3" t="s">
        <v>32</v>
      </c>
      <c r="H7" s="3" t="s">
        <v>33</v>
      </c>
      <c r="I7" s="2" t="s">
        <v>19</v>
      </c>
    </row>
    <row r="8" spans="2:9" ht="57.6" x14ac:dyDescent="0.3">
      <c r="B8" s="2">
        <f t="shared" si="0"/>
        <v>6</v>
      </c>
      <c r="C8" s="3" t="s">
        <v>7</v>
      </c>
      <c r="D8" s="3" t="s">
        <v>34</v>
      </c>
      <c r="E8" s="3" t="s">
        <v>35</v>
      </c>
      <c r="F8" s="3" t="s">
        <v>36</v>
      </c>
      <c r="G8" s="3" t="s">
        <v>11</v>
      </c>
      <c r="H8" s="3" t="s">
        <v>24</v>
      </c>
      <c r="I8" s="2" t="s">
        <v>19</v>
      </c>
    </row>
    <row r="9" spans="2:9" ht="43.2" x14ac:dyDescent="0.3">
      <c r="B9" s="2">
        <f t="shared" si="0"/>
        <v>7</v>
      </c>
      <c r="C9" s="3" t="s">
        <v>7</v>
      </c>
      <c r="D9" s="3" t="s">
        <v>37</v>
      </c>
      <c r="E9" s="3" t="s">
        <v>38</v>
      </c>
      <c r="F9" s="3" t="s">
        <v>39</v>
      </c>
      <c r="G9" s="3" t="s">
        <v>40</v>
      </c>
      <c r="H9" s="3" t="s">
        <v>41</v>
      </c>
      <c r="I9" s="2" t="s">
        <v>42</v>
      </c>
    </row>
    <row r="10" spans="2:9" ht="28.8" x14ac:dyDescent="0.3">
      <c r="B10" s="2">
        <f t="shared" si="0"/>
        <v>8</v>
      </c>
      <c r="C10" s="3" t="s">
        <v>7</v>
      </c>
      <c r="D10" s="3" t="s">
        <v>37</v>
      </c>
      <c r="E10" s="3" t="s">
        <v>43</v>
      </c>
      <c r="F10" s="3" t="s">
        <v>44</v>
      </c>
      <c r="G10" s="3" t="s">
        <v>45</v>
      </c>
      <c r="H10" s="3" t="s">
        <v>24</v>
      </c>
      <c r="I10" s="2" t="s">
        <v>19</v>
      </c>
    </row>
    <row r="11" spans="2:9" ht="28.8" x14ac:dyDescent="0.3">
      <c r="B11" s="2">
        <f t="shared" si="0"/>
        <v>9</v>
      </c>
      <c r="C11" s="3" t="s">
        <v>7</v>
      </c>
      <c r="D11" s="3" t="s">
        <v>34</v>
      </c>
      <c r="E11" s="3" t="s">
        <v>46</v>
      </c>
      <c r="F11" s="3" t="s">
        <v>47</v>
      </c>
      <c r="G11" s="3" t="s">
        <v>48</v>
      </c>
      <c r="H11" s="3" t="s">
        <v>24</v>
      </c>
      <c r="I11" s="2" t="s">
        <v>19</v>
      </c>
    </row>
    <row r="12" spans="2:9" ht="28.8" x14ac:dyDescent="0.3">
      <c r="B12" s="2">
        <f t="shared" si="0"/>
        <v>10</v>
      </c>
      <c r="C12" s="3" t="s">
        <v>7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24</v>
      </c>
      <c r="I12" s="2" t="s">
        <v>19</v>
      </c>
    </row>
    <row r="13" spans="2:9" ht="28.8" x14ac:dyDescent="0.3">
      <c r="B13" s="2">
        <f t="shared" si="0"/>
        <v>11</v>
      </c>
      <c r="C13" s="3" t="s">
        <v>7</v>
      </c>
      <c r="D13" s="3" t="s">
        <v>49</v>
      </c>
      <c r="E13" s="3" t="s">
        <v>53</v>
      </c>
      <c r="F13" s="3" t="s">
        <v>54</v>
      </c>
      <c r="G13" s="3" t="s">
        <v>52</v>
      </c>
      <c r="H13" s="3" t="s">
        <v>24</v>
      </c>
      <c r="I13" s="2" t="s">
        <v>19</v>
      </c>
    </row>
    <row r="14" spans="2:9" ht="28.8" x14ac:dyDescent="0.3">
      <c r="B14" s="2">
        <f t="shared" si="0"/>
        <v>12</v>
      </c>
      <c r="C14" s="3" t="s">
        <v>7</v>
      </c>
      <c r="D14" s="3" t="s">
        <v>55</v>
      </c>
      <c r="E14" s="3" t="s">
        <v>56</v>
      </c>
      <c r="F14" s="3" t="s">
        <v>57</v>
      </c>
      <c r="G14" s="3" t="s">
        <v>58</v>
      </c>
      <c r="H14" s="3" t="s">
        <v>59</v>
      </c>
      <c r="I14" s="2" t="s">
        <v>19</v>
      </c>
    </row>
    <row r="15" spans="2:9" ht="57.6" x14ac:dyDescent="0.3">
      <c r="B15" s="2">
        <f t="shared" si="0"/>
        <v>13</v>
      </c>
      <c r="C15" s="3" t="s">
        <v>7</v>
      </c>
      <c r="D15" s="3" t="s">
        <v>60</v>
      </c>
      <c r="E15" s="3" t="s">
        <v>61</v>
      </c>
      <c r="F15" s="3" t="s">
        <v>62</v>
      </c>
      <c r="G15" s="3" t="s">
        <v>63</v>
      </c>
      <c r="H15" s="3" t="s">
        <v>64</v>
      </c>
      <c r="I15" s="2" t="s">
        <v>19</v>
      </c>
    </row>
    <row r="16" spans="2:9" ht="28.8" x14ac:dyDescent="0.3">
      <c r="B16" s="2">
        <f t="shared" si="0"/>
        <v>14</v>
      </c>
      <c r="C16" s="3" t="s">
        <v>7</v>
      </c>
      <c r="D16" s="3" t="s">
        <v>65</v>
      </c>
      <c r="E16" s="3" t="s">
        <v>66</v>
      </c>
      <c r="F16" s="3" t="s">
        <v>67</v>
      </c>
      <c r="G16" s="3" t="s">
        <v>68</v>
      </c>
      <c r="H16" s="3" t="s">
        <v>69</v>
      </c>
      <c r="I16" s="2" t="s">
        <v>42</v>
      </c>
    </row>
    <row r="17" spans="2:9" ht="28.8" x14ac:dyDescent="0.3">
      <c r="B17" s="2">
        <f t="shared" si="0"/>
        <v>15</v>
      </c>
      <c r="C17" s="3" t="s">
        <v>7</v>
      </c>
      <c r="D17" s="3" t="s">
        <v>70</v>
      </c>
      <c r="E17" s="3" t="s">
        <v>71</v>
      </c>
      <c r="F17" s="3" t="s">
        <v>72</v>
      </c>
      <c r="G17" s="3" t="s">
        <v>73</v>
      </c>
      <c r="H17" s="3" t="s">
        <v>74</v>
      </c>
      <c r="I17" s="2" t="s">
        <v>13</v>
      </c>
    </row>
    <row r="18" spans="2:9" ht="72" x14ac:dyDescent="0.3">
      <c r="B18" s="2">
        <f t="shared" si="0"/>
        <v>16</v>
      </c>
      <c r="C18" s="3" t="s">
        <v>7</v>
      </c>
      <c r="D18" s="3" t="s">
        <v>70</v>
      </c>
      <c r="E18" s="3" t="s">
        <v>75</v>
      </c>
      <c r="F18" s="3" t="s">
        <v>76</v>
      </c>
      <c r="G18" s="3" t="s">
        <v>77</v>
      </c>
      <c r="H18" s="3" t="s">
        <v>78</v>
      </c>
      <c r="I18" s="2" t="s">
        <v>42</v>
      </c>
    </row>
    <row r="19" spans="2:9" ht="43.2" x14ac:dyDescent="0.3">
      <c r="B19" s="2">
        <f t="shared" si="0"/>
        <v>17</v>
      </c>
      <c r="C19" s="3" t="s">
        <v>7</v>
      </c>
      <c r="D19" s="3" t="s">
        <v>70</v>
      </c>
      <c r="E19" s="3" t="s">
        <v>79</v>
      </c>
      <c r="F19" s="3" t="s">
        <v>80</v>
      </c>
      <c r="G19" s="3" t="s">
        <v>81</v>
      </c>
      <c r="H19" s="3" t="s">
        <v>82</v>
      </c>
      <c r="I19" s="2" t="s">
        <v>19</v>
      </c>
    </row>
    <row r="20" spans="2:9" ht="57.6" x14ac:dyDescent="0.3">
      <c r="B20" s="2">
        <f t="shared" si="0"/>
        <v>18</v>
      </c>
      <c r="C20" s="3" t="s">
        <v>7</v>
      </c>
      <c r="D20" s="3" t="s">
        <v>37</v>
      </c>
      <c r="E20" s="3" t="s">
        <v>83</v>
      </c>
      <c r="F20" s="3" t="s">
        <v>84</v>
      </c>
      <c r="G20" s="3" t="s">
        <v>85</v>
      </c>
      <c r="H20" s="3" t="s">
        <v>86</v>
      </c>
      <c r="I20" s="2" t="s">
        <v>13</v>
      </c>
    </row>
    <row r="21" spans="2:9" ht="43.2" x14ac:dyDescent="0.3">
      <c r="B21" s="2">
        <f t="shared" si="0"/>
        <v>19</v>
      </c>
      <c r="C21" s="3" t="s">
        <v>7</v>
      </c>
      <c r="D21" s="3" t="s">
        <v>87</v>
      </c>
      <c r="E21" s="3" t="s">
        <v>88</v>
      </c>
      <c r="F21" s="3" t="s">
        <v>89</v>
      </c>
      <c r="G21" s="3" t="s">
        <v>90</v>
      </c>
      <c r="H21" s="3" t="s">
        <v>91</v>
      </c>
      <c r="I21" s="2" t="s">
        <v>19</v>
      </c>
    </row>
    <row r="22" spans="2:9" ht="57.6" x14ac:dyDescent="0.3">
      <c r="B22" s="2">
        <f t="shared" si="0"/>
        <v>20</v>
      </c>
      <c r="C22" s="3" t="s">
        <v>7</v>
      </c>
      <c r="D22" s="3" t="s">
        <v>92</v>
      </c>
      <c r="E22" s="3" t="s">
        <v>93</v>
      </c>
      <c r="F22" s="3" t="s">
        <v>37</v>
      </c>
      <c r="G22" s="3" t="s">
        <v>94</v>
      </c>
      <c r="H22" s="3" t="s">
        <v>95</v>
      </c>
      <c r="I22" s="2" t="s">
        <v>19</v>
      </c>
    </row>
    <row r="23" spans="2:9" ht="28.8" x14ac:dyDescent="0.3">
      <c r="B23" s="2">
        <f t="shared" si="0"/>
        <v>21</v>
      </c>
      <c r="C23" s="3" t="s">
        <v>7</v>
      </c>
      <c r="D23" s="3" t="s">
        <v>96</v>
      </c>
      <c r="E23" s="3" t="s">
        <v>97</v>
      </c>
      <c r="F23" s="3" t="s">
        <v>98</v>
      </c>
      <c r="G23" s="3" t="s">
        <v>45</v>
      </c>
      <c r="H23" s="3" t="s">
        <v>24</v>
      </c>
      <c r="I23" s="2" t="s">
        <v>19</v>
      </c>
    </row>
    <row r="24" spans="2:9" ht="28.8" x14ac:dyDescent="0.3">
      <c r="B24" s="2">
        <f t="shared" si="0"/>
        <v>22</v>
      </c>
      <c r="C24" s="3" t="s">
        <v>7</v>
      </c>
      <c r="D24" s="3" t="s">
        <v>96</v>
      </c>
      <c r="E24" s="3" t="s">
        <v>99</v>
      </c>
      <c r="F24" s="3" t="s">
        <v>100</v>
      </c>
      <c r="G24" s="3" t="s">
        <v>101</v>
      </c>
      <c r="H24" s="3" t="s">
        <v>24</v>
      </c>
      <c r="I24" s="2" t="s">
        <v>19</v>
      </c>
    </row>
    <row r="25" spans="2:9" ht="57.6" x14ac:dyDescent="0.3">
      <c r="B25" s="2">
        <f t="shared" si="0"/>
        <v>23</v>
      </c>
      <c r="C25" s="3" t="s">
        <v>7</v>
      </c>
      <c r="D25" s="3" t="s">
        <v>96</v>
      </c>
      <c r="E25" s="3" t="s">
        <v>102</v>
      </c>
      <c r="F25" s="3" t="s">
        <v>103</v>
      </c>
      <c r="G25" s="3" t="s">
        <v>104</v>
      </c>
      <c r="H25" s="3" t="s">
        <v>105</v>
      </c>
      <c r="I25" s="2" t="s">
        <v>19</v>
      </c>
    </row>
    <row r="26" spans="2:9" ht="57.6" x14ac:dyDescent="0.3">
      <c r="B26" s="2">
        <f t="shared" si="0"/>
        <v>24</v>
      </c>
      <c r="C26" s="3" t="s">
        <v>7</v>
      </c>
      <c r="D26" s="3" t="s">
        <v>106</v>
      </c>
      <c r="E26" s="3" t="s">
        <v>107</v>
      </c>
      <c r="F26" s="3" t="s">
        <v>108</v>
      </c>
      <c r="G26" s="3" t="s">
        <v>104</v>
      </c>
      <c r="H26" s="3" t="s">
        <v>109</v>
      </c>
      <c r="I26" s="2" t="s">
        <v>42</v>
      </c>
    </row>
    <row r="27" spans="2:9" ht="43.2" x14ac:dyDescent="0.3">
      <c r="B27" s="2">
        <f t="shared" si="0"/>
        <v>25</v>
      </c>
      <c r="C27" s="3" t="s">
        <v>7</v>
      </c>
      <c r="D27" s="3" t="s">
        <v>110</v>
      </c>
      <c r="E27" s="3" t="s">
        <v>111</v>
      </c>
      <c r="F27" s="3" t="s">
        <v>112</v>
      </c>
      <c r="G27" s="3" t="s">
        <v>113</v>
      </c>
      <c r="H27" s="3" t="s">
        <v>114</v>
      </c>
      <c r="I27" s="2" t="s">
        <v>13</v>
      </c>
    </row>
    <row r="28" spans="2:9" ht="43.2" x14ac:dyDescent="0.3">
      <c r="B28" s="2">
        <f t="shared" si="0"/>
        <v>26</v>
      </c>
      <c r="C28" s="3" t="s">
        <v>7</v>
      </c>
      <c r="D28" s="3" t="s">
        <v>115</v>
      </c>
      <c r="E28" s="3" t="s">
        <v>116</v>
      </c>
      <c r="F28" s="3" t="s">
        <v>117</v>
      </c>
      <c r="G28" s="3" t="s">
        <v>118</v>
      </c>
      <c r="H28" s="3" t="s">
        <v>119</v>
      </c>
      <c r="I28" s="2" t="s">
        <v>120</v>
      </c>
    </row>
    <row r="29" spans="2:9" ht="43.2" x14ac:dyDescent="0.3">
      <c r="B29" s="2">
        <f t="shared" si="0"/>
        <v>27</v>
      </c>
      <c r="C29" s="3" t="s">
        <v>7</v>
      </c>
      <c r="D29" s="3" t="s">
        <v>121</v>
      </c>
      <c r="E29" s="3" t="s">
        <v>122</v>
      </c>
      <c r="F29" s="3" t="s">
        <v>123</v>
      </c>
      <c r="G29" s="3" t="s">
        <v>124</v>
      </c>
      <c r="H29" s="3" t="s">
        <v>125</v>
      </c>
      <c r="I29" s="2" t="s">
        <v>13</v>
      </c>
    </row>
    <row r="30" spans="2:9" ht="43.2" x14ac:dyDescent="0.3">
      <c r="B30" s="2">
        <f t="shared" si="0"/>
        <v>28</v>
      </c>
      <c r="C30" s="3" t="s">
        <v>7</v>
      </c>
      <c r="D30" s="3" t="s">
        <v>126</v>
      </c>
      <c r="E30" s="3" t="s">
        <v>127</v>
      </c>
      <c r="F30" s="3" t="s">
        <v>80</v>
      </c>
      <c r="G30" s="3" t="s">
        <v>128</v>
      </c>
      <c r="H30" s="3" t="s">
        <v>129</v>
      </c>
      <c r="I30" s="2" t="s">
        <v>13</v>
      </c>
    </row>
    <row r="31" spans="2:9" x14ac:dyDescent="0.3">
      <c r="B31" s="2">
        <f t="shared" si="0"/>
        <v>29</v>
      </c>
      <c r="C31" s="3" t="s">
        <v>130</v>
      </c>
      <c r="D31" s="3" t="s">
        <v>37</v>
      </c>
      <c r="E31" s="3" t="s">
        <v>131</v>
      </c>
      <c r="F31" s="3" t="s">
        <v>132</v>
      </c>
      <c r="G31" s="3" t="s">
        <v>37</v>
      </c>
      <c r="H31" s="3" t="s">
        <v>133</v>
      </c>
      <c r="I31" s="2" t="s">
        <v>13</v>
      </c>
    </row>
    <row r="32" spans="2:9" ht="28.8" x14ac:dyDescent="0.3">
      <c r="B32" s="2">
        <f>B31+1</f>
        <v>30</v>
      </c>
      <c r="C32" s="3" t="s">
        <v>130</v>
      </c>
      <c r="D32" s="3" t="s">
        <v>37</v>
      </c>
      <c r="E32" s="3" t="s">
        <v>134</v>
      </c>
      <c r="F32" s="3" t="s">
        <v>135</v>
      </c>
      <c r="G32" s="3" t="s">
        <v>37</v>
      </c>
      <c r="H32" s="3" t="s">
        <v>136</v>
      </c>
      <c r="I32" s="2" t="s">
        <v>13</v>
      </c>
    </row>
    <row r="33" spans="2:9" ht="28.8" x14ac:dyDescent="0.3">
      <c r="B33" s="2">
        <f t="shared" ref="B33:B64" si="1">B32+1</f>
        <v>31</v>
      </c>
      <c r="C33" s="3" t="s">
        <v>130</v>
      </c>
      <c r="D33" s="3" t="s">
        <v>137</v>
      </c>
      <c r="E33" s="3" t="s">
        <v>138</v>
      </c>
      <c r="F33" s="3" t="s">
        <v>139</v>
      </c>
      <c r="G33" s="3" t="s">
        <v>37</v>
      </c>
      <c r="H33" s="3" t="s">
        <v>140</v>
      </c>
      <c r="I33" s="2" t="s">
        <v>19</v>
      </c>
    </row>
    <row r="34" spans="2:9" x14ac:dyDescent="0.3">
      <c r="B34" s="2">
        <f t="shared" si="1"/>
        <v>32</v>
      </c>
      <c r="C34" s="3" t="s">
        <v>130</v>
      </c>
      <c r="D34" s="3" t="s">
        <v>37</v>
      </c>
      <c r="E34" s="3" t="s">
        <v>141</v>
      </c>
      <c r="F34" s="3" t="s">
        <v>142</v>
      </c>
      <c r="G34" s="3" t="s">
        <v>37</v>
      </c>
      <c r="H34" s="3" t="s">
        <v>143</v>
      </c>
      <c r="I34" s="2" t="s">
        <v>42</v>
      </c>
    </row>
    <row r="35" spans="2:9" ht="28.8" x14ac:dyDescent="0.3">
      <c r="B35" s="2">
        <f t="shared" si="1"/>
        <v>33</v>
      </c>
      <c r="C35" s="3" t="s">
        <v>130</v>
      </c>
      <c r="D35" s="3" t="s">
        <v>37</v>
      </c>
      <c r="E35" s="3" t="s">
        <v>144</v>
      </c>
      <c r="F35" s="3" t="s">
        <v>145</v>
      </c>
      <c r="G35" s="3" t="s">
        <v>37</v>
      </c>
      <c r="H35" s="3" t="s">
        <v>143</v>
      </c>
      <c r="I35" s="2" t="s">
        <v>42</v>
      </c>
    </row>
    <row r="36" spans="2:9" ht="57.6" x14ac:dyDescent="0.3">
      <c r="B36" s="2">
        <f t="shared" si="1"/>
        <v>34</v>
      </c>
      <c r="C36" s="3" t="s">
        <v>130</v>
      </c>
      <c r="D36" s="3" t="s">
        <v>37</v>
      </c>
      <c r="E36" s="3" t="s">
        <v>146</v>
      </c>
      <c r="F36" s="3" t="s">
        <v>147</v>
      </c>
      <c r="G36" s="3" t="s">
        <v>37</v>
      </c>
      <c r="H36" s="3" t="s">
        <v>148</v>
      </c>
      <c r="I36" s="2" t="s">
        <v>42</v>
      </c>
    </row>
    <row r="37" spans="2:9" ht="28.8" x14ac:dyDescent="0.3">
      <c r="B37" s="2">
        <f t="shared" si="1"/>
        <v>35</v>
      </c>
      <c r="C37" s="3" t="s">
        <v>130</v>
      </c>
      <c r="D37" s="3" t="s">
        <v>149</v>
      </c>
      <c r="E37" s="3" t="s">
        <v>150</v>
      </c>
      <c r="F37" s="3" t="s">
        <v>151</v>
      </c>
      <c r="G37" s="3" t="s">
        <v>37</v>
      </c>
      <c r="H37" s="3" t="s">
        <v>152</v>
      </c>
      <c r="I37" s="2" t="s">
        <v>19</v>
      </c>
    </row>
    <row r="38" spans="2:9" ht="28.8" x14ac:dyDescent="0.3">
      <c r="B38" s="2">
        <f t="shared" si="1"/>
        <v>36</v>
      </c>
      <c r="C38" s="3" t="s">
        <v>130</v>
      </c>
      <c r="D38" s="3" t="s">
        <v>153</v>
      </c>
      <c r="E38" s="3" t="s">
        <v>154</v>
      </c>
      <c r="F38" s="3" t="s">
        <v>155</v>
      </c>
      <c r="G38" s="3" t="s">
        <v>37</v>
      </c>
      <c r="H38" s="3" t="s">
        <v>156</v>
      </c>
      <c r="I38" s="2" t="s">
        <v>42</v>
      </c>
    </row>
    <row r="39" spans="2:9" ht="28.8" x14ac:dyDescent="0.3">
      <c r="B39" s="2">
        <f t="shared" si="1"/>
        <v>37</v>
      </c>
      <c r="C39" s="3" t="s">
        <v>130</v>
      </c>
      <c r="D39" s="3" t="s">
        <v>157</v>
      </c>
      <c r="E39" s="3" t="s">
        <v>158</v>
      </c>
      <c r="F39" s="3" t="s">
        <v>159</v>
      </c>
      <c r="G39" s="3" t="s">
        <v>37</v>
      </c>
      <c r="H39" s="3" t="s">
        <v>160</v>
      </c>
      <c r="I39" s="2" t="s">
        <v>13</v>
      </c>
    </row>
    <row r="40" spans="2:9" ht="28.8" x14ac:dyDescent="0.3">
      <c r="B40" s="2">
        <f t="shared" si="1"/>
        <v>38</v>
      </c>
      <c r="C40" s="3" t="s">
        <v>130</v>
      </c>
      <c r="D40" s="3" t="s">
        <v>161</v>
      </c>
      <c r="E40" s="3" t="s">
        <v>162</v>
      </c>
      <c r="F40" s="3" t="s">
        <v>39</v>
      </c>
      <c r="G40" s="3" t="s">
        <v>37</v>
      </c>
      <c r="H40" s="3" t="s">
        <v>163</v>
      </c>
      <c r="I40" s="2" t="s">
        <v>13</v>
      </c>
    </row>
    <row r="41" spans="2:9" ht="28.8" x14ac:dyDescent="0.3">
      <c r="B41" s="2">
        <f t="shared" si="1"/>
        <v>39</v>
      </c>
      <c r="C41" s="3" t="s">
        <v>130</v>
      </c>
      <c r="D41" s="3" t="s">
        <v>164</v>
      </c>
      <c r="E41" s="3" t="s">
        <v>165</v>
      </c>
      <c r="F41" s="3" t="s">
        <v>39</v>
      </c>
      <c r="G41" s="3" t="s">
        <v>37</v>
      </c>
      <c r="H41" s="3" t="s">
        <v>166</v>
      </c>
      <c r="I41" s="2" t="s">
        <v>120</v>
      </c>
    </row>
    <row r="42" spans="2:9" ht="28.8" x14ac:dyDescent="0.3">
      <c r="B42" s="2">
        <f t="shared" si="1"/>
        <v>40</v>
      </c>
      <c r="C42" s="3" t="s">
        <v>130</v>
      </c>
      <c r="D42" s="3" t="s">
        <v>167</v>
      </c>
      <c r="E42" s="3" t="s">
        <v>168</v>
      </c>
      <c r="F42" s="3" t="s">
        <v>169</v>
      </c>
      <c r="G42" s="3" t="s">
        <v>37</v>
      </c>
      <c r="H42" s="3" t="s">
        <v>170</v>
      </c>
      <c r="I42" s="2" t="s">
        <v>19</v>
      </c>
    </row>
    <row r="43" spans="2:9" ht="28.8" x14ac:dyDescent="0.3">
      <c r="B43" s="2">
        <f t="shared" si="1"/>
        <v>41</v>
      </c>
      <c r="C43" s="3" t="s">
        <v>130</v>
      </c>
      <c r="D43" s="3" t="s">
        <v>171</v>
      </c>
      <c r="E43" s="3" t="s">
        <v>172</v>
      </c>
      <c r="F43" s="3" t="s">
        <v>173</v>
      </c>
      <c r="G43" s="3" t="s">
        <v>37</v>
      </c>
      <c r="H43" s="3" t="s">
        <v>174</v>
      </c>
      <c r="I43" s="2" t="s">
        <v>42</v>
      </c>
    </row>
    <row r="44" spans="2:9" x14ac:dyDescent="0.3">
      <c r="B44" s="2">
        <f t="shared" si="1"/>
        <v>42</v>
      </c>
      <c r="C44" s="3" t="s">
        <v>130</v>
      </c>
      <c r="D44" s="3" t="s">
        <v>175</v>
      </c>
      <c r="E44" s="3" t="s">
        <v>176</v>
      </c>
      <c r="F44" s="3" t="s">
        <v>177</v>
      </c>
      <c r="G44" s="3" t="s">
        <v>37</v>
      </c>
      <c r="H44" s="3" t="s">
        <v>178</v>
      </c>
      <c r="I44" s="2" t="s">
        <v>42</v>
      </c>
    </row>
    <row r="45" spans="2:9" ht="28.8" x14ac:dyDescent="0.3">
      <c r="B45" s="2">
        <f t="shared" si="1"/>
        <v>43</v>
      </c>
      <c r="C45" s="3" t="s">
        <v>130</v>
      </c>
      <c r="D45" s="3" t="s">
        <v>179</v>
      </c>
      <c r="E45" s="3" t="s">
        <v>180</v>
      </c>
      <c r="F45" s="3" t="s">
        <v>181</v>
      </c>
      <c r="G45" s="3" t="s">
        <v>37</v>
      </c>
      <c r="H45" s="3" t="s">
        <v>182</v>
      </c>
      <c r="I45" s="2" t="s">
        <v>120</v>
      </c>
    </row>
    <row r="46" spans="2:9" ht="28.8" x14ac:dyDescent="0.3">
      <c r="B46" s="2">
        <f t="shared" si="1"/>
        <v>44</v>
      </c>
      <c r="C46" s="3" t="s">
        <v>130</v>
      </c>
      <c r="D46" s="3" t="s">
        <v>37</v>
      </c>
      <c r="E46" s="3" t="s">
        <v>183</v>
      </c>
      <c r="F46" s="3" t="s">
        <v>184</v>
      </c>
      <c r="G46" s="3" t="s">
        <v>37</v>
      </c>
      <c r="H46" s="3" t="s">
        <v>185</v>
      </c>
      <c r="I46" s="2" t="s">
        <v>120</v>
      </c>
    </row>
    <row r="47" spans="2:9" ht="28.8" x14ac:dyDescent="0.3">
      <c r="B47" s="2">
        <f t="shared" si="1"/>
        <v>45</v>
      </c>
      <c r="C47" s="3" t="s">
        <v>130</v>
      </c>
      <c r="D47" s="3" t="s">
        <v>186</v>
      </c>
      <c r="E47" s="3" t="s">
        <v>187</v>
      </c>
      <c r="F47" s="3" t="s">
        <v>181</v>
      </c>
      <c r="G47" s="3" t="s">
        <v>37</v>
      </c>
      <c r="H47" s="3" t="s">
        <v>188</v>
      </c>
      <c r="I47" s="2" t="s">
        <v>120</v>
      </c>
    </row>
    <row r="48" spans="2:9" ht="28.8" x14ac:dyDescent="0.3">
      <c r="B48" s="2">
        <f t="shared" si="1"/>
        <v>46</v>
      </c>
      <c r="C48" s="3" t="s">
        <v>130</v>
      </c>
      <c r="D48" s="3" t="s">
        <v>189</v>
      </c>
      <c r="E48" s="3" t="s">
        <v>190</v>
      </c>
      <c r="F48" s="3" t="s">
        <v>22</v>
      </c>
      <c r="G48" s="3" t="s">
        <v>37</v>
      </c>
      <c r="H48" s="3" t="s">
        <v>188</v>
      </c>
      <c r="I48" s="2" t="s">
        <v>120</v>
      </c>
    </row>
    <row r="49" spans="2:9" ht="43.2" x14ac:dyDescent="0.3">
      <c r="B49" s="2">
        <f t="shared" si="1"/>
        <v>47</v>
      </c>
      <c r="C49" s="3" t="s">
        <v>130</v>
      </c>
      <c r="D49" s="3" t="s">
        <v>191</v>
      </c>
      <c r="E49" s="3" t="s">
        <v>192</v>
      </c>
      <c r="F49" s="3" t="s">
        <v>193</v>
      </c>
      <c r="G49" s="3" t="s">
        <v>37</v>
      </c>
      <c r="H49" s="3" t="s">
        <v>188</v>
      </c>
      <c r="I49" s="2" t="s">
        <v>120</v>
      </c>
    </row>
    <row r="50" spans="2:9" ht="28.8" x14ac:dyDescent="0.3">
      <c r="B50" s="2">
        <f t="shared" si="1"/>
        <v>48</v>
      </c>
      <c r="C50" s="3" t="s">
        <v>130</v>
      </c>
      <c r="D50" s="3" t="s">
        <v>37</v>
      </c>
      <c r="E50" s="3" t="s">
        <v>194</v>
      </c>
      <c r="F50" s="3" t="s">
        <v>195</v>
      </c>
      <c r="G50" s="3" t="s">
        <v>37</v>
      </c>
      <c r="H50" s="3" t="s">
        <v>196</v>
      </c>
      <c r="I50" s="2" t="s">
        <v>120</v>
      </c>
    </row>
    <row r="51" spans="2:9" ht="28.8" x14ac:dyDescent="0.3">
      <c r="B51" s="2">
        <f t="shared" si="1"/>
        <v>49</v>
      </c>
      <c r="C51" s="3" t="s">
        <v>130</v>
      </c>
      <c r="D51" s="3" t="s">
        <v>37</v>
      </c>
      <c r="E51" s="3" t="s">
        <v>197</v>
      </c>
      <c r="F51" s="3" t="s">
        <v>76</v>
      </c>
      <c r="G51" s="3" t="s">
        <v>37</v>
      </c>
      <c r="H51" s="3" t="s">
        <v>196</v>
      </c>
      <c r="I51" s="2" t="s">
        <v>120</v>
      </c>
    </row>
    <row r="52" spans="2:9" ht="43.2" x14ac:dyDescent="0.3">
      <c r="B52" s="2">
        <f t="shared" si="1"/>
        <v>50</v>
      </c>
      <c r="C52" s="3" t="s">
        <v>130</v>
      </c>
      <c r="D52" s="3" t="s">
        <v>37</v>
      </c>
      <c r="E52" s="3" t="s">
        <v>198</v>
      </c>
      <c r="F52" s="3" t="s">
        <v>199</v>
      </c>
      <c r="G52" s="3" t="s">
        <v>37</v>
      </c>
      <c r="H52" s="3" t="s">
        <v>200</v>
      </c>
      <c r="I52" s="2" t="s">
        <v>120</v>
      </c>
    </row>
    <row r="53" spans="2:9" x14ac:dyDescent="0.3">
      <c r="B53" s="2">
        <f t="shared" si="1"/>
        <v>51</v>
      </c>
      <c r="C53" s="3" t="s">
        <v>130</v>
      </c>
      <c r="D53" s="3" t="s">
        <v>37</v>
      </c>
      <c r="E53" s="3" t="s">
        <v>201</v>
      </c>
      <c r="F53" s="3" t="s">
        <v>202</v>
      </c>
      <c r="G53" s="3" t="s">
        <v>37</v>
      </c>
      <c r="H53" s="3" t="s">
        <v>156</v>
      </c>
      <c r="I53" s="2" t="s">
        <v>42</v>
      </c>
    </row>
    <row r="54" spans="2:9" ht="28.8" x14ac:dyDescent="0.3">
      <c r="B54" s="2">
        <f t="shared" si="1"/>
        <v>52</v>
      </c>
      <c r="C54" s="3" t="s">
        <v>130</v>
      </c>
      <c r="D54" s="3" t="s">
        <v>203</v>
      </c>
      <c r="E54" s="3" t="s">
        <v>204</v>
      </c>
      <c r="F54" s="3" t="s">
        <v>205</v>
      </c>
      <c r="G54" s="3" t="s">
        <v>37</v>
      </c>
      <c r="H54" s="3" t="s">
        <v>206</v>
      </c>
      <c r="I54" s="2" t="s">
        <v>13</v>
      </c>
    </row>
    <row r="55" spans="2:9" x14ac:dyDescent="0.3">
      <c r="B55" s="2">
        <f t="shared" si="1"/>
        <v>53</v>
      </c>
      <c r="C55" s="3" t="s">
        <v>130</v>
      </c>
      <c r="D55" s="3" t="s">
        <v>37</v>
      </c>
      <c r="E55" s="3" t="s">
        <v>207</v>
      </c>
      <c r="F55" s="3" t="s">
        <v>208</v>
      </c>
      <c r="G55" s="3" t="s">
        <v>37</v>
      </c>
      <c r="H55" s="3" t="s">
        <v>209</v>
      </c>
      <c r="I55" s="2" t="s">
        <v>13</v>
      </c>
    </row>
    <row r="56" spans="2:9" x14ac:dyDescent="0.3">
      <c r="B56" s="2">
        <f t="shared" si="1"/>
        <v>54</v>
      </c>
      <c r="C56" s="3" t="s">
        <v>130</v>
      </c>
      <c r="D56" s="3" t="s">
        <v>37</v>
      </c>
      <c r="E56" s="3" t="s">
        <v>210</v>
      </c>
      <c r="F56" s="3" t="s">
        <v>211</v>
      </c>
      <c r="G56" s="3" t="s">
        <v>37</v>
      </c>
      <c r="H56" s="3" t="s">
        <v>212</v>
      </c>
      <c r="I56" s="2" t="s">
        <v>13</v>
      </c>
    </row>
    <row r="57" spans="2:9" ht="28.8" x14ac:dyDescent="0.3">
      <c r="B57" s="2">
        <f t="shared" si="1"/>
        <v>55</v>
      </c>
      <c r="C57" s="3" t="s">
        <v>130</v>
      </c>
      <c r="D57" s="3" t="s">
        <v>37</v>
      </c>
      <c r="E57" s="3" t="s">
        <v>213</v>
      </c>
      <c r="F57" s="3" t="s">
        <v>214</v>
      </c>
      <c r="G57" s="3" t="s">
        <v>37</v>
      </c>
      <c r="H57" s="3" t="s">
        <v>209</v>
      </c>
      <c r="I57" s="2" t="s">
        <v>13</v>
      </c>
    </row>
    <row r="58" spans="2:9" x14ac:dyDescent="0.3">
      <c r="B58" s="2">
        <f t="shared" si="1"/>
        <v>56</v>
      </c>
      <c r="C58" s="3" t="s">
        <v>130</v>
      </c>
      <c r="D58" s="3" t="s">
        <v>37</v>
      </c>
      <c r="E58" s="3" t="s">
        <v>215</v>
      </c>
      <c r="F58" s="3" t="s">
        <v>216</v>
      </c>
      <c r="G58" s="3" t="s">
        <v>37</v>
      </c>
      <c r="H58" s="3" t="s">
        <v>206</v>
      </c>
      <c r="I58" s="2" t="s">
        <v>13</v>
      </c>
    </row>
    <row r="59" spans="2:9" ht="28.8" x14ac:dyDescent="0.3">
      <c r="B59" s="2">
        <f t="shared" si="1"/>
        <v>57</v>
      </c>
      <c r="C59" s="3" t="s">
        <v>130</v>
      </c>
      <c r="D59" s="3" t="s">
        <v>217</v>
      </c>
      <c r="E59" s="3" t="s">
        <v>218</v>
      </c>
      <c r="F59" s="3" t="s">
        <v>219</v>
      </c>
      <c r="G59" s="3" t="s">
        <v>37</v>
      </c>
      <c r="H59" s="3" t="s">
        <v>209</v>
      </c>
      <c r="I59" s="2" t="s">
        <v>13</v>
      </c>
    </row>
    <row r="60" spans="2:9" x14ac:dyDescent="0.3">
      <c r="B60" s="2">
        <f t="shared" si="1"/>
        <v>58</v>
      </c>
      <c r="C60" s="3" t="s">
        <v>130</v>
      </c>
      <c r="D60" s="3" t="s">
        <v>220</v>
      </c>
      <c r="E60" s="3" t="s">
        <v>221</v>
      </c>
      <c r="F60" s="3" t="s">
        <v>222</v>
      </c>
      <c r="G60" s="3" t="s">
        <v>37</v>
      </c>
      <c r="H60" s="3" t="s">
        <v>209</v>
      </c>
      <c r="I60" s="2" t="s">
        <v>13</v>
      </c>
    </row>
    <row r="61" spans="2:9" x14ac:dyDescent="0.3">
      <c r="B61" s="2">
        <f t="shared" si="1"/>
        <v>59</v>
      </c>
      <c r="C61" s="3" t="s">
        <v>130</v>
      </c>
      <c r="D61" s="3" t="s">
        <v>223</v>
      </c>
      <c r="E61" s="3" t="s">
        <v>224</v>
      </c>
      <c r="F61" s="3" t="s">
        <v>37</v>
      </c>
      <c r="G61" s="3" t="s">
        <v>37</v>
      </c>
      <c r="H61" s="3" t="s">
        <v>209</v>
      </c>
      <c r="I61" s="2" t="s">
        <v>13</v>
      </c>
    </row>
    <row r="62" spans="2:9" ht="28.8" x14ac:dyDescent="0.3">
      <c r="B62" s="2">
        <f t="shared" si="1"/>
        <v>60</v>
      </c>
      <c r="C62" s="3" t="s">
        <v>130</v>
      </c>
      <c r="D62" s="3" t="s">
        <v>37</v>
      </c>
      <c r="E62" s="3" t="s">
        <v>225</v>
      </c>
      <c r="F62" s="3" t="s">
        <v>76</v>
      </c>
      <c r="G62" s="3" t="s">
        <v>37</v>
      </c>
      <c r="H62" s="3" t="s">
        <v>209</v>
      </c>
      <c r="I62" s="2" t="s">
        <v>13</v>
      </c>
    </row>
    <row r="63" spans="2:9" ht="28.8" x14ac:dyDescent="0.3">
      <c r="B63" s="2">
        <f t="shared" si="1"/>
        <v>61</v>
      </c>
      <c r="C63" s="3" t="s">
        <v>130</v>
      </c>
      <c r="D63" s="3" t="s">
        <v>37</v>
      </c>
      <c r="E63" s="3" t="s">
        <v>226</v>
      </c>
      <c r="F63" s="3" t="s">
        <v>227</v>
      </c>
      <c r="G63" s="3" t="s">
        <v>37</v>
      </c>
      <c r="H63" s="3" t="s">
        <v>228</v>
      </c>
      <c r="I63" s="2" t="s">
        <v>13</v>
      </c>
    </row>
    <row r="64" spans="2:9" ht="72" x14ac:dyDescent="0.3">
      <c r="B64" s="2">
        <f t="shared" si="1"/>
        <v>62</v>
      </c>
      <c r="C64" s="3" t="s">
        <v>229</v>
      </c>
      <c r="D64" s="3" t="s">
        <v>230</v>
      </c>
      <c r="E64" s="3" t="s">
        <v>231</v>
      </c>
      <c r="F64" s="3" t="s">
        <v>232</v>
      </c>
      <c r="G64" s="3" t="s">
        <v>233</v>
      </c>
      <c r="H64" s="3" t="s">
        <v>234</v>
      </c>
      <c r="I64" s="2" t="s">
        <v>42</v>
      </c>
    </row>
    <row r="65" spans="2:9" ht="72" x14ac:dyDescent="0.3">
      <c r="B65" s="2">
        <f>B64+1</f>
        <v>63</v>
      </c>
      <c r="C65" s="3" t="s">
        <v>229</v>
      </c>
      <c r="D65" s="3" t="s">
        <v>230</v>
      </c>
      <c r="E65" s="3" t="s">
        <v>235</v>
      </c>
      <c r="F65" s="3" t="s">
        <v>236</v>
      </c>
      <c r="G65" s="3" t="s">
        <v>237</v>
      </c>
      <c r="H65" s="3" t="s">
        <v>238</v>
      </c>
      <c r="I65" s="2" t="s">
        <v>42</v>
      </c>
    </row>
    <row r="66" spans="2:9" ht="72" x14ac:dyDescent="0.3">
      <c r="B66" s="2">
        <f t="shared" ref="B66:B87" si="2">B65+1</f>
        <v>64</v>
      </c>
      <c r="C66" s="3" t="s">
        <v>229</v>
      </c>
      <c r="D66" s="3" t="s">
        <v>230</v>
      </c>
      <c r="E66" s="3" t="s">
        <v>239</v>
      </c>
      <c r="F66" s="3" t="s">
        <v>37</v>
      </c>
      <c r="G66" s="3" t="s">
        <v>240</v>
      </c>
      <c r="H66" s="3" t="s">
        <v>241</v>
      </c>
      <c r="I66" s="2" t="s">
        <v>13</v>
      </c>
    </row>
    <row r="67" spans="2:9" ht="86.4" x14ac:dyDescent="0.3">
      <c r="B67" s="2">
        <f t="shared" si="2"/>
        <v>65</v>
      </c>
      <c r="C67" s="3" t="s">
        <v>229</v>
      </c>
      <c r="D67" s="3" t="s">
        <v>230</v>
      </c>
      <c r="E67" s="3" t="s">
        <v>242</v>
      </c>
      <c r="F67" s="3" t="s">
        <v>243</v>
      </c>
      <c r="G67" s="3" t="s">
        <v>244</v>
      </c>
      <c r="H67" s="3" t="s">
        <v>245</v>
      </c>
      <c r="I67" s="2" t="s">
        <v>13</v>
      </c>
    </row>
    <row r="68" spans="2:9" ht="57.6" x14ac:dyDescent="0.3">
      <c r="B68" s="2">
        <f t="shared" si="2"/>
        <v>66</v>
      </c>
      <c r="C68" s="3" t="s">
        <v>229</v>
      </c>
      <c r="D68" s="3" t="s">
        <v>230</v>
      </c>
      <c r="E68" s="3" t="s">
        <v>246</v>
      </c>
      <c r="F68" s="3" t="s">
        <v>247</v>
      </c>
      <c r="G68" s="3" t="s">
        <v>248</v>
      </c>
      <c r="H68" s="3" t="s">
        <v>249</v>
      </c>
      <c r="I68" s="2" t="s">
        <v>13</v>
      </c>
    </row>
    <row r="69" spans="2:9" ht="72" x14ac:dyDescent="0.3">
      <c r="B69" s="2">
        <f t="shared" si="2"/>
        <v>67</v>
      </c>
      <c r="C69" s="3" t="s">
        <v>229</v>
      </c>
      <c r="D69" s="3" t="s">
        <v>230</v>
      </c>
      <c r="E69" s="3" t="s">
        <v>250</v>
      </c>
      <c r="F69" s="3" t="s">
        <v>37</v>
      </c>
      <c r="G69" s="3" t="s">
        <v>251</v>
      </c>
      <c r="H69" s="3" t="s">
        <v>252</v>
      </c>
      <c r="I69" s="2" t="s">
        <v>13</v>
      </c>
    </row>
    <row r="70" spans="2:9" ht="72" x14ac:dyDescent="0.3">
      <c r="B70" s="2">
        <f t="shared" si="2"/>
        <v>68</v>
      </c>
      <c r="C70" s="3" t="s">
        <v>229</v>
      </c>
      <c r="D70" s="3" t="s">
        <v>230</v>
      </c>
      <c r="E70" s="3" t="s">
        <v>253</v>
      </c>
      <c r="F70" s="3" t="s">
        <v>254</v>
      </c>
      <c r="G70" s="3" t="s">
        <v>255</v>
      </c>
      <c r="H70" s="3" t="s">
        <v>256</v>
      </c>
      <c r="I70" s="2" t="s">
        <v>13</v>
      </c>
    </row>
    <row r="71" spans="2:9" ht="72" x14ac:dyDescent="0.3">
      <c r="B71" s="2">
        <f t="shared" si="2"/>
        <v>69</v>
      </c>
      <c r="C71" s="3" t="s">
        <v>229</v>
      </c>
      <c r="D71" s="3" t="s">
        <v>230</v>
      </c>
      <c r="E71" s="3" t="s">
        <v>257</v>
      </c>
      <c r="F71" s="3" t="s">
        <v>37</v>
      </c>
      <c r="G71" s="3" t="s">
        <v>258</v>
      </c>
      <c r="H71" s="3" t="s">
        <v>259</v>
      </c>
      <c r="I71" s="2" t="s">
        <v>13</v>
      </c>
    </row>
    <row r="72" spans="2:9" ht="72" x14ac:dyDescent="0.3">
      <c r="B72" s="2">
        <f t="shared" si="2"/>
        <v>70</v>
      </c>
      <c r="C72" s="3" t="s">
        <v>229</v>
      </c>
      <c r="D72" s="3" t="s">
        <v>260</v>
      </c>
      <c r="E72" s="3" t="s">
        <v>261</v>
      </c>
      <c r="F72" s="3" t="s">
        <v>262</v>
      </c>
      <c r="G72" s="3" t="s">
        <v>263</v>
      </c>
      <c r="H72" s="3" t="s">
        <v>264</v>
      </c>
      <c r="I72" s="2" t="s">
        <v>13</v>
      </c>
    </row>
    <row r="73" spans="2:9" ht="86.4" x14ac:dyDescent="0.3">
      <c r="B73" s="2">
        <f t="shared" si="2"/>
        <v>71</v>
      </c>
      <c r="C73" s="3" t="s">
        <v>229</v>
      </c>
      <c r="D73" s="3" t="s">
        <v>230</v>
      </c>
      <c r="E73" s="3" t="s">
        <v>265</v>
      </c>
      <c r="F73" s="3" t="s">
        <v>266</v>
      </c>
      <c r="G73" s="3" t="s">
        <v>267</v>
      </c>
      <c r="H73" s="3" t="s">
        <v>268</v>
      </c>
      <c r="I73" s="2" t="s">
        <v>13</v>
      </c>
    </row>
    <row r="74" spans="2:9" ht="86.4" x14ac:dyDescent="0.3">
      <c r="B74" s="2">
        <f t="shared" si="2"/>
        <v>72</v>
      </c>
      <c r="C74" s="3" t="s">
        <v>229</v>
      </c>
      <c r="D74" s="3" t="s">
        <v>230</v>
      </c>
      <c r="E74" s="3" t="s">
        <v>269</v>
      </c>
      <c r="F74" s="3" t="s">
        <v>37</v>
      </c>
      <c r="G74" s="3" t="s">
        <v>270</v>
      </c>
      <c r="H74" s="3" t="s">
        <v>271</v>
      </c>
      <c r="I74" s="2" t="s">
        <v>19</v>
      </c>
    </row>
    <row r="75" spans="2:9" ht="57.6" x14ac:dyDescent="0.3">
      <c r="B75" s="2">
        <f t="shared" si="2"/>
        <v>73</v>
      </c>
      <c r="C75" s="3" t="s">
        <v>229</v>
      </c>
      <c r="D75" s="3" t="s">
        <v>230</v>
      </c>
      <c r="E75" s="3" t="s">
        <v>272</v>
      </c>
      <c r="F75" s="3" t="s">
        <v>37</v>
      </c>
      <c r="G75" s="3" t="s">
        <v>273</v>
      </c>
      <c r="H75" s="3" t="s">
        <v>274</v>
      </c>
      <c r="I75" s="2" t="s">
        <v>13</v>
      </c>
    </row>
    <row r="76" spans="2:9" ht="43.2" x14ac:dyDescent="0.3">
      <c r="B76" s="2">
        <f t="shared" si="2"/>
        <v>74</v>
      </c>
      <c r="C76" s="3" t="s">
        <v>229</v>
      </c>
      <c r="D76" s="3" t="s">
        <v>230</v>
      </c>
      <c r="E76" s="3" t="s">
        <v>275</v>
      </c>
      <c r="F76" s="3" t="s">
        <v>276</v>
      </c>
      <c r="G76" s="3" t="s">
        <v>277</v>
      </c>
      <c r="H76" s="3" t="s">
        <v>278</v>
      </c>
      <c r="I76" s="2" t="s">
        <v>13</v>
      </c>
    </row>
    <row r="77" spans="2:9" ht="129.6" x14ac:dyDescent="0.3">
      <c r="B77" s="2">
        <f t="shared" si="2"/>
        <v>75</v>
      </c>
      <c r="C77" s="3" t="s">
        <v>229</v>
      </c>
      <c r="D77" s="3" t="s">
        <v>230</v>
      </c>
      <c r="E77" s="3" t="s">
        <v>279</v>
      </c>
      <c r="F77" s="3" t="s">
        <v>280</v>
      </c>
      <c r="G77" s="3" t="s">
        <v>281</v>
      </c>
      <c r="H77" s="3" t="s">
        <v>282</v>
      </c>
      <c r="I77" s="2" t="s">
        <v>42</v>
      </c>
    </row>
    <row r="78" spans="2:9" ht="86.4" x14ac:dyDescent="0.3">
      <c r="B78" s="2">
        <f t="shared" si="2"/>
        <v>76</v>
      </c>
      <c r="C78" s="3" t="s">
        <v>229</v>
      </c>
      <c r="D78" s="3" t="s">
        <v>230</v>
      </c>
      <c r="E78" s="3" t="s">
        <v>283</v>
      </c>
      <c r="F78" s="3" t="s">
        <v>284</v>
      </c>
      <c r="G78" s="3" t="s">
        <v>285</v>
      </c>
      <c r="H78" s="3" t="s">
        <v>286</v>
      </c>
      <c r="I78" s="2" t="s">
        <v>120</v>
      </c>
    </row>
    <row r="79" spans="2:9" ht="86.4" x14ac:dyDescent="0.3">
      <c r="B79" s="2">
        <f t="shared" si="2"/>
        <v>77</v>
      </c>
      <c r="C79" s="3" t="s">
        <v>229</v>
      </c>
      <c r="D79" s="3" t="s">
        <v>230</v>
      </c>
      <c r="E79" s="3" t="s">
        <v>287</v>
      </c>
      <c r="F79" s="3" t="s">
        <v>288</v>
      </c>
      <c r="G79" s="3" t="s">
        <v>289</v>
      </c>
      <c r="H79" s="3" t="s">
        <v>290</v>
      </c>
      <c r="I79" s="2" t="s">
        <v>13</v>
      </c>
    </row>
    <row r="80" spans="2:9" ht="57.6" x14ac:dyDescent="0.3">
      <c r="B80" s="2">
        <f t="shared" si="2"/>
        <v>78</v>
      </c>
      <c r="C80" s="3" t="s">
        <v>229</v>
      </c>
      <c r="D80" s="3" t="s">
        <v>230</v>
      </c>
      <c r="E80" s="3" t="s">
        <v>291</v>
      </c>
      <c r="F80" s="3" t="s">
        <v>292</v>
      </c>
      <c r="G80" s="3" t="s">
        <v>293</v>
      </c>
      <c r="H80" s="3" t="s">
        <v>294</v>
      </c>
      <c r="I80" s="2" t="s">
        <v>13</v>
      </c>
    </row>
    <row r="81" spans="2:9" ht="86.4" x14ac:dyDescent="0.3">
      <c r="B81" s="2">
        <f t="shared" si="2"/>
        <v>79</v>
      </c>
      <c r="C81" s="3" t="s">
        <v>229</v>
      </c>
      <c r="D81" s="3" t="s">
        <v>230</v>
      </c>
      <c r="E81" s="3" t="s">
        <v>295</v>
      </c>
      <c r="F81" s="3" t="s">
        <v>296</v>
      </c>
      <c r="G81" s="3" t="s">
        <v>297</v>
      </c>
      <c r="H81" s="3" t="s">
        <v>298</v>
      </c>
      <c r="I81" s="2" t="s">
        <v>120</v>
      </c>
    </row>
    <row r="82" spans="2:9" ht="57.6" x14ac:dyDescent="0.3">
      <c r="B82" s="2">
        <f t="shared" si="2"/>
        <v>80</v>
      </c>
      <c r="C82" s="3" t="s">
        <v>229</v>
      </c>
      <c r="D82" s="3" t="s">
        <v>230</v>
      </c>
      <c r="E82" s="3" t="s">
        <v>299</v>
      </c>
      <c r="F82" s="3" t="s">
        <v>300</v>
      </c>
      <c r="G82" s="3" t="s">
        <v>301</v>
      </c>
      <c r="H82" s="3" t="s">
        <v>302</v>
      </c>
      <c r="I82" s="2" t="s">
        <v>42</v>
      </c>
    </row>
    <row r="83" spans="2:9" ht="57.6" x14ac:dyDescent="0.3">
      <c r="B83" s="2">
        <f t="shared" si="2"/>
        <v>81</v>
      </c>
      <c r="C83" s="3" t="s">
        <v>229</v>
      </c>
      <c r="D83" s="3" t="s">
        <v>230</v>
      </c>
      <c r="E83" s="3" t="s">
        <v>303</v>
      </c>
      <c r="F83" s="3" t="s">
        <v>304</v>
      </c>
      <c r="G83" s="3" t="s">
        <v>305</v>
      </c>
      <c r="H83" s="3" t="s">
        <v>306</v>
      </c>
      <c r="I83" s="2" t="s">
        <v>42</v>
      </c>
    </row>
    <row r="84" spans="2:9" ht="72" x14ac:dyDescent="0.3">
      <c r="B84" s="2">
        <f t="shared" si="2"/>
        <v>82</v>
      </c>
      <c r="C84" s="3" t="s">
        <v>229</v>
      </c>
      <c r="D84" s="3" t="s">
        <v>307</v>
      </c>
      <c r="E84" s="3" t="s">
        <v>308</v>
      </c>
      <c r="F84" s="3" t="s">
        <v>309</v>
      </c>
      <c r="G84" s="3" t="s">
        <v>310</v>
      </c>
      <c r="H84" s="3" t="s">
        <v>311</v>
      </c>
      <c r="I84" s="2" t="s">
        <v>13</v>
      </c>
    </row>
    <row r="85" spans="2:9" ht="72" x14ac:dyDescent="0.3">
      <c r="B85" s="2">
        <f t="shared" si="2"/>
        <v>83</v>
      </c>
      <c r="C85" s="3" t="s">
        <v>229</v>
      </c>
      <c r="D85" s="3" t="s">
        <v>307</v>
      </c>
      <c r="E85" s="3" t="s">
        <v>312</v>
      </c>
      <c r="F85" s="3" t="s">
        <v>37</v>
      </c>
      <c r="G85" s="3" t="s">
        <v>313</v>
      </c>
      <c r="H85" s="3" t="s">
        <v>314</v>
      </c>
      <c r="I85" s="2" t="s">
        <v>13</v>
      </c>
    </row>
    <row r="86" spans="2:9" ht="72" x14ac:dyDescent="0.3">
      <c r="B86" s="2">
        <f t="shared" si="2"/>
        <v>84</v>
      </c>
      <c r="C86" s="3" t="s">
        <v>229</v>
      </c>
      <c r="D86" s="3" t="s">
        <v>230</v>
      </c>
      <c r="E86" s="3" t="s">
        <v>315</v>
      </c>
      <c r="F86" s="3" t="s">
        <v>276</v>
      </c>
      <c r="G86" s="3" t="s">
        <v>316</v>
      </c>
      <c r="H86" s="3" t="s">
        <v>317</v>
      </c>
      <c r="I86" s="2" t="s">
        <v>13</v>
      </c>
    </row>
    <row r="87" spans="2:9" ht="57.6" x14ac:dyDescent="0.3">
      <c r="B87" s="2">
        <f t="shared" si="2"/>
        <v>85</v>
      </c>
      <c r="C87" s="3" t="s">
        <v>318</v>
      </c>
      <c r="D87" s="3" t="s">
        <v>319</v>
      </c>
      <c r="E87" s="3" t="s">
        <v>320</v>
      </c>
      <c r="F87" s="3" t="s">
        <v>321</v>
      </c>
      <c r="G87" s="3" t="s">
        <v>322</v>
      </c>
      <c r="H87" s="3" t="s">
        <v>323</v>
      </c>
      <c r="I87" s="2" t="s">
        <v>120</v>
      </c>
    </row>
    <row r="88" spans="2:9" ht="43.2" x14ac:dyDescent="0.3">
      <c r="B88" s="2">
        <f t="shared" ref="B88:B107" si="3">B87+1</f>
        <v>86</v>
      </c>
      <c r="C88" s="3" t="s">
        <v>318</v>
      </c>
      <c r="D88" s="3" t="s">
        <v>324</v>
      </c>
      <c r="E88" s="3" t="s">
        <v>325</v>
      </c>
      <c r="F88" s="3" t="s">
        <v>326</v>
      </c>
      <c r="G88" s="3" t="s">
        <v>327</v>
      </c>
      <c r="H88" s="3" t="s">
        <v>328</v>
      </c>
      <c r="I88" s="2" t="s">
        <v>13</v>
      </c>
    </row>
    <row r="89" spans="2:9" ht="28.8" x14ac:dyDescent="0.3">
      <c r="B89" s="2">
        <f t="shared" si="3"/>
        <v>87</v>
      </c>
      <c r="C89" s="3" t="s">
        <v>318</v>
      </c>
      <c r="D89" s="3" t="s">
        <v>329</v>
      </c>
      <c r="E89" s="3" t="s">
        <v>330</v>
      </c>
      <c r="F89" s="3" t="s">
        <v>331</v>
      </c>
      <c r="G89" s="3" t="s">
        <v>332</v>
      </c>
      <c r="H89" s="3" t="s">
        <v>333</v>
      </c>
      <c r="I89" s="2" t="s">
        <v>42</v>
      </c>
    </row>
    <row r="90" spans="2:9" ht="43.2" x14ac:dyDescent="0.3">
      <c r="B90" s="2">
        <f t="shared" si="3"/>
        <v>88</v>
      </c>
      <c r="C90" s="3" t="s">
        <v>318</v>
      </c>
      <c r="D90" s="3" t="s">
        <v>334</v>
      </c>
      <c r="E90" s="3" t="s">
        <v>335</v>
      </c>
      <c r="F90" s="3" t="s">
        <v>336</v>
      </c>
      <c r="G90" s="3" t="s">
        <v>337</v>
      </c>
      <c r="H90" s="3" t="s">
        <v>338</v>
      </c>
      <c r="I90" s="2" t="s">
        <v>13</v>
      </c>
    </row>
    <row r="91" spans="2:9" ht="57.6" x14ac:dyDescent="0.3">
      <c r="B91" s="2">
        <f t="shared" si="3"/>
        <v>89</v>
      </c>
      <c r="C91" s="3" t="s">
        <v>318</v>
      </c>
      <c r="D91" s="3" t="s">
        <v>339</v>
      </c>
      <c r="E91" s="3" t="s">
        <v>340</v>
      </c>
      <c r="F91" s="3" t="s">
        <v>341</v>
      </c>
      <c r="G91" s="3" t="s">
        <v>342</v>
      </c>
      <c r="H91" s="3" t="s">
        <v>343</v>
      </c>
      <c r="I91" s="2" t="s">
        <v>13</v>
      </c>
    </row>
    <row r="92" spans="2:9" ht="28.8" x14ac:dyDescent="0.3">
      <c r="B92" s="2">
        <f t="shared" si="3"/>
        <v>90</v>
      </c>
      <c r="C92" s="3" t="s">
        <v>318</v>
      </c>
      <c r="D92" s="3" t="s">
        <v>339</v>
      </c>
      <c r="E92" s="3" t="s">
        <v>344</v>
      </c>
      <c r="F92" s="3" t="s">
        <v>345</v>
      </c>
      <c r="G92" s="3" t="s">
        <v>346</v>
      </c>
      <c r="H92" s="3" t="s">
        <v>347</v>
      </c>
      <c r="I92" s="2" t="s">
        <v>13</v>
      </c>
    </row>
    <row r="93" spans="2:9" x14ac:dyDescent="0.3">
      <c r="B93" s="2">
        <f t="shared" si="3"/>
        <v>91</v>
      </c>
      <c r="C93" s="3" t="s">
        <v>318</v>
      </c>
      <c r="D93" s="3" t="s">
        <v>348</v>
      </c>
      <c r="E93" s="3" t="s">
        <v>349</v>
      </c>
      <c r="F93" s="3" t="s">
        <v>350</v>
      </c>
      <c r="G93" s="3" t="s">
        <v>351</v>
      </c>
      <c r="H93" s="3" t="s">
        <v>13</v>
      </c>
      <c r="I93" s="2" t="s">
        <v>13</v>
      </c>
    </row>
    <row r="94" spans="2:9" ht="28.8" x14ac:dyDescent="0.3">
      <c r="B94" s="2">
        <f t="shared" si="3"/>
        <v>92</v>
      </c>
      <c r="C94" s="3" t="s">
        <v>318</v>
      </c>
      <c r="D94" s="3" t="s">
        <v>352</v>
      </c>
      <c r="E94" s="3" t="s">
        <v>353</v>
      </c>
      <c r="F94" s="3" t="s">
        <v>354</v>
      </c>
      <c r="G94" s="3" t="s">
        <v>355</v>
      </c>
      <c r="H94" s="3" t="s">
        <v>156</v>
      </c>
      <c r="I94" s="2" t="s">
        <v>42</v>
      </c>
    </row>
    <row r="95" spans="2:9" ht="43.2" x14ac:dyDescent="0.3">
      <c r="B95" s="2">
        <f t="shared" si="3"/>
        <v>93</v>
      </c>
      <c r="C95" s="3" t="s">
        <v>318</v>
      </c>
      <c r="D95" s="3" t="s">
        <v>356</v>
      </c>
      <c r="E95" s="3" t="s">
        <v>357</v>
      </c>
      <c r="F95" s="3" t="s">
        <v>358</v>
      </c>
      <c r="G95" s="3" t="s">
        <v>359</v>
      </c>
      <c r="H95" s="3" t="s">
        <v>360</v>
      </c>
      <c r="I95" s="2" t="s">
        <v>42</v>
      </c>
    </row>
    <row r="96" spans="2:9" ht="43.2" x14ac:dyDescent="0.3">
      <c r="B96" s="2">
        <f t="shared" si="3"/>
        <v>94</v>
      </c>
      <c r="C96" s="3" t="s">
        <v>318</v>
      </c>
      <c r="D96" s="3" t="s">
        <v>361</v>
      </c>
      <c r="E96" s="3" t="s">
        <v>362</v>
      </c>
      <c r="F96" s="3" t="s">
        <v>363</v>
      </c>
      <c r="G96" s="3" t="s">
        <v>364</v>
      </c>
      <c r="H96" s="3" t="s">
        <v>365</v>
      </c>
      <c r="I96" s="2" t="s">
        <v>42</v>
      </c>
    </row>
    <row r="97" spans="2:9" ht="43.2" x14ac:dyDescent="0.3">
      <c r="B97" s="2">
        <f t="shared" si="3"/>
        <v>95</v>
      </c>
      <c r="C97" s="3" t="s">
        <v>318</v>
      </c>
      <c r="D97" s="3" t="s">
        <v>366</v>
      </c>
      <c r="E97" s="3" t="s">
        <v>367</v>
      </c>
      <c r="F97" s="3" t="s">
        <v>368</v>
      </c>
      <c r="G97" s="3" t="s">
        <v>369</v>
      </c>
      <c r="H97" s="3" t="s">
        <v>338</v>
      </c>
      <c r="I97" s="2" t="s">
        <v>13</v>
      </c>
    </row>
    <row r="98" spans="2:9" ht="28.8" x14ac:dyDescent="0.3">
      <c r="B98" s="2">
        <f t="shared" si="3"/>
        <v>96</v>
      </c>
      <c r="C98" s="3" t="s">
        <v>318</v>
      </c>
      <c r="D98" s="3" t="s">
        <v>370</v>
      </c>
      <c r="E98" s="3" t="s">
        <v>371</v>
      </c>
      <c r="F98" s="3" t="s">
        <v>181</v>
      </c>
      <c r="G98" s="3" t="s">
        <v>372</v>
      </c>
      <c r="H98" s="3" t="s">
        <v>373</v>
      </c>
      <c r="I98" s="2" t="s">
        <v>13</v>
      </c>
    </row>
    <row r="99" spans="2:9" ht="28.8" x14ac:dyDescent="0.3">
      <c r="B99" s="2">
        <f t="shared" si="3"/>
        <v>97</v>
      </c>
      <c r="C99" s="3" t="s">
        <v>318</v>
      </c>
      <c r="D99" s="3" t="s">
        <v>49</v>
      </c>
      <c r="E99" s="3" t="s">
        <v>374</v>
      </c>
      <c r="F99" s="3" t="s">
        <v>375</v>
      </c>
      <c r="G99" s="3" t="s">
        <v>376</v>
      </c>
      <c r="H99" s="3" t="s">
        <v>377</v>
      </c>
      <c r="I99" s="2" t="s">
        <v>13</v>
      </c>
    </row>
    <row r="100" spans="2:9" ht="28.8" x14ac:dyDescent="0.3">
      <c r="B100" s="2">
        <f t="shared" si="3"/>
        <v>98</v>
      </c>
      <c r="C100" s="3" t="s">
        <v>318</v>
      </c>
      <c r="D100" s="3" t="s">
        <v>339</v>
      </c>
      <c r="E100" s="3" t="s">
        <v>378</v>
      </c>
      <c r="F100" s="3" t="s">
        <v>379</v>
      </c>
      <c r="G100" s="3" t="s">
        <v>380</v>
      </c>
      <c r="H100" s="3" t="s">
        <v>381</v>
      </c>
      <c r="I100" s="2" t="s">
        <v>13</v>
      </c>
    </row>
    <row r="101" spans="2:9" ht="28.8" x14ac:dyDescent="0.3">
      <c r="B101" s="2">
        <f t="shared" si="3"/>
        <v>99</v>
      </c>
      <c r="C101" s="3" t="s">
        <v>318</v>
      </c>
      <c r="D101" s="3" t="s">
        <v>382</v>
      </c>
      <c r="E101" s="3" t="s">
        <v>383</v>
      </c>
      <c r="F101" s="3" t="s">
        <v>384</v>
      </c>
      <c r="G101" s="3" t="s">
        <v>380</v>
      </c>
      <c r="H101" s="3" t="s">
        <v>385</v>
      </c>
      <c r="I101" s="2" t="s">
        <v>120</v>
      </c>
    </row>
    <row r="102" spans="2:9" ht="57.6" x14ac:dyDescent="0.3">
      <c r="B102" s="2">
        <f t="shared" si="3"/>
        <v>100</v>
      </c>
      <c r="C102" s="3" t="s">
        <v>318</v>
      </c>
      <c r="D102" s="3" t="s">
        <v>386</v>
      </c>
      <c r="E102" s="3" t="s">
        <v>387</v>
      </c>
      <c r="F102" s="3" t="s">
        <v>388</v>
      </c>
      <c r="G102" s="3" t="s">
        <v>389</v>
      </c>
      <c r="H102" s="3" t="s">
        <v>390</v>
      </c>
      <c r="I102" s="2" t="s">
        <v>42</v>
      </c>
    </row>
    <row r="103" spans="2:9" ht="57.6" x14ac:dyDescent="0.3">
      <c r="B103" s="2">
        <f t="shared" si="3"/>
        <v>101</v>
      </c>
      <c r="C103" s="3" t="s">
        <v>318</v>
      </c>
      <c r="D103" s="3" t="s">
        <v>391</v>
      </c>
      <c r="E103" s="3" t="s">
        <v>392</v>
      </c>
      <c r="F103" s="3" t="s">
        <v>393</v>
      </c>
      <c r="G103" s="3" t="s">
        <v>394</v>
      </c>
      <c r="H103" s="3" t="s">
        <v>395</v>
      </c>
      <c r="I103" s="2" t="s">
        <v>42</v>
      </c>
    </row>
    <row r="104" spans="2:9" ht="57.6" x14ac:dyDescent="0.3">
      <c r="B104" s="2">
        <f t="shared" si="3"/>
        <v>102</v>
      </c>
      <c r="C104" s="3" t="s">
        <v>318</v>
      </c>
      <c r="D104" s="3" t="s">
        <v>396</v>
      </c>
      <c r="E104" s="3" t="s">
        <v>397</v>
      </c>
      <c r="F104" s="3" t="s">
        <v>398</v>
      </c>
      <c r="G104" s="3" t="s">
        <v>399</v>
      </c>
      <c r="H104" s="3" t="s">
        <v>400</v>
      </c>
      <c r="I104" s="2" t="s">
        <v>42</v>
      </c>
    </row>
    <row r="105" spans="2:9" ht="72" x14ac:dyDescent="0.3">
      <c r="B105" s="2">
        <f t="shared" si="3"/>
        <v>103</v>
      </c>
      <c r="C105" s="3" t="s">
        <v>318</v>
      </c>
      <c r="D105" s="3" t="s">
        <v>401</v>
      </c>
      <c r="E105" s="3" t="s">
        <v>402</v>
      </c>
      <c r="F105" s="3" t="s">
        <v>403</v>
      </c>
      <c r="G105" s="3" t="s">
        <v>404</v>
      </c>
      <c r="H105" s="3" t="s">
        <v>405</v>
      </c>
      <c r="I105" s="2" t="s">
        <v>42</v>
      </c>
    </row>
    <row r="106" spans="2:9" ht="57.6" x14ac:dyDescent="0.3">
      <c r="B106" s="2">
        <f t="shared" si="3"/>
        <v>104</v>
      </c>
      <c r="C106" s="3" t="s">
        <v>318</v>
      </c>
      <c r="D106" s="3" t="s">
        <v>406</v>
      </c>
      <c r="E106" s="3" t="s">
        <v>407</v>
      </c>
      <c r="F106" s="3" t="s">
        <v>408</v>
      </c>
      <c r="G106" s="3" t="s">
        <v>409</v>
      </c>
      <c r="H106" s="3" t="s">
        <v>390</v>
      </c>
      <c r="I106" s="2" t="s">
        <v>42</v>
      </c>
    </row>
    <row r="107" spans="2:9" ht="57.6" x14ac:dyDescent="0.3">
      <c r="B107" s="2">
        <f t="shared" si="3"/>
        <v>105</v>
      </c>
      <c r="C107" s="3" t="s">
        <v>410</v>
      </c>
      <c r="D107" s="3" t="s">
        <v>411</v>
      </c>
      <c r="E107" s="3" t="s">
        <v>412</v>
      </c>
      <c r="F107" s="3" t="s">
        <v>413</v>
      </c>
      <c r="G107" s="3" t="s">
        <v>414</v>
      </c>
      <c r="H107" s="3" t="s">
        <v>415</v>
      </c>
      <c r="I107" s="2" t="s">
        <v>13</v>
      </c>
    </row>
    <row r="108" spans="2:9" ht="43.2" x14ac:dyDescent="0.3">
      <c r="B108" s="2">
        <f t="shared" ref="B108:B125" si="4">B107+1</f>
        <v>106</v>
      </c>
      <c r="C108" s="3" t="s">
        <v>410</v>
      </c>
      <c r="D108" s="3" t="s">
        <v>416</v>
      </c>
      <c r="E108" s="3" t="s">
        <v>417</v>
      </c>
      <c r="F108" s="3" t="s">
        <v>418</v>
      </c>
      <c r="G108" s="3" t="s">
        <v>419</v>
      </c>
      <c r="H108" s="3" t="s">
        <v>420</v>
      </c>
      <c r="I108" s="2" t="s">
        <v>13</v>
      </c>
    </row>
    <row r="109" spans="2:9" ht="43.2" x14ac:dyDescent="0.3">
      <c r="B109" s="2">
        <f t="shared" si="4"/>
        <v>107</v>
      </c>
      <c r="C109" s="3" t="s">
        <v>410</v>
      </c>
      <c r="D109" s="3" t="s">
        <v>421</v>
      </c>
      <c r="E109" s="3" t="s">
        <v>422</v>
      </c>
      <c r="F109" s="3" t="s">
        <v>423</v>
      </c>
      <c r="G109" s="3" t="s">
        <v>424</v>
      </c>
      <c r="H109" s="3" t="s">
        <v>425</v>
      </c>
      <c r="I109" s="2" t="s">
        <v>13</v>
      </c>
    </row>
    <row r="110" spans="2:9" ht="86.4" x14ac:dyDescent="0.3">
      <c r="B110" s="2">
        <f t="shared" si="4"/>
        <v>108</v>
      </c>
      <c r="C110" s="3" t="s">
        <v>410</v>
      </c>
      <c r="D110" s="3" t="s">
        <v>426</v>
      </c>
      <c r="E110" s="3" t="s">
        <v>427</v>
      </c>
      <c r="F110" s="3" t="s">
        <v>428</v>
      </c>
      <c r="G110" s="3" t="s">
        <v>429</v>
      </c>
      <c r="H110" s="3" t="s">
        <v>430</v>
      </c>
      <c r="I110" s="2" t="s">
        <v>42</v>
      </c>
    </row>
    <row r="111" spans="2:9" ht="43.2" x14ac:dyDescent="0.3">
      <c r="B111" s="2">
        <f t="shared" si="4"/>
        <v>109</v>
      </c>
      <c r="C111" s="3" t="s">
        <v>410</v>
      </c>
      <c r="D111" s="3" t="s">
        <v>431</v>
      </c>
      <c r="E111" s="3" t="s">
        <v>432</v>
      </c>
      <c r="F111" s="3" t="s">
        <v>433</v>
      </c>
      <c r="G111" s="3" t="s">
        <v>434</v>
      </c>
      <c r="H111" s="3" t="s">
        <v>435</v>
      </c>
      <c r="I111" s="2" t="s">
        <v>42</v>
      </c>
    </row>
    <row r="112" spans="2:9" ht="43.2" x14ac:dyDescent="0.3">
      <c r="B112" s="2">
        <f t="shared" si="4"/>
        <v>110</v>
      </c>
      <c r="C112" s="3" t="s">
        <v>410</v>
      </c>
      <c r="D112" s="3" t="s">
        <v>49</v>
      </c>
      <c r="E112" s="3" t="s">
        <v>436</v>
      </c>
      <c r="F112" s="3" t="s">
        <v>437</v>
      </c>
      <c r="G112" s="3" t="s">
        <v>438</v>
      </c>
      <c r="H112" s="3" t="s">
        <v>439</v>
      </c>
      <c r="I112" s="2" t="s">
        <v>42</v>
      </c>
    </row>
    <row r="113" spans="2:9" ht="43.2" x14ac:dyDescent="0.3">
      <c r="B113" s="2">
        <f t="shared" si="4"/>
        <v>111</v>
      </c>
      <c r="C113" s="3" t="s">
        <v>410</v>
      </c>
      <c r="D113" s="3" t="s">
        <v>49</v>
      </c>
      <c r="E113" s="3" t="s">
        <v>440</v>
      </c>
      <c r="F113" s="3" t="s">
        <v>441</v>
      </c>
      <c r="G113" s="3" t="s">
        <v>442</v>
      </c>
      <c r="H113" s="3" t="s">
        <v>443</v>
      </c>
      <c r="I113" s="2" t="s">
        <v>42</v>
      </c>
    </row>
    <row r="114" spans="2:9" ht="57.6" x14ac:dyDescent="0.3">
      <c r="B114" s="2">
        <f t="shared" si="4"/>
        <v>112</v>
      </c>
      <c r="C114" s="3" t="s">
        <v>410</v>
      </c>
      <c r="D114" s="3" t="s">
        <v>444</v>
      </c>
      <c r="E114" s="3" t="s">
        <v>445</v>
      </c>
      <c r="F114" s="3" t="s">
        <v>446</v>
      </c>
      <c r="G114" s="3" t="s">
        <v>447</v>
      </c>
      <c r="H114" s="3" t="s">
        <v>448</v>
      </c>
      <c r="I114" s="2" t="s">
        <v>13</v>
      </c>
    </row>
    <row r="115" spans="2:9" ht="43.2" x14ac:dyDescent="0.3">
      <c r="B115" s="2">
        <f t="shared" si="4"/>
        <v>113</v>
      </c>
      <c r="C115" s="3" t="s">
        <v>410</v>
      </c>
      <c r="D115" s="3" t="s">
        <v>449</v>
      </c>
      <c r="E115" s="3" t="s">
        <v>450</v>
      </c>
      <c r="F115" s="3" t="s">
        <v>451</v>
      </c>
      <c r="G115" s="3" t="s">
        <v>452</v>
      </c>
      <c r="H115" s="3" t="s">
        <v>453</v>
      </c>
      <c r="I115" s="2" t="s">
        <v>13</v>
      </c>
    </row>
    <row r="116" spans="2:9" ht="43.2" x14ac:dyDescent="0.3">
      <c r="B116" s="2">
        <f t="shared" si="4"/>
        <v>114</v>
      </c>
      <c r="C116" s="3" t="s">
        <v>410</v>
      </c>
      <c r="D116" s="3" t="s">
        <v>454</v>
      </c>
      <c r="E116" s="3" t="s">
        <v>455</v>
      </c>
      <c r="F116" s="3" t="s">
        <v>456</v>
      </c>
      <c r="G116" s="3" t="s">
        <v>457</v>
      </c>
      <c r="H116" s="3" t="s">
        <v>458</v>
      </c>
      <c r="I116" s="2" t="s">
        <v>120</v>
      </c>
    </row>
    <row r="117" spans="2:9" ht="57.6" x14ac:dyDescent="0.3">
      <c r="B117" s="2">
        <f t="shared" si="4"/>
        <v>115</v>
      </c>
      <c r="C117" s="3" t="s">
        <v>410</v>
      </c>
      <c r="D117" s="3" t="s">
        <v>444</v>
      </c>
      <c r="E117" s="3" t="s">
        <v>459</v>
      </c>
      <c r="F117" s="3" t="s">
        <v>460</v>
      </c>
      <c r="G117" s="3" t="s">
        <v>461</v>
      </c>
      <c r="H117" s="3" t="s">
        <v>448</v>
      </c>
      <c r="I117" s="2" t="s">
        <v>13</v>
      </c>
    </row>
    <row r="118" spans="2:9" ht="57.6" x14ac:dyDescent="0.3">
      <c r="B118" s="2">
        <f t="shared" si="4"/>
        <v>116</v>
      </c>
      <c r="C118" s="3" t="s">
        <v>410</v>
      </c>
      <c r="D118" s="3" t="s">
        <v>444</v>
      </c>
      <c r="E118" s="3" t="s">
        <v>462</v>
      </c>
      <c r="F118" s="3" t="s">
        <v>463</v>
      </c>
      <c r="G118" s="3" t="s">
        <v>464</v>
      </c>
      <c r="H118" s="3" t="s">
        <v>448</v>
      </c>
      <c r="I118" s="2" t="s">
        <v>13</v>
      </c>
    </row>
    <row r="119" spans="2:9" ht="57.6" x14ac:dyDescent="0.3">
      <c r="B119" s="2">
        <f t="shared" si="4"/>
        <v>117</v>
      </c>
      <c r="C119" s="3" t="s">
        <v>410</v>
      </c>
      <c r="D119" s="3" t="s">
        <v>444</v>
      </c>
      <c r="E119" s="3" t="s">
        <v>465</v>
      </c>
      <c r="F119" s="3" t="s">
        <v>466</v>
      </c>
      <c r="G119" s="3" t="s">
        <v>467</v>
      </c>
      <c r="H119" s="3" t="s">
        <v>448</v>
      </c>
      <c r="I119" s="2" t="s">
        <v>13</v>
      </c>
    </row>
    <row r="120" spans="2:9" ht="57.6" x14ac:dyDescent="0.3">
      <c r="B120" s="2">
        <f t="shared" si="4"/>
        <v>118</v>
      </c>
      <c r="C120" s="3" t="s">
        <v>410</v>
      </c>
      <c r="D120" s="3" t="s">
        <v>444</v>
      </c>
      <c r="E120" s="3" t="s">
        <v>468</v>
      </c>
      <c r="F120" s="3" t="s">
        <v>469</v>
      </c>
      <c r="G120" s="3" t="s">
        <v>467</v>
      </c>
      <c r="H120" s="3" t="s">
        <v>448</v>
      </c>
      <c r="I120" s="2" t="s">
        <v>13</v>
      </c>
    </row>
    <row r="121" spans="2:9" ht="57.6" x14ac:dyDescent="0.3">
      <c r="B121" s="2">
        <f t="shared" si="4"/>
        <v>119</v>
      </c>
      <c r="C121" s="3" t="s">
        <v>410</v>
      </c>
      <c r="D121" s="3" t="s">
        <v>444</v>
      </c>
      <c r="E121" s="3" t="s">
        <v>470</v>
      </c>
      <c r="F121" s="3" t="s">
        <v>22</v>
      </c>
      <c r="G121" s="3" t="s">
        <v>471</v>
      </c>
      <c r="H121" s="3" t="s">
        <v>448</v>
      </c>
      <c r="I121" s="2" t="s">
        <v>13</v>
      </c>
    </row>
    <row r="122" spans="2:9" ht="57.6" x14ac:dyDescent="0.3">
      <c r="B122" s="2">
        <f t="shared" si="4"/>
        <v>120</v>
      </c>
      <c r="C122" s="3" t="s">
        <v>410</v>
      </c>
      <c r="D122" s="3" t="s">
        <v>444</v>
      </c>
      <c r="E122" s="3" t="s">
        <v>472</v>
      </c>
      <c r="F122" s="3" t="s">
        <v>473</v>
      </c>
      <c r="G122" s="3" t="s">
        <v>474</v>
      </c>
      <c r="H122" s="3" t="s">
        <v>448</v>
      </c>
      <c r="I122" s="2" t="s">
        <v>13</v>
      </c>
    </row>
    <row r="123" spans="2:9" ht="57.6" x14ac:dyDescent="0.3">
      <c r="B123" s="2">
        <f t="shared" si="4"/>
        <v>121</v>
      </c>
      <c r="C123" s="3" t="s">
        <v>410</v>
      </c>
      <c r="D123" s="3" t="s">
        <v>444</v>
      </c>
      <c r="E123" s="3" t="s">
        <v>475</v>
      </c>
      <c r="F123" s="3" t="s">
        <v>476</v>
      </c>
      <c r="G123" s="3" t="s">
        <v>477</v>
      </c>
      <c r="H123" s="3" t="s">
        <v>448</v>
      </c>
      <c r="I123" s="2" t="s">
        <v>13</v>
      </c>
    </row>
    <row r="124" spans="2:9" ht="57.6" x14ac:dyDescent="0.3">
      <c r="B124" s="2">
        <f t="shared" si="4"/>
        <v>122</v>
      </c>
      <c r="C124" s="3" t="s">
        <v>410</v>
      </c>
      <c r="D124" s="3" t="s">
        <v>478</v>
      </c>
      <c r="E124" s="3" t="s">
        <v>479</v>
      </c>
      <c r="F124" s="3" t="s">
        <v>181</v>
      </c>
      <c r="G124" s="3" t="s">
        <v>434</v>
      </c>
      <c r="H124" s="3" t="s">
        <v>480</v>
      </c>
      <c r="I124" s="2" t="s">
        <v>120</v>
      </c>
    </row>
    <row r="125" spans="2:9" ht="43.2" x14ac:dyDescent="0.3">
      <c r="B125" s="2">
        <f t="shared" si="4"/>
        <v>123</v>
      </c>
      <c r="C125" s="3" t="s">
        <v>481</v>
      </c>
      <c r="D125" s="3" t="s">
        <v>171</v>
      </c>
      <c r="E125" s="3" t="s">
        <v>482</v>
      </c>
      <c r="F125" s="3" t="s">
        <v>483</v>
      </c>
      <c r="G125" s="3" t="s">
        <v>484</v>
      </c>
      <c r="H125" s="3" t="s">
        <v>485</v>
      </c>
      <c r="I125" s="2" t="s">
        <v>42</v>
      </c>
    </row>
    <row r="126" spans="2:9" ht="43.2" x14ac:dyDescent="0.3">
      <c r="B126" s="2">
        <f>B125+1</f>
        <v>124</v>
      </c>
      <c r="C126" s="3" t="s">
        <v>481</v>
      </c>
      <c r="D126" s="3" t="s">
        <v>486</v>
      </c>
      <c r="E126" s="3" t="s">
        <v>487</v>
      </c>
      <c r="F126" s="3" t="s">
        <v>488</v>
      </c>
      <c r="G126" s="3" t="s">
        <v>101</v>
      </c>
      <c r="H126" s="3" t="s">
        <v>453</v>
      </c>
      <c r="I126" s="2" t="s">
        <v>13</v>
      </c>
    </row>
    <row r="127" spans="2:9" ht="43.2" x14ac:dyDescent="0.3">
      <c r="B127" s="2">
        <f t="shared" ref="B127:B183" si="5">B126+1</f>
        <v>125</v>
      </c>
      <c r="C127" s="3" t="s">
        <v>481</v>
      </c>
      <c r="D127" s="3" t="s">
        <v>489</v>
      </c>
      <c r="E127" s="3" t="s">
        <v>490</v>
      </c>
      <c r="F127" s="3" t="s">
        <v>491</v>
      </c>
      <c r="G127" s="3" t="s">
        <v>492</v>
      </c>
      <c r="H127" s="3" t="s">
        <v>493</v>
      </c>
      <c r="I127" s="2" t="s">
        <v>42</v>
      </c>
    </row>
    <row r="128" spans="2:9" ht="57.6" x14ac:dyDescent="0.3">
      <c r="B128" s="2">
        <f t="shared" si="5"/>
        <v>126</v>
      </c>
      <c r="C128" s="3" t="s">
        <v>481</v>
      </c>
      <c r="D128" s="3" t="s">
        <v>494</v>
      </c>
      <c r="E128" s="3" t="s">
        <v>495</v>
      </c>
      <c r="F128" s="3" t="s">
        <v>496</v>
      </c>
      <c r="G128" s="3" t="s">
        <v>497</v>
      </c>
      <c r="H128" s="3" t="s">
        <v>498</v>
      </c>
      <c r="I128" s="2" t="s">
        <v>42</v>
      </c>
    </row>
    <row r="129" spans="2:9" ht="57.6" x14ac:dyDescent="0.3">
      <c r="B129" s="2">
        <f t="shared" si="5"/>
        <v>127</v>
      </c>
      <c r="C129" s="3" t="s">
        <v>481</v>
      </c>
      <c r="D129" s="3" t="s">
        <v>499</v>
      </c>
      <c r="E129" s="3" t="s">
        <v>500</v>
      </c>
      <c r="F129" s="3" t="s">
        <v>501</v>
      </c>
      <c r="G129" s="3" t="s">
        <v>502</v>
      </c>
      <c r="H129" s="3" t="s">
        <v>503</v>
      </c>
      <c r="I129" s="2" t="s">
        <v>42</v>
      </c>
    </row>
    <row r="130" spans="2:9" ht="43.2" x14ac:dyDescent="0.3">
      <c r="B130" s="2">
        <f t="shared" si="5"/>
        <v>128</v>
      </c>
      <c r="C130" s="3" t="s">
        <v>481</v>
      </c>
      <c r="D130" s="3" t="s">
        <v>504</v>
      </c>
      <c r="E130" s="3" t="s">
        <v>505</v>
      </c>
      <c r="F130" s="3" t="s">
        <v>506</v>
      </c>
      <c r="G130" s="3" t="s">
        <v>507</v>
      </c>
      <c r="H130" s="3" t="s">
        <v>508</v>
      </c>
      <c r="I130" s="2" t="s">
        <v>19</v>
      </c>
    </row>
    <row r="131" spans="2:9" ht="43.2" x14ac:dyDescent="0.3">
      <c r="B131" s="2">
        <f t="shared" si="5"/>
        <v>129</v>
      </c>
      <c r="C131" s="3" t="s">
        <v>481</v>
      </c>
      <c r="D131" s="3" t="s">
        <v>329</v>
      </c>
      <c r="E131" s="3" t="s">
        <v>509</v>
      </c>
      <c r="F131" s="3" t="s">
        <v>375</v>
      </c>
      <c r="G131" s="3" t="s">
        <v>510</v>
      </c>
      <c r="H131" s="3" t="s">
        <v>511</v>
      </c>
      <c r="I131" s="2" t="s">
        <v>42</v>
      </c>
    </row>
    <row r="132" spans="2:9" ht="57.6" x14ac:dyDescent="0.3">
      <c r="B132" s="2">
        <f t="shared" si="5"/>
        <v>130</v>
      </c>
      <c r="C132" s="3" t="s">
        <v>481</v>
      </c>
      <c r="D132" s="3" t="s">
        <v>512</v>
      </c>
      <c r="E132" s="3" t="s">
        <v>513</v>
      </c>
      <c r="F132" s="3" t="s">
        <v>514</v>
      </c>
      <c r="G132" s="3" t="s">
        <v>515</v>
      </c>
      <c r="H132" s="3" t="s">
        <v>516</v>
      </c>
      <c r="I132" s="2" t="s">
        <v>42</v>
      </c>
    </row>
    <row r="133" spans="2:9" ht="43.2" x14ac:dyDescent="0.3">
      <c r="B133" s="2">
        <f t="shared" si="5"/>
        <v>131</v>
      </c>
      <c r="C133" s="3" t="s">
        <v>481</v>
      </c>
      <c r="D133" s="3" t="s">
        <v>517</v>
      </c>
      <c r="E133" s="3" t="s">
        <v>518</v>
      </c>
      <c r="F133" s="3" t="s">
        <v>519</v>
      </c>
      <c r="G133" s="3" t="s">
        <v>484</v>
      </c>
      <c r="H133" s="3" t="s">
        <v>520</v>
      </c>
      <c r="I133" s="2" t="s">
        <v>13</v>
      </c>
    </row>
    <row r="134" spans="2:9" ht="28.8" x14ac:dyDescent="0.3">
      <c r="B134" s="2">
        <f t="shared" si="5"/>
        <v>132</v>
      </c>
      <c r="C134" s="3" t="s">
        <v>481</v>
      </c>
      <c r="D134" s="3" t="s">
        <v>521</v>
      </c>
      <c r="E134" s="3" t="s">
        <v>522</v>
      </c>
      <c r="F134" s="3" t="s">
        <v>523</v>
      </c>
      <c r="G134" s="3" t="s">
        <v>524</v>
      </c>
      <c r="H134" s="3" t="s">
        <v>525</v>
      </c>
      <c r="I134" s="2" t="s">
        <v>13</v>
      </c>
    </row>
    <row r="135" spans="2:9" x14ac:dyDescent="0.3">
      <c r="B135" s="2">
        <f t="shared" si="5"/>
        <v>133</v>
      </c>
      <c r="C135" s="3" t="s">
        <v>481</v>
      </c>
      <c r="D135" s="3" t="s">
        <v>486</v>
      </c>
      <c r="E135" s="3" t="s">
        <v>526</v>
      </c>
      <c r="F135" s="3" t="s">
        <v>527</v>
      </c>
      <c r="G135" s="3" t="s">
        <v>118</v>
      </c>
      <c r="H135" s="3" t="s">
        <v>390</v>
      </c>
      <c r="I135" s="2" t="s">
        <v>42</v>
      </c>
    </row>
    <row r="136" spans="2:9" ht="28.8" x14ac:dyDescent="0.3">
      <c r="B136" s="2">
        <f t="shared" si="5"/>
        <v>134</v>
      </c>
      <c r="C136" s="3" t="s">
        <v>481</v>
      </c>
      <c r="D136" s="3" t="s">
        <v>528</v>
      </c>
      <c r="E136" s="3" t="s">
        <v>529</v>
      </c>
      <c r="F136" s="3" t="s">
        <v>530</v>
      </c>
      <c r="G136" s="3" t="s">
        <v>124</v>
      </c>
      <c r="H136" s="3" t="s">
        <v>390</v>
      </c>
      <c r="I136" s="2" t="s">
        <v>42</v>
      </c>
    </row>
    <row r="137" spans="2:9" ht="57.6" x14ac:dyDescent="0.3">
      <c r="B137" s="2">
        <f t="shared" si="5"/>
        <v>135</v>
      </c>
      <c r="C137" s="3" t="s">
        <v>481</v>
      </c>
      <c r="D137" s="3" t="s">
        <v>486</v>
      </c>
      <c r="E137" s="3" t="s">
        <v>531</v>
      </c>
      <c r="F137" s="3" t="s">
        <v>532</v>
      </c>
      <c r="G137" s="3" t="s">
        <v>118</v>
      </c>
      <c r="H137" s="3" t="s">
        <v>453</v>
      </c>
      <c r="I137" s="2" t="s">
        <v>13</v>
      </c>
    </row>
    <row r="138" spans="2:9" ht="28.8" x14ac:dyDescent="0.3">
      <c r="B138" s="2">
        <f t="shared" si="5"/>
        <v>136</v>
      </c>
      <c r="C138" s="3" t="s">
        <v>481</v>
      </c>
      <c r="D138" s="3" t="s">
        <v>533</v>
      </c>
      <c r="E138" s="3" t="s">
        <v>534</v>
      </c>
      <c r="F138" s="3" t="s">
        <v>535</v>
      </c>
      <c r="G138" s="3" t="s">
        <v>536</v>
      </c>
      <c r="H138" s="3" t="s">
        <v>537</v>
      </c>
      <c r="I138" s="2" t="s">
        <v>42</v>
      </c>
    </row>
    <row r="139" spans="2:9" ht="43.2" x14ac:dyDescent="0.3">
      <c r="B139" s="2">
        <f t="shared" si="5"/>
        <v>137</v>
      </c>
      <c r="C139" s="3" t="s">
        <v>481</v>
      </c>
      <c r="D139" s="3" t="s">
        <v>533</v>
      </c>
      <c r="E139" s="3" t="s">
        <v>538</v>
      </c>
      <c r="F139" s="3" t="s">
        <v>539</v>
      </c>
      <c r="G139" s="3" t="s">
        <v>540</v>
      </c>
      <c r="H139" s="3" t="s">
        <v>541</v>
      </c>
      <c r="I139" s="2" t="s">
        <v>42</v>
      </c>
    </row>
    <row r="140" spans="2:9" ht="28.8" x14ac:dyDescent="0.3">
      <c r="B140" s="2">
        <f t="shared" si="5"/>
        <v>138</v>
      </c>
      <c r="C140" s="3" t="s">
        <v>481</v>
      </c>
      <c r="D140" s="3" t="s">
        <v>542</v>
      </c>
      <c r="E140" s="3" t="s">
        <v>543</v>
      </c>
      <c r="F140" s="3" t="s">
        <v>544</v>
      </c>
      <c r="G140" s="3" t="s">
        <v>81</v>
      </c>
      <c r="H140" s="3" t="s">
        <v>390</v>
      </c>
      <c r="I140" s="2" t="s">
        <v>42</v>
      </c>
    </row>
    <row r="141" spans="2:9" ht="43.2" x14ac:dyDescent="0.3">
      <c r="B141" s="2">
        <f t="shared" si="5"/>
        <v>139</v>
      </c>
      <c r="C141" s="3" t="s">
        <v>481</v>
      </c>
      <c r="D141" s="3" t="s">
        <v>545</v>
      </c>
      <c r="E141" s="3" t="s">
        <v>546</v>
      </c>
      <c r="F141" s="3" t="s">
        <v>547</v>
      </c>
      <c r="G141" s="3" t="s">
        <v>548</v>
      </c>
      <c r="H141" s="3" t="s">
        <v>390</v>
      </c>
      <c r="I141" s="2" t="s">
        <v>42</v>
      </c>
    </row>
    <row r="142" spans="2:9" ht="28.8" x14ac:dyDescent="0.3">
      <c r="B142" s="2">
        <f t="shared" si="5"/>
        <v>140</v>
      </c>
      <c r="C142" s="3" t="s">
        <v>481</v>
      </c>
      <c r="D142" s="3" t="s">
        <v>549</v>
      </c>
      <c r="E142" s="3" t="s">
        <v>550</v>
      </c>
      <c r="F142" s="3" t="s">
        <v>551</v>
      </c>
      <c r="G142" s="3" t="s">
        <v>17</v>
      </c>
      <c r="H142" s="3" t="s">
        <v>453</v>
      </c>
      <c r="I142" s="2" t="s">
        <v>13</v>
      </c>
    </row>
    <row r="143" spans="2:9" ht="43.2" x14ac:dyDescent="0.3">
      <c r="B143" s="2">
        <f t="shared" si="5"/>
        <v>141</v>
      </c>
      <c r="C143" s="3" t="s">
        <v>481</v>
      </c>
      <c r="D143" s="3" t="s">
        <v>552</v>
      </c>
      <c r="E143" s="3" t="s">
        <v>553</v>
      </c>
      <c r="F143" s="3" t="s">
        <v>554</v>
      </c>
      <c r="G143" s="3" t="s">
        <v>555</v>
      </c>
      <c r="H143" s="3" t="s">
        <v>453</v>
      </c>
      <c r="I143" s="2" t="s">
        <v>13</v>
      </c>
    </row>
    <row r="144" spans="2:9" ht="28.8" x14ac:dyDescent="0.3">
      <c r="B144" s="2">
        <f t="shared" si="5"/>
        <v>142</v>
      </c>
      <c r="C144" s="3" t="s">
        <v>481</v>
      </c>
      <c r="D144" s="3" t="s">
        <v>533</v>
      </c>
      <c r="E144" s="3" t="s">
        <v>556</v>
      </c>
      <c r="F144" s="3" t="s">
        <v>557</v>
      </c>
      <c r="G144" s="3" t="s">
        <v>536</v>
      </c>
      <c r="H144" s="3" t="s">
        <v>537</v>
      </c>
      <c r="I144" s="2" t="s">
        <v>42</v>
      </c>
    </row>
    <row r="145" spans="2:9" ht="28.8" x14ac:dyDescent="0.3">
      <c r="B145" s="2">
        <f t="shared" si="5"/>
        <v>143</v>
      </c>
      <c r="C145" s="3" t="s">
        <v>481</v>
      </c>
      <c r="D145" s="3" t="s">
        <v>558</v>
      </c>
      <c r="E145" s="3" t="s">
        <v>559</v>
      </c>
      <c r="F145" s="3" t="s">
        <v>560</v>
      </c>
      <c r="G145" s="3" t="s">
        <v>561</v>
      </c>
      <c r="H145" s="3" t="s">
        <v>562</v>
      </c>
      <c r="I145" s="2" t="s">
        <v>13</v>
      </c>
    </row>
    <row r="146" spans="2:9" ht="43.2" x14ac:dyDescent="0.3">
      <c r="B146" s="2">
        <f t="shared" si="5"/>
        <v>144</v>
      </c>
      <c r="C146" s="3" t="s">
        <v>481</v>
      </c>
      <c r="D146" s="3" t="s">
        <v>558</v>
      </c>
      <c r="E146" s="3" t="s">
        <v>563</v>
      </c>
      <c r="F146" s="3" t="s">
        <v>564</v>
      </c>
      <c r="G146" s="3" t="s">
        <v>565</v>
      </c>
      <c r="H146" s="3" t="s">
        <v>562</v>
      </c>
      <c r="I146" s="2" t="s">
        <v>13</v>
      </c>
    </row>
    <row r="147" spans="2:9" ht="28.8" x14ac:dyDescent="0.3">
      <c r="B147" s="2">
        <f t="shared" si="5"/>
        <v>145</v>
      </c>
      <c r="C147" s="3" t="s">
        <v>481</v>
      </c>
      <c r="D147" s="3" t="s">
        <v>566</v>
      </c>
      <c r="E147" s="3" t="s">
        <v>567</v>
      </c>
      <c r="F147" s="3" t="s">
        <v>568</v>
      </c>
      <c r="G147" s="3" t="s">
        <v>569</v>
      </c>
      <c r="H147" s="3" t="s">
        <v>570</v>
      </c>
      <c r="I147" s="2" t="s">
        <v>42</v>
      </c>
    </row>
    <row r="148" spans="2:9" ht="100.8" x14ac:dyDescent="0.3">
      <c r="B148" s="2">
        <f t="shared" si="5"/>
        <v>146</v>
      </c>
      <c r="C148" s="3" t="s">
        <v>481</v>
      </c>
      <c r="D148" s="3" t="s">
        <v>571</v>
      </c>
      <c r="E148" s="3" t="s">
        <v>572</v>
      </c>
      <c r="F148" s="3" t="s">
        <v>573</v>
      </c>
      <c r="G148" s="3" t="s">
        <v>52</v>
      </c>
      <c r="H148" s="3" t="s">
        <v>390</v>
      </c>
      <c r="I148" s="2" t="s">
        <v>42</v>
      </c>
    </row>
    <row r="149" spans="2:9" ht="43.2" x14ac:dyDescent="0.3">
      <c r="B149" s="2">
        <f t="shared" si="5"/>
        <v>147</v>
      </c>
      <c r="C149" s="3" t="s">
        <v>481</v>
      </c>
      <c r="D149" s="3" t="s">
        <v>574</v>
      </c>
      <c r="E149" s="3" t="s">
        <v>575</v>
      </c>
      <c r="F149" s="3" t="s">
        <v>576</v>
      </c>
      <c r="G149" s="3" t="s">
        <v>101</v>
      </c>
      <c r="H149" s="3" t="s">
        <v>390</v>
      </c>
      <c r="I149" s="2" t="s">
        <v>42</v>
      </c>
    </row>
    <row r="150" spans="2:9" ht="28.8" x14ac:dyDescent="0.3">
      <c r="B150" s="2">
        <f t="shared" si="5"/>
        <v>148</v>
      </c>
      <c r="C150" s="3" t="s">
        <v>481</v>
      </c>
      <c r="D150" s="3" t="s">
        <v>486</v>
      </c>
      <c r="E150" s="3" t="s">
        <v>577</v>
      </c>
      <c r="F150" s="3" t="s">
        <v>578</v>
      </c>
      <c r="G150" s="3" t="s">
        <v>579</v>
      </c>
      <c r="H150" s="3" t="s">
        <v>453</v>
      </c>
      <c r="I150" s="2" t="s">
        <v>13</v>
      </c>
    </row>
    <row r="151" spans="2:9" ht="72" x14ac:dyDescent="0.3">
      <c r="B151" s="2">
        <f t="shared" si="5"/>
        <v>149</v>
      </c>
      <c r="C151" s="3" t="s">
        <v>481</v>
      </c>
      <c r="D151" s="3" t="s">
        <v>486</v>
      </c>
      <c r="E151" s="3" t="s">
        <v>580</v>
      </c>
      <c r="F151" s="3" t="s">
        <v>581</v>
      </c>
      <c r="G151" s="3" t="s">
        <v>502</v>
      </c>
      <c r="H151" s="3" t="s">
        <v>453</v>
      </c>
      <c r="I151" s="2" t="s">
        <v>13</v>
      </c>
    </row>
    <row r="152" spans="2:9" ht="43.2" x14ac:dyDescent="0.3">
      <c r="B152" s="2">
        <f t="shared" si="5"/>
        <v>150</v>
      </c>
      <c r="C152" s="3" t="s">
        <v>481</v>
      </c>
      <c r="D152" s="3" t="s">
        <v>486</v>
      </c>
      <c r="E152" s="3" t="s">
        <v>582</v>
      </c>
      <c r="F152" s="3" t="s">
        <v>583</v>
      </c>
      <c r="G152" s="3" t="s">
        <v>497</v>
      </c>
      <c r="H152" s="3" t="s">
        <v>453</v>
      </c>
      <c r="I152" s="2" t="s">
        <v>13</v>
      </c>
    </row>
    <row r="153" spans="2:9" ht="57.6" x14ac:dyDescent="0.3">
      <c r="B153" s="2">
        <f t="shared" si="5"/>
        <v>151</v>
      </c>
      <c r="C153" s="3" t="s">
        <v>481</v>
      </c>
      <c r="D153" s="3" t="s">
        <v>533</v>
      </c>
      <c r="E153" s="3" t="s">
        <v>584</v>
      </c>
      <c r="F153" s="3" t="s">
        <v>585</v>
      </c>
      <c r="G153" s="3" t="s">
        <v>586</v>
      </c>
      <c r="H153" s="3" t="s">
        <v>587</v>
      </c>
      <c r="I153" s="2" t="s">
        <v>42</v>
      </c>
    </row>
    <row r="154" spans="2:9" ht="57.6" x14ac:dyDescent="0.3">
      <c r="B154" s="2">
        <f t="shared" si="5"/>
        <v>152</v>
      </c>
      <c r="C154" s="3" t="s">
        <v>481</v>
      </c>
      <c r="D154" s="3" t="s">
        <v>486</v>
      </c>
      <c r="E154" s="3" t="s">
        <v>588</v>
      </c>
      <c r="F154" s="3" t="s">
        <v>589</v>
      </c>
      <c r="G154" s="3" t="s">
        <v>590</v>
      </c>
      <c r="H154" s="3" t="s">
        <v>537</v>
      </c>
      <c r="I154" s="2" t="s">
        <v>42</v>
      </c>
    </row>
    <row r="155" spans="2:9" ht="57.6" x14ac:dyDescent="0.3">
      <c r="B155" s="2">
        <f t="shared" si="5"/>
        <v>153</v>
      </c>
      <c r="C155" s="3" t="s">
        <v>481</v>
      </c>
      <c r="D155" s="3" t="s">
        <v>533</v>
      </c>
      <c r="E155" s="3" t="s">
        <v>591</v>
      </c>
      <c r="F155" s="3" t="s">
        <v>592</v>
      </c>
      <c r="G155" s="3" t="s">
        <v>540</v>
      </c>
      <c r="H155" s="3" t="s">
        <v>537</v>
      </c>
      <c r="I155" s="2" t="s">
        <v>42</v>
      </c>
    </row>
    <row r="156" spans="2:9" ht="43.2" x14ac:dyDescent="0.3">
      <c r="B156" s="2">
        <f t="shared" si="5"/>
        <v>154</v>
      </c>
      <c r="C156" s="3" t="s">
        <v>481</v>
      </c>
      <c r="D156" s="3" t="s">
        <v>486</v>
      </c>
      <c r="E156" s="3" t="s">
        <v>593</v>
      </c>
      <c r="F156" s="3" t="s">
        <v>594</v>
      </c>
      <c r="G156" s="3" t="s">
        <v>565</v>
      </c>
      <c r="H156" s="3" t="s">
        <v>453</v>
      </c>
      <c r="I156" s="2" t="s">
        <v>13</v>
      </c>
    </row>
    <row r="157" spans="2:9" ht="43.2" x14ac:dyDescent="0.3">
      <c r="B157" s="2">
        <f t="shared" si="5"/>
        <v>155</v>
      </c>
      <c r="C157" s="3" t="s">
        <v>481</v>
      </c>
      <c r="D157" s="3" t="s">
        <v>595</v>
      </c>
      <c r="E157" s="3" t="s">
        <v>596</v>
      </c>
      <c r="F157" s="3" t="s">
        <v>597</v>
      </c>
      <c r="G157" s="3" t="s">
        <v>23</v>
      </c>
      <c r="H157" s="3" t="s">
        <v>390</v>
      </c>
      <c r="I157" s="2" t="s">
        <v>42</v>
      </c>
    </row>
    <row r="158" spans="2:9" ht="28.8" x14ac:dyDescent="0.3">
      <c r="B158" s="2">
        <f t="shared" si="5"/>
        <v>156</v>
      </c>
      <c r="C158" s="3" t="s">
        <v>481</v>
      </c>
      <c r="D158" s="3" t="s">
        <v>598</v>
      </c>
      <c r="E158" s="3" t="s">
        <v>599</v>
      </c>
      <c r="F158" s="3" t="s">
        <v>600</v>
      </c>
      <c r="G158" s="3" t="s">
        <v>579</v>
      </c>
      <c r="H158" s="3" t="s">
        <v>453</v>
      </c>
      <c r="I158" s="2" t="s">
        <v>13</v>
      </c>
    </row>
    <row r="159" spans="2:9" ht="43.2" x14ac:dyDescent="0.3">
      <c r="B159" s="2">
        <f t="shared" si="5"/>
        <v>157</v>
      </c>
      <c r="C159" s="3" t="s">
        <v>481</v>
      </c>
      <c r="D159" s="3" t="s">
        <v>601</v>
      </c>
      <c r="E159" s="3" t="s">
        <v>602</v>
      </c>
      <c r="F159" s="3" t="s">
        <v>603</v>
      </c>
      <c r="G159" s="3" t="s">
        <v>604</v>
      </c>
      <c r="H159" s="3" t="s">
        <v>453</v>
      </c>
      <c r="I159" s="2" t="s">
        <v>13</v>
      </c>
    </row>
    <row r="160" spans="2:9" ht="72" x14ac:dyDescent="0.3">
      <c r="B160" s="2">
        <f t="shared" si="5"/>
        <v>158</v>
      </c>
      <c r="C160" s="3" t="s">
        <v>481</v>
      </c>
      <c r="D160" s="3" t="s">
        <v>605</v>
      </c>
      <c r="E160" s="3" t="s">
        <v>606</v>
      </c>
      <c r="F160" s="3" t="s">
        <v>607</v>
      </c>
      <c r="G160" s="3" t="s">
        <v>502</v>
      </c>
      <c r="H160" s="3" t="s">
        <v>390</v>
      </c>
      <c r="I160" s="2" t="s">
        <v>42</v>
      </c>
    </row>
    <row r="161" spans="2:9" ht="28.8" x14ac:dyDescent="0.3">
      <c r="B161" s="2">
        <f t="shared" si="5"/>
        <v>159</v>
      </c>
      <c r="C161" s="3" t="s">
        <v>481</v>
      </c>
      <c r="D161" s="3" t="s">
        <v>566</v>
      </c>
      <c r="E161" s="3" t="s">
        <v>608</v>
      </c>
      <c r="F161" s="3" t="s">
        <v>609</v>
      </c>
      <c r="G161" s="3" t="s">
        <v>497</v>
      </c>
      <c r="H161" s="3" t="s">
        <v>610</v>
      </c>
      <c r="I161" s="2" t="s">
        <v>13</v>
      </c>
    </row>
    <row r="162" spans="2:9" ht="28.8" x14ac:dyDescent="0.3">
      <c r="B162" s="2">
        <f t="shared" si="5"/>
        <v>160</v>
      </c>
      <c r="C162" s="3" t="s">
        <v>481</v>
      </c>
      <c r="D162" s="3" t="s">
        <v>611</v>
      </c>
      <c r="E162" s="3" t="s">
        <v>612</v>
      </c>
      <c r="F162" s="3" t="s">
        <v>613</v>
      </c>
      <c r="G162" s="3" t="s">
        <v>497</v>
      </c>
      <c r="H162" s="3" t="s">
        <v>156</v>
      </c>
      <c r="I162" s="2" t="s">
        <v>42</v>
      </c>
    </row>
    <row r="163" spans="2:9" ht="28.8" x14ac:dyDescent="0.3">
      <c r="B163" s="2">
        <f t="shared" si="5"/>
        <v>161</v>
      </c>
      <c r="C163" s="3" t="s">
        <v>481</v>
      </c>
      <c r="D163" s="3" t="s">
        <v>486</v>
      </c>
      <c r="E163" s="3" t="s">
        <v>614</v>
      </c>
      <c r="F163" s="3" t="s">
        <v>615</v>
      </c>
      <c r="G163" s="3" t="s">
        <v>101</v>
      </c>
      <c r="H163" s="3" t="s">
        <v>390</v>
      </c>
      <c r="I163" s="2" t="s">
        <v>42</v>
      </c>
    </row>
    <row r="164" spans="2:9" ht="43.2" x14ac:dyDescent="0.3">
      <c r="B164" s="2">
        <f t="shared" si="5"/>
        <v>162</v>
      </c>
      <c r="C164" s="3" t="s">
        <v>481</v>
      </c>
      <c r="D164" s="3" t="s">
        <v>616</v>
      </c>
      <c r="E164" s="3" t="s">
        <v>617</v>
      </c>
      <c r="F164" s="3" t="s">
        <v>618</v>
      </c>
      <c r="G164" s="3" t="s">
        <v>502</v>
      </c>
      <c r="H164" s="3" t="s">
        <v>453</v>
      </c>
      <c r="I164" s="2" t="s">
        <v>13</v>
      </c>
    </row>
    <row r="165" spans="2:9" ht="57.6" x14ac:dyDescent="0.3">
      <c r="B165" s="2">
        <f t="shared" si="5"/>
        <v>163</v>
      </c>
      <c r="C165" s="3" t="s">
        <v>481</v>
      </c>
      <c r="D165" s="3" t="s">
        <v>486</v>
      </c>
      <c r="E165" s="3" t="s">
        <v>619</v>
      </c>
      <c r="F165" s="3" t="s">
        <v>620</v>
      </c>
      <c r="G165" s="3" t="s">
        <v>621</v>
      </c>
      <c r="H165" s="3" t="s">
        <v>622</v>
      </c>
      <c r="I165" s="2" t="s">
        <v>42</v>
      </c>
    </row>
    <row r="166" spans="2:9" ht="28.8" x14ac:dyDescent="0.3">
      <c r="B166" s="2">
        <f t="shared" si="5"/>
        <v>164</v>
      </c>
      <c r="C166" s="3" t="s">
        <v>481</v>
      </c>
      <c r="D166" s="3" t="s">
        <v>623</v>
      </c>
      <c r="E166" s="3" t="s">
        <v>624</v>
      </c>
      <c r="F166" s="3" t="s">
        <v>625</v>
      </c>
      <c r="G166" s="3" t="s">
        <v>23</v>
      </c>
      <c r="H166" s="3" t="s">
        <v>453</v>
      </c>
      <c r="I166" s="2" t="s">
        <v>13</v>
      </c>
    </row>
    <row r="167" spans="2:9" ht="72" x14ac:dyDescent="0.3">
      <c r="B167" s="2">
        <f t="shared" si="5"/>
        <v>165</v>
      </c>
      <c r="C167" s="3" t="s">
        <v>481</v>
      </c>
      <c r="D167" s="3" t="s">
        <v>626</v>
      </c>
      <c r="E167" s="3" t="s">
        <v>627</v>
      </c>
      <c r="F167" s="3" t="s">
        <v>628</v>
      </c>
      <c r="G167" s="3" t="s">
        <v>629</v>
      </c>
      <c r="H167" s="3" t="s">
        <v>630</v>
      </c>
      <c r="I167" s="2" t="s">
        <v>13</v>
      </c>
    </row>
    <row r="168" spans="2:9" ht="43.2" x14ac:dyDescent="0.3">
      <c r="B168" s="2">
        <f t="shared" si="5"/>
        <v>166</v>
      </c>
      <c r="C168" s="3" t="s">
        <v>481</v>
      </c>
      <c r="D168" s="3" t="s">
        <v>631</v>
      </c>
      <c r="E168" s="3" t="s">
        <v>632</v>
      </c>
      <c r="F168" s="3" t="s">
        <v>633</v>
      </c>
      <c r="G168" s="3" t="s">
        <v>540</v>
      </c>
      <c r="H168" s="3" t="s">
        <v>630</v>
      </c>
      <c r="I168" s="4" t="s">
        <v>13</v>
      </c>
    </row>
    <row r="169" spans="2:9" ht="28.8" x14ac:dyDescent="0.3">
      <c r="B169" s="2">
        <f t="shared" si="5"/>
        <v>167</v>
      </c>
      <c r="C169" s="3" t="s">
        <v>481</v>
      </c>
      <c r="D169" s="3" t="s">
        <v>634</v>
      </c>
      <c r="E169" s="3" t="s">
        <v>635</v>
      </c>
      <c r="F169" s="3" t="s">
        <v>636</v>
      </c>
      <c r="G169" s="3" t="s">
        <v>637</v>
      </c>
      <c r="H169" s="3" t="s">
        <v>630</v>
      </c>
      <c r="I169" s="2" t="s">
        <v>13</v>
      </c>
    </row>
    <row r="170" spans="2:9" ht="57.6" x14ac:dyDescent="0.3">
      <c r="B170" s="2">
        <f t="shared" si="5"/>
        <v>168</v>
      </c>
      <c r="C170" s="3" t="s">
        <v>481</v>
      </c>
      <c r="D170" s="3" t="s">
        <v>486</v>
      </c>
      <c r="E170" s="3" t="s">
        <v>638</v>
      </c>
      <c r="F170" s="3" t="s">
        <v>639</v>
      </c>
      <c r="G170" s="3" t="s">
        <v>497</v>
      </c>
      <c r="H170" s="3" t="s">
        <v>453</v>
      </c>
      <c r="I170" s="2" t="s">
        <v>13</v>
      </c>
    </row>
    <row r="171" spans="2:9" ht="72" x14ac:dyDescent="0.3">
      <c r="B171" s="2">
        <f t="shared" si="5"/>
        <v>169</v>
      </c>
      <c r="C171" s="3" t="s">
        <v>481</v>
      </c>
      <c r="D171" s="3" t="s">
        <v>640</v>
      </c>
      <c r="E171" s="3" t="s">
        <v>641</v>
      </c>
      <c r="F171" s="3" t="s">
        <v>642</v>
      </c>
      <c r="G171" s="3" t="s">
        <v>502</v>
      </c>
      <c r="H171" s="3" t="s">
        <v>390</v>
      </c>
      <c r="I171" s="2" t="s">
        <v>42</v>
      </c>
    </row>
    <row r="172" spans="2:9" ht="28.8" x14ac:dyDescent="0.3">
      <c r="B172" s="2">
        <f t="shared" si="5"/>
        <v>170</v>
      </c>
      <c r="C172" s="3" t="s">
        <v>481</v>
      </c>
      <c r="D172" s="3" t="s">
        <v>643</v>
      </c>
      <c r="E172" s="3" t="s">
        <v>644</v>
      </c>
      <c r="F172" s="3" t="s">
        <v>354</v>
      </c>
      <c r="G172" s="3" t="s">
        <v>502</v>
      </c>
      <c r="H172" s="3" t="s">
        <v>156</v>
      </c>
      <c r="I172" s="2" t="s">
        <v>42</v>
      </c>
    </row>
    <row r="173" spans="2:9" ht="72" x14ac:dyDescent="0.3">
      <c r="B173" s="2">
        <f t="shared" si="5"/>
        <v>171</v>
      </c>
      <c r="C173" s="3" t="s">
        <v>481</v>
      </c>
      <c r="D173" s="3" t="s">
        <v>645</v>
      </c>
      <c r="E173" s="3" t="s">
        <v>646</v>
      </c>
      <c r="F173" s="3" t="s">
        <v>647</v>
      </c>
      <c r="G173" s="3" t="s">
        <v>497</v>
      </c>
      <c r="H173" s="3" t="s">
        <v>390</v>
      </c>
      <c r="I173" s="2" t="s">
        <v>42</v>
      </c>
    </row>
    <row r="174" spans="2:9" ht="43.2" x14ac:dyDescent="0.3">
      <c r="B174" s="2">
        <f t="shared" si="5"/>
        <v>172</v>
      </c>
      <c r="C174" s="3" t="s">
        <v>481</v>
      </c>
      <c r="D174" s="3" t="s">
        <v>648</v>
      </c>
      <c r="E174" s="3" t="s">
        <v>649</v>
      </c>
      <c r="F174" s="3" t="s">
        <v>650</v>
      </c>
      <c r="G174" s="3" t="s">
        <v>502</v>
      </c>
      <c r="H174" s="3" t="s">
        <v>390</v>
      </c>
      <c r="I174" s="2" t="s">
        <v>42</v>
      </c>
    </row>
    <row r="175" spans="2:9" ht="28.8" x14ac:dyDescent="0.3">
      <c r="B175" s="2">
        <f t="shared" si="5"/>
        <v>173</v>
      </c>
      <c r="C175" s="3" t="s">
        <v>481</v>
      </c>
      <c r="D175" s="3" t="s">
        <v>486</v>
      </c>
      <c r="E175" s="3" t="s">
        <v>651</v>
      </c>
      <c r="F175" s="3" t="s">
        <v>652</v>
      </c>
      <c r="G175" s="3" t="s">
        <v>90</v>
      </c>
      <c r="H175" s="3" t="s">
        <v>453</v>
      </c>
      <c r="I175" s="2" t="s">
        <v>13</v>
      </c>
    </row>
    <row r="176" spans="2:9" ht="57.6" x14ac:dyDescent="0.3">
      <c r="B176" s="2">
        <f t="shared" si="5"/>
        <v>174</v>
      </c>
      <c r="C176" s="3" t="s">
        <v>481</v>
      </c>
      <c r="D176" s="3" t="s">
        <v>653</v>
      </c>
      <c r="E176" s="3" t="s">
        <v>654</v>
      </c>
      <c r="F176" s="3" t="s">
        <v>655</v>
      </c>
      <c r="G176" s="3" t="s">
        <v>656</v>
      </c>
      <c r="H176" s="3" t="s">
        <v>657</v>
      </c>
      <c r="I176" s="2" t="s">
        <v>42</v>
      </c>
    </row>
    <row r="177" spans="2:9" ht="28.8" x14ac:dyDescent="0.3">
      <c r="B177" s="2">
        <f t="shared" si="5"/>
        <v>175</v>
      </c>
      <c r="C177" s="3" t="s">
        <v>481</v>
      </c>
      <c r="D177" s="3" t="s">
        <v>658</v>
      </c>
      <c r="E177" s="3" t="s">
        <v>659</v>
      </c>
      <c r="F177" s="3" t="s">
        <v>309</v>
      </c>
      <c r="G177" s="3" t="s">
        <v>569</v>
      </c>
      <c r="H177" s="3" t="s">
        <v>156</v>
      </c>
      <c r="I177" s="2" t="s">
        <v>42</v>
      </c>
    </row>
    <row r="178" spans="2:9" ht="43.2" x14ac:dyDescent="0.3">
      <c r="B178" s="2">
        <f t="shared" si="5"/>
        <v>176</v>
      </c>
      <c r="C178" s="3" t="s">
        <v>481</v>
      </c>
      <c r="D178" s="3" t="s">
        <v>486</v>
      </c>
      <c r="E178" s="3" t="s">
        <v>660</v>
      </c>
      <c r="F178" s="3" t="s">
        <v>661</v>
      </c>
      <c r="G178" s="3" t="s">
        <v>502</v>
      </c>
      <c r="H178" s="3" t="s">
        <v>453</v>
      </c>
      <c r="I178" s="2" t="s">
        <v>13</v>
      </c>
    </row>
    <row r="179" spans="2:9" ht="43.2" x14ac:dyDescent="0.3">
      <c r="B179" s="2">
        <f t="shared" si="5"/>
        <v>177</v>
      </c>
      <c r="C179" s="3" t="s">
        <v>481</v>
      </c>
      <c r="D179" s="3" t="s">
        <v>611</v>
      </c>
      <c r="E179" s="3" t="s">
        <v>662</v>
      </c>
      <c r="F179" s="3" t="s">
        <v>663</v>
      </c>
      <c r="G179" s="3" t="s">
        <v>497</v>
      </c>
      <c r="H179" s="3" t="s">
        <v>664</v>
      </c>
      <c r="I179" s="2" t="s">
        <v>13</v>
      </c>
    </row>
    <row r="180" spans="2:9" ht="43.2" x14ac:dyDescent="0.3">
      <c r="B180" s="2">
        <f t="shared" si="5"/>
        <v>178</v>
      </c>
      <c r="C180" s="3" t="s">
        <v>481</v>
      </c>
      <c r="D180" s="3" t="s">
        <v>665</v>
      </c>
      <c r="E180" s="3" t="s">
        <v>666</v>
      </c>
      <c r="F180" s="3" t="s">
        <v>667</v>
      </c>
      <c r="G180" s="3" t="s">
        <v>668</v>
      </c>
      <c r="H180" s="3" t="s">
        <v>669</v>
      </c>
      <c r="I180" s="2" t="s">
        <v>13</v>
      </c>
    </row>
    <row r="181" spans="2:9" ht="28.8" x14ac:dyDescent="0.3">
      <c r="B181" s="2">
        <f t="shared" si="5"/>
        <v>179</v>
      </c>
      <c r="C181" s="3" t="s">
        <v>481</v>
      </c>
      <c r="D181" s="3" t="s">
        <v>670</v>
      </c>
      <c r="E181" s="3" t="s">
        <v>671</v>
      </c>
      <c r="F181" s="3" t="s">
        <v>672</v>
      </c>
      <c r="G181" s="3" t="s">
        <v>524</v>
      </c>
      <c r="H181" s="3" t="s">
        <v>673</v>
      </c>
      <c r="I181" s="2" t="s">
        <v>13</v>
      </c>
    </row>
    <row r="182" spans="2:9" ht="57.6" x14ac:dyDescent="0.3">
      <c r="B182" s="2">
        <f t="shared" si="5"/>
        <v>180</v>
      </c>
      <c r="C182" s="3" t="s">
        <v>481</v>
      </c>
      <c r="D182" s="3" t="s">
        <v>674</v>
      </c>
      <c r="E182" s="3" t="s">
        <v>675</v>
      </c>
      <c r="F182" s="3" t="s">
        <v>676</v>
      </c>
      <c r="G182" s="3" t="s">
        <v>668</v>
      </c>
      <c r="H182" s="3" t="s">
        <v>677</v>
      </c>
      <c r="I182" s="2" t="s">
        <v>13</v>
      </c>
    </row>
    <row r="183" spans="2:9" ht="57.6" x14ac:dyDescent="0.3">
      <c r="B183" s="2">
        <f t="shared" si="5"/>
        <v>181</v>
      </c>
      <c r="C183" s="3" t="s">
        <v>678</v>
      </c>
      <c r="D183" s="3" t="s">
        <v>679</v>
      </c>
      <c r="E183" s="3" t="s">
        <v>680</v>
      </c>
      <c r="F183" s="3" t="s">
        <v>681</v>
      </c>
      <c r="G183" s="3" t="s">
        <v>85</v>
      </c>
      <c r="H183" s="3" t="s">
        <v>682</v>
      </c>
      <c r="I183" s="2" t="s">
        <v>120</v>
      </c>
    </row>
    <row r="184" spans="2:9" ht="57.6" x14ac:dyDescent="0.3">
      <c r="B184" s="2">
        <f>B183+1</f>
        <v>182</v>
      </c>
      <c r="C184" s="3" t="s">
        <v>678</v>
      </c>
      <c r="D184" s="3" t="s">
        <v>679</v>
      </c>
      <c r="E184" s="3" t="s">
        <v>683</v>
      </c>
      <c r="F184" s="3" t="s">
        <v>684</v>
      </c>
      <c r="G184" s="3" t="s">
        <v>685</v>
      </c>
      <c r="H184" s="3" t="s">
        <v>682</v>
      </c>
      <c r="I184" s="2" t="s">
        <v>120</v>
      </c>
    </row>
    <row r="185" spans="2:9" ht="72" x14ac:dyDescent="0.3">
      <c r="B185" s="2">
        <f t="shared" ref="B185:B197" si="6">B184+1</f>
        <v>183</v>
      </c>
      <c r="C185" s="3" t="s">
        <v>678</v>
      </c>
      <c r="D185" s="3" t="s">
        <v>679</v>
      </c>
      <c r="E185" s="3" t="s">
        <v>686</v>
      </c>
      <c r="F185" s="3" t="s">
        <v>687</v>
      </c>
      <c r="G185" s="3" t="s">
        <v>85</v>
      </c>
      <c r="H185" s="3" t="s">
        <v>688</v>
      </c>
      <c r="I185" s="2" t="s">
        <v>120</v>
      </c>
    </row>
    <row r="186" spans="2:9" ht="72" x14ac:dyDescent="0.3">
      <c r="B186" s="2">
        <f t="shared" si="6"/>
        <v>184</v>
      </c>
      <c r="C186" s="3" t="s">
        <v>678</v>
      </c>
      <c r="D186" s="3" t="s">
        <v>689</v>
      </c>
      <c r="E186" s="3" t="s">
        <v>690</v>
      </c>
      <c r="F186" s="3" t="s">
        <v>687</v>
      </c>
      <c r="G186" s="3" t="s">
        <v>37</v>
      </c>
      <c r="H186" s="3" t="s">
        <v>691</v>
      </c>
      <c r="I186" s="2" t="s">
        <v>42</v>
      </c>
    </row>
    <row r="187" spans="2:9" ht="57.6" x14ac:dyDescent="0.3">
      <c r="B187" s="2">
        <f t="shared" si="6"/>
        <v>185</v>
      </c>
      <c r="C187" s="3" t="s">
        <v>678</v>
      </c>
      <c r="D187" s="3" t="s">
        <v>692</v>
      </c>
      <c r="E187" s="3" t="s">
        <v>693</v>
      </c>
      <c r="F187" s="3" t="s">
        <v>181</v>
      </c>
      <c r="G187" s="3" t="s">
        <v>515</v>
      </c>
      <c r="H187" s="3" t="s">
        <v>682</v>
      </c>
      <c r="I187" s="2" t="s">
        <v>120</v>
      </c>
    </row>
    <row r="188" spans="2:9" ht="72" x14ac:dyDescent="0.3">
      <c r="B188" s="2">
        <f t="shared" si="6"/>
        <v>186</v>
      </c>
      <c r="C188" s="3" t="s">
        <v>678</v>
      </c>
      <c r="D188" s="3" t="s">
        <v>679</v>
      </c>
      <c r="E188" s="3" t="s">
        <v>694</v>
      </c>
      <c r="F188" s="3" t="s">
        <v>687</v>
      </c>
      <c r="G188" s="3" t="s">
        <v>73</v>
      </c>
      <c r="H188" s="3" t="s">
        <v>695</v>
      </c>
      <c r="I188" s="2" t="s">
        <v>42</v>
      </c>
    </row>
    <row r="189" spans="2:9" ht="86.4" x14ac:dyDescent="0.3">
      <c r="B189" s="2">
        <f t="shared" si="6"/>
        <v>187</v>
      </c>
      <c r="C189" s="3" t="s">
        <v>678</v>
      </c>
      <c r="D189" s="3" t="s">
        <v>696</v>
      </c>
      <c r="E189" s="3" t="s">
        <v>697</v>
      </c>
      <c r="F189" s="3" t="s">
        <v>698</v>
      </c>
      <c r="G189" s="3" t="s">
        <v>48</v>
      </c>
      <c r="H189" s="3" t="s">
        <v>699</v>
      </c>
      <c r="I189" s="2" t="s">
        <v>13</v>
      </c>
    </row>
    <row r="190" spans="2:9" ht="72" x14ac:dyDescent="0.3">
      <c r="B190" s="2">
        <f t="shared" si="6"/>
        <v>188</v>
      </c>
      <c r="C190" s="3" t="s">
        <v>678</v>
      </c>
      <c r="D190" s="3" t="s">
        <v>700</v>
      </c>
      <c r="E190" s="3" t="s">
        <v>701</v>
      </c>
      <c r="F190" s="3" t="s">
        <v>702</v>
      </c>
      <c r="G190" s="3" t="s">
        <v>703</v>
      </c>
      <c r="H190" s="3" t="s">
        <v>704</v>
      </c>
      <c r="I190" s="2" t="s">
        <v>120</v>
      </c>
    </row>
    <row r="191" spans="2:9" ht="86.4" x14ac:dyDescent="0.3">
      <c r="B191" s="2">
        <f t="shared" si="6"/>
        <v>189</v>
      </c>
      <c r="C191" s="3" t="s">
        <v>678</v>
      </c>
      <c r="D191" s="3" t="s">
        <v>705</v>
      </c>
      <c r="E191" s="3" t="s">
        <v>706</v>
      </c>
      <c r="F191" s="3" t="s">
        <v>76</v>
      </c>
      <c r="G191" s="3" t="s">
        <v>703</v>
      </c>
      <c r="H191" s="3" t="s">
        <v>707</v>
      </c>
      <c r="I191" s="2" t="s">
        <v>120</v>
      </c>
    </row>
    <row r="192" spans="2:9" ht="86.4" x14ac:dyDescent="0.3">
      <c r="B192" s="2">
        <f t="shared" si="6"/>
        <v>190</v>
      </c>
      <c r="C192" s="3" t="s">
        <v>678</v>
      </c>
      <c r="D192" s="3" t="s">
        <v>708</v>
      </c>
      <c r="E192" s="3" t="s">
        <v>709</v>
      </c>
      <c r="F192" s="3" t="s">
        <v>710</v>
      </c>
      <c r="G192" s="3" t="s">
        <v>711</v>
      </c>
      <c r="H192" s="3" t="s">
        <v>712</v>
      </c>
      <c r="I192" s="2" t="s">
        <v>42</v>
      </c>
    </row>
    <row r="193" spans="2:9" ht="72" x14ac:dyDescent="0.3">
      <c r="B193" s="2">
        <f t="shared" si="6"/>
        <v>191</v>
      </c>
      <c r="C193" s="3" t="s">
        <v>678</v>
      </c>
      <c r="D193" s="3" t="s">
        <v>713</v>
      </c>
      <c r="E193" s="3" t="s">
        <v>714</v>
      </c>
      <c r="F193" s="3" t="s">
        <v>523</v>
      </c>
      <c r="G193" s="3" t="s">
        <v>85</v>
      </c>
      <c r="H193" s="3" t="s">
        <v>715</v>
      </c>
      <c r="I193" s="2" t="s">
        <v>42</v>
      </c>
    </row>
    <row r="194" spans="2:9" ht="100.8" x14ac:dyDescent="0.3">
      <c r="B194" s="2">
        <f t="shared" si="6"/>
        <v>192</v>
      </c>
      <c r="C194" s="3" t="s">
        <v>678</v>
      </c>
      <c r="D194" s="3" t="s">
        <v>716</v>
      </c>
      <c r="E194" s="3" t="s">
        <v>717</v>
      </c>
      <c r="F194" s="3" t="s">
        <v>718</v>
      </c>
      <c r="G194" s="3" t="s">
        <v>104</v>
      </c>
      <c r="H194" s="3" t="s">
        <v>719</v>
      </c>
      <c r="I194" s="2" t="s">
        <v>19</v>
      </c>
    </row>
    <row r="195" spans="2:9" ht="72" x14ac:dyDescent="0.3">
      <c r="B195" s="2">
        <f t="shared" si="6"/>
        <v>193</v>
      </c>
      <c r="C195" s="3" t="s">
        <v>678</v>
      </c>
      <c r="D195" s="3" t="s">
        <v>720</v>
      </c>
      <c r="E195" s="3" t="s">
        <v>721</v>
      </c>
      <c r="F195" s="3" t="s">
        <v>722</v>
      </c>
      <c r="G195" s="3" t="s">
        <v>515</v>
      </c>
      <c r="H195" s="3" t="s">
        <v>723</v>
      </c>
      <c r="I195" s="2" t="s">
        <v>42</v>
      </c>
    </row>
    <row r="196" spans="2:9" ht="86.4" x14ac:dyDescent="0.3">
      <c r="B196" s="2">
        <f t="shared" si="6"/>
        <v>194</v>
      </c>
      <c r="C196" s="3" t="s">
        <v>678</v>
      </c>
      <c r="D196" s="3" t="s">
        <v>679</v>
      </c>
      <c r="E196" s="3" t="s">
        <v>724</v>
      </c>
      <c r="F196" s="3" t="s">
        <v>725</v>
      </c>
      <c r="G196" s="3" t="s">
        <v>52</v>
      </c>
      <c r="H196" s="3" t="s">
        <v>726</v>
      </c>
      <c r="I196" s="2" t="s">
        <v>42</v>
      </c>
    </row>
    <row r="197" spans="2:9" ht="100.8" x14ac:dyDescent="0.3">
      <c r="B197" s="2">
        <f t="shared" si="6"/>
        <v>195</v>
      </c>
      <c r="C197" s="3" t="s">
        <v>678</v>
      </c>
      <c r="D197" s="3" t="s">
        <v>727</v>
      </c>
      <c r="E197" s="3" t="s">
        <v>728</v>
      </c>
      <c r="F197" s="3" t="s">
        <v>729</v>
      </c>
      <c r="G197" s="3" t="s">
        <v>703</v>
      </c>
      <c r="H197" s="3" t="s">
        <v>730</v>
      </c>
      <c r="I197" s="2" t="s">
        <v>120</v>
      </c>
    </row>
  </sheetData>
  <autoFilter ref="B2:I182" xr:uid="{23D9E3A1-7070-4ED1-8E78-2764375EBEE2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2026-08-19T07:17:59Z</dcterms:created>
  <dcterms:modified xsi:type="dcterms:W3CDTF">2026-08-21T06:55:13Z</dcterms:modified>
</cp:coreProperties>
</file>